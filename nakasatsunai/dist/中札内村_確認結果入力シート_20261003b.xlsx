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確認結果入力" sheetId="1" state="visible" r:id="rId1"/>
    <sheet xmlns:r="http://schemas.openxmlformats.org/officeDocument/2006/relationships" name="本文修正履歴" sheetId="2" state="visible" r:id="rId2"/>
    <sheet xmlns:r="http://schemas.openxmlformats.org/officeDocument/2006/relationships" name="凡例・記入要領" sheetId="3" state="visible" r:id="rId3"/>
    <sheet xmlns:r="http://schemas.openxmlformats.org/officeDocument/2006/relationships" name="確認事項の詳細" sheetId="4" state="visible" r:id="rId4"/>
    <sheet xmlns:r="http://schemas.openxmlformats.org/officeDocument/2006/relationships" name="選択肢マスタ" sheetId="5" state="visible" r:id="rId5"/>
  </sheets>
  <definedNames>
    <definedName name="_xlnm._FilterDatabase" localSheetId="0" hidden="1">'確認結果入力'!$A$4:$L$32</definedName>
    <definedName name="_xlnm.Print_Titles" localSheetId="0">'確認結果入力'!$4:$4</definedName>
    <definedName name="_xlnm._FilterDatabase" localSheetId="1" hidden="1">'本文修正履歴'!$A$5:$L$33</definedName>
    <definedName name="_xlnm.Print_Titles" localSheetId="1">'本文修正履歴'!$5:$5</definedName>
    <definedName name="_xlnm._FilterDatabase" localSheetId="3" hidden="1">'確認事項の詳細'!$A$1:$G$29</definedName>
  </definedNames>
  <calcPr calcId="124519" fullCalcOnLoad="1"/>
</workbook>
</file>

<file path=xl/styles.xml><?xml version="1.0" encoding="utf-8"?>
<styleSheet xmlns="http://schemas.openxmlformats.org/spreadsheetml/2006/main">
  <numFmts count="1">
    <numFmt numFmtId="164" formatCode="yyyy/mm/dd"/>
  </numFmts>
  <fonts count="18">
    <font>
      <name val="Calibri"/>
      <family val="2"/>
      <color theme="1"/>
      <sz val="11"/>
      <scheme val="minor"/>
    </font>
    <font>
      <name val="Yu Gothic"/>
      <b val="1"/>
      <color rgb="001A2422"/>
      <sz val="14"/>
    </font>
    <font>
      <name val="Yu Gothic"/>
      <b val="1"/>
      <color rgb="008A6512"/>
      <sz val="10"/>
    </font>
    <font>
      <name val="Yu Gothic"/>
      <color rgb="005E6B67"/>
      <sz val="9"/>
    </font>
    <font>
      <name val="Yu Gothic"/>
      <b val="1"/>
      <color rgb="001A2422"/>
      <sz val="10"/>
    </font>
    <font>
      <name val="Yu Gothic"/>
      <b val="1"/>
      <color rgb="001A2422"/>
      <sz val="9"/>
    </font>
    <font>
      <name val="Yu Gothic"/>
      <color rgb="001A2422"/>
      <sz val="9"/>
    </font>
    <font>
      <name val="Yu Gothic"/>
      <b val="1"/>
      <color rgb="00A33520"/>
      <sz val="10"/>
    </font>
    <font>
      <name val="Yu Gothic"/>
      <b val="1"/>
      <color rgb="008A6512"/>
      <sz val="9"/>
    </font>
    <font>
      <name val="Yu Gothic"/>
      <color rgb="001A2422"/>
      <sz val="10"/>
    </font>
    <font>
      <name val="Yu Gothic"/>
      <b val="1"/>
      <color rgb="002F6B45"/>
      <sz val="9"/>
    </font>
    <font>
      <name val="Yu Gothic"/>
      <b val="1"/>
      <color rgb="002F6B45"/>
      <sz val="10"/>
    </font>
    <font>
      <name val="Yu Gothic"/>
      <b val="1"/>
      <color rgb="00A33520"/>
      <sz val="9"/>
    </font>
    <font>
      <name val="Yu Gothic"/>
      <b val="1"/>
      <color rgb="000E5E62"/>
      <sz val="9"/>
    </font>
    <font>
      <name val="Yu Gothic"/>
      <color rgb="00A33520"/>
      <sz val="9"/>
    </font>
    <font>
      <name val="Yu Gothic"/>
      <color rgb="002F6B45"/>
      <sz val="9"/>
    </font>
    <font>
      <name val="Yu Gothic"/>
      <b val="1"/>
      <color rgb="001F6F8B"/>
      <sz val="9"/>
    </font>
    <font>
      <name val="Yu Gothic"/>
      <b val="1"/>
      <color rgb="000E5E62"/>
      <sz val="11"/>
    </font>
  </fonts>
  <fills count="6">
    <fill>
      <patternFill/>
    </fill>
    <fill>
      <patternFill patternType="gray125"/>
    </fill>
    <fill>
      <patternFill patternType="solid">
        <fgColor rgb="00DCE6E3"/>
      </patternFill>
    </fill>
    <fill>
      <patternFill patternType="solid">
        <fgColor rgb="00FFF7D6"/>
      </patternFill>
    </fill>
    <fill>
      <patternFill patternType="solid">
        <fgColor rgb="00F5F8F7"/>
      </patternFill>
    </fill>
    <fill>
      <patternFill patternType="solid">
        <fgColor rgb="00EFF4F2"/>
      </patternFill>
    </fill>
  </fills>
  <borders count="6">
    <border>
      <left/>
      <right/>
      <top/>
      <bottom/>
      <diagonal/>
    </border>
    <border>
      <left style="thin">
        <color rgb="00C8D2CE"/>
      </left>
      <right style="thin">
        <color rgb="00C8D2CE"/>
      </right>
      <top style="thin">
        <color rgb="00C8D2CE"/>
      </top>
      <bottom style="thin">
        <color rgb="00C8D2CE"/>
      </bottom>
    </border>
    <border>
      <left/>
      <right/>
      <top style="thin">
        <color rgb="00C8D2CE"/>
      </top>
      <bottom/>
      <diagonal/>
    </border>
    <border>
      <left/>
      <right style="thin">
        <color rgb="00C8D2CE"/>
      </right>
      <top style="thin">
        <color rgb="00C8D2CE"/>
      </top>
      <bottom/>
      <diagonal/>
    </border>
    <border>
      <left/>
      <right/>
      <top style="thin">
        <color rgb="00C8D2CE"/>
      </top>
      <bottom style="thin">
        <color rgb="00C8D2CE"/>
      </bottom>
      <diagonal/>
    </border>
    <border>
      <left/>
      <right style="thin">
        <color rgb="00C8D2CE"/>
      </right>
      <top style="thin">
        <color rgb="00C8D2CE"/>
      </top>
      <bottom style="thin">
        <color rgb="00C8D2CE"/>
      </bottom>
      <diagonal/>
    </border>
  </borders>
  <cellStyleXfs count="1">
    <xf numFmtId="0" fontId="0" fillId="0" borderId="0"/>
  </cellStyleXfs>
  <cellXfs count="4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0" borderId="1" applyAlignment="1" pivotButton="0" quotePrefix="0" xfId="0">
      <alignment horizontal="left" vertical="top" wrapText="1"/>
    </xf>
    <xf numFmtId="0" fontId="7"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9" fillId="3" borderId="1" applyAlignment="1" pivotButton="0" quotePrefix="0" xfId="0">
      <alignment horizontal="left" vertical="top" wrapText="1"/>
    </xf>
    <xf numFmtId="164" fontId="9" fillId="3" borderId="1" applyAlignment="1" pivotButton="0" quotePrefix="0" xfId="0">
      <alignment horizontal="left" vertical="top" wrapText="1"/>
    </xf>
    <xf numFmtId="0" fontId="4" fillId="4" borderId="1" applyAlignment="1" pivotButton="0" quotePrefix="0" xfId="0">
      <alignment horizontal="center" vertical="center" wrapText="1"/>
    </xf>
    <xf numFmtId="0" fontId="6" fillId="4" borderId="1" applyAlignment="1" pivotButton="0" quotePrefix="0" xfId="0">
      <alignment horizontal="left" vertical="top" wrapText="1"/>
    </xf>
    <xf numFmtId="0" fontId="2" fillId="4" borderId="1" applyAlignment="1" pivotButton="0" quotePrefix="0" xfId="0">
      <alignment horizontal="center" vertical="center" wrapText="1"/>
    </xf>
    <xf numFmtId="0" fontId="10"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8" fillId="4" borderId="1" applyAlignment="1" pivotButton="0" quotePrefix="0" xfId="0">
      <alignment horizontal="center" vertical="center" wrapText="1"/>
    </xf>
    <xf numFmtId="0" fontId="11" fillId="0" borderId="1" applyAlignment="1" pivotButton="0" quotePrefix="0" xfId="0">
      <alignment horizontal="center" vertical="center" wrapText="1"/>
    </xf>
    <xf numFmtId="0" fontId="7" fillId="4" borderId="1" applyAlignment="1" pivotButton="0" quotePrefix="0" xfId="0">
      <alignment horizontal="center" vertical="center" wrapText="1"/>
    </xf>
    <xf numFmtId="0" fontId="10" fillId="0" borderId="1" applyAlignment="1" pivotButton="0" quotePrefix="0" xfId="0">
      <alignment horizontal="center" vertical="center" wrapText="1"/>
    </xf>
    <xf numFmtId="0" fontId="12" fillId="4" borderId="1" applyAlignment="1" pivotButton="0" quotePrefix="0" xfId="0">
      <alignment horizontal="center" vertical="center" wrapText="1"/>
    </xf>
    <xf numFmtId="0" fontId="11"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1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14" fillId="0" borderId="1" applyAlignment="1" pivotButton="0" quotePrefix="0" xfId="0">
      <alignment horizontal="left" vertical="top" wrapText="1"/>
    </xf>
    <xf numFmtId="0" fontId="15" fillId="0" borderId="1" applyAlignment="1" pivotButton="0" quotePrefix="0" xfId="0">
      <alignment horizontal="left" vertical="top" wrapText="1"/>
    </xf>
    <xf numFmtId="0" fontId="5"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6" fillId="4" borderId="1" applyAlignment="1" pivotButton="0" quotePrefix="0" xfId="0">
      <alignment horizontal="center" vertical="center" wrapText="1"/>
    </xf>
    <xf numFmtId="0" fontId="14" fillId="4" borderId="1" applyAlignment="1" pivotButton="0" quotePrefix="0" xfId="0">
      <alignment horizontal="left" vertical="top" wrapText="1"/>
    </xf>
    <xf numFmtId="0" fontId="15" fillId="4" borderId="1" applyAlignment="1" pivotButton="0" quotePrefix="0" xfId="0">
      <alignment horizontal="left" vertical="top" wrapText="1"/>
    </xf>
    <xf numFmtId="0" fontId="16" fillId="0" borderId="1" applyAlignment="1" pivotButton="0" quotePrefix="0" xfId="0">
      <alignment horizontal="center" vertical="center" wrapText="1"/>
    </xf>
    <xf numFmtId="0" fontId="16" fillId="4" borderId="1" applyAlignment="1" pivotButton="0" quotePrefix="0" xfId="0">
      <alignment horizontal="center" vertical="center" wrapText="1"/>
    </xf>
    <xf numFmtId="0" fontId="1" fillId="0" borderId="0" applyAlignment="1" pivotButton="0" quotePrefix="0" xfId="0">
      <alignment horizontal="left" vertical="top"/>
    </xf>
    <xf numFmtId="0" fontId="17" fillId="0" borderId="0" applyAlignment="1" pivotButton="0" quotePrefix="0" xfId="0">
      <alignment horizontal="left" vertical="top"/>
    </xf>
    <xf numFmtId="0" fontId="4" fillId="3" borderId="1" applyAlignment="1" pivotButton="0" quotePrefix="0" xfId="0">
      <alignment horizontal="left" vertical="top" wrapText="1"/>
    </xf>
    <xf numFmtId="0" fontId="0" fillId="0" borderId="4" pivotButton="0" quotePrefix="0" xfId="0"/>
    <xf numFmtId="0" fontId="0" fillId="0" borderId="5" pivotButton="0" quotePrefix="0" xfId="0"/>
    <xf numFmtId="0" fontId="4" fillId="0" borderId="1" applyAlignment="1" pivotButton="0" quotePrefix="0" xfId="0">
      <alignment horizontal="left" vertical="top" wrapText="1"/>
    </xf>
    <xf numFmtId="0" fontId="3" fillId="0" borderId="1" applyAlignment="1" pivotButton="0" quotePrefix="0" xfId="0">
      <alignment horizontal="left" vertical="top" wrapText="1"/>
    </xf>
    <xf numFmtId="0" fontId="5" fillId="2" borderId="1" applyAlignment="1" pivotButton="0" quotePrefix="0" xfId="0">
      <alignment horizontal="center" vertical="center" wrapText="1"/>
    </xf>
    <xf numFmtId="0" fontId="6" fillId="5" borderId="1" applyAlignment="1" pivotButton="0" quotePrefix="0" xfId="0">
      <alignment horizontal="left" vertical="top" wrapText="1"/>
    </xf>
    <xf numFmtId="164" fontId="6" fillId="5" borderId="1" applyAlignment="1" pivotButton="0" quotePrefix="0" xfId="0">
      <alignment horizontal="left" vertical="top" wrapText="1"/>
    </xf>
    <xf numFmtId="0" fontId="3" fillId="0" borderId="0" applyAlignment="1" pivotButton="0" quotePrefix="0" xfId="0">
      <alignment horizontal="left" vertical="top"/>
    </xf>
    <xf numFmtId="0" fontId="9"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32"/>
  <sheetViews>
    <sheetView zoomScale="90" workbookViewId="0">
      <pane xSplit="4" ySplit="4" topLeftCell="E5" activePane="bottomRight" state="frozen"/>
      <selection pane="topRight"/>
      <selection pane="bottomLeft"/>
      <selection pane="bottomRight" activeCell="A1" sqref="A1"/>
    </sheetView>
  </sheetViews>
  <sheetFormatPr baseColWidth="8" defaultRowHeight="15"/>
  <cols>
    <col width="8" customWidth="1" min="1" max="1"/>
    <col width="20" customWidth="1" min="2" max="2"/>
    <col width="8" customWidth="1" min="3" max="3"/>
    <col width="10" customWidth="1" min="4" max="4"/>
    <col width="26" customWidth="1" min="5" max="5"/>
    <col width="48" customWidth="1" min="6" max="6"/>
    <col width="32" customWidth="1" min="7" max="7"/>
    <col width="28" customWidth="1" min="8" max="8"/>
    <col width="36" customWidth="1" min="9" max="9"/>
    <col width="12" customWidth="1" min="10" max="10"/>
    <col width="12" customWidth="1" min="11" max="11"/>
    <col width="24" customWidth="1" min="12" max="12"/>
  </cols>
  <sheetData>
    <row r="1" ht="24" customHeight="1">
      <c r="A1" s="1" t="inlineStr">
        <is>
          <t>中札内村下水道事業経営戦略（案）　確認結果入力シート</t>
        </is>
      </c>
      <c r="H1" s="2" t="inlineStr">
        <is>
          <t>← 黄色のセルにご記入ください</t>
        </is>
      </c>
    </row>
    <row r="2" ht="18" customHeight="1">
      <c r="A2" s="3" t="inlineStr">
        <is>
          <t>作成日 令和8（2026）年10月3日　／　全28件（影響度 大6件・中14件・小8件）　／　IDは別添Wordの確認事項IDと対応</t>
        </is>
      </c>
    </row>
    <row r="4" ht="30" customHeight="1">
      <c r="A4" s="4" t="inlineStr">
        <is>
          <t>ID</t>
        </is>
      </c>
      <c r="B4" s="4" t="inlineStr">
        <is>
          <t>区分</t>
        </is>
      </c>
      <c r="C4" s="4" t="inlineStr">
        <is>
          <t>影響度</t>
        </is>
      </c>
      <c r="D4" s="4" t="inlineStr">
        <is>
          <t>状態</t>
        </is>
      </c>
      <c r="E4" s="4" t="inlineStr">
        <is>
          <t>確認事項</t>
        </is>
      </c>
      <c r="F4" s="4" t="inlineStr">
        <is>
          <t>確認したいこと</t>
        </is>
      </c>
      <c r="G4" s="4" t="inlineStr">
        <is>
          <t>選択肢</t>
        </is>
      </c>
      <c r="H4" s="4" t="inlineStr">
        <is>
          <t>ご回答</t>
        </is>
      </c>
      <c r="I4" s="4" t="inlineStr">
        <is>
          <t>補足・回答内容</t>
        </is>
      </c>
      <c r="J4" s="4" t="inlineStr">
        <is>
          <t>決定者</t>
        </is>
      </c>
      <c r="K4" s="4" t="inlineStr">
        <is>
          <t>決定日</t>
        </is>
      </c>
      <c r="L4" s="4" t="inlineStr">
        <is>
          <t>社内メモ</t>
        </is>
      </c>
    </row>
    <row r="5" ht="53" customHeight="1">
      <c r="A5" s="5" t="inlineStr">
        <is>
          <t>A-1</t>
        </is>
      </c>
      <c r="B5" s="6" t="inlineStr">
        <is>
          <t>A．事実確認・資料提供（村へ照会）</t>
        </is>
      </c>
      <c r="C5" s="7" t="inlineStr">
        <is>
          <t>大</t>
        </is>
      </c>
      <c r="D5" s="8" t="inlineStr">
        <is>
          <t>照会中</t>
        </is>
      </c>
      <c r="E5" s="6" t="inlineStr">
        <is>
          <t>中札内浄化センターの主要施設一覧</t>
        </is>
      </c>
      <c r="F5" s="6" t="inlineStr">
        <is>
          <t>敷地面積・放流水質・設備構成（流入渠、ポンプ台数、オキシデーションディッチ池数、最終沈殿池、塩素接触タンク、汚泥脱水機、受変電設備等）を施設台帳または竣工図書からご提供いただきたい。</t>
        </is>
      </c>
      <c r="G5" s="6" t="inlineStr">
        <is>
          <t>（資料のご提供）</t>
        </is>
      </c>
      <c r="H5" s="9" t="n"/>
      <c r="I5" s="9" t="n"/>
      <c r="J5" s="9" t="n"/>
      <c r="K5" s="10" t="n"/>
      <c r="L5" s="6" t="inlineStr">
        <is>
          <t>p.20の概要表は提供資料の諸元へ差替済み（10/1）。主要施設の一覧のみ未入手。</t>
        </is>
      </c>
    </row>
    <row r="6" ht="46" customHeight="1">
      <c r="A6" s="11" t="inlineStr">
        <is>
          <t>A-2</t>
        </is>
      </c>
      <c r="B6" s="12" t="inlineStr">
        <is>
          <t>A．事実確認・資料提供（村へ照会）</t>
        </is>
      </c>
      <c r="C6" s="13" t="inlineStr">
        <is>
          <t>中</t>
        </is>
      </c>
      <c r="D6" s="14" t="inlineStr">
        <is>
          <t>仮反映済</t>
        </is>
      </c>
      <c r="E6" s="12" t="inlineStr">
        <is>
          <t>管渠延長25,270.66mの基準時点</t>
        </is>
      </c>
      <c r="F6" s="12" t="inlineStr">
        <is>
          <t>総管渠延長25,270.66mがどの時点の値か。本文の時点表記をどちらに揃えるか。</t>
        </is>
      </c>
      <c r="G6" s="12" t="inlineStr">
        <is>
          <t>令和5年度末時点として記載／令和7年度時点として記載／その他</t>
        </is>
      </c>
      <c r="H6" s="9" t="n"/>
      <c r="I6" s="9" t="n"/>
      <c r="J6" s="9" t="n"/>
      <c r="K6" s="10" t="n"/>
      <c r="L6" s="12" t="inlineStr">
        <is>
          <t>令和5年度末時点として本文へ仮反映済み（10/1）。基準時点のご確認をお願いしたい。</t>
        </is>
      </c>
    </row>
    <row r="7" ht="46" customHeight="1">
      <c r="A7" s="5" t="inlineStr">
        <is>
          <t>A-3</t>
        </is>
      </c>
      <c r="B7" s="6" t="inlineStr">
        <is>
          <t>A．事実確認・資料提供（村へ照会）</t>
        </is>
      </c>
      <c r="C7" s="15" t="inlineStr">
        <is>
          <t>中</t>
        </is>
      </c>
      <c r="D7" s="8" t="inlineStr">
        <is>
          <t>照会中</t>
        </is>
      </c>
      <c r="E7" s="6" t="inlineStr">
        <is>
          <t>事業計画上の総延長27,560mとの差</t>
        </is>
      </c>
      <c r="F7" s="6" t="inlineStr">
        <is>
          <t>差の内訳（未整備分か、圧送管・取付管等の算入範囲の違いか）。本文には計画値と実績値のどちらを記載するか。</t>
        </is>
      </c>
      <c r="G7" s="6" t="inlineStr">
        <is>
          <t>実績値25,270.66mを記載／計画値27,560mを記載／両方を併記／その他</t>
        </is>
      </c>
      <c r="H7" s="9" t="n"/>
      <c r="I7" s="9" t="n"/>
      <c r="J7" s="9" t="n"/>
      <c r="K7" s="10" t="n"/>
      <c r="L7" s="6" t="n"/>
    </row>
    <row r="8" ht="46" customHeight="1">
      <c r="A8" s="11" t="inlineStr">
        <is>
          <t>A-4</t>
        </is>
      </c>
      <c r="B8" s="12" t="inlineStr">
        <is>
          <t>A．事実確認・資料提供（村へ照会）</t>
        </is>
      </c>
      <c r="C8" s="13" t="inlineStr">
        <is>
          <t>中</t>
        </is>
      </c>
      <c r="D8" s="16" t="inlineStr">
        <is>
          <t>照会中</t>
        </is>
      </c>
      <c r="E8" s="12" t="inlineStr">
        <is>
          <t>処理場の処理能力（論点F）</t>
        </is>
      </c>
      <c r="F8" s="12" t="inlineStr">
        <is>
          <t>認可処理能力と現有処理能力の違いによるものか、分析表の算定根拠によるものか。本文p.20にはどちらの値を記載するか。</t>
        </is>
      </c>
      <c r="G8" s="12" t="inlineStr">
        <is>
          <t>1,520㎥/日（提供資料）を記載／現有能力の実数値を記載／その他</t>
        </is>
      </c>
      <c r="H8" s="9" t="n"/>
      <c r="I8" s="9" t="n"/>
      <c r="J8" s="9" t="n"/>
      <c r="K8" s="10" t="n"/>
      <c r="L8" s="12" t="n"/>
    </row>
    <row r="9" ht="46" customHeight="1">
      <c r="A9" s="5" t="inlineStr">
        <is>
          <t>A-5</t>
        </is>
      </c>
      <c r="B9" s="6" t="inlineStr">
        <is>
          <t>A．事実確認・資料提供（村へ照会）</t>
        </is>
      </c>
      <c r="C9" s="17" t="inlineStr">
        <is>
          <t>小</t>
        </is>
      </c>
      <c r="D9" s="8" t="inlineStr">
        <is>
          <t>照会中</t>
        </is>
      </c>
      <c r="E9" s="6" t="inlineStr">
        <is>
          <t>全体計画人口2,810人の出典</t>
        </is>
      </c>
      <c r="F9" s="6" t="inlineStr">
        <is>
          <t>2,810人の出典（全体計画の目標年次令和13年度の値か）。</t>
        </is>
      </c>
      <c r="G9" s="6" t="inlineStr">
        <is>
          <t>全体計画（令和13年度）の値／事業計画（令和7年度）の2,661人に置換／その他</t>
        </is>
      </c>
      <c r="H9" s="9" t="n"/>
      <c r="I9" s="9" t="n"/>
      <c r="J9" s="9" t="n"/>
      <c r="K9" s="10" t="n"/>
      <c r="L9" s="6" t="n"/>
    </row>
    <row r="10" ht="46" customHeight="1">
      <c r="A10" s="11" t="inlineStr">
        <is>
          <t>A-6</t>
        </is>
      </c>
      <c r="B10" s="12" t="inlineStr">
        <is>
          <t>A．事実確認・資料提供（村へ照会）</t>
        </is>
      </c>
      <c r="C10" s="13" t="inlineStr">
        <is>
          <t>中</t>
        </is>
      </c>
      <c r="D10" s="16" t="inlineStr">
        <is>
          <t>照会中</t>
        </is>
      </c>
      <c r="E10" s="12" t="inlineStr">
        <is>
          <t>簡易水道の実績値のご提供</t>
        </is>
      </c>
      <c r="F10" s="12" t="inlineStr">
        <is>
          <t>簡易水道の平成26〜令和6年度実績（行政区域内人口・給水人口・給水戸数・年間総配水量・有収水量・料金収入）のご提供。</t>
        </is>
      </c>
      <c r="G10" s="12" t="inlineStr">
        <is>
          <t>（資料のご提供）</t>
        </is>
      </c>
      <c r="H10" s="9" t="n"/>
      <c r="I10" s="9" t="n"/>
      <c r="J10" s="9" t="n"/>
      <c r="K10" s="10" t="n"/>
      <c r="L10" s="12" t="n"/>
    </row>
    <row r="11" ht="46" customHeight="1">
      <c r="A11" s="5" t="inlineStr">
        <is>
          <t>B-1</t>
        </is>
      </c>
      <c r="B11" s="6" t="inlineStr">
        <is>
          <t>B．記述方針の判断</t>
        </is>
      </c>
      <c r="C11" s="15" t="inlineStr">
        <is>
          <t>中</t>
        </is>
      </c>
      <c r="D11" s="8" t="inlineStr">
        <is>
          <t>方針待ち</t>
        </is>
      </c>
      <c r="E11" s="6" t="inlineStr">
        <is>
          <t>汚水処理原価が高い原因の記述（論点B）</t>
        </is>
      </c>
      <c r="F11" s="6" t="inlineStr">
        <is>
          <t>どちらの説明に揃えるか。</t>
        </is>
      </c>
      <c r="G11" s="6" t="inlineStr">
        <is>
          <t>公表版に合わせ「人口密度が低く資本費負担が大きい」旨に改める／現行の記述を維持／両論を併記／その他</t>
        </is>
      </c>
      <c r="H11" s="9" t="n"/>
      <c r="I11" s="9" t="n"/>
      <c r="J11" s="9" t="n"/>
      <c r="K11" s="10" t="n"/>
      <c r="L11" s="6" t="n"/>
    </row>
    <row r="12" ht="46" customHeight="1">
      <c r="A12" s="11" t="inlineStr">
        <is>
          <t>B-2</t>
        </is>
      </c>
      <c r="B12" s="12" t="inlineStr">
        <is>
          <t>B．記述方針の判断</t>
        </is>
      </c>
      <c r="C12" s="18" t="inlineStr">
        <is>
          <t>大</t>
        </is>
      </c>
      <c r="D12" s="14" t="inlineStr">
        <is>
          <t>反映済</t>
        </is>
      </c>
      <c r="E12" s="12" t="inlineStr">
        <is>
          <t>将来人口の推計根拠（論点G）</t>
        </is>
      </c>
      <c r="F12" s="12" t="inlineStr">
        <is>
          <t>推計根拠をどちらに統一するか。</t>
        </is>
      </c>
      <c r="G12" s="12" t="inlineStr">
        <is>
          <t>村独自推計（第7期まちづくり計画）に統一／社人研推計に統一／その他</t>
        </is>
      </c>
      <c r="H12" s="9" t="n"/>
      <c r="I12" s="9" t="n"/>
      <c r="J12" s="9" t="n"/>
      <c r="K12" s="10" t="n"/>
      <c r="L12" s="12" t="inlineStr">
        <is>
          <t>公表成果品で確定。検討報告書に「行政人口の将来推計値は、村の将来の最新展望である『第7期中札内村まちづくり計画（令和4年3月策定）』における将来推計値を採用する」と明記。将来人口予測ファイルにも社人研・人口ビジョン・まちづくり計画を並べた「採用値」列があり、備考は全年度「採用値＝総合計画」。本文を村独自推計へ修正済み（10/3）。</t>
        </is>
      </c>
    </row>
    <row r="13" ht="46" customHeight="1">
      <c r="A13" s="5" t="inlineStr">
        <is>
          <t>B-3</t>
        </is>
      </c>
      <c r="B13" s="6" t="inlineStr">
        <is>
          <t>B．記述方針の判断</t>
        </is>
      </c>
      <c r="C13" s="15" t="inlineStr">
        <is>
          <t>中</t>
        </is>
      </c>
      <c r="D13" s="19" t="inlineStr">
        <is>
          <t>反映済</t>
        </is>
      </c>
      <c r="E13" s="6" t="inlineStr">
        <is>
          <t>普及率・水洗化率の平均年度（論点G付随）</t>
        </is>
      </c>
      <c r="F13" s="6" t="inlineStr">
        <is>
          <t>どちらの3か年に統一するか。</t>
        </is>
      </c>
      <c r="G13" s="6" t="inlineStr">
        <is>
          <t>令和3〜5年度／令和4〜6年度／その他</t>
        </is>
      </c>
      <c r="H13" s="9" t="n"/>
      <c r="I13" s="9" t="n"/>
      <c r="J13" s="9" t="n"/>
      <c r="K13" s="10" t="n"/>
      <c r="L13" s="6" t="inlineStr">
        <is>
          <t>公表成果品で確定。「3か年実績の平均」ではなく、普及率・水洗化率・有収水量原単位とも「過去5年間でほぼ横ばいのため令和5年度実績を基準」とするのが実際の設定方法。本文と前提条件ボックスを修正済み（10/3）。</t>
        </is>
      </c>
    </row>
    <row r="14" ht="46" customHeight="1">
      <c r="A14" s="11" t="inlineStr">
        <is>
          <t>B-4</t>
        </is>
      </c>
      <c r="B14" s="12" t="inlineStr">
        <is>
          <t>B．記述方針の判断</t>
        </is>
      </c>
      <c r="C14" s="13" t="inlineStr">
        <is>
          <t>中</t>
        </is>
      </c>
      <c r="D14" s="14" t="inlineStr">
        <is>
          <t>反映済</t>
        </is>
      </c>
      <c r="E14" s="12" t="inlineStr">
        <is>
          <t>p.19に記載する下水道普及率</t>
        </is>
      </c>
      <c r="F14" s="12" t="inlineStr">
        <is>
          <t>どちらの値・指標名で記載するか。</t>
        </is>
      </c>
      <c r="G14" s="12" t="inlineStr">
        <is>
          <t>69.48%（経営比較分析表・普及率）／70.9%（処理区域内人口比率）／その他</t>
        </is>
      </c>
      <c r="H14" s="9" t="n"/>
      <c r="I14" s="9" t="n"/>
      <c r="J14" s="9" t="n"/>
      <c r="K14" s="10" t="n"/>
      <c r="L14" s="12" t="inlineStr">
        <is>
          <t>公表成果品で確定。検討報告書「将来の普及率=70.9%」。10/1に仮反映した69.5%（経営比較分析表の値）を70.9%へ訂正済み（10/3）。</t>
        </is>
      </c>
    </row>
    <row r="15" ht="46" customHeight="1">
      <c r="A15" s="5" t="inlineStr">
        <is>
          <t>B-5</t>
        </is>
      </c>
      <c r="B15" s="6" t="inlineStr">
        <is>
          <t>B．記述方針の判断</t>
        </is>
      </c>
      <c r="C15" s="17" t="inlineStr">
        <is>
          <t>小</t>
        </is>
      </c>
      <c r="D15" s="19" t="inlineStr">
        <is>
          <t>仮反映済</t>
        </is>
      </c>
      <c r="E15" s="6" t="inlineStr">
        <is>
          <t>「（管更生含む）」の但書の要否</t>
        </is>
      </c>
      <c r="F15" s="6" t="inlineStr">
        <is>
          <t>但書を残すか削除するか。</t>
        </is>
      </c>
      <c r="G15" s="6" t="inlineStr">
        <is>
          <t>削除する／残す（管更生の実績あり）／その他</t>
        </is>
      </c>
      <c r="H15" s="9" t="n"/>
      <c r="I15" s="9" t="n"/>
      <c r="J15" s="9" t="n"/>
      <c r="K15" s="10" t="n"/>
      <c r="L15" s="6" t="inlineStr">
        <is>
          <t>提供資料に管更生の区分がないため但書を削除して仮反映済み（10/1）。</t>
        </is>
      </c>
    </row>
    <row r="16" ht="46" customHeight="1">
      <c r="A16" s="11" t="inlineStr">
        <is>
          <t>C-1</t>
        </is>
      </c>
      <c r="B16" s="12" t="inlineStr">
        <is>
          <t>C．経営方針の判断</t>
        </is>
      </c>
      <c r="C16" s="18" t="inlineStr">
        <is>
          <t>大</t>
        </is>
      </c>
      <c r="D16" s="20" t="inlineStr">
        <is>
          <t>要再確認</t>
        </is>
      </c>
      <c r="E16" s="12" t="inlineStr">
        <is>
          <t>使用料改定の時期と改定率（論点C）</t>
        </is>
      </c>
      <c r="F16" s="12" t="inlineStr">
        <is>
          <t>改定の時期と率をどう設定するか。社会資本整備総合交付金の支給要件（使用料適正化のロードマップ記載）との整合も含めて方針を確認したい。</t>
        </is>
      </c>
      <c r="G16" s="12" t="inlineStr">
        <is>
          <t>改定案どおり 令和9年度・15%（パターン2）／公表版どおり 令和8年度・約60%／別の時期・率を設定／その他</t>
        </is>
      </c>
      <c r="H16" s="9" t="n"/>
      <c r="I16" s="9" t="n"/>
      <c r="J16" s="9" t="n"/>
      <c r="K16" s="10" t="n"/>
      <c r="L16" s="12" t="inlineStr">
        <is>
          <t>「使用料改定の時期は今年度から」とのご指示をいただいたが、協議会資料は使用料算定期間を令和9年度〜令和13年度としており、改定は令和9年度からの想定と読める。「今年度（令和8年度）から改定を適用」か「令和8年度中に改定作業を行い令和9年度から適用」かでシミュレーションの起点が1年変わるため、ご確認をお願いしたい。</t>
        </is>
      </c>
    </row>
    <row r="17" ht="46" customHeight="1">
      <c r="A17" s="5" t="inlineStr">
        <is>
          <t>C-2</t>
        </is>
      </c>
      <c r="B17" s="6" t="inlineStr">
        <is>
          <t>C．経営方針の判断</t>
        </is>
      </c>
      <c r="C17" s="7" t="inlineStr">
        <is>
          <t>大</t>
        </is>
      </c>
      <c r="D17" s="19" t="inlineStr">
        <is>
          <t>反映不要</t>
        </is>
      </c>
      <c r="E17" s="6" t="inlineStr">
        <is>
          <t>他会計補助金（繰入金）の前提（論点D）</t>
        </is>
      </c>
      <c r="F17" s="6" t="inlineStr">
        <is>
          <t>令和7年度以降の繰入金をどの水準で見込むか。</t>
        </is>
      </c>
      <c r="G17" s="6" t="inlineStr">
        <is>
          <t>改定案どおり 88,514千円／公表版どおり 55,771千円／別途設定／その他</t>
        </is>
      </c>
      <c r="H17" s="9" t="n"/>
      <c r="I17" s="9" t="n"/>
      <c r="J17" s="9" t="n"/>
      <c r="K17" s="10" t="n"/>
      <c r="L17" s="6" t="inlineStr">
        <is>
          <t>繰入金は現行の計算方法（令和7年度88,514千円を起点とし、基準外繰入を年5％逓減）を正とするご指示。Excelの数値変更は不要。ただし C-7 の技術的な不具合あり。</t>
        </is>
      </c>
    </row>
    <row r="18" ht="46" customHeight="1">
      <c r="A18" s="11" t="inlineStr">
        <is>
          <t>C-3</t>
        </is>
      </c>
      <c r="B18" s="12" t="inlineStr">
        <is>
          <t>C．経営方針の判断</t>
        </is>
      </c>
      <c r="C18" s="18" t="inlineStr">
        <is>
          <t>大</t>
        </is>
      </c>
      <c r="D18" s="16" t="inlineStr">
        <is>
          <t>方針待ち</t>
        </is>
      </c>
      <c r="E18" s="12" t="inlineStr">
        <is>
          <t>令和8年度以降の投資計画の配分</t>
        </is>
      </c>
      <c r="F18" s="12" t="inlineStr">
        <is>
          <t>改定案の配分で確定してよいか。変更する場合の年度別事業費。</t>
        </is>
      </c>
      <c r="G18" s="12" t="inlineStr">
        <is>
          <t>改定案の配分で確定／公表版の配分に戻す／別途調整／その他</t>
        </is>
      </c>
      <c r="H18" s="9" t="n"/>
      <c r="I18" s="9" t="n"/>
      <c r="J18" s="9" t="n"/>
      <c r="K18" s="10" t="n"/>
      <c r="L18" s="12" t="n"/>
    </row>
    <row r="19" ht="46" customHeight="1">
      <c r="A19" s="5" t="inlineStr">
        <is>
          <t>C-4</t>
        </is>
      </c>
      <c r="B19" s="6" t="inlineStr">
        <is>
          <t>C．経営方針の判断</t>
        </is>
      </c>
      <c r="C19" s="15" t="inlineStr">
        <is>
          <t>中</t>
        </is>
      </c>
      <c r="D19" s="8" t="inlineStr">
        <is>
          <t>方針待ち</t>
        </is>
      </c>
      <c r="E19" s="6" t="inlineStr">
        <is>
          <t>経営指標の目標値</t>
        </is>
      </c>
      <c r="F19" s="6" t="inlineStr">
        <is>
          <t>目標値を現行どおりとするか、再計算結果を踏まえて見直すか。</t>
        </is>
      </c>
      <c r="G19" s="6" t="inlineStr">
        <is>
          <t>現行の目標値を維持／再計算結果を踏まえて見直す／その他</t>
        </is>
      </c>
      <c r="H19" s="9" t="n"/>
      <c r="I19" s="9" t="n"/>
      <c r="J19" s="9" t="n"/>
      <c r="K19" s="10" t="n"/>
      <c r="L19" s="6" t="n"/>
    </row>
    <row r="20" ht="46" customHeight="1">
      <c r="A20" s="11" t="inlineStr">
        <is>
          <t>D-1</t>
        </is>
      </c>
      <c r="B20" s="12" t="inlineStr">
        <is>
          <t>D．データ整理の判断</t>
        </is>
      </c>
      <c r="C20" s="21" t="inlineStr">
        <is>
          <t>小</t>
        </is>
      </c>
      <c r="D20" s="16" t="inlineStr">
        <is>
          <t>方針待ち</t>
        </is>
      </c>
      <c r="E20" s="12" t="inlineStr">
        <is>
          <t>「予測」シートの自治体設定の整理</t>
        </is>
      </c>
      <c r="F20" s="12" t="inlineStr">
        <is>
          <t>どう整理するか。</t>
        </is>
      </c>
      <c r="G20" s="12" t="inlineStr">
        <is>
          <t>設定行を削除する／中札内村の値に置換する／現状のまま残す／その他</t>
        </is>
      </c>
      <c r="H20" s="9" t="n"/>
      <c r="I20" s="9" t="n"/>
      <c r="J20" s="9" t="n"/>
      <c r="K20" s="10" t="n"/>
      <c r="L20" s="12" t="n"/>
    </row>
    <row r="21" ht="46" customHeight="1">
      <c r="A21" s="5" t="inlineStr">
        <is>
          <t>D-2</t>
        </is>
      </c>
      <c r="B21" s="6" t="inlineStr">
        <is>
          <t>D．データ整理の判断</t>
        </is>
      </c>
      <c r="C21" s="17" t="inlineStr">
        <is>
          <t>小</t>
        </is>
      </c>
      <c r="D21" s="8" t="inlineStr">
        <is>
          <t>方針待ち</t>
        </is>
      </c>
      <c r="E21" s="6" t="inlineStr">
        <is>
          <t>「下水過去」シートの扱い</t>
        </is>
      </c>
      <c r="F21" s="6" t="inlineStr">
        <is>
          <t>どう整理するか。</t>
        </is>
      </c>
      <c r="G21" s="6" t="inlineStr">
        <is>
          <t>中札内村の実績に置換する／シートを削除する／現状のまま残す／その他</t>
        </is>
      </c>
      <c r="H21" s="9" t="n"/>
      <c r="I21" s="9" t="n"/>
      <c r="J21" s="9" t="n"/>
      <c r="K21" s="10" t="n"/>
      <c r="L21" s="6" t="n"/>
    </row>
    <row r="22" ht="46" customHeight="1">
      <c r="A22" s="11" t="inlineStr">
        <is>
          <t>D-3</t>
        </is>
      </c>
      <c r="B22" s="12" t="inlineStr">
        <is>
          <t>D．データ整理の判断</t>
        </is>
      </c>
      <c r="C22" s="21" t="inlineStr">
        <is>
          <t>小</t>
        </is>
      </c>
      <c r="D22" s="16" t="inlineStr">
        <is>
          <t>方針待ち</t>
        </is>
      </c>
      <c r="E22" s="12" t="inlineStr">
        <is>
          <t>「下水道現況予測」の体裁整理</t>
        </is>
      </c>
      <c r="F22" s="12" t="inlineStr">
        <is>
          <t>整理の要否と範囲。</t>
        </is>
      </c>
      <c r="G22" s="12" t="inlineStr">
        <is>
          <t>すべて整理する／表示に出る部分のみ整理／現状のまま残す／その他</t>
        </is>
      </c>
      <c r="H22" s="9" t="n"/>
      <c r="I22" s="9" t="n"/>
      <c r="J22" s="9" t="n"/>
      <c r="K22" s="10" t="n"/>
      <c r="L22" s="12" t="n"/>
    </row>
    <row r="23" ht="46" customHeight="1">
      <c r="A23" s="5" t="inlineStr">
        <is>
          <t>D-4</t>
        </is>
      </c>
      <c r="B23" s="6" t="inlineStr">
        <is>
          <t>D．データ整理の判断</t>
        </is>
      </c>
      <c r="C23" s="15" t="inlineStr">
        <is>
          <t>中</t>
        </is>
      </c>
      <c r="D23" s="8" t="inlineStr">
        <is>
          <t>方針待ち</t>
        </is>
      </c>
      <c r="E23" s="6" t="inlineStr">
        <is>
          <t>再計算後の図表貼り直しの範囲</t>
        </is>
      </c>
      <c r="F23" s="6" t="inlineStr">
        <is>
          <t>貼り直しの対象範囲（p.21〜32の全図表か、数値が動いたものに限るか）と実施時期。</t>
        </is>
      </c>
      <c r="G23" s="6" t="inlineStr">
        <is>
          <t>数値が動いた図表のみ差し替え／p.21〜32の全図表を差し替え／その他</t>
        </is>
      </c>
      <c r="H23" s="9" t="n"/>
      <c r="I23" s="9" t="n"/>
      <c r="J23" s="9" t="n"/>
      <c r="K23" s="10" t="n"/>
      <c r="L23" s="6" t="n"/>
    </row>
    <row r="24" ht="46" customHeight="1">
      <c r="A24" s="11" t="inlineStr">
        <is>
          <t>E-1</t>
        </is>
      </c>
      <c r="B24" s="12" t="inlineStr">
        <is>
          <t>E．簡易水道側の確認事項</t>
        </is>
      </c>
      <c r="C24" s="13" t="inlineStr">
        <is>
          <t>中</t>
        </is>
      </c>
      <c r="D24" s="16" t="inlineStr">
        <is>
          <t>照会中</t>
        </is>
      </c>
      <c r="E24" s="12" t="inlineStr">
        <is>
          <t>各給水区域の施設状況（表）のデータ</t>
        </is>
      </c>
      <c r="F24" s="12" t="inlineStr">
        <is>
          <t>6地区それぞれの施設諸元一覧をご提供いただきたい。</t>
        </is>
      </c>
      <c r="G24" s="12" t="inlineStr">
        <is>
          <t>（資料のご提供）</t>
        </is>
      </c>
      <c r="H24" s="9" t="n"/>
      <c r="I24" s="9" t="n"/>
      <c r="J24" s="9" t="n"/>
      <c r="K24" s="10" t="n"/>
      <c r="L24" s="12" t="n"/>
    </row>
    <row r="25" ht="46" customHeight="1">
      <c r="A25" s="5" t="inlineStr">
        <is>
          <t>E-2</t>
        </is>
      </c>
      <c r="B25" s="6" t="inlineStr">
        <is>
          <t>E．簡易水道側の確認事項</t>
        </is>
      </c>
      <c r="C25" s="15" t="inlineStr">
        <is>
          <t>中</t>
        </is>
      </c>
      <c r="D25" s="8" t="inlineStr">
        <is>
          <t>照会中</t>
        </is>
      </c>
      <c r="E25" s="6" t="inlineStr">
        <is>
          <t>横沢地区の管路延長</t>
        </is>
      </c>
      <c r="F25" s="6" t="inlineStr">
        <is>
          <t>横沢地区の管路延長。不明のままとする場合はその旨の表記方法。</t>
        </is>
      </c>
      <c r="G25" s="6" t="inlineStr">
        <is>
          <t>実数値をご提供／「不明」のまま記載／項目ごと削除／その他</t>
        </is>
      </c>
      <c r="H25" s="9" t="n"/>
      <c r="I25" s="9" t="n"/>
      <c r="J25" s="9" t="n"/>
      <c r="K25" s="10" t="n"/>
      <c r="L25" s="6" t="n"/>
    </row>
    <row r="26" ht="46" customHeight="1">
      <c r="A26" s="11" t="inlineStr">
        <is>
          <t>E-3</t>
        </is>
      </c>
      <c r="B26" s="12" t="inlineStr">
        <is>
          <t>E．簡易水道側の確認事項</t>
        </is>
      </c>
      <c r="C26" s="13" t="inlineStr">
        <is>
          <t>中</t>
        </is>
      </c>
      <c r="D26" s="14" t="inlineStr">
        <is>
          <t>反映済</t>
        </is>
      </c>
      <c r="E26" s="12" t="inlineStr">
        <is>
          <t>簡易水道本文の「国（県）補助金」表記</t>
        </is>
      </c>
      <c r="F26" s="12" t="inlineStr">
        <is>
          <t>簡易水道側も同様に「道」へ修正してよいか。</t>
        </is>
      </c>
      <c r="G26" s="12" t="inlineStr">
        <is>
          <t>下水道と同様に「道」へ修正／現行のまま／その他</t>
        </is>
      </c>
      <c r="H26" s="9" t="n"/>
      <c r="I26" s="9" t="n"/>
      <c r="J26" s="9" t="n"/>
      <c r="K26" s="10" t="n"/>
      <c r="L26" s="12" t="inlineStr">
        <is>
          <t>ご指示により「●国（道）補助金」「国庫（道）補助対象事業」へ修正済み（10/2）。</t>
        </is>
      </c>
    </row>
    <row r="27" ht="46" customHeight="1">
      <c r="A27" s="5" t="inlineStr">
        <is>
          <t>E-4</t>
        </is>
      </c>
      <c r="B27" s="6" t="inlineStr">
        <is>
          <t>E．簡易水道側の確認事項</t>
        </is>
      </c>
      <c r="C27" s="17" t="inlineStr">
        <is>
          <t>小</t>
        </is>
      </c>
      <c r="D27" s="19" t="inlineStr">
        <is>
          <t>反映済</t>
        </is>
      </c>
      <c r="E27" s="6" t="inlineStr">
        <is>
          <t>資産活用の状況に下水道の例示が残存</t>
        </is>
      </c>
      <c r="F27" s="6" t="inlineStr">
        <is>
          <t>簡易水道に即した例示（小水力発電等）へ改めてよいか。</t>
        </is>
      </c>
      <c r="G27" s="6" t="inlineStr">
        <is>
          <t>簡易水道に即した例示へ改める／項目ごと削除／現行のまま／その他</t>
        </is>
      </c>
      <c r="H27" s="9" t="n"/>
      <c r="I27" s="9" t="n"/>
      <c r="J27" s="9" t="n"/>
      <c r="K27" s="10" t="n"/>
      <c r="L27" s="6" t="inlineStr">
        <is>
          <t>ご指示により「（小水力発電等）」へ修正済み（10/2）。総務省様式の水道事業版の例示にあわせた。</t>
        </is>
      </c>
    </row>
    <row r="28" ht="46" customHeight="1">
      <c r="A28" s="11" t="inlineStr">
        <is>
          <t>E-5</t>
        </is>
      </c>
      <c r="B28" s="12" t="inlineStr">
        <is>
          <t>E．簡易水道側の確認事項</t>
        </is>
      </c>
      <c r="C28" s="21" t="inlineStr">
        <is>
          <t>小</t>
        </is>
      </c>
      <c r="D28" s="16" t="inlineStr">
        <is>
          <t>方針待ち</t>
        </is>
      </c>
      <c r="E28" s="12" t="inlineStr">
        <is>
          <t>「サンプル」表記と項目番号の重複</t>
        </is>
      </c>
      <c r="F28" s="12" t="inlineStr">
        <is>
          <t>「サンプル」表記の削除時期と、項目番号の振り直し。</t>
        </is>
      </c>
      <c r="G28" s="12" t="inlineStr">
        <is>
          <t>いずれも整理する／本文確定時にまとめて整理／現行のまま／その他</t>
        </is>
      </c>
      <c r="H28" s="9" t="n"/>
      <c r="I28" s="9" t="n"/>
      <c r="J28" s="9" t="n"/>
      <c r="K28" s="10" t="n"/>
      <c r="L28" s="12" t="n"/>
    </row>
    <row r="29" ht="46" customHeight="1">
      <c r="A29" s="5" t="inlineStr">
        <is>
          <t>B-6</t>
        </is>
      </c>
      <c r="B29" s="6" t="inlineStr">
        <is>
          <t>B．記述方針の判断</t>
        </is>
      </c>
      <c r="C29" s="17" t="inlineStr">
        <is>
          <t>小</t>
        </is>
      </c>
      <c r="D29" s="8" t="inlineStr">
        <is>
          <t>方針待ち</t>
        </is>
      </c>
      <c r="E29" s="6" t="inlineStr">
        <is>
          <t>有収水量原単位の年換算係数</t>
        </is>
      </c>
      <c r="F29" s="6" t="inlineStr">
        <is>
          <t>原単位を成果品と同じ日次ベース（0.249㎥/人/日）に揃えるか、現行の91.1㎥/人/年を維持するか。</t>
        </is>
      </c>
      <c r="G29" s="6" t="inlineStr">
        <is>
          <t>成果品と同じ0.249㎥/人/日へ揃える／現行の91.1㎥/人/年を維持／その他</t>
        </is>
      </c>
      <c r="H29" s="9" t="n"/>
      <c r="I29" s="9" t="n"/>
      <c r="J29" s="9" t="n"/>
      <c r="K29" s="10" t="n"/>
      <c r="L29" s="6" t="n"/>
    </row>
    <row r="30" ht="46" customHeight="1">
      <c r="A30" s="11" t="inlineStr">
        <is>
          <t>C-7</t>
        </is>
      </c>
      <c r="B30" s="12" t="inlineStr">
        <is>
          <t>C．経営方針の判断</t>
        </is>
      </c>
      <c r="C30" s="13" t="inlineStr">
        <is>
          <t>中</t>
        </is>
      </c>
      <c r="D30" s="16" t="inlineStr">
        <is>
          <t>方針待ち</t>
        </is>
      </c>
      <c r="E30" s="12" t="inlineStr">
        <is>
          <t>繰入金計算ブロックの技術的な不具合</t>
        </is>
      </c>
      <c r="F30" s="12" t="inlineStr">
        <is>
          <t>①年度ラベルの修正、②基準内繰入金を本体への参照に変更、③アンカー値の根拠記載。いずれも対応してよいか。</t>
        </is>
      </c>
      <c r="G30" s="12" t="inlineStr">
        <is>
          <t>3点とも対応する／①②のみ対応／現状のまま／その他</t>
        </is>
      </c>
      <c r="H30" s="9" t="n"/>
      <c r="I30" s="9" t="n"/>
      <c r="J30" s="9" t="n"/>
      <c r="K30" s="10" t="n"/>
      <c r="L30" s="12" t="n"/>
    </row>
    <row r="31" ht="46" customHeight="1">
      <c r="A31" s="5" t="inlineStr">
        <is>
          <t>C-8</t>
        </is>
      </c>
      <c r="B31" s="6" t="inlineStr">
        <is>
          <t>C．経営方針の判断</t>
        </is>
      </c>
      <c r="C31" s="15" t="inlineStr">
        <is>
          <t>中</t>
        </is>
      </c>
      <c r="D31" s="8" t="inlineStr">
        <is>
          <t>方針待ち</t>
        </is>
      </c>
      <c r="E31" s="6" t="inlineStr">
        <is>
          <t>経費回収率の定義が協議会資料と異なる</t>
        </is>
      </c>
      <c r="F31" s="6" t="inlineStr">
        <is>
          <t>経営戦略に記載する経費回収率をどちらの定義で統一するか。</t>
        </is>
      </c>
      <c r="G31" s="6" t="inlineStr">
        <is>
          <t>総務省定義（資本費込み）で統一／協議会資料の定義に合わせる／両論を併記／その他</t>
        </is>
      </c>
      <c r="H31" s="9" t="n"/>
      <c r="I31" s="9" t="n"/>
      <c r="J31" s="9" t="n"/>
      <c r="K31" s="10" t="n"/>
      <c r="L31" s="6" t="n"/>
    </row>
    <row r="32" ht="66" customHeight="1">
      <c r="A32" s="11" t="inlineStr">
        <is>
          <t>C-9</t>
        </is>
      </c>
      <c r="B32" s="12" t="inlineStr">
        <is>
          <t>C．経営方針の判断</t>
        </is>
      </c>
      <c r="C32" s="18" t="inlineStr">
        <is>
          <t>大</t>
        </is>
      </c>
      <c r="D32" s="16" t="inlineStr">
        <is>
          <t>方針待ち</t>
        </is>
      </c>
      <c r="E32" s="12" t="inlineStr">
        <is>
          <t>改定の構造が協議会の方向性と根本的に異なる</t>
        </is>
      </c>
      <c r="F32" s="12" t="inlineStr">
        <is>
          <t>シミュレーションを協議会案（水質使用料＋基本・超過の改定）の構造に作り替えてよいか。Excelの工場排水117,600㎥は協議会の「対象工場の高濃度汚水量 約120,000㎥」とほぼ一致するため、新たなデータなしで組み替えが可能。</t>
        </is>
      </c>
      <c r="G32" s="12" t="inlineStr">
        <is>
          <t>協議会案の構造に作り替える／現行の一律％改定を維持／両方を併記／その他</t>
        </is>
      </c>
      <c r="H32" s="9" t="n"/>
      <c r="I32" s="9" t="n"/>
      <c r="J32" s="9" t="n"/>
      <c r="K32" s="10" t="n"/>
      <c r="L32" s="12" t="n"/>
    </row>
  </sheetData>
  <autoFilter ref="A4:L32"/>
  <mergeCells count="3">
    <mergeCell ref="H1:L1"/>
    <mergeCell ref="A2:L2"/>
    <mergeCell ref="A1:G1"/>
  </mergeCells>
  <dataValidations count="28">
    <dataValidation sqref="H5" showDropDown="0" showInputMessage="0" showErrorMessage="0" allowBlank="1" promptTitle="A-1" prompt="一覧から選択してください" type="list">
      <formula1>'選択肢マスタ'!$B$3:$E$3</formula1>
    </dataValidation>
    <dataValidation sqref="H6" showDropDown="0" showInputMessage="0" showErrorMessage="0" allowBlank="1" promptTitle="A-2" prompt="一覧から選択してください" type="list">
      <formula1>'選択肢マスタ'!$B$4:$E$4</formula1>
    </dataValidation>
    <dataValidation sqref="H7" showDropDown="0" showInputMessage="0" showErrorMessage="0" allowBlank="1" promptTitle="A-3" prompt="一覧から選択してください" type="list">
      <formula1>'選択肢マスタ'!$B$5:$F$5</formula1>
    </dataValidation>
    <dataValidation sqref="H8" showDropDown="0" showInputMessage="0" showErrorMessage="0" allowBlank="1" promptTitle="A-4" prompt="一覧から選択してください" type="list">
      <formula1>'選択肢マスタ'!$B$6:$E$6</formula1>
    </dataValidation>
    <dataValidation sqref="H9" showDropDown="0" showInputMessage="0" showErrorMessage="0" allowBlank="1" promptTitle="A-5" prompt="一覧から選択してください" type="list">
      <formula1>'選択肢マスタ'!$B$7:$E$7</formula1>
    </dataValidation>
    <dataValidation sqref="H10" showDropDown="0" showInputMessage="0" showErrorMessage="0" allowBlank="1" promptTitle="A-6" prompt="一覧から選択してください" type="list">
      <formula1>'選択肢マスタ'!$B$8:$E$8</formula1>
    </dataValidation>
    <dataValidation sqref="H11" showDropDown="0" showInputMessage="0" showErrorMessage="0" allowBlank="1" promptTitle="B-1" prompt="一覧から選択してください" type="list">
      <formula1>'選択肢マスタ'!$B$9:$F$9</formula1>
    </dataValidation>
    <dataValidation sqref="H12" showDropDown="0" showInputMessage="0" showErrorMessage="0" allowBlank="1" promptTitle="B-2" prompt="一覧から選択してください" type="list">
      <formula1>'選択肢マスタ'!$B$10:$E$10</formula1>
    </dataValidation>
    <dataValidation sqref="H13" showDropDown="0" showInputMessage="0" showErrorMessage="0" allowBlank="1" promptTitle="B-3" prompt="一覧から選択してください" type="list">
      <formula1>'選択肢マスタ'!$B$11:$E$11</formula1>
    </dataValidation>
    <dataValidation sqref="H14" showDropDown="0" showInputMessage="0" showErrorMessage="0" allowBlank="1" promptTitle="B-4" prompt="一覧から選択してください" type="list">
      <formula1>'選択肢マスタ'!$B$12:$E$12</formula1>
    </dataValidation>
    <dataValidation sqref="H15" showDropDown="0" showInputMessage="0" showErrorMessage="0" allowBlank="1" promptTitle="B-5" prompt="一覧から選択してください" type="list">
      <formula1>'選択肢マスタ'!$B$13:$E$13</formula1>
    </dataValidation>
    <dataValidation sqref="H16" showDropDown="0" showInputMessage="0" showErrorMessage="0" allowBlank="1" promptTitle="C-1" prompt="一覧から選択してください" type="list">
      <formula1>'選択肢マスタ'!$B$14:$F$14</formula1>
    </dataValidation>
    <dataValidation sqref="H17" showDropDown="0" showInputMessage="0" showErrorMessage="0" allowBlank="1" promptTitle="C-2" prompt="一覧から選択してください" type="list">
      <formula1>'選択肢マスタ'!$B$15:$F$15</formula1>
    </dataValidation>
    <dataValidation sqref="H18" showDropDown="0" showInputMessage="0" showErrorMessage="0" allowBlank="1" promptTitle="C-3" prompt="一覧から選択してください" type="list">
      <formula1>'選択肢マスタ'!$B$16:$F$16</formula1>
    </dataValidation>
    <dataValidation sqref="H19" showDropDown="0" showInputMessage="0" showErrorMessage="0" allowBlank="1" promptTitle="C-4" prompt="一覧から選択してください" type="list">
      <formula1>'選択肢マスタ'!$B$17:$E$17</formula1>
    </dataValidation>
    <dataValidation sqref="H20" showDropDown="0" showInputMessage="0" showErrorMessage="0" allowBlank="1" promptTitle="D-1" prompt="一覧から選択してください" type="list">
      <formula1>'選択肢マスタ'!$B$18:$F$18</formula1>
    </dataValidation>
    <dataValidation sqref="H21" showDropDown="0" showInputMessage="0" showErrorMessage="0" allowBlank="1" promptTitle="D-2" prompt="一覧から選択してください" type="list">
      <formula1>'選択肢マスタ'!$B$19:$F$19</formula1>
    </dataValidation>
    <dataValidation sqref="H22" showDropDown="0" showInputMessage="0" showErrorMessage="0" allowBlank="1" promptTitle="D-3" prompt="一覧から選択してください" type="list">
      <formula1>'選択肢マスタ'!$B$20:$F$20</formula1>
    </dataValidation>
    <dataValidation sqref="H23" showDropDown="0" showInputMessage="0" showErrorMessage="0" allowBlank="1" promptTitle="D-4" prompt="一覧から選択してください" type="list">
      <formula1>'選択肢マスタ'!$B$21:$E$21</formula1>
    </dataValidation>
    <dataValidation sqref="H24" showDropDown="0" showInputMessage="0" showErrorMessage="0" allowBlank="1" promptTitle="E-1" prompt="一覧から選択してください" type="list">
      <formula1>'選択肢マスタ'!$B$22:$E$22</formula1>
    </dataValidation>
    <dataValidation sqref="H25" showDropDown="0" showInputMessage="0" showErrorMessage="0" allowBlank="1" promptTitle="E-2" prompt="一覧から選択してください" type="list">
      <formula1>'選択肢マスタ'!$B$23:$F$23</formula1>
    </dataValidation>
    <dataValidation sqref="H26" showDropDown="0" showInputMessage="0" showErrorMessage="0" allowBlank="1" promptTitle="E-3" prompt="一覧から選択してください" type="list">
      <formula1>'選択肢マスタ'!$B$24:$E$24</formula1>
    </dataValidation>
    <dataValidation sqref="H27" showDropDown="0" showInputMessage="0" showErrorMessage="0" allowBlank="1" promptTitle="E-4" prompt="一覧から選択してください" type="list">
      <formula1>'選択肢マスタ'!$B$25:$F$25</formula1>
    </dataValidation>
    <dataValidation sqref="H28" showDropDown="0" showInputMessage="0" showErrorMessage="0" allowBlank="1" promptTitle="E-5" prompt="一覧から選択してください" type="list">
      <formula1>'選択肢マスタ'!$B$26:$F$26</formula1>
    </dataValidation>
    <dataValidation sqref="H29" showDropDown="0" showInputMessage="0" showErrorMessage="0" allowBlank="1" promptTitle="B-6" prompt="一覧から選択してください" type="list">
      <formula1>'選択肢マスタ'!$B$27:$E$27</formula1>
    </dataValidation>
    <dataValidation sqref="H30" showDropDown="0" showInputMessage="0" showErrorMessage="0" allowBlank="1" promptTitle="C-7" prompt="一覧から選択してください" type="list">
      <formula1>'選択肢マスタ'!$B$28:$F$28</formula1>
    </dataValidation>
    <dataValidation sqref="H31" showDropDown="0" showInputMessage="0" showErrorMessage="0" allowBlank="1" promptTitle="C-8" prompt="一覧から選択してください" type="list">
      <formula1>'選択肢マスタ'!$B$29:$F$29</formula1>
    </dataValidation>
    <dataValidation sqref="H32" showDropDown="0" showInputMessage="0" showErrorMessage="0" allowBlank="1" promptTitle="C-9" prompt="一覧から選択してください" type="list">
      <formula1>'選択肢マスタ'!$B$30:$F$30</formula1>
    </dataValidation>
  </dataValidations>
  <printOptions horizontalCentered="1"/>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33"/>
  <sheetViews>
    <sheetView workbookViewId="0">
      <pane xSplit="5" ySplit="5" topLeftCell="F6"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15" customWidth="1" min="4" max="4"/>
    <col width="7" customWidth="1" min="5" max="5"/>
    <col width="30" customWidth="1" min="6" max="6"/>
    <col width="7" customWidth="1" min="7" max="7"/>
    <col width="44" customWidth="1" min="8" max="8"/>
    <col width="44" customWidth="1" min="9" max="9"/>
    <col width="26" customWidth="1" min="10" max="10"/>
    <col width="13" customWidth="1" min="11" max="11"/>
    <col width="32" customWidth="1" min="12" max="12"/>
  </cols>
  <sheetData>
    <row r="1" ht="24" customHeight="1">
      <c r="A1" s="1" t="inlineStr">
        <is>
          <t>中札内村　経営戦略（案）　本文修正履歴</t>
        </is>
      </c>
    </row>
    <row r="2" ht="18" customHeight="1">
      <c r="A2" s="3" t="inlineStr">
        <is>
          <t>全28件（下水道24件・簡易水道4件／本文23件・図表5件）　／　適用日 2026-08-27 ・ 2026-10-01 ・ 2026-10-02 ・ 2026-10-03</t>
        </is>
      </c>
    </row>
    <row r="3" ht="16" customHeight="1">
      <c r="A3" s="3" t="inlineStr">
        <is>
          <t>※　修正前／修正後の文言は、実際に適用したスクリプトから機械的に起こし、各版のファイル本体と突合（修正後の文言が存在し、修正前の文言が残っていないこと）を確認したもの。</t>
        </is>
      </c>
    </row>
    <row r="5" ht="28" customHeight="1">
      <c r="A5" s="4" t="inlineStr">
        <is>
          <t>No</t>
        </is>
      </c>
      <c r="B5" s="4" t="inlineStr">
        <is>
          <t>事業</t>
        </is>
      </c>
      <c r="C5" s="4" t="inlineStr">
        <is>
          <t>適用日</t>
        </is>
      </c>
      <c r="D5" s="4" t="inlineStr">
        <is>
          <t>版</t>
        </is>
      </c>
      <c r="E5" s="4" t="inlineStr">
        <is>
          <t>頁</t>
        </is>
      </c>
      <c r="F5" s="4" t="inlineStr">
        <is>
          <t>箇所</t>
        </is>
      </c>
      <c r="G5" s="4" t="inlineStr">
        <is>
          <t>種別</t>
        </is>
      </c>
      <c r="H5" s="4" t="inlineStr">
        <is>
          <t>修正前</t>
        </is>
      </c>
      <c r="I5" s="4" t="inlineStr">
        <is>
          <t>修正後</t>
        </is>
      </c>
      <c r="J5" s="4" t="inlineStr">
        <is>
          <t>根拠・指示元</t>
        </is>
      </c>
      <c r="K5" s="4" t="inlineStr">
        <is>
          <t>関連ID</t>
        </is>
      </c>
      <c r="L5" s="4" t="inlineStr">
        <is>
          <t>備考</t>
        </is>
      </c>
    </row>
    <row r="6" ht="30" customHeight="1">
      <c r="A6" s="22" t="n">
        <v>1</v>
      </c>
      <c r="B6" s="23" t="inlineStr">
        <is>
          <t>下水道</t>
        </is>
      </c>
      <c r="C6" s="24" t="inlineStr">
        <is>
          <t>2026-08-27</t>
        </is>
      </c>
      <c r="D6" s="24" t="inlineStr">
        <is>
          <t>20260827修正</t>
        </is>
      </c>
      <c r="E6" s="24" t="inlineStr">
        <is>
          <t>表紙</t>
        </is>
      </c>
      <c r="F6" s="6" t="inlineStr">
        <is>
          <t>発行課名</t>
        </is>
      </c>
      <c r="G6" s="22" t="inlineStr">
        <is>
          <t>本文</t>
        </is>
      </c>
      <c r="H6" s="25" t="inlineStr">
        <is>
          <t>建設課</t>
        </is>
      </c>
      <c r="I6" s="26" t="inlineStr">
        <is>
          <t>施設課</t>
        </is>
      </c>
      <c r="J6" s="6" t="inlineStr">
        <is>
          <t>発行課名／朱書き</t>
        </is>
      </c>
      <c r="K6" s="8" t="inlineStr"/>
      <c r="L6" s="6" t="inlineStr"/>
    </row>
    <row r="7" ht="30" customHeight="1">
      <c r="A7" s="27" t="n">
        <v>2</v>
      </c>
      <c r="B7" s="28" t="inlineStr">
        <is>
          <t>下水道</t>
        </is>
      </c>
      <c r="C7" s="29" t="inlineStr">
        <is>
          <t>2026-08-27</t>
        </is>
      </c>
      <c r="D7" s="29" t="inlineStr">
        <is>
          <t>20260827修正</t>
        </is>
      </c>
      <c r="E7" s="29" t="inlineStr">
        <is>
          <t>p.2</t>
        </is>
      </c>
      <c r="F7" s="12" t="inlineStr"/>
      <c r="G7" s="27" t="inlineStr">
        <is>
          <t>本文</t>
        </is>
      </c>
      <c r="H7" s="30" t="inlineStr">
        <is>
          <t>町は札内川流域</t>
        </is>
      </c>
      <c r="I7" s="31" t="inlineStr">
        <is>
          <t>村は札内川流域</t>
        </is>
      </c>
      <c r="J7" s="12" t="inlineStr">
        <is>
          <t>朱書き漏れ</t>
        </is>
      </c>
      <c r="K7" s="16" t="inlineStr"/>
      <c r="L7" s="12" t="inlineStr"/>
    </row>
    <row r="8" ht="30" customHeight="1">
      <c r="A8" s="22" t="n">
        <v>3</v>
      </c>
      <c r="B8" s="23" t="inlineStr">
        <is>
          <t>下水道</t>
        </is>
      </c>
      <c r="C8" s="24" t="inlineStr">
        <is>
          <t>2026-08-27</t>
        </is>
      </c>
      <c r="D8" s="24" t="inlineStr">
        <is>
          <t>20260827修正</t>
        </is>
      </c>
      <c r="E8" s="24" t="inlineStr">
        <is>
          <t>p.2</t>
        </is>
      </c>
      <c r="F8" s="6" t="inlineStr"/>
      <c r="G8" s="22" t="inlineStr">
        <is>
          <t>本文</t>
        </is>
      </c>
      <c r="H8" s="25" t="inlineStr">
        <is>
          <t>平成９（１９９７）年4月1日に供用を開始</t>
        </is>
      </c>
      <c r="I8" s="26" t="inlineStr">
        <is>
          <t>平成９（１９９７）年３月に供用を開始</t>
        </is>
      </c>
      <c r="J8" s="6" t="inlineStr">
        <is>
          <t>公表版「平成8年度」と整合</t>
        </is>
      </c>
      <c r="K8" s="8" t="inlineStr"/>
      <c r="L8" s="6" t="inlineStr"/>
    </row>
    <row r="9" ht="30" customHeight="1">
      <c r="A9" s="27" t="n">
        <v>4</v>
      </c>
      <c r="B9" s="28" t="inlineStr">
        <is>
          <t>下水道</t>
        </is>
      </c>
      <c r="C9" s="29" t="inlineStr">
        <is>
          <t>2026-08-27</t>
        </is>
      </c>
      <c r="D9" s="29" t="inlineStr">
        <is>
          <t>20260827修正</t>
        </is>
      </c>
      <c r="E9" s="29" t="inlineStr">
        <is>
          <t>p.2</t>
        </is>
      </c>
      <c r="F9" s="12" t="inlineStr"/>
      <c r="G9" s="27" t="inlineStr">
        <is>
          <t>本文</t>
        </is>
      </c>
      <c r="H9" s="30" t="inlineStr">
        <is>
          <t>処理場は1箇所で、町の中心部</t>
        </is>
      </c>
      <c r="I9" s="31" t="inlineStr">
        <is>
          <t>処理場は1箇所で、村の中心部</t>
        </is>
      </c>
      <c r="J9" s="12" t="inlineStr">
        <is>
          <t>朱書き</t>
        </is>
      </c>
      <c r="K9" s="16" t="inlineStr"/>
      <c r="L9" s="12" t="inlineStr"/>
    </row>
    <row r="10" ht="30" customHeight="1">
      <c r="A10" s="22" t="n">
        <v>5</v>
      </c>
      <c r="B10" s="23" t="inlineStr">
        <is>
          <t>下水道</t>
        </is>
      </c>
      <c r="C10" s="24" t="inlineStr">
        <is>
          <t>2026-08-27</t>
        </is>
      </c>
      <c r="D10" s="24" t="inlineStr">
        <is>
          <t>20260827修正</t>
        </is>
      </c>
      <c r="E10" s="24" t="inlineStr">
        <is>
          <t>p.2</t>
        </is>
      </c>
      <c r="F10" s="6" t="inlineStr"/>
      <c r="G10" s="22" t="inlineStr">
        <is>
          <t>本文</t>
        </is>
      </c>
      <c r="H10" s="25" t="inlineStr">
        <is>
          <t>これまでの整備により、町全体</t>
        </is>
      </c>
      <c r="I10" s="26" t="inlineStr">
        <is>
          <t>これまでの整備により、村全体</t>
        </is>
      </c>
      <c r="J10" s="6" t="inlineStr">
        <is>
          <t>朱書き</t>
        </is>
      </c>
      <c r="K10" s="8" t="inlineStr"/>
      <c r="L10" s="6" t="inlineStr"/>
    </row>
    <row r="11" ht="30" customHeight="1">
      <c r="A11" s="27" t="n">
        <v>6</v>
      </c>
      <c r="B11" s="28" t="inlineStr">
        <is>
          <t>下水道</t>
        </is>
      </c>
      <c r="C11" s="29" t="inlineStr">
        <is>
          <t>2026-08-27</t>
        </is>
      </c>
      <c r="D11" s="29" t="inlineStr">
        <is>
          <t>20260827修正</t>
        </is>
      </c>
      <c r="E11" s="29" t="inlineStr">
        <is>
          <t>p.2</t>
        </is>
      </c>
      <c r="F11" s="12" t="inlineStr"/>
      <c r="G11" s="27" t="inlineStr">
        <is>
          <t>本文</t>
        </is>
      </c>
      <c r="H11" s="30" t="inlineStr">
        <is>
          <t>令和５（２０２３）年４月からは地方公営企業法の全部適用へ移行し</t>
        </is>
      </c>
      <c r="I11" s="31" t="inlineStr">
        <is>
          <t>令和４（２０２２）年４月からは地方公営企業法の一部適用（財務規定等の適用）へ移行し</t>
        </is>
      </c>
      <c r="J11" s="12" t="inlineStr">
        <is>
          <t>朱書き＋論点A（公表版は一部適用）</t>
        </is>
      </c>
      <c r="K11" s="16" t="inlineStr"/>
      <c r="L11" s="12" t="inlineStr"/>
    </row>
    <row r="12" ht="30" customHeight="1">
      <c r="A12" s="22" t="n">
        <v>7</v>
      </c>
      <c r="B12" s="23" t="inlineStr">
        <is>
          <t>下水道</t>
        </is>
      </c>
      <c r="C12" s="24" t="inlineStr">
        <is>
          <t>2026-08-27</t>
        </is>
      </c>
      <c r="D12" s="24" t="inlineStr">
        <is>
          <t>20260827修正</t>
        </is>
      </c>
      <c r="E12" s="24" t="inlineStr">
        <is>
          <t>p.20</t>
        </is>
      </c>
      <c r="F12" s="6" t="inlineStr"/>
      <c r="G12" s="22" t="inlineStr">
        <is>
          <t>本文</t>
        </is>
      </c>
      <c r="H12" s="25" t="inlineStr">
        <is>
          <t>本町における処理場</t>
        </is>
      </c>
      <c r="I12" s="26" t="inlineStr">
        <is>
          <t>本村における処理場</t>
        </is>
      </c>
      <c r="J12" s="6" t="inlineStr">
        <is>
          <t>朱書き漏れ</t>
        </is>
      </c>
      <c r="K12" s="8" t="inlineStr"/>
      <c r="L12" s="6" t="inlineStr"/>
    </row>
    <row r="13" ht="30" customHeight="1">
      <c r="A13" s="27" t="n">
        <v>8</v>
      </c>
      <c r="B13" s="28" t="inlineStr">
        <is>
          <t>下水道</t>
        </is>
      </c>
      <c r="C13" s="29" t="inlineStr">
        <is>
          <t>2026-08-27</t>
        </is>
      </c>
      <c r="D13" s="29" t="inlineStr">
        <is>
          <t>20260827修正</t>
        </is>
      </c>
      <c r="E13" s="29" t="inlineStr">
        <is>
          <t>p.20</t>
        </is>
      </c>
      <c r="F13" s="12" t="inlineStr"/>
      <c r="G13" s="27" t="inlineStr">
        <is>
          <t>本文</t>
        </is>
      </c>
      <c r="H13" s="30" t="inlineStr">
        <is>
          <t>平成２２（２０１０）年度から供用開始し、令和６（２０２４）年度現在で１５年の稼働</t>
        </is>
      </c>
      <c r="I13" s="31" t="inlineStr">
        <is>
          <t>平成８年度（平成９年３月）から供用開始し、令和６（２０２４）年度現在で２８年の稼働</t>
        </is>
      </c>
      <c r="J13" s="12" t="inlineStr">
        <is>
          <t>公表版「供用開始年度＝平成8年度（28年）」</t>
        </is>
      </c>
      <c r="K13" s="16" t="inlineStr"/>
      <c r="L13" s="12" t="inlineStr"/>
    </row>
    <row r="14" ht="30" customHeight="1">
      <c r="A14" s="22" t="n">
        <v>9</v>
      </c>
      <c r="B14" s="23" t="inlineStr">
        <is>
          <t>下水道</t>
        </is>
      </c>
      <c r="C14" s="24" t="inlineStr">
        <is>
          <t>2026-08-27</t>
        </is>
      </c>
      <c r="D14" s="24" t="inlineStr">
        <is>
          <t>20260827修正</t>
        </is>
      </c>
      <c r="E14" s="24" t="inlineStr">
        <is>
          <t>p.26</t>
        </is>
      </c>
      <c r="F14" s="6" t="inlineStr"/>
      <c r="G14" s="22" t="inlineStr">
        <is>
          <t>本文</t>
        </is>
      </c>
      <c r="H14" s="25" t="inlineStr">
        <is>
          <t>国（県）補助金</t>
        </is>
      </c>
      <c r="I14" s="26" t="inlineStr">
        <is>
          <t>国（道）補助金</t>
        </is>
      </c>
      <c r="J14" s="6" t="inlineStr">
        <is>
          <t>朱書き</t>
        </is>
      </c>
      <c r="K14" s="8" t="inlineStr"/>
      <c r="L14" s="6" t="inlineStr"/>
    </row>
    <row r="15" ht="30" customHeight="1">
      <c r="A15" s="27" t="n">
        <v>10</v>
      </c>
      <c r="B15" s="28" t="inlineStr">
        <is>
          <t>下水道</t>
        </is>
      </c>
      <c r="C15" s="29" t="inlineStr">
        <is>
          <t>2026-08-27</t>
        </is>
      </c>
      <c r="D15" s="29" t="inlineStr">
        <is>
          <t>20260827修正</t>
        </is>
      </c>
      <c r="E15" s="29" t="inlineStr">
        <is>
          <t>p.34</t>
        </is>
      </c>
      <c r="F15" s="12" t="inlineStr"/>
      <c r="G15" s="27" t="inlineStr">
        <is>
          <t>本文</t>
        </is>
      </c>
      <c r="H15" s="30" t="inlineStr">
        <is>
          <t>●国（県）補助金</t>
        </is>
      </c>
      <c r="I15" s="31" t="inlineStr">
        <is>
          <t>●国（道）補助金</t>
        </is>
      </c>
      <c r="J15" s="12" t="inlineStr">
        <is>
          <t>朱書き</t>
        </is>
      </c>
      <c r="K15" s="16" t="inlineStr"/>
      <c r="L15" s="12" t="inlineStr"/>
    </row>
    <row r="16" ht="30" customHeight="1">
      <c r="A16" s="22" t="n">
        <v>11</v>
      </c>
      <c r="B16" s="23" t="inlineStr">
        <is>
          <t>下水道</t>
        </is>
      </c>
      <c r="C16" s="24" t="inlineStr">
        <is>
          <t>2026-08-27</t>
        </is>
      </c>
      <c r="D16" s="24" t="inlineStr">
        <is>
          <t>20260827修正</t>
        </is>
      </c>
      <c r="E16" s="24" t="inlineStr">
        <is>
          <t>p.34</t>
        </is>
      </c>
      <c r="F16" s="6" t="inlineStr"/>
      <c r="G16" s="22" t="inlineStr">
        <is>
          <t>本文</t>
        </is>
      </c>
      <c r="H16" s="25" t="inlineStr">
        <is>
          <t>国庫（県）補助対象事業</t>
        </is>
      </c>
      <c r="I16" s="26" t="inlineStr">
        <is>
          <t>国庫（道）補助対象事業</t>
        </is>
      </c>
      <c r="J16" s="6" t="inlineStr">
        <is>
          <t>朱書き</t>
        </is>
      </c>
      <c r="K16" s="8" t="inlineStr"/>
      <c r="L16" s="6" t="inlineStr"/>
    </row>
    <row r="17" ht="30" customHeight="1">
      <c r="A17" s="27" t="n">
        <v>12</v>
      </c>
      <c r="B17" s="28" t="inlineStr">
        <is>
          <t>下水道</t>
        </is>
      </c>
      <c r="C17" s="29" t="inlineStr">
        <is>
          <t>2026-08-27</t>
        </is>
      </c>
      <c r="D17" s="29" t="inlineStr">
        <is>
          <t>20260827修正</t>
        </is>
      </c>
      <c r="E17" s="29" t="inlineStr">
        <is>
          <t>p.38</t>
        </is>
      </c>
      <c r="F17" s="12" t="inlineStr"/>
      <c r="G17" s="27" t="inlineStr">
        <is>
          <t>本文</t>
        </is>
      </c>
      <c r="H17" s="30" t="inlineStr">
        <is>
          <t>町ホームページ</t>
        </is>
      </c>
      <c r="I17" s="31" t="inlineStr">
        <is>
          <t>村ホームページ</t>
        </is>
      </c>
      <c r="J17" s="12" t="inlineStr">
        <is>
          <t>朱書き</t>
        </is>
      </c>
      <c r="K17" s="16" t="inlineStr"/>
      <c r="L17" s="12" t="inlineStr"/>
    </row>
    <row r="18" ht="30" customHeight="1">
      <c r="A18" s="22" t="n">
        <v>13</v>
      </c>
      <c r="B18" s="23" t="inlineStr">
        <is>
          <t>下水道</t>
        </is>
      </c>
      <c r="C18" s="24" t="inlineStr">
        <is>
          <t>2026-08-27</t>
        </is>
      </c>
      <c r="D18" s="24" t="inlineStr">
        <is>
          <t>20260827修正</t>
        </is>
      </c>
      <c r="E18" s="24" t="inlineStr">
        <is>
          <t>p.10</t>
        </is>
      </c>
      <c r="F18" s="6" t="inlineStr">
        <is>
          <t>組織図（SmartArt）</t>
        </is>
      </c>
      <c r="G18" s="8" t="inlineStr">
        <is>
          <t>図表</t>
        </is>
      </c>
      <c r="H18" s="25" t="inlineStr">
        <is>
          <t>町長</t>
        </is>
      </c>
      <c r="I18" s="26" t="inlineStr">
        <is>
          <t>村長</t>
        </is>
      </c>
      <c r="J18" s="6" t="inlineStr">
        <is>
          <t>朱書き</t>
        </is>
      </c>
      <c r="K18" s="8" t="inlineStr"/>
      <c r="L18" s="6" t="inlineStr">
        <is>
          <t>word/diagrams の data1.xml と drawing1.xml の2パートを更新</t>
        </is>
      </c>
    </row>
    <row r="19" ht="62" customHeight="1">
      <c r="A19" s="27" t="n">
        <v>14</v>
      </c>
      <c r="B19" s="28" t="inlineStr">
        <is>
          <t>下水道</t>
        </is>
      </c>
      <c r="C19" s="29" t="inlineStr">
        <is>
          <t>2026-10-01</t>
        </is>
      </c>
      <c r="D19" s="29" t="inlineStr">
        <is>
          <t>20261001修正</t>
        </is>
      </c>
      <c r="E19" s="29" t="inlineStr">
        <is>
          <t>p.19</t>
        </is>
      </c>
      <c r="F19" s="12" t="inlineStr"/>
      <c r="G19" s="27" t="inlineStr">
        <is>
          <t>本文</t>
        </is>
      </c>
      <c r="H19" s="30" t="inlineStr">
        <is>
          <t>令和５（20２３）年度末の時点で、下水道事業の総管渠延長は、１７１,３４７.05ｍ（管更生含む）に達し、村内での下水道普及率はほぼ１００％となっています。</t>
        </is>
      </c>
      <c r="I19" s="31" t="inlineStr">
        <is>
          <t>令和５（２０２３）年度末の時点で、下水道事業の総管渠延長は、２５，２７０．６６ｍとなっています。村内での下水道普及率は６９．５％（令和５年度決算）であり、処理区域内の水洗化率は９８．５％と高い水準にあります。</t>
        </is>
      </c>
      <c r="J19" s="12" t="inlineStr">
        <is>
          <t>提供資料「管渠延長.pdf」の合計値へ。普及率は経営比較分析表の値</t>
        </is>
      </c>
      <c r="K19" s="16" t="inlineStr">
        <is>
          <t>A-2／B-4／B-5</t>
        </is>
      </c>
      <c r="L19" s="12" t="inlineStr">
        <is>
          <t>基準時点は令和5年度末、普及率は経営比較分析表の値、管更生の但書は削除（いずれも要確認）</t>
        </is>
      </c>
    </row>
    <row r="20" ht="110" customHeight="1">
      <c r="A20" s="22" t="n">
        <v>15</v>
      </c>
      <c r="B20" s="23" t="inlineStr">
        <is>
          <t>下水道</t>
        </is>
      </c>
      <c r="C20" s="24" t="inlineStr">
        <is>
          <t>2026-10-01</t>
        </is>
      </c>
      <c r="D20" s="24" t="inlineStr">
        <is>
          <t>20261001修正</t>
        </is>
      </c>
      <c r="E20" s="24" t="inlineStr">
        <is>
          <t>p.19</t>
        </is>
      </c>
      <c r="F20" s="6" t="inlineStr"/>
      <c r="G20" s="22" t="inlineStr">
        <is>
          <t>本文</t>
        </is>
      </c>
      <c r="H20" s="25" t="inlineStr">
        <is>
          <t>本計画期間中の１０年間で耐用年数を迎える管渠は全体の約２６％の昭和世代に布設された笹尾・城山地区のものです。今後の管渠の更新に向けて長期的な期間で管渠の長寿命化や更新に向けた対策が必要となっています。</t>
        </is>
      </c>
      <c r="I20" s="26" t="inlineStr">
        <is>
          <t>管渠は平成４（１９９２）年度以降に布設されており、最も古いもので令和７（２０２５）年度時点において３３年が経過しています。法定耐用年数（５０年）に達するのは令和２４（２０４２）年度以降となるため、本計画期間中に耐用年数を迎える管渠はありませんが、布設から３０年を超える管渠が全体の約４１％（１０，４７７ｍ）を占めることから、長期的な期間で管渠の長寿命化や更新に向けた対策が必要となっています。</t>
        </is>
      </c>
      <c r="J20" s="6" t="inlineStr">
        <is>
          <t>他団体の地名・年代を削除し、提供資料の布設年度に基づく記述へ</t>
        </is>
      </c>
      <c r="K20" s="8" t="inlineStr">
        <is>
          <t>B-5</t>
        </is>
      </c>
      <c r="L20" s="6" t="inlineStr">
        <is>
          <t>法定耐用年数50年で再計算。計画期間中の到達はゼロ</t>
        </is>
      </c>
    </row>
    <row r="21" ht="30" customHeight="1">
      <c r="A21" s="27" t="n">
        <v>16</v>
      </c>
      <c r="B21" s="28" t="inlineStr">
        <is>
          <t>下水道</t>
        </is>
      </c>
      <c r="C21" s="29" t="inlineStr">
        <is>
          <t>2026-10-01</t>
        </is>
      </c>
      <c r="D21" s="29" t="inlineStr">
        <is>
          <t>20261001修正</t>
        </is>
      </c>
      <c r="E21" s="29" t="inlineStr">
        <is>
          <t>p.25</t>
        </is>
      </c>
      <c r="F21" s="12" t="inlineStr"/>
      <c r="G21" s="27" t="inlineStr">
        <is>
          <t>本文</t>
        </is>
      </c>
      <c r="H21" s="30" t="inlineStr">
        <is>
          <t>管渠は古いもので約４０年が過ぎています。</t>
        </is>
      </c>
      <c r="I21" s="31" t="inlineStr">
        <is>
          <t>管渠は古いもので３０年を超えています。</t>
        </is>
      </c>
      <c r="J21" s="12" t="inlineStr">
        <is>
          <t>最古は平成4年度布設（令和7年度時点で33年）</t>
        </is>
      </c>
      <c r="K21" s="16" t="inlineStr"/>
      <c r="L21" s="12" t="inlineStr"/>
    </row>
    <row r="22" ht="50" customHeight="1">
      <c r="A22" s="22" t="n">
        <v>17</v>
      </c>
      <c r="B22" s="23" t="inlineStr">
        <is>
          <t>下水道</t>
        </is>
      </c>
      <c r="C22" s="24" t="inlineStr">
        <is>
          <t>2026-10-01</t>
        </is>
      </c>
      <c r="D22" s="24" t="inlineStr">
        <is>
          <t>20261001修正</t>
        </is>
      </c>
      <c r="E22" s="24" t="inlineStr">
        <is>
          <t>p.25</t>
        </is>
      </c>
      <c r="F22" s="6" t="inlineStr"/>
      <c r="G22" s="22" t="inlineStr">
        <is>
          <t>本文</t>
        </is>
      </c>
      <c r="H22" s="25" t="inlineStr">
        <is>
          <t>計画期間中に全体の約１／４が耐用年数を迎えることから、更新に向けた資金の確保や長寿命化対策による対応が求められています。</t>
        </is>
      </c>
      <c r="I22" s="26" t="inlineStr">
        <is>
          <t>計画期間中に耐用年数を迎える管渠はありませんが、布設から３０年を超える管渠が全体の約４割を占めることから、更新に向けた資金の確保や長寿命化対策による計画的な対応が求められています。</t>
        </is>
      </c>
      <c r="J22" s="6" t="inlineStr">
        <is>
          <t>耐用年数到達の再計算結果を反映</t>
        </is>
      </c>
      <c r="K22" s="8" t="inlineStr"/>
      <c r="L22" s="6" t="inlineStr"/>
    </row>
    <row r="23" ht="30" customHeight="1">
      <c r="A23" s="27" t="n">
        <v>18</v>
      </c>
      <c r="B23" s="28" t="inlineStr">
        <is>
          <t>下水道</t>
        </is>
      </c>
      <c r="C23" s="29" t="inlineStr">
        <is>
          <t>2026-10-01</t>
        </is>
      </c>
      <c r="D23" s="29" t="inlineStr">
        <is>
          <t>20261001修正</t>
        </is>
      </c>
      <c r="E23" s="29" t="inlineStr">
        <is>
          <t>p.3</t>
        </is>
      </c>
      <c r="F23" s="12" t="inlineStr">
        <is>
          <t>《中札内村下水道処理区域図》</t>
        </is>
      </c>
      <c r="G23" s="16" t="inlineStr">
        <is>
          <t>図表</t>
        </is>
      </c>
      <c r="H23" s="30" t="inlineStr">
        <is>
          <t>（白紙）</t>
        </is>
      </c>
      <c r="I23" s="31" t="inlineStr">
        <is>
          <t>提供資料「区域.pdf」を貼込（6.40×4.53in・中央揃え）</t>
        </is>
      </c>
      <c r="J23" s="12" t="inlineStr">
        <is>
          <t>提供資料の反映</t>
        </is>
      </c>
      <c r="K23" s="16" t="inlineStr"/>
      <c r="L23" s="12" t="inlineStr"/>
    </row>
    <row r="24" ht="38" customHeight="1">
      <c r="A24" s="22" t="n">
        <v>19</v>
      </c>
      <c r="B24" s="23" t="inlineStr">
        <is>
          <t>下水道</t>
        </is>
      </c>
      <c r="C24" s="24" t="inlineStr">
        <is>
          <t>2026-10-01</t>
        </is>
      </c>
      <c r="D24" s="24" t="inlineStr">
        <is>
          <t>20261001修正</t>
        </is>
      </c>
      <c r="E24" s="24" t="inlineStr">
        <is>
          <t>p.19</t>
        </is>
      </c>
      <c r="F24" s="6" t="inlineStr">
        <is>
          <t>■公共下水道事業各年度整備延長</t>
        </is>
      </c>
      <c r="G24" s="8" t="inlineStr">
        <is>
          <t>図表</t>
        </is>
      </c>
      <c r="H24" s="25" t="inlineStr">
        <is>
          <t>他団体データ（1976〜2024年・総延長171,347.05m相当）</t>
        </is>
      </c>
      <c r="I24" s="26" t="inlineStr">
        <is>
          <t>提供資料の年度別延長で再作成（平成4〜令和5年度・合計25,270.66m／6.53×4.26in）</t>
        </is>
      </c>
      <c r="J24" s="6" t="inlineStr">
        <is>
          <t>提供資料の反映</t>
        </is>
      </c>
      <c r="K24" s="8" t="inlineStr">
        <is>
          <t>A-2</t>
        </is>
      </c>
      <c r="L24" s="6" t="inlineStr"/>
    </row>
    <row r="25" ht="38" customHeight="1">
      <c r="A25" s="27" t="n">
        <v>20</v>
      </c>
      <c r="B25" s="28" t="inlineStr">
        <is>
          <t>下水道</t>
        </is>
      </c>
      <c r="C25" s="29" t="inlineStr">
        <is>
          <t>2026-10-01</t>
        </is>
      </c>
      <c r="D25" s="29" t="inlineStr">
        <is>
          <t>20261001修正</t>
        </is>
      </c>
      <c r="E25" s="29" t="inlineStr">
        <is>
          <t>p.20</t>
        </is>
      </c>
      <c r="F25" s="12" t="inlineStr">
        <is>
          <t>■処理場の概要</t>
        </is>
      </c>
      <c r="G25" s="16" t="inlineStr">
        <is>
          <t>図表</t>
        </is>
      </c>
      <c r="H25" s="30" t="inlineStr">
        <is>
          <t>三戸浄化センターの諸元（3,180㎥/日・計画処理人口4,120人）</t>
        </is>
      </c>
      <c r="I25" s="31" t="inlineStr">
        <is>
          <t>中札内浄化センターの諸元へ差替（1,520㎥/日＝760×2池・計画区域内人口2,661人／6.53×1.00in）</t>
        </is>
      </c>
      <c r="J25" s="12" t="inlineStr">
        <is>
          <t>提供資料の反映</t>
        </is>
      </c>
      <c r="K25" s="16" t="inlineStr">
        <is>
          <t>A-1</t>
        </is>
      </c>
      <c r="L25" s="12" t="inlineStr">
        <is>
          <t>主要施設の一覧は資料未入手のため表下に注記を付した</t>
        </is>
      </c>
    </row>
    <row r="26" ht="30" customHeight="1">
      <c r="A26" s="22" t="n">
        <v>21</v>
      </c>
      <c r="B26" s="32" t="inlineStr">
        <is>
          <t>簡易水道</t>
        </is>
      </c>
      <c r="C26" s="24" t="inlineStr">
        <is>
          <t>2026-10-01</t>
        </is>
      </c>
      <c r="D26" s="24" t="inlineStr">
        <is>
          <t>20261001修正</t>
        </is>
      </c>
      <c r="E26" s="24" t="inlineStr">
        <is>
          <t>p.3</t>
        </is>
      </c>
      <c r="F26" s="6" t="inlineStr">
        <is>
          <t>《中札内村給水区域図》</t>
        </is>
      </c>
      <c r="G26" s="8" t="inlineStr">
        <is>
          <t>図表</t>
        </is>
      </c>
      <c r="H26" s="25" t="inlineStr">
        <is>
          <t>（白紙）</t>
        </is>
      </c>
      <c r="I26" s="26" t="inlineStr">
        <is>
          <t>受領Excel内の給水区域図を貼込（6.40×4.30in・中央揃え）</t>
        </is>
      </c>
      <c r="J26" s="6" t="inlineStr">
        <is>
          <t>提供資料の反映</t>
        </is>
      </c>
      <c r="K26" s="8" t="inlineStr"/>
      <c r="L26" s="6" t="inlineStr"/>
    </row>
    <row r="27" ht="30" customHeight="1">
      <c r="A27" s="27" t="n">
        <v>22</v>
      </c>
      <c r="B27" s="33" t="inlineStr">
        <is>
          <t>簡易水道</t>
        </is>
      </c>
      <c r="C27" s="29" t="inlineStr">
        <is>
          <t>2026-10-02</t>
        </is>
      </c>
      <c r="D27" s="29" t="inlineStr">
        <is>
          <t>20261002修正</t>
        </is>
      </c>
      <c r="E27" s="29" t="inlineStr">
        <is>
          <t>―</t>
        </is>
      </c>
      <c r="F27" s="12" t="inlineStr">
        <is>
          <t>Ⅱ-1（５）資産活用の状況 ❶エネルギー利用</t>
        </is>
      </c>
      <c r="G27" s="27" t="inlineStr">
        <is>
          <t>本文</t>
        </is>
      </c>
      <c r="H27" s="30" t="inlineStr">
        <is>
          <t>（下水熱・下水汚泥・発電等）</t>
        </is>
      </c>
      <c r="I27" s="31" t="inlineStr">
        <is>
          <t>（小水力発電等）</t>
        </is>
      </c>
      <c r="J27" s="12" t="inlineStr">
        <is>
          <t>下水道側の朱書き指示と同一の誤り（ご承認済）</t>
        </is>
      </c>
      <c r="K27" s="16" t="inlineStr">
        <is>
          <t>E-4</t>
        </is>
      </c>
      <c r="L27" s="12" t="inlineStr">
        <is>
          <t>簡易水道の目次は「本文完成後調整」のため頁番号は未確定</t>
        </is>
      </c>
    </row>
    <row r="28" ht="30" customHeight="1">
      <c r="A28" s="22" t="n">
        <v>23</v>
      </c>
      <c r="B28" s="32" t="inlineStr">
        <is>
          <t>簡易水道</t>
        </is>
      </c>
      <c r="C28" s="24" t="inlineStr">
        <is>
          <t>2026-10-02</t>
        </is>
      </c>
      <c r="D28" s="24" t="inlineStr">
        <is>
          <t>20261002修正</t>
        </is>
      </c>
      <c r="E28" s="24" t="inlineStr">
        <is>
          <t>―</t>
        </is>
      </c>
      <c r="F28" s="6" t="inlineStr">
        <is>
          <t>Ⅳ-3（２）❷収支計画のうち財源についての説明【資本的収入】</t>
        </is>
      </c>
      <c r="G28" s="22" t="inlineStr">
        <is>
          <t>本文</t>
        </is>
      </c>
      <c r="H28" s="25" t="inlineStr">
        <is>
          <t>●国（県）補助金</t>
        </is>
      </c>
      <c r="I28" s="26" t="inlineStr">
        <is>
          <t>●国（道）補助金</t>
        </is>
      </c>
      <c r="J28" s="6" t="inlineStr">
        <is>
          <t>下水道側の朱書き指示と同一の誤り（ご承認済）</t>
        </is>
      </c>
      <c r="K28" s="8" t="inlineStr">
        <is>
          <t>E-3</t>
        </is>
      </c>
      <c r="L28" s="6" t="inlineStr">
        <is>
          <t>簡易水道の目次は「本文完成後調整」のため頁番号は未確定</t>
        </is>
      </c>
    </row>
    <row r="29" ht="30" customHeight="1">
      <c r="A29" s="27" t="n">
        <v>24</v>
      </c>
      <c r="B29" s="33" t="inlineStr">
        <is>
          <t>簡易水道</t>
        </is>
      </c>
      <c r="C29" s="29" t="inlineStr">
        <is>
          <t>2026-10-02</t>
        </is>
      </c>
      <c r="D29" s="29" t="inlineStr">
        <is>
          <t>20261002修正</t>
        </is>
      </c>
      <c r="E29" s="29" t="inlineStr">
        <is>
          <t>―</t>
        </is>
      </c>
      <c r="F29" s="12" t="inlineStr">
        <is>
          <t>Ⅳ-3（２）❷収支計画のうち財源についての説明【資本的収入】</t>
        </is>
      </c>
      <c r="G29" s="27" t="inlineStr">
        <is>
          <t>本文</t>
        </is>
      </c>
      <c r="H29" s="30" t="inlineStr">
        <is>
          <t>国庫（県）補助対象事業</t>
        </is>
      </c>
      <c r="I29" s="31" t="inlineStr">
        <is>
          <t>国庫（道）補助対象事業</t>
        </is>
      </c>
      <c r="J29" s="12" t="inlineStr">
        <is>
          <t>下水道側の朱書き指示と同一の誤り（ご承認済）</t>
        </is>
      </c>
      <c r="K29" s="16" t="inlineStr">
        <is>
          <t>E-3</t>
        </is>
      </c>
      <c r="L29" s="12" t="inlineStr">
        <is>
          <t>簡易水道の目次は「本文完成後調整」のため頁番号は未確定</t>
        </is>
      </c>
    </row>
    <row r="30" ht="30" customHeight="1">
      <c r="A30" s="22" t="n">
        <v>25</v>
      </c>
      <c r="B30" s="23" t="inlineStr">
        <is>
          <t>下水道</t>
        </is>
      </c>
      <c r="C30" s="24" t="inlineStr">
        <is>
          <t>2026-10-03</t>
        </is>
      </c>
      <c r="D30" s="24" t="inlineStr">
        <is>
          <t>20261003修正</t>
        </is>
      </c>
      <c r="E30" s="24" t="inlineStr">
        <is>
          <t>p.19</t>
        </is>
      </c>
      <c r="F30" s="6" t="inlineStr">
        <is>
          <t>（１）管渠の状況</t>
        </is>
      </c>
      <c r="G30" s="22" t="inlineStr">
        <is>
          <t>本文</t>
        </is>
      </c>
      <c r="H30" s="25" t="inlineStr">
        <is>
          <t>村内での下水道普及率は６９．５％（令和５年度決算）であり</t>
        </is>
      </c>
      <c r="I30" s="26" t="inlineStr">
        <is>
          <t>村内での下水道普及率は７０．９％であり</t>
        </is>
      </c>
      <c r="J30" s="6" t="inlineStr">
        <is>
          <t>公表成果品（検討報告書「将来の普及率=70.9%」）</t>
        </is>
      </c>
      <c r="K30" s="8" t="inlineStr">
        <is>
          <t>B-4</t>
        </is>
      </c>
      <c r="L30" s="6" t="inlineStr">
        <is>
          <t>10/1に仮反映した69.5％（経営比較分析表の値）を訂正</t>
        </is>
      </c>
    </row>
    <row r="31" ht="50" customHeight="1">
      <c r="A31" s="27" t="n">
        <v>26</v>
      </c>
      <c r="B31" s="28" t="inlineStr">
        <is>
          <t>下水道</t>
        </is>
      </c>
      <c r="C31" s="29" t="inlineStr">
        <is>
          <t>2026-10-03</t>
        </is>
      </c>
      <c r="D31" s="29" t="inlineStr">
        <is>
          <t>20261003修正</t>
        </is>
      </c>
      <c r="E31" s="29" t="inlineStr">
        <is>
          <t>p.22</t>
        </is>
      </c>
      <c r="F31" s="12" t="inlineStr">
        <is>
          <t>Ⅲ-1（１）有収水量の予測</t>
        </is>
      </c>
      <c r="G31" s="27" t="inlineStr">
        <is>
          <t>本文</t>
        </is>
      </c>
      <c r="H31" s="30" t="inlineStr">
        <is>
          <t>総人口は国立社会保障・人口問題研究所による推計から算出／普及率・水洗化率は令和4〜6年度の3か年実績の平均</t>
        </is>
      </c>
      <c r="I31" s="31" t="inlineStr">
        <is>
          <t>総人口は「第7期中札内村まちづくり計画」（令和4年3月策定）の村独自推計を採用／普及率・水洗化率は過去5年間ほぼ横ばいのため令和5年度実績を基準</t>
        </is>
      </c>
      <c r="J31" s="12" t="inlineStr">
        <is>
          <t>公表成果品（検討報告書p.228「…将来推計値を採用する」、将来人口予測ファイルの採用値列）</t>
        </is>
      </c>
      <c r="K31" s="16" t="inlineStr">
        <is>
          <t>B-2／B-3</t>
        </is>
      </c>
      <c r="L31" s="12" t="inlineStr"/>
    </row>
    <row r="32" ht="30" customHeight="1">
      <c r="A32" s="22" t="n">
        <v>27</v>
      </c>
      <c r="B32" s="23" t="inlineStr">
        <is>
          <t>下水道</t>
        </is>
      </c>
      <c r="C32" s="24" t="inlineStr">
        <is>
          <t>2026-10-03</t>
        </is>
      </c>
      <c r="D32" s="24" t="inlineStr">
        <is>
          <t>20261003修正</t>
        </is>
      </c>
      <c r="E32" s="24" t="inlineStr">
        <is>
          <t>p.22</t>
        </is>
      </c>
      <c r="F32" s="6" t="inlineStr">
        <is>
          <t>同上</t>
        </is>
      </c>
      <c r="G32" s="22" t="inlineStr">
        <is>
          <t>本文</t>
        </is>
      </c>
      <c r="H32" s="25" t="inlineStr">
        <is>
          <t>令和4〜6年度の3か年実績から一人当たり処理水量及び有収率を設定</t>
        </is>
      </c>
      <c r="I32" s="26" t="inlineStr">
        <is>
          <t>令和5年度実績の一人当たり有収水量原単位（0.249㎥/人/日）を基に推計</t>
        </is>
      </c>
      <c r="J32" s="6" t="inlineStr">
        <is>
          <t>公表成果品（将来人口予測ファイルの原単位は令和5年度実績の据置）</t>
        </is>
      </c>
      <c r="K32" s="8" t="inlineStr">
        <is>
          <t>B-3</t>
        </is>
      </c>
      <c r="L32" s="6" t="inlineStr"/>
    </row>
    <row r="33" ht="30" customHeight="1">
      <c r="A33" s="27" t="n">
        <v>28</v>
      </c>
      <c r="B33" s="28" t="inlineStr">
        <is>
          <t>下水道</t>
        </is>
      </c>
      <c r="C33" s="29" t="inlineStr">
        <is>
          <t>2026-10-03</t>
        </is>
      </c>
      <c r="D33" s="29" t="inlineStr">
        <is>
          <t>20261003修正</t>
        </is>
      </c>
      <c r="E33" s="29" t="inlineStr">
        <is>
          <t>p.22</t>
        </is>
      </c>
      <c r="F33" s="12" t="inlineStr">
        <is>
          <t>同上・■有収水量の予測のための前提条件</t>
        </is>
      </c>
      <c r="G33" s="27" t="inlineStr">
        <is>
          <t>本文</t>
        </is>
      </c>
      <c r="H33" s="30" t="inlineStr">
        <is>
          <t>令和3（2021）年度から令和5（2023）年度までの過去3か年実績の平均で算出</t>
        </is>
      </c>
      <c r="I33" s="31" t="inlineStr">
        <is>
          <t>令和5（2023）年度実績の値を採用（過去5年間でほぼ横ばいのため）</t>
        </is>
      </c>
      <c r="J33" s="12" t="inlineStr">
        <is>
          <t>公表成果品（検討報告書p.243・p.261）</t>
        </is>
      </c>
      <c r="K33" s="16" t="inlineStr">
        <is>
          <t>B-3</t>
        </is>
      </c>
      <c r="L33" s="12" t="inlineStr"/>
    </row>
  </sheetData>
  <autoFilter ref="A5:L33"/>
  <mergeCells count="3">
    <mergeCell ref="A3:L3"/>
    <mergeCell ref="A2:L2"/>
    <mergeCell ref="A1:F1"/>
  </mergeCells>
  <printOptions horizontalCentered="1"/>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B1:F25"/>
  <sheetViews>
    <sheetView showGridLines="0" workbookViewId="0">
      <selection activeCell="A1" sqref="A1"/>
    </sheetView>
  </sheetViews>
  <sheetFormatPr baseColWidth="8" defaultRowHeight="15"/>
  <cols>
    <col width="4" customWidth="1" min="1" max="1"/>
    <col width="16" customWidth="1" min="2" max="2"/>
    <col width="20" customWidth="1" min="3" max="3"/>
    <col width="46" customWidth="1" min="4" max="4"/>
    <col width="20" customWidth="1" min="5" max="5"/>
    <col width="20" customWidth="1" min="6" max="6"/>
  </cols>
  <sheetData>
    <row r="1" ht="24" customHeight="1">
      <c r="B1" s="34" t="inlineStr">
        <is>
          <t>記入要領</t>
        </is>
      </c>
    </row>
    <row r="3">
      <c r="B3" s="35" t="inlineStr">
        <is>
          <t>１．ご記入いただく列</t>
        </is>
      </c>
    </row>
    <row r="4" ht="30" customHeight="1">
      <c r="B4" s="36" t="inlineStr">
        <is>
          <t>H　ご回答</t>
        </is>
      </c>
      <c r="C4" s="6" t="inlineStr">
        <is>
          <t>一覧から選択（セルをクリックすると選択肢が出ます）。該当がなければ「その他」を選び、H列に内容をご記入ください。</t>
        </is>
      </c>
      <c r="D4" s="37" t="n"/>
      <c r="E4" s="37" t="n"/>
      <c r="F4" s="38" t="n"/>
    </row>
    <row r="5" ht="30" customHeight="1">
      <c r="B5" s="36" t="inlineStr">
        <is>
          <t>I　補足・回答内容</t>
        </is>
      </c>
      <c r="C5" s="6" t="inlineStr">
        <is>
          <t>自由記述。資料をご提供いただく事項（A-1・A-6）はファイル名や提供時期をご記入ください。</t>
        </is>
      </c>
      <c r="D5" s="37" t="n"/>
      <c r="E5" s="37" t="n"/>
      <c r="F5" s="38" t="n"/>
    </row>
    <row r="6" ht="30" customHeight="1">
      <c r="B6" s="36" t="inlineStr">
        <is>
          <t>J　決定者</t>
        </is>
      </c>
      <c r="C6" s="6" t="inlineStr">
        <is>
          <t>ご決定された方・部署名。</t>
        </is>
      </c>
      <c r="D6" s="37" t="n"/>
      <c r="E6" s="37" t="n"/>
      <c r="F6" s="38" t="n"/>
    </row>
    <row r="7" ht="30" customHeight="1">
      <c r="B7" s="36" t="inlineStr">
        <is>
          <t>K　決定日</t>
        </is>
      </c>
      <c r="C7" s="6" t="inlineStr">
        <is>
          <t>2026/10/15 の形式。</t>
        </is>
      </c>
      <c r="D7" s="37" t="n"/>
      <c r="E7" s="37" t="n"/>
      <c r="F7" s="38" t="n"/>
    </row>
    <row r="8">
      <c r="B8" s="39" t="inlineStr">
        <is>
          <t>L　社内メモ</t>
        </is>
      </c>
      <c r="C8" s="40" t="inlineStr">
        <is>
          <t>当方の作業メモ欄です。ご記入は不要です。</t>
        </is>
      </c>
      <c r="D8" s="37" t="n"/>
      <c r="E8" s="37" t="n"/>
      <c r="F8" s="38" t="n"/>
    </row>
    <row r="10">
      <c r="B10" s="35" t="inlineStr">
        <is>
          <t>２．影響度の区分</t>
        </is>
      </c>
    </row>
    <row r="11" ht="28" customHeight="1">
      <c r="B11" s="7" t="inlineStr">
        <is>
          <t>大</t>
        </is>
      </c>
      <c r="C11" s="6" t="inlineStr">
        <is>
          <t>収支計画・シミュレーション結果、または計画の根幹に関わる。未決のままでは本文を確定できない。</t>
        </is>
      </c>
      <c r="D11" s="37" t="n"/>
      <c r="E11" s="37" t="n"/>
      <c r="F11" s="38" t="n"/>
    </row>
    <row r="12" ht="28" customHeight="1">
      <c r="B12" s="15" t="inlineStr">
        <is>
          <t>中</t>
        </is>
      </c>
      <c r="C12" s="6" t="inlineStr">
        <is>
          <t>本文または図表の記載内容が変わる。影響は当該章で完結する。</t>
        </is>
      </c>
      <c r="D12" s="37" t="n"/>
      <c r="E12" s="37" t="n"/>
      <c r="F12" s="38" t="n"/>
    </row>
    <row r="13" ht="28" customHeight="1">
      <c r="B13" s="17" t="inlineStr">
        <is>
          <t>小</t>
        </is>
      </c>
      <c r="C13" s="6" t="inlineStr">
        <is>
          <t>表記・データ整理のレベル。他への波及はない。</t>
        </is>
      </c>
      <c r="D13" s="37" t="n"/>
      <c r="E13" s="37" t="n"/>
      <c r="F13" s="38" t="n"/>
    </row>
    <row r="15">
      <c r="B15" s="35" t="inlineStr">
        <is>
          <t>３．記入例</t>
        </is>
      </c>
    </row>
    <row r="16" ht="22" customHeight="1">
      <c r="B16" s="41" t="inlineStr">
        <is>
          <t>ID</t>
        </is>
      </c>
      <c r="C16" s="41" t="inlineStr">
        <is>
          <t>ご回答</t>
        </is>
      </c>
      <c r="D16" s="41" t="inlineStr">
        <is>
          <t>補足・回答内容</t>
        </is>
      </c>
      <c r="E16" s="41" t="inlineStr">
        <is>
          <t>決定者</t>
        </is>
      </c>
      <c r="F16" s="41" t="inlineStr">
        <is>
          <t>決定日</t>
        </is>
      </c>
    </row>
    <row r="17" ht="32" customHeight="1">
      <c r="B17" s="42" t="inlineStr">
        <is>
          <t>B-4</t>
        </is>
      </c>
      <c r="C17" s="42" t="inlineStr">
        <is>
          <t>69.48%（経営比較分析表・普及率）</t>
        </is>
      </c>
      <c r="D17" s="42" t="inlineStr">
        <is>
          <t>公表している経営比較分析表の値に揃える。指標名も「普及率」とする。</t>
        </is>
      </c>
      <c r="E17" s="42" t="inlineStr">
        <is>
          <t>施設課</t>
        </is>
      </c>
      <c r="F17" s="43" t="inlineStr">
        <is>
          <t>2026/10/15</t>
        </is>
      </c>
    </row>
    <row r="18">
      <c r="B18" s="44" t="inlineStr">
        <is>
          <t>※　上の行は記入例です。実際のご記入は「確認結果入力」シートにお願いします。</t>
        </is>
      </c>
    </row>
    <row r="20">
      <c r="B20" s="35" t="inlineStr">
        <is>
          <t>４．回答状況</t>
        </is>
      </c>
    </row>
    <row r="21">
      <c r="B21" s="44" t="inlineStr">
        <is>
          <t>※　Excelで開くと自動計算されます。</t>
        </is>
      </c>
    </row>
    <row r="22" ht="22" customHeight="1">
      <c r="B22" s="45" t="inlineStr">
        <is>
          <t>確認事項の総数</t>
        </is>
      </c>
      <c r="C22" s="5">
        <f>COUNTA(確認結果入力!$A$5:$A$32)</f>
        <v/>
      </c>
    </row>
    <row r="23" ht="22" customHeight="1">
      <c r="B23" s="45" t="inlineStr">
        <is>
          <t>回答済み</t>
        </is>
      </c>
      <c r="C23" s="5">
        <f>COUNTA(確認結果入力!$H$5:$H$32)</f>
        <v/>
      </c>
    </row>
    <row r="24" ht="22" customHeight="1">
      <c r="B24" s="45" t="inlineStr">
        <is>
          <t>未回答</t>
        </is>
      </c>
      <c r="C24" s="5">
        <f>C22-C23</f>
        <v/>
      </c>
    </row>
    <row r="25" ht="22" customHeight="1">
      <c r="B25" s="39" t="inlineStr">
        <is>
          <t>うち影響度「大」の未回答</t>
        </is>
      </c>
      <c r="C25" s="7">
        <f>COUNTIFS(確認結果入力!$C$5:$C$32,"大",確認結果入力!$H$5:$H$32,"")</f>
        <v/>
      </c>
    </row>
  </sheetData>
  <mergeCells count="8">
    <mergeCell ref="C13:F13"/>
    <mergeCell ref="C8:F8"/>
    <mergeCell ref="C4:F4"/>
    <mergeCell ref="C12:F12"/>
    <mergeCell ref="C6:F6"/>
    <mergeCell ref="C7:F7"/>
    <mergeCell ref="C11:F11"/>
    <mergeCell ref="C5:F5"/>
  </mergeCell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0" customWidth="1" min="3" max="3"/>
    <col width="24" customWidth="1" min="4" max="4"/>
    <col width="58" customWidth="1" min="5" max="5"/>
    <col width="32" customWidth="1" min="6" max="6"/>
    <col width="32" customWidth="1" min="7" max="7"/>
  </cols>
  <sheetData>
    <row r="1" ht="26" customHeight="1">
      <c r="A1" s="4" t="inlineStr">
        <is>
          <t>ID</t>
        </is>
      </c>
      <c r="B1" s="4" t="inlineStr">
        <is>
          <t>影響度</t>
        </is>
      </c>
      <c r="C1" s="4" t="inlineStr">
        <is>
          <t>状態</t>
        </is>
      </c>
      <c r="D1" s="4" t="inlineStr">
        <is>
          <t>確認事項</t>
        </is>
      </c>
      <c r="E1" s="4" t="inlineStr">
        <is>
          <t>背景・現状</t>
        </is>
      </c>
      <c r="F1" s="4" t="inlineStr">
        <is>
          <t>影響範囲</t>
        </is>
      </c>
      <c r="G1" s="4" t="inlineStr">
        <is>
          <t>未決の場合</t>
        </is>
      </c>
    </row>
    <row r="2" ht="50" customHeight="1">
      <c r="A2" s="5" t="inlineStr">
        <is>
          <t>A-1</t>
        </is>
      </c>
      <c r="B2" s="7" t="inlineStr">
        <is>
          <t>大</t>
        </is>
      </c>
      <c r="C2" s="8" t="inlineStr">
        <is>
          <t>照会中</t>
        </is>
      </c>
      <c r="D2" s="6" t="inlineStr">
        <is>
          <t>中札内浄化センターの主要施設一覧</t>
        </is>
      </c>
      <c r="E2" s="6" t="inlineStr">
        <is>
          <t>現行p.20の「■処理場の概要」および主要施設一覧は、施設名が「三戸浄化センター」となっており他団体の諸元がそのまま残存している。提供資料「施設の概要.pdf」および公表版にも設備構成のデータがない。</t>
        </is>
      </c>
      <c r="F2" s="6" t="inlineStr">
        <is>
          <t>本文p.20（処理場の概要・主要施設一覧）</t>
        </is>
      </c>
      <c r="G2" s="6" t="inlineStr">
        <is>
          <t>p.20が他団体の記載のまま確定できず、本文を完成できない。</t>
        </is>
      </c>
    </row>
    <row r="3" ht="50" customHeight="1">
      <c r="A3" s="11" t="inlineStr">
        <is>
          <t>A-2</t>
        </is>
      </c>
      <c r="B3" s="13" t="inlineStr">
        <is>
          <t>中</t>
        </is>
      </c>
      <c r="C3" s="14" t="inlineStr">
        <is>
          <t>仮反映済</t>
        </is>
      </c>
      <c r="D3" s="12" t="inlineStr">
        <is>
          <t>管渠延長25,270.66mの基準時点</t>
        </is>
      </c>
      <c r="E3" s="12" t="inlineStr">
        <is>
          <t>提供資料「管渠延長.pdf」の経過年数は令和7年度を基準としているのに対し、本文は「令和5年度末の時点で」と記載している。</t>
        </is>
      </c>
      <c r="F3" s="12" t="inlineStr">
        <is>
          <t>本文p.19（管渠の状況）</t>
        </is>
      </c>
      <c r="G3" s="12" t="inlineStr">
        <is>
          <t>延長値と時点の組合せが不整合のまま公表される。</t>
        </is>
      </c>
    </row>
    <row r="4" ht="50" customHeight="1">
      <c r="A4" s="5" t="inlineStr">
        <is>
          <t>A-3</t>
        </is>
      </c>
      <c r="B4" s="15" t="inlineStr">
        <is>
          <t>中</t>
        </is>
      </c>
      <c r="C4" s="8" t="inlineStr">
        <is>
          <t>照会中</t>
        </is>
      </c>
      <c r="D4" s="6" t="inlineStr">
        <is>
          <t>事業計画上の総延長27,560mとの差</t>
        </is>
      </c>
      <c r="E4" s="6" t="inlineStr">
        <is>
          <t>提供資料「施設の概要.pdf」の管路施設・総延長（汚水）は27,560mであるのに対し、「管渠延長.pdf」の実績合計は25,270.66m。差は約2,290m。</t>
        </is>
      </c>
      <c r="F4" s="6" t="inlineStr">
        <is>
          <t>本文p.19・p.20</t>
        </is>
      </c>
      <c r="G4" s="6" t="inlineStr">
        <is>
          <t>管渠関係の数値が本文内で二重基準になる。</t>
        </is>
      </c>
    </row>
    <row r="5" ht="50" customHeight="1">
      <c r="A5" s="11" t="inlineStr">
        <is>
          <t>A-4</t>
        </is>
      </c>
      <c r="B5" s="13" t="inlineStr">
        <is>
          <t>中</t>
        </is>
      </c>
      <c r="C5" s="16" t="inlineStr">
        <is>
          <t>照会中</t>
        </is>
      </c>
      <c r="D5" s="12" t="inlineStr">
        <is>
          <t>処理場の処理能力（論点F）</t>
        </is>
      </c>
      <c r="E5" s="12" t="inlineStr">
        <is>
          <t>提供資料は1,520㎥/日（760㎥/日×2池）。一方、令和5年度の有収水量357,117㎥を有収率101.76%で割り戻すと総処理水量は約962㎥/日となり、経営比較分析表の施設利用率71.78%で割り戻すと1日処理能力は約1,340㎥/日となる。約12%の開きがある。</t>
        </is>
      </c>
      <c r="F5" s="12" t="inlineStr">
        <is>
          <t>本文p.20・経営指標の説明</t>
        </is>
      </c>
      <c r="G5" s="12" t="inlineStr">
        <is>
          <t>施設利用率の説明と処理能力の記載が整合しない。</t>
        </is>
      </c>
    </row>
    <row r="6" ht="50" customHeight="1">
      <c r="A6" s="5" t="inlineStr">
        <is>
          <t>A-5</t>
        </is>
      </c>
      <c r="B6" s="17" t="inlineStr">
        <is>
          <t>小</t>
        </is>
      </c>
      <c r="C6" s="8" t="inlineStr">
        <is>
          <t>照会中</t>
        </is>
      </c>
      <c r="D6" s="6" t="inlineStr">
        <is>
          <t>全体計画人口2,810人の出典</t>
        </is>
      </c>
      <c r="E6" s="6" t="inlineStr">
        <is>
          <t>本文p.2に「全体計画人口は2,810人と設定されていますが」とあるが、提供資料の計画区域内人口は2,661人（事業計画・目標年次令和7年度）であり、公表版にも2,810人の記載がない。</t>
        </is>
      </c>
      <c r="F6" s="6" t="inlineStr">
        <is>
          <t>本文p.2</t>
        </is>
      </c>
      <c r="G6" s="6" t="inlineStr">
        <is>
          <t>出典不明の数値が残る。</t>
        </is>
      </c>
    </row>
    <row r="7" ht="50" customHeight="1">
      <c r="A7" s="11" t="inlineStr">
        <is>
          <t>A-6</t>
        </is>
      </c>
      <c r="B7" s="13" t="inlineStr">
        <is>
          <t>中</t>
        </is>
      </c>
      <c r="C7" s="16" t="inlineStr">
        <is>
          <t>照会中</t>
        </is>
      </c>
      <c r="D7" s="12" t="inlineStr">
        <is>
          <t>簡易水道の実績値のご提供</t>
        </is>
      </c>
      <c r="E7" s="12" t="inlineStr">
        <is>
          <t>シミュレーションの「簡水過去」シートが三戸町の実績値（行政区域内人口11,023→8,699人等）のまま。下水道の試算には波及しないことを確認済みだが、同一ブック内の簡易水道の推計に影響する。</t>
        </is>
      </c>
      <c r="F7" s="12" t="inlineStr">
        <is>
          <t>Excel「簡水過去」「予測(2)P1〜P4」の簡水部分・「簡水現況予測」</t>
        </is>
      </c>
      <c r="G7" s="12" t="inlineStr">
        <is>
          <t>簡易水道側の推計が他団体データのまま残る。</t>
        </is>
      </c>
    </row>
    <row r="8" ht="50" customHeight="1">
      <c r="A8" s="5" t="inlineStr">
        <is>
          <t>B-1</t>
        </is>
      </c>
      <c r="B8" s="15" t="inlineStr">
        <is>
          <t>中</t>
        </is>
      </c>
      <c r="C8" s="8" t="inlineStr">
        <is>
          <t>方針待ち</t>
        </is>
      </c>
      <c r="D8" s="6" t="inlineStr">
        <is>
          <t>汚水処理原価が高い原因の記述（論点B）</t>
        </is>
      </c>
      <c r="E8" s="6" t="inlineStr">
        <is>
          <t>本文p.18は「現状の施設能力に対して稼働が正しく賄えていない状況です」としているが、公表版の分析欄は施設利用率71.78%（類似団体平均42.09%）をもって「全国平均や類似団体平均値と比較し高い利用率であり、適正規模での施設運営であるといえる」としており、説明が逆になっている。</t>
        </is>
      </c>
      <c r="F8" s="6" t="inlineStr">
        <is>
          <t>本文p.18（経営状況分析から見える本村の特徴）</t>
        </is>
      </c>
      <c r="G8" s="6" t="inlineStr">
        <is>
          <t>公表版と真逆の原因分析が並立する。</t>
        </is>
      </c>
    </row>
    <row r="9" ht="50" customHeight="1">
      <c r="A9" s="11" t="inlineStr">
        <is>
          <t>B-2</t>
        </is>
      </c>
      <c r="B9" s="18" t="inlineStr">
        <is>
          <t>大</t>
        </is>
      </c>
      <c r="C9" s="14" t="inlineStr">
        <is>
          <t>反映済</t>
        </is>
      </c>
      <c r="D9" s="12" t="inlineStr">
        <is>
          <t>将来人口の推計根拠（論点G）</t>
        </is>
      </c>
      <c r="E9" s="12" t="inlineStr">
        <is>
          <t>本文の同じ節（Ⅲ-1 有収水量の予測）の中で、説明文は「国立社会保障・人口問題研究所による推計から算出」、直後の前提条件ボックスは「第7期中札内村まちづくり計画より村独自推計」としており矛盾している。公表版3頁は村独自推計と明記。</t>
        </is>
      </c>
      <c r="F9" s="12" t="inlineStr">
        <is>
          <t>本文p.31（予測の考え方）・人口予測グラフ（p.23）・Excel「予測」シート</t>
        </is>
      </c>
      <c r="G9" s="12" t="inlineStr">
        <is>
          <t>推計の根拠が不明確なまま、以降の有収水量・使用料収入の予測全体の説明が成り立たない。</t>
        </is>
      </c>
    </row>
    <row r="10" ht="50" customHeight="1">
      <c r="A10" s="5" t="inlineStr">
        <is>
          <t>B-3</t>
        </is>
      </c>
      <c r="B10" s="15" t="inlineStr">
        <is>
          <t>中</t>
        </is>
      </c>
      <c r="C10" s="19" t="inlineStr">
        <is>
          <t>反映済</t>
        </is>
      </c>
      <c r="D10" s="6" t="inlineStr">
        <is>
          <t>普及率・水洗化率の平均年度（論点G付随）</t>
        </is>
      </c>
      <c r="E10" s="6" t="inlineStr">
        <is>
          <t>同じ節で、説明文は「令和4年度から令和6年度の3か年実績の平均」、前提条件ボックスは「令和3年度から令和5年度までの過去3か年実績の平均」としており食い違っている。</t>
        </is>
      </c>
      <c r="F10" s="6" t="inlineStr">
        <is>
          <t>本文p.31・Excel「予測」シートの係数</t>
        </is>
      </c>
      <c r="G10" s="6" t="inlineStr">
        <is>
          <t>推計の前提が二通り記載されたままになる。</t>
        </is>
      </c>
    </row>
    <row r="11" ht="50" customHeight="1">
      <c r="A11" s="11" t="inlineStr">
        <is>
          <t>B-4</t>
        </is>
      </c>
      <c r="B11" s="13" t="inlineStr">
        <is>
          <t>中</t>
        </is>
      </c>
      <c r="C11" s="14" t="inlineStr">
        <is>
          <t>反映済</t>
        </is>
      </c>
      <c r="D11" s="12" t="inlineStr">
        <is>
          <t>p.19に記載する下水道普及率</t>
        </is>
      </c>
      <c r="E11" s="12" t="inlineStr">
        <is>
          <t>現行は「村内での下水道普及率はほぼ100%となっています」で明らかに誤り。公表版では経営比較分析表が69.48%（令和5年度決算）、本体3頁が処理区域内人口比率70.9%としており、根拠が2通りある。</t>
        </is>
      </c>
      <c r="F11" s="12" t="inlineStr">
        <is>
          <t>本文p.19</t>
        </is>
      </c>
      <c r="G11" s="12" t="inlineStr">
        <is>
          <t>誤った普及率が残るか、公表値と異なる値を記載してしまう。</t>
        </is>
      </c>
    </row>
    <row r="12" ht="50" customHeight="1">
      <c r="A12" s="5" t="inlineStr">
        <is>
          <t>B-5</t>
        </is>
      </c>
      <c r="B12" s="17" t="inlineStr">
        <is>
          <t>小</t>
        </is>
      </c>
      <c r="C12" s="19" t="inlineStr">
        <is>
          <t>仮反映済</t>
        </is>
      </c>
      <c r="D12" s="6" t="inlineStr">
        <is>
          <t>「（管更生含む）」の但書の要否</t>
        </is>
      </c>
      <c r="E12" s="6" t="inlineStr">
        <is>
          <t>本文p.19の総管渠延長に「（管更生含む）」の但書があるが、経営比較分析表の管渠改善率は0.00%であり管更生の実績が確認できない。</t>
        </is>
      </c>
      <c r="F12" s="6" t="inlineStr">
        <is>
          <t>本文p.19</t>
        </is>
      </c>
      <c r="G12" s="6" t="inlineStr">
        <is>
          <t>実績のない但書が残る。</t>
        </is>
      </c>
    </row>
    <row r="13" ht="50" customHeight="1">
      <c r="A13" s="11" t="inlineStr">
        <is>
          <t>C-1</t>
        </is>
      </c>
      <c r="B13" s="18" t="inlineStr">
        <is>
          <t>大</t>
        </is>
      </c>
      <c r="C13" s="20" t="inlineStr">
        <is>
          <t>要再確認</t>
        </is>
      </c>
      <c r="D13" s="12" t="inlineStr">
        <is>
          <t>使用料改定の時期と改定率（論点C）</t>
        </is>
      </c>
      <c r="E13" s="12" t="inlineStr">
        <is>
          <t>公表版の投資・財政計画は令和8年度から料金収入を61,683千円→98,928千円（＋60.4%）とする引上げを織り込み済み。一方、改定案のシミュレーションは令和9年度からの10〜30%改定（採用案はパターン2＝15%）で、前提の大幅な下方修正かつ1年の後ろ倒しとなる。</t>
        </is>
      </c>
      <c r="F13" s="12" t="inlineStr">
        <is>
          <t>本文p.27〜32・ロードマップ・Excelシミュレーション全体／交付金の支給要件</t>
        </is>
      </c>
      <c r="G13" s="12" t="inlineStr">
        <is>
          <t>公表済みの方針を説明なく大幅に緩和することになり、交付金の要件審査で指摘を受けるおそれがある。</t>
        </is>
      </c>
    </row>
    <row r="14" ht="50" customHeight="1">
      <c r="A14" s="5" t="inlineStr">
        <is>
          <t>C-2</t>
        </is>
      </c>
      <c r="B14" s="7" t="inlineStr">
        <is>
          <t>大</t>
        </is>
      </c>
      <c r="C14" s="19" t="inlineStr">
        <is>
          <t>反映不要</t>
        </is>
      </c>
      <c r="D14" s="6" t="inlineStr">
        <is>
          <t>他会計補助金（繰入金）の前提（論点D）</t>
        </is>
      </c>
      <c r="E14" s="6" t="inlineStr">
        <is>
          <t>公表版は他会計補助金を令和7年度55,771千円としているのに対し、改定案のExcelは88,514千円（公表版の令和6年度値）を置いている。差は＋32,743千円。</t>
        </is>
      </c>
      <c r="F14" s="6" t="inlineStr">
        <is>
          <t>収支計画全体・経常収支比率・シミュレーションのパターン判定</t>
        </is>
      </c>
      <c r="G14" s="6" t="inlineStr">
        <is>
          <t>繰入金は経常収支比率を直接押し上げるため、パターン2が目標達成とされる根拠そのものが変わる。</t>
        </is>
      </c>
    </row>
    <row r="15" ht="50" customHeight="1">
      <c r="A15" s="11" t="inlineStr">
        <is>
          <t>C-3</t>
        </is>
      </c>
      <c r="B15" s="18" t="inlineStr">
        <is>
          <t>大</t>
        </is>
      </c>
      <c r="C15" s="16" t="inlineStr">
        <is>
          <t>方針待ち</t>
        </is>
      </c>
      <c r="D15" s="12" t="inlineStr">
        <is>
          <t>令和8年度以降の投資計画の配分</t>
        </is>
      </c>
      <c r="E15" s="12" t="inlineStr">
        <is>
          <t>令和7年度は93,100千円で公表版と一致することを確認したが、令和8年度以降は配分が大きく異なる（令和9年度：公表版424,000千円／改定案749,000千円、令和10年度：公表版192,000千円／改定案50,000千円、令和11年度：公表版19,426千円／改定案99,426千円）。</t>
        </is>
      </c>
      <c r="F15" s="12" t="inlineStr">
        <is>
          <t>本文p.25・p.26・収支計画全体</t>
        </is>
      </c>
      <c r="G15" s="12" t="inlineStr">
        <is>
          <t>投資額が動くと減価償却費・支払利息・企業債残高が連動し、収支計画とシミュレーション結果がすべて変わる。</t>
        </is>
      </c>
    </row>
    <row r="16" ht="50" customHeight="1">
      <c r="A16" s="5" t="inlineStr">
        <is>
          <t>C-4</t>
        </is>
      </c>
      <c r="B16" s="15" t="inlineStr">
        <is>
          <t>中</t>
        </is>
      </c>
      <c r="C16" s="8" t="inlineStr">
        <is>
          <t>方針待ち</t>
        </is>
      </c>
      <c r="D16" s="6" t="inlineStr">
        <is>
          <t>経営指標の目標値</t>
        </is>
      </c>
      <c r="E16" s="6" t="inlineStr">
        <is>
          <t>現行案は「経常収支比率を計画期間内で100%以上維持し、経費回収率を令和5年度基準57.86%から上昇させる」を目標としている。C-1〜C-3の決定とExcelの再計算により達成可否が変わる可能性がある。</t>
        </is>
      </c>
      <c r="F16" s="6" t="inlineStr">
        <is>
          <t>本文p.32・ロードマップ</t>
        </is>
      </c>
      <c r="G16" s="6" t="inlineStr">
        <is>
          <t>再計算後に目標未達となった場合、記載の整合が取れなくなる。</t>
        </is>
      </c>
    </row>
    <row r="17" ht="50" customHeight="1">
      <c r="A17" s="11" t="inlineStr">
        <is>
          <t>D-1</t>
        </is>
      </c>
      <c r="B17" s="21" t="inlineStr">
        <is>
          <t>小</t>
        </is>
      </c>
      <c r="C17" s="16" t="inlineStr">
        <is>
          <t>方針待ち</t>
        </is>
      </c>
      <c r="D17" s="12" t="inlineStr">
        <is>
          <t>「予測」シートの自治体設定の整理</t>
        </is>
      </c>
      <c r="E17" s="12" t="inlineStr">
        <is>
          <t>推計の自治体設定がA3:D3に「コード2441・青森県三戸町」のまま残っている。総人口等（12〜14行）は中札内村の値が直接入力されており推計式とは切れているが、設定行が残っていると出典説明と矛盾する。B-2の決定に連動する。</t>
        </is>
      </c>
      <c r="F17" s="12" t="inlineStr">
        <is>
          <t>Excel「予測」シート</t>
        </is>
      </c>
      <c r="G17" s="12" t="inlineStr">
        <is>
          <t>他団体名が残ったまま納品される。</t>
        </is>
      </c>
    </row>
    <row r="18" ht="50" customHeight="1">
      <c r="A18" s="5" t="inlineStr">
        <is>
          <t>D-2</t>
        </is>
      </c>
      <c r="B18" s="17" t="inlineStr">
        <is>
          <t>小</t>
        </is>
      </c>
      <c r="C18" s="8" t="inlineStr">
        <is>
          <t>方針待ち</t>
        </is>
      </c>
      <c r="D18" s="6" t="inlineStr">
        <is>
          <t>「下水過去」シートの扱い</t>
        </is>
      </c>
      <c r="E18" s="6" t="inlineStr">
        <is>
          <t>三戸町の実績値（行政区域内人口11,023→8,699人、使用料収入16,335→23,660千円等）。他シートからの参照はゼロであり、財政計算への波及はない。</t>
        </is>
      </c>
      <c r="F18" s="6" t="inlineStr">
        <is>
          <t>Excel「下水過去」シート</t>
        </is>
      </c>
      <c r="G18" s="6" t="inlineStr">
        <is>
          <t>他団体データが残ったまま納品される。</t>
        </is>
      </c>
    </row>
    <row r="19" ht="50" customHeight="1">
      <c r="A19" s="11" t="inlineStr">
        <is>
          <t>D-3</t>
        </is>
      </c>
      <c r="B19" s="21" t="inlineStr">
        <is>
          <t>小</t>
        </is>
      </c>
      <c r="C19" s="16" t="inlineStr">
        <is>
          <t>方針待ち</t>
        </is>
      </c>
      <c r="D19" s="12" t="inlineStr">
        <is>
          <t>「下水道現況予測」の体裁整理</t>
        </is>
      </c>
      <c r="E19" s="12" t="inlineStr">
        <is>
          <t>1行目が「3事業合算」（本村は特定環境保全公共下水道の1事業のみ）、13〜14行の普及率・水洗化率が#DIV/0!、外部リンクが小松市・東員町のブックを指したまま約960箇所ずつ参照している。</t>
        </is>
      </c>
      <c r="F19" s="12" t="inlineStr">
        <is>
          <t>Excel「下水道現況予測」シート</t>
        </is>
      </c>
      <c r="G19" s="12" t="inlineStr">
        <is>
          <t>エラー表示と他団体への外部リンクが残る。</t>
        </is>
      </c>
    </row>
    <row r="20" ht="50" customHeight="1">
      <c r="A20" s="5" t="inlineStr">
        <is>
          <t>D-4</t>
        </is>
      </c>
      <c r="B20" s="15" t="inlineStr">
        <is>
          <t>中</t>
        </is>
      </c>
      <c r="C20" s="8" t="inlineStr">
        <is>
          <t>方針待ち</t>
        </is>
      </c>
      <c r="D20" s="6" t="inlineStr">
        <is>
          <t>再計算後の図表貼り直しの範囲</t>
        </is>
      </c>
      <c r="E20" s="6" t="inlineStr">
        <is>
          <t>本文の図表はすべてExcelから貼り付けた画像（EMF 27点）であり、リンクされた表ではない。令和7年度の建設改良費が＋65,676千円となったため、減価償却費・支払利息・企業債残高が令和7年度以降で動く。</t>
        </is>
      </c>
      <c r="F20" s="6" t="inlineStr">
        <is>
          <t>本文p.21〜32の各図表</t>
        </is>
      </c>
      <c r="G20" s="6" t="inlineStr">
        <is>
          <t>本文の図表と最新の試算値が食い違ったまま残る。</t>
        </is>
      </c>
    </row>
    <row r="21" ht="50" customHeight="1">
      <c r="A21" s="11" t="inlineStr">
        <is>
          <t>E-1</t>
        </is>
      </c>
      <c r="B21" s="13" t="inlineStr">
        <is>
          <t>中</t>
        </is>
      </c>
      <c r="C21" s="16" t="inlineStr">
        <is>
          <t>照会中</t>
        </is>
      </c>
      <c r="D21" s="12" t="inlineStr">
        <is>
          <t>各給水区域の施設状況（表）のデータ</t>
        </is>
      </c>
      <c r="E21" s="12" t="inlineStr">
        <is>
          <t>簡易水道の本文p.17「■各給水区域の施設状況」が空欄のまま。本文には杉沢・蛇沼・大舌・貝守・袴田・横沢の6地区の管路延長と配水池設置年度が記載されているが、表に入れる施設諸元（水源種別・浄水方式・配水方式・施設能力・設置年度等）の一覧がない。</t>
        </is>
      </c>
      <c r="F21" s="12" t="inlineStr">
        <is>
          <t>簡易水道 本文p.17</t>
        </is>
      </c>
      <c r="G21" s="12" t="inlineStr">
        <is>
          <t>p.17の表が空欄のまま残り、本文を完成できない。</t>
        </is>
      </c>
    </row>
    <row r="22" ht="50" customHeight="1">
      <c r="A22" s="5" t="inlineStr">
        <is>
          <t>E-2</t>
        </is>
      </c>
      <c r="B22" s="15" t="inlineStr">
        <is>
          <t>中</t>
        </is>
      </c>
      <c r="C22" s="8" t="inlineStr">
        <is>
          <t>照会中</t>
        </is>
      </c>
      <c r="D22" s="6" t="inlineStr">
        <is>
          <t>横沢地区の管路延長</t>
        </is>
      </c>
      <c r="E22" s="6" t="inlineStr">
        <is>
          <t>簡易水道の本文p.17に「管路延長は杉沢で6,692ｍ、蛇沼で21,843ｍ、大舌で16,621ｍ、貝守で19,454ｍ、袴田で11,945ｍとなっており、横沢は不明です」とある。</t>
        </is>
      </c>
      <c r="F22" s="6" t="inlineStr">
        <is>
          <t>簡易水道 本文p.17</t>
        </is>
      </c>
      <c r="G22" s="6" t="inlineStr">
        <is>
          <t>公表物に「不明」の記載が残る。</t>
        </is>
      </c>
    </row>
    <row r="23" ht="50" customHeight="1">
      <c r="A23" s="11" t="inlineStr">
        <is>
          <t>E-3</t>
        </is>
      </c>
      <c r="B23" s="13" t="inlineStr">
        <is>
          <t>中</t>
        </is>
      </c>
      <c r="C23" s="14" t="inlineStr">
        <is>
          <t>反映済</t>
        </is>
      </c>
      <c r="D23" s="12" t="inlineStr">
        <is>
          <t>簡易水道本文の「国（県）補助金」表記</t>
        </is>
      </c>
      <c r="E23" s="12" t="inlineStr">
        <is>
          <t>簡易水道の本文p.31付近に「●国（県）補助金」「国庫（県）補助対象事業」が残っている。下水道側では同じ箇所について朱書きで「県」→「道」のご指示をいただき修正済み。</t>
        </is>
      </c>
      <c r="F23" s="12" t="inlineStr">
        <is>
          <t>簡易水道 本文（資本的収入の説明）</t>
        </is>
      </c>
      <c r="G23" s="12" t="inlineStr">
        <is>
          <t>同一団体の2つの戦略で表記が食い違う。</t>
        </is>
      </c>
    </row>
    <row r="24" ht="50" customHeight="1">
      <c r="A24" s="5" t="inlineStr">
        <is>
          <t>E-4</t>
        </is>
      </c>
      <c r="B24" s="17" t="inlineStr">
        <is>
          <t>小</t>
        </is>
      </c>
      <c r="C24" s="19" t="inlineStr">
        <is>
          <t>反映済</t>
        </is>
      </c>
      <c r="D24" s="6" t="inlineStr">
        <is>
          <t>資産活用の状況に下水道の例示が残存</t>
        </is>
      </c>
      <c r="E24" s="6" t="inlineStr">
        <is>
          <t>簡易水道の本文「資産活用の状況」の項目名が「（下水熱・下水汚泥・発電等）」となっており、下水道の様式がそのまま残っている。</t>
        </is>
      </c>
      <c r="F24" s="6" t="inlineStr">
        <is>
          <t>簡易水道 本文（資産活用の状況）</t>
        </is>
      </c>
      <c r="G24" s="6" t="inlineStr">
        <is>
          <t>下水道の用語が簡易水道の戦略に残る。</t>
        </is>
      </c>
    </row>
    <row r="25" ht="50" customHeight="1">
      <c r="A25" s="11" t="inlineStr">
        <is>
          <t>E-5</t>
        </is>
      </c>
      <c r="B25" s="21" t="inlineStr">
        <is>
          <t>小</t>
        </is>
      </c>
      <c r="C25" s="16" t="inlineStr">
        <is>
          <t>方針待ち</t>
        </is>
      </c>
      <c r="D25" s="12" t="inlineStr">
        <is>
          <t>「サンプル」表記と項目番号の重複</t>
        </is>
      </c>
      <c r="E25" s="12" t="inlineStr">
        <is>
          <t>簡易水道の本文に「4．施設の状況　サンプル」「【参考】サンプル」の赤字表記が残っている。また「（５）民間活力の活用等」と「（５）資産活用の状況」で項目番号が重複している。</t>
        </is>
      </c>
      <c r="F25" s="12" t="inlineStr">
        <is>
          <t>簡易水道 本文</t>
        </is>
      </c>
      <c r="G25" s="12" t="inlineStr">
        <is>
          <t>仮表記と番号重複が残ったまま公表される。</t>
        </is>
      </c>
    </row>
    <row r="26" ht="50" customHeight="1">
      <c r="A26" s="5" t="inlineStr">
        <is>
          <t>B-6</t>
        </is>
      </c>
      <c r="B26" s="17" t="inlineStr">
        <is>
          <t>小</t>
        </is>
      </c>
      <c r="C26" s="8" t="inlineStr">
        <is>
          <t>方針待ち</t>
        </is>
      </c>
      <c r="D26" s="6" t="inlineStr">
        <is>
          <t>有収水量原単位の年換算係数</t>
        </is>
      </c>
      <c r="E26" s="6" t="inlineStr">
        <is>
          <t>公表成果品の将来人口予測ファイルは有収水量原単位を0.249㎥/人/日（令和5年度実績）とし、日次で積み上げている（0.249×365＝90.885㎥/人/年）。一方、改定案のExcel「予測」シートは91.1㎥/人/年を直接乗じており、令和7年度で510㎥（0.21％）、使用料収入で約87千円/年の差が生じる。</t>
        </is>
      </c>
      <c r="F26" s="6" t="inlineStr">
        <is>
          <t>Excel「予測」シート19行・有収水量と使用料収入の予測（p.23・p.24）</t>
        </is>
      </c>
      <c r="G26" s="6" t="inlineStr">
        <is>
          <t>公表済みの成果品と推計方法が微妙に食い違ったまま残る。</t>
        </is>
      </c>
    </row>
    <row r="27" ht="79" customHeight="1">
      <c r="A27" s="11" t="inlineStr">
        <is>
          <t>C-7</t>
        </is>
      </c>
      <c r="B27" s="13" t="inlineStr">
        <is>
          <t>中</t>
        </is>
      </c>
      <c r="C27" s="16" t="inlineStr">
        <is>
          <t>方針待ち</t>
        </is>
      </c>
      <c r="D27" s="12" t="inlineStr">
        <is>
          <t>繰入金計算ブロックの技術的な不具合</t>
        </is>
      </c>
      <c r="E27" s="12" t="inlineStr">
        <is>
          <t>「下水道現況予測」98〜107行の他会計繰入金ブロックに3点の問題がある。①年度ラベル（99・100行）が「令和8年度／2026」始まりで、本体（25・26行および109行＝令和7年度／2025始まり）より1年ずれている。値そのものは本体と正しく対応している（102行の基準内繰入金が本体23行と完全一致）ため実害はないが、読み手が1年ずれて解釈する危険がある。②102行の基準内繰入金が直接入力の数値。本体23行は「＝P49−P35＋P51」の算式であり、現状は一致しているが、投資計画（C-3）や企業債を見直すと本体だけが動き繰入金が更新されない。③令和7年度の補助金（33行）88,514千円が直接入力。循環参照を断つアンカーとしては妥当だが根拠の記載がない。</t>
        </is>
      </c>
      <c r="F27" s="12" t="inlineStr">
        <is>
          <t>Excel「下水道現況予測」98〜107行・本文p.34の説明</t>
        </is>
      </c>
      <c r="G27" s="12" t="inlineStr">
        <is>
          <t>C-3（投資配分）を見直した際に繰入金が追随せず、収支計画が実態とずれる。</t>
        </is>
      </c>
    </row>
    <row r="28" ht="53" customHeight="1">
      <c r="A28" s="5" t="inlineStr">
        <is>
          <t>C-8</t>
        </is>
      </c>
      <c r="B28" s="15" t="inlineStr">
        <is>
          <t>中</t>
        </is>
      </c>
      <c r="C28" s="8" t="inlineStr">
        <is>
          <t>方針待ち</t>
        </is>
      </c>
      <c r="D28" s="6" t="inlineStr">
        <is>
          <t>経費回収率の定義が協議会資料と異なる</t>
        </is>
      </c>
      <c r="E28" s="6" t="inlineStr">
        <is>
          <t>同じ令和13年度で、経営戦略は51.03％、協議会資料は71.86％としている。経営戦略は総務省定義（使用料収入÷汚水処理費＝資本費込み119,166千円）、協議会資料は「控除後汚水処理費」（維持管理費93,025千円−不明水処理費8,406千円＝84,619千円、資本費0）を分母としている。なお経常収支比率は両者とも99.22％、使用料収入も60,808千円で完全に一致しており、ベースラインのモデル自体は整合している。</t>
        </is>
      </c>
      <c r="F28" s="6" t="inlineStr">
        <is>
          <t>本文p.18・p.32・ロードマップ／協議会資料</t>
        </is>
      </c>
      <c r="G28" s="6" t="inlineStr">
        <is>
          <t>同一年度の同一指標が2つの公表物で20ポイント以上食い違う。</t>
        </is>
      </c>
    </row>
    <row r="29" ht="66" customHeight="1">
      <c r="A29" s="11" t="inlineStr">
        <is>
          <t>C-9</t>
        </is>
      </c>
      <c r="B29" s="18" t="inlineStr">
        <is>
          <t>大</t>
        </is>
      </c>
      <c r="C29" s="16" t="inlineStr">
        <is>
          <t>方針待ち</t>
        </is>
      </c>
      <c r="D29" s="12" t="inlineStr">
        <is>
          <t>改定の構造が協議会の方向性と根本的に異なる</t>
        </is>
      </c>
      <c r="E29" s="12" t="inlineStr">
        <is>
          <t>協議会は「水質使用料（高濃度汚水を排出する工場へ1㎥あたり約100円を新設・約12,000千円）」と「一般改定（基本＋100円/月・超過＋10円/㎥・約4,490千円）」の2本立てで、令和13年度の不足額12,735千円を充足する方向。一般家庭20㎥の負担は3,600円→3,800円（＋5.6％）にとどまる。一方、改定案のシミュレーションは使用料単価に一律の改定率（10/15/20/30％）を乗じる構造で、水質使用料という区分がなく、工場排水にも一般家庭にも同率がかかる。一律15％なら20㎥世帯は4,140円（＋540円）となり、協議会案（＋200円）とは負担の姿が全く違う。</t>
        </is>
      </c>
      <c r="F29" s="12" t="inlineStr">
        <is>
          <t>Excel「予測」「予測(2)P1〜P4」「下水道現況予測」各シート・本文p.27〜32・ロードマップ</t>
        </is>
      </c>
      <c r="G29" s="12" t="inlineStr">
        <is>
          <t>経営戦略のシミュレーションと協議会で説明している改定案が別物のまま公表される。</t>
        </is>
      </c>
    </row>
  </sheetData>
  <autoFilter ref="A1:G29"/>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0" customWidth="1" min="1" max="1"/>
    <col width="34" customWidth="1" min="2" max="2"/>
    <col width="34" customWidth="1" min="3" max="3"/>
    <col width="34" customWidth="1" min="4" max="4"/>
    <col width="34" customWidth="1" min="5" max="5"/>
    <col width="34" customWidth="1" min="6" max="6"/>
  </cols>
  <sheetData>
    <row r="1">
      <c r="A1" s="44" t="inlineStr">
        <is>
          <t>※　このシートは「確認結果入力」シートのプルダウンの元データです。編集しないでください。</t>
        </is>
      </c>
    </row>
    <row r="2">
      <c r="A2" s="41" t="inlineStr">
        <is>
          <t>ID</t>
        </is>
      </c>
      <c r="B2" s="41" t="inlineStr">
        <is>
          <t>選択肢1</t>
        </is>
      </c>
      <c r="C2" s="41" t="inlineStr">
        <is>
          <t>選択肢2</t>
        </is>
      </c>
      <c r="D2" s="41" t="inlineStr">
        <is>
          <t>選択肢3</t>
        </is>
      </c>
      <c r="E2" s="41" t="inlineStr">
        <is>
          <t>選択肢4</t>
        </is>
      </c>
      <c r="F2" s="41" t="inlineStr">
        <is>
          <t>選択肢5</t>
        </is>
      </c>
    </row>
    <row r="3">
      <c r="A3" s="22" t="inlineStr">
        <is>
          <t>A-1</t>
        </is>
      </c>
      <c r="B3" s="6" t="inlineStr">
        <is>
          <t>提供済み</t>
        </is>
      </c>
      <c r="C3" s="6" t="inlineStr">
        <is>
          <t>提供予定</t>
        </is>
      </c>
      <c r="D3" s="6" t="inlineStr">
        <is>
          <t>提供不可</t>
        </is>
      </c>
      <c r="E3" s="6" t="inlineStr">
        <is>
          <t>未定</t>
        </is>
      </c>
    </row>
    <row r="4">
      <c r="A4" s="22" t="inlineStr">
        <is>
          <t>A-2</t>
        </is>
      </c>
      <c r="B4" s="6" t="inlineStr">
        <is>
          <t>令和5年度末時点として記載</t>
        </is>
      </c>
      <c r="C4" s="6" t="inlineStr">
        <is>
          <t>令和7年度時点として記載</t>
        </is>
      </c>
      <c r="D4" s="6" t="inlineStr">
        <is>
          <t>その他</t>
        </is>
      </c>
      <c r="E4" s="6" t="inlineStr">
        <is>
          <t>未定</t>
        </is>
      </c>
    </row>
    <row r="5">
      <c r="A5" s="22" t="inlineStr">
        <is>
          <t>A-3</t>
        </is>
      </c>
      <c r="B5" s="6" t="inlineStr">
        <is>
          <t>実績値25,270.66mを記載</t>
        </is>
      </c>
      <c r="C5" s="6" t="inlineStr">
        <is>
          <t>計画値27,560mを記載</t>
        </is>
      </c>
      <c r="D5" s="6" t="inlineStr">
        <is>
          <t>両方を併記</t>
        </is>
      </c>
      <c r="E5" s="6" t="inlineStr">
        <is>
          <t>その他</t>
        </is>
      </c>
      <c r="F5" s="6" t="inlineStr">
        <is>
          <t>未定</t>
        </is>
      </c>
    </row>
    <row r="6">
      <c r="A6" s="22" t="inlineStr">
        <is>
          <t>A-4</t>
        </is>
      </c>
      <c r="B6" s="6" t="inlineStr">
        <is>
          <t>1,520㎥/日（提供資料）を記載</t>
        </is>
      </c>
      <c r="C6" s="6" t="inlineStr">
        <is>
          <t>現有能力の実数値を記載</t>
        </is>
      </c>
      <c r="D6" s="6" t="inlineStr">
        <is>
          <t>その他</t>
        </is>
      </c>
      <c r="E6" s="6" t="inlineStr">
        <is>
          <t>未定</t>
        </is>
      </c>
    </row>
    <row r="7">
      <c r="A7" s="22" t="inlineStr">
        <is>
          <t>A-5</t>
        </is>
      </c>
      <c r="B7" s="6" t="inlineStr">
        <is>
          <t>全体計画（令和13年度）の値</t>
        </is>
      </c>
      <c r="C7" s="6" t="inlineStr">
        <is>
          <t>事業計画（令和7年度）の2,661人に置換</t>
        </is>
      </c>
      <c r="D7" s="6" t="inlineStr">
        <is>
          <t>その他</t>
        </is>
      </c>
      <c r="E7" s="6" t="inlineStr">
        <is>
          <t>未定</t>
        </is>
      </c>
    </row>
    <row r="8">
      <c r="A8" s="22" t="inlineStr">
        <is>
          <t>A-6</t>
        </is>
      </c>
      <c r="B8" s="6" t="inlineStr">
        <is>
          <t>提供済み</t>
        </is>
      </c>
      <c r="C8" s="6" t="inlineStr">
        <is>
          <t>提供予定</t>
        </is>
      </c>
      <c r="D8" s="6" t="inlineStr">
        <is>
          <t>提供不可</t>
        </is>
      </c>
      <c r="E8" s="6" t="inlineStr">
        <is>
          <t>未定</t>
        </is>
      </c>
    </row>
    <row r="9">
      <c r="A9" s="22" t="inlineStr">
        <is>
          <t>B-1</t>
        </is>
      </c>
      <c r="B9" s="6" t="inlineStr">
        <is>
          <t>公表版に合わせ「人口密度が低く資本費負担が大きい」旨に改める</t>
        </is>
      </c>
      <c r="C9" s="6" t="inlineStr">
        <is>
          <t>現行の記述を維持</t>
        </is>
      </c>
      <c r="D9" s="6" t="inlineStr">
        <is>
          <t>両論を併記</t>
        </is>
      </c>
      <c r="E9" s="6" t="inlineStr">
        <is>
          <t>その他</t>
        </is>
      </c>
      <c r="F9" s="6" t="inlineStr">
        <is>
          <t>未定</t>
        </is>
      </c>
    </row>
    <row r="10">
      <c r="A10" s="22" t="inlineStr">
        <is>
          <t>B-2</t>
        </is>
      </c>
      <c r="B10" s="6" t="inlineStr">
        <is>
          <t>村独自推計（第7期まちづくり計画）に統一</t>
        </is>
      </c>
      <c r="C10" s="6" t="inlineStr">
        <is>
          <t>社人研推計に統一</t>
        </is>
      </c>
      <c r="D10" s="6" t="inlineStr">
        <is>
          <t>その他</t>
        </is>
      </c>
      <c r="E10" s="6" t="inlineStr">
        <is>
          <t>未定</t>
        </is>
      </c>
    </row>
    <row r="11">
      <c r="A11" s="22" t="inlineStr">
        <is>
          <t>B-3</t>
        </is>
      </c>
      <c r="B11" s="6" t="inlineStr">
        <is>
          <t>令和3〜5年度</t>
        </is>
      </c>
      <c r="C11" s="6" t="inlineStr">
        <is>
          <t>令和4〜6年度</t>
        </is>
      </c>
      <c r="D11" s="6" t="inlineStr">
        <is>
          <t>その他</t>
        </is>
      </c>
      <c r="E11" s="6" t="inlineStr">
        <is>
          <t>未定</t>
        </is>
      </c>
    </row>
    <row r="12">
      <c r="A12" s="22" t="inlineStr">
        <is>
          <t>B-4</t>
        </is>
      </c>
      <c r="B12" s="6" t="inlineStr">
        <is>
          <t>69.48%（経営比較分析表・普及率）</t>
        </is>
      </c>
      <c r="C12" s="6" t="inlineStr">
        <is>
          <t>70.9%（処理区域内人口比率）</t>
        </is>
      </c>
      <c r="D12" s="6" t="inlineStr">
        <is>
          <t>その他</t>
        </is>
      </c>
      <c r="E12" s="6" t="inlineStr">
        <is>
          <t>未定</t>
        </is>
      </c>
    </row>
    <row r="13">
      <c r="A13" s="22" t="inlineStr">
        <is>
          <t>B-5</t>
        </is>
      </c>
      <c r="B13" s="6" t="inlineStr">
        <is>
          <t>削除する</t>
        </is>
      </c>
      <c r="C13" s="6" t="inlineStr">
        <is>
          <t>残す（管更生の実績あり）</t>
        </is>
      </c>
      <c r="D13" s="6" t="inlineStr">
        <is>
          <t>その他</t>
        </is>
      </c>
      <c r="E13" s="6" t="inlineStr">
        <is>
          <t>未定</t>
        </is>
      </c>
    </row>
    <row r="14">
      <c r="A14" s="22" t="inlineStr">
        <is>
          <t>C-1</t>
        </is>
      </c>
      <c r="B14" s="6" t="inlineStr">
        <is>
          <t>改定案どおり 令和9年度・15%（パターン2）</t>
        </is>
      </c>
      <c r="C14" s="6" t="inlineStr">
        <is>
          <t>公表版どおり 令和8年度・約60%</t>
        </is>
      </c>
      <c r="D14" s="6" t="inlineStr">
        <is>
          <t>別の時期・率を設定</t>
        </is>
      </c>
      <c r="E14" s="6" t="inlineStr">
        <is>
          <t>その他</t>
        </is>
      </c>
      <c r="F14" s="6" t="inlineStr">
        <is>
          <t>未定</t>
        </is>
      </c>
    </row>
    <row r="15">
      <c r="A15" s="22" t="inlineStr">
        <is>
          <t>C-2</t>
        </is>
      </c>
      <c r="B15" s="6" t="inlineStr">
        <is>
          <t>改定案どおり 88,514千円</t>
        </is>
      </c>
      <c r="C15" s="6" t="inlineStr">
        <is>
          <t>公表版どおり 55,771千円</t>
        </is>
      </c>
      <c r="D15" s="6" t="inlineStr">
        <is>
          <t>別途設定</t>
        </is>
      </c>
      <c r="E15" s="6" t="inlineStr">
        <is>
          <t>その他</t>
        </is>
      </c>
      <c r="F15" s="6" t="inlineStr">
        <is>
          <t>未定</t>
        </is>
      </c>
    </row>
    <row r="16">
      <c r="A16" s="22" t="inlineStr">
        <is>
          <t>C-3</t>
        </is>
      </c>
      <c r="B16" s="6" t="inlineStr">
        <is>
          <t>改定案の配分で確定</t>
        </is>
      </c>
      <c r="C16" s="6" t="inlineStr">
        <is>
          <t>公表版の配分に戻す</t>
        </is>
      </c>
      <c r="D16" s="6" t="inlineStr">
        <is>
          <t>別途調整</t>
        </is>
      </c>
      <c r="E16" s="6" t="inlineStr">
        <is>
          <t>その他</t>
        </is>
      </c>
      <c r="F16" s="6" t="inlineStr">
        <is>
          <t>未定</t>
        </is>
      </c>
    </row>
    <row r="17">
      <c r="A17" s="22" t="inlineStr">
        <is>
          <t>C-4</t>
        </is>
      </c>
      <c r="B17" s="6" t="inlineStr">
        <is>
          <t>現行の目標値を維持</t>
        </is>
      </c>
      <c r="C17" s="6" t="inlineStr">
        <is>
          <t>再計算結果を踏まえて見直す</t>
        </is>
      </c>
      <c r="D17" s="6" t="inlineStr">
        <is>
          <t>その他</t>
        </is>
      </c>
      <c r="E17" s="6" t="inlineStr">
        <is>
          <t>未定</t>
        </is>
      </c>
    </row>
    <row r="18">
      <c r="A18" s="22" t="inlineStr">
        <is>
          <t>D-1</t>
        </is>
      </c>
      <c r="B18" s="6" t="inlineStr">
        <is>
          <t>設定行を削除する</t>
        </is>
      </c>
      <c r="C18" s="6" t="inlineStr">
        <is>
          <t>中札内村の値に置換する</t>
        </is>
      </c>
      <c r="D18" s="6" t="inlineStr">
        <is>
          <t>現状のまま残す</t>
        </is>
      </c>
      <c r="E18" s="6" t="inlineStr">
        <is>
          <t>その他</t>
        </is>
      </c>
      <c r="F18" s="6" t="inlineStr">
        <is>
          <t>未定</t>
        </is>
      </c>
    </row>
    <row r="19">
      <c r="A19" s="22" t="inlineStr">
        <is>
          <t>D-2</t>
        </is>
      </c>
      <c r="B19" s="6" t="inlineStr">
        <is>
          <t>中札内村の実績に置換する</t>
        </is>
      </c>
      <c r="C19" s="6" t="inlineStr">
        <is>
          <t>シートを削除する</t>
        </is>
      </c>
      <c r="D19" s="6" t="inlineStr">
        <is>
          <t>現状のまま残す</t>
        </is>
      </c>
      <c r="E19" s="6" t="inlineStr">
        <is>
          <t>その他</t>
        </is>
      </c>
      <c r="F19" s="6" t="inlineStr">
        <is>
          <t>未定</t>
        </is>
      </c>
    </row>
    <row r="20">
      <c r="A20" s="22" t="inlineStr">
        <is>
          <t>D-3</t>
        </is>
      </c>
      <c r="B20" s="6" t="inlineStr">
        <is>
          <t>すべて整理する</t>
        </is>
      </c>
      <c r="C20" s="6" t="inlineStr">
        <is>
          <t>表示に出る部分のみ整理</t>
        </is>
      </c>
      <c r="D20" s="6" t="inlineStr">
        <is>
          <t>現状のまま残す</t>
        </is>
      </c>
      <c r="E20" s="6" t="inlineStr">
        <is>
          <t>その他</t>
        </is>
      </c>
      <c r="F20" s="6" t="inlineStr">
        <is>
          <t>未定</t>
        </is>
      </c>
    </row>
    <row r="21">
      <c r="A21" s="22" t="inlineStr">
        <is>
          <t>D-4</t>
        </is>
      </c>
      <c r="B21" s="6" t="inlineStr">
        <is>
          <t>数値が動いた図表のみ差し替え</t>
        </is>
      </c>
      <c r="C21" s="6" t="inlineStr">
        <is>
          <t>p.21〜32の全図表を差し替え</t>
        </is>
      </c>
      <c r="D21" s="6" t="inlineStr">
        <is>
          <t>その他</t>
        </is>
      </c>
      <c r="E21" s="6" t="inlineStr">
        <is>
          <t>未定</t>
        </is>
      </c>
    </row>
    <row r="22">
      <c r="A22" s="22" t="inlineStr">
        <is>
          <t>E-1</t>
        </is>
      </c>
      <c r="B22" s="6" t="inlineStr">
        <is>
          <t>提供済み</t>
        </is>
      </c>
      <c r="C22" s="6" t="inlineStr">
        <is>
          <t>提供予定</t>
        </is>
      </c>
      <c r="D22" s="6" t="inlineStr">
        <is>
          <t>提供不可</t>
        </is>
      </c>
      <c r="E22" s="6" t="inlineStr">
        <is>
          <t>未定</t>
        </is>
      </c>
    </row>
    <row r="23">
      <c r="A23" s="22" t="inlineStr">
        <is>
          <t>E-2</t>
        </is>
      </c>
      <c r="B23" s="6" t="inlineStr">
        <is>
          <t>実数値をご提供</t>
        </is>
      </c>
      <c r="C23" s="6" t="inlineStr">
        <is>
          <t>「不明」のまま記載</t>
        </is>
      </c>
      <c r="D23" s="6" t="inlineStr">
        <is>
          <t>項目ごと削除</t>
        </is>
      </c>
      <c r="E23" s="6" t="inlineStr">
        <is>
          <t>その他</t>
        </is>
      </c>
      <c r="F23" s="6" t="inlineStr">
        <is>
          <t>未定</t>
        </is>
      </c>
    </row>
    <row r="24">
      <c r="A24" s="22" t="inlineStr">
        <is>
          <t>E-3</t>
        </is>
      </c>
      <c r="B24" s="6" t="inlineStr">
        <is>
          <t>下水道と同様に「道」へ修正</t>
        </is>
      </c>
      <c r="C24" s="6" t="inlineStr">
        <is>
          <t>現行のまま</t>
        </is>
      </c>
      <c r="D24" s="6" t="inlineStr">
        <is>
          <t>その他</t>
        </is>
      </c>
      <c r="E24" s="6" t="inlineStr">
        <is>
          <t>未定</t>
        </is>
      </c>
    </row>
    <row r="25">
      <c r="A25" s="22" t="inlineStr">
        <is>
          <t>E-4</t>
        </is>
      </c>
      <c r="B25" s="6" t="inlineStr">
        <is>
          <t>簡易水道に即した例示へ改める</t>
        </is>
      </c>
      <c r="C25" s="6" t="inlineStr">
        <is>
          <t>項目ごと削除</t>
        </is>
      </c>
      <c r="D25" s="6" t="inlineStr">
        <is>
          <t>現行のまま</t>
        </is>
      </c>
      <c r="E25" s="6" t="inlineStr">
        <is>
          <t>その他</t>
        </is>
      </c>
      <c r="F25" s="6" t="inlineStr">
        <is>
          <t>未定</t>
        </is>
      </c>
    </row>
    <row r="26">
      <c r="A26" s="22" t="inlineStr">
        <is>
          <t>E-5</t>
        </is>
      </c>
      <c r="B26" s="6" t="inlineStr">
        <is>
          <t>いずれも整理する</t>
        </is>
      </c>
      <c r="C26" s="6" t="inlineStr">
        <is>
          <t>本文確定時にまとめて整理</t>
        </is>
      </c>
      <c r="D26" s="6" t="inlineStr">
        <is>
          <t>現行のまま</t>
        </is>
      </c>
      <c r="E26" s="6" t="inlineStr">
        <is>
          <t>その他</t>
        </is>
      </c>
      <c r="F26" s="6" t="inlineStr">
        <is>
          <t>未定</t>
        </is>
      </c>
    </row>
    <row r="27">
      <c r="A27" s="22" t="inlineStr">
        <is>
          <t>B-6</t>
        </is>
      </c>
      <c r="B27" s="6" t="inlineStr">
        <is>
          <t>成果品と同じ0.249㎥/人/日へ揃える</t>
        </is>
      </c>
      <c r="C27" s="6" t="inlineStr">
        <is>
          <t>現行の91.1㎥/人/年を維持</t>
        </is>
      </c>
      <c r="D27" s="6" t="inlineStr">
        <is>
          <t>その他</t>
        </is>
      </c>
      <c r="E27" s="6" t="inlineStr">
        <is>
          <t>未定</t>
        </is>
      </c>
    </row>
    <row r="28">
      <c r="A28" s="22" t="inlineStr">
        <is>
          <t>C-7</t>
        </is>
      </c>
      <c r="B28" s="6" t="inlineStr">
        <is>
          <t>3点とも対応する</t>
        </is>
      </c>
      <c r="C28" s="6" t="inlineStr">
        <is>
          <t>①②のみ対応</t>
        </is>
      </c>
      <c r="D28" s="6" t="inlineStr">
        <is>
          <t>現状のまま</t>
        </is>
      </c>
      <c r="E28" s="6" t="inlineStr">
        <is>
          <t>その他</t>
        </is>
      </c>
      <c r="F28" s="6" t="inlineStr">
        <is>
          <t>未定</t>
        </is>
      </c>
    </row>
    <row r="29">
      <c r="A29" s="22" t="inlineStr">
        <is>
          <t>C-8</t>
        </is>
      </c>
      <c r="B29" s="6" t="inlineStr">
        <is>
          <t>総務省定義（資本費込み）で統一</t>
        </is>
      </c>
      <c r="C29" s="6" t="inlineStr">
        <is>
          <t>協議会資料の定義に合わせる</t>
        </is>
      </c>
      <c r="D29" s="6" t="inlineStr">
        <is>
          <t>両論を併記</t>
        </is>
      </c>
      <c r="E29" s="6" t="inlineStr">
        <is>
          <t>その他</t>
        </is>
      </c>
      <c r="F29" s="6" t="inlineStr">
        <is>
          <t>未定</t>
        </is>
      </c>
    </row>
    <row r="30">
      <c r="A30" s="22" t="inlineStr">
        <is>
          <t>C-9</t>
        </is>
      </c>
      <c r="B30" s="6" t="inlineStr">
        <is>
          <t>協議会案の構造に作り替える</t>
        </is>
      </c>
      <c r="C30" s="6" t="inlineStr">
        <is>
          <t>現行の一律％改定を維持</t>
        </is>
      </c>
      <c r="D30" s="6" t="inlineStr">
        <is>
          <t>両方を併記</t>
        </is>
      </c>
      <c r="E30" s="6" t="inlineStr">
        <is>
          <t>その他</t>
        </is>
      </c>
      <c r="F30" s="6" t="inlineStr">
        <is>
          <t>未定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2026-10-01T05:33:28Z</dcterms:created>
  <dcterms:modified xmlns:dcterms="http://purl.org/dc/terms/" xmlns:xsi="http://www.w3.org/2001/XMLSchema-instance" xsi:type="dcterms:W3CDTF">2026-10-01T05:33:28Z</dcterms:modified>
</cp:coreProperties>
</file>