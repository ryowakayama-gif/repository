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結果入力" sheetId="1" state="visible" r:id="rId1"/>
    <sheet xmlns:r="http://schemas.openxmlformats.org/officeDocument/2006/relationships" name="凡例・記入要領" sheetId="2" state="visible" r:id="rId2"/>
    <sheet xmlns:r="http://schemas.openxmlformats.org/officeDocument/2006/relationships" name="確認事項の詳細" sheetId="3" state="visible" r:id="rId3"/>
    <sheet xmlns:r="http://schemas.openxmlformats.org/officeDocument/2006/relationships" name="選択肢マスタ" sheetId="4" state="visible" r:id="rId4"/>
  </sheets>
  <definedNames>
    <definedName name="_xlnm._FilterDatabase" localSheetId="0" hidden="1">'確認結果入力'!$A$4:$L$28</definedName>
    <definedName name="_xlnm.Print_Titles" localSheetId="0">'確認結果入力'!$4:$4</definedName>
    <definedName name="_xlnm._FilterDatabase" localSheetId="2" hidden="1">'確認事項の詳細'!$A$1:$G$25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3">
    <font>
      <name val="Calibri"/>
      <family val="2"/>
      <color theme="1"/>
      <sz val="11"/>
      <scheme val="minor"/>
    </font>
    <font>
      <name val="Yu Gothic"/>
      <b val="1"/>
      <color rgb="001A2422"/>
      <sz val="14"/>
    </font>
    <font>
      <name val="Yu Gothic"/>
      <b val="1"/>
      <color rgb="008A6512"/>
      <sz val="10"/>
    </font>
    <font>
      <name val="Yu Gothic"/>
      <color rgb="005E6B67"/>
      <sz val="9"/>
    </font>
    <font>
      <name val="Yu Gothic"/>
      <b val="1"/>
      <color rgb="001A2422"/>
      <sz val="10"/>
    </font>
    <font>
      <name val="Yu Gothic"/>
      <b val="1"/>
      <color rgb="001A2422"/>
      <sz val="9"/>
    </font>
    <font>
      <name val="Yu Gothic"/>
      <color rgb="001A2422"/>
      <sz val="9"/>
    </font>
    <font>
      <name val="Yu Gothic"/>
      <b val="1"/>
      <color rgb="00A33520"/>
      <sz val="10"/>
    </font>
    <font>
      <name val="Yu Gothic"/>
      <b val="1"/>
      <color rgb="008A6512"/>
      <sz val="9"/>
    </font>
    <font>
      <name val="Yu Gothic"/>
      <color rgb="001A2422"/>
      <sz val="10"/>
    </font>
    <font>
      <name val="Yu Gothic"/>
      <b val="1"/>
      <color rgb="002F6B45"/>
      <sz val="9"/>
    </font>
    <font>
      <name val="Yu Gothic"/>
      <b val="1"/>
      <color rgb="002F6B45"/>
      <sz val="10"/>
    </font>
    <font>
      <name val="Yu Gothic"/>
      <b val="1"/>
      <color rgb="000E5E62"/>
      <sz val="11"/>
    </font>
  </fonts>
  <fills count="6">
    <fill>
      <patternFill/>
    </fill>
    <fill>
      <patternFill patternType="gray125"/>
    </fill>
    <fill>
      <patternFill patternType="solid">
        <fgColor rgb="00DCE6E3"/>
      </patternFill>
    </fill>
    <fill>
      <patternFill patternType="solid">
        <fgColor rgb="00FFF7D6"/>
      </patternFill>
    </fill>
    <fill>
      <patternFill patternType="solid">
        <fgColor rgb="00F5F8F7"/>
      </patternFill>
    </fill>
    <fill>
      <patternFill patternType="solid">
        <fgColor rgb="00EFF4F2"/>
      </patternFill>
    </fill>
  </fills>
  <borders count="6">
    <border>
      <left/>
      <right/>
      <top/>
      <bottom/>
      <diagonal/>
    </border>
    <border>
      <left style="thin">
        <color rgb="00C8D2CE"/>
      </left>
      <right style="thin">
        <color rgb="00C8D2CE"/>
      </right>
      <top style="thin">
        <color rgb="00C8D2CE"/>
      </top>
      <bottom style="thin">
        <color rgb="00C8D2CE"/>
      </bottom>
    </border>
    <border>
      <left/>
      <right/>
      <top style="thin">
        <color rgb="00C8D2CE"/>
      </top>
      <bottom/>
      <diagonal/>
    </border>
    <border>
      <left/>
      <right style="thin">
        <color rgb="00C8D2CE"/>
      </right>
      <top style="thin">
        <color rgb="00C8D2CE"/>
      </top>
      <bottom/>
      <diagonal/>
    </border>
    <border>
      <left/>
      <right/>
      <top style="thin">
        <color rgb="00C8D2CE"/>
      </top>
      <bottom style="thin">
        <color rgb="00C8D2CE"/>
      </bottom>
      <diagonal/>
    </border>
    <border>
      <left/>
      <right style="thin">
        <color rgb="00C8D2CE"/>
      </right>
      <top style="thin">
        <color rgb="00C8D2CE"/>
      </top>
      <bottom style="thin">
        <color rgb="00C8D2CE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164" fontId="9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26" customWidth="1" min="5" max="5"/>
    <col width="48" customWidth="1" min="6" max="6"/>
    <col width="32" customWidth="1" min="7" max="7"/>
    <col width="28" customWidth="1" min="8" max="8"/>
    <col width="36" customWidth="1" min="9" max="9"/>
    <col width="12" customWidth="1" min="10" max="10"/>
    <col width="12" customWidth="1" min="11" max="11"/>
    <col width="24" customWidth="1" min="12" max="12"/>
  </cols>
  <sheetData>
    <row r="1" ht="24" customHeight="1">
      <c r="A1" s="1" t="inlineStr">
        <is>
          <t>中札内村下水道事業経営戦略（案）　確認結果入力シート</t>
        </is>
      </c>
      <c r="H1" s="2" t="inlineStr">
        <is>
          <t>← 黄色のセルにご記入ください</t>
        </is>
      </c>
    </row>
    <row r="2" ht="18" customHeight="1">
      <c r="A2" s="3" t="inlineStr">
        <is>
          <t>作成日 令和8（2026）年10月2日　／　全24件（影響度 大5件・中12件・小7件）　／　IDは別添Wordの確認事項IDと対応</t>
        </is>
      </c>
    </row>
    <row r="4" ht="30" customHeight="1">
      <c r="A4" s="4" t="inlineStr">
        <is>
          <t>ID</t>
        </is>
      </c>
      <c r="B4" s="4" t="inlineStr">
        <is>
          <t>区分</t>
        </is>
      </c>
      <c r="C4" s="4" t="inlineStr">
        <is>
          <t>影響度</t>
        </is>
      </c>
      <c r="D4" s="4" t="inlineStr">
        <is>
          <t>状態</t>
        </is>
      </c>
      <c r="E4" s="4" t="inlineStr">
        <is>
          <t>確認事項</t>
        </is>
      </c>
      <c r="F4" s="4" t="inlineStr">
        <is>
          <t>確認したいこと</t>
        </is>
      </c>
      <c r="G4" s="4" t="inlineStr">
        <is>
          <t>選択肢</t>
        </is>
      </c>
      <c r="H4" s="4" t="inlineStr">
        <is>
          <t>ご回答</t>
        </is>
      </c>
      <c r="I4" s="4" t="inlineStr">
        <is>
          <t>補足・回答内容</t>
        </is>
      </c>
      <c r="J4" s="4" t="inlineStr">
        <is>
          <t>決定者</t>
        </is>
      </c>
      <c r="K4" s="4" t="inlineStr">
        <is>
          <t>決定日</t>
        </is>
      </c>
      <c r="L4" s="4" t="inlineStr">
        <is>
          <t>社内メモ</t>
        </is>
      </c>
    </row>
    <row r="5" ht="53" customHeight="1">
      <c r="A5" s="5" t="inlineStr">
        <is>
          <t>A-1</t>
        </is>
      </c>
      <c r="B5" s="6" t="inlineStr">
        <is>
          <t>A．事実確認・資料提供（村へ照会）</t>
        </is>
      </c>
      <c r="C5" s="7" t="inlineStr">
        <is>
          <t>大</t>
        </is>
      </c>
      <c r="D5" s="8" t="inlineStr">
        <is>
          <t>照会中</t>
        </is>
      </c>
      <c r="E5" s="6" t="inlineStr">
        <is>
          <t>中札内浄化センターの主要施設一覧</t>
        </is>
      </c>
      <c r="F5" s="6" t="inlineStr">
        <is>
          <t>敷地面積・放流水質・設備構成（流入渠、ポンプ台数、オキシデーションディッチ池数、最終沈殿池、塩素接触タンク、汚泥脱水機、受変電設備等）を施設台帳または竣工図書からご提供いただきたい。</t>
        </is>
      </c>
      <c r="G5" s="6" t="inlineStr">
        <is>
          <t>（資料のご提供）</t>
        </is>
      </c>
      <c r="H5" s="9" t="n"/>
      <c r="I5" s="9" t="n"/>
      <c r="J5" s="9" t="n"/>
      <c r="K5" s="10" t="n"/>
      <c r="L5" s="6" t="inlineStr">
        <is>
          <t>p.20の概要表は提供資料の諸元へ差替済み（10/1）。主要施設の一覧のみ未入手。</t>
        </is>
      </c>
    </row>
    <row r="6" ht="46" customHeight="1">
      <c r="A6" s="11" t="inlineStr">
        <is>
          <t>A-2</t>
        </is>
      </c>
      <c r="B6" s="12" t="inlineStr">
        <is>
          <t>A．事実確認・資料提供（村へ照会）</t>
        </is>
      </c>
      <c r="C6" s="13" t="inlineStr">
        <is>
          <t>中</t>
        </is>
      </c>
      <c r="D6" s="14" t="inlineStr">
        <is>
          <t>仮反映済</t>
        </is>
      </c>
      <c r="E6" s="12" t="inlineStr">
        <is>
          <t>管渠延長25,270.66mの基準時点</t>
        </is>
      </c>
      <c r="F6" s="12" t="inlineStr">
        <is>
          <t>総管渠延長25,270.66mがどの時点の値か。本文の時点表記をどちらに揃えるか。</t>
        </is>
      </c>
      <c r="G6" s="12" t="inlineStr">
        <is>
          <t>令和5年度末時点として記載／令和7年度時点として記載／その他</t>
        </is>
      </c>
      <c r="H6" s="9" t="n"/>
      <c r="I6" s="9" t="n"/>
      <c r="J6" s="9" t="n"/>
      <c r="K6" s="10" t="n"/>
      <c r="L6" s="12" t="inlineStr">
        <is>
          <t>令和5年度末時点として本文へ仮反映済み（10/1）。基準時点のご確認をお願いしたい。</t>
        </is>
      </c>
    </row>
    <row r="7" ht="46" customHeight="1">
      <c r="A7" s="5" t="inlineStr">
        <is>
          <t>A-3</t>
        </is>
      </c>
      <c r="B7" s="6" t="inlineStr">
        <is>
          <t>A．事実確認・資料提供（村へ照会）</t>
        </is>
      </c>
      <c r="C7" s="15" t="inlineStr">
        <is>
          <t>中</t>
        </is>
      </c>
      <c r="D7" s="8" t="inlineStr">
        <is>
          <t>照会中</t>
        </is>
      </c>
      <c r="E7" s="6" t="inlineStr">
        <is>
          <t>事業計画上の総延長27,560mとの差</t>
        </is>
      </c>
      <c r="F7" s="6" t="inlineStr">
        <is>
          <t>差の内訳（未整備分か、圧送管・取付管等の算入範囲の違いか）。本文には計画値と実績値のどちらを記載するか。</t>
        </is>
      </c>
      <c r="G7" s="6" t="inlineStr">
        <is>
          <t>実績値25,270.66mを記載／計画値27,560mを記載／両方を併記／その他</t>
        </is>
      </c>
      <c r="H7" s="9" t="n"/>
      <c r="I7" s="9" t="n"/>
      <c r="J7" s="9" t="n"/>
      <c r="K7" s="10" t="n"/>
      <c r="L7" s="6" t="n"/>
    </row>
    <row r="8" ht="46" customHeight="1">
      <c r="A8" s="11" t="inlineStr">
        <is>
          <t>A-4</t>
        </is>
      </c>
      <c r="B8" s="12" t="inlineStr">
        <is>
          <t>A．事実確認・資料提供（村へ照会）</t>
        </is>
      </c>
      <c r="C8" s="13" t="inlineStr">
        <is>
          <t>中</t>
        </is>
      </c>
      <c r="D8" s="16" t="inlineStr">
        <is>
          <t>照会中</t>
        </is>
      </c>
      <c r="E8" s="12" t="inlineStr">
        <is>
          <t>処理場の処理能力（論点F）</t>
        </is>
      </c>
      <c r="F8" s="12" t="inlineStr">
        <is>
          <t>認可処理能力と現有処理能力の違いによるものか、分析表の算定根拠によるものか。本文p.20にはどちらの値を記載するか。</t>
        </is>
      </c>
      <c r="G8" s="12" t="inlineStr">
        <is>
          <t>1,520㎥/日（提供資料）を記載／現有能力の実数値を記載／その他</t>
        </is>
      </c>
      <c r="H8" s="9" t="n"/>
      <c r="I8" s="9" t="n"/>
      <c r="J8" s="9" t="n"/>
      <c r="K8" s="10" t="n"/>
      <c r="L8" s="12" t="n"/>
    </row>
    <row r="9" ht="46" customHeight="1">
      <c r="A9" s="5" t="inlineStr">
        <is>
          <t>A-5</t>
        </is>
      </c>
      <c r="B9" s="6" t="inlineStr">
        <is>
          <t>A．事実確認・資料提供（村へ照会）</t>
        </is>
      </c>
      <c r="C9" s="17" t="inlineStr">
        <is>
          <t>小</t>
        </is>
      </c>
      <c r="D9" s="8" t="inlineStr">
        <is>
          <t>照会中</t>
        </is>
      </c>
      <c r="E9" s="6" t="inlineStr">
        <is>
          <t>全体計画人口2,810人の出典</t>
        </is>
      </c>
      <c r="F9" s="6" t="inlineStr">
        <is>
          <t>2,810人の出典（全体計画の目標年次令和13年度の値か）。</t>
        </is>
      </c>
      <c r="G9" s="6" t="inlineStr">
        <is>
          <t>全体計画（令和13年度）の値／事業計画（令和7年度）の2,661人に置換／その他</t>
        </is>
      </c>
      <c r="H9" s="9" t="n"/>
      <c r="I9" s="9" t="n"/>
      <c r="J9" s="9" t="n"/>
      <c r="K9" s="10" t="n"/>
      <c r="L9" s="6" t="n"/>
    </row>
    <row r="10" ht="46" customHeight="1">
      <c r="A10" s="11" t="inlineStr">
        <is>
          <t>A-6</t>
        </is>
      </c>
      <c r="B10" s="12" t="inlineStr">
        <is>
          <t>A．事実確認・資料提供（村へ照会）</t>
        </is>
      </c>
      <c r="C10" s="13" t="inlineStr">
        <is>
          <t>中</t>
        </is>
      </c>
      <c r="D10" s="16" t="inlineStr">
        <is>
          <t>照会中</t>
        </is>
      </c>
      <c r="E10" s="12" t="inlineStr">
        <is>
          <t>簡易水道の実績値のご提供</t>
        </is>
      </c>
      <c r="F10" s="12" t="inlineStr">
        <is>
          <t>簡易水道の平成26〜令和6年度実績（行政区域内人口・給水人口・給水戸数・年間総配水量・有収水量・料金収入）のご提供。</t>
        </is>
      </c>
      <c r="G10" s="12" t="inlineStr">
        <is>
          <t>（資料のご提供）</t>
        </is>
      </c>
      <c r="H10" s="9" t="n"/>
      <c r="I10" s="9" t="n"/>
      <c r="J10" s="9" t="n"/>
      <c r="K10" s="10" t="n"/>
      <c r="L10" s="12" t="n"/>
    </row>
    <row r="11" ht="46" customHeight="1">
      <c r="A11" s="5" t="inlineStr">
        <is>
          <t>B-1</t>
        </is>
      </c>
      <c r="B11" s="6" t="inlineStr">
        <is>
          <t>B．記述方針の判断</t>
        </is>
      </c>
      <c r="C11" s="15" t="inlineStr">
        <is>
          <t>中</t>
        </is>
      </c>
      <c r="D11" s="8" t="inlineStr">
        <is>
          <t>方針待ち</t>
        </is>
      </c>
      <c r="E11" s="6" t="inlineStr">
        <is>
          <t>汚水処理原価が高い原因の記述（論点B）</t>
        </is>
      </c>
      <c r="F11" s="6" t="inlineStr">
        <is>
          <t>どちらの説明に揃えるか。</t>
        </is>
      </c>
      <c r="G11" s="6" t="inlineStr">
        <is>
          <t>公表版に合わせ「人口密度が低く資本費負担が大きい」旨に改める／現行の記述を維持／両論を併記／その他</t>
        </is>
      </c>
      <c r="H11" s="9" t="n"/>
      <c r="I11" s="9" t="n"/>
      <c r="J11" s="9" t="n"/>
      <c r="K11" s="10" t="n"/>
      <c r="L11" s="6" t="n"/>
    </row>
    <row r="12" ht="46" customHeight="1">
      <c r="A12" s="11" t="inlineStr">
        <is>
          <t>B-2</t>
        </is>
      </c>
      <c r="B12" s="12" t="inlineStr">
        <is>
          <t>B．記述方針の判断</t>
        </is>
      </c>
      <c r="C12" s="18" t="inlineStr">
        <is>
          <t>大</t>
        </is>
      </c>
      <c r="D12" s="16" t="inlineStr">
        <is>
          <t>方針待ち</t>
        </is>
      </c>
      <c r="E12" s="12" t="inlineStr">
        <is>
          <t>将来人口の推計根拠（論点G）</t>
        </is>
      </c>
      <c r="F12" s="12" t="inlineStr">
        <is>
          <t>推計根拠をどちらに統一するか。</t>
        </is>
      </c>
      <c r="G12" s="12" t="inlineStr">
        <is>
          <t>村独自推計（第7期まちづくり計画）に統一／社人研推計に統一／その他</t>
        </is>
      </c>
      <c r="H12" s="9" t="n"/>
      <c r="I12" s="9" t="n"/>
      <c r="J12" s="9" t="n"/>
      <c r="K12" s="10" t="n"/>
      <c r="L12" s="12" t="n"/>
    </row>
    <row r="13" ht="46" customHeight="1">
      <c r="A13" s="5" t="inlineStr">
        <is>
          <t>B-3</t>
        </is>
      </c>
      <c r="B13" s="6" t="inlineStr">
        <is>
          <t>B．記述方針の判断</t>
        </is>
      </c>
      <c r="C13" s="15" t="inlineStr">
        <is>
          <t>中</t>
        </is>
      </c>
      <c r="D13" s="8" t="inlineStr">
        <is>
          <t>方針待ち</t>
        </is>
      </c>
      <c r="E13" s="6" t="inlineStr">
        <is>
          <t>普及率・水洗化率の平均年度（論点G付随）</t>
        </is>
      </c>
      <c r="F13" s="6" t="inlineStr">
        <is>
          <t>どちらの3か年に統一するか。</t>
        </is>
      </c>
      <c r="G13" s="6" t="inlineStr">
        <is>
          <t>令和3〜5年度／令和4〜6年度／その他</t>
        </is>
      </c>
      <c r="H13" s="9" t="n"/>
      <c r="I13" s="9" t="n"/>
      <c r="J13" s="9" t="n"/>
      <c r="K13" s="10" t="n"/>
      <c r="L13" s="6" t="n"/>
    </row>
    <row r="14" ht="46" customHeight="1">
      <c r="A14" s="11" t="inlineStr">
        <is>
          <t>B-4</t>
        </is>
      </c>
      <c r="B14" s="12" t="inlineStr">
        <is>
          <t>B．記述方針の判断</t>
        </is>
      </c>
      <c r="C14" s="13" t="inlineStr">
        <is>
          <t>中</t>
        </is>
      </c>
      <c r="D14" s="14" t="inlineStr">
        <is>
          <t>仮反映済</t>
        </is>
      </c>
      <c r="E14" s="12" t="inlineStr">
        <is>
          <t>p.19に記載する下水道普及率</t>
        </is>
      </c>
      <c r="F14" s="12" t="inlineStr">
        <is>
          <t>どちらの値・指標名で記載するか。</t>
        </is>
      </c>
      <c r="G14" s="12" t="inlineStr">
        <is>
          <t>69.48%（経営比較分析表・普及率）／70.9%（処理区域内人口比率）／その他</t>
        </is>
      </c>
      <c r="H14" s="9" t="n"/>
      <c r="I14" s="9" t="n"/>
      <c r="J14" s="9" t="n"/>
      <c r="K14" s="10" t="n"/>
      <c r="L14" s="12" t="inlineStr">
        <is>
          <t>69.5％（経営比較分析表・令和5年度決算）として本文へ仮反映済み（10/1）。</t>
        </is>
      </c>
    </row>
    <row r="15" ht="46" customHeight="1">
      <c r="A15" s="5" t="inlineStr">
        <is>
          <t>B-5</t>
        </is>
      </c>
      <c r="B15" s="6" t="inlineStr">
        <is>
          <t>B．記述方針の判断</t>
        </is>
      </c>
      <c r="C15" s="17" t="inlineStr">
        <is>
          <t>小</t>
        </is>
      </c>
      <c r="D15" s="19" t="inlineStr">
        <is>
          <t>仮反映済</t>
        </is>
      </c>
      <c r="E15" s="6" t="inlineStr">
        <is>
          <t>「（管更生含む）」の但書の要否</t>
        </is>
      </c>
      <c r="F15" s="6" t="inlineStr">
        <is>
          <t>但書を残すか削除するか。</t>
        </is>
      </c>
      <c r="G15" s="6" t="inlineStr">
        <is>
          <t>削除する／残す（管更生の実績あり）／その他</t>
        </is>
      </c>
      <c r="H15" s="9" t="n"/>
      <c r="I15" s="9" t="n"/>
      <c r="J15" s="9" t="n"/>
      <c r="K15" s="10" t="n"/>
      <c r="L15" s="6" t="inlineStr">
        <is>
          <t>提供資料に管更生の区分がないため但書を削除して仮反映済み（10/1）。</t>
        </is>
      </c>
    </row>
    <row r="16" ht="46" customHeight="1">
      <c r="A16" s="11" t="inlineStr">
        <is>
          <t>C-1</t>
        </is>
      </c>
      <c r="B16" s="12" t="inlineStr">
        <is>
          <t>C．経営方針の判断</t>
        </is>
      </c>
      <c r="C16" s="18" t="inlineStr">
        <is>
          <t>大</t>
        </is>
      </c>
      <c r="D16" s="16" t="inlineStr">
        <is>
          <t>方針待ち</t>
        </is>
      </c>
      <c r="E16" s="12" t="inlineStr">
        <is>
          <t>使用料改定の時期と改定率（論点C）</t>
        </is>
      </c>
      <c r="F16" s="12" t="inlineStr">
        <is>
          <t>改定の時期と率をどう設定するか。社会資本整備総合交付金の支給要件（使用料適正化のロードマップ記載）との整合も含めて方針を確認したい。</t>
        </is>
      </c>
      <c r="G16" s="12" t="inlineStr">
        <is>
          <t>改定案どおり 令和9年度・15%（パターン2）／公表版どおり 令和8年度・約60%／別の時期・率を設定／その他</t>
        </is>
      </c>
      <c r="H16" s="9" t="n"/>
      <c r="I16" s="9" t="n"/>
      <c r="J16" s="9" t="n"/>
      <c r="K16" s="10" t="n"/>
      <c r="L16" s="12" t="n"/>
    </row>
    <row r="17" ht="46" customHeight="1">
      <c r="A17" s="5" t="inlineStr">
        <is>
          <t>C-2</t>
        </is>
      </c>
      <c r="B17" s="6" t="inlineStr">
        <is>
          <t>C．経営方針の判断</t>
        </is>
      </c>
      <c r="C17" s="7" t="inlineStr">
        <is>
          <t>大</t>
        </is>
      </c>
      <c r="D17" s="8" t="inlineStr">
        <is>
          <t>方針待ち</t>
        </is>
      </c>
      <c r="E17" s="6" t="inlineStr">
        <is>
          <t>他会計補助金（繰入金）の前提（論点D）</t>
        </is>
      </c>
      <c r="F17" s="6" t="inlineStr">
        <is>
          <t>令和7年度以降の繰入金をどの水準で見込むか。</t>
        </is>
      </c>
      <c r="G17" s="6" t="inlineStr">
        <is>
          <t>改定案どおり 88,514千円／公表版どおり 55,771千円／別途設定／その他</t>
        </is>
      </c>
      <c r="H17" s="9" t="n"/>
      <c r="I17" s="9" t="n"/>
      <c r="J17" s="9" t="n"/>
      <c r="K17" s="10" t="n"/>
      <c r="L17" s="6" t="n"/>
    </row>
    <row r="18" ht="46" customHeight="1">
      <c r="A18" s="11" t="inlineStr">
        <is>
          <t>C-3</t>
        </is>
      </c>
      <c r="B18" s="12" t="inlineStr">
        <is>
          <t>C．経営方針の判断</t>
        </is>
      </c>
      <c r="C18" s="18" t="inlineStr">
        <is>
          <t>大</t>
        </is>
      </c>
      <c r="D18" s="16" t="inlineStr">
        <is>
          <t>方針待ち</t>
        </is>
      </c>
      <c r="E18" s="12" t="inlineStr">
        <is>
          <t>令和8年度以降の投資計画の配分</t>
        </is>
      </c>
      <c r="F18" s="12" t="inlineStr">
        <is>
          <t>改定案の配分で確定してよいか。変更する場合の年度別事業費。</t>
        </is>
      </c>
      <c r="G18" s="12" t="inlineStr">
        <is>
          <t>改定案の配分で確定／公表版の配分に戻す／別途調整／その他</t>
        </is>
      </c>
      <c r="H18" s="9" t="n"/>
      <c r="I18" s="9" t="n"/>
      <c r="J18" s="9" t="n"/>
      <c r="K18" s="10" t="n"/>
      <c r="L18" s="12" t="n"/>
    </row>
    <row r="19" ht="46" customHeight="1">
      <c r="A19" s="5" t="inlineStr">
        <is>
          <t>C-4</t>
        </is>
      </c>
      <c r="B19" s="6" t="inlineStr">
        <is>
          <t>C．経営方針の判断</t>
        </is>
      </c>
      <c r="C19" s="15" t="inlineStr">
        <is>
          <t>中</t>
        </is>
      </c>
      <c r="D19" s="8" t="inlineStr">
        <is>
          <t>方針待ち</t>
        </is>
      </c>
      <c r="E19" s="6" t="inlineStr">
        <is>
          <t>経営指標の目標値</t>
        </is>
      </c>
      <c r="F19" s="6" t="inlineStr">
        <is>
          <t>目標値を現行どおりとするか、再計算結果を踏まえて見直すか。</t>
        </is>
      </c>
      <c r="G19" s="6" t="inlineStr">
        <is>
          <t>現行の目標値を維持／再計算結果を踏まえて見直す／その他</t>
        </is>
      </c>
      <c r="H19" s="9" t="n"/>
      <c r="I19" s="9" t="n"/>
      <c r="J19" s="9" t="n"/>
      <c r="K19" s="10" t="n"/>
      <c r="L19" s="6" t="n"/>
    </row>
    <row r="20" ht="46" customHeight="1">
      <c r="A20" s="11" t="inlineStr">
        <is>
          <t>D-1</t>
        </is>
      </c>
      <c r="B20" s="12" t="inlineStr">
        <is>
          <t>D．データ整理の判断</t>
        </is>
      </c>
      <c r="C20" s="20" t="inlineStr">
        <is>
          <t>小</t>
        </is>
      </c>
      <c r="D20" s="16" t="inlineStr">
        <is>
          <t>方針待ち</t>
        </is>
      </c>
      <c r="E20" s="12" t="inlineStr">
        <is>
          <t>「予測」シートの自治体設定の整理</t>
        </is>
      </c>
      <c r="F20" s="12" t="inlineStr">
        <is>
          <t>どう整理するか。</t>
        </is>
      </c>
      <c r="G20" s="12" t="inlineStr">
        <is>
          <t>設定行を削除する／中札内村の値に置換する／現状のまま残す／その他</t>
        </is>
      </c>
      <c r="H20" s="9" t="n"/>
      <c r="I20" s="9" t="n"/>
      <c r="J20" s="9" t="n"/>
      <c r="K20" s="10" t="n"/>
      <c r="L20" s="12" t="n"/>
    </row>
    <row r="21" ht="46" customHeight="1">
      <c r="A21" s="5" t="inlineStr">
        <is>
          <t>D-2</t>
        </is>
      </c>
      <c r="B21" s="6" t="inlineStr">
        <is>
          <t>D．データ整理の判断</t>
        </is>
      </c>
      <c r="C21" s="17" t="inlineStr">
        <is>
          <t>小</t>
        </is>
      </c>
      <c r="D21" s="8" t="inlineStr">
        <is>
          <t>方針待ち</t>
        </is>
      </c>
      <c r="E21" s="6" t="inlineStr">
        <is>
          <t>「下水過去」シートの扱い</t>
        </is>
      </c>
      <c r="F21" s="6" t="inlineStr">
        <is>
          <t>どう整理するか。</t>
        </is>
      </c>
      <c r="G21" s="6" t="inlineStr">
        <is>
          <t>中札内村の実績に置換する／シートを削除する／現状のまま残す／その他</t>
        </is>
      </c>
      <c r="H21" s="9" t="n"/>
      <c r="I21" s="9" t="n"/>
      <c r="J21" s="9" t="n"/>
      <c r="K21" s="10" t="n"/>
      <c r="L21" s="6" t="n"/>
    </row>
    <row r="22" ht="46" customHeight="1">
      <c r="A22" s="11" t="inlineStr">
        <is>
          <t>D-3</t>
        </is>
      </c>
      <c r="B22" s="12" t="inlineStr">
        <is>
          <t>D．データ整理の判断</t>
        </is>
      </c>
      <c r="C22" s="20" t="inlineStr">
        <is>
          <t>小</t>
        </is>
      </c>
      <c r="D22" s="16" t="inlineStr">
        <is>
          <t>方針待ち</t>
        </is>
      </c>
      <c r="E22" s="12" t="inlineStr">
        <is>
          <t>「下水道現況予測」の体裁整理</t>
        </is>
      </c>
      <c r="F22" s="12" t="inlineStr">
        <is>
          <t>整理の要否と範囲。</t>
        </is>
      </c>
      <c r="G22" s="12" t="inlineStr">
        <is>
          <t>すべて整理する／表示に出る部分のみ整理／現状のまま残す／その他</t>
        </is>
      </c>
      <c r="H22" s="9" t="n"/>
      <c r="I22" s="9" t="n"/>
      <c r="J22" s="9" t="n"/>
      <c r="K22" s="10" t="n"/>
      <c r="L22" s="12" t="n"/>
    </row>
    <row r="23" ht="46" customHeight="1">
      <c r="A23" s="5" t="inlineStr">
        <is>
          <t>D-4</t>
        </is>
      </c>
      <c r="B23" s="6" t="inlineStr">
        <is>
          <t>D．データ整理の判断</t>
        </is>
      </c>
      <c r="C23" s="15" t="inlineStr">
        <is>
          <t>中</t>
        </is>
      </c>
      <c r="D23" s="8" t="inlineStr">
        <is>
          <t>方針待ち</t>
        </is>
      </c>
      <c r="E23" s="6" t="inlineStr">
        <is>
          <t>再計算後の図表貼り直しの範囲</t>
        </is>
      </c>
      <c r="F23" s="6" t="inlineStr">
        <is>
          <t>貼り直しの対象範囲（p.21〜32の全図表か、数値が動いたものに限るか）と実施時期。</t>
        </is>
      </c>
      <c r="G23" s="6" t="inlineStr">
        <is>
          <t>数値が動いた図表のみ差し替え／p.21〜32の全図表を差し替え／その他</t>
        </is>
      </c>
      <c r="H23" s="9" t="n"/>
      <c r="I23" s="9" t="n"/>
      <c r="J23" s="9" t="n"/>
      <c r="K23" s="10" t="n"/>
      <c r="L23" s="6" t="n"/>
    </row>
    <row r="24" ht="46" customHeight="1">
      <c r="A24" s="11" t="inlineStr">
        <is>
          <t>E-1</t>
        </is>
      </c>
      <c r="B24" s="12" t="inlineStr">
        <is>
          <t>E．簡易水道側の確認事項</t>
        </is>
      </c>
      <c r="C24" s="13" t="inlineStr">
        <is>
          <t>中</t>
        </is>
      </c>
      <c r="D24" s="16" t="inlineStr">
        <is>
          <t>照会中</t>
        </is>
      </c>
      <c r="E24" s="12" t="inlineStr">
        <is>
          <t>各給水区域の施設状況（表）のデータ</t>
        </is>
      </c>
      <c r="F24" s="12" t="inlineStr">
        <is>
          <t>6地区それぞれの施設諸元一覧をご提供いただきたい。</t>
        </is>
      </c>
      <c r="G24" s="12" t="inlineStr">
        <is>
          <t>（資料のご提供）</t>
        </is>
      </c>
      <c r="H24" s="9" t="n"/>
      <c r="I24" s="9" t="n"/>
      <c r="J24" s="9" t="n"/>
      <c r="K24" s="10" t="n"/>
      <c r="L24" s="12" t="n"/>
    </row>
    <row r="25" ht="46" customHeight="1">
      <c r="A25" s="5" t="inlineStr">
        <is>
          <t>E-2</t>
        </is>
      </c>
      <c r="B25" s="6" t="inlineStr">
        <is>
          <t>E．簡易水道側の確認事項</t>
        </is>
      </c>
      <c r="C25" s="15" t="inlineStr">
        <is>
          <t>中</t>
        </is>
      </c>
      <c r="D25" s="8" t="inlineStr">
        <is>
          <t>照会中</t>
        </is>
      </c>
      <c r="E25" s="6" t="inlineStr">
        <is>
          <t>横沢地区の管路延長</t>
        </is>
      </c>
      <c r="F25" s="6" t="inlineStr">
        <is>
          <t>横沢地区の管路延長。不明のままとする場合はその旨の表記方法。</t>
        </is>
      </c>
      <c r="G25" s="6" t="inlineStr">
        <is>
          <t>実数値をご提供／「不明」のまま記載／項目ごと削除／その他</t>
        </is>
      </c>
      <c r="H25" s="9" t="n"/>
      <c r="I25" s="9" t="n"/>
      <c r="J25" s="9" t="n"/>
      <c r="K25" s="10" t="n"/>
      <c r="L25" s="6" t="n"/>
    </row>
    <row r="26" ht="46" customHeight="1">
      <c r="A26" s="11" t="inlineStr">
        <is>
          <t>E-3</t>
        </is>
      </c>
      <c r="B26" s="12" t="inlineStr">
        <is>
          <t>E．簡易水道側の確認事項</t>
        </is>
      </c>
      <c r="C26" s="13" t="inlineStr">
        <is>
          <t>中</t>
        </is>
      </c>
      <c r="D26" s="14" t="inlineStr">
        <is>
          <t>反映済</t>
        </is>
      </c>
      <c r="E26" s="12" t="inlineStr">
        <is>
          <t>簡易水道本文の「国（県）補助金」表記</t>
        </is>
      </c>
      <c r="F26" s="12" t="inlineStr">
        <is>
          <t>簡易水道側も同様に「道」へ修正してよいか。</t>
        </is>
      </c>
      <c r="G26" s="12" t="inlineStr">
        <is>
          <t>下水道と同様に「道」へ修正／現行のまま／その他</t>
        </is>
      </c>
      <c r="H26" s="9" t="n"/>
      <c r="I26" s="9" t="n"/>
      <c r="J26" s="9" t="n"/>
      <c r="K26" s="10" t="n"/>
      <c r="L26" s="12" t="inlineStr">
        <is>
          <t>ご指示により「●国（道）補助金」「国庫（道）補助対象事業」へ修正済み（10/2）。</t>
        </is>
      </c>
    </row>
    <row r="27" ht="46" customHeight="1">
      <c r="A27" s="5" t="inlineStr">
        <is>
          <t>E-4</t>
        </is>
      </c>
      <c r="B27" s="6" t="inlineStr">
        <is>
          <t>E．簡易水道側の確認事項</t>
        </is>
      </c>
      <c r="C27" s="17" t="inlineStr">
        <is>
          <t>小</t>
        </is>
      </c>
      <c r="D27" s="19" t="inlineStr">
        <is>
          <t>反映済</t>
        </is>
      </c>
      <c r="E27" s="6" t="inlineStr">
        <is>
          <t>資産活用の状況に下水道の例示が残存</t>
        </is>
      </c>
      <c r="F27" s="6" t="inlineStr">
        <is>
          <t>簡易水道に即した例示（小水力発電等）へ改めてよいか。</t>
        </is>
      </c>
      <c r="G27" s="6" t="inlineStr">
        <is>
          <t>簡易水道に即した例示へ改める／項目ごと削除／現行のまま／その他</t>
        </is>
      </c>
      <c r="H27" s="9" t="n"/>
      <c r="I27" s="9" t="n"/>
      <c r="J27" s="9" t="n"/>
      <c r="K27" s="10" t="n"/>
      <c r="L27" s="6" t="inlineStr">
        <is>
          <t>ご指示により「（小水力発電等）」へ修正済み（10/2）。総務省様式の水道事業版の例示にあわせた。</t>
        </is>
      </c>
    </row>
    <row r="28" ht="46" customHeight="1">
      <c r="A28" s="11" t="inlineStr">
        <is>
          <t>E-5</t>
        </is>
      </c>
      <c r="B28" s="12" t="inlineStr">
        <is>
          <t>E．簡易水道側の確認事項</t>
        </is>
      </c>
      <c r="C28" s="20" t="inlineStr">
        <is>
          <t>小</t>
        </is>
      </c>
      <c r="D28" s="16" t="inlineStr">
        <is>
          <t>方針待ち</t>
        </is>
      </c>
      <c r="E28" s="12" t="inlineStr">
        <is>
          <t>「サンプル」表記と項目番号の重複</t>
        </is>
      </c>
      <c r="F28" s="12" t="inlineStr">
        <is>
          <t>「サンプル」表記の削除時期と、項目番号の振り直し。</t>
        </is>
      </c>
      <c r="G28" s="12" t="inlineStr">
        <is>
          <t>いずれも整理する／本文確定時にまとめて整理／現行のまま／その他</t>
        </is>
      </c>
      <c r="H28" s="9" t="n"/>
      <c r="I28" s="9" t="n"/>
      <c r="J28" s="9" t="n"/>
      <c r="K28" s="10" t="n"/>
      <c r="L28" s="12" t="n"/>
    </row>
  </sheetData>
  <autoFilter ref="A4:L28"/>
  <mergeCells count="3">
    <mergeCell ref="H1:L1"/>
    <mergeCell ref="A2:L2"/>
    <mergeCell ref="A1:G1"/>
  </mergeCells>
  <dataValidations count="24">
    <dataValidation sqref="H5" showDropDown="0" showInputMessage="0" showErrorMessage="0" allowBlank="1" promptTitle="A-1" prompt="一覧から選択してください" type="list">
      <formula1>'選択肢マスタ'!$B$3:$E$3</formula1>
    </dataValidation>
    <dataValidation sqref="H6" showDropDown="0" showInputMessage="0" showErrorMessage="0" allowBlank="1" promptTitle="A-2" prompt="一覧から選択してください" type="list">
      <formula1>'選択肢マスタ'!$B$4:$E$4</formula1>
    </dataValidation>
    <dataValidation sqref="H7" showDropDown="0" showInputMessage="0" showErrorMessage="0" allowBlank="1" promptTitle="A-3" prompt="一覧から選択してください" type="list">
      <formula1>'選択肢マスタ'!$B$5:$F$5</formula1>
    </dataValidation>
    <dataValidation sqref="H8" showDropDown="0" showInputMessage="0" showErrorMessage="0" allowBlank="1" promptTitle="A-4" prompt="一覧から選択してください" type="list">
      <formula1>'選択肢マスタ'!$B$6:$E$6</formula1>
    </dataValidation>
    <dataValidation sqref="H9" showDropDown="0" showInputMessage="0" showErrorMessage="0" allowBlank="1" promptTitle="A-5" prompt="一覧から選択してください" type="list">
      <formula1>'選択肢マスタ'!$B$7:$E$7</formula1>
    </dataValidation>
    <dataValidation sqref="H10" showDropDown="0" showInputMessage="0" showErrorMessage="0" allowBlank="1" promptTitle="A-6" prompt="一覧から選択してください" type="list">
      <formula1>'選択肢マスタ'!$B$8:$E$8</formula1>
    </dataValidation>
    <dataValidation sqref="H11" showDropDown="0" showInputMessage="0" showErrorMessage="0" allowBlank="1" promptTitle="B-1" prompt="一覧から選択してください" type="list">
      <formula1>'選択肢マスタ'!$B$9:$F$9</formula1>
    </dataValidation>
    <dataValidation sqref="H12" showDropDown="0" showInputMessage="0" showErrorMessage="0" allowBlank="1" promptTitle="B-2" prompt="一覧から選択してください" type="list">
      <formula1>'選択肢マスタ'!$B$10:$E$10</formula1>
    </dataValidation>
    <dataValidation sqref="H13" showDropDown="0" showInputMessage="0" showErrorMessage="0" allowBlank="1" promptTitle="B-3" prompt="一覧から選択してください" type="list">
      <formula1>'選択肢マスタ'!$B$11:$E$11</formula1>
    </dataValidation>
    <dataValidation sqref="H14" showDropDown="0" showInputMessage="0" showErrorMessage="0" allowBlank="1" promptTitle="B-4" prompt="一覧から選択してください" type="list">
      <formula1>'選択肢マスタ'!$B$12:$E$12</formula1>
    </dataValidation>
    <dataValidation sqref="H15" showDropDown="0" showInputMessage="0" showErrorMessage="0" allowBlank="1" promptTitle="B-5" prompt="一覧から選択してください" type="list">
      <formula1>'選択肢マスタ'!$B$13:$E$13</formula1>
    </dataValidation>
    <dataValidation sqref="H16" showDropDown="0" showInputMessage="0" showErrorMessage="0" allowBlank="1" promptTitle="C-1" prompt="一覧から選択してください" type="list">
      <formula1>'選択肢マスタ'!$B$14:$F$14</formula1>
    </dataValidation>
    <dataValidation sqref="H17" showDropDown="0" showInputMessage="0" showErrorMessage="0" allowBlank="1" promptTitle="C-2" prompt="一覧から選択してください" type="list">
      <formula1>'選択肢マスタ'!$B$15:$F$15</formula1>
    </dataValidation>
    <dataValidation sqref="H18" showDropDown="0" showInputMessage="0" showErrorMessage="0" allowBlank="1" promptTitle="C-3" prompt="一覧から選択してください" type="list">
      <formula1>'選択肢マスタ'!$B$16:$F$16</formula1>
    </dataValidation>
    <dataValidation sqref="H19" showDropDown="0" showInputMessage="0" showErrorMessage="0" allowBlank="1" promptTitle="C-4" prompt="一覧から選択してください" type="list">
      <formula1>'選択肢マスタ'!$B$17:$E$17</formula1>
    </dataValidation>
    <dataValidation sqref="H20" showDropDown="0" showInputMessage="0" showErrorMessage="0" allowBlank="1" promptTitle="D-1" prompt="一覧から選択してください" type="list">
      <formula1>'選択肢マスタ'!$B$18:$F$18</formula1>
    </dataValidation>
    <dataValidation sqref="H21" showDropDown="0" showInputMessage="0" showErrorMessage="0" allowBlank="1" promptTitle="D-2" prompt="一覧から選択してください" type="list">
      <formula1>'選択肢マスタ'!$B$19:$F$19</formula1>
    </dataValidation>
    <dataValidation sqref="H22" showDropDown="0" showInputMessage="0" showErrorMessage="0" allowBlank="1" promptTitle="D-3" prompt="一覧から選択してください" type="list">
      <formula1>'選択肢マスタ'!$B$20:$F$20</formula1>
    </dataValidation>
    <dataValidation sqref="H23" showDropDown="0" showInputMessage="0" showErrorMessage="0" allowBlank="1" promptTitle="D-4" prompt="一覧から選択してください" type="list">
      <formula1>'選択肢マスタ'!$B$21:$E$21</formula1>
    </dataValidation>
    <dataValidation sqref="H24" showDropDown="0" showInputMessage="0" showErrorMessage="0" allowBlank="1" promptTitle="E-1" prompt="一覧から選択してください" type="list">
      <formula1>'選択肢マスタ'!$B$22:$E$22</formula1>
    </dataValidation>
    <dataValidation sqref="H25" showDropDown="0" showInputMessage="0" showErrorMessage="0" allowBlank="1" promptTitle="E-2" prompt="一覧から選択してください" type="list">
      <formula1>'選択肢マスタ'!$B$23:$F$23</formula1>
    </dataValidation>
    <dataValidation sqref="H26" showDropDown="0" showInputMessage="0" showErrorMessage="0" allowBlank="1" promptTitle="E-3" prompt="一覧から選択してください" type="list">
      <formula1>'選択肢マスタ'!$B$24:$E$24</formula1>
    </dataValidation>
    <dataValidation sqref="H27" showDropDown="0" showInputMessage="0" showErrorMessage="0" allowBlank="1" promptTitle="E-4" prompt="一覧から選択してください" type="list">
      <formula1>'選択肢マスタ'!$B$25:$F$25</formula1>
    </dataValidation>
    <dataValidation sqref="H28" showDropDown="0" showInputMessage="0" showErrorMessage="0" allowBlank="1" promptTitle="E-5" prompt="一覧から選択してください" type="list">
      <formula1>'選択肢マスタ'!$B$26:$F$26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46" customWidth="1" min="4" max="4"/>
    <col width="20" customWidth="1" min="5" max="5"/>
    <col width="20" customWidth="1" min="6" max="6"/>
  </cols>
  <sheetData>
    <row r="1" ht="24" customHeight="1">
      <c r="B1" s="21" t="inlineStr">
        <is>
          <t>記入要領</t>
        </is>
      </c>
    </row>
    <row r="3">
      <c r="B3" s="22" t="inlineStr">
        <is>
          <t>１．ご記入いただく列</t>
        </is>
      </c>
    </row>
    <row r="4" ht="30" customHeight="1">
      <c r="B4" s="23" t="inlineStr">
        <is>
          <t>H　ご回答</t>
        </is>
      </c>
      <c r="C4" s="6" t="inlineStr">
        <is>
          <t>一覧から選択（セルをクリックすると選択肢が出ます）。該当がなければ「その他」を選び、H列に内容をご記入ください。</t>
        </is>
      </c>
      <c r="D4" s="24" t="n"/>
      <c r="E4" s="24" t="n"/>
      <c r="F4" s="25" t="n"/>
    </row>
    <row r="5" ht="30" customHeight="1">
      <c r="B5" s="23" t="inlineStr">
        <is>
          <t>I　補足・回答内容</t>
        </is>
      </c>
      <c r="C5" s="6" t="inlineStr">
        <is>
          <t>自由記述。資料をご提供いただく事項（A-1・A-6）はファイル名や提供時期をご記入ください。</t>
        </is>
      </c>
      <c r="D5" s="24" t="n"/>
      <c r="E5" s="24" t="n"/>
      <c r="F5" s="25" t="n"/>
    </row>
    <row r="6" ht="30" customHeight="1">
      <c r="B6" s="23" t="inlineStr">
        <is>
          <t>J　決定者</t>
        </is>
      </c>
      <c r="C6" s="6" t="inlineStr">
        <is>
          <t>ご決定された方・部署名。</t>
        </is>
      </c>
      <c r="D6" s="24" t="n"/>
      <c r="E6" s="24" t="n"/>
      <c r="F6" s="25" t="n"/>
    </row>
    <row r="7" ht="30" customHeight="1">
      <c r="B7" s="23" t="inlineStr">
        <is>
          <t>K　決定日</t>
        </is>
      </c>
      <c r="C7" s="6" t="inlineStr">
        <is>
          <t>2026/10/15 の形式。</t>
        </is>
      </c>
      <c r="D7" s="24" t="n"/>
      <c r="E7" s="24" t="n"/>
      <c r="F7" s="25" t="n"/>
    </row>
    <row r="8">
      <c r="B8" s="26" t="inlineStr">
        <is>
          <t>L　社内メモ</t>
        </is>
      </c>
      <c r="C8" s="27" t="inlineStr">
        <is>
          <t>当方の作業メモ欄です。ご記入は不要です。</t>
        </is>
      </c>
      <c r="D8" s="24" t="n"/>
      <c r="E8" s="24" t="n"/>
      <c r="F8" s="25" t="n"/>
    </row>
    <row r="10">
      <c r="B10" s="22" t="inlineStr">
        <is>
          <t>２．影響度の区分</t>
        </is>
      </c>
    </row>
    <row r="11" ht="28" customHeight="1">
      <c r="B11" s="7" t="inlineStr">
        <is>
          <t>大</t>
        </is>
      </c>
      <c r="C11" s="6" t="inlineStr">
        <is>
          <t>収支計画・シミュレーション結果、または計画の根幹に関わる。未決のままでは本文を確定できない。</t>
        </is>
      </c>
      <c r="D11" s="24" t="n"/>
      <c r="E11" s="24" t="n"/>
      <c r="F11" s="25" t="n"/>
    </row>
    <row r="12" ht="28" customHeight="1">
      <c r="B12" s="15" t="inlineStr">
        <is>
          <t>中</t>
        </is>
      </c>
      <c r="C12" s="6" t="inlineStr">
        <is>
          <t>本文または図表の記載内容が変わる。影響は当該章で完結する。</t>
        </is>
      </c>
      <c r="D12" s="24" t="n"/>
      <c r="E12" s="24" t="n"/>
      <c r="F12" s="25" t="n"/>
    </row>
    <row r="13" ht="28" customHeight="1">
      <c r="B13" s="17" t="inlineStr">
        <is>
          <t>小</t>
        </is>
      </c>
      <c r="C13" s="6" t="inlineStr">
        <is>
          <t>表記・データ整理のレベル。他への波及はない。</t>
        </is>
      </c>
      <c r="D13" s="24" t="n"/>
      <c r="E13" s="24" t="n"/>
      <c r="F13" s="25" t="n"/>
    </row>
    <row r="15">
      <c r="B15" s="22" t="inlineStr">
        <is>
          <t>３．記入例</t>
        </is>
      </c>
    </row>
    <row r="16" ht="22" customHeight="1">
      <c r="B16" s="28" t="inlineStr">
        <is>
          <t>ID</t>
        </is>
      </c>
      <c r="C16" s="28" t="inlineStr">
        <is>
          <t>ご回答</t>
        </is>
      </c>
      <c r="D16" s="28" t="inlineStr">
        <is>
          <t>補足・回答内容</t>
        </is>
      </c>
      <c r="E16" s="28" t="inlineStr">
        <is>
          <t>決定者</t>
        </is>
      </c>
      <c r="F16" s="28" t="inlineStr">
        <is>
          <t>決定日</t>
        </is>
      </c>
    </row>
    <row r="17" ht="32" customHeight="1">
      <c r="B17" s="29" t="inlineStr">
        <is>
          <t>B-4</t>
        </is>
      </c>
      <c r="C17" s="29" t="inlineStr">
        <is>
          <t>69.48%（経営比較分析表・普及率）</t>
        </is>
      </c>
      <c r="D17" s="29" t="inlineStr">
        <is>
          <t>公表している経営比較分析表の値に揃える。指標名も「普及率」とする。</t>
        </is>
      </c>
      <c r="E17" s="29" t="inlineStr">
        <is>
          <t>施設課</t>
        </is>
      </c>
      <c r="F17" s="30" t="inlineStr">
        <is>
          <t>2026/10/15</t>
        </is>
      </c>
    </row>
    <row r="18">
      <c r="B18" s="31" t="inlineStr">
        <is>
          <t>※　上の行は記入例です。実際のご記入は「確認結果入力」シートにお願いします。</t>
        </is>
      </c>
    </row>
    <row r="20">
      <c r="B20" s="22" t="inlineStr">
        <is>
          <t>４．回答状況</t>
        </is>
      </c>
    </row>
    <row r="21">
      <c r="B21" s="31" t="inlineStr">
        <is>
          <t>※　Excelで開くと自動計算されます。</t>
        </is>
      </c>
    </row>
    <row r="22" ht="22" customHeight="1">
      <c r="B22" s="32" t="inlineStr">
        <is>
          <t>確認事項の総数</t>
        </is>
      </c>
      <c r="C22" s="5">
        <f>COUNTA(確認結果入力!$A$5:$A$28)</f>
        <v/>
      </c>
    </row>
    <row r="23" ht="22" customHeight="1">
      <c r="B23" s="32" t="inlineStr">
        <is>
          <t>回答済み</t>
        </is>
      </c>
      <c r="C23" s="5">
        <f>COUNTA(確認結果入力!$H$5:$H$28)</f>
        <v/>
      </c>
    </row>
    <row r="24" ht="22" customHeight="1">
      <c r="B24" s="32" t="inlineStr">
        <is>
          <t>未回答</t>
        </is>
      </c>
      <c r="C24" s="5">
        <f>C22-C23</f>
        <v/>
      </c>
    </row>
    <row r="25" ht="22" customHeight="1">
      <c r="B25" s="26" t="inlineStr">
        <is>
          <t>うち影響度「大」の未回答</t>
        </is>
      </c>
      <c r="C25" s="7">
        <f>COUNTIFS(確認結果入力!$C$5:$C$28,"大",確認結果入力!$H$5:$H$28,"")</f>
        <v/>
      </c>
    </row>
  </sheetData>
  <mergeCells count="8">
    <mergeCell ref="C13:F13"/>
    <mergeCell ref="C8:F8"/>
    <mergeCell ref="C4:F4"/>
    <mergeCell ref="C12:F12"/>
    <mergeCell ref="C6:F6"/>
    <mergeCell ref="C7:F7"/>
    <mergeCell ref="C11:F11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4" customWidth="1" min="4" max="4"/>
    <col width="58" customWidth="1" min="5" max="5"/>
    <col width="32" customWidth="1" min="6" max="6"/>
    <col width="32" customWidth="1" min="7" max="7"/>
  </cols>
  <sheetData>
    <row r="1" ht="26" customHeight="1">
      <c r="A1" s="4" t="inlineStr">
        <is>
          <t>ID</t>
        </is>
      </c>
      <c r="B1" s="4" t="inlineStr">
        <is>
          <t>影響度</t>
        </is>
      </c>
      <c r="C1" s="4" t="inlineStr">
        <is>
          <t>状態</t>
        </is>
      </c>
      <c r="D1" s="4" t="inlineStr">
        <is>
          <t>確認事項</t>
        </is>
      </c>
      <c r="E1" s="4" t="inlineStr">
        <is>
          <t>背景・現状</t>
        </is>
      </c>
      <c r="F1" s="4" t="inlineStr">
        <is>
          <t>影響範囲</t>
        </is>
      </c>
      <c r="G1" s="4" t="inlineStr">
        <is>
          <t>未決の場合</t>
        </is>
      </c>
    </row>
    <row r="2" ht="50" customHeight="1">
      <c r="A2" s="5" t="inlineStr">
        <is>
          <t>A-1</t>
        </is>
      </c>
      <c r="B2" s="7" t="inlineStr">
        <is>
          <t>大</t>
        </is>
      </c>
      <c r="C2" s="8" t="inlineStr">
        <is>
          <t>照会中</t>
        </is>
      </c>
      <c r="D2" s="6" t="inlineStr">
        <is>
          <t>中札内浄化センターの主要施設一覧</t>
        </is>
      </c>
      <c r="E2" s="6" t="inlineStr">
        <is>
          <t>現行p.20の「■処理場の概要」および主要施設一覧は、施設名が「三戸浄化センター」となっており他団体の諸元がそのまま残存している。提供資料「施設の概要.pdf」および公表版にも設備構成のデータがない。</t>
        </is>
      </c>
      <c r="F2" s="6" t="inlineStr">
        <is>
          <t>本文p.20（処理場の概要・主要施設一覧）</t>
        </is>
      </c>
      <c r="G2" s="6" t="inlineStr">
        <is>
          <t>p.20が他団体の記載のまま確定できず、本文を完成できない。</t>
        </is>
      </c>
    </row>
    <row r="3" ht="50" customHeight="1">
      <c r="A3" s="11" t="inlineStr">
        <is>
          <t>A-2</t>
        </is>
      </c>
      <c r="B3" s="13" t="inlineStr">
        <is>
          <t>中</t>
        </is>
      </c>
      <c r="C3" s="14" t="inlineStr">
        <is>
          <t>仮反映済</t>
        </is>
      </c>
      <c r="D3" s="12" t="inlineStr">
        <is>
          <t>管渠延長25,270.66mの基準時点</t>
        </is>
      </c>
      <c r="E3" s="12" t="inlineStr">
        <is>
          <t>提供資料「管渠延長.pdf」の経過年数は令和7年度を基準としているのに対し、本文は「令和5年度末の時点で」と記載している。</t>
        </is>
      </c>
      <c r="F3" s="12" t="inlineStr">
        <is>
          <t>本文p.19（管渠の状況）</t>
        </is>
      </c>
      <c r="G3" s="12" t="inlineStr">
        <is>
          <t>延長値と時点の組合せが不整合のまま公表される。</t>
        </is>
      </c>
    </row>
    <row r="4" ht="50" customHeight="1">
      <c r="A4" s="5" t="inlineStr">
        <is>
          <t>A-3</t>
        </is>
      </c>
      <c r="B4" s="15" t="inlineStr">
        <is>
          <t>中</t>
        </is>
      </c>
      <c r="C4" s="8" t="inlineStr">
        <is>
          <t>照会中</t>
        </is>
      </c>
      <c r="D4" s="6" t="inlineStr">
        <is>
          <t>事業計画上の総延長27,560mとの差</t>
        </is>
      </c>
      <c r="E4" s="6" t="inlineStr">
        <is>
          <t>提供資料「施設の概要.pdf」の管路施設・総延長（汚水）は27,560mであるのに対し、「管渠延長.pdf」の実績合計は25,270.66m。差は約2,290m。</t>
        </is>
      </c>
      <c r="F4" s="6" t="inlineStr">
        <is>
          <t>本文p.19・p.20</t>
        </is>
      </c>
      <c r="G4" s="6" t="inlineStr">
        <is>
          <t>管渠関係の数値が本文内で二重基準になる。</t>
        </is>
      </c>
    </row>
    <row r="5" ht="50" customHeight="1">
      <c r="A5" s="11" t="inlineStr">
        <is>
          <t>A-4</t>
        </is>
      </c>
      <c r="B5" s="13" t="inlineStr">
        <is>
          <t>中</t>
        </is>
      </c>
      <c r="C5" s="16" t="inlineStr">
        <is>
          <t>照会中</t>
        </is>
      </c>
      <c r="D5" s="12" t="inlineStr">
        <is>
          <t>処理場の処理能力（論点F）</t>
        </is>
      </c>
      <c r="E5" s="12" t="inlineStr">
        <is>
          <t>提供資料は1,520㎥/日（760㎥/日×2池）。一方、令和5年度の有収水量357,117㎥を有収率101.76%で割り戻すと総処理水量は約962㎥/日となり、経営比較分析表の施設利用率71.78%で割り戻すと1日処理能力は約1,340㎥/日となる。約12%の開きがある。</t>
        </is>
      </c>
      <c r="F5" s="12" t="inlineStr">
        <is>
          <t>本文p.20・経営指標の説明</t>
        </is>
      </c>
      <c r="G5" s="12" t="inlineStr">
        <is>
          <t>施設利用率の説明と処理能力の記載が整合しない。</t>
        </is>
      </c>
    </row>
    <row r="6" ht="50" customHeight="1">
      <c r="A6" s="5" t="inlineStr">
        <is>
          <t>A-5</t>
        </is>
      </c>
      <c r="B6" s="17" t="inlineStr">
        <is>
          <t>小</t>
        </is>
      </c>
      <c r="C6" s="8" t="inlineStr">
        <is>
          <t>照会中</t>
        </is>
      </c>
      <c r="D6" s="6" t="inlineStr">
        <is>
          <t>全体計画人口2,810人の出典</t>
        </is>
      </c>
      <c r="E6" s="6" t="inlineStr">
        <is>
          <t>本文p.2に「全体計画人口は2,810人と設定されていますが」とあるが、提供資料の計画区域内人口は2,661人（事業計画・目標年次令和7年度）であり、公表版にも2,810人の記載がない。</t>
        </is>
      </c>
      <c r="F6" s="6" t="inlineStr">
        <is>
          <t>本文p.2</t>
        </is>
      </c>
      <c r="G6" s="6" t="inlineStr">
        <is>
          <t>出典不明の数値が残る。</t>
        </is>
      </c>
    </row>
    <row r="7" ht="50" customHeight="1">
      <c r="A7" s="11" t="inlineStr">
        <is>
          <t>A-6</t>
        </is>
      </c>
      <c r="B7" s="13" t="inlineStr">
        <is>
          <t>中</t>
        </is>
      </c>
      <c r="C7" s="16" t="inlineStr">
        <is>
          <t>照会中</t>
        </is>
      </c>
      <c r="D7" s="12" t="inlineStr">
        <is>
          <t>簡易水道の実績値のご提供</t>
        </is>
      </c>
      <c r="E7" s="12" t="inlineStr">
        <is>
          <t>シミュレーションの「簡水過去」シートが三戸町の実績値（行政区域内人口11,023→8,699人等）のまま。下水道の試算には波及しないことを確認済みだが、同一ブック内の簡易水道の推計に影響する。</t>
        </is>
      </c>
      <c r="F7" s="12" t="inlineStr">
        <is>
          <t>Excel「簡水過去」「予測(2)P1〜P4」の簡水部分・「簡水現況予測」</t>
        </is>
      </c>
      <c r="G7" s="12" t="inlineStr">
        <is>
          <t>簡易水道側の推計が他団体データのまま残る。</t>
        </is>
      </c>
    </row>
    <row r="8" ht="50" customHeight="1">
      <c r="A8" s="5" t="inlineStr">
        <is>
          <t>B-1</t>
        </is>
      </c>
      <c r="B8" s="15" t="inlineStr">
        <is>
          <t>中</t>
        </is>
      </c>
      <c r="C8" s="8" t="inlineStr">
        <is>
          <t>方針待ち</t>
        </is>
      </c>
      <c r="D8" s="6" t="inlineStr">
        <is>
          <t>汚水処理原価が高い原因の記述（論点B）</t>
        </is>
      </c>
      <c r="E8" s="6" t="inlineStr">
        <is>
          <t>本文p.18は「現状の施設能力に対して稼働が正しく賄えていない状況です」としているが、公表版の分析欄は施設利用率71.78%（類似団体平均42.09%）をもって「全国平均や類似団体平均値と比較し高い利用率であり、適正規模での施設運営であるといえる」としており、説明が逆になっている。</t>
        </is>
      </c>
      <c r="F8" s="6" t="inlineStr">
        <is>
          <t>本文p.18（経営状況分析から見える本村の特徴）</t>
        </is>
      </c>
      <c r="G8" s="6" t="inlineStr">
        <is>
          <t>公表版と真逆の原因分析が並立する。</t>
        </is>
      </c>
    </row>
    <row r="9" ht="50" customHeight="1">
      <c r="A9" s="11" t="inlineStr">
        <is>
          <t>B-2</t>
        </is>
      </c>
      <c r="B9" s="18" t="inlineStr">
        <is>
          <t>大</t>
        </is>
      </c>
      <c r="C9" s="16" t="inlineStr">
        <is>
          <t>方針待ち</t>
        </is>
      </c>
      <c r="D9" s="12" t="inlineStr">
        <is>
          <t>将来人口の推計根拠（論点G）</t>
        </is>
      </c>
      <c r="E9" s="12" t="inlineStr">
        <is>
          <t>本文の同じ節（Ⅲ-1 有収水量の予測）の中で、説明文は「国立社会保障・人口問題研究所による推計から算出」、直後の前提条件ボックスは「第7期中札内村まちづくり計画より村独自推計」としており矛盾している。公表版3頁は村独自推計と明記。</t>
        </is>
      </c>
      <c r="F9" s="12" t="inlineStr">
        <is>
          <t>本文p.31（予測の考え方）・人口予測グラフ（p.23）・Excel「予測」シート</t>
        </is>
      </c>
      <c r="G9" s="12" t="inlineStr">
        <is>
          <t>推計の根拠が不明確なまま、以降の有収水量・使用料収入の予測全体の説明が成り立たない。</t>
        </is>
      </c>
    </row>
    <row r="10" ht="50" customHeight="1">
      <c r="A10" s="5" t="inlineStr">
        <is>
          <t>B-3</t>
        </is>
      </c>
      <c r="B10" s="15" t="inlineStr">
        <is>
          <t>中</t>
        </is>
      </c>
      <c r="C10" s="8" t="inlineStr">
        <is>
          <t>方針待ち</t>
        </is>
      </c>
      <c r="D10" s="6" t="inlineStr">
        <is>
          <t>普及率・水洗化率の平均年度（論点G付随）</t>
        </is>
      </c>
      <c r="E10" s="6" t="inlineStr">
        <is>
          <t>同じ節で、説明文は「令和4年度から令和6年度の3か年実績の平均」、前提条件ボックスは「令和3年度から令和5年度までの過去3か年実績の平均」としており食い違っている。</t>
        </is>
      </c>
      <c r="F10" s="6" t="inlineStr">
        <is>
          <t>本文p.31・Excel「予測」シートの係数</t>
        </is>
      </c>
      <c r="G10" s="6" t="inlineStr">
        <is>
          <t>推計の前提が二通り記載されたままになる。</t>
        </is>
      </c>
    </row>
    <row r="11" ht="50" customHeight="1">
      <c r="A11" s="11" t="inlineStr">
        <is>
          <t>B-4</t>
        </is>
      </c>
      <c r="B11" s="13" t="inlineStr">
        <is>
          <t>中</t>
        </is>
      </c>
      <c r="C11" s="14" t="inlineStr">
        <is>
          <t>仮反映済</t>
        </is>
      </c>
      <c r="D11" s="12" t="inlineStr">
        <is>
          <t>p.19に記載する下水道普及率</t>
        </is>
      </c>
      <c r="E11" s="12" t="inlineStr">
        <is>
          <t>現行は「村内での下水道普及率はほぼ100%となっています」で明らかに誤り。公表版では経営比較分析表が69.48%（令和5年度決算）、本体3頁が処理区域内人口比率70.9%としており、根拠が2通りある。</t>
        </is>
      </c>
      <c r="F11" s="12" t="inlineStr">
        <is>
          <t>本文p.19</t>
        </is>
      </c>
      <c r="G11" s="12" t="inlineStr">
        <is>
          <t>誤った普及率が残るか、公表値と異なる値を記載してしまう。</t>
        </is>
      </c>
    </row>
    <row r="12" ht="50" customHeight="1">
      <c r="A12" s="5" t="inlineStr">
        <is>
          <t>B-5</t>
        </is>
      </c>
      <c r="B12" s="17" t="inlineStr">
        <is>
          <t>小</t>
        </is>
      </c>
      <c r="C12" s="19" t="inlineStr">
        <is>
          <t>仮反映済</t>
        </is>
      </c>
      <c r="D12" s="6" t="inlineStr">
        <is>
          <t>「（管更生含む）」の但書の要否</t>
        </is>
      </c>
      <c r="E12" s="6" t="inlineStr">
        <is>
          <t>本文p.19の総管渠延長に「（管更生含む）」の但書があるが、経営比較分析表の管渠改善率は0.00%であり管更生の実績が確認できない。</t>
        </is>
      </c>
      <c r="F12" s="6" t="inlineStr">
        <is>
          <t>本文p.19</t>
        </is>
      </c>
      <c r="G12" s="6" t="inlineStr">
        <is>
          <t>実績のない但書が残る。</t>
        </is>
      </c>
    </row>
    <row r="13" ht="50" customHeight="1">
      <c r="A13" s="11" t="inlineStr">
        <is>
          <t>C-1</t>
        </is>
      </c>
      <c r="B13" s="18" t="inlineStr">
        <is>
          <t>大</t>
        </is>
      </c>
      <c r="C13" s="16" t="inlineStr">
        <is>
          <t>方針待ち</t>
        </is>
      </c>
      <c r="D13" s="12" t="inlineStr">
        <is>
          <t>使用料改定の時期と改定率（論点C）</t>
        </is>
      </c>
      <c r="E13" s="12" t="inlineStr">
        <is>
          <t>公表版の投資・財政計画は令和8年度から料金収入を61,683千円→98,928千円（＋60.4%）とする引上げを織り込み済み。一方、改定案のシミュレーションは令和9年度からの10〜30%改定（採用案はパターン2＝15%）で、前提の大幅な下方修正かつ1年の後ろ倒しとなる。</t>
        </is>
      </c>
      <c r="F13" s="12" t="inlineStr">
        <is>
          <t>本文p.27〜32・ロードマップ・Excelシミュレーション全体／交付金の支給要件</t>
        </is>
      </c>
      <c r="G13" s="12" t="inlineStr">
        <is>
          <t>公表済みの方針を説明なく大幅に緩和することになり、交付金の要件審査で指摘を受けるおそれがある。</t>
        </is>
      </c>
    </row>
    <row r="14" ht="50" customHeight="1">
      <c r="A14" s="5" t="inlineStr">
        <is>
          <t>C-2</t>
        </is>
      </c>
      <c r="B14" s="7" t="inlineStr">
        <is>
          <t>大</t>
        </is>
      </c>
      <c r="C14" s="8" t="inlineStr">
        <is>
          <t>方針待ち</t>
        </is>
      </c>
      <c r="D14" s="6" t="inlineStr">
        <is>
          <t>他会計補助金（繰入金）の前提（論点D）</t>
        </is>
      </c>
      <c r="E14" s="6" t="inlineStr">
        <is>
          <t>公表版は他会計補助金を令和7年度55,771千円としているのに対し、改定案のExcelは88,514千円（公表版の令和6年度値）を置いている。差は＋32,743千円。</t>
        </is>
      </c>
      <c r="F14" s="6" t="inlineStr">
        <is>
          <t>収支計画全体・経常収支比率・シミュレーションのパターン判定</t>
        </is>
      </c>
      <c r="G14" s="6" t="inlineStr">
        <is>
          <t>繰入金は経常収支比率を直接押し上げるため、パターン2が目標達成とされる根拠そのものが変わる。</t>
        </is>
      </c>
    </row>
    <row r="15" ht="50" customHeight="1">
      <c r="A15" s="11" t="inlineStr">
        <is>
          <t>C-3</t>
        </is>
      </c>
      <c r="B15" s="18" t="inlineStr">
        <is>
          <t>大</t>
        </is>
      </c>
      <c r="C15" s="16" t="inlineStr">
        <is>
          <t>方針待ち</t>
        </is>
      </c>
      <c r="D15" s="12" t="inlineStr">
        <is>
          <t>令和8年度以降の投資計画の配分</t>
        </is>
      </c>
      <c r="E15" s="12" t="inlineStr">
        <is>
          <t>令和7年度は93,100千円で公表版と一致することを確認したが、令和8年度以降は配分が大きく異なる（令和9年度：公表版424,000千円／改定案749,000千円、令和10年度：公表版192,000千円／改定案50,000千円、令和11年度：公表版19,426千円／改定案99,426千円）。</t>
        </is>
      </c>
      <c r="F15" s="12" t="inlineStr">
        <is>
          <t>本文p.25・p.26・収支計画全体</t>
        </is>
      </c>
      <c r="G15" s="12" t="inlineStr">
        <is>
          <t>投資額が動くと減価償却費・支払利息・企業債残高が連動し、収支計画とシミュレーション結果がすべて変わる。</t>
        </is>
      </c>
    </row>
    <row r="16" ht="50" customHeight="1">
      <c r="A16" s="5" t="inlineStr">
        <is>
          <t>C-4</t>
        </is>
      </c>
      <c r="B16" s="15" t="inlineStr">
        <is>
          <t>中</t>
        </is>
      </c>
      <c r="C16" s="8" t="inlineStr">
        <is>
          <t>方針待ち</t>
        </is>
      </c>
      <c r="D16" s="6" t="inlineStr">
        <is>
          <t>経営指標の目標値</t>
        </is>
      </c>
      <c r="E16" s="6" t="inlineStr">
        <is>
          <t>現行案は「経常収支比率を計画期間内で100%以上維持し、経費回収率を令和5年度基準57.86%から上昇させる」を目標としている。C-1〜C-3の決定とExcelの再計算により達成可否が変わる可能性がある。</t>
        </is>
      </c>
      <c r="F16" s="6" t="inlineStr">
        <is>
          <t>本文p.32・ロードマップ</t>
        </is>
      </c>
      <c r="G16" s="6" t="inlineStr">
        <is>
          <t>再計算後に目標未達となった場合、記載の整合が取れなくなる。</t>
        </is>
      </c>
    </row>
    <row r="17" ht="50" customHeight="1">
      <c r="A17" s="11" t="inlineStr">
        <is>
          <t>D-1</t>
        </is>
      </c>
      <c r="B17" s="20" t="inlineStr">
        <is>
          <t>小</t>
        </is>
      </c>
      <c r="C17" s="16" t="inlineStr">
        <is>
          <t>方針待ち</t>
        </is>
      </c>
      <c r="D17" s="12" t="inlineStr">
        <is>
          <t>「予測」シートの自治体設定の整理</t>
        </is>
      </c>
      <c r="E17" s="12" t="inlineStr">
        <is>
          <t>推計の自治体設定がA3:D3に「コード2441・青森県三戸町」のまま残っている。総人口等（12〜14行）は中札内村の値が直接入力されており推計式とは切れているが、設定行が残っていると出典説明と矛盾する。B-2の決定に連動する。</t>
        </is>
      </c>
      <c r="F17" s="12" t="inlineStr">
        <is>
          <t>Excel「予測」シート</t>
        </is>
      </c>
      <c r="G17" s="12" t="inlineStr">
        <is>
          <t>他団体名が残ったまま納品される。</t>
        </is>
      </c>
    </row>
    <row r="18" ht="50" customHeight="1">
      <c r="A18" s="5" t="inlineStr">
        <is>
          <t>D-2</t>
        </is>
      </c>
      <c r="B18" s="17" t="inlineStr">
        <is>
          <t>小</t>
        </is>
      </c>
      <c r="C18" s="8" t="inlineStr">
        <is>
          <t>方針待ち</t>
        </is>
      </c>
      <c r="D18" s="6" t="inlineStr">
        <is>
          <t>「下水過去」シートの扱い</t>
        </is>
      </c>
      <c r="E18" s="6" t="inlineStr">
        <is>
          <t>三戸町の実績値（行政区域内人口11,023→8,699人、使用料収入16,335→23,660千円等）。他シートからの参照はゼロであり、財政計算への波及はない。</t>
        </is>
      </c>
      <c r="F18" s="6" t="inlineStr">
        <is>
          <t>Excel「下水過去」シート</t>
        </is>
      </c>
      <c r="G18" s="6" t="inlineStr">
        <is>
          <t>他団体データが残ったまま納品される。</t>
        </is>
      </c>
    </row>
    <row r="19" ht="50" customHeight="1">
      <c r="A19" s="11" t="inlineStr">
        <is>
          <t>D-3</t>
        </is>
      </c>
      <c r="B19" s="20" t="inlineStr">
        <is>
          <t>小</t>
        </is>
      </c>
      <c r="C19" s="16" t="inlineStr">
        <is>
          <t>方針待ち</t>
        </is>
      </c>
      <c r="D19" s="12" t="inlineStr">
        <is>
          <t>「下水道現況予測」の体裁整理</t>
        </is>
      </c>
      <c r="E19" s="12" t="inlineStr">
        <is>
          <t>1行目が「3事業合算」（本村は特定環境保全公共下水道の1事業のみ）、13〜14行の普及率・水洗化率が#DIV/0!、外部リンクが小松市・東員町のブックを指したまま約960箇所ずつ参照している。</t>
        </is>
      </c>
      <c r="F19" s="12" t="inlineStr">
        <is>
          <t>Excel「下水道現況予測」シート</t>
        </is>
      </c>
      <c r="G19" s="12" t="inlineStr">
        <is>
          <t>エラー表示と他団体への外部リンクが残る。</t>
        </is>
      </c>
    </row>
    <row r="20" ht="50" customHeight="1">
      <c r="A20" s="5" t="inlineStr">
        <is>
          <t>D-4</t>
        </is>
      </c>
      <c r="B20" s="15" t="inlineStr">
        <is>
          <t>中</t>
        </is>
      </c>
      <c r="C20" s="8" t="inlineStr">
        <is>
          <t>方針待ち</t>
        </is>
      </c>
      <c r="D20" s="6" t="inlineStr">
        <is>
          <t>再計算後の図表貼り直しの範囲</t>
        </is>
      </c>
      <c r="E20" s="6" t="inlineStr">
        <is>
          <t>本文の図表はすべてExcelから貼り付けた画像（EMF 27点）であり、リンクされた表ではない。令和7年度の建設改良費が＋65,676千円となったため、減価償却費・支払利息・企業債残高が令和7年度以降で動く。</t>
        </is>
      </c>
      <c r="F20" s="6" t="inlineStr">
        <is>
          <t>本文p.21〜32の各図表</t>
        </is>
      </c>
      <c r="G20" s="6" t="inlineStr">
        <is>
          <t>本文の図表と最新の試算値が食い違ったまま残る。</t>
        </is>
      </c>
    </row>
    <row r="21" ht="50" customHeight="1">
      <c r="A21" s="11" t="inlineStr">
        <is>
          <t>E-1</t>
        </is>
      </c>
      <c r="B21" s="13" t="inlineStr">
        <is>
          <t>中</t>
        </is>
      </c>
      <c r="C21" s="16" t="inlineStr">
        <is>
          <t>照会中</t>
        </is>
      </c>
      <c r="D21" s="12" t="inlineStr">
        <is>
          <t>各給水区域の施設状況（表）のデータ</t>
        </is>
      </c>
      <c r="E21" s="12" t="inlineStr">
        <is>
          <t>簡易水道の本文p.17「■各給水区域の施設状況」が空欄のまま。本文には杉沢・蛇沼・大舌・貝守・袴田・横沢の6地区の管路延長と配水池設置年度が記載されているが、表に入れる施設諸元（水源種別・浄水方式・配水方式・施設能力・設置年度等）の一覧がない。</t>
        </is>
      </c>
      <c r="F21" s="12" t="inlineStr">
        <is>
          <t>簡易水道 本文p.17</t>
        </is>
      </c>
      <c r="G21" s="12" t="inlineStr">
        <is>
          <t>p.17の表が空欄のまま残り、本文を完成できない。</t>
        </is>
      </c>
    </row>
    <row r="22" ht="50" customHeight="1">
      <c r="A22" s="5" t="inlineStr">
        <is>
          <t>E-2</t>
        </is>
      </c>
      <c r="B22" s="15" t="inlineStr">
        <is>
          <t>中</t>
        </is>
      </c>
      <c r="C22" s="8" t="inlineStr">
        <is>
          <t>照会中</t>
        </is>
      </c>
      <c r="D22" s="6" t="inlineStr">
        <is>
          <t>横沢地区の管路延長</t>
        </is>
      </c>
      <c r="E22" s="6" t="inlineStr">
        <is>
          <t>簡易水道の本文p.17に「管路延長は杉沢で6,692ｍ、蛇沼で21,843ｍ、大舌で16,621ｍ、貝守で19,454ｍ、袴田で11,945ｍとなっており、横沢は不明です」とある。</t>
        </is>
      </c>
      <c r="F22" s="6" t="inlineStr">
        <is>
          <t>簡易水道 本文p.17</t>
        </is>
      </c>
      <c r="G22" s="6" t="inlineStr">
        <is>
          <t>公表物に「不明」の記載が残る。</t>
        </is>
      </c>
    </row>
    <row r="23" ht="50" customHeight="1">
      <c r="A23" s="11" t="inlineStr">
        <is>
          <t>E-3</t>
        </is>
      </c>
      <c r="B23" s="13" t="inlineStr">
        <is>
          <t>中</t>
        </is>
      </c>
      <c r="C23" s="14" t="inlineStr">
        <is>
          <t>反映済</t>
        </is>
      </c>
      <c r="D23" s="12" t="inlineStr">
        <is>
          <t>簡易水道本文の「国（県）補助金」表記</t>
        </is>
      </c>
      <c r="E23" s="12" t="inlineStr">
        <is>
          <t>簡易水道の本文p.31付近に「●国（県）補助金」「国庫（県）補助対象事業」が残っている。下水道側では同じ箇所について朱書きで「県」→「道」のご指示をいただき修正済み。</t>
        </is>
      </c>
      <c r="F23" s="12" t="inlineStr">
        <is>
          <t>簡易水道 本文（資本的収入の説明）</t>
        </is>
      </c>
      <c r="G23" s="12" t="inlineStr">
        <is>
          <t>同一団体の2つの戦略で表記が食い違う。</t>
        </is>
      </c>
    </row>
    <row r="24" ht="50" customHeight="1">
      <c r="A24" s="5" t="inlineStr">
        <is>
          <t>E-4</t>
        </is>
      </c>
      <c r="B24" s="17" t="inlineStr">
        <is>
          <t>小</t>
        </is>
      </c>
      <c r="C24" s="19" t="inlineStr">
        <is>
          <t>反映済</t>
        </is>
      </c>
      <c r="D24" s="6" t="inlineStr">
        <is>
          <t>資産活用の状況に下水道の例示が残存</t>
        </is>
      </c>
      <c r="E24" s="6" t="inlineStr">
        <is>
          <t>簡易水道の本文「資産活用の状況」の項目名が「（下水熱・下水汚泥・発電等）」となっており、下水道の様式がそのまま残っている。</t>
        </is>
      </c>
      <c r="F24" s="6" t="inlineStr">
        <is>
          <t>簡易水道 本文（資産活用の状況）</t>
        </is>
      </c>
      <c r="G24" s="6" t="inlineStr">
        <is>
          <t>下水道の用語が簡易水道の戦略に残る。</t>
        </is>
      </c>
    </row>
    <row r="25" ht="50" customHeight="1">
      <c r="A25" s="11" t="inlineStr">
        <is>
          <t>E-5</t>
        </is>
      </c>
      <c r="B25" s="20" t="inlineStr">
        <is>
          <t>小</t>
        </is>
      </c>
      <c r="C25" s="16" t="inlineStr">
        <is>
          <t>方針待ち</t>
        </is>
      </c>
      <c r="D25" s="12" t="inlineStr">
        <is>
          <t>「サンプル」表記と項目番号の重複</t>
        </is>
      </c>
      <c r="E25" s="12" t="inlineStr">
        <is>
          <t>簡易水道の本文に「4．施設の状況　サンプル」「【参考】サンプル」の赤字表記が残っている。また「（５）民間活力の活用等」と「（５）資産活用の状況」で項目番号が重複している。</t>
        </is>
      </c>
      <c r="F25" s="12" t="inlineStr">
        <is>
          <t>簡易水道 本文</t>
        </is>
      </c>
      <c r="G25" s="12" t="inlineStr">
        <is>
          <t>仮表記と番号重複が残ったまま公表される。</t>
        </is>
      </c>
    </row>
  </sheetData>
  <autoFilter ref="A1:G2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31" t="inlineStr">
        <is>
          <t>※　このシートは「確認結果入力」シートのプルダウンの元データです。編集しないでください。</t>
        </is>
      </c>
    </row>
    <row r="2">
      <c r="A2" s="28" t="inlineStr">
        <is>
          <t>ID</t>
        </is>
      </c>
      <c r="B2" s="28" t="inlineStr">
        <is>
          <t>選択肢1</t>
        </is>
      </c>
      <c r="C2" s="28" t="inlineStr">
        <is>
          <t>選択肢2</t>
        </is>
      </c>
      <c r="D2" s="28" t="inlineStr">
        <is>
          <t>選択肢3</t>
        </is>
      </c>
      <c r="E2" s="28" t="inlineStr">
        <is>
          <t>選択肢4</t>
        </is>
      </c>
      <c r="F2" s="28" t="inlineStr">
        <is>
          <t>選択肢5</t>
        </is>
      </c>
    </row>
    <row r="3">
      <c r="A3" s="33" t="inlineStr">
        <is>
          <t>A-1</t>
        </is>
      </c>
      <c r="B3" s="6" t="inlineStr">
        <is>
          <t>提供済み</t>
        </is>
      </c>
      <c r="C3" s="6" t="inlineStr">
        <is>
          <t>提供予定</t>
        </is>
      </c>
      <c r="D3" s="6" t="inlineStr">
        <is>
          <t>提供不可</t>
        </is>
      </c>
      <c r="E3" s="6" t="inlineStr">
        <is>
          <t>未定</t>
        </is>
      </c>
    </row>
    <row r="4">
      <c r="A4" s="33" t="inlineStr">
        <is>
          <t>A-2</t>
        </is>
      </c>
      <c r="B4" s="6" t="inlineStr">
        <is>
          <t>令和5年度末時点として記載</t>
        </is>
      </c>
      <c r="C4" s="6" t="inlineStr">
        <is>
          <t>令和7年度時点として記載</t>
        </is>
      </c>
      <c r="D4" s="6" t="inlineStr">
        <is>
          <t>その他</t>
        </is>
      </c>
      <c r="E4" s="6" t="inlineStr">
        <is>
          <t>未定</t>
        </is>
      </c>
    </row>
    <row r="5">
      <c r="A5" s="33" t="inlineStr">
        <is>
          <t>A-3</t>
        </is>
      </c>
      <c r="B5" s="6" t="inlineStr">
        <is>
          <t>実績値25,270.66mを記載</t>
        </is>
      </c>
      <c r="C5" s="6" t="inlineStr">
        <is>
          <t>計画値27,560mを記載</t>
        </is>
      </c>
      <c r="D5" s="6" t="inlineStr">
        <is>
          <t>両方を併記</t>
        </is>
      </c>
      <c r="E5" s="6" t="inlineStr">
        <is>
          <t>その他</t>
        </is>
      </c>
      <c r="F5" s="6" t="inlineStr">
        <is>
          <t>未定</t>
        </is>
      </c>
    </row>
    <row r="6">
      <c r="A6" s="33" t="inlineStr">
        <is>
          <t>A-4</t>
        </is>
      </c>
      <c r="B6" s="6" t="inlineStr">
        <is>
          <t>1,520㎥/日（提供資料）を記載</t>
        </is>
      </c>
      <c r="C6" s="6" t="inlineStr">
        <is>
          <t>現有能力の実数値を記載</t>
        </is>
      </c>
      <c r="D6" s="6" t="inlineStr">
        <is>
          <t>その他</t>
        </is>
      </c>
      <c r="E6" s="6" t="inlineStr">
        <is>
          <t>未定</t>
        </is>
      </c>
    </row>
    <row r="7">
      <c r="A7" s="33" t="inlineStr">
        <is>
          <t>A-5</t>
        </is>
      </c>
      <c r="B7" s="6" t="inlineStr">
        <is>
          <t>全体計画（令和13年度）の値</t>
        </is>
      </c>
      <c r="C7" s="6" t="inlineStr">
        <is>
          <t>事業計画（令和7年度）の2,661人に置換</t>
        </is>
      </c>
      <c r="D7" s="6" t="inlineStr">
        <is>
          <t>その他</t>
        </is>
      </c>
      <c r="E7" s="6" t="inlineStr">
        <is>
          <t>未定</t>
        </is>
      </c>
    </row>
    <row r="8">
      <c r="A8" s="33" t="inlineStr">
        <is>
          <t>A-6</t>
        </is>
      </c>
      <c r="B8" s="6" t="inlineStr">
        <is>
          <t>提供済み</t>
        </is>
      </c>
      <c r="C8" s="6" t="inlineStr">
        <is>
          <t>提供予定</t>
        </is>
      </c>
      <c r="D8" s="6" t="inlineStr">
        <is>
          <t>提供不可</t>
        </is>
      </c>
      <c r="E8" s="6" t="inlineStr">
        <is>
          <t>未定</t>
        </is>
      </c>
    </row>
    <row r="9">
      <c r="A9" s="33" t="inlineStr">
        <is>
          <t>B-1</t>
        </is>
      </c>
      <c r="B9" s="6" t="inlineStr">
        <is>
          <t>公表版に合わせ「人口密度が低く資本費負担が大きい」旨に改める</t>
        </is>
      </c>
      <c r="C9" s="6" t="inlineStr">
        <is>
          <t>現行の記述を維持</t>
        </is>
      </c>
      <c r="D9" s="6" t="inlineStr">
        <is>
          <t>両論を併記</t>
        </is>
      </c>
      <c r="E9" s="6" t="inlineStr">
        <is>
          <t>その他</t>
        </is>
      </c>
      <c r="F9" s="6" t="inlineStr">
        <is>
          <t>未定</t>
        </is>
      </c>
    </row>
    <row r="10">
      <c r="A10" s="33" t="inlineStr">
        <is>
          <t>B-2</t>
        </is>
      </c>
      <c r="B10" s="6" t="inlineStr">
        <is>
          <t>村独自推計（第7期まちづくり計画）に統一</t>
        </is>
      </c>
      <c r="C10" s="6" t="inlineStr">
        <is>
          <t>社人研推計に統一</t>
        </is>
      </c>
      <c r="D10" s="6" t="inlineStr">
        <is>
          <t>その他</t>
        </is>
      </c>
      <c r="E10" s="6" t="inlineStr">
        <is>
          <t>未定</t>
        </is>
      </c>
    </row>
    <row r="11">
      <c r="A11" s="33" t="inlineStr">
        <is>
          <t>B-3</t>
        </is>
      </c>
      <c r="B11" s="6" t="inlineStr">
        <is>
          <t>令和3〜5年度</t>
        </is>
      </c>
      <c r="C11" s="6" t="inlineStr">
        <is>
          <t>令和4〜6年度</t>
        </is>
      </c>
      <c r="D11" s="6" t="inlineStr">
        <is>
          <t>その他</t>
        </is>
      </c>
      <c r="E11" s="6" t="inlineStr">
        <is>
          <t>未定</t>
        </is>
      </c>
    </row>
    <row r="12">
      <c r="A12" s="33" t="inlineStr">
        <is>
          <t>B-4</t>
        </is>
      </c>
      <c r="B12" s="6" t="inlineStr">
        <is>
          <t>69.48%（経営比較分析表・普及率）</t>
        </is>
      </c>
      <c r="C12" s="6" t="inlineStr">
        <is>
          <t>70.9%（処理区域内人口比率）</t>
        </is>
      </c>
      <c r="D12" s="6" t="inlineStr">
        <is>
          <t>その他</t>
        </is>
      </c>
      <c r="E12" s="6" t="inlineStr">
        <is>
          <t>未定</t>
        </is>
      </c>
    </row>
    <row r="13">
      <c r="A13" s="33" t="inlineStr">
        <is>
          <t>B-5</t>
        </is>
      </c>
      <c r="B13" s="6" t="inlineStr">
        <is>
          <t>削除する</t>
        </is>
      </c>
      <c r="C13" s="6" t="inlineStr">
        <is>
          <t>残す（管更生の実績あり）</t>
        </is>
      </c>
      <c r="D13" s="6" t="inlineStr">
        <is>
          <t>その他</t>
        </is>
      </c>
      <c r="E13" s="6" t="inlineStr">
        <is>
          <t>未定</t>
        </is>
      </c>
    </row>
    <row r="14">
      <c r="A14" s="33" t="inlineStr">
        <is>
          <t>C-1</t>
        </is>
      </c>
      <c r="B14" s="6" t="inlineStr">
        <is>
          <t>改定案どおり 令和9年度・15%（パターン2）</t>
        </is>
      </c>
      <c r="C14" s="6" t="inlineStr">
        <is>
          <t>公表版どおり 令和8年度・約60%</t>
        </is>
      </c>
      <c r="D14" s="6" t="inlineStr">
        <is>
          <t>別の時期・率を設定</t>
        </is>
      </c>
      <c r="E14" s="6" t="inlineStr">
        <is>
          <t>その他</t>
        </is>
      </c>
      <c r="F14" s="6" t="inlineStr">
        <is>
          <t>未定</t>
        </is>
      </c>
    </row>
    <row r="15">
      <c r="A15" s="33" t="inlineStr">
        <is>
          <t>C-2</t>
        </is>
      </c>
      <c r="B15" s="6" t="inlineStr">
        <is>
          <t>改定案どおり 88,514千円</t>
        </is>
      </c>
      <c r="C15" s="6" t="inlineStr">
        <is>
          <t>公表版どおり 55,771千円</t>
        </is>
      </c>
      <c r="D15" s="6" t="inlineStr">
        <is>
          <t>別途設定</t>
        </is>
      </c>
      <c r="E15" s="6" t="inlineStr">
        <is>
          <t>その他</t>
        </is>
      </c>
      <c r="F15" s="6" t="inlineStr">
        <is>
          <t>未定</t>
        </is>
      </c>
    </row>
    <row r="16">
      <c r="A16" s="33" t="inlineStr">
        <is>
          <t>C-3</t>
        </is>
      </c>
      <c r="B16" s="6" t="inlineStr">
        <is>
          <t>改定案の配分で確定</t>
        </is>
      </c>
      <c r="C16" s="6" t="inlineStr">
        <is>
          <t>公表版の配分に戻す</t>
        </is>
      </c>
      <c r="D16" s="6" t="inlineStr">
        <is>
          <t>別途調整</t>
        </is>
      </c>
      <c r="E16" s="6" t="inlineStr">
        <is>
          <t>その他</t>
        </is>
      </c>
      <c r="F16" s="6" t="inlineStr">
        <is>
          <t>未定</t>
        </is>
      </c>
    </row>
    <row r="17">
      <c r="A17" s="33" t="inlineStr">
        <is>
          <t>C-4</t>
        </is>
      </c>
      <c r="B17" s="6" t="inlineStr">
        <is>
          <t>現行の目標値を維持</t>
        </is>
      </c>
      <c r="C17" s="6" t="inlineStr">
        <is>
          <t>再計算結果を踏まえて見直す</t>
        </is>
      </c>
      <c r="D17" s="6" t="inlineStr">
        <is>
          <t>その他</t>
        </is>
      </c>
      <c r="E17" s="6" t="inlineStr">
        <is>
          <t>未定</t>
        </is>
      </c>
    </row>
    <row r="18">
      <c r="A18" s="33" t="inlineStr">
        <is>
          <t>D-1</t>
        </is>
      </c>
      <c r="B18" s="6" t="inlineStr">
        <is>
          <t>設定行を削除する</t>
        </is>
      </c>
      <c r="C18" s="6" t="inlineStr">
        <is>
          <t>中札内村の値に置換する</t>
        </is>
      </c>
      <c r="D18" s="6" t="inlineStr">
        <is>
          <t>現状のまま残す</t>
        </is>
      </c>
      <c r="E18" s="6" t="inlineStr">
        <is>
          <t>その他</t>
        </is>
      </c>
      <c r="F18" s="6" t="inlineStr">
        <is>
          <t>未定</t>
        </is>
      </c>
    </row>
    <row r="19">
      <c r="A19" s="33" t="inlineStr">
        <is>
          <t>D-2</t>
        </is>
      </c>
      <c r="B19" s="6" t="inlineStr">
        <is>
          <t>中札内村の実績に置換する</t>
        </is>
      </c>
      <c r="C19" s="6" t="inlineStr">
        <is>
          <t>シートを削除する</t>
        </is>
      </c>
      <c r="D19" s="6" t="inlineStr">
        <is>
          <t>現状のまま残す</t>
        </is>
      </c>
      <c r="E19" s="6" t="inlineStr">
        <is>
          <t>その他</t>
        </is>
      </c>
      <c r="F19" s="6" t="inlineStr">
        <is>
          <t>未定</t>
        </is>
      </c>
    </row>
    <row r="20">
      <c r="A20" s="33" t="inlineStr">
        <is>
          <t>D-3</t>
        </is>
      </c>
      <c r="B20" s="6" t="inlineStr">
        <is>
          <t>すべて整理する</t>
        </is>
      </c>
      <c r="C20" s="6" t="inlineStr">
        <is>
          <t>表示に出る部分のみ整理</t>
        </is>
      </c>
      <c r="D20" s="6" t="inlineStr">
        <is>
          <t>現状のまま残す</t>
        </is>
      </c>
      <c r="E20" s="6" t="inlineStr">
        <is>
          <t>その他</t>
        </is>
      </c>
      <c r="F20" s="6" t="inlineStr">
        <is>
          <t>未定</t>
        </is>
      </c>
    </row>
    <row r="21">
      <c r="A21" s="33" t="inlineStr">
        <is>
          <t>D-4</t>
        </is>
      </c>
      <c r="B21" s="6" t="inlineStr">
        <is>
          <t>数値が動いた図表のみ差し替え</t>
        </is>
      </c>
      <c r="C21" s="6" t="inlineStr">
        <is>
          <t>p.21〜32の全図表を差し替え</t>
        </is>
      </c>
      <c r="D21" s="6" t="inlineStr">
        <is>
          <t>その他</t>
        </is>
      </c>
      <c r="E21" s="6" t="inlineStr">
        <is>
          <t>未定</t>
        </is>
      </c>
    </row>
    <row r="22">
      <c r="A22" s="33" t="inlineStr">
        <is>
          <t>E-1</t>
        </is>
      </c>
      <c r="B22" s="6" t="inlineStr">
        <is>
          <t>提供済み</t>
        </is>
      </c>
      <c r="C22" s="6" t="inlineStr">
        <is>
          <t>提供予定</t>
        </is>
      </c>
      <c r="D22" s="6" t="inlineStr">
        <is>
          <t>提供不可</t>
        </is>
      </c>
      <c r="E22" s="6" t="inlineStr">
        <is>
          <t>未定</t>
        </is>
      </c>
    </row>
    <row r="23">
      <c r="A23" s="33" t="inlineStr">
        <is>
          <t>E-2</t>
        </is>
      </c>
      <c r="B23" s="6" t="inlineStr">
        <is>
          <t>実数値をご提供</t>
        </is>
      </c>
      <c r="C23" s="6" t="inlineStr">
        <is>
          <t>「不明」のまま記載</t>
        </is>
      </c>
      <c r="D23" s="6" t="inlineStr">
        <is>
          <t>項目ごと削除</t>
        </is>
      </c>
      <c r="E23" s="6" t="inlineStr">
        <is>
          <t>その他</t>
        </is>
      </c>
      <c r="F23" s="6" t="inlineStr">
        <is>
          <t>未定</t>
        </is>
      </c>
    </row>
    <row r="24">
      <c r="A24" s="33" t="inlineStr">
        <is>
          <t>E-3</t>
        </is>
      </c>
      <c r="B24" s="6" t="inlineStr">
        <is>
          <t>下水道と同様に「道」へ修正</t>
        </is>
      </c>
      <c r="C24" s="6" t="inlineStr">
        <is>
          <t>現行のまま</t>
        </is>
      </c>
      <c r="D24" s="6" t="inlineStr">
        <is>
          <t>その他</t>
        </is>
      </c>
      <c r="E24" s="6" t="inlineStr">
        <is>
          <t>未定</t>
        </is>
      </c>
    </row>
    <row r="25">
      <c r="A25" s="33" t="inlineStr">
        <is>
          <t>E-4</t>
        </is>
      </c>
      <c r="B25" s="6" t="inlineStr">
        <is>
          <t>簡易水道に即した例示へ改める</t>
        </is>
      </c>
      <c r="C25" s="6" t="inlineStr">
        <is>
          <t>項目ごと削除</t>
        </is>
      </c>
      <c r="D25" s="6" t="inlineStr">
        <is>
          <t>現行のまま</t>
        </is>
      </c>
      <c r="E25" s="6" t="inlineStr">
        <is>
          <t>その他</t>
        </is>
      </c>
      <c r="F25" s="6" t="inlineStr">
        <is>
          <t>未定</t>
        </is>
      </c>
    </row>
    <row r="26">
      <c r="A26" s="33" t="inlineStr">
        <is>
          <t>E-5</t>
        </is>
      </c>
      <c r="B26" s="6" t="inlineStr">
        <is>
          <t>いずれも整理する</t>
        </is>
      </c>
      <c r="C26" s="6" t="inlineStr">
        <is>
          <t>本文確定時にまとめて整理</t>
        </is>
      </c>
      <c r="D26" s="6" t="inlineStr">
        <is>
          <t>現行のまま</t>
        </is>
      </c>
      <c r="E26" s="6" t="inlineStr">
        <is>
          <t>その他</t>
        </is>
      </c>
      <c r="F26" s="6" t="inlineStr">
        <is>
          <t>未定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2026-10-01T05:03:31Z</dcterms:created>
  <dcterms:modified xmlns:dcterms="http://purl.org/dc/terms/" xmlns:xsi="http://www.w3.org/2001/XMLSchema-instance" xsi:type="dcterms:W3CDTF">2026-10-01T05:03:31Z</dcterms:modified>
</cp:coreProperties>
</file>