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5d0881ff6fc42b2/顧客データ/中札内村/経営戦略/"/>
    </mc:Choice>
  </mc:AlternateContent>
  <xr:revisionPtr revIDLastSave="1727" documentId="13_ncr:1_{A8BF4A1C-3C52-4B38-8218-B2FA5E80B549}" xr6:coauthVersionLast="47" xr6:coauthVersionMax="47" xr10:uidLastSave="{96A84978-F207-4603-A9B9-699094BFF3C6}"/>
  <bookViews>
    <workbookView xWindow="-110" yWindow="-110" windowWidth="19420" windowHeight="11500" firstSheet="14" activeTab="15" xr2:uid="{AF311F28-A789-44A3-B49C-D591774C121D}"/>
  </bookViews>
  <sheets>
    <sheet name="計画改訂スケジュール水道" sheetId="32" r:id="rId1"/>
    <sheet name="計画改訂スケジュール 下水道" sheetId="31" r:id="rId2"/>
    <sheet name="総人口共通" sheetId="2" r:id="rId3"/>
    <sheet name="水洗化人口" sheetId="4" r:id="rId4"/>
    <sheet name="有収水量　下水" sheetId="5" r:id="rId5"/>
    <sheet name="使用料収入" sheetId="6" r:id="rId6"/>
    <sheet name="総人口＆給水人口" sheetId="8" r:id="rId7"/>
    <sheet name="有収水量簡水" sheetId="9" r:id="rId8"/>
    <sheet name="料金収入" sheetId="10" r:id="rId9"/>
    <sheet name="Sheet2" sheetId="12" r:id="rId10"/>
    <sheet name="Sheet3" sheetId="15" r:id="rId11"/>
    <sheet name="Sheet1" sheetId="11" r:id="rId12"/>
    <sheet name="予測" sheetId="1" r:id="rId13"/>
    <sheet name="下水過去" sheetId="3" r:id="rId14"/>
    <sheet name="簡水過去" sheetId="7" r:id="rId15"/>
    <sheet name="【下水道】建設改良費の年度別事業費 (2)" sheetId="13" r:id="rId16"/>
    <sheet name="下水道現況予測" sheetId="14" r:id="rId17"/>
    <sheet name="【簡易水道】建設改良費の年度別事業費 " sheetId="16" r:id="rId18"/>
    <sheet name="簡水現況予測" sheetId="17" r:id="rId19"/>
    <sheet name="予測 (2)P1-10%" sheetId="20" r:id="rId20"/>
    <sheet name="下水道現況予測 P1-10%" sheetId="21" r:id="rId21"/>
    <sheet name="予測 (2)協議会案" sheetId="28" r:id="rId22"/>
    <sheet name="下水道現況予測 協議会案" sheetId="29" r:id="rId23"/>
    <sheet name="予測 (2)P3-20%" sheetId="22" r:id="rId24"/>
    <sheet name="下水道現況予測 P3-20%" sheetId="23" r:id="rId25"/>
    <sheet name="予測 (2)P4-30%" sheetId="24" r:id="rId26"/>
    <sheet name="下水道現況予測 P4-30%" sheetId="25" r:id="rId27"/>
    <sheet name="シミュレーションまとめ" sheetId="26" r:id="rId28"/>
    <sheet name="シミュレーションパターン" sheetId="27" r:id="rId29"/>
    <sheet name="ロードマップ２" sheetId="30"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#REF!</definedName>
    <definedName name="__">#REF!</definedName>
    <definedName name="__123Graph_A" hidden="1">[1]工程算出!#REF!</definedName>
    <definedName name="__123Graph_LBL_A" hidden="1">[1]工程算出!#REF!</definedName>
    <definedName name="__123Graph_X" hidden="1">[1]工程算出!#REF!</definedName>
    <definedName name="_1Q_H12国調結果地区別年齢別_5歳毎">#REF!</definedName>
    <definedName name="_END1">#REF!</definedName>
    <definedName name="_xlnm._FilterDatabase" localSheetId="10" hidden="1">Sheet3!$C$1:$L$280</definedName>
    <definedName name="_N1">#REF!</definedName>
    <definedName name="_PNO1">#REF!</definedName>
    <definedName name="_PNO2">#REF!</definedName>
    <definedName name="_PNO3">#REF!</definedName>
    <definedName name="_PNO4">#REF!</definedName>
    <definedName name="_YH1">#REF!</definedName>
    <definedName name="_YH2">#REF!</definedName>
    <definedName name="\0">#REF!</definedName>
    <definedName name="\a">#REF!</definedName>
    <definedName name="\b">#REF!</definedName>
    <definedName name="\c">#REF!</definedName>
    <definedName name="\d">#REF!</definedName>
    <definedName name="\e">#REF!</definedName>
    <definedName name="\p">#REF!</definedName>
    <definedName name="\s">#REF!</definedName>
    <definedName name="aa">#REF!</definedName>
    <definedName name="AS2DocOpenMode" hidden="1">"AS2DocumentEdit"</definedName>
    <definedName name="AS2HasNoAutoHeaderFooter" hidden="1">" "</definedName>
    <definedName name="BC">#REF!</definedName>
    <definedName name="BGH">#REF!</definedName>
    <definedName name="BH">#REF!</definedName>
    <definedName name="BOR">#REF!</definedName>
    <definedName name="CODE">#REF!</definedName>
    <definedName name="Data">[2]H17国勢調査!#REF!</definedName>
    <definedName name="DataEnd">[2]H17国勢調査!#REF!</definedName>
    <definedName name="F">#REF!</definedName>
    <definedName name="H6ﾃﾞｰﾀ">#REF!</definedName>
    <definedName name="H7ﾃﾞｰﾀ">#REF!</definedName>
    <definedName name="HEAD2">#REF!</definedName>
    <definedName name="Hyousoku">[2]H17国勢調査!#REF!</definedName>
    <definedName name="HyousokuArea">[2]H17国勢調査!#REF!</definedName>
    <definedName name="HyousokuEnd">[2]H17国勢調査!#REF!</definedName>
    <definedName name="Hyoutou">[2]H17国勢調査!#REF!</definedName>
    <definedName name="kei">#REF!</definedName>
    <definedName name="KES">#REF!</definedName>
    <definedName name="ｎ">#N/A</definedName>
    <definedName name="№１">#REF!</definedName>
    <definedName name="№１００">#REF!</definedName>
    <definedName name="№１５０">#REF!</definedName>
    <definedName name="№２００">#REF!</definedName>
    <definedName name="№２５０">#REF!</definedName>
    <definedName name="№３００">#REF!</definedName>
    <definedName name="№３２５">#REF!</definedName>
    <definedName name="№348">#REF!</definedName>
    <definedName name="№３５０">#REF!</definedName>
    <definedName name="№５０">#REF!</definedName>
    <definedName name="P">#N/A</definedName>
    <definedName name="ppp">'[3]10(000)'!#REF!</definedName>
    <definedName name="PRIN1">#REF!</definedName>
    <definedName name="PRINT">#REF!</definedName>
    <definedName name="_xlnm.Print_Area" localSheetId="15">'【下水道】建設改良費の年度別事業費 (2)'!$A$1:$R$34</definedName>
    <definedName name="_xlnm.Print_Area" localSheetId="17">'【簡易水道】建設改良費の年度別事業費 '!$A$1:$R$38</definedName>
    <definedName name="_xlnm.Print_Area" localSheetId="29">ロードマップ２!$B$1:$P$20</definedName>
    <definedName name="_xlnm.Print_Area" localSheetId="16">下水道現況予測!$A$25:$Y$127</definedName>
    <definedName name="_xlnm.Print_Area" localSheetId="20">'下水道現況予測 P1-10%'!$A$25:$Y$127</definedName>
    <definedName name="_xlnm.Print_Area" localSheetId="22">'下水道現況予測 協議会案'!$A$25:$Y$127</definedName>
    <definedName name="_xlnm.Print_Area" localSheetId="24">'下水道現況予測 P3-20%'!$A$25:$Y$127</definedName>
    <definedName name="_xlnm.Print_Area" localSheetId="26">'下水道現況予測 P4-30%'!$A$25:$Y$127</definedName>
    <definedName name="_xlnm.Print_Area" localSheetId="18">簡水現況予測!$A$25:$Y$129</definedName>
    <definedName name="_xlnm.Print_Area">#REF!</definedName>
    <definedName name="_xlnm.Print_Titles">#REF!,#REF!</definedName>
    <definedName name="Rangai0">[2]H17国勢調査!#REF!</definedName>
    <definedName name="RECORD">#REF!</definedName>
    <definedName name="RR">#REF!</definedName>
    <definedName name="START">#REF!</definedName>
    <definedName name="tanjyuu">#REF!</definedName>
    <definedName name="TextRefCopyRangeCount" hidden="1">1</definedName>
    <definedName name="Title">[2]H17国勢調査!#REF!</definedName>
    <definedName name="TitleEnglish">[2]H17国勢調査!#REF!</definedName>
    <definedName name="UNDK_KF010H">#REF!</definedName>
    <definedName name="UNDK_KF020H">#REF!</definedName>
    <definedName name="wrn.Aging._.and._.Trend._.Analysis." localSheetId="29"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01Y07_10" localSheetId="15">#REF!</definedName>
    <definedName name="X01Y07_10" localSheetId="17">#REF!</definedName>
    <definedName name="X01Y07_10">'[3]10(000)'!#REF!</definedName>
    <definedName name="X01Y07_10_2" localSheetId="15">#REF!</definedName>
    <definedName name="X01Y07_10_2" localSheetId="17">#REF!</definedName>
    <definedName name="X01Y07_10_2">'[3]10(000)'!#REF!</definedName>
    <definedName name="X01Y08_10" localSheetId="15">#REF!</definedName>
    <definedName name="X01Y08_10" localSheetId="17">#REF!</definedName>
    <definedName name="X01Y08_10">'[3]10(000)'!#REF!</definedName>
    <definedName name="YGH">#REF!</definedName>
    <definedName name="あ">#REF!</definedName>
    <definedName name="あああ">#REF!</definedName>
    <definedName name="あああああ">#REF!</definedName>
    <definedName name="カウント">#REF!</definedName>
    <definedName name="ﾀﾞﾑ平年貯水率">#REF!</definedName>
    <definedName name="ﾃﾞｰﾀ">#REF!</definedName>
    <definedName name="メインパネル">#N/A</definedName>
    <definedName name="安全">#REF!</definedName>
    <definedName name="一位代価表">#REF!</definedName>
    <definedName name="一号">#REF!</definedName>
    <definedName name="一般">#REF!</definedName>
    <definedName name="印刷">#REF!</definedName>
    <definedName name="印刷T代価">#REF!</definedName>
    <definedName name="印刷範囲">#REF!</definedName>
    <definedName name="営繕">#REF!</definedName>
    <definedName name="価格">#REF!</definedName>
    <definedName name="家庭用25">#REF!</definedName>
    <definedName name="家庭用料金Ａ19">#REF!</definedName>
    <definedName name="家庭用料金Ａ22">#REF!</definedName>
    <definedName name="家庭用料金Ｂ19">#REF!</definedName>
    <definedName name="家庭用料金Ｂ22">#REF!</definedName>
    <definedName name="簡水16">#REF!</definedName>
    <definedName name="技術">#REF!</definedName>
    <definedName name="業務用①25">#REF!</definedName>
    <definedName name="業務用①料金Ａ19">#REF!</definedName>
    <definedName name="業務用①料金Ａ22">#REF!</definedName>
    <definedName name="業務用①料金Ｂ19">#REF!</definedName>
    <definedName name="業務用①料金Ｂ22">#REF!</definedName>
    <definedName name="業務用②25">#REF!</definedName>
    <definedName name="業務用②料金Ａ19">#REF!</definedName>
    <definedName name="業務用②料金Ａ22">#REF!</definedName>
    <definedName name="業務用②料金Ｂ19">#REF!</definedName>
    <definedName name="業務用②料金Ｂ22">#REF!</definedName>
    <definedName name="業務用③25">#REF!</definedName>
    <definedName name="業務用③料金Ａ19">#REF!</definedName>
    <definedName name="業務用③料金Ａ22">#REF!</definedName>
    <definedName name="業務用③料金Ｂ19">#REF!</definedName>
    <definedName name="業務用③料金Ｂ22">#REF!</definedName>
    <definedName name="元号">#REF!</definedName>
    <definedName name="現場">#REF!</definedName>
    <definedName name="構築H27まで">#REF!</definedName>
    <definedName name="甲精">[4]補助!#REF!</definedName>
    <definedName name="財源">#REF!</definedName>
    <definedName name="三号">#REF!</definedName>
    <definedName name="市内雨量">#REF!</definedName>
    <definedName name="市内雨量平年値">#REF!</definedName>
    <definedName name="支出済額" localSheetId="15">歳出+[5]歳出!$N:$N</definedName>
    <definedName name="支出済額" localSheetId="17">歳出+[5]歳出!$N:$N</definedName>
    <definedName name="支出済額" localSheetId="29">歳出+[5]歳出!$N:$N</definedName>
    <definedName name="支出済額" localSheetId="16">歳出+[5]歳出!$N:$N</definedName>
    <definedName name="支出済額" localSheetId="20">歳出+[5]歳出!$N:$N</definedName>
    <definedName name="支出済額" localSheetId="22">歳出+[5]歳出!$N:$N</definedName>
    <definedName name="支出済額" localSheetId="24">歳出+[5]歳出!$N:$N</definedName>
    <definedName name="支出済額" localSheetId="26">歳出+[5]歳出!$N:$N</definedName>
    <definedName name="支出済額" localSheetId="18">歳出+[5]歳出!$N:$N</definedName>
    <definedName name="支出済額" localSheetId="1">歳出+[5]歳出!$N:$N</definedName>
    <definedName name="支出済額" localSheetId="0">歳出+[5]歳出!$N:$N</definedName>
    <definedName name="支出済額">歳出+[5]歳出!$N:$N</definedName>
    <definedName name="施設区分" localSheetId="15">#REF!</definedName>
    <definedName name="施設区分" localSheetId="17">#REF!</definedName>
    <definedName name="施設区分">#REF!</definedName>
    <definedName name="資材">#REF!</definedName>
    <definedName name="事業収益">[6]データ表!$B$2:$C$19</definedName>
    <definedName name="事業費用">[6]データ表!$B$22:$C$128</definedName>
    <definedName name="事業名" localSheetId="15">#REF!</definedName>
    <definedName name="事業名" localSheetId="17">#REF!</definedName>
    <definedName name="事業名">#REF!</definedName>
    <definedName name="重機">#REF!</definedName>
    <definedName name="準備">#REF!</definedName>
    <definedName name="諸">#REF!</definedName>
    <definedName name="小計">#REF!</definedName>
    <definedName name="消費税？">#REF!</definedName>
    <definedName name="消費税維持管理">#REF!</definedName>
    <definedName name="消費税施設増補">#REF!</definedName>
    <definedName name="消費税総務">#REF!</definedName>
    <definedName name="整理番号">#REF!</definedName>
    <definedName name="船舶用25">#REF!</definedName>
    <definedName name="船舶用料金Ａ19">#REF!</definedName>
    <definedName name="船舶用料金Ａ22">#REF!</definedName>
    <definedName name="船舶用料金Ｂ19">#REF!</definedName>
    <definedName name="船舶用料金Ｂ22">#REF!</definedName>
    <definedName name="措置区分と措置の緊急度">#REF!</definedName>
    <definedName name="総括金入">#REF!</definedName>
    <definedName name="総括金抜">[7]代価総括!#REF!</definedName>
    <definedName name="総資産増減要因分析" localSheetId="15">#REF!</definedName>
    <definedName name="総資産増減要因分析" localSheetId="17">#REF!</definedName>
    <definedName name="総資産増減要因分析">[8]目次!$J$10</definedName>
    <definedName name="耐用年数検索">#REF!</definedName>
    <definedName name="大分類名">#REF!</definedName>
    <definedName name="第1">#REF!</definedName>
    <definedName name="第2">#REF!</definedName>
    <definedName name="第3">#REF!</definedName>
    <definedName name="単価表">[9]単価表!$A$3:$F$52</definedName>
    <definedName name="中分類名">#REF!</definedName>
    <definedName name="天皇泉平年水位">#REF!</definedName>
    <definedName name="都道府県名">#REF!</definedName>
    <definedName name="湯屋用25">#REF!</definedName>
    <definedName name="湯屋用料金Ａ19">#REF!</definedName>
    <definedName name="湯屋用料金Ａ22">#REF!</definedName>
    <definedName name="湯屋用料金Ｂ19">#REF!</definedName>
    <definedName name="湯屋用料金Ｂ22">#REF!</definedName>
    <definedName name="内訳カウント">#REF!</definedName>
    <definedName name="内訳書">#REF!,#REF!</definedName>
    <definedName name="南高井平年水位">#REF!</definedName>
    <definedName name="二号">#REF!</definedName>
    <definedName name="年数早見表">#REF!</definedName>
    <definedName name="年度">[10]事業コード!$G$1:$G$34</definedName>
    <definedName name="判定項目A">#REF!</definedName>
    <definedName name="判定項目C">#REF!</definedName>
    <definedName name="範囲">'[11]15各施設別給水人口'!$B$3:$G$224</definedName>
    <definedName name="分水用25">#REF!</definedName>
    <definedName name="分水用料金Ａ19">#REF!</definedName>
    <definedName name="分水用料金Ａ22">#REF!</definedName>
    <definedName name="分水用料金Ｂ19">#REF!</definedName>
    <definedName name="分水用料金Ｂ22">#REF!</definedName>
    <definedName name="未16過疎">#REF!</definedName>
    <definedName name="未16簡水">#REF!</definedName>
    <definedName name="明細カウント">#REF!</definedName>
    <definedName name="目標耐用年数">#REF!</definedName>
    <definedName name="流域雨量平年値">#REF!</definedName>
    <definedName name="流域平均雨量">#REF!</definedName>
    <definedName name="料金25">#REF!</definedName>
    <definedName name="料金Ａ19">#REF!</definedName>
    <definedName name="料金Ａ22">#REF!</definedName>
    <definedName name="料金Ｂ19">#REF!</definedName>
    <definedName name="料金Ｂ22">#REF!</definedName>
    <definedName name="臨時用25">#REF!</definedName>
    <definedName name="臨時用料金Ａ19">#REF!</definedName>
    <definedName name="臨時用料金Ａ22">#REF!</definedName>
    <definedName name="臨時用料金Ｂ19">#REF!</definedName>
    <definedName name="臨時用料金Ｂ22">#REF!</definedName>
    <definedName name="劣化現象A">#REF!</definedName>
    <definedName name="劣化現象C">#REF!</definedName>
    <definedName name="労務">#REF!</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<sst xmlns="http://schemas.openxmlformats.org/spreadsheetml/2006/main" count="4800" uniqueCount="891">
  <si>
    <t>コード</t>
  </si>
  <si>
    <t>市などの別</t>
  </si>
  <si>
    <t>都道府県</t>
  </si>
  <si>
    <t>市区町村</t>
  </si>
  <si>
    <t>総人口（人）</t>
    <rPh sb="0" eb="3">
      <t>ソウジンコウ</t>
    </rPh>
    <rPh sb="4" eb="5">
      <t>ニン</t>
    </rPh>
    <phoneticPr fontId="3"/>
  </si>
  <si>
    <t>令和2（2020）年の総人口を100としたときの総人口の指数</t>
    <rPh sb="0" eb="2">
      <t>レイワ</t>
    </rPh>
    <phoneticPr fontId="3"/>
  </si>
  <si>
    <t>2020年</t>
  </si>
  <si>
    <t>2025年</t>
    <rPh sb="4" eb="5">
      <t>ネン</t>
    </rPh>
    <phoneticPr fontId="3"/>
  </si>
  <si>
    <t>2030年</t>
  </si>
  <si>
    <t>2035年</t>
    <rPh sb="4" eb="5">
      <t>ネン</t>
    </rPh>
    <phoneticPr fontId="3"/>
  </si>
  <si>
    <t>2040年</t>
  </si>
  <si>
    <t>2045年</t>
    <rPh sb="4" eb="5">
      <t>ネン</t>
    </rPh>
    <phoneticPr fontId="3"/>
  </si>
  <si>
    <t>2050年</t>
  </si>
  <si>
    <t>青森県</t>
  </si>
  <si>
    <t>三戸町</t>
  </si>
  <si>
    <t>令和8
（2026）</t>
    <rPh sb="0" eb="2">
      <t>レイワ</t>
    </rPh>
    <phoneticPr fontId="3"/>
  </si>
  <si>
    <t>令和9
（2027）</t>
    <rPh sb="0" eb="2">
      <t>レイワ</t>
    </rPh>
    <phoneticPr fontId="3"/>
  </si>
  <si>
    <t>令和10
（2028）</t>
    <rPh sb="0" eb="2">
      <t>レイワ</t>
    </rPh>
    <phoneticPr fontId="3"/>
  </si>
  <si>
    <t>令和11
（2029）</t>
    <rPh sb="0" eb="2">
      <t>レイワ</t>
    </rPh>
    <phoneticPr fontId="3"/>
  </si>
  <si>
    <t>令和12
（2030）</t>
    <rPh sb="0" eb="2">
      <t>レイワ</t>
    </rPh>
    <phoneticPr fontId="3"/>
  </si>
  <si>
    <t>令和13
（2031）</t>
    <rPh sb="0" eb="2">
      <t>レイワ</t>
    </rPh>
    <phoneticPr fontId="3"/>
  </si>
  <si>
    <t>令和14
（2032）</t>
    <rPh sb="0" eb="2">
      <t>レイワ</t>
    </rPh>
    <phoneticPr fontId="3"/>
  </si>
  <si>
    <t>令和15
（2033）</t>
    <rPh sb="0" eb="2">
      <t>レイワ</t>
    </rPh>
    <phoneticPr fontId="3"/>
  </si>
  <si>
    <t>令和16
（2034）</t>
    <rPh sb="0" eb="2">
      <t>レイワ</t>
    </rPh>
    <phoneticPr fontId="3"/>
  </si>
  <si>
    <t>令和17
（2035）</t>
    <rPh sb="0" eb="2">
      <t>レイワ</t>
    </rPh>
    <phoneticPr fontId="3"/>
  </si>
  <si>
    <t>平成26年度
(2014)</t>
    <rPh sb="0" eb="2">
      <t>ヘイセイ</t>
    </rPh>
    <rPh sb="4" eb="6">
      <t>ネンド</t>
    </rPh>
    <phoneticPr fontId="7"/>
  </si>
  <si>
    <t>平成27年度
(2015)</t>
    <rPh sb="0" eb="2">
      <t>ヘイセイ</t>
    </rPh>
    <rPh sb="4" eb="6">
      <t>ネンド</t>
    </rPh>
    <phoneticPr fontId="7"/>
  </si>
  <si>
    <t>平成28年度
(2016)</t>
    <rPh sb="0" eb="2">
      <t>ヘイセイ</t>
    </rPh>
    <rPh sb="4" eb="6">
      <t>ネンド</t>
    </rPh>
    <phoneticPr fontId="7"/>
  </si>
  <si>
    <t>平成29年度
(2017)</t>
    <rPh sb="0" eb="2">
      <t>ヘイセイ</t>
    </rPh>
    <rPh sb="4" eb="6">
      <t>ネンド</t>
    </rPh>
    <phoneticPr fontId="7"/>
  </si>
  <si>
    <t>平成30年度
(2018)</t>
    <rPh sb="0" eb="2">
      <t>ヘイセイ</t>
    </rPh>
    <rPh sb="4" eb="6">
      <t>ネンド</t>
    </rPh>
    <phoneticPr fontId="7"/>
  </si>
  <si>
    <t>令和元年度
（2019）</t>
    <rPh sb="0" eb="2">
      <t>レイワ</t>
    </rPh>
    <rPh sb="2" eb="4">
      <t>ガンネン</t>
    </rPh>
    <rPh sb="3" eb="5">
      <t>ネンド</t>
    </rPh>
    <phoneticPr fontId="7"/>
  </si>
  <si>
    <t>令和2年度
（2020）</t>
    <rPh sb="0" eb="2">
      <t>レイワ</t>
    </rPh>
    <rPh sb="3" eb="5">
      <t>ネンド</t>
    </rPh>
    <phoneticPr fontId="7"/>
  </si>
  <si>
    <t>令和3年度
（2021）</t>
    <rPh sb="0" eb="2">
      <t>レイワ</t>
    </rPh>
    <rPh sb="3" eb="5">
      <t>ネンド</t>
    </rPh>
    <phoneticPr fontId="7"/>
  </si>
  <si>
    <t>令和4年度
（2022）</t>
    <rPh sb="0" eb="2">
      <t>レイワ</t>
    </rPh>
    <rPh sb="3" eb="5">
      <t>ネンド</t>
    </rPh>
    <phoneticPr fontId="7"/>
  </si>
  <si>
    <t>令和5年度
（2023）</t>
    <rPh sb="0" eb="2">
      <t>レイワ</t>
    </rPh>
    <rPh sb="3" eb="5">
      <t>ネンド</t>
    </rPh>
    <phoneticPr fontId="7"/>
  </si>
  <si>
    <t>令和6年度
（2024）</t>
    <rPh sb="0" eb="2">
      <t>レイワ</t>
    </rPh>
    <rPh sb="3" eb="5">
      <t>ネンド</t>
    </rPh>
    <phoneticPr fontId="7"/>
  </si>
  <si>
    <t>行政区域内人口</t>
    <rPh sb="0" eb="2">
      <t>ギョウセイ</t>
    </rPh>
    <rPh sb="2" eb="5">
      <t>クイキナイ</t>
    </rPh>
    <rPh sb="5" eb="7">
      <t>ジンコウ</t>
    </rPh>
    <phoneticPr fontId="3"/>
  </si>
  <si>
    <t>処理区域内人口</t>
    <rPh sb="0" eb="5">
      <t>ショリクイキナイ</t>
    </rPh>
    <rPh sb="5" eb="7">
      <t>ジンコウ</t>
    </rPh>
    <phoneticPr fontId="3"/>
  </si>
  <si>
    <t>水洗便所設置人口（水洗化人口）</t>
    <rPh sb="0" eb="2">
      <t>スイセン</t>
    </rPh>
    <rPh sb="2" eb="4">
      <t>ベンジョ</t>
    </rPh>
    <rPh sb="4" eb="6">
      <t>セッチ</t>
    </rPh>
    <rPh sb="6" eb="8">
      <t>ジンコウ</t>
    </rPh>
    <rPh sb="9" eb="11">
      <t>スイセン</t>
    </rPh>
    <rPh sb="11" eb="12">
      <t>カ</t>
    </rPh>
    <rPh sb="12" eb="14">
      <t>ジンコウ</t>
    </rPh>
    <phoneticPr fontId="3"/>
  </si>
  <si>
    <t>年間総処理水量</t>
    <phoneticPr fontId="3"/>
  </si>
  <si>
    <t>有収水量</t>
    <phoneticPr fontId="3"/>
  </si>
  <si>
    <t>使用料収入</t>
    <rPh sb="0" eb="3">
      <t>シヨウリョウ</t>
    </rPh>
    <rPh sb="3" eb="5">
      <t>シュウニュウ</t>
    </rPh>
    <phoneticPr fontId="3"/>
  </si>
  <si>
    <t>汚水処理費</t>
    <phoneticPr fontId="3"/>
  </si>
  <si>
    <t>R7</t>
    <phoneticPr fontId="2"/>
  </si>
  <si>
    <t>R8</t>
    <phoneticPr fontId="2"/>
  </si>
  <si>
    <t>R9</t>
  </si>
  <si>
    <t>R10</t>
  </si>
  <si>
    <t>R11</t>
  </si>
  <si>
    <t>R12</t>
  </si>
  <si>
    <t>R13</t>
  </si>
  <si>
    <t>R14</t>
  </si>
  <si>
    <t>R15</t>
  </si>
  <si>
    <t>R16</t>
  </si>
  <si>
    <t>R17</t>
  </si>
  <si>
    <t>R18</t>
  </si>
  <si>
    <t>R19</t>
  </si>
  <si>
    <t>処理区域人口(人）</t>
    <rPh sb="0" eb="6">
      <t>ショリクイキジンコウ</t>
    </rPh>
    <phoneticPr fontId="2"/>
  </si>
  <si>
    <t>水洗化人口(人）</t>
    <rPh sb="0" eb="5">
      <t>スイセンカジンコウ</t>
    </rPh>
    <phoneticPr fontId="2"/>
  </si>
  <si>
    <t>総人口(人）</t>
    <rPh sb="0" eb="1">
      <t>ソウ</t>
    </rPh>
    <rPh sb="1" eb="3">
      <t>ジンコウ</t>
    </rPh>
    <rPh sb="4" eb="5">
      <t>ニン</t>
    </rPh>
    <phoneticPr fontId="2"/>
  </si>
  <si>
    <t>有収水量（㎥）</t>
    <rPh sb="0" eb="4">
      <t>ユウシュウスイリョウ</t>
    </rPh>
    <phoneticPr fontId="2"/>
  </si>
  <si>
    <t>給水人口(人）</t>
    <rPh sb="0" eb="2">
      <t>キュウスイ</t>
    </rPh>
    <rPh sb="2" eb="4">
      <t>ジンコウ</t>
    </rPh>
    <rPh sb="5" eb="6">
      <t>ニン</t>
    </rPh>
    <phoneticPr fontId="3"/>
  </si>
  <si>
    <t>給水戸数(戸）</t>
    <rPh sb="0" eb="2">
      <t>キュウスイ</t>
    </rPh>
    <rPh sb="2" eb="4">
      <t>コスウ</t>
    </rPh>
    <rPh sb="5" eb="6">
      <t>ト</t>
    </rPh>
    <phoneticPr fontId="3"/>
  </si>
  <si>
    <t>年間総配水量</t>
    <rPh sb="0" eb="2">
      <t>ネンカン</t>
    </rPh>
    <rPh sb="2" eb="3">
      <t>ソウ</t>
    </rPh>
    <rPh sb="3" eb="5">
      <t>ハイスイ</t>
    </rPh>
    <rPh sb="5" eb="6">
      <t>リョウ</t>
    </rPh>
    <phoneticPr fontId="3"/>
  </si>
  <si>
    <t>有収水量（㎥）</t>
    <rPh sb="0" eb="2">
      <t>ユウシュウ</t>
    </rPh>
    <rPh sb="2" eb="4">
      <t>スイリョウ</t>
    </rPh>
    <phoneticPr fontId="3"/>
  </si>
  <si>
    <t>料金収入</t>
    <rPh sb="0" eb="2">
      <t>リョウキン</t>
    </rPh>
    <rPh sb="2" eb="4">
      <t>シュウニュウ</t>
    </rPh>
    <phoneticPr fontId="3"/>
  </si>
  <si>
    <t>給水人口（人）</t>
    <rPh sb="0" eb="4">
      <t>キュウスイジンコウ</t>
    </rPh>
    <rPh sb="5" eb="6">
      <t>ニン</t>
    </rPh>
    <phoneticPr fontId="2"/>
  </si>
  <si>
    <t>料金収入（千円）</t>
    <rPh sb="0" eb="2">
      <t>リョウキン</t>
    </rPh>
    <rPh sb="2" eb="4">
      <t>シュウニュウ</t>
    </rPh>
    <rPh sb="5" eb="7">
      <t>センエン</t>
    </rPh>
    <phoneticPr fontId="2"/>
  </si>
  <si>
    <t>流入ポンプ棟_土木躯体</t>
  </si>
  <si>
    <t>オキシデーションディッチ_土木躯体</t>
  </si>
  <si>
    <t>最終沈殿池_土木躯体</t>
  </si>
  <si>
    <t>滅菌池_土木躯体</t>
  </si>
  <si>
    <t>ブロワ室・汚泥ポンプ_土木躯体</t>
  </si>
  <si>
    <t>管理汚泥棟_土木躯体</t>
  </si>
  <si>
    <t>管理汚泥棟_建築躯体</t>
  </si>
  <si>
    <t>管理汚泥等_照明設備</t>
  </si>
  <si>
    <t>管理汚泥等_コンセント設備</t>
  </si>
  <si>
    <t>管理汚泥等_動力設備</t>
  </si>
  <si>
    <t>管理汚泥等_電話設備</t>
  </si>
  <si>
    <t>管理汚泥等_インターホン設備</t>
  </si>
  <si>
    <t>管理汚泥等_呼出設備</t>
  </si>
  <si>
    <t>管理汚泥等_テレビ共同受信設備</t>
  </si>
  <si>
    <t>管理汚泥等_防犯設備</t>
  </si>
  <si>
    <t>管理汚泥等_火災報知設備</t>
  </si>
  <si>
    <t>管理汚泥等_空調機器設備</t>
  </si>
  <si>
    <t>管理汚泥等_冷媒配管設備</t>
  </si>
  <si>
    <t>管理汚泥等_ドレン配管設備</t>
  </si>
  <si>
    <t>管理汚泥等_換気機器設備</t>
  </si>
  <si>
    <t>管理汚泥等_換気ダクト設備</t>
  </si>
  <si>
    <t>管理汚泥等_衛生器具設備</t>
  </si>
  <si>
    <t>管理汚泥等_給水設備</t>
  </si>
  <si>
    <t>管理汚泥等_排水設備</t>
  </si>
  <si>
    <t>管理汚泥等_給湯設備</t>
  </si>
  <si>
    <t>管理汚泥等_消火設備</t>
  </si>
  <si>
    <t>管理汚泥等_ガス設備</t>
  </si>
  <si>
    <t>管理汚泥等_暖房機器設備</t>
  </si>
  <si>
    <t>管理汚泥等_燃料配管設備</t>
  </si>
  <si>
    <t>ブロワ・ポンプ棟_照明設備</t>
  </si>
  <si>
    <t>ブロワ・ポンプ棟_コンセント設備</t>
  </si>
  <si>
    <t>ブロワ・ポンプ棟_動力設備</t>
  </si>
  <si>
    <t>ブロワ・ポンプ棟_電話設備</t>
  </si>
  <si>
    <t>ブロワ・ポンプ棟_換気機器設備</t>
  </si>
  <si>
    <t>ブロワ・ポンプ棟_換気ダクト設備</t>
  </si>
  <si>
    <t>ブロワ・ポンプ棟_衛生器具設備</t>
  </si>
  <si>
    <t>ブロワ・ポンプ棟_給水設備</t>
  </si>
  <si>
    <t>ブロワ・ポンプ棟_排水設備</t>
  </si>
  <si>
    <t>ブロワ・ポンプ棟_消火設備</t>
  </si>
  <si>
    <t>流入ポンプ棟_照明設備</t>
  </si>
  <si>
    <t>流入ポンプ棟_コンセント設備</t>
  </si>
  <si>
    <t>流入ポンプ棟_動力設備</t>
  </si>
  <si>
    <t>流入ポンプ棟_電話設備</t>
  </si>
  <si>
    <t>流入ポンプ棟_換気機器設備</t>
  </si>
  <si>
    <t>流入ポンプ棟_換気ダクト設備</t>
  </si>
  <si>
    <t>流入ポンプ棟_衛生器具設備</t>
  </si>
  <si>
    <t>流入ポンプ棟_給水設備</t>
  </si>
  <si>
    <t>流入ポンプ棟_排水設備</t>
  </si>
  <si>
    <t>流入ポンプ棟_消火設備</t>
  </si>
  <si>
    <t>滅菌池棟_照明設備</t>
  </si>
  <si>
    <t>滅菌池棟_コンセント設備</t>
  </si>
  <si>
    <t>滅菌池棟_動力設備</t>
  </si>
  <si>
    <t>滅菌池棟_電話設備</t>
  </si>
  <si>
    <t>滅菌池棟_換気機器設備</t>
  </si>
  <si>
    <t>滅菌池棟_換気ダクト設備</t>
  </si>
  <si>
    <t>滅菌池棟_衛生器具設備</t>
  </si>
  <si>
    <t>滅菌池棟_給水設備</t>
  </si>
  <si>
    <t>滅菌池棟_排水設備</t>
  </si>
  <si>
    <t>滅菌池棟_消火設備</t>
  </si>
  <si>
    <t>機内配電線路</t>
  </si>
  <si>
    <t>機内通信線路</t>
  </si>
  <si>
    <t>外灯</t>
  </si>
  <si>
    <t>給水設備</t>
  </si>
  <si>
    <t>排水設備</t>
  </si>
  <si>
    <t>汚水ポンプ</t>
  </si>
  <si>
    <t>汚水ポンプ吊上機</t>
  </si>
  <si>
    <t>スクリーンユニット</t>
  </si>
  <si>
    <t>汚水切り替え弁（Φ400）</t>
  </si>
  <si>
    <t>分配可動堰</t>
  </si>
  <si>
    <t>汚水切替弁（Φ250）</t>
  </si>
  <si>
    <t>ディッチ曝気装置</t>
  </si>
  <si>
    <t>送風機吊上機</t>
  </si>
  <si>
    <t>ディッチ流出可動堰</t>
  </si>
  <si>
    <t>ディッチ流出ゲート</t>
  </si>
  <si>
    <t>ディッチ連絡ゲート</t>
  </si>
  <si>
    <t>終沈汚泥掻寄機</t>
  </si>
  <si>
    <t>返送汚泥ポンプ</t>
  </si>
  <si>
    <t>終沈搬出入用吊上機</t>
  </si>
  <si>
    <t>終沈床排水ポンプ</t>
  </si>
  <si>
    <t>スカム移送ポンプ</t>
  </si>
  <si>
    <t>塩素接触装置</t>
  </si>
  <si>
    <t>二次処理水流入ゲート</t>
  </si>
  <si>
    <t>処理水バイパスゲート</t>
  </si>
  <si>
    <t>二次処理水給水ユニット</t>
  </si>
  <si>
    <t>二次処理水ストレーナ</t>
  </si>
  <si>
    <t>機器搬出入用吊上機</t>
  </si>
  <si>
    <t>生物脱臭装置</t>
  </si>
  <si>
    <t>脱臭ファン</t>
  </si>
  <si>
    <t>活性炭吸着塔</t>
  </si>
  <si>
    <t>脱水機</t>
  </si>
  <si>
    <t>無機剤貯槽</t>
  </si>
  <si>
    <t>汚泥移送ポンプ</t>
  </si>
  <si>
    <t>ケーキホッパ</t>
  </si>
  <si>
    <t>脱水機吊上機</t>
  </si>
  <si>
    <t>上水給水ユニット</t>
  </si>
  <si>
    <t>循環ポンプ</t>
  </si>
  <si>
    <t>苛性ソーダ注入ポンプ</t>
  </si>
  <si>
    <t>苛性ソーダ貯槽</t>
  </si>
  <si>
    <t>中和槽</t>
  </si>
  <si>
    <t>柱上気中開閉器</t>
  </si>
  <si>
    <t>引込受電盤（HC-1）</t>
  </si>
  <si>
    <t>変圧器盤（HC-2）</t>
  </si>
  <si>
    <t>低圧分機盤（LC-1）</t>
  </si>
  <si>
    <t>スカム移送ポンプ現場操作盤（LCB-PD102）</t>
  </si>
  <si>
    <t>脱臭ファン現場操作盤（LCB-PD103）</t>
  </si>
  <si>
    <t>脱水機室作業用電源盤（LCB-PDS2）</t>
  </si>
  <si>
    <t>水処理設備コントロールセンタ（W-CC）</t>
  </si>
  <si>
    <t>水処理設備補助継電器盤（W-RY）</t>
  </si>
  <si>
    <t>ディッチ曝気ブロワ速度制御盤（W-VF01,02）</t>
  </si>
  <si>
    <t>ディッチ撹拌装置現場盤（LCB-W01）</t>
  </si>
  <si>
    <t>終沈汚泥掻き寄せ機現場盤（LCB-W02）</t>
  </si>
  <si>
    <t>1・2系返送・余剰汚泥P現場盤（LCB-W03）</t>
  </si>
  <si>
    <t>床排水ポンプ現場盤（LCB-W04）</t>
  </si>
  <si>
    <t>1・2系ディッチ曝気ブロワ現場盤（LCB-W05）</t>
  </si>
  <si>
    <t>水処理設備作業用電源盤（LCB-WS1）</t>
  </si>
  <si>
    <t>返送汚泥流量計</t>
  </si>
  <si>
    <t>DO計</t>
  </si>
  <si>
    <t>MLSS計</t>
  </si>
  <si>
    <t>放流流量計</t>
  </si>
  <si>
    <t>UV計</t>
  </si>
  <si>
    <t>全リン全窒素計</t>
  </si>
  <si>
    <t>計装盤（K-1）</t>
  </si>
  <si>
    <t>プリンタ</t>
  </si>
  <si>
    <t>ミニUPS</t>
  </si>
  <si>
    <t>自家発電機</t>
  </si>
  <si>
    <t>1・2系返送・余剰汚泥P現場盤機能追加（LCB-W03）</t>
  </si>
  <si>
    <t>汚泥移送流量計</t>
  </si>
  <si>
    <t>苛性ソーダ注入装置現場操作盤</t>
  </si>
  <si>
    <t>汚水ポンプ・脱水機コントロールセンタ（PD-CC）</t>
  </si>
  <si>
    <t>汚水ポンプ・脱水機補助継電器盤（PD-RY）</t>
  </si>
  <si>
    <t>汚水ポンプ現場操作盤（LCB-PD101）</t>
  </si>
  <si>
    <t>流入ポンプ棟作業用電源盤（LCB-PD101）</t>
  </si>
  <si>
    <t>流入ポンプ井レベル計</t>
  </si>
  <si>
    <t>管渠一式</t>
  </si>
  <si>
    <t>マンホールポンプ（機械）No.384-1-1</t>
  </si>
  <si>
    <t>マンホールポンプ（電気）No.384-1-1</t>
  </si>
  <si>
    <t>マンホールポンプ（機械）No.349-2-1</t>
  </si>
  <si>
    <t>マンホールポンプ（電気）No.349-2-1</t>
  </si>
  <si>
    <t>マンホールポンプ（機械）No.270-1</t>
  </si>
  <si>
    <t>マンホールポンプ（電気）No.270-1</t>
  </si>
  <si>
    <t>マンホールポンプ（機械）No.237-1</t>
  </si>
  <si>
    <t>マンホールポンプ（電気）No.237-1</t>
  </si>
  <si>
    <t>マンホールポンプ（機械）No.206-3-1</t>
  </si>
  <si>
    <t>マンホールポンプ（電気）No.206-3-1</t>
  </si>
  <si>
    <t>マンホールポンプ（機械）No.224-3-1</t>
  </si>
  <si>
    <t>マンホールポンプ（電気）No.224-3-1</t>
  </si>
  <si>
    <t>マンホールポンプ（機械）No.394-2-1</t>
  </si>
  <si>
    <t>マンホールポンプ（電気）No.394-2-1</t>
  </si>
  <si>
    <t>マンホールポンプ（機械）No.339-5-1</t>
  </si>
  <si>
    <t>マンホールポンプ（電気）No.339-5-1</t>
  </si>
  <si>
    <t>マンホールポンプ（機械）No.772-1</t>
  </si>
  <si>
    <t>マンホールポンプ（電気）No.772-1</t>
  </si>
  <si>
    <t>マンホールポンプ（機械）No.249-3-1</t>
  </si>
  <si>
    <t>マンホールポンプ（電気）No.249-3-1</t>
  </si>
  <si>
    <t>マンホールポンプ（機械）No.766-1</t>
  </si>
  <si>
    <t>マンホールポンプ（電気）No.766-1</t>
  </si>
  <si>
    <t>マンホールポンプ（機械）No.204-1</t>
  </si>
  <si>
    <t>マンホールポンプ（電気）No.204-1</t>
  </si>
  <si>
    <t>マンホールポンプ（機械）No.561-1</t>
  </si>
  <si>
    <t>マンホールポンプ（電気）No.561-1</t>
  </si>
  <si>
    <t>パソコン機器</t>
  </si>
  <si>
    <t>ソフトウェア</t>
  </si>
  <si>
    <t>電動ビュレット</t>
  </si>
  <si>
    <t>デジタルパックテスト</t>
  </si>
  <si>
    <t>赤外線水分計</t>
  </si>
  <si>
    <t>発電機</t>
  </si>
  <si>
    <t>ホイキャリア</t>
  </si>
  <si>
    <t>受益者負担金システム</t>
  </si>
  <si>
    <t>610104001000</t>
  </si>
  <si>
    <t>610102001000</t>
  </si>
  <si>
    <t>610106002000</t>
  </si>
  <si>
    <t>610106007000</t>
  </si>
  <si>
    <t>610106003000</t>
  </si>
  <si>
    <t>610106004000</t>
  </si>
  <si>
    <t>610106001000</t>
  </si>
  <si>
    <t>610106005000</t>
  </si>
  <si>
    <t>610104002000</t>
  </si>
  <si>
    <t>610110001000</t>
  </si>
  <si>
    <t>610201000000</t>
  </si>
  <si>
    <t>建物</t>
    <rPh sb="0" eb="2">
      <t>タテモノ</t>
    </rPh>
    <phoneticPr fontId="2"/>
  </si>
  <si>
    <t>処理場設備</t>
    <rPh sb="0" eb="3">
      <t>ショリジョウ</t>
    </rPh>
    <rPh sb="3" eb="5">
      <t>セツビ</t>
    </rPh>
    <phoneticPr fontId="2"/>
  </si>
  <si>
    <t>MP</t>
    <phoneticPr fontId="2"/>
  </si>
  <si>
    <t>管渠</t>
    <rPh sb="0" eb="2">
      <t>カンキョ</t>
    </rPh>
    <phoneticPr fontId="2"/>
  </si>
  <si>
    <t>処理場機械</t>
    <rPh sb="0" eb="3">
      <t>ショリジョウ</t>
    </rPh>
    <rPh sb="3" eb="5">
      <t>キカイ</t>
    </rPh>
    <phoneticPr fontId="2"/>
  </si>
  <si>
    <t>資産名称</t>
    <rPh sb="0" eb="4">
      <t>シサンメイショウ</t>
    </rPh>
    <phoneticPr fontId="2"/>
  </si>
  <si>
    <t>取得価額</t>
    <rPh sb="0" eb="4">
      <t>シュトクカガク</t>
    </rPh>
    <phoneticPr fontId="2"/>
  </si>
  <si>
    <t>耐用年数</t>
    <rPh sb="0" eb="4">
      <t>タイヨウネンスウ</t>
    </rPh>
    <phoneticPr fontId="2"/>
  </si>
  <si>
    <t>取得年度</t>
    <rPh sb="0" eb="4">
      <t>シュトクネンド</t>
    </rPh>
    <phoneticPr fontId="2"/>
  </si>
  <si>
    <t>コード</t>
    <phoneticPr fontId="2"/>
  </si>
  <si>
    <t>区分</t>
    <rPh sb="0" eb="2">
      <t>クブン</t>
    </rPh>
    <phoneticPr fontId="2"/>
  </si>
  <si>
    <t>係数</t>
    <rPh sb="0" eb="2">
      <t>ケイスウ</t>
    </rPh>
    <phoneticPr fontId="2"/>
  </si>
  <si>
    <t>管理棟</t>
    <rPh sb="0" eb="3">
      <t>カンリトウ</t>
    </rPh>
    <phoneticPr fontId="2"/>
  </si>
  <si>
    <t>ブロワ・ポンプ棟_建築躯体</t>
    <phoneticPr fontId="2"/>
  </si>
  <si>
    <t>ブロワ・ポンプ棟</t>
    <phoneticPr fontId="2"/>
  </si>
  <si>
    <t>流入ポンプ棟_建築躯体</t>
    <phoneticPr fontId="2"/>
  </si>
  <si>
    <t>流入ポンプ棟</t>
    <phoneticPr fontId="2"/>
  </si>
  <si>
    <t>滅菌池棟_建築躯体</t>
    <phoneticPr fontId="2"/>
  </si>
  <si>
    <t>滅菌池棟</t>
    <phoneticPr fontId="2"/>
  </si>
  <si>
    <t>その他</t>
    <rPh sb="2" eb="3">
      <t>タ</t>
    </rPh>
    <phoneticPr fontId="2"/>
  </si>
  <si>
    <t>H17</t>
  </si>
  <si>
    <t>H18</t>
  </si>
  <si>
    <t>H19</t>
  </si>
  <si>
    <t>H20</t>
  </si>
  <si>
    <t>H21</t>
  </si>
  <si>
    <t>H22</t>
  </si>
  <si>
    <t>H23</t>
  </si>
  <si>
    <t>H24</t>
  </si>
  <si>
    <t>H25</t>
  </si>
  <si>
    <t>H26</t>
  </si>
  <si>
    <t>H27</t>
  </si>
  <si>
    <t>H28</t>
  </si>
  <si>
    <t>H29</t>
  </si>
  <si>
    <t>R3</t>
  </si>
  <si>
    <t>H12</t>
    <phoneticPr fontId="2"/>
  </si>
  <si>
    <t>H13</t>
  </si>
  <si>
    <t>H14</t>
  </si>
  <si>
    <t>H15</t>
  </si>
  <si>
    <t>H16</t>
  </si>
  <si>
    <t>H30</t>
  </si>
  <si>
    <t>R1</t>
    <phoneticPr fontId="2"/>
  </si>
  <si>
    <t>R2</t>
  </si>
  <si>
    <t>R4</t>
  </si>
  <si>
    <t>R5</t>
  </si>
  <si>
    <t>和暦</t>
    <rPh sb="0" eb="2">
      <t>ワレキ</t>
    </rPh>
    <phoneticPr fontId="2"/>
  </si>
  <si>
    <t>西暦</t>
    <rPh sb="0" eb="2">
      <t>セイレキ</t>
    </rPh>
    <phoneticPr fontId="2"/>
  </si>
  <si>
    <t>R3</t>
    <phoneticPr fontId="2"/>
  </si>
  <si>
    <t>限界耐用年数</t>
    <rPh sb="0" eb="6">
      <t>ゲンカイタイヨウネンスウ</t>
    </rPh>
    <phoneticPr fontId="2"/>
  </si>
  <si>
    <t>限界年度</t>
    <rPh sb="0" eb="4">
      <t>ゲンカイネンド</t>
    </rPh>
    <phoneticPr fontId="2"/>
  </si>
  <si>
    <t>（単位：千円）</t>
    <rPh sb="1" eb="3">
      <t>タンイ</t>
    </rPh>
    <rPh sb="4" eb="6">
      <t>センエン</t>
    </rPh>
    <phoneticPr fontId="3"/>
  </si>
  <si>
    <t>計画年次❶</t>
    <rPh sb="0" eb="2">
      <t>ケイカク</t>
    </rPh>
    <rPh sb="2" eb="4">
      <t>ネンジ</t>
    </rPh>
    <phoneticPr fontId="7"/>
  </si>
  <si>
    <t>❷</t>
    <phoneticPr fontId="7"/>
  </si>
  <si>
    <t>❸</t>
    <phoneticPr fontId="7"/>
  </si>
  <si>
    <t>❹</t>
    <phoneticPr fontId="7"/>
  </si>
  <si>
    <t>❺</t>
    <phoneticPr fontId="7"/>
  </si>
  <si>
    <t>❻</t>
    <phoneticPr fontId="7"/>
  </si>
  <si>
    <t>❼</t>
    <phoneticPr fontId="7"/>
  </si>
  <si>
    <t>❽</t>
    <phoneticPr fontId="7"/>
  </si>
  <si>
    <t>❾</t>
    <phoneticPr fontId="7"/>
  </si>
  <si>
    <t>➓</t>
    <phoneticPr fontId="7"/>
  </si>
  <si>
    <t>内容　　　年度</t>
    <rPh sb="0" eb="2">
      <t>ナイヨウ</t>
    </rPh>
    <rPh sb="5" eb="7">
      <t>ネンド</t>
    </rPh>
    <phoneticPr fontId="7"/>
  </si>
  <si>
    <t>2023
(令和5)</t>
    <rPh sb="6" eb="8">
      <t>レイワ</t>
    </rPh>
    <phoneticPr fontId="11"/>
  </si>
  <si>
    <t>2024
(令和6)</t>
    <rPh sb="6" eb="8">
      <t>レイワ</t>
    </rPh>
    <phoneticPr fontId="11"/>
  </si>
  <si>
    <t>令和8
(2026)</t>
    <phoneticPr fontId="11"/>
  </si>
  <si>
    <t>令和9
(2027)</t>
    <phoneticPr fontId="11"/>
  </si>
  <si>
    <t>令和10
(2028)</t>
    <phoneticPr fontId="11"/>
  </si>
  <si>
    <t>令和11
(2029)</t>
    <phoneticPr fontId="11"/>
  </si>
  <si>
    <t>令和12
(2030)</t>
    <phoneticPr fontId="11"/>
  </si>
  <si>
    <t>令和13
(2031)</t>
    <phoneticPr fontId="11"/>
  </si>
  <si>
    <t>令和14
(2032)</t>
    <phoneticPr fontId="11"/>
  </si>
  <si>
    <t>令和15
(2033)</t>
    <phoneticPr fontId="11"/>
  </si>
  <si>
    <t>令和16
(2034)</t>
    <phoneticPr fontId="11"/>
  </si>
  <si>
    <t>令和17
(2035)</t>
    <phoneticPr fontId="11"/>
  </si>
  <si>
    <t>事業計画</t>
    <rPh sb="0" eb="4">
      <t>ジギョウケイカク</t>
    </rPh>
    <phoneticPr fontId="7"/>
  </si>
  <si>
    <t>金額</t>
    <rPh sb="0" eb="2">
      <t>キンガク</t>
    </rPh>
    <phoneticPr fontId="3"/>
  </si>
  <si>
    <t>ストマネ計画策て</t>
    <rPh sb="4" eb="6">
      <t>ケイカク</t>
    </rPh>
    <rPh sb="6" eb="7">
      <t>サク</t>
    </rPh>
    <phoneticPr fontId="7"/>
  </si>
  <si>
    <t>❸管路施設・設備長寿命化</t>
    <rPh sb="1" eb="3">
      <t>カンロ</t>
    </rPh>
    <rPh sb="3" eb="5">
      <t>シセツ</t>
    </rPh>
    <rPh sb="6" eb="8">
      <t>セツビ</t>
    </rPh>
    <rPh sb="8" eb="12">
      <t>チョウジュミョウカ</t>
    </rPh>
    <phoneticPr fontId="3"/>
  </si>
  <si>
    <t>事業費合計</t>
    <rPh sb="0" eb="3">
      <t>ジギョウヒ</t>
    </rPh>
    <rPh sb="3" eb="5">
      <t>ゴウケイ</t>
    </rPh>
    <phoneticPr fontId="3"/>
  </si>
  <si>
    <t>財源内訳</t>
    <rPh sb="0" eb="4">
      <t>ザイゲンウチワケ</t>
    </rPh>
    <phoneticPr fontId="7"/>
  </si>
  <si>
    <t>①国庫補助金</t>
    <rPh sb="1" eb="6">
      <t>コッコホジョキン</t>
    </rPh>
    <phoneticPr fontId="3"/>
  </si>
  <si>
    <t>②受益者負担金</t>
    <rPh sb="1" eb="7">
      <t>ジュエキシャフタンキン</t>
    </rPh>
    <phoneticPr fontId="3"/>
  </si>
  <si>
    <t>差額</t>
    <rPh sb="0" eb="2">
      <t>サガク</t>
    </rPh>
    <phoneticPr fontId="3"/>
  </si>
  <si>
    <t>[注]</t>
    <rPh sb="1" eb="2">
      <t>チュウ</t>
    </rPh>
    <phoneticPr fontId="3"/>
  </si>
  <si>
    <t>　</t>
    <phoneticPr fontId="3"/>
  </si>
  <si>
    <t xml:space="preserve"> </t>
    <phoneticPr fontId="3"/>
  </si>
  <si>
    <t>投資３億円で調整</t>
    <rPh sb="0" eb="2">
      <t>トウシ</t>
    </rPh>
    <rPh sb="3" eb="5">
      <t>オクエン</t>
    </rPh>
    <rPh sb="6" eb="8">
      <t>チョウセイ</t>
    </rPh>
    <phoneticPr fontId="7"/>
  </si>
  <si>
    <t>❷マンホールポンプ更新</t>
    <rPh sb="9" eb="11">
      <t>コウシン</t>
    </rPh>
    <phoneticPr fontId="3"/>
  </si>
  <si>
    <t>②企業債</t>
    <rPh sb="1" eb="4">
      <t>キギョウサイ</t>
    </rPh>
    <phoneticPr fontId="3"/>
  </si>
  <si>
    <t>③自己財源</t>
    <rPh sb="1" eb="5">
      <t>ジコザイゲン</t>
    </rPh>
    <phoneticPr fontId="3"/>
  </si>
  <si>
    <t>3事業合算</t>
    <rPh sb="1" eb="3">
      <t>ジギョウ</t>
    </rPh>
    <rPh sb="3" eb="5">
      <t>ガッサン</t>
    </rPh>
    <phoneticPr fontId="28"/>
  </si>
  <si>
    <t>令和7年度</t>
    <rPh sb="0" eb="2">
      <t>レイワ</t>
    </rPh>
    <rPh sb="3" eb="4">
      <t>ネン</t>
    </rPh>
    <rPh sb="4" eb="5">
      <t>ド</t>
    </rPh>
    <phoneticPr fontId="28"/>
  </si>
  <si>
    <t>令和8年度</t>
    <rPh sb="0" eb="2">
      <t>レイワ</t>
    </rPh>
    <rPh sb="3" eb="4">
      <t>ネン</t>
    </rPh>
    <rPh sb="4" eb="5">
      <t>ド</t>
    </rPh>
    <phoneticPr fontId="28"/>
  </si>
  <si>
    <t>令和9年度</t>
    <rPh sb="0" eb="2">
      <t>レイワ</t>
    </rPh>
    <rPh sb="3" eb="4">
      <t>ネン</t>
    </rPh>
    <rPh sb="4" eb="5">
      <t>ド</t>
    </rPh>
    <phoneticPr fontId="28"/>
  </si>
  <si>
    <t>令和10年度</t>
    <rPh sb="0" eb="2">
      <t>レイワ</t>
    </rPh>
    <rPh sb="4" eb="5">
      <t>ネン</t>
    </rPh>
    <rPh sb="5" eb="6">
      <t>ド</t>
    </rPh>
    <phoneticPr fontId="28"/>
  </si>
  <si>
    <t>令和11年度</t>
    <rPh sb="0" eb="2">
      <t>レイワ</t>
    </rPh>
    <rPh sb="4" eb="5">
      <t>ネン</t>
    </rPh>
    <rPh sb="5" eb="6">
      <t>ド</t>
    </rPh>
    <phoneticPr fontId="28"/>
  </si>
  <si>
    <t>令和12年度</t>
    <rPh sb="0" eb="2">
      <t>レイワ</t>
    </rPh>
    <rPh sb="4" eb="5">
      <t>ネン</t>
    </rPh>
    <rPh sb="5" eb="6">
      <t>ド</t>
    </rPh>
    <phoneticPr fontId="28"/>
  </si>
  <si>
    <t>令和13年度</t>
    <rPh sb="0" eb="2">
      <t>レイワ</t>
    </rPh>
    <rPh sb="4" eb="5">
      <t>ネン</t>
    </rPh>
    <rPh sb="5" eb="6">
      <t>ド</t>
    </rPh>
    <phoneticPr fontId="28"/>
  </si>
  <si>
    <t>令和14年度</t>
    <rPh sb="0" eb="2">
      <t>レイワ</t>
    </rPh>
    <rPh sb="4" eb="5">
      <t>ネン</t>
    </rPh>
    <rPh sb="5" eb="6">
      <t>ド</t>
    </rPh>
    <phoneticPr fontId="28"/>
  </si>
  <si>
    <t>令和15年度</t>
    <rPh sb="0" eb="2">
      <t>レイワ</t>
    </rPh>
    <rPh sb="4" eb="5">
      <t>ネン</t>
    </rPh>
    <rPh sb="5" eb="6">
      <t>ド</t>
    </rPh>
    <phoneticPr fontId="28"/>
  </si>
  <si>
    <t>令和16年度</t>
    <rPh sb="0" eb="2">
      <t>レイワ</t>
    </rPh>
    <rPh sb="4" eb="5">
      <t>ネン</t>
    </rPh>
    <rPh sb="5" eb="6">
      <t>ド</t>
    </rPh>
    <phoneticPr fontId="28"/>
  </si>
  <si>
    <t>令和17年度</t>
    <rPh sb="0" eb="2">
      <t>レイワ</t>
    </rPh>
    <rPh sb="4" eb="5">
      <t>ネン</t>
    </rPh>
    <rPh sb="5" eb="6">
      <t>ド</t>
    </rPh>
    <phoneticPr fontId="28"/>
  </si>
  <si>
    <t>令和18年度</t>
    <rPh sb="0" eb="2">
      <t>レイワ</t>
    </rPh>
    <rPh sb="4" eb="5">
      <t>ネン</t>
    </rPh>
    <rPh sb="5" eb="6">
      <t>ド</t>
    </rPh>
    <phoneticPr fontId="28"/>
  </si>
  <si>
    <t>令和19年度</t>
    <rPh sb="0" eb="2">
      <t>レイワ</t>
    </rPh>
    <rPh sb="4" eb="5">
      <t>ネン</t>
    </rPh>
    <rPh sb="5" eb="6">
      <t>ド</t>
    </rPh>
    <phoneticPr fontId="28"/>
  </si>
  <si>
    <t>令和20年度</t>
    <rPh sb="0" eb="2">
      <t>レイワ</t>
    </rPh>
    <rPh sb="4" eb="5">
      <t>ネン</t>
    </rPh>
    <rPh sb="5" eb="6">
      <t>ド</t>
    </rPh>
    <phoneticPr fontId="28"/>
  </si>
  <si>
    <t>令和21年度</t>
    <rPh sb="0" eb="2">
      <t>レイワ</t>
    </rPh>
    <rPh sb="4" eb="5">
      <t>ネン</t>
    </rPh>
    <rPh sb="5" eb="6">
      <t>ド</t>
    </rPh>
    <phoneticPr fontId="28"/>
  </si>
  <si>
    <t>令和22年度</t>
    <rPh sb="0" eb="2">
      <t>レイワ</t>
    </rPh>
    <rPh sb="4" eb="5">
      <t>ネン</t>
    </rPh>
    <rPh sb="5" eb="6">
      <t>ド</t>
    </rPh>
    <phoneticPr fontId="28"/>
  </si>
  <si>
    <t>令和23年度</t>
    <rPh sb="0" eb="2">
      <t>レイワ</t>
    </rPh>
    <rPh sb="4" eb="5">
      <t>ネン</t>
    </rPh>
    <rPh sb="5" eb="6">
      <t>ド</t>
    </rPh>
    <phoneticPr fontId="28"/>
  </si>
  <si>
    <t>令和24年度</t>
    <rPh sb="0" eb="2">
      <t>レイワ</t>
    </rPh>
    <rPh sb="4" eb="5">
      <t>ネン</t>
    </rPh>
    <rPh sb="5" eb="6">
      <t>ド</t>
    </rPh>
    <phoneticPr fontId="28"/>
  </si>
  <si>
    <t>令和25年度</t>
    <rPh sb="0" eb="2">
      <t>レイワ</t>
    </rPh>
    <rPh sb="4" eb="5">
      <t>ネン</t>
    </rPh>
    <rPh sb="5" eb="6">
      <t>ド</t>
    </rPh>
    <phoneticPr fontId="28"/>
  </si>
  <si>
    <t>令和26年度</t>
    <rPh sb="0" eb="2">
      <t>レイワ</t>
    </rPh>
    <rPh sb="4" eb="5">
      <t>ネン</t>
    </rPh>
    <rPh sb="5" eb="6">
      <t>ド</t>
    </rPh>
    <phoneticPr fontId="28"/>
  </si>
  <si>
    <t>令和27年度</t>
    <rPh sb="0" eb="2">
      <t>レイワ</t>
    </rPh>
    <rPh sb="4" eb="5">
      <t>ネン</t>
    </rPh>
    <rPh sb="5" eb="6">
      <t>ド</t>
    </rPh>
    <phoneticPr fontId="28"/>
  </si>
  <si>
    <t>令和28年度</t>
    <rPh sb="0" eb="2">
      <t>レイワ</t>
    </rPh>
    <rPh sb="4" eb="5">
      <t>ネン</t>
    </rPh>
    <rPh sb="5" eb="6">
      <t>ド</t>
    </rPh>
    <phoneticPr fontId="28"/>
  </si>
  <si>
    <t>令和29年度</t>
    <rPh sb="0" eb="2">
      <t>レイワ</t>
    </rPh>
    <rPh sb="4" eb="5">
      <t>ネン</t>
    </rPh>
    <rPh sb="5" eb="6">
      <t>ド</t>
    </rPh>
    <phoneticPr fontId="28"/>
  </si>
  <si>
    <t>令和30年度</t>
    <rPh sb="0" eb="2">
      <t>レイワ</t>
    </rPh>
    <rPh sb="4" eb="5">
      <t>ネン</t>
    </rPh>
    <rPh sb="5" eb="6">
      <t>ド</t>
    </rPh>
    <phoneticPr fontId="28"/>
  </si>
  <si>
    <t>令和31年度</t>
    <rPh sb="0" eb="2">
      <t>レイワ</t>
    </rPh>
    <rPh sb="4" eb="5">
      <t>ネン</t>
    </rPh>
    <rPh sb="5" eb="6">
      <t>ド</t>
    </rPh>
    <phoneticPr fontId="28"/>
  </si>
  <si>
    <t>令和32年度</t>
    <rPh sb="0" eb="2">
      <t>レイワ</t>
    </rPh>
    <rPh sb="4" eb="5">
      <t>ネン</t>
    </rPh>
    <rPh sb="5" eb="6">
      <t>ド</t>
    </rPh>
    <phoneticPr fontId="28"/>
  </si>
  <si>
    <t>令和33年度</t>
    <rPh sb="0" eb="2">
      <t>レイワ</t>
    </rPh>
    <rPh sb="4" eb="5">
      <t>ネン</t>
    </rPh>
    <rPh sb="5" eb="6">
      <t>ド</t>
    </rPh>
    <phoneticPr fontId="28"/>
  </si>
  <si>
    <t>令和34年度</t>
    <rPh sb="0" eb="2">
      <t>レイワ</t>
    </rPh>
    <rPh sb="4" eb="5">
      <t>ネン</t>
    </rPh>
    <rPh sb="5" eb="6">
      <t>ド</t>
    </rPh>
    <phoneticPr fontId="28"/>
  </si>
  <si>
    <t>令和35年度</t>
    <rPh sb="0" eb="2">
      <t>レイワ</t>
    </rPh>
    <rPh sb="4" eb="5">
      <t>ネン</t>
    </rPh>
    <rPh sb="5" eb="6">
      <t>ド</t>
    </rPh>
    <phoneticPr fontId="28"/>
  </si>
  <si>
    <t>普及率</t>
    <rPh sb="0" eb="3">
      <t>フキュウリツ</t>
    </rPh>
    <phoneticPr fontId="28"/>
  </si>
  <si>
    <t>10(000)_行政区域内人口</t>
  </si>
  <si>
    <t>水洗化率</t>
    <rPh sb="0" eb="3">
      <t>スイセンカ</t>
    </rPh>
    <rPh sb="3" eb="4">
      <t>リツ</t>
    </rPh>
    <phoneticPr fontId="28"/>
  </si>
  <si>
    <t>10(000)_処理区域内人口</t>
  </si>
  <si>
    <t>有収水量</t>
    <rPh sb="0" eb="4">
      <t>ユウシュウスイリョウ</t>
    </rPh>
    <phoneticPr fontId="28"/>
  </si>
  <si>
    <t>10(000)_水洗化人口</t>
  </si>
  <si>
    <t>10(000)_現在処理区域面積</t>
  </si>
  <si>
    <t>10(000)_年間総処理水量</t>
  </si>
  <si>
    <t>10(000)_年間有収水量</t>
  </si>
  <si>
    <t>人口一人当たりの有収水量</t>
    <rPh sb="0" eb="2">
      <t>ジンコウ</t>
    </rPh>
    <rPh sb="2" eb="4">
      <t>ヒトリ</t>
    </rPh>
    <rPh sb="4" eb="5">
      <t>ア</t>
    </rPh>
    <rPh sb="8" eb="9">
      <t>ユウ</t>
    </rPh>
    <rPh sb="9" eb="10">
      <t>シュウ</t>
    </rPh>
    <rPh sb="10" eb="12">
      <t>スイリョウ</t>
    </rPh>
    <phoneticPr fontId="28"/>
  </si>
  <si>
    <t>人口一人当たりの使用料（使用料収入÷水洗化人口）</t>
    <rPh sb="0" eb="2">
      <t>ジンコウ</t>
    </rPh>
    <rPh sb="2" eb="4">
      <t>ヒトリ</t>
    </rPh>
    <rPh sb="4" eb="5">
      <t>ア</t>
    </rPh>
    <rPh sb="8" eb="11">
      <t>シヨウリョウ</t>
    </rPh>
    <rPh sb="12" eb="17">
      <t>シヨウリョウシュウニュウ</t>
    </rPh>
    <rPh sb="18" eb="21">
      <t>スイセンカ</t>
    </rPh>
    <rPh sb="21" eb="23">
      <t>ジンコウ</t>
    </rPh>
    <phoneticPr fontId="28"/>
  </si>
  <si>
    <t>20㎥あたりの使用料（使用料収入÷年間有収水量×20）</t>
    <rPh sb="7" eb="9">
      <t>シヨウ</t>
    </rPh>
    <rPh sb="9" eb="10">
      <t>リョウ</t>
    </rPh>
    <rPh sb="11" eb="13">
      <t>シヨウ</t>
    </rPh>
    <rPh sb="13" eb="14">
      <t>リョウ</t>
    </rPh>
    <rPh sb="14" eb="16">
      <t>シュウニュウ</t>
    </rPh>
    <rPh sb="17" eb="19">
      <t>ネンカン</t>
    </rPh>
    <rPh sb="19" eb="20">
      <t>ユウ</t>
    </rPh>
    <rPh sb="20" eb="21">
      <t>シュウ</t>
    </rPh>
    <rPh sb="21" eb="23">
      <t>スイリョウ</t>
    </rPh>
    <phoneticPr fontId="28"/>
  </si>
  <si>
    <t>汚水処理費（A）</t>
    <rPh sb="0" eb="2">
      <t>オスイ</t>
    </rPh>
    <rPh sb="2" eb="4">
      <t>ショリ</t>
    </rPh>
    <rPh sb="4" eb="5">
      <t>ヒ</t>
    </rPh>
    <phoneticPr fontId="28"/>
  </si>
  <si>
    <t>使用料収入（B）</t>
    <rPh sb="0" eb="2">
      <t>シヨウ</t>
    </rPh>
    <rPh sb="2" eb="3">
      <t>リョウ</t>
    </rPh>
    <rPh sb="3" eb="5">
      <t>シュウニュウ</t>
    </rPh>
    <phoneticPr fontId="28"/>
  </si>
  <si>
    <t>経費回収率（B÷A）</t>
    <rPh sb="0" eb="2">
      <t>ケイヒ</t>
    </rPh>
    <rPh sb="2" eb="4">
      <t>カイシュウ</t>
    </rPh>
    <rPh sb="4" eb="5">
      <t>リツ</t>
    </rPh>
    <phoneticPr fontId="28"/>
  </si>
  <si>
    <t>有収水量（C）</t>
    <rPh sb="0" eb="1">
      <t>ユウ</t>
    </rPh>
    <rPh sb="1" eb="2">
      <t>シュウ</t>
    </rPh>
    <rPh sb="2" eb="4">
      <t>スイリョウ</t>
    </rPh>
    <phoneticPr fontId="28"/>
  </si>
  <si>
    <t>汚水処理原価（A÷C）</t>
    <rPh sb="0" eb="2">
      <t>オスイ</t>
    </rPh>
    <rPh sb="2" eb="4">
      <t>ショリ</t>
    </rPh>
    <rPh sb="4" eb="6">
      <t>ゲンカ</t>
    </rPh>
    <phoneticPr fontId="28"/>
  </si>
  <si>
    <t>経常収支比率</t>
    <rPh sb="0" eb="4">
      <t>ケイジョウシュウシ</t>
    </rPh>
    <rPh sb="4" eb="6">
      <t>ヒリツ</t>
    </rPh>
    <phoneticPr fontId="28"/>
  </si>
  <si>
    <t>3条</t>
    <rPh sb="1" eb="2">
      <t>ジョウ</t>
    </rPh>
    <phoneticPr fontId="28"/>
  </si>
  <si>
    <t>年　　　　　　度</t>
    <rPh sb="0" eb="8">
      <t>ネンド</t>
    </rPh>
    <phoneticPr fontId="30"/>
  </si>
  <si>
    <t>区　　　　　　分</t>
    <rPh sb="0" eb="8">
      <t>クブン</t>
    </rPh>
    <phoneticPr fontId="30"/>
  </si>
  <si>
    <t>収益的収支</t>
    <rPh sb="0" eb="3">
      <t>シュウエキテキ</t>
    </rPh>
    <rPh sb="3" eb="5">
      <t>シュウシ</t>
    </rPh>
    <phoneticPr fontId="30"/>
  </si>
  <si>
    <t>収益的収入</t>
    <rPh sb="0" eb="3">
      <t>シュウエキテキ</t>
    </rPh>
    <rPh sb="3" eb="5">
      <t>シュウニュウ</t>
    </rPh>
    <phoneticPr fontId="30"/>
  </si>
  <si>
    <t>１．</t>
    <phoneticPr fontId="30"/>
  </si>
  <si>
    <t>営業収益</t>
    <rPh sb="0" eb="2">
      <t>エイギョウ</t>
    </rPh>
    <rPh sb="2" eb="4">
      <t>シュウエキ</t>
    </rPh>
    <phoneticPr fontId="30"/>
  </si>
  <si>
    <t>(A)</t>
    <phoneticPr fontId="30"/>
  </si>
  <si>
    <t>(1)</t>
    <phoneticPr fontId="30"/>
  </si>
  <si>
    <t>使用料収入</t>
    <rPh sb="0" eb="3">
      <t>シヨウリョウ</t>
    </rPh>
    <rPh sb="3" eb="5">
      <t>シュウニュウ</t>
    </rPh>
    <phoneticPr fontId="30"/>
  </si>
  <si>
    <t>(2)</t>
  </si>
  <si>
    <t>雨水処理負担金</t>
    <rPh sb="0" eb="2">
      <t>ウスイ</t>
    </rPh>
    <rPh sb="2" eb="4">
      <t>ショリ</t>
    </rPh>
    <rPh sb="4" eb="7">
      <t>フタンキン</t>
    </rPh>
    <phoneticPr fontId="30"/>
  </si>
  <si>
    <t>(3)</t>
  </si>
  <si>
    <t>その他</t>
    <rPh sb="2" eb="3">
      <t>タ</t>
    </rPh>
    <phoneticPr fontId="30"/>
  </si>
  <si>
    <t>２．</t>
    <phoneticPr fontId="30"/>
  </si>
  <si>
    <t>営業外収益</t>
    <rPh sb="0" eb="3">
      <t>エイギョウガイ</t>
    </rPh>
    <rPh sb="3" eb="5">
      <t>シュウエキ</t>
    </rPh>
    <phoneticPr fontId="30"/>
  </si>
  <si>
    <t>補助金</t>
    <rPh sb="0" eb="3">
      <t>ホジョキン</t>
    </rPh>
    <phoneticPr fontId="30"/>
  </si>
  <si>
    <t>他会計補助金</t>
    <rPh sb="0" eb="1">
      <t>タ</t>
    </rPh>
    <rPh sb="1" eb="3">
      <t>カイケイ</t>
    </rPh>
    <rPh sb="3" eb="6">
      <t>ホジョキン</t>
    </rPh>
    <phoneticPr fontId="30"/>
  </si>
  <si>
    <t>その他補助金</t>
    <rPh sb="2" eb="3">
      <t>タ</t>
    </rPh>
    <rPh sb="3" eb="6">
      <t>ホジョキン</t>
    </rPh>
    <phoneticPr fontId="30"/>
  </si>
  <si>
    <t>(2)</t>
    <phoneticPr fontId="30"/>
  </si>
  <si>
    <t>長期前受金戻入</t>
    <rPh sb="0" eb="2">
      <t>チョウキ</t>
    </rPh>
    <rPh sb="2" eb="5">
      <t>マエウケキン</t>
    </rPh>
    <rPh sb="5" eb="7">
      <t>モドシイ</t>
    </rPh>
    <phoneticPr fontId="30"/>
  </si>
  <si>
    <t>(3)</t>
    <phoneticPr fontId="30"/>
  </si>
  <si>
    <t>収入計</t>
    <rPh sb="0" eb="2">
      <t>シュウニュウ</t>
    </rPh>
    <rPh sb="2" eb="3">
      <t>ケイ</t>
    </rPh>
    <phoneticPr fontId="30"/>
  </si>
  <si>
    <t>(C)</t>
    <phoneticPr fontId="30"/>
  </si>
  <si>
    <t>収益的支出</t>
    <rPh sb="0" eb="3">
      <t>シュウエキテキ</t>
    </rPh>
    <rPh sb="3" eb="5">
      <t>シシュツ</t>
    </rPh>
    <phoneticPr fontId="30"/>
  </si>
  <si>
    <t>営業費用</t>
    <rPh sb="0" eb="2">
      <t>エイギョウ</t>
    </rPh>
    <rPh sb="2" eb="4">
      <t>ヒヨウ</t>
    </rPh>
    <phoneticPr fontId="30"/>
  </si>
  <si>
    <t>職員給与費</t>
    <rPh sb="0" eb="2">
      <t>ショクイン</t>
    </rPh>
    <rPh sb="2" eb="5">
      <t>キュウヨヒ</t>
    </rPh>
    <phoneticPr fontId="30"/>
  </si>
  <si>
    <t>基本給</t>
    <rPh sb="0" eb="3">
      <t>キホンキュウ</t>
    </rPh>
    <phoneticPr fontId="30"/>
  </si>
  <si>
    <t>退職給付費</t>
    <rPh sb="0" eb="2">
      <t>タイショク</t>
    </rPh>
    <rPh sb="2" eb="5">
      <t>キュウフヒ</t>
    </rPh>
    <phoneticPr fontId="30"/>
  </si>
  <si>
    <t>経費</t>
    <rPh sb="0" eb="2">
      <t>ケイヒ</t>
    </rPh>
    <phoneticPr fontId="30"/>
  </si>
  <si>
    <t>動力費</t>
    <rPh sb="0" eb="3">
      <t>ドウリョクヒ</t>
    </rPh>
    <phoneticPr fontId="30"/>
  </si>
  <si>
    <t>修繕費</t>
    <rPh sb="0" eb="3">
      <t>シュウゼンヒ</t>
    </rPh>
    <phoneticPr fontId="30"/>
  </si>
  <si>
    <t>材料費</t>
    <rPh sb="0" eb="3">
      <t>ザイリョウヒ</t>
    </rPh>
    <phoneticPr fontId="30"/>
  </si>
  <si>
    <t>流域下水道負担金</t>
    <rPh sb="0" eb="5">
      <t>リュウイキゲスイドウ</t>
    </rPh>
    <rPh sb="5" eb="8">
      <t>フタンキン</t>
    </rPh>
    <phoneticPr fontId="30"/>
  </si>
  <si>
    <t>(4)</t>
    <phoneticPr fontId="30"/>
  </si>
  <si>
    <t>減価償却費</t>
    <rPh sb="0" eb="2">
      <t>ゲンカ</t>
    </rPh>
    <rPh sb="2" eb="5">
      <t>ショウキャクヒ</t>
    </rPh>
    <phoneticPr fontId="30"/>
  </si>
  <si>
    <t>営業外費用</t>
    <rPh sb="0" eb="3">
      <t>エイギョウガイ</t>
    </rPh>
    <rPh sb="3" eb="5">
      <t>ヒヨウ</t>
    </rPh>
    <phoneticPr fontId="30"/>
  </si>
  <si>
    <t>支払利息</t>
    <rPh sb="0" eb="2">
      <t>シハライ</t>
    </rPh>
    <rPh sb="2" eb="4">
      <t>リソク</t>
    </rPh>
    <phoneticPr fontId="30"/>
  </si>
  <si>
    <t>支出計</t>
    <rPh sb="0" eb="2">
      <t>シシュツ</t>
    </rPh>
    <rPh sb="2" eb="3">
      <t>ケイ</t>
    </rPh>
    <phoneticPr fontId="30"/>
  </si>
  <si>
    <t>(D)</t>
    <phoneticPr fontId="30"/>
  </si>
  <si>
    <t>経常損益</t>
    <rPh sb="0" eb="2">
      <t>ケイジョウ</t>
    </rPh>
    <rPh sb="2" eb="4">
      <t>ソンエキ</t>
    </rPh>
    <phoneticPr fontId="30"/>
  </si>
  <si>
    <t>(C)-(D)</t>
    <phoneticPr fontId="30"/>
  </si>
  <si>
    <t>(E)</t>
    <phoneticPr fontId="30"/>
  </si>
  <si>
    <t>特別利益</t>
    <rPh sb="0" eb="2">
      <t>トクベツ</t>
    </rPh>
    <rPh sb="2" eb="4">
      <t>リエキ</t>
    </rPh>
    <phoneticPr fontId="30"/>
  </si>
  <si>
    <t>(F)</t>
    <phoneticPr fontId="30"/>
  </si>
  <si>
    <t>特別損失</t>
    <rPh sb="0" eb="2">
      <t>トクベツ</t>
    </rPh>
    <rPh sb="2" eb="4">
      <t>ソンシツ</t>
    </rPh>
    <phoneticPr fontId="30"/>
  </si>
  <si>
    <t>(G)</t>
    <phoneticPr fontId="30"/>
  </si>
  <si>
    <t>特別損益</t>
    <rPh sb="0" eb="2">
      <t>トクベツ</t>
    </rPh>
    <rPh sb="2" eb="4">
      <t>ソンエキ</t>
    </rPh>
    <phoneticPr fontId="30"/>
  </si>
  <si>
    <t>(F)-(G)</t>
    <phoneticPr fontId="30"/>
  </si>
  <si>
    <t>(H)</t>
    <phoneticPr fontId="30"/>
  </si>
  <si>
    <t>当年度純利益（又は純損失）</t>
    <rPh sb="0" eb="3">
      <t>トウネンド</t>
    </rPh>
    <rPh sb="3" eb="6">
      <t>ジュンリエキ</t>
    </rPh>
    <rPh sb="7" eb="8">
      <t>マタ</t>
    </rPh>
    <rPh sb="9" eb="12">
      <t>ジュンソンシツ</t>
    </rPh>
    <phoneticPr fontId="30"/>
  </si>
  <si>
    <t>(E)+(H)</t>
    <phoneticPr fontId="30"/>
  </si>
  <si>
    <t>経常収支比率</t>
    <rPh sb="0" eb="6">
      <t>ケイジョウシュウシヒリツ</t>
    </rPh>
    <phoneticPr fontId="30"/>
  </si>
  <si>
    <t>経費回収率</t>
    <rPh sb="0" eb="5">
      <t>ケイヒカイシュウリツ</t>
    </rPh>
    <phoneticPr fontId="30"/>
  </si>
  <si>
    <t>総括原価率</t>
    <rPh sb="0" eb="4">
      <t>ソウカツゲンカ</t>
    </rPh>
    <rPh sb="4" eb="5">
      <t>リツ</t>
    </rPh>
    <phoneticPr fontId="30"/>
  </si>
  <si>
    <t>4条</t>
    <rPh sb="1" eb="2">
      <t>ジョウ</t>
    </rPh>
    <phoneticPr fontId="28"/>
  </si>
  <si>
    <t>年　　　　　度</t>
    <rPh sb="0" eb="1">
      <t>トシ</t>
    </rPh>
    <rPh sb="6" eb="7">
      <t>ド</t>
    </rPh>
    <phoneticPr fontId="30"/>
  </si>
  <si>
    <t>区　　　　　分</t>
    <rPh sb="0" eb="1">
      <t>ク</t>
    </rPh>
    <rPh sb="6" eb="7">
      <t>ブン</t>
    </rPh>
    <phoneticPr fontId="30"/>
  </si>
  <si>
    <t>資本的収支</t>
    <rPh sb="0" eb="3">
      <t>シホンテキ</t>
    </rPh>
    <rPh sb="3" eb="5">
      <t>シュウシ</t>
    </rPh>
    <phoneticPr fontId="30"/>
  </si>
  <si>
    <t>資本的収入</t>
    <rPh sb="0" eb="3">
      <t>シホンテキ</t>
    </rPh>
    <rPh sb="3" eb="5">
      <t>シュウニュウ</t>
    </rPh>
    <phoneticPr fontId="30"/>
  </si>
  <si>
    <t>企業債</t>
    <rPh sb="0" eb="3">
      <t>キギョウサイ</t>
    </rPh>
    <phoneticPr fontId="30"/>
  </si>
  <si>
    <t>うち資本費平準化債</t>
    <rPh sb="2" eb="5">
      <t>シホンヒ</t>
    </rPh>
    <rPh sb="5" eb="7">
      <t>ヘイジュン</t>
    </rPh>
    <rPh sb="7" eb="9">
      <t>カサイ</t>
    </rPh>
    <phoneticPr fontId="30"/>
  </si>
  <si>
    <t>２．</t>
  </si>
  <si>
    <t>他会計出資金</t>
    <rPh sb="0" eb="1">
      <t>タ</t>
    </rPh>
    <rPh sb="1" eb="3">
      <t>カイケイ</t>
    </rPh>
    <rPh sb="3" eb="5">
      <t>シュッシ</t>
    </rPh>
    <rPh sb="5" eb="6">
      <t>キン</t>
    </rPh>
    <phoneticPr fontId="30"/>
  </si>
  <si>
    <t>３．</t>
  </si>
  <si>
    <t>他会計補助金</t>
    <rPh sb="0" eb="1">
      <t>タ</t>
    </rPh>
    <rPh sb="1" eb="3">
      <t>カイケイ</t>
    </rPh>
    <rPh sb="3" eb="5">
      <t>ホジョ</t>
    </rPh>
    <rPh sb="5" eb="6">
      <t>キン</t>
    </rPh>
    <phoneticPr fontId="30"/>
  </si>
  <si>
    <t>４．</t>
  </si>
  <si>
    <t>他会計負担金</t>
    <rPh sb="0" eb="1">
      <t>タ</t>
    </rPh>
    <rPh sb="1" eb="3">
      <t>カイケイ</t>
    </rPh>
    <rPh sb="3" eb="5">
      <t>フタン</t>
    </rPh>
    <rPh sb="5" eb="6">
      <t>キン</t>
    </rPh>
    <phoneticPr fontId="30"/>
  </si>
  <si>
    <t>５．</t>
  </si>
  <si>
    <t>他会計借入金</t>
    <rPh sb="0" eb="1">
      <t>タ</t>
    </rPh>
    <rPh sb="1" eb="3">
      <t>カイケイ</t>
    </rPh>
    <rPh sb="3" eb="6">
      <t>カリイレキン</t>
    </rPh>
    <phoneticPr fontId="30"/>
  </si>
  <si>
    <t>６．</t>
  </si>
  <si>
    <t>国（都道府県）補助金</t>
    <rPh sb="0" eb="1">
      <t>クニ</t>
    </rPh>
    <rPh sb="2" eb="4">
      <t>トドウ</t>
    </rPh>
    <rPh sb="4" eb="5">
      <t>フ</t>
    </rPh>
    <rPh sb="5" eb="6">
      <t>ケン</t>
    </rPh>
    <rPh sb="7" eb="10">
      <t>ホジョキン</t>
    </rPh>
    <phoneticPr fontId="30"/>
  </si>
  <si>
    <t>７．</t>
  </si>
  <si>
    <t>固定資産売却代金</t>
    <rPh sb="0" eb="4">
      <t>コテイシサン</t>
    </rPh>
    <rPh sb="4" eb="6">
      <t>バイキャク</t>
    </rPh>
    <rPh sb="6" eb="8">
      <t>ダイキン</t>
    </rPh>
    <phoneticPr fontId="30"/>
  </si>
  <si>
    <t>８．</t>
    <phoneticPr fontId="30"/>
  </si>
  <si>
    <t>工事負担金</t>
    <rPh sb="0" eb="2">
      <t>コウジ</t>
    </rPh>
    <rPh sb="2" eb="5">
      <t>フタンキン</t>
    </rPh>
    <phoneticPr fontId="30"/>
  </si>
  <si>
    <t>９．</t>
    <phoneticPr fontId="30"/>
  </si>
  <si>
    <t>計</t>
    <rPh sb="0" eb="1">
      <t>ケイ</t>
    </rPh>
    <phoneticPr fontId="30"/>
  </si>
  <si>
    <t>(A)のうち翌年度へ繰り越される支出の財源充当額</t>
    <rPh sb="6" eb="9">
      <t>ヨクネンド</t>
    </rPh>
    <rPh sb="10" eb="11">
      <t>ク</t>
    </rPh>
    <rPh sb="12" eb="13">
      <t>コ</t>
    </rPh>
    <rPh sb="16" eb="18">
      <t>シシュツ</t>
    </rPh>
    <rPh sb="19" eb="21">
      <t>ザイゲン</t>
    </rPh>
    <rPh sb="21" eb="22">
      <t>ミツル</t>
    </rPh>
    <rPh sb="22" eb="23">
      <t>ガク</t>
    </rPh>
    <phoneticPr fontId="30"/>
  </si>
  <si>
    <t>(B)</t>
    <phoneticPr fontId="30"/>
  </si>
  <si>
    <t>純計</t>
    <rPh sb="0" eb="1">
      <t>ジュン</t>
    </rPh>
    <rPh sb="1" eb="2">
      <t>ケイ</t>
    </rPh>
    <phoneticPr fontId="30"/>
  </si>
  <si>
    <t>(A)-(B)</t>
    <phoneticPr fontId="30"/>
  </si>
  <si>
    <t>資本的支出</t>
    <rPh sb="0" eb="3">
      <t>シホンテキ</t>
    </rPh>
    <rPh sb="3" eb="5">
      <t>シシュツ</t>
    </rPh>
    <phoneticPr fontId="30"/>
  </si>
  <si>
    <t>建設改良費</t>
    <rPh sb="0" eb="2">
      <t>ケンセツ</t>
    </rPh>
    <rPh sb="2" eb="5">
      <t>カイリョウヒ</t>
    </rPh>
    <phoneticPr fontId="30"/>
  </si>
  <si>
    <t>うち職員給与費</t>
    <rPh sb="2" eb="4">
      <t>ショクイン</t>
    </rPh>
    <rPh sb="4" eb="7">
      <t>キュウヨヒ</t>
    </rPh>
    <phoneticPr fontId="30"/>
  </si>
  <si>
    <t>企業債償還金</t>
    <rPh sb="0" eb="3">
      <t>キギョウサイ</t>
    </rPh>
    <rPh sb="3" eb="6">
      <t>ショウカンキン</t>
    </rPh>
    <phoneticPr fontId="30"/>
  </si>
  <si>
    <t>３．</t>
    <phoneticPr fontId="30"/>
  </si>
  <si>
    <t>他会計長期借入返還金</t>
    <rPh sb="0" eb="1">
      <t>タ</t>
    </rPh>
    <rPh sb="1" eb="3">
      <t>カイケイ</t>
    </rPh>
    <rPh sb="3" eb="5">
      <t>チョウキ</t>
    </rPh>
    <rPh sb="5" eb="7">
      <t>カリイレ</t>
    </rPh>
    <rPh sb="7" eb="9">
      <t>ヘンカン</t>
    </rPh>
    <rPh sb="9" eb="10">
      <t>キン</t>
    </rPh>
    <phoneticPr fontId="30"/>
  </si>
  <si>
    <t>４．</t>
    <phoneticPr fontId="30"/>
  </si>
  <si>
    <t>他会計への支出金</t>
    <rPh sb="0" eb="1">
      <t>タ</t>
    </rPh>
    <rPh sb="1" eb="3">
      <t>カイケイ</t>
    </rPh>
    <rPh sb="5" eb="8">
      <t>シシュツキン</t>
    </rPh>
    <phoneticPr fontId="30"/>
  </si>
  <si>
    <t>５．</t>
    <phoneticPr fontId="30"/>
  </si>
  <si>
    <t>資本的収入額が資本的支出額に不足する額    (D)-(C)</t>
    <rPh sb="0" eb="3">
      <t>シホンテキ</t>
    </rPh>
    <rPh sb="3" eb="6">
      <t>シュウニュウガク</t>
    </rPh>
    <rPh sb="7" eb="10">
      <t>シホンテキ</t>
    </rPh>
    <rPh sb="10" eb="13">
      <t>シシュツガク</t>
    </rPh>
    <rPh sb="14" eb="16">
      <t>フソク</t>
    </rPh>
    <rPh sb="18" eb="19">
      <t>ガク</t>
    </rPh>
    <phoneticPr fontId="30"/>
  </si>
  <si>
    <t>補塡財源</t>
    <rPh sb="0" eb="2">
      <t>ホテン</t>
    </rPh>
    <rPh sb="2" eb="4">
      <t>ザイゲン</t>
    </rPh>
    <phoneticPr fontId="30"/>
  </si>
  <si>
    <t>損益勘定留保資金</t>
    <rPh sb="0" eb="2">
      <t>ソンエキ</t>
    </rPh>
    <rPh sb="2" eb="4">
      <t>カンジョウ</t>
    </rPh>
    <rPh sb="4" eb="6">
      <t>リュウホ</t>
    </rPh>
    <rPh sb="6" eb="8">
      <t>シキン</t>
    </rPh>
    <phoneticPr fontId="30"/>
  </si>
  <si>
    <t>利益剰余金処分額</t>
    <rPh sb="0" eb="2">
      <t>リエキ</t>
    </rPh>
    <rPh sb="2" eb="5">
      <t>ジョウヨキン</t>
    </rPh>
    <rPh sb="5" eb="8">
      <t>ショブンガク</t>
    </rPh>
    <phoneticPr fontId="30"/>
  </si>
  <si>
    <t>繰越工事資金</t>
    <rPh sb="0" eb="2">
      <t>クリコシ</t>
    </rPh>
    <rPh sb="2" eb="4">
      <t>コウジ</t>
    </rPh>
    <rPh sb="4" eb="6">
      <t>シキン</t>
    </rPh>
    <phoneticPr fontId="30"/>
  </si>
  <si>
    <t>補塡財源不足額</t>
    <rPh sb="0" eb="1">
      <t>タスク</t>
    </rPh>
    <rPh sb="1" eb="2">
      <t>テン</t>
    </rPh>
    <rPh sb="2" eb="4">
      <t>ザイゲン</t>
    </rPh>
    <rPh sb="4" eb="7">
      <t>フソクガク</t>
    </rPh>
    <phoneticPr fontId="30"/>
  </si>
  <si>
    <t>(E)-(F)</t>
    <phoneticPr fontId="30"/>
  </si>
  <si>
    <t>他会計借入金残高</t>
    <rPh sb="0" eb="1">
      <t>ホカ</t>
    </rPh>
    <rPh sb="1" eb="3">
      <t>カイケイ</t>
    </rPh>
    <rPh sb="3" eb="6">
      <t>カリイレキン</t>
    </rPh>
    <rPh sb="6" eb="8">
      <t>ザンダカ</t>
    </rPh>
    <phoneticPr fontId="30"/>
  </si>
  <si>
    <t>企業債残高</t>
    <rPh sb="0" eb="3">
      <t>キギョウサイ</t>
    </rPh>
    <rPh sb="3" eb="5">
      <t>ザンダカ</t>
    </rPh>
    <phoneticPr fontId="30"/>
  </si>
  <si>
    <t>○他会計繰入金</t>
    <rPh sb="1" eb="2">
      <t>ホカ</t>
    </rPh>
    <rPh sb="2" eb="4">
      <t>カイケイ</t>
    </rPh>
    <rPh sb="4" eb="6">
      <t>クリイレ</t>
    </rPh>
    <rPh sb="6" eb="7">
      <t>キン</t>
    </rPh>
    <phoneticPr fontId="30"/>
  </si>
  <si>
    <t>収益的収支分</t>
    <rPh sb="0" eb="3">
      <t>シュウエキテキ</t>
    </rPh>
    <rPh sb="3" eb="5">
      <t>シュウシ</t>
    </rPh>
    <rPh sb="5" eb="6">
      <t>ブン</t>
    </rPh>
    <phoneticPr fontId="30"/>
  </si>
  <si>
    <t>うち基準内繰入金</t>
    <rPh sb="2" eb="5">
      <t>キジュンナイ</t>
    </rPh>
    <rPh sb="5" eb="7">
      <t>クリイレ</t>
    </rPh>
    <rPh sb="7" eb="8">
      <t>キン</t>
    </rPh>
    <phoneticPr fontId="30"/>
  </si>
  <si>
    <t>うち基準外繰入金</t>
    <rPh sb="2" eb="4">
      <t>キジュン</t>
    </rPh>
    <rPh sb="4" eb="5">
      <t>ガイ</t>
    </rPh>
    <rPh sb="5" eb="7">
      <t>クリイレ</t>
    </rPh>
    <rPh sb="7" eb="8">
      <t>キン</t>
    </rPh>
    <phoneticPr fontId="30"/>
  </si>
  <si>
    <t>資本的収支分</t>
    <rPh sb="0" eb="3">
      <t>シホンテキ</t>
    </rPh>
    <rPh sb="3" eb="5">
      <t>シュウシ</t>
    </rPh>
    <rPh sb="5" eb="6">
      <t>ブン</t>
    </rPh>
    <phoneticPr fontId="30"/>
  </si>
  <si>
    <t>合計</t>
    <rPh sb="0" eb="2">
      <t>ゴウケイ</t>
    </rPh>
    <phoneticPr fontId="30"/>
  </si>
  <si>
    <t>経常収支比率</t>
    <rPh sb="0" eb="2">
      <t>ケイジョウ</t>
    </rPh>
    <rPh sb="2" eb="4">
      <t>シュウシ</t>
    </rPh>
    <rPh sb="4" eb="6">
      <t>ヒリツ</t>
    </rPh>
    <phoneticPr fontId="30"/>
  </si>
  <si>
    <t>汚染処理費（千円）</t>
    <rPh sb="0" eb="2">
      <t>オセン</t>
    </rPh>
    <rPh sb="2" eb="4">
      <t>ショリ</t>
    </rPh>
    <rPh sb="4" eb="5">
      <t>ヒ</t>
    </rPh>
    <rPh sb="6" eb="8">
      <t>センエン</t>
    </rPh>
    <phoneticPr fontId="30"/>
  </si>
  <si>
    <t>経費回収率</t>
    <rPh sb="0" eb="2">
      <t>ケイヒ</t>
    </rPh>
    <rPh sb="2" eb="4">
      <t>カイシュウ</t>
    </rPh>
    <rPh sb="4" eb="5">
      <t>リツ</t>
    </rPh>
    <phoneticPr fontId="30"/>
  </si>
  <si>
    <t>有収水量（㎥）</t>
    <rPh sb="0" eb="1">
      <t>ユウ</t>
    </rPh>
    <rPh sb="1" eb="2">
      <t>シュウ</t>
    </rPh>
    <rPh sb="2" eb="4">
      <t>スイリョウ</t>
    </rPh>
    <phoneticPr fontId="30"/>
  </si>
  <si>
    <t>汚染処理原価（円）</t>
    <rPh sb="0" eb="2">
      <t>オセン</t>
    </rPh>
    <rPh sb="2" eb="4">
      <t>ショリ</t>
    </rPh>
    <rPh sb="4" eb="6">
      <t>ゲンカ</t>
    </rPh>
    <rPh sb="7" eb="8">
      <t>エン</t>
    </rPh>
    <phoneticPr fontId="30"/>
  </si>
  <si>
    <t>0/%</t>
    <phoneticPr fontId="2"/>
  </si>
  <si>
    <t>３条現金収入</t>
    <rPh sb="1" eb="2">
      <t>ジョウ</t>
    </rPh>
    <rPh sb="2" eb="6">
      <t>ゲンキンシュウニュウ</t>
    </rPh>
    <phoneticPr fontId="30"/>
  </si>
  <si>
    <t>３条現金支出</t>
    <rPh sb="1" eb="2">
      <t>ジョウ</t>
    </rPh>
    <rPh sb="2" eb="6">
      <t>ゲンキンシシュツ</t>
    </rPh>
    <phoneticPr fontId="30"/>
  </si>
  <si>
    <t>３条現金収支</t>
    <rPh sb="1" eb="2">
      <t>ジョウ</t>
    </rPh>
    <rPh sb="2" eb="4">
      <t>ゲンキン</t>
    </rPh>
    <rPh sb="4" eb="6">
      <t>シュウシ</t>
    </rPh>
    <phoneticPr fontId="30"/>
  </si>
  <si>
    <t>４条現金収入</t>
    <rPh sb="1" eb="2">
      <t>ジョウ</t>
    </rPh>
    <rPh sb="2" eb="6">
      <t>ゲンキンシュウニュウ</t>
    </rPh>
    <phoneticPr fontId="30"/>
  </si>
  <si>
    <t>４条現金支出</t>
    <rPh sb="1" eb="2">
      <t>ジョウ</t>
    </rPh>
    <rPh sb="2" eb="6">
      <t>ゲンキンシシュツ</t>
    </rPh>
    <phoneticPr fontId="30"/>
  </si>
  <si>
    <t>４条現金収支</t>
    <rPh sb="1" eb="2">
      <t>ジョウ</t>
    </rPh>
    <rPh sb="2" eb="4">
      <t>ゲンキン</t>
    </rPh>
    <rPh sb="4" eb="6">
      <t>シュウシ</t>
    </rPh>
    <phoneticPr fontId="30"/>
  </si>
  <si>
    <t>総現金収支</t>
    <rPh sb="0" eb="1">
      <t>ソウ</t>
    </rPh>
    <rPh sb="1" eb="5">
      <t>ゲンキンシュウシ</t>
    </rPh>
    <phoneticPr fontId="30"/>
  </si>
  <si>
    <t>繰越利益剰余金</t>
    <rPh sb="0" eb="4">
      <t>クリコシリエキ</t>
    </rPh>
    <rPh sb="4" eb="7">
      <t>ジョウヨキン</t>
    </rPh>
    <phoneticPr fontId="30"/>
  </si>
  <si>
    <t>非常通報装置</t>
  </si>
  <si>
    <t>加圧ポンプ</t>
  </si>
  <si>
    <t>薬品注入ポンプ（NKW-20VL-CIH）　</t>
  </si>
  <si>
    <t>水位計</t>
  </si>
  <si>
    <t>無試薬形遊離塩素計</t>
  </si>
  <si>
    <t>増圧ポンプ</t>
  </si>
  <si>
    <t>遠方通報装置</t>
  </si>
  <si>
    <t>配水管</t>
  </si>
  <si>
    <t>フェンス</t>
  </si>
  <si>
    <t>管路一式</t>
  </si>
  <si>
    <t>次亜塩注入器</t>
  </si>
  <si>
    <t>湧水井戸</t>
  </si>
  <si>
    <t>砕石</t>
  </si>
  <si>
    <t>水源地施設</t>
  </si>
  <si>
    <t>建屋</t>
  </si>
  <si>
    <t>浄水施設 配水池</t>
  </si>
  <si>
    <t>機械設備</t>
  </si>
  <si>
    <t>電気計装設備</t>
  </si>
  <si>
    <t>緊急警報装置</t>
  </si>
  <si>
    <t>制水弁設置工事</t>
  </si>
  <si>
    <t>減圧弁</t>
  </si>
  <si>
    <t>浄水UF膜</t>
  </si>
  <si>
    <t>排水配管</t>
  </si>
  <si>
    <t>水源施設 第1取水</t>
  </si>
  <si>
    <t>水源施設 第2取水</t>
  </si>
  <si>
    <t>送水施設 減圧槽</t>
  </si>
  <si>
    <t>浄水施設　滅菌設備棟</t>
  </si>
  <si>
    <t>浄水施設　着水井</t>
  </si>
  <si>
    <t>浄水施設　滅菌設備</t>
  </si>
  <si>
    <t>配水施設 配水池</t>
  </si>
  <si>
    <t>配水施設 減圧槽</t>
  </si>
  <si>
    <t>水深及浄水場内柵</t>
  </si>
  <si>
    <t>量水器ボックス</t>
  </si>
  <si>
    <t>配水池排泥管</t>
  </si>
  <si>
    <t>給水装置</t>
  </si>
  <si>
    <t>量水器</t>
  </si>
  <si>
    <t>水源</t>
  </si>
  <si>
    <t>小規模水道井戸ポンプ</t>
  </si>
  <si>
    <t>電柱電線</t>
  </si>
  <si>
    <t>流量計</t>
  </si>
  <si>
    <t>監視通報装置</t>
  </si>
  <si>
    <t>水道管</t>
  </si>
  <si>
    <t>深井戸</t>
  </si>
  <si>
    <t>配水池</t>
  </si>
  <si>
    <t>浄水場</t>
  </si>
  <si>
    <t>取水設備</t>
  </si>
  <si>
    <t>浄水設備</t>
  </si>
  <si>
    <t>電磁流量計室</t>
  </si>
  <si>
    <t>加圧ポンプ室躯体</t>
  </si>
  <si>
    <t>加圧ポンプ場設備</t>
  </si>
  <si>
    <t>配管設備</t>
  </si>
  <si>
    <t>電気設備</t>
  </si>
  <si>
    <t>水管橋橋台</t>
  </si>
  <si>
    <t>取水施設</t>
  </si>
  <si>
    <t>浄水処理施設土木構造物</t>
  </si>
  <si>
    <t>浄水処理施設建築建屋</t>
  </si>
  <si>
    <t>電灯設備</t>
  </si>
  <si>
    <t>空気調和設備</t>
  </si>
  <si>
    <t>配管・配線</t>
  </si>
  <si>
    <t>排水ポンプ</t>
  </si>
  <si>
    <t>導水管</t>
  </si>
  <si>
    <t>送水管</t>
  </si>
  <si>
    <t>逆洗配水管</t>
  </si>
  <si>
    <t>排水管</t>
  </si>
  <si>
    <t>取水ポンプ排水管</t>
  </si>
  <si>
    <t>ピット内排水管</t>
  </si>
  <si>
    <t>薬注室排水管</t>
  </si>
  <si>
    <t>手洗い器給水設備</t>
  </si>
  <si>
    <t>手洗い器排水設備</t>
  </si>
  <si>
    <t>足洗い給水設備</t>
  </si>
  <si>
    <t>足洗い排水設備</t>
  </si>
  <si>
    <t>浄水処理施設配水池</t>
  </si>
  <si>
    <t>取水ポンプ設備</t>
  </si>
  <si>
    <t>ドレンポンプ設備</t>
  </si>
  <si>
    <t>浄水機械設備</t>
  </si>
  <si>
    <t>表洗設備</t>
  </si>
  <si>
    <t>逆流ポンプ設備</t>
  </si>
  <si>
    <t>浄水サンプリングポンプ設備</t>
  </si>
  <si>
    <t>次亜塩注入装置</t>
  </si>
  <si>
    <t>PAC注入装置</t>
  </si>
  <si>
    <t>硫酸注入装置</t>
  </si>
  <si>
    <t>浄水池開閉機器</t>
  </si>
  <si>
    <t>制御盤類</t>
  </si>
  <si>
    <t>送水ポンプ設備</t>
  </si>
  <si>
    <t>ポンプ制御盤</t>
  </si>
  <si>
    <t>計装盤</t>
  </si>
  <si>
    <t>水位計収納盤</t>
  </si>
  <si>
    <t>取水井水位計（投込式）</t>
  </si>
  <si>
    <t>原水流量計</t>
  </si>
  <si>
    <t>浄水池水位計（投込式）</t>
  </si>
  <si>
    <t>浄水残留塩素計（無試薬式）</t>
  </si>
  <si>
    <t>浄水濁度計</t>
  </si>
  <si>
    <t>浄水PH計（ガラス電極式）</t>
  </si>
  <si>
    <t>送水流量計（電磁流量計）</t>
  </si>
  <si>
    <t>配水池水位計（投込式水位計）</t>
  </si>
  <si>
    <t>配水流量計</t>
  </si>
  <si>
    <t>記録計</t>
  </si>
  <si>
    <t>水位計取付架台</t>
  </si>
  <si>
    <t>液位電極（浄水槽）</t>
  </si>
  <si>
    <t>増圧ポンプ場　ピット</t>
  </si>
  <si>
    <t>SUS製配水加圧ポンプ</t>
  </si>
  <si>
    <t>圧力タンク</t>
  </si>
  <si>
    <t>圧力計</t>
  </si>
  <si>
    <t>2F直管</t>
  </si>
  <si>
    <t>1F直管</t>
  </si>
  <si>
    <t>ヘッダー管Φ80 L1-700mm</t>
  </si>
  <si>
    <t>ヘッダー管Φ80 L1-800mm</t>
  </si>
  <si>
    <t>泥吐管Φ75</t>
  </si>
  <si>
    <t>中央取水壁</t>
  </si>
  <si>
    <t>集水井</t>
  </si>
  <si>
    <t>中央配水池</t>
  </si>
  <si>
    <t>滅菌設備</t>
  </si>
  <si>
    <t>滅菌室</t>
  </si>
  <si>
    <t>中央量水器室</t>
  </si>
  <si>
    <t>高区取水壁</t>
  </si>
  <si>
    <t>高区集水井</t>
  </si>
  <si>
    <t>高区配水池</t>
  </si>
  <si>
    <t>高区量水器室</t>
  </si>
  <si>
    <t>高区量水器設備</t>
  </si>
  <si>
    <t>滅菌施設室</t>
  </si>
  <si>
    <t>泥吐管</t>
  </si>
  <si>
    <t>ポンプピット</t>
  </si>
  <si>
    <t>加圧ポンプ　蛇沼大平支線</t>
  </si>
  <si>
    <t>加圧ポンプ　中山支線</t>
  </si>
  <si>
    <t>架線</t>
  </si>
  <si>
    <t>引込線</t>
  </si>
  <si>
    <t>取水井</t>
  </si>
  <si>
    <t>原水・浄水槽躯体</t>
  </si>
  <si>
    <t>排水槽</t>
  </si>
  <si>
    <t>配水池場内配管</t>
  </si>
  <si>
    <t>浄水場建築構造物</t>
  </si>
  <si>
    <t>急速ろ過機</t>
  </si>
  <si>
    <t>急速ろ過設備_排水ポンプ</t>
  </si>
  <si>
    <t>急速ろ過設備_流量計</t>
  </si>
  <si>
    <t>前次亜注入機</t>
  </si>
  <si>
    <t>後次亜注入機</t>
  </si>
  <si>
    <t>PAC注入機</t>
  </si>
  <si>
    <t>硫酸注入機</t>
  </si>
  <si>
    <t>減圧施設</t>
  </si>
  <si>
    <t>電気計装制御盤類</t>
  </si>
  <si>
    <t>電気計装機器</t>
  </si>
  <si>
    <t>非常用発電機</t>
  </si>
  <si>
    <t>接合井</t>
  </si>
  <si>
    <t>ステンレス鋼板製配水槽</t>
  </si>
  <si>
    <t>計装配線</t>
  </si>
  <si>
    <t>電灯コンセント配線</t>
  </si>
  <si>
    <t>配水池 鋼管抗</t>
  </si>
  <si>
    <t>ポンプ場土木構造物</t>
  </si>
  <si>
    <t>取水ポンプピット</t>
  </si>
  <si>
    <t>配線電灯設備</t>
  </si>
  <si>
    <t>管理棟動力電灯引込</t>
  </si>
  <si>
    <t>次亜注入設備</t>
  </si>
  <si>
    <t>ポンプ設備</t>
  </si>
  <si>
    <t>非常用発電気設備</t>
  </si>
  <si>
    <t>管理棟</t>
  </si>
  <si>
    <t>配水流量計BOX</t>
  </si>
  <si>
    <t>減圧弁BOX（支線3号線）</t>
  </si>
  <si>
    <t>減圧弁設備（支線3号線）</t>
  </si>
  <si>
    <t>加圧ポンプBOX（支線5号）</t>
  </si>
  <si>
    <t>加圧ポンプ場引込動配線（支線5号）</t>
  </si>
  <si>
    <t>加圧ポンプ設備（支線5号）</t>
  </si>
  <si>
    <t>加圧ポンプBOX（支線8号線）</t>
  </si>
  <si>
    <t>加圧ポンプ場引込動配線（支線8号線）</t>
  </si>
  <si>
    <t>加圧ポンプ設備（支線8号線）</t>
  </si>
  <si>
    <t>取水ポンプ施設、管理棟内設備</t>
  </si>
  <si>
    <t>配水池施設造成</t>
  </si>
  <si>
    <t>管理棟建築</t>
  </si>
  <si>
    <t>非常用発電設備</t>
  </si>
  <si>
    <t>加圧ポンプ設備</t>
  </si>
  <si>
    <t>第1取水壁</t>
  </si>
  <si>
    <t>第2取水壁</t>
  </si>
  <si>
    <t>量水器室</t>
  </si>
  <si>
    <t>水道メーター</t>
  </si>
  <si>
    <t>ガス検知器酸素・硫化水素濃度計</t>
  </si>
  <si>
    <t>膜ろ過設備一式</t>
  </si>
  <si>
    <t>S59</t>
  </si>
  <si>
    <t>S60</t>
  </si>
  <si>
    <t>H11</t>
  </si>
  <si>
    <t>H12</t>
  </si>
  <si>
    <t>S46</t>
  </si>
  <si>
    <t>S53</t>
  </si>
  <si>
    <t>S61</t>
  </si>
  <si>
    <t>H10</t>
  </si>
  <si>
    <t>S54</t>
  </si>
  <si>
    <t>S55</t>
  </si>
  <si>
    <t>S56</t>
  </si>
  <si>
    <t>H24</t>
    <phoneticPr fontId="2"/>
  </si>
  <si>
    <t>S52</t>
  </si>
  <si>
    <t>S52</t>
    <phoneticPr fontId="2"/>
  </si>
  <si>
    <t>R2</t>
    <phoneticPr fontId="2"/>
  </si>
  <si>
    <t>R1</t>
  </si>
  <si>
    <t>H11</t>
    <phoneticPr fontId="2"/>
  </si>
  <si>
    <t>H3</t>
  </si>
  <si>
    <t>H2</t>
  </si>
  <si>
    <t>H1</t>
  </si>
  <si>
    <t>H0</t>
  </si>
  <si>
    <t>H4</t>
  </si>
  <si>
    <t>H5</t>
  </si>
  <si>
    <t>H6</t>
  </si>
  <si>
    <t>H7</t>
  </si>
  <si>
    <t>H8</t>
  </si>
  <si>
    <t>H9</t>
  </si>
  <si>
    <t>S63</t>
    <phoneticPr fontId="2"/>
  </si>
  <si>
    <t>S62</t>
  </si>
  <si>
    <t>S57</t>
  </si>
  <si>
    <t>S58</t>
  </si>
  <si>
    <t>S50</t>
  </si>
  <si>
    <t>S51</t>
  </si>
  <si>
    <t>S45</t>
  </si>
  <si>
    <t>S47</t>
  </si>
  <si>
    <t>S48</t>
  </si>
  <si>
    <t>S49</t>
  </si>
  <si>
    <t>H3</t>
    <phoneticPr fontId="2"/>
  </si>
  <si>
    <t>H1</t>
    <phoneticPr fontId="2"/>
  </si>
  <si>
    <t>H2</t>
    <phoneticPr fontId="2"/>
  </si>
  <si>
    <t>管路</t>
    <rPh sb="0" eb="2">
      <t>カンロ</t>
    </rPh>
    <phoneticPr fontId="2"/>
  </si>
  <si>
    <t>年度２</t>
    <rPh sb="0" eb="2">
      <t>ネンド</t>
    </rPh>
    <phoneticPr fontId="2"/>
  </si>
  <si>
    <t>取水・浄水設備</t>
    <rPh sb="0" eb="2">
      <t>シュスイ</t>
    </rPh>
    <rPh sb="3" eb="5">
      <t>ジョウスイ</t>
    </rPh>
    <rPh sb="5" eb="7">
      <t>セツビ</t>
    </rPh>
    <phoneticPr fontId="2"/>
  </si>
  <si>
    <t>取水・浄水施設</t>
    <rPh sb="0" eb="2">
      <t>シュスイ</t>
    </rPh>
    <rPh sb="3" eb="5">
      <t>ジョウスイ</t>
    </rPh>
    <rPh sb="5" eb="7">
      <t>シセツ</t>
    </rPh>
    <phoneticPr fontId="2"/>
  </si>
  <si>
    <t>配水・送水施設</t>
    <rPh sb="0" eb="2">
      <t>ハイスイ</t>
    </rPh>
    <rPh sb="3" eb="5">
      <t>ソウスイ</t>
    </rPh>
    <rPh sb="5" eb="7">
      <t>シセツ</t>
    </rPh>
    <phoneticPr fontId="2"/>
  </si>
  <si>
    <t>配水・給水設備</t>
    <rPh sb="0" eb="2">
      <t>ハイスイ</t>
    </rPh>
    <rPh sb="3" eb="5">
      <t>キュウスイ</t>
    </rPh>
    <rPh sb="5" eb="7">
      <t>セツビ</t>
    </rPh>
    <phoneticPr fontId="2"/>
  </si>
  <si>
    <t>配水・給水施設</t>
    <rPh sb="0" eb="2">
      <t>ハイスイ</t>
    </rPh>
    <rPh sb="3" eb="5">
      <t>キュウスイ</t>
    </rPh>
    <rPh sb="5" eb="7">
      <t>シセツ</t>
    </rPh>
    <phoneticPr fontId="2"/>
  </si>
  <si>
    <t>配水・給水施設</t>
    <rPh sb="0" eb="2">
      <t>ハイスイ</t>
    </rPh>
    <rPh sb="3" eb="7">
      <t>キュウスイシセツ</t>
    </rPh>
    <phoneticPr fontId="2"/>
  </si>
  <si>
    <t>配水・給水施設</t>
    <rPh sb="0" eb="2">
      <t>ハイスイ</t>
    </rPh>
    <rPh sb="3" eb="7">
      <t>キュウスイシセツ</t>
    </rPh>
    <phoneticPr fontId="2"/>
  </si>
  <si>
    <t>❺管路</t>
    <rPh sb="1" eb="3">
      <t>カンロ</t>
    </rPh>
    <phoneticPr fontId="3"/>
  </si>
  <si>
    <t>❸取水・浄水設備</t>
    <rPh sb="1" eb="3">
      <t>シュスイ</t>
    </rPh>
    <rPh sb="4" eb="6">
      <t>ジョウスイ</t>
    </rPh>
    <rPh sb="6" eb="8">
      <t>セツビ</t>
    </rPh>
    <phoneticPr fontId="3"/>
  </si>
  <si>
    <t>❹配水・給水設備</t>
    <rPh sb="1" eb="3">
      <t>ハイスイ</t>
    </rPh>
    <rPh sb="4" eb="6">
      <t>キュウスイ</t>
    </rPh>
    <rPh sb="6" eb="8">
      <t>セツビ</t>
    </rPh>
    <phoneticPr fontId="3"/>
  </si>
  <si>
    <t>s</t>
    <phoneticPr fontId="2"/>
  </si>
  <si>
    <t>d</t>
    <phoneticPr fontId="2"/>
  </si>
  <si>
    <t>f</t>
    <phoneticPr fontId="2"/>
  </si>
  <si>
    <t>デフレーター</t>
    <phoneticPr fontId="2"/>
  </si>
  <si>
    <t>料金回収率</t>
    <rPh sb="0" eb="5">
      <t>リョウキンカイシュウリツ</t>
    </rPh>
    <phoneticPr fontId="30"/>
  </si>
  <si>
    <t>給水原価</t>
    <rPh sb="0" eb="2">
      <t>キュウスイ</t>
    </rPh>
    <rPh sb="2" eb="4">
      <t>ゲンカ</t>
    </rPh>
    <phoneticPr fontId="30"/>
  </si>
  <si>
    <t>供給原価</t>
    <rPh sb="0" eb="4">
      <t>キョウキュウゲンカ</t>
    </rPh>
    <phoneticPr fontId="30"/>
  </si>
  <si>
    <t>料金収入</t>
    <rPh sb="0" eb="4">
      <t>リョウキンシュウニュウ</t>
    </rPh>
    <phoneticPr fontId="30"/>
  </si>
  <si>
    <t>受託工事</t>
    <rPh sb="0" eb="4">
      <t>ジュタクコウジ</t>
    </rPh>
    <phoneticPr fontId="30"/>
  </si>
  <si>
    <t>長期前受金３条</t>
    <rPh sb="0" eb="4">
      <t>チョウキマエウ</t>
    </rPh>
    <rPh sb="4" eb="5">
      <t>キン</t>
    </rPh>
    <rPh sb="6" eb="7">
      <t>ジョウ</t>
    </rPh>
    <phoneticPr fontId="2"/>
  </si>
  <si>
    <t>長期前受金４条分</t>
    <rPh sb="0" eb="4">
      <t>チョウキマエウ</t>
    </rPh>
    <rPh sb="4" eb="5">
      <t>キン</t>
    </rPh>
    <rPh sb="6" eb="8">
      <t>ジョウブン</t>
    </rPh>
    <phoneticPr fontId="2"/>
  </si>
  <si>
    <t>令和7
（2025）</t>
    <rPh sb="0" eb="2">
      <t>レイワ</t>
    </rPh>
    <phoneticPr fontId="3"/>
  </si>
  <si>
    <t>❶管渠更新</t>
    <rPh sb="1" eb="3">
      <t>カンキョ</t>
    </rPh>
    <rPh sb="3" eb="5">
      <t>コウシン</t>
    </rPh>
    <phoneticPr fontId="3"/>
  </si>
  <si>
    <t>令和8
(2026)</t>
  </si>
  <si>
    <t>令和17
(2035)</t>
  </si>
  <si>
    <t>令和16
(2034)</t>
  </si>
  <si>
    <t>令和15
(2033)</t>
  </si>
  <si>
    <t>令和14
(2032)</t>
  </si>
  <si>
    <t>令和13
(2031)</t>
  </si>
  <si>
    <t>令和12
(2030)</t>
  </si>
  <si>
    <t>令和11
(2029)</t>
  </si>
  <si>
    <t>令和10
(2028)</t>
  </si>
  <si>
    <t>令和9
(2027)</t>
  </si>
  <si>
    <t>令和7
(2025)</t>
    <phoneticPr fontId="11"/>
  </si>
  <si>
    <t>❷処理場設備等更新</t>
    <rPh sb="1" eb="4">
      <t>ショリジョウ</t>
    </rPh>
    <rPh sb="4" eb="6">
      <t>セツビ</t>
    </rPh>
    <rPh sb="6" eb="7">
      <t>トウ</t>
    </rPh>
    <rPh sb="7" eb="9">
      <t>コウシン</t>
    </rPh>
    <phoneticPr fontId="3"/>
  </si>
  <si>
    <t>工場排水</t>
    <rPh sb="0" eb="4">
      <t>コウジョウハイスイ</t>
    </rPh>
    <phoneticPr fontId="2"/>
  </si>
  <si>
    <t>一般家庭等</t>
    <rPh sb="0" eb="5">
      <t>イッパンカテイトウ</t>
    </rPh>
    <phoneticPr fontId="2"/>
  </si>
  <si>
    <t>計</t>
    <rPh sb="0" eb="1">
      <t>ケイ</t>
    </rPh>
    <phoneticPr fontId="2"/>
  </si>
  <si>
    <t>現状予測</t>
    <rPh sb="0" eb="4">
      <t>ゲンジョウヨソク</t>
    </rPh>
    <phoneticPr fontId="3"/>
  </si>
  <si>
    <t>使用料単価（円）</t>
    <rPh sb="0" eb="3">
      <t>シヨウリョウ</t>
    </rPh>
    <rPh sb="3" eb="5">
      <t>タンカ</t>
    </rPh>
    <rPh sb="6" eb="7">
      <t>エン</t>
    </rPh>
    <phoneticPr fontId="3"/>
  </si>
  <si>
    <t>改定額（円）</t>
    <rPh sb="0" eb="3">
      <t>カイテイガク</t>
    </rPh>
    <rPh sb="4" eb="5">
      <t>エン</t>
    </rPh>
    <phoneticPr fontId="3"/>
  </si>
  <si>
    <t>現状</t>
    <rPh sb="0" eb="2">
      <t>ゲンジョウ</t>
    </rPh>
    <phoneticPr fontId="3"/>
  </si>
  <si>
    <t>改定率</t>
    <rPh sb="0" eb="3">
      <t>カイテイリツ</t>
    </rPh>
    <phoneticPr fontId="3"/>
  </si>
  <si>
    <t>項目</t>
    <rPh sb="0" eb="2">
      <t>コウモク</t>
    </rPh>
    <phoneticPr fontId="3"/>
  </si>
  <si>
    <t>使用料収入（千円）</t>
    <rPh sb="0" eb="5">
      <t>シヨウリョウシュウニュウ</t>
    </rPh>
    <rPh sb="6" eb="8">
      <t>センエン</t>
    </rPh>
    <phoneticPr fontId="3"/>
  </si>
  <si>
    <t>他会計補助金（千円）</t>
    <rPh sb="0" eb="6">
      <t>タカイケイホジョキン</t>
    </rPh>
    <rPh sb="7" eb="9">
      <t>センエン</t>
    </rPh>
    <phoneticPr fontId="3"/>
  </si>
  <si>
    <t>経常収支比率</t>
    <rPh sb="0" eb="4">
      <t>ケイジョウシュウシ</t>
    </rPh>
    <rPh sb="4" eb="6">
      <t>ヒリツ</t>
    </rPh>
    <phoneticPr fontId="3"/>
  </si>
  <si>
    <t>経費回収率</t>
    <rPh sb="0" eb="5">
      <t>ケイヒカイシュウリツ</t>
    </rPh>
    <phoneticPr fontId="3"/>
  </si>
  <si>
    <t>総括原価率</t>
    <rPh sb="0" eb="5">
      <t>ソウカツゲンカリツ</t>
    </rPh>
    <phoneticPr fontId="3"/>
  </si>
  <si>
    <t>シミュレーションパターン１</t>
    <phoneticPr fontId="3"/>
  </si>
  <si>
    <t>シミュレーションパターン3</t>
    <phoneticPr fontId="3"/>
  </si>
  <si>
    <t>シミュレーションパターン4</t>
    <phoneticPr fontId="3"/>
  </si>
  <si>
    <t>シミュレーションパターン参考</t>
    <rPh sb="12" eb="14">
      <t>サンコウ</t>
    </rPh>
    <phoneticPr fontId="3"/>
  </si>
  <si>
    <t>シミュレーションパターン</t>
    <phoneticPr fontId="3"/>
  </si>
  <si>
    <t>使用料単価あたり改定額（円）</t>
    <rPh sb="0" eb="3">
      <t>シヨウリョウ</t>
    </rPh>
    <rPh sb="3" eb="5">
      <t>タンカ</t>
    </rPh>
    <rPh sb="8" eb="11">
      <t>カイテイガク</t>
    </rPh>
    <rPh sb="12" eb="13">
      <t>エン</t>
    </rPh>
    <phoneticPr fontId="3"/>
  </si>
  <si>
    <t>参考</t>
    <rPh sb="0" eb="2">
      <t>サンコウ</t>
    </rPh>
    <phoneticPr fontId="3"/>
  </si>
  <si>
    <t>令和７年度</t>
    <rPh sb="0" eb="2">
      <t>レイワ</t>
    </rPh>
    <rPh sb="3" eb="4">
      <t>ネン</t>
    </rPh>
    <rPh sb="4" eb="5">
      <t>ド</t>
    </rPh>
    <phoneticPr fontId="28"/>
  </si>
  <si>
    <t>シミュレーションパターン2</t>
    <phoneticPr fontId="3"/>
  </si>
  <si>
    <t>■収入増加の具体的取組</t>
    <rPh sb="1" eb="5">
      <t>シュウニュウゾウカ</t>
    </rPh>
    <rPh sb="6" eb="9">
      <t>グタイテキ</t>
    </rPh>
    <rPh sb="9" eb="11">
      <t>トリクミ</t>
    </rPh>
    <phoneticPr fontId="3"/>
  </si>
  <si>
    <t>取組：使用料改定の検討</t>
    <rPh sb="0" eb="2">
      <t>トリクミ</t>
    </rPh>
    <rPh sb="3" eb="6">
      <t>シヨウリョウ</t>
    </rPh>
    <rPh sb="6" eb="8">
      <t>カイテイ</t>
    </rPh>
    <rPh sb="9" eb="11">
      <t>ケントウ</t>
    </rPh>
    <phoneticPr fontId="3"/>
  </si>
  <si>
    <t>2022
(令和4)</t>
    <rPh sb="6" eb="8">
      <t>レイワ</t>
    </rPh>
    <phoneticPr fontId="11"/>
  </si>
  <si>
    <t>2025
(令和7)</t>
    <rPh sb="6" eb="8">
      <t>レイワ</t>
    </rPh>
    <phoneticPr fontId="11"/>
  </si>
  <si>
    <t>2026
(令和8)</t>
    <rPh sb="6" eb="8">
      <t>レイワ</t>
    </rPh>
    <phoneticPr fontId="11"/>
  </si>
  <si>
    <t>2027
(令和9)</t>
    <rPh sb="6" eb="8">
      <t>レイワ</t>
    </rPh>
    <phoneticPr fontId="11"/>
  </si>
  <si>
    <t>2028
(令和10)</t>
    <rPh sb="6" eb="8">
      <t>レイワ</t>
    </rPh>
    <phoneticPr fontId="11"/>
  </si>
  <si>
    <t>2029
(令和11)</t>
    <rPh sb="6" eb="8">
      <t>レイワ</t>
    </rPh>
    <phoneticPr fontId="11"/>
  </si>
  <si>
    <t>2030
(令和12)</t>
    <rPh sb="6" eb="8">
      <t>レイワ</t>
    </rPh>
    <phoneticPr fontId="11"/>
  </si>
  <si>
    <t>2031
(令和13)</t>
    <rPh sb="6" eb="8">
      <t>レイワ</t>
    </rPh>
    <phoneticPr fontId="11"/>
  </si>
  <si>
    <t>2032
(令和14)</t>
    <rPh sb="6" eb="8">
      <t>レイワ</t>
    </rPh>
    <phoneticPr fontId="11"/>
  </si>
  <si>
    <t>2033
(令和15)</t>
    <rPh sb="6" eb="8">
      <t>レイワ</t>
    </rPh>
    <phoneticPr fontId="11"/>
  </si>
  <si>
    <t>2034
(令和16)</t>
    <rPh sb="6" eb="8">
      <t>レイワ</t>
    </rPh>
    <phoneticPr fontId="11"/>
  </si>
  <si>
    <t>2035
(令和17)</t>
    <rPh sb="6" eb="8">
      <t>レイワ</t>
    </rPh>
    <phoneticPr fontId="11"/>
  </si>
  <si>
    <t>使用料改定必要性の検証</t>
    <rPh sb="0" eb="3">
      <t>シヨウリョウ</t>
    </rPh>
    <rPh sb="3" eb="5">
      <t>カイテイ</t>
    </rPh>
    <rPh sb="5" eb="8">
      <t>ヒツヨウセイ</t>
    </rPh>
    <rPh sb="9" eb="11">
      <t>ケンショウ</t>
    </rPh>
    <phoneticPr fontId="3"/>
  </si>
  <si>
    <t>上下水道経営審議会（仮）の発足</t>
    <rPh sb="0" eb="4">
      <t>ジョウゲスイドウ</t>
    </rPh>
    <rPh sb="4" eb="9">
      <t>ケイエイシンギカイ</t>
    </rPh>
    <rPh sb="10" eb="11">
      <t>カリ</t>
    </rPh>
    <rPh sb="13" eb="15">
      <t>ホッソク</t>
    </rPh>
    <phoneticPr fontId="3"/>
  </si>
  <si>
    <t>使用料改定（※）</t>
    <rPh sb="0" eb="3">
      <t>シヨウリョウ</t>
    </rPh>
    <rPh sb="3" eb="5">
      <t>カイテイ</t>
    </rPh>
    <phoneticPr fontId="3"/>
  </si>
  <si>
    <t>使用料改定の効果検証</t>
    <rPh sb="0" eb="5">
      <t>シヨウリョウカイテイ</t>
    </rPh>
    <rPh sb="6" eb="10">
      <t>コウカケンショウ</t>
    </rPh>
    <phoneticPr fontId="3"/>
  </si>
  <si>
    <t>■支出削減の具体的取組</t>
    <rPh sb="1" eb="3">
      <t>シシュツ</t>
    </rPh>
    <rPh sb="3" eb="5">
      <t>サクゲン</t>
    </rPh>
    <rPh sb="6" eb="9">
      <t>グタイテキ</t>
    </rPh>
    <rPh sb="9" eb="11">
      <t>トリクミ</t>
    </rPh>
    <phoneticPr fontId="3"/>
  </si>
  <si>
    <t>取組：経費削減・投資の平準化</t>
    <rPh sb="0" eb="2">
      <t>トリクミ</t>
    </rPh>
    <rPh sb="3" eb="5">
      <t>ケイヒ</t>
    </rPh>
    <rPh sb="5" eb="7">
      <t>サクゲン</t>
    </rPh>
    <rPh sb="8" eb="10">
      <t>トウシ</t>
    </rPh>
    <rPh sb="11" eb="14">
      <t>ヘイジュンカ</t>
    </rPh>
    <phoneticPr fontId="3"/>
  </si>
  <si>
    <t>■目標</t>
    <rPh sb="1" eb="3">
      <t>モクヒョウ</t>
    </rPh>
    <phoneticPr fontId="3"/>
  </si>
  <si>
    <t>目標❶経常収支比率100％以上の維持</t>
    <rPh sb="0" eb="2">
      <t>モクヒョウ</t>
    </rPh>
    <rPh sb="3" eb="9">
      <t>ケイジョウシュウシヒリツ</t>
    </rPh>
    <rPh sb="13" eb="15">
      <t>イジョウ</t>
    </rPh>
    <rPh sb="16" eb="18">
      <t>イジ</t>
    </rPh>
    <phoneticPr fontId="3"/>
  </si>
  <si>
    <t>100％以上</t>
    <rPh sb="4" eb="6">
      <t>イジョウ</t>
    </rPh>
    <phoneticPr fontId="3"/>
  </si>
  <si>
    <t>目標❷経費回収率改善</t>
    <rPh sb="0" eb="2">
      <t>モクヒョウ</t>
    </rPh>
    <rPh sb="3" eb="8">
      <t>ケイヒカイシュウリツ</t>
    </rPh>
    <rPh sb="8" eb="10">
      <t>カイゼン</t>
    </rPh>
    <phoneticPr fontId="3"/>
  </si>
  <si>
    <t>目標❸基準外繰入金（収益的収支）の解消</t>
    <rPh sb="0" eb="2">
      <t>モクヒョウ</t>
    </rPh>
    <rPh sb="3" eb="9">
      <t>キジュンガイクリイレキン</t>
    </rPh>
    <rPh sb="10" eb="15">
      <t>シュウエキテキシュウシ</t>
    </rPh>
    <rPh sb="17" eb="19">
      <t>カイショウ</t>
    </rPh>
    <phoneticPr fontId="3"/>
  </si>
  <si>
    <t>2035
(令和16)</t>
    <rPh sb="6" eb="8">
      <t>レイワ</t>
    </rPh>
    <phoneticPr fontId="11"/>
  </si>
  <si>
    <t>目標達成に向けた検証</t>
    <rPh sb="0" eb="4">
      <t>モクヒョウタッセイ</t>
    </rPh>
    <rPh sb="5" eb="6">
      <t>ム</t>
    </rPh>
    <rPh sb="8" eb="10">
      <t>ケンショウ</t>
    </rPh>
    <phoneticPr fontId="3"/>
  </si>
  <si>
    <t>0円</t>
    <rPh sb="1" eb="2">
      <t>エン</t>
    </rPh>
    <phoneticPr fontId="3"/>
  </si>
  <si>
    <t>❹総合地震対策事業</t>
    <rPh sb="1" eb="3">
      <t>ソウゴウ</t>
    </rPh>
    <rPh sb="3" eb="5">
      <t>ジシン</t>
    </rPh>
    <rPh sb="5" eb="7">
      <t>タイサク</t>
    </rPh>
    <rPh sb="7" eb="9">
      <t>ジギョウ</t>
    </rPh>
    <phoneticPr fontId="3"/>
  </si>
  <si>
    <t>ⅰ【総合地震対策事業】汚水管渠・人孔耐震補強</t>
    <rPh sb="2" eb="4">
      <t>ソウゴウ</t>
    </rPh>
    <rPh sb="4" eb="6">
      <t>ジシン</t>
    </rPh>
    <rPh sb="6" eb="8">
      <t>タイサク</t>
    </rPh>
    <rPh sb="8" eb="10">
      <t>ジギョウ</t>
    </rPh>
    <rPh sb="11" eb="13">
      <t>オスイ</t>
    </rPh>
    <rPh sb="13" eb="15">
      <t>カンキョ</t>
    </rPh>
    <rPh sb="16" eb="18">
      <t>ジンコウ</t>
    </rPh>
    <rPh sb="18" eb="20">
      <t>タイシン</t>
    </rPh>
    <rPh sb="20" eb="22">
      <t>ホキョウ</t>
    </rPh>
    <phoneticPr fontId="3"/>
  </si>
  <si>
    <t>ⅱ【総合地震対策事業】マンホールトイレ整備</t>
    <rPh sb="19" eb="21">
      <t>セイビ</t>
    </rPh>
    <phoneticPr fontId="3"/>
  </si>
  <si>
    <t>総合地震対策事業</t>
    <rPh sb="0" eb="2">
      <t>ソウゴウ</t>
    </rPh>
    <rPh sb="2" eb="4">
      <t>ジシン</t>
    </rPh>
    <rPh sb="4" eb="6">
      <t>タイサク</t>
    </rPh>
    <rPh sb="6" eb="8">
      <t>ジギョウ</t>
    </rPh>
    <phoneticPr fontId="28"/>
  </si>
  <si>
    <t>❺【耐水化対策事業】西部浄化センター</t>
    <rPh sb="2" eb="4">
      <t>タイスイ</t>
    </rPh>
    <rPh sb="4" eb="5">
      <t>カ</t>
    </rPh>
    <rPh sb="5" eb="7">
      <t>タイサク</t>
    </rPh>
    <rPh sb="10" eb="12">
      <t>セイブ</t>
    </rPh>
    <rPh sb="12" eb="14">
      <t>ジョウカ</t>
    </rPh>
    <phoneticPr fontId="3"/>
  </si>
  <si>
    <t>❻処理場増設事業</t>
    <rPh sb="1" eb="4">
      <t>ショリジョウ</t>
    </rPh>
    <rPh sb="4" eb="6">
      <t>ゾウセツ</t>
    </rPh>
    <rPh sb="6" eb="8">
      <t>ジギョウ</t>
    </rPh>
    <phoneticPr fontId="3"/>
  </si>
  <si>
    <t>ⅰ【処理場増設事業】西部浄化センター</t>
    <rPh sb="2" eb="5">
      <t>ショリジョウ</t>
    </rPh>
    <rPh sb="5" eb="7">
      <t>ゾウセツ</t>
    </rPh>
    <rPh sb="7" eb="9">
      <t>ジギョウ</t>
    </rPh>
    <rPh sb="10" eb="12">
      <t>セイブ</t>
    </rPh>
    <rPh sb="12" eb="14">
      <t>ジョウカ</t>
    </rPh>
    <phoneticPr fontId="3"/>
  </si>
  <si>
    <t>ⅱ【処理場増設事業】水野浄化センター</t>
    <rPh sb="10" eb="12">
      <t>ミズノ</t>
    </rPh>
    <phoneticPr fontId="3"/>
  </si>
  <si>
    <t>処理場増設事業</t>
    <rPh sb="0" eb="3">
      <t>ショリジョウ</t>
    </rPh>
    <rPh sb="3" eb="5">
      <t>ゾウセツ</t>
    </rPh>
    <rPh sb="5" eb="7">
      <t>ジギョウ</t>
    </rPh>
    <phoneticPr fontId="28"/>
  </si>
  <si>
    <t>❼【ストックマネジメント】処理場施設</t>
    <rPh sb="13" eb="18">
      <t>ショリジョウシセツ</t>
    </rPh>
    <phoneticPr fontId="3"/>
  </si>
  <si>
    <t>ⅰ【ストックマネジメント】西部浄化センター</t>
    <rPh sb="13" eb="15">
      <t>セイブ</t>
    </rPh>
    <rPh sb="15" eb="17">
      <t>ジョウカ</t>
    </rPh>
    <phoneticPr fontId="3"/>
  </si>
  <si>
    <t>ⅱ【ストックマネジメント】水野浄化センター</t>
    <rPh sb="13" eb="15">
      <t>ミズノ</t>
    </rPh>
    <phoneticPr fontId="3"/>
  </si>
  <si>
    <t>処理場改築修繕事業</t>
    <rPh sb="0" eb="3">
      <t>ショリジョウ</t>
    </rPh>
    <rPh sb="3" eb="5">
      <t>カイチク</t>
    </rPh>
    <rPh sb="5" eb="7">
      <t>シュウゼン</t>
    </rPh>
    <rPh sb="7" eb="9">
      <t>ジギョウ</t>
    </rPh>
    <phoneticPr fontId="28"/>
  </si>
  <si>
    <t>②企業債</t>
    <rPh sb="1" eb="3">
      <t>キギョウ</t>
    </rPh>
    <rPh sb="3" eb="4">
      <t>サイ</t>
    </rPh>
    <phoneticPr fontId="3"/>
  </si>
  <si>
    <t>③一般会計からの繰入金等</t>
    <rPh sb="1" eb="5">
      <t>イッパンカイケイ</t>
    </rPh>
    <rPh sb="8" eb="11">
      <t>クリイレキン</t>
    </rPh>
    <rPh sb="11" eb="12">
      <t>ナド</t>
    </rPh>
    <phoneticPr fontId="3"/>
  </si>
  <si>
    <t>④一般財源（繰入金等）</t>
    <rPh sb="1" eb="5">
      <t>イッパンザイゲン</t>
    </rPh>
    <rPh sb="6" eb="9">
      <t>クリイレキン</t>
    </rPh>
    <rPh sb="9" eb="10">
      <t>トウ</t>
    </rPh>
    <phoneticPr fontId="3"/>
  </si>
  <si>
    <t>③企業債及び一般会計からの繰入金</t>
    <rPh sb="1" eb="3">
      <t>キギョウ</t>
    </rPh>
    <rPh sb="3" eb="4">
      <t>サイ</t>
    </rPh>
    <rPh sb="4" eb="5">
      <t>オヨ</t>
    </rPh>
    <rPh sb="6" eb="8">
      <t>イッパン</t>
    </rPh>
    <rPh sb="8" eb="10">
      <t>カイケイ</t>
    </rPh>
    <rPh sb="13" eb="15">
      <t>クリイレ</t>
    </rPh>
    <rPh sb="15" eb="16">
      <t>キン</t>
    </rPh>
    <phoneticPr fontId="3"/>
  </si>
  <si>
    <t>財源合計</t>
    <rPh sb="0" eb="2">
      <t>ザイゲン</t>
    </rPh>
    <rPh sb="2" eb="4">
      <t>ゴウケイ</t>
    </rPh>
    <phoneticPr fontId="28"/>
  </si>
  <si>
    <t>財源内訳の合計</t>
    <rPh sb="0" eb="2">
      <t>ザイゲン</t>
    </rPh>
    <rPh sb="2" eb="4">
      <t>ウチワケ</t>
    </rPh>
    <rPh sb="5" eb="7">
      <t>ゴウケイ</t>
    </rPh>
    <phoneticPr fontId="28"/>
  </si>
  <si>
    <t>財源内訳と事業費の差額</t>
    <rPh sb="0" eb="4">
      <t>ザイゲンウチワケ</t>
    </rPh>
    <rPh sb="5" eb="8">
      <t>ジギョウヒ</t>
    </rPh>
    <rPh sb="9" eb="11">
      <t>サガク</t>
    </rPh>
    <phoneticPr fontId="28"/>
  </si>
  <si>
    <t>瀬戸市からいただいている財源数値では、事業費と同一値にならなかった。</t>
    <rPh sb="0" eb="3">
      <t>セトシ</t>
    </rPh>
    <rPh sb="12" eb="14">
      <t>ザイゲン</t>
    </rPh>
    <rPh sb="14" eb="16">
      <t>スウチ</t>
    </rPh>
    <rPh sb="19" eb="22">
      <t>ジギョウヒ</t>
    </rPh>
    <rPh sb="23" eb="25">
      <t>ドウイツ</t>
    </rPh>
    <rPh sb="25" eb="26">
      <t>アタイ</t>
    </rPh>
    <phoneticPr fontId="28"/>
  </si>
  <si>
    <t>よって、投資財政計画上に数値がそのまま記載されている企業債と国庫補助金の数値は変えず、受益者負担金を調整することで、事業費と財源の数値を一致させた。</t>
    <rPh sb="4" eb="8">
      <t>トウシザイセイ</t>
    </rPh>
    <rPh sb="8" eb="10">
      <t>ケイカク</t>
    </rPh>
    <rPh sb="10" eb="11">
      <t>ジョウ</t>
    </rPh>
    <rPh sb="12" eb="14">
      <t>スウチ</t>
    </rPh>
    <rPh sb="19" eb="21">
      <t>キサイ</t>
    </rPh>
    <rPh sb="26" eb="29">
      <t>キギョウサイ</t>
    </rPh>
    <rPh sb="30" eb="35">
      <t>コッコホジョキン</t>
    </rPh>
    <rPh sb="36" eb="38">
      <t>スウチ</t>
    </rPh>
    <rPh sb="39" eb="40">
      <t>カ</t>
    </rPh>
    <rPh sb="43" eb="46">
      <t>ジュエキシャ</t>
    </rPh>
    <rPh sb="46" eb="49">
      <t>フタンキン</t>
    </rPh>
    <rPh sb="50" eb="52">
      <t>チョウセイ</t>
    </rPh>
    <rPh sb="58" eb="61">
      <t>ジギョウヒ</t>
    </rPh>
    <rPh sb="62" eb="64">
      <t>ザイゲン</t>
    </rPh>
    <rPh sb="65" eb="67">
      <t>スウチ</t>
    </rPh>
    <rPh sb="68" eb="70">
      <t>イッチ</t>
    </rPh>
    <phoneticPr fontId="28"/>
  </si>
  <si>
    <t>令和５（2023）年度基準から上昇</t>
    <rPh sb="0" eb="2">
      <t>レイワ</t>
    </rPh>
    <rPh sb="9" eb="11">
      <t>ネンド</t>
    </rPh>
    <rPh sb="11" eb="13">
      <t>キジュン</t>
    </rPh>
    <rPh sb="15" eb="17">
      <t>ジョウショウ</t>
    </rPh>
    <phoneticPr fontId="3"/>
  </si>
  <si>
    <t>年度</t>
    <rPh sb="0" eb="2">
      <t>ネンド</t>
    </rPh>
    <phoneticPr fontId="28"/>
  </si>
  <si>
    <t>(令和7)</t>
    <rPh sb="1" eb="3">
      <t>レイワ</t>
    </rPh>
    <phoneticPr fontId="28"/>
  </si>
  <si>
    <t>(令和8)</t>
    <rPh sb="1" eb="3">
      <t>レイワ</t>
    </rPh>
    <phoneticPr fontId="28"/>
  </si>
  <si>
    <t>(令和9)</t>
    <rPh sb="1" eb="3">
      <t>レイワ</t>
    </rPh>
    <phoneticPr fontId="28"/>
  </si>
  <si>
    <t>(令和10)</t>
    <rPh sb="1" eb="3">
      <t>レイワ</t>
    </rPh>
    <phoneticPr fontId="28"/>
  </si>
  <si>
    <t>(令和11)</t>
    <rPh sb="1" eb="3">
      <t>レイワ</t>
    </rPh>
    <phoneticPr fontId="28"/>
  </si>
  <si>
    <t>(令和12)</t>
    <rPh sb="1" eb="3">
      <t>レイワ</t>
    </rPh>
    <phoneticPr fontId="28"/>
  </si>
  <si>
    <t>(令和13)</t>
    <rPh sb="1" eb="3">
      <t>レイワ</t>
    </rPh>
    <phoneticPr fontId="28"/>
  </si>
  <si>
    <t>(令和14)</t>
    <rPh sb="1" eb="3">
      <t>レイワ</t>
    </rPh>
    <phoneticPr fontId="28"/>
  </si>
  <si>
    <t>(令和15)</t>
    <rPh sb="1" eb="3">
      <t>レイワ</t>
    </rPh>
    <phoneticPr fontId="28"/>
  </si>
  <si>
    <t>(令和16)</t>
    <rPh sb="1" eb="3">
      <t>レイワ</t>
    </rPh>
    <phoneticPr fontId="28"/>
  </si>
  <si>
    <t>瀬戸市汚水適正処理構想</t>
    <phoneticPr fontId="28"/>
  </si>
  <si>
    <t>【愛知県】 全県域汚水適正処理構想の
見直し・改定までに実施</t>
    <rPh sb="1" eb="4">
      <t>アイチケン</t>
    </rPh>
    <rPh sb="19" eb="21">
      <t>ミナオ</t>
    </rPh>
    <rPh sb="23" eb="25">
      <t>カイテイ</t>
    </rPh>
    <rPh sb="28" eb="30">
      <t>ジッシ</t>
    </rPh>
    <phoneticPr fontId="3"/>
  </si>
  <si>
    <t>瀬戸市公共下水道事業基本計画</t>
    <phoneticPr fontId="28"/>
  </si>
  <si>
    <t>見直し
改定</t>
    <rPh sb="0" eb="2">
      <t>ミナオ</t>
    </rPh>
    <rPh sb="4" eb="6">
      <t>カイテイ</t>
    </rPh>
    <phoneticPr fontId="3"/>
  </si>
  <si>
    <t>瀬戸市下水道ストックマネジメント計画
【管路施設】</t>
    <rPh sb="20" eb="24">
      <t>カンロシセツ</t>
    </rPh>
    <phoneticPr fontId="28"/>
  </si>
  <si>
    <t>瀬戸市下水道ストックマネジメント計画
【処理場施設】</t>
    <rPh sb="20" eb="25">
      <t>ショリジョウシセツ</t>
    </rPh>
    <phoneticPr fontId="28"/>
  </si>
  <si>
    <t>経営戦略</t>
    <rPh sb="0" eb="4">
      <t>ケイエイセンリャク</t>
    </rPh>
    <phoneticPr fontId="28"/>
  </si>
  <si>
    <t>検証
見直し</t>
    <rPh sb="0" eb="2">
      <t>ケンショウ</t>
    </rPh>
    <rPh sb="3" eb="5">
      <t>ミナオ</t>
    </rPh>
    <phoneticPr fontId="28"/>
  </si>
  <si>
    <t>使用料</t>
    <rPh sb="0" eb="3">
      <t>シヨウリョウ</t>
    </rPh>
    <phoneticPr fontId="28"/>
  </si>
  <si>
    <t>改定必要性の検証</t>
    <rPh sb="0" eb="2">
      <t>カイテイ</t>
    </rPh>
    <rPh sb="2" eb="5">
      <t>ヒツヨウセイ</t>
    </rPh>
    <rPh sb="6" eb="8">
      <t>ケンショウ</t>
    </rPh>
    <phoneticPr fontId="3"/>
  </si>
  <si>
    <t>改定（※）</t>
    <rPh sb="0" eb="2">
      <t>カイテイ</t>
    </rPh>
    <phoneticPr fontId="3"/>
  </si>
  <si>
    <t>改定</t>
    <rPh sb="0" eb="2">
      <t>カイテイ</t>
    </rPh>
    <phoneticPr fontId="3"/>
  </si>
  <si>
    <t>改定</t>
    <rPh sb="0" eb="2">
      <t>カイテイ</t>
    </rPh>
    <phoneticPr fontId="28"/>
  </si>
  <si>
    <t>令和7</t>
    <rPh sb="0" eb="2">
      <t>レイワ</t>
    </rPh>
    <phoneticPr fontId="28"/>
  </si>
  <si>
    <t>令和8</t>
    <rPh sb="0" eb="2">
      <t>レイワ</t>
    </rPh>
    <phoneticPr fontId="28"/>
  </si>
  <si>
    <t>令和9</t>
    <rPh sb="0" eb="2">
      <t>レイワ</t>
    </rPh>
    <phoneticPr fontId="28"/>
  </si>
  <si>
    <t>令和10</t>
    <rPh sb="0" eb="2">
      <t>レイワ</t>
    </rPh>
    <phoneticPr fontId="28"/>
  </si>
  <si>
    <t>令和11</t>
    <rPh sb="0" eb="2">
      <t>レイワ</t>
    </rPh>
    <phoneticPr fontId="28"/>
  </si>
  <si>
    <t>令和12</t>
    <rPh sb="0" eb="2">
      <t>レイワ</t>
    </rPh>
    <phoneticPr fontId="28"/>
  </si>
  <si>
    <t>令和13</t>
    <rPh sb="0" eb="2">
      <t>レイワ</t>
    </rPh>
    <phoneticPr fontId="28"/>
  </si>
  <si>
    <t>令和14</t>
    <rPh sb="0" eb="2">
      <t>レイワ</t>
    </rPh>
    <phoneticPr fontId="28"/>
  </si>
  <si>
    <t>令和15</t>
    <rPh sb="0" eb="2">
      <t>レイワ</t>
    </rPh>
    <phoneticPr fontId="28"/>
  </si>
  <si>
    <t>令和16</t>
    <rPh sb="0" eb="2">
      <t>レイワ</t>
    </rPh>
    <phoneticPr fontId="28"/>
  </si>
  <si>
    <t>令和17</t>
    <rPh sb="0" eb="2">
      <t>レイワ</t>
    </rPh>
    <phoneticPr fontId="28"/>
  </si>
  <si>
    <t>❶構築物改良費</t>
    <rPh sb="1" eb="4">
      <t>コウチクブツ</t>
    </rPh>
    <rPh sb="4" eb="7">
      <t>カイリョウヒ</t>
    </rPh>
    <phoneticPr fontId="3"/>
  </si>
  <si>
    <t>❷計装設備改良費</t>
    <rPh sb="1" eb="5">
      <t>ケイソウセツビ</t>
    </rPh>
    <rPh sb="5" eb="8">
      <t>カイリョウヒ</t>
    </rPh>
    <phoneticPr fontId="3"/>
  </si>
  <si>
    <t>③工事負担金</t>
    <rPh sb="1" eb="6">
      <t>コウジフタンキン</t>
    </rPh>
    <phoneticPr fontId="3"/>
  </si>
  <si>
    <t>④自己財源</t>
    <rPh sb="1" eb="5">
      <t>ジコザイゲン</t>
    </rPh>
    <phoneticPr fontId="3"/>
  </si>
  <si>
    <t>料金</t>
    <rPh sb="0" eb="2">
      <t>リョウキン</t>
    </rPh>
    <phoneticPr fontId="28"/>
  </si>
  <si>
    <t>料金収入</t>
    <rPh sb="0" eb="4">
      <t>リョウキンシュウニュウ</t>
    </rPh>
    <phoneticPr fontId="2"/>
  </si>
  <si>
    <t>工場利用</t>
    <rPh sb="0" eb="2">
      <t>コウジョウ</t>
    </rPh>
    <rPh sb="2" eb="4">
      <t>リヨウ</t>
    </rPh>
    <phoneticPr fontId="2"/>
  </si>
  <si>
    <t xml:space="preserve">○協議会案の内訳（令和９年度改定／第３回下水道使用料改定検討協議会）</t>
  </si>
  <si>
    <t xml:space="preserve">年間賦課件数（件）</t>
  </si>
  <si>
    <t xml:space="preserve">基本使用料の増収（＋100円／月）（千円）</t>
  </si>
  <si>
    <t xml:space="preserve">超過使用料の増収（＋10円／㎥）（千円）</t>
  </si>
  <si>
    <t xml:space="preserve">一般改定（100円案）増収計（千円）</t>
  </si>
  <si>
    <t xml:space="preserve">水質使用料の単価（円／㎥）</t>
  </si>
  <si>
    <t xml:space="preserve">水質使用料の収入（千円）</t>
  </si>
  <si>
    <t xml:space="preserve">改定による増収計（千円）</t>
  </si>
  <si>
    <t xml:space="preserve">※年間賦課件数は協議会の令和13年度予測21,000件を同年度の水洗化人口で除した8.0件／人／年で各年度に按分。水質使用料は薬品費12,000千円相当のうち不足充足に必要な額（協議会資料p.23の約8,245千円）を工場排水量で除した70円／㎥。</t>
  </si>
  <si>
    <t xml:space="preserve">※令和７年度の他会計補助金88,514千円は令和６年度決算額を据置いたもの。内訳は基準内47,112千円（＝P49−P35＋P51）、基準外41,402千円で、令和８年度以降の基準外繰入金は年５％逓減としている（103行）。令和７年度のみ循環参照を避けるため33行に直接入力している。</t>
  </si>
  <si>
    <t xml:space="preserve">採用案：協議会案（一般改定100円案＋水質使用料）</t>
  </si>
  <si>
    <t xml:space="preserve">協議会案の内訳（令和９年度改定による増収額）</t>
  </si>
  <si>
    <t xml:space="preserve">一般改定：基本使用料（＋100円／月）（千円）</t>
  </si>
  <si>
    <t xml:space="preserve">一般改定：超過使用料（＋10円／㎥）（千円）</t>
  </si>
  <si>
    <t xml:space="preserve">水質使用料（工場排水・70円／㎥）（千円）</t>
  </si>
  <si>
    <t xml:space="preserve">増収計（千円）</t>
  </si>
  <si>
    <t xml:space="preserve">改定後の使用料収入（千円）</t>
  </si>
  <si>
    <t xml:space="preserve">※１　使用料改定は令和９（２０２７）年度から適用する。使用料算定期間は令和９〜令和１３年度（第２回・第３回下水道使用料改定検討協議会）。令和７・令和８年度は現行単価のまま。</t>
  </si>
  <si>
    <t xml:space="preserve">※２　改定の構造は協議会案による２本立て。①一般改定（基本使用料＋100円／月・超過使用料＋10円／㎥）、②水質使用料（高濃度汚水を排出する工場の排水へ70円／㎥を新設）。令和１３年度の不足額12,735千円を①約4,490千円と②約8,245千円で充足する整理に対応している。</t>
  </si>
  <si>
    <t xml:space="preserve">※３　経費回収率は総務省の経営比較分析表の定義（使用料収入÷汚水処理費。資本費を含む）で算定している。協議会資料の経費回収率は分母を「維持管理費−不明水処理費」（資本費０）とした別定義であり、同一年度でも数値が異な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</si>
</sst>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0.0"/>
    <numFmt numFmtId="178" formatCode="#,##0\ \ \ \ ;&quot;△ &quot;#,##0\ \ \ "/>
    <numFmt numFmtId="179" formatCode="#,##0;&quot;△ &quot;#,##0"/>
    <numFmt numFmtId="180" formatCode="#,##0.0;[Red]\-#,##0.0"/>
    <numFmt numFmtId="181" formatCode="0.0%"/>
    <numFmt numFmtId="182" formatCode="0&quot;年度&quot;"/>
    <numFmt numFmtId="183" formatCode="0.000%"/>
    <numFmt numFmtId="184" formatCode="0.0_ "/>
  </numFmts>
  <fonts count="58" x14ac:knownFonts="1">
    <font>
      <sz val="11"/>
      <color theme="1"/>
      <name val="BIZ UDゴシック"/>
      <family val="2"/>
      <charset val="128"/>
    </font>
    <font>
      <sz val="11"/>
      <color theme="1"/>
      <name val="BIZ UDゴシック"/>
      <family val="2"/>
      <charset val="128"/>
    </font>
    <font>
      <sz val="6"/>
      <name val="BIZ UDゴシック"/>
      <family val="2"/>
      <charset val="128"/>
    </font>
    <font>
      <sz val="6"/>
      <name val="游ゴシック"/>
      <family val="2"/>
      <charset val="128"/>
      <scheme val="minor"/>
    </font>
    <font>
      <sz val="11"/>
      <color theme="1"/>
      <name val="游ゴシック"/>
      <family val="2"/>
      <scheme val="minor"/>
    </font>
    <font>
      <sz val="11"/>
      <color theme="1"/>
      <name val="Meiryo UI"/>
      <family val="3"/>
      <charset val="128"/>
    </font>
    <font>
      <sz val="11"/>
      <color theme="1"/>
      <name val="ＭＳ ゴシック"/>
      <family val="2"/>
      <charset val="128"/>
    </font>
    <font>
      <sz val="6"/>
      <name val="ＭＳ ゴシック"/>
      <family val="2"/>
      <charset val="128"/>
    </font>
    <font>
      <sz val="10"/>
      <color theme="1"/>
      <name val="Meiryo UI"/>
      <family val="3"/>
      <charset val="128"/>
    </font>
    <font>
      <sz val="11"/>
      <name val="ＭＳ Ｐゴシック"/>
      <family val="3"/>
      <charset val="128"/>
    </font>
    <font>
      <sz val="14"/>
      <name val="ＭＳ Ｐゴシック"/>
      <family val="3"/>
      <charset val="128"/>
    </font>
    <font>
      <sz val="11"/>
      <color theme="1"/>
      <name val="游ゴシック"/>
      <family val="2"/>
      <charset val="128"/>
      <scheme val="minor"/>
    </font>
    <font>
      <sz val="10"/>
      <color theme="1"/>
      <name val="ＭＳ Ｐ明朝"/>
      <family val="1"/>
      <charset val="128"/>
    </font>
    <font>
      <sz val="12"/>
      <name val="ＭＳ Ｐゴシック"/>
      <family val="3"/>
      <charset val="128"/>
    </font>
    <font>
      <sz val="11"/>
      <name val="HP Simplified Jpan"/>
      <family val="3"/>
      <charset val="128"/>
    </font>
    <font>
      <b/>
      <sz val="12"/>
      <name val="HP Simplified Jpan"/>
      <family val="3"/>
      <charset val="128"/>
    </font>
    <font>
      <sz val="10"/>
      <name val="ＭＳ Ｐ明朝"/>
      <family val="1"/>
      <charset val="128"/>
    </font>
    <font>
      <sz val="14"/>
      <name val="HGS創英角ｺﾞｼｯｸUB"/>
      <family val="3"/>
      <charset val="128"/>
    </font>
    <font>
      <sz val="12"/>
      <name val="ＭＳ ゴシック"/>
      <family val="3"/>
      <charset val="128"/>
    </font>
    <font>
      <b/>
      <sz val="12"/>
      <name val="HP Simplified Jpan Light"/>
      <family val="3"/>
      <charset val="128"/>
    </font>
    <font>
      <sz val="12"/>
      <name val="ＭＳ Ｐ明朝"/>
      <family val="1"/>
      <charset val="128"/>
    </font>
    <font>
      <sz val="14"/>
      <name val="HGS創英角ｺﾞｼｯｸUB"/>
      <family val="1"/>
      <charset val="128"/>
    </font>
    <font>
      <sz val="10"/>
      <name val="HP Simplified Jpan"/>
      <family val="3"/>
      <charset val="128"/>
    </font>
    <font>
      <sz val="14"/>
      <name val="BIZ UDPゴシック"/>
      <family val="3"/>
      <charset val="128"/>
    </font>
    <font>
      <sz val="14"/>
      <color theme="0"/>
      <name val="HGｺﾞｼｯｸE"/>
      <family val="3"/>
      <charset val="128"/>
    </font>
    <font>
      <sz val="14"/>
      <name val="ＭＳ ゴシック"/>
      <family val="3"/>
      <charset val="128"/>
    </font>
    <font>
      <sz val="14"/>
      <name val="HGｺﾞｼｯｸE"/>
      <family val="3"/>
      <charset val="128"/>
    </font>
    <font>
      <b/>
      <sz val="22"/>
      <color theme="1"/>
      <name val="游ゴシック"/>
      <family val="3"/>
      <charset val="128"/>
      <scheme val="minor"/>
    </font>
    <font>
      <sz val="6"/>
      <name val="游ゴシック"/>
      <family val="3"/>
      <charset val="128"/>
      <scheme val="minor"/>
    </font>
    <font>
      <b/>
      <sz val="11"/>
      <color rgb="FFFF0000"/>
      <name val="游ゴシック"/>
      <family val="3"/>
      <charset val="128"/>
      <scheme val="minor"/>
    </font>
    <font>
      <sz val="6"/>
      <name val="ＭＳ Ｐゴシック"/>
      <family val="3"/>
      <charset val="128"/>
    </font>
    <font>
      <sz val="11"/>
      <color theme="1"/>
      <name val="BIZ UDPゴシック"/>
      <family val="3"/>
      <charset val="128"/>
    </font>
    <font>
      <sz val="10"/>
      <name val="Meiryo UI"/>
      <family val="3"/>
      <charset val="128"/>
    </font>
    <font>
      <sz val="10"/>
      <color theme="0"/>
      <name val="Meiryo UI"/>
      <family val="3"/>
      <charset val="128"/>
    </font>
    <font>
      <sz val="11"/>
      <color theme="0"/>
      <name val="Meiryo UI"/>
      <family val="3"/>
      <charset val="128"/>
    </font>
    <font>
      <sz val="11"/>
      <name val="BIZ UDPゴシック"/>
      <family val="3"/>
      <charset val="128"/>
    </font>
    <font>
      <b/>
      <sz val="16"/>
      <color theme="0"/>
      <name val="BIZ UDPゴシック"/>
      <family val="3"/>
      <charset val="128"/>
    </font>
    <font>
      <sz val="11"/>
      <color theme="1"/>
      <name val="BIZ UDゴシック"/>
      <family val="3"/>
      <charset val="128"/>
    </font>
    <font>
      <sz val="11"/>
      <color theme="0"/>
      <name val="BIZ UDPゴシック"/>
      <family val="3"/>
      <charset val="128"/>
    </font>
    <font>
      <sz val="11"/>
      <color theme="1"/>
      <name val="HGPｺﾞｼｯｸE"/>
      <family val="3"/>
      <charset val="128"/>
    </font>
    <font>
      <b/>
      <sz val="14"/>
      <color theme="0"/>
      <name val="BIZ UDPゴシック"/>
      <family val="3"/>
      <charset val="128"/>
    </font>
    <font>
      <sz val="10"/>
      <color theme="1"/>
      <name val="BIZ UDPゴシック"/>
      <family val="3"/>
      <charset val="128"/>
    </font>
    <font>
      <sz val="15"/>
      <color theme="0"/>
      <name val="HGS創英角ｺﾞｼｯｸUB"/>
      <family val="3"/>
      <charset val="128"/>
    </font>
    <font>
      <sz val="8"/>
      <name val="HP Simplified Jpan"/>
      <family val="3"/>
      <charset val="128"/>
    </font>
    <font>
      <b/>
      <sz val="8"/>
      <name val="HP Simplified Jpan"/>
      <family val="3"/>
      <charset val="128"/>
    </font>
    <font>
      <b/>
      <sz val="8"/>
      <color theme="1"/>
      <name val="HP Simplified Jpan"/>
      <family val="3"/>
      <charset val="128"/>
    </font>
    <font>
      <sz val="8"/>
      <name val="ＭＳ Ｐ明朝"/>
      <family val="1"/>
      <charset val="128"/>
    </font>
    <font>
      <b/>
      <sz val="12"/>
      <name val="ＭＳ ゴシック"/>
      <family val="3"/>
      <charset val="128"/>
    </font>
    <font>
      <b/>
      <sz val="10"/>
      <color theme="1"/>
      <name val="BIZ UDゴシック"/>
      <family val="3"/>
      <charset val="128"/>
    </font>
    <font>
      <b/>
      <sz val="14"/>
      <color theme="1"/>
      <name val="游ゴシック"/>
      <family val="3"/>
      <charset val="128"/>
      <scheme val="minor"/>
    </font>
    <font>
      <sz val="16"/>
      <name val="HG創英角ｺﾞｼｯｸUB"/>
      <family val="3"/>
      <charset val="128"/>
    </font>
    <font>
      <sz val="12"/>
      <name val="HGS創英角ｺﾞｼｯｸUB"/>
      <family val="3"/>
      <charset val="128"/>
    </font>
    <font>
      <sz val="14"/>
      <color theme="0"/>
      <name val="BIZ UDPゴシック"/>
      <family val="3"/>
      <charset val="128"/>
    </font>
    <font>
      <b/>
      <sz val="12"/>
      <color theme="0"/>
      <name val="HP Simplified Jpan Light"/>
      <family val="3"/>
      <charset val="128"/>
    </font>
    <font>
      <sz val="14"/>
      <color theme="1"/>
      <name val="ＭＳ ゴシック"/>
      <family val="2"/>
      <charset val="128"/>
    </font>
    <font>
      <b/>
      <sz val="14"/>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s>
  <fills count="2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FFCC"/>
        <bgColor indexed="64"/>
      </patternFill>
    </fill>
    <fill>
      <patternFill patternType="solid">
        <fgColor theme="9"/>
        <bgColor indexed="64"/>
      </patternFill>
    </fill>
    <fill>
      <patternFill patternType="solid">
        <fgColor rgb="FF002060"/>
        <bgColor indexed="64"/>
      </patternFill>
    </fill>
    <fill>
      <patternFill patternType="solid">
        <fgColor theme="7"/>
        <bgColor indexed="64"/>
      </patternFill>
    </fill>
    <fill>
      <patternFill patternType="solid">
        <fgColor rgb="FF0070C0"/>
        <bgColor indexed="64"/>
      </patternFill>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
      <patternFill patternType="solid">
        <fgColor theme="2" tint="-0.499984740745262"/>
        <bgColor indexed="64"/>
      </patternFill>
    </fill>
    <fill>
      <patternFill patternType="solid">
        <fgColor theme="8"/>
        <bgColor indexed="64"/>
      </patternFill>
    </fill>
    <fill>
      <patternFill patternType="solid">
        <fgColor theme="6"/>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3"/>
        <bgColor indexed="64"/>
      </patternFill>
    </fill>
  </fills>
  <borders count="133">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ck">
        <color theme="8"/>
      </left>
      <right style="thin">
        <color theme="8"/>
      </right>
      <top style="thick">
        <color theme="8"/>
      </top>
      <bottom style="thin">
        <color theme="8"/>
      </bottom>
      <diagonal/>
    </border>
    <border>
      <left/>
      <right style="dotted">
        <color theme="8"/>
      </right>
      <top style="thick">
        <color theme="8"/>
      </top>
      <bottom style="thin">
        <color theme="8"/>
      </bottom>
      <diagonal/>
    </border>
    <border>
      <left style="dotted">
        <color theme="8"/>
      </left>
      <right style="dotted">
        <color theme="8"/>
      </right>
      <top style="thick">
        <color theme="8"/>
      </top>
      <bottom style="thin">
        <color theme="8"/>
      </bottom>
      <diagonal/>
    </border>
    <border>
      <left style="dotted">
        <color theme="8"/>
      </left>
      <right/>
      <top style="thick">
        <color theme="8"/>
      </top>
      <bottom style="thin">
        <color theme="8"/>
      </bottom>
      <diagonal/>
    </border>
    <border>
      <left style="dotted">
        <color theme="8"/>
      </left>
      <right style="dotted">
        <color theme="4" tint="0.39997558519241921"/>
      </right>
      <top style="thick">
        <color theme="8"/>
      </top>
      <bottom style="thin">
        <color theme="8"/>
      </bottom>
      <diagonal/>
    </border>
    <border>
      <left/>
      <right style="thick">
        <color theme="8"/>
      </right>
      <top style="thick">
        <color theme="8"/>
      </top>
      <bottom style="thin">
        <color theme="8"/>
      </bottom>
      <diagonal/>
    </border>
    <border>
      <left style="thick">
        <color theme="8"/>
      </left>
      <right style="thin">
        <color theme="8"/>
      </right>
      <top/>
      <bottom style="thin">
        <color theme="2"/>
      </bottom>
      <diagonal/>
    </border>
    <border>
      <left/>
      <right style="dotted">
        <color theme="8"/>
      </right>
      <top/>
      <bottom style="thin">
        <color theme="2"/>
      </bottom>
      <diagonal/>
    </border>
    <border>
      <left style="dotted">
        <color theme="8"/>
      </left>
      <right style="dotted">
        <color theme="8"/>
      </right>
      <top/>
      <bottom style="thin">
        <color theme="2"/>
      </bottom>
      <diagonal/>
    </border>
    <border>
      <left style="dotted">
        <color theme="8"/>
      </left>
      <right/>
      <top/>
      <bottom style="thin">
        <color theme="2"/>
      </bottom>
      <diagonal/>
    </border>
    <border>
      <left style="dotted">
        <color theme="8"/>
      </left>
      <right style="thick">
        <color theme="8"/>
      </right>
      <top/>
      <bottom style="thin">
        <color theme="2"/>
      </bottom>
      <diagonal/>
    </border>
    <border>
      <left style="thick">
        <color theme="8"/>
      </left>
      <right style="thin">
        <color theme="8"/>
      </right>
      <top style="thin">
        <color theme="2"/>
      </top>
      <bottom style="thin">
        <color theme="2"/>
      </bottom>
      <diagonal/>
    </border>
    <border>
      <left/>
      <right style="dotted">
        <color theme="8"/>
      </right>
      <top style="thin">
        <color theme="2"/>
      </top>
      <bottom style="thin">
        <color theme="2"/>
      </bottom>
      <diagonal/>
    </border>
    <border>
      <left style="dotted">
        <color theme="8"/>
      </left>
      <right style="dotted">
        <color theme="8"/>
      </right>
      <top style="thin">
        <color theme="2"/>
      </top>
      <bottom style="thin">
        <color theme="2"/>
      </bottom>
      <diagonal/>
    </border>
    <border>
      <left style="dotted">
        <color theme="8"/>
      </left>
      <right/>
      <top style="thin">
        <color theme="2"/>
      </top>
      <bottom style="thin">
        <color theme="2"/>
      </bottom>
      <diagonal/>
    </border>
    <border>
      <left style="dotted">
        <color theme="8"/>
      </left>
      <right style="thick">
        <color theme="8"/>
      </right>
      <top style="thin">
        <color theme="2"/>
      </top>
      <bottom style="thin">
        <color theme="2"/>
      </bottom>
      <diagonal/>
    </border>
    <border>
      <left style="thick">
        <color theme="8"/>
      </left>
      <right style="thin">
        <color theme="8"/>
      </right>
      <top style="thin">
        <color theme="2"/>
      </top>
      <bottom/>
      <diagonal/>
    </border>
    <border>
      <left/>
      <right/>
      <top/>
      <bottom style="medium">
        <color indexed="64"/>
      </bottom>
      <diagonal/>
    </border>
    <border diagonalDown="1">
      <left style="medium">
        <color indexed="64"/>
      </left>
      <right style="thin">
        <color indexed="64"/>
      </right>
      <top style="medium">
        <color indexed="64"/>
      </top>
      <bottom style="medium">
        <color indexed="64"/>
      </bottom>
      <diagonal style="thin">
        <color indexed="64"/>
      </diagonal>
    </border>
    <border diagonalDown="1">
      <left style="thin">
        <color indexed="64"/>
      </left>
      <right style="medium">
        <color indexed="64"/>
      </right>
      <top style="medium">
        <color indexed="64"/>
      </top>
      <bottom style="medium">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indexed="64"/>
      </bottom>
      <diagonal/>
    </border>
    <border>
      <left style="medium">
        <color auto="1"/>
      </left>
      <right style="thin">
        <color auto="1"/>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auto="1"/>
      </left>
      <right/>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auto="1"/>
      </left>
      <right style="thin">
        <color auto="1"/>
      </right>
      <top/>
      <bottom style="hair">
        <color auto="1"/>
      </bottom>
      <diagonal/>
    </border>
    <border>
      <left style="thin">
        <color indexed="64"/>
      </left>
      <right style="thin">
        <color indexed="64"/>
      </right>
      <top/>
      <bottom style="hair">
        <color auto="1"/>
      </bottom>
      <diagonal/>
    </border>
    <border>
      <left style="thin">
        <color indexed="64"/>
      </left>
      <right style="medium">
        <color indexed="64"/>
      </right>
      <top/>
      <bottom style="hair">
        <color auto="1"/>
      </bottom>
      <diagonal/>
    </border>
    <border>
      <left/>
      <right style="medium">
        <color indexed="64"/>
      </right>
      <top/>
      <bottom style="medium">
        <color indexed="64"/>
      </bottom>
      <diagonal/>
    </border>
    <border>
      <left style="medium">
        <color auto="1"/>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right/>
      <top/>
      <bottom style="thin">
        <color indexed="64"/>
      </bottom>
      <diagonal/>
    </border>
    <border>
      <left style="medium">
        <color indexed="64"/>
      </left>
      <right/>
      <top style="hair">
        <color auto="1"/>
      </top>
      <bottom style="medium">
        <color indexed="64"/>
      </bottom>
      <diagonal/>
    </border>
    <border>
      <left/>
      <right style="medium">
        <color auto="1"/>
      </right>
      <top style="hair">
        <color auto="1"/>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thin">
        <color auto="1"/>
      </top>
      <bottom style="medium">
        <color indexed="64"/>
      </bottom>
      <diagonal/>
    </border>
    <border>
      <left/>
      <right style="medium">
        <color auto="1"/>
      </right>
      <top style="thin">
        <color auto="1"/>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4"/>
      </left>
      <right style="thin">
        <color theme="4"/>
      </right>
      <top style="thin">
        <color theme="4"/>
      </top>
      <bottom style="thin">
        <color theme="4"/>
      </bottom>
      <diagonal/>
    </border>
    <border>
      <left style="thin">
        <color indexed="64"/>
      </left>
      <right/>
      <top style="thin">
        <color auto="1"/>
      </top>
      <bottom style="hair">
        <color auto="1"/>
      </bottom>
      <diagonal/>
    </border>
    <border>
      <left/>
      <right/>
      <top style="thin">
        <color auto="1"/>
      </top>
      <bottom style="hair">
        <color auto="1"/>
      </bottom>
      <diagonal/>
    </border>
    <border>
      <left/>
      <right style="thin">
        <color indexed="64"/>
      </right>
      <top style="thin">
        <color auto="1"/>
      </top>
      <bottom style="hair">
        <color auto="1"/>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hair">
        <color auto="1"/>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auto="1"/>
      </top>
      <bottom style="medium">
        <color auto="1"/>
      </bottom>
      <diagonal/>
    </border>
    <border>
      <left style="thin">
        <color indexed="64"/>
      </left>
      <right/>
      <top style="hair">
        <color auto="1"/>
      </top>
      <bottom style="medium">
        <color auto="1"/>
      </bottom>
      <diagonal/>
    </border>
    <border>
      <left style="thin">
        <color indexed="64"/>
      </left>
      <right style="hair">
        <color indexed="64"/>
      </right>
      <top/>
      <bottom/>
      <diagonal/>
    </border>
    <border>
      <left style="hair">
        <color indexed="64"/>
      </left>
      <right style="hair">
        <color indexed="64"/>
      </right>
      <top/>
      <bottom/>
      <diagonal/>
    </border>
    <border>
      <left/>
      <right style="thin">
        <color indexed="64"/>
      </right>
      <top style="hair">
        <color auto="1"/>
      </top>
      <bottom/>
      <diagonal/>
    </border>
    <border>
      <left style="thin">
        <color indexed="64"/>
      </left>
      <right/>
      <top style="hair">
        <color auto="1"/>
      </top>
      <bottom/>
      <diagonal/>
    </border>
    <border diagonalUp="1">
      <left style="thin">
        <color indexed="64"/>
      </left>
      <right style="hair">
        <color indexed="64"/>
      </right>
      <top style="hair">
        <color indexed="64"/>
      </top>
      <bottom style="thin">
        <color indexed="64"/>
      </bottom>
      <diagonal style="thin">
        <color indexed="64"/>
      </diagonal>
    </border>
    <border>
      <left style="hair">
        <color indexed="64"/>
      </left>
      <right style="hair">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style="medium">
        <color indexed="64"/>
      </bottom>
      <diagonal/>
    </border>
    <border>
      <left style="thin">
        <color indexed="64"/>
      </left>
      <right/>
      <top/>
      <bottom style="medium">
        <color auto="1"/>
      </bottom>
      <diagonal/>
    </border>
    <border diagonalDown="1">
      <left style="thin">
        <color indexed="64"/>
      </left>
      <right/>
      <top/>
      <bottom style="thin">
        <color indexed="64"/>
      </bottom>
      <diagonal style="thin">
        <color indexed="64"/>
      </diagonal>
    </border>
    <border>
      <left style="hair">
        <color indexed="64"/>
      </left>
      <right/>
      <top/>
      <bottom style="thin">
        <color indexed="64"/>
      </bottom>
      <diagonal/>
    </border>
    <border>
      <left/>
      <right style="hair">
        <color indexed="64"/>
      </right>
      <top/>
      <bottom style="thin">
        <color indexed="64"/>
      </bottom>
      <diagonal/>
    </border>
    <border>
      <left style="medium">
        <color auto="1"/>
      </left>
      <right/>
      <top style="thin">
        <color indexed="64"/>
      </top>
      <bottom style="double">
        <color auto="1"/>
      </bottom>
      <diagonal/>
    </border>
    <border>
      <left/>
      <right style="medium">
        <color auto="1"/>
      </right>
      <top style="thin">
        <color indexed="64"/>
      </top>
      <bottom style="double">
        <color auto="1"/>
      </bottom>
      <diagonal/>
    </border>
    <border>
      <left style="medium">
        <color auto="1"/>
      </left>
      <right style="thin">
        <color indexed="64"/>
      </right>
      <top style="thin">
        <color indexed="64"/>
      </top>
      <bottom style="double">
        <color indexed="64"/>
      </bottom>
      <diagonal/>
    </border>
    <border>
      <left style="thin">
        <color auto="1"/>
      </left>
      <right style="thin">
        <color auto="1"/>
      </right>
      <top style="thin">
        <color auto="1"/>
      </top>
      <bottom style="double">
        <color auto="1"/>
      </bottom>
      <diagonal/>
    </border>
    <border>
      <left style="thin">
        <color indexed="64"/>
      </left>
      <right style="medium">
        <color indexed="64"/>
      </right>
      <top style="thin">
        <color indexed="64"/>
      </top>
      <bottom style="double">
        <color indexed="64"/>
      </bottom>
      <diagonal/>
    </border>
    <border>
      <left style="medium">
        <color auto="1"/>
      </left>
      <right/>
      <top style="double">
        <color auto="1"/>
      </top>
      <bottom style="double">
        <color auto="1"/>
      </bottom>
      <diagonal/>
    </border>
    <border>
      <left/>
      <right style="medium">
        <color indexed="64"/>
      </right>
      <top style="double">
        <color auto="1"/>
      </top>
      <bottom style="double">
        <color auto="1"/>
      </bottom>
      <diagonal/>
    </border>
    <border>
      <left style="medium">
        <color indexed="64"/>
      </left>
      <right style="thin">
        <color indexed="64"/>
      </right>
      <top style="double">
        <color auto="1"/>
      </top>
      <bottom style="double">
        <color auto="1"/>
      </bottom>
      <diagonal/>
    </border>
    <border>
      <left style="thin">
        <color indexed="64"/>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indexed="64"/>
      </left>
      <right style="medium">
        <color indexed="64"/>
      </right>
      <top style="double">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theme="7"/>
      </left>
      <right style="mediumDashed">
        <color theme="7"/>
      </right>
      <top style="thick">
        <color theme="7"/>
      </top>
      <bottom/>
      <diagonal/>
    </border>
    <border>
      <left style="mediumDashed">
        <color theme="7"/>
      </left>
      <right style="mediumDashed">
        <color theme="7"/>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style="mediumDashed">
        <color theme="7"/>
      </left>
      <right style="mediumDashed">
        <color theme="7"/>
      </right>
      <top/>
      <bottom style="thick">
        <color theme="7"/>
      </bottom>
      <diagonal/>
    </border>
    <border>
      <left style="mediumDashed">
        <color theme="7"/>
      </left>
      <right style="thick">
        <color theme="7"/>
      </right>
      <top/>
      <bottom style="thick">
        <color theme="7"/>
      </bottom>
      <diagonal/>
    </border>
    <border>
      <left style="thick">
        <color theme="7"/>
      </left>
      <right/>
      <top/>
      <bottom/>
      <diagonal/>
    </border>
    <border>
      <left style="mediumDashed">
        <color theme="7"/>
      </left>
      <right/>
      <top style="thick">
        <color theme="7"/>
      </top>
      <bottom/>
      <diagonal/>
    </border>
    <border>
      <left/>
      <right/>
      <top style="thick">
        <color theme="7"/>
      </top>
      <bottom/>
      <diagonal/>
    </border>
    <border>
      <left/>
      <right style="mediumDashed">
        <color theme="7"/>
      </right>
      <top style="thick">
        <color theme="7"/>
      </top>
      <bottom/>
      <diagonal/>
    </border>
    <border>
      <left style="mediumDashed">
        <color theme="7"/>
      </left>
      <right style="mediumDashed">
        <color theme="7"/>
      </right>
      <top/>
      <bottom/>
      <diagonal/>
    </border>
    <border>
      <left style="mediumDashed">
        <color theme="7"/>
      </left>
      <right style="thick">
        <color theme="7"/>
      </right>
      <top/>
      <bottom/>
      <diagonal/>
    </border>
    <border>
      <left/>
      <right style="thick">
        <color theme="7"/>
      </right>
      <top/>
      <bottom style="thick">
        <color theme="7"/>
      </bottom>
      <diagonal/>
    </border>
    <border>
      <left style="thick">
        <color theme="7"/>
      </left>
      <right/>
      <top style="thick">
        <color theme="7"/>
      </top>
      <bottom/>
      <diagonal/>
    </border>
    <border>
      <left/>
      <right style="thick">
        <color theme="7"/>
      </right>
      <top/>
      <bottom/>
      <diagonal/>
    </border>
    <border>
      <left/>
      <right style="mediumDashed">
        <color theme="7"/>
      </right>
      <top/>
      <bottom style="thick">
        <color theme="7"/>
      </bottom>
      <diagonal/>
    </border>
    <border>
      <left style="mediumDashed">
        <color theme="7"/>
      </left>
      <right style="thick">
        <color theme="7"/>
      </right>
      <top style="thick">
        <color theme="7"/>
      </top>
      <bottom/>
      <diagonal/>
    </border>
  </borders>
  <cellStyleXfs count="18">
    <xf numFmtId="0" fontId="0" fillId="0" borderId="0">
      <alignment vertical="center"/>
    </xf>
    <xf numFmtId="38" fontId="1" fillId="0" borderId="0" applyFont="0" applyFill="0" applyBorder="0" applyAlignment="0" applyProtection="0">
      <alignment vertical="center"/>
    </xf>
    <xf numFmtId="38" fontId="4" fillId="0" borderId="0" applyFont="0" applyFill="0" applyBorder="0" applyAlignment="0" applyProtection="0">
      <alignment vertical="center"/>
    </xf>
    <xf numFmtId="38" fontId="6" fillId="0" borderId="0" applyFont="0" applyFill="0" applyBorder="0" applyAlignment="0" applyProtection="0">
      <alignment vertical="center"/>
    </xf>
    <xf numFmtId="9" fontId="1" fillId="0" borderId="0" applyFont="0" applyFill="0" applyBorder="0" applyAlignment="0" applyProtection="0">
      <alignment vertical="center"/>
    </xf>
    <xf numFmtId="0" fontId="9" fillId="0" borderId="0"/>
    <xf numFmtId="38" fontId="11" fillId="0" borderId="0" applyFont="0" applyFill="0" applyBorder="0" applyAlignment="0" applyProtection="0">
      <alignment vertical="center"/>
    </xf>
    <xf numFmtId="0" fontId="11" fillId="0" borderId="0">
      <alignment vertical="center"/>
    </xf>
    <xf numFmtId="38" fontId="6" fillId="0" borderId="0" applyFont="0" applyFill="0" applyBorder="0" applyAlignment="0" applyProtection="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38" fontId="9" fillId="0" borderId="0" applyFont="0" applyFill="0" applyBorder="0" applyAlignment="0" applyProtection="0"/>
    <xf numFmtId="9" fontId="11" fillId="0" borderId="0" applyFont="0" applyFill="0" applyBorder="0" applyAlignment="0" applyProtection="0">
      <alignment vertical="center"/>
    </xf>
    <xf numFmtId="0" fontId="11" fillId="0" borderId="0">
      <alignment vertical="center"/>
    </xf>
    <xf numFmtId="38" fontId="11" fillId="0" borderId="0" applyFont="0" applyFill="0" applyBorder="0" applyAlignment="0" applyProtection="0">
      <alignment vertical="center"/>
    </xf>
    <xf numFmtId="0" fontId="4" fillId="0" borderId="0"/>
    <xf numFmtId="0" fontId="6" fillId="0" borderId="0">
      <alignment vertical="center"/>
    </xf>
  </cellStyleXfs>
  <cellXfs count="498">
    <xf numFmtId="0" fontId="0" fillId="0" borderId="0" xfId="0">
      <alignment vertical="center"/>
    </xf>
    <xf numFmtId="0" fontId="0" fillId="0" borderId="3" xfId="0" applyBorder="1" applyAlignment="1">
      <alignment horizontal="center" vertical="center"/>
    </xf>
    <xf numFmtId="0" fontId="0" fillId="0" borderId="7" xfId="0" applyBorder="1" applyAlignment="1">
      <alignment horizontal="center" vertical="center"/>
    </xf>
    <xf numFmtId="176" fontId="0" fillId="0" borderId="0" xfId="0" applyNumberFormat="1">
      <alignment vertical="center"/>
    </xf>
    <xf numFmtId="177" fontId="0" fillId="0" borderId="8" xfId="0" applyNumberFormat="1" applyBorder="1">
      <alignment vertical="center"/>
    </xf>
    <xf numFmtId="177" fontId="0" fillId="0" borderId="0" xfId="0" applyNumberFormat="1">
      <alignment vertical="center"/>
    </xf>
    <xf numFmtId="3" fontId="0" fillId="0" borderId="0" xfId="0" applyNumberFormat="1">
      <alignment vertical="center"/>
    </xf>
    <xf numFmtId="178" fontId="5" fillId="0" borderId="7" xfId="2" applyNumberFormat="1" applyFont="1" applyFill="1" applyBorder="1" applyAlignment="1">
      <alignment horizontal="center" vertical="center" wrapText="1"/>
    </xf>
    <xf numFmtId="38" fontId="0" fillId="0" borderId="0" xfId="1" applyFont="1">
      <alignment vertical="center"/>
    </xf>
    <xf numFmtId="38" fontId="5" fillId="2" borderId="9" xfId="3" applyFont="1" applyFill="1" applyBorder="1" applyAlignment="1">
      <alignment horizontal="center" vertical="center"/>
    </xf>
    <xf numFmtId="179" fontId="5" fillId="2" borderId="10" xfId="3" applyNumberFormat="1" applyFont="1" applyFill="1" applyBorder="1" applyAlignment="1">
      <alignment horizontal="center" vertical="center" wrapText="1"/>
    </xf>
    <xf numFmtId="179" fontId="5" fillId="2" borderId="11" xfId="3" applyNumberFormat="1" applyFont="1" applyFill="1" applyBorder="1" applyAlignment="1">
      <alignment horizontal="center" vertical="center" wrapText="1"/>
    </xf>
    <xf numFmtId="179" fontId="5" fillId="2" borderId="12" xfId="3" applyNumberFormat="1" applyFont="1" applyFill="1" applyBorder="1" applyAlignment="1">
      <alignment horizontal="center" vertical="center" wrapText="1"/>
    </xf>
    <xf numFmtId="179" fontId="5" fillId="2" borderId="13" xfId="3" applyNumberFormat="1" applyFont="1" applyFill="1" applyBorder="1" applyAlignment="1">
      <alignment horizontal="center" vertical="center" wrapText="1"/>
    </xf>
    <xf numFmtId="179" fontId="5" fillId="2" borderId="14" xfId="3" applyNumberFormat="1" applyFont="1" applyFill="1" applyBorder="1" applyAlignment="1">
      <alignment horizontal="center" vertical="center" wrapText="1"/>
    </xf>
    <xf numFmtId="38" fontId="8" fillId="2" borderId="15" xfId="3" applyFont="1" applyFill="1" applyBorder="1" applyAlignment="1">
      <alignment horizontal="left" vertical="center"/>
    </xf>
    <xf numFmtId="38" fontId="5" fillId="0" borderId="16" xfId="1" applyFont="1" applyFill="1" applyBorder="1" applyAlignment="1">
      <alignment horizontal="center" vertical="center"/>
    </xf>
    <xf numFmtId="38" fontId="5" fillId="0" borderId="17" xfId="1" applyFont="1" applyFill="1" applyBorder="1" applyAlignment="1">
      <alignment horizontal="center" vertical="center"/>
    </xf>
    <xf numFmtId="38" fontId="5" fillId="0" borderId="18" xfId="1" applyFont="1" applyFill="1" applyBorder="1" applyAlignment="1">
      <alignment horizontal="center" vertical="center"/>
    </xf>
    <xf numFmtId="38" fontId="5" fillId="0" borderId="19" xfId="1" applyFont="1" applyFill="1" applyBorder="1" applyAlignment="1">
      <alignment horizontal="center" vertical="center"/>
    </xf>
    <xf numFmtId="38" fontId="8" fillId="2" borderId="20" xfId="3" applyFont="1" applyFill="1" applyBorder="1" applyAlignment="1">
      <alignment horizontal="left" vertical="center"/>
    </xf>
    <xf numFmtId="38" fontId="5" fillId="0" borderId="21" xfId="1" applyFont="1" applyFill="1" applyBorder="1" applyAlignment="1">
      <alignment horizontal="center" vertical="center"/>
    </xf>
    <xf numFmtId="38" fontId="5" fillId="0" borderId="22" xfId="1" applyFont="1" applyFill="1" applyBorder="1" applyAlignment="1">
      <alignment horizontal="center" vertical="center"/>
    </xf>
    <xf numFmtId="38" fontId="5" fillId="0" borderId="23" xfId="1" applyFont="1" applyFill="1" applyBorder="1" applyAlignment="1">
      <alignment horizontal="center" vertical="center"/>
    </xf>
    <xf numFmtId="38" fontId="5" fillId="0" borderId="24" xfId="1" applyFont="1" applyFill="1" applyBorder="1" applyAlignment="1">
      <alignment horizontal="center" vertical="center"/>
    </xf>
    <xf numFmtId="38" fontId="8" fillId="2" borderId="20" xfId="3" applyFont="1" applyFill="1" applyBorder="1">
      <alignment vertical="center"/>
    </xf>
    <xf numFmtId="0" fontId="5" fillId="0" borderId="21" xfId="1" applyNumberFormat="1" applyFont="1" applyFill="1" applyBorder="1" applyAlignment="1">
      <alignment horizontal="center" vertical="center"/>
    </xf>
    <xf numFmtId="179" fontId="5" fillId="2" borderId="0" xfId="3" applyNumberFormat="1" applyFont="1" applyFill="1" applyBorder="1" applyAlignment="1">
      <alignment horizontal="center" vertical="center" wrapText="1"/>
    </xf>
    <xf numFmtId="38" fontId="5" fillId="3" borderId="21" xfId="1" applyFont="1" applyFill="1" applyBorder="1" applyAlignment="1">
      <alignment horizontal="center" vertical="center"/>
    </xf>
    <xf numFmtId="38" fontId="8" fillId="2" borderId="25" xfId="3" applyFont="1" applyFill="1" applyBorder="1" applyAlignment="1">
      <alignment horizontal="left" vertical="center"/>
    </xf>
    <xf numFmtId="38" fontId="0" fillId="0" borderId="0" xfId="0" applyNumberFormat="1">
      <alignment vertical="center"/>
    </xf>
    <xf numFmtId="49" fontId="0" fillId="0" borderId="7" xfId="0" applyNumberFormat="1" applyBorder="1" applyAlignment="1" applyProtection="1">
      <protection locked="0"/>
    </xf>
    <xf numFmtId="0" fontId="0" fillId="0" borderId="7" xfId="0" applyBorder="1" applyAlignment="1" applyProtection="1">
      <protection locked="0"/>
    </xf>
    <xf numFmtId="49" fontId="0" fillId="0" borderId="7" xfId="0" applyNumberFormat="1" applyBorder="1" applyAlignment="1" applyProtection="1">
      <alignment horizontal="left"/>
      <protection locked="0"/>
    </xf>
    <xf numFmtId="0" fontId="10" fillId="0" borderId="0" xfId="5" applyFont="1" applyAlignment="1">
      <alignment vertical="center"/>
    </xf>
    <xf numFmtId="0" fontId="9" fillId="0" borderId="0" xfId="5" applyAlignment="1">
      <alignment vertical="center"/>
    </xf>
    <xf numFmtId="38" fontId="12" fillId="0" borderId="0" xfId="6" applyFont="1" applyFill="1" applyAlignment="1">
      <alignment vertical="center"/>
    </xf>
    <xf numFmtId="0" fontId="10" fillId="0" borderId="26" xfId="5" applyFont="1" applyBorder="1" applyAlignment="1">
      <alignment horizontal="left" vertical="center"/>
    </xf>
    <xf numFmtId="0" fontId="13" fillId="3" borderId="26" xfId="5" applyFont="1" applyFill="1" applyBorder="1" applyAlignment="1">
      <alignment horizontal="center" vertical="center"/>
    </xf>
    <xf numFmtId="0" fontId="13" fillId="3" borderId="0" xfId="5" applyFont="1" applyFill="1" applyAlignment="1">
      <alignment horizontal="center" vertical="center"/>
    </xf>
    <xf numFmtId="38" fontId="15" fillId="0" borderId="29" xfId="6" applyFont="1" applyFill="1" applyBorder="1" applyAlignment="1">
      <alignment horizontal="center" vertical="center" wrapText="1"/>
    </xf>
    <xf numFmtId="38" fontId="15" fillId="0" borderId="30" xfId="6" applyFont="1" applyFill="1" applyBorder="1" applyAlignment="1">
      <alignment horizontal="center" vertical="center" wrapText="1"/>
    </xf>
    <xf numFmtId="0" fontId="16" fillId="0" borderId="0" xfId="7" applyFont="1">
      <alignment vertical="center"/>
    </xf>
    <xf numFmtId="38" fontId="16" fillId="0" borderId="0" xfId="8" applyFont="1">
      <alignment vertical="center"/>
    </xf>
    <xf numFmtId="38" fontId="19" fillId="4" borderId="36" xfId="6" applyFont="1" applyFill="1" applyBorder="1">
      <alignment vertical="center"/>
    </xf>
    <xf numFmtId="38" fontId="19" fillId="4" borderId="6" xfId="6" applyFont="1" applyFill="1" applyBorder="1">
      <alignment vertical="center"/>
    </xf>
    <xf numFmtId="38" fontId="19" fillId="4" borderId="37" xfId="6" applyFont="1" applyFill="1" applyBorder="1">
      <alignment vertical="center"/>
    </xf>
    <xf numFmtId="0" fontId="20" fillId="0" borderId="0" xfId="7" applyFont="1">
      <alignment vertical="center"/>
    </xf>
    <xf numFmtId="38" fontId="20" fillId="0" borderId="0" xfId="8" applyFont="1">
      <alignment vertical="center"/>
    </xf>
    <xf numFmtId="38" fontId="19" fillId="4" borderId="40" xfId="6" applyFont="1" applyFill="1" applyBorder="1">
      <alignment vertical="center"/>
    </xf>
    <xf numFmtId="38" fontId="19" fillId="4" borderId="7" xfId="6" applyFont="1" applyFill="1" applyBorder="1">
      <alignment vertical="center"/>
    </xf>
    <xf numFmtId="38" fontId="19" fillId="4" borderId="41" xfId="6" applyFont="1" applyFill="1" applyBorder="1">
      <alignment vertical="center"/>
    </xf>
    <xf numFmtId="38" fontId="22" fillId="0" borderId="42" xfId="6" applyFont="1" applyFill="1" applyBorder="1" applyAlignment="1">
      <alignment horizontal="center" vertical="center" wrapText="1"/>
    </xf>
    <xf numFmtId="38" fontId="19" fillId="0" borderId="44" xfId="6" applyFont="1" applyFill="1" applyBorder="1" applyAlignment="1"/>
    <xf numFmtId="38" fontId="19" fillId="0" borderId="29" xfId="6" applyFont="1" applyFill="1" applyBorder="1" applyAlignment="1"/>
    <xf numFmtId="38" fontId="19" fillId="5" borderId="29" xfId="6" applyFont="1" applyFill="1" applyBorder="1" applyAlignment="1"/>
    <xf numFmtId="38" fontId="19" fillId="5" borderId="30" xfId="6" applyFont="1" applyFill="1" applyBorder="1" applyAlignment="1"/>
    <xf numFmtId="38" fontId="19" fillId="0" borderId="50" xfId="6" applyFont="1" applyFill="1" applyBorder="1">
      <alignment vertical="center"/>
    </xf>
    <xf numFmtId="38" fontId="19" fillId="0" borderId="51" xfId="6" applyFont="1" applyFill="1" applyBorder="1">
      <alignment vertical="center"/>
    </xf>
    <xf numFmtId="38" fontId="19" fillId="0" borderId="52" xfId="6" applyFont="1" applyFill="1" applyBorder="1">
      <alignment vertical="center"/>
    </xf>
    <xf numFmtId="38" fontId="19" fillId="0" borderId="53" xfId="6" applyFont="1" applyFill="1" applyBorder="1">
      <alignment vertical="center"/>
    </xf>
    <xf numFmtId="38" fontId="19" fillId="0" borderId="54" xfId="6" applyFont="1" applyFill="1" applyBorder="1">
      <alignment vertical="center"/>
    </xf>
    <xf numFmtId="38" fontId="19" fillId="0" borderId="55" xfId="6" applyFont="1" applyFill="1" applyBorder="1">
      <alignment vertical="center"/>
    </xf>
    <xf numFmtId="38" fontId="19" fillId="0" borderId="57" xfId="6" applyFont="1" applyFill="1" applyBorder="1">
      <alignment vertical="center"/>
    </xf>
    <xf numFmtId="38" fontId="19" fillId="0" borderId="58" xfId="6" applyFont="1" applyFill="1" applyBorder="1">
      <alignment vertical="center"/>
    </xf>
    <xf numFmtId="38" fontId="19" fillId="0" borderId="59" xfId="6" applyFont="1" applyFill="1" applyBorder="1">
      <alignment vertical="center"/>
    </xf>
    <xf numFmtId="38" fontId="19" fillId="0" borderId="63" xfId="6" applyFont="1" applyFill="1" applyBorder="1">
      <alignment vertical="center"/>
    </xf>
    <xf numFmtId="38" fontId="19" fillId="0" borderId="42" xfId="6" applyFont="1" applyFill="1" applyBorder="1">
      <alignment vertical="center"/>
    </xf>
    <xf numFmtId="38" fontId="19" fillId="0" borderId="64" xfId="6" applyFont="1" applyFill="1" applyBorder="1">
      <alignment vertical="center"/>
    </xf>
    <xf numFmtId="38" fontId="16" fillId="0" borderId="0" xfId="6" applyFont="1" applyFill="1">
      <alignment vertical="center"/>
    </xf>
    <xf numFmtId="0" fontId="16" fillId="0" borderId="0" xfId="7" applyFont="1" applyAlignment="1">
      <alignment vertical="center" shrinkToFit="1"/>
    </xf>
    <xf numFmtId="0" fontId="12" fillId="0" borderId="0" xfId="7" applyFont="1">
      <alignment vertical="center"/>
    </xf>
    <xf numFmtId="38" fontId="12" fillId="0" borderId="0" xfId="6" applyFont="1" applyFill="1">
      <alignment vertical="center"/>
    </xf>
    <xf numFmtId="38" fontId="12" fillId="0" borderId="0" xfId="8" applyFont="1" applyFill="1">
      <alignment vertical="center"/>
    </xf>
    <xf numFmtId="0" fontId="27" fillId="0" borderId="0" xfId="9" applyFont="1"/>
    <xf numFmtId="0" fontId="4" fillId="0" borderId="0" xfId="9"/>
    <xf numFmtId="0" fontId="4" fillId="7" borderId="0" xfId="9" applyFill="1"/>
    <xf numFmtId="0" fontId="4" fillId="0" borderId="0" xfId="9" applyAlignment="1">
      <alignment horizontal="right"/>
    </xf>
    <xf numFmtId="38" fontId="0" fillId="0" borderId="0" xfId="10" applyFont="1" applyAlignment="1"/>
    <xf numFmtId="38" fontId="29" fillId="8" borderId="0" xfId="10" applyFont="1" applyFill="1" applyAlignment="1"/>
    <xf numFmtId="38" fontId="4" fillId="0" borderId="0" xfId="9" applyNumberFormat="1"/>
    <xf numFmtId="180" fontId="0" fillId="0" borderId="0" xfId="10" applyNumberFormat="1" applyFont="1" applyAlignment="1"/>
    <xf numFmtId="181" fontId="0" fillId="0" borderId="0" xfId="11" applyNumberFormat="1" applyFont="1" applyAlignment="1"/>
    <xf numFmtId="181" fontId="4" fillId="0" borderId="0" xfId="9" applyNumberFormat="1"/>
    <xf numFmtId="0" fontId="9" fillId="9" borderId="0" xfId="5" applyFill="1" applyAlignment="1">
      <alignment horizontal="right" vertical="center"/>
    </xf>
    <xf numFmtId="182" fontId="9" fillId="9" borderId="67" xfId="5" applyNumberFormat="1" applyFill="1" applyBorder="1" applyAlignment="1">
      <alignment vertical="center"/>
    </xf>
    <xf numFmtId="182" fontId="9" fillId="9" borderId="68" xfId="5" applyNumberFormat="1" applyFill="1" applyBorder="1" applyAlignment="1">
      <alignment vertical="center"/>
    </xf>
    <xf numFmtId="182" fontId="9" fillId="9" borderId="68" xfId="5" applyNumberFormat="1" applyFill="1" applyBorder="1" applyAlignment="1">
      <alignment horizontal="right" vertical="center"/>
    </xf>
    <xf numFmtId="182" fontId="9" fillId="9" borderId="1" xfId="5" applyNumberFormat="1" applyFill="1" applyBorder="1" applyAlignment="1">
      <alignment horizontal="right" vertical="center"/>
    </xf>
    <xf numFmtId="0" fontId="31" fillId="0" borderId="2" xfId="9" applyFont="1" applyBorder="1" applyAlignment="1">
      <alignment horizontal="center"/>
    </xf>
    <xf numFmtId="182" fontId="9" fillId="9" borderId="69" xfId="5" applyNumberFormat="1" applyFill="1" applyBorder="1" applyAlignment="1">
      <alignment vertical="center"/>
    </xf>
    <xf numFmtId="182" fontId="9" fillId="9" borderId="60" xfId="5" applyNumberFormat="1" applyFill="1" applyBorder="1" applyAlignment="1">
      <alignment vertical="center"/>
    </xf>
    <xf numFmtId="182" fontId="9" fillId="9" borderId="5" xfId="5" applyNumberFormat="1" applyFill="1" applyBorder="1" applyAlignment="1">
      <alignment horizontal="right" vertical="center"/>
    </xf>
    <xf numFmtId="0" fontId="31" fillId="0" borderId="6" xfId="9" applyFont="1" applyBorder="1"/>
    <xf numFmtId="38" fontId="8" fillId="10" borderId="3" xfId="12" quotePrefix="1" applyFont="1" applyFill="1" applyBorder="1" applyAlignment="1">
      <alignment horizontal="center" vertical="center"/>
    </xf>
    <xf numFmtId="38" fontId="8" fillId="10" borderId="4" xfId="12" applyFont="1" applyFill="1" applyBorder="1" applyAlignment="1">
      <alignment horizontal="distributed" vertical="center"/>
    </xf>
    <xf numFmtId="38" fontId="8" fillId="10" borderId="70" xfId="12" applyFont="1" applyFill="1" applyBorder="1" applyAlignment="1">
      <alignment horizontal="center" vertical="center"/>
    </xf>
    <xf numFmtId="179" fontId="8" fillId="10" borderId="7" xfId="12" applyNumberFormat="1" applyFont="1" applyFill="1" applyBorder="1" applyAlignment="1">
      <alignment vertical="center"/>
    </xf>
    <xf numFmtId="179" fontId="0" fillId="0" borderId="7" xfId="12" applyNumberFormat="1" applyFont="1" applyFill="1" applyBorder="1" applyAlignment="1">
      <alignment vertical="center"/>
    </xf>
    <xf numFmtId="38" fontId="8" fillId="9" borderId="3" xfId="12" quotePrefix="1" applyFont="1" applyFill="1" applyBorder="1" applyAlignment="1">
      <alignment horizontal="right" vertical="center"/>
    </xf>
    <xf numFmtId="38" fontId="8" fillId="9" borderId="4" xfId="12" quotePrefix="1" applyFont="1" applyFill="1" applyBorder="1" applyAlignment="1">
      <alignment horizontal="right" vertical="center"/>
    </xf>
    <xf numFmtId="38" fontId="8" fillId="9" borderId="4" xfId="12" applyFont="1" applyFill="1" applyBorder="1" applyAlignment="1">
      <alignment horizontal="distributed" vertical="center"/>
    </xf>
    <xf numFmtId="179" fontId="32" fillId="11" borderId="7" xfId="12" applyNumberFormat="1" applyFont="1" applyFill="1" applyBorder="1" applyAlignment="1">
      <alignment vertical="center"/>
    </xf>
    <xf numFmtId="179" fontId="9" fillId="11" borderId="7" xfId="12" applyNumberFormat="1" applyFont="1" applyFill="1" applyBorder="1" applyAlignment="1">
      <alignment vertical="center"/>
    </xf>
    <xf numFmtId="38" fontId="8" fillId="9" borderId="67" xfId="12" quotePrefix="1" applyFont="1" applyFill="1" applyBorder="1" applyAlignment="1">
      <alignment horizontal="right" vertical="center"/>
    </xf>
    <xf numFmtId="38" fontId="8" fillId="9" borderId="68" xfId="12" quotePrefix="1" applyFont="1" applyFill="1" applyBorder="1" applyAlignment="1">
      <alignment horizontal="right" vertical="center"/>
    </xf>
    <xf numFmtId="179" fontId="8" fillId="0" borderId="7" xfId="12" applyNumberFormat="1" applyFont="1" applyFill="1" applyBorder="1" applyAlignment="1">
      <alignment vertical="center"/>
    </xf>
    <xf numFmtId="38" fontId="8" fillId="9" borderId="8" xfId="12" applyFont="1" applyFill="1" applyBorder="1" applyAlignment="1">
      <alignment vertical="center"/>
    </xf>
    <xf numFmtId="38" fontId="8" fillId="9" borderId="0" xfId="12" applyFont="1" applyFill="1" applyBorder="1" applyAlignment="1">
      <alignment vertical="center"/>
    </xf>
    <xf numFmtId="38" fontId="8" fillId="9" borderId="71" xfId="12" applyFont="1" applyFill="1" applyBorder="1" applyAlignment="1">
      <alignment vertical="center"/>
    </xf>
    <xf numFmtId="0" fontId="32" fillId="9" borderId="4" xfId="5" applyFont="1" applyFill="1" applyBorder="1" applyAlignment="1">
      <alignment vertical="center"/>
    </xf>
    <xf numFmtId="38" fontId="8" fillId="9" borderId="69" xfId="12" applyFont="1" applyFill="1" applyBorder="1" applyAlignment="1">
      <alignment vertical="center"/>
    </xf>
    <xf numFmtId="38" fontId="8" fillId="9" borderId="60" xfId="12" applyFont="1" applyFill="1" applyBorder="1" applyAlignment="1">
      <alignment vertical="center"/>
    </xf>
    <xf numFmtId="38" fontId="8" fillId="9" borderId="5" xfId="12" applyFont="1" applyFill="1" applyBorder="1" applyAlignment="1">
      <alignment vertical="center"/>
    </xf>
    <xf numFmtId="38" fontId="33" fillId="12" borderId="70" xfId="12" applyFont="1" applyFill="1" applyBorder="1" applyAlignment="1">
      <alignment horizontal="center" vertical="center"/>
    </xf>
    <xf numFmtId="179" fontId="33" fillId="12" borderId="7" xfId="12" applyNumberFormat="1" applyFont="1" applyFill="1" applyBorder="1" applyAlignment="1">
      <alignment vertical="center"/>
    </xf>
    <xf numFmtId="179" fontId="32" fillId="0" borderId="7" xfId="12" applyNumberFormat="1" applyFont="1" applyFill="1" applyBorder="1" applyAlignment="1">
      <alignment vertical="center"/>
    </xf>
    <xf numFmtId="179" fontId="9" fillId="0" borderId="7" xfId="12" applyNumberFormat="1" applyFont="1" applyFill="1" applyBorder="1" applyAlignment="1">
      <alignment vertical="center"/>
    </xf>
    <xf numFmtId="38" fontId="8" fillId="9" borderId="4" xfId="12" quotePrefix="1" applyFont="1" applyFill="1" applyBorder="1" applyAlignment="1">
      <alignment vertical="center"/>
    </xf>
    <xf numFmtId="38" fontId="33" fillId="13" borderId="4" xfId="12" applyFont="1" applyFill="1" applyBorder="1" applyAlignment="1">
      <alignment horizontal="distributed" vertical="center"/>
    </xf>
    <xf numFmtId="38" fontId="33" fillId="13" borderId="70" xfId="12" applyFont="1" applyFill="1" applyBorder="1" applyAlignment="1">
      <alignment horizontal="center" vertical="center"/>
    </xf>
    <xf numFmtId="179" fontId="33" fillId="13" borderId="7" xfId="12" applyNumberFormat="1" applyFont="1" applyFill="1" applyBorder="1" applyAlignment="1">
      <alignment vertical="center"/>
    </xf>
    <xf numFmtId="38" fontId="8" fillId="9" borderId="4" xfId="12" applyFont="1" applyFill="1" applyBorder="1" applyAlignment="1">
      <alignment vertical="center"/>
    </xf>
    <xf numFmtId="38" fontId="8" fillId="9" borderId="70" xfId="12" applyFont="1" applyFill="1" applyBorder="1" applyAlignment="1">
      <alignment horizontal="center" vertical="center"/>
    </xf>
    <xf numFmtId="179" fontId="33" fillId="14" borderId="7" xfId="12" applyNumberFormat="1" applyFont="1" applyFill="1" applyBorder="1" applyAlignment="1">
      <alignment vertical="center"/>
    </xf>
    <xf numFmtId="0" fontId="34" fillId="15" borderId="7" xfId="9" applyFont="1" applyFill="1" applyBorder="1"/>
    <xf numFmtId="181" fontId="34" fillId="15" borderId="7" xfId="9" applyNumberFormat="1" applyFont="1" applyFill="1" applyBorder="1"/>
    <xf numFmtId="182" fontId="9" fillId="9" borderId="68" xfId="5" applyNumberFormat="1" applyFill="1" applyBorder="1" applyAlignment="1">
      <alignment horizontal="left" vertical="center"/>
    </xf>
    <xf numFmtId="38" fontId="8" fillId="9" borderId="67" xfId="12" quotePrefix="1" applyFont="1" applyFill="1" applyBorder="1" applyAlignment="1">
      <alignment horizontal="center" vertical="center"/>
    </xf>
    <xf numFmtId="179" fontId="9" fillId="11" borderId="7" xfId="5" applyNumberFormat="1" applyFill="1" applyBorder="1" applyAlignment="1">
      <alignment vertical="center"/>
    </xf>
    <xf numFmtId="38" fontId="8" fillId="9" borderId="6" xfId="12" quotePrefix="1" applyFont="1" applyFill="1" applyBorder="1" applyAlignment="1">
      <alignment horizontal="center" vertical="center"/>
    </xf>
    <xf numFmtId="38" fontId="8" fillId="9" borderId="3" xfId="12" quotePrefix="1" applyFont="1" applyFill="1" applyBorder="1" applyAlignment="1">
      <alignment horizontal="center" vertical="center"/>
    </xf>
    <xf numFmtId="38" fontId="32" fillId="11" borderId="7" xfId="10" applyFont="1" applyFill="1" applyBorder="1" applyAlignment="1">
      <alignment vertical="center"/>
    </xf>
    <xf numFmtId="179" fontId="32" fillId="10" borderId="7" xfId="12" applyNumberFormat="1" applyFont="1" applyFill="1" applyBorder="1" applyAlignment="1">
      <alignment vertical="center"/>
    </xf>
    <xf numFmtId="38" fontId="8" fillId="12" borderId="3" xfId="12" applyFont="1" applyFill="1" applyBorder="1" applyAlignment="1">
      <alignment horizontal="distributed" vertical="center"/>
    </xf>
    <xf numFmtId="38" fontId="8" fillId="12" borderId="70" xfId="12" applyFont="1" applyFill="1" applyBorder="1" applyAlignment="1">
      <alignment horizontal="center" vertical="center"/>
    </xf>
    <xf numFmtId="179" fontId="8" fillId="12" borderId="7" xfId="12" applyNumberFormat="1" applyFont="1" applyFill="1" applyBorder="1" applyAlignment="1">
      <alignment vertical="center"/>
    </xf>
    <xf numFmtId="179" fontId="32" fillId="11" borderId="2" xfId="12" applyNumberFormat="1" applyFont="1" applyFill="1" applyBorder="1" applyAlignment="1">
      <alignment vertical="center"/>
    </xf>
    <xf numFmtId="38" fontId="8" fillId="9" borderId="69" xfId="12" quotePrefix="1" applyFont="1" applyFill="1" applyBorder="1" applyAlignment="1">
      <alignment horizontal="center" vertical="center"/>
    </xf>
    <xf numFmtId="38" fontId="8" fillId="12" borderId="1" xfId="12" applyFont="1" applyFill="1" applyBorder="1" applyAlignment="1">
      <alignment horizontal="center" vertical="center"/>
    </xf>
    <xf numFmtId="38" fontId="8" fillId="9" borderId="1" xfId="12" applyFont="1" applyFill="1" applyBorder="1" applyAlignment="1">
      <alignment horizontal="center" vertical="center"/>
    </xf>
    <xf numFmtId="0" fontId="32" fillId="9" borderId="70" xfId="5" applyFont="1" applyFill="1" applyBorder="1" applyAlignment="1">
      <alignment horizontal="center" vertical="center"/>
    </xf>
    <xf numFmtId="0" fontId="33" fillId="13" borderId="70" xfId="5" applyFont="1" applyFill="1" applyBorder="1" applyAlignment="1">
      <alignment horizontal="center" vertical="center"/>
    </xf>
    <xf numFmtId="179" fontId="4" fillId="0" borderId="0" xfId="9" applyNumberFormat="1"/>
    <xf numFmtId="0" fontId="9" fillId="9" borderId="0" xfId="5" applyFill="1" applyAlignment="1">
      <alignment vertical="center"/>
    </xf>
    <xf numFmtId="0" fontId="9" fillId="9" borderId="0" xfId="5" applyFill="1" applyAlignment="1">
      <alignment horizontal="left" vertical="center"/>
    </xf>
    <xf numFmtId="3" fontId="4" fillId="0" borderId="0" xfId="9" applyNumberFormat="1"/>
    <xf numFmtId="0" fontId="32" fillId="9" borderId="70" xfId="5" applyFont="1" applyFill="1" applyBorder="1" applyAlignment="1">
      <alignment horizontal="right" vertical="center"/>
    </xf>
    <xf numFmtId="179" fontId="32" fillId="0" borderId="7" xfId="5" applyNumberFormat="1" applyFont="1" applyBorder="1" applyAlignment="1">
      <alignment vertical="center"/>
    </xf>
    <xf numFmtId="179" fontId="9" fillId="0" borderId="7" xfId="5" applyNumberFormat="1" applyBorder="1" applyAlignment="1">
      <alignment vertical="center"/>
    </xf>
    <xf numFmtId="0" fontId="32" fillId="9" borderId="8" xfId="5" applyFont="1" applyFill="1" applyBorder="1" applyAlignment="1">
      <alignment vertical="center"/>
    </xf>
    <xf numFmtId="0" fontId="32" fillId="9" borderId="0" xfId="5" applyFont="1" applyFill="1" applyAlignment="1">
      <alignment vertical="center"/>
    </xf>
    <xf numFmtId="0" fontId="32" fillId="9" borderId="71" xfId="5" applyFont="1" applyFill="1" applyBorder="1" applyAlignment="1">
      <alignment vertical="center"/>
    </xf>
    <xf numFmtId="179" fontId="32" fillId="11" borderId="7" xfId="5" applyNumberFormat="1" applyFont="1" applyFill="1" applyBorder="1" applyAlignment="1">
      <alignment vertical="center"/>
    </xf>
    <xf numFmtId="0" fontId="32" fillId="9" borderId="69" xfId="5" applyFont="1" applyFill="1" applyBorder="1" applyAlignment="1">
      <alignment vertical="center"/>
    </xf>
    <xf numFmtId="0" fontId="32" fillId="9" borderId="60" xfId="5" applyFont="1" applyFill="1" applyBorder="1" applyAlignment="1">
      <alignment vertical="center"/>
    </xf>
    <xf numFmtId="0" fontId="32" fillId="9" borderId="5" xfId="5" applyFont="1" applyFill="1" applyBorder="1" applyAlignment="1">
      <alignment vertical="center"/>
    </xf>
    <xf numFmtId="9" fontId="9" fillId="0" borderId="8" xfId="11" applyFont="1" applyFill="1" applyBorder="1" applyAlignment="1">
      <alignment vertical="center"/>
    </xf>
    <xf numFmtId="10" fontId="0" fillId="0" borderId="7" xfId="11" applyNumberFormat="1" applyFont="1" applyBorder="1" applyAlignment="1"/>
    <xf numFmtId="38" fontId="0" fillId="0" borderId="7" xfId="10" applyFont="1" applyBorder="1" applyAlignment="1"/>
    <xf numFmtId="40" fontId="0" fillId="0" borderId="7" xfId="10" applyNumberFormat="1" applyFont="1" applyBorder="1" applyAlignment="1"/>
    <xf numFmtId="10" fontId="4" fillId="0" borderId="0" xfId="4" applyNumberFormat="1" applyFont="1" applyAlignment="1"/>
    <xf numFmtId="10" fontId="4" fillId="0" borderId="0" xfId="9" applyNumberFormat="1"/>
    <xf numFmtId="183" fontId="4" fillId="0" borderId="0" xfId="4" applyNumberFormat="1" applyFont="1" applyAlignment="1"/>
    <xf numFmtId="38" fontId="0" fillId="9" borderId="0" xfId="12" applyFont="1" applyFill="1" applyBorder="1" applyAlignment="1">
      <alignment horizontal="distributed" vertical="center"/>
    </xf>
    <xf numFmtId="179" fontId="33" fillId="14" borderId="0" xfId="12" applyNumberFormat="1" applyFont="1" applyFill="1" applyBorder="1" applyAlignment="1">
      <alignment vertical="center"/>
    </xf>
    <xf numFmtId="179" fontId="0" fillId="0" borderId="0" xfId="12" applyNumberFormat="1" applyFont="1" applyFill="1" applyBorder="1" applyAlignment="1">
      <alignment vertical="center"/>
    </xf>
    <xf numFmtId="180" fontId="34" fillId="15" borderId="7" xfId="1" applyNumberFormat="1" applyFont="1" applyFill="1" applyBorder="1" applyAlignment="1"/>
    <xf numFmtId="179" fontId="31" fillId="0" borderId="7" xfId="9" applyNumberFormat="1" applyFont="1" applyBorder="1"/>
    <xf numFmtId="10" fontId="0" fillId="0" borderId="70" xfId="11" applyNumberFormat="1" applyFont="1" applyBorder="1" applyAlignment="1"/>
    <xf numFmtId="38" fontId="0" fillId="0" borderId="70" xfId="10" applyFont="1" applyBorder="1" applyAlignment="1"/>
    <xf numFmtId="40" fontId="0" fillId="0" borderId="70" xfId="10" applyNumberFormat="1" applyFont="1" applyBorder="1" applyAlignment="1"/>
    <xf numFmtId="10" fontId="31" fillId="0" borderId="7" xfId="11" applyNumberFormat="1" applyFont="1" applyBorder="1" applyAlignment="1"/>
    <xf numFmtId="38" fontId="31" fillId="0" borderId="7" xfId="10" applyFont="1" applyBorder="1" applyAlignment="1"/>
    <xf numFmtId="40" fontId="31" fillId="0" borderId="7" xfId="10" applyNumberFormat="1" applyFont="1" applyBorder="1" applyAlignment="1"/>
    <xf numFmtId="0" fontId="31" fillId="0" borderId="7" xfId="9" applyFont="1" applyBorder="1"/>
    <xf numFmtId="0" fontId="37" fillId="17" borderId="7" xfId="7" applyFont="1" applyFill="1" applyBorder="1" applyAlignment="1">
      <alignment vertical="center" shrinkToFit="1"/>
    </xf>
    <xf numFmtId="177" fontId="37" fillId="17" borderId="7" xfId="7" applyNumberFormat="1" applyFont="1" applyFill="1" applyBorder="1">
      <alignment vertical="center"/>
    </xf>
    <xf numFmtId="0" fontId="37" fillId="17" borderId="7" xfId="7" applyFont="1" applyFill="1" applyBorder="1">
      <alignment vertical="center"/>
    </xf>
    <xf numFmtId="0" fontId="11" fillId="0" borderId="0" xfId="7">
      <alignment vertical="center"/>
    </xf>
    <xf numFmtId="0" fontId="38" fillId="16" borderId="7" xfId="7" applyFont="1" applyFill="1" applyBorder="1" applyAlignment="1">
      <alignment horizontal="center" vertical="center"/>
    </xf>
    <xf numFmtId="0" fontId="38" fillId="16" borderId="7" xfId="9" applyFont="1" applyFill="1" applyBorder="1" applyAlignment="1">
      <alignment horizontal="center"/>
    </xf>
    <xf numFmtId="0" fontId="39" fillId="0" borderId="7" xfId="7" applyFont="1" applyBorder="1">
      <alignment vertical="center"/>
    </xf>
    <xf numFmtId="38" fontId="39" fillId="0" borderId="7" xfId="6" applyFont="1" applyBorder="1">
      <alignment vertical="center"/>
    </xf>
    <xf numFmtId="0" fontId="39" fillId="10" borderId="7" xfId="7" applyFont="1" applyFill="1" applyBorder="1">
      <alignment vertical="center"/>
    </xf>
    <xf numFmtId="38" fontId="39" fillId="10" borderId="7" xfId="6" applyFont="1" applyFill="1" applyBorder="1">
      <alignment vertical="center"/>
    </xf>
    <xf numFmtId="181" fontId="39" fillId="0" borderId="7" xfId="13" applyNumberFormat="1" applyFont="1" applyBorder="1">
      <alignment vertical="center"/>
    </xf>
    <xf numFmtId="181" fontId="39" fillId="10" borderId="7" xfId="13" applyNumberFormat="1" applyFont="1" applyFill="1" applyBorder="1">
      <alignment vertical="center"/>
    </xf>
    <xf numFmtId="9" fontId="37" fillId="17" borderId="7" xfId="13" applyFont="1" applyFill="1" applyBorder="1">
      <alignment vertical="center"/>
    </xf>
    <xf numFmtId="0" fontId="38" fillId="18" borderId="7" xfId="7" applyFont="1" applyFill="1" applyBorder="1" applyAlignment="1">
      <alignment horizontal="center" vertical="center"/>
    </xf>
    <xf numFmtId="0" fontId="38" fillId="18" borderId="7" xfId="9" applyFont="1" applyFill="1" applyBorder="1" applyAlignment="1">
      <alignment horizontal="center"/>
    </xf>
    <xf numFmtId="0" fontId="38" fillId="19" borderId="7" xfId="7" applyFont="1" applyFill="1" applyBorder="1" applyAlignment="1">
      <alignment horizontal="center" vertical="center"/>
    </xf>
    <xf numFmtId="0" fontId="38" fillId="19" borderId="7" xfId="9" applyFont="1" applyFill="1" applyBorder="1" applyAlignment="1">
      <alignment horizontal="center"/>
    </xf>
    <xf numFmtId="0" fontId="38" fillId="20" borderId="7" xfId="7" applyFont="1" applyFill="1" applyBorder="1" applyAlignment="1">
      <alignment horizontal="center" vertical="center"/>
    </xf>
    <xf numFmtId="0" fontId="38" fillId="20" borderId="7" xfId="9" applyFont="1" applyFill="1" applyBorder="1" applyAlignment="1">
      <alignment horizontal="center"/>
    </xf>
    <xf numFmtId="0" fontId="38" fillId="21" borderId="7" xfId="7" applyFont="1" applyFill="1" applyBorder="1" applyAlignment="1">
      <alignment horizontal="center" vertical="center"/>
    </xf>
    <xf numFmtId="0" fontId="38" fillId="21" borderId="7" xfId="9" applyFont="1" applyFill="1" applyBorder="1" applyAlignment="1">
      <alignment horizontal="center"/>
    </xf>
    <xf numFmtId="0" fontId="38" fillId="22" borderId="7" xfId="7" applyFont="1" applyFill="1" applyBorder="1" applyAlignment="1">
      <alignment horizontal="center" vertical="center"/>
    </xf>
    <xf numFmtId="0" fontId="38" fillId="22" borderId="7" xfId="9" applyFont="1" applyFill="1" applyBorder="1" applyAlignment="1">
      <alignment horizontal="center"/>
    </xf>
    <xf numFmtId="0" fontId="41" fillId="17" borderId="72" xfId="7" applyFont="1" applyFill="1" applyBorder="1">
      <alignment vertical="center"/>
    </xf>
    <xf numFmtId="184" fontId="41" fillId="17" borderId="72" xfId="7" applyNumberFormat="1" applyFont="1" applyFill="1" applyBorder="1">
      <alignment vertical="center"/>
    </xf>
    <xf numFmtId="9" fontId="41" fillId="17" borderId="72" xfId="7" applyNumberFormat="1" applyFont="1" applyFill="1" applyBorder="1">
      <alignment vertical="center"/>
    </xf>
    <xf numFmtId="0" fontId="41" fillId="0" borderId="72" xfId="7" applyFont="1" applyBorder="1">
      <alignment vertical="center"/>
    </xf>
    <xf numFmtId="184" fontId="41" fillId="0" borderId="72" xfId="7" applyNumberFormat="1" applyFont="1" applyBorder="1">
      <alignment vertical="center"/>
    </xf>
    <xf numFmtId="9" fontId="41" fillId="0" borderId="72" xfId="7" applyNumberFormat="1" applyFont="1" applyBorder="1">
      <alignment vertical="center"/>
    </xf>
    <xf numFmtId="0" fontId="39" fillId="23" borderId="7" xfId="7" applyFont="1" applyFill="1" applyBorder="1">
      <alignment vertical="center"/>
    </xf>
    <xf numFmtId="181" fontId="39" fillId="23" borderId="7" xfId="13" applyNumberFormat="1" applyFont="1" applyFill="1" applyBorder="1">
      <alignment vertical="center"/>
    </xf>
    <xf numFmtId="0" fontId="12" fillId="0" borderId="0" xfId="14" applyFont="1">
      <alignment vertical="center"/>
    </xf>
    <xf numFmtId="0" fontId="16" fillId="0" borderId="0" xfId="14" applyFont="1">
      <alignment vertical="center"/>
    </xf>
    <xf numFmtId="38" fontId="12" fillId="0" borderId="0" xfId="15" applyFont="1" applyFill="1">
      <alignment vertical="center"/>
    </xf>
    <xf numFmtId="0" fontId="42" fillId="0" borderId="0" xfId="14" applyFont="1" applyAlignment="1">
      <alignment vertical="center" wrapText="1"/>
    </xf>
    <xf numFmtId="0" fontId="42" fillId="14" borderId="32" xfId="14" applyFont="1" applyFill="1" applyBorder="1" applyAlignment="1">
      <alignment vertical="center" wrapText="1"/>
    </xf>
    <xf numFmtId="0" fontId="42" fillId="14" borderId="4" xfId="14" applyFont="1" applyFill="1" applyBorder="1" applyAlignment="1">
      <alignment vertical="center" wrapText="1"/>
    </xf>
    <xf numFmtId="0" fontId="42" fillId="14" borderId="70" xfId="14" applyFont="1" applyFill="1" applyBorder="1" applyAlignment="1">
      <alignment vertical="center" wrapText="1"/>
    </xf>
    <xf numFmtId="38" fontId="16" fillId="0" borderId="0" xfId="3" applyFont="1">
      <alignment vertical="center"/>
    </xf>
    <xf numFmtId="0" fontId="17" fillId="0" borderId="0" xfId="14" applyFont="1" applyAlignment="1">
      <alignment vertical="center" wrapText="1"/>
    </xf>
    <xf numFmtId="0" fontId="17" fillId="10" borderId="68" xfId="14" applyFont="1" applyFill="1" applyBorder="1" applyAlignment="1">
      <alignment vertical="center" wrapText="1"/>
    </xf>
    <xf numFmtId="0" fontId="17" fillId="10" borderId="74" xfId="14" applyFont="1" applyFill="1" applyBorder="1" applyAlignment="1">
      <alignment vertical="center" wrapText="1"/>
    </xf>
    <xf numFmtId="0" fontId="17" fillId="10" borderId="75" xfId="14" applyFont="1" applyFill="1" applyBorder="1" applyAlignment="1">
      <alignment vertical="center" wrapText="1"/>
    </xf>
    <xf numFmtId="38" fontId="44" fillId="0" borderId="76" xfId="15" applyFont="1" applyFill="1" applyBorder="1" applyAlignment="1">
      <alignment horizontal="center" vertical="center" wrapText="1"/>
    </xf>
    <xf numFmtId="38" fontId="44" fillId="0" borderId="77" xfId="15" applyFont="1" applyFill="1" applyBorder="1" applyAlignment="1">
      <alignment horizontal="center" vertical="center" wrapText="1"/>
    </xf>
    <xf numFmtId="0" fontId="45" fillId="0" borderId="78" xfId="16" applyFont="1" applyBorder="1" applyAlignment="1">
      <alignment horizontal="center" vertical="center" wrapText="1"/>
    </xf>
    <xf numFmtId="0" fontId="45" fillId="0" borderId="79" xfId="16" applyFont="1" applyBorder="1" applyAlignment="1">
      <alignment horizontal="center" vertical="center" wrapText="1"/>
    </xf>
    <xf numFmtId="0" fontId="45" fillId="0" borderId="80" xfId="16" applyFont="1" applyBorder="1" applyAlignment="1">
      <alignment horizontal="center" vertical="center" wrapText="1"/>
    </xf>
    <xf numFmtId="0" fontId="45" fillId="0" borderId="81" xfId="16" applyFont="1" applyBorder="1" applyAlignment="1">
      <alignment horizontal="center" vertical="center" wrapText="1"/>
    </xf>
    <xf numFmtId="0" fontId="46" fillId="0" borderId="0" xfId="14" applyFont="1" applyAlignment="1">
      <alignment horizontal="center" vertical="center"/>
    </xf>
    <xf numFmtId="38" fontId="19" fillId="4" borderId="82" xfId="15" applyFont="1" applyFill="1" applyBorder="1">
      <alignment vertical="center"/>
    </xf>
    <xf numFmtId="38" fontId="19" fillId="4" borderId="83" xfId="15" applyFont="1" applyFill="1" applyBorder="1">
      <alignment vertical="center"/>
    </xf>
    <xf numFmtId="0" fontId="48" fillId="0" borderId="84" xfId="16" applyFont="1" applyBorder="1" applyAlignment="1">
      <alignment horizontal="center" vertical="center" wrapText="1"/>
    </xf>
    <xf numFmtId="0" fontId="48" fillId="0" borderId="85" xfId="16" applyFont="1" applyBorder="1" applyAlignment="1">
      <alignment horizontal="center" vertical="center" wrapText="1"/>
    </xf>
    <xf numFmtId="0" fontId="48" fillId="0" borderId="71" xfId="16" applyFont="1" applyBorder="1" applyAlignment="1">
      <alignment horizontal="center" vertical="center" wrapText="1"/>
    </xf>
    <xf numFmtId="0" fontId="20" fillId="0" borderId="0" xfId="14" applyFont="1">
      <alignment vertical="center"/>
    </xf>
    <xf numFmtId="38" fontId="16" fillId="0" borderId="0" xfId="14" applyNumberFormat="1" applyFont="1">
      <alignment vertical="center"/>
    </xf>
    <xf numFmtId="38" fontId="20" fillId="0" borderId="0" xfId="3" applyFont="1">
      <alignment vertical="center"/>
    </xf>
    <xf numFmtId="38" fontId="19" fillId="4" borderId="86" xfId="15" applyFont="1" applyFill="1" applyBorder="1">
      <alignment vertical="center"/>
    </xf>
    <xf numFmtId="38" fontId="19" fillId="4" borderId="87" xfId="15" applyFont="1" applyFill="1" applyBorder="1">
      <alignment vertical="center"/>
    </xf>
    <xf numFmtId="0" fontId="49" fillId="0" borderId="8" xfId="16" applyFont="1" applyBorder="1" applyAlignment="1">
      <alignment horizontal="left" vertical="center"/>
    </xf>
    <xf numFmtId="0" fontId="49" fillId="0" borderId="85" xfId="16" applyFont="1" applyBorder="1" applyAlignment="1">
      <alignment horizontal="center" vertical="center" wrapText="1"/>
    </xf>
    <xf numFmtId="0" fontId="49" fillId="0" borderId="71" xfId="16" applyFont="1" applyBorder="1" applyAlignment="1">
      <alignment horizontal="center" vertical="center" wrapText="1"/>
    </xf>
    <xf numFmtId="0" fontId="50" fillId="0" borderId="0" xfId="14" applyFont="1" applyAlignment="1">
      <alignment vertical="center" wrapText="1"/>
    </xf>
    <xf numFmtId="0" fontId="50" fillId="10" borderId="68" xfId="14" applyFont="1" applyFill="1" applyBorder="1" applyAlignment="1">
      <alignment vertical="center" wrapText="1"/>
    </xf>
    <xf numFmtId="0" fontId="50" fillId="10" borderId="74" xfId="14" applyFont="1" applyFill="1" applyBorder="1" applyAlignment="1">
      <alignment horizontal="left" vertical="center" wrapText="1"/>
    </xf>
    <xf numFmtId="0" fontId="50" fillId="10" borderId="75" xfId="14" applyFont="1" applyFill="1" applyBorder="1" applyAlignment="1">
      <alignment horizontal="left" vertical="center" wrapText="1"/>
    </xf>
    <xf numFmtId="38" fontId="19" fillId="4" borderId="71" xfId="15" applyFont="1" applyFill="1" applyBorder="1">
      <alignment vertical="center"/>
    </xf>
    <xf numFmtId="38" fontId="19" fillId="4" borderId="8" xfId="15" applyFont="1" applyFill="1" applyBorder="1">
      <alignment vertical="center"/>
    </xf>
    <xf numFmtId="38" fontId="19" fillId="0" borderId="88" xfId="15" applyFont="1" applyFill="1" applyBorder="1">
      <alignment vertical="center"/>
    </xf>
    <xf numFmtId="38" fontId="51" fillId="0" borderId="89" xfId="15" applyFont="1" applyFill="1" applyBorder="1" applyAlignment="1">
      <alignment horizontal="right" vertical="center"/>
    </xf>
    <xf numFmtId="38" fontId="51" fillId="0" borderId="60" xfId="15" applyFont="1" applyFill="1" applyBorder="1" applyAlignment="1">
      <alignment horizontal="right" vertical="center"/>
    </xf>
    <xf numFmtId="38" fontId="51" fillId="0" borderId="85" xfId="15" applyFont="1" applyFill="1" applyBorder="1" applyAlignment="1">
      <alignment horizontal="right" vertical="center"/>
    </xf>
    <xf numFmtId="38" fontId="51" fillId="0" borderId="5" xfId="15" applyFont="1" applyFill="1" applyBorder="1" applyAlignment="1">
      <alignment horizontal="right" vertical="center"/>
    </xf>
    <xf numFmtId="0" fontId="50" fillId="10" borderId="74" xfId="14" applyFont="1" applyFill="1" applyBorder="1" applyAlignment="1">
      <alignment vertical="center" wrapText="1"/>
    </xf>
    <xf numFmtId="0" fontId="50" fillId="10" borderId="75" xfId="14" applyFont="1" applyFill="1" applyBorder="1" applyAlignment="1">
      <alignment vertical="center" wrapText="1"/>
    </xf>
    <xf numFmtId="0" fontId="45" fillId="0" borderId="90" xfId="16" applyFont="1" applyBorder="1" applyAlignment="1">
      <alignment horizontal="center" vertical="center" wrapText="1"/>
    </xf>
    <xf numFmtId="38" fontId="19" fillId="4" borderId="91" xfId="15" applyFont="1" applyFill="1" applyBorder="1">
      <alignment vertical="center"/>
    </xf>
    <xf numFmtId="38" fontId="19" fillId="4" borderId="92" xfId="15" applyFont="1" applyFill="1" applyBorder="1">
      <alignment vertical="center"/>
    </xf>
    <xf numFmtId="38" fontId="19" fillId="0" borderId="93" xfId="15" applyFont="1" applyFill="1" applyBorder="1">
      <alignment vertical="center"/>
    </xf>
    <xf numFmtId="49" fontId="51" fillId="0" borderId="60" xfId="15" applyNumberFormat="1" applyFont="1" applyFill="1" applyBorder="1" applyAlignment="1">
      <alignment horizontal="right" vertical="center"/>
    </xf>
    <xf numFmtId="49" fontId="51" fillId="0" borderId="89" xfId="15" applyNumberFormat="1" applyFont="1" applyFill="1" applyBorder="1" applyAlignment="1">
      <alignment horizontal="right" vertical="center"/>
    </xf>
    <xf numFmtId="49" fontId="51" fillId="0" borderId="5" xfId="15" applyNumberFormat="1" applyFont="1" applyFill="1" applyBorder="1" applyAlignment="1">
      <alignment horizontal="right" vertical="center"/>
    </xf>
    <xf numFmtId="0" fontId="18" fillId="0" borderId="48" xfId="14" applyFont="1" applyBorder="1" applyAlignment="1">
      <alignment horizontal="left" vertical="center" wrapText="1" indent="1"/>
    </xf>
    <xf numFmtId="0" fontId="18" fillId="0" borderId="0" xfId="14" applyFont="1" applyAlignment="1">
      <alignment horizontal="left" vertical="center" indent="1"/>
    </xf>
    <xf numFmtId="38" fontId="19" fillId="4" borderId="0" xfId="15" applyFont="1" applyFill="1" applyBorder="1">
      <alignment vertical="center"/>
    </xf>
    <xf numFmtId="38" fontId="19" fillId="0" borderId="0" xfId="15" applyFont="1" applyFill="1" applyBorder="1">
      <alignment vertical="center"/>
    </xf>
    <xf numFmtId="9" fontId="19" fillId="0" borderId="0" xfId="15" applyNumberFormat="1" applyFont="1" applyFill="1" applyBorder="1" applyAlignment="1">
      <alignment horizontal="center" vertical="center"/>
    </xf>
    <xf numFmtId="49" fontId="19" fillId="0" borderId="0" xfId="15" applyNumberFormat="1" applyFont="1" applyFill="1" applyBorder="1" applyAlignment="1">
      <alignment horizontal="right" vertical="center"/>
    </xf>
    <xf numFmtId="49" fontId="19" fillId="0" borderId="49" xfId="15" applyNumberFormat="1" applyFont="1" applyFill="1" applyBorder="1" applyAlignment="1">
      <alignment horizontal="right" vertical="center"/>
    </xf>
    <xf numFmtId="38" fontId="19" fillId="4" borderId="40" xfId="15" applyFont="1" applyFill="1" applyBorder="1">
      <alignment vertical="center"/>
    </xf>
    <xf numFmtId="38" fontId="19" fillId="4" borderId="7" xfId="15" applyFont="1" applyFill="1" applyBorder="1">
      <alignment vertical="center"/>
    </xf>
    <xf numFmtId="38" fontId="19" fillId="5" borderId="7" xfId="15" applyFont="1" applyFill="1" applyBorder="1">
      <alignment vertical="center"/>
    </xf>
    <xf numFmtId="38" fontId="19" fillId="5" borderId="41" xfId="15" applyFont="1" applyFill="1" applyBorder="1">
      <alignment vertical="center"/>
    </xf>
    <xf numFmtId="38" fontId="19" fillId="4" borderId="98" xfId="15" applyFont="1" applyFill="1" applyBorder="1">
      <alignment vertical="center"/>
    </xf>
    <xf numFmtId="38" fontId="19" fillId="4" borderId="99" xfId="15" applyFont="1" applyFill="1" applyBorder="1">
      <alignment vertical="center"/>
    </xf>
    <xf numFmtId="38" fontId="19" fillId="5" borderId="99" xfId="15" applyFont="1" applyFill="1" applyBorder="1">
      <alignment vertical="center"/>
    </xf>
    <xf numFmtId="38" fontId="19" fillId="5" borderId="100" xfId="15" applyFont="1" applyFill="1" applyBorder="1">
      <alignment vertical="center"/>
    </xf>
    <xf numFmtId="38" fontId="20" fillId="0" borderId="0" xfId="14" applyNumberFormat="1" applyFont="1">
      <alignment vertical="center"/>
    </xf>
    <xf numFmtId="38" fontId="19" fillId="4" borderId="50" xfId="15" applyFont="1" applyFill="1" applyBorder="1">
      <alignment vertical="center"/>
    </xf>
    <xf numFmtId="38" fontId="19" fillId="4" borderId="51" xfId="15" applyFont="1" applyFill="1" applyBorder="1">
      <alignment vertical="center"/>
    </xf>
    <xf numFmtId="38" fontId="19" fillId="0" borderId="51" xfId="15" applyFont="1" applyFill="1" applyBorder="1">
      <alignment vertical="center"/>
    </xf>
    <xf numFmtId="38" fontId="19" fillId="0" borderId="52" xfId="15" applyFont="1" applyFill="1" applyBorder="1">
      <alignment vertical="center"/>
    </xf>
    <xf numFmtId="38" fontId="53" fillId="18" borderId="103" xfId="15" applyFont="1" applyFill="1" applyBorder="1" applyAlignment="1"/>
    <xf numFmtId="38" fontId="53" fillId="18" borderId="104" xfId="15" applyFont="1" applyFill="1" applyBorder="1" applyAlignment="1"/>
    <xf numFmtId="38" fontId="53" fillId="18" borderId="105" xfId="15" applyFont="1" applyFill="1" applyBorder="1" applyAlignment="1">
      <alignment vertical="center"/>
    </xf>
    <xf numFmtId="38" fontId="53" fillId="18" borderId="106" xfId="15" applyFont="1" applyFill="1" applyBorder="1" applyAlignment="1">
      <alignment vertical="center"/>
    </xf>
    <xf numFmtId="38" fontId="19" fillId="0" borderId="50" xfId="15" applyFont="1" applyFill="1" applyBorder="1">
      <alignment vertical="center"/>
    </xf>
    <xf numFmtId="38" fontId="19" fillId="0" borderId="63" xfId="15" applyFont="1" applyFill="1" applyBorder="1">
      <alignment vertical="center"/>
    </xf>
    <xf numFmtId="38" fontId="19" fillId="0" borderId="42" xfId="15" applyFont="1" applyFill="1" applyBorder="1">
      <alignment vertical="center"/>
    </xf>
    <xf numFmtId="38" fontId="19" fillId="0" borderId="64" xfId="15" applyFont="1" applyFill="1" applyBorder="1">
      <alignment vertical="center"/>
    </xf>
    <xf numFmtId="38" fontId="16" fillId="0" borderId="0" xfId="15" applyFont="1" applyFill="1">
      <alignment vertical="center"/>
    </xf>
    <xf numFmtId="0" fontId="16" fillId="0" borderId="0" xfId="14" applyFont="1" applyAlignment="1">
      <alignment vertical="center" shrinkToFit="1"/>
    </xf>
    <xf numFmtId="38" fontId="12" fillId="0" borderId="0" xfId="3" applyFont="1" applyFill="1">
      <alignment vertical="center"/>
    </xf>
    <xf numFmtId="0" fontId="49" fillId="0" borderId="0" xfId="16" applyFont="1" applyAlignment="1">
      <alignment horizontal="center" vertical="center" wrapText="1"/>
    </xf>
    <xf numFmtId="0" fontId="6" fillId="0" borderId="0" xfId="17">
      <alignment vertical="center"/>
    </xf>
    <xf numFmtId="0" fontId="49" fillId="0" borderId="117" xfId="16" applyFont="1" applyBorder="1" applyAlignment="1">
      <alignment horizontal="center" vertical="top"/>
    </xf>
    <xf numFmtId="0" fontId="49" fillId="0" borderId="118" xfId="16" applyFont="1" applyBorder="1" applyAlignment="1">
      <alignment horizontal="center" vertical="top"/>
    </xf>
    <xf numFmtId="0" fontId="49" fillId="0" borderId="120" xfId="16" applyFont="1" applyBorder="1" applyAlignment="1">
      <alignment horizontal="center" vertical="top"/>
    </xf>
    <xf numFmtId="0" fontId="49" fillId="0" borderId="121" xfId="16" applyFont="1" applyBorder="1" applyAlignment="1">
      <alignment horizontal="center" vertical="top"/>
    </xf>
    <xf numFmtId="0" fontId="49" fillId="23" borderId="122" xfId="17" applyFont="1" applyFill="1" applyBorder="1" applyAlignment="1">
      <alignment horizontal="center" vertical="center"/>
    </xf>
    <xf numFmtId="0" fontId="49" fillId="23" borderId="126" xfId="16" applyFont="1" applyFill="1" applyBorder="1" applyAlignment="1">
      <alignment horizontal="center" wrapText="1"/>
    </xf>
    <xf numFmtId="0" fontId="49" fillId="23" borderId="126" xfId="16" applyFont="1" applyFill="1" applyBorder="1" applyAlignment="1">
      <alignment horizontal="center"/>
    </xf>
    <xf numFmtId="0" fontId="49" fillId="23" borderId="127" xfId="16" applyFont="1" applyFill="1" applyBorder="1" applyAlignment="1">
      <alignment horizontal="center" wrapText="1"/>
    </xf>
    <xf numFmtId="0" fontId="6" fillId="0" borderId="119" xfId="17" applyBorder="1">
      <alignment vertical="center"/>
    </xf>
    <xf numFmtId="0" fontId="54" fillId="0" borderId="120" xfId="17" applyFont="1" applyBorder="1">
      <alignment vertical="center"/>
    </xf>
    <xf numFmtId="0" fontId="54" fillId="0" borderId="128" xfId="17" applyFont="1" applyBorder="1">
      <alignment vertical="center"/>
    </xf>
    <xf numFmtId="0" fontId="6" fillId="0" borderId="129" xfId="17" applyBorder="1">
      <alignment vertical="center"/>
    </xf>
    <xf numFmtId="0" fontId="54" fillId="0" borderId="117" xfId="17" applyFont="1" applyBorder="1">
      <alignment vertical="center"/>
    </xf>
    <xf numFmtId="0" fontId="54" fillId="0" borderId="118" xfId="17" applyFont="1" applyBorder="1">
      <alignment vertical="center"/>
    </xf>
    <xf numFmtId="0" fontId="49" fillId="10" borderId="122" xfId="17" applyFont="1" applyFill="1" applyBorder="1" applyAlignment="1">
      <alignment horizontal="center" vertical="center"/>
    </xf>
    <xf numFmtId="0" fontId="49" fillId="10" borderId="126" xfId="16" applyFont="1" applyFill="1" applyBorder="1" applyAlignment="1">
      <alignment horizontal="center" wrapText="1"/>
    </xf>
    <xf numFmtId="0" fontId="49" fillId="10" borderId="130" xfId="16" applyFont="1" applyFill="1" applyBorder="1" applyAlignment="1">
      <alignment horizontal="center" wrapText="1"/>
    </xf>
    <xf numFmtId="0" fontId="54" fillId="0" borderId="119" xfId="17" applyFont="1" applyBorder="1">
      <alignment vertical="center"/>
    </xf>
    <xf numFmtId="0" fontId="49" fillId="25" borderId="122" xfId="17" applyFont="1" applyFill="1" applyBorder="1" applyAlignment="1">
      <alignment horizontal="center" vertical="center" wrapText="1"/>
    </xf>
    <xf numFmtId="0" fontId="49" fillId="25" borderId="126" xfId="16" applyFont="1" applyFill="1" applyBorder="1" applyAlignment="1">
      <alignment horizontal="center" vertical="center" wrapText="1"/>
    </xf>
    <xf numFmtId="0" fontId="49" fillId="25" borderId="126" xfId="16" applyFont="1" applyFill="1" applyBorder="1" applyAlignment="1">
      <alignment horizontal="center" wrapText="1"/>
    </xf>
    <xf numFmtId="0" fontId="49" fillId="25" borderId="130" xfId="16" applyFont="1" applyFill="1" applyBorder="1" applyAlignment="1">
      <alignment horizontal="center" wrapText="1"/>
    </xf>
    <xf numFmtId="0" fontId="49" fillId="0" borderId="131" xfId="16" applyFont="1" applyBorder="1" applyAlignment="1">
      <alignment horizontal="center" vertical="top"/>
    </xf>
    <xf numFmtId="0" fontId="55" fillId="26" borderId="129" xfId="17" applyFont="1" applyFill="1" applyBorder="1" applyAlignment="1">
      <alignment horizontal="center" vertical="center"/>
    </xf>
    <xf numFmtId="0" fontId="6" fillId="0" borderId="120" xfId="17" applyBorder="1">
      <alignment vertical="center"/>
    </xf>
    <xf numFmtId="0" fontId="56" fillId="0" borderId="120" xfId="16" applyFont="1" applyBorder="1" applyAlignment="1">
      <alignment horizontal="center"/>
    </xf>
    <xf numFmtId="0" fontId="56" fillId="0" borderId="131" xfId="16" applyFont="1" applyBorder="1" applyAlignment="1">
      <alignment horizontal="center"/>
    </xf>
    <xf numFmtId="0" fontId="56" fillId="0" borderId="121" xfId="16" applyFont="1" applyBorder="1" applyAlignment="1">
      <alignment horizontal="center"/>
    </xf>
    <xf numFmtId="0" fontId="57" fillId="10" borderId="126" xfId="16" applyFont="1" applyFill="1" applyBorder="1" applyAlignment="1">
      <alignment horizontal="center" wrapText="1"/>
    </xf>
    <xf numFmtId="0" fontId="55" fillId="26" borderId="117" xfId="16" applyFont="1" applyFill="1" applyBorder="1" applyAlignment="1">
      <alignment horizontal="center" vertical="center" wrapText="1"/>
    </xf>
    <xf numFmtId="0" fontId="55" fillId="26" borderId="125" xfId="16" applyFont="1" applyFill="1" applyBorder="1" applyAlignment="1">
      <alignment horizontal="center" vertical="center" wrapText="1"/>
    </xf>
    <xf numFmtId="0" fontId="55" fillId="26" borderId="117" xfId="16" applyFont="1" applyFill="1" applyBorder="1" applyAlignment="1">
      <alignment horizontal="center" vertical="center"/>
    </xf>
    <xf numFmtId="0" fontId="55" fillId="26" borderId="125" xfId="16" applyFont="1" applyFill="1" applyBorder="1" applyAlignment="1">
      <alignment horizontal="center" vertical="center"/>
    </xf>
    <xf numFmtId="0" fontId="55" fillId="26" borderId="132" xfId="16" applyFont="1" applyFill="1" applyBorder="1" applyAlignment="1">
      <alignment horizontal="center" vertical="center" wrapText="1"/>
    </xf>
    <xf numFmtId="0" fontId="49" fillId="0" borderId="116" xfId="17" applyFont="1" applyBorder="1" applyAlignment="1">
      <alignment horizontal="center" vertical="center"/>
    </xf>
    <xf numFmtId="0" fontId="49" fillId="0" borderId="119" xfId="17" applyFont="1" applyBorder="1" applyAlignment="1">
      <alignment horizontal="center" vertical="center"/>
    </xf>
    <xf numFmtId="0" fontId="49" fillId="23" borderId="123" xfId="16" applyFont="1" applyFill="1" applyBorder="1" applyAlignment="1">
      <alignment horizontal="center" wrapText="1"/>
    </xf>
    <xf numFmtId="0" fontId="49" fillId="23" borderId="124" xfId="16" applyFont="1" applyFill="1" applyBorder="1" applyAlignment="1">
      <alignment horizontal="center" wrapText="1"/>
    </xf>
    <xf numFmtId="0" fontId="49" fillId="23" borderId="125" xfId="16" applyFont="1" applyFill="1" applyBorder="1" applyAlignment="1">
      <alignment horizont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23" fillId="2" borderId="45" xfId="7" applyFont="1" applyFill="1" applyBorder="1" applyAlignment="1">
      <alignment horizontal="left" vertical="center"/>
    </xf>
    <xf numFmtId="0" fontId="23" fillId="2" borderId="46" xfId="7" applyFont="1" applyFill="1" applyBorder="1" applyAlignment="1">
      <alignment horizontal="left" vertical="center"/>
    </xf>
    <xf numFmtId="0" fontId="23" fillId="2" borderId="47" xfId="7" applyFont="1" applyFill="1" applyBorder="1" applyAlignment="1">
      <alignment horizontal="left" vertical="center"/>
    </xf>
    <xf numFmtId="0" fontId="14" fillId="0" borderId="27" xfId="7" applyFont="1" applyBorder="1" applyAlignment="1">
      <alignment horizontal="left" vertical="center"/>
    </xf>
    <xf numFmtId="0" fontId="14" fillId="0" borderId="28" xfId="7" applyFont="1" applyBorder="1" applyAlignment="1">
      <alignment horizontal="left" vertical="center"/>
    </xf>
    <xf numFmtId="0" fontId="17" fillId="0" borderId="31" xfId="7" applyFont="1" applyBorder="1" applyAlignment="1">
      <alignment horizontal="left" vertical="center" wrapText="1"/>
    </xf>
    <xf numFmtId="0" fontId="17" fillId="0" borderId="32" xfId="7" applyFont="1" applyBorder="1" applyAlignment="1">
      <alignment horizontal="left" vertical="center" wrapText="1"/>
    </xf>
    <xf numFmtId="0" fontId="17" fillId="0" borderId="33" xfId="7" applyFont="1" applyBorder="1" applyAlignment="1">
      <alignment horizontal="left" vertical="center" wrapText="1"/>
    </xf>
    <xf numFmtId="0" fontId="18" fillId="0" borderId="38" xfId="7" applyFont="1" applyBorder="1" applyAlignment="1">
      <alignment horizontal="left" vertical="center" wrapText="1" indent="1"/>
    </xf>
    <xf numFmtId="0" fontId="18" fillId="0" borderId="39" xfId="7" applyFont="1" applyBorder="1" applyAlignment="1">
      <alignment horizontal="left" vertical="center" indent="1"/>
    </xf>
    <xf numFmtId="0" fontId="17" fillId="0" borderId="34" xfId="7" applyFont="1" applyBorder="1" applyAlignment="1">
      <alignment horizontal="left" vertical="center" wrapText="1"/>
    </xf>
    <xf numFmtId="0" fontId="17" fillId="0" borderId="60" xfId="7" applyFont="1" applyBorder="1" applyAlignment="1">
      <alignment horizontal="left" vertical="center" wrapText="1"/>
    </xf>
    <xf numFmtId="0" fontId="17" fillId="0" borderId="35" xfId="7" applyFont="1" applyBorder="1" applyAlignment="1">
      <alignment horizontal="left" vertical="center" wrapText="1"/>
    </xf>
    <xf numFmtId="0" fontId="18" fillId="0" borderId="34" xfId="7" applyFont="1" applyBorder="1" applyAlignment="1">
      <alignment horizontal="left" vertical="center" wrapText="1" indent="1"/>
    </xf>
    <xf numFmtId="0" fontId="18" fillId="0" borderId="35" xfId="7" applyFont="1" applyBorder="1" applyAlignment="1">
      <alignment horizontal="left" vertical="center" indent="1"/>
    </xf>
    <xf numFmtId="0" fontId="21" fillId="0" borderId="38" xfId="7" applyFont="1" applyBorder="1" applyAlignment="1">
      <alignment horizontal="left" vertical="center"/>
    </xf>
    <xf numFmtId="0" fontId="17" fillId="0" borderId="4" xfId="7" applyFont="1" applyBorder="1" applyAlignment="1">
      <alignment horizontal="left" vertical="center"/>
    </xf>
    <xf numFmtId="0" fontId="17" fillId="0" borderId="39" xfId="7" applyFont="1" applyBorder="1" applyAlignment="1">
      <alignment horizontal="left" vertical="center"/>
    </xf>
    <xf numFmtId="0" fontId="17" fillId="0" borderId="38" xfId="7" applyFont="1" applyBorder="1" applyAlignment="1">
      <alignment horizontal="left" vertical="center" wrapText="1"/>
    </xf>
    <xf numFmtId="0" fontId="17" fillId="0" borderId="4" xfId="7" applyFont="1" applyBorder="1" applyAlignment="1">
      <alignment horizontal="left" vertical="center" wrapText="1"/>
    </xf>
    <xf numFmtId="0" fontId="17" fillId="0" borderId="39" xfId="7" applyFont="1" applyBorder="1" applyAlignment="1">
      <alignment horizontal="left" vertical="center" wrapText="1"/>
    </xf>
    <xf numFmtId="0" fontId="18" fillId="0" borderId="65" xfId="7" applyFont="1" applyBorder="1" applyAlignment="1">
      <alignment horizontal="left" vertical="center" wrapText="1" indent="1"/>
    </xf>
    <xf numFmtId="0" fontId="18" fillId="0" borderId="66" xfId="7" applyFont="1" applyBorder="1" applyAlignment="1">
      <alignment horizontal="left" vertical="center" wrapText="1" indent="1"/>
    </xf>
    <xf numFmtId="0" fontId="23" fillId="5" borderId="43" xfId="7" applyFont="1" applyFill="1" applyBorder="1" applyAlignment="1">
      <alignment horizontal="center" vertical="center"/>
    </xf>
    <xf numFmtId="0" fontId="23" fillId="5" borderId="26" xfId="7" applyFont="1" applyFill="1" applyBorder="1" applyAlignment="1">
      <alignment horizontal="center" vertical="center"/>
    </xf>
    <xf numFmtId="0" fontId="24" fillId="6" borderId="34" xfId="7" applyFont="1" applyFill="1" applyBorder="1" applyAlignment="1">
      <alignment horizontal="left" vertical="center"/>
    </xf>
    <xf numFmtId="0" fontId="24" fillId="6" borderId="60" xfId="7" applyFont="1" applyFill="1" applyBorder="1" applyAlignment="1">
      <alignment horizontal="left" vertical="center"/>
    </xf>
    <xf numFmtId="0" fontId="24" fillId="6" borderId="35" xfId="7" applyFont="1" applyFill="1" applyBorder="1" applyAlignment="1">
      <alignment horizontal="left" vertical="center"/>
    </xf>
    <xf numFmtId="0" fontId="25" fillId="0" borderId="61" xfId="7" applyFont="1" applyBorder="1" applyAlignment="1">
      <alignment horizontal="left" vertical="center" wrapText="1" indent="1"/>
    </xf>
    <xf numFmtId="0" fontId="25" fillId="0" borderId="62" xfId="7" applyFont="1" applyBorder="1" applyAlignment="1">
      <alignment horizontal="left" vertical="center" indent="1"/>
    </xf>
    <xf numFmtId="0" fontId="26" fillId="0" borderId="34" xfId="7" applyFont="1" applyBorder="1" applyAlignment="1">
      <alignment horizontal="left" vertical="center"/>
    </xf>
    <xf numFmtId="0" fontId="26" fillId="0" borderId="60" xfId="7" applyFont="1" applyBorder="1" applyAlignment="1">
      <alignment horizontal="left" vertical="center"/>
    </xf>
    <xf numFmtId="0" fontId="26" fillId="0" borderId="35" xfId="7" applyFont="1" applyBorder="1" applyAlignment="1">
      <alignment horizontal="left" vertical="center"/>
    </xf>
    <xf numFmtId="0" fontId="25" fillId="0" borderId="43" xfId="7" applyFont="1" applyBorder="1" applyAlignment="1">
      <alignment horizontal="left" vertical="center" wrapText="1" indent="1"/>
    </xf>
    <xf numFmtId="0" fontId="25" fillId="0" borderId="56" xfId="7" applyFont="1" applyBorder="1" applyAlignment="1">
      <alignment horizontal="left" vertical="center" indent="1"/>
    </xf>
    <xf numFmtId="0" fontId="24" fillId="6" borderId="38" xfId="7" applyFont="1" applyFill="1" applyBorder="1" applyAlignment="1">
      <alignment horizontal="left" vertical="center"/>
    </xf>
    <xf numFmtId="0" fontId="24" fillId="6" borderId="4" xfId="7" applyFont="1" applyFill="1" applyBorder="1" applyAlignment="1">
      <alignment horizontal="left" vertical="center"/>
    </xf>
    <xf numFmtId="0" fontId="24" fillId="6" borderId="39" xfId="7" applyFont="1" applyFill="1" applyBorder="1" applyAlignment="1">
      <alignment horizontal="left" vertical="center"/>
    </xf>
    <xf numFmtId="0" fontId="25" fillId="0" borderId="48" xfId="7" applyFont="1" applyBorder="1" applyAlignment="1">
      <alignment horizontal="left" vertical="center" wrapText="1" indent="1"/>
    </xf>
    <xf numFmtId="0" fontId="25" fillId="0" borderId="49" xfId="7" applyFont="1" applyBorder="1" applyAlignment="1">
      <alignment horizontal="left" vertical="center" indent="1"/>
    </xf>
    <xf numFmtId="0" fontId="25" fillId="0" borderId="38" xfId="7" applyFont="1" applyBorder="1" applyAlignment="1">
      <alignment horizontal="left" vertical="center" wrapText="1" indent="1"/>
    </xf>
    <xf numFmtId="0" fontId="25" fillId="0" borderId="39" xfId="7" applyFont="1" applyBorder="1" applyAlignment="1">
      <alignment horizontal="left" vertical="center" wrapText="1" indent="1"/>
    </xf>
    <xf numFmtId="38" fontId="33" fillId="14" borderId="3" xfId="12" applyFont="1" applyFill="1" applyBorder="1" applyAlignment="1">
      <alignment horizontal="distributed" vertical="center"/>
    </xf>
    <xf numFmtId="38" fontId="33" fillId="14" borderId="4" xfId="12" applyFont="1" applyFill="1" applyBorder="1" applyAlignment="1">
      <alignment horizontal="distributed" vertical="center"/>
    </xf>
    <xf numFmtId="38" fontId="33" fillId="14" borderId="4" xfId="12" applyFont="1" applyFill="1" applyBorder="1" applyAlignment="1">
      <alignment horizontal="center" vertical="center"/>
    </xf>
    <xf numFmtId="38" fontId="33" fillId="14" borderId="70" xfId="12" applyFont="1" applyFill="1" applyBorder="1" applyAlignment="1">
      <alignment horizontal="center" vertical="center"/>
    </xf>
    <xf numFmtId="38" fontId="31" fillId="9" borderId="2" xfId="12" applyFont="1" applyFill="1" applyBorder="1" applyAlignment="1">
      <alignment horizontal="center" vertical="distributed" textRotation="255" justifyLastLine="1"/>
    </xf>
    <xf numFmtId="38" fontId="31" fillId="9" borderId="51" xfId="12" applyFont="1" applyFill="1" applyBorder="1" applyAlignment="1">
      <alignment horizontal="center" vertical="distributed" textRotation="255" justifyLastLine="1"/>
    </xf>
    <xf numFmtId="38" fontId="31" fillId="9" borderId="6" xfId="12" applyFont="1" applyFill="1" applyBorder="1" applyAlignment="1">
      <alignment horizontal="center" vertical="distributed" textRotation="255" justifyLastLine="1"/>
    </xf>
    <xf numFmtId="38" fontId="8" fillId="10" borderId="4" xfId="12" applyFont="1" applyFill="1" applyBorder="1" applyAlignment="1">
      <alignment horizontal="distributed" vertical="center"/>
    </xf>
    <xf numFmtId="38" fontId="8" fillId="9" borderId="4" xfId="12" applyFont="1" applyFill="1" applyBorder="1" applyAlignment="1">
      <alignment horizontal="distributed" vertical="center"/>
    </xf>
    <xf numFmtId="38" fontId="8" fillId="9" borderId="70" xfId="12" applyFont="1" applyFill="1" applyBorder="1" applyAlignment="1">
      <alignment horizontal="distributed" vertical="center"/>
    </xf>
    <xf numFmtId="38" fontId="8" fillId="9" borderId="68" xfId="12" applyFont="1" applyFill="1" applyBorder="1" applyAlignment="1">
      <alignment horizontal="distributed" vertical="center"/>
    </xf>
    <xf numFmtId="38" fontId="8" fillId="9" borderId="1" xfId="12" applyFont="1" applyFill="1" applyBorder="1" applyAlignment="1">
      <alignment horizontal="distributed" vertical="center"/>
    </xf>
    <xf numFmtId="38" fontId="8" fillId="9" borderId="3" xfId="12" applyFont="1" applyFill="1" applyBorder="1" applyAlignment="1">
      <alignment horizontal="distributed" vertical="center"/>
    </xf>
    <xf numFmtId="0" fontId="32" fillId="9" borderId="4" xfId="5" applyFont="1" applyFill="1" applyBorder="1" applyAlignment="1">
      <alignment vertical="center"/>
    </xf>
    <xf numFmtId="0" fontId="32" fillId="9" borderId="70" xfId="5" applyFont="1" applyFill="1" applyBorder="1" applyAlignment="1">
      <alignment vertical="center"/>
    </xf>
    <xf numFmtId="38" fontId="33" fillId="12" borderId="3" xfId="12" applyFont="1" applyFill="1" applyBorder="1" applyAlignment="1">
      <alignment horizontal="distributed" vertical="center" justifyLastLine="1"/>
    </xf>
    <xf numFmtId="38" fontId="33" fillId="12" borderId="4" xfId="12" applyFont="1" applyFill="1" applyBorder="1" applyAlignment="1">
      <alignment horizontal="distributed" vertical="center" justifyLastLine="1"/>
    </xf>
    <xf numFmtId="38" fontId="33" fillId="13" borderId="4" xfId="12" applyFont="1" applyFill="1" applyBorder="1" applyAlignment="1">
      <alignment horizontal="distributed" vertical="center"/>
    </xf>
    <xf numFmtId="38" fontId="33" fillId="13" borderId="4" xfId="12" applyFont="1" applyFill="1" applyBorder="1" applyAlignment="1">
      <alignment horizontal="center" vertical="center"/>
    </xf>
    <xf numFmtId="38" fontId="8" fillId="9" borderId="4" xfId="12" applyFont="1" applyFill="1" applyBorder="1" applyAlignment="1">
      <alignment horizontal="center" vertical="center"/>
    </xf>
    <xf numFmtId="38" fontId="8" fillId="10" borderId="3" xfId="12" applyFont="1" applyFill="1" applyBorder="1" applyAlignment="1">
      <alignment horizontal="center" vertical="center"/>
    </xf>
    <xf numFmtId="0" fontId="32" fillId="10" borderId="4" xfId="5" applyFont="1" applyFill="1" applyBorder="1" applyAlignment="1">
      <alignment horizontal="center" vertical="center"/>
    </xf>
    <xf numFmtId="38" fontId="33" fillId="15" borderId="7" xfId="12" applyFont="1" applyFill="1" applyBorder="1" applyAlignment="1">
      <alignment horizontal="distributed" vertical="center"/>
    </xf>
    <xf numFmtId="0" fontId="35" fillId="9" borderId="51" xfId="5" applyFont="1" applyFill="1" applyBorder="1" applyAlignment="1">
      <alignment horizontal="center" vertical="distributed" textRotation="255" justifyLastLine="1"/>
    </xf>
    <xf numFmtId="0" fontId="32" fillId="9" borderId="70" xfId="5" applyFont="1" applyFill="1" applyBorder="1" applyAlignment="1">
      <alignment horizontal="distributed" vertical="center"/>
    </xf>
    <xf numFmtId="0" fontId="32" fillId="9" borderId="1" xfId="5" applyFont="1" applyFill="1" applyBorder="1" applyAlignment="1">
      <alignment horizontal="distributed" vertical="center"/>
    </xf>
    <xf numFmtId="38" fontId="8" fillId="9" borderId="3" xfId="12" applyFont="1" applyFill="1" applyBorder="1" applyAlignment="1">
      <alignment vertical="center"/>
    </xf>
    <xf numFmtId="38" fontId="8" fillId="12" borderId="4" xfId="12" applyFont="1" applyFill="1" applyBorder="1" applyAlignment="1">
      <alignment horizontal="distributed" vertical="center" justifyLastLine="1"/>
    </xf>
    <xf numFmtId="38" fontId="8" fillId="12" borderId="4" xfId="12" applyFont="1" applyFill="1" applyBorder="1" applyAlignment="1">
      <alignment horizontal="center" vertical="center"/>
    </xf>
    <xf numFmtId="0" fontId="32" fillId="9" borderId="4" xfId="5" applyFont="1" applyFill="1" applyBorder="1" applyAlignment="1">
      <alignment horizontal="distributed" vertical="center"/>
    </xf>
    <xf numFmtId="0" fontId="32" fillId="9" borderId="3" xfId="5" applyFont="1" applyFill="1" applyBorder="1" applyAlignment="1">
      <alignment horizontal="distributed" vertical="center"/>
    </xf>
    <xf numFmtId="38" fontId="8" fillId="12" borderId="3" xfId="12" applyFont="1" applyFill="1" applyBorder="1" applyAlignment="1">
      <alignment horizontal="distributed" vertical="center"/>
    </xf>
    <xf numFmtId="0" fontId="32" fillId="12" borderId="4" xfId="5" applyFont="1" applyFill="1" applyBorder="1" applyAlignment="1">
      <alignment horizontal="distributed" vertical="center"/>
    </xf>
    <xf numFmtId="38" fontId="8" fillId="9" borderId="3" xfId="12" applyFont="1" applyFill="1" applyBorder="1" applyAlignment="1">
      <alignment vertical="center" wrapText="1"/>
    </xf>
    <xf numFmtId="38" fontId="8" fillId="9" borderId="4" xfId="12" applyFont="1" applyFill="1" applyBorder="1" applyAlignment="1">
      <alignment vertical="center" wrapText="1"/>
    </xf>
    <xf numFmtId="38" fontId="32" fillId="9" borderId="67" xfId="12" applyFont="1" applyFill="1" applyBorder="1" applyAlignment="1">
      <alignment horizontal="center" vertical="distributed" textRotation="255" justifyLastLine="1"/>
    </xf>
    <xf numFmtId="38" fontId="32" fillId="9" borderId="1" xfId="12" applyFont="1" applyFill="1" applyBorder="1" applyAlignment="1">
      <alignment horizontal="center" vertical="distributed" textRotation="255" justifyLastLine="1"/>
    </xf>
    <xf numFmtId="38" fontId="32" fillId="9" borderId="8" xfId="12" applyFont="1" applyFill="1" applyBorder="1" applyAlignment="1">
      <alignment horizontal="center" vertical="distributed" textRotation="255" justifyLastLine="1"/>
    </xf>
    <xf numFmtId="38" fontId="32" fillId="9" borderId="71" xfId="12" applyFont="1" applyFill="1" applyBorder="1" applyAlignment="1">
      <alignment horizontal="center" vertical="distributed" textRotation="255" justifyLastLine="1"/>
    </xf>
    <xf numFmtId="38" fontId="32" fillId="9" borderId="69" xfId="12" applyFont="1" applyFill="1" applyBorder="1" applyAlignment="1">
      <alignment horizontal="center" vertical="distributed" textRotation="255" justifyLastLine="1"/>
    </xf>
    <xf numFmtId="38" fontId="32" fillId="9" borderId="5" xfId="12" applyFont="1" applyFill="1" applyBorder="1" applyAlignment="1">
      <alignment horizontal="center" vertical="distributed" textRotation="255" justifyLastLine="1"/>
    </xf>
    <xf numFmtId="38" fontId="8" fillId="9" borderId="3" xfId="12" applyFont="1" applyFill="1" applyBorder="1" applyAlignment="1">
      <alignment horizontal="distributed" vertical="center" justifyLastLine="1"/>
    </xf>
    <xf numFmtId="38" fontId="8" fillId="9" borderId="4" xfId="12" applyFont="1" applyFill="1" applyBorder="1" applyAlignment="1">
      <alignment horizontal="distributed" vertical="center" justifyLastLine="1"/>
    </xf>
    <xf numFmtId="38" fontId="8" fillId="9" borderId="4" xfId="12" applyFont="1" applyFill="1" applyBorder="1" applyAlignment="1">
      <alignment horizontal="right" vertical="center"/>
    </xf>
    <xf numFmtId="0" fontId="32" fillId="9" borderId="70" xfId="5" applyFont="1" applyFill="1" applyBorder="1"/>
    <xf numFmtId="38" fontId="33" fillId="13" borderId="3" xfId="12" applyFont="1" applyFill="1" applyBorder="1" applyAlignment="1">
      <alignment horizontal="distributed" vertical="center"/>
    </xf>
    <xf numFmtId="0" fontId="32" fillId="9" borderId="67" xfId="5" applyFont="1" applyFill="1" applyBorder="1" applyAlignment="1">
      <alignment horizontal="distributed" vertical="center"/>
    </xf>
    <xf numFmtId="0" fontId="32" fillId="9" borderId="68" xfId="5" applyFont="1" applyFill="1" applyBorder="1" applyAlignment="1">
      <alignment horizontal="distributed" vertical="center"/>
    </xf>
    <xf numFmtId="38" fontId="0" fillId="9" borderId="3" xfId="12" applyFont="1" applyFill="1" applyBorder="1" applyAlignment="1">
      <alignment horizontal="distributed" vertical="center"/>
    </xf>
    <xf numFmtId="38" fontId="0" fillId="9" borderId="4" xfId="12" applyFont="1" applyFill="1" applyBorder="1" applyAlignment="1">
      <alignment horizontal="distributed" vertical="center"/>
    </xf>
    <xf numFmtId="38" fontId="0" fillId="9" borderId="70" xfId="12" applyFont="1" applyFill="1" applyBorder="1" applyAlignment="1">
      <alignment horizontal="distributed" vertical="center"/>
    </xf>
    <xf numFmtId="38" fontId="31" fillId="9" borderId="7" xfId="12" applyFont="1" applyFill="1" applyBorder="1" applyAlignment="1">
      <alignment horizontal="distributed" vertical="center"/>
    </xf>
    <xf numFmtId="0" fontId="40" fillId="22" borderId="3" xfId="7" applyFont="1" applyFill="1" applyBorder="1" applyAlignment="1">
      <alignment horizontal="center" vertical="center"/>
    </xf>
    <xf numFmtId="0" fontId="40" fillId="22" borderId="4" xfId="7" applyFont="1" applyFill="1" applyBorder="1" applyAlignment="1">
      <alignment horizontal="center" vertical="center"/>
    </xf>
    <xf numFmtId="0" fontId="40" fillId="22" borderId="70" xfId="7" applyFont="1" applyFill="1" applyBorder="1" applyAlignment="1">
      <alignment horizontal="center" vertical="center"/>
    </xf>
    <xf numFmtId="0" fontId="36" fillId="21" borderId="3" xfId="7" applyFont="1" applyFill="1" applyBorder="1" applyAlignment="1">
      <alignment horizontal="center" vertical="center"/>
    </xf>
    <xf numFmtId="0" fontId="36" fillId="21" borderId="4" xfId="7" applyFont="1" applyFill="1" applyBorder="1" applyAlignment="1">
      <alignment horizontal="center" vertical="center"/>
    </xf>
    <xf numFmtId="0" fontId="36" fillId="21" borderId="70" xfId="7" applyFont="1" applyFill="1" applyBorder="1" applyAlignment="1">
      <alignment horizontal="center" vertical="center"/>
    </xf>
    <xf numFmtId="0" fontId="36" fillId="16" borderId="0" xfId="7" applyFont="1" applyFill="1" applyAlignment="1">
      <alignment horizontal="center" vertical="center"/>
    </xf>
    <xf numFmtId="0" fontId="36" fillId="16" borderId="71" xfId="7" applyFont="1" applyFill="1" applyBorder="1" applyAlignment="1">
      <alignment horizontal="center" vertical="center"/>
    </xf>
    <xf numFmtId="0" fontId="36" fillId="18" borderId="0" xfId="7" applyFont="1" applyFill="1" applyAlignment="1">
      <alignment horizontal="center" vertical="center"/>
    </xf>
    <xf numFmtId="0" fontId="36" fillId="18" borderId="71" xfId="7" applyFont="1" applyFill="1" applyBorder="1" applyAlignment="1">
      <alignment horizontal="center" vertical="center"/>
    </xf>
    <xf numFmtId="0" fontId="36" fillId="19" borderId="3" xfId="7" applyFont="1" applyFill="1" applyBorder="1" applyAlignment="1">
      <alignment horizontal="center" vertical="center"/>
    </xf>
    <xf numFmtId="0" fontId="36" fillId="19" borderId="4" xfId="7" applyFont="1" applyFill="1" applyBorder="1" applyAlignment="1">
      <alignment horizontal="center" vertical="center"/>
    </xf>
    <xf numFmtId="0" fontId="36" fillId="19" borderId="70" xfId="7" applyFont="1" applyFill="1" applyBorder="1" applyAlignment="1">
      <alignment horizontal="center" vertical="center"/>
    </xf>
    <xf numFmtId="0" fontId="36" fillId="20" borderId="3" xfId="7" applyFont="1" applyFill="1" applyBorder="1" applyAlignment="1">
      <alignment horizontal="center" vertical="center"/>
    </xf>
    <xf numFmtId="0" fontId="36" fillId="20" borderId="4" xfId="7" applyFont="1" applyFill="1" applyBorder="1" applyAlignment="1">
      <alignment horizontal="center" vertical="center"/>
    </xf>
    <xf numFmtId="0" fontId="36" fillId="20" borderId="70" xfId="7" applyFont="1" applyFill="1" applyBorder="1" applyAlignment="1">
      <alignment horizontal="center" vertical="center"/>
    </xf>
    <xf numFmtId="0" fontId="26" fillId="23" borderId="69" xfId="14" applyFont="1" applyFill="1" applyBorder="1" applyAlignment="1">
      <alignment horizontal="left" vertical="center"/>
    </xf>
    <xf numFmtId="0" fontId="26" fillId="23" borderId="60" xfId="14" applyFont="1" applyFill="1" applyBorder="1" applyAlignment="1">
      <alignment horizontal="left" vertical="center"/>
    </xf>
    <xf numFmtId="0" fontId="26" fillId="23" borderId="5" xfId="14" applyFont="1" applyFill="1" applyBorder="1" applyAlignment="1">
      <alignment horizontal="left" vertical="center"/>
    </xf>
    <xf numFmtId="0" fontId="25" fillId="0" borderId="48" xfId="14" applyFont="1" applyBorder="1" applyAlignment="1">
      <alignment horizontal="left" vertical="center" wrapText="1" indent="1"/>
    </xf>
    <xf numFmtId="0" fontId="25" fillId="0" borderId="49" xfId="14" applyFont="1" applyBorder="1" applyAlignment="1">
      <alignment horizontal="left" vertical="center" indent="1"/>
    </xf>
    <xf numFmtId="0" fontId="26" fillId="0" borderId="38" xfId="14" applyFont="1" applyBorder="1" applyAlignment="1">
      <alignment horizontal="left" vertical="center"/>
    </xf>
    <xf numFmtId="0" fontId="26" fillId="0" borderId="4" xfId="14" applyFont="1" applyBorder="1" applyAlignment="1">
      <alignment horizontal="left" vertical="center"/>
    </xf>
    <xf numFmtId="0" fontId="26" fillId="0" borderId="39" xfId="14" applyFont="1" applyBorder="1" applyAlignment="1">
      <alignment horizontal="left" vertical="center"/>
    </xf>
    <xf numFmtId="0" fontId="25" fillId="0" borderId="43" xfId="14" applyFont="1" applyBorder="1" applyAlignment="1">
      <alignment horizontal="left" vertical="center" wrapText="1" indent="1"/>
    </xf>
    <xf numFmtId="0" fontId="25" fillId="0" borderId="56" xfId="14" applyFont="1" applyBorder="1" applyAlignment="1">
      <alignment horizontal="left" vertical="center" indent="1"/>
    </xf>
    <xf numFmtId="0" fontId="26" fillId="24" borderId="38" xfId="14" applyFont="1" applyFill="1" applyBorder="1" applyAlignment="1">
      <alignment horizontal="left" vertical="center"/>
    </xf>
    <xf numFmtId="0" fontId="26" fillId="24" borderId="4" xfId="14" applyFont="1" applyFill="1" applyBorder="1" applyAlignment="1">
      <alignment horizontal="left" vertical="center"/>
    </xf>
    <xf numFmtId="0" fontId="26" fillId="24" borderId="39" xfId="14" applyFont="1" applyFill="1" applyBorder="1" applyAlignment="1">
      <alignment horizontal="left" vertical="center"/>
    </xf>
    <xf numFmtId="0" fontId="23" fillId="2" borderId="107" xfId="14" applyFont="1" applyFill="1" applyBorder="1" applyAlignment="1">
      <alignment horizontal="left" vertical="center"/>
    </xf>
    <xf numFmtId="0" fontId="23" fillId="2" borderId="108" xfId="14" applyFont="1" applyFill="1" applyBorder="1" applyAlignment="1">
      <alignment horizontal="left" vertical="center"/>
    </xf>
    <xf numFmtId="0" fontId="23" fillId="2" borderId="109" xfId="14" applyFont="1" applyFill="1" applyBorder="1" applyAlignment="1">
      <alignment horizontal="left" vertical="center"/>
    </xf>
    <xf numFmtId="0" fontId="18" fillId="0" borderId="34" xfId="14" applyFont="1" applyBorder="1" applyAlignment="1">
      <alignment horizontal="left" vertical="center" wrapText="1" indent="1"/>
    </xf>
    <xf numFmtId="0" fontId="18" fillId="0" borderId="35" xfId="14" applyFont="1" applyBorder="1" applyAlignment="1">
      <alignment horizontal="left" vertical="center" indent="1"/>
    </xf>
    <xf numFmtId="0" fontId="21" fillId="0" borderId="38" xfId="14" applyFont="1" applyBorder="1" applyAlignment="1">
      <alignment horizontal="left" vertical="center" wrapText="1"/>
    </xf>
    <xf numFmtId="0" fontId="17" fillId="0" borderId="4" xfId="14" applyFont="1" applyBorder="1" applyAlignment="1">
      <alignment horizontal="left" vertical="center" wrapText="1"/>
    </xf>
    <xf numFmtId="0" fontId="17" fillId="0" borderId="39" xfId="14" applyFont="1" applyBorder="1" applyAlignment="1">
      <alignment horizontal="left" vertical="center" wrapText="1"/>
    </xf>
    <xf numFmtId="0" fontId="18" fillId="0" borderId="96" xfId="14" applyFont="1" applyBorder="1" applyAlignment="1">
      <alignment horizontal="left" vertical="center" wrapText="1" indent="1"/>
    </xf>
    <xf numFmtId="0" fontId="18" fillId="0" borderId="97" xfId="14" applyFont="1" applyBorder="1" applyAlignment="1">
      <alignment horizontal="left" vertical="center" indent="1"/>
    </xf>
    <xf numFmtId="0" fontId="18" fillId="0" borderId="48" xfId="14" applyFont="1" applyBorder="1" applyAlignment="1">
      <alignment horizontal="left" vertical="center" wrapText="1" indent="1"/>
    </xf>
    <xf numFmtId="0" fontId="18" fillId="0" borderId="49" xfId="14" applyFont="1" applyBorder="1" applyAlignment="1">
      <alignment horizontal="left" vertical="center" indent="1"/>
    </xf>
    <xf numFmtId="0" fontId="17" fillId="10" borderId="31" xfId="14" applyFont="1" applyFill="1" applyBorder="1" applyAlignment="1">
      <alignment horizontal="left" vertical="center" wrapText="1"/>
    </xf>
    <xf numFmtId="0" fontId="17" fillId="10" borderId="32" xfId="14" applyFont="1" applyFill="1" applyBorder="1" applyAlignment="1">
      <alignment horizontal="left" vertical="center" wrapText="1"/>
    </xf>
    <xf numFmtId="0" fontId="17" fillId="10" borderId="33" xfId="14" applyFont="1" applyFill="1" applyBorder="1" applyAlignment="1">
      <alignment horizontal="left" vertical="center" wrapText="1"/>
    </xf>
    <xf numFmtId="0" fontId="52" fillId="18" borderId="101" xfId="14" applyFont="1" applyFill="1" applyBorder="1" applyAlignment="1">
      <alignment horizontal="center" vertical="center"/>
    </xf>
    <xf numFmtId="0" fontId="52" fillId="18" borderId="102" xfId="14" applyFont="1" applyFill="1" applyBorder="1" applyAlignment="1">
      <alignment horizontal="center" vertical="center"/>
    </xf>
    <xf numFmtId="0" fontId="25" fillId="0" borderId="0" xfId="14" applyFont="1" applyAlignment="1">
      <alignment horizontal="left" vertical="center" wrapText="1" indent="1"/>
    </xf>
    <xf numFmtId="9" fontId="51" fillId="0" borderId="94" xfId="15" applyNumberFormat="1" applyFont="1" applyFill="1" applyBorder="1" applyAlignment="1">
      <alignment horizontal="center" vertical="center"/>
    </xf>
    <xf numFmtId="9" fontId="51" fillId="0" borderId="60" xfId="15" applyNumberFormat="1" applyFont="1" applyFill="1" applyBorder="1" applyAlignment="1">
      <alignment horizontal="center" vertical="center"/>
    </xf>
    <xf numFmtId="9" fontId="51" fillId="0" borderId="95" xfId="15" applyNumberFormat="1" applyFont="1" applyFill="1" applyBorder="1" applyAlignment="1">
      <alignment horizontal="center" vertical="center"/>
    </xf>
    <xf numFmtId="0" fontId="17" fillId="0" borderId="4" xfId="14" applyFont="1" applyBorder="1" applyAlignment="1">
      <alignment horizontal="left" vertical="center"/>
    </xf>
    <xf numFmtId="0" fontId="17" fillId="0" borderId="39" xfId="14" applyFont="1" applyBorder="1" applyAlignment="1">
      <alignment horizontal="left" vertical="center"/>
    </xf>
    <xf numFmtId="0" fontId="21" fillId="10" borderId="31" xfId="14" applyFont="1" applyFill="1" applyBorder="1" applyAlignment="1">
      <alignment horizontal="left" vertical="center" wrapText="1"/>
    </xf>
    <xf numFmtId="0" fontId="43" fillId="0" borderId="0" xfId="14" applyFont="1" applyAlignment="1">
      <alignment horizontal="center" vertical="center"/>
    </xf>
    <xf numFmtId="0" fontId="47" fillId="0" borderId="0" xfId="14" applyFont="1" applyAlignment="1">
      <alignment horizontal="left" vertical="center" wrapText="1" indent="1"/>
    </xf>
    <xf numFmtId="0" fontId="42" fillId="14" borderId="3" xfId="14" applyFont="1" applyFill="1" applyBorder="1" applyAlignment="1">
      <alignment horizontal="left" vertical="center" wrapText="1"/>
    </xf>
    <xf numFmtId="0" fontId="42" fillId="14" borderId="4" xfId="14" applyFont="1" applyFill="1" applyBorder="1" applyAlignment="1">
      <alignment horizontal="left" vertical="center" wrapText="1"/>
    </xf>
    <xf numFmtId="0" fontId="50" fillId="10" borderId="73" xfId="14" applyFont="1" applyFill="1" applyBorder="1" applyAlignment="1">
      <alignment horizontal="left" vertical="center" wrapText="1"/>
    </xf>
    <xf numFmtId="0" fontId="50" fillId="10" borderId="74" xfId="14" applyFont="1" applyFill="1" applyBorder="1" applyAlignment="1">
      <alignment horizontal="left" vertical="center" wrapText="1"/>
    </xf>
    <xf numFmtId="181" fontId="51" fillId="0" borderId="113" xfId="15" applyNumberFormat="1" applyFont="1" applyFill="1" applyBorder="1" applyAlignment="1">
      <alignment horizontal="center" vertical="center"/>
    </xf>
    <xf numFmtId="181" fontId="51" fillId="0" borderId="114" xfId="15" applyNumberFormat="1" applyFont="1" applyFill="1" applyBorder="1" applyAlignment="1">
      <alignment horizontal="center" vertical="center"/>
    </xf>
    <xf numFmtId="181" fontId="51" fillId="0" borderId="115" xfId="15" applyNumberFormat="1" applyFont="1" applyFill="1" applyBorder="1" applyAlignment="1">
      <alignment horizontal="center" vertical="center"/>
    </xf>
    <xf numFmtId="0" fontId="50" fillId="10" borderId="110" xfId="14" applyFont="1" applyFill="1" applyBorder="1" applyAlignment="1">
      <alignment horizontal="left" vertical="center" wrapText="1"/>
    </xf>
    <xf numFmtId="0" fontId="50" fillId="10" borderId="111" xfId="14" applyFont="1" applyFill="1" applyBorder="1" applyAlignment="1">
      <alignment horizontal="left" vertical="center" wrapText="1"/>
    </xf>
    <xf numFmtId="0" fontId="50" fillId="10" borderId="112" xfId="14" applyFont="1" applyFill="1" applyBorder="1" applyAlignment="1">
      <alignment horizontal="left" vertical="center" wrapText="1"/>
    </xf>
    <xf numFmtId="0" fontId="17" fillId="10" borderId="73" xfId="14" applyFont="1" applyFill="1" applyBorder="1" applyAlignment="1">
      <alignment horizontal="left" vertical="center" wrapText="1"/>
    </xf>
    <xf numFmtId="0" fontId="17" fillId="10" borderId="74" xfId="14" applyFont="1" applyFill="1" applyBorder="1" applyAlignment="1">
      <alignment horizontal="left" vertical="center" wrapText="1"/>
    </xf>
  </cellXfs>
  <cellStyles count="18">
    <cellStyle name="パーセント" xfId="4" builtinId="5"/>
    <cellStyle name="パーセント 2" xfId="11" xr:uid="{689D182C-B596-4FE3-B731-630DA5323924}"/>
    <cellStyle name="パーセント 3" xfId="13" xr:uid="{E6549BA2-1CB3-460E-A168-3ED0297314C4}"/>
    <cellStyle name="桁区切り" xfId="1" builtinId="6"/>
    <cellStyle name="桁区切り 2" xfId="10" xr:uid="{E4A7893E-370A-4EEF-9B58-C1D5CFD71E72}"/>
    <cellStyle name="桁区切り 2 2" xfId="12" xr:uid="{C758833F-020F-4F33-AA35-23522905B89A}"/>
    <cellStyle name="桁区切り 3" xfId="8" xr:uid="{C526FD76-A3F2-4E68-9E13-B3D37FEF39FE}"/>
    <cellStyle name="桁区切り 3 2" xfId="2" xr:uid="{F2350986-709E-497B-97BD-F77F7A6797D9}"/>
    <cellStyle name="桁区切り 4" xfId="3" xr:uid="{AAE1DDE1-60B0-4DD8-A660-0F68E729797C}"/>
    <cellStyle name="桁区切り 4 2" xfId="6" xr:uid="{6F65836D-E242-48DD-A36F-C0EAE1201288}"/>
    <cellStyle name="桁区切り 4 2 2 3" xfId="15" xr:uid="{BDF5CBAC-10B9-489D-8027-AD6774BEC874}"/>
    <cellStyle name="標準" xfId="0" builtinId="0"/>
    <cellStyle name="標準 2" xfId="9" xr:uid="{58A60588-DD85-4613-B60C-AF00ADF8A0A8}"/>
    <cellStyle name="標準 2 2" xfId="5" xr:uid="{8B8A36E6-D980-423D-BF67-852BB380BC8B}"/>
    <cellStyle name="標準 2 2 2 2" xfId="16" xr:uid="{1A171F2C-7DD8-446B-B84A-3704E2792AF2}"/>
    <cellStyle name="標準 2 5" xfId="17" xr:uid="{0B2EEEAB-65F0-4F30-8E70-6FD75E7C0F7E}"/>
    <cellStyle name="標準 4 2" xfId="7" xr:uid="{BEC7291C-4844-4569-9A39-FD85B75AD64C}"/>
    <cellStyle name="標準 4 2 2 3" xfId="14" xr:uid="{EB1D3B0F-BC9F-4430-9180-AC55EE958C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worksheet" Target="worksheets/sheet19.xml"/><Relationship Id="rId39" Type="http://schemas.openxmlformats.org/officeDocument/2006/relationships/externalLink" Target="externalLinks/externalLink9.xml"/><Relationship Id="rId21" Type="http://schemas.openxmlformats.org/officeDocument/2006/relationships/worksheet" Target="worksheets/sheet14.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microsoft.com/office/2017/10/relationships/person" Target="persons/person.xml"/><Relationship Id="rId7" Type="http://schemas.openxmlformats.org/officeDocument/2006/relationships/chartsheet" Target="chartsheets/sheet5.xml"/><Relationship Id="rId2" Type="http://schemas.openxmlformats.org/officeDocument/2006/relationships/worksheet" Target="worksheets/sheet2.xml"/><Relationship Id="rId16" Type="http://schemas.openxmlformats.org/officeDocument/2006/relationships/worksheet" Target="worksheets/sheet9.xml"/><Relationship Id="rId29" Type="http://schemas.openxmlformats.org/officeDocument/2006/relationships/worksheet" Target="worksheets/sheet2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4.xml"/><Relationship Id="rId24" Type="http://schemas.openxmlformats.org/officeDocument/2006/relationships/worksheet" Target="worksheets/sheet17.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styles" Target="styles.xml"/><Relationship Id="rId5" Type="http://schemas.openxmlformats.org/officeDocument/2006/relationships/chartsheet" Target="chartsheets/sheet3.xml"/><Relationship Id="rId15" Type="http://schemas.openxmlformats.org/officeDocument/2006/relationships/worksheet" Target="worksheets/sheet8.xml"/><Relationship Id="rId23" Type="http://schemas.openxmlformats.org/officeDocument/2006/relationships/worksheet" Target="worksheets/sheet16.xml"/><Relationship Id="rId28" Type="http://schemas.openxmlformats.org/officeDocument/2006/relationships/worksheet" Target="worksheets/sheet21.xml"/><Relationship Id="rId36" Type="http://schemas.openxmlformats.org/officeDocument/2006/relationships/externalLink" Target="externalLinks/externalLink6.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externalLink" Target="externalLinks/externalLink1.xml"/><Relationship Id="rId44" Type="http://schemas.openxmlformats.org/officeDocument/2006/relationships/theme" Target="theme/theme1.xml"/><Relationship Id="rId4" Type="http://schemas.openxmlformats.org/officeDocument/2006/relationships/chartsheet" Target="chartsheets/sheet2.xml"/><Relationship Id="rId9" Type="http://schemas.openxmlformats.org/officeDocument/2006/relationships/chartsheet" Target="chartsheets/sheet7.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worksheet" Target="worksheets/sheet20.xml"/><Relationship Id="rId30" Type="http://schemas.openxmlformats.org/officeDocument/2006/relationships/worksheet" Target="worksheets/sheet23.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8" Type="http://schemas.openxmlformats.org/officeDocument/2006/relationships/chartsheet" Target="chartsheets/sheet6.xml"/><Relationship Id="rId3" Type="http://schemas.openxmlformats.org/officeDocument/2006/relationships/chartsheet" Target="chartsheets/sheet1.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worksheet" Target="worksheets/sheet18.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sharedStrings" Target="sharedStrings.xml"/><Relationship Id="rId20" Type="http://schemas.openxmlformats.org/officeDocument/2006/relationships/worksheet" Target="worksheets/sheet13.xml"/><Relationship Id="rId41"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3841-4702-A607-78575EA9E233}"/>
            </c:ext>
          </c:extLst>
        </c:ser>
        <c:dLbls>
          <c:showLegendKey val="0"/>
          <c:showVal val="0"/>
          <c:showCatName val="0"/>
          <c:showSerName val="0"/>
          <c:showPercent val="0"/>
          <c:showBubbleSize val="0"/>
        </c:dLbls>
        <c:gapWidth val="150"/>
        <c:axId val="568094576"/>
        <c:axId val="568092656"/>
      </c:barChart>
      <c:catAx>
        <c:axId val="5680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68092656"/>
        <c:crosses val="autoZero"/>
        <c:auto val="1"/>
        <c:lblAlgn val="ctr"/>
        <c:lblOffset val="100"/>
        <c:noMultiLvlLbl val="0"/>
      </c:catAx>
      <c:valAx>
        <c:axId val="5680926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568094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69AF-40D0-99DA-253A68C9A6D1}"/>
            </c:ext>
          </c:extLst>
        </c:ser>
        <c:ser>
          <c:idx val="1"/>
          <c:order val="1"/>
          <c:tx>
            <c:strRef>
              <c:f>予測!$E$13</c:f>
              <c:strCache>
                <c:ptCount val="1"/>
                <c:pt idx="0">
                  <c:v>処理区域人口(人）</c:v>
                </c:pt>
              </c:strCache>
            </c:strRef>
          </c:tx>
          <c:spPr>
            <a:solidFill>
              <a:schemeClr val="accent2"/>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予測!$F$13:$O$13</c:f>
              <c:numCache>
                <c:formatCode>#,##0_);[Red]\(#,##0\)</c:formatCode>
                <c:ptCount val="10"/>
                <c:pt idx="0">
                  <c:v>2727</c:v>
                </c:pt>
                <c:pt idx="1">
                  <c:v>2719</c:v>
                </c:pt>
                <c:pt idx="2">
                  <c:v>2712</c:v>
                </c:pt>
                <c:pt idx="3">
                  <c:v>2704</c:v>
                </c:pt>
                <c:pt idx="4">
                  <c:v>2696</c:v>
                </c:pt>
                <c:pt idx="5">
                  <c:v>2674</c:v>
                </c:pt>
                <c:pt idx="6">
                  <c:v>2664</c:v>
                </c:pt>
                <c:pt idx="7">
                  <c:v>2653</c:v>
                </c:pt>
                <c:pt idx="8">
                  <c:v>2643</c:v>
                </c:pt>
                <c:pt idx="9">
                  <c:v>2633</c:v>
                </c:pt>
              </c:numCache>
            </c:numRef>
          </c:val>
          <c:extLst>
            <c:ext xmlns:c16="http://schemas.microsoft.com/office/drawing/2014/chart" uri="{C3380CC4-5D6E-409C-BE32-E72D297353CC}">
              <c16:uniqueId val="{00000001-69AF-40D0-99DA-253A68C9A6D1}"/>
            </c:ext>
          </c:extLst>
        </c:ser>
        <c:dLbls>
          <c:showLegendKey val="0"/>
          <c:showVal val="0"/>
          <c:showCatName val="0"/>
          <c:showSerName val="0"/>
          <c:showPercent val="0"/>
          <c:showBubbleSize val="0"/>
        </c:dLbls>
        <c:gapWidth val="150"/>
        <c:axId val="499423392"/>
        <c:axId val="499421472"/>
      </c:barChart>
      <c:lineChart>
        <c:grouping val="standard"/>
        <c:varyColors val="0"/>
        <c:ser>
          <c:idx val="2"/>
          <c:order val="2"/>
          <c:tx>
            <c:strRef>
              <c:f>予測!$E$14</c:f>
              <c:strCache>
                <c:ptCount val="1"/>
                <c:pt idx="0">
                  <c:v>水洗化人口(人）</c:v>
                </c:pt>
              </c:strCache>
            </c:strRef>
          </c:tx>
          <c:spPr>
            <a:ln w="28575" cap="rnd">
              <a:solidFill>
                <a:schemeClr val="accent3"/>
              </a:solidFill>
              <a:round/>
            </a:ln>
            <a:effectLst/>
          </c:spPr>
          <c:marker>
            <c:symbol val="square"/>
            <c:size val="15"/>
            <c:spPr>
              <a:solidFill>
                <a:schemeClr val="bg1">
                  <a:lumMod val="95000"/>
                </a:schemeClr>
              </a:solidFill>
              <a:ln w="44450">
                <a:solidFill>
                  <a:schemeClr val="accent3"/>
                </a:solidFill>
              </a:ln>
              <a:effectLst/>
            </c:spPr>
          </c:marker>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予測!$F$14:$O$14</c:f>
              <c:numCache>
                <c:formatCode>#,##0_);[Red]\(#,##0\)</c:formatCode>
                <c:ptCount val="10"/>
                <c:pt idx="0">
                  <c:v>2686</c:v>
                </c:pt>
                <c:pt idx="1">
                  <c:v>2678</c:v>
                </c:pt>
                <c:pt idx="2">
                  <c:v>2671</c:v>
                </c:pt>
                <c:pt idx="3">
                  <c:v>2663</c:v>
                </c:pt>
                <c:pt idx="4">
                  <c:v>2656</c:v>
                </c:pt>
                <c:pt idx="5">
                  <c:v>2634</c:v>
                </c:pt>
                <c:pt idx="6">
                  <c:v>2624</c:v>
                </c:pt>
                <c:pt idx="7">
                  <c:v>2613</c:v>
                </c:pt>
                <c:pt idx="8">
                  <c:v>2603</c:v>
                </c:pt>
                <c:pt idx="9">
                  <c:v>2594</c:v>
                </c:pt>
              </c:numCache>
            </c:numRef>
          </c:val>
          <c:smooth val="0"/>
          <c:extLst>
            <c:ext xmlns:c16="http://schemas.microsoft.com/office/drawing/2014/chart" uri="{C3380CC4-5D6E-409C-BE32-E72D297353CC}">
              <c16:uniqueId val="{00000002-69AF-40D0-99DA-253A68C9A6D1}"/>
            </c:ext>
          </c:extLst>
        </c:ser>
        <c:dLbls>
          <c:showLegendKey val="0"/>
          <c:showVal val="0"/>
          <c:showCatName val="0"/>
          <c:showSerName val="0"/>
          <c:showPercent val="0"/>
          <c:showBubbleSize val="0"/>
        </c:dLbls>
        <c:marker val="1"/>
        <c:smooth val="0"/>
        <c:axId val="496638880"/>
        <c:axId val="496637440"/>
      </c:lineChart>
      <c:catAx>
        <c:axId val="4994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9421472"/>
        <c:crosses val="autoZero"/>
        <c:auto val="1"/>
        <c:lblAlgn val="ctr"/>
        <c:lblOffset val="100"/>
        <c:noMultiLvlLbl val="0"/>
      </c:catAx>
      <c:valAx>
        <c:axId val="49942147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9423392"/>
        <c:crosses val="autoZero"/>
        <c:crossBetween val="between"/>
      </c:valAx>
      <c:valAx>
        <c:axId val="496637440"/>
        <c:scaling>
          <c:orientation val="minMax"/>
          <c:min val="0"/>
        </c:scaling>
        <c:delete val="0"/>
        <c:axPos val="r"/>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8880"/>
        <c:crosses val="max"/>
        <c:crossBetween val="between"/>
      </c:valAx>
      <c:catAx>
        <c:axId val="496638880"/>
        <c:scaling>
          <c:orientation val="minMax"/>
        </c:scaling>
        <c:delete val="1"/>
        <c:axPos val="b"/>
        <c:numFmt formatCode="General" sourceLinked="1"/>
        <c:majorTickMark val="out"/>
        <c:minorTickMark val="none"/>
        <c:tickLblPos val="nextTo"/>
        <c:crossAx val="4966374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予測!$E$21</c:f>
              <c:strCache>
                <c:ptCount val="1"/>
                <c:pt idx="0">
                  <c:v>有収水量（㎥）</c:v>
                </c:pt>
              </c:strCache>
            </c:strRef>
          </c:tx>
          <c:spPr>
            <a:solidFill>
              <a:schemeClr val="accent1"/>
            </a:solidFill>
            <a:ln>
              <a:noFill/>
            </a:ln>
            <a:effectLst/>
          </c:spPr>
          <c:invertIfNegative val="0"/>
          <c:cat>
            <c:strRef>
              <c:f>予測!$F$18:$O$18</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予測!$F$21:$O$21</c:f>
              <c:numCache>
                <c:formatCode>#,##0_);[Red]\(#,##0\)</c:formatCode>
                <c:ptCount val="10"/>
                <c:pt idx="0">
                  <c:v>362295</c:v>
                </c:pt>
                <c:pt idx="1">
                  <c:v>361566</c:v>
                </c:pt>
                <c:pt idx="2">
                  <c:v>360928</c:v>
                </c:pt>
                <c:pt idx="3">
                  <c:v>360199</c:v>
                </c:pt>
                <c:pt idx="4">
                  <c:v>359562</c:v>
                </c:pt>
                <c:pt idx="5">
                  <c:v>357557</c:v>
                </c:pt>
                <c:pt idx="6">
                  <c:v>356646</c:v>
                </c:pt>
                <c:pt idx="7">
                  <c:v>355644</c:v>
                </c:pt>
                <c:pt idx="8">
                  <c:v>354733</c:v>
                </c:pt>
                <c:pt idx="9">
                  <c:v>353913</c:v>
                </c:pt>
              </c:numCache>
            </c:numRef>
          </c:val>
          <c:extLst>
            <c:ext xmlns:c16="http://schemas.microsoft.com/office/drawing/2014/chart" uri="{C3380CC4-5D6E-409C-BE32-E72D297353CC}">
              <c16:uniqueId val="{00000000-D508-4409-B9EF-9D3AB3F33F19}"/>
            </c:ext>
          </c:extLst>
        </c:ser>
        <c:dLbls>
          <c:showLegendKey val="0"/>
          <c:showVal val="0"/>
          <c:showCatName val="0"/>
          <c:showSerName val="0"/>
          <c:showPercent val="0"/>
          <c:showBubbleSize val="0"/>
        </c:dLbls>
        <c:gapWidth val="150"/>
        <c:axId val="496634560"/>
        <c:axId val="496632160"/>
      </c:barChart>
      <c:catAx>
        <c:axId val="496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632160"/>
        <c:crosses val="autoZero"/>
        <c:auto val="1"/>
        <c:lblAlgn val="ctr"/>
        <c:lblOffset val="100"/>
        <c:noMultiLvlLbl val="0"/>
      </c:catAx>
      <c:valAx>
        <c:axId val="496632160"/>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予測!$E$25</c:f>
              <c:strCache>
                <c:ptCount val="1"/>
                <c:pt idx="0">
                  <c:v>料金収入</c:v>
                </c:pt>
              </c:strCache>
            </c:strRef>
          </c:tx>
          <c:spPr>
            <a:solidFill>
              <a:schemeClr val="accent1"/>
            </a:solidFill>
            <a:ln>
              <a:noFill/>
            </a:ln>
            <a:effectLst/>
          </c:spPr>
          <c:invertIfNegative val="0"/>
          <c:cat>
            <c:strRef>
              <c:f>予測!$F$22:$O$22</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予測!$F$25:$O$25</c:f>
              <c:numCache>
                <c:formatCode>#,##0_);[Red]\(#,##0\)</c:formatCode>
                <c:ptCount val="10"/>
                <c:pt idx="0">
                  <c:v>61771</c:v>
                </c:pt>
                <c:pt idx="1">
                  <c:v>61647</c:v>
                </c:pt>
                <c:pt idx="2">
                  <c:v>61538</c:v>
                </c:pt>
                <c:pt idx="3">
                  <c:v>61414</c:v>
                </c:pt>
                <c:pt idx="4">
                  <c:v>61306</c:v>
                </c:pt>
                <c:pt idx="5">
                  <c:v>60964</c:v>
                </c:pt>
                <c:pt idx="6">
                  <c:v>60808</c:v>
                </c:pt>
                <c:pt idx="7">
                  <c:v>60638</c:v>
                </c:pt>
                <c:pt idx="8">
                  <c:v>60482</c:v>
                </c:pt>
                <c:pt idx="9">
                  <c:v>60342</c:v>
                </c:pt>
              </c:numCache>
            </c:numRef>
          </c:val>
          <c:extLst>
            <c:ext xmlns:c16="http://schemas.microsoft.com/office/drawing/2014/chart" uri="{C3380CC4-5D6E-409C-BE32-E72D297353CC}">
              <c16:uniqueId val="{00000000-4684-48E7-A32D-004C8F1AC480}"/>
            </c:ext>
          </c:extLst>
        </c:ser>
        <c:dLbls>
          <c:showLegendKey val="0"/>
          <c:showVal val="0"/>
          <c:showCatName val="0"/>
          <c:showSerName val="0"/>
          <c:showPercent val="0"/>
          <c:showBubbleSize val="0"/>
        </c:dLbls>
        <c:gapWidth val="150"/>
        <c:axId val="435804176"/>
        <c:axId val="435802736"/>
      </c:barChart>
      <c:catAx>
        <c:axId val="4358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35802736"/>
        <c:crosses val="autoZero"/>
        <c:auto val="1"/>
        <c:lblAlgn val="ctr"/>
        <c:lblOffset val="100"/>
        <c:noMultiLvlLbl val="0"/>
      </c:catAx>
      <c:valAx>
        <c:axId val="435802736"/>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3580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予測!$E$31</c:f>
              <c:strCache>
                <c:ptCount val="1"/>
                <c:pt idx="0">
                  <c:v>給水人口（人）</c:v>
                </c:pt>
              </c:strCache>
            </c:strRef>
          </c:tx>
          <c:spPr>
            <a:solidFill>
              <a:schemeClr val="accent1"/>
            </a:solidFill>
            <a:ln w="50800">
              <a:noFill/>
            </a:ln>
            <a:effectLst/>
          </c:spPr>
          <c:invertIfNegative val="0"/>
          <c:cat>
            <c:strRef>
              <c:f>予測!$F$29:$O$29</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予測!$F$31:$O$31</c:f>
              <c:numCache>
                <c:formatCode>#,##0_);[Red]\(#,##0\)</c:formatCode>
                <c:ptCount val="10"/>
                <c:pt idx="0">
                  <c:v>3803</c:v>
                </c:pt>
                <c:pt idx="1">
                  <c:v>3798</c:v>
                </c:pt>
                <c:pt idx="2">
                  <c:v>3794</c:v>
                </c:pt>
                <c:pt idx="3">
                  <c:v>3790</c:v>
                </c:pt>
                <c:pt idx="4">
                  <c:v>3786</c:v>
                </c:pt>
                <c:pt idx="5">
                  <c:v>3783</c:v>
                </c:pt>
                <c:pt idx="6">
                  <c:v>3779</c:v>
                </c:pt>
                <c:pt idx="7">
                  <c:v>3776</c:v>
                </c:pt>
                <c:pt idx="8">
                  <c:v>3773</c:v>
                </c:pt>
                <c:pt idx="9">
                  <c:v>3771</c:v>
                </c:pt>
              </c:numCache>
            </c:numRef>
          </c:val>
          <c:extLst>
            <c:ext xmlns:c16="http://schemas.microsoft.com/office/drawing/2014/chart" uri="{C3380CC4-5D6E-409C-BE32-E72D297353CC}">
              <c16:uniqueId val="{00000000-1F06-4019-AE1A-1516488EBB0F}"/>
            </c:ext>
          </c:extLst>
        </c:ser>
        <c:dLbls>
          <c:showLegendKey val="0"/>
          <c:showVal val="0"/>
          <c:showCatName val="0"/>
          <c:showSerName val="0"/>
          <c:showPercent val="0"/>
          <c:showBubbleSize val="0"/>
        </c:dLbls>
        <c:gapWidth val="150"/>
        <c:axId val="173899376"/>
        <c:axId val="173897456"/>
      </c:barChart>
      <c:catAx>
        <c:axId val="1738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3897456"/>
        <c:crosses val="autoZero"/>
        <c:auto val="1"/>
        <c:lblAlgn val="ctr"/>
        <c:lblOffset val="100"/>
        <c:noMultiLvlLbl val="0"/>
      </c:catAx>
      <c:valAx>
        <c:axId val="173897456"/>
        <c:scaling>
          <c:orientation val="minMax"/>
          <c:min val="3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17389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予測!$E$36</c:f>
              <c:strCache>
                <c:ptCount val="1"/>
                <c:pt idx="0">
                  <c:v>有収水量（㎥）</c:v>
                </c:pt>
              </c:strCache>
            </c:strRef>
          </c:tx>
          <c:spPr>
            <a:solidFill>
              <a:schemeClr val="accent1"/>
            </a:solidFill>
            <a:ln>
              <a:noFill/>
            </a:ln>
            <a:effectLst/>
          </c:spPr>
          <c:invertIfNegative val="0"/>
          <c:cat>
            <c:strRef>
              <c:f>予測!$F$35:$O$35</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予測!$F$36:$O$36</c:f>
              <c:numCache>
                <c:formatCode>#,##0_);[Red]\(#,##0\)</c:formatCode>
                <c:ptCount val="10"/>
                <c:pt idx="0">
                  <c:v>741320</c:v>
                </c:pt>
                <c:pt idx="1">
                  <c:v>740950</c:v>
                </c:pt>
                <c:pt idx="2">
                  <c:v>742610</c:v>
                </c:pt>
                <c:pt idx="3">
                  <c:v>740590</c:v>
                </c:pt>
                <c:pt idx="4">
                  <c:v>740220</c:v>
                </c:pt>
                <c:pt idx="5">
                  <c:v>740220</c:v>
                </c:pt>
                <c:pt idx="6">
                  <c:v>741880</c:v>
                </c:pt>
                <c:pt idx="7">
                  <c:v>739490</c:v>
                </c:pt>
                <c:pt idx="8">
                  <c:v>739490</c:v>
                </c:pt>
                <c:pt idx="9">
                  <c:v>739490</c:v>
                </c:pt>
              </c:numCache>
            </c:numRef>
          </c:val>
          <c:extLst>
            <c:ext xmlns:c16="http://schemas.microsoft.com/office/drawing/2014/chart" uri="{C3380CC4-5D6E-409C-BE32-E72D297353CC}">
              <c16:uniqueId val="{00000000-982F-45D9-AEED-5F1E503B807F}"/>
            </c:ext>
          </c:extLst>
        </c:ser>
        <c:dLbls>
          <c:showLegendKey val="0"/>
          <c:showVal val="0"/>
          <c:showCatName val="0"/>
          <c:showSerName val="0"/>
          <c:showPercent val="0"/>
          <c:showBubbleSize val="0"/>
        </c:dLbls>
        <c:gapWidth val="150"/>
        <c:axId val="233477296"/>
        <c:axId val="233460976"/>
      </c:barChart>
      <c:catAx>
        <c:axId val="2334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60976"/>
        <c:crosses val="autoZero"/>
        <c:auto val="1"/>
        <c:lblAlgn val="ctr"/>
        <c:lblOffset val="100"/>
        <c:noMultiLvlLbl val="0"/>
      </c:catAx>
      <c:valAx>
        <c:axId val="233460976"/>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7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予測!$E$41</c:f>
              <c:strCache>
                <c:ptCount val="1"/>
                <c:pt idx="0">
                  <c:v>料金収入（千円）</c:v>
                </c:pt>
              </c:strCache>
            </c:strRef>
          </c:tx>
          <c:spPr>
            <a:solidFill>
              <a:schemeClr val="accent1"/>
            </a:solidFill>
            <a:ln>
              <a:noFill/>
            </a:ln>
            <a:effectLst/>
          </c:spPr>
          <c:invertIfNegative val="0"/>
          <c:cat>
            <c:strRef>
              <c:f>予測!$F$40:$O$40</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予測!$F$41:$O$41</c:f>
              <c:numCache>
                <c:formatCode>#,##0_);[Red]\(#,##0\)</c:formatCode>
                <c:ptCount val="10"/>
                <c:pt idx="0">
                  <c:v>83606</c:v>
                </c:pt>
                <c:pt idx="1">
                  <c:v>83564</c:v>
                </c:pt>
                <c:pt idx="2">
                  <c:v>83752</c:v>
                </c:pt>
                <c:pt idx="3">
                  <c:v>83524</c:v>
                </c:pt>
                <c:pt idx="4">
                  <c:v>83482</c:v>
                </c:pt>
                <c:pt idx="5">
                  <c:v>83482</c:v>
                </c:pt>
                <c:pt idx="6">
                  <c:v>83669</c:v>
                </c:pt>
                <c:pt idx="7">
                  <c:v>83400</c:v>
                </c:pt>
                <c:pt idx="8">
                  <c:v>83400</c:v>
                </c:pt>
                <c:pt idx="9">
                  <c:v>83400</c:v>
                </c:pt>
              </c:numCache>
            </c:numRef>
          </c:val>
          <c:extLst>
            <c:ext xmlns:c16="http://schemas.microsoft.com/office/drawing/2014/chart" uri="{C3380CC4-5D6E-409C-BE32-E72D297353CC}">
              <c16:uniqueId val="{00000000-FF7A-4C80-A0C3-205A5F8E3BDA}"/>
            </c:ext>
          </c:extLst>
        </c:ser>
        <c:dLbls>
          <c:showLegendKey val="0"/>
          <c:showVal val="0"/>
          <c:showCatName val="0"/>
          <c:showSerName val="0"/>
          <c:showPercent val="0"/>
          <c:showBubbleSize val="0"/>
        </c:dLbls>
        <c:gapWidth val="150"/>
        <c:axId val="233488336"/>
        <c:axId val="233485936"/>
      </c:barChart>
      <c:catAx>
        <c:axId val="2334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85936"/>
        <c:crosses val="autoZero"/>
        <c:auto val="1"/>
        <c:lblAlgn val="ctr"/>
        <c:lblOffset val="100"/>
        <c:noMultiLvlLbl val="0"/>
      </c:catAx>
      <c:valAx>
        <c:axId val="233485936"/>
        <c:scaling>
          <c:orientation val="minMax"/>
          <c:max val="85000"/>
          <c:min val="35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8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2090D42-EC85-4EE0-A76D-96302B6EED47}">
  <sheetPr/>
  <sheetViews>
    <sheetView zoomScale="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F44080-A86D-4D2D-A619-5A0B977ED64F}">
  <sheetPr/>
  <sheetViews>
    <sheetView zoomScale="7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76A9204-B28A-4A77-876A-C2BE711745C5}">
  <sheetPr/>
  <sheetViews>
    <sheetView zoomScale="74"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EC6393-B221-40B4-A4D5-F20DAC838462}">
  <sheetPr/>
  <sheetViews>
    <sheetView zoomScale="74"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6200794-B524-4F6F-B853-5738A55F0EBE}">
  <sheetPr/>
  <sheetViews>
    <sheetView zoomScale="74"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3F9B4C9-F4EF-430F-87D4-9BB35CB5A118}">
  <sheetPr/>
  <sheetViews>
    <sheetView zoomScale="74"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ED8D8D-3E59-46BC-8B4D-08CD706F98DD}">
  <sheetPr/>
  <sheetViews>
    <sheetView zoomScale="7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971D2DCF-CC7E-2121-D9E3-CDAC5AAEF61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EEB8FA61-BC9D-93E9-244D-CED7D5B821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8C8C239D-A4E3-F842-6B63-A28D8BF5D2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701C8DD3-0C5D-093B-6578-D3ABF997A0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F1E17F52-8F92-7DB4-BD64-064C7DE935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B543C7BA-2E6A-1E1B-FC59-0DD170A665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6FB3A70C-3AEA-32B3-76D1-263E4EB455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E0B90982-431A-4949-B1B2-01F91C62D3FE}"/>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EA374F72-3358-42F4-A239-202F47A79CB7}"/>
            </a:ext>
          </a:extLst>
        </xdr:cNvPr>
        <xdr:cNvSpPr>
          <a:spLocks noChangeShapeType="1"/>
        </xdr:cNvSpPr>
      </xdr:nvSpPr>
      <xdr:spPr bwMode="auto">
        <a:xfrm>
          <a:off x="889000" y="13830300"/>
          <a:ext cx="2489200" cy="40694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4BEC3A1-A1FB-4752-AFFD-498A3FC7F581}"/>
            </a:ext>
          </a:extLst>
        </xdr:cNvPr>
        <xdr:cNvSpPr>
          <a:spLocks noChangeShapeType="1"/>
        </xdr:cNvSpPr>
      </xdr:nvSpPr>
      <xdr:spPr bwMode="auto">
        <a:xfrm>
          <a:off x="889000" y="206756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03C88C85-37AB-420D-BCA7-B1D23920AFC2}"/>
            </a:ext>
          </a:extLst>
        </xdr:cNvPr>
        <xdr:cNvSpPr>
          <a:spLocks noChangeShapeType="1"/>
        </xdr:cNvSpPr>
      </xdr:nvSpPr>
      <xdr:spPr bwMode="auto">
        <a:xfrm>
          <a:off x="619125" y="5702300"/>
          <a:ext cx="2651125" cy="406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66</xdr:row>
      <xdr:rowOff>0</xdr:rowOff>
    </xdr:from>
    <xdr:to>
      <xdr:col>10</xdr:col>
      <xdr:colOff>0</xdr:colOff>
      <xdr:row>68</xdr:row>
      <xdr:rowOff>545</xdr:rowOff>
    </xdr:to>
    <xdr:sp macro="" textlink="">
      <xdr:nvSpPr>
        <xdr:cNvPr id="3" name="Line 1">
          <a:extLst>
            <a:ext uri="{FF2B5EF4-FFF2-40B4-BE49-F238E27FC236}">
              <a16:creationId xmlns:a16="http://schemas.microsoft.com/office/drawing/2014/main" id="{FD5AD3BB-D588-43B9-A8AD-C1BBBA213A31}"/>
            </a:ext>
          </a:extLst>
        </xdr:cNvPr>
        <xdr:cNvSpPr>
          <a:spLocks noChangeShapeType="1"/>
        </xdr:cNvSpPr>
      </xdr:nvSpPr>
      <xdr:spPr bwMode="auto">
        <a:xfrm>
          <a:off x="833438" y="13831094"/>
          <a:ext cx="2520156" cy="3974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99</xdr:row>
      <xdr:rowOff>0</xdr:rowOff>
    </xdr:from>
    <xdr:to>
      <xdr:col>10</xdr:col>
      <xdr:colOff>0</xdr:colOff>
      <xdr:row>100</xdr:row>
      <xdr:rowOff>373380</xdr:rowOff>
    </xdr:to>
    <xdr:sp macro="" textlink="">
      <xdr:nvSpPr>
        <xdr:cNvPr id="4" name="Line 3">
          <a:extLst>
            <a:ext uri="{FF2B5EF4-FFF2-40B4-BE49-F238E27FC236}">
              <a16:creationId xmlns:a16="http://schemas.microsoft.com/office/drawing/2014/main" id="{9486B333-4C1E-4F6D-BBD6-E7599C25195C}"/>
            </a:ext>
          </a:extLst>
        </xdr:cNvPr>
        <xdr:cNvSpPr>
          <a:spLocks noChangeShapeType="1"/>
        </xdr:cNvSpPr>
      </xdr:nvSpPr>
      <xdr:spPr bwMode="auto">
        <a:xfrm>
          <a:off x="838200" y="208788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52A3A3F4-7485-4F9F-92C0-08CF2F8F705F}"/>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47DF253A-4260-40EF-B64C-8F4745C33575}"/>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AA1CFB37-422E-45C3-A6ED-81F330D6E861}"/>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40797AE9-2A2D-455A-9D40-316D2D9B06EC}"/>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72BE707B-4B44-4997-B782-2078E920EE50}"/>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5C5A6A6-F66B-486A-8F58-3FAFDC97C8A7}"/>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10F36E36-DBE2-4030-AE11-599822A2EEB2}"/>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D987145A-E926-489D-AD92-5A5C172ED5DA}"/>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E600D91E-1406-4429-A55C-50A74C1852BD}"/>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20019DEA-155C-4749-A766-FB5684A511DC}"/>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ACF95487-833E-42E4-87AE-B36627923941}"/>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21E31865-138A-488B-95BA-7C74AB4C1939}"/>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23812</xdr:colOff>
      <xdr:row>8</xdr:row>
      <xdr:rowOff>83344</xdr:rowOff>
    </xdr:from>
    <xdr:to>
      <xdr:col>14</xdr:col>
      <xdr:colOff>679824</xdr:colOff>
      <xdr:row>8</xdr:row>
      <xdr:rowOff>476250</xdr:rowOff>
    </xdr:to>
    <xdr:sp macro="" textlink="">
      <xdr:nvSpPr>
        <xdr:cNvPr id="2" name="右矢印 6">
          <a:extLst>
            <a:ext uri="{FF2B5EF4-FFF2-40B4-BE49-F238E27FC236}">
              <a16:creationId xmlns:a16="http://schemas.microsoft.com/office/drawing/2014/main" id="{3F04460F-3E4C-42EF-9FFC-7B5A84F46A16}"/>
            </a:ext>
          </a:extLst>
        </xdr:cNvPr>
        <xdr:cNvSpPr/>
      </xdr:nvSpPr>
      <xdr:spPr>
        <a:xfrm>
          <a:off x="855662" y="2553494"/>
          <a:ext cx="9241212" cy="389731"/>
        </a:xfrm>
        <a:prstGeom prst="rightArrow">
          <a:avLst/>
        </a:prstGeom>
        <a:solidFill>
          <a:schemeClr val="accent5"/>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12606</xdr:colOff>
      <xdr:row>9</xdr:row>
      <xdr:rowOff>0</xdr:rowOff>
    </xdr:from>
    <xdr:to>
      <xdr:col>14</xdr:col>
      <xdr:colOff>834138</xdr:colOff>
      <xdr:row>9</xdr:row>
      <xdr:rowOff>0</xdr:rowOff>
    </xdr:to>
    <xdr:sp macro="" textlink="">
      <xdr:nvSpPr>
        <xdr:cNvPr id="3" name="右矢印 10">
          <a:extLst>
            <a:ext uri="{FF2B5EF4-FFF2-40B4-BE49-F238E27FC236}">
              <a16:creationId xmlns:a16="http://schemas.microsoft.com/office/drawing/2014/main" id="{90924EB2-646D-416B-B2C8-E5302C3D2959}"/>
            </a:ext>
          </a:extLst>
        </xdr:cNvPr>
        <xdr:cNvSpPr/>
      </xdr:nvSpPr>
      <xdr:spPr>
        <a:xfrm>
          <a:off x="838106" y="3019425"/>
          <a:ext cx="9413082" cy="0"/>
        </a:xfrm>
        <a:prstGeom prst="right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V3211\share\G&#20849;&#36890;\&#35373;&#35336;&#36039;&#26009;\EXCEL\&#20013;&#20027;\&#24037;&#31243;&#3156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escoweb/scripts/dnet/xdoc.exe/3_&#38609;&#20316;&#26989;/&#26381;&#37096;&#35373;&#35336;&#2636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user\909239\Desktop\&#9733;&#12424;&#12367;&#20351;&#12358;&#12420;&#12388;\01.&#27770;&#31639;&#32113;&#35336;&#38306;&#20418;\&#9733;&#27770;&#31639;&#32113;&#35336;&#36942;&#21435;&#12487;&#12540;&#12479;\H24&#27770;&#31639;&#12487;&#12540;&#12479;\&#9733;H24&#21512;10&#349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V590\3&#23567;&#30000;\&#22856;&#33391;&#27827;&#21512;\&#24066;&#22580;&#37329;&#389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posa2601\Dept_OSA\kazu\suidou\&#28040;&#36027;&#31246;&#38306;&#20418;\&#31777;&#27700;\&#27507;&#20837;&#27507;&#20986;&#38306;&#2041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osa2601\Dept_OSA\Documents%20and%20Settings\All%20Users\Documents\15-&#27770;&#31639;&#22577;&#21578;&#26360;(B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37326;&#27954;\&#19977;&#19978;&#27700;&#28304;&#22320;\&#19977;&#19978;&#22793;&#26356;&#20195;&#20385;&#34920;13&#24180;&#242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00.6.3\6%20&#25285;&#24403;&#21029;\Documents%20and%20Settings\Administrator\&#12487;&#12473;&#12463;&#12488;&#12483;&#12503;\&#12487;&#12473;&#12463;&#12488;&#12483;&#12503;\&#26989;&#32318;&#31649;&#29702;\&#21033;&#30410;&#35336;&#30011;\&#32076;&#21942;&#35336;&#30011;&#65288;&#20225;&#26989;&#29256;&#12539;&#35069;&#36896;&#26989;&#65289;20090413&#20462;&#27491;\&#32076;&#21942;&#20998;&#26512;&#12501;&#12457;&#12540;&#12510;&#12483;&#1248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19978;&#27700;\&#37326;&#27954;\&#19977;&#19978;&#20195;&#20385;&#34920;12&#24180;&#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posa2601\PJ_NGO\Users\ts14260\AppData\Local\Microsoft\Windows\Temporary%20Internet%20Files\Content.IE5\QE0BJRAE\&#20837;&#25163;&#36039;&#26009;\&#25237;&#36039;&#35336;&#30011;(H28&#65374;H57)2016.07.11&#20462;&#2749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ptyo0820\Project\b68-30\50%20&#19979;&#27700;&#36947;&#27861;&#36969;&#21270;&#25903;&#25588;\&#39640;&#30693;&#30476;&#22235;&#19975;&#21313;&#30010;\01&#20837;&#25163;&#36039;&#26009;\11&#26376;20&#26085;&#20837;&#25163;\&#22235;&#19975;&#21313;&#30010;&#20154;&#21475;\20_&#32102;&#27700;&#20154;&#21475;&#25512;&#31227;H16&#65374;&#65288;&#26045;&#35373;&#65289;.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d.docs.live.n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 Id="rId1" Type="http://schemas.openxmlformats.org/officeDocument/2006/relationships/externalLinkPath" Targ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d.docs.live.net/f5d0881ff6fc42b2/&#26481;&#21729;&#30010;/&#32076;&#21942;&#25126;&#30053;/&#12304;&#26481;&#21729;&#30010;&#12305;&#22522;&#30990;&#12487;&#12540;&#12479;.xlsx" TargetMode="External"/><Relationship Id="rId1" Type="http://schemas.openxmlformats.org/officeDocument/2006/relationships/externalLinkPath" Target="/f5d0881ff6fc42b2/&#26481;&#21729;&#30010;/&#32076;&#21942;&#25126;&#30053;/&#12304;&#26481;&#21729;&#30010;&#12305;&#22522;&#30990;&#12487;&#12540;&#124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算出"/>
      <sheetName val="損料１"/>
      <sheetName val="損料２"/>
      <sheetName val="電工程1-1"/>
      <sheetName val="電工程1-2"/>
      <sheetName val="契電"/>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インパネル"/>
      <sheetName val="入力ｼｰﾄ（明細材）"/>
      <sheetName val="入力ｼｰﾄ（明細労）"/>
      <sheetName val="入力ｼｰﾄ（内訳材）"/>
      <sheetName val="入力ｼｰﾄ（内訳労）"/>
      <sheetName val="計算ｼｰﾄ（明細材）"/>
      <sheetName val="計算ｼｰﾄ（明細労）"/>
      <sheetName val="計算ｼｰﾄ（内訳材）"/>
      <sheetName val="計算ｼｰﾄ（内訳労）"/>
      <sheetName val="背景"/>
      <sheetName val="印刷ｼｰﾄ（明細）"/>
      <sheetName val="印刷ｼｰﾄ（内訳）"/>
      <sheetName val="マスタ印刷"/>
      <sheetName val="服部マスタ"/>
      <sheetName val="明金額"/>
      <sheetName val="内金額"/>
      <sheetName val="明細数量"/>
      <sheetName val="内訳数量"/>
      <sheetName val="変更履歴"/>
      <sheetName val="Dialog行入力"/>
      <sheetName val="Dialog数入力"/>
      <sheetName val="選択印刷ﾘｽﾄ"/>
      <sheetName val="D_選択印刷（明細）"/>
      <sheetName val="D_選択印刷（内訳）"/>
      <sheetName val="D_変更前後（明細）"/>
      <sheetName val="D_変更前後（内訳）"/>
      <sheetName val="M_印刷（明細）"/>
      <sheetName val="M_印刷（内訳）"/>
      <sheetName val="M_複写・抽出（明細）"/>
      <sheetName val="M_複写・抽出（内訳）"/>
      <sheetName val="M_全明細印刷"/>
      <sheetName val="M_全内訳印刷"/>
      <sheetName val="M_明細選択印刷"/>
      <sheetName val="M_内訳選択印刷"/>
      <sheetName val="M_共通・表示"/>
      <sheetName val="M_明細金額"/>
      <sheetName val="M_内訳金額"/>
      <sheetName val="D_明細金額"/>
      <sheetName val="D_内訳金額"/>
      <sheetName val="H17国勢調査"/>
    </sheetNames>
    <sheetDataSet>
      <sheetData sheetId="0" refreshError="1"/>
      <sheetData sheetId="1" refreshError="1"/>
      <sheetData sheetId="2" refreshError="1"/>
      <sheetData sheetId="3" refreshError="1"/>
      <sheetData sheetId="4" refreshError="1"/>
      <sheetData sheetId="5" refreshError="1"/>
      <sheetData sheetId="6">
        <row r="7">
          <cell r="L7">
            <v>18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2460001000"/>
      <sheetName val="10(000)"/>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補助"/>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収益的収支の状況"/>
      <sheetName val="資本的収支の状況"/>
      <sheetName val="歳入"/>
      <sheetName val="歳出"/>
    </sheetNames>
    <sheetDataSet>
      <sheetData sheetId="0" refreshError="1"/>
      <sheetData sheetId="1" refreshError="1"/>
      <sheetData sheetId="2" refreshError="1"/>
      <sheetData sheetId="3" refreshError="1"/>
      <sheetData sheetId="4" refreshError="1">
        <row r="2">
          <cell r="N2" t="str">
            <v>支出済額</v>
          </cell>
        </row>
        <row r="6">
          <cell r="N6">
            <v>80465782</v>
          </cell>
        </row>
        <row r="8">
          <cell r="N8">
            <v>77645482</v>
          </cell>
        </row>
        <row r="10">
          <cell r="N10">
            <v>41385041</v>
          </cell>
        </row>
        <row r="12">
          <cell r="N12">
            <v>16969380</v>
          </cell>
        </row>
        <row r="14">
          <cell r="N14">
            <v>10518877</v>
          </cell>
        </row>
        <row r="16">
          <cell r="N16">
            <v>4520796</v>
          </cell>
        </row>
        <row r="18">
          <cell r="N18">
            <v>0</v>
          </cell>
        </row>
        <row r="20">
          <cell r="N20">
            <v>0</v>
          </cell>
        </row>
        <row r="22">
          <cell r="N22">
            <v>16500</v>
          </cell>
        </row>
        <row r="24">
          <cell r="N24">
            <v>364209</v>
          </cell>
        </row>
        <row r="26">
          <cell r="N26">
            <v>773843</v>
          </cell>
        </row>
        <row r="28">
          <cell r="N28">
            <v>6204225</v>
          </cell>
        </row>
        <row r="30">
          <cell r="N30">
            <v>108408</v>
          </cell>
        </row>
        <row r="32">
          <cell r="N32">
            <v>0</v>
          </cell>
        </row>
        <row r="34">
          <cell r="N34">
            <v>215103</v>
          </cell>
        </row>
        <row r="36">
          <cell r="N36">
            <v>1693700</v>
          </cell>
        </row>
        <row r="38">
          <cell r="N38">
            <v>36260441</v>
          </cell>
        </row>
        <row r="40">
          <cell r="N40">
            <v>413000</v>
          </cell>
        </row>
        <row r="42">
          <cell r="N42">
            <v>0</v>
          </cell>
        </row>
        <row r="44">
          <cell r="N44">
            <v>19687294</v>
          </cell>
        </row>
        <row r="46">
          <cell r="N46">
            <v>926228</v>
          </cell>
        </row>
        <row r="48">
          <cell r="N48">
            <v>11812163</v>
          </cell>
        </row>
        <row r="50">
          <cell r="N50">
            <v>276317</v>
          </cell>
        </row>
        <row r="52">
          <cell r="N52">
            <v>199500</v>
          </cell>
        </row>
        <row r="54">
          <cell r="N54">
            <v>542710</v>
          </cell>
        </row>
        <row r="56">
          <cell r="N56">
            <v>2403229</v>
          </cell>
        </row>
        <row r="58">
          <cell r="N58">
            <v>0</v>
          </cell>
        </row>
        <row r="60">
          <cell r="N60">
            <v>2820300</v>
          </cell>
        </row>
        <row r="62">
          <cell r="N62">
            <v>2820300</v>
          </cell>
        </row>
        <row r="64">
          <cell r="N64">
            <v>0</v>
          </cell>
        </row>
        <row r="66">
          <cell r="N66">
            <v>0</v>
          </cell>
        </row>
        <row r="68">
          <cell r="N68">
            <v>2820300</v>
          </cell>
        </row>
        <row r="70">
          <cell r="N70">
            <v>138797286</v>
          </cell>
        </row>
        <row r="72">
          <cell r="N72">
            <v>138797286</v>
          </cell>
        </row>
        <row r="74">
          <cell r="N74">
            <v>79236532</v>
          </cell>
        </row>
        <row r="76">
          <cell r="N76">
            <v>79236532</v>
          </cell>
        </row>
        <row r="78">
          <cell r="N78">
            <v>59560754</v>
          </cell>
        </row>
        <row r="80">
          <cell r="N80">
            <v>59560754</v>
          </cell>
        </row>
        <row r="112">
          <cell r="N112">
            <v>219263068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表"/>
      <sheetName val="表紙"/>
      <sheetName val="決算報告書"/>
      <sheetName val="損益計算書"/>
      <sheetName val="剰余金計算書"/>
      <sheetName val="貸借対照表"/>
      <sheetName val="事業報告"/>
      <sheetName val="date"/>
      <sheetName val="事業報告2"/>
      <sheetName val="date1"/>
      <sheetName val="収益費用明細書"/>
      <sheetName val="収益費用明細書 (2)"/>
      <sheetName val="資本的収支明細書"/>
      <sheetName val="固定資産明細書"/>
      <sheetName val="起業債明細書"/>
      <sheetName val="Sheet12"/>
      <sheetName val="Sheet13"/>
      <sheetName val="Sheet14"/>
      <sheetName val="Sheet15"/>
    </sheetNames>
    <sheetDataSet>
      <sheetData sheetId="0">
        <row r="2">
          <cell r="B2">
            <v>1</v>
          </cell>
          <cell r="C2" t="str">
            <v>事業収益</v>
          </cell>
        </row>
        <row r="3">
          <cell r="B3">
            <v>11</v>
          </cell>
          <cell r="C3" t="str">
            <v>事業収益</v>
          </cell>
        </row>
        <row r="4">
          <cell r="B4">
            <v>12</v>
          </cell>
          <cell r="C4" t="str">
            <v>事業外収益</v>
          </cell>
        </row>
        <row r="5">
          <cell r="B5">
            <v>111</v>
          </cell>
          <cell r="C5" t="str">
            <v>給水収益</v>
          </cell>
        </row>
        <row r="6">
          <cell r="B6">
            <v>112</v>
          </cell>
          <cell r="C6" t="str">
            <v>受託工事収益</v>
          </cell>
        </row>
        <row r="7">
          <cell r="B7">
            <v>113</v>
          </cell>
          <cell r="C7" t="str">
            <v>その他の営業収益</v>
          </cell>
        </row>
        <row r="8">
          <cell r="B8">
            <v>121</v>
          </cell>
          <cell r="C8" t="str">
            <v>負担金</v>
          </cell>
        </row>
        <row r="9">
          <cell r="B9">
            <v>122</v>
          </cell>
          <cell r="C9" t="str">
            <v>雑収益</v>
          </cell>
        </row>
        <row r="10">
          <cell r="B10">
            <v>123</v>
          </cell>
          <cell r="C10" t="str">
            <v>受取利息及び配当金</v>
          </cell>
        </row>
        <row r="11">
          <cell r="B11">
            <v>1111</v>
          </cell>
          <cell r="C11" t="str">
            <v>水道料金</v>
          </cell>
        </row>
        <row r="12">
          <cell r="B12">
            <v>1112</v>
          </cell>
          <cell r="C12" t="str">
            <v>量水器使用料</v>
          </cell>
        </row>
        <row r="13">
          <cell r="B13">
            <v>1121</v>
          </cell>
          <cell r="C13" t="str">
            <v>給水工事収益</v>
          </cell>
        </row>
        <row r="14">
          <cell r="B14">
            <v>1131</v>
          </cell>
          <cell r="C14" t="str">
            <v>材料売却収益</v>
          </cell>
        </row>
        <row r="15">
          <cell r="B15">
            <v>1132</v>
          </cell>
          <cell r="C15" t="str">
            <v>手　数　料</v>
          </cell>
        </row>
        <row r="16">
          <cell r="B16">
            <v>1211</v>
          </cell>
          <cell r="C16" t="str">
            <v>新設負担金</v>
          </cell>
        </row>
        <row r="17">
          <cell r="B17">
            <v>1221</v>
          </cell>
          <cell r="C17" t="str">
            <v>不用品売却益</v>
          </cell>
        </row>
        <row r="18">
          <cell r="B18">
            <v>1222</v>
          </cell>
          <cell r="C18" t="str">
            <v>その他の雑収益</v>
          </cell>
        </row>
        <row r="19">
          <cell r="B19">
            <v>1231</v>
          </cell>
          <cell r="C19" t="str">
            <v>預金利子</v>
          </cell>
        </row>
        <row r="22">
          <cell r="B22">
            <v>1</v>
          </cell>
          <cell r="C22" t="str">
            <v>事業費用</v>
          </cell>
        </row>
        <row r="23">
          <cell r="B23">
            <v>11</v>
          </cell>
          <cell r="C23" t="str">
            <v>営業費用</v>
          </cell>
        </row>
        <row r="24">
          <cell r="B24">
            <v>12</v>
          </cell>
          <cell r="C24" t="str">
            <v>営業外費用</v>
          </cell>
        </row>
        <row r="25">
          <cell r="B25">
            <v>13</v>
          </cell>
          <cell r="C25" t="str">
            <v>予備費</v>
          </cell>
        </row>
        <row r="26">
          <cell r="B26">
            <v>111</v>
          </cell>
          <cell r="C26" t="str">
            <v>原水及び浄水費</v>
          </cell>
        </row>
        <row r="27">
          <cell r="B27">
            <v>112</v>
          </cell>
          <cell r="C27" t="str">
            <v>配水及び給水費</v>
          </cell>
        </row>
        <row r="28">
          <cell r="B28">
            <v>113</v>
          </cell>
          <cell r="C28" t="str">
            <v>受託工事費</v>
          </cell>
        </row>
        <row r="29">
          <cell r="B29">
            <v>114</v>
          </cell>
          <cell r="C29" t="str">
            <v>総 係 費</v>
          </cell>
        </row>
        <row r="30">
          <cell r="B30">
            <v>115</v>
          </cell>
          <cell r="C30" t="str">
            <v>減価償却費</v>
          </cell>
        </row>
        <row r="31">
          <cell r="B31">
            <v>116</v>
          </cell>
          <cell r="C31" t="str">
            <v>資産減耗費</v>
          </cell>
        </row>
        <row r="32">
          <cell r="B32">
            <v>117</v>
          </cell>
          <cell r="C32" t="str">
            <v>その他の営業費用</v>
          </cell>
        </row>
        <row r="33">
          <cell r="B33">
            <v>121</v>
          </cell>
          <cell r="C33" t="str">
            <v>支払利息及び取扱諸費</v>
          </cell>
        </row>
        <row r="34">
          <cell r="B34">
            <v>122</v>
          </cell>
          <cell r="C34" t="str">
            <v>雑支出</v>
          </cell>
        </row>
        <row r="35">
          <cell r="B35">
            <v>123</v>
          </cell>
          <cell r="C35" t="str">
            <v>消費税</v>
          </cell>
        </row>
        <row r="36">
          <cell r="B36">
            <v>131</v>
          </cell>
          <cell r="C36" t="str">
            <v>予備費</v>
          </cell>
        </row>
        <row r="37">
          <cell r="B37">
            <v>1111</v>
          </cell>
          <cell r="C37" t="str">
            <v>給料</v>
          </cell>
        </row>
        <row r="38">
          <cell r="B38">
            <v>1112</v>
          </cell>
          <cell r="C38" t="str">
            <v>手当</v>
          </cell>
        </row>
        <row r="39">
          <cell r="B39">
            <v>1113</v>
          </cell>
          <cell r="C39" t="str">
            <v>賃金</v>
          </cell>
        </row>
        <row r="40">
          <cell r="B40">
            <v>1114</v>
          </cell>
          <cell r="C40" t="str">
            <v>法定福利費</v>
          </cell>
        </row>
        <row r="41">
          <cell r="B41">
            <v>1115</v>
          </cell>
          <cell r="C41" t="str">
            <v>旅費</v>
          </cell>
        </row>
        <row r="42">
          <cell r="B42">
            <v>1117</v>
          </cell>
          <cell r="C42" t="str">
            <v>備消耗品費</v>
          </cell>
        </row>
        <row r="43">
          <cell r="B43">
            <v>1118</v>
          </cell>
          <cell r="C43" t="str">
            <v>燃料費</v>
          </cell>
        </row>
        <row r="44">
          <cell r="B44">
            <v>1121</v>
          </cell>
          <cell r="C44" t="str">
            <v>給料</v>
          </cell>
        </row>
        <row r="45">
          <cell r="B45">
            <v>1122</v>
          </cell>
          <cell r="C45" t="str">
            <v>手当</v>
          </cell>
        </row>
        <row r="46">
          <cell r="B46">
            <v>1123</v>
          </cell>
          <cell r="C46" t="str">
            <v>賃金</v>
          </cell>
        </row>
        <row r="47">
          <cell r="B47">
            <v>1124</v>
          </cell>
          <cell r="C47" t="str">
            <v>法定福利費</v>
          </cell>
        </row>
        <row r="48">
          <cell r="B48">
            <v>1125</v>
          </cell>
          <cell r="C48" t="str">
            <v>旅費</v>
          </cell>
        </row>
        <row r="49">
          <cell r="B49">
            <v>1127</v>
          </cell>
          <cell r="C49" t="str">
            <v>備消耗品費</v>
          </cell>
        </row>
        <row r="50">
          <cell r="B50">
            <v>1128</v>
          </cell>
          <cell r="C50" t="str">
            <v>燃料費</v>
          </cell>
        </row>
        <row r="51">
          <cell r="B51">
            <v>1133</v>
          </cell>
          <cell r="C51" t="str">
            <v>賃金</v>
          </cell>
        </row>
        <row r="52">
          <cell r="B52">
            <v>1137</v>
          </cell>
          <cell r="C52" t="str">
            <v>備消耗品費</v>
          </cell>
        </row>
        <row r="53">
          <cell r="B53">
            <v>1138</v>
          </cell>
          <cell r="C53" t="str">
            <v>燃料費</v>
          </cell>
        </row>
        <row r="54">
          <cell r="B54">
            <v>1141</v>
          </cell>
          <cell r="C54" t="str">
            <v>給料</v>
          </cell>
        </row>
        <row r="55">
          <cell r="B55">
            <v>1142</v>
          </cell>
          <cell r="C55" t="str">
            <v>手当</v>
          </cell>
        </row>
        <row r="56">
          <cell r="B56">
            <v>1143</v>
          </cell>
          <cell r="C56" t="str">
            <v>賃金</v>
          </cell>
        </row>
        <row r="57">
          <cell r="B57">
            <v>1144</v>
          </cell>
          <cell r="C57" t="str">
            <v>法定福利費</v>
          </cell>
        </row>
        <row r="58">
          <cell r="B58">
            <v>1145</v>
          </cell>
          <cell r="C58" t="str">
            <v>旅費</v>
          </cell>
        </row>
        <row r="59">
          <cell r="B59">
            <v>1146</v>
          </cell>
          <cell r="C59" t="str">
            <v>被服費</v>
          </cell>
        </row>
        <row r="60">
          <cell r="B60">
            <v>1147</v>
          </cell>
          <cell r="C60" t="str">
            <v>備消耗品費</v>
          </cell>
        </row>
        <row r="61">
          <cell r="B61">
            <v>1148</v>
          </cell>
          <cell r="C61" t="str">
            <v>燃料費</v>
          </cell>
        </row>
        <row r="62">
          <cell r="B62">
            <v>1149</v>
          </cell>
          <cell r="C62" t="str">
            <v>光熱水費</v>
          </cell>
        </row>
        <row r="63">
          <cell r="B63">
            <v>11111</v>
          </cell>
          <cell r="C63" t="str">
            <v>通信運搬費</v>
          </cell>
        </row>
        <row r="64">
          <cell r="B64">
            <v>11112</v>
          </cell>
          <cell r="C64" t="str">
            <v>委託料</v>
          </cell>
        </row>
        <row r="65">
          <cell r="B65">
            <v>11113</v>
          </cell>
          <cell r="C65" t="str">
            <v>手数料</v>
          </cell>
        </row>
        <row r="66">
          <cell r="B66">
            <v>11114</v>
          </cell>
          <cell r="C66" t="str">
            <v>賃借料</v>
          </cell>
        </row>
        <row r="67">
          <cell r="B67">
            <v>11115</v>
          </cell>
          <cell r="C67" t="str">
            <v>修繕料</v>
          </cell>
        </row>
        <row r="68">
          <cell r="B68">
            <v>11117</v>
          </cell>
          <cell r="C68" t="str">
            <v>動力費</v>
          </cell>
        </row>
        <row r="69">
          <cell r="B69">
            <v>11118</v>
          </cell>
          <cell r="C69" t="str">
            <v>薬品費</v>
          </cell>
        </row>
        <row r="70">
          <cell r="B70">
            <v>11134</v>
          </cell>
          <cell r="C70" t="str">
            <v>雑費</v>
          </cell>
        </row>
        <row r="71">
          <cell r="B71">
            <v>11212</v>
          </cell>
          <cell r="C71" t="str">
            <v>委託料</v>
          </cell>
        </row>
        <row r="72">
          <cell r="B72">
            <v>11213</v>
          </cell>
          <cell r="C72" t="str">
            <v>手数料</v>
          </cell>
        </row>
        <row r="73">
          <cell r="B73">
            <v>11214</v>
          </cell>
          <cell r="C73" t="str">
            <v>賃借料</v>
          </cell>
        </row>
        <row r="74">
          <cell r="B74">
            <v>11215</v>
          </cell>
          <cell r="C74" t="str">
            <v>修繕料</v>
          </cell>
        </row>
        <row r="75">
          <cell r="B75">
            <v>11216</v>
          </cell>
          <cell r="C75" t="str">
            <v>路面復旧費</v>
          </cell>
        </row>
        <row r="76">
          <cell r="B76">
            <v>11219</v>
          </cell>
          <cell r="C76" t="str">
            <v>材料費</v>
          </cell>
        </row>
        <row r="77">
          <cell r="B77">
            <v>11229</v>
          </cell>
          <cell r="C77" t="str">
            <v>保険料</v>
          </cell>
        </row>
        <row r="78">
          <cell r="B78">
            <v>11230</v>
          </cell>
          <cell r="C78" t="str">
            <v>公課費</v>
          </cell>
        </row>
        <row r="79">
          <cell r="B79">
            <v>11234</v>
          </cell>
          <cell r="C79" t="str">
            <v>雑費</v>
          </cell>
        </row>
        <row r="80">
          <cell r="B80">
            <v>11315</v>
          </cell>
          <cell r="C80" t="str">
            <v>修繕料</v>
          </cell>
        </row>
        <row r="81">
          <cell r="B81">
            <v>11316</v>
          </cell>
          <cell r="C81" t="str">
            <v>路面復旧費</v>
          </cell>
        </row>
        <row r="82">
          <cell r="B82">
            <v>11319</v>
          </cell>
          <cell r="C82" t="str">
            <v>材料費</v>
          </cell>
        </row>
        <row r="83">
          <cell r="B83">
            <v>11410</v>
          </cell>
          <cell r="C83" t="str">
            <v>印刷製本費</v>
          </cell>
        </row>
        <row r="84">
          <cell r="B84">
            <v>11411</v>
          </cell>
          <cell r="C84" t="str">
            <v>通信運搬費</v>
          </cell>
        </row>
        <row r="85">
          <cell r="B85">
            <v>11412</v>
          </cell>
          <cell r="C85" t="str">
            <v>委託料</v>
          </cell>
        </row>
        <row r="86">
          <cell r="B86">
            <v>11413</v>
          </cell>
          <cell r="C86" t="str">
            <v>手数料</v>
          </cell>
        </row>
        <row r="87">
          <cell r="B87">
            <v>11414</v>
          </cell>
          <cell r="C87" t="str">
            <v>賃借料</v>
          </cell>
        </row>
        <row r="88">
          <cell r="B88">
            <v>11415</v>
          </cell>
          <cell r="C88" t="str">
            <v>修繕料</v>
          </cell>
        </row>
        <row r="89">
          <cell r="B89">
            <v>11420</v>
          </cell>
          <cell r="C89" t="str">
            <v>補償費</v>
          </cell>
        </row>
        <row r="90">
          <cell r="B90">
            <v>11423</v>
          </cell>
          <cell r="C90" t="str">
            <v>研修費</v>
          </cell>
        </row>
        <row r="91">
          <cell r="B91">
            <v>11425</v>
          </cell>
          <cell r="C91" t="str">
            <v>食料費</v>
          </cell>
        </row>
        <row r="92">
          <cell r="B92">
            <v>11427</v>
          </cell>
          <cell r="C92" t="str">
            <v>退職給与費</v>
          </cell>
        </row>
        <row r="93">
          <cell r="B93">
            <v>11428</v>
          </cell>
          <cell r="C93" t="str">
            <v>会費負担金</v>
          </cell>
        </row>
        <row r="94">
          <cell r="B94">
            <v>11429</v>
          </cell>
          <cell r="C94" t="str">
            <v>保険料</v>
          </cell>
        </row>
        <row r="95">
          <cell r="B95">
            <v>11430</v>
          </cell>
          <cell r="C95" t="str">
            <v>公課費</v>
          </cell>
        </row>
        <row r="96">
          <cell r="B96">
            <v>11544</v>
          </cell>
          <cell r="C96" t="str">
            <v>建物</v>
          </cell>
        </row>
        <row r="97">
          <cell r="B97">
            <v>11545</v>
          </cell>
          <cell r="C97" t="str">
            <v>構築物</v>
          </cell>
        </row>
        <row r="98">
          <cell r="B98">
            <v>11546</v>
          </cell>
          <cell r="C98" t="str">
            <v>機械及び装置</v>
          </cell>
        </row>
        <row r="99">
          <cell r="B99">
            <v>11547</v>
          </cell>
          <cell r="C99" t="str">
            <v>車両及び運搬具</v>
          </cell>
        </row>
        <row r="100">
          <cell r="B100">
            <v>11548</v>
          </cell>
          <cell r="C100" t="str">
            <v>工具器具及び備品</v>
          </cell>
        </row>
        <row r="101">
          <cell r="B101">
            <v>11631</v>
          </cell>
          <cell r="C101" t="str">
            <v>固定資産除却費</v>
          </cell>
        </row>
        <row r="102">
          <cell r="B102">
            <v>11632</v>
          </cell>
          <cell r="C102" t="str">
            <v>棚卸資産減耗費</v>
          </cell>
        </row>
        <row r="103">
          <cell r="B103">
            <v>11733</v>
          </cell>
          <cell r="C103" t="str">
            <v>材料売却原価</v>
          </cell>
        </row>
        <row r="104">
          <cell r="B104">
            <v>12135</v>
          </cell>
          <cell r="C104" t="str">
            <v>企業債利息</v>
          </cell>
        </row>
        <row r="105">
          <cell r="B105">
            <v>12240</v>
          </cell>
          <cell r="C105" t="str">
            <v>その他の雑支出</v>
          </cell>
        </row>
        <row r="106">
          <cell r="B106">
            <v>12330</v>
          </cell>
          <cell r="C106" t="str">
            <v>公課費</v>
          </cell>
        </row>
        <row r="107">
          <cell r="B107">
            <v>13150</v>
          </cell>
          <cell r="C107" t="str">
            <v>予 備 費</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代価"/>
      <sheetName val="代価総括"/>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表紙入力シート"/>
      <sheetName val="表紙"/>
      <sheetName val="目次 (2)"/>
      <sheetName val="貴社の経営特性"/>
      <sheetName val="３期比較貸借対照表分析"/>
      <sheetName val="ＢＳ年度推移グラフ"/>
      <sheetName val="貸借対照表分析"/>
      <sheetName val="理想値との比較コメント（ＢＳ）"/>
      <sheetName val="３期比較損益計算書分析"/>
      <sheetName val="ＰＬ年度推移グラフ"/>
      <sheetName val="損益計算書分析"/>
      <sheetName val="理想値との比較コメント (損益)"/>
      <sheetName val="キャッシュフロー分析"/>
      <sheetName val="キャッシュフロー分析コメント"/>
      <sheetName val="理想値との比較コメント (ＣＦ)"/>
      <sheetName val="収益性分析"/>
      <sheetName val="安全性分析"/>
      <sheetName val="生産性分析"/>
      <sheetName val="成長性分析"/>
      <sheetName val="損益分岐点分析"/>
      <sheetName val="簡易シミュレーション"/>
      <sheetName val="課題整理"/>
      <sheetName val="実態貸借対照表分析"/>
      <sheetName val="資産修正明細_1"/>
      <sheetName val="資産修正明細_2"/>
      <sheetName val="製造原価報告書"/>
      <sheetName val="完成工事原価報告書"/>
      <sheetName val="人件費実績"/>
      <sheetName val="販管費・一般管理費・営業外損益実績"/>
      <sheetName val="部門別損益"/>
      <sheetName val="部門別実績評価"/>
      <sheetName val="得意先別売上・限界利益分析"/>
      <sheetName val="得意先別売上ＡＢＣ分析"/>
      <sheetName val="商品別売上・限界利益分析"/>
      <sheetName val="商品別売上ＡＢＣ分析"/>
      <sheetName val="株主資本等変動計算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単価表"/>
      <sheetName val="代価"/>
      <sheetName val="代価総括"/>
    </sheetNames>
    <sheetDataSet>
      <sheetData sheetId="0"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sheetData>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法適"/>
      <sheetName val="法非適"/>
      <sheetName val="事業コード"/>
      <sheetName val="Sheet1"/>
    </sheetNames>
    <sheetDataSet>
      <sheetData sheetId="0"/>
      <sheetData sheetId="1">
        <row r="222">
          <cell r="N222">
            <v>6259000</v>
          </cell>
        </row>
      </sheetData>
      <sheetData sheetId="2">
        <row r="1">
          <cell r="G1" t="str">
            <v>H27</v>
          </cell>
        </row>
        <row r="2">
          <cell r="G2" t="str">
            <v>H28</v>
          </cell>
        </row>
        <row r="3">
          <cell r="G3" t="str">
            <v>H29</v>
          </cell>
        </row>
        <row r="4">
          <cell r="G4" t="str">
            <v>H30</v>
          </cell>
        </row>
        <row r="5">
          <cell r="G5" t="str">
            <v>H31</v>
          </cell>
        </row>
        <row r="6">
          <cell r="G6" t="str">
            <v>H32</v>
          </cell>
        </row>
        <row r="7">
          <cell r="G7" t="str">
            <v>H33</v>
          </cell>
        </row>
        <row r="8">
          <cell r="G8" t="str">
            <v>H34</v>
          </cell>
        </row>
        <row r="9">
          <cell r="G9" t="str">
            <v>H35</v>
          </cell>
        </row>
        <row r="10">
          <cell r="G10" t="str">
            <v>H36</v>
          </cell>
        </row>
        <row r="11">
          <cell r="G11" t="str">
            <v>H37</v>
          </cell>
        </row>
        <row r="12">
          <cell r="G12" t="str">
            <v>H38</v>
          </cell>
        </row>
        <row r="13">
          <cell r="G13" t="str">
            <v>H39</v>
          </cell>
        </row>
        <row r="14">
          <cell r="G14" t="str">
            <v>H40</v>
          </cell>
        </row>
        <row r="15">
          <cell r="G15" t="str">
            <v>H41</v>
          </cell>
        </row>
        <row r="16">
          <cell r="G16" t="str">
            <v>H42</v>
          </cell>
        </row>
        <row r="17">
          <cell r="G17" t="str">
            <v>H43</v>
          </cell>
        </row>
        <row r="18">
          <cell r="G18" t="str">
            <v>H44</v>
          </cell>
        </row>
        <row r="19">
          <cell r="G19" t="str">
            <v>H45</v>
          </cell>
        </row>
        <row r="20">
          <cell r="G20" t="str">
            <v>H46</v>
          </cell>
        </row>
        <row r="21">
          <cell r="G21" t="str">
            <v>H47</v>
          </cell>
        </row>
        <row r="22">
          <cell r="G22" t="str">
            <v>H48</v>
          </cell>
        </row>
        <row r="23">
          <cell r="G23" t="str">
            <v>H49</v>
          </cell>
        </row>
        <row r="24">
          <cell r="G24" t="str">
            <v>H50</v>
          </cell>
        </row>
        <row r="25">
          <cell r="G25" t="str">
            <v>H51</v>
          </cell>
        </row>
        <row r="26">
          <cell r="G26" t="str">
            <v>H52</v>
          </cell>
        </row>
        <row r="27">
          <cell r="G27" t="str">
            <v>H53</v>
          </cell>
        </row>
        <row r="28">
          <cell r="G28" t="str">
            <v>H54</v>
          </cell>
        </row>
        <row r="29">
          <cell r="G29" t="str">
            <v>H55</v>
          </cell>
        </row>
        <row r="30">
          <cell r="G30" t="str">
            <v>H56</v>
          </cell>
        </row>
        <row r="31">
          <cell r="G31" t="str">
            <v>H57</v>
          </cell>
        </row>
        <row r="32">
          <cell r="G32" t="str">
            <v>H58</v>
          </cell>
        </row>
        <row r="33">
          <cell r="G33" t="str">
            <v>H59</v>
          </cell>
        </row>
        <row r="34">
          <cell r="G34" t="str">
            <v>H60</v>
          </cell>
        </row>
      </sheetData>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7_各施設別給水人口"/>
      <sheetName val="26_各施設別給水人口"/>
      <sheetName val="25_各施設別給水人口 "/>
      <sheetName val="24_各施設別給水人口"/>
      <sheetName val="23_各施設別給水人口"/>
      <sheetName val="22_各施設別給水人口"/>
      <sheetName val="21_各施設別給水人口"/>
      <sheetName val="20_各施設別給水人口"/>
      <sheetName val="19_各施設別給水人口"/>
      <sheetName val="18_各施設別給水人口 (十川訂正)"/>
      <sheetName val="18_各施設別給水人口"/>
      <sheetName val="17各施設別給水人口"/>
      <sheetName val="16各施設別給水人口"/>
      <sheetName val="15各施設別給水人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B3" t="str">
            <v>上水道</v>
          </cell>
          <cell r="C3" t="str">
            <v>金上野住宅</v>
          </cell>
          <cell r="D3">
            <v>30</v>
          </cell>
          <cell r="E3">
            <v>16</v>
          </cell>
          <cell r="F3">
            <v>30</v>
          </cell>
          <cell r="G3">
            <v>16</v>
          </cell>
        </row>
        <row r="4">
          <cell r="B4" t="str">
            <v>上水道</v>
          </cell>
          <cell r="C4" t="str">
            <v>古市住宅</v>
          </cell>
          <cell r="D4">
            <v>38</v>
          </cell>
          <cell r="E4">
            <v>17</v>
          </cell>
          <cell r="F4">
            <v>38</v>
          </cell>
          <cell r="G4">
            <v>17</v>
          </cell>
        </row>
        <row r="5">
          <cell r="B5" t="str">
            <v>上水道</v>
          </cell>
          <cell r="C5" t="str">
            <v>古市（1）</v>
          </cell>
          <cell r="D5">
            <v>91</v>
          </cell>
          <cell r="E5">
            <v>39</v>
          </cell>
          <cell r="F5">
            <v>91</v>
          </cell>
          <cell r="G5">
            <v>39</v>
          </cell>
        </row>
        <row r="6">
          <cell r="B6" t="str">
            <v>上水道</v>
          </cell>
          <cell r="C6" t="str">
            <v>古市（2）</v>
          </cell>
          <cell r="D6">
            <v>98</v>
          </cell>
          <cell r="E6">
            <v>45</v>
          </cell>
          <cell r="F6">
            <v>98</v>
          </cell>
          <cell r="G6">
            <v>45</v>
          </cell>
        </row>
        <row r="7">
          <cell r="B7" t="str">
            <v>上水道</v>
          </cell>
          <cell r="C7" t="str">
            <v>上東町</v>
          </cell>
          <cell r="D7">
            <v>35</v>
          </cell>
          <cell r="E7">
            <v>17</v>
          </cell>
          <cell r="F7">
            <v>35</v>
          </cell>
          <cell r="G7">
            <v>17</v>
          </cell>
        </row>
        <row r="8">
          <cell r="B8" t="str">
            <v>上水道</v>
          </cell>
          <cell r="C8" t="str">
            <v>東町</v>
          </cell>
          <cell r="D8">
            <v>34</v>
          </cell>
          <cell r="E8">
            <v>20</v>
          </cell>
          <cell r="F8">
            <v>34</v>
          </cell>
          <cell r="G8">
            <v>20</v>
          </cell>
        </row>
        <row r="9">
          <cell r="B9" t="str">
            <v>上水道</v>
          </cell>
          <cell r="C9" t="str">
            <v>東町鉄筋（1）</v>
          </cell>
          <cell r="D9">
            <v>7</v>
          </cell>
          <cell r="E9">
            <v>5</v>
          </cell>
          <cell r="F9">
            <v>7</v>
          </cell>
          <cell r="G9">
            <v>5</v>
          </cell>
        </row>
        <row r="10">
          <cell r="B10" t="str">
            <v>上水道</v>
          </cell>
          <cell r="C10" t="str">
            <v>東町木造</v>
          </cell>
          <cell r="D10">
            <v>42</v>
          </cell>
          <cell r="E10">
            <v>21</v>
          </cell>
          <cell r="F10">
            <v>42</v>
          </cell>
          <cell r="G10">
            <v>21</v>
          </cell>
        </row>
        <row r="11">
          <cell r="B11" t="str">
            <v>上水道</v>
          </cell>
          <cell r="C11" t="str">
            <v>上町（1）</v>
          </cell>
          <cell r="D11">
            <v>38</v>
          </cell>
          <cell r="E11">
            <v>17</v>
          </cell>
          <cell r="F11">
            <v>38</v>
          </cell>
          <cell r="G11">
            <v>17</v>
          </cell>
        </row>
        <row r="12">
          <cell r="B12" t="str">
            <v>上水道</v>
          </cell>
          <cell r="C12" t="str">
            <v>上町（2）</v>
          </cell>
          <cell r="D12">
            <v>42</v>
          </cell>
          <cell r="E12">
            <v>17</v>
          </cell>
          <cell r="F12">
            <v>42</v>
          </cell>
          <cell r="G12">
            <v>17</v>
          </cell>
        </row>
        <row r="13">
          <cell r="B13" t="str">
            <v>上水道</v>
          </cell>
          <cell r="C13" t="str">
            <v>元倉町（1）</v>
          </cell>
          <cell r="D13">
            <v>25</v>
          </cell>
          <cell r="E13">
            <v>12</v>
          </cell>
          <cell r="F13">
            <v>25</v>
          </cell>
          <cell r="G13">
            <v>12</v>
          </cell>
        </row>
        <row r="14">
          <cell r="B14" t="str">
            <v>上水道</v>
          </cell>
          <cell r="C14" t="str">
            <v>元倉町（2）</v>
          </cell>
          <cell r="D14">
            <v>17</v>
          </cell>
          <cell r="E14">
            <v>10</v>
          </cell>
          <cell r="F14">
            <v>17</v>
          </cell>
          <cell r="G14">
            <v>10</v>
          </cell>
        </row>
        <row r="15">
          <cell r="B15" t="str">
            <v>上水道</v>
          </cell>
          <cell r="C15" t="str">
            <v>元倉町（3）</v>
          </cell>
          <cell r="D15">
            <v>39</v>
          </cell>
          <cell r="E15">
            <v>17</v>
          </cell>
          <cell r="F15">
            <v>39</v>
          </cell>
          <cell r="G15">
            <v>17</v>
          </cell>
        </row>
        <row r="16">
          <cell r="B16" t="str">
            <v>上水道</v>
          </cell>
          <cell r="C16" t="str">
            <v>元倉町（4）</v>
          </cell>
          <cell r="D16">
            <v>10</v>
          </cell>
          <cell r="E16">
            <v>4</v>
          </cell>
          <cell r="F16">
            <v>10</v>
          </cell>
          <cell r="G16">
            <v>4</v>
          </cell>
        </row>
        <row r="17">
          <cell r="B17" t="str">
            <v>上水道</v>
          </cell>
          <cell r="C17" t="str">
            <v>殿町1</v>
          </cell>
          <cell r="D17">
            <v>47</v>
          </cell>
          <cell r="E17">
            <v>24</v>
          </cell>
          <cell r="F17">
            <v>47</v>
          </cell>
          <cell r="G17">
            <v>24</v>
          </cell>
        </row>
        <row r="18">
          <cell r="B18" t="str">
            <v>上水道</v>
          </cell>
          <cell r="C18" t="str">
            <v>殿町2</v>
          </cell>
          <cell r="D18">
            <v>30</v>
          </cell>
          <cell r="E18">
            <v>13</v>
          </cell>
          <cell r="F18">
            <v>30</v>
          </cell>
          <cell r="G18">
            <v>13</v>
          </cell>
        </row>
        <row r="19">
          <cell r="B19" t="str">
            <v>上水道</v>
          </cell>
          <cell r="C19" t="str">
            <v>殿町3</v>
          </cell>
          <cell r="D19">
            <v>85</v>
          </cell>
          <cell r="E19">
            <v>37</v>
          </cell>
          <cell r="F19">
            <v>85</v>
          </cell>
          <cell r="G19">
            <v>37</v>
          </cell>
        </row>
        <row r="20">
          <cell r="B20" t="str">
            <v>上水道</v>
          </cell>
          <cell r="C20" t="str">
            <v>殿町4</v>
          </cell>
          <cell r="D20">
            <v>30</v>
          </cell>
          <cell r="E20">
            <v>17</v>
          </cell>
          <cell r="F20">
            <v>30</v>
          </cell>
          <cell r="G20">
            <v>17</v>
          </cell>
        </row>
        <row r="21">
          <cell r="B21" t="str">
            <v>上水道</v>
          </cell>
          <cell r="C21" t="str">
            <v>横町</v>
          </cell>
          <cell r="D21">
            <v>35</v>
          </cell>
          <cell r="E21">
            <v>14</v>
          </cell>
          <cell r="F21">
            <v>35</v>
          </cell>
          <cell r="G21">
            <v>14</v>
          </cell>
        </row>
        <row r="22">
          <cell r="B22" t="str">
            <v>上水道</v>
          </cell>
          <cell r="C22" t="str">
            <v>元町</v>
          </cell>
          <cell r="D22">
            <v>41</v>
          </cell>
          <cell r="E22">
            <v>19</v>
          </cell>
          <cell r="F22">
            <v>41</v>
          </cell>
          <cell r="G22">
            <v>19</v>
          </cell>
        </row>
        <row r="23">
          <cell r="B23" t="str">
            <v>上水道</v>
          </cell>
          <cell r="C23" t="str">
            <v>中央通</v>
          </cell>
          <cell r="D23">
            <v>28</v>
          </cell>
          <cell r="E23">
            <v>12</v>
          </cell>
          <cell r="F23">
            <v>28</v>
          </cell>
          <cell r="G23">
            <v>12</v>
          </cell>
        </row>
        <row r="24">
          <cell r="B24" t="str">
            <v>上水道</v>
          </cell>
          <cell r="C24" t="str">
            <v>上本町（1）</v>
          </cell>
          <cell r="D24">
            <v>58</v>
          </cell>
          <cell r="E24">
            <v>24</v>
          </cell>
          <cell r="F24">
            <v>58</v>
          </cell>
          <cell r="G24">
            <v>24</v>
          </cell>
        </row>
        <row r="25">
          <cell r="B25" t="str">
            <v>上水道</v>
          </cell>
          <cell r="C25" t="str">
            <v>上本町（2）</v>
          </cell>
          <cell r="D25">
            <v>69</v>
          </cell>
          <cell r="E25">
            <v>36</v>
          </cell>
          <cell r="F25">
            <v>69</v>
          </cell>
          <cell r="G25">
            <v>36</v>
          </cell>
        </row>
        <row r="26">
          <cell r="B26" t="str">
            <v>上水道</v>
          </cell>
          <cell r="C26" t="str">
            <v>本町</v>
          </cell>
          <cell r="D26">
            <v>73</v>
          </cell>
          <cell r="E26">
            <v>25</v>
          </cell>
          <cell r="F26">
            <v>73</v>
          </cell>
          <cell r="G26">
            <v>25</v>
          </cell>
        </row>
        <row r="27">
          <cell r="B27" t="str">
            <v>上水道</v>
          </cell>
          <cell r="C27" t="str">
            <v>戎町（1）</v>
          </cell>
          <cell r="D27">
            <v>53</v>
          </cell>
          <cell r="E27">
            <v>21</v>
          </cell>
          <cell r="F27">
            <v>53</v>
          </cell>
          <cell r="G27">
            <v>21</v>
          </cell>
        </row>
        <row r="28">
          <cell r="B28" t="str">
            <v>上水道</v>
          </cell>
          <cell r="C28" t="str">
            <v>戎町（2）</v>
          </cell>
          <cell r="D28">
            <v>30</v>
          </cell>
          <cell r="E28">
            <v>13</v>
          </cell>
          <cell r="F28">
            <v>30</v>
          </cell>
          <cell r="G28">
            <v>13</v>
          </cell>
        </row>
        <row r="29">
          <cell r="B29" t="str">
            <v>上水道</v>
          </cell>
          <cell r="C29" t="str">
            <v>戎町（3）</v>
          </cell>
          <cell r="D29">
            <v>29</v>
          </cell>
          <cell r="E29">
            <v>13</v>
          </cell>
          <cell r="F29">
            <v>29</v>
          </cell>
          <cell r="G29">
            <v>13</v>
          </cell>
        </row>
        <row r="30">
          <cell r="B30" t="str">
            <v>上水道</v>
          </cell>
          <cell r="C30" t="str">
            <v>新開町（上）</v>
          </cell>
          <cell r="D30">
            <v>57</v>
          </cell>
          <cell r="E30">
            <v>21</v>
          </cell>
          <cell r="F30">
            <v>57</v>
          </cell>
          <cell r="G30">
            <v>21</v>
          </cell>
        </row>
        <row r="31">
          <cell r="B31" t="str">
            <v>上水道</v>
          </cell>
          <cell r="C31" t="str">
            <v>新開町（下）</v>
          </cell>
          <cell r="D31">
            <v>129</v>
          </cell>
          <cell r="E31">
            <v>51</v>
          </cell>
          <cell r="F31">
            <v>129</v>
          </cell>
          <cell r="G31">
            <v>51</v>
          </cell>
        </row>
        <row r="32">
          <cell r="B32" t="str">
            <v>上水道</v>
          </cell>
          <cell r="C32" t="str">
            <v>吉見町</v>
          </cell>
          <cell r="D32">
            <v>112</v>
          </cell>
          <cell r="E32">
            <v>48</v>
          </cell>
          <cell r="F32">
            <v>112</v>
          </cell>
          <cell r="G32">
            <v>48</v>
          </cell>
        </row>
        <row r="33">
          <cell r="B33" t="str">
            <v>上水道</v>
          </cell>
          <cell r="C33" t="str">
            <v>南琴平町（1）</v>
          </cell>
          <cell r="D33">
            <v>58</v>
          </cell>
          <cell r="E33">
            <v>26</v>
          </cell>
          <cell r="F33">
            <v>58</v>
          </cell>
          <cell r="G33">
            <v>26</v>
          </cell>
        </row>
        <row r="34">
          <cell r="B34" t="str">
            <v>上水道</v>
          </cell>
          <cell r="C34" t="str">
            <v>東琴平町</v>
          </cell>
          <cell r="D34">
            <v>45</v>
          </cell>
          <cell r="E34">
            <v>14</v>
          </cell>
          <cell r="F34">
            <v>45</v>
          </cell>
          <cell r="G34">
            <v>14</v>
          </cell>
        </row>
        <row r="35">
          <cell r="B35" t="str">
            <v>上水道</v>
          </cell>
          <cell r="C35" t="str">
            <v>北琴平町（1）</v>
          </cell>
          <cell r="D35">
            <v>69</v>
          </cell>
          <cell r="E35">
            <v>26</v>
          </cell>
          <cell r="F35">
            <v>69</v>
          </cell>
          <cell r="G35">
            <v>26</v>
          </cell>
        </row>
        <row r="36">
          <cell r="B36" t="str">
            <v>上水道</v>
          </cell>
          <cell r="C36" t="str">
            <v>北琴平町（2）</v>
          </cell>
          <cell r="D36">
            <v>44</v>
          </cell>
          <cell r="E36">
            <v>24</v>
          </cell>
          <cell r="F36">
            <v>44</v>
          </cell>
          <cell r="G36">
            <v>24</v>
          </cell>
        </row>
        <row r="37">
          <cell r="B37" t="str">
            <v>上水道</v>
          </cell>
          <cell r="C37" t="str">
            <v>琴平町（1）</v>
          </cell>
          <cell r="D37">
            <v>22</v>
          </cell>
          <cell r="E37">
            <v>8</v>
          </cell>
          <cell r="F37">
            <v>22</v>
          </cell>
          <cell r="G37">
            <v>8</v>
          </cell>
        </row>
        <row r="38">
          <cell r="B38" t="str">
            <v>上水道</v>
          </cell>
          <cell r="C38" t="str">
            <v>琴平町（2）</v>
          </cell>
          <cell r="D38">
            <v>43</v>
          </cell>
          <cell r="E38">
            <v>17</v>
          </cell>
          <cell r="F38">
            <v>43</v>
          </cell>
          <cell r="G38">
            <v>17</v>
          </cell>
        </row>
        <row r="39">
          <cell r="B39" t="str">
            <v>上水道</v>
          </cell>
          <cell r="C39" t="str">
            <v>駅前通</v>
          </cell>
          <cell r="D39">
            <v>38</v>
          </cell>
          <cell r="E39">
            <v>16</v>
          </cell>
          <cell r="F39">
            <v>38</v>
          </cell>
          <cell r="G39">
            <v>16</v>
          </cell>
        </row>
        <row r="40">
          <cell r="B40" t="str">
            <v>上水道</v>
          </cell>
          <cell r="C40" t="str">
            <v>駅前町（1）</v>
          </cell>
          <cell r="D40">
            <v>39</v>
          </cell>
          <cell r="E40">
            <v>18</v>
          </cell>
          <cell r="F40">
            <v>39</v>
          </cell>
          <cell r="G40">
            <v>18</v>
          </cell>
        </row>
        <row r="41">
          <cell r="B41" t="str">
            <v>上水道</v>
          </cell>
          <cell r="C41" t="str">
            <v>駅前町（2）</v>
          </cell>
          <cell r="D41">
            <v>6</v>
          </cell>
          <cell r="E41">
            <v>3</v>
          </cell>
          <cell r="F41">
            <v>6</v>
          </cell>
          <cell r="G41">
            <v>3</v>
          </cell>
        </row>
        <row r="42">
          <cell r="B42" t="str">
            <v>上水道</v>
          </cell>
          <cell r="C42" t="str">
            <v>昭和町（1）</v>
          </cell>
          <cell r="D42">
            <v>63</v>
          </cell>
          <cell r="E42">
            <v>35</v>
          </cell>
          <cell r="F42">
            <v>63</v>
          </cell>
          <cell r="G42">
            <v>35</v>
          </cell>
        </row>
        <row r="43">
          <cell r="B43" t="str">
            <v>上水道</v>
          </cell>
          <cell r="C43" t="str">
            <v>昭和町（2）</v>
          </cell>
          <cell r="D43">
            <v>38</v>
          </cell>
          <cell r="E43">
            <v>16</v>
          </cell>
          <cell r="F43">
            <v>38</v>
          </cell>
          <cell r="G43">
            <v>16</v>
          </cell>
        </row>
        <row r="44">
          <cell r="B44" t="str">
            <v>上水道</v>
          </cell>
          <cell r="C44" t="str">
            <v>昭和町（3）</v>
          </cell>
          <cell r="D44">
            <v>91</v>
          </cell>
          <cell r="E44">
            <v>39</v>
          </cell>
          <cell r="F44">
            <v>91</v>
          </cell>
          <cell r="G44">
            <v>39</v>
          </cell>
        </row>
        <row r="45">
          <cell r="B45" t="str">
            <v>上水道</v>
          </cell>
          <cell r="C45" t="str">
            <v>第1琴平住宅</v>
          </cell>
          <cell r="D45">
            <v>64</v>
          </cell>
          <cell r="E45">
            <v>32</v>
          </cell>
          <cell r="F45">
            <v>64</v>
          </cell>
          <cell r="G45">
            <v>32</v>
          </cell>
        </row>
        <row r="46">
          <cell r="B46" t="str">
            <v>上水道</v>
          </cell>
          <cell r="C46" t="str">
            <v>営林署</v>
          </cell>
          <cell r="D46">
            <v>15</v>
          </cell>
          <cell r="E46">
            <v>7</v>
          </cell>
          <cell r="F46">
            <v>15</v>
          </cell>
          <cell r="G46">
            <v>7</v>
          </cell>
        </row>
        <row r="47">
          <cell r="B47" t="str">
            <v>上水道</v>
          </cell>
          <cell r="C47" t="str">
            <v>榊山町（1）</v>
          </cell>
          <cell r="D47">
            <v>92</v>
          </cell>
          <cell r="E47">
            <v>42</v>
          </cell>
          <cell r="F47">
            <v>92</v>
          </cell>
          <cell r="G47">
            <v>42</v>
          </cell>
        </row>
        <row r="48">
          <cell r="B48" t="str">
            <v>上水道</v>
          </cell>
          <cell r="C48" t="str">
            <v>栄町（1-1）</v>
          </cell>
          <cell r="D48">
            <v>79</v>
          </cell>
          <cell r="E48">
            <v>28</v>
          </cell>
          <cell r="F48">
            <v>79</v>
          </cell>
          <cell r="G48">
            <v>28</v>
          </cell>
        </row>
        <row r="49">
          <cell r="B49" t="str">
            <v>上水道</v>
          </cell>
          <cell r="C49" t="str">
            <v>保健所通</v>
          </cell>
          <cell r="D49">
            <v>6</v>
          </cell>
          <cell r="E49">
            <v>4</v>
          </cell>
          <cell r="F49">
            <v>6</v>
          </cell>
          <cell r="G49">
            <v>4</v>
          </cell>
        </row>
        <row r="50">
          <cell r="B50" t="str">
            <v>上水道</v>
          </cell>
          <cell r="C50" t="str">
            <v>栄町（2）</v>
          </cell>
          <cell r="D50">
            <v>5</v>
          </cell>
          <cell r="E50">
            <v>4</v>
          </cell>
          <cell r="F50">
            <v>5</v>
          </cell>
          <cell r="G50">
            <v>4</v>
          </cell>
        </row>
        <row r="51">
          <cell r="B51" t="str">
            <v>上水道</v>
          </cell>
          <cell r="C51" t="str">
            <v>栄町（3）</v>
          </cell>
          <cell r="D51">
            <v>3</v>
          </cell>
          <cell r="E51">
            <v>1</v>
          </cell>
          <cell r="F51">
            <v>3</v>
          </cell>
          <cell r="G51">
            <v>1</v>
          </cell>
        </row>
        <row r="52">
          <cell r="B52" t="str">
            <v>上水道</v>
          </cell>
          <cell r="C52" t="str">
            <v>金上野県職員住宅</v>
          </cell>
          <cell r="D52">
            <v>17</v>
          </cell>
          <cell r="E52">
            <v>9</v>
          </cell>
          <cell r="F52">
            <v>17</v>
          </cell>
          <cell r="G52">
            <v>9</v>
          </cell>
        </row>
        <row r="53">
          <cell r="B53" t="str">
            <v>上水道</v>
          </cell>
          <cell r="C53" t="str">
            <v>榊山町職員住宅</v>
          </cell>
          <cell r="D53">
            <v>20</v>
          </cell>
          <cell r="E53">
            <v>9</v>
          </cell>
          <cell r="F53">
            <v>20</v>
          </cell>
          <cell r="G53">
            <v>9</v>
          </cell>
        </row>
        <row r="54">
          <cell r="B54" t="str">
            <v>上水道</v>
          </cell>
          <cell r="C54" t="str">
            <v>南琴平町（2）</v>
          </cell>
          <cell r="D54">
            <v>74</v>
          </cell>
          <cell r="E54">
            <v>32</v>
          </cell>
          <cell r="F54">
            <v>74</v>
          </cell>
          <cell r="G54">
            <v>32</v>
          </cell>
        </row>
        <row r="55">
          <cell r="B55" t="str">
            <v>上水道</v>
          </cell>
          <cell r="C55" t="str">
            <v>古市町県職員住宅</v>
          </cell>
          <cell r="D55">
            <v>21</v>
          </cell>
          <cell r="E55">
            <v>13</v>
          </cell>
          <cell r="F55">
            <v>21</v>
          </cell>
          <cell r="G55">
            <v>13</v>
          </cell>
        </row>
        <row r="56">
          <cell r="B56" t="str">
            <v>上水道</v>
          </cell>
          <cell r="C56" t="str">
            <v>第2琴平住宅</v>
          </cell>
          <cell r="D56">
            <v>79</v>
          </cell>
          <cell r="E56">
            <v>39</v>
          </cell>
          <cell r="F56">
            <v>79</v>
          </cell>
          <cell r="G56">
            <v>39</v>
          </cell>
        </row>
        <row r="57">
          <cell r="B57" t="str">
            <v>上水道</v>
          </cell>
          <cell r="C57" t="str">
            <v>学園通り</v>
          </cell>
          <cell r="D57">
            <v>42</v>
          </cell>
          <cell r="E57">
            <v>14</v>
          </cell>
          <cell r="F57">
            <v>42</v>
          </cell>
          <cell r="G57">
            <v>14</v>
          </cell>
        </row>
        <row r="58">
          <cell r="B58" t="str">
            <v>上水道</v>
          </cell>
          <cell r="C58" t="str">
            <v>香月ｹ丘（1）</v>
          </cell>
          <cell r="D58">
            <v>58</v>
          </cell>
          <cell r="E58">
            <v>23</v>
          </cell>
          <cell r="F58">
            <v>58</v>
          </cell>
          <cell r="G58">
            <v>23</v>
          </cell>
        </row>
        <row r="59">
          <cell r="B59" t="str">
            <v>上水道</v>
          </cell>
          <cell r="C59" t="str">
            <v>榊山町（2）</v>
          </cell>
          <cell r="D59">
            <v>99</v>
          </cell>
          <cell r="E59">
            <v>47</v>
          </cell>
          <cell r="F59">
            <v>99</v>
          </cell>
          <cell r="G59">
            <v>47</v>
          </cell>
        </row>
        <row r="60">
          <cell r="B60" t="str">
            <v>上水道</v>
          </cell>
          <cell r="C60" t="str">
            <v>栄町（1-2）</v>
          </cell>
          <cell r="D60">
            <v>72</v>
          </cell>
          <cell r="E60">
            <v>34</v>
          </cell>
          <cell r="F60">
            <v>72</v>
          </cell>
          <cell r="G60">
            <v>34</v>
          </cell>
        </row>
        <row r="61">
          <cell r="B61" t="str">
            <v>上水道</v>
          </cell>
          <cell r="C61" t="str">
            <v>東吉見町</v>
          </cell>
          <cell r="D61">
            <v>50</v>
          </cell>
          <cell r="E61">
            <v>24</v>
          </cell>
          <cell r="F61">
            <v>50</v>
          </cell>
          <cell r="G61">
            <v>24</v>
          </cell>
        </row>
        <row r="62">
          <cell r="B62" t="str">
            <v>上水道</v>
          </cell>
          <cell r="C62" t="str">
            <v>旭が丘</v>
          </cell>
          <cell r="D62">
            <v>82</v>
          </cell>
          <cell r="E62">
            <v>32</v>
          </cell>
          <cell r="F62">
            <v>82</v>
          </cell>
          <cell r="G62">
            <v>32</v>
          </cell>
        </row>
        <row r="63">
          <cell r="B63" t="str">
            <v>上水道</v>
          </cell>
          <cell r="C63" t="str">
            <v>鳥が丘</v>
          </cell>
          <cell r="D63">
            <v>66</v>
          </cell>
          <cell r="E63">
            <v>30</v>
          </cell>
          <cell r="F63">
            <v>66</v>
          </cell>
          <cell r="G63">
            <v>30</v>
          </cell>
        </row>
        <row r="64">
          <cell r="B64" t="str">
            <v>上水道</v>
          </cell>
          <cell r="C64" t="str">
            <v>香月が丘電力公社</v>
          </cell>
          <cell r="D64">
            <v>6</v>
          </cell>
          <cell r="E64">
            <v>2</v>
          </cell>
          <cell r="F64">
            <v>6</v>
          </cell>
          <cell r="G64">
            <v>2</v>
          </cell>
        </row>
        <row r="65">
          <cell r="B65" t="str">
            <v>上水道</v>
          </cell>
          <cell r="C65" t="str">
            <v>香月が丘（2）</v>
          </cell>
          <cell r="D65">
            <v>44</v>
          </cell>
          <cell r="E65">
            <v>19</v>
          </cell>
          <cell r="F65">
            <v>44</v>
          </cell>
          <cell r="G65">
            <v>19</v>
          </cell>
        </row>
        <row r="66">
          <cell r="B66" t="str">
            <v>上水道</v>
          </cell>
          <cell r="C66" t="str">
            <v>香月が丘（3）</v>
          </cell>
          <cell r="D66">
            <v>108</v>
          </cell>
          <cell r="E66">
            <v>41</v>
          </cell>
          <cell r="F66">
            <v>108</v>
          </cell>
          <cell r="G66">
            <v>41</v>
          </cell>
        </row>
        <row r="67">
          <cell r="B67" t="str">
            <v>上水道</v>
          </cell>
          <cell r="C67" t="str">
            <v>香月が丘住宅</v>
          </cell>
          <cell r="D67">
            <v>31</v>
          </cell>
          <cell r="E67">
            <v>17</v>
          </cell>
          <cell r="F67">
            <v>31</v>
          </cell>
          <cell r="G67">
            <v>17</v>
          </cell>
        </row>
        <row r="68">
          <cell r="B68" t="str">
            <v>上水道</v>
          </cell>
          <cell r="C68" t="str">
            <v>古市（3）</v>
          </cell>
          <cell r="D68">
            <v>78</v>
          </cell>
          <cell r="E68">
            <v>33</v>
          </cell>
          <cell r="F68">
            <v>78</v>
          </cell>
          <cell r="G68">
            <v>33</v>
          </cell>
        </row>
        <row r="69">
          <cell r="B69" t="str">
            <v>上水道</v>
          </cell>
          <cell r="C69" t="str">
            <v>北琴平町（3）</v>
          </cell>
          <cell r="D69">
            <v>18</v>
          </cell>
          <cell r="E69">
            <v>6</v>
          </cell>
          <cell r="F69">
            <v>18</v>
          </cell>
          <cell r="G69">
            <v>6</v>
          </cell>
        </row>
        <row r="70">
          <cell r="B70" t="str">
            <v>上水道</v>
          </cell>
          <cell r="C70" t="str">
            <v>榊山町（3）</v>
          </cell>
          <cell r="D70">
            <v>45</v>
          </cell>
          <cell r="E70">
            <v>18</v>
          </cell>
          <cell r="F70">
            <v>45</v>
          </cell>
          <cell r="G70">
            <v>18</v>
          </cell>
        </row>
        <row r="71">
          <cell r="B71" t="str">
            <v>上水道</v>
          </cell>
          <cell r="C71" t="str">
            <v>金上野県営住宅自冶</v>
          </cell>
          <cell r="D71">
            <v>95</v>
          </cell>
          <cell r="E71">
            <v>29</v>
          </cell>
          <cell r="F71">
            <v>95</v>
          </cell>
          <cell r="G71">
            <v>29</v>
          </cell>
        </row>
        <row r="72">
          <cell r="B72" t="str">
            <v>上水道</v>
          </cell>
          <cell r="C72" t="str">
            <v>榊山町電力寮</v>
          </cell>
          <cell r="D72">
            <v>5</v>
          </cell>
          <cell r="E72">
            <v>5</v>
          </cell>
          <cell r="F72">
            <v>5</v>
          </cell>
          <cell r="G72">
            <v>5</v>
          </cell>
        </row>
        <row r="73">
          <cell r="B73" t="str">
            <v>上水道</v>
          </cell>
          <cell r="C73" t="str">
            <v>香月が丘警察公社</v>
          </cell>
          <cell r="D73">
            <v>7</v>
          </cell>
          <cell r="E73">
            <v>7</v>
          </cell>
          <cell r="F73">
            <v>7</v>
          </cell>
          <cell r="G73">
            <v>7</v>
          </cell>
        </row>
        <row r="74">
          <cell r="B74" t="str">
            <v>上水道</v>
          </cell>
          <cell r="C74" t="str">
            <v>金上野高樋橋</v>
          </cell>
          <cell r="D74">
            <v>85</v>
          </cell>
          <cell r="E74">
            <v>38</v>
          </cell>
          <cell r="F74">
            <v>85</v>
          </cell>
          <cell r="G74">
            <v>38</v>
          </cell>
        </row>
        <row r="75">
          <cell r="B75" t="str">
            <v>上水道</v>
          </cell>
          <cell r="C75" t="str">
            <v>新元町</v>
          </cell>
          <cell r="D75">
            <v>21</v>
          </cell>
          <cell r="E75">
            <v>11</v>
          </cell>
          <cell r="F75">
            <v>21</v>
          </cell>
          <cell r="G75">
            <v>11</v>
          </cell>
        </row>
        <row r="76">
          <cell r="B76" t="str">
            <v>上水道</v>
          </cell>
          <cell r="C76" t="str">
            <v>高校教職員住宅</v>
          </cell>
          <cell r="D76">
            <v>25</v>
          </cell>
          <cell r="E76">
            <v>10</v>
          </cell>
          <cell r="F76">
            <v>25</v>
          </cell>
          <cell r="G76">
            <v>10</v>
          </cell>
        </row>
        <row r="77">
          <cell r="B77" t="str">
            <v>上水道</v>
          </cell>
          <cell r="C77" t="str">
            <v>香月が丘（4）</v>
          </cell>
          <cell r="D77">
            <v>110</v>
          </cell>
          <cell r="E77">
            <v>38</v>
          </cell>
          <cell r="F77">
            <v>110</v>
          </cell>
          <cell r="G77">
            <v>38</v>
          </cell>
        </row>
        <row r="78">
          <cell r="B78" t="str">
            <v>上水道</v>
          </cell>
          <cell r="C78" t="str">
            <v>香月が丘（5）</v>
          </cell>
          <cell r="D78">
            <v>43</v>
          </cell>
          <cell r="E78">
            <v>17</v>
          </cell>
          <cell r="F78">
            <v>43</v>
          </cell>
          <cell r="G78">
            <v>17</v>
          </cell>
        </row>
        <row r="79">
          <cell r="B79" t="str">
            <v>上水道</v>
          </cell>
          <cell r="C79" t="str">
            <v>香月が丘（6）</v>
          </cell>
          <cell r="D79">
            <v>109</v>
          </cell>
          <cell r="E79">
            <v>39</v>
          </cell>
          <cell r="F79">
            <v>109</v>
          </cell>
          <cell r="G79">
            <v>39</v>
          </cell>
        </row>
        <row r="80">
          <cell r="B80" t="str">
            <v>上水道</v>
          </cell>
          <cell r="C80" t="str">
            <v>香月が丘（7）</v>
          </cell>
          <cell r="D80">
            <v>109</v>
          </cell>
          <cell r="E80">
            <v>38</v>
          </cell>
          <cell r="F80">
            <v>109</v>
          </cell>
          <cell r="G80">
            <v>38</v>
          </cell>
        </row>
        <row r="81">
          <cell r="B81" t="str">
            <v>上水道</v>
          </cell>
          <cell r="C81" t="str">
            <v>殿町5</v>
          </cell>
          <cell r="D81">
            <v>9</v>
          </cell>
          <cell r="E81">
            <v>4</v>
          </cell>
          <cell r="F81">
            <v>9</v>
          </cell>
          <cell r="G81">
            <v>4</v>
          </cell>
        </row>
        <row r="82">
          <cell r="B82" t="str">
            <v>上水道</v>
          </cell>
          <cell r="C82" t="str">
            <v>神ノ西</v>
          </cell>
          <cell r="D82">
            <v>136</v>
          </cell>
          <cell r="E82">
            <v>45</v>
          </cell>
          <cell r="F82">
            <v>136</v>
          </cell>
          <cell r="G82">
            <v>45</v>
          </cell>
        </row>
        <row r="83">
          <cell r="B83" t="str">
            <v>南部簡水</v>
          </cell>
          <cell r="C83" t="str">
            <v>西原（1）</v>
          </cell>
          <cell r="D83">
            <v>50</v>
          </cell>
          <cell r="E83">
            <v>23</v>
          </cell>
          <cell r="F83">
            <v>50</v>
          </cell>
          <cell r="G83">
            <v>23</v>
          </cell>
        </row>
        <row r="84">
          <cell r="B84" t="str">
            <v>若井簡水</v>
          </cell>
          <cell r="C84" t="str">
            <v>若井</v>
          </cell>
          <cell r="D84">
            <v>129</v>
          </cell>
          <cell r="E84">
            <v>41</v>
          </cell>
          <cell r="F84">
            <v>129</v>
          </cell>
          <cell r="G84">
            <v>41</v>
          </cell>
        </row>
        <row r="85">
          <cell r="B85" t="str">
            <v>南部簡水</v>
          </cell>
          <cell r="C85" t="str">
            <v>高野</v>
          </cell>
          <cell r="D85">
            <v>76</v>
          </cell>
          <cell r="E85">
            <v>30</v>
          </cell>
          <cell r="F85">
            <v>76</v>
          </cell>
          <cell r="G85">
            <v>30</v>
          </cell>
        </row>
        <row r="86">
          <cell r="B86" t="str">
            <v>南部簡水</v>
          </cell>
          <cell r="C86" t="str">
            <v>若井川（1）</v>
          </cell>
          <cell r="D86">
            <v>35</v>
          </cell>
          <cell r="E86">
            <v>11</v>
          </cell>
          <cell r="F86">
            <v>35</v>
          </cell>
          <cell r="G86">
            <v>11</v>
          </cell>
        </row>
        <row r="87">
          <cell r="B87" t="str">
            <v>南部簡水</v>
          </cell>
          <cell r="C87" t="str">
            <v>若井川（2）</v>
          </cell>
          <cell r="D87">
            <v>42</v>
          </cell>
          <cell r="E87">
            <v>20</v>
          </cell>
          <cell r="F87">
            <v>42</v>
          </cell>
          <cell r="G87">
            <v>20</v>
          </cell>
        </row>
        <row r="88">
          <cell r="B88" t="str">
            <v>南部簡水</v>
          </cell>
          <cell r="C88" t="str">
            <v>若井川（3）</v>
          </cell>
          <cell r="D88">
            <v>83</v>
          </cell>
          <cell r="E88">
            <v>30</v>
          </cell>
          <cell r="F88">
            <v>83</v>
          </cell>
          <cell r="G88">
            <v>30</v>
          </cell>
        </row>
        <row r="89">
          <cell r="B89" t="str">
            <v>南部簡水</v>
          </cell>
          <cell r="C89" t="str">
            <v>峰ノ上</v>
          </cell>
          <cell r="D89">
            <v>96</v>
          </cell>
          <cell r="E89">
            <v>36</v>
          </cell>
          <cell r="F89">
            <v>96</v>
          </cell>
          <cell r="G89">
            <v>36</v>
          </cell>
        </row>
        <row r="90">
          <cell r="B90" t="str">
            <v>南部簡水</v>
          </cell>
          <cell r="C90" t="str">
            <v>金上野（1）</v>
          </cell>
          <cell r="D90">
            <v>131</v>
          </cell>
          <cell r="E90">
            <v>45</v>
          </cell>
          <cell r="F90">
            <v>131</v>
          </cell>
          <cell r="G90">
            <v>45</v>
          </cell>
        </row>
        <row r="91">
          <cell r="B91" t="str">
            <v>南部簡水</v>
          </cell>
          <cell r="C91" t="str">
            <v>金上野（2）</v>
          </cell>
          <cell r="D91">
            <v>139</v>
          </cell>
          <cell r="E91">
            <v>53</v>
          </cell>
          <cell r="F91">
            <v>139</v>
          </cell>
          <cell r="G91">
            <v>53</v>
          </cell>
        </row>
        <row r="92">
          <cell r="B92" t="str">
            <v>上水道</v>
          </cell>
          <cell r="C92" t="str">
            <v>金上野（3）</v>
          </cell>
          <cell r="D92">
            <v>156</v>
          </cell>
          <cell r="E92">
            <v>65</v>
          </cell>
          <cell r="F92">
            <v>156</v>
          </cell>
          <cell r="G92">
            <v>65</v>
          </cell>
        </row>
        <row r="93">
          <cell r="B93" t="str">
            <v>上水道</v>
          </cell>
          <cell r="C93" t="str">
            <v>見付</v>
          </cell>
          <cell r="D93">
            <v>237</v>
          </cell>
          <cell r="E93">
            <v>110</v>
          </cell>
          <cell r="F93">
            <v>237</v>
          </cell>
          <cell r="G93">
            <v>110</v>
          </cell>
        </row>
        <row r="94">
          <cell r="B94" t="str">
            <v>南部簡水</v>
          </cell>
          <cell r="C94" t="str">
            <v>見付1</v>
          </cell>
          <cell r="D94">
            <v>159</v>
          </cell>
          <cell r="E94">
            <v>68</v>
          </cell>
          <cell r="F94">
            <v>159</v>
          </cell>
          <cell r="G94">
            <v>68</v>
          </cell>
        </row>
        <row r="95">
          <cell r="B95" t="str">
            <v>仁井田簡水</v>
          </cell>
          <cell r="C95" t="str">
            <v>大奈路（1）</v>
          </cell>
          <cell r="D95">
            <v>43</v>
          </cell>
          <cell r="E95">
            <v>15</v>
          </cell>
          <cell r="F95">
            <v>43</v>
          </cell>
          <cell r="G95">
            <v>15</v>
          </cell>
        </row>
        <row r="96">
          <cell r="B96" t="str">
            <v>仁井田簡水</v>
          </cell>
          <cell r="C96" t="str">
            <v>大奈路（2）</v>
          </cell>
          <cell r="D96">
            <v>58</v>
          </cell>
          <cell r="E96">
            <v>22</v>
          </cell>
          <cell r="F96">
            <v>58</v>
          </cell>
          <cell r="G96">
            <v>22</v>
          </cell>
        </row>
        <row r="97">
          <cell r="B97" t="str">
            <v>仁井田簡水</v>
          </cell>
          <cell r="C97" t="str">
            <v>根元原（1）</v>
          </cell>
          <cell r="D97">
            <v>51</v>
          </cell>
          <cell r="E97">
            <v>19</v>
          </cell>
          <cell r="F97">
            <v>51</v>
          </cell>
          <cell r="G97">
            <v>19</v>
          </cell>
        </row>
        <row r="98">
          <cell r="B98" t="str">
            <v>中央簡水</v>
          </cell>
          <cell r="C98" t="str">
            <v>根元原（2）</v>
          </cell>
          <cell r="D98">
            <v>24</v>
          </cell>
          <cell r="E98">
            <v>12</v>
          </cell>
          <cell r="F98">
            <v>24</v>
          </cell>
          <cell r="G98">
            <v>12</v>
          </cell>
        </row>
        <row r="99">
          <cell r="B99" t="str">
            <v>中央簡水</v>
          </cell>
          <cell r="C99" t="str">
            <v>根々崎</v>
          </cell>
          <cell r="D99">
            <v>24</v>
          </cell>
          <cell r="E99">
            <v>8</v>
          </cell>
          <cell r="F99">
            <v>24</v>
          </cell>
          <cell r="G99">
            <v>8</v>
          </cell>
        </row>
        <row r="100">
          <cell r="B100" t="str">
            <v>中央簡水</v>
          </cell>
          <cell r="C100" t="str">
            <v>東川角（1）</v>
          </cell>
          <cell r="D100">
            <v>75</v>
          </cell>
          <cell r="E100">
            <v>21</v>
          </cell>
          <cell r="F100">
            <v>75</v>
          </cell>
          <cell r="G100">
            <v>21</v>
          </cell>
        </row>
        <row r="101">
          <cell r="B101" t="str">
            <v>中央簡水</v>
          </cell>
          <cell r="C101" t="str">
            <v>東川角（2）</v>
          </cell>
          <cell r="D101">
            <v>89</v>
          </cell>
          <cell r="E101">
            <v>32</v>
          </cell>
          <cell r="F101">
            <v>89</v>
          </cell>
          <cell r="G101">
            <v>32</v>
          </cell>
        </row>
        <row r="102">
          <cell r="B102" t="str">
            <v>中央簡水</v>
          </cell>
          <cell r="C102" t="str">
            <v>東川角（3）</v>
          </cell>
          <cell r="D102">
            <v>68</v>
          </cell>
          <cell r="E102">
            <v>28</v>
          </cell>
          <cell r="F102">
            <v>68</v>
          </cell>
          <cell r="G102">
            <v>28</v>
          </cell>
        </row>
        <row r="103">
          <cell r="B103" t="str">
            <v>中央簡水</v>
          </cell>
          <cell r="C103" t="str">
            <v>東川角（4）</v>
          </cell>
          <cell r="D103">
            <v>29</v>
          </cell>
          <cell r="E103">
            <v>13</v>
          </cell>
          <cell r="F103">
            <v>29</v>
          </cell>
          <cell r="G103">
            <v>13</v>
          </cell>
        </row>
        <row r="104">
          <cell r="B104" t="str">
            <v>中央簡水</v>
          </cell>
          <cell r="C104" t="str">
            <v>西川角</v>
          </cell>
          <cell r="D104">
            <v>129</v>
          </cell>
          <cell r="E104">
            <v>46</v>
          </cell>
          <cell r="F104">
            <v>129</v>
          </cell>
          <cell r="G104">
            <v>46</v>
          </cell>
        </row>
        <row r="105">
          <cell r="B105" t="str">
            <v>中央簡水</v>
          </cell>
          <cell r="C105" t="str">
            <v>小久保川</v>
          </cell>
          <cell r="D105">
            <v>42</v>
          </cell>
          <cell r="E105">
            <v>16</v>
          </cell>
          <cell r="F105">
            <v>42</v>
          </cell>
          <cell r="G105">
            <v>16</v>
          </cell>
        </row>
        <row r="106">
          <cell r="B106" t="str">
            <v>中央簡水</v>
          </cell>
          <cell r="C106" t="str">
            <v>宮内（1）</v>
          </cell>
          <cell r="D106">
            <v>76</v>
          </cell>
          <cell r="E106">
            <v>28</v>
          </cell>
          <cell r="F106">
            <v>76</v>
          </cell>
          <cell r="G106">
            <v>28</v>
          </cell>
        </row>
        <row r="107">
          <cell r="B107" t="str">
            <v>中央簡水</v>
          </cell>
          <cell r="C107" t="str">
            <v>払川</v>
          </cell>
          <cell r="D107">
            <v>28</v>
          </cell>
          <cell r="E107">
            <v>10</v>
          </cell>
          <cell r="F107">
            <v>28</v>
          </cell>
          <cell r="G107">
            <v>10</v>
          </cell>
        </row>
        <row r="108">
          <cell r="B108" t="str">
            <v>中央簡水</v>
          </cell>
          <cell r="C108" t="str">
            <v>仕出原</v>
          </cell>
          <cell r="D108">
            <v>120</v>
          </cell>
          <cell r="E108">
            <v>46</v>
          </cell>
          <cell r="F108">
            <v>120</v>
          </cell>
          <cell r="G108">
            <v>46</v>
          </cell>
        </row>
        <row r="109">
          <cell r="B109" t="str">
            <v>中央簡水</v>
          </cell>
          <cell r="C109" t="str">
            <v>大井野（1）</v>
          </cell>
          <cell r="D109">
            <v>75</v>
          </cell>
          <cell r="E109">
            <v>26</v>
          </cell>
          <cell r="F109">
            <v>75</v>
          </cell>
          <cell r="G109">
            <v>26</v>
          </cell>
        </row>
        <row r="110">
          <cell r="B110" t="str">
            <v>中央簡水</v>
          </cell>
          <cell r="C110" t="str">
            <v>口神ノ川（1-1）</v>
          </cell>
          <cell r="D110">
            <v>39</v>
          </cell>
          <cell r="E110">
            <v>15</v>
          </cell>
          <cell r="F110">
            <v>39</v>
          </cell>
          <cell r="G110">
            <v>15</v>
          </cell>
        </row>
        <row r="111">
          <cell r="B111" t="str">
            <v>中央簡水</v>
          </cell>
          <cell r="C111" t="str">
            <v>口神ノ川（1-2）</v>
          </cell>
          <cell r="D111">
            <v>55</v>
          </cell>
          <cell r="E111">
            <v>20</v>
          </cell>
          <cell r="F111">
            <v>55</v>
          </cell>
          <cell r="G111">
            <v>20</v>
          </cell>
        </row>
        <row r="112">
          <cell r="B112" t="str">
            <v>中央簡水</v>
          </cell>
          <cell r="C112" t="str">
            <v>口神ノ川（2）</v>
          </cell>
          <cell r="D112">
            <v>45</v>
          </cell>
          <cell r="E112">
            <v>19</v>
          </cell>
          <cell r="F112">
            <v>45</v>
          </cell>
          <cell r="G112">
            <v>19</v>
          </cell>
        </row>
        <row r="113">
          <cell r="B113" t="str">
            <v>中央簡水</v>
          </cell>
          <cell r="C113" t="str">
            <v>口神ノ川（3）</v>
          </cell>
          <cell r="D113">
            <v>46</v>
          </cell>
          <cell r="E113">
            <v>17</v>
          </cell>
          <cell r="F113">
            <v>46</v>
          </cell>
          <cell r="G113">
            <v>17</v>
          </cell>
        </row>
        <row r="114">
          <cell r="B114" t="str">
            <v>中央簡水</v>
          </cell>
          <cell r="C114" t="str">
            <v>口神ノ川（4）</v>
          </cell>
          <cell r="D114">
            <v>34</v>
          </cell>
          <cell r="E114">
            <v>16</v>
          </cell>
          <cell r="F114">
            <v>34</v>
          </cell>
          <cell r="G114">
            <v>16</v>
          </cell>
        </row>
        <row r="115">
          <cell r="B115" t="str">
            <v>中神ノ川簡水</v>
          </cell>
          <cell r="C115" t="str">
            <v>中神ノ川</v>
          </cell>
          <cell r="D115">
            <v>135</v>
          </cell>
          <cell r="E115">
            <v>52</v>
          </cell>
          <cell r="F115">
            <v>135</v>
          </cell>
          <cell r="G115">
            <v>52</v>
          </cell>
        </row>
        <row r="116">
          <cell r="B116" t="str">
            <v>未普及</v>
          </cell>
          <cell r="C116" t="str">
            <v>奥神ノ川</v>
          </cell>
          <cell r="D116">
            <v>9</v>
          </cell>
          <cell r="E116">
            <v>3</v>
          </cell>
          <cell r="F116">
            <v>9</v>
          </cell>
          <cell r="G116">
            <v>3</v>
          </cell>
        </row>
        <row r="117">
          <cell r="B117" t="str">
            <v>中央簡水</v>
          </cell>
          <cell r="C117" t="str">
            <v>大井野（2）</v>
          </cell>
          <cell r="D117">
            <v>69</v>
          </cell>
          <cell r="E117">
            <v>28</v>
          </cell>
          <cell r="F117">
            <v>69</v>
          </cell>
          <cell r="G117">
            <v>28</v>
          </cell>
        </row>
        <row r="118">
          <cell r="B118" t="str">
            <v>南部簡水</v>
          </cell>
          <cell r="C118" t="str">
            <v>西原（2）</v>
          </cell>
          <cell r="D118">
            <v>32</v>
          </cell>
          <cell r="E118">
            <v>11</v>
          </cell>
          <cell r="F118">
            <v>32</v>
          </cell>
          <cell r="G118">
            <v>11</v>
          </cell>
        </row>
        <row r="119">
          <cell r="B119" t="str">
            <v>中央簡水</v>
          </cell>
          <cell r="C119" t="str">
            <v>宮内（2）</v>
          </cell>
          <cell r="D119">
            <v>65</v>
          </cell>
          <cell r="E119">
            <v>26</v>
          </cell>
          <cell r="F119">
            <v>65</v>
          </cell>
          <cell r="G119">
            <v>26</v>
          </cell>
        </row>
        <row r="120">
          <cell r="B120" t="str">
            <v>南部簡水</v>
          </cell>
          <cell r="C120" t="str">
            <v>金上野（4）</v>
          </cell>
          <cell r="D120">
            <v>78</v>
          </cell>
          <cell r="E120">
            <v>26</v>
          </cell>
          <cell r="F120">
            <v>78</v>
          </cell>
          <cell r="G120">
            <v>26</v>
          </cell>
        </row>
        <row r="121">
          <cell r="B121" t="str">
            <v>南部簡水</v>
          </cell>
          <cell r="C121" t="str">
            <v>金上野ミコノ川</v>
          </cell>
          <cell r="D121">
            <v>16</v>
          </cell>
          <cell r="E121">
            <v>5</v>
          </cell>
          <cell r="F121">
            <v>16</v>
          </cell>
          <cell r="G121">
            <v>5</v>
          </cell>
        </row>
        <row r="122">
          <cell r="B122" t="str">
            <v>南部簡水</v>
          </cell>
          <cell r="C122" t="str">
            <v>見付大切</v>
          </cell>
          <cell r="D122">
            <v>34</v>
          </cell>
          <cell r="E122">
            <v>13</v>
          </cell>
          <cell r="F122">
            <v>34</v>
          </cell>
          <cell r="G122">
            <v>13</v>
          </cell>
        </row>
        <row r="123">
          <cell r="B123" t="str">
            <v>中央簡水</v>
          </cell>
          <cell r="C123" t="str">
            <v>根元原（3）</v>
          </cell>
          <cell r="D123">
            <v>5</v>
          </cell>
          <cell r="E123">
            <v>4</v>
          </cell>
          <cell r="F123">
            <v>5</v>
          </cell>
          <cell r="G123">
            <v>4</v>
          </cell>
        </row>
        <row r="124">
          <cell r="B124" t="str">
            <v>井細川簡水</v>
          </cell>
          <cell r="C124" t="str">
            <v>桧生原</v>
          </cell>
          <cell r="D124">
            <v>103</v>
          </cell>
          <cell r="E124">
            <v>47</v>
          </cell>
          <cell r="F124">
            <v>103</v>
          </cell>
          <cell r="G124">
            <v>47</v>
          </cell>
        </row>
        <row r="125">
          <cell r="B125" t="str">
            <v>井細川簡水</v>
          </cell>
          <cell r="C125" t="str">
            <v>寺野</v>
          </cell>
          <cell r="D125">
            <v>125</v>
          </cell>
          <cell r="E125">
            <v>44</v>
          </cell>
          <cell r="F125">
            <v>125</v>
          </cell>
          <cell r="G125">
            <v>44</v>
          </cell>
        </row>
        <row r="126">
          <cell r="B126" t="str">
            <v>立西簡水</v>
          </cell>
          <cell r="C126" t="str">
            <v>川口</v>
          </cell>
          <cell r="D126">
            <v>180</v>
          </cell>
          <cell r="E126">
            <v>83</v>
          </cell>
          <cell r="F126">
            <v>180</v>
          </cell>
          <cell r="G126">
            <v>83</v>
          </cell>
        </row>
        <row r="127">
          <cell r="B127" t="str">
            <v>立西簡水</v>
          </cell>
          <cell r="C127" t="str">
            <v>天ノ川</v>
          </cell>
          <cell r="D127">
            <v>52</v>
          </cell>
          <cell r="E127">
            <v>24</v>
          </cell>
          <cell r="F127">
            <v>52</v>
          </cell>
          <cell r="G127">
            <v>24</v>
          </cell>
        </row>
        <row r="128">
          <cell r="B128" t="str">
            <v>立西簡水</v>
          </cell>
          <cell r="C128" t="str">
            <v>秋丸</v>
          </cell>
          <cell r="D128">
            <v>144</v>
          </cell>
          <cell r="E128">
            <v>55</v>
          </cell>
          <cell r="F128">
            <v>144</v>
          </cell>
          <cell r="G128">
            <v>55</v>
          </cell>
        </row>
        <row r="129">
          <cell r="B129" t="str">
            <v>立西簡水</v>
          </cell>
          <cell r="C129" t="str">
            <v>野地</v>
          </cell>
          <cell r="D129">
            <v>125</v>
          </cell>
          <cell r="E129">
            <v>44</v>
          </cell>
          <cell r="F129">
            <v>125</v>
          </cell>
          <cell r="G129">
            <v>44</v>
          </cell>
        </row>
        <row r="130">
          <cell r="B130" t="str">
            <v>立西簡水</v>
          </cell>
          <cell r="C130" t="str">
            <v>家地川</v>
          </cell>
          <cell r="D130">
            <v>122</v>
          </cell>
          <cell r="E130">
            <v>52</v>
          </cell>
          <cell r="F130">
            <v>122</v>
          </cell>
          <cell r="G130">
            <v>52</v>
          </cell>
        </row>
        <row r="131">
          <cell r="B131" t="str">
            <v>中央簡水</v>
          </cell>
          <cell r="C131" t="str">
            <v>大向</v>
          </cell>
          <cell r="D131">
            <v>65</v>
          </cell>
          <cell r="E131">
            <v>28</v>
          </cell>
          <cell r="F131">
            <v>65</v>
          </cell>
          <cell r="G131">
            <v>28</v>
          </cell>
        </row>
        <row r="132">
          <cell r="B132" t="str">
            <v>井細川簡水</v>
          </cell>
          <cell r="C132" t="str">
            <v>折合</v>
          </cell>
          <cell r="D132">
            <v>10</v>
          </cell>
          <cell r="E132">
            <v>5</v>
          </cell>
          <cell r="F132">
            <v>10</v>
          </cell>
          <cell r="G132">
            <v>5</v>
          </cell>
        </row>
        <row r="133">
          <cell r="B133" t="str">
            <v>七里簡水</v>
          </cell>
          <cell r="C133" t="str">
            <v>越行</v>
          </cell>
          <cell r="D133">
            <v>83</v>
          </cell>
          <cell r="E133">
            <v>33</v>
          </cell>
          <cell r="F133">
            <v>83</v>
          </cell>
          <cell r="G133">
            <v>33</v>
          </cell>
        </row>
        <row r="134">
          <cell r="B134" t="str">
            <v>七里簡水</v>
          </cell>
          <cell r="C134" t="str">
            <v>西影山</v>
          </cell>
          <cell r="D134">
            <v>33</v>
          </cell>
          <cell r="E134">
            <v>14</v>
          </cell>
          <cell r="F134">
            <v>33</v>
          </cell>
          <cell r="G134">
            <v>14</v>
          </cell>
        </row>
        <row r="135">
          <cell r="B135" t="str">
            <v>七里簡水</v>
          </cell>
          <cell r="C135" t="str">
            <v>中影山</v>
          </cell>
          <cell r="D135">
            <v>41</v>
          </cell>
          <cell r="E135">
            <v>16</v>
          </cell>
          <cell r="F135">
            <v>41</v>
          </cell>
          <cell r="G135">
            <v>16</v>
          </cell>
        </row>
        <row r="136">
          <cell r="B136" t="str">
            <v>七里簡水</v>
          </cell>
          <cell r="C136" t="str">
            <v>沖代</v>
          </cell>
          <cell r="D136">
            <v>53</v>
          </cell>
          <cell r="E136">
            <v>15</v>
          </cell>
          <cell r="F136">
            <v>53</v>
          </cell>
          <cell r="G136">
            <v>15</v>
          </cell>
        </row>
        <row r="137">
          <cell r="B137" t="str">
            <v>七里簡水</v>
          </cell>
          <cell r="C137" t="str">
            <v>三滝</v>
          </cell>
          <cell r="D137">
            <v>22</v>
          </cell>
          <cell r="E137">
            <v>11</v>
          </cell>
          <cell r="F137">
            <v>22</v>
          </cell>
          <cell r="G137">
            <v>11</v>
          </cell>
        </row>
        <row r="138">
          <cell r="B138" t="str">
            <v>七里簡水</v>
          </cell>
          <cell r="C138" t="str">
            <v>本在家</v>
          </cell>
          <cell r="D138">
            <v>64</v>
          </cell>
          <cell r="E138">
            <v>26</v>
          </cell>
          <cell r="F138">
            <v>42</v>
          </cell>
          <cell r="G138">
            <v>18</v>
          </cell>
        </row>
        <row r="139">
          <cell r="B139" t="str">
            <v>未普及</v>
          </cell>
          <cell r="C139" t="str">
            <v>本在家</v>
          </cell>
          <cell r="F139">
            <v>22</v>
          </cell>
          <cell r="G139">
            <v>8</v>
          </cell>
        </row>
        <row r="140">
          <cell r="B140" t="str">
            <v>七里簡水</v>
          </cell>
          <cell r="C140" t="str">
            <v>柳瀬</v>
          </cell>
          <cell r="D140">
            <v>78</v>
          </cell>
          <cell r="E140">
            <v>31</v>
          </cell>
          <cell r="F140">
            <v>78</v>
          </cell>
          <cell r="G140">
            <v>31</v>
          </cell>
        </row>
        <row r="141">
          <cell r="B141" t="str">
            <v>七里簡水</v>
          </cell>
          <cell r="C141" t="str">
            <v>下小野川</v>
          </cell>
          <cell r="D141">
            <v>59</v>
          </cell>
          <cell r="E141">
            <v>26</v>
          </cell>
          <cell r="F141">
            <v>59</v>
          </cell>
          <cell r="G141">
            <v>26</v>
          </cell>
        </row>
        <row r="142">
          <cell r="B142" t="str">
            <v>七里簡水</v>
          </cell>
          <cell r="C142" t="str">
            <v>上小野川</v>
          </cell>
          <cell r="D142">
            <v>87</v>
          </cell>
          <cell r="E142">
            <v>35</v>
          </cell>
          <cell r="F142">
            <v>87</v>
          </cell>
          <cell r="G142">
            <v>35</v>
          </cell>
        </row>
        <row r="143">
          <cell r="B143" t="str">
            <v>七里簡水</v>
          </cell>
          <cell r="C143" t="str">
            <v>中村</v>
          </cell>
          <cell r="D143">
            <v>18</v>
          </cell>
          <cell r="E143">
            <v>7</v>
          </cell>
          <cell r="F143">
            <v>18</v>
          </cell>
          <cell r="G143">
            <v>7</v>
          </cell>
        </row>
        <row r="144">
          <cell r="B144" t="str">
            <v>七里簡水</v>
          </cell>
          <cell r="C144" t="str">
            <v>勝賀野</v>
          </cell>
          <cell r="D144">
            <v>71</v>
          </cell>
          <cell r="E144">
            <v>27</v>
          </cell>
          <cell r="F144">
            <v>71</v>
          </cell>
          <cell r="G144">
            <v>27</v>
          </cell>
        </row>
        <row r="145">
          <cell r="B145" t="str">
            <v>未普及</v>
          </cell>
          <cell r="C145" t="str">
            <v>川ノ内</v>
          </cell>
          <cell r="D145">
            <v>85</v>
          </cell>
          <cell r="E145">
            <v>29</v>
          </cell>
          <cell r="F145">
            <v>85</v>
          </cell>
          <cell r="G145">
            <v>29</v>
          </cell>
        </row>
        <row r="146">
          <cell r="B146" t="str">
            <v>中央簡水</v>
          </cell>
          <cell r="C146" t="str">
            <v>志和分</v>
          </cell>
          <cell r="D146">
            <v>28</v>
          </cell>
          <cell r="E146">
            <v>14</v>
          </cell>
          <cell r="F146">
            <v>28</v>
          </cell>
          <cell r="G146">
            <v>14</v>
          </cell>
        </row>
        <row r="147">
          <cell r="B147" t="str">
            <v>未普及</v>
          </cell>
          <cell r="C147" t="str">
            <v>西ノ川</v>
          </cell>
          <cell r="D147">
            <v>40</v>
          </cell>
          <cell r="E147">
            <v>15</v>
          </cell>
          <cell r="F147">
            <v>40</v>
          </cell>
          <cell r="G147">
            <v>15</v>
          </cell>
        </row>
        <row r="148">
          <cell r="B148" t="str">
            <v>七里簡水</v>
          </cell>
          <cell r="C148" t="str">
            <v>下作屋</v>
          </cell>
          <cell r="D148">
            <v>55</v>
          </cell>
          <cell r="E148">
            <v>19</v>
          </cell>
          <cell r="F148">
            <v>55</v>
          </cell>
          <cell r="G148">
            <v>19</v>
          </cell>
        </row>
        <row r="149">
          <cell r="B149" t="str">
            <v>北辰簡水</v>
          </cell>
          <cell r="C149" t="str">
            <v>上作屋</v>
          </cell>
          <cell r="D149">
            <v>50</v>
          </cell>
          <cell r="E149">
            <v>23</v>
          </cell>
          <cell r="F149">
            <v>50</v>
          </cell>
          <cell r="G149">
            <v>23</v>
          </cell>
        </row>
        <row r="150">
          <cell r="B150" t="str">
            <v>北辰簡水</v>
          </cell>
          <cell r="C150" t="str">
            <v>川奥</v>
          </cell>
          <cell r="D150">
            <v>72</v>
          </cell>
          <cell r="E150">
            <v>29</v>
          </cell>
          <cell r="F150">
            <v>72</v>
          </cell>
          <cell r="G150">
            <v>29</v>
          </cell>
        </row>
        <row r="151">
          <cell r="B151" t="str">
            <v>北辰簡水</v>
          </cell>
          <cell r="C151" t="str">
            <v>米ノ川</v>
          </cell>
          <cell r="D151">
            <v>157</v>
          </cell>
          <cell r="E151">
            <v>67</v>
          </cell>
          <cell r="F151">
            <v>157</v>
          </cell>
          <cell r="G151">
            <v>67</v>
          </cell>
        </row>
        <row r="152">
          <cell r="B152" t="str">
            <v>北辰簡水</v>
          </cell>
          <cell r="C152" t="str">
            <v>中津川</v>
          </cell>
          <cell r="D152">
            <v>31</v>
          </cell>
          <cell r="E152">
            <v>12</v>
          </cell>
          <cell r="F152">
            <v>31</v>
          </cell>
          <cell r="G152">
            <v>12</v>
          </cell>
        </row>
        <row r="153">
          <cell r="B153" t="str">
            <v>北辰簡水</v>
          </cell>
          <cell r="C153" t="str">
            <v>下栗ノ木</v>
          </cell>
          <cell r="D153">
            <v>34</v>
          </cell>
          <cell r="E153">
            <v>14</v>
          </cell>
          <cell r="F153">
            <v>34</v>
          </cell>
          <cell r="G153">
            <v>14</v>
          </cell>
        </row>
        <row r="154">
          <cell r="B154" t="str">
            <v>北辰簡水</v>
          </cell>
          <cell r="C154" t="str">
            <v>上栗ノ木</v>
          </cell>
          <cell r="D154">
            <v>22</v>
          </cell>
          <cell r="E154">
            <v>13</v>
          </cell>
          <cell r="F154">
            <v>22</v>
          </cell>
          <cell r="G154">
            <v>13</v>
          </cell>
        </row>
        <row r="155">
          <cell r="B155" t="str">
            <v>北辰簡水</v>
          </cell>
          <cell r="C155" t="str">
            <v>桑ノ又</v>
          </cell>
          <cell r="D155">
            <v>25</v>
          </cell>
          <cell r="E155">
            <v>12</v>
          </cell>
          <cell r="F155">
            <v>25</v>
          </cell>
          <cell r="G155">
            <v>12</v>
          </cell>
        </row>
        <row r="156">
          <cell r="B156" t="str">
            <v>北辰簡水</v>
          </cell>
          <cell r="C156" t="str">
            <v>日野地</v>
          </cell>
          <cell r="D156">
            <v>32</v>
          </cell>
          <cell r="E156">
            <v>18</v>
          </cell>
          <cell r="F156">
            <v>32</v>
          </cell>
          <cell r="G156">
            <v>18</v>
          </cell>
        </row>
        <row r="157">
          <cell r="B157" t="str">
            <v>北辰簡水</v>
          </cell>
          <cell r="C157" t="str">
            <v>上秋丸</v>
          </cell>
          <cell r="D157">
            <v>22</v>
          </cell>
          <cell r="E157">
            <v>10</v>
          </cell>
          <cell r="F157">
            <v>22</v>
          </cell>
          <cell r="G157">
            <v>10</v>
          </cell>
        </row>
        <row r="158">
          <cell r="B158" t="str">
            <v>北辰簡水</v>
          </cell>
          <cell r="C158" t="str">
            <v>菅野々</v>
          </cell>
          <cell r="D158">
            <v>25</v>
          </cell>
          <cell r="E158">
            <v>11</v>
          </cell>
          <cell r="F158">
            <v>25</v>
          </cell>
          <cell r="G158">
            <v>11</v>
          </cell>
        </row>
        <row r="159">
          <cell r="B159" t="str">
            <v>北辰簡水</v>
          </cell>
          <cell r="C159" t="str">
            <v>下壱斗俵</v>
          </cell>
          <cell r="D159">
            <v>69</v>
          </cell>
          <cell r="E159">
            <v>33</v>
          </cell>
          <cell r="F159">
            <v>69</v>
          </cell>
          <cell r="G159">
            <v>33</v>
          </cell>
        </row>
        <row r="160">
          <cell r="B160" t="str">
            <v>北辰簡水</v>
          </cell>
          <cell r="C160" t="str">
            <v>上壱斗俵</v>
          </cell>
          <cell r="D160">
            <v>26</v>
          </cell>
          <cell r="E160">
            <v>13</v>
          </cell>
          <cell r="F160">
            <v>26</v>
          </cell>
          <cell r="G160">
            <v>13</v>
          </cell>
        </row>
        <row r="161">
          <cell r="B161" t="str">
            <v>北辰簡水</v>
          </cell>
          <cell r="C161" t="str">
            <v>北ノ川</v>
          </cell>
          <cell r="D161">
            <v>73</v>
          </cell>
          <cell r="E161">
            <v>26</v>
          </cell>
          <cell r="F161">
            <v>73</v>
          </cell>
          <cell r="G161">
            <v>26</v>
          </cell>
        </row>
        <row r="162">
          <cell r="B162" t="str">
            <v>北辰簡水</v>
          </cell>
          <cell r="C162" t="str">
            <v>市生原</v>
          </cell>
          <cell r="D162">
            <v>79</v>
          </cell>
          <cell r="E162">
            <v>31</v>
          </cell>
          <cell r="F162">
            <v>79</v>
          </cell>
          <cell r="G162">
            <v>31</v>
          </cell>
        </row>
        <row r="163">
          <cell r="B163" t="str">
            <v>七里簡水</v>
          </cell>
          <cell r="C163" t="str">
            <v>七里町営住宅</v>
          </cell>
          <cell r="D163">
            <v>30</v>
          </cell>
          <cell r="E163">
            <v>9</v>
          </cell>
          <cell r="F163">
            <v>30</v>
          </cell>
          <cell r="G163">
            <v>9</v>
          </cell>
        </row>
        <row r="164">
          <cell r="B164" t="str">
            <v>仁井田簡水</v>
          </cell>
          <cell r="C164" t="str">
            <v>床鍋（上）</v>
          </cell>
          <cell r="D164">
            <v>89</v>
          </cell>
          <cell r="E164">
            <v>32</v>
          </cell>
          <cell r="F164">
            <v>89</v>
          </cell>
          <cell r="G164">
            <v>32</v>
          </cell>
        </row>
        <row r="165">
          <cell r="B165" t="str">
            <v>仁井田簡水</v>
          </cell>
          <cell r="C165" t="str">
            <v>床鍋（下）</v>
          </cell>
          <cell r="D165">
            <v>70</v>
          </cell>
          <cell r="E165">
            <v>29</v>
          </cell>
          <cell r="F165">
            <v>70</v>
          </cell>
          <cell r="G165">
            <v>29</v>
          </cell>
        </row>
        <row r="166">
          <cell r="B166" t="str">
            <v>仁井田簡水</v>
          </cell>
          <cell r="C166" t="str">
            <v>影野（上）</v>
          </cell>
          <cell r="D166">
            <v>103</v>
          </cell>
          <cell r="E166">
            <v>35</v>
          </cell>
          <cell r="F166">
            <v>103</v>
          </cell>
          <cell r="G166">
            <v>35</v>
          </cell>
        </row>
        <row r="167">
          <cell r="B167" t="str">
            <v>仁井田簡水</v>
          </cell>
          <cell r="C167" t="str">
            <v>影野（下）</v>
          </cell>
          <cell r="D167">
            <v>138</v>
          </cell>
          <cell r="E167">
            <v>53</v>
          </cell>
          <cell r="F167">
            <v>138</v>
          </cell>
          <cell r="G167">
            <v>53</v>
          </cell>
        </row>
        <row r="168">
          <cell r="B168" t="str">
            <v>仁井田簡水</v>
          </cell>
          <cell r="C168" t="str">
            <v>奥呉地（上）</v>
          </cell>
          <cell r="D168">
            <v>26</v>
          </cell>
          <cell r="E168">
            <v>12</v>
          </cell>
          <cell r="F168">
            <v>26</v>
          </cell>
          <cell r="G168">
            <v>12</v>
          </cell>
        </row>
        <row r="169">
          <cell r="B169" t="str">
            <v>仁井田簡水</v>
          </cell>
          <cell r="C169" t="str">
            <v>奥呉地（下）</v>
          </cell>
          <cell r="D169">
            <v>39</v>
          </cell>
          <cell r="E169">
            <v>14</v>
          </cell>
          <cell r="F169">
            <v>39</v>
          </cell>
          <cell r="G169">
            <v>14</v>
          </cell>
        </row>
        <row r="170">
          <cell r="B170" t="str">
            <v>仁井田簡水</v>
          </cell>
          <cell r="C170" t="str">
            <v>魚ノ川</v>
          </cell>
          <cell r="D170">
            <v>103</v>
          </cell>
          <cell r="E170">
            <v>38</v>
          </cell>
          <cell r="F170">
            <v>103</v>
          </cell>
          <cell r="G170">
            <v>38</v>
          </cell>
        </row>
        <row r="171">
          <cell r="B171" t="str">
            <v>仁井田簡水</v>
          </cell>
          <cell r="C171" t="str">
            <v>下呉地（東）</v>
          </cell>
          <cell r="D171">
            <v>54</v>
          </cell>
          <cell r="E171">
            <v>22</v>
          </cell>
          <cell r="F171">
            <v>54</v>
          </cell>
          <cell r="G171">
            <v>22</v>
          </cell>
        </row>
        <row r="172">
          <cell r="B172" t="str">
            <v>仁井田簡水</v>
          </cell>
          <cell r="C172" t="str">
            <v>下呉地（西）</v>
          </cell>
          <cell r="D172">
            <v>90</v>
          </cell>
          <cell r="E172">
            <v>34</v>
          </cell>
          <cell r="F172">
            <v>90</v>
          </cell>
          <cell r="G172">
            <v>34</v>
          </cell>
        </row>
        <row r="173">
          <cell r="B173" t="str">
            <v>仁井田簡水</v>
          </cell>
          <cell r="C173" t="str">
            <v>替坂本</v>
          </cell>
          <cell r="D173">
            <v>92</v>
          </cell>
          <cell r="E173">
            <v>35</v>
          </cell>
          <cell r="F173">
            <v>92</v>
          </cell>
          <cell r="G173">
            <v>35</v>
          </cell>
        </row>
        <row r="174">
          <cell r="B174" t="str">
            <v>仁井田簡水</v>
          </cell>
          <cell r="C174" t="str">
            <v>山株</v>
          </cell>
          <cell r="D174">
            <v>55</v>
          </cell>
          <cell r="E174">
            <v>20</v>
          </cell>
          <cell r="F174">
            <v>55</v>
          </cell>
          <cell r="G174">
            <v>20</v>
          </cell>
        </row>
        <row r="175">
          <cell r="B175" t="str">
            <v>仁井田簡水</v>
          </cell>
          <cell r="C175" t="str">
            <v>六反地（町）</v>
          </cell>
          <cell r="D175">
            <v>62</v>
          </cell>
          <cell r="E175">
            <v>32</v>
          </cell>
          <cell r="F175">
            <v>62</v>
          </cell>
          <cell r="G175">
            <v>32</v>
          </cell>
        </row>
        <row r="176">
          <cell r="B176" t="str">
            <v>仁井田簡水</v>
          </cell>
          <cell r="C176" t="str">
            <v>六反地（郷）</v>
          </cell>
          <cell r="D176">
            <v>99</v>
          </cell>
          <cell r="E176">
            <v>31</v>
          </cell>
          <cell r="F176">
            <v>99</v>
          </cell>
          <cell r="G176">
            <v>31</v>
          </cell>
        </row>
        <row r="177">
          <cell r="B177" t="str">
            <v>仁井田簡水</v>
          </cell>
          <cell r="C177" t="str">
            <v>神有（上）</v>
          </cell>
          <cell r="D177">
            <v>63</v>
          </cell>
          <cell r="E177">
            <v>29</v>
          </cell>
          <cell r="F177">
            <v>63</v>
          </cell>
          <cell r="G177">
            <v>29</v>
          </cell>
        </row>
        <row r="178">
          <cell r="B178" t="str">
            <v>仁井田簡水</v>
          </cell>
          <cell r="C178" t="str">
            <v>神有（下）</v>
          </cell>
          <cell r="D178">
            <v>60</v>
          </cell>
          <cell r="E178">
            <v>20</v>
          </cell>
          <cell r="F178">
            <v>60</v>
          </cell>
          <cell r="G178">
            <v>20</v>
          </cell>
        </row>
        <row r="179">
          <cell r="B179" t="str">
            <v>仁井田簡水</v>
          </cell>
          <cell r="C179" t="str">
            <v>汢ノ川</v>
          </cell>
          <cell r="D179">
            <v>51</v>
          </cell>
          <cell r="E179">
            <v>20</v>
          </cell>
          <cell r="F179">
            <v>51</v>
          </cell>
          <cell r="G179">
            <v>20</v>
          </cell>
        </row>
        <row r="180">
          <cell r="B180" t="str">
            <v>仁井田簡水</v>
          </cell>
          <cell r="C180" t="str">
            <v>本田</v>
          </cell>
          <cell r="D180">
            <v>100</v>
          </cell>
          <cell r="E180">
            <v>55</v>
          </cell>
          <cell r="F180">
            <v>100</v>
          </cell>
          <cell r="G180">
            <v>55</v>
          </cell>
        </row>
        <row r="181">
          <cell r="B181" t="str">
            <v>仁井田簡水</v>
          </cell>
          <cell r="C181" t="str">
            <v>小向</v>
          </cell>
          <cell r="D181">
            <v>70</v>
          </cell>
          <cell r="E181">
            <v>23</v>
          </cell>
          <cell r="F181">
            <v>70</v>
          </cell>
          <cell r="G181">
            <v>23</v>
          </cell>
        </row>
        <row r="182">
          <cell r="B182" t="str">
            <v>仁井田簡水</v>
          </cell>
          <cell r="C182" t="str">
            <v>仁井田</v>
          </cell>
          <cell r="D182">
            <v>293</v>
          </cell>
          <cell r="E182">
            <v>122</v>
          </cell>
          <cell r="F182">
            <v>293</v>
          </cell>
          <cell r="G182">
            <v>122</v>
          </cell>
        </row>
        <row r="183">
          <cell r="B183" t="str">
            <v>仁井田簡水</v>
          </cell>
          <cell r="C183" t="str">
            <v>浜ノ川</v>
          </cell>
          <cell r="D183">
            <v>46</v>
          </cell>
          <cell r="E183">
            <v>18</v>
          </cell>
          <cell r="F183">
            <v>46</v>
          </cell>
          <cell r="G183">
            <v>18</v>
          </cell>
        </row>
        <row r="184">
          <cell r="B184" t="str">
            <v>仁井田簡水</v>
          </cell>
          <cell r="C184" t="str">
            <v>平串</v>
          </cell>
          <cell r="D184">
            <v>155</v>
          </cell>
          <cell r="E184">
            <v>65</v>
          </cell>
          <cell r="F184">
            <v>155</v>
          </cell>
          <cell r="G184">
            <v>65</v>
          </cell>
        </row>
        <row r="185">
          <cell r="B185" t="str">
            <v>仁井田簡水</v>
          </cell>
          <cell r="C185" t="str">
            <v>富岡</v>
          </cell>
          <cell r="D185">
            <v>23</v>
          </cell>
          <cell r="E185">
            <v>13</v>
          </cell>
          <cell r="F185">
            <v>23</v>
          </cell>
          <cell r="G185">
            <v>13</v>
          </cell>
        </row>
        <row r="186">
          <cell r="B186" t="str">
            <v>仁井田簡水</v>
          </cell>
          <cell r="C186" t="str">
            <v>特老</v>
          </cell>
          <cell r="D186">
            <v>63</v>
          </cell>
          <cell r="E186">
            <v>63</v>
          </cell>
          <cell r="F186">
            <v>63</v>
          </cell>
          <cell r="G186">
            <v>63</v>
          </cell>
        </row>
        <row r="187">
          <cell r="B187" t="str">
            <v>仁井田簡水</v>
          </cell>
          <cell r="C187" t="str">
            <v>オイコニア</v>
          </cell>
          <cell r="D187">
            <v>38</v>
          </cell>
          <cell r="E187">
            <v>38</v>
          </cell>
          <cell r="F187">
            <v>38</v>
          </cell>
          <cell r="G187">
            <v>38</v>
          </cell>
        </row>
        <row r="188">
          <cell r="B188" t="str">
            <v>東又簡水</v>
          </cell>
          <cell r="C188" t="str">
            <v>黒石</v>
          </cell>
          <cell r="D188">
            <v>258</v>
          </cell>
          <cell r="E188">
            <v>115</v>
          </cell>
          <cell r="F188">
            <v>258</v>
          </cell>
          <cell r="G188">
            <v>115</v>
          </cell>
        </row>
        <row r="189">
          <cell r="B189" t="str">
            <v>東又簡水</v>
          </cell>
          <cell r="C189" t="str">
            <v>本堂</v>
          </cell>
          <cell r="D189">
            <v>129</v>
          </cell>
          <cell r="E189">
            <v>49</v>
          </cell>
          <cell r="F189">
            <v>129</v>
          </cell>
          <cell r="G189">
            <v>49</v>
          </cell>
        </row>
        <row r="190">
          <cell r="B190" t="str">
            <v>東又簡水</v>
          </cell>
          <cell r="C190" t="str">
            <v>与津地</v>
          </cell>
          <cell r="D190">
            <v>187</v>
          </cell>
          <cell r="E190">
            <v>67</v>
          </cell>
          <cell r="F190">
            <v>187</v>
          </cell>
          <cell r="G190">
            <v>67</v>
          </cell>
        </row>
        <row r="191">
          <cell r="B191" t="str">
            <v>東又簡水</v>
          </cell>
          <cell r="C191" t="str">
            <v>親ヶ内</v>
          </cell>
          <cell r="D191">
            <v>53</v>
          </cell>
          <cell r="E191">
            <v>22</v>
          </cell>
          <cell r="F191">
            <v>53</v>
          </cell>
          <cell r="G191">
            <v>22</v>
          </cell>
        </row>
        <row r="192">
          <cell r="B192" t="str">
            <v>東又簡水</v>
          </cell>
          <cell r="C192" t="str">
            <v>八千数</v>
          </cell>
          <cell r="D192">
            <v>68</v>
          </cell>
          <cell r="E192">
            <v>26</v>
          </cell>
          <cell r="F192">
            <v>68</v>
          </cell>
          <cell r="G192">
            <v>26</v>
          </cell>
        </row>
        <row r="193">
          <cell r="B193" t="str">
            <v>東又簡水</v>
          </cell>
          <cell r="C193" t="str">
            <v>藤ノ川</v>
          </cell>
          <cell r="D193">
            <v>158</v>
          </cell>
          <cell r="E193">
            <v>58</v>
          </cell>
          <cell r="F193">
            <v>158</v>
          </cell>
          <cell r="G193">
            <v>58</v>
          </cell>
        </row>
        <row r="194">
          <cell r="B194" t="str">
            <v>東又簡水</v>
          </cell>
          <cell r="C194" t="str">
            <v>向川</v>
          </cell>
          <cell r="D194">
            <v>45</v>
          </cell>
          <cell r="E194">
            <v>15</v>
          </cell>
          <cell r="F194">
            <v>45</v>
          </cell>
          <cell r="G194">
            <v>15</v>
          </cell>
        </row>
        <row r="195">
          <cell r="B195" t="str">
            <v>東又簡水</v>
          </cell>
          <cell r="C195" t="str">
            <v>数家</v>
          </cell>
          <cell r="D195">
            <v>75</v>
          </cell>
          <cell r="E195">
            <v>29</v>
          </cell>
          <cell r="F195">
            <v>75</v>
          </cell>
          <cell r="G195">
            <v>29</v>
          </cell>
        </row>
        <row r="196">
          <cell r="B196" t="str">
            <v>東又簡水</v>
          </cell>
          <cell r="C196" t="str">
            <v>神野々</v>
          </cell>
          <cell r="D196">
            <v>81</v>
          </cell>
          <cell r="E196">
            <v>36</v>
          </cell>
          <cell r="F196">
            <v>81</v>
          </cell>
          <cell r="G196">
            <v>36</v>
          </cell>
        </row>
        <row r="197">
          <cell r="B197" t="str">
            <v>東又簡水</v>
          </cell>
          <cell r="C197" t="str">
            <v>奈路</v>
          </cell>
          <cell r="D197">
            <v>122</v>
          </cell>
          <cell r="E197">
            <v>50</v>
          </cell>
          <cell r="F197">
            <v>122</v>
          </cell>
          <cell r="G197">
            <v>50</v>
          </cell>
        </row>
        <row r="198">
          <cell r="B198" t="str">
            <v>道徳簡水</v>
          </cell>
          <cell r="C198" t="str">
            <v>道徳</v>
          </cell>
          <cell r="D198">
            <v>57</v>
          </cell>
          <cell r="E198">
            <v>23</v>
          </cell>
          <cell r="F198">
            <v>57</v>
          </cell>
          <cell r="G198">
            <v>23</v>
          </cell>
        </row>
        <row r="199">
          <cell r="B199" t="str">
            <v>東又簡水</v>
          </cell>
          <cell r="C199" t="str">
            <v>平野</v>
          </cell>
          <cell r="D199">
            <v>139</v>
          </cell>
          <cell r="E199">
            <v>56</v>
          </cell>
          <cell r="F199">
            <v>103</v>
          </cell>
          <cell r="G199">
            <v>45</v>
          </cell>
        </row>
        <row r="200">
          <cell r="B200" t="str">
            <v>道徳簡水</v>
          </cell>
          <cell r="C200" t="str">
            <v>平野</v>
          </cell>
          <cell r="F200">
            <v>36</v>
          </cell>
          <cell r="G200">
            <v>11</v>
          </cell>
        </row>
        <row r="201">
          <cell r="B201" t="str">
            <v>東又簡水</v>
          </cell>
          <cell r="C201" t="str">
            <v>土居</v>
          </cell>
          <cell r="D201">
            <v>147</v>
          </cell>
          <cell r="E201">
            <v>54</v>
          </cell>
          <cell r="F201">
            <v>147</v>
          </cell>
          <cell r="G201">
            <v>54</v>
          </cell>
        </row>
        <row r="202">
          <cell r="B202" t="str">
            <v>東又簡水</v>
          </cell>
          <cell r="C202" t="str">
            <v>弘見</v>
          </cell>
          <cell r="D202">
            <v>114</v>
          </cell>
          <cell r="E202">
            <v>45</v>
          </cell>
          <cell r="F202">
            <v>114</v>
          </cell>
          <cell r="G202">
            <v>45</v>
          </cell>
        </row>
        <row r="203">
          <cell r="B203" t="str">
            <v>東又簡水</v>
          </cell>
          <cell r="C203" t="str">
            <v>飯ノ川</v>
          </cell>
          <cell r="D203">
            <v>77</v>
          </cell>
          <cell r="E203">
            <v>33</v>
          </cell>
          <cell r="F203">
            <v>77</v>
          </cell>
          <cell r="G203">
            <v>33</v>
          </cell>
        </row>
        <row r="204">
          <cell r="B204" t="str">
            <v>東又簡水</v>
          </cell>
          <cell r="C204" t="str">
            <v>志和峰</v>
          </cell>
          <cell r="D204">
            <v>57</v>
          </cell>
          <cell r="E204">
            <v>23</v>
          </cell>
          <cell r="F204">
            <v>57</v>
          </cell>
          <cell r="G204">
            <v>23</v>
          </cell>
        </row>
        <row r="205">
          <cell r="B205" t="str">
            <v>未普及</v>
          </cell>
          <cell r="C205" t="str">
            <v>鶴津</v>
          </cell>
          <cell r="D205">
            <v>8</v>
          </cell>
          <cell r="E205">
            <v>5</v>
          </cell>
          <cell r="F205">
            <v>8</v>
          </cell>
          <cell r="G205">
            <v>5</v>
          </cell>
        </row>
        <row r="206">
          <cell r="B206" t="str">
            <v>志和簡水</v>
          </cell>
          <cell r="C206" t="str">
            <v>志和（郷）</v>
          </cell>
          <cell r="D206">
            <v>149</v>
          </cell>
          <cell r="E206">
            <v>51</v>
          </cell>
          <cell r="F206">
            <v>149</v>
          </cell>
          <cell r="G206">
            <v>51</v>
          </cell>
        </row>
        <row r="207">
          <cell r="B207" t="str">
            <v>志和簡水</v>
          </cell>
          <cell r="C207" t="str">
            <v>志和（浦）</v>
          </cell>
          <cell r="D207">
            <v>235</v>
          </cell>
          <cell r="E207">
            <v>138</v>
          </cell>
          <cell r="F207">
            <v>235</v>
          </cell>
          <cell r="G207">
            <v>138</v>
          </cell>
        </row>
        <row r="208">
          <cell r="B208" t="str">
            <v>東又簡水</v>
          </cell>
          <cell r="C208" t="str">
            <v>実践農大</v>
          </cell>
          <cell r="D208">
            <v>3</v>
          </cell>
          <cell r="E208">
            <v>3</v>
          </cell>
          <cell r="F208">
            <v>3</v>
          </cell>
          <cell r="G208">
            <v>3</v>
          </cell>
        </row>
        <row r="209">
          <cell r="B209" t="str">
            <v>浦分簡水</v>
          </cell>
          <cell r="C209" t="str">
            <v>興津郷分東部</v>
          </cell>
          <cell r="D209">
            <v>87</v>
          </cell>
          <cell r="E209">
            <v>48</v>
          </cell>
          <cell r="F209">
            <v>87</v>
          </cell>
          <cell r="G209">
            <v>48</v>
          </cell>
        </row>
        <row r="210">
          <cell r="B210" t="str">
            <v>浦分簡水</v>
          </cell>
          <cell r="C210" t="str">
            <v>興津郷分中央部</v>
          </cell>
          <cell r="D210">
            <v>61</v>
          </cell>
          <cell r="E210">
            <v>27</v>
          </cell>
          <cell r="F210">
            <v>61</v>
          </cell>
          <cell r="G210">
            <v>27</v>
          </cell>
        </row>
        <row r="211">
          <cell r="B211" t="str">
            <v>浦分簡水</v>
          </cell>
          <cell r="C211" t="str">
            <v>興津郷分西部</v>
          </cell>
          <cell r="D211">
            <v>77</v>
          </cell>
          <cell r="E211">
            <v>32</v>
          </cell>
          <cell r="F211">
            <v>77</v>
          </cell>
          <cell r="G211">
            <v>32</v>
          </cell>
        </row>
        <row r="212">
          <cell r="B212" t="str">
            <v>浦分簡水</v>
          </cell>
          <cell r="C212" t="str">
            <v>興津郷分中筋</v>
          </cell>
          <cell r="D212">
            <v>105</v>
          </cell>
          <cell r="E212">
            <v>46</v>
          </cell>
          <cell r="F212">
            <v>105</v>
          </cell>
          <cell r="G212">
            <v>46</v>
          </cell>
        </row>
        <row r="213">
          <cell r="B213" t="str">
            <v>未普及</v>
          </cell>
          <cell r="C213" t="str">
            <v>島戸</v>
          </cell>
          <cell r="D213">
            <v>5</v>
          </cell>
          <cell r="E213">
            <v>5</v>
          </cell>
          <cell r="F213">
            <v>5</v>
          </cell>
          <cell r="G213">
            <v>5</v>
          </cell>
        </row>
        <row r="214">
          <cell r="B214" t="str">
            <v>小室簡水</v>
          </cell>
          <cell r="C214" t="str">
            <v>小室1区</v>
          </cell>
          <cell r="D214">
            <v>69</v>
          </cell>
          <cell r="E214">
            <v>32</v>
          </cell>
          <cell r="F214">
            <v>69</v>
          </cell>
          <cell r="G214">
            <v>32</v>
          </cell>
        </row>
        <row r="215">
          <cell r="B215" t="str">
            <v>小室簡水</v>
          </cell>
          <cell r="C215" t="str">
            <v>小室2区</v>
          </cell>
          <cell r="D215">
            <v>68</v>
          </cell>
          <cell r="E215">
            <v>37</v>
          </cell>
          <cell r="F215">
            <v>68</v>
          </cell>
          <cell r="G215">
            <v>37</v>
          </cell>
        </row>
        <row r="216">
          <cell r="B216" t="str">
            <v>浦分簡水</v>
          </cell>
          <cell r="C216" t="str">
            <v>浦分1区</v>
          </cell>
          <cell r="D216">
            <v>137</v>
          </cell>
          <cell r="E216">
            <v>71</v>
          </cell>
          <cell r="F216">
            <v>137</v>
          </cell>
          <cell r="G216">
            <v>71</v>
          </cell>
        </row>
        <row r="217">
          <cell r="B217" t="str">
            <v>浦分簡水</v>
          </cell>
          <cell r="C217" t="str">
            <v>浦分2区</v>
          </cell>
          <cell r="D217">
            <v>96</v>
          </cell>
          <cell r="E217">
            <v>45</v>
          </cell>
          <cell r="F217">
            <v>96</v>
          </cell>
          <cell r="G217">
            <v>45</v>
          </cell>
        </row>
        <row r="218">
          <cell r="B218" t="str">
            <v>浦分簡水</v>
          </cell>
          <cell r="C218" t="str">
            <v>浦分3区</v>
          </cell>
          <cell r="D218">
            <v>54</v>
          </cell>
          <cell r="E218">
            <v>34</v>
          </cell>
          <cell r="F218">
            <v>54</v>
          </cell>
          <cell r="G218">
            <v>34</v>
          </cell>
        </row>
        <row r="219">
          <cell r="B219" t="str">
            <v>浦分簡水</v>
          </cell>
          <cell r="C219" t="str">
            <v>浦分4区</v>
          </cell>
          <cell r="D219">
            <v>57</v>
          </cell>
          <cell r="E219">
            <v>36</v>
          </cell>
          <cell r="F219">
            <v>57</v>
          </cell>
          <cell r="G219">
            <v>36</v>
          </cell>
        </row>
        <row r="220">
          <cell r="B220" t="str">
            <v>浦分簡水</v>
          </cell>
          <cell r="C220" t="str">
            <v>浦分5区</v>
          </cell>
          <cell r="D220">
            <v>72</v>
          </cell>
          <cell r="E220">
            <v>38</v>
          </cell>
          <cell r="F220">
            <v>72</v>
          </cell>
          <cell r="G220">
            <v>38</v>
          </cell>
        </row>
        <row r="221">
          <cell r="B221" t="str">
            <v>浦分簡水</v>
          </cell>
          <cell r="C221" t="str">
            <v>小室3区</v>
          </cell>
          <cell r="D221">
            <v>62</v>
          </cell>
          <cell r="E221">
            <v>30</v>
          </cell>
          <cell r="F221">
            <v>62</v>
          </cell>
          <cell r="G221">
            <v>30</v>
          </cell>
        </row>
        <row r="222">
          <cell r="B222" t="str">
            <v>浦分簡水</v>
          </cell>
          <cell r="C222" t="str">
            <v>小室4区</v>
          </cell>
          <cell r="D222">
            <v>65</v>
          </cell>
          <cell r="E222">
            <v>33</v>
          </cell>
          <cell r="F222">
            <v>65</v>
          </cell>
          <cell r="G222">
            <v>33</v>
          </cell>
        </row>
        <row r="223">
          <cell r="B223" t="str">
            <v>浦分簡水</v>
          </cell>
          <cell r="C223" t="str">
            <v>小室5区</v>
          </cell>
          <cell r="D223">
            <v>69</v>
          </cell>
          <cell r="E223">
            <v>32</v>
          </cell>
          <cell r="F223">
            <v>69</v>
          </cell>
          <cell r="G223">
            <v>32</v>
          </cell>
        </row>
        <row r="224">
          <cell r="B224" t="str">
            <v>浦分簡水</v>
          </cell>
          <cell r="C224" t="str">
            <v>興津郷分南北部</v>
          </cell>
          <cell r="D224">
            <v>98</v>
          </cell>
          <cell r="E224">
            <v>44</v>
          </cell>
          <cell r="F224">
            <v>98</v>
          </cell>
          <cell r="G224">
            <v>44</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全事業計"/>
      <sheetName val="グラフ1"/>
      <sheetName val="グラフ2"/>
      <sheetName val="グラフ3"/>
      <sheetName val="グラフ4"/>
      <sheetName val="Sheet1"/>
      <sheetName val="公共下水道事業"/>
      <sheetName val="農業集落排水事業"/>
      <sheetName val="農業集落排水事業 (元)"/>
      <sheetName val="水道事業"/>
      <sheetName val="簡易水道事業"/>
      <sheetName val="社人研人口推計"/>
      <sheetName val="決算推移"/>
      <sheetName val="使用料収入の推移・経費回収率・汚水処理原価"/>
      <sheetName val="費用構造"/>
      <sheetName val="基準内外繰入金"/>
      <sheetName val="有収水量"/>
      <sheetName val="原価計算表"/>
      <sheetName val="人口予測"/>
      <sheetName val="経費回収率向上"/>
      <sheetName val="簡易予測　合計"/>
      <sheetName val="打合せシート（収入合計）"/>
      <sheetName val="打合せシート（経費試算計）"/>
      <sheetName val="別紙（法適・収益）合算"/>
      <sheetName val="別紙（法適・収益）農集"/>
      <sheetName val="別紙（法適・資本）2事業合算"/>
      <sheetName val="企業債　特環"/>
      <sheetName val="別紙（法適・資本）農集"/>
      <sheetName val="企業債　農集"/>
      <sheetName val="原価計算表（特環）Ok "/>
      <sheetName val="別紙（非適）公共"/>
      <sheetName val="別紙（非適）農集"/>
    </sheetNames>
    <sheetDataSet>
      <sheetData sheetId="0"/>
      <sheetData sheetId="1" refreshError="1"/>
      <sheetData sheetId="2" refreshError="1"/>
      <sheetData sheetId="3" refreshError="1"/>
      <sheetData sheetId="4" refreshError="1"/>
      <sheetData sheetId="5"/>
      <sheetData sheetId="6">
        <row r="3">
          <cell r="P3">
            <v>107244</v>
          </cell>
          <cell r="AY3">
            <v>75263</v>
          </cell>
        </row>
        <row r="16">
          <cell r="AE16">
            <v>1184249.3974572711</v>
          </cell>
          <cell r="AF16">
            <v>1185029.1339820186</v>
          </cell>
          <cell r="AG16">
            <v>1186475.0813082608</v>
          </cell>
          <cell r="AH16">
            <v>1185251.2040950675</v>
          </cell>
          <cell r="AI16">
            <v>1185585.1406521054</v>
          </cell>
          <cell r="AJ16">
            <v>1185770.4756094485</v>
          </cell>
          <cell r="AK16">
            <v>1185535.6067767185</v>
          </cell>
          <cell r="AL16">
            <v>1185630.4077006422</v>
          </cell>
          <cell r="AM16">
            <v>1185645.4967078294</v>
          </cell>
          <cell r="AN16">
            <v>1185603.8370619761</v>
          </cell>
          <cell r="AO16">
            <v>1185626.5804905097</v>
          </cell>
          <cell r="AP16">
            <v>1185625.3047539222</v>
          </cell>
          <cell r="AQ16">
            <v>1185618.5741021857</v>
          </cell>
          <cell r="AR16">
            <v>1185623.4864488733</v>
          </cell>
          <cell r="AS16">
            <v>1185622.4551016768</v>
          </cell>
          <cell r="AT16">
            <v>1185621.5052175822</v>
          </cell>
          <cell r="AU16">
            <v>1185622.4822560442</v>
          </cell>
          <cell r="AV16">
            <v>1185622.1475251014</v>
          </cell>
          <cell r="AW16">
            <v>1185622.0449995762</v>
          </cell>
        </row>
        <row r="19">
          <cell r="AE19">
            <v>915240.69234725996</v>
          </cell>
          <cell r="AF19">
            <v>906718.25206548104</v>
          </cell>
          <cell r="AG19">
            <v>898195.81178370246</v>
          </cell>
          <cell r="AH19">
            <v>889673.37150192377</v>
          </cell>
          <cell r="AI19">
            <v>881150.93122014496</v>
          </cell>
          <cell r="AJ19">
            <v>872628.49093836604</v>
          </cell>
          <cell r="AK19">
            <v>864178.9931248792</v>
          </cell>
          <cell r="AL19">
            <v>855729.49531139224</v>
          </cell>
          <cell r="AM19">
            <v>847279.99749790528</v>
          </cell>
          <cell r="AN19">
            <v>838830.49968441855</v>
          </cell>
          <cell r="AO19">
            <v>830381.00187093159</v>
          </cell>
          <cell r="AP19">
            <v>821795.47621117067</v>
          </cell>
          <cell r="AQ19">
            <v>813209.95055140974</v>
          </cell>
          <cell r="AR19">
            <v>804624.42489164881</v>
          </cell>
          <cell r="AS19">
            <v>796038.89923188777</v>
          </cell>
          <cell r="AT19">
            <v>787453.37357212685</v>
          </cell>
          <cell r="AU19">
            <v>778337.53645370342</v>
          </cell>
          <cell r="AV19">
            <v>769221.69933527964</v>
          </cell>
          <cell r="AW19">
            <v>760105.86221685621</v>
          </cell>
        </row>
        <row r="30">
          <cell r="AE30">
            <v>915240.69234725996</v>
          </cell>
          <cell r="AF30">
            <v>906718.25206548104</v>
          </cell>
          <cell r="AG30">
            <v>898195.81178370246</v>
          </cell>
          <cell r="AH30">
            <v>889673.37150192377</v>
          </cell>
          <cell r="AI30">
            <v>881150.93122014496</v>
          </cell>
          <cell r="AJ30">
            <v>872628.49093836604</v>
          </cell>
          <cell r="AK30">
            <v>864178.9931248792</v>
          </cell>
          <cell r="AL30">
            <v>855729.49531139224</v>
          </cell>
          <cell r="AM30">
            <v>847279.99749790528</v>
          </cell>
          <cell r="AN30">
            <v>838830.49968441855</v>
          </cell>
          <cell r="AO30">
            <v>830381.00187093159</v>
          </cell>
          <cell r="AP30">
            <v>821795.47621117067</v>
          </cell>
          <cell r="AQ30">
            <v>813209.95055140974</v>
          </cell>
          <cell r="AR30">
            <v>804624.42489164881</v>
          </cell>
          <cell r="AS30">
            <v>796038.89923188777</v>
          </cell>
          <cell r="AT30">
            <v>787453.37357212685</v>
          </cell>
          <cell r="AU30">
            <v>778337.53645370342</v>
          </cell>
          <cell r="AV30">
            <v>769221.69933527964</v>
          </cell>
          <cell r="AW30">
            <v>760105.86221685621</v>
          </cell>
        </row>
        <row r="31">
          <cell r="AE31">
            <v>1400000</v>
          </cell>
          <cell r="AF31">
            <v>898376.33333333337</v>
          </cell>
          <cell r="AG31">
            <v>972190.11111111112</v>
          </cell>
          <cell r="AH31">
            <v>1090188.8148148148</v>
          </cell>
          <cell r="AI31">
            <v>986918.4197530864</v>
          </cell>
          <cell r="AJ31">
            <v>1016432.4485596707</v>
          </cell>
          <cell r="AK31">
            <v>1031179.8943758573</v>
          </cell>
          <cell r="AL31">
            <v>1011510.2542295381</v>
          </cell>
          <cell r="AM31">
            <v>1019707.5323883555</v>
          </cell>
          <cell r="AN31">
            <v>1020799.2269979171</v>
          </cell>
          <cell r="AO31">
            <v>1017339.0045386036</v>
          </cell>
          <cell r="AP31">
            <v>1019281.9213082921</v>
          </cell>
          <cell r="AQ31">
            <v>1019140.0509482709</v>
          </cell>
          <cell r="AR31">
            <v>1018586.9922650555</v>
          </cell>
          <cell r="AS31">
            <v>1019002.9881738728</v>
          </cell>
          <cell r="AT31">
            <v>1018910.0104623997</v>
          </cell>
          <cell r="AU31">
            <v>1018833.3303004428</v>
          </cell>
          <cell r="AV31">
            <v>1018915.442978905</v>
          </cell>
          <cell r="AW31">
            <v>1018886.2612472492</v>
          </cell>
        </row>
        <row r="32">
          <cell r="AE32">
            <v>521.56986758643018</v>
          </cell>
          <cell r="AF32">
            <v>521.99010677259264</v>
          </cell>
          <cell r="AG32">
            <v>521.81663962279515</v>
          </cell>
          <cell r="AH32">
            <v>521.79220466060599</v>
          </cell>
          <cell r="AI32">
            <v>521.86631701866463</v>
          </cell>
          <cell r="AJ32">
            <v>521.82505376735526</v>
          </cell>
          <cell r="AK32">
            <v>521.82785848220863</v>
          </cell>
          <cell r="AL32">
            <v>521.83974308940958</v>
          </cell>
          <cell r="AM32">
            <v>521.83088511299127</v>
          </cell>
          <cell r="AN32">
            <v>521.83282889486975</v>
          </cell>
          <cell r="AO32">
            <v>521.83448569909024</v>
          </cell>
          <cell r="AP32">
            <v>521.83273323565038</v>
          </cell>
          <cell r="AQ32">
            <v>521.83334927653675</v>
          </cell>
          <cell r="AR32">
            <v>521.83352273709249</v>
          </cell>
          <cell r="AS32">
            <v>521.83320174975995</v>
          </cell>
          <cell r="AT32">
            <v>521.83335792112973</v>
          </cell>
          <cell r="AU32">
            <v>521.83336080266065</v>
          </cell>
          <cell r="AV32">
            <v>521.83330682451685</v>
          </cell>
          <cell r="AW32">
            <v>521.83334184943578</v>
          </cell>
        </row>
        <row r="33">
          <cell r="AE33">
            <v>1784484</v>
          </cell>
          <cell r="AF33">
            <v>1779134.3333333335</v>
          </cell>
          <cell r="AG33">
            <v>1766512.5711111112</v>
          </cell>
          <cell r="AH33">
            <v>1759308.7895259261</v>
          </cell>
          <cell r="AI33">
            <v>1751087.5787957534</v>
          </cell>
          <cell r="AJ33">
            <v>1741936.7985686213</v>
          </cell>
          <cell r="AK33">
            <v>1733900.3760264146</v>
          </cell>
          <cell r="AL33">
            <v>1725602.1323170774</v>
          </cell>
          <cell r="AM33">
            <v>1717278.4400598165</v>
          </cell>
          <cell r="AN33">
            <v>1709221.7278740346</v>
          </cell>
          <cell r="AO33">
            <v>1701160.6172176031</v>
          </cell>
          <cell r="AP33">
            <v>1693176.5510382904</v>
          </cell>
          <cell r="AQ33">
            <v>1685302.9655424664</v>
          </cell>
          <cell r="AR33">
            <v>1677489.6503178435</v>
          </cell>
          <cell r="AS33">
            <v>1669757.1369555043</v>
          </cell>
          <cell r="AT33">
            <v>1662106.744315065</v>
          </cell>
          <cell r="AU33">
            <v>1654529.3450214062</v>
          </cell>
          <cell r="AV33">
            <v>1647028.9735441739</v>
          </cell>
          <cell r="AW33">
            <v>1639604.4325587503</v>
          </cell>
        </row>
        <row r="34">
          <cell r="AE34">
            <v>905630</v>
          </cell>
          <cell r="AF34">
            <v>904494.33333333337</v>
          </cell>
          <cell r="AG34">
            <v>907976.77777777787</v>
          </cell>
          <cell r="AH34">
            <v>906033.70370370382</v>
          </cell>
          <cell r="AI34">
            <v>906168.27160493843</v>
          </cell>
          <cell r="AJ34">
            <v>906726.25102880679</v>
          </cell>
          <cell r="AK34">
            <v>906309.40877914976</v>
          </cell>
          <cell r="AL34">
            <v>906401.31047096511</v>
          </cell>
          <cell r="AM34">
            <v>906478.99009297381</v>
          </cell>
          <cell r="AN34">
            <v>906396.5697810296</v>
          </cell>
          <cell r="AO34">
            <v>906425.62344832288</v>
          </cell>
          <cell r="AP34">
            <v>906433.72777410876</v>
          </cell>
          <cell r="AQ34">
            <v>906418.64033448708</v>
          </cell>
          <cell r="AR34">
            <v>906425.99718563957</v>
          </cell>
          <cell r="AS34">
            <v>906426.1217647451</v>
          </cell>
          <cell r="AT34">
            <v>906423.58642829058</v>
          </cell>
          <cell r="AU34">
            <v>906425.23512622516</v>
          </cell>
          <cell r="AV34">
            <v>906424.9811064204</v>
          </cell>
          <cell r="AW34">
            <v>906424.60088697867</v>
          </cell>
        </row>
        <row r="35">
          <cell r="AE35">
            <v>903630</v>
          </cell>
          <cell r="AF35">
            <v>902494.33333333337</v>
          </cell>
          <cell r="AG35">
            <v>905976.77777777787</v>
          </cell>
          <cell r="AH35">
            <v>904033.70370370382</v>
          </cell>
          <cell r="AI35">
            <v>904168.27160493843</v>
          </cell>
          <cell r="AJ35">
            <v>904726.25102880679</v>
          </cell>
          <cell r="AK35">
            <v>904309.40877914976</v>
          </cell>
          <cell r="AL35">
            <v>904401.31047096511</v>
          </cell>
          <cell r="AM35">
            <v>904478.99009297381</v>
          </cell>
          <cell r="AN35">
            <v>904396.5697810296</v>
          </cell>
          <cell r="AO35">
            <v>904425.62344832288</v>
          </cell>
          <cell r="AP35">
            <v>904433.72777410876</v>
          </cell>
          <cell r="AQ35">
            <v>904418.64033448708</v>
          </cell>
          <cell r="AR35">
            <v>904425.99718563957</v>
          </cell>
          <cell r="AS35">
            <v>904426.1217647451</v>
          </cell>
          <cell r="AT35">
            <v>904423.58642829058</v>
          </cell>
          <cell r="AU35">
            <v>904425.23512622516</v>
          </cell>
          <cell r="AV35">
            <v>904424.9811064204</v>
          </cell>
          <cell r="AW35">
            <v>904424.60088697867</v>
          </cell>
        </row>
        <row r="36">
          <cell r="AE36">
            <v>2000</v>
          </cell>
          <cell r="AF36">
            <v>2000</v>
          </cell>
          <cell r="AG36">
            <v>2000</v>
          </cell>
          <cell r="AH36">
            <v>2000</v>
          </cell>
          <cell r="AI36">
            <v>2000</v>
          </cell>
          <cell r="AJ36">
            <v>2000</v>
          </cell>
          <cell r="AK36">
            <v>2000</v>
          </cell>
          <cell r="AL36">
            <v>2000</v>
          </cell>
          <cell r="AM36">
            <v>2000</v>
          </cell>
          <cell r="AN36">
            <v>2000</v>
          </cell>
          <cell r="AO36">
            <v>2000</v>
          </cell>
          <cell r="AP36">
            <v>2000</v>
          </cell>
          <cell r="AQ36">
            <v>2000</v>
          </cell>
          <cell r="AR36">
            <v>2000</v>
          </cell>
          <cell r="AS36">
            <v>2000</v>
          </cell>
          <cell r="AT36">
            <v>2000</v>
          </cell>
          <cell r="AU36">
            <v>2000</v>
          </cell>
          <cell r="AV36">
            <v>2000</v>
          </cell>
          <cell r="AW36">
            <v>2000</v>
          </cell>
        </row>
        <row r="37">
          <cell r="AE37">
            <v>878253</v>
          </cell>
          <cell r="AF37">
            <v>874039</v>
          </cell>
          <cell r="AG37">
            <v>857934.79333333333</v>
          </cell>
          <cell r="AH37">
            <v>852674.08582222229</v>
          </cell>
          <cell r="AI37">
            <v>844318.30719081487</v>
          </cell>
          <cell r="AJ37">
            <v>834609.54753981449</v>
          </cell>
          <cell r="AK37">
            <v>826989.96724726481</v>
          </cell>
          <cell r="AL37">
            <v>818599.82184611214</v>
          </cell>
          <cell r="AM37">
            <v>810198.44996684254</v>
          </cell>
          <cell r="AN37">
            <v>802224.15809300507</v>
          </cell>
          <cell r="AO37">
            <v>794133.99376928015</v>
          </cell>
          <cell r="AP37">
            <v>786141.82326418173</v>
          </cell>
          <cell r="AQ37">
            <v>778283.32520797919</v>
          </cell>
          <cell r="AR37">
            <v>770462.65313220397</v>
          </cell>
          <cell r="AS37">
            <v>762730.01519075921</v>
          </cell>
          <cell r="AT37">
            <v>755082.1578867744</v>
          </cell>
          <cell r="AU37">
            <v>747503.10989518091</v>
          </cell>
          <cell r="AV37">
            <v>740002.99243775336</v>
          </cell>
          <cell r="AW37">
            <v>732578.83167177148</v>
          </cell>
        </row>
        <row r="38">
          <cell r="AE38">
            <v>601</v>
          </cell>
          <cell r="AF38">
            <v>601</v>
          </cell>
          <cell r="AG38">
            <v>601</v>
          </cell>
          <cell r="AH38">
            <v>601</v>
          </cell>
          <cell r="AI38">
            <v>601</v>
          </cell>
          <cell r="AJ38">
            <v>601</v>
          </cell>
          <cell r="AK38">
            <v>601</v>
          </cell>
          <cell r="AL38">
            <v>601</v>
          </cell>
          <cell r="AM38">
            <v>601</v>
          </cell>
          <cell r="AN38">
            <v>601</v>
          </cell>
          <cell r="AO38">
            <v>601</v>
          </cell>
          <cell r="AP38">
            <v>601</v>
          </cell>
          <cell r="AQ38">
            <v>601</v>
          </cell>
          <cell r="AR38">
            <v>601</v>
          </cell>
          <cell r="AS38">
            <v>601</v>
          </cell>
          <cell r="AT38">
            <v>601</v>
          </cell>
          <cell r="AU38">
            <v>601</v>
          </cell>
          <cell r="AV38">
            <v>601</v>
          </cell>
          <cell r="AW38">
            <v>601</v>
          </cell>
        </row>
        <row r="42">
          <cell r="AE42">
            <v>34235</v>
          </cell>
          <cell r="AF42">
            <v>34235</v>
          </cell>
          <cell r="AG42">
            <v>34235</v>
          </cell>
          <cell r="AH42">
            <v>34235</v>
          </cell>
          <cell r="AI42">
            <v>34235</v>
          </cell>
          <cell r="AJ42">
            <v>34235</v>
          </cell>
          <cell r="AK42">
            <v>34235</v>
          </cell>
          <cell r="AL42">
            <v>34235</v>
          </cell>
          <cell r="AM42">
            <v>34235</v>
          </cell>
          <cell r="AN42">
            <v>34235</v>
          </cell>
          <cell r="AO42">
            <v>34235</v>
          </cell>
          <cell r="AP42">
            <v>34235</v>
          </cell>
          <cell r="AQ42">
            <v>34235</v>
          </cell>
          <cell r="AR42">
            <v>34235</v>
          </cell>
          <cell r="AS42">
            <v>34235</v>
          </cell>
          <cell r="AT42">
            <v>34235</v>
          </cell>
          <cell r="AU42">
            <v>34235</v>
          </cell>
          <cell r="AV42">
            <v>34235</v>
          </cell>
          <cell r="AW42">
            <v>34235</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27178.782280629453</v>
          </cell>
          <cell r="AF44">
            <v>27175.879363215605</v>
          </cell>
          <cell r="AG44">
            <v>27177.486330979769</v>
          </cell>
          <cell r="AH44">
            <v>27177.382658274943</v>
          </cell>
          <cell r="AI44">
            <v>27176.916117490106</v>
          </cell>
          <cell r="AJ44">
            <v>27177.261702248274</v>
          </cell>
          <cell r="AK44">
            <v>27177.186826004443</v>
          </cell>
          <cell r="AL44">
            <v>27177.121548580941</v>
          </cell>
          <cell r="AM44">
            <v>27177.190025611217</v>
          </cell>
          <cell r="AN44">
            <v>27177.166133398863</v>
          </cell>
          <cell r="AO44">
            <v>27177.159235863674</v>
          </cell>
          <cell r="AP44">
            <v>27177.171798291252</v>
          </cell>
          <cell r="AQ44">
            <v>27177.165722517926</v>
          </cell>
          <cell r="AR44">
            <v>27177.165585557614</v>
          </cell>
          <cell r="AS44">
            <v>27177.16770212226</v>
          </cell>
          <cell r="AT44">
            <v>27177.1663367326</v>
          </cell>
          <cell r="AU44">
            <v>27177.166541470826</v>
          </cell>
          <cell r="AV44">
            <v>27177.166860108566</v>
          </cell>
          <cell r="AW44">
            <v>27177.166579437329</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25250</v>
          </cell>
          <cell r="AF47">
            <v>25334.166666666664</v>
          </cell>
          <cell r="AG47">
            <v>25446.66944444444</v>
          </cell>
          <cell r="AH47">
            <v>25597.048157407404</v>
          </cell>
          <cell r="AI47">
            <v>25713.887703734566</v>
          </cell>
          <cell r="AJ47">
            <v>25841.727119547428</v>
          </cell>
          <cell r="AK47">
            <v>25974.729870165433</v>
          </cell>
          <cell r="AL47">
            <v>26101.882713460636</v>
          </cell>
          <cell r="AM47">
            <v>26232.50770006841</v>
          </cell>
          <cell r="AN47">
            <v>26364.070495510474</v>
          </cell>
          <cell r="AO47">
            <v>26495.148506043304</v>
          </cell>
          <cell r="AP47">
            <v>26627.547989546136</v>
          </cell>
          <cell r="AQ47">
            <v>26760.544887003638</v>
          </cell>
          <cell r="AR47">
            <v>26894.024598806333</v>
          </cell>
          <cell r="AS47">
            <v>27028.312883369887</v>
          </cell>
          <cell r="AT47">
            <v>27163.237064290552</v>
          </cell>
          <cell r="AU47">
            <v>27298.810097310481</v>
          </cell>
          <cell r="AV47">
            <v>27435.087881806878</v>
          </cell>
          <cell r="AW47">
            <v>27572.035464613997</v>
          </cell>
        </row>
        <row r="48">
          <cell r="AE48">
            <v>65.966461138920678</v>
          </cell>
          <cell r="AF48">
            <v>66.205937054138531</v>
          </cell>
          <cell r="AG48">
            <v>66.606989143522895</v>
          </cell>
          <cell r="AH48">
            <v>66.922393736649312</v>
          </cell>
          <cell r="AI48">
            <v>67.244224377884606</v>
          </cell>
          <cell r="AJ48">
            <v>67.593781110212461</v>
          </cell>
          <cell r="AK48">
            <v>67.926001072331289</v>
          </cell>
          <cell r="AL48">
            <v>68.263882208677543</v>
          </cell>
          <cell r="AM48">
            <v>68.607167011711169</v>
          </cell>
          <cell r="AN48">
            <v>68.948340265215734</v>
          </cell>
          <cell r="AO48">
            <v>69.292527793486826</v>
          </cell>
          <cell r="AP48">
            <v>69.63883847370596</v>
          </cell>
          <cell r="AQ48">
            <v>69.986167865910872</v>
          </cell>
          <cell r="AR48">
            <v>70.335569824811571</v>
          </cell>
          <cell r="AS48">
            <v>70.686727308690905</v>
          </cell>
          <cell r="AT48">
            <v>71.039516549802499</v>
          </cell>
          <cell r="AU48">
            <v>71.394143940046021</v>
          </cell>
          <cell r="AV48">
            <v>71.750530558841604</v>
          </cell>
          <cell r="AW48">
            <v>72.108677653059004</v>
          </cell>
        </row>
        <row r="49">
          <cell r="AE49">
            <v>704677</v>
          </cell>
          <cell r="AF49">
            <v>707025.92333333334</v>
          </cell>
          <cell r="AG49">
            <v>710165.65085555555</v>
          </cell>
          <cell r="AH49">
            <v>714362.41997692594</v>
          </cell>
          <cell r="AI49">
            <v>717623.17803582444</v>
          </cell>
          <cell r="AJ49">
            <v>721190.92045232968</v>
          </cell>
          <cell r="AK49">
            <v>724902.76121657703</v>
          </cell>
          <cell r="AL49">
            <v>728451.34276725946</v>
          </cell>
          <cell r="AM49">
            <v>732096.82489350927</v>
          </cell>
          <cell r="AN49">
            <v>735768.47938870639</v>
          </cell>
          <cell r="AO49">
            <v>739426.60450665653</v>
          </cell>
          <cell r="AP49">
            <v>743121.6092922535</v>
          </cell>
          <cell r="AQ49">
            <v>746833.28670649754</v>
          </cell>
          <cell r="AR49">
            <v>750558.43850348715</v>
          </cell>
          <cell r="AS49">
            <v>754306.15594908688</v>
          </cell>
          <cell r="AT49">
            <v>758071.61999022088</v>
          </cell>
          <cell r="AU49">
            <v>761855.19219574088</v>
          </cell>
          <cell r="AV49">
            <v>765658.43260546646</v>
          </cell>
          <cell r="AW49">
            <v>769480.36574644747</v>
          </cell>
        </row>
        <row r="50">
          <cell r="AE50">
            <v>2467032.7266666666</v>
          </cell>
          <cell r="AF50">
            <v>2461598.2107111113</v>
          </cell>
          <cell r="AG50">
            <v>2445406.392876741</v>
          </cell>
          <cell r="AH50">
            <v>2408852.1945498097</v>
          </cell>
          <cell r="AI50">
            <v>2389846.5540583031</v>
          </cell>
          <cell r="AJ50">
            <v>2366407.6795517192</v>
          </cell>
          <cell r="AK50">
            <v>2340601.4331988781</v>
          </cell>
          <cell r="AL50">
            <v>2318306.1844909079</v>
          </cell>
          <cell r="AM50">
            <v>2294936.330432225</v>
          </cell>
          <cell r="AN50">
            <v>2271589.0230531902</v>
          </cell>
          <cell r="AO50">
            <v>2249044.9690722651</v>
          </cell>
          <cell r="AP50">
            <v>2226419.6387021756</v>
          </cell>
          <cell r="AQ50">
            <v>2204037.5194036928</v>
          </cell>
          <cell r="AR50">
            <v>2181970.6948781903</v>
          </cell>
          <cell r="AS50">
            <v>2160059.7653081259</v>
          </cell>
          <cell r="AT50">
            <v>2138382.2066660696</v>
          </cell>
          <cell r="AU50">
            <v>2116934.8045051121</v>
          </cell>
          <cell r="AV50">
            <v>2095689.7469832404</v>
          </cell>
          <cell r="AW50">
            <v>2074662.207663778</v>
          </cell>
        </row>
        <row r="52">
          <cell r="AE52">
            <v>227450.22737285701</v>
          </cell>
          <cell r="AF52">
            <v>212318.82923731575</v>
          </cell>
          <cell r="AG52">
            <v>198194.06544187092</v>
          </cell>
          <cell r="AH52">
            <v>185008.96843431192</v>
          </cell>
          <cell r="AI52">
            <v>172701.02575885237</v>
          </cell>
          <cell r="AJ52">
            <v>161211.88367551754</v>
          </cell>
          <cell r="AK52">
            <v>150487.07049660609</v>
          </cell>
          <cell r="AL52">
            <v>140475.73832852422</v>
          </cell>
          <cell r="AM52">
            <v>131130.42199455306</v>
          </cell>
          <cell r="AN52">
            <v>122406.81399556671</v>
          </cell>
          <cell r="AO52">
            <v>114263.55444175763</v>
          </cell>
          <cell r="AP52">
            <v>106662.0349594049</v>
          </cell>
          <cell r="AQ52">
            <v>99566.215642979034</v>
          </cell>
          <cell r="AR52">
            <v>92942.454184726652</v>
          </cell>
          <cell r="AS52">
            <v>86759.346371613821</v>
          </cell>
          <cell r="AT52">
            <v>80987.577193400735</v>
          </cell>
          <cell r="AU52">
            <v>75599.781855929599</v>
          </cell>
          <cell r="AV52">
            <v>70570.416040669705</v>
          </cell>
          <cell r="AW52">
            <v>65875.634795401143</v>
          </cell>
        </row>
        <row r="53">
          <cell r="AE53">
            <v>43915</v>
          </cell>
          <cell r="AF53">
            <v>43915</v>
          </cell>
          <cell r="AG53">
            <v>43915</v>
          </cell>
          <cell r="AH53">
            <v>43915</v>
          </cell>
          <cell r="AI53">
            <v>43915</v>
          </cell>
          <cell r="AJ53">
            <v>43915</v>
          </cell>
          <cell r="AK53">
            <v>43915</v>
          </cell>
          <cell r="AL53">
            <v>43915</v>
          </cell>
          <cell r="AM53">
            <v>43915</v>
          </cell>
          <cell r="AN53">
            <v>43915</v>
          </cell>
          <cell r="AO53">
            <v>43915</v>
          </cell>
          <cell r="AP53">
            <v>43915</v>
          </cell>
          <cell r="AQ53">
            <v>43915</v>
          </cell>
          <cell r="AR53">
            <v>43915</v>
          </cell>
          <cell r="AS53">
            <v>43915</v>
          </cell>
          <cell r="AT53">
            <v>43915</v>
          </cell>
          <cell r="AU53">
            <v>43915</v>
          </cell>
          <cell r="AV53">
            <v>43915</v>
          </cell>
          <cell r="AW53">
            <v>43915</v>
          </cell>
        </row>
        <row r="56">
          <cell r="AE56">
            <v>793.19025442146915</v>
          </cell>
          <cell r="AF56">
            <v>794.02469323970115</v>
          </cell>
          <cell r="AG56">
            <v>793.58678636637615</v>
          </cell>
          <cell r="AH56">
            <v>793.60057800918219</v>
          </cell>
          <cell r="AI56">
            <v>793.73735253841994</v>
          </cell>
          <cell r="AJ56">
            <v>793.64157230465946</v>
          </cell>
          <cell r="AK56">
            <v>793.6598342840872</v>
          </cell>
          <cell r="AL56">
            <v>793.67958637572212</v>
          </cell>
          <cell r="AM56">
            <v>793.66033098815626</v>
          </cell>
          <cell r="AN56">
            <v>793.66658388265523</v>
          </cell>
          <cell r="AO56">
            <v>793.66883374884458</v>
          </cell>
          <cell r="AP56">
            <v>793.66524953988528</v>
          </cell>
          <cell r="AQ56">
            <v>793.66688905712829</v>
          </cell>
          <cell r="AR56">
            <v>793.66699078195268</v>
          </cell>
          <cell r="AS56">
            <v>793.66637645965545</v>
          </cell>
          <cell r="AT56">
            <v>793.66675209957884</v>
          </cell>
          <cell r="AU56">
            <v>793.66670644706244</v>
          </cell>
          <cell r="AV56">
            <v>793.66661166876565</v>
          </cell>
          <cell r="AW56">
            <v>793.66669007180235</v>
          </cell>
        </row>
        <row r="57">
          <cell r="AE57">
            <v>1774.832242901846</v>
          </cell>
          <cell r="AF57">
            <v>1773.8688233187377</v>
          </cell>
          <cell r="AG57">
            <v>1774.4767034868928</v>
          </cell>
          <cell r="AH57">
            <v>1774.3925899024923</v>
          </cell>
          <cell r="AI57">
            <v>1774.2460389027076</v>
          </cell>
          <cell r="AJ57">
            <v>1774.3717774306976</v>
          </cell>
          <cell r="AK57">
            <v>1774.3368020786327</v>
          </cell>
          <cell r="AL57">
            <v>1774.3182061373461</v>
          </cell>
          <cell r="AM57">
            <v>1774.3422618822253</v>
          </cell>
          <cell r="AN57">
            <v>1774.332423366068</v>
          </cell>
          <cell r="AO57">
            <v>1774.3309637952132</v>
          </cell>
          <cell r="AP57">
            <v>1774.3352163478355</v>
          </cell>
          <cell r="AQ57">
            <v>1774.3328678363723</v>
          </cell>
          <cell r="AR57">
            <v>1774.3330159931404</v>
          </cell>
          <cell r="AS57">
            <v>1774.3337000591162</v>
          </cell>
          <cell r="AT57">
            <v>1774.333194629543</v>
          </cell>
          <cell r="AU57">
            <v>1774.3333035605999</v>
          </cell>
          <cell r="AV57">
            <v>1774.3333994164198</v>
          </cell>
          <cell r="AW57">
            <v>1774.3332992021876</v>
          </cell>
        </row>
        <row r="73">
          <cell r="AE73">
            <v>2907133.3333333335</v>
          </cell>
          <cell r="AF73">
            <v>2873544.4444444445</v>
          </cell>
          <cell r="AG73">
            <v>2856392.5925925928</v>
          </cell>
          <cell r="AH73">
            <v>2879023.4567901236</v>
          </cell>
          <cell r="AI73">
            <v>2869653.4979423867</v>
          </cell>
          <cell r="AJ73">
            <v>2868356.5157750342</v>
          </cell>
          <cell r="AK73">
            <v>2872344.490169181</v>
          </cell>
          <cell r="AL73">
            <v>2870118.1679622005</v>
          </cell>
          <cell r="AM73">
            <v>2870273.0579688051</v>
          </cell>
          <cell r="AN73">
            <v>2870911.9053667285</v>
          </cell>
          <cell r="AO73">
            <v>2870434.3770992444</v>
          </cell>
          <cell r="AP73">
            <v>2870539.7801449262</v>
          </cell>
          <cell r="AQ73">
            <v>2870628.6875369661</v>
          </cell>
          <cell r="AR73">
            <v>2870534.281593712</v>
          </cell>
          <cell r="AS73">
            <v>2870567.5830918681</v>
          </cell>
          <cell r="AT73">
            <v>2870576.8507408486</v>
          </cell>
          <cell r="AU73">
            <v>2870559.5718088094</v>
          </cell>
          <cell r="AV73">
            <v>2870568.0018805084</v>
          </cell>
          <cell r="AW73">
            <v>2870568.141476722</v>
          </cell>
        </row>
        <row r="74">
          <cell r="AE74"/>
          <cell r="AF74"/>
          <cell r="AG74"/>
          <cell r="AH74"/>
          <cell r="AI74"/>
          <cell r="AJ74"/>
          <cell r="AK74"/>
          <cell r="AL74"/>
          <cell r="AM74"/>
          <cell r="AN74"/>
          <cell r="AO74"/>
          <cell r="AP74"/>
          <cell r="AQ74"/>
          <cell r="AR74"/>
          <cell r="AS74"/>
          <cell r="AT74"/>
          <cell r="AU74"/>
          <cell r="AV74"/>
          <cell r="AW74"/>
        </row>
        <row r="75">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6">
          <cell r="AE76">
            <v>187043.66666666666</v>
          </cell>
          <cell r="AF76">
            <v>182847.88888888888</v>
          </cell>
          <cell r="AG76">
            <v>181440.18518518517</v>
          </cell>
          <cell r="AH76">
            <v>183777.24691358022</v>
          </cell>
          <cell r="AI76">
            <v>182688.44032921808</v>
          </cell>
          <cell r="AJ76">
            <v>182635.29080932782</v>
          </cell>
          <cell r="AK76">
            <v>183033.65935070871</v>
          </cell>
          <cell r="AL76">
            <v>182785.79682975155</v>
          </cell>
          <cell r="AM76">
            <v>182818.24899659606</v>
          </cell>
          <cell r="AN76">
            <v>182879.2350590188</v>
          </cell>
          <cell r="AO76">
            <v>182827.76029512213</v>
          </cell>
          <cell r="AP76">
            <v>182841.74811691232</v>
          </cell>
          <cell r="AQ76">
            <v>182849.58115701773</v>
          </cell>
          <cell r="AR76">
            <v>182839.6965230174</v>
          </cell>
          <cell r="AS76">
            <v>182843.67526564913</v>
          </cell>
          <cell r="AT76">
            <v>182844.31764856141</v>
          </cell>
          <cell r="AU76">
            <v>182842.56314574264</v>
          </cell>
          <cell r="AV76">
            <v>182843.51868665105</v>
          </cell>
          <cell r="AW76">
            <v>182843.46649365171</v>
          </cell>
        </row>
        <row r="77">
          <cell r="AE77"/>
          <cell r="AF77"/>
          <cell r="AG77"/>
          <cell r="AH77"/>
          <cell r="AI77"/>
          <cell r="AJ77"/>
          <cell r="AK77"/>
          <cell r="AL77"/>
          <cell r="AM77"/>
          <cell r="AN77"/>
          <cell r="AO77"/>
          <cell r="AP77"/>
          <cell r="AQ77"/>
          <cell r="AR77"/>
          <cell r="AS77"/>
          <cell r="AT77"/>
          <cell r="AU77"/>
          <cell r="AV77"/>
          <cell r="AW77"/>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E79">
            <v>1025000</v>
          </cell>
          <cell r="AF79">
            <v>1025000</v>
          </cell>
          <cell r="AG79">
            <v>1025000</v>
          </cell>
          <cell r="AH79">
            <v>1025000</v>
          </cell>
          <cell r="AI79">
            <v>1025000</v>
          </cell>
          <cell r="AJ79">
            <v>1025000</v>
          </cell>
          <cell r="AK79">
            <v>1025000</v>
          </cell>
          <cell r="AL79">
            <v>1025000</v>
          </cell>
          <cell r="AM79">
            <v>1025000</v>
          </cell>
          <cell r="AN79">
            <v>1025000</v>
          </cell>
          <cell r="AO79">
            <v>1025000</v>
          </cell>
          <cell r="AP79">
            <v>1025000</v>
          </cell>
          <cell r="AQ79">
            <v>1025000</v>
          </cell>
          <cell r="AR79">
            <v>1025000</v>
          </cell>
          <cell r="AS79">
            <v>1025000</v>
          </cell>
          <cell r="AT79">
            <v>1025000</v>
          </cell>
          <cell r="AU79">
            <v>1025000</v>
          </cell>
          <cell r="AV79">
            <v>1025000</v>
          </cell>
          <cell r="AW79">
            <v>1025000</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50000</v>
          </cell>
          <cell r="AF81">
            <v>50000</v>
          </cell>
          <cell r="AG81">
            <v>50000</v>
          </cell>
          <cell r="AH81">
            <v>50000</v>
          </cell>
          <cell r="AI81">
            <v>50000</v>
          </cell>
          <cell r="AJ81">
            <v>50000</v>
          </cell>
          <cell r="AK81">
            <v>50000</v>
          </cell>
          <cell r="AL81">
            <v>50000</v>
          </cell>
          <cell r="AM81">
            <v>50000</v>
          </cell>
          <cell r="AN81">
            <v>50000</v>
          </cell>
          <cell r="AO81">
            <v>50000</v>
          </cell>
          <cell r="AP81">
            <v>50000</v>
          </cell>
          <cell r="AQ81">
            <v>50000</v>
          </cell>
          <cell r="AR81">
            <v>50000</v>
          </cell>
          <cell r="AS81">
            <v>50000</v>
          </cell>
          <cell r="AT81">
            <v>50000</v>
          </cell>
          <cell r="AU81">
            <v>50000</v>
          </cell>
          <cell r="AV81">
            <v>50000</v>
          </cell>
          <cell r="AW81">
            <v>50000</v>
          </cell>
        </row>
        <row r="82">
          <cell r="AE82">
            <v>9400</v>
          </cell>
          <cell r="AF82">
            <v>9400</v>
          </cell>
          <cell r="AG82">
            <v>9400</v>
          </cell>
          <cell r="AH82">
            <v>9400</v>
          </cell>
          <cell r="AI82">
            <v>9400</v>
          </cell>
          <cell r="AJ82">
            <v>9400</v>
          </cell>
          <cell r="AK82">
            <v>9400</v>
          </cell>
          <cell r="AL82">
            <v>9400</v>
          </cell>
          <cell r="AM82">
            <v>9400</v>
          </cell>
          <cell r="AN82">
            <v>9400</v>
          </cell>
          <cell r="AO82">
            <v>9400</v>
          </cell>
          <cell r="AP82">
            <v>9400</v>
          </cell>
          <cell r="AQ82">
            <v>9400</v>
          </cell>
          <cell r="AR82">
            <v>9400</v>
          </cell>
          <cell r="AS82">
            <v>9400</v>
          </cell>
          <cell r="AT82">
            <v>9400</v>
          </cell>
          <cell r="AU82">
            <v>9400</v>
          </cell>
          <cell r="AV82">
            <v>9400</v>
          </cell>
          <cell r="AW82">
            <v>9400</v>
          </cell>
        </row>
        <row r="84">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row>
        <row r="86">
          <cell r="AE86">
            <v>2322900</v>
          </cell>
          <cell r="AF86">
            <v>2322900</v>
          </cell>
          <cell r="AG86">
            <v>2322900</v>
          </cell>
          <cell r="AH86">
            <v>2322900</v>
          </cell>
          <cell r="AI86">
            <v>2322900</v>
          </cell>
          <cell r="AJ86">
            <v>2322900</v>
          </cell>
          <cell r="AK86">
            <v>2322900</v>
          </cell>
          <cell r="AL86">
            <v>2322900</v>
          </cell>
          <cell r="AM86">
            <v>2322900</v>
          </cell>
          <cell r="AN86">
            <v>2322900</v>
          </cell>
          <cell r="AO86">
            <v>2322900</v>
          </cell>
          <cell r="AP86">
            <v>2322900</v>
          </cell>
          <cell r="AQ86">
            <v>2322900</v>
          </cell>
          <cell r="AR86">
            <v>2322900</v>
          </cell>
          <cell r="AS86">
            <v>2322900</v>
          </cell>
          <cell r="AT86">
            <v>2322900</v>
          </cell>
          <cell r="AU86">
            <v>2322900</v>
          </cell>
          <cell r="AV86">
            <v>2322900</v>
          </cell>
          <cell r="AW86">
            <v>2322900</v>
          </cell>
        </row>
        <row r="87">
          <cell r="AE87">
            <v>21000</v>
          </cell>
          <cell r="AF87">
            <v>21000</v>
          </cell>
          <cell r="AG87">
            <v>21000</v>
          </cell>
          <cell r="AH87">
            <v>21000</v>
          </cell>
          <cell r="AI87">
            <v>21000</v>
          </cell>
          <cell r="AJ87">
            <v>21000</v>
          </cell>
          <cell r="AK87">
            <v>21000</v>
          </cell>
          <cell r="AL87">
            <v>21000</v>
          </cell>
          <cell r="AM87">
            <v>21000</v>
          </cell>
          <cell r="AN87">
            <v>21000</v>
          </cell>
          <cell r="AO87">
            <v>21000</v>
          </cell>
          <cell r="AP87">
            <v>21000</v>
          </cell>
          <cell r="AQ87">
            <v>21000</v>
          </cell>
          <cell r="AR87">
            <v>21000</v>
          </cell>
          <cell r="AS87">
            <v>21000</v>
          </cell>
          <cell r="AT87">
            <v>21000</v>
          </cell>
          <cell r="AU87">
            <v>21000</v>
          </cell>
          <cell r="AV87">
            <v>21000</v>
          </cell>
          <cell r="AW87">
            <v>21000</v>
          </cell>
        </row>
        <row r="88">
          <cell r="AF88">
            <v>4028065</v>
          </cell>
          <cell r="AG88">
            <v>4214555</v>
          </cell>
          <cell r="AH88">
            <v>4485673.333333333</v>
          </cell>
          <cell r="AI88">
            <v>4242764.444444444</v>
          </cell>
          <cell r="AJ88">
            <v>4314330.9259259254</v>
          </cell>
          <cell r="AK88">
            <v>4347589.5679012341</v>
          </cell>
          <cell r="AL88">
            <v>4301561.6460905345</v>
          </cell>
          <cell r="AM88">
            <v>4321160.713305898</v>
          </cell>
          <cell r="AN88">
            <v>4323437.3090992225</v>
          </cell>
          <cell r="AO88">
            <v>4315386.5561652184</v>
          </cell>
          <cell r="AP88">
            <v>4319994.8595234463</v>
          </cell>
          <cell r="AQ88">
            <v>4319606.2415959621</v>
          </cell>
          <cell r="AR88">
            <v>4318329.2190948753</v>
          </cell>
          <cell r="AS88">
            <v>4319310.1067380942</v>
          </cell>
          <cell r="AT88">
            <v>4319081.8558096439</v>
          </cell>
          <cell r="AU88">
            <v>4318907.0605475381</v>
          </cell>
          <cell r="AV88">
            <v>4319099.6743650921</v>
          </cell>
          <cell r="AW88">
            <v>4319029.5302407583</v>
          </cell>
        </row>
        <row r="89">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row>
        <row r="90">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row>
        <row r="91">
          <cell r="AE91">
            <v>4290.1822121364357</v>
          </cell>
          <cell r="AF91">
            <v>4289.0298045000918</v>
          </cell>
          <cell r="AG91">
            <v>4288.9193929544599</v>
          </cell>
          <cell r="AH91">
            <v>4289.3771365303292</v>
          </cell>
          <cell r="AI91">
            <v>4289.1087779949603</v>
          </cell>
          <cell r="AJ91">
            <v>4289.1351024932492</v>
          </cell>
          <cell r="AK91">
            <v>4289.2070056728453</v>
          </cell>
          <cell r="AL91">
            <v>4289.1502953870186</v>
          </cell>
          <cell r="AM91">
            <v>4289.164134517704</v>
          </cell>
          <cell r="AN91">
            <v>4289.1738118591893</v>
          </cell>
          <cell r="AO91">
            <v>4289.1627472546379</v>
          </cell>
          <cell r="AP91">
            <v>4289.1668978771777</v>
          </cell>
          <cell r="AQ91">
            <v>4289.1678189970016</v>
          </cell>
          <cell r="AR91">
            <v>4289.1658213762721</v>
          </cell>
          <cell r="AS91">
            <v>4289.1668460834835</v>
          </cell>
          <cell r="AT91">
            <v>4289.1668288189185</v>
          </cell>
          <cell r="AU91">
            <v>4289.1664987595577</v>
          </cell>
          <cell r="AV91">
            <v>4289.1667245539866</v>
          </cell>
          <cell r="AW91">
            <v>4289.166684044154</v>
          </cell>
        </row>
        <row r="94">
          <cell r="AE94">
            <v>1571502.6943480086</v>
          </cell>
          <cell r="AF94">
            <v>1581866.234811892</v>
          </cell>
          <cell r="AG94">
            <v>1593758.6120094026</v>
          </cell>
          <cell r="AH94">
            <v>1582375.8470564345</v>
          </cell>
          <cell r="AI94">
            <v>1586000.2312925763</v>
          </cell>
          <cell r="AJ94">
            <v>1587378.2301194712</v>
          </cell>
          <cell r="AK94">
            <v>1585251.4361561609</v>
          </cell>
          <cell r="AL94">
            <v>1586209.9658560695</v>
          </cell>
          <cell r="AM94">
            <v>1586279.8773772337</v>
          </cell>
          <cell r="AN94">
            <v>1585913.7597964881</v>
          </cell>
          <cell r="AO94">
            <v>1586134.5343432638</v>
          </cell>
          <cell r="AP94">
            <v>1586109.390505662</v>
          </cell>
          <cell r="AQ94">
            <v>1586052.5615484715</v>
          </cell>
          <cell r="AR94">
            <v>1586098.8287991323</v>
          </cell>
          <cell r="AS94">
            <v>1586086.9269510887</v>
          </cell>
          <cell r="AT94">
            <v>1586079.4390995642</v>
          </cell>
          <cell r="AU94">
            <v>1586088.3982832618</v>
          </cell>
          <cell r="AV94">
            <v>1586084.9214446384</v>
          </cell>
          <cell r="AW94">
            <v>1586084.2529424883</v>
          </cell>
        </row>
        <row r="95">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row>
        <row r="96">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row>
        <row r="97">
          <cell r="AE97">
            <v>53152.154530794585</v>
          </cell>
          <cell r="AF97">
            <v>53142.68388149704</v>
          </cell>
          <cell r="AG97">
            <v>53148.825902070465</v>
          </cell>
          <cell r="AH97">
            <v>53147.888104787366</v>
          </cell>
          <cell r="AI97">
            <v>53146.465962784954</v>
          </cell>
          <cell r="AJ97">
            <v>53147.726656547595</v>
          </cell>
          <cell r="AK97">
            <v>53147.360241373302</v>
          </cell>
          <cell r="AL97">
            <v>53147.184286901953</v>
          </cell>
          <cell r="AM97">
            <v>53147.423728274291</v>
          </cell>
          <cell r="AN97">
            <v>53147.322752183187</v>
          </cell>
          <cell r="AO97">
            <v>53147.310255786484</v>
          </cell>
          <cell r="AP97">
            <v>53147.352245414659</v>
          </cell>
          <cell r="AQ97">
            <v>53147.328417794779</v>
          </cell>
          <cell r="AR97">
            <v>53147.330306331976</v>
          </cell>
          <cell r="AS97">
            <v>53147.336989847136</v>
          </cell>
          <cell r="AT97">
            <v>53147.331904657964</v>
          </cell>
          <cell r="AU97">
            <v>53147.333066945692</v>
          </cell>
          <cell r="AV97">
            <v>53147.333987150261</v>
          </cell>
          <cell r="AW97">
            <v>53147.332986251306</v>
          </cell>
        </row>
        <row r="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row>
        <row r="101">
          <cell r="AE101">
            <v>32432219.333333336</v>
          </cell>
          <cell r="AF101">
            <v>33115047.777777784</v>
          </cell>
          <cell r="AG101">
            <v>33780724.370370373</v>
          </cell>
          <cell r="AH101">
            <v>34469031.8271605</v>
          </cell>
          <cell r="AI101">
            <v>35147969.325102888</v>
          </cell>
          <cell r="AJ101">
            <v>35825609.84087792</v>
          </cell>
          <cell r="AK101">
            <v>36507238.331047103</v>
          </cell>
          <cell r="AL101">
            <v>37186640.499009304</v>
          </cell>
          <cell r="AM101">
            <v>37866197.556978106</v>
          </cell>
          <cell r="AN101">
            <v>38546393.462344833</v>
          </cell>
          <cell r="AO101">
            <v>39226111.839444079</v>
          </cell>
          <cell r="AP101">
            <v>39905935.619589001</v>
          </cell>
          <cell r="AQ101">
            <v>40585848.307125971</v>
          </cell>
          <cell r="AR101">
            <v>41265666.588719681</v>
          </cell>
          <cell r="AS101">
            <v>41945518.171811551</v>
          </cell>
          <cell r="AT101">
            <v>42625379.022552401</v>
          </cell>
          <cell r="AU101">
            <v>43305222.594361208</v>
          </cell>
          <cell r="AV101">
            <v>43985074.59624172</v>
          </cell>
          <cell r="AW101">
            <v>44664926.737718441</v>
          </cell>
        </row>
        <row r="107">
          <cell r="AE107">
            <v>1319210.766256273</v>
          </cell>
          <cell r="AF107">
            <v>1310143.7243626292</v>
          </cell>
          <cell r="AG107">
            <v>1305141.9283394897</v>
          </cell>
          <cell r="AH107">
            <v>1311498.806319464</v>
          </cell>
          <cell r="AI107">
            <v>1308928.1530071944</v>
          </cell>
          <cell r="AJ107">
            <v>1308522.9625553826</v>
          </cell>
          <cell r="AK107">
            <v>1309649.9739606802</v>
          </cell>
          <cell r="AL107">
            <v>1309033.6965077522</v>
          </cell>
          <cell r="AM107">
            <v>1309068.877674605</v>
          </cell>
          <cell r="AN107">
            <v>1309250.8493810126</v>
          </cell>
          <cell r="AO107">
            <v>1309117.8078544566</v>
          </cell>
          <cell r="AP107">
            <v>1309145.8449700249</v>
          </cell>
          <cell r="AQ107">
            <v>1309171.5007351646</v>
          </cell>
          <cell r="AR107">
            <v>1309145.0511865488</v>
          </cell>
          <cell r="AS107">
            <v>1309154.132297246</v>
          </cell>
          <cell r="AT107">
            <v>1309156.894739653</v>
          </cell>
          <cell r="AU107">
            <v>1309152.0260744826</v>
          </cell>
          <cell r="AV107">
            <v>1309154.3510371272</v>
          </cell>
          <cell r="AW107">
            <v>1309154.4239504209</v>
          </cell>
        </row>
        <row r="108">
          <cell r="AE108">
            <v>243902.56707706026</v>
          </cell>
          <cell r="AF108">
            <v>243888.05341514861</v>
          </cell>
          <cell r="AG108">
            <v>243906.4420308808</v>
          </cell>
          <cell r="AH108">
            <v>243899.02084102991</v>
          </cell>
          <cell r="AI108">
            <v>243897.83876235309</v>
          </cell>
          <cell r="AJ108">
            <v>243901.10054475462</v>
          </cell>
          <cell r="AK108">
            <v>243899.32004937922</v>
          </cell>
          <cell r="AL108">
            <v>243899.41978549564</v>
          </cell>
          <cell r="AM108">
            <v>243899.94679320985</v>
          </cell>
          <cell r="AN108">
            <v>243899.56220936158</v>
          </cell>
          <cell r="AO108">
            <v>243899.6429293557</v>
          </cell>
          <cell r="AP108">
            <v>243899.71731064239</v>
          </cell>
          <cell r="AQ108">
            <v>243899.64081645323</v>
          </cell>
          <cell r="AR108">
            <v>243899.66701881713</v>
          </cell>
          <cell r="AS108">
            <v>243899.67504863758</v>
          </cell>
          <cell r="AT108">
            <v>243899.66096130267</v>
          </cell>
          <cell r="AU108">
            <v>243899.66767625246</v>
          </cell>
          <cell r="AV108">
            <v>243899.66789539755</v>
          </cell>
          <cell r="AW108">
            <v>243899.66551098422</v>
          </cell>
        </row>
        <row r="110">
          <cell r="AE110">
            <v>187043.66666666666</v>
          </cell>
          <cell r="AF110">
            <v>182847.88888888888</v>
          </cell>
          <cell r="AG110">
            <v>181440.18518518517</v>
          </cell>
          <cell r="AH110">
            <v>183777.24691358022</v>
          </cell>
          <cell r="AI110">
            <v>182688.44032921808</v>
          </cell>
          <cell r="AJ110">
            <v>182635.29080932782</v>
          </cell>
          <cell r="AK110">
            <v>183033.65935070871</v>
          </cell>
          <cell r="AL110">
            <v>182785.79682975155</v>
          </cell>
          <cell r="AM110">
            <v>182818.24899659606</v>
          </cell>
          <cell r="AN110">
            <v>182879.2350590188</v>
          </cell>
          <cell r="AO110">
            <v>182827.76029512213</v>
          </cell>
          <cell r="AP110">
            <v>182841.74811691232</v>
          </cell>
          <cell r="AQ110">
            <v>182849.58115701773</v>
          </cell>
          <cell r="AR110">
            <v>182839.6965230174</v>
          </cell>
          <cell r="AS110">
            <v>182843.67526564913</v>
          </cell>
          <cell r="AT110">
            <v>182844.31764856141</v>
          </cell>
          <cell r="AU110">
            <v>182842.56314574264</v>
          </cell>
          <cell r="AV110">
            <v>182843.51868665105</v>
          </cell>
          <cell r="AW110">
            <v>182843.46649365171</v>
          </cell>
        </row>
        <row r="111">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row>
      </sheetData>
      <sheetData sheetId="7">
        <row r="4">
          <cell r="P4">
            <v>6556</v>
          </cell>
        </row>
        <row r="16">
          <cell r="AE16">
            <v>95833.850345659332</v>
          </cell>
          <cell r="AF16">
            <v>95706.550138169259</v>
          </cell>
          <cell r="AG16">
            <v>95545.191838471044</v>
          </cell>
          <cell r="AH16">
            <v>95695.196870138214</v>
          </cell>
          <cell r="AI16">
            <v>95648.979565440284</v>
          </cell>
          <cell r="AJ16">
            <v>95629.789331088745</v>
          </cell>
          <cell r="AK16">
            <v>95657.988559212827</v>
          </cell>
          <cell r="AL16">
            <v>95645.585816892213</v>
          </cell>
          <cell r="AM16">
            <v>95644.454566509652</v>
          </cell>
          <cell r="AN16">
            <v>95649.342979551118</v>
          </cell>
          <cell r="AO16">
            <v>95646.461120869688</v>
          </cell>
          <cell r="AP16">
            <v>95646.752888918345</v>
          </cell>
          <cell r="AQ16">
            <v>95647.518996395229</v>
          </cell>
          <cell r="AR16">
            <v>95646.911002053326</v>
          </cell>
          <cell r="AS16">
            <v>95647.060962454503</v>
          </cell>
          <cell r="AT16">
            <v>95647.163653632611</v>
          </cell>
          <cell r="AU16">
            <v>95647.045206046372</v>
          </cell>
          <cell r="AV16">
            <v>95647.089940711114</v>
          </cell>
          <cell r="AW16">
            <v>95647.099600129994</v>
          </cell>
        </row>
        <row r="19">
          <cell r="AE19">
            <v>76482.697627565911</v>
          </cell>
          <cell r="AF19">
            <v>75770.514233000489</v>
          </cell>
          <cell r="AG19">
            <v>75058.330838435068</v>
          </cell>
          <cell r="AH19">
            <v>74346.147443869646</v>
          </cell>
          <cell r="AI19">
            <v>73633.964049304224</v>
          </cell>
          <cell r="AJ19">
            <v>72921.780654738803</v>
          </cell>
          <cell r="AK19">
            <v>72215.692746085711</v>
          </cell>
          <cell r="AL19">
            <v>71509.604837432606</v>
          </cell>
          <cell r="AM19">
            <v>70803.516928779514</v>
          </cell>
          <cell r="AN19">
            <v>70097.429020126394</v>
          </cell>
          <cell r="AO19">
            <v>69391.341111473288</v>
          </cell>
          <cell r="AP19">
            <v>68673.885945308037</v>
          </cell>
          <cell r="AQ19">
            <v>67956.4307791428</v>
          </cell>
          <cell r="AR19">
            <v>67238.975612977534</v>
          </cell>
          <cell r="AS19">
            <v>66521.520446812283</v>
          </cell>
          <cell r="AT19">
            <v>65804.065280647017</v>
          </cell>
          <cell r="AU19">
            <v>65042.294284470649</v>
          </cell>
          <cell r="AV19">
            <v>64280.523288294266</v>
          </cell>
          <cell r="AW19">
            <v>63518.752292117897</v>
          </cell>
        </row>
        <row r="30">
          <cell r="AE30">
            <v>76482.697627565911</v>
          </cell>
          <cell r="AF30">
            <v>75770.514233000489</v>
          </cell>
          <cell r="AG30">
            <v>75058.330838435068</v>
          </cell>
          <cell r="AH30">
            <v>74346.147443869646</v>
          </cell>
          <cell r="AI30">
            <v>73633.964049304224</v>
          </cell>
          <cell r="AJ30">
            <v>72921.780654738803</v>
          </cell>
          <cell r="AK30">
            <v>72215.692746085711</v>
          </cell>
          <cell r="AL30">
            <v>71509.604837432606</v>
          </cell>
          <cell r="AM30">
            <v>70803.516928779514</v>
          </cell>
          <cell r="AN30">
            <v>70097.429020126394</v>
          </cell>
          <cell r="AO30">
            <v>69391.341111473288</v>
          </cell>
          <cell r="AP30">
            <v>68673.885945308037</v>
          </cell>
          <cell r="AQ30">
            <v>67956.4307791428</v>
          </cell>
          <cell r="AR30">
            <v>67238.975612977534</v>
          </cell>
          <cell r="AS30">
            <v>66521.520446812283</v>
          </cell>
          <cell r="AT30">
            <v>65804.065280647017</v>
          </cell>
          <cell r="AU30">
            <v>65042.294284470649</v>
          </cell>
          <cell r="AV30">
            <v>64280.523288294266</v>
          </cell>
          <cell r="AW30">
            <v>63518.752292117897</v>
          </cell>
        </row>
        <row r="31">
          <cell r="AE31">
            <v>23475.333333333332</v>
          </cell>
          <cell r="AF31">
            <v>22997.777777777777</v>
          </cell>
          <cell r="AG31">
            <v>22559.370370370369</v>
          </cell>
          <cell r="AH31">
            <v>23010.827160493824</v>
          </cell>
          <cell r="AI31">
            <v>22855.991769547323</v>
          </cell>
          <cell r="AJ31">
            <v>22808.729766803837</v>
          </cell>
          <cell r="AK31">
            <v>22891.849565614993</v>
          </cell>
          <cell r="AL31">
            <v>22852.190367322051</v>
          </cell>
          <cell r="AM31">
            <v>22850.923233246958</v>
          </cell>
          <cell r="AN31">
            <v>22864.987722061331</v>
          </cell>
          <cell r="AO31">
            <v>22856.033774210111</v>
          </cell>
          <cell r="AP31">
            <v>22857.314909839468</v>
          </cell>
          <cell r="AQ31">
            <v>22859.445468703634</v>
          </cell>
          <cell r="AR31">
            <v>22857.598050917735</v>
          </cell>
          <cell r="AS31">
            <v>22858.119476486943</v>
          </cell>
          <cell r="AT31">
            <v>22858.387665369435</v>
          </cell>
          <cell r="AU31">
            <v>22858.035064258034</v>
          </cell>
          <cell r="AV31">
            <v>22858.180735371468</v>
          </cell>
          <cell r="AW31">
            <v>22858.20115499965</v>
          </cell>
        </row>
        <row r="32">
          <cell r="AE32">
            <v>4.1638827263986018</v>
          </cell>
          <cell r="AF32">
            <v>4.1685009875665093</v>
          </cell>
          <cell r="AG32">
            <v>4.166371766156125</v>
          </cell>
          <cell r="AH32">
            <v>4.1662518267070787</v>
          </cell>
          <cell r="AI32">
            <v>4.1670415268099044</v>
          </cell>
          <cell r="AJ32">
            <v>4.166555039891036</v>
          </cell>
          <cell r="AK32">
            <v>4.1666161311360064</v>
          </cell>
          <cell r="AL32">
            <v>4.1667375659456489</v>
          </cell>
          <cell r="AM32">
            <v>4.1666362456575641</v>
          </cell>
          <cell r="AN32">
            <v>4.1666633142464065</v>
          </cell>
          <cell r="AO32">
            <v>4.1666790419498732</v>
          </cell>
          <cell r="AP32">
            <v>4.1666595339512815</v>
          </cell>
          <cell r="AQ32">
            <v>4.166667296715854</v>
          </cell>
          <cell r="AR32">
            <v>4.1666686242056699</v>
          </cell>
          <cell r="AS32">
            <v>4.1666651516242688</v>
          </cell>
          <cell r="AT32">
            <v>4.1666670241819306</v>
          </cell>
          <cell r="AU32">
            <v>4.1666669333372894</v>
          </cell>
          <cell r="AV32">
            <v>4.1666663697144957</v>
          </cell>
          <cell r="AW32">
            <v>4.166666775744571</v>
          </cell>
        </row>
        <row r="33">
          <cell r="AE33" t="e">
            <v>#DIV/0!</v>
          </cell>
          <cell r="AF33" t="e">
            <v>#DIV/0!</v>
          </cell>
          <cell r="AG33" t="e">
            <v>#DIV/0!</v>
          </cell>
          <cell r="AH33" t="e">
            <v>#DIV/0!</v>
          </cell>
          <cell r="AI33" t="e">
            <v>#DIV/0!</v>
          </cell>
          <cell r="AJ33" t="e">
            <v>#DIV/0!</v>
          </cell>
          <cell r="AK33" t="e">
            <v>#DIV/0!</v>
          </cell>
          <cell r="AL33" t="e">
            <v>#DIV/0!</v>
          </cell>
          <cell r="AM33" t="e">
            <v>#DIV/0!</v>
          </cell>
          <cell r="AN33" t="e">
            <v>#DIV/0!</v>
          </cell>
          <cell r="AO33" t="e">
            <v>#DIV/0!</v>
          </cell>
          <cell r="AP33" t="e">
            <v>#DIV/0!</v>
          </cell>
          <cell r="AQ33" t="e">
            <v>#DIV/0!</v>
          </cell>
          <cell r="AR33" t="e">
            <v>#DIV/0!</v>
          </cell>
          <cell r="AS33" t="e">
            <v>#DIV/0!</v>
          </cell>
          <cell r="AT33" t="e">
            <v>#DIV/0!</v>
          </cell>
          <cell r="AU33" t="e">
            <v>#DIV/0!</v>
          </cell>
          <cell r="AV33" t="e">
            <v>#DIV/0!</v>
          </cell>
          <cell r="AW33" t="e">
            <v>#DIV/0!</v>
          </cell>
        </row>
        <row r="34">
          <cell r="AE34" t="e">
            <v>#DIV/0!</v>
          </cell>
          <cell r="AF34" t="e">
            <v>#DIV/0!</v>
          </cell>
          <cell r="AG34" t="e">
            <v>#DIV/0!</v>
          </cell>
          <cell r="AH34" t="e">
            <v>#DIV/0!</v>
          </cell>
          <cell r="AI34" t="e">
            <v>#DIV/0!</v>
          </cell>
          <cell r="AJ34" t="e">
            <v>#DIV/0!</v>
          </cell>
          <cell r="AK34" t="e">
            <v>#DIV/0!</v>
          </cell>
          <cell r="AL34" t="e">
            <v>#DIV/0!</v>
          </cell>
          <cell r="AM34" t="e">
            <v>#DIV/0!</v>
          </cell>
          <cell r="AN34" t="e">
            <v>#DIV/0!</v>
          </cell>
          <cell r="AO34" t="e">
            <v>#DIV/0!</v>
          </cell>
          <cell r="AP34" t="e">
            <v>#DIV/0!</v>
          </cell>
          <cell r="AQ34" t="e">
            <v>#DIV/0!</v>
          </cell>
          <cell r="AR34" t="e">
            <v>#DIV/0!</v>
          </cell>
          <cell r="AS34" t="e">
            <v>#DIV/0!</v>
          </cell>
          <cell r="AT34" t="e">
            <v>#DIV/0!</v>
          </cell>
          <cell r="AU34" t="e">
            <v>#DIV/0!</v>
          </cell>
          <cell r="AV34" t="e">
            <v>#DIV/0!</v>
          </cell>
          <cell r="AW34" t="e">
            <v>#DIV/0!</v>
          </cell>
        </row>
        <row r="35">
          <cell r="AE35">
            <v>115718.66666666667</v>
          </cell>
          <cell r="AF35">
            <v>113560.22222222223</v>
          </cell>
          <cell r="AG35">
            <v>112203.62962962965</v>
          </cell>
          <cell r="AH35">
            <v>113827.50617283951</v>
          </cell>
          <cell r="AI35">
            <v>113197.1193415638</v>
          </cell>
          <cell r="AJ35">
            <v>113076.08504801098</v>
          </cell>
          <cell r="AK35">
            <v>113366.90352080476</v>
          </cell>
          <cell r="AL35">
            <v>113213.36930345984</v>
          </cell>
          <cell r="AM35">
            <v>113218.78595742519</v>
          </cell>
          <cell r="AN35">
            <v>113266.35292722993</v>
          </cell>
          <cell r="AO35">
            <v>113232.83606270498</v>
          </cell>
          <cell r="AP35">
            <v>113239.32498245337</v>
          </cell>
          <cell r="AQ35">
            <v>113246.17132412943</v>
          </cell>
          <cell r="AR35">
            <v>113239.44412309593</v>
          </cell>
          <cell r="AS35">
            <v>113241.64680989292</v>
          </cell>
          <cell r="AT35">
            <v>113242.42075237277</v>
          </cell>
          <cell r="AU35">
            <v>113241.17056178721</v>
          </cell>
          <cell r="AV35">
            <v>113241.74604135095</v>
          </cell>
          <cell r="AW35">
            <v>113241.77911850363</v>
          </cell>
        </row>
        <row r="36">
          <cell r="AE36" t="e">
            <v>#DIV/0!</v>
          </cell>
          <cell r="AF36" t="e">
            <v>#DIV/0!</v>
          </cell>
          <cell r="AG36" t="e">
            <v>#DIV/0!</v>
          </cell>
          <cell r="AH36" t="e">
            <v>#DIV/0!</v>
          </cell>
          <cell r="AI36" t="e">
            <v>#DIV/0!</v>
          </cell>
          <cell r="AJ36" t="e">
            <v>#DIV/0!</v>
          </cell>
          <cell r="AK36" t="e">
            <v>#DIV/0!</v>
          </cell>
          <cell r="AL36" t="e">
            <v>#DIV/0!</v>
          </cell>
          <cell r="AM36" t="e">
            <v>#DIV/0!</v>
          </cell>
          <cell r="AN36" t="e">
            <v>#DIV/0!</v>
          </cell>
          <cell r="AO36" t="e">
            <v>#DIV/0!</v>
          </cell>
          <cell r="AP36" t="e">
            <v>#DIV/0!</v>
          </cell>
          <cell r="AQ36" t="e">
            <v>#DIV/0!</v>
          </cell>
          <cell r="AR36" t="e">
            <v>#DIV/0!</v>
          </cell>
          <cell r="AS36" t="e">
            <v>#DIV/0!</v>
          </cell>
          <cell r="AT36" t="e">
            <v>#DIV/0!</v>
          </cell>
          <cell r="AU36" t="e">
            <v>#DIV/0!</v>
          </cell>
          <cell r="AV36" t="e">
            <v>#DIV/0!</v>
          </cell>
          <cell r="AW36" t="e">
            <v>#DIV/0!</v>
          </cell>
        </row>
        <row r="37">
          <cell r="AE37">
            <v>81021.17333333334</v>
          </cell>
          <cell r="AF37">
            <v>80054.623288888892</v>
          </cell>
          <cell r="AG37">
            <v>79052.613563259263</v>
          </cell>
          <cell r="AH37">
            <v>78441.94732725728</v>
          </cell>
          <cell r="AI37">
            <v>77599.40016527244</v>
          </cell>
          <cell r="AJ37">
            <v>76797.360611557728</v>
          </cell>
          <cell r="AK37">
            <v>76060.644647335241</v>
          </cell>
          <cell r="AL37">
            <v>75282.752438560696</v>
          </cell>
          <cell r="AM37">
            <v>74525.980847834857</v>
          </cell>
          <cell r="AN37">
            <v>73783.996791685393</v>
          </cell>
          <cell r="AO37">
            <v>73040.291825506443</v>
          </cell>
          <cell r="AP37">
            <v>72307.754691908704</v>
          </cell>
          <cell r="AQ37">
            <v>71583.134147639517</v>
          </cell>
          <cell r="AR37">
            <v>70864.185683917851</v>
          </cell>
          <cell r="AS37">
            <v>70153.324344332243</v>
          </cell>
          <cell r="AT37">
            <v>69449.54376412394</v>
          </cell>
          <cell r="AU37">
            <v>68752.570905508852</v>
          </cell>
          <cell r="AV37">
            <v>68062.776744561925</v>
          </cell>
          <cell r="AW37">
            <v>67379.864528636928</v>
          </cell>
        </row>
        <row r="38">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row>
        <row r="42">
          <cell r="AE42">
            <v>2613</v>
          </cell>
          <cell r="AF42">
            <v>2613</v>
          </cell>
          <cell r="AG42">
            <v>2613</v>
          </cell>
          <cell r="AH42">
            <v>2613</v>
          </cell>
          <cell r="AI42">
            <v>2613</v>
          </cell>
          <cell r="AJ42">
            <v>2613</v>
          </cell>
          <cell r="AK42">
            <v>2613</v>
          </cell>
          <cell r="AL42">
            <v>2613</v>
          </cell>
          <cell r="AM42">
            <v>2613</v>
          </cell>
          <cell r="AN42">
            <v>2613</v>
          </cell>
          <cell r="AO42">
            <v>2613</v>
          </cell>
          <cell r="AP42">
            <v>2613</v>
          </cell>
          <cell r="AQ42">
            <v>2613</v>
          </cell>
          <cell r="AR42">
            <v>2613</v>
          </cell>
          <cell r="AS42">
            <v>2613</v>
          </cell>
          <cell r="AT42">
            <v>2613</v>
          </cell>
          <cell r="AU42">
            <v>2613</v>
          </cell>
          <cell r="AV42">
            <v>2613</v>
          </cell>
          <cell r="AW42">
            <v>2613</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2005.1798694492898</v>
          </cell>
          <cell r="AF44">
            <v>2005.1350993493788</v>
          </cell>
          <cell r="AG44">
            <v>2005.1833106173174</v>
          </cell>
          <cell r="AH44">
            <v>2005.1660931386621</v>
          </cell>
          <cell r="AI44">
            <v>2005.1615010351195</v>
          </cell>
          <cell r="AJ44">
            <v>2005.1703015970331</v>
          </cell>
          <cell r="AK44">
            <v>2005.1659652569381</v>
          </cell>
          <cell r="AL44">
            <v>2005.165922629697</v>
          </cell>
          <cell r="AM44">
            <v>2005.167396494556</v>
          </cell>
          <cell r="AN44">
            <v>2005.1664281270635</v>
          </cell>
          <cell r="AO44">
            <v>2005.1665824171052</v>
          </cell>
          <cell r="AP44">
            <v>2005.1668023462416</v>
          </cell>
          <cell r="AQ44">
            <v>2005.1666042968034</v>
          </cell>
          <cell r="AR44">
            <v>2005.16666302005</v>
          </cell>
          <cell r="AS44">
            <v>2005.1666898876983</v>
          </cell>
          <cell r="AT44">
            <v>2005.1666524015172</v>
          </cell>
          <cell r="AU44">
            <v>2005.1666684364218</v>
          </cell>
          <cell r="AV44">
            <v>2005.166670241879</v>
          </cell>
          <cell r="AW44">
            <v>2005.1666636932725</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701.08726093857251</v>
          </cell>
          <cell r="AF47">
            <v>704.51748297940048</v>
          </cell>
          <cell r="AG47">
            <v>708.07337571788821</v>
          </cell>
          <cell r="AH47">
            <v>711.60496694407323</v>
          </cell>
          <cell r="AI47">
            <v>715.14592796592513</v>
          </cell>
          <cell r="AJ47">
            <v>718.7241711113885</v>
          </cell>
          <cell r="AK47">
            <v>722.30993889386684</v>
          </cell>
          <cell r="AL47">
            <v>725.9139461169641</v>
          </cell>
          <cell r="AM47">
            <v>729.53917889448053</v>
          </cell>
          <cell r="AN47">
            <v>733.18023151478815</v>
          </cell>
          <cell r="AO47">
            <v>736.83989669716516</v>
          </cell>
          <cell r="AP47">
            <v>740.51830005916611</v>
          </cell>
          <cell r="AQ47">
            <v>744.21460418461015</v>
          </cell>
          <cell r="AR47">
            <v>747.92950965011687</v>
          </cell>
          <cell r="AS47">
            <v>751.66301267761071</v>
          </cell>
          <cell r="AT47">
            <v>755.41506592582039</v>
          </cell>
          <cell r="AU47">
            <v>759.18588804536114</v>
          </cell>
          <cell r="AV47">
            <v>762.97553543842662</v>
          </cell>
          <cell r="AW47">
            <v>766.7840847679015</v>
          </cell>
        </row>
        <row r="48">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row>
        <row r="49">
          <cell r="AE49">
            <v>95681.677127387535</v>
          </cell>
          <cell r="AF49">
            <v>96136.990413400228</v>
          </cell>
          <cell r="AG49">
            <v>96616.56393683354</v>
          </cell>
          <cell r="AH49">
            <v>97106.527930799173</v>
          </cell>
          <cell r="AI49">
            <v>97586.227701281096</v>
          </cell>
          <cell r="AJ49">
            <v>98074.137588200974</v>
          </cell>
          <cell r="AK49">
            <v>98564.854050828013</v>
          </cell>
          <cell r="AL49">
            <v>99055.823844571059</v>
          </cell>
          <cell r="AM49">
            <v>99550.587879478699</v>
          </cell>
          <cell r="AN49">
            <v>100047.65947754217</v>
          </cell>
          <cell r="AO49">
            <v>100546.87063786929</v>
          </cell>
          <cell r="AP49">
            <v>101048.85639161301</v>
          </cell>
          <cell r="AQ49">
            <v>101553.27345736489</v>
          </cell>
          <cell r="AR49">
            <v>102060.16349723855</v>
          </cell>
          <cell r="AS49">
            <v>102569.63875989287</v>
          </cell>
          <cell r="AT49">
            <v>103081.63549054709</v>
          </cell>
          <cell r="AU49">
            <v>103596.18404171844</v>
          </cell>
          <cell r="AV49">
            <v>104113.31095835999</v>
          </cell>
          <cell r="AW49">
            <v>104633.01393184392</v>
          </cell>
        </row>
        <row r="50">
          <cell r="AE50">
            <v>213853.31333333332</v>
          </cell>
          <cell r="AF50">
            <v>212251.44235555554</v>
          </cell>
          <cell r="AG50">
            <v>209799.62685837038</v>
          </cell>
          <cell r="AH50">
            <v>207728.76496543799</v>
          </cell>
          <cell r="AI50">
            <v>205728.07916525888</v>
          </cell>
          <cell r="AJ50">
            <v>203597.11385642862</v>
          </cell>
          <cell r="AK50">
            <v>201570.95960912766</v>
          </cell>
          <cell r="AL50">
            <v>199559.40985939963</v>
          </cell>
          <cell r="AM50">
            <v>197544.31121948559</v>
          </cell>
          <cell r="AN50">
            <v>195567.06235808419</v>
          </cell>
          <cell r="AO50">
            <v>193605.78925607665</v>
          </cell>
          <cell r="AP50">
            <v>191660.93985899116</v>
          </cell>
          <cell r="AQ50">
            <v>189739.03854789631</v>
          </cell>
          <cell r="AR50">
            <v>187835.21743656826</v>
          </cell>
          <cell r="AS50">
            <v>185950.16397552888</v>
          </cell>
          <cell r="AT50">
            <v>184084.64385359784</v>
          </cell>
          <cell r="AU50">
            <v>182237.54158679367</v>
          </cell>
          <cell r="AV50">
            <v>180408.96747586734</v>
          </cell>
          <cell r="AW50">
            <v>178598.84328597793</v>
          </cell>
        </row>
        <row r="52">
          <cell r="AE52">
            <v>10597.363697991696</v>
          </cell>
          <cell r="AF52">
            <v>10042.39625749014</v>
          </cell>
          <cell r="AG52">
            <v>9516.4915979588368</v>
          </cell>
          <cell r="AH52">
            <v>9018.1277467988875</v>
          </cell>
          <cell r="AI52">
            <v>8545.8624347472214</v>
          </cell>
          <cell r="AJ52">
            <v>8098.3289219369699</v>
          </cell>
          <cell r="AK52">
            <v>7674.2320425405596</v>
          </cell>
          <cell r="AL52">
            <v>7272.3444565486898</v>
          </cell>
          <cell r="AM52">
            <v>6891.5030978378109</v>
          </cell>
          <cell r="AN52">
            <v>6530.6058082467789</v>
          </cell>
          <cell r="AO52">
            <v>6188.6081479216782</v>
          </cell>
          <cell r="AP52">
            <v>5864.5203726979171</v>
          </cell>
          <cell r="AQ52">
            <v>5557.4045697721212</v>
          </cell>
          <cell r="AR52">
            <v>5266.3719433744282</v>
          </cell>
          <cell r="AS52">
            <v>4990.5802425859019</v>
          </cell>
          <cell r="AT52">
            <v>4729.2313238571423</v>
          </cell>
          <cell r="AU52">
            <v>4481.5688411740039</v>
          </cell>
          <cell r="AV52">
            <v>4246.8760571857374</v>
          </cell>
          <cell r="AW52">
            <v>4024.4737689609437</v>
          </cell>
        </row>
        <row r="53">
          <cell r="AE53" t="e">
            <v>#DIV/0!</v>
          </cell>
          <cell r="AF53" t="e">
            <v>#DIV/0!</v>
          </cell>
          <cell r="AG53" t="e">
            <v>#DIV/0!</v>
          </cell>
          <cell r="AH53" t="e">
            <v>#DIV/0!</v>
          </cell>
          <cell r="AI53" t="e">
            <v>#DIV/0!</v>
          </cell>
          <cell r="AJ53" t="e">
            <v>#DIV/0!</v>
          </cell>
          <cell r="AK53" t="e">
            <v>#DIV/0!</v>
          </cell>
          <cell r="AL53" t="e">
            <v>#DIV/0!</v>
          </cell>
          <cell r="AM53" t="e">
            <v>#DIV/0!</v>
          </cell>
          <cell r="AN53" t="e">
            <v>#DIV/0!</v>
          </cell>
          <cell r="AO53" t="e">
            <v>#DIV/0!</v>
          </cell>
          <cell r="AP53" t="e">
            <v>#DIV/0!</v>
          </cell>
          <cell r="AQ53" t="e">
            <v>#DIV/0!</v>
          </cell>
          <cell r="AR53" t="e">
            <v>#DIV/0!</v>
          </cell>
          <cell r="AS53" t="e">
            <v>#DIV/0!</v>
          </cell>
          <cell r="AT53" t="e">
            <v>#DIV/0!</v>
          </cell>
          <cell r="AU53" t="e">
            <v>#DIV/0!</v>
          </cell>
          <cell r="AV53" t="e">
            <v>#DIV/0!</v>
          </cell>
          <cell r="AW53" t="e">
            <v>#DIV/0!</v>
          </cell>
        </row>
        <row r="56">
          <cell r="AE56">
            <v>76.761243487047508</v>
          </cell>
          <cell r="AF56">
            <v>76.895852973331031</v>
          </cell>
          <cell r="AG56">
            <v>76.815683522096876</v>
          </cell>
          <cell r="AH56">
            <v>76.824259994158467</v>
          </cell>
          <cell r="AI56">
            <v>76.845265496528796</v>
          </cell>
          <cell r="AJ56">
            <v>76.828403004261375</v>
          </cell>
          <cell r="AK56">
            <v>76.832642831649537</v>
          </cell>
          <cell r="AL56">
            <v>76.835437110813231</v>
          </cell>
          <cell r="AM56">
            <v>76.832160982241376</v>
          </cell>
          <cell r="AN56">
            <v>76.833413641568043</v>
          </cell>
          <cell r="AO56">
            <v>76.833670578207546</v>
          </cell>
          <cell r="AP56">
            <v>76.83308173400566</v>
          </cell>
          <cell r="AQ56">
            <v>76.833388651260407</v>
          </cell>
          <cell r="AR56">
            <v>76.833380321157861</v>
          </cell>
          <cell r="AS56">
            <v>76.833283568807971</v>
          </cell>
          <cell r="AT56">
            <v>76.833350847075408</v>
          </cell>
          <cell r="AU56">
            <v>76.833338245680409</v>
          </cell>
          <cell r="AV56">
            <v>76.833324220521263</v>
          </cell>
          <cell r="AW56">
            <v>76.83333777109236</v>
          </cell>
        </row>
        <row r="57">
          <cell r="AE57">
            <v>139.73026168474019</v>
          </cell>
          <cell r="AF57">
            <v>139.62705486905728</v>
          </cell>
          <cell r="AG57">
            <v>139.67187619238177</v>
          </cell>
          <cell r="AH57">
            <v>139.67639758205974</v>
          </cell>
          <cell r="AI57">
            <v>139.65844288116625</v>
          </cell>
          <cell r="AJ57">
            <v>139.66890555186924</v>
          </cell>
          <cell r="AK57">
            <v>139.66791533836508</v>
          </cell>
          <cell r="AL57">
            <v>139.6650879238002</v>
          </cell>
          <cell r="AM57">
            <v>139.66730293801152</v>
          </cell>
          <cell r="AN57">
            <v>139.66676873339227</v>
          </cell>
          <cell r="AO57">
            <v>139.66638653173467</v>
          </cell>
          <cell r="AP57">
            <v>139.66681940104615</v>
          </cell>
          <cell r="AQ57">
            <v>139.66665822205769</v>
          </cell>
          <cell r="AR57">
            <v>139.66662138494618</v>
          </cell>
          <cell r="AS57">
            <v>139.66669966935001</v>
          </cell>
          <cell r="AT57">
            <v>139.66665975878462</v>
          </cell>
          <cell r="AU57">
            <v>139.66666027102693</v>
          </cell>
          <cell r="AV57">
            <v>139.66667323305384</v>
          </cell>
          <cell r="AW57">
            <v>139.66666442095513</v>
          </cell>
        </row>
        <row r="64">
          <cell r="AE64">
            <v>148533.33333333334</v>
          </cell>
          <cell r="AF64">
            <v>150377.77777777778</v>
          </cell>
          <cell r="AG64">
            <v>154853.70370370371</v>
          </cell>
          <cell r="AH64">
            <v>151254.93827160494</v>
          </cell>
          <cell r="AI64">
            <v>152162.13991769546</v>
          </cell>
          <cell r="AJ64">
            <v>152756.92729766804</v>
          </cell>
          <cell r="AK64">
            <v>152058.00182898948</v>
          </cell>
          <cell r="AL64">
            <v>152325.68968145098</v>
          </cell>
          <cell r="AM64">
            <v>152380.20626936949</v>
          </cell>
          <cell r="AN64">
            <v>152254.63259326995</v>
          </cell>
          <cell r="AO64">
            <v>152320.17618136349</v>
          </cell>
          <cell r="AP64">
            <v>152318.33834800098</v>
          </cell>
          <cell r="AQ64">
            <v>152297.71570754482</v>
          </cell>
          <cell r="AR64">
            <v>152312.07674563644</v>
          </cell>
          <cell r="AS64">
            <v>152309.37693372741</v>
          </cell>
          <cell r="AT64">
            <v>152306.38979563621</v>
          </cell>
          <cell r="AU64">
            <v>152309.28115833332</v>
          </cell>
          <cell r="AV64">
            <v>152308.34929589895</v>
          </cell>
          <cell r="AW64">
            <v>152308.00674995617</v>
          </cell>
        </row>
        <row r="65">
          <cell r="AE65"/>
          <cell r="AF65"/>
          <cell r="AG65"/>
          <cell r="AH65"/>
          <cell r="AI65"/>
          <cell r="AJ65"/>
          <cell r="AK65"/>
          <cell r="AL65"/>
          <cell r="AM65"/>
          <cell r="AN65"/>
          <cell r="AO65"/>
          <cell r="AP65"/>
          <cell r="AQ65"/>
          <cell r="AR65"/>
          <cell r="AS65"/>
          <cell r="AT65"/>
          <cell r="AU65"/>
          <cell r="AV65"/>
          <cell r="AW65"/>
        </row>
        <row r="66">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row>
        <row r="67">
          <cell r="AE67">
            <v>626</v>
          </cell>
          <cell r="AF67">
            <v>626</v>
          </cell>
          <cell r="AG67">
            <v>626</v>
          </cell>
          <cell r="AH67">
            <v>626</v>
          </cell>
          <cell r="AI67">
            <v>626</v>
          </cell>
          <cell r="AJ67">
            <v>626</v>
          </cell>
          <cell r="AK67">
            <v>626</v>
          </cell>
          <cell r="AL67">
            <v>626</v>
          </cell>
          <cell r="AM67">
            <v>626</v>
          </cell>
          <cell r="AN67">
            <v>626</v>
          </cell>
          <cell r="AO67">
            <v>626</v>
          </cell>
          <cell r="AP67">
            <v>626</v>
          </cell>
          <cell r="AQ67">
            <v>626</v>
          </cell>
          <cell r="AR67">
            <v>626</v>
          </cell>
          <cell r="AS67">
            <v>626</v>
          </cell>
          <cell r="AT67">
            <v>626</v>
          </cell>
          <cell r="AU67">
            <v>626</v>
          </cell>
          <cell r="AV67">
            <v>626</v>
          </cell>
          <cell r="AW67">
            <v>626</v>
          </cell>
        </row>
        <row r="68">
          <cell r="AE68"/>
          <cell r="AF68"/>
          <cell r="AG68"/>
          <cell r="AH68"/>
          <cell r="AI68"/>
          <cell r="AJ68"/>
          <cell r="AK68"/>
          <cell r="AL68"/>
          <cell r="AM68"/>
          <cell r="AN68"/>
          <cell r="AO68"/>
          <cell r="AP68"/>
          <cell r="AQ68"/>
          <cell r="AR68"/>
          <cell r="AS68"/>
          <cell r="AT68"/>
          <cell r="AU68"/>
          <cell r="AV68"/>
          <cell r="AW68"/>
        </row>
        <row r="69">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row>
        <row r="70">
          <cell r="AE70">
            <v>36150</v>
          </cell>
          <cell r="AF70">
            <v>36150</v>
          </cell>
          <cell r="AG70">
            <v>36150</v>
          </cell>
          <cell r="AH70">
            <v>36150</v>
          </cell>
          <cell r="AI70">
            <v>36150</v>
          </cell>
          <cell r="AJ70">
            <v>36150</v>
          </cell>
          <cell r="AK70">
            <v>36150</v>
          </cell>
          <cell r="AL70">
            <v>36150</v>
          </cell>
          <cell r="AM70">
            <v>36150</v>
          </cell>
          <cell r="AN70">
            <v>36150</v>
          </cell>
          <cell r="AO70">
            <v>36150</v>
          </cell>
          <cell r="AP70">
            <v>36150</v>
          </cell>
          <cell r="AQ70">
            <v>36150</v>
          </cell>
          <cell r="AR70">
            <v>36150</v>
          </cell>
          <cell r="AS70">
            <v>36150</v>
          </cell>
          <cell r="AT70">
            <v>36150</v>
          </cell>
          <cell r="AU70">
            <v>36150</v>
          </cell>
          <cell r="AV70">
            <v>36150</v>
          </cell>
          <cell r="AW70">
            <v>36150</v>
          </cell>
        </row>
        <row r="71">
          <cell r="AE71" t="e">
            <v>#DIV/0!</v>
          </cell>
          <cell r="AF71" t="e">
            <v>#DIV/0!</v>
          </cell>
          <cell r="AG71" t="e">
            <v>#DIV/0!</v>
          </cell>
          <cell r="AH71" t="e">
            <v>#DIV/0!</v>
          </cell>
          <cell r="AI71" t="e">
            <v>#DIV/0!</v>
          </cell>
          <cell r="AJ71" t="e">
            <v>#DIV/0!</v>
          </cell>
          <cell r="AK71" t="e">
            <v>#DIV/0!</v>
          </cell>
          <cell r="AL71" t="e">
            <v>#DIV/0!</v>
          </cell>
          <cell r="AM71" t="e">
            <v>#DIV/0!</v>
          </cell>
          <cell r="AN71" t="e">
            <v>#DIV/0!</v>
          </cell>
          <cell r="AO71" t="e">
            <v>#DIV/0!</v>
          </cell>
          <cell r="AP71" t="e">
            <v>#DIV/0!</v>
          </cell>
          <cell r="AQ71" t="e">
            <v>#DIV/0!</v>
          </cell>
          <cell r="AR71" t="e">
            <v>#DIV/0!</v>
          </cell>
          <cell r="AS71" t="e">
            <v>#DIV/0!</v>
          </cell>
          <cell r="AT71" t="e">
            <v>#DIV/0!</v>
          </cell>
          <cell r="AU71" t="e">
            <v>#DIV/0!</v>
          </cell>
          <cell r="AV71" t="e">
            <v>#DIV/0!</v>
          </cell>
          <cell r="AW71" t="e">
            <v>#DIV/0!</v>
          </cell>
        </row>
        <row r="72">
          <cell r="AE72">
            <v>750</v>
          </cell>
          <cell r="AF72">
            <v>750</v>
          </cell>
          <cell r="AG72">
            <v>750</v>
          </cell>
          <cell r="AH72">
            <v>750</v>
          </cell>
          <cell r="AI72">
            <v>750</v>
          </cell>
          <cell r="AJ72">
            <v>750</v>
          </cell>
          <cell r="AK72">
            <v>750</v>
          </cell>
          <cell r="AL72">
            <v>750</v>
          </cell>
          <cell r="AM72">
            <v>750</v>
          </cell>
          <cell r="AN72">
            <v>750</v>
          </cell>
          <cell r="AO72">
            <v>750</v>
          </cell>
          <cell r="AP72">
            <v>750</v>
          </cell>
          <cell r="AQ72">
            <v>750</v>
          </cell>
          <cell r="AR72">
            <v>750</v>
          </cell>
          <cell r="AS72">
            <v>750</v>
          </cell>
          <cell r="AT72">
            <v>750</v>
          </cell>
          <cell r="AU72">
            <v>750</v>
          </cell>
          <cell r="AV72">
            <v>750</v>
          </cell>
          <cell r="AW72">
            <v>750</v>
          </cell>
        </row>
        <row r="73">
          <cell r="AE73">
            <v>2673.5090743845508</v>
          </cell>
          <cell r="AF73">
            <v>2672.5118197504526</v>
          </cell>
          <cell r="AG73">
            <v>2673.4890953715153</v>
          </cell>
          <cell r="AH73">
            <v>2673.1699965021726</v>
          </cell>
          <cell r="AI73">
            <v>2673.05697054138</v>
          </cell>
          <cell r="AJ73">
            <v>2673.238687471689</v>
          </cell>
          <cell r="AK73">
            <v>2673.155218171747</v>
          </cell>
          <cell r="AL73">
            <v>2673.1502920616053</v>
          </cell>
          <cell r="AM73">
            <v>2673.1813992350139</v>
          </cell>
          <cell r="AN73">
            <v>2673.1623031561226</v>
          </cell>
          <cell r="AO73">
            <v>2673.1646648175806</v>
          </cell>
          <cell r="AP73">
            <v>2673.1694557362389</v>
          </cell>
          <cell r="AQ73">
            <v>2673.1654745699807</v>
          </cell>
          <cell r="AR73">
            <v>2673.1665317079337</v>
          </cell>
          <cell r="AS73">
            <v>2673.1671540047178</v>
          </cell>
          <cell r="AT73">
            <v>2673.1663867608772</v>
          </cell>
          <cell r="AU73">
            <v>2673.1666908245097</v>
          </cell>
          <cell r="AV73">
            <v>2673.1667438633681</v>
          </cell>
          <cell r="AW73">
            <v>2673.1666071495852</v>
          </cell>
        </row>
        <row r="75">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7">
          <cell r="AE77">
            <v>78300</v>
          </cell>
          <cell r="AF77">
            <v>78300</v>
          </cell>
          <cell r="AG77">
            <v>78300</v>
          </cell>
          <cell r="AH77">
            <v>78300</v>
          </cell>
          <cell r="AI77">
            <v>78300</v>
          </cell>
          <cell r="AJ77">
            <v>78300</v>
          </cell>
          <cell r="AK77">
            <v>78300</v>
          </cell>
          <cell r="AL77">
            <v>78300</v>
          </cell>
          <cell r="AM77">
            <v>78300</v>
          </cell>
          <cell r="AN77">
            <v>78300</v>
          </cell>
          <cell r="AO77">
            <v>78300</v>
          </cell>
          <cell r="AP77">
            <v>78300</v>
          </cell>
          <cell r="AQ77">
            <v>78300</v>
          </cell>
          <cell r="AR77">
            <v>78300</v>
          </cell>
          <cell r="AS77">
            <v>78300</v>
          </cell>
          <cell r="AT77">
            <v>78300</v>
          </cell>
          <cell r="AU77">
            <v>78300</v>
          </cell>
          <cell r="AV77">
            <v>78300</v>
          </cell>
          <cell r="AW77">
            <v>78300</v>
          </cell>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F79">
            <v>196152.33333333334</v>
          </cell>
          <cell r="AG79">
            <v>188119.77777777778</v>
          </cell>
          <cell r="AH79">
            <v>195989.37037037036</v>
          </cell>
          <cell r="AI79">
            <v>193420.49382716048</v>
          </cell>
          <cell r="AJ79">
            <v>192509.88065843622</v>
          </cell>
          <cell r="AK79">
            <v>193973.24828532236</v>
          </cell>
          <cell r="AL79">
            <v>193301.20759030632</v>
          </cell>
          <cell r="AM79">
            <v>193261.44551135495</v>
          </cell>
          <cell r="AN79">
            <v>193511.96712899455</v>
          </cell>
          <cell r="AO79">
            <v>193358.20674355191</v>
          </cell>
          <cell r="AP79">
            <v>193377.20646130046</v>
          </cell>
          <cell r="AQ79">
            <v>193415.79344461564</v>
          </cell>
          <cell r="AR79">
            <v>193383.73554982268</v>
          </cell>
          <cell r="AS79">
            <v>193392.24515191294</v>
          </cell>
          <cell r="AT79">
            <v>193397.25804878375</v>
          </cell>
          <cell r="AU79">
            <v>193391.07958350645</v>
          </cell>
          <cell r="AV79">
            <v>193393.52759473436</v>
          </cell>
          <cell r="AW79">
            <v>193393.95507567484</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row>
        <row r="82">
          <cell r="AE82">
            <v>614.68636593714075</v>
          </cell>
          <cell r="AF82">
            <v>615.4080333784309</v>
          </cell>
          <cell r="AG82">
            <v>614.83252243533263</v>
          </cell>
          <cell r="AH82">
            <v>614.97564058363469</v>
          </cell>
          <cell r="AI82">
            <v>615.07206546579937</v>
          </cell>
          <cell r="AJ82">
            <v>614.96007616158886</v>
          </cell>
          <cell r="AK82">
            <v>615.00259407034093</v>
          </cell>
          <cell r="AL82">
            <v>615.01157856590964</v>
          </cell>
          <cell r="AM82">
            <v>614.99141626594644</v>
          </cell>
          <cell r="AN82">
            <v>615.00186296739901</v>
          </cell>
          <cell r="AO82">
            <v>615.0016192664184</v>
          </cell>
          <cell r="AP82">
            <v>614.99829949992125</v>
          </cell>
          <cell r="AQ82">
            <v>615.00059391124626</v>
          </cell>
          <cell r="AR82">
            <v>615.00017089252867</v>
          </cell>
          <cell r="AS82">
            <v>614.9996881012321</v>
          </cell>
          <cell r="AT82">
            <v>615.00015096833567</v>
          </cell>
          <cell r="AU82">
            <v>615.00000332069885</v>
          </cell>
          <cell r="AV82">
            <v>614.99994746342225</v>
          </cell>
          <cell r="AW82">
            <v>615.00003391748567</v>
          </cell>
        </row>
        <row r="85">
          <cell r="AE85">
            <v>90389.411979881115</v>
          </cell>
          <cell r="AF85">
            <v>81140.434080170715</v>
          </cell>
          <cell r="AG85">
            <v>68607.239953259166</v>
          </cell>
          <cell r="AH85">
            <v>80045.695337770332</v>
          </cell>
          <cell r="AI85">
            <v>76597.789790400071</v>
          </cell>
          <cell r="AJ85">
            <v>75083.57502714319</v>
          </cell>
          <cell r="AK85">
            <v>77242.353385104521</v>
          </cell>
          <cell r="AL85">
            <v>76307.906067549251</v>
          </cell>
          <cell r="AM85">
            <v>76211.278159932321</v>
          </cell>
          <cell r="AN85">
            <v>76587.179204195359</v>
          </cell>
          <cell r="AO85">
            <v>76368.787810558977</v>
          </cell>
          <cell r="AP85">
            <v>76389.081724895557</v>
          </cell>
          <cell r="AQ85">
            <v>76448.349579883288</v>
          </cell>
          <cell r="AR85">
            <v>76402.073038445946</v>
          </cell>
          <cell r="AS85">
            <v>76413.168114408269</v>
          </cell>
          <cell r="AT85">
            <v>76421.196910912506</v>
          </cell>
          <cell r="AU85">
            <v>76412.146021255583</v>
          </cell>
          <cell r="AV85">
            <v>76415.503682192124</v>
          </cell>
          <cell r="AW85">
            <v>76416.282204786738</v>
          </cell>
        </row>
        <row r="86">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row>
        <row r="87">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row>
        <row r="88">
          <cell r="AE88">
            <v>3905.7653116714737</v>
          </cell>
          <cell r="AF88">
            <v>3907.4621334572726</v>
          </cell>
          <cell r="AG88">
            <v>3907.4368071379927</v>
          </cell>
          <cell r="AH88">
            <v>3906.8880840889128</v>
          </cell>
          <cell r="AI88">
            <v>3907.2623415613925</v>
          </cell>
          <cell r="AJ88">
            <v>3907.1957442627659</v>
          </cell>
          <cell r="AK88">
            <v>3907.1153899710239</v>
          </cell>
          <cell r="AL88">
            <v>3907.1911585983944</v>
          </cell>
          <cell r="AM88">
            <v>3907.1674309440618</v>
          </cell>
          <cell r="AN88">
            <v>3907.1579931711603</v>
          </cell>
          <cell r="AO88">
            <v>3907.1721942378722</v>
          </cell>
          <cell r="AP88">
            <v>3907.1658727843646</v>
          </cell>
          <cell r="AQ88">
            <v>3907.1653533977988</v>
          </cell>
          <cell r="AR88">
            <v>3907.1678068066781</v>
          </cell>
          <cell r="AS88">
            <v>3907.1663443296134</v>
          </cell>
          <cell r="AT88">
            <v>3907.1665015113631</v>
          </cell>
          <cell r="AU88">
            <v>3907.1668842158847</v>
          </cell>
          <cell r="AV88">
            <v>3907.1665766856204</v>
          </cell>
          <cell r="AW88">
            <v>3907.166654137623</v>
          </cell>
        </row>
        <row r="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row>
        <row r="92">
          <cell r="AE92">
            <v>1969821.3333333333</v>
          </cell>
          <cell r="AF92">
            <v>2009177.111111111</v>
          </cell>
          <cell r="AG92">
            <v>2053008.8148148148</v>
          </cell>
          <cell r="AH92">
            <v>2093241.7530864198</v>
          </cell>
          <cell r="AI92">
            <v>2134381.8930041152</v>
          </cell>
          <cell r="AJ92">
            <v>2176116.8203017833</v>
          </cell>
          <cell r="AK92">
            <v>2217152.8221307728</v>
          </cell>
          <cell r="AL92">
            <v>2258456.5118122236</v>
          </cell>
          <cell r="AM92">
            <v>2299814.718081593</v>
          </cell>
          <cell r="AN92">
            <v>2341047.350674863</v>
          </cell>
          <cell r="AO92">
            <v>2382345.5268562264</v>
          </cell>
          <cell r="AP92">
            <v>2423641.8652042272</v>
          </cell>
          <cell r="AQ92">
            <v>2464917.5809117719</v>
          </cell>
          <cell r="AR92">
            <v>2506207.6576574082</v>
          </cell>
          <cell r="AS92">
            <v>2547495.0345911356</v>
          </cell>
          <cell r="AT92">
            <v>2588779.4243867719</v>
          </cell>
          <cell r="AU92">
            <v>2630066.705545105</v>
          </cell>
          <cell r="AV92">
            <v>2671353.0548410038</v>
          </cell>
          <cell r="AW92">
            <v>2712639.0615909602</v>
          </cell>
        </row>
        <row r="98">
          <cell r="AE98">
            <v>102602.66666666667</v>
          </cell>
          <cell r="AF98">
            <v>100926.22222222223</v>
          </cell>
          <cell r="AG98">
            <v>100079.62962962965</v>
          </cell>
          <cell r="AH98">
            <v>101202.83950617285</v>
          </cell>
          <cell r="AI98">
            <v>100736.23045267491</v>
          </cell>
          <cell r="AJ98">
            <v>100672.8998628258</v>
          </cell>
          <cell r="AK98">
            <v>100870.65660722453</v>
          </cell>
          <cell r="AL98">
            <v>100759.92897424176</v>
          </cell>
          <cell r="AM98">
            <v>100767.8284814307</v>
          </cell>
          <cell r="AN98">
            <v>100799.47135429899</v>
          </cell>
          <cell r="AO98">
            <v>100775.74293665716</v>
          </cell>
          <cell r="AP98">
            <v>100781.01425746229</v>
          </cell>
          <cell r="AQ98">
            <v>100785.40951613948</v>
          </cell>
          <cell r="AR98">
            <v>100780.72223675298</v>
          </cell>
          <cell r="AS98">
            <v>100782.38200345158</v>
          </cell>
          <cell r="AT98">
            <v>100782.83791878134</v>
          </cell>
          <cell r="AU98">
            <v>100781.98071966197</v>
          </cell>
          <cell r="AV98">
            <v>100782.40021396497</v>
          </cell>
          <cell r="AW98">
            <v>100782.4062841361</v>
          </cell>
        </row>
        <row r="99">
          <cell r="AE99">
            <v>36591.333333333336</v>
          </cell>
          <cell r="AF99">
            <v>35631.777777777781</v>
          </cell>
          <cell r="AG99">
            <v>34683.370370370372</v>
          </cell>
          <cell r="AH99">
            <v>35635.493827160499</v>
          </cell>
          <cell r="AI99">
            <v>35316.880658436217</v>
          </cell>
          <cell r="AJ99">
            <v>35211.914951989027</v>
          </cell>
          <cell r="AK99">
            <v>35388.09647919525</v>
          </cell>
          <cell r="AL99">
            <v>35305.630696540167</v>
          </cell>
          <cell r="AM99">
            <v>35301.880709241486</v>
          </cell>
          <cell r="AN99">
            <v>35331.869294992299</v>
          </cell>
          <cell r="AO99">
            <v>35313.126900257987</v>
          </cell>
          <cell r="AP99">
            <v>35315.625634830591</v>
          </cell>
          <cell r="AQ99">
            <v>35320.207276693625</v>
          </cell>
          <cell r="AR99">
            <v>35316.319937260734</v>
          </cell>
          <cell r="AS99">
            <v>35317.384282928317</v>
          </cell>
          <cell r="AT99">
            <v>35317.970498960894</v>
          </cell>
          <cell r="AU99">
            <v>35317.224906383315</v>
          </cell>
          <cell r="AV99">
            <v>35317.526562757506</v>
          </cell>
          <cell r="AW99">
            <v>35317.573989367236</v>
          </cell>
        </row>
        <row r="101">
          <cell r="AE101">
            <v>23306</v>
          </cell>
          <cell r="AF101">
            <v>23306</v>
          </cell>
          <cell r="AG101">
            <v>23306</v>
          </cell>
          <cell r="AH101">
            <v>23306</v>
          </cell>
          <cell r="AI101">
            <v>23306</v>
          </cell>
          <cell r="AJ101">
            <v>23306</v>
          </cell>
          <cell r="AK101">
            <v>23306</v>
          </cell>
          <cell r="AL101">
            <v>23306</v>
          </cell>
          <cell r="AM101">
            <v>23306</v>
          </cell>
          <cell r="AN101">
            <v>23306</v>
          </cell>
          <cell r="AO101">
            <v>23306</v>
          </cell>
          <cell r="AP101">
            <v>23306</v>
          </cell>
          <cell r="AQ101">
            <v>23306</v>
          </cell>
          <cell r="AR101">
            <v>23306</v>
          </cell>
          <cell r="AS101">
            <v>23306</v>
          </cell>
          <cell r="AT101">
            <v>23306</v>
          </cell>
          <cell r="AU101">
            <v>23306</v>
          </cell>
          <cell r="AV101">
            <v>23306</v>
          </cell>
          <cell r="AW101">
            <v>23306</v>
          </cell>
        </row>
        <row r="102">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1　東員町HP"/>
      <sheetName val="P2 三重県流域下水道経営戦略抜粋"/>
      <sheetName val="P3処理区域図"/>
      <sheetName val="P4総務省❶"/>
      <sheetName val="P5総務省❷"/>
      <sheetName val="P6計画体系図(下水道)"/>
      <sheetName val="P7経営の基本方針"/>
      <sheetName val="P8事業概要"/>
      <sheetName val="P9条例上の使用料"/>
      <sheetName val="P9実質使用料"/>
      <sheetName val="P9使用料体系条例"/>
      <sheetName val="P11～"/>
      <sheetName val="決算推移　全事業合算※すべて自動計算"/>
      <sheetName val="決算推移　公共"/>
      <sheetName val="決算推移特環"/>
      <sheetName val="決算推移農集"/>
      <sheetName val="P13有収水量と処理区域内人口の推移"/>
      <sheetName val="過去実績データ"/>
      <sheetName val="→P14＆15"/>
      <sheetName val="公共県内比較"/>
      <sheetName val="特環県内比較"/>
      <sheetName val="P21原価計算表"/>
      <sheetName val="P23管渠グラフ"/>
      <sheetName val="P23管渠データ"/>
      <sheetName val="P24MP設置"/>
      <sheetName val="P27総人口予測"/>
      <sheetName val="P27有収水量予測"/>
      <sheetName val="P28使用料収入予測"/>
      <sheetName val="P29＆31【下水道】建設改良費の年度別事業費＆財源"/>
      <sheetName val="→P35＆36"/>
      <sheetName val="現状維持パターン"/>
      <sheetName val="全事業計現状維持パターン"/>
      <sheetName val="→シミュレーションパターン"/>
      <sheetName val="P参考　R12繰入０円180％"/>
      <sheetName val="P参考　R12繰入０円180％収支"/>
      <sheetName val="パターン1　R12繰入60%130%"/>
      <sheetName val="パターン1　R12繰入60%130％収支 "/>
      <sheetName val="パターン2　R12繰入70%125%"/>
      <sheetName val="パターン2　R12繰入70%125％収支"/>
      <sheetName val="パターン3　R12繰入80%120％"/>
      <sheetName val="パターン3　R12繰入80%120％収支"/>
      <sheetName val="パターン4　R12繰入85%110％"/>
      <sheetName val="パターン4　R12繰入85%110％収支"/>
      <sheetName val="P38シミュレーションパターン"/>
      <sheetName val="P39シミュレーションまとめ"/>
      <sheetName val="P43ロードマップ２"/>
      <sheetName val="P45PDCAサイクル図"/>
      <sheetName val="P46計画改訂スケジュール"/>
      <sheetName val="P46目標進捗管理"/>
      <sheetName val="→使わない"/>
      <sheetName val="投資建設負担金試算"/>
      <sheetName val="Sheet8"/>
      <sheetName val="Sheet3"/>
      <sheetName val="ボツ"/>
      <sheetName val="Sheet7"/>
      <sheetName val="たたき台【下水道】建設改良費の年度別事業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row r="17">
          <cell r="D17">
            <v>3016564</v>
          </cell>
          <cell r="E17">
            <v>3008548</v>
          </cell>
          <cell r="F17">
            <v>3000651</v>
          </cell>
          <cell r="G17">
            <v>2992755</v>
          </cell>
          <cell r="H17">
            <v>2984739</v>
          </cell>
          <cell r="I17">
            <v>2963921</v>
          </cell>
          <cell r="J17">
            <v>2943103</v>
          </cell>
          <cell r="K17">
            <v>2922285</v>
          </cell>
          <cell r="L17">
            <v>2901467</v>
          </cell>
          <cell r="M17">
            <v>2880649</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E9C1-002B-4D55-9C4D-AADB11C774F5}">
  <dimension ref="A2:L36"/>
  <sheetViews>
    <sheetView showGridLines="0" topLeftCell="A20" workbookViewId="0">
      <selection activeCell="A38" sqref="A38"/>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0.5" x14ac:dyDescent="0.65">
      <c r="A24" s="306" t="s">
        <v>868</v>
      </c>
      <c r="B24" s="320"/>
      <c r="C24" s="320" t="s">
        <v>849</v>
      </c>
      <c r="D24" s="307"/>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9023-B9DE-4DC6-9C59-DBCC41D2BD70}">
  <dimension ref="A2:L36"/>
  <sheetViews>
    <sheetView showGridLines="0" workbookViewId="0">
      <selection activeCell="A19" sqref="A19:A20"/>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5" x14ac:dyDescent="0.65">
      <c r="A24" s="306" t="s">
        <v>848</v>
      </c>
      <c r="B24" s="320"/>
      <c r="C24" s="320" t="s">
        <v>849</v>
      </c>
      <c r="D24" s="307" t="s">
        <v>850</v>
      </c>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D31A-9B98-4725-9881-E1D7E57E3CE3}">
  <dimension ref="B2:C63"/>
  <sheetViews>
    <sheetView workbookViewId="0">
      <selection activeCell="B8" sqref="B8"/>
    </sheetView>
  </sheetViews>
  <sheetFormatPr defaultRowHeight="13" x14ac:dyDescent="0.2"/>
  <sheetData>
    <row r="2" spans="2:3" x14ac:dyDescent="0.2">
      <c r="B2" t="s">
        <v>290</v>
      </c>
      <c r="C2" t="s">
        <v>291</v>
      </c>
    </row>
    <row r="3" spans="2:3" x14ac:dyDescent="0.2">
      <c r="B3" t="s">
        <v>711</v>
      </c>
      <c r="C3">
        <v>1970</v>
      </c>
    </row>
    <row r="4" spans="2:3" x14ac:dyDescent="0.2">
      <c r="B4" t="s">
        <v>682</v>
      </c>
      <c r="C4">
        <v>1971</v>
      </c>
    </row>
    <row r="5" spans="2:3" x14ac:dyDescent="0.2">
      <c r="B5" t="s">
        <v>712</v>
      </c>
      <c r="C5">
        <v>1972</v>
      </c>
    </row>
    <row r="6" spans="2:3" x14ac:dyDescent="0.2">
      <c r="B6" t="s">
        <v>713</v>
      </c>
      <c r="C6">
        <v>1973</v>
      </c>
    </row>
    <row r="7" spans="2:3" x14ac:dyDescent="0.2">
      <c r="B7" t="s">
        <v>714</v>
      </c>
      <c r="C7">
        <v>1974</v>
      </c>
    </row>
    <row r="8" spans="2:3" x14ac:dyDescent="0.2">
      <c r="B8" t="s">
        <v>709</v>
      </c>
      <c r="C8">
        <v>1975</v>
      </c>
    </row>
    <row r="9" spans="2:3" x14ac:dyDescent="0.2">
      <c r="B9" t="s">
        <v>710</v>
      </c>
      <c r="C9">
        <v>1976</v>
      </c>
    </row>
    <row r="10" spans="2:3" x14ac:dyDescent="0.2">
      <c r="B10" t="s">
        <v>690</v>
      </c>
      <c r="C10">
        <v>1977</v>
      </c>
    </row>
    <row r="11" spans="2:3" x14ac:dyDescent="0.2">
      <c r="B11" t="s">
        <v>683</v>
      </c>
      <c r="C11">
        <v>1978</v>
      </c>
    </row>
    <row r="12" spans="2:3" x14ac:dyDescent="0.2">
      <c r="B12" t="s">
        <v>686</v>
      </c>
      <c r="C12">
        <v>1979</v>
      </c>
    </row>
    <row r="13" spans="2:3" x14ac:dyDescent="0.2">
      <c r="B13" t="s">
        <v>687</v>
      </c>
      <c r="C13">
        <v>1980</v>
      </c>
    </row>
    <row r="14" spans="2:3" x14ac:dyDescent="0.2">
      <c r="B14" t="s">
        <v>688</v>
      </c>
      <c r="C14">
        <v>1981</v>
      </c>
    </row>
    <row r="15" spans="2:3" x14ac:dyDescent="0.2">
      <c r="B15" t="s">
        <v>707</v>
      </c>
      <c r="C15">
        <v>1982</v>
      </c>
    </row>
    <row r="16" spans="2:3" x14ac:dyDescent="0.2">
      <c r="B16" t="s">
        <v>708</v>
      </c>
      <c r="C16">
        <v>1983</v>
      </c>
    </row>
    <row r="17" spans="2:3" x14ac:dyDescent="0.2">
      <c r="B17" t="s">
        <v>678</v>
      </c>
      <c r="C17">
        <v>1984</v>
      </c>
    </row>
    <row r="18" spans="2:3" x14ac:dyDescent="0.2">
      <c r="B18" t="s">
        <v>679</v>
      </c>
      <c r="C18">
        <v>1985</v>
      </c>
    </row>
    <row r="19" spans="2:3" x14ac:dyDescent="0.2">
      <c r="B19" t="s">
        <v>684</v>
      </c>
      <c r="C19">
        <v>1986</v>
      </c>
    </row>
    <row r="20" spans="2:3" x14ac:dyDescent="0.2">
      <c r="B20" t="s">
        <v>706</v>
      </c>
      <c r="C20">
        <v>1987</v>
      </c>
    </row>
    <row r="21" spans="2:3" x14ac:dyDescent="0.2">
      <c r="B21" t="s">
        <v>705</v>
      </c>
      <c r="C21">
        <v>1988</v>
      </c>
    </row>
    <row r="22" spans="2:3" x14ac:dyDescent="0.2">
      <c r="B22" t="s">
        <v>697</v>
      </c>
      <c r="C22">
        <v>1989</v>
      </c>
    </row>
    <row r="23" spans="2:3" x14ac:dyDescent="0.2">
      <c r="B23" t="s">
        <v>696</v>
      </c>
      <c r="C23">
        <v>1990</v>
      </c>
    </row>
    <row r="24" spans="2:3" x14ac:dyDescent="0.2">
      <c r="B24" t="s">
        <v>695</v>
      </c>
      <c r="C24">
        <v>1991</v>
      </c>
    </row>
    <row r="25" spans="2:3" x14ac:dyDescent="0.2">
      <c r="B25" t="s">
        <v>695</v>
      </c>
      <c r="C25">
        <v>1985</v>
      </c>
    </row>
    <row r="26" spans="2:3" x14ac:dyDescent="0.2">
      <c r="B26" t="s">
        <v>696</v>
      </c>
      <c r="C26">
        <v>1986</v>
      </c>
    </row>
    <row r="27" spans="2:3" x14ac:dyDescent="0.2">
      <c r="B27" t="s">
        <v>697</v>
      </c>
      <c r="C27">
        <v>1987</v>
      </c>
    </row>
    <row r="28" spans="2:3" x14ac:dyDescent="0.2">
      <c r="B28" t="s">
        <v>698</v>
      </c>
      <c r="C28">
        <v>1988</v>
      </c>
    </row>
    <row r="29" spans="2:3" x14ac:dyDescent="0.2">
      <c r="B29" t="s">
        <v>697</v>
      </c>
      <c r="C29">
        <v>1989</v>
      </c>
    </row>
    <row r="30" spans="2:3" x14ac:dyDescent="0.2">
      <c r="B30" t="s">
        <v>696</v>
      </c>
      <c r="C30">
        <v>1990</v>
      </c>
    </row>
    <row r="31" spans="2:3" x14ac:dyDescent="0.2">
      <c r="B31" t="s">
        <v>695</v>
      </c>
      <c r="C31">
        <v>1991</v>
      </c>
    </row>
    <row r="32" spans="2:3" x14ac:dyDescent="0.2">
      <c r="B32" t="s">
        <v>699</v>
      </c>
      <c r="C32">
        <v>1992</v>
      </c>
    </row>
    <row r="33" spans="2:3" x14ac:dyDescent="0.2">
      <c r="B33" t="s">
        <v>700</v>
      </c>
      <c r="C33">
        <v>1993</v>
      </c>
    </row>
    <row r="34" spans="2:3" x14ac:dyDescent="0.2">
      <c r="B34" t="s">
        <v>701</v>
      </c>
      <c r="C34">
        <v>1994</v>
      </c>
    </row>
    <row r="35" spans="2:3" x14ac:dyDescent="0.2">
      <c r="B35" t="s">
        <v>702</v>
      </c>
      <c r="C35">
        <v>1995</v>
      </c>
    </row>
    <row r="36" spans="2:3" x14ac:dyDescent="0.2">
      <c r="B36" t="s">
        <v>703</v>
      </c>
      <c r="C36">
        <v>1996</v>
      </c>
    </row>
    <row r="37" spans="2:3" x14ac:dyDescent="0.2">
      <c r="B37" t="s">
        <v>704</v>
      </c>
      <c r="C37">
        <v>1997</v>
      </c>
    </row>
    <row r="38" spans="2:3" x14ac:dyDescent="0.2">
      <c r="B38" t="s">
        <v>685</v>
      </c>
      <c r="C38">
        <v>1998</v>
      </c>
    </row>
    <row r="39" spans="2:3" x14ac:dyDescent="0.2">
      <c r="B39" t="s">
        <v>680</v>
      </c>
      <c r="C39">
        <v>1999</v>
      </c>
    </row>
    <row r="40" spans="2:3" x14ac:dyDescent="0.2">
      <c r="B40" t="s">
        <v>280</v>
      </c>
      <c r="C40">
        <v>2000</v>
      </c>
    </row>
    <row r="41" spans="2:3" x14ac:dyDescent="0.2">
      <c r="B41" t="s">
        <v>281</v>
      </c>
      <c r="C41">
        <v>2001</v>
      </c>
    </row>
    <row r="42" spans="2:3" x14ac:dyDescent="0.2">
      <c r="B42" t="s">
        <v>282</v>
      </c>
      <c r="C42">
        <v>2002</v>
      </c>
    </row>
    <row r="43" spans="2:3" x14ac:dyDescent="0.2">
      <c r="B43" t="s">
        <v>283</v>
      </c>
      <c r="C43">
        <v>2003</v>
      </c>
    </row>
    <row r="44" spans="2:3" x14ac:dyDescent="0.2">
      <c r="B44" t="s">
        <v>284</v>
      </c>
      <c r="C44">
        <v>2004</v>
      </c>
    </row>
    <row r="45" spans="2:3" x14ac:dyDescent="0.2">
      <c r="B45" t="s">
        <v>266</v>
      </c>
      <c r="C45">
        <v>2005</v>
      </c>
    </row>
    <row r="46" spans="2:3" x14ac:dyDescent="0.2">
      <c r="B46" t="s">
        <v>267</v>
      </c>
      <c r="C46">
        <v>2006</v>
      </c>
    </row>
    <row r="47" spans="2:3" x14ac:dyDescent="0.2">
      <c r="B47" t="s">
        <v>268</v>
      </c>
      <c r="C47">
        <v>2007</v>
      </c>
    </row>
    <row r="48" spans="2:3" x14ac:dyDescent="0.2">
      <c r="B48" t="s">
        <v>269</v>
      </c>
      <c r="C48">
        <v>2008</v>
      </c>
    </row>
    <row r="49" spans="2:3" x14ac:dyDescent="0.2">
      <c r="B49" t="s">
        <v>270</v>
      </c>
      <c r="C49">
        <v>2009</v>
      </c>
    </row>
    <row r="50" spans="2:3" x14ac:dyDescent="0.2">
      <c r="B50" t="s">
        <v>271</v>
      </c>
      <c r="C50">
        <v>2010</v>
      </c>
    </row>
    <row r="51" spans="2:3" x14ac:dyDescent="0.2">
      <c r="B51" t="s">
        <v>272</v>
      </c>
      <c r="C51">
        <v>2011</v>
      </c>
    </row>
    <row r="52" spans="2:3" x14ac:dyDescent="0.2">
      <c r="B52" t="s">
        <v>273</v>
      </c>
      <c r="C52">
        <v>2012</v>
      </c>
    </row>
    <row r="53" spans="2:3" x14ac:dyDescent="0.2">
      <c r="B53" t="s">
        <v>274</v>
      </c>
      <c r="C53">
        <v>2013</v>
      </c>
    </row>
    <row r="54" spans="2:3" x14ac:dyDescent="0.2">
      <c r="B54" t="s">
        <v>275</v>
      </c>
      <c r="C54">
        <v>2014</v>
      </c>
    </row>
    <row r="55" spans="2:3" x14ac:dyDescent="0.2">
      <c r="B55" t="s">
        <v>276</v>
      </c>
      <c r="C55">
        <v>2015</v>
      </c>
    </row>
    <row r="56" spans="2:3" x14ac:dyDescent="0.2">
      <c r="B56" t="s">
        <v>277</v>
      </c>
      <c r="C56">
        <v>2016</v>
      </c>
    </row>
    <row r="57" spans="2:3" x14ac:dyDescent="0.2">
      <c r="B57" t="s">
        <v>278</v>
      </c>
      <c r="C57">
        <v>2017</v>
      </c>
    </row>
    <row r="58" spans="2:3" x14ac:dyDescent="0.2">
      <c r="B58" t="s">
        <v>285</v>
      </c>
      <c r="C58">
        <v>2018</v>
      </c>
    </row>
    <row r="59" spans="2:3" x14ac:dyDescent="0.2">
      <c r="B59" t="s">
        <v>286</v>
      </c>
      <c r="C59">
        <v>2019</v>
      </c>
    </row>
    <row r="60" spans="2:3" x14ac:dyDescent="0.2">
      <c r="B60" t="s">
        <v>287</v>
      </c>
      <c r="C60">
        <v>2020</v>
      </c>
    </row>
    <row r="61" spans="2:3" x14ac:dyDescent="0.2">
      <c r="B61" t="s">
        <v>279</v>
      </c>
      <c r="C61">
        <v>2021</v>
      </c>
    </row>
    <row r="62" spans="2:3" x14ac:dyDescent="0.2">
      <c r="B62" t="s">
        <v>288</v>
      </c>
      <c r="C62">
        <v>2022</v>
      </c>
    </row>
    <row r="63" spans="2:3" x14ac:dyDescent="0.2">
      <c r="B63" t="s">
        <v>289</v>
      </c>
      <c r="C63">
        <v>2023</v>
      </c>
    </row>
  </sheetData>
  <sortState xmlns:xlrd2="http://schemas.microsoft.com/office/spreadsheetml/2017/richdata2" ref="B3:C26">
    <sortCondition ref="B2:B26"/>
  </sortState>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F61F-3527-45C7-82CE-0700F9D2790A}">
  <dimension ref="B1:AJ280"/>
  <sheetViews>
    <sheetView topLeftCell="G1" workbookViewId="0">
      <selection activeCell="X9" sqref="X9"/>
    </sheetView>
  </sheetViews>
  <sheetFormatPr defaultRowHeight="13" x14ac:dyDescent="0.2"/>
  <sheetData>
    <row r="1" spans="2:30" x14ac:dyDescent="0.2">
      <c r="B1" t="s">
        <v>252</v>
      </c>
      <c r="C1" t="s">
        <v>251</v>
      </c>
      <c r="D1" t="s">
        <v>252</v>
      </c>
      <c r="E1" t="s">
        <v>253</v>
      </c>
      <c r="F1" t="s">
        <v>254</v>
      </c>
      <c r="G1" t="s">
        <v>719</v>
      </c>
      <c r="H1" t="s">
        <v>733</v>
      </c>
      <c r="I1" t="s">
        <v>256</v>
      </c>
      <c r="J1" t="s">
        <v>257</v>
      </c>
      <c r="K1" t="s">
        <v>293</v>
      </c>
      <c r="L1" t="s">
        <v>294</v>
      </c>
      <c r="X1" t="s">
        <v>730</v>
      </c>
      <c r="Y1" t="s">
        <v>731</v>
      </c>
      <c r="Z1" t="s">
        <v>732</v>
      </c>
      <c r="AB1" t="s">
        <v>730</v>
      </c>
      <c r="AC1" t="s">
        <v>731</v>
      </c>
      <c r="AD1" t="s">
        <v>732</v>
      </c>
    </row>
    <row r="2" spans="2:30" x14ac:dyDescent="0.2">
      <c r="B2">
        <v>21817</v>
      </c>
      <c r="C2" t="s">
        <v>503</v>
      </c>
      <c r="D2">
        <f>ROUND(B2*H2,0)</f>
        <v>31786</v>
      </c>
      <c r="E2">
        <v>9</v>
      </c>
      <c r="F2" t="s">
        <v>267</v>
      </c>
      <c r="G2">
        <f>VLOOKUP(F2,Sheet2!$B$2:$C$70,2,FALSE)</f>
        <v>2006</v>
      </c>
      <c r="H2">
        <f>VLOOKUP(G2,$AB$1:$AD$51,3,FALSE)</f>
        <v>1.4569536423841061</v>
      </c>
      <c r="I2" t="s">
        <v>723</v>
      </c>
      <c r="K2">
        <f>ROUND(E2*1.5,0)</f>
        <v>14</v>
      </c>
      <c r="L2">
        <f>G2+K2</f>
        <v>2020</v>
      </c>
      <c r="N2">
        <v>2026</v>
      </c>
      <c r="O2">
        <v>2027</v>
      </c>
      <c r="P2">
        <v>2028</v>
      </c>
      <c r="Q2">
        <v>2029</v>
      </c>
      <c r="R2">
        <v>2030</v>
      </c>
      <c r="S2">
        <v>2031</v>
      </c>
      <c r="T2">
        <v>2032</v>
      </c>
      <c r="U2">
        <v>2033</v>
      </c>
      <c r="V2">
        <v>2034</v>
      </c>
      <c r="W2">
        <v>2035</v>
      </c>
      <c r="X2">
        <v>1985</v>
      </c>
      <c r="Y2">
        <v>77.7</v>
      </c>
      <c r="Z2">
        <f>$Y$32/Y2</f>
        <v>1.287001287001287</v>
      </c>
      <c r="AB2">
        <v>1975</v>
      </c>
      <c r="AC2">
        <v>77.7</v>
      </c>
      <c r="AD2">
        <f>$AC$51/AC2</f>
        <v>1.6988416988416988</v>
      </c>
    </row>
    <row r="3" spans="2:30" x14ac:dyDescent="0.2">
      <c r="B3">
        <v>863776</v>
      </c>
      <c r="C3" t="s">
        <v>504</v>
      </c>
      <c r="D3">
        <f t="shared" ref="D3:D66" si="0">ROUND(B3*H3,0)</f>
        <v>1258482</v>
      </c>
      <c r="E3">
        <v>15</v>
      </c>
      <c r="F3" t="s">
        <v>267</v>
      </c>
      <c r="G3">
        <f>VLOOKUP(F3,Sheet2!$B$2:$C$70,2,FALSE)</f>
        <v>2006</v>
      </c>
      <c r="H3">
        <f t="shared" ref="H3:H66" si="1">VLOOKUP(G3,$AB$1:$AD$51,3,FALSE)</f>
        <v>1.4569536423841061</v>
      </c>
      <c r="I3" t="s">
        <v>723</v>
      </c>
      <c r="K3">
        <f t="shared" ref="K3:K66" si="2">ROUND(E3*1.5,0)</f>
        <v>23</v>
      </c>
      <c r="L3">
        <f t="shared" ref="L3:L66" si="3">G3+K3</f>
        <v>2029</v>
      </c>
      <c r="M3" t="s">
        <v>721</v>
      </c>
      <c r="N3" s="8">
        <f>SUMIFS($D$1:$D$203,$L$1:$L$203,N$2,$I$1:$I$203,$M3)</f>
        <v>0</v>
      </c>
      <c r="O3" s="8">
        <f t="shared" ref="O3:W3" si="4">SUMIFS($D$1:$D$203,$L$1:$L$203,O$2,$I$1:$I$203,$M3)</f>
        <v>0</v>
      </c>
      <c r="P3" s="8">
        <f t="shared" si="4"/>
        <v>0</v>
      </c>
      <c r="Q3" s="8">
        <f t="shared" si="4"/>
        <v>0</v>
      </c>
      <c r="R3" s="8">
        <f t="shared" si="4"/>
        <v>0</v>
      </c>
      <c r="S3" s="8">
        <f>SUMIFS($D$1:$D$203,$L$1:$L$203,S$2,$I$1:$I$203,$M3)</f>
        <v>4143468</v>
      </c>
      <c r="T3" s="8">
        <f t="shared" si="4"/>
        <v>0</v>
      </c>
      <c r="U3" s="8">
        <f t="shared" si="4"/>
        <v>0</v>
      </c>
      <c r="V3" s="8">
        <f t="shared" si="4"/>
        <v>0</v>
      </c>
      <c r="W3" s="8">
        <f t="shared" si="4"/>
        <v>0</v>
      </c>
      <c r="X3">
        <v>1986</v>
      </c>
      <c r="Y3">
        <v>76.8</v>
      </c>
      <c r="Z3">
        <f t="shared" ref="Z3:Z41" si="5">$Y$32/Y3</f>
        <v>1.3020833333333335</v>
      </c>
      <c r="AB3">
        <v>1976</v>
      </c>
      <c r="AC3">
        <v>77.7</v>
      </c>
      <c r="AD3">
        <f t="shared" ref="AD3:AD51" si="6">$AC$51/AC3</f>
        <v>1.6988416988416988</v>
      </c>
    </row>
    <row r="4" spans="2:30" x14ac:dyDescent="0.2">
      <c r="B4">
        <v>755516</v>
      </c>
      <c r="C4" t="s">
        <v>505</v>
      </c>
      <c r="D4">
        <f t="shared" si="0"/>
        <v>1060937</v>
      </c>
      <c r="E4">
        <v>15</v>
      </c>
      <c r="F4" t="s">
        <v>270</v>
      </c>
      <c r="G4">
        <f>VLOOKUP(F4,Sheet2!$B$2:$C$70,2,FALSE)</f>
        <v>2009</v>
      </c>
      <c r="H4">
        <f t="shared" si="1"/>
        <v>1.4042553191489362</v>
      </c>
      <c r="I4" t="s">
        <v>723</v>
      </c>
      <c r="K4">
        <f t="shared" si="2"/>
        <v>23</v>
      </c>
      <c r="L4">
        <f t="shared" si="3"/>
        <v>2032</v>
      </c>
      <c r="M4" t="s">
        <v>725</v>
      </c>
      <c r="N4" s="8">
        <f t="shared" ref="N4:W7" si="7">SUMIFS($D$1:$D$203,$L$1:$L$203,N$2,$I$1:$I$203,$M4)</f>
        <v>0</v>
      </c>
      <c r="O4" s="8">
        <f t="shared" si="7"/>
        <v>0</v>
      </c>
      <c r="P4" s="8">
        <f t="shared" si="7"/>
        <v>0</v>
      </c>
      <c r="Q4" s="8">
        <f t="shared" si="7"/>
        <v>0</v>
      </c>
      <c r="R4" s="8">
        <f t="shared" si="7"/>
        <v>0</v>
      </c>
      <c r="S4" s="8">
        <f t="shared" si="7"/>
        <v>3351730</v>
      </c>
      <c r="T4" s="8">
        <f t="shared" si="7"/>
        <v>0</v>
      </c>
      <c r="U4" s="8">
        <f t="shared" si="7"/>
        <v>0</v>
      </c>
      <c r="V4" s="8">
        <f t="shared" si="7"/>
        <v>0</v>
      </c>
      <c r="W4" s="8">
        <f t="shared" si="7"/>
        <v>0</v>
      </c>
      <c r="X4">
        <v>1987</v>
      </c>
      <c r="Y4">
        <v>77.3</v>
      </c>
      <c r="Z4">
        <f t="shared" si="5"/>
        <v>1.29366106080207</v>
      </c>
      <c r="AB4">
        <v>1977</v>
      </c>
      <c r="AC4">
        <v>77.7</v>
      </c>
      <c r="AD4">
        <f t="shared" si="6"/>
        <v>1.6988416988416988</v>
      </c>
    </row>
    <row r="5" spans="2:30" x14ac:dyDescent="0.2">
      <c r="B5">
        <v>693900</v>
      </c>
      <c r="C5" t="s">
        <v>506</v>
      </c>
      <c r="D5">
        <f t="shared" si="0"/>
        <v>973377</v>
      </c>
      <c r="E5">
        <v>10</v>
      </c>
      <c r="F5" t="s">
        <v>271</v>
      </c>
      <c r="G5">
        <f>VLOOKUP(F5,Sheet2!$B$2:$C$70,2,FALSE)</f>
        <v>2010</v>
      </c>
      <c r="H5">
        <f t="shared" si="1"/>
        <v>1.4027630180658874</v>
      </c>
      <c r="I5" t="s">
        <v>723</v>
      </c>
      <c r="K5">
        <f t="shared" si="2"/>
        <v>15</v>
      </c>
      <c r="L5">
        <f t="shared" si="3"/>
        <v>2025</v>
      </c>
      <c r="M5" t="s">
        <v>720</v>
      </c>
      <c r="N5" s="8">
        <f t="shared" si="7"/>
        <v>0</v>
      </c>
      <c r="O5" s="8">
        <f t="shared" si="7"/>
        <v>0</v>
      </c>
      <c r="P5" s="8">
        <f t="shared" si="7"/>
        <v>0</v>
      </c>
      <c r="Q5" s="8">
        <f t="shared" si="7"/>
        <v>0</v>
      </c>
      <c r="R5" s="8">
        <f t="shared" si="7"/>
        <v>0</v>
      </c>
      <c r="S5" s="8">
        <f t="shared" si="7"/>
        <v>0</v>
      </c>
      <c r="T5" s="8">
        <f t="shared" si="7"/>
        <v>0</v>
      </c>
      <c r="U5" s="8">
        <f t="shared" si="7"/>
        <v>0</v>
      </c>
      <c r="V5" s="8">
        <f t="shared" si="7"/>
        <v>0</v>
      </c>
      <c r="W5" s="8">
        <f t="shared" si="7"/>
        <v>0</v>
      </c>
      <c r="X5">
        <v>1988</v>
      </c>
      <c r="Y5">
        <v>78.7</v>
      </c>
      <c r="Z5">
        <f t="shared" si="5"/>
        <v>1.2706480304955527</v>
      </c>
      <c r="AB5">
        <v>1978</v>
      </c>
      <c r="AC5">
        <v>77.7</v>
      </c>
      <c r="AD5">
        <f t="shared" si="6"/>
        <v>1.6988416988416988</v>
      </c>
    </row>
    <row r="6" spans="2:30" x14ac:dyDescent="0.2">
      <c r="B6">
        <v>615009</v>
      </c>
      <c r="C6" t="s">
        <v>130</v>
      </c>
      <c r="D6">
        <f t="shared" si="0"/>
        <v>862712</v>
      </c>
      <c r="E6">
        <v>20</v>
      </c>
      <c r="F6" t="s">
        <v>271</v>
      </c>
      <c r="G6">
        <f>VLOOKUP(F6,Sheet2!$B$2:$C$70,2,FALSE)</f>
        <v>2010</v>
      </c>
      <c r="H6">
        <f t="shared" si="1"/>
        <v>1.4027630180658874</v>
      </c>
      <c r="I6" t="s">
        <v>723</v>
      </c>
      <c r="K6">
        <f t="shared" si="2"/>
        <v>30</v>
      </c>
      <c r="L6">
        <f t="shared" si="3"/>
        <v>2040</v>
      </c>
      <c r="M6" t="s">
        <v>723</v>
      </c>
      <c r="N6" s="8">
        <f t="shared" si="7"/>
        <v>5213139</v>
      </c>
      <c r="O6" s="8">
        <f t="shared" si="7"/>
        <v>0</v>
      </c>
      <c r="P6" s="8">
        <f t="shared" si="7"/>
        <v>24757302</v>
      </c>
      <c r="Q6" s="8">
        <f t="shared" si="7"/>
        <v>1258482</v>
      </c>
      <c r="R6" s="8">
        <f t="shared" si="7"/>
        <v>74777679</v>
      </c>
      <c r="S6" s="8">
        <f t="shared" si="7"/>
        <v>6794350</v>
      </c>
      <c r="T6" s="8">
        <f t="shared" si="7"/>
        <v>20517734</v>
      </c>
      <c r="U6" s="8">
        <f t="shared" si="7"/>
        <v>19106249</v>
      </c>
      <c r="V6" s="8">
        <f t="shared" si="7"/>
        <v>1298281</v>
      </c>
      <c r="W6" s="8">
        <f t="shared" si="7"/>
        <v>0</v>
      </c>
      <c r="X6">
        <v>1989</v>
      </c>
      <c r="Y6">
        <v>82.4</v>
      </c>
      <c r="Z6">
        <f t="shared" si="5"/>
        <v>1.2135922330097086</v>
      </c>
      <c r="AB6">
        <v>1979</v>
      </c>
      <c r="AC6">
        <v>77.7</v>
      </c>
      <c r="AD6">
        <f t="shared" si="6"/>
        <v>1.6988416988416988</v>
      </c>
    </row>
    <row r="7" spans="2:30" x14ac:dyDescent="0.2">
      <c r="B7">
        <v>321730</v>
      </c>
      <c r="C7" t="s">
        <v>507</v>
      </c>
      <c r="D7">
        <f t="shared" si="0"/>
        <v>401402</v>
      </c>
      <c r="E7">
        <v>10</v>
      </c>
      <c r="F7" t="s">
        <v>285</v>
      </c>
      <c r="G7">
        <f>VLOOKUP(F7,Sheet2!$B$2:$C$70,2,FALSE)</f>
        <v>2018</v>
      </c>
      <c r="H7">
        <f t="shared" si="1"/>
        <v>1.2476370510396977</v>
      </c>
      <c r="I7" t="s">
        <v>723</v>
      </c>
      <c r="K7">
        <f t="shared" si="2"/>
        <v>15</v>
      </c>
      <c r="L7">
        <f t="shared" si="3"/>
        <v>2033</v>
      </c>
      <c r="M7" t="s">
        <v>718</v>
      </c>
      <c r="N7" s="8">
        <f t="shared" si="7"/>
        <v>0</v>
      </c>
      <c r="O7" s="8">
        <f t="shared" si="7"/>
        <v>0</v>
      </c>
      <c r="P7" s="8">
        <f t="shared" si="7"/>
        <v>0</v>
      </c>
      <c r="Q7" s="8">
        <f t="shared" si="7"/>
        <v>0</v>
      </c>
      <c r="R7" s="8">
        <f t="shared" si="7"/>
        <v>0</v>
      </c>
      <c r="S7" s="8">
        <f t="shared" si="7"/>
        <v>20864978</v>
      </c>
      <c r="T7" s="8">
        <f t="shared" si="7"/>
        <v>0</v>
      </c>
      <c r="U7" s="8">
        <f t="shared" si="7"/>
        <v>0</v>
      </c>
      <c r="V7" s="8">
        <f t="shared" si="7"/>
        <v>0</v>
      </c>
      <c r="W7" s="8">
        <f t="shared" si="7"/>
        <v>0</v>
      </c>
      <c r="X7">
        <v>1990</v>
      </c>
      <c r="Y7">
        <v>85.3</v>
      </c>
      <c r="Z7">
        <f t="shared" si="5"/>
        <v>1.1723329425556859</v>
      </c>
      <c r="AB7">
        <v>1980</v>
      </c>
      <c r="AC7">
        <v>77.7</v>
      </c>
      <c r="AD7">
        <f t="shared" si="6"/>
        <v>1.6988416988416988</v>
      </c>
    </row>
    <row r="8" spans="2:30" x14ac:dyDescent="0.2">
      <c r="B8">
        <v>6069467</v>
      </c>
      <c r="C8" t="s">
        <v>508</v>
      </c>
      <c r="D8">
        <f t="shared" si="0"/>
        <v>7572492</v>
      </c>
      <c r="E8">
        <v>15</v>
      </c>
      <c r="F8" t="s">
        <v>285</v>
      </c>
      <c r="G8">
        <f>VLOOKUP(F8,Sheet2!$B$2:$C$70,2,FALSE)</f>
        <v>2018</v>
      </c>
      <c r="H8">
        <f t="shared" si="1"/>
        <v>1.2476370510396977</v>
      </c>
      <c r="I8" t="s">
        <v>723</v>
      </c>
      <c r="K8">
        <f t="shared" si="2"/>
        <v>23</v>
      </c>
      <c r="L8">
        <f t="shared" si="3"/>
        <v>2041</v>
      </c>
      <c r="X8">
        <v>1991</v>
      </c>
      <c r="Y8">
        <v>87.6</v>
      </c>
      <c r="Z8">
        <f t="shared" si="5"/>
        <v>1.1415525114155252</v>
      </c>
      <c r="AB8">
        <v>1981</v>
      </c>
      <c r="AC8">
        <v>77.7</v>
      </c>
      <c r="AD8">
        <f t="shared" si="6"/>
        <v>1.6988416988416988</v>
      </c>
    </row>
    <row r="9" spans="2:30" x14ac:dyDescent="0.2">
      <c r="B9">
        <v>3339935</v>
      </c>
      <c r="C9" t="s">
        <v>509</v>
      </c>
      <c r="D9">
        <f t="shared" si="0"/>
        <v>4167027</v>
      </c>
      <c r="E9">
        <v>9</v>
      </c>
      <c r="F9" t="s">
        <v>285</v>
      </c>
      <c r="G9">
        <f>VLOOKUP(F9,Sheet2!$B$2:$C$70,2,FALSE)</f>
        <v>2018</v>
      </c>
      <c r="H9">
        <f t="shared" si="1"/>
        <v>1.2476370510396977</v>
      </c>
      <c r="I9" t="s">
        <v>723</v>
      </c>
      <c r="K9">
        <f t="shared" si="2"/>
        <v>14</v>
      </c>
      <c r="L9">
        <f t="shared" si="3"/>
        <v>2032</v>
      </c>
      <c r="N9">
        <v>2026</v>
      </c>
      <c r="O9">
        <v>2027</v>
      </c>
      <c r="P9">
        <v>2028</v>
      </c>
      <c r="Q9">
        <v>2029</v>
      </c>
      <c r="R9">
        <v>2030</v>
      </c>
      <c r="S9">
        <v>2031</v>
      </c>
      <c r="T9">
        <v>2032</v>
      </c>
      <c r="U9">
        <v>2033</v>
      </c>
      <c r="V9">
        <v>2034</v>
      </c>
      <c r="W9">
        <v>2035</v>
      </c>
      <c r="X9">
        <v>1992</v>
      </c>
      <c r="Y9">
        <v>88.6</v>
      </c>
      <c r="Z9">
        <f t="shared" si="5"/>
        <v>1.1286681715575622</v>
      </c>
      <c r="AB9">
        <v>1982</v>
      </c>
      <c r="AC9">
        <v>77.7</v>
      </c>
      <c r="AD9">
        <f t="shared" si="6"/>
        <v>1.6988416988416988</v>
      </c>
    </row>
    <row r="10" spans="2:30" x14ac:dyDescent="0.2">
      <c r="B10">
        <v>2130648</v>
      </c>
      <c r="C10" t="s">
        <v>508</v>
      </c>
      <c r="D10">
        <f t="shared" si="0"/>
        <v>2582604</v>
      </c>
      <c r="E10">
        <v>15</v>
      </c>
      <c r="F10" t="s">
        <v>692</v>
      </c>
      <c r="G10">
        <f>VLOOKUP(F10,Sheet2!$B$2:$C$70,2,FALSE)</f>
        <v>2020</v>
      </c>
      <c r="H10">
        <f t="shared" si="1"/>
        <v>1.2121212121212122</v>
      </c>
      <c r="I10" t="s">
        <v>723</v>
      </c>
      <c r="K10">
        <f t="shared" si="2"/>
        <v>23</v>
      </c>
      <c r="L10">
        <f t="shared" si="3"/>
        <v>2043</v>
      </c>
      <c r="M10" t="s">
        <v>721</v>
      </c>
      <c r="N10" s="8">
        <f>ROUND(N3/1000,0)</f>
        <v>0</v>
      </c>
      <c r="O10" s="8">
        <f t="shared" ref="O10:W10" si="8">ROUND(O3/1000,0)</f>
        <v>0</v>
      </c>
      <c r="P10" s="8">
        <f t="shared" si="8"/>
        <v>0</v>
      </c>
      <c r="Q10" s="8">
        <f t="shared" si="8"/>
        <v>0</v>
      </c>
      <c r="R10" s="8">
        <f t="shared" si="8"/>
        <v>0</v>
      </c>
      <c r="S10" s="8">
        <f>ROUND(S3/1000,0)</f>
        <v>4143</v>
      </c>
      <c r="T10" s="8">
        <f t="shared" si="8"/>
        <v>0</v>
      </c>
      <c r="U10" s="8">
        <f t="shared" si="8"/>
        <v>0</v>
      </c>
      <c r="V10" s="8">
        <f t="shared" si="8"/>
        <v>0</v>
      </c>
      <c r="W10" s="8">
        <f t="shared" si="8"/>
        <v>0</v>
      </c>
      <c r="X10">
        <v>1993</v>
      </c>
      <c r="Y10">
        <v>88.4</v>
      </c>
      <c r="Z10">
        <f t="shared" si="5"/>
        <v>1.1312217194570136</v>
      </c>
      <c r="AB10">
        <v>1983</v>
      </c>
      <c r="AC10">
        <v>77.7</v>
      </c>
      <c r="AD10">
        <f t="shared" si="6"/>
        <v>1.6988416988416988</v>
      </c>
    </row>
    <row r="11" spans="2:30" x14ac:dyDescent="0.2">
      <c r="B11">
        <v>3685445</v>
      </c>
      <c r="C11" t="s">
        <v>510</v>
      </c>
      <c r="D11">
        <f t="shared" si="0"/>
        <v>4467206</v>
      </c>
      <c r="E11">
        <v>40</v>
      </c>
      <c r="F11" t="s">
        <v>692</v>
      </c>
      <c r="G11">
        <f>VLOOKUP(F11,Sheet2!$B$2:$C$70,2,FALSE)</f>
        <v>2020</v>
      </c>
      <c r="H11">
        <f t="shared" si="1"/>
        <v>1.2121212121212122</v>
      </c>
      <c r="I11" t="s">
        <v>718</v>
      </c>
      <c r="K11">
        <f t="shared" si="2"/>
        <v>60</v>
      </c>
      <c r="L11">
        <f t="shared" si="3"/>
        <v>2080</v>
      </c>
      <c r="M11" t="s">
        <v>725</v>
      </c>
      <c r="N11" s="8">
        <f t="shared" ref="N11:W14" si="9">ROUND(N4/1000,0)</f>
        <v>0</v>
      </c>
      <c r="O11" s="8">
        <f t="shared" si="9"/>
        <v>0</v>
      </c>
      <c r="P11" s="8">
        <f t="shared" si="9"/>
        <v>0</v>
      </c>
      <c r="Q11" s="8">
        <f t="shared" si="9"/>
        <v>0</v>
      </c>
      <c r="R11" s="8">
        <f t="shared" si="9"/>
        <v>0</v>
      </c>
      <c r="S11" s="8">
        <f t="shared" si="9"/>
        <v>3352</v>
      </c>
      <c r="T11" s="8">
        <f t="shared" si="9"/>
        <v>0</v>
      </c>
      <c r="U11" s="8">
        <f t="shared" si="9"/>
        <v>0</v>
      </c>
      <c r="V11" s="8">
        <f t="shared" si="9"/>
        <v>0</v>
      </c>
      <c r="W11" s="8">
        <f t="shared" si="9"/>
        <v>0</v>
      </c>
      <c r="X11">
        <v>1994</v>
      </c>
      <c r="Y11">
        <v>88.6</v>
      </c>
      <c r="Z11">
        <f t="shared" si="5"/>
        <v>1.1286681715575622</v>
      </c>
      <c r="AB11">
        <v>1984</v>
      </c>
      <c r="AC11">
        <v>77.7</v>
      </c>
      <c r="AD11">
        <f t="shared" si="6"/>
        <v>1.6988416988416988</v>
      </c>
    </row>
    <row r="12" spans="2:30" x14ac:dyDescent="0.2">
      <c r="B12">
        <v>2303403</v>
      </c>
      <c r="C12" t="s">
        <v>511</v>
      </c>
      <c r="D12">
        <f t="shared" si="0"/>
        <v>3190443</v>
      </c>
      <c r="E12">
        <v>60</v>
      </c>
      <c r="F12" t="s">
        <v>272</v>
      </c>
      <c r="G12">
        <f>VLOOKUP(F12,Sheet2!$B$2:$C$70,2,FALSE)</f>
        <v>2011</v>
      </c>
      <c r="H12">
        <f t="shared" si="1"/>
        <v>1.3850996852046171</v>
      </c>
      <c r="I12" t="s">
        <v>723</v>
      </c>
      <c r="K12">
        <f t="shared" si="2"/>
        <v>90</v>
      </c>
      <c r="L12">
        <f t="shared" si="3"/>
        <v>2101</v>
      </c>
      <c r="M12" t="s">
        <v>720</v>
      </c>
      <c r="N12" s="8">
        <f t="shared" si="9"/>
        <v>0</v>
      </c>
      <c r="O12" s="8">
        <f t="shared" si="9"/>
        <v>0</v>
      </c>
      <c r="P12" s="8">
        <f t="shared" si="9"/>
        <v>0</v>
      </c>
      <c r="Q12" s="8">
        <f t="shared" si="9"/>
        <v>0</v>
      </c>
      <c r="R12" s="8">
        <f t="shared" si="9"/>
        <v>0</v>
      </c>
      <c r="S12" s="8">
        <f t="shared" si="9"/>
        <v>0</v>
      </c>
      <c r="T12" s="8">
        <f t="shared" si="9"/>
        <v>0</v>
      </c>
      <c r="U12" s="8">
        <f t="shared" si="9"/>
        <v>0</v>
      </c>
      <c r="V12" s="8">
        <f t="shared" si="9"/>
        <v>0</v>
      </c>
      <c r="W12" s="8">
        <f t="shared" si="9"/>
        <v>0</v>
      </c>
      <c r="X12">
        <v>1995</v>
      </c>
      <c r="Y12">
        <v>88.8</v>
      </c>
      <c r="Z12">
        <f t="shared" si="5"/>
        <v>1.1261261261261262</v>
      </c>
      <c r="AB12">
        <v>1985</v>
      </c>
      <c r="AC12">
        <v>77.7</v>
      </c>
      <c r="AD12">
        <f t="shared" si="6"/>
        <v>1.6988416988416988</v>
      </c>
    </row>
    <row r="13" spans="2:30" x14ac:dyDescent="0.2">
      <c r="B13">
        <v>3800615</v>
      </c>
      <c r="C13" t="s">
        <v>512</v>
      </c>
      <c r="D13">
        <f t="shared" si="0"/>
        <v>5042022</v>
      </c>
      <c r="E13">
        <v>40</v>
      </c>
      <c r="F13" t="s">
        <v>275</v>
      </c>
      <c r="G13">
        <f>VLOOKUP(F13,Sheet2!$B$2:$C$70,2,FALSE)</f>
        <v>2014</v>
      </c>
      <c r="H13">
        <f t="shared" si="1"/>
        <v>1.3266331658291457</v>
      </c>
      <c r="I13" t="s">
        <v>718</v>
      </c>
      <c r="K13">
        <f t="shared" si="2"/>
        <v>60</v>
      </c>
      <c r="L13">
        <f t="shared" si="3"/>
        <v>2074</v>
      </c>
      <c r="M13" t="s">
        <v>723</v>
      </c>
      <c r="N13" s="8">
        <f t="shared" si="9"/>
        <v>5213</v>
      </c>
      <c r="O13" s="8">
        <f t="shared" si="9"/>
        <v>0</v>
      </c>
      <c r="P13" s="8">
        <f t="shared" si="9"/>
        <v>24757</v>
      </c>
      <c r="Q13" s="8">
        <f t="shared" si="9"/>
        <v>1258</v>
      </c>
      <c r="R13" s="8">
        <f t="shared" si="9"/>
        <v>74778</v>
      </c>
      <c r="S13" s="8">
        <f t="shared" si="9"/>
        <v>6794</v>
      </c>
      <c r="T13" s="8">
        <f t="shared" si="9"/>
        <v>20518</v>
      </c>
      <c r="U13" s="8">
        <f t="shared" si="9"/>
        <v>19106</v>
      </c>
      <c r="V13" s="8">
        <f t="shared" si="9"/>
        <v>1298</v>
      </c>
      <c r="W13" s="8">
        <f t="shared" si="9"/>
        <v>0</v>
      </c>
      <c r="X13">
        <v>1996</v>
      </c>
      <c r="Y13">
        <v>88.5</v>
      </c>
      <c r="Z13">
        <f t="shared" si="5"/>
        <v>1.1299435028248588</v>
      </c>
      <c r="AB13">
        <v>1986</v>
      </c>
      <c r="AC13">
        <v>76.8</v>
      </c>
      <c r="AD13">
        <f t="shared" si="6"/>
        <v>1.71875</v>
      </c>
    </row>
    <row r="14" spans="2:30" x14ac:dyDescent="0.2">
      <c r="B14">
        <v>1071082</v>
      </c>
      <c r="C14" t="s">
        <v>513</v>
      </c>
      <c r="D14">
        <f t="shared" si="0"/>
        <v>1298281</v>
      </c>
      <c r="E14">
        <v>10</v>
      </c>
      <c r="F14" t="s">
        <v>286</v>
      </c>
      <c r="G14">
        <f>VLOOKUP(F14,Sheet2!$B$2:$C$70,2,FALSE)</f>
        <v>2019</v>
      </c>
      <c r="H14">
        <f t="shared" si="1"/>
        <v>1.2121212121212122</v>
      </c>
      <c r="I14" t="s">
        <v>723</v>
      </c>
      <c r="K14">
        <f t="shared" si="2"/>
        <v>15</v>
      </c>
      <c r="L14">
        <f t="shared" si="3"/>
        <v>2034</v>
      </c>
      <c r="M14" t="s">
        <v>718</v>
      </c>
      <c r="N14" s="8">
        <f t="shared" si="9"/>
        <v>0</v>
      </c>
      <c r="O14" s="8">
        <f t="shared" si="9"/>
        <v>0</v>
      </c>
      <c r="P14" s="8">
        <f t="shared" si="9"/>
        <v>0</v>
      </c>
      <c r="Q14" s="8">
        <f t="shared" si="9"/>
        <v>0</v>
      </c>
      <c r="R14" s="8">
        <f t="shared" si="9"/>
        <v>0</v>
      </c>
      <c r="S14" s="8">
        <f t="shared" si="9"/>
        <v>20865</v>
      </c>
      <c r="T14" s="8">
        <f t="shared" si="9"/>
        <v>0</v>
      </c>
      <c r="U14" s="8">
        <f t="shared" si="9"/>
        <v>0</v>
      </c>
      <c r="V14" s="8">
        <f t="shared" si="9"/>
        <v>0</v>
      </c>
      <c r="W14" s="8">
        <f t="shared" si="9"/>
        <v>0</v>
      </c>
      <c r="X14">
        <v>1997</v>
      </c>
      <c r="Y14">
        <v>89.4</v>
      </c>
      <c r="Z14">
        <f t="shared" si="5"/>
        <v>1.1185682326621924</v>
      </c>
      <c r="AB14">
        <v>1987</v>
      </c>
      <c r="AC14">
        <v>77.3</v>
      </c>
      <c r="AD14">
        <f t="shared" si="6"/>
        <v>1.7076326002587323</v>
      </c>
    </row>
    <row r="15" spans="2:30" x14ac:dyDescent="0.2">
      <c r="B15">
        <v>345510</v>
      </c>
      <c r="C15" t="s">
        <v>510</v>
      </c>
      <c r="D15">
        <f t="shared" si="0"/>
        <v>586967</v>
      </c>
      <c r="E15">
        <v>40</v>
      </c>
      <c r="F15" t="s">
        <v>678</v>
      </c>
      <c r="G15">
        <f>VLOOKUP(F15,Sheet2!$B$2:$C$70,2,FALSE)</f>
        <v>1984</v>
      </c>
      <c r="H15">
        <f t="shared" si="1"/>
        <v>1.6988416988416988</v>
      </c>
      <c r="I15" t="s">
        <v>718</v>
      </c>
      <c r="K15">
        <f t="shared" si="2"/>
        <v>60</v>
      </c>
      <c r="L15">
        <f t="shared" si="3"/>
        <v>2044</v>
      </c>
      <c r="X15">
        <v>1998</v>
      </c>
      <c r="Y15">
        <v>88</v>
      </c>
      <c r="Z15">
        <f t="shared" si="5"/>
        <v>1.1363636363636365</v>
      </c>
      <c r="AB15">
        <v>1988</v>
      </c>
      <c r="AC15">
        <v>78.7</v>
      </c>
      <c r="AD15">
        <f t="shared" si="6"/>
        <v>1.6772554002541296</v>
      </c>
    </row>
    <row r="16" spans="2:30" x14ac:dyDescent="0.2">
      <c r="B16">
        <v>1900308</v>
      </c>
      <c r="C16" t="s">
        <v>514</v>
      </c>
      <c r="D16">
        <f t="shared" si="0"/>
        <v>3228322</v>
      </c>
      <c r="E16">
        <v>40</v>
      </c>
      <c r="F16" t="s">
        <v>679</v>
      </c>
      <c r="G16">
        <f>VLOOKUP(F16,Sheet2!$B$2:$C$70,2,FALSE)</f>
        <v>1985</v>
      </c>
      <c r="H16">
        <f t="shared" si="1"/>
        <v>1.6988416988416988</v>
      </c>
      <c r="I16" t="s">
        <v>721</v>
      </c>
      <c r="K16">
        <f t="shared" si="2"/>
        <v>60</v>
      </c>
      <c r="L16">
        <f t="shared" si="3"/>
        <v>2045</v>
      </c>
      <c r="X16">
        <v>1999</v>
      </c>
      <c r="Y16">
        <v>87</v>
      </c>
      <c r="Z16">
        <f t="shared" si="5"/>
        <v>1.1494252873563218</v>
      </c>
      <c r="AB16">
        <v>1989</v>
      </c>
      <c r="AC16">
        <v>82.4</v>
      </c>
      <c r="AD16">
        <f t="shared" si="6"/>
        <v>1.6019417475728155</v>
      </c>
    </row>
    <row r="17" spans="2:30" x14ac:dyDescent="0.2">
      <c r="B17">
        <v>493504</v>
      </c>
      <c r="C17" t="s">
        <v>515</v>
      </c>
      <c r="D17">
        <f t="shared" si="0"/>
        <v>748765</v>
      </c>
      <c r="E17">
        <v>40</v>
      </c>
      <c r="F17" t="s">
        <v>694</v>
      </c>
      <c r="G17">
        <f>VLOOKUP(F17,Sheet2!$B$2:$C$70,2,FALSE)</f>
        <v>1999</v>
      </c>
      <c r="H17">
        <f t="shared" si="1"/>
        <v>1.5172413793103448</v>
      </c>
      <c r="I17" t="s">
        <v>721</v>
      </c>
      <c r="K17">
        <f t="shared" si="2"/>
        <v>60</v>
      </c>
      <c r="L17">
        <f t="shared" si="3"/>
        <v>2059</v>
      </c>
      <c r="X17">
        <v>2000</v>
      </c>
      <c r="Y17">
        <v>87.2</v>
      </c>
      <c r="Z17">
        <f t="shared" si="5"/>
        <v>1.1467889908256881</v>
      </c>
      <c r="AB17">
        <v>1990</v>
      </c>
      <c r="AC17">
        <v>85.3</v>
      </c>
      <c r="AD17">
        <f t="shared" si="6"/>
        <v>1.5474794841735053</v>
      </c>
    </row>
    <row r="18" spans="2:30" x14ac:dyDescent="0.2">
      <c r="B18">
        <v>341988</v>
      </c>
      <c r="C18" t="s">
        <v>516</v>
      </c>
      <c r="D18">
        <f t="shared" si="0"/>
        <v>517688</v>
      </c>
      <c r="E18">
        <v>40</v>
      </c>
      <c r="F18" t="s">
        <v>681</v>
      </c>
      <c r="G18">
        <f>VLOOKUP(F18,Sheet2!$B$2:$C$70,2,FALSE)</f>
        <v>2000</v>
      </c>
      <c r="H18">
        <f t="shared" si="1"/>
        <v>1.5137614678899083</v>
      </c>
      <c r="I18" t="s">
        <v>721</v>
      </c>
      <c r="K18">
        <f t="shared" si="2"/>
        <v>60</v>
      </c>
      <c r="L18">
        <f t="shared" si="3"/>
        <v>2060</v>
      </c>
      <c r="X18">
        <v>2001</v>
      </c>
      <c r="Y18">
        <v>85.6</v>
      </c>
      <c r="Z18">
        <f t="shared" si="5"/>
        <v>1.1682242990654206</v>
      </c>
      <c r="AB18">
        <v>1991</v>
      </c>
      <c r="AC18">
        <v>87.6</v>
      </c>
      <c r="AD18">
        <f t="shared" si="6"/>
        <v>1.5068493150684932</v>
      </c>
    </row>
    <row r="19" spans="2:30" x14ac:dyDescent="0.2">
      <c r="B19">
        <v>1471331</v>
      </c>
      <c r="C19" t="s">
        <v>512</v>
      </c>
      <c r="D19">
        <f t="shared" si="0"/>
        <v>2227244</v>
      </c>
      <c r="E19">
        <v>40</v>
      </c>
      <c r="F19" t="s">
        <v>681</v>
      </c>
      <c r="G19">
        <f>VLOOKUP(F19,Sheet2!$B$2:$C$70,2,FALSE)</f>
        <v>2000</v>
      </c>
      <c r="H19">
        <f t="shared" si="1"/>
        <v>1.5137614678899083</v>
      </c>
      <c r="I19" t="s">
        <v>718</v>
      </c>
      <c r="K19">
        <f t="shared" si="2"/>
        <v>60</v>
      </c>
      <c r="L19">
        <f t="shared" si="3"/>
        <v>2060</v>
      </c>
      <c r="X19">
        <v>2002</v>
      </c>
      <c r="Y19">
        <v>85</v>
      </c>
      <c r="Z19">
        <f t="shared" si="5"/>
        <v>1.1764705882352942</v>
      </c>
      <c r="AB19">
        <v>1992</v>
      </c>
      <c r="AC19">
        <v>88.6</v>
      </c>
      <c r="AD19">
        <f t="shared" si="6"/>
        <v>1.489841986455982</v>
      </c>
    </row>
    <row r="20" spans="2:30" x14ac:dyDescent="0.2">
      <c r="B20">
        <v>13431685</v>
      </c>
      <c r="C20" t="s">
        <v>517</v>
      </c>
      <c r="D20">
        <f t="shared" si="0"/>
        <v>20332367</v>
      </c>
      <c r="E20">
        <v>50</v>
      </c>
      <c r="F20" t="s">
        <v>681</v>
      </c>
      <c r="G20">
        <f>VLOOKUP(F20,Sheet2!$B$2:$C$70,2,FALSE)</f>
        <v>2000</v>
      </c>
      <c r="H20">
        <f t="shared" si="1"/>
        <v>1.5137614678899083</v>
      </c>
      <c r="I20" t="s">
        <v>721</v>
      </c>
      <c r="K20">
        <f t="shared" si="2"/>
        <v>75</v>
      </c>
      <c r="L20">
        <f t="shared" si="3"/>
        <v>2075</v>
      </c>
      <c r="X20">
        <v>2003</v>
      </c>
      <c r="Y20">
        <v>86</v>
      </c>
      <c r="Z20">
        <f t="shared" si="5"/>
        <v>1.1627906976744187</v>
      </c>
      <c r="AB20">
        <v>1993</v>
      </c>
      <c r="AC20">
        <v>88.4</v>
      </c>
      <c r="AD20">
        <f t="shared" si="6"/>
        <v>1.4932126696832577</v>
      </c>
    </row>
    <row r="21" spans="2:30" x14ac:dyDescent="0.2">
      <c r="B21">
        <v>5752823</v>
      </c>
      <c r="C21" t="s">
        <v>518</v>
      </c>
      <c r="D21">
        <f t="shared" si="0"/>
        <v>8708402</v>
      </c>
      <c r="E21">
        <v>60</v>
      </c>
      <c r="F21" t="s">
        <v>681</v>
      </c>
      <c r="G21">
        <f>VLOOKUP(F21,Sheet2!$B$2:$C$70,2,FALSE)</f>
        <v>2000</v>
      </c>
      <c r="H21">
        <f t="shared" si="1"/>
        <v>1.5137614678899083</v>
      </c>
      <c r="I21" t="s">
        <v>721</v>
      </c>
      <c r="K21">
        <f t="shared" si="2"/>
        <v>90</v>
      </c>
      <c r="L21">
        <f t="shared" si="3"/>
        <v>2090</v>
      </c>
      <c r="X21">
        <v>2004</v>
      </c>
      <c r="Y21">
        <v>87.5</v>
      </c>
      <c r="Z21">
        <f t="shared" si="5"/>
        <v>1.1428571428571428</v>
      </c>
      <c r="AB21">
        <v>1994</v>
      </c>
      <c r="AC21">
        <v>88.6</v>
      </c>
      <c r="AD21">
        <f t="shared" si="6"/>
        <v>1.489841986455982</v>
      </c>
    </row>
    <row r="22" spans="2:30" x14ac:dyDescent="0.2">
      <c r="B22">
        <v>35619073</v>
      </c>
      <c r="C22" t="s">
        <v>519</v>
      </c>
      <c r="D22">
        <f t="shared" si="0"/>
        <v>53918780</v>
      </c>
      <c r="E22">
        <v>20</v>
      </c>
      <c r="F22" t="s">
        <v>681</v>
      </c>
      <c r="G22">
        <f>VLOOKUP(F22,Sheet2!$B$2:$C$70,2,FALSE)</f>
        <v>2000</v>
      </c>
      <c r="H22">
        <f t="shared" si="1"/>
        <v>1.5137614678899083</v>
      </c>
      <c r="I22" t="s">
        <v>723</v>
      </c>
      <c r="K22">
        <f t="shared" si="2"/>
        <v>30</v>
      </c>
      <c r="L22">
        <f t="shared" si="3"/>
        <v>2030</v>
      </c>
      <c r="X22">
        <v>2005</v>
      </c>
      <c r="Y22">
        <v>89</v>
      </c>
      <c r="Z22">
        <f t="shared" si="5"/>
        <v>1.1235955056179776</v>
      </c>
      <c r="AB22">
        <v>1995</v>
      </c>
      <c r="AC22">
        <v>88.8</v>
      </c>
      <c r="AD22">
        <f t="shared" si="6"/>
        <v>1.4864864864864866</v>
      </c>
    </row>
    <row r="23" spans="2:30" x14ac:dyDescent="0.2">
      <c r="B23">
        <v>20711870</v>
      </c>
      <c r="C23" t="s">
        <v>520</v>
      </c>
      <c r="D23">
        <f t="shared" si="0"/>
        <v>31352831</v>
      </c>
      <c r="E23">
        <v>10</v>
      </c>
      <c r="F23" t="s">
        <v>681</v>
      </c>
      <c r="G23">
        <f>VLOOKUP(F23,Sheet2!$B$2:$C$70,2,FALSE)</f>
        <v>2000</v>
      </c>
      <c r="H23">
        <f t="shared" si="1"/>
        <v>1.5137614678899083</v>
      </c>
      <c r="I23" t="s">
        <v>723</v>
      </c>
      <c r="K23">
        <f t="shared" si="2"/>
        <v>15</v>
      </c>
      <c r="L23">
        <f t="shared" si="3"/>
        <v>2015</v>
      </c>
      <c r="X23">
        <v>2006</v>
      </c>
      <c r="Y23">
        <v>90.6</v>
      </c>
      <c r="Z23">
        <f t="shared" si="5"/>
        <v>1.1037527593818985</v>
      </c>
      <c r="AB23">
        <v>1996</v>
      </c>
      <c r="AC23">
        <v>88.5</v>
      </c>
      <c r="AD23">
        <f t="shared" si="6"/>
        <v>1.4915254237288136</v>
      </c>
    </row>
    <row r="24" spans="2:30" x14ac:dyDescent="0.2">
      <c r="B24">
        <v>529783</v>
      </c>
      <c r="C24" t="s">
        <v>521</v>
      </c>
      <c r="D24">
        <f t="shared" si="0"/>
        <v>738451</v>
      </c>
      <c r="E24">
        <v>9</v>
      </c>
      <c r="F24" t="s">
        <v>689</v>
      </c>
      <c r="G24">
        <f>VLOOKUP(F24,Sheet2!$B$2:$C$70,2,FALSE)</f>
        <v>2012</v>
      </c>
      <c r="H24">
        <f t="shared" si="1"/>
        <v>1.3938753959873285</v>
      </c>
      <c r="I24" t="s">
        <v>723</v>
      </c>
      <c r="K24">
        <f t="shared" si="2"/>
        <v>14</v>
      </c>
      <c r="L24">
        <f t="shared" si="3"/>
        <v>2026</v>
      </c>
      <c r="X24">
        <v>2007</v>
      </c>
      <c r="Y24">
        <v>93.5</v>
      </c>
      <c r="Z24">
        <f t="shared" si="5"/>
        <v>1.0695187165775402</v>
      </c>
      <c r="AB24">
        <v>1997</v>
      </c>
      <c r="AC24">
        <v>89.4</v>
      </c>
      <c r="AD24">
        <f t="shared" si="6"/>
        <v>1.4765100671140938</v>
      </c>
    </row>
    <row r="25" spans="2:30" x14ac:dyDescent="0.2">
      <c r="B25">
        <v>5308193</v>
      </c>
      <c r="C25" t="s">
        <v>522</v>
      </c>
      <c r="D25">
        <f t="shared" si="0"/>
        <v>7253431</v>
      </c>
      <c r="E25">
        <v>20</v>
      </c>
      <c r="F25" t="s">
        <v>274</v>
      </c>
      <c r="G25">
        <f>VLOOKUP(F25,Sheet2!$B$2:$C$70,2,FALSE)</f>
        <v>2013</v>
      </c>
      <c r="H25">
        <f t="shared" si="1"/>
        <v>1.3664596273291927</v>
      </c>
      <c r="I25" t="s">
        <v>723</v>
      </c>
      <c r="K25">
        <f t="shared" si="2"/>
        <v>30</v>
      </c>
      <c r="L25">
        <f t="shared" si="3"/>
        <v>2043</v>
      </c>
      <c r="X25">
        <v>2008</v>
      </c>
      <c r="Y25">
        <v>98.8</v>
      </c>
      <c r="Z25">
        <f t="shared" si="5"/>
        <v>1.0121457489878543</v>
      </c>
      <c r="AB25">
        <v>1998</v>
      </c>
      <c r="AC25">
        <v>88</v>
      </c>
      <c r="AD25">
        <f t="shared" si="6"/>
        <v>1.5</v>
      </c>
    </row>
    <row r="26" spans="2:30" x14ac:dyDescent="0.2">
      <c r="B26">
        <v>3535724</v>
      </c>
      <c r="C26" t="s">
        <v>523</v>
      </c>
      <c r="D26">
        <f t="shared" si="0"/>
        <v>4575643</v>
      </c>
      <c r="E26">
        <v>20</v>
      </c>
      <c r="F26" t="s">
        <v>278</v>
      </c>
      <c r="G26">
        <f>VLOOKUP(F26,Sheet2!$B$2:$C$70,2,FALSE)</f>
        <v>2017</v>
      </c>
      <c r="H26">
        <f t="shared" si="1"/>
        <v>1.2941176470588236</v>
      </c>
      <c r="I26" t="s">
        <v>723</v>
      </c>
      <c r="K26">
        <f t="shared" si="2"/>
        <v>30</v>
      </c>
      <c r="L26">
        <f t="shared" si="3"/>
        <v>2047</v>
      </c>
      <c r="X26">
        <v>2009</v>
      </c>
      <c r="Y26">
        <v>94</v>
      </c>
      <c r="Z26">
        <f t="shared" si="5"/>
        <v>1.0638297872340425</v>
      </c>
      <c r="AB26">
        <v>1999</v>
      </c>
      <c r="AC26">
        <v>87</v>
      </c>
      <c r="AD26">
        <f t="shared" si="6"/>
        <v>1.5172413793103448</v>
      </c>
    </row>
    <row r="27" spans="2:30" x14ac:dyDescent="0.2">
      <c r="B27">
        <v>1823144</v>
      </c>
      <c r="C27" t="s">
        <v>524</v>
      </c>
      <c r="D27">
        <f t="shared" si="0"/>
        <v>2209872</v>
      </c>
      <c r="E27">
        <v>20</v>
      </c>
      <c r="F27" t="s">
        <v>286</v>
      </c>
      <c r="G27">
        <f>VLOOKUP(F27,Sheet2!$B$2:$C$70,2,FALSE)</f>
        <v>2019</v>
      </c>
      <c r="H27">
        <f t="shared" si="1"/>
        <v>1.2121212121212122</v>
      </c>
      <c r="I27" t="s">
        <v>723</v>
      </c>
      <c r="K27">
        <f t="shared" si="2"/>
        <v>30</v>
      </c>
      <c r="L27">
        <f t="shared" si="3"/>
        <v>2049</v>
      </c>
      <c r="X27">
        <v>2010</v>
      </c>
      <c r="Y27">
        <v>94.1</v>
      </c>
      <c r="Z27">
        <f t="shared" si="5"/>
        <v>1.0626992561105209</v>
      </c>
      <c r="AB27">
        <v>2000</v>
      </c>
      <c r="AC27">
        <v>87.2</v>
      </c>
      <c r="AD27">
        <f t="shared" si="6"/>
        <v>1.5137614678899083</v>
      </c>
    </row>
    <row r="28" spans="2:30" x14ac:dyDescent="0.2">
      <c r="B28">
        <v>829225</v>
      </c>
      <c r="C28" t="s">
        <v>525</v>
      </c>
      <c r="D28">
        <f t="shared" si="0"/>
        <v>1005121</v>
      </c>
      <c r="E28">
        <v>40</v>
      </c>
      <c r="F28" t="s">
        <v>692</v>
      </c>
      <c r="G28">
        <f>VLOOKUP(F28,Sheet2!$B$2:$C$70,2,FALSE)</f>
        <v>2020</v>
      </c>
      <c r="H28">
        <f t="shared" si="1"/>
        <v>1.2121212121212122</v>
      </c>
      <c r="I28" t="s">
        <v>718</v>
      </c>
      <c r="K28">
        <f t="shared" si="2"/>
        <v>60</v>
      </c>
      <c r="L28">
        <f t="shared" si="3"/>
        <v>2080</v>
      </c>
      <c r="X28">
        <v>2011</v>
      </c>
      <c r="Y28">
        <v>95.3</v>
      </c>
      <c r="Z28">
        <f t="shared" si="5"/>
        <v>1.0493179433368311</v>
      </c>
      <c r="AB28">
        <v>2001</v>
      </c>
      <c r="AC28">
        <v>85.6</v>
      </c>
      <c r="AD28">
        <f t="shared" si="6"/>
        <v>1.5420560747663552</v>
      </c>
    </row>
    <row r="29" spans="2:30" x14ac:dyDescent="0.2">
      <c r="B29">
        <v>2084580</v>
      </c>
      <c r="C29" t="s">
        <v>524</v>
      </c>
      <c r="D29">
        <f t="shared" si="0"/>
        <v>2420093</v>
      </c>
      <c r="E29">
        <v>20</v>
      </c>
      <c r="F29" t="s">
        <v>292</v>
      </c>
      <c r="G29">
        <f>VLOOKUP(F29,Sheet2!$B$2:$C$70,2,FALSE)</f>
        <v>2021</v>
      </c>
      <c r="H29">
        <f t="shared" si="1"/>
        <v>1.1609498680738786</v>
      </c>
      <c r="I29" t="s">
        <v>723</v>
      </c>
      <c r="K29">
        <f t="shared" si="2"/>
        <v>30</v>
      </c>
      <c r="L29">
        <f t="shared" si="3"/>
        <v>2051</v>
      </c>
      <c r="X29">
        <v>2012</v>
      </c>
      <c r="Y29">
        <v>94.7</v>
      </c>
      <c r="Z29">
        <f t="shared" si="5"/>
        <v>1.0559662090813093</v>
      </c>
      <c r="AB29">
        <v>2002</v>
      </c>
      <c r="AC29">
        <v>85</v>
      </c>
      <c r="AD29">
        <f t="shared" si="6"/>
        <v>1.5529411764705883</v>
      </c>
    </row>
    <row r="30" spans="2:30" x14ac:dyDescent="0.2">
      <c r="B30">
        <v>915296</v>
      </c>
      <c r="C30" t="s">
        <v>526</v>
      </c>
      <c r="D30">
        <f t="shared" si="0"/>
        <v>1554943</v>
      </c>
      <c r="E30">
        <v>40</v>
      </c>
      <c r="F30" t="s">
        <v>682</v>
      </c>
      <c r="G30">
        <f>VLOOKUP(F30,Sheet2!$B$2:$C$70,2,FALSE)</f>
        <v>1971</v>
      </c>
      <c r="H30">
        <v>1.6988416988416988</v>
      </c>
      <c r="I30" t="s">
        <v>721</v>
      </c>
      <c r="K30">
        <f t="shared" si="2"/>
        <v>60</v>
      </c>
      <c r="L30">
        <f t="shared" si="3"/>
        <v>2031</v>
      </c>
      <c r="X30">
        <v>2013</v>
      </c>
      <c r="Y30">
        <v>96.6</v>
      </c>
      <c r="Z30">
        <f t="shared" si="5"/>
        <v>1.0351966873706004</v>
      </c>
      <c r="AB30">
        <v>2003</v>
      </c>
      <c r="AC30">
        <v>86</v>
      </c>
      <c r="AD30">
        <f t="shared" si="6"/>
        <v>1.5348837209302326</v>
      </c>
    </row>
    <row r="31" spans="2:30" x14ac:dyDescent="0.2">
      <c r="B31">
        <v>1523700</v>
      </c>
      <c r="C31" t="s">
        <v>527</v>
      </c>
      <c r="D31">
        <f t="shared" si="0"/>
        <v>2588525</v>
      </c>
      <c r="E31">
        <v>40</v>
      </c>
      <c r="F31" t="s">
        <v>682</v>
      </c>
      <c r="G31">
        <f>VLOOKUP(F31,Sheet2!$B$2:$C$70,2,FALSE)</f>
        <v>1971</v>
      </c>
      <c r="H31">
        <v>1.6988416988416988</v>
      </c>
      <c r="I31" t="s">
        <v>721</v>
      </c>
      <c r="K31">
        <f t="shared" si="2"/>
        <v>60</v>
      </c>
      <c r="L31">
        <f t="shared" si="3"/>
        <v>2031</v>
      </c>
      <c r="X31">
        <v>2014</v>
      </c>
      <c r="Y31">
        <v>99.5</v>
      </c>
      <c r="Z31">
        <f t="shared" si="5"/>
        <v>1.0050251256281406</v>
      </c>
      <c r="AB31">
        <v>2004</v>
      </c>
      <c r="AC31">
        <v>87.5</v>
      </c>
      <c r="AD31">
        <f t="shared" si="6"/>
        <v>1.5085714285714287</v>
      </c>
    </row>
    <row r="32" spans="2:30" x14ac:dyDescent="0.2">
      <c r="B32">
        <v>12183990</v>
      </c>
      <c r="C32" t="s">
        <v>512</v>
      </c>
      <c r="D32">
        <f t="shared" si="0"/>
        <v>20698670</v>
      </c>
      <c r="E32">
        <v>40</v>
      </c>
      <c r="F32" t="s">
        <v>682</v>
      </c>
      <c r="G32">
        <f>VLOOKUP(F32,Sheet2!$B$2:$C$70,2,FALSE)</f>
        <v>1971</v>
      </c>
      <c r="H32">
        <v>1.6988416988416988</v>
      </c>
      <c r="I32" t="s">
        <v>718</v>
      </c>
      <c r="K32">
        <f t="shared" si="2"/>
        <v>60</v>
      </c>
      <c r="L32">
        <f t="shared" si="3"/>
        <v>2031</v>
      </c>
      <c r="X32">
        <v>2015</v>
      </c>
      <c r="Y32">
        <v>100</v>
      </c>
      <c r="Z32">
        <f t="shared" si="5"/>
        <v>1</v>
      </c>
      <c r="AB32">
        <v>2005</v>
      </c>
      <c r="AC32">
        <v>89</v>
      </c>
      <c r="AD32">
        <f t="shared" si="6"/>
        <v>1.4831460674157304</v>
      </c>
    </row>
    <row r="33" spans="2:36" x14ac:dyDescent="0.2">
      <c r="B33">
        <v>508511</v>
      </c>
      <c r="C33" t="s">
        <v>528</v>
      </c>
      <c r="D33">
        <f t="shared" si="0"/>
        <v>863880</v>
      </c>
      <c r="E33">
        <v>60</v>
      </c>
      <c r="F33" t="s">
        <v>682</v>
      </c>
      <c r="G33">
        <f>VLOOKUP(F33,Sheet2!$B$2:$C$70,2,FALSE)</f>
        <v>1971</v>
      </c>
      <c r="H33">
        <v>1.6988416988416988</v>
      </c>
      <c r="I33" t="s">
        <v>725</v>
      </c>
      <c r="K33">
        <f t="shared" si="2"/>
        <v>90</v>
      </c>
      <c r="L33">
        <f t="shared" si="3"/>
        <v>2061</v>
      </c>
      <c r="X33">
        <v>2016</v>
      </c>
      <c r="Y33">
        <v>100.1</v>
      </c>
      <c r="Z33">
        <f t="shared" si="5"/>
        <v>0.99900099900099903</v>
      </c>
      <c r="AB33">
        <v>2006</v>
      </c>
      <c r="AC33">
        <v>90.6</v>
      </c>
      <c r="AD33">
        <f t="shared" si="6"/>
        <v>1.4569536423841061</v>
      </c>
    </row>
    <row r="34" spans="2:36" x14ac:dyDescent="0.2">
      <c r="B34">
        <v>970654</v>
      </c>
      <c r="C34" t="s">
        <v>529</v>
      </c>
      <c r="D34">
        <f t="shared" si="0"/>
        <v>1648987</v>
      </c>
      <c r="E34">
        <v>50</v>
      </c>
      <c r="F34" t="s">
        <v>682</v>
      </c>
      <c r="G34">
        <f>VLOOKUP(F34,Sheet2!$B$2:$C$70,2,FALSE)</f>
        <v>1971</v>
      </c>
      <c r="H34">
        <v>1.6988416988416988</v>
      </c>
      <c r="I34" t="s">
        <v>721</v>
      </c>
      <c r="K34">
        <f t="shared" si="2"/>
        <v>75</v>
      </c>
      <c r="L34">
        <f t="shared" si="3"/>
        <v>2046</v>
      </c>
      <c r="X34">
        <v>2017</v>
      </c>
      <c r="Y34">
        <v>102</v>
      </c>
      <c r="Z34">
        <f t="shared" si="5"/>
        <v>0.98039215686274506</v>
      </c>
      <c r="AB34">
        <v>2007</v>
      </c>
      <c r="AC34">
        <v>93.5</v>
      </c>
      <c r="AD34">
        <f t="shared" si="6"/>
        <v>1.411764705882353</v>
      </c>
    </row>
    <row r="35" spans="2:36" x14ac:dyDescent="0.2">
      <c r="B35">
        <v>731578</v>
      </c>
      <c r="C35" t="s">
        <v>530</v>
      </c>
      <c r="D35">
        <f t="shared" si="0"/>
        <v>1242835</v>
      </c>
      <c r="E35">
        <v>60</v>
      </c>
      <c r="F35" t="s">
        <v>682</v>
      </c>
      <c r="G35">
        <f>VLOOKUP(F35,Sheet2!$B$2:$C$70,2,FALSE)</f>
        <v>1971</v>
      </c>
      <c r="H35">
        <v>1.6988416988416988</v>
      </c>
      <c r="I35" t="s">
        <v>721</v>
      </c>
      <c r="K35">
        <f t="shared" si="2"/>
        <v>90</v>
      </c>
      <c r="L35">
        <f t="shared" si="3"/>
        <v>2061</v>
      </c>
      <c r="X35">
        <v>2018</v>
      </c>
      <c r="Y35">
        <v>105.8</v>
      </c>
      <c r="Z35">
        <f t="shared" si="5"/>
        <v>0.94517958412098302</v>
      </c>
      <c r="AB35">
        <v>2008</v>
      </c>
      <c r="AC35">
        <v>98.8</v>
      </c>
      <c r="AD35">
        <f t="shared" si="6"/>
        <v>1.3360323886639676</v>
      </c>
    </row>
    <row r="36" spans="2:36" x14ac:dyDescent="0.2">
      <c r="B36">
        <v>687236</v>
      </c>
      <c r="C36" t="s">
        <v>531</v>
      </c>
      <c r="D36">
        <f t="shared" si="0"/>
        <v>1167505</v>
      </c>
      <c r="E36">
        <v>10</v>
      </c>
      <c r="F36" t="s">
        <v>682</v>
      </c>
      <c r="G36">
        <f>VLOOKUP(F36,Sheet2!$B$2:$C$70,2,FALSE)</f>
        <v>1971</v>
      </c>
      <c r="H36">
        <v>1.6988416988416988</v>
      </c>
      <c r="I36" t="s">
        <v>721</v>
      </c>
      <c r="K36">
        <f t="shared" si="2"/>
        <v>15</v>
      </c>
      <c r="L36">
        <f t="shared" si="3"/>
        <v>1986</v>
      </c>
      <c r="X36">
        <v>2019</v>
      </c>
      <c r="Y36">
        <v>108.9</v>
      </c>
      <c r="Z36">
        <f t="shared" si="5"/>
        <v>0.91827364554637281</v>
      </c>
      <c r="AB36">
        <v>2009</v>
      </c>
      <c r="AC36">
        <v>94</v>
      </c>
      <c r="AD36">
        <f t="shared" si="6"/>
        <v>1.4042553191489362</v>
      </c>
    </row>
    <row r="37" spans="2:36" x14ac:dyDescent="0.2">
      <c r="B37">
        <v>2849736</v>
      </c>
      <c r="C37" t="s">
        <v>532</v>
      </c>
      <c r="D37">
        <f t="shared" si="0"/>
        <v>4841250</v>
      </c>
      <c r="E37">
        <v>60</v>
      </c>
      <c r="F37" t="s">
        <v>682</v>
      </c>
      <c r="G37">
        <f>VLOOKUP(F37,Sheet2!$B$2:$C$70,2,FALSE)</f>
        <v>1971</v>
      </c>
      <c r="H37">
        <v>1.6988416988416988</v>
      </c>
      <c r="I37" t="s">
        <v>724</v>
      </c>
      <c r="K37">
        <f t="shared" si="2"/>
        <v>90</v>
      </c>
      <c r="L37">
        <f t="shared" si="3"/>
        <v>2061</v>
      </c>
      <c r="X37">
        <v>2020</v>
      </c>
      <c r="Y37">
        <v>108.9</v>
      </c>
      <c r="Z37">
        <f t="shared" si="5"/>
        <v>0.91827364554637281</v>
      </c>
      <c r="AB37">
        <v>2010</v>
      </c>
      <c r="AC37">
        <v>94.1</v>
      </c>
      <c r="AD37">
        <f t="shared" si="6"/>
        <v>1.4027630180658874</v>
      </c>
    </row>
    <row r="38" spans="2:36" x14ac:dyDescent="0.2">
      <c r="B38">
        <v>539105</v>
      </c>
      <c r="C38" t="s">
        <v>533</v>
      </c>
      <c r="D38">
        <f t="shared" si="0"/>
        <v>915854</v>
      </c>
      <c r="E38">
        <v>60</v>
      </c>
      <c r="F38" t="s">
        <v>682</v>
      </c>
      <c r="G38">
        <f>VLOOKUP(F38,Sheet2!$B$2:$C$70,2,FALSE)</f>
        <v>1971</v>
      </c>
      <c r="H38">
        <v>1.6988416988416988</v>
      </c>
      <c r="I38" t="s">
        <v>724</v>
      </c>
      <c r="K38">
        <f t="shared" si="2"/>
        <v>90</v>
      </c>
      <c r="L38">
        <f t="shared" si="3"/>
        <v>2061</v>
      </c>
      <c r="X38">
        <v>2021</v>
      </c>
      <c r="Y38">
        <v>113.7</v>
      </c>
      <c r="Z38">
        <f t="shared" si="5"/>
        <v>0.87950747581354438</v>
      </c>
      <c r="AB38">
        <v>2011</v>
      </c>
      <c r="AC38">
        <v>95.3</v>
      </c>
      <c r="AD38">
        <f t="shared" si="6"/>
        <v>1.3850996852046171</v>
      </c>
    </row>
    <row r="39" spans="2:36" x14ac:dyDescent="0.2">
      <c r="B39">
        <v>279129</v>
      </c>
      <c r="C39" t="s">
        <v>534</v>
      </c>
      <c r="D39">
        <f t="shared" si="0"/>
        <v>474196</v>
      </c>
      <c r="E39">
        <v>60</v>
      </c>
      <c r="F39" t="s">
        <v>682</v>
      </c>
      <c r="G39">
        <f>VLOOKUP(F39,Sheet2!$B$2:$C$70,2,FALSE)</f>
        <v>1971</v>
      </c>
      <c r="H39">
        <v>1.6988416988416988</v>
      </c>
      <c r="I39" t="s">
        <v>724</v>
      </c>
      <c r="K39">
        <f t="shared" si="2"/>
        <v>90</v>
      </c>
      <c r="L39">
        <f t="shared" si="3"/>
        <v>2061</v>
      </c>
      <c r="X39">
        <v>2022</v>
      </c>
      <c r="Y39">
        <v>122.8</v>
      </c>
      <c r="Z39">
        <f t="shared" si="5"/>
        <v>0.81433224755700329</v>
      </c>
      <c r="AB39">
        <v>2012</v>
      </c>
      <c r="AC39">
        <v>94.7</v>
      </c>
      <c r="AD39">
        <f t="shared" si="6"/>
        <v>1.3938753959873285</v>
      </c>
    </row>
    <row r="40" spans="2:36" x14ac:dyDescent="0.2">
      <c r="B40">
        <v>647538</v>
      </c>
      <c r="C40" t="s">
        <v>535</v>
      </c>
      <c r="D40">
        <f t="shared" si="0"/>
        <v>1100065</v>
      </c>
      <c r="E40">
        <v>60</v>
      </c>
      <c r="F40" t="s">
        <v>682</v>
      </c>
      <c r="G40">
        <f>VLOOKUP(F40,Sheet2!$B$2:$C$70,2,FALSE)</f>
        <v>1971</v>
      </c>
      <c r="H40">
        <v>1.6988416988416988</v>
      </c>
      <c r="I40" t="s">
        <v>724</v>
      </c>
      <c r="K40">
        <f t="shared" si="2"/>
        <v>90</v>
      </c>
      <c r="L40">
        <f t="shared" si="3"/>
        <v>2061</v>
      </c>
      <c r="X40">
        <v>2023</v>
      </c>
      <c r="Y40">
        <v>127.1</v>
      </c>
      <c r="Z40">
        <f t="shared" si="5"/>
        <v>0.78678206136900086</v>
      </c>
      <c r="AB40">
        <v>2013</v>
      </c>
      <c r="AC40">
        <v>96.6</v>
      </c>
      <c r="AD40">
        <f t="shared" si="6"/>
        <v>1.3664596273291927</v>
      </c>
      <c r="AG40">
        <v>100</v>
      </c>
      <c r="AH40">
        <v>132</v>
      </c>
      <c r="AI40">
        <f>AG40*AJ40/AH40</f>
        <v>75.757575757575751</v>
      </c>
      <c r="AJ40">
        <v>100</v>
      </c>
    </row>
    <row r="41" spans="2:36" x14ac:dyDescent="0.2">
      <c r="B41">
        <v>97895</v>
      </c>
      <c r="C41" t="s">
        <v>536</v>
      </c>
      <c r="D41">
        <f t="shared" si="0"/>
        <v>166308</v>
      </c>
      <c r="E41">
        <v>40</v>
      </c>
      <c r="F41" t="s">
        <v>682</v>
      </c>
      <c r="G41">
        <f>VLOOKUP(F41,Sheet2!$B$2:$C$70,2,FALSE)</f>
        <v>1971</v>
      </c>
      <c r="H41">
        <v>1.6988416988416988</v>
      </c>
      <c r="I41" t="s">
        <v>718</v>
      </c>
      <c r="K41">
        <f t="shared" si="2"/>
        <v>60</v>
      </c>
      <c r="L41">
        <f t="shared" si="3"/>
        <v>2031</v>
      </c>
      <c r="X41">
        <v>2024</v>
      </c>
      <c r="Y41">
        <v>132</v>
      </c>
      <c r="Z41">
        <f t="shared" si="5"/>
        <v>0.75757575757575757</v>
      </c>
      <c r="AB41">
        <v>2014</v>
      </c>
      <c r="AC41">
        <v>99.5</v>
      </c>
      <c r="AD41">
        <f t="shared" si="6"/>
        <v>1.3266331658291457</v>
      </c>
    </row>
    <row r="42" spans="2:36" x14ac:dyDescent="0.2">
      <c r="B42">
        <v>1972950</v>
      </c>
      <c r="C42" t="s">
        <v>537</v>
      </c>
      <c r="D42">
        <f t="shared" si="0"/>
        <v>3351730</v>
      </c>
      <c r="E42">
        <v>40</v>
      </c>
      <c r="F42" t="s">
        <v>682</v>
      </c>
      <c r="G42">
        <f>VLOOKUP(F42,Sheet2!$B$2:$C$70,2,FALSE)</f>
        <v>1971</v>
      </c>
      <c r="H42">
        <v>1.6988416988416988</v>
      </c>
      <c r="I42" t="s">
        <v>724</v>
      </c>
      <c r="K42">
        <f t="shared" si="2"/>
        <v>60</v>
      </c>
      <c r="L42">
        <f t="shared" si="3"/>
        <v>2031</v>
      </c>
      <c r="AB42">
        <v>2015</v>
      </c>
      <c r="AC42">
        <v>100</v>
      </c>
      <c r="AD42">
        <f t="shared" si="6"/>
        <v>1.32</v>
      </c>
    </row>
    <row r="43" spans="2:36" x14ac:dyDescent="0.2">
      <c r="B43">
        <v>165845</v>
      </c>
      <c r="C43" t="s">
        <v>538</v>
      </c>
      <c r="D43">
        <f t="shared" si="0"/>
        <v>281744</v>
      </c>
      <c r="E43">
        <v>10</v>
      </c>
      <c r="F43" t="s">
        <v>682</v>
      </c>
      <c r="G43">
        <f>VLOOKUP(F43,Sheet2!$B$2:$C$70,2,FALSE)</f>
        <v>1971</v>
      </c>
      <c r="H43">
        <v>1.6988416988416988</v>
      </c>
      <c r="I43" t="s">
        <v>723</v>
      </c>
      <c r="K43">
        <f t="shared" si="2"/>
        <v>15</v>
      </c>
      <c r="L43">
        <f t="shared" si="3"/>
        <v>1986</v>
      </c>
      <c r="AB43">
        <v>2016</v>
      </c>
      <c r="AC43">
        <v>100.1</v>
      </c>
      <c r="AD43">
        <f t="shared" si="6"/>
        <v>1.3186813186813187</v>
      </c>
    </row>
    <row r="44" spans="2:36" x14ac:dyDescent="0.2">
      <c r="B44">
        <v>403096</v>
      </c>
      <c r="C44" t="s">
        <v>539</v>
      </c>
      <c r="D44">
        <f t="shared" si="0"/>
        <v>684796</v>
      </c>
      <c r="E44">
        <v>40</v>
      </c>
      <c r="F44" t="s">
        <v>683</v>
      </c>
      <c r="G44">
        <f>VLOOKUP(F44,Sheet2!$B$2:$C$70,2,FALSE)</f>
        <v>1978</v>
      </c>
      <c r="H44">
        <f t="shared" si="1"/>
        <v>1.6988416988416988</v>
      </c>
      <c r="I44" t="s">
        <v>724</v>
      </c>
      <c r="K44">
        <f t="shared" si="2"/>
        <v>60</v>
      </c>
      <c r="L44">
        <f t="shared" si="3"/>
        <v>2038</v>
      </c>
      <c r="AB44">
        <v>2017</v>
      </c>
      <c r="AC44">
        <v>102</v>
      </c>
      <c r="AD44">
        <f t="shared" si="6"/>
        <v>1.2941176470588236</v>
      </c>
    </row>
    <row r="45" spans="2:36" x14ac:dyDescent="0.2">
      <c r="B45">
        <v>724420</v>
      </c>
      <c r="C45" t="s">
        <v>540</v>
      </c>
      <c r="D45">
        <f t="shared" si="0"/>
        <v>1245097</v>
      </c>
      <c r="E45">
        <v>15</v>
      </c>
      <c r="F45" t="s">
        <v>684</v>
      </c>
      <c r="G45">
        <f>VLOOKUP(F45,Sheet2!$B$2:$C$70,2,FALSE)</f>
        <v>1986</v>
      </c>
      <c r="H45">
        <f t="shared" si="1"/>
        <v>1.71875</v>
      </c>
      <c r="I45" t="s">
        <v>723</v>
      </c>
      <c r="K45">
        <f t="shared" si="2"/>
        <v>23</v>
      </c>
      <c r="L45">
        <f t="shared" si="3"/>
        <v>2009</v>
      </c>
      <c r="AB45">
        <v>2018</v>
      </c>
      <c r="AC45">
        <v>105.8</v>
      </c>
      <c r="AD45">
        <f t="shared" si="6"/>
        <v>1.2476370510396977</v>
      </c>
    </row>
    <row r="46" spans="2:36" x14ac:dyDescent="0.2">
      <c r="B46">
        <v>76781</v>
      </c>
      <c r="C46" t="s">
        <v>541</v>
      </c>
      <c r="D46">
        <f t="shared" si="0"/>
        <v>116228</v>
      </c>
      <c r="E46">
        <v>20</v>
      </c>
      <c r="F46" t="s">
        <v>681</v>
      </c>
      <c r="G46">
        <f>VLOOKUP(F46,Sheet2!$B$2:$C$70,2,FALSE)</f>
        <v>2000</v>
      </c>
      <c r="H46">
        <f t="shared" si="1"/>
        <v>1.5137614678899083</v>
      </c>
      <c r="I46" t="s">
        <v>723</v>
      </c>
      <c r="K46">
        <f t="shared" si="2"/>
        <v>30</v>
      </c>
      <c r="L46">
        <f t="shared" si="3"/>
        <v>2030</v>
      </c>
      <c r="AB46">
        <v>2019</v>
      </c>
      <c r="AC46">
        <v>108.9</v>
      </c>
      <c r="AD46">
        <f t="shared" si="6"/>
        <v>1.2121212121212122</v>
      </c>
    </row>
    <row r="47" spans="2:36" x14ac:dyDescent="0.2">
      <c r="B47">
        <v>2861074</v>
      </c>
      <c r="C47" t="s">
        <v>511</v>
      </c>
      <c r="D47">
        <f t="shared" si="0"/>
        <v>3467968</v>
      </c>
      <c r="E47">
        <v>60</v>
      </c>
      <c r="F47" t="s">
        <v>692</v>
      </c>
      <c r="G47">
        <f>VLOOKUP(F47,Sheet2!$B$2:$C$70,2,FALSE)</f>
        <v>2020</v>
      </c>
      <c r="H47">
        <f t="shared" si="1"/>
        <v>1.2121212121212122</v>
      </c>
      <c r="I47" t="s">
        <v>724</v>
      </c>
      <c r="K47">
        <f t="shared" si="2"/>
        <v>90</v>
      </c>
      <c r="L47">
        <f t="shared" si="3"/>
        <v>2110</v>
      </c>
      <c r="AB47">
        <v>2020</v>
      </c>
      <c r="AC47">
        <v>108.9</v>
      </c>
      <c r="AD47">
        <f t="shared" si="6"/>
        <v>1.2121212121212122</v>
      </c>
    </row>
    <row r="48" spans="2:36" x14ac:dyDescent="0.2">
      <c r="B48">
        <v>1327912</v>
      </c>
      <c r="C48" t="s">
        <v>523</v>
      </c>
      <c r="D48">
        <f t="shared" si="0"/>
        <v>1814538</v>
      </c>
      <c r="E48">
        <v>20</v>
      </c>
      <c r="F48" t="s">
        <v>274</v>
      </c>
      <c r="G48">
        <f>VLOOKUP(F48,Sheet2!$B$2:$C$70,2,FALSE)</f>
        <v>2013</v>
      </c>
      <c r="H48">
        <f t="shared" si="1"/>
        <v>1.3664596273291927</v>
      </c>
      <c r="I48" t="s">
        <v>723</v>
      </c>
      <c r="K48">
        <f t="shared" si="2"/>
        <v>30</v>
      </c>
      <c r="L48">
        <f t="shared" si="3"/>
        <v>2043</v>
      </c>
      <c r="AB48">
        <v>2021</v>
      </c>
      <c r="AC48">
        <v>113.7</v>
      </c>
      <c r="AD48">
        <f t="shared" si="6"/>
        <v>1.1609498680738786</v>
      </c>
    </row>
    <row r="49" spans="2:30" x14ac:dyDescent="0.2">
      <c r="B49">
        <v>2280369</v>
      </c>
      <c r="C49" t="s">
        <v>542</v>
      </c>
      <c r="D49">
        <f t="shared" si="0"/>
        <v>2951066</v>
      </c>
      <c r="E49">
        <v>10</v>
      </c>
      <c r="F49" t="s">
        <v>278</v>
      </c>
      <c r="G49">
        <f>VLOOKUP(F49,Sheet2!$B$2:$C$70,2,FALSE)</f>
        <v>2017</v>
      </c>
      <c r="H49">
        <f t="shared" si="1"/>
        <v>1.2941176470588236</v>
      </c>
      <c r="I49" t="s">
        <v>723</v>
      </c>
      <c r="K49">
        <f t="shared" si="2"/>
        <v>15</v>
      </c>
      <c r="L49">
        <f t="shared" si="3"/>
        <v>2032</v>
      </c>
      <c r="AB49">
        <v>2022</v>
      </c>
      <c r="AC49">
        <v>122.8</v>
      </c>
      <c r="AD49">
        <f t="shared" si="6"/>
        <v>1.0749185667752443</v>
      </c>
    </row>
    <row r="50" spans="2:30" x14ac:dyDescent="0.2">
      <c r="B50">
        <v>5528168</v>
      </c>
      <c r="C50" t="s">
        <v>543</v>
      </c>
      <c r="D50">
        <f t="shared" si="0"/>
        <v>6700810</v>
      </c>
      <c r="E50">
        <v>9</v>
      </c>
      <c r="F50" t="s">
        <v>286</v>
      </c>
      <c r="G50">
        <f>VLOOKUP(F50,Sheet2!$B$2:$C$70,2,FALSE)</f>
        <v>2019</v>
      </c>
      <c r="H50">
        <f t="shared" si="1"/>
        <v>1.2121212121212122</v>
      </c>
      <c r="I50" t="s">
        <v>723</v>
      </c>
      <c r="K50">
        <f t="shared" si="2"/>
        <v>14</v>
      </c>
      <c r="L50">
        <f t="shared" si="3"/>
        <v>2033</v>
      </c>
      <c r="AB50">
        <v>2023</v>
      </c>
      <c r="AC50">
        <v>127.1</v>
      </c>
      <c r="AD50">
        <f t="shared" si="6"/>
        <v>1.0385523210070811</v>
      </c>
    </row>
    <row r="51" spans="2:30" x14ac:dyDescent="0.2">
      <c r="B51">
        <v>1312940</v>
      </c>
      <c r="C51" t="s">
        <v>523</v>
      </c>
      <c r="D51">
        <f t="shared" si="0"/>
        <v>1524258</v>
      </c>
      <c r="E51">
        <v>20</v>
      </c>
      <c r="F51" t="s">
        <v>292</v>
      </c>
      <c r="G51">
        <f>VLOOKUP(F51,Sheet2!$B$2:$C$70,2,FALSE)</f>
        <v>2021</v>
      </c>
      <c r="H51">
        <f t="shared" si="1"/>
        <v>1.1609498680738786</v>
      </c>
      <c r="I51" t="s">
        <v>723</v>
      </c>
      <c r="K51">
        <f t="shared" si="2"/>
        <v>30</v>
      </c>
      <c r="L51">
        <f t="shared" si="3"/>
        <v>2051</v>
      </c>
      <c r="AB51">
        <v>2024</v>
      </c>
      <c r="AC51">
        <v>132</v>
      </c>
      <c r="AD51">
        <f t="shared" si="6"/>
        <v>1</v>
      </c>
    </row>
    <row r="52" spans="2:30" x14ac:dyDescent="0.2">
      <c r="B52">
        <v>1106975</v>
      </c>
      <c r="C52" t="s">
        <v>544</v>
      </c>
      <c r="D52">
        <f t="shared" si="0"/>
        <v>1668045</v>
      </c>
      <c r="E52">
        <v>40</v>
      </c>
      <c r="F52" t="s">
        <v>715</v>
      </c>
      <c r="G52">
        <f>VLOOKUP(F52,Sheet2!$B$2:$C$70,2,FALSE)</f>
        <v>1991</v>
      </c>
      <c r="H52">
        <f t="shared" si="1"/>
        <v>1.5068493150684932</v>
      </c>
      <c r="I52" t="s">
        <v>718</v>
      </c>
      <c r="K52">
        <f t="shared" si="2"/>
        <v>60</v>
      </c>
      <c r="L52">
        <f t="shared" si="3"/>
        <v>2051</v>
      </c>
    </row>
    <row r="53" spans="2:30" x14ac:dyDescent="0.2">
      <c r="B53">
        <v>1066391</v>
      </c>
      <c r="C53" t="s">
        <v>512</v>
      </c>
      <c r="D53">
        <f t="shared" si="0"/>
        <v>1380035</v>
      </c>
      <c r="E53">
        <v>40</v>
      </c>
      <c r="F53" t="s">
        <v>278</v>
      </c>
      <c r="G53">
        <f>VLOOKUP(F53,Sheet2!$B$2:$C$70,2,FALSE)</f>
        <v>2017</v>
      </c>
      <c r="H53">
        <f t="shared" si="1"/>
        <v>1.2941176470588236</v>
      </c>
      <c r="I53" t="s">
        <v>718</v>
      </c>
      <c r="K53">
        <f t="shared" si="2"/>
        <v>60</v>
      </c>
      <c r="L53">
        <f t="shared" si="3"/>
        <v>2077</v>
      </c>
    </row>
    <row r="54" spans="2:30" x14ac:dyDescent="0.2">
      <c r="B54">
        <v>28000000</v>
      </c>
      <c r="C54" t="s">
        <v>545</v>
      </c>
      <c r="D54">
        <f t="shared" si="0"/>
        <v>42000000</v>
      </c>
      <c r="E54">
        <v>40</v>
      </c>
      <c r="F54" t="s">
        <v>685</v>
      </c>
      <c r="G54">
        <f>VLOOKUP(F54,Sheet2!$B$2:$C$70,2,FALSE)</f>
        <v>1998</v>
      </c>
      <c r="H54">
        <f t="shared" si="1"/>
        <v>1.5</v>
      </c>
      <c r="I54" t="s">
        <v>721</v>
      </c>
      <c r="K54">
        <f t="shared" si="2"/>
        <v>60</v>
      </c>
      <c r="L54">
        <f t="shared" si="3"/>
        <v>2058</v>
      </c>
    </row>
    <row r="55" spans="2:30" x14ac:dyDescent="0.2">
      <c r="B55">
        <v>37950000</v>
      </c>
      <c r="C55" t="s">
        <v>512</v>
      </c>
      <c r="D55">
        <f t="shared" si="0"/>
        <v>56925000</v>
      </c>
      <c r="E55">
        <v>40</v>
      </c>
      <c r="F55" t="s">
        <v>685</v>
      </c>
      <c r="G55">
        <f>VLOOKUP(F55,Sheet2!$B$2:$C$70,2,FALSE)</f>
        <v>1998</v>
      </c>
      <c r="H55">
        <f t="shared" si="1"/>
        <v>1.5</v>
      </c>
      <c r="I55" t="s">
        <v>718</v>
      </c>
      <c r="K55">
        <f t="shared" si="2"/>
        <v>60</v>
      </c>
      <c r="L55">
        <f t="shared" si="3"/>
        <v>2058</v>
      </c>
    </row>
    <row r="56" spans="2:30" x14ac:dyDescent="0.2">
      <c r="B56">
        <v>36850000</v>
      </c>
      <c r="C56" t="s">
        <v>512</v>
      </c>
      <c r="D56">
        <f t="shared" si="0"/>
        <v>55275000</v>
      </c>
      <c r="E56">
        <v>40</v>
      </c>
      <c r="F56" t="s">
        <v>685</v>
      </c>
      <c r="G56">
        <f>VLOOKUP(F56,Sheet2!$B$2:$C$70,2,FALSE)</f>
        <v>1998</v>
      </c>
      <c r="H56">
        <f t="shared" si="1"/>
        <v>1.5</v>
      </c>
      <c r="I56" t="s">
        <v>718</v>
      </c>
      <c r="K56">
        <f t="shared" si="2"/>
        <v>60</v>
      </c>
      <c r="L56">
        <f t="shared" si="3"/>
        <v>2058</v>
      </c>
    </row>
    <row r="57" spans="2:30" x14ac:dyDescent="0.2">
      <c r="B57">
        <v>47890000</v>
      </c>
      <c r="C57" t="s">
        <v>512</v>
      </c>
      <c r="D57">
        <f t="shared" si="0"/>
        <v>71835000</v>
      </c>
      <c r="E57">
        <v>40</v>
      </c>
      <c r="F57" t="s">
        <v>685</v>
      </c>
      <c r="G57">
        <f>VLOOKUP(F57,Sheet2!$B$2:$C$70,2,FALSE)</f>
        <v>1998</v>
      </c>
      <c r="H57">
        <f t="shared" si="1"/>
        <v>1.5</v>
      </c>
      <c r="I57" t="s">
        <v>718</v>
      </c>
      <c r="K57">
        <f t="shared" si="2"/>
        <v>60</v>
      </c>
      <c r="L57">
        <f t="shared" si="3"/>
        <v>2058</v>
      </c>
    </row>
    <row r="58" spans="2:30" x14ac:dyDescent="0.2">
      <c r="B58">
        <v>33350000</v>
      </c>
      <c r="C58" t="s">
        <v>512</v>
      </c>
      <c r="D58">
        <f t="shared" si="0"/>
        <v>50025000</v>
      </c>
      <c r="E58">
        <v>40</v>
      </c>
      <c r="F58" t="s">
        <v>685</v>
      </c>
      <c r="G58">
        <f>VLOOKUP(F58,Sheet2!$B$2:$C$70,2,FALSE)</f>
        <v>1998</v>
      </c>
      <c r="H58">
        <f t="shared" si="1"/>
        <v>1.5</v>
      </c>
      <c r="I58" t="s">
        <v>718</v>
      </c>
      <c r="K58">
        <f t="shared" si="2"/>
        <v>60</v>
      </c>
      <c r="L58">
        <f t="shared" si="3"/>
        <v>2058</v>
      </c>
    </row>
    <row r="59" spans="2:30" x14ac:dyDescent="0.2">
      <c r="B59">
        <v>39450000</v>
      </c>
      <c r="C59" t="s">
        <v>512</v>
      </c>
      <c r="D59">
        <f t="shared" si="0"/>
        <v>59175000</v>
      </c>
      <c r="E59">
        <v>40</v>
      </c>
      <c r="F59" t="s">
        <v>685</v>
      </c>
      <c r="G59">
        <f>VLOOKUP(F59,Sheet2!$B$2:$C$70,2,FALSE)</f>
        <v>1998</v>
      </c>
      <c r="H59">
        <f t="shared" si="1"/>
        <v>1.5</v>
      </c>
      <c r="I59" t="s">
        <v>718</v>
      </c>
      <c r="K59">
        <f t="shared" si="2"/>
        <v>60</v>
      </c>
      <c r="L59">
        <f t="shared" si="3"/>
        <v>2058</v>
      </c>
    </row>
    <row r="60" spans="2:30" x14ac:dyDescent="0.2">
      <c r="B60">
        <v>34680000</v>
      </c>
      <c r="C60" t="s">
        <v>512</v>
      </c>
      <c r="D60">
        <f t="shared" si="0"/>
        <v>52020000</v>
      </c>
      <c r="E60">
        <v>40</v>
      </c>
      <c r="F60" t="s">
        <v>685</v>
      </c>
      <c r="G60">
        <f>VLOOKUP(F60,Sheet2!$B$2:$C$70,2,FALSE)</f>
        <v>1998</v>
      </c>
      <c r="H60">
        <f t="shared" si="1"/>
        <v>1.5</v>
      </c>
      <c r="I60" t="s">
        <v>718</v>
      </c>
      <c r="K60">
        <f t="shared" si="2"/>
        <v>60</v>
      </c>
      <c r="L60">
        <f t="shared" si="3"/>
        <v>2058</v>
      </c>
    </row>
    <row r="61" spans="2:30" x14ac:dyDescent="0.2">
      <c r="B61">
        <v>37740000</v>
      </c>
      <c r="C61" t="s">
        <v>512</v>
      </c>
      <c r="D61">
        <f t="shared" si="0"/>
        <v>56610000</v>
      </c>
      <c r="E61">
        <v>40</v>
      </c>
      <c r="F61" t="s">
        <v>685</v>
      </c>
      <c r="G61">
        <f>VLOOKUP(F61,Sheet2!$B$2:$C$70,2,FALSE)</f>
        <v>1998</v>
      </c>
      <c r="H61">
        <f t="shared" si="1"/>
        <v>1.5</v>
      </c>
      <c r="I61" t="s">
        <v>718</v>
      </c>
      <c r="K61">
        <f t="shared" si="2"/>
        <v>60</v>
      </c>
      <c r="L61">
        <f t="shared" si="3"/>
        <v>2058</v>
      </c>
    </row>
    <row r="62" spans="2:30" x14ac:dyDescent="0.2">
      <c r="B62">
        <v>48649829</v>
      </c>
      <c r="C62" t="s">
        <v>546</v>
      </c>
      <c r="D62">
        <f t="shared" si="0"/>
        <v>72974744</v>
      </c>
      <c r="E62">
        <v>60</v>
      </c>
      <c r="F62" t="s">
        <v>685</v>
      </c>
      <c r="G62">
        <f>VLOOKUP(F62,Sheet2!$B$2:$C$70,2,FALSE)</f>
        <v>1998</v>
      </c>
      <c r="H62">
        <f t="shared" si="1"/>
        <v>1.5</v>
      </c>
      <c r="I62" t="s">
        <v>722</v>
      </c>
      <c r="K62">
        <f t="shared" si="2"/>
        <v>90</v>
      </c>
      <c r="L62">
        <f t="shared" si="3"/>
        <v>2088</v>
      </c>
    </row>
    <row r="63" spans="2:30" x14ac:dyDescent="0.2">
      <c r="B63">
        <v>954171</v>
      </c>
      <c r="C63" t="s">
        <v>547</v>
      </c>
      <c r="D63">
        <f t="shared" si="0"/>
        <v>1431257</v>
      </c>
      <c r="E63">
        <v>60</v>
      </c>
      <c r="F63" t="s">
        <v>685</v>
      </c>
      <c r="G63">
        <f>VLOOKUP(F63,Sheet2!$B$2:$C$70,2,FALSE)</f>
        <v>1998</v>
      </c>
      <c r="H63">
        <f t="shared" si="1"/>
        <v>1.5</v>
      </c>
      <c r="I63" t="s">
        <v>721</v>
      </c>
      <c r="K63">
        <f t="shared" si="2"/>
        <v>90</v>
      </c>
      <c r="L63">
        <f t="shared" si="3"/>
        <v>2088</v>
      </c>
    </row>
    <row r="64" spans="2:30" x14ac:dyDescent="0.2">
      <c r="B64">
        <v>24136911</v>
      </c>
      <c r="C64" t="s">
        <v>548</v>
      </c>
      <c r="D64">
        <f t="shared" si="0"/>
        <v>36205367</v>
      </c>
      <c r="E64">
        <v>40</v>
      </c>
      <c r="F64" t="s">
        <v>685</v>
      </c>
      <c r="G64">
        <f>VLOOKUP(F64,Sheet2!$B$2:$C$70,2,FALSE)</f>
        <v>1998</v>
      </c>
      <c r="H64">
        <f t="shared" si="1"/>
        <v>1.5</v>
      </c>
      <c r="I64" t="s">
        <v>721</v>
      </c>
      <c r="K64">
        <f t="shared" si="2"/>
        <v>60</v>
      </c>
      <c r="L64">
        <f t="shared" si="3"/>
        <v>2058</v>
      </c>
    </row>
    <row r="65" spans="2:12" x14ac:dyDescent="0.2">
      <c r="B65">
        <v>3523089</v>
      </c>
      <c r="C65" t="s">
        <v>549</v>
      </c>
      <c r="D65">
        <f t="shared" si="0"/>
        <v>5284634</v>
      </c>
      <c r="E65">
        <v>40</v>
      </c>
      <c r="F65" t="s">
        <v>685</v>
      </c>
      <c r="G65">
        <f>VLOOKUP(F65,Sheet2!$B$2:$C$70,2,FALSE)</f>
        <v>1998</v>
      </c>
      <c r="H65">
        <f t="shared" si="1"/>
        <v>1.5</v>
      </c>
      <c r="I65" t="s">
        <v>721</v>
      </c>
      <c r="K65">
        <f t="shared" si="2"/>
        <v>60</v>
      </c>
      <c r="L65">
        <f t="shared" si="3"/>
        <v>2058</v>
      </c>
    </row>
    <row r="66" spans="2:12" x14ac:dyDescent="0.2">
      <c r="B66">
        <v>44520000</v>
      </c>
      <c r="C66" t="s">
        <v>512</v>
      </c>
      <c r="D66">
        <f t="shared" si="0"/>
        <v>66780000</v>
      </c>
      <c r="E66">
        <v>40</v>
      </c>
      <c r="F66" t="s">
        <v>685</v>
      </c>
      <c r="G66">
        <f>VLOOKUP(F66,Sheet2!$B$2:$C$70,2,FALSE)</f>
        <v>1998</v>
      </c>
      <c r="H66">
        <f t="shared" si="1"/>
        <v>1.5</v>
      </c>
      <c r="I66" t="s">
        <v>718</v>
      </c>
      <c r="K66">
        <f t="shared" si="2"/>
        <v>60</v>
      </c>
      <c r="L66">
        <f t="shared" si="3"/>
        <v>2058</v>
      </c>
    </row>
    <row r="67" spans="2:12" x14ac:dyDescent="0.2">
      <c r="B67">
        <v>26710000</v>
      </c>
      <c r="C67" t="s">
        <v>512</v>
      </c>
      <c r="D67">
        <f t="shared" ref="D67:D130" si="10">ROUND(B67*H67,0)</f>
        <v>40065000</v>
      </c>
      <c r="E67">
        <v>40</v>
      </c>
      <c r="F67" t="s">
        <v>685</v>
      </c>
      <c r="G67">
        <f>VLOOKUP(F67,Sheet2!$B$2:$C$70,2,FALSE)</f>
        <v>1998</v>
      </c>
      <c r="H67">
        <f t="shared" ref="H67:H130" si="11">VLOOKUP(G67,$AB$1:$AD$51,3,FALSE)</f>
        <v>1.5</v>
      </c>
      <c r="I67" t="s">
        <v>718</v>
      </c>
      <c r="K67">
        <f t="shared" ref="K67:K130" si="12">ROUND(E67*1.5,0)</f>
        <v>60</v>
      </c>
      <c r="L67">
        <f t="shared" ref="L67:L130" si="13">G67+K67</f>
        <v>2058</v>
      </c>
    </row>
    <row r="68" spans="2:12" x14ac:dyDescent="0.2">
      <c r="B68">
        <v>38960000</v>
      </c>
      <c r="C68" t="s">
        <v>512</v>
      </c>
      <c r="D68">
        <f t="shared" si="10"/>
        <v>58440000</v>
      </c>
      <c r="E68">
        <v>40</v>
      </c>
      <c r="F68" t="s">
        <v>685</v>
      </c>
      <c r="G68">
        <f>VLOOKUP(F68,Sheet2!$B$2:$C$70,2,FALSE)</f>
        <v>1998</v>
      </c>
      <c r="H68">
        <f t="shared" si="11"/>
        <v>1.5</v>
      </c>
      <c r="I68" t="s">
        <v>718</v>
      </c>
      <c r="K68">
        <f t="shared" si="12"/>
        <v>60</v>
      </c>
      <c r="L68">
        <f t="shared" si="13"/>
        <v>2058</v>
      </c>
    </row>
    <row r="69" spans="2:12" x14ac:dyDescent="0.2">
      <c r="B69">
        <v>48620000</v>
      </c>
      <c r="C69" t="s">
        <v>512</v>
      </c>
      <c r="D69">
        <f t="shared" si="10"/>
        <v>72930000</v>
      </c>
      <c r="E69">
        <v>40</v>
      </c>
      <c r="F69" t="s">
        <v>685</v>
      </c>
      <c r="G69">
        <f>VLOOKUP(F69,Sheet2!$B$2:$C$70,2,FALSE)</f>
        <v>1998</v>
      </c>
      <c r="H69">
        <f t="shared" si="11"/>
        <v>1.5</v>
      </c>
      <c r="I69" t="s">
        <v>718</v>
      </c>
      <c r="K69">
        <f t="shared" si="12"/>
        <v>60</v>
      </c>
      <c r="L69">
        <f t="shared" si="13"/>
        <v>2058</v>
      </c>
    </row>
    <row r="70" spans="2:12" x14ac:dyDescent="0.2">
      <c r="B70">
        <v>25670000</v>
      </c>
      <c r="C70" t="s">
        <v>512</v>
      </c>
      <c r="D70">
        <f t="shared" si="10"/>
        <v>38505000</v>
      </c>
      <c r="E70">
        <v>40</v>
      </c>
      <c r="F70" t="s">
        <v>685</v>
      </c>
      <c r="G70">
        <f>VLOOKUP(F70,Sheet2!$B$2:$C$70,2,FALSE)</f>
        <v>1998</v>
      </c>
      <c r="H70">
        <f t="shared" si="11"/>
        <v>1.5</v>
      </c>
      <c r="I70" t="s">
        <v>718</v>
      </c>
      <c r="K70">
        <f t="shared" si="12"/>
        <v>60</v>
      </c>
      <c r="L70">
        <f t="shared" si="13"/>
        <v>2058</v>
      </c>
    </row>
    <row r="71" spans="2:12" x14ac:dyDescent="0.2">
      <c r="B71">
        <v>17787172</v>
      </c>
      <c r="C71" t="s">
        <v>512</v>
      </c>
      <c r="D71">
        <f t="shared" si="10"/>
        <v>26680758</v>
      </c>
      <c r="E71">
        <v>40</v>
      </c>
      <c r="F71" t="s">
        <v>685</v>
      </c>
      <c r="G71">
        <f>VLOOKUP(F71,Sheet2!$B$2:$C$70,2,FALSE)</f>
        <v>1998</v>
      </c>
      <c r="H71">
        <f t="shared" si="11"/>
        <v>1.5</v>
      </c>
      <c r="I71" t="s">
        <v>718</v>
      </c>
      <c r="K71">
        <f t="shared" si="12"/>
        <v>60</v>
      </c>
      <c r="L71">
        <f t="shared" si="13"/>
        <v>2058</v>
      </c>
    </row>
    <row r="72" spans="2:12" x14ac:dyDescent="0.2">
      <c r="B72">
        <v>8222828</v>
      </c>
      <c r="C72" t="s">
        <v>550</v>
      </c>
      <c r="D72">
        <f t="shared" si="10"/>
        <v>12334242</v>
      </c>
      <c r="E72">
        <v>50</v>
      </c>
      <c r="F72" t="s">
        <v>685</v>
      </c>
      <c r="G72">
        <f>VLOOKUP(F72,Sheet2!$B$2:$C$70,2,FALSE)</f>
        <v>1998</v>
      </c>
      <c r="H72">
        <f t="shared" si="11"/>
        <v>1.5</v>
      </c>
      <c r="I72" t="s">
        <v>722</v>
      </c>
      <c r="K72">
        <f t="shared" si="12"/>
        <v>75</v>
      </c>
      <c r="L72">
        <f t="shared" si="13"/>
        <v>2073</v>
      </c>
    </row>
    <row r="73" spans="2:12" x14ac:dyDescent="0.2">
      <c r="B73">
        <v>25568994</v>
      </c>
      <c r="C73" t="s">
        <v>551</v>
      </c>
      <c r="D73">
        <f t="shared" si="10"/>
        <v>38353491</v>
      </c>
      <c r="E73">
        <v>50</v>
      </c>
      <c r="F73" t="s">
        <v>685</v>
      </c>
      <c r="G73">
        <f>VLOOKUP(F73,Sheet2!$B$2:$C$70,2,FALSE)</f>
        <v>1998</v>
      </c>
      <c r="H73">
        <f t="shared" si="11"/>
        <v>1.5</v>
      </c>
      <c r="I73" t="s">
        <v>722</v>
      </c>
      <c r="K73">
        <f t="shared" si="12"/>
        <v>75</v>
      </c>
      <c r="L73">
        <f t="shared" si="13"/>
        <v>2073</v>
      </c>
    </row>
    <row r="74" spans="2:12" x14ac:dyDescent="0.2">
      <c r="B74">
        <v>711006</v>
      </c>
      <c r="C74" t="s">
        <v>512</v>
      </c>
      <c r="D74">
        <f t="shared" si="10"/>
        <v>1066509</v>
      </c>
      <c r="E74">
        <v>40</v>
      </c>
      <c r="F74" t="s">
        <v>685</v>
      </c>
      <c r="G74">
        <f>VLOOKUP(F74,Sheet2!$B$2:$C$70,2,FALSE)</f>
        <v>1998</v>
      </c>
      <c r="H74">
        <f t="shared" si="11"/>
        <v>1.5</v>
      </c>
      <c r="I74" t="s">
        <v>718</v>
      </c>
      <c r="K74">
        <f t="shared" si="12"/>
        <v>60</v>
      </c>
      <c r="L74">
        <f t="shared" si="13"/>
        <v>2058</v>
      </c>
    </row>
    <row r="75" spans="2:12" x14ac:dyDescent="0.2">
      <c r="B75">
        <v>8063316</v>
      </c>
      <c r="C75" t="s">
        <v>552</v>
      </c>
      <c r="D75">
        <f t="shared" si="10"/>
        <v>12094974</v>
      </c>
      <c r="E75">
        <v>15</v>
      </c>
      <c r="F75" t="s">
        <v>685</v>
      </c>
      <c r="G75">
        <f>VLOOKUP(F75,Sheet2!$B$2:$C$70,2,FALSE)</f>
        <v>1998</v>
      </c>
      <c r="H75">
        <f t="shared" si="11"/>
        <v>1.5</v>
      </c>
      <c r="I75" t="s">
        <v>723</v>
      </c>
      <c r="K75">
        <f t="shared" si="12"/>
        <v>23</v>
      </c>
      <c r="L75">
        <f t="shared" si="13"/>
        <v>2021</v>
      </c>
    </row>
    <row r="76" spans="2:12" x14ac:dyDescent="0.2">
      <c r="B76">
        <v>1941816</v>
      </c>
      <c r="C76" t="s">
        <v>553</v>
      </c>
      <c r="D76">
        <f t="shared" si="10"/>
        <v>2912724</v>
      </c>
      <c r="E76">
        <v>40</v>
      </c>
      <c r="F76" t="s">
        <v>685</v>
      </c>
      <c r="G76">
        <f>VLOOKUP(F76,Sheet2!$B$2:$C$70,2,FALSE)</f>
        <v>1998</v>
      </c>
      <c r="H76">
        <f t="shared" si="11"/>
        <v>1.5</v>
      </c>
      <c r="I76" t="s">
        <v>718</v>
      </c>
      <c r="K76">
        <f t="shared" si="12"/>
        <v>60</v>
      </c>
      <c r="L76">
        <f t="shared" si="13"/>
        <v>2058</v>
      </c>
    </row>
    <row r="77" spans="2:12" x14ac:dyDescent="0.2">
      <c r="B77">
        <v>16504868</v>
      </c>
      <c r="C77" t="s">
        <v>554</v>
      </c>
      <c r="D77">
        <f t="shared" si="10"/>
        <v>24757302</v>
      </c>
      <c r="E77">
        <v>20</v>
      </c>
      <c r="F77" t="s">
        <v>685</v>
      </c>
      <c r="G77">
        <f>VLOOKUP(F77,Sheet2!$B$2:$C$70,2,FALSE)</f>
        <v>1998</v>
      </c>
      <c r="H77">
        <f t="shared" si="11"/>
        <v>1.5</v>
      </c>
      <c r="I77" t="s">
        <v>723</v>
      </c>
      <c r="K77">
        <f t="shared" si="12"/>
        <v>30</v>
      </c>
      <c r="L77">
        <f t="shared" si="13"/>
        <v>2028</v>
      </c>
    </row>
    <row r="78" spans="2:12" x14ac:dyDescent="0.2">
      <c r="B78">
        <v>4041566</v>
      </c>
      <c r="C78" t="s">
        <v>512</v>
      </c>
      <c r="D78">
        <f t="shared" si="10"/>
        <v>6062349</v>
      </c>
      <c r="E78">
        <v>40</v>
      </c>
      <c r="F78" t="s">
        <v>685</v>
      </c>
      <c r="G78">
        <f>VLOOKUP(F78,Sheet2!$B$2:$C$70,2,FALSE)</f>
        <v>1998</v>
      </c>
      <c r="H78">
        <f t="shared" si="11"/>
        <v>1.5</v>
      </c>
      <c r="I78" t="s">
        <v>718</v>
      </c>
      <c r="K78">
        <f t="shared" si="12"/>
        <v>60</v>
      </c>
      <c r="L78">
        <f t="shared" si="13"/>
        <v>2058</v>
      </c>
    </row>
    <row r="79" spans="2:12" x14ac:dyDescent="0.2">
      <c r="B79">
        <v>3165434</v>
      </c>
      <c r="C79" t="s">
        <v>555</v>
      </c>
      <c r="D79">
        <f t="shared" si="10"/>
        <v>4748151</v>
      </c>
      <c r="E79">
        <v>60</v>
      </c>
      <c r="F79" t="s">
        <v>685</v>
      </c>
      <c r="G79">
        <f>VLOOKUP(F79,Sheet2!$B$2:$C$70,2,FALSE)</f>
        <v>1998</v>
      </c>
      <c r="H79">
        <f t="shared" si="11"/>
        <v>1.5</v>
      </c>
      <c r="I79" t="s">
        <v>722</v>
      </c>
      <c r="K79">
        <f t="shared" si="12"/>
        <v>90</v>
      </c>
      <c r="L79">
        <f t="shared" si="13"/>
        <v>2088</v>
      </c>
    </row>
    <row r="80" spans="2:12" x14ac:dyDescent="0.2">
      <c r="B80">
        <v>9520000</v>
      </c>
      <c r="C80" t="s">
        <v>556</v>
      </c>
      <c r="D80">
        <f t="shared" si="10"/>
        <v>14119551</v>
      </c>
      <c r="E80">
        <v>60</v>
      </c>
      <c r="F80" t="s">
        <v>266</v>
      </c>
      <c r="G80">
        <f>VLOOKUP(F80,Sheet2!$B$2:$C$70,2,FALSE)</f>
        <v>2005</v>
      </c>
      <c r="H80">
        <f t="shared" si="11"/>
        <v>1.4831460674157304</v>
      </c>
      <c r="I80" t="s">
        <v>721</v>
      </c>
      <c r="K80">
        <f t="shared" si="12"/>
        <v>90</v>
      </c>
      <c r="L80">
        <f t="shared" si="13"/>
        <v>2095</v>
      </c>
    </row>
    <row r="81" spans="2:12" x14ac:dyDescent="0.2">
      <c r="B81">
        <v>25520000</v>
      </c>
      <c r="C81" t="s">
        <v>512</v>
      </c>
      <c r="D81">
        <f t="shared" si="10"/>
        <v>37181457</v>
      </c>
      <c r="E81">
        <v>40</v>
      </c>
      <c r="F81" t="s">
        <v>267</v>
      </c>
      <c r="G81">
        <f>VLOOKUP(F81,Sheet2!$B$2:$C$70,2,FALSE)</f>
        <v>2006</v>
      </c>
      <c r="H81">
        <f t="shared" si="11"/>
        <v>1.4569536423841061</v>
      </c>
      <c r="I81" t="s">
        <v>718</v>
      </c>
      <c r="K81">
        <f t="shared" si="12"/>
        <v>60</v>
      </c>
      <c r="L81">
        <f t="shared" si="13"/>
        <v>2066</v>
      </c>
    </row>
    <row r="82" spans="2:12" x14ac:dyDescent="0.2">
      <c r="B82">
        <v>24790000</v>
      </c>
      <c r="C82" t="s">
        <v>512</v>
      </c>
      <c r="D82">
        <f t="shared" si="10"/>
        <v>36117881</v>
      </c>
      <c r="E82">
        <v>40</v>
      </c>
      <c r="F82" t="s">
        <v>267</v>
      </c>
      <c r="G82">
        <f>VLOOKUP(F82,Sheet2!$B$2:$C$70,2,FALSE)</f>
        <v>2006</v>
      </c>
      <c r="H82">
        <f t="shared" si="11"/>
        <v>1.4569536423841061</v>
      </c>
      <c r="I82" t="s">
        <v>718</v>
      </c>
      <c r="K82">
        <f t="shared" si="12"/>
        <v>60</v>
      </c>
      <c r="L82">
        <f t="shared" si="13"/>
        <v>2066</v>
      </c>
    </row>
    <row r="83" spans="2:12" x14ac:dyDescent="0.2">
      <c r="B83">
        <v>25910000</v>
      </c>
      <c r="C83" t="s">
        <v>512</v>
      </c>
      <c r="D83">
        <f t="shared" si="10"/>
        <v>37749669</v>
      </c>
      <c r="E83">
        <v>40</v>
      </c>
      <c r="F83" t="s">
        <v>267</v>
      </c>
      <c r="G83">
        <f>VLOOKUP(F83,Sheet2!$B$2:$C$70,2,FALSE)</f>
        <v>2006</v>
      </c>
      <c r="H83">
        <f t="shared" si="11"/>
        <v>1.4569536423841061</v>
      </c>
      <c r="I83" t="s">
        <v>718</v>
      </c>
      <c r="K83">
        <f t="shared" si="12"/>
        <v>60</v>
      </c>
      <c r="L83">
        <f t="shared" si="13"/>
        <v>2066</v>
      </c>
    </row>
    <row r="84" spans="2:12" x14ac:dyDescent="0.2">
      <c r="B84">
        <v>21510000</v>
      </c>
      <c r="C84" t="s">
        <v>512</v>
      </c>
      <c r="D84">
        <f t="shared" si="10"/>
        <v>31339073</v>
      </c>
      <c r="E84">
        <v>40</v>
      </c>
      <c r="F84" t="s">
        <v>267</v>
      </c>
      <c r="G84">
        <f>VLOOKUP(F84,Sheet2!$B$2:$C$70,2,FALSE)</f>
        <v>2006</v>
      </c>
      <c r="H84">
        <f t="shared" si="11"/>
        <v>1.4569536423841061</v>
      </c>
      <c r="I84" t="s">
        <v>718</v>
      </c>
      <c r="K84">
        <f t="shared" si="12"/>
        <v>60</v>
      </c>
      <c r="L84">
        <f t="shared" si="13"/>
        <v>2066</v>
      </c>
    </row>
    <row r="85" spans="2:12" x14ac:dyDescent="0.2">
      <c r="B85">
        <v>20480000</v>
      </c>
      <c r="C85" t="s">
        <v>512</v>
      </c>
      <c r="D85">
        <f t="shared" si="10"/>
        <v>29838411</v>
      </c>
      <c r="E85">
        <v>40</v>
      </c>
      <c r="F85" t="s">
        <v>267</v>
      </c>
      <c r="G85">
        <f>VLOOKUP(F85,Sheet2!$B$2:$C$70,2,FALSE)</f>
        <v>2006</v>
      </c>
      <c r="H85">
        <f t="shared" si="11"/>
        <v>1.4569536423841061</v>
      </c>
      <c r="I85" t="s">
        <v>718</v>
      </c>
      <c r="K85">
        <f t="shared" si="12"/>
        <v>60</v>
      </c>
      <c r="L85">
        <f t="shared" si="13"/>
        <v>2066</v>
      </c>
    </row>
    <row r="86" spans="2:12" x14ac:dyDescent="0.2">
      <c r="B86">
        <v>22760000</v>
      </c>
      <c r="C86" t="s">
        <v>512</v>
      </c>
      <c r="D86">
        <f t="shared" si="10"/>
        <v>33160265</v>
      </c>
      <c r="E86">
        <v>40</v>
      </c>
      <c r="F86" t="s">
        <v>267</v>
      </c>
      <c r="G86">
        <f>VLOOKUP(F86,Sheet2!$B$2:$C$70,2,FALSE)</f>
        <v>2006</v>
      </c>
      <c r="H86">
        <f t="shared" si="11"/>
        <v>1.4569536423841061</v>
      </c>
      <c r="I86" t="s">
        <v>718</v>
      </c>
      <c r="K86">
        <f t="shared" si="12"/>
        <v>60</v>
      </c>
      <c r="L86">
        <f t="shared" si="13"/>
        <v>2066</v>
      </c>
    </row>
    <row r="87" spans="2:12" x14ac:dyDescent="0.2">
      <c r="B87">
        <v>24250000</v>
      </c>
      <c r="C87" t="s">
        <v>512</v>
      </c>
      <c r="D87">
        <f t="shared" si="10"/>
        <v>34235294</v>
      </c>
      <c r="E87">
        <v>40</v>
      </c>
      <c r="F87" t="s">
        <v>268</v>
      </c>
      <c r="G87">
        <f>VLOOKUP(F87,Sheet2!$B$2:$C$70,2,FALSE)</f>
        <v>2007</v>
      </c>
      <c r="H87">
        <f t="shared" si="11"/>
        <v>1.411764705882353</v>
      </c>
      <c r="I87" t="s">
        <v>718</v>
      </c>
      <c r="K87">
        <f t="shared" si="12"/>
        <v>60</v>
      </c>
      <c r="L87">
        <f t="shared" si="13"/>
        <v>2067</v>
      </c>
    </row>
    <row r="88" spans="2:12" x14ac:dyDescent="0.2">
      <c r="B88">
        <v>33250000</v>
      </c>
      <c r="C88" t="s">
        <v>557</v>
      </c>
      <c r="D88">
        <f t="shared" si="10"/>
        <v>46941176</v>
      </c>
      <c r="E88">
        <v>60</v>
      </c>
      <c r="F88" t="s">
        <v>268</v>
      </c>
      <c r="G88">
        <f>VLOOKUP(F88,Sheet2!$B$2:$C$70,2,FALSE)</f>
        <v>2007</v>
      </c>
      <c r="H88">
        <f t="shared" si="11"/>
        <v>1.411764705882353</v>
      </c>
      <c r="I88" t="s">
        <v>721</v>
      </c>
      <c r="K88">
        <f t="shared" si="12"/>
        <v>90</v>
      </c>
      <c r="L88">
        <f t="shared" si="13"/>
        <v>2097</v>
      </c>
    </row>
    <row r="89" spans="2:12" x14ac:dyDescent="0.2">
      <c r="B89">
        <v>25776791</v>
      </c>
      <c r="C89" t="s">
        <v>558</v>
      </c>
      <c r="D89">
        <f t="shared" si="10"/>
        <v>36390764</v>
      </c>
      <c r="E89">
        <v>50</v>
      </c>
      <c r="F89" t="s">
        <v>268</v>
      </c>
      <c r="G89">
        <f>VLOOKUP(F89,Sheet2!$B$2:$C$70,2,FALSE)</f>
        <v>2007</v>
      </c>
      <c r="H89">
        <f t="shared" si="11"/>
        <v>1.411764705882353</v>
      </c>
      <c r="I89" t="s">
        <v>721</v>
      </c>
      <c r="K89">
        <f t="shared" si="12"/>
        <v>75</v>
      </c>
      <c r="L89">
        <f t="shared" si="13"/>
        <v>2082</v>
      </c>
    </row>
    <row r="90" spans="2:12" x14ac:dyDescent="0.2">
      <c r="B90">
        <v>797196</v>
      </c>
      <c r="C90" t="s">
        <v>559</v>
      </c>
      <c r="D90">
        <f t="shared" si="10"/>
        <v>1125453</v>
      </c>
      <c r="E90">
        <v>20</v>
      </c>
      <c r="F90" t="s">
        <v>268</v>
      </c>
      <c r="G90">
        <f>VLOOKUP(F90,Sheet2!$B$2:$C$70,2,FALSE)</f>
        <v>2007</v>
      </c>
      <c r="H90">
        <f t="shared" si="11"/>
        <v>1.411764705882353</v>
      </c>
      <c r="I90" t="s">
        <v>723</v>
      </c>
      <c r="K90">
        <f t="shared" si="12"/>
        <v>30</v>
      </c>
      <c r="L90">
        <f t="shared" si="13"/>
        <v>2037</v>
      </c>
    </row>
    <row r="91" spans="2:12" x14ac:dyDescent="0.2">
      <c r="B91">
        <v>2155360</v>
      </c>
      <c r="C91" t="s">
        <v>560</v>
      </c>
      <c r="D91">
        <f t="shared" si="10"/>
        <v>3042861</v>
      </c>
      <c r="E91">
        <v>20</v>
      </c>
      <c r="F91" t="s">
        <v>268</v>
      </c>
      <c r="G91">
        <f>VLOOKUP(F91,Sheet2!$B$2:$C$70,2,FALSE)</f>
        <v>2007</v>
      </c>
      <c r="H91">
        <f t="shared" si="11"/>
        <v>1.411764705882353</v>
      </c>
      <c r="I91" t="s">
        <v>723</v>
      </c>
      <c r="K91">
        <f t="shared" si="12"/>
        <v>30</v>
      </c>
      <c r="L91">
        <f t="shared" si="13"/>
        <v>2037</v>
      </c>
    </row>
    <row r="92" spans="2:12" x14ac:dyDescent="0.2">
      <c r="B92">
        <v>602719</v>
      </c>
      <c r="C92" t="s">
        <v>561</v>
      </c>
      <c r="D92">
        <f t="shared" si="10"/>
        <v>850897</v>
      </c>
      <c r="E92">
        <v>40</v>
      </c>
      <c r="F92" t="s">
        <v>268</v>
      </c>
      <c r="G92">
        <f>VLOOKUP(F92,Sheet2!$B$2:$C$70,2,FALSE)</f>
        <v>2007</v>
      </c>
      <c r="H92">
        <f t="shared" si="11"/>
        <v>1.411764705882353</v>
      </c>
      <c r="I92" t="s">
        <v>718</v>
      </c>
      <c r="K92">
        <f t="shared" si="12"/>
        <v>60</v>
      </c>
      <c r="L92">
        <f t="shared" si="13"/>
        <v>2067</v>
      </c>
    </row>
    <row r="93" spans="2:12" x14ac:dyDescent="0.2">
      <c r="B93">
        <v>1035056</v>
      </c>
      <c r="C93" t="s">
        <v>562</v>
      </c>
      <c r="D93">
        <f t="shared" si="10"/>
        <v>1461256</v>
      </c>
      <c r="E93">
        <v>15</v>
      </c>
      <c r="F93" t="s">
        <v>268</v>
      </c>
      <c r="G93">
        <f>VLOOKUP(F93,Sheet2!$B$2:$C$70,2,FALSE)</f>
        <v>2007</v>
      </c>
      <c r="H93">
        <f t="shared" si="11"/>
        <v>1.411764705882353</v>
      </c>
      <c r="I93" t="s">
        <v>723</v>
      </c>
      <c r="K93">
        <f t="shared" si="12"/>
        <v>23</v>
      </c>
      <c r="L93">
        <f t="shared" si="13"/>
        <v>2030</v>
      </c>
    </row>
    <row r="94" spans="2:12" x14ac:dyDescent="0.2">
      <c r="B94">
        <v>669456</v>
      </c>
      <c r="C94" t="s">
        <v>563</v>
      </c>
      <c r="D94">
        <f t="shared" si="10"/>
        <v>945114</v>
      </c>
      <c r="E94">
        <v>40</v>
      </c>
      <c r="F94" t="s">
        <v>268</v>
      </c>
      <c r="G94">
        <f>VLOOKUP(F94,Sheet2!$B$2:$C$70,2,FALSE)</f>
        <v>2007</v>
      </c>
      <c r="H94">
        <f t="shared" si="11"/>
        <v>1.411764705882353</v>
      </c>
      <c r="I94" t="s">
        <v>718</v>
      </c>
      <c r="K94">
        <f t="shared" si="12"/>
        <v>60</v>
      </c>
      <c r="L94">
        <f t="shared" si="13"/>
        <v>2067</v>
      </c>
    </row>
    <row r="95" spans="2:12" x14ac:dyDescent="0.2">
      <c r="B95">
        <v>21756</v>
      </c>
      <c r="C95" t="s">
        <v>564</v>
      </c>
      <c r="D95">
        <f t="shared" si="10"/>
        <v>30714</v>
      </c>
      <c r="E95">
        <v>40</v>
      </c>
      <c r="F95" t="s">
        <v>268</v>
      </c>
      <c r="G95">
        <f>VLOOKUP(F95,Sheet2!$B$2:$C$70,2,FALSE)</f>
        <v>2007</v>
      </c>
      <c r="H95">
        <f t="shared" si="11"/>
        <v>1.411764705882353</v>
      </c>
      <c r="I95" t="s">
        <v>718</v>
      </c>
      <c r="K95">
        <f t="shared" si="12"/>
        <v>60</v>
      </c>
      <c r="L95">
        <f t="shared" si="13"/>
        <v>2067</v>
      </c>
    </row>
    <row r="96" spans="2:12" x14ac:dyDescent="0.2">
      <c r="B96">
        <v>171165</v>
      </c>
      <c r="C96" t="s">
        <v>565</v>
      </c>
      <c r="D96">
        <f t="shared" si="10"/>
        <v>241645</v>
      </c>
      <c r="E96">
        <v>40</v>
      </c>
      <c r="F96" t="s">
        <v>268</v>
      </c>
      <c r="G96">
        <f>VLOOKUP(F96,Sheet2!$B$2:$C$70,2,FALSE)</f>
        <v>2007</v>
      </c>
      <c r="H96">
        <f t="shared" si="11"/>
        <v>1.411764705882353</v>
      </c>
      <c r="I96" t="s">
        <v>718</v>
      </c>
      <c r="K96">
        <f t="shared" si="12"/>
        <v>60</v>
      </c>
      <c r="L96">
        <f t="shared" si="13"/>
        <v>2067</v>
      </c>
    </row>
    <row r="97" spans="2:12" x14ac:dyDescent="0.2">
      <c r="B97">
        <v>5245</v>
      </c>
      <c r="C97" t="s">
        <v>566</v>
      </c>
      <c r="D97">
        <f t="shared" si="10"/>
        <v>7405</v>
      </c>
      <c r="E97">
        <v>40</v>
      </c>
      <c r="F97" t="s">
        <v>268</v>
      </c>
      <c r="G97">
        <f>VLOOKUP(F97,Sheet2!$B$2:$C$70,2,FALSE)</f>
        <v>2007</v>
      </c>
      <c r="H97">
        <f t="shared" si="11"/>
        <v>1.411764705882353</v>
      </c>
      <c r="I97" t="s">
        <v>718</v>
      </c>
      <c r="K97">
        <f t="shared" si="12"/>
        <v>60</v>
      </c>
      <c r="L97">
        <f t="shared" si="13"/>
        <v>2067</v>
      </c>
    </row>
    <row r="98" spans="2:12" x14ac:dyDescent="0.2">
      <c r="B98">
        <v>457152</v>
      </c>
      <c r="C98" t="s">
        <v>567</v>
      </c>
      <c r="D98">
        <f t="shared" si="10"/>
        <v>645391</v>
      </c>
      <c r="E98">
        <v>40</v>
      </c>
      <c r="F98" t="s">
        <v>268</v>
      </c>
      <c r="G98">
        <f>VLOOKUP(F98,Sheet2!$B$2:$C$70,2,FALSE)</f>
        <v>2007</v>
      </c>
      <c r="H98">
        <f t="shared" si="11"/>
        <v>1.411764705882353</v>
      </c>
      <c r="I98" t="s">
        <v>718</v>
      </c>
      <c r="K98">
        <f t="shared" si="12"/>
        <v>60</v>
      </c>
      <c r="L98">
        <f t="shared" si="13"/>
        <v>2067</v>
      </c>
    </row>
    <row r="99" spans="2:12" x14ac:dyDescent="0.2">
      <c r="B99">
        <v>59807</v>
      </c>
      <c r="C99" t="s">
        <v>568</v>
      </c>
      <c r="D99">
        <f t="shared" si="10"/>
        <v>84433</v>
      </c>
      <c r="E99">
        <v>40</v>
      </c>
      <c r="F99" t="s">
        <v>268</v>
      </c>
      <c r="G99">
        <f>VLOOKUP(F99,Sheet2!$B$2:$C$70,2,FALSE)</f>
        <v>2007</v>
      </c>
      <c r="H99">
        <f t="shared" si="11"/>
        <v>1.411764705882353</v>
      </c>
      <c r="I99" t="s">
        <v>718</v>
      </c>
      <c r="K99">
        <f t="shared" si="12"/>
        <v>60</v>
      </c>
      <c r="L99">
        <f t="shared" si="13"/>
        <v>2067</v>
      </c>
    </row>
    <row r="100" spans="2:12" x14ac:dyDescent="0.2">
      <c r="B100">
        <v>12108</v>
      </c>
      <c r="C100" t="s">
        <v>569</v>
      </c>
      <c r="D100">
        <f t="shared" si="10"/>
        <v>17094</v>
      </c>
      <c r="E100">
        <v>40</v>
      </c>
      <c r="F100" t="s">
        <v>268</v>
      </c>
      <c r="G100">
        <f>VLOOKUP(F100,Sheet2!$B$2:$C$70,2,FALSE)</f>
        <v>2007</v>
      </c>
      <c r="H100">
        <f t="shared" si="11"/>
        <v>1.411764705882353</v>
      </c>
      <c r="I100" t="s">
        <v>718</v>
      </c>
      <c r="K100">
        <f t="shared" si="12"/>
        <v>60</v>
      </c>
      <c r="L100">
        <f t="shared" si="13"/>
        <v>2067</v>
      </c>
    </row>
    <row r="101" spans="2:12" x14ac:dyDescent="0.2">
      <c r="B101">
        <v>66094</v>
      </c>
      <c r="C101" t="s">
        <v>570</v>
      </c>
      <c r="D101">
        <f t="shared" si="10"/>
        <v>80114</v>
      </c>
      <c r="E101">
        <v>40</v>
      </c>
      <c r="F101" t="s">
        <v>268</v>
      </c>
      <c r="G101">
        <f>VLOOKUP(F11,Sheet2!$B$2:$C$70,2,FALSE)</f>
        <v>2020</v>
      </c>
      <c r="H101">
        <f t="shared" si="11"/>
        <v>1.2121212121212122</v>
      </c>
      <c r="I101" t="s">
        <v>724</v>
      </c>
      <c r="K101">
        <f t="shared" si="12"/>
        <v>60</v>
      </c>
      <c r="L101">
        <f t="shared" si="13"/>
        <v>2080</v>
      </c>
    </row>
    <row r="102" spans="2:12" x14ac:dyDescent="0.2">
      <c r="B102">
        <v>18520</v>
      </c>
      <c r="C102" t="s">
        <v>571</v>
      </c>
      <c r="D102">
        <f t="shared" si="10"/>
        <v>26146</v>
      </c>
      <c r="E102">
        <v>40</v>
      </c>
      <c r="F102" t="s">
        <v>268</v>
      </c>
      <c r="G102">
        <f>VLOOKUP(F102,Sheet2!$B$2:$C$70,2,FALSE)</f>
        <v>2007</v>
      </c>
      <c r="H102">
        <f t="shared" si="11"/>
        <v>1.411764705882353</v>
      </c>
      <c r="I102" t="s">
        <v>724</v>
      </c>
      <c r="K102">
        <f t="shared" si="12"/>
        <v>60</v>
      </c>
      <c r="L102">
        <f t="shared" si="13"/>
        <v>2067</v>
      </c>
    </row>
    <row r="103" spans="2:12" x14ac:dyDescent="0.2">
      <c r="B103">
        <v>68094</v>
      </c>
      <c r="C103" t="s">
        <v>572</v>
      </c>
      <c r="D103">
        <f t="shared" si="10"/>
        <v>96133</v>
      </c>
      <c r="E103">
        <v>40</v>
      </c>
      <c r="F103" t="s">
        <v>268</v>
      </c>
      <c r="G103">
        <f>VLOOKUP(F103,Sheet2!$B$2:$C$70,2,FALSE)</f>
        <v>2007</v>
      </c>
      <c r="H103">
        <f t="shared" si="11"/>
        <v>1.411764705882353</v>
      </c>
      <c r="I103" t="s">
        <v>724</v>
      </c>
      <c r="K103">
        <f t="shared" si="12"/>
        <v>60</v>
      </c>
      <c r="L103">
        <f t="shared" si="13"/>
        <v>2067</v>
      </c>
    </row>
    <row r="104" spans="2:12" x14ac:dyDescent="0.2">
      <c r="B104">
        <v>23481</v>
      </c>
      <c r="C104" t="s">
        <v>573</v>
      </c>
      <c r="D104">
        <f t="shared" si="10"/>
        <v>33150</v>
      </c>
      <c r="E104">
        <v>40</v>
      </c>
      <c r="F104" t="s">
        <v>268</v>
      </c>
      <c r="G104">
        <f>VLOOKUP(F104,Sheet2!$B$2:$C$70,2,FALSE)</f>
        <v>2007</v>
      </c>
      <c r="H104">
        <f t="shared" si="11"/>
        <v>1.411764705882353</v>
      </c>
      <c r="I104" t="s">
        <v>724</v>
      </c>
      <c r="K104">
        <f t="shared" si="12"/>
        <v>60</v>
      </c>
      <c r="L104">
        <f t="shared" si="13"/>
        <v>2067</v>
      </c>
    </row>
    <row r="105" spans="2:12" x14ac:dyDescent="0.2">
      <c r="B105">
        <v>25760000</v>
      </c>
      <c r="C105" t="s">
        <v>574</v>
      </c>
      <c r="D105">
        <f t="shared" si="10"/>
        <v>36367059</v>
      </c>
      <c r="E105">
        <v>60</v>
      </c>
      <c r="F105" t="s">
        <v>268</v>
      </c>
      <c r="G105">
        <f>VLOOKUP(F105,Sheet2!$B$2:$C$70,2,FALSE)</f>
        <v>2007</v>
      </c>
      <c r="H105">
        <f t="shared" si="11"/>
        <v>1.411764705882353</v>
      </c>
      <c r="I105" t="s">
        <v>721</v>
      </c>
      <c r="K105">
        <f t="shared" si="12"/>
        <v>90</v>
      </c>
      <c r="L105">
        <f t="shared" si="13"/>
        <v>2097</v>
      </c>
    </row>
    <row r="106" spans="2:12" x14ac:dyDescent="0.2">
      <c r="B106">
        <v>2159055</v>
      </c>
      <c r="C106" t="s">
        <v>575</v>
      </c>
      <c r="D106">
        <f t="shared" si="10"/>
        <v>3048078</v>
      </c>
      <c r="E106">
        <v>15</v>
      </c>
      <c r="F106" t="s">
        <v>268</v>
      </c>
      <c r="G106">
        <f>VLOOKUP(F106,Sheet2!$B$2:$C$70,2,FALSE)</f>
        <v>2007</v>
      </c>
      <c r="H106">
        <f t="shared" si="11"/>
        <v>1.411764705882353</v>
      </c>
      <c r="I106" t="s">
        <v>723</v>
      </c>
      <c r="K106">
        <f t="shared" si="12"/>
        <v>23</v>
      </c>
      <c r="L106">
        <f t="shared" si="13"/>
        <v>2030</v>
      </c>
    </row>
    <row r="107" spans="2:12" x14ac:dyDescent="0.2">
      <c r="B107">
        <v>263402</v>
      </c>
      <c r="C107" t="s">
        <v>576</v>
      </c>
      <c r="D107">
        <f t="shared" si="10"/>
        <v>371862</v>
      </c>
      <c r="E107">
        <v>15</v>
      </c>
      <c r="F107" t="s">
        <v>268</v>
      </c>
      <c r="G107">
        <f>VLOOKUP(F107,Sheet2!$B$2:$C$70,2,FALSE)</f>
        <v>2007</v>
      </c>
      <c r="H107">
        <f t="shared" si="11"/>
        <v>1.411764705882353</v>
      </c>
      <c r="I107" t="s">
        <v>723</v>
      </c>
      <c r="K107">
        <f t="shared" si="12"/>
        <v>23</v>
      </c>
      <c r="L107">
        <f t="shared" si="13"/>
        <v>2030</v>
      </c>
    </row>
    <row r="108" spans="2:12" x14ac:dyDescent="0.2">
      <c r="B108">
        <v>34910558</v>
      </c>
      <c r="C108" t="s">
        <v>577</v>
      </c>
      <c r="D108">
        <f t="shared" si="10"/>
        <v>49285494</v>
      </c>
      <c r="E108">
        <v>20</v>
      </c>
      <c r="F108" t="s">
        <v>268</v>
      </c>
      <c r="G108">
        <f>VLOOKUP(F108,Sheet2!$B$2:$C$70,2,FALSE)</f>
        <v>2007</v>
      </c>
      <c r="H108">
        <f t="shared" si="11"/>
        <v>1.411764705882353</v>
      </c>
      <c r="I108" t="s">
        <v>723</v>
      </c>
      <c r="K108">
        <f t="shared" si="12"/>
        <v>30</v>
      </c>
      <c r="L108">
        <f t="shared" si="13"/>
        <v>2037</v>
      </c>
    </row>
    <row r="109" spans="2:12" x14ac:dyDescent="0.2">
      <c r="B109">
        <v>1604230</v>
      </c>
      <c r="C109" t="s">
        <v>578</v>
      </c>
      <c r="D109">
        <f t="shared" si="10"/>
        <v>2264795</v>
      </c>
      <c r="E109">
        <v>20</v>
      </c>
      <c r="F109" t="s">
        <v>268</v>
      </c>
      <c r="G109">
        <f>VLOOKUP(F109,Sheet2!$B$2:$C$70,2,FALSE)</f>
        <v>2007</v>
      </c>
      <c r="H109">
        <f t="shared" si="11"/>
        <v>1.411764705882353</v>
      </c>
      <c r="I109" t="s">
        <v>723</v>
      </c>
      <c r="K109">
        <f t="shared" si="12"/>
        <v>30</v>
      </c>
      <c r="L109">
        <f t="shared" si="13"/>
        <v>2037</v>
      </c>
    </row>
    <row r="110" spans="2:12" x14ac:dyDescent="0.2">
      <c r="B110">
        <v>2495313</v>
      </c>
      <c r="C110" t="s">
        <v>579</v>
      </c>
      <c r="D110">
        <f t="shared" si="10"/>
        <v>3522795</v>
      </c>
      <c r="E110">
        <v>15</v>
      </c>
      <c r="F110" t="s">
        <v>268</v>
      </c>
      <c r="G110">
        <f>VLOOKUP(F110,Sheet2!$B$2:$C$70,2,FALSE)</f>
        <v>2007</v>
      </c>
      <c r="H110">
        <f t="shared" si="11"/>
        <v>1.411764705882353</v>
      </c>
      <c r="I110" t="s">
        <v>723</v>
      </c>
      <c r="K110">
        <f t="shared" si="12"/>
        <v>23</v>
      </c>
      <c r="L110">
        <f t="shared" si="13"/>
        <v>2030</v>
      </c>
    </row>
    <row r="111" spans="2:12" x14ac:dyDescent="0.2">
      <c r="B111">
        <v>898088</v>
      </c>
      <c r="C111" t="s">
        <v>580</v>
      </c>
      <c r="D111">
        <f t="shared" si="10"/>
        <v>1267889</v>
      </c>
      <c r="E111">
        <v>15</v>
      </c>
      <c r="F111" t="s">
        <v>268</v>
      </c>
      <c r="G111">
        <f>VLOOKUP(F111,Sheet2!$B$2:$C$70,2,FALSE)</f>
        <v>2007</v>
      </c>
      <c r="H111">
        <f t="shared" si="11"/>
        <v>1.411764705882353</v>
      </c>
      <c r="I111" t="s">
        <v>723</v>
      </c>
      <c r="K111">
        <f t="shared" si="12"/>
        <v>23</v>
      </c>
      <c r="L111">
        <f t="shared" si="13"/>
        <v>2030</v>
      </c>
    </row>
    <row r="112" spans="2:12" x14ac:dyDescent="0.2">
      <c r="B112">
        <v>3202855</v>
      </c>
      <c r="C112" t="s">
        <v>581</v>
      </c>
      <c r="D112">
        <f t="shared" si="10"/>
        <v>4521678</v>
      </c>
      <c r="E112">
        <v>10</v>
      </c>
      <c r="F112" t="s">
        <v>268</v>
      </c>
      <c r="G112">
        <f>VLOOKUP(F112,Sheet2!$B$2:$C$70,2,FALSE)</f>
        <v>2007</v>
      </c>
      <c r="H112">
        <f t="shared" si="11"/>
        <v>1.411764705882353</v>
      </c>
      <c r="I112" t="s">
        <v>723</v>
      </c>
      <c r="K112">
        <f t="shared" si="12"/>
        <v>15</v>
      </c>
      <c r="L112">
        <f t="shared" si="13"/>
        <v>2022</v>
      </c>
    </row>
    <row r="113" spans="2:12" x14ac:dyDescent="0.2">
      <c r="B113">
        <v>2928244</v>
      </c>
      <c r="C113" t="s">
        <v>582</v>
      </c>
      <c r="D113">
        <f t="shared" si="10"/>
        <v>4133992</v>
      </c>
      <c r="E113">
        <v>15</v>
      </c>
      <c r="F113" t="s">
        <v>268</v>
      </c>
      <c r="G113">
        <f>VLOOKUP(F113,Sheet2!$B$2:$C$70,2,FALSE)</f>
        <v>2007</v>
      </c>
      <c r="H113">
        <f t="shared" si="11"/>
        <v>1.411764705882353</v>
      </c>
      <c r="I113" t="s">
        <v>723</v>
      </c>
      <c r="K113">
        <f t="shared" si="12"/>
        <v>23</v>
      </c>
      <c r="L113">
        <f t="shared" si="13"/>
        <v>2030</v>
      </c>
    </row>
    <row r="114" spans="2:12" x14ac:dyDescent="0.2">
      <c r="B114">
        <v>1287587</v>
      </c>
      <c r="C114" t="s">
        <v>583</v>
      </c>
      <c r="D114">
        <f t="shared" si="10"/>
        <v>1817770</v>
      </c>
      <c r="E114">
        <v>15</v>
      </c>
      <c r="F114" t="s">
        <v>268</v>
      </c>
      <c r="G114">
        <f>VLOOKUP(F114,Sheet2!$B$2:$C$70,2,FALSE)</f>
        <v>2007</v>
      </c>
      <c r="H114">
        <f t="shared" si="11"/>
        <v>1.411764705882353</v>
      </c>
      <c r="I114" t="s">
        <v>723</v>
      </c>
      <c r="K114">
        <f t="shared" si="12"/>
        <v>23</v>
      </c>
      <c r="L114">
        <f t="shared" si="13"/>
        <v>2030</v>
      </c>
    </row>
    <row r="115" spans="2:12" x14ac:dyDescent="0.2">
      <c r="B115">
        <v>118581</v>
      </c>
      <c r="C115" t="s">
        <v>584</v>
      </c>
      <c r="D115">
        <f t="shared" si="10"/>
        <v>167408</v>
      </c>
      <c r="E115">
        <v>20</v>
      </c>
      <c r="F115" t="s">
        <v>268</v>
      </c>
      <c r="G115">
        <f>VLOOKUP(F115,Sheet2!$B$2:$C$70,2,FALSE)</f>
        <v>2007</v>
      </c>
      <c r="H115">
        <f t="shared" si="11"/>
        <v>1.411764705882353</v>
      </c>
      <c r="I115" t="s">
        <v>723</v>
      </c>
      <c r="K115">
        <f t="shared" si="12"/>
        <v>30</v>
      </c>
      <c r="L115">
        <f t="shared" si="13"/>
        <v>2037</v>
      </c>
    </row>
    <row r="116" spans="2:12" x14ac:dyDescent="0.2">
      <c r="B116">
        <v>2116108</v>
      </c>
      <c r="C116" t="s">
        <v>585</v>
      </c>
      <c r="D116">
        <f t="shared" si="10"/>
        <v>2987447</v>
      </c>
      <c r="E116">
        <v>20</v>
      </c>
      <c r="F116" t="s">
        <v>268</v>
      </c>
      <c r="G116">
        <f>VLOOKUP(F116,Sheet2!$B$2:$C$70,2,FALSE)</f>
        <v>2007</v>
      </c>
      <c r="H116">
        <f t="shared" si="11"/>
        <v>1.411764705882353</v>
      </c>
      <c r="I116" t="s">
        <v>723</v>
      </c>
      <c r="K116">
        <f t="shared" si="12"/>
        <v>30</v>
      </c>
      <c r="L116">
        <f t="shared" si="13"/>
        <v>2037</v>
      </c>
    </row>
    <row r="117" spans="2:12" x14ac:dyDescent="0.2">
      <c r="B117">
        <v>3625979</v>
      </c>
      <c r="C117" t="s">
        <v>586</v>
      </c>
      <c r="D117">
        <f t="shared" si="10"/>
        <v>5119029</v>
      </c>
      <c r="E117">
        <v>15</v>
      </c>
      <c r="F117" t="s">
        <v>268</v>
      </c>
      <c r="G117">
        <f>VLOOKUP(F117,Sheet2!$B$2:$C$70,2,FALSE)</f>
        <v>2007</v>
      </c>
      <c r="H117">
        <f t="shared" si="11"/>
        <v>1.411764705882353</v>
      </c>
      <c r="I117" t="s">
        <v>723</v>
      </c>
      <c r="K117">
        <f t="shared" si="12"/>
        <v>23</v>
      </c>
      <c r="L117">
        <f t="shared" si="13"/>
        <v>2030</v>
      </c>
    </row>
    <row r="118" spans="2:12" x14ac:dyDescent="0.2">
      <c r="B118">
        <v>25330000</v>
      </c>
      <c r="C118" t="s">
        <v>512</v>
      </c>
      <c r="D118">
        <f t="shared" si="10"/>
        <v>33841700</v>
      </c>
      <c r="E118">
        <v>40</v>
      </c>
      <c r="F118" t="s">
        <v>269</v>
      </c>
      <c r="G118">
        <f>VLOOKUP(F118,Sheet2!$B$2:$C$70,2,FALSE)</f>
        <v>2008</v>
      </c>
      <c r="H118">
        <f t="shared" si="11"/>
        <v>1.3360323886639676</v>
      </c>
      <c r="I118" t="s">
        <v>718</v>
      </c>
      <c r="K118">
        <f t="shared" si="12"/>
        <v>60</v>
      </c>
      <c r="L118">
        <f t="shared" si="13"/>
        <v>2068</v>
      </c>
    </row>
    <row r="119" spans="2:12" x14ac:dyDescent="0.2">
      <c r="B119">
        <v>3120000</v>
      </c>
      <c r="C119" t="s">
        <v>512</v>
      </c>
      <c r="D119">
        <f t="shared" si="10"/>
        <v>4168421</v>
      </c>
      <c r="E119">
        <v>40</v>
      </c>
      <c r="F119" t="s">
        <v>269</v>
      </c>
      <c r="G119">
        <f>VLOOKUP(F119,Sheet2!$B$2:$C$70,2,FALSE)</f>
        <v>2008</v>
      </c>
      <c r="H119">
        <f t="shared" si="11"/>
        <v>1.3360323886639676</v>
      </c>
      <c r="I119" t="s">
        <v>718</v>
      </c>
      <c r="K119">
        <f t="shared" si="12"/>
        <v>60</v>
      </c>
      <c r="L119">
        <f t="shared" si="13"/>
        <v>2068</v>
      </c>
    </row>
    <row r="120" spans="2:12" x14ac:dyDescent="0.2">
      <c r="B120">
        <v>25740000</v>
      </c>
      <c r="C120" t="s">
        <v>512</v>
      </c>
      <c r="D120">
        <f t="shared" si="10"/>
        <v>34389474</v>
      </c>
      <c r="E120">
        <v>40</v>
      </c>
      <c r="F120" t="s">
        <v>269</v>
      </c>
      <c r="G120">
        <f>VLOOKUP(F120,Sheet2!$B$2:$C$70,2,FALSE)</f>
        <v>2008</v>
      </c>
      <c r="H120">
        <f t="shared" si="11"/>
        <v>1.3360323886639676</v>
      </c>
      <c r="I120" t="s">
        <v>718</v>
      </c>
      <c r="K120">
        <f t="shared" si="12"/>
        <v>60</v>
      </c>
      <c r="L120">
        <f t="shared" si="13"/>
        <v>2068</v>
      </c>
    </row>
    <row r="121" spans="2:12" x14ac:dyDescent="0.2">
      <c r="B121">
        <v>29070000</v>
      </c>
      <c r="C121" t="s">
        <v>512</v>
      </c>
      <c r="D121">
        <f t="shared" si="10"/>
        <v>38838462</v>
      </c>
      <c r="E121">
        <v>40</v>
      </c>
      <c r="F121" t="s">
        <v>269</v>
      </c>
      <c r="G121">
        <f>VLOOKUP(F121,Sheet2!$B$2:$C$70,2,FALSE)</f>
        <v>2008</v>
      </c>
      <c r="H121">
        <f t="shared" si="11"/>
        <v>1.3360323886639676</v>
      </c>
      <c r="I121" t="s">
        <v>718</v>
      </c>
      <c r="K121">
        <f t="shared" si="12"/>
        <v>60</v>
      </c>
      <c r="L121">
        <f t="shared" si="13"/>
        <v>2068</v>
      </c>
    </row>
    <row r="122" spans="2:12" x14ac:dyDescent="0.2">
      <c r="B122">
        <v>5085468</v>
      </c>
      <c r="C122" t="s">
        <v>587</v>
      </c>
      <c r="D122">
        <f t="shared" si="10"/>
        <v>6794350</v>
      </c>
      <c r="E122">
        <v>15</v>
      </c>
      <c r="F122" t="s">
        <v>269</v>
      </c>
      <c r="G122">
        <f>VLOOKUP(F122,Sheet2!$B$2:$C$70,2,FALSE)</f>
        <v>2008</v>
      </c>
      <c r="H122">
        <f t="shared" si="11"/>
        <v>1.3360323886639676</v>
      </c>
      <c r="I122" t="s">
        <v>723</v>
      </c>
      <c r="K122">
        <f t="shared" si="12"/>
        <v>23</v>
      </c>
      <c r="L122">
        <f t="shared" si="13"/>
        <v>2031</v>
      </c>
    </row>
    <row r="123" spans="2:12" x14ac:dyDescent="0.2">
      <c r="B123">
        <v>283841</v>
      </c>
      <c r="C123" t="s">
        <v>588</v>
      </c>
      <c r="D123">
        <f t="shared" si="10"/>
        <v>379221</v>
      </c>
      <c r="E123">
        <v>20</v>
      </c>
      <c r="F123" t="s">
        <v>269</v>
      </c>
      <c r="G123">
        <f>VLOOKUP(F123,Sheet2!$B$2:$C$70,2,FALSE)</f>
        <v>2008</v>
      </c>
      <c r="H123">
        <f t="shared" si="11"/>
        <v>1.3360323886639676</v>
      </c>
      <c r="I123" t="s">
        <v>723</v>
      </c>
      <c r="K123">
        <f t="shared" si="12"/>
        <v>30</v>
      </c>
      <c r="L123">
        <f t="shared" si="13"/>
        <v>2038</v>
      </c>
    </row>
    <row r="124" spans="2:12" x14ac:dyDescent="0.2">
      <c r="B124">
        <v>473067</v>
      </c>
      <c r="C124" t="s">
        <v>589</v>
      </c>
      <c r="D124">
        <f t="shared" si="10"/>
        <v>632033</v>
      </c>
      <c r="E124">
        <v>20</v>
      </c>
      <c r="F124" t="s">
        <v>269</v>
      </c>
      <c r="G124">
        <f>VLOOKUP(F124,Sheet2!$B$2:$C$70,2,FALSE)</f>
        <v>2008</v>
      </c>
      <c r="H124">
        <f t="shared" si="11"/>
        <v>1.3360323886639676</v>
      </c>
      <c r="I124" t="s">
        <v>723</v>
      </c>
      <c r="K124">
        <f t="shared" si="12"/>
        <v>30</v>
      </c>
      <c r="L124">
        <f t="shared" si="13"/>
        <v>2038</v>
      </c>
    </row>
    <row r="125" spans="2:12" x14ac:dyDescent="0.2">
      <c r="B125">
        <v>2081494</v>
      </c>
      <c r="C125" t="s">
        <v>590</v>
      </c>
      <c r="D125">
        <f t="shared" si="10"/>
        <v>2780943</v>
      </c>
      <c r="E125">
        <v>10</v>
      </c>
      <c r="F125" t="s">
        <v>269</v>
      </c>
      <c r="G125">
        <f>VLOOKUP(F125,Sheet2!$B$2:$C$70,2,FALSE)</f>
        <v>2008</v>
      </c>
      <c r="H125">
        <f t="shared" si="11"/>
        <v>1.3360323886639676</v>
      </c>
      <c r="I125" t="s">
        <v>723</v>
      </c>
      <c r="K125">
        <f t="shared" si="12"/>
        <v>15</v>
      </c>
      <c r="L125">
        <f t="shared" si="13"/>
        <v>2023</v>
      </c>
    </row>
    <row r="126" spans="2:12" x14ac:dyDescent="0.2">
      <c r="B126">
        <v>2205674</v>
      </c>
      <c r="C126" t="s">
        <v>591</v>
      </c>
      <c r="D126">
        <f t="shared" si="10"/>
        <v>2946852</v>
      </c>
      <c r="E126">
        <v>10</v>
      </c>
      <c r="F126" t="s">
        <v>269</v>
      </c>
      <c r="G126">
        <f>VLOOKUP(F126,Sheet2!$B$2:$C$70,2,FALSE)</f>
        <v>2008</v>
      </c>
      <c r="H126">
        <f t="shared" si="11"/>
        <v>1.3360323886639676</v>
      </c>
      <c r="I126" t="s">
        <v>723</v>
      </c>
      <c r="K126">
        <f t="shared" si="12"/>
        <v>15</v>
      </c>
      <c r="L126">
        <f t="shared" si="13"/>
        <v>2023</v>
      </c>
    </row>
    <row r="127" spans="2:12" x14ac:dyDescent="0.2">
      <c r="B127">
        <v>2081494</v>
      </c>
      <c r="C127" t="s">
        <v>592</v>
      </c>
      <c r="D127">
        <f t="shared" si="10"/>
        <v>2780943</v>
      </c>
      <c r="E127">
        <v>10</v>
      </c>
      <c r="F127" t="s">
        <v>269</v>
      </c>
      <c r="G127">
        <f>VLOOKUP(F127,Sheet2!$B$2:$C$70,2,FALSE)</f>
        <v>2008</v>
      </c>
      <c r="H127">
        <f t="shared" si="11"/>
        <v>1.3360323886639676</v>
      </c>
      <c r="I127" t="s">
        <v>723</v>
      </c>
      <c r="K127">
        <f t="shared" si="12"/>
        <v>15</v>
      </c>
      <c r="L127">
        <f t="shared" si="13"/>
        <v>2023</v>
      </c>
    </row>
    <row r="128" spans="2:12" x14ac:dyDescent="0.2">
      <c r="B128">
        <v>2856141</v>
      </c>
      <c r="C128" t="s">
        <v>593</v>
      </c>
      <c r="D128">
        <f t="shared" si="10"/>
        <v>3815897</v>
      </c>
      <c r="E128">
        <v>10</v>
      </c>
      <c r="F128" t="s">
        <v>269</v>
      </c>
      <c r="G128">
        <f>VLOOKUP(F128,Sheet2!$B$2:$C$70,2,FALSE)</f>
        <v>2008</v>
      </c>
      <c r="H128">
        <f t="shared" si="11"/>
        <v>1.3360323886639676</v>
      </c>
      <c r="I128" t="s">
        <v>723</v>
      </c>
      <c r="K128">
        <f t="shared" si="12"/>
        <v>15</v>
      </c>
      <c r="L128">
        <f t="shared" si="13"/>
        <v>2023</v>
      </c>
    </row>
    <row r="129" spans="2:12" x14ac:dyDescent="0.2">
      <c r="B129">
        <v>3358774</v>
      </c>
      <c r="C129" t="s">
        <v>594</v>
      </c>
      <c r="D129">
        <f t="shared" si="10"/>
        <v>4487431</v>
      </c>
      <c r="E129">
        <v>10</v>
      </c>
      <c r="F129" t="s">
        <v>269</v>
      </c>
      <c r="G129">
        <f>VLOOKUP(F129,Sheet2!$B$2:$C$70,2,FALSE)</f>
        <v>2008</v>
      </c>
      <c r="H129">
        <f t="shared" si="11"/>
        <v>1.3360323886639676</v>
      </c>
      <c r="I129" t="s">
        <v>723</v>
      </c>
      <c r="K129">
        <f t="shared" si="12"/>
        <v>15</v>
      </c>
      <c r="L129">
        <f t="shared" si="13"/>
        <v>2023</v>
      </c>
    </row>
    <row r="130" spans="2:12" x14ac:dyDescent="0.2">
      <c r="B130">
        <v>2235240</v>
      </c>
      <c r="C130" t="s">
        <v>595</v>
      </c>
      <c r="D130">
        <f t="shared" si="10"/>
        <v>2986353</v>
      </c>
      <c r="E130">
        <v>10</v>
      </c>
      <c r="F130" t="s">
        <v>269</v>
      </c>
      <c r="G130">
        <f>VLOOKUP(F130,Sheet2!$B$2:$C$70,2,FALSE)</f>
        <v>2008</v>
      </c>
      <c r="H130">
        <f t="shared" si="11"/>
        <v>1.3360323886639676</v>
      </c>
      <c r="I130" t="s">
        <v>723</v>
      </c>
      <c r="K130">
        <f t="shared" si="12"/>
        <v>15</v>
      </c>
      <c r="L130">
        <f t="shared" si="13"/>
        <v>2023</v>
      </c>
    </row>
    <row r="131" spans="2:12" x14ac:dyDescent="0.2">
      <c r="B131">
        <v>2205674</v>
      </c>
      <c r="C131" t="s">
        <v>596</v>
      </c>
      <c r="D131">
        <f t="shared" ref="D131:D194" si="14">ROUND(B131*H131,0)</f>
        <v>2946852</v>
      </c>
      <c r="E131">
        <v>10</v>
      </c>
      <c r="F131" t="s">
        <v>269</v>
      </c>
      <c r="G131">
        <f>VLOOKUP(F131,Sheet2!$B$2:$C$70,2,FALSE)</f>
        <v>2008</v>
      </c>
      <c r="H131">
        <f t="shared" ref="H131:H194" si="15">VLOOKUP(G131,$AB$1:$AD$51,3,FALSE)</f>
        <v>1.3360323886639676</v>
      </c>
      <c r="I131" t="s">
        <v>723</v>
      </c>
      <c r="K131">
        <f t="shared" ref="K131:K194" si="16">ROUND(E131*1.5,0)</f>
        <v>15</v>
      </c>
      <c r="L131">
        <f t="shared" ref="L131:L194" si="17">G131+K131</f>
        <v>2023</v>
      </c>
    </row>
    <row r="132" spans="2:12" x14ac:dyDescent="0.2">
      <c r="B132">
        <v>2081494</v>
      </c>
      <c r="C132" t="s">
        <v>597</v>
      </c>
      <c r="D132">
        <f t="shared" si="14"/>
        <v>2780943</v>
      </c>
      <c r="E132">
        <v>10</v>
      </c>
      <c r="F132" t="s">
        <v>269</v>
      </c>
      <c r="G132">
        <f>VLOOKUP(F132,Sheet2!$B$2:$C$70,2,FALSE)</f>
        <v>2008</v>
      </c>
      <c r="H132">
        <f t="shared" si="15"/>
        <v>1.3360323886639676</v>
      </c>
      <c r="I132" t="s">
        <v>723</v>
      </c>
      <c r="K132">
        <f t="shared" si="16"/>
        <v>15</v>
      </c>
      <c r="L132">
        <f t="shared" si="17"/>
        <v>2023</v>
      </c>
    </row>
    <row r="133" spans="2:12" x14ac:dyDescent="0.2">
      <c r="B133">
        <v>2412640</v>
      </c>
      <c r="C133" t="s">
        <v>598</v>
      </c>
      <c r="D133">
        <f t="shared" si="14"/>
        <v>3223365</v>
      </c>
      <c r="E133">
        <v>10</v>
      </c>
      <c r="F133" t="s">
        <v>269</v>
      </c>
      <c r="G133">
        <f>VLOOKUP(F133,Sheet2!$B$2:$C$70,2,FALSE)</f>
        <v>2008</v>
      </c>
      <c r="H133">
        <f t="shared" si="15"/>
        <v>1.3360323886639676</v>
      </c>
      <c r="I133" t="s">
        <v>723</v>
      </c>
      <c r="K133">
        <f t="shared" si="16"/>
        <v>15</v>
      </c>
      <c r="L133">
        <f t="shared" si="17"/>
        <v>2023</v>
      </c>
    </row>
    <row r="134" spans="2:12" x14ac:dyDescent="0.2">
      <c r="B134">
        <v>272134</v>
      </c>
      <c r="C134" t="s">
        <v>599</v>
      </c>
      <c r="D134">
        <f t="shared" si="14"/>
        <v>363580</v>
      </c>
      <c r="E134">
        <v>10</v>
      </c>
      <c r="F134" t="s">
        <v>269</v>
      </c>
      <c r="G134">
        <f>VLOOKUP(F134,Sheet2!$B$2:$C$70,2,FALSE)</f>
        <v>2008</v>
      </c>
      <c r="H134">
        <f t="shared" si="15"/>
        <v>1.3360323886639676</v>
      </c>
      <c r="I134" t="s">
        <v>723</v>
      </c>
      <c r="K134">
        <f t="shared" si="16"/>
        <v>15</v>
      </c>
      <c r="L134">
        <f t="shared" si="17"/>
        <v>2023</v>
      </c>
    </row>
    <row r="135" spans="2:12" x14ac:dyDescent="0.2">
      <c r="B135">
        <v>768733</v>
      </c>
      <c r="C135" t="s">
        <v>503</v>
      </c>
      <c r="D135">
        <f t="shared" si="14"/>
        <v>1027052</v>
      </c>
      <c r="E135">
        <v>9</v>
      </c>
      <c r="F135" t="s">
        <v>269</v>
      </c>
      <c r="G135">
        <f>VLOOKUP(F135,Sheet2!$B$2:$C$70,2,FALSE)</f>
        <v>2008</v>
      </c>
      <c r="H135">
        <f t="shared" si="15"/>
        <v>1.3360323886639676</v>
      </c>
      <c r="I135" t="s">
        <v>723</v>
      </c>
      <c r="K135">
        <f t="shared" si="16"/>
        <v>14</v>
      </c>
      <c r="L135">
        <f t="shared" si="17"/>
        <v>2022</v>
      </c>
    </row>
    <row r="136" spans="2:12" x14ac:dyDescent="0.2">
      <c r="B136">
        <v>69777</v>
      </c>
      <c r="C136" t="s">
        <v>600</v>
      </c>
      <c r="D136">
        <f t="shared" si="14"/>
        <v>93224</v>
      </c>
      <c r="E136">
        <v>10</v>
      </c>
      <c r="F136" t="s">
        <v>269</v>
      </c>
      <c r="G136">
        <f>VLOOKUP(F136,Sheet2!$B$2:$C$70,2,FALSE)</f>
        <v>2008</v>
      </c>
      <c r="H136">
        <f t="shared" si="15"/>
        <v>1.3360323886639676</v>
      </c>
      <c r="I136" t="s">
        <v>723</v>
      </c>
      <c r="K136">
        <f t="shared" si="16"/>
        <v>15</v>
      </c>
      <c r="L136">
        <f t="shared" si="17"/>
        <v>2023</v>
      </c>
    </row>
    <row r="137" spans="2:12" x14ac:dyDescent="0.2">
      <c r="B137">
        <v>95795</v>
      </c>
      <c r="C137" t="s">
        <v>601</v>
      </c>
      <c r="D137">
        <f t="shared" si="14"/>
        <v>127985</v>
      </c>
      <c r="E137">
        <v>10</v>
      </c>
      <c r="F137" t="s">
        <v>269</v>
      </c>
      <c r="G137">
        <f>VLOOKUP(F137,Sheet2!$B$2:$C$70,2,FALSE)</f>
        <v>2008</v>
      </c>
      <c r="H137">
        <f t="shared" si="15"/>
        <v>1.3360323886639676</v>
      </c>
      <c r="I137" t="s">
        <v>723</v>
      </c>
      <c r="K137">
        <f t="shared" si="16"/>
        <v>15</v>
      </c>
      <c r="L137">
        <f t="shared" si="17"/>
        <v>2023</v>
      </c>
    </row>
    <row r="138" spans="2:12" x14ac:dyDescent="0.2">
      <c r="B138">
        <v>1620348</v>
      </c>
      <c r="C138" t="s">
        <v>512</v>
      </c>
      <c r="D138">
        <f t="shared" si="14"/>
        <v>2275382</v>
      </c>
      <c r="E138">
        <v>40</v>
      </c>
      <c r="F138" t="s">
        <v>270</v>
      </c>
      <c r="G138">
        <f>VLOOKUP(F138,Sheet2!$B$2:$C$70,2,FALSE)</f>
        <v>2009</v>
      </c>
      <c r="H138">
        <f t="shared" si="15"/>
        <v>1.4042553191489362</v>
      </c>
      <c r="I138" t="s">
        <v>718</v>
      </c>
      <c r="K138">
        <f t="shared" si="16"/>
        <v>60</v>
      </c>
      <c r="L138">
        <f t="shared" si="17"/>
        <v>2069</v>
      </c>
    </row>
    <row r="139" spans="2:12" x14ac:dyDescent="0.2">
      <c r="B139">
        <v>8994652</v>
      </c>
      <c r="C139" t="s">
        <v>602</v>
      </c>
      <c r="D139">
        <f t="shared" si="14"/>
        <v>12630788</v>
      </c>
      <c r="E139">
        <v>60</v>
      </c>
      <c r="F139" t="s">
        <v>270</v>
      </c>
      <c r="G139">
        <f>VLOOKUP(F139,Sheet2!$B$2:$C$70,2,FALSE)</f>
        <v>2009</v>
      </c>
      <c r="H139">
        <f t="shared" si="15"/>
        <v>1.4042553191489362</v>
      </c>
      <c r="I139" t="s">
        <v>725</v>
      </c>
      <c r="K139">
        <f t="shared" si="16"/>
        <v>90</v>
      </c>
      <c r="L139">
        <f t="shared" si="17"/>
        <v>2099</v>
      </c>
    </row>
    <row r="140" spans="2:12" x14ac:dyDescent="0.2">
      <c r="B140">
        <v>8786653</v>
      </c>
      <c r="C140" t="s">
        <v>603</v>
      </c>
      <c r="D140">
        <f t="shared" si="14"/>
        <v>12338704</v>
      </c>
      <c r="E140">
        <v>15</v>
      </c>
      <c r="F140" t="s">
        <v>270</v>
      </c>
      <c r="G140">
        <f>VLOOKUP(F140,Sheet2!$B$2:$C$70,2,FALSE)</f>
        <v>2009</v>
      </c>
      <c r="H140">
        <f t="shared" si="15"/>
        <v>1.4042553191489362</v>
      </c>
      <c r="I140" t="s">
        <v>723</v>
      </c>
      <c r="K140">
        <f t="shared" si="16"/>
        <v>23</v>
      </c>
      <c r="L140">
        <f t="shared" si="17"/>
        <v>2032</v>
      </c>
    </row>
    <row r="141" spans="2:12" x14ac:dyDescent="0.2">
      <c r="B141">
        <v>5771930</v>
      </c>
      <c r="C141" t="s">
        <v>604</v>
      </c>
      <c r="D141">
        <f t="shared" si="14"/>
        <v>8105263</v>
      </c>
      <c r="E141">
        <v>20</v>
      </c>
      <c r="F141" t="s">
        <v>270</v>
      </c>
      <c r="G141">
        <f>VLOOKUP(F141,Sheet2!$B$2:$C$70,2,FALSE)</f>
        <v>2009</v>
      </c>
      <c r="H141">
        <f t="shared" si="15"/>
        <v>1.4042553191489362</v>
      </c>
      <c r="I141" t="s">
        <v>723</v>
      </c>
      <c r="K141">
        <f t="shared" si="16"/>
        <v>30</v>
      </c>
      <c r="L141">
        <f t="shared" si="17"/>
        <v>2039</v>
      </c>
    </row>
    <row r="142" spans="2:12" x14ac:dyDescent="0.2">
      <c r="B142">
        <v>186478</v>
      </c>
      <c r="C142" t="s">
        <v>605</v>
      </c>
      <c r="D142">
        <f t="shared" si="14"/>
        <v>261863</v>
      </c>
      <c r="E142">
        <v>10</v>
      </c>
      <c r="F142" t="s">
        <v>270</v>
      </c>
      <c r="G142">
        <f>VLOOKUP(F142,Sheet2!$B$2:$C$70,2,FALSE)</f>
        <v>2009</v>
      </c>
      <c r="H142">
        <f t="shared" si="15"/>
        <v>1.4042553191489362</v>
      </c>
      <c r="I142" t="s">
        <v>723</v>
      </c>
      <c r="K142">
        <f t="shared" si="16"/>
        <v>15</v>
      </c>
      <c r="L142">
        <f t="shared" si="17"/>
        <v>2024</v>
      </c>
    </row>
    <row r="143" spans="2:12" x14ac:dyDescent="0.2">
      <c r="B143">
        <v>168718</v>
      </c>
      <c r="C143" t="s">
        <v>606</v>
      </c>
      <c r="D143">
        <f t="shared" si="14"/>
        <v>236923</v>
      </c>
      <c r="E143">
        <v>40</v>
      </c>
      <c r="F143" t="s">
        <v>270</v>
      </c>
      <c r="G143">
        <f>VLOOKUP(F143,Sheet2!$B$2:$C$70,2,FALSE)</f>
        <v>2009</v>
      </c>
      <c r="H143">
        <f t="shared" si="15"/>
        <v>1.4042553191489362</v>
      </c>
      <c r="I143" t="s">
        <v>718</v>
      </c>
      <c r="K143">
        <f t="shared" si="16"/>
        <v>60</v>
      </c>
      <c r="L143">
        <f t="shared" si="17"/>
        <v>2069</v>
      </c>
    </row>
    <row r="144" spans="2:12" x14ac:dyDescent="0.2">
      <c r="B144">
        <v>421795</v>
      </c>
      <c r="C144" t="s">
        <v>607</v>
      </c>
      <c r="D144">
        <f t="shared" si="14"/>
        <v>592308</v>
      </c>
      <c r="E144">
        <v>40</v>
      </c>
      <c r="F144" t="s">
        <v>270</v>
      </c>
      <c r="G144">
        <f>VLOOKUP(F144,Sheet2!$B$2:$C$70,2,FALSE)</f>
        <v>2009</v>
      </c>
      <c r="H144">
        <f t="shared" si="15"/>
        <v>1.4042553191489362</v>
      </c>
      <c r="I144" t="s">
        <v>718</v>
      </c>
      <c r="K144">
        <f t="shared" si="16"/>
        <v>60</v>
      </c>
      <c r="L144">
        <f t="shared" si="17"/>
        <v>2069</v>
      </c>
    </row>
    <row r="145" spans="2:12" x14ac:dyDescent="0.2">
      <c r="B145">
        <v>719271</v>
      </c>
      <c r="C145" t="s">
        <v>608</v>
      </c>
      <c r="D145">
        <f t="shared" si="14"/>
        <v>1010040</v>
      </c>
      <c r="E145">
        <v>40</v>
      </c>
      <c r="F145" t="s">
        <v>270</v>
      </c>
      <c r="G145">
        <f>VLOOKUP(F145,Sheet2!$B$2:$C$70,2,FALSE)</f>
        <v>2009</v>
      </c>
      <c r="H145">
        <f t="shared" si="15"/>
        <v>1.4042553191489362</v>
      </c>
      <c r="I145" t="s">
        <v>718</v>
      </c>
      <c r="K145">
        <f t="shared" si="16"/>
        <v>60</v>
      </c>
      <c r="L145">
        <f t="shared" si="17"/>
        <v>2069</v>
      </c>
    </row>
    <row r="146" spans="2:12" x14ac:dyDescent="0.2">
      <c r="B146">
        <v>395155</v>
      </c>
      <c r="C146" t="s">
        <v>609</v>
      </c>
      <c r="D146">
        <f t="shared" si="14"/>
        <v>554899</v>
      </c>
      <c r="E146">
        <v>40</v>
      </c>
      <c r="F146" t="s">
        <v>270</v>
      </c>
      <c r="G146">
        <f>VLOOKUP(F146,Sheet2!$B$2:$C$70,2,FALSE)</f>
        <v>2009</v>
      </c>
      <c r="H146">
        <f t="shared" si="15"/>
        <v>1.4042553191489362</v>
      </c>
      <c r="I146" t="s">
        <v>718</v>
      </c>
      <c r="K146">
        <f t="shared" si="16"/>
        <v>60</v>
      </c>
      <c r="L146">
        <f t="shared" si="17"/>
        <v>2069</v>
      </c>
    </row>
    <row r="147" spans="2:12" x14ac:dyDescent="0.2">
      <c r="B147">
        <v>17530000</v>
      </c>
      <c r="C147" t="s">
        <v>512</v>
      </c>
      <c r="D147">
        <f t="shared" si="14"/>
        <v>29780695</v>
      </c>
      <c r="E147">
        <v>40</v>
      </c>
      <c r="F147" t="s">
        <v>691</v>
      </c>
      <c r="G147">
        <f>VLOOKUP(F147,Sheet2!$B$2:$C$70,2,FALSE)</f>
        <v>1977</v>
      </c>
      <c r="H147">
        <f t="shared" si="15"/>
        <v>1.6988416988416988</v>
      </c>
      <c r="I147" t="s">
        <v>718</v>
      </c>
      <c r="K147">
        <f t="shared" si="16"/>
        <v>60</v>
      </c>
      <c r="L147">
        <f t="shared" si="17"/>
        <v>2037</v>
      </c>
    </row>
    <row r="148" spans="2:12" x14ac:dyDescent="0.2">
      <c r="B148">
        <v>14400000</v>
      </c>
      <c r="C148" t="s">
        <v>512</v>
      </c>
      <c r="D148">
        <f t="shared" si="14"/>
        <v>24463320</v>
      </c>
      <c r="E148">
        <v>40</v>
      </c>
      <c r="F148" t="s">
        <v>691</v>
      </c>
      <c r="G148">
        <f>VLOOKUP(F148,Sheet2!$B$2:$C$70,2,FALSE)</f>
        <v>1977</v>
      </c>
      <c r="H148">
        <f t="shared" si="15"/>
        <v>1.6988416988416988</v>
      </c>
      <c r="I148" t="s">
        <v>718</v>
      </c>
      <c r="K148">
        <f t="shared" si="16"/>
        <v>60</v>
      </c>
      <c r="L148">
        <f t="shared" si="17"/>
        <v>2037</v>
      </c>
    </row>
    <row r="149" spans="2:12" x14ac:dyDescent="0.2">
      <c r="B149">
        <v>1800000</v>
      </c>
      <c r="C149" t="s">
        <v>512</v>
      </c>
      <c r="D149">
        <f t="shared" si="14"/>
        <v>3057915</v>
      </c>
      <c r="E149">
        <v>40</v>
      </c>
      <c r="F149" t="s">
        <v>683</v>
      </c>
      <c r="G149">
        <f>VLOOKUP(F149,Sheet2!$B$2:$C$70,2,FALSE)</f>
        <v>1978</v>
      </c>
      <c r="H149">
        <f t="shared" si="15"/>
        <v>1.6988416988416988</v>
      </c>
      <c r="I149" t="s">
        <v>718</v>
      </c>
      <c r="K149">
        <f t="shared" si="16"/>
        <v>60</v>
      </c>
      <c r="L149">
        <f t="shared" si="17"/>
        <v>2038</v>
      </c>
    </row>
    <row r="150" spans="2:12" x14ac:dyDescent="0.2">
      <c r="B150">
        <v>1685319</v>
      </c>
      <c r="C150" t="s">
        <v>512</v>
      </c>
      <c r="D150">
        <f t="shared" si="14"/>
        <v>2863090</v>
      </c>
      <c r="E150">
        <v>40</v>
      </c>
      <c r="F150" t="s">
        <v>683</v>
      </c>
      <c r="G150">
        <f>VLOOKUP(F150,Sheet2!$B$2:$C$70,2,FALSE)</f>
        <v>1978</v>
      </c>
      <c r="H150">
        <f t="shared" si="15"/>
        <v>1.6988416988416988</v>
      </c>
      <c r="I150" t="s">
        <v>718</v>
      </c>
      <c r="K150">
        <f t="shared" si="16"/>
        <v>60</v>
      </c>
      <c r="L150">
        <f t="shared" si="17"/>
        <v>2038</v>
      </c>
    </row>
    <row r="151" spans="2:12" x14ac:dyDescent="0.2">
      <c r="B151">
        <v>94681</v>
      </c>
      <c r="C151" t="s">
        <v>610</v>
      </c>
      <c r="D151">
        <f t="shared" si="14"/>
        <v>160848</v>
      </c>
      <c r="E151">
        <v>40</v>
      </c>
      <c r="F151" t="s">
        <v>683</v>
      </c>
      <c r="G151">
        <f>VLOOKUP(F151,Sheet2!$B$2:$C$70,2,FALSE)</f>
        <v>1978</v>
      </c>
      <c r="H151">
        <f t="shared" si="15"/>
        <v>1.6988416988416988</v>
      </c>
      <c r="I151" t="s">
        <v>718</v>
      </c>
      <c r="K151">
        <f t="shared" si="16"/>
        <v>60</v>
      </c>
      <c r="L151">
        <f t="shared" si="17"/>
        <v>2038</v>
      </c>
    </row>
    <row r="152" spans="2:12" x14ac:dyDescent="0.2">
      <c r="B152">
        <v>8593000</v>
      </c>
      <c r="C152" t="s">
        <v>512</v>
      </c>
      <c r="D152">
        <f t="shared" si="14"/>
        <v>14598147</v>
      </c>
      <c r="E152">
        <v>40</v>
      </c>
      <c r="F152" t="s">
        <v>683</v>
      </c>
      <c r="G152">
        <f>VLOOKUP(F152,Sheet2!$B$2:$C$70,2,FALSE)</f>
        <v>1978</v>
      </c>
      <c r="H152">
        <f t="shared" si="15"/>
        <v>1.6988416988416988</v>
      </c>
      <c r="I152" t="s">
        <v>718</v>
      </c>
      <c r="K152">
        <f t="shared" si="16"/>
        <v>60</v>
      </c>
      <c r="L152">
        <f t="shared" si="17"/>
        <v>2038</v>
      </c>
    </row>
    <row r="153" spans="2:12" x14ac:dyDescent="0.2">
      <c r="B153">
        <v>8977000</v>
      </c>
      <c r="C153" t="s">
        <v>512</v>
      </c>
      <c r="D153">
        <f t="shared" si="14"/>
        <v>15250502</v>
      </c>
      <c r="E153">
        <v>40</v>
      </c>
      <c r="F153" t="s">
        <v>683</v>
      </c>
      <c r="G153">
        <f>VLOOKUP(F153,Sheet2!$B$2:$C$70,2,FALSE)</f>
        <v>1978</v>
      </c>
      <c r="H153">
        <f t="shared" si="15"/>
        <v>1.6988416988416988</v>
      </c>
      <c r="I153" t="s">
        <v>718</v>
      </c>
      <c r="K153">
        <f t="shared" si="16"/>
        <v>60</v>
      </c>
      <c r="L153">
        <f t="shared" si="17"/>
        <v>2038</v>
      </c>
    </row>
    <row r="154" spans="2:12" x14ac:dyDescent="0.2">
      <c r="B154">
        <v>1638841</v>
      </c>
      <c r="C154" t="s">
        <v>611</v>
      </c>
      <c r="D154">
        <f t="shared" si="14"/>
        <v>2784131</v>
      </c>
      <c r="E154">
        <v>40</v>
      </c>
      <c r="F154" t="s">
        <v>683</v>
      </c>
      <c r="G154">
        <f>VLOOKUP(F154,Sheet2!$B$2:$C$70,2,FALSE)</f>
        <v>1978</v>
      </c>
      <c r="H154">
        <f t="shared" si="15"/>
        <v>1.6988416988416988</v>
      </c>
      <c r="I154" t="s">
        <v>721</v>
      </c>
      <c r="K154">
        <f t="shared" si="16"/>
        <v>60</v>
      </c>
      <c r="L154">
        <f t="shared" si="17"/>
        <v>2038</v>
      </c>
    </row>
    <row r="155" spans="2:12" x14ac:dyDescent="0.2">
      <c r="B155">
        <v>2325579</v>
      </c>
      <c r="C155" t="s">
        <v>612</v>
      </c>
      <c r="D155">
        <f t="shared" si="14"/>
        <v>3950791</v>
      </c>
      <c r="E155">
        <v>40</v>
      </c>
      <c r="F155" t="s">
        <v>683</v>
      </c>
      <c r="G155">
        <f>VLOOKUP(F155,Sheet2!$B$2:$C$70,2,FALSE)</f>
        <v>1978</v>
      </c>
      <c r="H155">
        <f t="shared" si="15"/>
        <v>1.6988416988416988</v>
      </c>
      <c r="I155" t="s">
        <v>721</v>
      </c>
      <c r="K155">
        <f t="shared" si="16"/>
        <v>60</v>
      </c>
      <c r="L155">
        <f t="shared" si="17"/>
        <v>2038</v>
      </c>
    </row>
    <row r="156" spans="2:12" x14ac:dyDescent="0.2">
      <c r="B156">
        <v>1006050</v>
      </c>
      <c r="C156" t="s">
        <v>512</v>
      </c>
      <c r="D156">
        <f t="shared" si="14"/>
        <v>1709120</v>
      </c>
      <c r="E156">
        <v>40</v>
      </c>
      <c r="F156" t="s">
        <v>683</v>
      </c>
      <c r="G156">
        <f>VLOOKUP(F156,Sheet2!$B$2:$C$70,2,FALSE)</f>
        <v>1978</v>
      </c>
      <c r="H156">
        <f t="shared" si="15"/>
        <v>1.6988416988416988</v>
      </c>
      <c r="I156" t="s">
        <v>718</v>
      </c>
      <c r="K156">
        <f t="shared" si="16"/>
        <v>60</v>
      </c>
      <c r="L156">
        <f t="shared" si="17"/>
        <v>2038</v>
      </c>
    </row>
    <row r="157" spans="2:12" x14ac:dyDescent="0.2">
      <c r="B157">
        <v>5692202</v>
      </c>
      <c r="C157" t="s">
        <v>613</v>
      </c>
      <c r="D157">
        <f t="shared" si="14"/>
        <v>9670150</v>
      </c>
      <c r="E157">
        <v>60</v>
      </c>
      <c r="F157" t="s">
        <v>683</v>
      </c>
      <c r="G157">
        <f>VLOOKUP(F157,Sheet2!$B$2:$C$70,2,FALSE)</f>
        <v>1978</v>
      </c>
      <c r="H157">
        <f t="shared" si="15"/>
        <v>1.6988416988416988</v>
      </c>
      <c r="I157" t="s">
        <v>726</v>
      </c>
      <c r="K157">
        <f t="shared" si="16"/>
        <v>90</v>
      </c>
      <c r="L157">
        <f t="shared" si="17"/>
        <v>2068</v>
      </c>
    </row>
    <row r="158" spans="2:12" x14ac:dyDescent="0.2">
      <c r="B158">
        <v>1768607</v>
      </c>
      <c r="C158" t="s">
        <v>614</v>
      </c>
      <c r="D158">
        <f t="shared" si="14"/>
        <v>3004583</v>
      </c>
      <c r="E158">
        <v>10</v>
      </c>
      <c r="F158" t="s">
        <v>683</v>
      </c>
      <c r="G158">
        <f>VLOOKUP(F158,Sheet2!$B$2:$C$70,2,FALSE)</f>
        <v>1978</v>
      </c>
      <c r="H158">
        <f t="shared" si="15"/>
        <v>1.6988416988416988</v>
      </c>
      <c r="I158" t="s">
        <v>723</v>
      </c>
      <c r="K158">
        <f t="shared" si="16"/>
        <v>15</v>
      </c>
      <c r="L158">
        <f t="shared" si="17"/>
        <v>1993</v>
      </c>
    </row>
    <row r="159" spans="2:12" x14ac:dyDescent="0.2">
      <c r="B159">
        <v>387840</v>
      </c>
      <c r="C159" t="s">
        <v>615</v>
      </c>
      <c r="D159">
        <f t="shared" si="14"/>
        <v>658879</v>
      </c>
      <c r="E159">
        <v>50</v>
      </c>
      <c r="F159" t="s">
        <v>683</v>
      </c>
      <c r="G159">
        <f>VLOOKUP(F159,Sheet2!$B$2:$C$70,2,FALSE)</f>
        <v>1978</v>
      </c>
      <c r="H159">
        <f t="shared" si="15"/>
        <v>1.6988416988416988</v>
      </c>
      <c r="I159" t="s">
        <v>726</v>
      </c>
      <c r="K159">
        <f t="shared" si="16"/>
        <v>75</v>
      </c>
      <c r="L159">
        <f t="shared" si="17"/>
        <v>2053</v>
      </c>
    </row>
    <row r="160" spans="2:12" x14ac:dyDescent="0.2">
      <c r="B160">
        <v>1832761</v>
      </c>
      <c r="C160" t="s">
        <v>616</v>
      </c>
      <c r="D160">
        <f t="shared" si="14"/>
        <v>3113571</v>
      </c>
      <c r="E160">
        <v>50</v>
      </c>
      <c r="F160" t="s">
        <v>683</v>
      </c>
      <c r="G160">
        <f>VLOOKUP(F160,Sheet2!$B$2:$C$70,2,FALSE)</f>
        <v>1978</v>
      </c>
      <c r="H160">
        <f t="shared" si="15"/>
        <v>1.6988416988416988</v>
      </c>
      <c r="I160" t="s">
        <v>726</v>
      </c>
      <c r="K160">
        <f t="shared" si="16"/>
        <v>75</v>
      </c>
      <c r="L160">
        <f t="shared" si="17"/>
        <v>2053</v>
      </c>
    </row>
    <row r="161" spans="2:12" x14ac:dyDescent="0.2">
      <c r="B161">
        <v>1907120</v>
      </c>
      <c r="C161" t="s">
        <v>512</v>
      </c>
      <c r="D161">
        <f t="shared" si="14"/>
        <v>3239895</v>
      </c>
      <c r="E161">
        <v>40</v>
      </c>
      <c r="F161" t="s">
        <v>683</v>
      </c>
      <c r="G161">
        <f>VLOOKUP(F161,Sheet2!$B$2:$C$70,2,FALSE)</f>
        <v>1978</v>
      </c>
      <c r="H161">
        <f t="shared" si="15"/>
        <v>1.6988416988416988</v>
      </c>
      <c r="I161" t="s">
        <v>718</v>
      </c>
      <c r="K161">
        <f t="shared" si="16"/>
        <v>60</v>
      </c>
      <c r="L161">
        <f t="shared" si="17"/>
        <v>2038</v>
      </c>
    </row>
    <row r="162" spans="2:12" x14ac:dyDescent="0.2">
      <c r="B162">
        <v>639688</v>
      </c>
      <c r="C162" t="s">
        <v>617</v>
      </c>
      <c r="D162">
        <f t="shared" si="14"/>
        <v>1086729</v>
      </c>
      <c r="E162">
        <v>40</v>
      </c>
      <c r="F162" t="s">
        <v>683</v>
      </c>
      <c r="G162">
        <f>VLOOKUP(F162,Sheet2!$B$2:$C$70,2,FALSE)</f>
        <v>1978</v>
      </c>
      <c r="H162">
        <f t="shared" si="15"/>
        <v>1.6988416988416988</v>
      </c>
      <c r="I162" t="s">
        <v>721</v>
      </c>
      <c r="K162">
        <f t="shared" si="16"/>
        <v>60</v>
      </c>
      <c r="L162">
        <f t="shared" si="17"/>
        <v>2038</v>
      </c>
    </row>
    <row r="163" spans="2:12" x14ac:dyDescent="0.2">
      <c r="B163">
        <v>2109243</v>
      </c>
      <c r="C163" t="s">
        <v>618</v>
      </c>
      <c r="D163">
        <f t="shared" si="14"/>
        <v>3583270</v>
      </c>
      <c r="E163">
        <v>40</v>
      </c>
      <c r="F163" t="s">
        <v>683</v>
      </c>
      <c r="G163">
        <f>VLOOKUP(F163,Sheet2!$B$2:$C$70,2,FALSE)</f>
        <v>1978</v>
      </c>
      <c r="H163">
        <f t="shared" si="15"/>
        <v>1.6988416988416988</v>
      </c>
      <c r="I163" t="s">
        <v>721</v>
      </c>
      <c r="K163">
        <f t="shared" si="16"/>
        <v>60</v>
      </c>
      <c r="L163">
        <f t="shared" si="17"/>
        <v>2038</v>
      </c>
    </row>
    <row r="164" spans="2:12" x14ac:dyDescent="0.2">
      <c r="B164">
        <v>1940676</v>
      </c>
      <c r="C164" t="s">
        <v>512</v>
      </c>
      <c r="D164">
        <f t="shared" si="14"/>
        <v>3296901</v>
      </c>
      <c r="E164">
        <v>40</v>
      </c>
      <c r="F164" t="s">
        <v>683</v>
      </c>
      <c r="G164">
        <f>VLOOKUP(F164,Sheet2!$B$2:$C$70,2,FALSE)</f>
        <v>1978</v>
      </c>
      <c r="H164">
        <f t="shared" si="15"/>
        <v>1.6988416988416988</v>
      </c>
      <c r="I164" t="s">
        <v>718</v>
      </c>
      <c r="K164">
        <f t="shared" si="16"/>
        <v>60</v>
      </c>
      <c r="L164">
        <f t="shared" si="17"/>
        <v>2038</v>
      </c>
    </row>
    <row r="165" spans="2:12" x14ac:dyDescent="0.2">
      <c r="B165">
        <v>3552864</v>
      </c>
      <c r="C165" t="s">
        <v>619</v>
      </c>
      <c r="D165">
        <f t="shared" si="14"/>
        <v>6035754</v>
      </c>
      <c r="E165">
        <v>60</v>
      </c>
      <c r="F165" t="s">
        <v>683</v>
      </c>
      <c r="G165">
        <f>VLOOKUP(F165,Sheet2!$B$2:$C$70,2,FALSE)</f>
        <v>1978</v>
      </c>
      <c r="H165">
        <f t="shared" si="15"/>
        <v>1.6988416988416988</v>
      </c>
      <c r="I165" t="s">
        <v>726</v>
      </c>
      <c r="K165">
        <f t="shared" si="16"/>
        <v>90</v>
      </c>
      <c r="L165">
        <f t="shared" si="17"/>
        <v>2068</v>
      </c>
    </row>
    <row r="166" spans="2:12" x14ac:dyDescent="0.2">
      <c r="B166">
        <v>214670</v>
      </c>
      <c r="C166" t="s">
        <v>620</v>
      </c>
      <c r="D166">
        <f t="shared" si="14"/>
        <v>364690</v>
      </c>
      <c r="E166">
        <v>50</v>
      </c>
      <c r="F166" t="s">
        <v>683</v>
      </c>
      <c r="G166">
        <f>VLOOKUP(F166,Sheet2!$B$2:$C$70,2,FALSE)</f>
        <v>1978</v>
      </c>
      <c r="H166">
        <f t="shared" si="15"/>
        <v>1.6988416988416988</v>
      </c>
      <c r="I166" t="s">
        <v>726</v>
      </c>
      <c r="K166">
        <f t="shared" si="16"/>
        <v>75</v>
      </c>
      <c r="L166">
        <f t="shared" si="17"/>
        <v>2053</v>
      </c>
    </row>
    <row r="167" spans="2:12" x14ac:dyDescent="0.2">
      <c r="B167">
        <v>842833</v>
      </c>
      <c r="C167" t="s">
        <v>621</v>
      </c>
      <c r="D167">
        <f t="shared" si="14"/>
        <v>1431840</v>
      </c>
      <c r="E167">
        <v>10</v>
      </c>
      <c r="F167" t="s">
        <v>683</v>
      </c>
      <c r="G167">
        <f>VLOOKUP(F167,Sheet2!$B$2:$C$70,2,FALSE)</f>
        <v>1978</v>
      </c>
      <c r="H167">
        <f t="shared" si="15"/>
        <v>1.6988416988416988</v>
      </c>
      <c r="I167" t="s">
        <v>723</v>
      </c>
      <c r="K167">
        <f t="shared" si="16"/>
        <v>15</v>
      </c>
      <c r="L167">
        <f t="shared" si="17"/>
        <v>1993</v>
      </c>
    </row>
    <row r="168" spans="2:12" x14ac:dyDescent="0.2">
      <c r="B168">
        <v>194500</v>
      </c>
      <c r="C168" t="s">
        <v>614</v>
      </c>
      <c r="D168">
        <f t="shared" si="14"/>
        <v>330425</v>
      </c>
      <c r="E168">
        <v>10</v>
      </c>
      <c r="F168" t="s">
        <v>683</v>
      </c>
      <c r="G168">
        <f>VLOOKUP(F168,Sheet2!$B$2:$C$70,2,FALSE)</f>
        <v>1978</v>
      </c>
      <c r="H168">
        <f t="shared" si="15"/>
        <v>1.6988416988416988</v>
      </c>
      <c r="I168" t="s">
        <v>723</v>
      </c>
      <c r="K168">
        <f t="shared" si="16"/>
        <v>15</v>
      </c>
      <c r="L168">
        <f t="shared" si="17"/>
        <v>1993</v>
      </c>
    </row>
    <row r="169" spans="2:12" x14ac:dyDescent="0.2">
      <c r="B169">
        <v>355863</v>
      </c>
      <c r="C169" t="s">
        <v>622</v>
      </c>
      <c r="D169">
        <f t="shared" si="14"/>
        <v>604555</v>
      </c>
      <c r="E169">
        <v>50</v>
      </c>
      <c r="F169" t="s">
        <v>683</v>
      </c>
      <c r="G169">
        <f>VLOOKUP(F169,Sheet2!$B$2:$C$70,2,FALSE)</f>
        <v>1978</v>
      </c>
      <c r="H169">
        <f t="shared" si="15"/>
        <v>1.6988416988416988</v>
      </c>
      <c r="I169" t="s">
        <v>726</v>
      </c>
      <c r="K169">
        <f t="shared" si="16"/>
        <v>75</v>
      </c>
      <c r="L169">
        <f t="shared" si="17"/>
        <v>2053</v>
      </c>
    </row>
    <row r="170" spans="2:12" x14ac:dyDescent="0.2">
      <c r="B170">
        <v>44663</v>
      </c>
      <c r="C170" t="s">
        <v>539</v>
      </c>
      <c r="D170">
        <f t="shared" si="14"/>
        <v>75875</v>
      </c>
      <c r="E170">
        <v>40</v>
      </c>
      <c r="F170" t="s">
        <v>683</v>
      </c>
      <c r="G170">
        <f>VLOOKUP(F170,Sheet2!$B$2:$C$70,2,FALSE)</f>
        <v>1978</v>
      </c>
      <c r="H170">
        <f t="shared" si="15"/>
        <v>1.6988416988416988</v>
      </c>
      <c r="I170" t="s">
        <v>721</v>
      </c>
      <c r="K170">
        <f t="shared" si="16"/>
        <v>60</v>
      </c>
      <c r="L170">
        <f t="shared" si="17"/>
        <v>2038</v>
      </c>
    </row>
    <row r="171" spans="2:12" x14ac:dyDescent="0.2">
      <c r="B171">
        <v>7754185</v>
      </c>
      <c r="C171" t="s">
        <v>512</v>
      </c>
      <c r="D171">
        <f t="shared" si="14"/>
        <v>13173133</v>
      </c>
      <c r="E171">
        <v>40</v>
      </c>
      <c r="F171" t="s">
        <v>683</v>
      </c>
      <c r="G171">
        <f>VLOOKUP(F171,Sheet2!$B$2:$C$70,2,FALSE)</f>
        <v>1978</v>
      </c>
      <c r="H171">
        <f t="shared" si="15"/>
        <v>1.6988416988416988</v>
      </c>
      <c r="I171" t="s">
        <v>718</v>
      </c>
      <c r="K171">
        <f t="shared" si="16"/>
        <v>60</v>
      </c>
      <c r="L171">
        <f t="shared" si="17"/>
        <v>2038</v>
      </c>
    </row>
    <row r="172" spans="2:12" x14ac:dyDescent="0.2">
      <c r="B172">
        <v>505815</v>
      </c>
      <c r="C172" t="s">
        <v>623</v>
      </c>
      <c r="D172">
        <f t="shared" si="14"/>
        <v>859300</v>
      </c>
      <c r="E172">
        <v>40</v>
      </c>
      <c r="F172" t="s">
        <v>683</v>
      </c>
      <c r="G172">
        <f>VLOOKUP(F172,Sheet2!$B$2:$C$70,2,FALSE)</f>
        <v>1978</v>
      </c>
      <c r="H172">
        <f t="shared" si="15"/>
        <v>1.6988416988416988</v>
      </c>
      <c r="I172" t="s">
        <v>718</v>
      </c>
      <c r="K172">
        <f t="shared" si="16"/>
        <v>60</v>
      </c>
      <c r="L172">
        <f t="shared" si="17"/>
        <v>2038</v>
      </c>
    </row>
    <row r="173" spans="2:12" x14ac:dyDescent="0.2">
      <c r="B173">
        <v>18029000</v>
      </c>
      <c r="C173" t="s">
        <v>512</v>
      </c>
      <c r="D173">
        <f t="shared" si="14"/>
        <v>30628417</v>
      </c>
      <c r="E173">
        <v>40</v>
      </c>
      <c r="F173" t="s">
        <v>686</v>
      </c>
      <c r="G173">
        <f>VLOOKUP(F173,Sheet2!$B$2:$C$70,2,FALSE)</f>
        <v>1979</v>
      </c>
      <c r="H173">
        <f t="shared" si="15"/>
        <v>1.6988416988416988</v>
      </c>
      <c r="I173" t="s">
        <v>718</v>
      </c>
      <c r="K173">
        <f t="shared" si="16"/>
        <v>60</v>
      </c>
      <c r="L173">
        <f t="shared" si="17"/>
        <v>2039</v>
      </c>
    </row>
    <row r="174" spans="2:12" x14ac:dyDescent="0.2">
      <c r="B174">
        <v>7870000</v>
      </c>
      <c r="C174" t="s">
        <v>512</v>
      </c>
      <c r="D174">
        <f t="shared" si="14"/>
        <v>13369884</v>
      </c>
      <c r="E174">
        <v>40</v>
      </c>
      <c r="F174" t="s">
        <v>686</v>
      </c>
      <c r="G174">
        <f>VLOOKUP(F174,Sheet2!$B$2:$C$70,2,FALSE)</f>
        <v>1979</v>
      </c>
      <c r="H174">
        <f t="shared" si="15"/>
        <v>1.6988416988416988</v>
      </c>
      <c r="I174" t="s">
        <v>718</v>
      </c>
      <c r="K174">
        <f t="shared" si="16"/>
        <v>60</v>
      </c>
      <c r="L174">
        <f t="shared" si="17"/>
        <v>2039</v>
      </c>
    </row>
    <row r="175" spans="2:12" x14ac:dyDescent="0.2">
      <c r="B175">
        <v>5936507</v>
      </c>
      <c r="C175" t="s">
        <v>512</v>
      </c>
      <c r="D175">
        <f t="shared" si="14"/>
        <v>10085186</v>
      </c>
      <c r="E175">
        <v>40</v>
      </c>
      <c r="F175" t="s">
        <v>687</v>
      </c>
      <c r="G175">
        <f>VLOOKUP(F175,Sheet2!$B$2:$C$70,2,FALSE)</f>
        <v>1980</v>
      </c>
      <c r="H175">
        <f t="shared" si="15"/>
        <v>1.6988416988416988</v>
      </c>
      <c r="I175" t="s">
        <v>718</v>
      </c>
      <c r="K175">
        <f t="shared" si="16"/>
        <v>60</v>
      </c>
      <c r="L175">
        <f t="shared" si="17"/>
        <v>2040</v>
      </c>
    </row>
    <row r="176" spans="2:12" x14ac:dyDescent="0.2">
      <c r="B176">
        <v>3826623</v>
      </c>
      <c r="C176" t="s">
        <v>546</v>
      </c>
      <c r="D176">
        <f t="shared" si="14"/>
        <v>6500827</v>
      </c>
      <c r="E176">
        <v>60</v>
      </c>
      <c r="F176" t="s">
        <v>687</v>
      </c>
      <c r="G176">
        <f>VLOOKUP(F176,Sheet2!$B$2:$C$70,2,FALSE)</f>
        <v>1980</v>
      </c>
      <c r="H176">
        <f t="shared" si="15"/>
        <v>1.6988416988416988</v>
      </c>
      <c r="I176" t="s">
        <v>726</v>
      </c>
      <c r="K176">
        <f t="shared" si="16"/>
        <v>90</v>
      </c>
      <c r="L176">
        <f t="shared" si="17"/>
        <v>2070</v>
      </c>
    </row>
    <row r="177" spans="2:12" x14ac:dyDescent="0.2">
      <c r="B177">
        <v>816870</v>
      </c>
      <c r="C177" t="s">
        <v>624</v>
      </c>
      <c r="D177">
        <f t="shared" si="14"/>
        <v>1387733</v>
      </c>
      <c r="E177">
        <v>60</v>
      </c>
      <c r="F177" t="s">
        <v>687</v>
      </c>
      <c r="G177">
        <f>VLOOKUP(F177,Sheet2!$B$2:$C$70,2,FALSE)</f>
        <v>1980</v>
      </c>
      <c r="H177">
        <f t="shared" si="15"/>
        <v>1.6988416988416988</v>
      </c>
      <c r="I177" t="s">
        <v>726</v>
      </c>
      <c r="K177">
        <f t="shared" si="16"/>
        <v>90</v>
      </c>
      <c r="L177">
        <f t="shared" si="17"/>
        <v>2070</v>
      </c>
    </row>
    <row r="178" spans="2:12" x14ac:dyDescent="0.2">
      <c r="B178">
        <v>1461208</v>
      </c>
      <c r="C178" t="s">
        <v>510</v>
      </c>
      <c r="D178">
        <f t="shared" si="14"/>
        <v>2482361</v>
      </c>
      <c r="E178">
        <v>60</v>
      </c>
      <c r="F178" t="s">
        <v>687</v>
      </c>
      <c r="G178">
        <f>VLOOKUP(F178,Sheet2!$B$2:$C$70,2,FALSE)</f>
        <v>1980</v>
      </c>
      <c r="H178">
        <f t="shared" si="15"/>
        <v>1.6988416988416988</v>
      </c>
      <c r="I178" t="s">
        <v>726</v>
      </c>
      <c r="K178">
        <f t="shared" si="16"/>
        <v>90</v>
      </c>
      <c r="L178">
        <f t="shared" si="17"/>
        <v>2070</v>
      </c>
    </row>
    <row r="179" spans="2:12" x14ac:dyDescent="0.2">
      <c r="B179">
        <v>3916328</v>
      </c>
      <c r="C179" t="s">
        <v>546</v>
      </c>
      <c r="D179">
        <f t="shared" si="14"/>
        <v>6653221</v>
      </c>
      <c r="E179">
        <v>60</v>
      </c>
      <c r="F179" t="s">
        <v>687</v>
      </c>
      <c r="G179">
        <f>VLOOKUP(F179,Sheet2!$B$2:$C$70,2,FALSE)</f>
        <v>1980</v>
      </c>
      <c r="H179">
        <f t="shared" si="15"/>
        <v>1.6988416988416988</v>
      </c>
      <c r="I179" t="s">
        <v>726</v>
      </c>
      <c r="K179">
        <f t="shared" si="16"/>
        <v>90</v>
      </c>
      <c r="L179">
        <f t="shared" si="17"/>
        <v>2070</v>
      </c>
    </row>
    <row r="180" spans="2:12" x14ac:dyDescent="0.2">
      <c r="B180">
        <v>992464</v>
      </c>
      <c r="C180" t="s">
        <v>624</v>
      </c>
      <c r="D180">
        <f t="shared" si="14"/>
        <v>1686039</v>
      </c>
      <c r="E180">
        <v>60</v>
      </c>
      <c r="F180" t="s">
        <v>687</v>
      </c>
      <c r="G180">
        <f>VLOOKUP(F180,Sheet2!$B$2:$C$70,2,FALSE)</f>
        <v>1980</v>
      </c>
      <c r="H180">
        <f t="shared" si="15"/>
        <v>1.6988416988416988</v>
      </c>
      <c r="I180" t="s">
        <v>726</v>
      </c>
      <c r="K180">
        <f t="shared" si="16"/>
        <v>90</v>
      </c>
      <c r="L180">
        <f t="shared" si="17"/>
        <v>2070</v>
      </c>
    </row>
    <row r="181" spans="2:12" x14ac:dyDescent="0.2">
      <c r="B181">
        <v>8745615</v>
      </c>
      <c r="C181" t="s">
        <v>625</v>
      </c>
      <c r="D181">
        <f t="shared" si="14"/>
        <v>14857415</v>
      </c>
      <c r="E181">
        <v>15</v>
      </c>
      <c r="F181" t="s">
        <v>687</v>
      </c>
      <c r="G181">
        <f>VLOOKUP(F181,Sheet2!$B$2:$C$70,2,FALSE)</f>
        <v>1980</v>
      </c>
      <c r="H181">
        <f t="shared" si="15"/>
        <v>1.6988416988416988</v>
      </c>
      <c r="I181" t="s">
        <v>723</v>
      </c>
      <c r="K181">
        <f t="shared" si="16"/>
        <v>23</v>
      </c>
      <c r="L181">
        <f t="shared" si="17"/>
        <v>2003</v>
      </c>
    </row>
    <row r="182" spans="2:12" x14ac:dyDescent="0.2">
      <c r="B182">
        <v>8054385</v>
      </c>
      <c r="C182" t="s">
        <v>626</v>
      </c>
      <c r="D182">
        <f t="shared" si="14"/>
        <v>13683125</v>
      </c>
      <c r="E182">
        <v>15</v>
      </c>
      <c r="F182" t="s">
        <v>687</v>
      </c>
      <c r="G182">
        <f>VLOOKUP(F182,Sheet2!$B$2:$C$70,2,FALSE)</f>
        <v>1980</v>
      </c>
      <c r="H182">
        <f t="shared" si="15"/>
        <v>1.6988416988416988</v>
      </c>
      <c r="I182" t="s">
        <v>723</v>
      </c>
      <c r="K182">
        <f t="shared" si="16"/>
        <v>23</v>
      </c>
      <c r="L182">
        <f t="shared" si="17"/>
        <v>2003</v>
      </c>
    </row>
    <row r="183" spans="2:12" x14ac:dyDescent="0.2">
      <c r="B183">
        <v>4547000</v>
      </c>
      <c r="C183" t="s">
        <v>512</v>
      </c>
      <c r="D183">
        <f t="shared" si="14"/>
        <v>7724633</v>
      </c>
      <c r="E183">
        <v>40</v>
      </c>
      <c r="F183" t="s">
        <v>687</v>
      </c>
      <c r="G183">
        <f>VLOOKUP(F183,Sheet2!$B$2:$C$70,2,FALSE)</f>
        <v>1980</v>
      </c>
      <c r="H183">
        <f t="shared" si="15"/>
        <v>1.6988416988416988</v>
      </c>
      <c r="I183" t="s">
        <v>718</v>
      </c>
      <c r="K183">
        <f t="shared" si="16"/>
        <v>60</v>
      </c>
      <c r="L183">
        <f t="shared" si="17"/>
        <v>2040</v>
      </c>
    </row>
    <row r="184" spans="2:12" x14ac:dyDescent="0.2">
      <c r="B184">
        <v>6080000</v>
      </c>
      <c r="C184" t="s">
        <v>512</v>
      </c>
      <c r="D184">
        <f t="shared" si="14"/>
        <v>10328958</v>
      </c>
      <c r="E184">
        <v>40</v>
      </c>
      <c r="F184" t="s">
        <v>688</v>
      </c>
      <c r="G184">
        <f>VLOOKUP(F184,Sheet2!$B$2:$C$70,2,FALSE)</f>
        <v>1981</v>
      </c>
      <c r="H184">
        <f t="shared" si="15"/>
        <v>1.6988416988416988</v>
      </c>
      <c r="I184" t="s">
        <v>718</v>
      </c>
      <c r="K184">
        <f t="shared" si="16"/>
        <v>60</v>
      </c>
      <c r="L184">
        <f t="shared" si="17"/>
        <v>2041</v>
      </c>
    </row>
    <row r="185" spans="2:12" x14ac:dyDescent="0.2">
      <c r="B185">
        <v>80000</v>
      </c>
      <c r="C185" t="s">
        <v>627</v>
      </c>
      <c r="D185">
        <f t="shared" si="14"/>
        <v>135907</v>
      </c>
      <c r="E185">
        <v>20</v>
      </c>
      <c r="F185" t="s">
        <v>688</v>
      </c>
      <c r="G185">
        <f>VLOOKUP(F185,Sheet2!$B$2:$C$70,2,FALSE)</f>
        <v>1981</v>
      </c>
      <c r="H185">
        <f t="shared" si="15"/>
        <v>1.6988416988416988</v>
      </c>
      <c r="I185" t="s">
        <v>723</v>
      </c>
      <c r="K185">
        <f t="shared" si="16"/>
        <v>30</v>
      </c>
      <c r="L185">
        <f t="shared" si="17"/>
        <v>2011</v>
      </c>
    </row>
    <row r="186" spans="2:12" x14ac:dyDescent="0.2">
      <c r="B186">
        <v>360000</v>
      </c>
      <c r="C186" t="s">
        <v>554</v>
      </c>
      <c r="D186">
        <f t="shared" si="14"/>
        <v>611583</v>
      </c>
      <c r="E186">
        <v>20</v>
      </c>
      <c r="F186" t="s">
        <v>688</v>
      </c>
      <c r="G186">
        <f>VLOOKUP(F186,Sheet2!$B$2:$C$70,2,FALSE)</f>
        <v>1981</v>
      </c>
      <c r="H186">
        <f t="shared" si="15"/>
        <v>1.6988416988416988</v>
      </c>
      <c r="I186" t="s">
        <v>723</v>
      </c>
      <c r="K186">
        <f t="shared" si="16"/>
        <v>30</v>
      </c>
      <c r="L186">
        <f t="shared" si="17"/>
        <v>2011</v>
      </c>
    </row>
    <row r="187" spans="2:12" x14ac:dyDescent="0.2">
      <c r="B187">
        <v>1076000</v>
      </c>
      <c r="C187" t="s">
        <v>628</v>
      </c>
      <c r="D187">
        <f t="shared" si="14"/>
        <v>1827954</v>
      </c>
      <c r="E187">
        <v>20</v>
      </c>
      <c r="F187" t="s">
        <v>688</v>
      </c>
      <c r="G187">
        <f>VLOOKUP(F187,Sheet2!$B$2:$C$70,2,FALSE)</f>
        <v>1981</v>
      </c>
      <c r="H187">
        <f t="shared" si="15"/>
        <v>1.6988416988416988</v>
      </c>
      <c r="I187" t="s">
        <v>723</v>
      </c>
      <c r="K187">
        <f t="shared" si="16"/>
        <v>30</v>
      </c>
      <c r="L187">
        <f t="shared" si="17"/>
        <v>2011</v>
      </c>
    </row>
    <row r="188" spans="2:12" x14ac:dyDescent="0.2">
      <c r="B188">
        <v>25720000</v>
      </c>
      <c r="C188" t="s">
        <v>512</v>
      </c>
      <c r="D188">
        <f t="shared" si="14"/>
        <v>39477209</v>
      </c>
      <c r="E188">
        <v>40</v>
      </c>
      <c r="F188" t="s">
        <v>283</v>
      </c>
      <c r="G188">
        <f>VLOOKUP(F188,Sheet2!$B$2:$C$70,2,FALSE)</f>
        <v>2003</v>
      </c>
      <c r="H188">
        <f t="shared" si="15"/>
        <v>1.5348837209302326</v>
      </c>
      <c r="I188" t="s">
        <v>718</v>
      </c>
      <c r="K188">
        <f t="shared" si="16"/>
        <v>60</v>
      </c>
      <c r="L188">
        <f t="shared" si="17"/>
        <v>2063</v>
      </c>
    </row>
    <row r="189" spans="2:12" x14ac:dyDescent="0.2">
      <c r="B189">
        <v>30060000</v>
      </c>
      <c r="C189" t="s">
        <v>512</v>
      </c>
      <c r="D189">
        <f t="shared" si="14"/>
        <v>46138605</v>
      </c>
      <c r="E189">
        <v>40</v>
      </c>
      <c r="F189" t="s">
        <v>283</v>
      </c>
      <c r="G189">
        <f>VLOOKUP(F189,Sheet2!$B$2:$C$70,2,FALSE)</f>
        <v>2003</v>
      </c>
      <c r="H189">
        <f t="shared" si="15"/>
        <v>1.5348837209302326</v>
      </c>
      <c r="I189" t="s">
        <v>718</v>
      </c>
      <c r="K189">
        <f t="shared" si="16"/>
        <v>60</v>
      </c>
      <c r="L189">
        <f t="shared" si="17"/>
        <v>2063</v>
      </c>
    </row>
    <row r="190" spans="2:12" x14ac:dyDescent="0.2">
      <c r="B190">
        <v>39915666</v>
      </c>
      <c r="C190" t="s">
        <v>546</v>
      </c>
      <c r="D190">
        <f t="shared" si="14"/>
        <v>61265906</v>
      </c>
      <c r="E190">
        <v>60</v>
      </c>
      <c r="F190" t="s">
        <v>283</v>
      </c>
      <c r="G190">
        <f>VLOOKUP(F190,Sheet2!$B$2:$C$70,2,FALSE)</f>
        <v>2003</v>
      </c>
      <c r="H190">
        <f t="shared" si="15"/>
        <v>1.5348837209302326</v>
      </c>
      <c r="I190" t="s">
        <v>721</v>
      </c>
      <c r="K190">
        <f t="shared" si="16"/>
        <v>90</v>
      </c>
      <c r="L190">
        <f t="shared" si="17"/>
        <v>2093</v>
      </c>
    </row>
    <row r="191" spans="2:12" x14ac:dyDescent="0.2">
      <c r="B191">
        <v>7394334</v>
      </c>
      <c r="C191" t="s">
        <v>512</v>
      </c>
      <c r="D191">
        <f t="shared" si="14"/>
        <v>11349443</v>
      </c>
      <c r="E191">
        <v>40</v>
      </c>
      <c r="F191" t="s">
        <v>283</v>
      </c>
      <c r="G191">
        <f>VLOOKUP(F191,Sheet2!$B$2:$C$70,2,FALSE)</f>
        <v>2003</v>
      </c>
      <c r="H191">
        <f t="shared" si="15"/>
        <v>1.5348837209302326</v>
      </c>
      <c r="I191" t="s">
        <v>718</v>
      </c>
      <c r="K191">
        <f t="shared" si="16"/>
        <v>60</v>
      </c>
      <c r="L191">
        <f t="shared" si="17"/>
        <v>2063</v>
      </c>
    </row>
    <row r="192" spans="2:12" x14ac:dyDescent="0.2">
      <c r="B192">
        <v>53661</v>
      </c>
      <c r="C192" t="s">
        <v>629</v>
      </c>
      <c r="D192">
        <f t="shared" si="14"/>
        <v>82363</v>
      </c>
      <c r="E192">
        <v>50</v>
      </c>
      <c r="F192" t="s">
        <v>283</v>
      </c>
      <c r="G192">
        <f>VLOOKUP(F192,Sheet2!$B$2:$C$70,2,FALSE)</f>
        <v>2003</v>
      </c>
      <c r="H192">
        <f t="shared" si="15"/>
        <v>1.5348837209302326</v>
      </c>
      <c r="I192" t="s">
        <v>721</v>
      </c>
      <c r="K192">
        <f t="shared" si="16"/>
        <v>75</v>
      </c>
      <c r="L192">
        <f t="shared" si="17"/>
        <v>2078</v>
      </c>
    </row>
    <row r="193" spans="2:12" x14ac:dyDescent="0.2">
      <c r="B193">
        <v>2130478</v>
      </c>
      <c r="C193" t="s">
        <v>630</v>
      </c>
      <c r="D193">
        <f t="shared" si="14"/>
        <v>3270036</v>
      </c>
      <c r="E193">
        <v>50</v>
      </c>
      <c r="F193" t="s">
        <v>283</v>
      </c>
      <c r="G193">
        <f>VLOOKUP(F193,Sheet2!$B$2:$C$70,2,FALSE)</f>
        <v>2003</v>
      </c>
      <c r="H193">
        <f t="shared" si="15"/>
        <v>1.5348837209302326</v>
      </c>
      <c r="I193" t="s">
        <v>721</v>
      </c>
      <c r="K193">
        <f t="shared" si="16"/>
        <v>75</v>
      </c>
      <c r="L193">
        <f t="shared" si="17"/>
        <v>2078</v>
      </c>
    </row>
    <row r="194" spans="2:12" x14ac:dyDescent="0.2">
      <c r="B194">
        <v>1635531</v>
      </c>
      <c r="C194" t="s">
        <v>631</v>
      </c>
      <c r="D194">
        <f t="shared" si="14"/>
        <v>2510350</v>
      </c>
      <c r="E194">
        <v>50</v>
      </c>
      <c r="F194" t="s">
        <v>283</v>
      </c>
      <c r="G194">
        <f>VLOOKUP(F194,Sheet2!$B$2:$C$70,2,FALSE)</f>
        <v>2003</v>
      </c>
      <c r="H194">
        <f t="shared" si="15"/>
        <v>1.5348837209302326</v>
      </c>
      <c r="I194" t="s">
        <v>726</v>
      </c>
      <c r="K194">
        <f t="shared" si="16"/>
        <v>75</v>
      </c>
      <c r="L194">
        <f t="shared" si="17"/>
        <v>2078</v>
      </c>
    </row>
    <row r="195" spans="2:12" x14ac:dyDescent="0.2">
      <c r="B195">
        <v>1461564</v>
      </c>
      <c r="C195" t="s">
        <v>632</v>
      </c>
      <c r="D195">
        <f t="shared" ref="D195:D258" si="18">ROUND(B195*H195,0)</f>
        <v>2243331</v>
      </c>
      <c r="E195">
        <v>50</v>
      </c>
      <c r="F195" t="s">
        <v>283</v>
      </c>
      <c r="G195">
        <f>VLOOKUP(F195,Sheet2!$B$2:$C$70,2,FALSE)</f>
        <v>2003</v>
      </c>
      <c r="H195">
        <f t="shared" ref="H195:H258" si="19">VLOOKUP(G195,$AB$1:$AD$51,3,FALSE)</f>
        <v>1.5348837209302326</v>
      </c>
      <c r="I195" t="s">
        <v>726</v>
      </c>
      <c r="K195">
        <f t="shared" ref="K195:K258" si="20">ROUND(E195*1.5,0)</f>
        <v>75</v>
      </c>
      <c r="L195">
        <f t="shared" ref="L195:L258" si="21">G195+K195</f>
        <v>2078</v>
      </c>
    </row>
    <row r="196" spans="2:12" x14ac:dyDescent="0.2">
      <c r="B196">
        <v>21745826</v>
      </c>
      <c r="C196" t="s">
        <v>633</v>
      </c>
      <c r="D196">
        <f t="shared" si="18"/>
        <v>33377314</v>
      </c>
      <c r="E196">
        <v>50</v>
      </c>
      <c r="F196" t="s">
        <v>283</v>
      </c>
      <c r="G196">
        <f>VLOOKUP(F196,Sheet2!$B$2:$C$70,2,FALSE)</f>
        <v>2003</v>
      </c>
      <c r="H196">
        <f t="shared" si="19"/>
        <v>1.5348837209302326</v>
      </c>
      <c r="I196" t="s">
        <v>721</v>
      </c>
      <c r="K196">
        <f t="shared" si="20"/>
        <v>75</v>
      </c>
      <c r="L196">
        <f t="shared" si="21"/>
        <v>2078</v>
      </c>
    </row>
    <row r="197" spans="2:12" x14ac:dyDescent="0.2">
      <c r="B197">
        <v>125241</v>
      </c>
      <c r="C197" t="s">
        <v>548</v>
      </c>
      <c r="D197">
        <f t="shared" si="18"/>
        <v>192230</v>
      </c>
      <c r="E197">
        <v>40</v>
      </c>
      <c r="F197" t="s">
        <v>283</v>
      </c>
      <c r="G197">
        <f>VLOOKUP(F197,Sheet2!$B$2:$C$70,2,FALSE)</f>
        <v>2003</v>
      </c>
      <c r="H197">
        <f t="shared" si="19"/>
        <v>1.5348837209302326</v>
      </c>
      <c r="I197" t="s">
        <v>721</v>
      </c>
      <c r="K197">
        <f t="shared" si="20"/>
        <v>60</v>
      </c>
      <c r="L197">
        <f t="shared" si="21"/>
        <v>2063</v>
      </c>
    </row>
    <row r="198" spans="2:12" x14ac:dyDescent="0.2">
      <c r="B198">
        <v>7820812</v>
      </c>
      <c r="C198" t="s">
        <v>634</v>
      </c>
      <c r="D198">
        <f t="shared" si="18"/>
        <v>12004037</v>
      </c>
      <c r="E198">
        <v>20</v>
      </c>
      <c r="F198" t="s">
        <v>283</v>
      </c>
      <c r="G198">
        <f>VLOOKUP(F198,Sheet2!$B$2:$C$70,2,FALSE)</f>
        <v>2003</v>
      </c>
      <c r="H198">
        <f t="shared" si="19"/>
        <v>1.5348837209302326</v>
      </c>
      <c r="I198" t="s">
        <v>723</v>
      </c>
      <c r="K198">
        <f t="shared" si="20"/>
        <v>30</v>
      </c>
      <c r="L198">
        <f t="shared" si="21"/>
        <v>2033</v>
      </c>
    </row>
    <row r="199" spans="2:12" x14ac:dyDescent="0.2">
      <c r="B199">
        <v>566704</v>
      </c>
      <c r="C199" t="s">
        <v>635</v>
      </c>
      <c r="D199">
        <f t="shared" si="18"/>
        <v>869825</v>
      </c>
      <c r="E199">
        <v>15</v>
      </c>
      <c r="F199" t="s">
        <v>283</v>
      </c>
      <c r="G199">
        <f>VLOOKUP(F199,Sheet2!$B$2:$C$70,2,FALSE)</f>
        <v>2003</v>
      </c>
      <c r="H199">
        <f t="shared" si="19"/>
        <v>1.5348837209302326</v>
      </c>
      <c r="I199" t="s">
        <v>723</v>
      </c>
      <c r="K199">
        <f t="shared" si="20"/>
        <v>23</v>
      </c>
      <c r="L199">
        <f t="shared" si="21"/>
        <v>2026</v>
      </c>
    </row>
    <row r="200" spans="2:12" x14ac:dyDescent="0.2">
      <c r="B200">
        <v>553317</v>
      </c>
      <c r="C200" t="s">
        <v>636</v>
      </c>
      <c r="D200">
        <f t="shared" si="18"/>
        <v>849277</v>
      </c>
      <c r="E200">
        <v>10</v>
      </c>
      <c r="F200" t="s">
        <v>283</v>
      </c>
      <c r="G200">
        <f>VLOOKUP(F200,Sheet2!$B$2:$C$70,2,FALSE)</f>
        <v>2003</v>
      </c>
      <c r="H200">
        <f t="shared" si="19"/>
        <v>1.5348837209302326</v>
      </c>
      <c r="I200" t="s">
        <v>723</v>
      </c>
      <c r="K200">
        <f t="shared" si="20"/>
        <v>15</v>
      </c>
      <c r="L200">
        <f t="shared" si="21"/>
        <v>2018</v>
      </c>
    </row>
    <row r="201" spans="2:12" x14ac:dyDescent="0.2">
      <c r="B201">
        <v>2348623</v>
      </c>
      <c r="C201" t="s">
        <v>637</v>
      </c>
      <c r="D201">
        <f t="shared" si="18"/>
        <v>3555255</v>
      </c>
      <c r="E201">
        <v>10</v>
      </c>
      <c r="F201" t="s">
        <v>283</v>
      </c>
      <c r="G201">
        <f>VLOOKUP(F21,Sheet2!$B$2:$C$70,2,FALSE)</f>
        <v>2000</v>
      </c>
      <c r="H201">
        <f t="shared" si="19"/>
        <v>1.5137614678899083</v>
      </c>
      <c r="I201" t="s">
        <v>723</v>
      </c>
      <c r="K201">
        <f t="shared" si="20"/>
        <v>15</v>
      </c>
      <c r="L201">
        <f t="shared" si="21"/>
        <v>2015</v>
      </c>
    </row>
    <row r="202" spans="2:12" x14ac:dyDescent="0.2">
      <c r="B202">
        <v>2497365</v>
      </c>
      <c r="C202" t="s">
        <v>638</v>
      </c>
      <c r="D202">
        <f t="shared" si="18"/>
        <v>3833165</v>
      </c>
      <c r="E202">
        <v>10</v>
      </c>
      <c r="F202" t="s">
        <v>283</v>
      </c>
      <c r="G202">
        <f>VLOOKUP(F202,Sheet2!$B$2:$C$70,2,FALSE)</f>
        <v>2003</v>
      </c>
      <c r="H202">
        <f t="shared" si="19"/>
        <v>1.5348837209302326</v>
      </c>
      <c r="I202" t="s">
        <v>723</v>
      </c>
      <c r="K202">
        <f t="shared" si="20"/>
        <v>15</v>
      </c>
      <c r="L202">
        <f t="shared" si="21"/>
        <v>2018</v>
      </c>
    </row>
    <row r="203" spans="2:12" x14ac:dyDescent="0.2">
      <c r="B203">
        <v>2348623</v>
      </c>
      <c r="C203" t="s">
        <v>639</v>
      </c>
      <c r="D203">
        <f t="shared" si="18"/>
        <v>3604863</v>
      </c>
      <c r="E203">
        <v>15</v>
      </c>
      <c r="F203" t="s">
        <v>283</v>
      </c>
      <c r="G203">
        <f>VLOOKUP(F203,Sheet2!$B$2:$C$70,2,FALSE)</f>
        <v>2003</v>
      </c>
      <c r="H203">
        <f t="shared" si="19"/>
        <v>1.5348837209302326</v>
      </c>
      <c r="I203" t="s">
        <v>723</v>
      </c>
      <c r="K203">
        <f t="shared" si="20"/>
        <v>23</v>
      </c>
      <c r="L203">
        <f t="shared" si="21"/>
        <v>2026</v>
      </c>
    </row>
    <row r="204" spans="2:12" x14ac:dyDescent="0.2">
      <c r="B204">
        <v>1418991</v>
      </c>
      <c r="C204" t="s">
        <v>640</v>
      </c>
      <c r="D204">
        <f t="shared" si="18"/>
        <v>2177986</v>
      </c>
      <c r="E204">
        <v>15</v>
      </c>
      <c r="F204" t="s">
        <v>283</v>
      </c>
      <c r="G204">
        <f>VLOOKUP(F204,Sheet2!$B$2:$C$70,2,FALSE)</f>
        <v>2003</v>
      </c>
      <c r="H204">
        <f t="shared" si="19"/>
        <v>1.5348837209302326</v>
      </c>
      <c r="I204" t="s">
        <v>723</v>
      </c>
      <c r="K204">
        <f t="shared" si="20"/>
        <v>23</v>
      </c>
      <c r="L204">
        <f t="shared" si="21"/>
        <v>2026</v>
      </c>
    </row>
    <row r="205" spans="2:12" x14ac:dyDescent="0.2">
      <c r="B205">
        <v>1652515</v>
      </c>
      <c r="C205" t="s">
        <v>641</v>
      </c>
      <c r="D205">
        <f t="shared" si="18"/>
        <v>2536418</v>
      </c>
      <c r="E205">
        <v>20</v>
      </c>
      <c r="F205" t="s">
        <v>283</v>
      </c>
      <c r="G205">
        <f>VLOOKUP(F205,Sheet2!$B$2:$C$70,2,FALSE)</f>
        <v>2003</v>
      </c>
      <c r="H205">
        <f t="shared" si="19"/>
        <v>1.5348837209302326</v>
      </c>
      <c r="I205" t="s">
        <v>723</v>
      </c>
      <c r="K205">
        <f t="shared" si="20"/>
        <v>30</v>
      </c>
      <c r="L205">
        <f t="shared" si="21"/>
        <v>2033</v>
      </c>
    </row>
    <row r="206" spans="2:12" x14ac:dyDescent="0.2">
      <c r="B206">
        <v>15141853</v>
      </c>
      <c r="C206" t="s">
        <v>642</v>
      </c>
      <c r="D206">
        <f t="shared" si="18"/>
        <v>23240984</v>
      </c>
      <c r="E206">
        <v>20</v>
      </c>
      <c r="F206" t="s">
        <v>283</v>
      </c>
      <c r="G206">
        <f>VLOOKUP(F206,Sheet2!$B$2:$C$70,2,FALSE)</f>
        <v>2003</v>
      </c>
      <c r="H206">
        <f t="shared" si="19"/>
        <v>1.5348837209302326</v>
      </c>
      <c r="I206" t="s">
        <v>723</v>
      </c>
      <c r="K206">
        <f t="shared" si="20"/>
        <v>30</v>
      </c>
      <c r="L206">
        <f t="shared" si="21"/>
        <v>2033</v>
      </c>
    </row>
    <row r="207" spans="2:12" x14ac:dyDescent="0.2">
      <c r="B207">
        <v>29358535</v>
      </c>
      <c r="C207" t="s">
        <v>643</v>
      </c>
      <c r="D207">
        <f t="shared" si="18"/>
        <v>45061937</v>
      </c>
      <c r="E207">
        <v>10</v>
      </c>
      <c r="F207" t="s">
        <v>283</v>
      </c>
      <c r="G207">
        <f>VLOOKUP(F207,Sheet2!$B$2:$C$70,2,FALSE)</f>
        <v>2003</v>
      </c>
      <c r="H207">
        <f t="shared" si="19"/>
        <v>1.5348837209302326</v>
      </c>
      <c r="I207" t="s">
        <v>723</v>
      </c>
      <c r="K207">
        <f t="shared" si="20"/>
        <v>15</v>
      </c>
      <c r="L207">
        <f t="shared" si="21"/>
        <v>2018</v>
      </c>
    </row>
    <row r="208" spans="2:12" x14ac:dyDescent="0.2">
      <c r="B208">
        <v>8240261</v>
      </c>
      <c r="C208" t="s">
        <v>644</v>
      </c>
      <c r="D208">
        <f t="shared" si="18"/>
        <v>12647842</v>
      </c>
      <c r="E208">
        <v>15</v>
      </c>
      <c r="F208" t="s">
        <v>283</v>
      </c>
      <c r="G208">
        <f>VLOOKUP(F208,Sheet2!$B$2:$C$70,2,FALSE)</f>
        <v>2003</v>
      </c>
      <c r="H208">
        <f t="shared" si="19"/>
        <v>1.5348837209302326</v>
      </c>
      <c r="I208" t="s">
        <v>723</v>
      </c>
      <c r="K208">
        <f t="shared" si="20"/>
        <v>23</v>
      </c>
      <c r="L208">
        <f t="shared" si="21"/>
        <v>2026</v>
      </c>
    </row>
    <row r="209" spans="2:12" x14ac:dyDescent="0.2">
      <c r="B209">
        <v>22590000</v>
      </c>
      <c r="C209" t="s">
        <v>512</v>
      </c>
      <c r="D209">
        <f t="shared" si="18"/>
        <v>29818800</v>
      </c>
      <c r="E209">
        <v>40</v>
      </c>
      <c r="F209" t="s">
        <v>276</v>
      </c>
      <c r="G209">
        <f>VLOOKUP(F209,Sheet2!$B$2:$C$70,2,FALSE)</f>
        <v>2015</v>
      </c>
      <c r="H209">
        <f t="shared" si="19"/>
        <v>1.32</v>
      </c>
      <c r="I209" t="s">
        <v>718</v>
      </c>
      <c r="K209">
        <f t="shared" si="20"/>
        <v>60</v>
      </c>
      <c r="L209">
        <f t="shared" si="21"/>
        <v>2075</v>
      </c>
    </row>
    <row r="210" spans="2:12" x14ac:dyDescent="0.2">
      <c r="B210">
        <v>21530000</v>
      </c>
      <c r="C210" t="s">
        <v>512</v>
      </c>
      <c r="D210">
        <f t="shared" si="18"/>
        <v>28419600</v>
      </c>
      <c r="E210">
        <v>40</v>
      </c>
      <c r="F210" t="s">
        <v>276</v>
      </c>
      <c r="G210">
        <f>VLOOKUP(F210,Sheet2!$B$2:$C$70,2,FALSE)</f>
        <v>2015</v>
      </c>
      <c r="H210">
        <f t="shared" si="19"/>
        <v>1.32</v>
      </c>
      <c r="I210" t="s">
        <v>718</v>
      </c>
      <c r="K210">
        <f t="shared" si="20"/>
        <v>60</v>
      </c>
      <c r="L210">
        <f t="shared" si="21"/>
        <v>2075</v>
      </c>
    </row>
    <row r="211" spans="2:12" x14ac:dyDescent="0.2">
      <c r="B211">
        <v>19700000</v>
      </c>
      <c r="C211" t="s">
        <v>512</v>
      </c>
      <c r="D211">
        <f t="shared" si="18"/>
        <v>26004000</v>
      </c>
      <c r="E211">
        <v>40</v>
      </c>
      <c r="F211" t="s">
        <v>276</v>
      </c>
      <c r="G211">
        <f>VLOOKUP(F211,Sheet2!$B$2:$C$70,2,FALSE)</f>
        <v>2015</v>
      </c>
      <c r="H211">
        <f t="shared" si="19"/>
        <v>1.32</v>
      </c>
      <c r="I211" t="s">
        <v>718</v>
      </c>
      <c r="K211">
        <f t="shared" si="20"/>
        <v>60</v>
      </c>
      <c r="L211">
        <f t="shared" si="21"/>
        <v>2075</v>
      </c>
    </row>
    <row r="212" spans="2:12" x14ac:dyDescent="0.2">
      <c r="B212">
        <v>21220000</v>
      </c>
      <c r="C212" t="s">
        <v>512</v>
      </c>
      <c r="D212">
        <f t="shared" si="18"/>
        <v>28010400</v>
      </c>
      <c r="E212">
        <v>40</v>
      </c>
      <c r="F212" t="s">
        <v>276</v>
      </c>
      <c r="G212">
        <f>VLOOKUP(F212,Sheet2!$B$2:$C$70,2,FALSE)</f>
        <v>2015</v>
      </c>
      <c r="H212">
        <f t="shared" si="19"/>
        <v>1.32</v>
      </c>
      <c r="I212" t="s">
        <v>718</v>
      </c>
      <c r="K212">
        <f t="shared" si="20"/>
        <v>60</v>
      </c>
      <c r="L212">
        <f t="shared" si="21"/>
        <v>2075</v>
      </c>
    </row>
    <row r="213" spans="2:12" x14ac:dyDescent="0.2">
      <c r="B213">
        <v>19688482</v>
      </c>
      <c r="C213" t="s">
        <v>512</v>
      </c>
      <c r="D213">
        <f t="shared" si="18"/>
        <v>25988796</v>
      </c>
      <c r="E213">
        <v>40</v>
      </c>
      <c r="F213" t="s">
        <v>276</v>
      </c>
      <c r="G213">
        <f>VLOOKUP(F213,Sheet2!$B$2:$C$70,2,FALSE)</f>
        <v>2015</v>
      </c>
      <c r="H213">
        <f t="shared" si="19"/>
        <v>1.32</v>
      </c>
      <c r="I213" t="s">
        <v>718</v>
      </c>
      <c r="K213">
        <f t="shared" si="20"/>
        <v>60</v>
      </c>
      <c r="L213">
        <f t="shared" si="21"/>
        <v>2075</v>
      </c>
    </row>
    <row r="214" spans="2:12" x14ac:dyDescent="0.2">
      <c r="B214">
        <v>22341518</v>
      </c>
      <c r="C214" t="s">
        <v>645</v>
      </c>
      <c r="D214">
        <f t="shared" si="18"/>
        <v>29490804</v>
      </c>
      <c r="E214">
        <v>50</v>
      </c>
      <c r="F214" t="s">
        <v>276</v>
      </c>
      <c r="G214">
        <f>VLOOKUP(F214,Sheet2!$B$2:$C$70,2,FALSE)</f>
        <v>2015</v>
      </c>
      <c r="H214">
        <f t="shared" si="19"/>
        <v>1.32</v>
      </c>
      <c r="I214" t="s">
        <v>721</v>
      </c>
      <c r="K214">
        <f t="shared" si="20"/>
        <v>75</v>
      </c>
      <c r="L214">
        <f t="shared" si="21"/>
        <v>2090</v>
      </c>
    </row>
    <row r="215" spans="2:12" x14ac:dyDescent="0.2">
      <c r="B215">
        <v>38450000</v>
      </c>
      <c r="C215" t="s">
        <v>512</v>
      </c>
      <c r="D215">
        <f t="shared" si="18"/>
        <v>50703297</v>
      </c>
      <c r="E215">
        <v>40</v>
      </c>
      <c r="F215" t="s">
        <v>277</v>
      </c>
      <c r="G215">
        <f>VLOOKUP(F215,Sheet2!$B$2:$C$70,2,FALSE)</f>
        <v>2016</v>
      </c>
      <c r="H215">
        <f t="shared" si="19"/>
        <v>1.3186813186813187</v>
      </c>
      <c r="I215" t="s">
        <v>718</v>
      </c>
      <c r="K215">
        <f t="shared" si="20"/>
        <v>60</v>
      </c>
      <c r="L215">
        <f t="shared" si="21"/>
        <v>2076</v>
      </c>
    </row>
    <row r="216" spans="2:12" x14ac:dyDescent="0.2">
      <c r="B216">
        <v>81795927</v>
      </c>
      <c r="C216" t="s">
        <v>646</v>
      </c>
      <c r="D216">
        <f t="shared" si="18"/>
        <v>102051629</v>
      </c>
      <c r="E216">
        <v>60</v>
      </c>
      <c r="F216" t="s">
        <v>285</v>
      </c>
      <c r="G216">
        <f>VLOOKUP(F216,Sheet2!$B$2:$C$70,2,FALSE)</f>
        <v>2018</v>
      </c>
      <c r="H216">
        <f t="shared" si="19"/>
        <v>1.2476370510396977</v>
      </c>
      <c r="I216" t="s">
        <v>721</v>
      </c>
      <c r="K216">
        <f t="shared" si="20"/>
        <v>90</v>
      </c>
      <c r="L216">
        <f t="shared" si="21"/>
        <v>2108</v>
      </c>
    </row>
    <row r="217" spans="2:12" x14ac:dyDescent="0.2">
      <c r="B217">
        <v>18026797</v>
      </c>
      <c r="C217" t="s">
        <v>554</v>
      </c>
      <c r="D217">
        <f t="shared" si="18"/>
        <v>22490900</v>
      </c>
      <c r="E217">
        <v>20</v>
      </c>
      <c r="F217" t="s">
        <v>285</v>
      </c>
      <c r="G217">
        <f>VLOOKUP(F217,Sheet2!$B$2:$C$70,2,FALSE)</f>
        <v>2018</v>
      </c>
      <c r="H217">
        <f t="shared" si="19"/>
        <v>1.2476370510396977</v>
      </c>
      <c r="I217" t="s">
        <v>723</v>
      </c>
      <c r="K217">
        <f t="shared" si="20"/>
        <v>30</v>
      </c>
      <c r="L217">
        <f t="shared" si="21"/>
        <v>2048</v>
      </c>
    </row>
    <row r="218" spans="2:12" x14ac:dyDescent="0.2">
      <c r="B218">
        <v>770048</v>
      </c>
      <c r="C218" t="s">
        <v>647</v>
      </c>
      <c r="D218">
        <f t="shared" si="18"/>
        <v>960740</v>
      </c>
      <c r="E218">
        <v>10</v>
      </c>
      <c r="F218" t="s">
        <v>285</v>
      </c>
      <c r="G218">
        <f>VLOOKUP(F218,Sheet2!$B$2:$C$70,2,FALSE)</f>
        <v>2018</v>
      </c>
      <c r="H218">
        <f t="shared" si="19"/>
        <v>1.2476370510396977</v>
      </c>
      <c r="I218" t="s">
        <v>723</v>
      </c>
      <c r="K218">
        <f t="shared" si="20"/>
        <v>15</v>
      </c>
      <c r="L218">
        <f t="shared" si="21"/>
        <v>2033</v>
      </c>
    </row>
    <row r="219" spans="2:12" x14ac:dyDescent="0.2">
      <c r="B219">
        <v>522444</v>
      </c>
      <c r="C219" t="s">
        <v>648</v>
      </c>
      <c r="D219">
        <f t="shared" si="18"/>
        <v>651820</v>
      </c>
      <c r="E219">
        <v>20</v>
      </c>
      <c r="F219" t="s">
        <v>285</v>
      </c>
      <c r="G219">
        <f>VLOOKUP(F219,Sheet2!$B$2:$C$70,2,FALSE)</f>
        <v>2018</v>
      </c>
      <c r="H219">
        <f t="shared" si="19"/>
        <v>1.2476370510396977</v>
      </c>
      <c r="I219" t="s">
        <v>723</v>
      </c>
      <c r="K219">
        <f t="shared" si="20"/>
        <v>30</v>
      </c>
      <c r="L219">
        <f t="shared" si="21"/>
        <v>2048</v>
      </c>
    </row>
    <row r="220" spans="2:12" x14ac:dyDescent="0.2">
      <c r="B220">
        <v>5834784</v>
      </c>
      <c r="C220" t="s">
        <v>519</v>
      </c>
      <c r="D220">
        <f t="shared" si="18"/>
        <v>7279693</v>
      </c>
      <c r="E220">
        <v>20</v>
      </c>
      <c r="F220" t="s">
        <v>285</v>
      </c>
      <c r="G220">
        <f>VLOOKUP(F220,Sheet2!$B$2:$C$70,2,FALSE)</f>
        <v>2018</v>
      </c>
      <c r="H220">
        <f t="shared" si="19"/>
        <v>1.2476370510396977</v>
      </c>
      <c r="I220" t="s">
        <v>723</v>
      </c>
      <c r="K220">
        <f t="shared" si="20"/>
        <v>30</v>
      </c>
      <c r="L220">
        <f t="shared" si="21"/>
        <v>2048</v>
      </c>
    </row>
    <row r="221" spans="2:12" x14ac:dyDescent="0.2">
      <c r="B221">
        <v>25000000</v>
      </c>
      <c r="C221" t="s">
        <v>649</v>
      </c>
      <c r="D221">
        <f t="shared" si="18"/>
        <v>31190926</v>
      </c>
      <c r="E221">
        <v>60</v>
      </c>
      <c r="F221" t="s">
        <v>285</v>
      </c>
      <c r="G221">
        <f>VLOOKUP(F221,Sheet2!$B$2:$C$70,2,FALSE)</f>
        <v>2018</v>
      </c>
      <c r="H221">
        <f t="shared" si="19"/>
        <v>1.2476370510396977</v>
      </c>
      <c r="I221" t="s">
        <v>726</v>
      </c>
      <c r="K221">
        <f t="shared" si="20"/>
        <v>90</v>
      </c>
      <c r="L221">
        <f t="shared" si="21"/>
        <v>2108</v>
      </c>
    </row>
    <row r="222" spans="2:12" x14ac:dyDescent="0.2">
      <c r="B222">
        <v>35980000</v>
      </c>
      <c r="C222" t="s">
        <v>512</v>
      </c>
      <c r="D222">
        <f t="shared" si="18"/>
        <v>43612121</v>
      </c>
      <c r="E222">
        <v>40</v>
      </c>
      <c r="F222" t="s">
        <v>692</v>
      </c>
      <c r="G222">
        <f>VLOOKUP(F222,Sheet2!$B$2:$C$70,2,FALSE)</f>
        <v>2020</v>
      </c>
      <c r="H222">
        <f t="shared" si="19"/>
        <v>1.2121212121212122</v>
      </c>
      <c r="I222" t="s">
        <v>718</v>
      </c>
      <c r="K222">
        <f t="shared" si="20"/>
        <v>60</v>
      </c>
      <c r="L222">
        <f t="shared" si="21"/>
        <v>2080</v>
      </c>
    </row>
    <row r="223" spans="2:12" x14ac:dyDescent="0.2">
      <c r="B223">
        <v>6719866</v>
      </c>
      <c r="C223" t="s">
        <v>650</v>
      </c>
      <c r="D223">
        <f t="shared" si="18"/>
        <v>10764834</v>
      </c>
      <c r="E223">
        <v>50</v>
      </c>
      <c r="F223" t="s">
        <v>716</v>
      </c>
      <c r="G223">
        <f>VLOOKUP(F223,Sheet2!$B$2:$C$70,2,FALSE)</f>
        <v>1989</v>
      </c>
      <c r="H223">
        <f t="shared" si="19"/>
        <v>1.6019417475728155</v>
      </c>
      <c r="I223" t="s">
        <v>726</v>
      </c>
      <c r="K223">
        <f t="shared" si="20"/>
        <v>75</v>
      </c>
      <c r="L223">
        <f t="shared" si="21"/>
        <v>2064</v>
      </c>
    </row>
    <row r="224" spans="2:12" x14ac:dyDescent="0.2">
      <c r="B224">
        <v>476995</v>
      </c>
      <c r="C224" t="s">
        <v>651</v>
      </c>
      <c r="D224">
        <f t="shared" si="18"/>
        <v>764118</v>
      </c>
      <c r="E224">
        <v>40</v>
      </c>
      <c r="F224" t="s">
        <v>716</v>
      </c>
      <c r="G224">
        <f>VLOOKUP(F224,Sheet2!$B$2:$C$70,2,FALSE)</f>
        <v>1989</v>
      </c>
      <c r="H224">
        <f t="shared" si="19"/>
        <v>1.6019417475728155</v>
      </c>
      <c r="I224" t="s">
        <v>721</v>
      </c>
      <c r="K224">
        <f t="shared" si="20"/>
        <v>60</v>
      </c>
      <c r="L224">
        <f t="shared" si="21"/>
        <v>2049</v>
      </c>
    </row>
    <row r="225" spans="2:12" x14ac:dyDescent="0.2">
      <c r="B225">
        <v>3897208</v>
      </c>
      <c r="C225" t="s">
        <v>652</v>
      </c>
      <c r="D225">
        <f t="shared" si="18"/>
        <v>6243100</v>
      </c>
      <c r="E225">
        <v>20</v>
      </c>
      <c r="F225" t="s">
        <v>716</v>
      </c>
      <c r="G225">
        <f>VLOOKUP(F225,Sheet2!$B$2:$C$70,2,FALSE)</f>
        <v>1989</v>
      </c>
      <c r="H225">
        <f t="shared" si="19"/>
        <v>1.6019417475728155</v>
      </c>
      <c r="I225" t="s">
        <v>723</v>
      </c>
      <c r="K225">
        <f t="shared" si="20"/>
        <v>30</v>
      </c>
      <c r="L225">
        <f t="shared" si="21"/>
        <v>2019</v>
      </c>
    </row>
    <row r="226" spans="2:12" x14ac:dyDescent="0.2">
      <c r="B226">
        <v>723355</v>
      </c>
      <c r="C226" t="s">
        <v>653</v>
      </c>
      <c r="D226">
        <f t="shared" si="18"/>
        <v>1158773</v>
      </c>
      <c r="E226">
        <v>20</v>
      </c>
      <c r="F226" t="s">
        <v>716</v>
      </c>
      <c r="G226">
        <f>VLOOKUP(F226,Sheet2!$B$2:$C$70,2,FALSE)</f>
        <v>1989</v>
      </c>
      <c r="H226">
        <f t="shared" si="19"/>
        <v>1.6019417475728155</v>
      </c>
      <c r="I226" t="s">
        <v>723</v>
      </c>
      <c r="K226">
        <f t="shared" si="20"/>
        <v>30</v>
      </c>
      <c r="L226">
        <f t="shared" si="21"/>
        <v>2019</v>
      </c>
    </row>
    <row r="227" spans="2:12" x14ac:dyDescent="0.2">
      <c r="B227">
        <v>20518654</v>
      </c>
      <c r="C227" t="s">
        <v>520</v>
      </c>
      <c r="D227">
        <f t="shared" si="18"/>
        <v>32869688</v>
      </c>
      <c r="E227">
        <v>10</v>
      </c>
      <c r="F227" t="s">
        <v>716</v>
      </c>
      <c r="G227">
        <f>VLOOKUP(F227,Sheet2!$B$2:$C$70,2,FALSE)</f>
        <v>1989</v>
      </c>
      <c r="H227">
        <f t="shared" si="19"/>
        <v>1.6019417475728155</v>
      </c>
      <c r="I227" t="s">
        <v>723</v>
      </c>
      <c r="K227">
        <f t="shared" si="20"/>
        <v>15</v>
      </c>
      <c r="L227">
        <f t="shared" si="21"/>
        <v>2004</v>
      </c>
    </row>
    <row r="228" spans="2:12" x14ac:dyDescent="0.2">
      <c r="B228">
        <v>1706175</v>
      </c>
      <c r="C228" t="s">
        <v>654</v>
      </c>
      <c r="D228">
        <f t="shared" si="18"/>
        <v>2733193</v>
      </c>
      <c r="E228">
        <v>10</v>
      </c>
      <c r="F228" t="s">
        <v>716</v>
      </c>
      <c r="G228">
        <f>VLOOKUP(F228,Sheet2!$B$2:$C$70,2,FALSE)</f>
        <v>1989</v>
      </c>
      <c r="H228">
        <f t="shared" si="19"/>
        <v>1.6019417475728155</v>
      </c>
      <c r="I228" t="s">
        <v>723</v>
      </c>
      <c r="K228">
        <f t="shared" si="20"/>
        <v>15</v>
      </c>
      <c r="L228">
        <f t="shared" si="21"/>
        <v>2004</v>
      </c>
    </row>
    <row r="229" spans="2:12" x14ac:dyDescent="0.2">
      <c r="B229">
        <v>5807809</v>
      </c>
      <c r="C229" t="s">
        <v>655</v>
      </c>
      <c r="D229">
        <f t="shared" si="18"/>
        <v>9303772</v>
      </c>
      <c r="E229">
        <v>15</v>
      </c>
      <c r="F229" t="s">
        <v>716</v>
      </c>
      <c r="G229">
        <f>VLOOKUP(F229,Sheet2!$B$2:$C$70,2,FALSE)</f>
        <v>1989</v>
      </c>
      <c r="H229">
        <f t="shared" si="19"/>
        <v>1.6019417475728155</v>
      </c>
      <c r="I229" t="s">
        <v>723</v>
      </c>
      <c r="K229">
        <f t="shared" si="20"/>
        <v>23</v>
      </c>
      <c r="L229">
        <f t="shared" si="21"/>
        <v>2012</v>
      </c>
    </row>
    <row r="230" spans="2:12" x14ac:dyDescent="0.2">
      <c r="B230">
        <v>13832860</v>
      </c>
      <c r="C230" t="s">
        <v>656</v>
      </c>
      <c r="D230">
        <f t="shared" si="18"/>
        <v>22159436</v>
      </c>
      <c r="E230">
        <v>15</v>
      </c>
      <c r="F230" t="s">
        <v>716</v>
      </c>
      <c r="G230">
        <f>VLOOKUP(F230,Sheet2!$B$2:$C$70,2,FALSE)</f>
        <v>1989</v>
      </c>
      <c r="H230">
        <f t="shared" si="19"/>
        <v>1.6019417475728155</v>
      </c>
      <c r="I230" t="s">
        <v>723</v>
      </c>
      <c r="K230">
        <f t="shared" si="20"/>
        <v>23</v>
      </c>
      <c r="L230">
        <f t="shared" si="21"/>
        <v>2012</v>
      </c>
    </row>
    <row r="231" spans="2:12" x14ac:dyDescent="0.2">
      <c r="B231">
        <v>4447587</v>
      </c>
      <c r="C231" t="s">
        <v>657</v>
      </c>
      <c r="D231">
        <f t="shared" si="18"/>
        <v>7124775</v>
      </c>
      <c r="E231">
        <v>50</v>
      </c>
      <c r="F231" t="s">
        <v>716</v>
      </c>
      <c r="G231">
        <f>VLOOKUP(F231,Sheet2!$B$2:$C$70,2,FALSE)</f>
        <v>1989</v>
      </c>
      <c r="H231">
        <f t="shared" si="19"/>
        <v>1.6019417475728155</v>
      </c>
      <c r="I231" t="s">
        <v>726</v>
      </c>
      <c r="K231">
        <f t="shared" si="20"/>
        <v>75</v>
      </c>
      <c r="L231">
        <f t="shared" si="21"/>
        <v>2064</v>
      </c>
    </row>
    <row r="232" spans="2:12" x14ac:dyDescent="0.2">
      <c r="B232">
        <v>25613592</v>
      </c>
      <c r="C232" t="s">
        <v>546</v>
      </c>
      <c r="D232">
        <f t="shared" si="18"/>
        <v>41031482</v>
      </c>
      <c r="E232">
        <v>60</v>
      </c>
      <c r="F232" t="s">
        <v>716</v>
      </c>
      <c r="G232">
        <f>VLOOKUP(F232,Sheet2!$B$2:$C$70,2,FALSE)</f>
        <v>1989</v>
      </c>
      <c r="H232">
        <f t="shared" si="19"/>
        <v>1.6019417475728155</v>
      </c>
      <c r="I232" t="s">
        <v>726</v>
      </c>
      <c r="K232">
        <f t="shared" si="20"/>
        <v>90</v>
      </c>
      <c r="L232">
        <f t="shared" si="21"/>
        <v>2079</v>
      </c>
    </row>
    <row r="233" spans="2:12" x14ac:dyDescent="0.2">
      <c r="B233">
        <v>2943217</v>
      </c>
      <c r="C233" t="s">
        <v>658</v>
      </c>
      <c r="D233">
        <f t="shared" si="18"/>
        <v>4714862</v>
      </c>
      <c r="E233">
        <v>60</v>
      </c>
      <c r="F233" t="s">
        <v>716</v>
      </c>
      <c r="G233">
        <f>VLOOKUP(F233,Sheet2!$B$2:$C$70,2,FALSE)</f>
        <v>1989</v>
      </c>
      <c r="H233">
        <f t="shared" si="19"/>
        <v>1.6019417475728155</v>
      </c>
      <c r="I233" t="s">
        <v>726</v>
      </c>
      <c r="K233">
        <f t="shared" si="20"/>
        <v>90</v>
      </c>
      <c r="L233">
        <f t="shared" si="21"/>
        <v>2079</v>
      </c>
    </row>
    <row r="234" spans="2:12" x14ac:dyDescent="0.2">
      <c r="B234">
        <v>80068264</v>
      </c>
      <c r="C234" t="s">
        <v>512</v>
      </c>
      <c r="D234">
        <f t="shared" si="18"/>
        <v>128264695</v>
      </c>
      <c r="E234">
        <v>40</v>
      </c>
      <c r="F234" t="s">
        <v>716</v>
      </c>
      <c r="G234">
        <f>VLOOKUP(F234,Sheet2!$B$2:$C$70,2,FALSE)</f>
        <v>1989</v>
      </c>
      <c r="H234">
        <f t="shared" si="19"/>
        <v>1.6019417475728155</v>
      </c>
      <c r="I234" t="s">
        <v>718</v>
      </c>
      <c r="K234">
        <f t="shared" si="20"/>
        <v>60</v>
      </c>
      <c r="L234">
        <f t="shared" si="21"/>
        <v>2049</v>
      </c>
    </row>
    <row r="235" spans="2:12" x14ac:dyDescent="0.2">
      <c r="B235">
        <v>2366630</v>
      </c>
      <c r="C235" t="s">
        <v>659</v>
      </c>
      <c r="D235">
        <f t="shared" si="18"/>
        <v>3791203</v>
      </c>
      <c r="E235">
        <v>60</v>
      </c>
      <c r="F235" t="s">
        <v>716</v>
      </c>
      <c r="G235">
        <f>VLOOKUP(F235,Sheet2!$B$2:$C$70,2,FALSE)</f>
        <v>1989</v>
      </c>
      <c r="H235">
        <f t="shared" si="19"/>
        <v>1.6019417475728155</v>
      </c>
      <c r="I235" t="s">
        <v>726</v>
      </c>
      <c r="K235">
        <f t="shared" si="20"/>
        <v>90</v>
      </c>
      <c r="L235">
        <f t="shared" si="21"/>
        <v>2079</v>
      </c>
    </row>
    <row r="236" spans="2:12" x14ac:dyDescent="0.2">
      <c r="B236">
        <v>1274783</v>
      </c>
      <c r="C236" t="s">
        <v>660</v>
      </c>
      <c r="D236">
        <f t="shared" si="18"/>
        <v>2042128</v>
      </c>
      <c r="E236">
        <v>20</v>
      </c>
      <c r="F236" t="s">
        <v>716</v>
      </c>
      <c r="G236">
        <f>VLOOKUP(F236,Sheet2!$B$2:$C$70,2,FALSE)</f>
        <v>1989</v>
      </c>
      <c r="H236">
        <f t="shared" si="19"/>
        <v>1.6019417475728155</v>
      </c>
      <c r="I236" t="s">
        <v>723</v>
      </c>
      <c r="K236">
        <f t="shared" si="20"/>
        <v>30</v>
      </c>
      <c r="L236">
        <f t="shared" si="21"/>
        <v>2019</v>
      </c>
    </row>
    <row r="237" spans="2:12" x14ac:dyDescent="0.2">
      <c r="B237">
        <v>2476706</v>
      </c>
      <c r="C237" t="s">
        <v>661</v>
      </c>
      <c r="D237">
        <f t="shared" si="18"/>
        <v>3967539</v>
      </c>
      <c r="E237">
        <v>60</v>
      </c>
      <c r="F237" t="s">
        <v>716</v>
      </c>
      <c r="G237">
        <f>VLOOKUP(F237,Sheet2!$B$2:$C$70,2,FALSE)</f>
        <v>1989</v>
      </c>
      <c r="H237">
        <f t="shared" si="19"/>
        <v>1.6019417475728155</v>
      </c>
      <c r="I237" t="s">
        <v>726</v>
      </c>
      <c r="K237">
        <f t="shared" si="20"/>
        <v>90</v>
      </c>
      <c r="L237">
        <f t="shared" si="21"/>
        <v>2079</v>
      </c>
    </row>
    <row r="238" spans="2:12" x14ac:dyDescent="0.2">
      <c r="B238">
        <v>547758</v>
      </c>
      <c r="C238" t="s">
        <v>662</v>
      </c>
      <c r="D238">
        <f t="shared" si="18"/>
        <v>877476</v>
      </c>
      <c r="E238">
        <v>20</v>
      </c>
      <c r="F238" t="s">
        <v>716</v>
      </c>
      <c r="G238">
        <f>VLOOKUP(F238,Sheet2!$B$2:$C$70,2,FALSE)</f>
        <v>1989</v>
      </c>
      <c r="H238">
        <f t="shared" si="19"/>
        <v>1.6019417475728155</v>
      </c>
      <c r="I238" t="s">
        <v>723</v>
      </c>
      <c r="K238">
        <f t="shared" si="20"/>
        <v>30</v>
      </c>
      <c r="L238">
        <f t="shared" si="21"/>
        <v>2019</v>
      </c>
    </row>
    <row r="239" spans="2:12" x14ac:dyDescent="0.2">
      <c r="B239">
        <v>6497093</v>
      </c>
      <c r="C239" t="s">
        <v>663</v>
      </c>
      <c r="D239">
        <f t="shared" si="18"/>
        <v>10407965</v>
      </c>
      <c r="E239">
        <v>15</v>
      </c>
      <c r="F239" t="s">
        <v>716</v>
      </c>
      <c r="G239">
        <f>VLOOKUP(F239,Sheet2!$B$2:$C$70,2,FALSE)</f>
        <v>1989</v>
      </c>
      <c r="H239">
        <f t="shared" si="19"/>
        <v>1.6019417475728155</v>
      </c>
      <c r="I239" t="s">
        <v>723</v>
      </c>
      <c r="K239">
        <f t="shared" si="20"/>
        <v>23</v>
      </c>
      <c r="L239">
        <f t="shared" si="21"/>
        <v>2012</v>
      </c>
    </row>
    <row r="240" spans="2:12" x14ac:dyDescent="0.2">
      <c r="B240">
        <v>2476706</v>
      </c>
      <c r="C240" t="s">
        <v>664</v>
      </c>
      <c r="D240">
        <f t="shared" si="18"/>
        <v>3967539</v>
      </c>
      <c r="E240">
        <v>60</v>
      </c>
      <c r="F240" t="s">
        <v>716</v>
      </c>
      <c r="G240">
        <f>VLOOKUP(F240,Sheet2!$B$2:$C$70,2,FALSE)</f>
        <v>1989</v>
      </c>
      <c r="H240">
        <f t="shared" si="19"/>
        <v>1.6019417475728155</v>
      </c>
      <c r="I240" t="s">
        <v>726</v>
      </c>
      <c r="K240">
        <f t="shared" si="20"/>
        <v>90</v>
      </c>
      <c r="L240">
        <f t="shared" si="21"/>
        <v>2079</v>
      </c>
    </row>
    <row r="241" spans="2:12" x14ac:dyDescent="0.2">
      <c r="B241">
        <v>547758</v>
      </c>
      <c r="C241" t="s">
        <v>665</v>
      </c>
      <c r="D241">
        <f t="shared" si="18"/>
        <v>877476</v>
      </c>
      <c r="E241">
        <v>20</v>
      </c>
      <c r="F241" t="s">
        <v>716</v>
      </c>
      <c r="G241">
        <f>VLOOKUP(F241,Sheet2!$B$2:$C$70,2,FALSE)</f>
        <v>1989</v>
      </c>
      <c r="H241">
        <f t="shared" si="19"/>
        <v>1.6019417475728155</v>
      </c>
      <c r="I241" t="s">
        <v>723</v>
      </c>
      <c r="K241">
        <f t="shared" si="20"/>
        <v>30</v>
      </c>
      <c r="L241">
        <f t="shared" si="21"/>
        <v>2019</v>
      </c>
    </row>
    <row r="242" spans="2:12" x14ac:dyDescent="0.2">
      <c r="B242">
        <v>6497093</v>
      </c>
      <c r="C242" t="s">
        <v>666</v>
      </c>
      <c r="D242">
        <f t="shared" si="18"/>
        <v>10407965</v>
      </c>
      <c r="E242">
        <v>15</v>
      </c>
      <c r="F242" t="s">
        <v>716</v>
      </c>
      <c r="G242">
        <f>VLOOKUP(F242,Sheet2!$B$2:$C$70,2,FALSE)</f>
        <v>1989</v>
      </c>
      <c r="H242">
        <f t="shared" si="19"/>
        <v>1.6019417475728155</v>
      </c>
      <c r="I242" t="s">
        <v>723</v>
      </c>
      <c r="K242">
        <f t="shared" si="20"/>
        <v>23</v>
      </c>
      <c r="L242">
        <f t="shared" si="21"/>
        <v>2012</v>
      </c>
    </row>
    <row r="243" spans="2:12" x14ac:dyDescent="0.2">
      <c r="B243">
        <v>2574757</v>
      </c>
      <c r="C243" t="s">
        <v>512</v>
      </c>
      <c r="D243">
        <f t="shared" si="18"/>
        <v>4124611</v>
      </c>
      <c r="E243">
        <v>40</v>
      </c>
      <c r="F243" t="s">
        <v>716</v>
      </c>
      <c r="G243">
        <f>VLOOKUP(F243,Sheet2!$B$2:$C$70,2,FALSE)</f>
        <v>1989</v>
      </c>
      <c r="H243">
        <f t="shared" si="19"/>
        <v>1.6019417475728155</v>
      </c>
      <c r="I243" t="s">
        <v>718</v>
      </c>
      <c r="K243">
        <f t="shared" si="20"/>
        <v>60</v>
      </c>
      <c r="L243">
        <f t="shared" si="21"/>
        <v>2049</v>
      </c>
    </row>
    <row r="244" spans="2:12" x14ac:dyDescent="0.2">
      <c r="B244">
        <v>4083913</v>
      </c>
      <c r="C244" t="s">
        <v>512</v>
      </c>
      <c r="D244">
        <f t="shared" si="18"/>
        <v>6542191</v>
      </c>
      <c r="E244">
        <v>40</v>
      </c>
      <c r="F244" t="s">
        <v>716</v>
      </c>
      <c r="G244">
        <f>VLOOKUP(F244,Sheet2!$B$2:$C$70,2,FALSE)</f>
        <v>1989</v>
      </c>
      <c r="H244">
        <f t="shared" si="19"/>
        <v>1.6019417475728155</v>
      </c>
      <c r="I244" t="s">
        <v>718</v>
      </c>
      <c r="K244">
        <f t="shared" si="20"/>
        <v>60</v>
      </c>
      <c r="L244">
        <f t="shared" si="21"/>
        <v>2049</v>
      </c>
    </row>
    <row r="245" spans="2:12" x14ac:dyDescent="0.2">
      <c r="B245">
        <v>4026214</v>
      </c>
      <c r="C245" t="s">
        <v>512</v>
      </c>
      <c r="D245">
        <f t="shared" si="18"/>
        <v>6449760</v>
      </c>
      <c r="E245">
        <v>40</v>
      </c>
      <c r="F245" t="s">
        <v>716</v>
      </c>
      <c r="G245">
        <f>VLOOKUP(F245,Sheet2!$B$2:$C$70,2,FALSE)</f>
        <v>1989</v>
      </c>
      <c r="H245">
        <f t="shared" si="19"/>
        <v>1.6019417475728155</v>
      </c>
      <c r="I245" t="s">
        <v>718</v>
      </c>
      <c r="K245">
        <f t="shared" si="20"/>
        <v>60</v>
      </c>
      <c r="L245">
        <f t="shared" si="21"/>
        <v>2049</v>
      </c>
    </row>
    <row r="246" spans="2:12" x14ac:dyDescent="0.2">
      <c r="B246">
        <v>15333333</v>
      </c>
      <c r="C246" t="s">
        <v>512</v>
      </c>
      <c r="D246">
        <f t="shared" si="18"/>
        <v>23728018</v>
      </c>
      <c r="E246">
        <v>40</v>
      </c>
      <c r="F246" t="s">
        <v>717</v>
      </c>
      <c r="G246">
        <f>VLOOKUP(F246,Sheet2!$B$2:$C$70,2,FALSE)</f>
        <v>1990</v>
      </c>
      <c r="H246">
        <f t="shared" si="19"/>
        <v>1.5474794841735053</v>
      </c>
      <c r="I246" t="s">
        <v>718</v>
      </c>
      <c r="K246">
        <f t="shared" si="20"/>
        <v>60</v>
      </c>
      <c r="L246">
        <f t="shared" si="21"/>
        <v>2050</v>
      </c>
    </row>
    <row r="247" spans="2:12" x14ac:dyDescent="0.2">
      <c r="B247">
        <v>7666667</v>
      </c>
      <c r="C247" t="s">
        <v>667</v>
      </c>
      <c r="D247">
        <f t="shared" si="18"/>
        <v>11864010</v>
      </c>
      <c r="E247">
        <v>40</v>
      </c>
      <c r="F247" t="s">
        <v>696</v>
      </c>
      <c r="G247">
        <f>VLOOKUP(F247,Sheet2!$B$2:$C$70,2,FALSE)</f>
        <v>1990</v>
      </c>
      <c r="H247">
        <f t="shared" si="19"/>
        <v>1.5474794841735053</v>
      </c>
      <c r="I247" t="s">
        <v>721</v>
      </c>
      <c r="K247">
        <f t="shared" si="20"/>
        <v>60</v>
      </c>
      <c r="L247">
        <f t="shared" si="21"/>
        <v>2050</v>
      </c>
    </row>
    <row r="248" spans="2:12" x14ac:dyDescent="0.2">
      <c r="B248">
        <v>19762000</v>
      </c>
      <c r="C248" t="s">
        <v>668</v>
      </c>
      <c r="D248">
        <f t="shared" si="18"/>
        <v>30581290</v>
      </c>
      <c r="E248">
        <v>60</v>
      </c>
      <c r="F248" t="s">
        <v>696</v>
      </c>
      <c r="G248">
        <f>VLOOKUP(F248,Sheet2!$B$2:$C$70,2,FALSE)</f>
        <v>1990</v>
      </c>
      <c r="H248">
        <f t="shared" si="19"/>
        <v>1.5474794841735053</v>
      </c>
      <c r="I248" t="s">
        <v>726</v>
      </c>
      <c r="K248">
        <f t="shared" si="20"/>
        <v>90</v>
      </c>
      <c r="L248">
        <f t="shared" si="21"/>
        <v>2080</v>
      </c>
    </row>
    <row r="249" spans="2:12" x14ac:dyDescent="0.2">
      <c r="B249">
        <v>2000000</v>
      </c>
      <c r="C249" t="s">
        <v>669</v>
      </c>
      <c r="D249">
        <f t="shared" si="18"/>
        <v>3094959</v>
      </c>
      <c r="E249">
        <v>50</v>
      </c>
      <c r="F249" t="s">
        <v>696</v>
      </c>
      <c r="G249">
        <f>VLOOKUP(F249,Sheet2!$B$2:$C$70,2,FALSE)</f>
        <v>1990</v>
      </c>
      <c r="H249">
        <f t="shared" si="19"/>
        <v>1.5474794841735053</v>
      </c>
      <c r="I249" t="s">
        <v>726</v>
      </c>
      <c r="K249">
        <f t="shared" si="20"/>
        <v>75</v>
      </c>
      <c r="L249">
        <f t="shared" si="21"/>
        <v>2065</v>
      </c>
    </row>
    <row r="250" spans="2:12" x14ac:dyDescent="0.2">
      <c r="B250">
        <v>15518000</v>
      </c>
      <c r="C250" t="s">
        <v>512</v>
      </c>
      <c r="D250">
        <f t="shared" si="18"/>
        <v>24013787</v>
      </c>
      <c r="E250">
        <v>40</v>
      </c>
      <c r="F250" t="s">
        <v>696</v>
      </c>
      <c r="G250">
        <f>VLOOKUP(F250,Sheet2!$B$2:$C$70,2,FALSE)</f>
        <v>1990</v>
      </c>
      <c r="H250">
        <f t="shared" si="19"/>
        <v>1.5474794841735053</v>
      </c>
      <c r="I250" t="s">
        <v>718</v>
      </c>
      <c r="K250">
        <f t="shared" si="20"/>
        <v>60</v>
      </c>
      <c r="L250">
        <f t="shared" si="21"/>
        <v>2050</v>
      </c>
    </row>
    <row r="251" spans="2:12" x14ac:dyDescent="0.2">
      <c r="B251">
        <v>11000000</v>
      </c>
      <c r="C251" t="s">
        <v>670</v>
      </c>
      <c r="D251">
        <f t="shared" si="18"/>
        <v>16575342</v>
      </c>
      <c r="E251">
        <v>15</v>
      </c>
      <c r="F251" t="s">
        <v>695</v>
      </c>
      <c r="G251">
        <f>VLOOKUP(F251,Sheet2!$B$2:$C$70,2,FALSE)</f>
        <v>1991</v>
      </c>
      <c r="H251">
        <f t="shared" si="19"/>
        <v>1.5068493150684932</v>
      </c>
      <c r="I251" t="s">
        <v>723</v>
      </c>
      <c r="K251">
        <f t="shared" si="20"/>
        <v>23</v>
      </c>
      <c r="L251">
        <f t="shared" si="21"/>
        <v>2014</v>
      </c>
    </row>
    <row r="252" spans="2:12" x14ac:dyDescent="0.2">
      <c r="B252">
        <v>24300000</v>
      </c>
      <c r="C252" t="s">
        <v>512</v>
      </c>
      <c r="D252">
        <f t="shared" si="18"/>
        <v>36616438</v>
      </c>
      <c r="E252">
        <v>40</v>
      </c>
      <c r="F252" t="s">
        <v>695</v>
      </c>
      <c r="G252">
        <f>VLOOKUP(F252,Sheet2!$B$2:$C$70,2,FALSE)</f>
        <v>1991</v>
      </c>
      <c r="H252">
        <f t="shared" si="19"/>
        <v>1.5068493150684932</v>
      </c>
      <c r="I252" t="s">
        <v>718</v>
      </c>
      <c r="K252">
        <f t="shared" si="20"/>
        <v>60</v>
      </c>
      <c r="L252">
        <f t="shared" si="21"/>
        <v>2051</v>
      </c>
    </row>
    <row r="253" spans="2:12" x14ac:dyDescent="0.2">
      <c r="B253">
        <v>25671000</v>
      </c>
      <c r="C253" t="s">
        <v>512</v>
      </c>
      <c r="D253">
        <f t="shared" si="18"/>
        <v>38682329</v>
      </c>
      <c r="E253">
        <v>40</v>
      </c>
      <c r="F253" t="s">
        <v>695</v>
      </c>
      <c r="G253">
        <f>VLOOKUP(F253,Sheet2!$B$2:$C$70,2,FALSE)</f>
        <v>1991</v>
      </c>
      <c r="H253">
        <f t="shared" si="19"/>
        <v>1.5068493150684932</v>
      </c>
      <c r="I253" t="s">
        <v>718</v>
      </c>
      <c r="K253">
        <f t="shared" si="20"/>
        <v>60</v>
      </c>
      <c r="L253">
        <f t="shared" si="21"/>
        <v>2051</v>
      </c>
    </row>
    <row r="254" spans="2:12" x14ac:dyDescent="0.2">
      <c r="B254">
        <v>13500000</v>
      </c>
      <c r="C254" t="s">
        <v>671</v>
      </c>
      <c r="D254">
        <f t="shared" si="18"/>
        <v>20112867</v>
      </c>
      <c r="E254">
        <v>15</v>
      </c>
      <c r="F254" t="s">
        <v>699</v>
      </c>
      <c r="G254">
        <f>VLOOKUP(F254,Sheet2!$B$2:$C$70,2,FALSE)</f>
        <v>1992</v>
      </c>
      <c r="H254">
        <f t="shared" si="19"/>
        <v>1.489841986455982</v>
      </c>
      <c r="I254" t="s">
        <v>723</v>
      </c>
      <c r="K254">
        <f t="shared" si="20"/>
        <v>23</v>
      </c>
      <c r="L254">
        <f t="shared" si="21"/>
        <v>2015</v>
      </c>
    </row>
    <row r="255" spans="2:12" x14ac:dyDescent="0.2">
      <c r="B255">
        <v>22052000</v>
      </c>
      <c r="C255" t="s">
        <v>512</v>
      </c>
      <c r="D255">
        <f t="shared" si="18"/>
        <v>32853995</v>
      </c>
      <c r="E255">
        <v>40</v>
      </c>
      <c r="F255" t="s">
        <v>699</v>
      </c>
      <c r="G255">
        <f>VLOOKUP(F255,Sheet2!$B$2:$C$70,2,FALSE)</f>
        <v>1992</v>
      </c>
      <c r="H255">
        <f t="shared" si="19"/>
        <v>1.489841986455982</v>
      </c>
      <c r="I255" t="s">
        <v>718</v>
      </c>
      <c r="K255">
        <f t="shared" si="20"/>
        <v>60</v>
      </c>
      <c r="L255">
        <f t="shared" si="21"/>
        <v>2052</v>
      </c>
    </row>
    <row r="256" spans="2:12" x14ac:dyDescent="0.2">
      <c r="B256">
        <v>29538000</v>
      </c>
      <c r="C256" t="s">
        <v>512</v>
      </c>
      <c r="D256">
        <f t="shared" si="18"/>
        <v>44006953</v>
      </c>
      <c r="E256">
        <v>40</v>
      </c>
      <c r="F256" t="s">
        <v>699</v>
      </c>
      <c r="G256">
        <f>VLOOKUP(F256,Sheet2!$B$2:$C$70,2,FALSE)</f>
        <v>1992</v>
      </c>
      <c r="H256">
        <f t="shared" si="19"/>
        <v>1.489841986455982</v>
      </c>
      <c r="I256" t="s">
        <v>718</v>
      </c>
      <c r="K256">
        <f t="shared" si="20"/>
        <v>60</v>
      </c>
      <c r="L256">
        <f t="shared" si="21"/>
        <v>2052</v>
      </c>
    </row>
    <row r="257" spans="2:12" x14ac:dyDescent="0.2">
      <c r="B257">
        <v>38500000</v>
      </c>
      <c r="C257" t="s">
        <v>512</v>
      </c>
      <c r="D257">
        <f t="shared" si="18"/>
        <v>57358916</v>
      </c>
      <c r="E257">
        <v>40</v>
      </c>
      <c r="F257" t="s">
        <v>699</v>
      </c>
      <c r="G257">
        <f>VLOOKUP(F257,Sheet2!$B$2:$C$70,2,FALSE)</f>
        <v>1992</v>
      </c>
      <c r="H257">
        <f t="shared" si="19"/>
        <v>1.489841986455982</v>
      </c>
      <c r="I257" t="s">
        <v>718</v>
      </c>
      <c r="K257">
        <f t="shared" si="20"/>
        <v>60</v>
      </c>
      <c r="L257">
        <f t="shared" si="21"/>
        <v>2052</v>
      </c>
    </row>
    <row r="258" spans="2:12" x14ac:dyDescent="0.2">
      <c r="B258">
        <v>20894000</v>
      </c>
      <c r="C258" t="s">
        <v>512</v>
      </c>
      <c r="D258">
        <f t="shared" si="18"/>
        <v>31128758</v>
      </c>
      <c r="E258">
        <v>40</v>
      </c>
      <c r="F258" t="s">
        <v>699</v>
      </c>
      <c r="G258">
        <f>VLOOKUP(F258,Sheet2!$B$2:$C$70,2,FALSE)</f>
        <v>1992</v>
      </c>
      <c r="H258">
        <f t="shared" si="19"/>
        <v>1.489841986455982</v>
      </c>
      <c r="I258" t="s">
        <v>718</v>
      </c>
      <c r="K258">
        <f t="shared" si="20"/>
        <v>60</v>
      </c>
      <c r="L258">
        <f t="shared" si="21"/>
        <v>2052</v>
      </c>
    </row>
    <row r="259" spans="2:12" x14ac:dyDescent="0.2">
      <c r="B259">
        <v>9646117</v>
      </c>
      <c r="C259" t="s">
        <v>512</v>
      </c>
      <c r="D259">
        <f t="shared" ref="D259:D280" si="22">ROUND(B259*H259,0)</f>
        <v>14371190</v>
      </c>
      <c r="E259">
        <v>40</v>
      </c>
      <c r="F259" t="s">
        <v>699</v>
      </c>
      <c r="G259">
        <f>VLOOKUP(F259,Sheet2!$B$2:$C$70,2,FALSE)</f>
        <v>1992</v>
      </c>
      <c r="H259">
        <f t="shared" ref="H259:H280" si="23">VLOOKUP(G259,$AB$1:$AD$51,3,FALSE)</f>
        <v>1.489841986455982</v>
      </c>
      <c r="I259" t="s">
        <v>718</v>
      </c>
      <c r="K259">
        <f t="shared" ref="K259:K280" si="24">ROUND(E259*1.5,0)</f>
        <v>60</v>
      </c>
      <c r="L259">
        <f t="shared" ref="L259:L280" si="25">G259+K259</f>
        <v>2052</v>
      </c>
    </row>
    <row r="260" spans="2:12" x14ac:dyDescent="0.2">
      <c r="B260">
        <v>18933000</v>
      </c>
      <c r="C260" t="s">
        <v>512</v>
      </c>
      <c r="D260">
        <f t="shared" si="22"/>
        <v>28270995</v>
      </c>
      <c r="E260">
        <v>40</v>
      </c>
      <c r="F260" t="s">
        <v>700</v>
      </c>
      <c r="G260">
        <f>VLOOKUP(F260,Sheet2!$B$2:$C$70,2,FALSE)</f>
        <v>1993</v>
      </c>
      <c r="H260">
        <f t="shared" si="23"/>
        <v>1.4932126696832577</v>
      </c>
      <c r="I260" t="s">
        <v>718</v>
      </c>
      <c r="K260">
        <f t="shared" si="24"/>
        <v>60</v>
      </c>
      <c r="L260">
        <f t="shared" si="25"/>
        <v>2053</v>
      </c>
    </row>
    <row r="261" spans="2:12" x14ac:dyDescent="0.2">
      <c r="B261">
        <v>31300000</v>
      </c>
      <c r="C261" t="s">
        <v>512</v>
      </c>
      <c r="D261">
        <f t="shared" si="22"/>
        <v>46737557</v>
      </c>
      <c r="E261">
        <v>40</v>
      </c>
      <c r="F261" t="s">
        <v>700</v>
      </c>
      <c r="G261">
        <f>VLOOKUP(F261,Sheet2!$B$2:$C$70,2,FALSE)</f>
        <v>1993</v>
      </c>
      <c r="H261">
        <f t="shared" si="23"/>
        <v>1.4932126696832577</v>
      </c>
      <c r="I261" t="s">
        <v>718</v>
      </c>
      <c r="K261">
        <f t="shared" si="24"/>
        <v>60</v>
      </c>
      <c r="L261">
        <f t="shared" si="25"/>
        <v>2053</v>
      </c>
    </row>
    <row r="262" spans="2:12" x14ac:dyDescent="0.2">
      <c r="B262">
        <v>3144000</v>
      </c>
      <c r="C262" t="s">
        <v>512</v>
      </c>
      <c r="D262">
        <f t="shared" si="22"/>
        <v>4694661</v>
      </c>
      <c r="E262">
        <v>40</v>
      </c>
      <c r="F262" t="s">
        <v>700</v>
      </c>
      <c r="G262">
        <f>VLOOKUP(F262,Sheet2!$B$2:$C$70,2,FALSE)</f>
        <v>1993</v>
      </c>
      <c r="H262">
        <f t="shared" si="23"/>
        <v>1.4932126696832577</v>
      </c>
      <c r="I262" t="s">
        <v>718</v>
      </c>
      <c r="K262">
        <f t="shared" si="24"/>
        <v>60</v>
      </c>
      <c r="L262">
        <f t="shared" si="25"/>
        <v>2053</v>
      </c>
    </row>
    <row r="263" spans="2:12" x14ac:dyDescent="0.2">
      <c r="B263">
        <v>292000</v>
      </c>
      <c r="C263" t="s">
        <v>672</v>
      </c>
      <c r="D263">
        <f t="shared" si="22"/>
        <v>496062</v>
      </c>
      <c r="E263">
        <v>40</v>
      </c>
      <c r="F263" t="s">
        <v>686</v>
      </c>
      <c r="G263">
        <f>VLOOKUP(F263,Sheet2!$B$2:$C$70,2,FALSE)</f>
        <v>1979</v>
      </c>
      <c r="H263">
        <f t="shared" si="23"/>
        <v>1.6988416988416988</v>
      </c>
      <c r="I263" t="s">
        <v>721</v>
      </c>
      <c r="K263">
        <f t="shared" si="24"/>
        <v>60</v>
      </c>
      <c r="L263">
        <f t="shared" si="25"/>
        <v>2039</v>
      </c>
    </row>
    <row r="264" spans="2:12" x14ac:dyDescent="0.2">
      <c r="B264">
        <v>292000</v>
      </c>
      <c r="C264" t="s">
        <v>673</v>
      </c>
      <c r="D264">
        <f t="shared" si="22"/>
        <v>496062</v>
      </c>
      <c r="E264">
        <v>40</v>
      </c>
      <c r="F264" t="s">
        <v>686</v>
      </c>
      <c r="G264">
        <f>VLOOKUP(F264,Sheet2!$B$2:$C$70,2,FALSE)</f>
        <v>1979</v>
      </c>
      <c r="H264">
        <f t="shared" si="23"/>
        <v>1.6988416988416988</v>
      </c>
      <c r="I264" t="s">
        <v>721</v>
      </c>
      <c r="K264">
        <f t="shared" si="24"/>
        <v>60</v>
      </c>
      <c r="L264">
        <f t="shared" si="25"/>
        <v>2039</v>
      </c>
    </row>
    <row r="265" spans="2:12" x14ac:dyDescent="0.2">
      <c r="B265">
        <v>812000</v>
      </c>
      <c r="C265" t="s">
        <v>512</v>
      </c>
      <c r="D265">
        <f t="shared" si="22"/>
        <v>1379459</v>
      </c>
      <c r="E265">
        <v>40</v>
      </c>
      <c r="F265" t="s">
        <v>686</v>
      </c>
      <c r="G265">
        <f>VLOOKUP(F265,Sheet2!$B$2:$C$70,2,FALSE)</f>
        <v>1979</v>
      </c>
      <c r="H265">
        <f t="shared" si="23"/>
        <v>1.6988416988416988</v>
      </c>
      <c r="I265" t="s">
        <v>718</v>
      </c>
      <c r="K265">
        <f t="shared" si="24"/>
        <v>60</v>
      </c>
      <c r="L265">
        <f t="shared" si="25"/>
        <v>2039</v>
      </c>
    </row>
    <row r="266" spans="2:12" x14ac:dyDescent="0.2">
      <c r="B266">
        <v>1141000</v>
      </c>
      <c r="C266" t="s">
        <v>512</v>
      </c>
      <c r="D266">
        <f t="shared" si="22"/>
        <v>1938378</v>
      </c>
      <c r="E266">
        <v>40</v>
      </c>
      <c r="F266" t="s">
        <v>686</v>
      </c>
      <c r="G266">
        <f>VLOOKUP(F266,Sheet2!$B$2:$C$70,2,FALSE)</f>
        <v>1979</v>
      </c>
      <c r="H266">
        <f t="shared" si="23"/>
        <v>1.6988416988416988</v>
      </c>
      <c r="I266" t="s">
        <v>718</v>
      </c>
      <c r="K266">
        <f t="shared" si="24"/>
        <v>60</v>
      </c>
      <c r="L266">
        <f t="shared" si="25"/>
        <v>2039</v>
      </c>
    </row>
    <row r="267" spans="2:12" x14ac:dyDescent="0.2">
      <c r="B267">
        <v>1299000</v>
      </c>
      <c r="C267" t="s">
        <v>546</v>
      </c>
      <c r="D267">
        <f t="shared" si="22"/>
        <v>2206795</v>
      </c>
      <c r="E267">
        <v>60</v>
      </c>
      <c r="F267" t="s">
        <v>686</v>
      </c>
      <c r="G267">
        <f>VLOOKUP(F267,Sheet2!$B$2:$C$70,2,FALSE)</f>
        <v>1979</v>
      </c>
      <c r="H267">
        <f t="shared" si="23"/>
        <v>1.6988416988416988</v>
      </c>
      <c r="I267" t="s">
        <v>724</v>
      </c>
      <c r="K267">
        <f t="shared" si="24"/>
        <v>90</v>
      </c>
      <c r="L267">
        <f t="shared" si="25"/>
        <v>2069</v>
      </c>
    </row>
    <row r="268" spans="2:12" x14ac:dyDescent="0.2">
      <c r="B268">
        <v>172129</v>
      </c>
      <c r="C268" t="s">
        <v>674</v>
      </c>
      <c r="D268">
        <f t="shared" si="22"/>
        <v>292420</v>
      </c>
      <c r="E268">
        <v>50</v>
      </c>
      <c r="F268" t="s">
        <v>686</v>
      </c>
      <c r="G268">
        <f>VLOOKUP(F268,Sheet2!$B$2:$C$70,2,FALSE)</f>
        <v>1979</v>
      </c>
      <c r="H268">
        <f t="shared" si="23"/>
        <v>1.6988416988416988</v>
      </c>
      <c r="I268" t="s">
        <v>724</v>
      </c>
      <c r="K268">
        <f t="shared" si="24"/>
        <v>75</v>
      </c>
      <c r="L268">
        <f t="shared" si="25"/>
        <v>2054</v>
      </c>
    </row>
    <row r="269" spans="2:12" x14ac:dyDescent="0.2">
      <c r="B269">
        <v>464871</v>
      </c>
      <c r="C269" t="s">
        <v>538</v>
      </c>
      <c r="D269">
        <f t="shared" si="22"/>
        <v>789742</v>
      </c>
      <c r="E269">
        <v>10</v>
      </c>
      <c r="F269" t="s">
        <v>686</v>
      </c>
      <c r="G269">
        <f>VLOOKUP(F269,Sheet2!$B$2:$C$70,2,FALSE)</f>
        <v>1979</v>
      </c>
      <c r="H269">
        <f t="shared" si="23"/>
        <v>1.6988416988416988</v>
      </c>
      <c r="I269" t="s">
        <v>723</v>
      </c>
      <c r="K269">
        <f t="shared" si="24"/>
        <v>15</v>
      </c>
      <c r="L269">
        <f t="shared" si="25"/>
        <v>1994</v>
      </c>
    </row>
    <row r="270" spans="2:12" x14ac:dyDescent="0.2">
      <c r="B270">
        <v>6436000</v>
      </c>
      <c r="C270" t="s">
        <v>512</v>
      </c>
      <c r="D270">
        <f t="shared" si="22"/>
        <v>10933745</v>
      </c>
      <c r="E270">
        <v>40</v>
      </c>
      <c r="F270" t="s">
        <v>686</v>
      </c>
      <c r="G270">
        <f>VLOOKUP(F270,Sheet2!$B$2:$C$70,2,FALSE)</f>
        <v>1979</v>
      </c>
      <c r="H270">
        <f t="shared" si="23"/>
        <v>1.6988416988416988</v>
      </c>
      <c r="I270" t="s">
        <v>718</v>
      </c>
      <c r="K270">
        <f t="shared" si="24"/>
        <v>60</v>
      </c>
      <c r="L270">
        <f t="shared" si="25"/>
        <v>2039</v>
      </c>
    </row>
    <row r="271" spans="2:12" x14ac:dyDescent="0.2">
      <c r="B271">
        <v>165132</v>
      </c>
      <c r="C271" t="s">
        <v>675</v>
      </c>
      <c r="D271">
        <f t="shared" si="22"/>
        <v>217756</v>
      </c>
      <c r="E271">
        <v>8</v>
      </c>
      <c r="F271" t="s">
        <v>277</v>
      </c>
      <c r="G271">
        <f>VLOOKUP(F271,Sheet2!$B$2:$C$70,2,FALSE)</f>
        <v>2016</v>
      </c>
      <c r="H271">
        <f t="shared" si="23"/>
        <v>1.3186813186813187</v>
      </c>
      <c r="I271" t="s">
        <v>723</v>
      </c>
      <c r="K271">
        <f t="shared" si="24"/>
        <v>12</v>
      </c>
      <c r="L271">
        <f t="shared" si="25"/>
        <v>2028</v>
      </c>
    </row>
    <row r="272" spans="2:12" x14ac:dyDescent="0.2">
      <c r="B272">
        <v>118800</v>
      </c>
      <c r="C272" t="s">
        <v>676</v>
      </c>
      <c r="D272">
        <f t="shared" si="22"/>
        <v>156659</v>
      </c>
      <c r="E272">
        <v>10</v>
      </c>
      <c r="F272" t="s">
        <v>277</v>
      </c>
      <c r="G272">
        <f>VLOOKUP(F272,Sheet2!$B$2:$C$70,2,FALSE)</f>
        <v>2016</v>
      </c>
      <c r="H272">
        <f t="shared" si="23"/>
        <v>1.3186813186813187</v>
      </c>
      <c r="I272" t="s">
        <v>723</v>
      </c>
      <c r="K272">
        <f t="shared" si="24"/>
        <v>15</v>
      </c>
      <c r="L272">
        <f t="shared" si="25"/>
        <v>2031</v>
      </c>
    </row>
    <row r="273" spans="2:12" x14ac:dyDescent="0.2">
      <c r="B273">
        <v>177552</v>
      </c>
      <c r="C273" t="s">
        <v>675</v>
      </c>
      <c r="D273">
        <f t="shared" si="22"/>
        <v>229773</v>
      </c>
      <c r="E273">
        <v>8</v>
      </c>
      <c r="F273" t="s">
        <v>278</v>
      </c>
      <c r="G273">
        <f>VLOOKUP(F273,Sheet2!$B$2:$C$70,2,FALSE)</f>
        <v>2017</v>
      </c>
      <c r="H273">
        <f t="shared" si="23"/>
        <v>1.2941176470588236</v>
      </c>
      <c r="I273" t="s">
        <v>723</v>
      </c>
      <c r="K273">
        <f t="shared" si="24"/>
        <v>12</v>
      </c>
      <c r="L273">
        <f t="shared" si="25"/>
        <v>2029</v>
      </c>
    </row>
    <row r="274" spans="2:12" x14ac:dyDescent="0.2">
      <c r="B274">
        <v>21140</v>
      </c>
      <c r="C274" t="s">
        <v>675</v>
      </c>
      <c r="D274">
        <f t="shared" si="22"/>
        <v>26375</v>
      </c>
      <c r="E274">
        <v>8</v>
      </c>
      <c r="F274" t="s">
        <v>285</v>
      </c>
      <c r="G274">
        <f>VLOOKUP(F274,Sheet2!$B$2:$C$70,2,FALSE)</f>
        <v>2018</v>
      </c>
      <c r="H274">
        <f t="shared" si="23"/>
        <v>1.2476370510396977</v>
      </c>
      <c r="I274" t="s">
        <v>723</v>
      </c>
      <c r="K274">
        <f t="shared" si="24"/>
        <v>12</v>
      </c>
      <c r="L274">
        <f t="shared" si="25"/>
        <v>2030</v>
      </c>
    </row>
    <row r="275" spans="2:12" x14ac:dyDescent="0.2">
      <c r="B275">
        <v>163404</v>
      </c>
      <c r="C275" t="s">
        <v>675</v>
      </c>
      <c r="D275">
        <f t="shared" si="22"/>
        <v>198065</v>
      </c>
      <c r="E275">
        <v>8</v>
      </c>
      <c r="F275" t="s">
        <v>693</v>
      </c>
      <c r="G275">
        <f>VLOOKUP(F275,Sheet2!$B$2:$C$70,2,FALSE)</f>
        <v>2019</v>
      </c>
      <c r="H275">
        <f t="shared" si="23"/>
        <v>1.2121212121212122</v>
      </c>
      <c r="I275" t="s">
        <v>723</v>
      </c>
      <c r="K275">
        <f t="shared" si="24"/>
        <v>12</v>
      </c>
      <c r="L275">
        <f t="shared" si="25"/>
        <v>2031</v>
      </c>
    </row>
    <row r="276" spans="2:12" x14ac:dyDescent="0.2">
      <c r="B276">
        <v>160380</v>
      </c>
      <c r="C276" t="s">
        <v>675</v>
      </c>
      <c r="D276">
        <f t="shared" si="22"/>
        <v>194400</v>
      </c>
      <c r="E276">
        <v>8</v>
      </c>
      <c r="F276" t="s">
        <v>287</v>
      </c>
      <c r="G276">
        <f>VLOOKUP(F276,Sheet2!$B$2:$C$70,2,FALSE)</f>
        <v>2020</v>
      </c>
      <c r="H276">
        <f t="shared" si="23"/>
        <v>1.2121212121212122</v>
      </c>
      <c r="I276" t="s">
        <v>723</v>
      </c>
      <c r="K276">
        <f t="shared" si="24"/>
        <v>12</v>
      </c>
      <c r="L276">
        <f t="shared" si="25"/>
        <v>2032</v>
      </c>
    </row>
    <row r="277" spans="2:12" x14ac:dyDescent="0.2">
      <c r="B277">
        <v>207240</v>
      </c>
      <c r="C277" t="s">
        <v>675</v>
      </c>
      <c r="D277">
        <f t="shared" si="22"/>
        <v>240595</v>
      </c>
      <c r="E277">
        <v>8</v>
      </c>
      <c r="F277" t="s">
        <v>279</v>
      </c>
      <c r="G277">
        <f>VLOOKUP(F277,Sheet2!$B$2:$C$70,2,FALSE)</f>
        <v>2021</v>
      </c>
      <c r="H277">
        <f t="shared" si="23"/>
        <v>1.1609498680738786</v>
      </c>
      <c r="I277" t="s">
        <v>723</v>
      </c>
      <c r="K277">
        <f t="shared" si="24"/>
        <v>12</v>
      </c>
      <c r="L277">
        <f t="shared" si="25"/>
        <v>2033</v>
      </c>
    </row>
    <row r="278" spans="2:12" x14ac:dyDescent="0.2">
      <c r="B278">
        <v>4150000</v>
      </c>
      <c r="C278" t="s">
        <v>524</v>
      </c>
      <c r="D278">
        <f t="shared" si="22"/>
        <v>4460912</v>
      </c>
      <c r="E278">
        <v>20</v>
      </c>
      <c r="F278" t="s">
        <v>288</v>
      </c>
      <c r="G278">
        <f>VLOOKUP(F278,Sheet2!$B$2:$C$70,2,FALSE)</f>
        <v>2022</v>
      </c>
      <c r="H278">
        <f t="shared" si="23"/>
        <v>1.0749185667752443</v>
      </c>
      <c r="I278" t="s">
        <v>723</v>
      </c>
      <c r="K278">
        <f t="shared" si="24"/>
        <v>30</v>
      </c>
      <c r="L278">
        <f t="shared" si="25"/>
        <v>2052</v>
      </c>
    </row>
    <row r="279" spans="2:12" x14ac:dyDescent="0.2">
      <c r="B279">
        <v>12330000</v>
      </c>
      <c r="C279" t="s">
        <v>512</v>
      </c>
      <c r="D279">
        <f t="shared" si="22"/>
        <v>13253746</v>
      </c>
      <c r="E279">
        <v>40</v>
      </c>
      <c r="F279" t="s">
        <v>288</v>
      </c>
      <c r="G279">
        <f>VLOOKUP(F279,Sheet2!$B$2:$C$70,2,FALSE)</f>
        <v>2022</v>
      </c>
      <c r="H279">
        <f t="shared" si="23"/>
        <v>1.0749185667752443</v>
      </c>
      <c r="I279" t="s">
        <v>718</v>
      </c>
      <c r="K279">
        <f t="shared" si="24"/>
        <v>60</v>
      </c>
      <c r="L279">
        <f t="shared" si="25"/>
        <v>2082</v>
      </c>
    </row>
    <row r="280" spans="2:12" x14ac:dyDescent="0.2">
      <c r="B280">
        <v>43944545</v>
      </c>
      <c r="C280" t="s">
        <v>677</v>
      </c>
      <c r="D280">
        <f t="shared" si="22"/>
        <v>45638709</v>
      </c>
      <c r="E280">
        <v>20</v>
      </c>
      <c r="F280" t="s">
        <v>289</v>
      </c>
      <c r="G280">
        <f>VLOOKUP(F280,Sheet2!$B$2:$C$70,2,FALSE)</f>
        <v>2023</v>
      </c>
      <c r="H280">
        <f t="shared" si="23"/>
        <v>1.0385523210070811</v>
      </c>
      <c r="I280" t="s">
        <v>723</v>
      </c>
      <c r="K280">
        <f t="shared" si="24"/>
        <v>30</v>
      </c>
      <c r="L280">
        <f t="shared" si="25"/>
        <v>2053</v>
      </c>
    </row>
  </sheetData>
  <autoFilter ref="C1:L280" xr:uid="{CAD3F61F-3527-45C7-82CE-0700F9D2790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A1B9-6476-4088-A5CB-90BD2E7ABA06}">
  <dimension ref="B1:W211"/>
  <sheetViews>
    <sheetView topLeftCell="M1" workbookViewId="0">
      <selection activeCell="Z2" sqref="Z2"/>
    </sheetView>
  </sheetViews>
  <sheetFormatPr defaultRowHeight="13" x14ac:dyDescent="0.2"/>
  <cols>
    <col min="3" max="3" width="50.26953125" bestFit="1" customWidth="1"/>
    <col min="4" max="4" width="12.453125" bestFit="1" customWidth="1"/>
    <col min="8" max="9" width="13.54296875" bestFit="1" customWidth="1"/>
    <col min="13" max="13" width="11.36328125" bestFit="1" customWidth="1"/>
    <col min="14" max="15" width="8.81640625" bestFit="1" customWidth="1"/>
    <col min="16" max="16" width="12.453125" bestFit="1" customWidth="1"/>
    <col min="17" max="17" width="11.36328125" bestFit="1" customWidth="1"/>
    <col min="18" max="18" width="10.26953125" bestFit="1" customWidth="1"/>
    <col min="19" max="19" width="11.36328125" bestFit="1" customWidth="1"/>
    <col min="20" max="21" width="8.81640625" bestFit="1" customWidth="1"/>
    <col min="22" max="23" width="11.36328125" bestFit="1" customWidth="1"/>
  </cols>
  <sheetData>
    <row r="1" spans="2:23" x14ac:dyDescent="0.2">
      <c r="C1" t="s">
        <v>251</v>
      </c>
      <c r="D1" t="s">
        <v>252</v>
      </c>
      <c r="E1" t="s">
        <v>253</v>
      </c>
      <c r="F1" t="s">
        <v>254</v>
      </c>
      <c r="H1" t="s">
        <v>255</v>
      </c>
      <c r="I1" t="s">
        <v>256</v>
      </c>
      <c r="J1" t="s">
        <v>257</v>
      </c>
      <c r="K1" t="s">
        <v>293</v>
      </c>
      <c r="L1" t="s">
        <v>294</v>
      </c>
    </row>
    <row r="2" spans="2:23" x14ac:dyDescent="0.2">
      <c r="C2" s="31" t="s">
        <v>67</v>
      </c>
      <c r="D2" s="8">
        <v>95930106</v>
      </c>
      <c r="E2">
        <v>50</v>
      </c>
      <c r="F2" t="s">
        <v>266</v>
      </c>
      <c r="G2">
        <f>VLOOKUP(F2,Sheet2!$B$2:$C$90,2,FALSE)</f>
        <v>2005</v>
      </c>
      <c r="H2" s="33" t="s">
        <v>235</v>
      </c>
      <c r="I2" t="s">
        <v>246</v>
      </c>
      <c r="J2">
        <v>1.5</v>
      </c>
      <c r="K2">
        <f>ROUND(E2*J2,0)</f>
        <v>75</v>
      </c>
      <c r="L2">
        <f>G2+K2</f>
        <v>2080</v>
      </c>
      <c r="N2">
        <v>2026</v>
      </c>
      <c r="O2">
        <v>2027</v>
      </c>
      <c r="P2">
        <v>2028</v>
      </c>
      <c r="Q2">
        <v>2029</v>
      </c>
      <c r="R2">
        <v>2030</v>
      </c>
      <c r="S2">
        <v>2031</v>
      </c>
      <c r="T2">
        <v>2032</v>
      </c>
      <c r="U2">
        <v>2033</v>
      </c>
      <c r="V2">
        <v>2034</v>
      </c>
      <c r="W2">
        <v>2035</v>
      </c>
    </row>
    <row r="3" spans="2:23" x14ac:dyDescent="0.2">
      <c r="C3" s="31" t="s">
        <v>68</v>
      </c>
      <c r="D3" s="8">
        <v>127211158</v>
      </c>
      <c r="E3">
        <v>50</v>
      </c>
      <c r="F3" t="s">
        <v>266</v>
      </c>
      <c r="G3">
        <f>VLOOKUP(F3,Sheet2!$B$2:$C$90,2,FALSE)</f>
        <v>2005</v>
      </c>
      <c r="H3" s="33" t="s">
        <v>235</v>
      </c>
      <c r="I3" t="s">
        <v>246</v>
      </c>
      <c r="J3">
        <v>1.5</v>
      </c>
      <c r="K3">
        <f t="shared" ref="K3:K66" si="0">ROUND(E3*J3,0)</f>
        <v>75</v>
      </c>
      <c r="L3">
        <f t="shared" ref="L3:L66" si="1">G3+K3</f>
        <v>2080</v>
      </c>
      <c r="M3" t="s">
        <v>246</v>
      </c>
      <c r="N3" s="8">
        <f>SUMIFS($D$1:$D$203,$L$1:$L$203,N$2,$I$1:$I$203,$M3)</f>
        <v>0</v>
      </c>
      <c r="O3" s="8">
        <f t="shared" ref="O3:W3" si="2">SUMIFS($D$1:$D$203,$L$1:$L$203,O$2,$I$1:$I$203,$M3)</f>
        <v>0</v>
      </c>
      <c r="P3" s="8">
        <f t="shared" si="2"/>
        <v>0</v>
      </c>
      <c r="Q3" s="8">
        <f t="shared" si="2"/>
        <v>0</v>
      </c>
      <c r="R3" s="8">
        <f t="shared" si="2"/>
        <v>0</v>
      </c>
      <c r="S3" s="8">
        <f t="shared" si="2"/>
        <v>0</v>
      </c>
      <c r="T3" s="8">
        <f t="shared" si="2"/>
        <v>0</v>
      </c>
      <c r="U3" s="8">
        <f t="shared" si="2"/>
        <v>0</v>
      </c>
      <c r="V3" s="8">
        <f t="shared" si="2"/>
        <v>0</v>
      </c>
      <c r="W3" s="8">
        <f t="shared" si="2"/>
        <v>0</v>
      </c>
    </row>
    <row r="4" spans="2:23" x14ac:dyDescent="0.2">
      <c r="C4" s="31" t="s">
        <v>69</v>
      </c>
      <c r="D4" s="8">
        <v>63704898</v>
      </c>
      <c r="E4">
        <v>50</v>
      </c>
      <c r="F4" t="s">
        <v>266</v>
      </c>
      <c r="G4">
        <f>VLOOKUP(F4,Sheet2!$B$2:$C$90,2,FALSE)</f>
        <v>2005</v>
      </c>
      <c r="H4" s="33" t="s">
        <v>235</v>
      </c>
      <c r="I4" t="s">
        <v>246</v>
      </c>
      <c r="J4">
        <v>1.5</v>
      </c>
      <c r="K4">
        <f t="shared" si="0"/>
        <v>75</v>
      </c>
      <c r="L4">
        <f t="shared" si="1"/>
        <v>2080</v>
      </c>
      <c r="M4" t="s">
        <v>247</v>
      </c>
      <c r="N4" s="8">
        <f t="shared" ref="N4:W7" si="3">SUMIFS($D$1:$D$203,$L$1:$L$203,N$2,$I$1:$I$203,$M4)</f>
        <v>0</v>
      </c>
      <c r="O4" s="8">
        <f t="shared" si="3"/>
        <v>0</v>
      </c>
      <c r="P4" s="8">
        <f t="shared" si="3"/>
        <v>154940800</v>
      </c>
      <c r="Q4" s="8">
        <f t="shared" si="3"/>
        <v>0</v>
      </c>
      <c r="R4" s="8">
        <f t="shared" si="3"/>
        <v>0</v>
      </c>
      <c r="S4" s="8">
        <f t="shared" si="3"/>
        <v>0</v>
      </c>
      <c r="T4" s="8">
        <f t="shared" si="3"/>
        <v>0</v>
      </c>
      <c r="U4" s="8">
        <f t="shared" si="3"/>
        <v>0</v>
      </c>
      <c r="V4" s="8">
        <f t="shared" si="3"/>
        <v>0</v>
      </c>
      <c r="W4" s="8">
        <f t="shared" si="3"/>
        <v>0</v>
      </c>
    </row>
    <row r="5" spans="2:23" x14ac:dyDescent="0.2">
      <c r="C5" s="31" t="s">
        <v>70</v>
      </c>
      <c r="D5" s="8">
        <v>21113153</v>
      </c>
      <c r="E5">
        <v>50</v>
      </c>
      <c r="F5" t="s">
        <v>266</v>
      </c>
      <c r="G5">
        <f>VLOOKUP(F5,Sheet2!$B$2:$C$90,2,FALSE)</f>
        <v>2005</v>
      </c>
      <c r="H5" s="33" t="s">
        <v>235</v>
      </c>
      <c r="I5" t="s">
        <v>246</v>
      </c>
      <c r="J5">
        <v>1.5</v>
      </c>
      <c r="K5">
        <f t="shared" si="0"/>
        <v>75</v>
      </c>
      <c r="L5">
        <f t="shared" si="1"/>
        <v>2080</v>
      </c>
      <c r="M5" t="s">
        <v>250</v>
      </c>
      <c r="N5" s="8">
        <f t="shared" si="3"/>
        <v>0</v>
      </c>
      <c r="O5" s="8">
        <f t="shared" si="3"/>
        <v>0</v>
      </c>
      <c r="P5" s="8">
        <f t="shared" si="3"/>
        <v>0</v>
      </c>
      <c r="Q5" s="8">
        <f t="shared" si="3"/>
        <v>0</v>
      </c>
      <c r="R5" s="8">
        <f t="shared" si="3"/>
        <v>0</v>
      </c>
      <c r="S5" s="8">
        <f t="shared" si="3"/>
        <v>0</v>
      </c>
      <c r="T5" s="8">
        <f t="shared" si="3"/>
        <v>0</v>
      </c>
      <c r="U5" s="8">
        <f t="shared" si="3"/>
        <v>0</v>
      </c>
      <c r="V5" s="8">
        <f t="shared" si="3"/>
        <v>0</v>
      </c>
      <c r="W5" s="8">
        <f t="shared" si="3"/>
        <v>0</v>
      </c>
    </row>
    <row r="6" spans="2:23" x14ac:dyDescent="0.2">
      <c r="C6" s="31" t="s">
        <v>71</v>
      </c>
      <c r="D6" s="8">
        <v>2552415</v>
      </c>
      <c r="E6">
        <v>50</v>
      </c>
      <c r="F6" t="s">
        <v>266</v>
      </c>
      <c r="G6">
        <f>VLOOKUP(F6,Sheet2!$B$2:$C$90,2,FALSE)</f>
        <v>2005</v>
      </c>
      <c r="H6" s="33" t="s">
        <v>235</v>
      </c>
      <c r="I6" t="s">
        <v>246</v>
      </c>
      <c r="J6">
        <v>1.5</v>
      </c>
      <c r="K6">
        <f t="shared" si="0"/>
        <v>75</v>
      </c>
      <c r="L6">
        <f t="shared" si="1"/>
        <v>2080</v>
      </c>
      <c r="M6" t="s">
        <v>249</v>
      </c>
      <c r="N6" s="8">
        <f t="shared" si="3"/>
        <v>0</v>
      </c>
      <c r="O6" s="8">
        <f t="shared" si="3"/>
        <v>0</v>
      </c>
      <c r="P6" s="8">
        <f t="shared" si="3"/>
        <v>0</v>
      </c>
      <c r="Q6" s="8">
        <f t="shared" si="3"/>
        <v>0</v>
      </c>
      <c r="R6" s="8">
        <f t="shared" si="3"/>
        <v>0</v>
      </c>
      <c r="S6" s="8">
        <f t="shared" si="3"/>
        <v>0</v>
      </c>
      <c r="T6" s="8">
        <f t="shared" si="3"/>
        <v>0</v>
      </c>
      <c r="U6" s="8">
        <f t="shared" si="3"/>
        <v>0</v>
      </c>
      <c r="V6" s="8">
        <f t="shared" si="3"/>
        <v>0</v>
      </c>
      <c r="W6" s="8">
        <f t="shared" si="3"/>
        <v>0</v>
      </c>
    </row>
    <row r="7" spans="2:23" x14ac:dyDescent="0.2">
      <c r="B7" t="s">
        <v>258</v>
      </c>
      <c r="C7" s="31" t="s">
        <v>72</v>
      </c>
      <c r="D7" s="8">
        <v>17729272</v>
      </c>
      <c r="E7">
        <v>50</v>
      </c>
      <c r="F7" t="s">
        <v>266</v>
      </c>
      <c r="G7">
        <f>VLOOKUP(F7,Sheet2!$B$2:$C$90,2,FALSE)</f>
        <v>2005</v>
      </c>
      <c r="H7" s="33" t="s">
        <v>235</v>
      </c>
      <c r="I7" t="s">
        <v>246</v>
      </c>
      <c r="J7">
        <v>1.5</v>
      </c>
      <c r="K7">
        <f t="shared" si="0"/>
        <v>75</v>
      </c>
      <c r="L7">
        <f t="shared" si="1"/>
        <v>2080</v>
      </c>
      <c r="M7" t="s">
        <v>248</v>
      </c>
      <c r="N7" s="8">
        <f t="shared" si="3"/>
        <v>0</v>
      </c>
      <c r="O7" s="8">
        <f t="shared" si="3"/>
        <v>0</v>
      </c>
      <c r="P7" s="8">
        <f t="shared" si="3"/>
        <v>196139904</v>
      </c>
      <c r="Q7" s="8">
        <f t="shared" si="3"/>
        <v>19468200</v>
      </c>
      <c r="R7" s="8">
        <f t="shared" si="3"/>
        <v>9383952</v>
      </c>
      <c r="S7" s="8">
        <f t="shared" si="3"/>
        <v>12591303</v>
      </c>
      <c r="T7" s="8">
        <f t="shared" si="3"/>
        <v>0</v>
      </c>
      <c r="U7" s="8">
        <f t="shared" si="3"/>
        <v>0</v>
      </c>
      <c r="V7" s="8">
        <f t="shared" si="3"/>
        <v>24277825</v>
      </c>
      <c r="W7" s="8">
        <f t="shared" si="3"/>
        <v>18434564</v>
      </c>
    </row>
    <row r="8" spans="2:23" x14ac:dyDescent="0.2">
      <c r="B8" t="s">
        <v>258</v>
      </c>
      <c r="C8" s="31" t="s">
        <v>73</v>
      </c>
      <c r="D8" s="8">
        <v>281475173</v>
      </c>
      <c r="E8">
        <v>50</v>
      </c>
      <c r="F8" t="s">
        <v>266</v>
      </c>
      <c r="G8">
        <f>VLOOKUP(F8,Sheet2!$B$2:$C$90,2,FALSE)</f>
        <v>2005</v>
      </c>
      <c r="H8" s="33" t="s">
        <v>236</v>
      </c>
      <c r="I8" t="s">
        <v>246</v>
      </c>
      <c r="J8">
        <v>1.5</v>
      </c>
      <c r="K8">
        <f t="shared" si="0"/>
        <v>75</v>
      </c>
      <c r="L8">
        <f t="shared" si="1"/>
        <v>2080</v>
      </c>
    </row>
    <row r="9" spans="2:23" x14ac:dyDescent="0.2">
      <c r="B9" t="s">
        <v>258</v>
      </c>
      <c r="C9" s="31" t="s">
        <v>74</v>
      </c>
      <c r="D9" s="8">
        <v>21251387</v>
      </c>
      <c r="E9">
        <v>15</v>
      </c>
      <c r="F9" t="s">
        <v>266</v>
      </c>
      <c r="G9">
        <f>VLOOKUP(F9,Sheet2!$B$2:$C$90,2,FALSE)</f>
        <v>2005</v>
      </c>
      <c r="H9" s="33" t="s">
        <v>236</v>
      </c>
      <c r="I9" t="s">
        <v>247</v>
      </c>
      <c r="J9">
        <v>1.5</v>
      </c>
      <c r="K9">
        <f t="shared" si="0"/>
        <v>23</v>
      </c>
      <c r="L9">
        <f t="shared" si="1"/>
        <v>2028</v>
      </c>
      <c r="N9">
        <v>2026</v>
      </c>
      <c r="O9">
        <v>2027</v>
      </c>
      <c r="P9">
        <v>2028</v>
      </c>
      <c r="Q9">
        <v>2029</v>
      </c>
      <c r="R9">
        <v>2030</v>
      </c>
      <c r="S9">
        <v>2031</v>
      </c>
      <c r="T9">
        <v>2032</v>
      </c>
      <c r="U9">
        <v>2033</v>
      </c>
      <c r="V9">
        <v>2034</v>
      </c>
      <c r="W9">
        <v>2035</v>
      </c>
    </row>
    <row r="10" spans="2:23" x14ac:dyDescent="0.2">
      <c r="B10" t="s">
        <v>258</v>
      </c>
      <c r="C10" s="31" t="s">
        <v>75</v>
      </c>
      <c r="D10" s="8">
        <v>4368779</v>
      </c>
      <c r="E10">
        <v>15</v>
      </c>
      <c r="F10" t="s">
        <v>266</v>
      </c>
      <c r="G10">
        <f>VLOOKUP(F10,Sheet2!$B$2:$C$90,2,FALSE)</f>
        <v>2005</v>
      </c>
      <c r="H10" s="33" t="s">
        <v>236</v>
      </c>
      <c r="I10" t="s">
        <v>247</v>
      </c>
      <c r="J10">
        <v>1.5</v>
      </c>
      <c r="K10">
        <f t="shared" si="0"/>
        <v>23</v>
      </c>
      <c r="L10">
        <f t="shared" si="1"/>
        <v>2028</v>
      </c>
      <c r="M10" t="s">
        <v>246</v>
      </c>
      <c r="N10" s="8">
        <f>ROUND(N3/1000,0)</f>
        <v>0</v>
      </c>
      <c r="O10" s="8">
        <f t="shared" ref="O10:W10" si="4">ROUND(O3/1000,0)</f>
        <v>0</v>
      </c>
      <c r="P10" s="8">
        <f t="shared" si="4"/>
        <v>0</v>
      </c>
      <c r="Q10" s="8">
        <f t="shared" si="4"/>
        <v>0</v>
      </c>
      <c r="R10" s="8">
        <f t="shared" si="4"/>
        <v>0</v>
      </c>
      <c r="S10" s="8">
        <f t="shared" si="4"/>
        <v>0</v>
      </c>
      <c r="T10" s="8">
        <f t="shared" si="4"/>
        <v>0</v>
      </c>
      <c r="U10" s="8">
        <f t="shared" si="4"/>
        <v>0</v>
      </c>
      <c r="V10" s="8">
        <f t="shared" si="4"/>
        <v>0</v>
      </c>
      <c r="W10" s="8">
        <f t="shared" si="4"/>
        <v>0</v>
      </c>
    </row>
    <row r="11" spans="2:23" x14ac:dyDescent="0.2">
      <c r="B11" t="s">
        <v>258</v>
      </c>
      <c r="C11" s="31" t="s">
        <v>76</v>
      </c>
      <c r="D11" s="8">
        <v>17233413</v>
      </c>
      <c r="E11">
        <v>15</v>
      </c>
      <c r="F11" t="s">
        <v>266</v>
      </c>
      <c r="G11">
        <f>VLOOKUP(F11,Sheet2!$B$2:$C$90,2,FALSE)</f>
        <v>2005</v>
      </c>
      <c r="H11" s="33" t="s">
        <v>236</v>
      </c>
      <c r="I11" t="s">
        <v>247</v>
      </c>
      <c r="J11">
        <v>1.5</v>
      </c>
      <c r="K11">
        <f t="shared" si="0"/>
        <v>23</v>
      </c>
      <c r="L11">
        <f t="shared" si="1"/>
        <v>2028</v>
      </c>
      <c r="M11" t="s">
        <v>247</v>
      </c>
      <c r="N11" s="8">
        <f t="shared" ref="N11:W11" si="5">ROUND(N4/1000,0)</f>
        <v>0</v>
      </c>
      <c r="O11" s="8">
        <f t="shared" si="5"/>
        <v>0</v>
      </c>
      <c r="P11" s="8">
        <f t="shared" si="5"/>
        <v>154941</v>
      </c>
      <c r="Q11" s="8">
        <f t="shared" si="5"/>
        <v>0</v>
      </c>
      <c r="R11" s="8">
        <f t="shared" si="5"/>
        <v>0</v>
      </c>
      <c r="S11" s="8">
        <f t="shared" si="5"/>
        <v>0</v>
      </c>
      <c r="T11" s="8">
        <f t="shared" si="5"/>
        <v>0</v>
      </c>
      <c r="U11" s="8">
        <f t="shared" si="5"/>
        <v>0</v>
      </c>
      <c r="V11" s="8">
        <f t="shared" si="5"/>
        <v>0</v>
      </c>
      <c r="W11" s="8">
        <f t="shared" si="5"/>
        <v>0</v>
      </c>
    </row>
    <row r="12" spans="2:23" x14ac:dyDescent="0.2">
      <c r="B12" t="s">
        <v>258</v>
      </c>
      <c r="C12" s="31" t="s">
        <v>77</v>
      </c>
      <c r="D12" s="8">
        <v>1887014</v>
      </c>
      <c r="E12">
        <v>15</v>
      </c>
      <c r="F12" t="s">
        <v>266</v>
      </c>
      <c r="G12">
        <f>VLOOKUP(F12,Sheet2!$B$2:$C$90,2,FALSE)</f>
        <v>2005</v>
      </c>
      <c r="H12" s="33" t="s">
        <v>236</v>
      </c>
      <c r="I12" t="s">
        <v>247</v>
      </c>
      <c r="J12">
        <v>1.5</v>
      </c>
      <c r="K12">
        <f t="shared" si="0"/>
        <v>23</v>
      </c>
      <c r="L12">
        <f t="shared" si="1"/>
        <v>2028</v>
      </c>
      <c r="M12" t="s">
        <v>250</v>
      </c>
      <c r="N12" s="8">
        <f t="shared" ref="N12:W12" si="6">ROUND(N5/1000,0)</f>
        <v>0</v>
      </c>
      <c r="O12" s="8">
        <f t="shared" si="6"/>
        <v>0</v>
      </c>
      <c r="P12" s="8">
        <f t="shared" si="6"/>
        <v>0</v>
      </c>
      <c r="Q12" s="8">
        <f t="shared" si="6"/>
        <v>0</v>
      </c>
      <c r="R12" s="8">
        <f t="shared" si="6"/>
        <v>0</v>
      </c>
      <c r="S12" s="8">
        <f t="shared" si="6"/>
        <v>0</v>
      </c>
      <c r="T12" s="8">
        <f t="shared" si="6"/>
        <v>0</v>
      </c>
      <c r="U12" s="8">
        <f t="shared" si="6"/>
        <v>0</v>
      </c>
      <c r="V12" s="8">
        <f t="shared" si="6"/>
        <v>0</v>
      </c>
      <c r="W12" s="8">
        <f t="shared" si="6"/>
        <v>0</v>
      </c>
    </row>
    <row r="13" spans="2:23" x14ac:dyDescent="0.2">
      <c r="B13" t="s">
        <v>258</v>
      </c>
      <c r="C13" s="31" t="s">
        <v>78</v>
      </c>
      <c r="D13" s="8">
        <v>49953</v>
      </c>
      <c r="E13">
        <v>15</v>
      </c>
      <c r="F13" t="s">
        <v>266</v>
      </c>
      <c r="G13">
        <f>VLOOKUP(F13,Sheet2!$B$2:$C$90,2,FALSE)</f>
        <v>2005</v>
      </c>
      <c r="H13" s="33" t="s">
        <v>236</v>
      </c>
      <c r="I13" t="s">
        <v>247</v>
      </c>
      <c r="J13">
        <v>1.5</v>
      </c>
      <c r="K13">
        <f t="shared" si="0"/>
        <v>23</v>
      </c>
      <c r="L13">
        <f t="shared" si="1"/>
        <v>2028</v>
      </c>
      <c r="M13" t="s">
        <v>249</v>
      </c>
      <c r="N13" s="8">
        <f t="shared" ref="N13:W13" si="7">ROUND(N6/1000,0)</f>
        <v>0</v>
      </c>
      <c r="O13" s="8">
        <f t="shared" si="7"/>
        <v>0</v>
      </c>
      <c r="P13" s="8">
        <f t="shared" si="7"/>
        <v>0</v>
      </c>
      <c r="Q13" s="8">
        <f t="shared" si="7"/>
        <v>0</v>
      </c>
      <c r="R13" s="8">
        <f t="shared" si="7"/>
        <v>0</v>
      </c>
      <c r="S13" s="8">
        <f t="shared" si="7"/>
        <v>0</v>
      </c>
      <c r="T13" s="8">
        <f t="shared" si="7"/>
        <v>0</v>
      </c>
      <c r="U13" s="8">
        <f t="shared" si="7"/>
        <v>0</v>
      </c>
      <c r="V13" s="8">
        <f t="shared" si="7"/>
        <v>0</v>
      </c>
      <c r="W13" s="8">
        <f t="shared" si="7"/>
        <v>0</v>
      </c>
    </row>
    <row r="14" spans="2:23" x14ac:dyDescent="0.2">
      <c r="B14" t="s">
        <v>258</v>
      </c>
      <c r="C14" s="31" t="s">
        <v>79</v>
      </c>
      <c r="D14" s="8">
        <v>345234</v>
      </c>
      <c r="E14">
        <v>15</v>
      </c>
      <c r="F14" t="s">
        <v>266</v>
      </c>
      <c r="G14">
        <f>VLOOKUP(F14,Sheet2!$B$2:$C$90,2,FALSE)</f>
        <v>2005</v>
      </c>
      <c r="H14" s="33" t="s">
        <v>236</v>
      </c>
      <c r="I14" t="s">
        <v>247</v>
      </c>
      <c r="J14">
        <v>1.5</v>
      </c>
      <c r="K14">
        <f t="shared" si="0"/>
        <v>23</v>
      </c>
      <c r="L14">
        <f t="shared" si="1"/>
        <v>2028</v>
      </c>
      <c r="M14" t="s">
        <v>248</v>
      </c>
      <c r="N14" s="8">
        <f t="shared" ref="N14:W14" si="8">ROUND(N7/1000,0)</f>
        <v>0</v>
      </c>
      <c r="O14" s="8">
        <f t="shared" si="8"/>
        <v>0</v>
      </c>
      <c r="P14" s="8">
        <f t="shared" si="8"/>
        <v>196140</v>
      </c>
      <c r="Q14" s="8">
        <f t="shared" si="8"/>
        <v>19468</v>
      </c>
      <c r="R14" s="8">
        <f t="shared" si="8"/>
        <v>9384</v>
      </c>
      <c r="S14" s="8">
        <f t="shared" si="8"/>
        <v>12591</v>
      </c>
      <c r="T14" s="8">
        <f t="shared" si="8"/>
        <v>0</v>
      </c>
      <c r="U14" s="8">
        <f t="shared" si="8"/>
        <v>0</v>
      </c>
      <c r="V14" s="8">
        <f t="shared" si="8"/>
        <v>24278</v>
      </c>
      <c r="W14" s="8">
        <f t="shared" si="8"/>
        <v>18435</v>
      </c>
    </row>
    <row r="15" spans="2:23" x14ac:dyDescent="0.2">
      <c r="B15" t="s">
        <v>258</v>
      </c>
      <c r="C15" s="31" t="s">
        <v>80</v>
      </c>
      <c r="D15" s="8">
        <v>288940</v>
      </c>
      <c r="E15">
        <v>15</v>
      </c>
      <c r="F15" t="s">
        <v>266</v>
      </c>
      <c r="G15">
        <f>VLOOKUP(F15,Sheet2!$B$2:$C$90,2,FALSE)</f>
        <v>2005</v>
      </c>
      <c r="H15" s="33" t="s">
        <v>236</v>
      </c>
      <c r="I15" t="s">
        <v>247</v>
      </c>
      <c r="J15">
        <v>1.5</v>
      </c>
      <c r="K15">
        <f t="shared" si="0"/>
        <v>23</v>
      </c>
      <c r="L15">
        <f t="shared" si="1"/>
        <v>2028</v>
      </c>
    </row>
    <row r="16" spans="2:23" x14ac:dyDescent="0.2">
      <c r="B16" t="s">
        <v>258</v>
      </c>
      <c r="C16" s="31" t="s">
        <v>81</v>
      </c>
      <c r="D16" s="8">
        <v>387964</v>
      </c>
      <c r="E16">
        <v>15</v>
      </c>
      <c r="F16" t="s">
        <v>266</v>
      </c>
      <c r="G16">
        <f>VLOOKUP(F16,Sheet2!$B$2:$C$90,2,FALSE)</f>
        <v>2005</v>
      </c>
      <c r="H16" s="33" t="s">
        <v>236</v>
      </c>
      <c r="I16" t="s">
        <v>247</v>
      </c>
      <c r="J16">
        <v>1.5</v>
      </c>
      <c r="K16">
        <f t="shared" si="0"/>
        <v>23</v>
      </c>
      <c r="L16">
        <f t="shared" si="1"/>
        <v>2028</v>
      </c>
    </row>
    <row r="17" spans="2:12" x14ac:dyDescent="0.2">
      <c r="B17" t="s">
        <v>258</v>
      </c>
      <c r="C17" s="31" t="s">
        <v>82</v>
      </c>
      <c r="D17" s="8">
        <v>8836787</v>
      </c>
      <c r="E17">
        <v>15</v>
      </c>
      <c r="F17" t="s">
        <v>266</v>
      </c>
      <c r="G17">
        <f>VLOOKUP(F17,Sheet2!$B$2:$C$90,2,FALSE)</f>
        <v>2005</v>
      </c>
      <c r="H17" s="33" t="s">
        <v>236</v>
      </c>
      <c r="I17" t="s">
        <v>247</v>
      </c>
      <c r="J17">
        <v>1.5</v>
      </c>
      <c r="K17">
        <f t="shared" si="0"/>
        <v>23</v>
      </c>
      <c r="L17">
        <f t="shared" si="1"/>
        <v>2028</v>
      </c>
    </row>
    <row r="18" spans="2:12" x14ac:dyDescent="0.2">
      <c r="B18" t="s">
        <v>258</v>
      </c>
      <c r="C18" s="31" t="s">
        <v>83</v>
      </c>
      <c r="D18" s="8">
        <v>10724570</v>
      </c>
      <c r="E18">
        <v>15</v>
      </c>
      <c r="F18" t="s">
        <v>266</v>
      </c>
      <c r="G18">
        <f>VLOOKUP(F18,Sheet2!$B$2:$C$90,2,FALSE)</f>
        <v>2005</v>
      </c>
      <c r="H18" s="33" t="s">
        <v>236</v>
      </c>
      <c r="I18" t="s">
        <v>247</v>
      </c>
      <c r="J18">
        <v>1.5</v>
      </c>
      <c r="K18">
        <f t="shared" si="0"/>
        <v>23</v>
      </c>
      <c r="L18">
        <f t="shared" si="1"/>
        <v>2028</v>
      </c>
    </row>
    <row r="19" spans="2:12" x14ac:dyDescent="0.2">
      <c r="B19" t="s">
        <v>258</v>
      </c>
      <c r="C19" s="31" t="s">
        <v>84</v>
      </c>
      <c r="D19" s="8">
        <v>551161</v>
      </c>
      <c r="E19">
        <v>15</v>
      </c>
      <c r="F19" t="s">
        <v>266</v>
      </c>
      <c r="G19">
        <f>VLOOKUP(F19,Sheet2!$B$2:$C$90,2,FALSE)</f>
        <v>2005</v>
      </c>
      <c r="H19" s="33" t="s">
        <v>236</v>
      </c>
      <c r="I19" t="s">
        <v>247</v>
      </c>
      <c r="J19">
        <v>1.5</v>
      </c>
      <c r="K19">
        <f t="shared" si="0"/>
        <v>23</v>
      </c>
      <c r="L19">
        <f t="shared" si="1"/>
        <v>2028</v>
      </c>
    </row>
    <row r="20" spans="2:12" x14ac:dyDescent="0.2">
      <c r="B20" t="s">
        <v>258</v>
      </c>
      <c r="C20" s="31" t="s">
        <v>85</v>
      </c>
      <c r="D20" s="8">
        <v>598578</v>
      </c>
      <c r="E20">
        <v>15</v>
      </c>
      <c r="F20" t="s">
        <v>266</v>
      </c>
      <c r="G20">
        <f>VLOOKUP(F20,Sheet2!$B$2:$C$90,2,FALSE)</f>
        <v>2005</v>
      </c>
      <c r="H20" s="33" t="s">
        <v>236</v>
      </c>
      <c r="I20" t="s">
        <v>247</v>
      </c>
      <c r="J20">
        <v>1.5</v>
      </c>
      <c r="K20">
        <f t="shared" si="0"/>
        <v>23</v>
      </c>
      <c r="L20">
        <f t="shared" si="1"/>
        <v>2028</v>
      </c>
    </row>
    <row r="21" spans="2:12" x14ac:dyDescent="0.2">
      <c r="B21" t="s">
        <v>258</v>
      </c>
      <c r="C21" s="31" t="s">
        <v>86</v>
      </c>
      <c r="D21" s="8">
        <v>9305431</v>
      </c>
      <c r="E21">
        <v>15</v>
      </c>
      <c r="F21" t="s">
        <v>266</v>
      </c>
      <c r="G21">
        <f>VLOOKUP(F21,Sheet2!$B$2:$C$90,2,FALSE)</f>
        <v>2005</v>
      </c>
      <c r="H21" s="33" t="s">
        <v>236</v>
      </c>
      <c r="I21" t="s">
        <v>247</v>
      </c>
      <c r="J21">
        <v>1.5</v>
      </c>
      <c r="K21">
        <f t="shared" si="0"/>
        <v>23</v>
      </c>
      <c r="L21">
        <f t="shared" si="1"/>
        <v>2028</v>
      </c>
    </row>
    <row r="22" spans="2:12" x14ac:dyDescent="0.2">
      <c r="B22" t="s">
        <v>258</v>
      </c>
      <c r="C22" s="31" t="s">
        <v>87</v>
      </c>
      <c r="D22" s="8">
        <v>20457729</v>
      </c>
      <c r="E22">
        <v>15</v>
      </c>
      <c r="F22" t="s">
        <v>266</v>
      </c>
      <c r="G22">
        <f>VLOOKUP(F22,Sheet2!$B$2:$C$90,2,FALSE)</f>
        <v>2005</v>
      </c>
      <c r="H22" s="33" t="s">
        <v>236</v>
      </c>
      <c r="I22" t="s">
        <v>247</v>
      </c>
      <c r="J22">
        <v>1.5</v>
      </c>
      <c r="K22">
        <f t="shared" si="0"/>
        <v>23</v>
      </c>
      <c r="L22">
        <f t="shared" si="1"/>
        <v>2028</v>
      </c>
    </row>
    <row r="23" spans="2:12" x14ac:dyDescent="0.2">
      <c r="B23" t="s">
        <v>258</v>
      </c>
      <c r="C23" s="31" t="s">
        <v>88</v>
      </c>
      <c r="D23" s="8">
        <v>3125315</v>
      </c>
      <c r="E23">
        <v>15</v>
      </c>
      <c r="F23" t="s">
        <v>266</v>
      </c>
      <c r="G23">
        <f>VLOOKUP(F23,Sheet2!$B$2:$C$90,2,FALSE)</f>
        <v>2005</v>
      </c>
      <c r="H23" s="33" t="s">
        <v>236</v>
      </c>
      <c r="I23" t="s">
        <v>247</v>
      </c>
      <c r="J23">
        <v>1.5</v>
      </c>
      <c r="K23">
        <f t="shared" si="0"/>
        <v>23</v>
      </c>
      <c r="L23">
        <f t="shared" si="1"/>
        <v>2028</v>
      </c>
    </row>
    <row r="24" spans="2:12" x14ac:dyDescent="0.2">
      <c r="B24" t="s">
        <v>258</v>
      </c>
      <c r="C24" s="31" t="s">
        <v>89</v>
      </c>
      <c r="D24" s="8">
        <v>3008244</v>
      </c>
      <c r="E24">
        <v>15</v>
      </c>
      <c r="F24" t="s">
        <v>266</v>
      </c>
      <c r="G24">
        <f>VLOOKUP(F24,Sheet2!$B$2:$C$90,2,FALSE)</f>
        <v>2005</v>
      </c>
      <c r="H24" s="33" t="s">
        <v>236</v>
      </c>
      <c r="I24" t="s">
        <v>247</v>
      </c>
      <c r="J24">
        <v>1.5</v>
      </c>
      <c r="K24">
        <f t="shared" si="0"/>
        <v>23</v>
      </c>
      <c r="L24">
        <f t="shared" si="1"/>
        <v>2028</v>
      </c>
    </row>
    <row r="25" spans="2:12" x14ac:dyDescent="0.2">
      <c r="B25" t="s">
        <v>258</v>
      </c>
      <c r="C25" s="31" t="s">
        <v>90</v>
      </c>
      <c r="D25" s="8">
        <v>2494220</v>
      </c>
      <c r="E25">
        <v>15</v>
      </c>
      <c r="F25" t="s">
        <v>266</v>
      </c>
      <c r="G25">
        <f>VLOOKUP(F25,Sheet2!$B$2:$C$90,2,FALSE)</f>
        <v>2005</v>
      </c>
      <c r="H25" s="33" t="s">
        <v>236</v>
      </c>
      <c r="I25" t="s">
        <v>247</v>
      </c>
      <c r="J25">
        <v>1.5</v>
      </c>
      <c r="K25">
        <f t="shared" si="0"/>
        <v>23</v>
      </c>
      <c r="L25">
        <f t="shared" si="1"/>
        <v>2028</v>
      </c>
    </row>
    <row r="26" spans="2:12" x14ac:dyDescent="0.2">
      <c r="B26" t="s">
        <v>258</v>
      </c>
      <c r="C26" s="31" t="s">
        <v>91</v>
      </c>
      <c r="D26" s="8">
        <v>1785863</v>
      </c>
      <c r="E26">
        <v>15</v>
      </c>
      <c r="F26" t="s">
        <v>266</v>
      </c>
      <c r="G26">
        <f>VLOOKUP(F26,Sheet2!$B$2:$C$90,2,FALSE)</f>
        <v>2005</v>
      </c>
      <c r="H26" s="33" t="s">
        <v>236</v>
      </c>
      <c r="I26" t="s">
        <v>247</v>
      </c>
      <c r="J26">
        <v>1.5</v>
      </c>
      <c r="K26">
        <f t="shared" si="0"/>
        <v>23</v>
      </c>
      <c r="L26">
        <f t="shared" si="1"/>
        <v>2028</v>
      </c>
    </row>
    <row r="27" spans="2:12" x14ac:dyDescent="0.2">
      <c r="B27" t="s">
        <v>258</v>
      </c>
      <c r="C27" s="31" t="s">
        <v>92</v>
      </c>
      <c r="D27" s="8">
        <v>266137</v>
      </c>
      <c r="E27">
        <v>15</v>
      </c>
      <c r="F27" t="s">
        <v>266</v>
      </c>
      <c r="G27">
        <f>VLOOKUP(F27,Sheet2!$B$2:$C$90,2,FALSE)</f>
        <v>2005</v>
      </c>
      <c r="H27" s="33" t="s">
        <v>236</v>
      </c>
      <c r="I27" t="s">
        <v>247</v>
      </c>
      <c r="J27">
        <v>1.5</v>
      </c>
      <c r="K27">
        <f t="shared" si="0"/>
        <v>23</v>
      </c>
      <c r="L27">
        <f t="shared" si="1"/>
        <v>2028</v>
      </c>
    </row>
    <row r="28" spans="2:12" x14ac:dyDescent="0.2">
      <c r="B28" t="s">
        <v>258</v>
      </c>
      <c r="C28" s="31" t="s">
        <v>93</v>
      </c>
      <c r="D28" s="8">
        <v>372226</v>
      </c>
      <c r="E28">
        <v>15</v>
      </c>
      <c r="F28" t="s">
        <v>266</v>
      </c>
      <c r="G28">
        <f>VLOOKUP(F28,Sheet2!$B$2:$C$90,2,FALSE)</f>
        <v>2005</v>
      </c>
      <c r="H28" s="33" t="s">
        <v>236</v>
      </c>
      <c r="I28" t="s">
        <v>247</v>
      </c>
      <c r="J28">
        <v>1.5</v>
      </c>
      <c r="K28">
        <f t="shared" si="0"/>
        <v>23</v>
      </c>
      <c r="L28">
        <f t="shared" si="1"/>
        <v>2028</v>
      </c>
    </row>
    <row r="29" spans="2:12" x14ac:dyDescent="0.2">
      <c r="B29" t="s">
        <v>258</v>
      </c>
      <c r="C29" s="31" t="s">
        <v>94</v>
      </c>
      <c r="D29" s="8">
        <v>1287508</v>
      </c>
      <c r="E29">
        <v>15</v>
      </c>
      <c r="F29" t="s">
        <v>266</v>
      </c>
      <c r="G29">
        <f>VLOOKUP(F29,Sheet2!$B$2:$C$90,2,FALSE)</f>
        <v>2005</v>
      </c>
      <c r="H29" s="33" t="s">
        <v>236</v>
      </c>
      <c r="I29" t="s">
        <v>247</v>
      </c>
      <c r="J29">
        <v>1.5</v>
      </c>
      <c r="K29">
        <f t="shared" si="0"/>
        <v>23</v>
      </c>
      <c r="L29">
        <f t="shared" si="1"/>
        <v>2028</v>
      </c>
    </row>
    <row r="30" spans="2:12" x14ac:dyDescent="0.2">
      <c r="B30" t="s">
        <v>258</v>
      </c>
      <c r="C30" s="31" t="s">
        <v>95</v>
      </c>
      <c r="D30" s="8">
        <v>153437</v>
      </c>
      <c r="E30">
        <v>15</v>
      </c>
      <c r="F30" t="s">
        <v>266</v>
      </c>
      <c r="G30">
        <f>VLOOKUP(F30,Sheet2!$B$2:$C$90,2,FALSE)</f>
        <v>2005</v>
      </c>
      <c r="H30" s="33" t="s">
        <v>236</v>
      </c>
      <c r="I30" t="s">
        <v>247</v>
      </c>
      <c r="J30">
        <v>1.5</v>
      </c>
      <c r="K30">
        <f t="shared" si="0"/>
        <v>23</v>
      </c>
      <c r="L30">
        <f t="shared" si="1"/>
        <v>2028</v>
      </c>
    </row>
    <row r="31" spans="2:12" x14ac:dyDescent="0.2">
      <c r="B31" t="s">
        <v>260</v>
      </c>
      <c r="C31" s="31" t="s">
        <v>259</v>
      </c>
      <c r="D31" s="8">
        <v>44443202</v>
      </c>
      <c r="E31">
        <v>50</v>
      </c>
      <c r="F31" t="s">
        <v>266</v>
      </c>
      <c r="G31">
        <f>VLOOKUP(F31,Sheet2!$B$2:$C$90,2,FALSE)</f>
        <v>2005</v>
      </c>
      <c r="H31" s="33" t="s">
        <v>236</v>
      </c>
      <c r="I31" t="s">
        <v>246</v>
      </c>
      <c r="J31">
        <v>1.5</v>
      </c>
      <c r="K31">
        <f t="shared" si="0"/>
        <v>75</v>
      </c>
      <c r="L31">
        <f t="shared" si="1"/>
        <v>2080</v>
      </c>
    </row>
    <row r="32" spans="2:12" x14ac:dyDescent="0.2">
      <c r="B32" t="s">
        <v>260</v>
      </c>
      <c r="C32" s="31" t="s">
        <v>96</v>
      </c>
      <c r="D32" s="8">
        <v>3419826</v>
      </c>
      <c r="E32">
        <v>15</v>
      </c>
      <c r="F32" t="s">
        <v>266</v>
      </c>
      <c r="G32">
        <f>VLOOKUP(F32,Sheet2!$B$2:$C$90,2,FALSE)</f>
        <v>2005</v>
      </c>
      <c r="H32" s="33" t="s">
        <v>236</v>
      </c>
      <c r="I32" t="s">
        <v>247</v>
      </c>
      <c r="J32">
        <v>1.5</v>
      </c>
      <c r="K32">
        <f t="shared" si="0"/>
        <v>23</v>
      </c>
      <c r="L32">
        <f t="shared" si="1"/>
        <v>2028</v>
      </c>
    </row>
    <row r="33" spans="2:12" x14ac:dyDescent="0.2">
      <c r="B33" t="s">
        <v>260</v>
      </c>
      <c r="C33" s="31" t="s">
        <v>97</v>
      </c>
      <c r="D33" s="8">
        <v>161114</v>
      </c>
      <c r="E33">
        <v>15</v>
      </c>
      <c r="F33" t="s">
        <v>266</v>
      </c>
      <c r="G33">
        <f>VLOOKUP(F33,Sheet2!$B$2:$C$90,2,FALSE)</f>
        <v>2005</v>
      </c>
      <c r="H33" s="33" t="s">
        <v>236</v>
      </c>
      <c r="I33" t="s">
        <v>247</v>
      </c>
      <c r="J33">
        <v>1.5</v>
      </c>
      <c r="K33">
        <f t="shared" si="0"/>
        <v>23</v>
      </c>
      <c r="L33">
        <f t="shared" si="1"/>
        <v>2028</v>
      </c>
    </row>
    <row r="34" spans="2:12" x14ac:dyDescent="0.2">
      <c r="B34" t="s">
        <v>260</v>
      </c>
      <c r="C34" s="31" t="s">
        <v>98</v>
      </c>
      <c r="D34" s="8">
        <v>4756223</v>
      </c>
      <c r="E34">
        <v>15</v>
      </c>
      <c r="F34" t="s">
        <v>266</v>
      </c>
      <c r="G34">
        <f>VLOOKUP(F34,Sheet2!$B$2:$C$90,2,FALSE)</f>
        <v>2005</v>
      </c>
      <c r="H34" s="33" t="s">
        <v>236</v>
      </c>
      <c r="I34" t="s">
        <v>247</v>
      </c>
      <c r="J34">
        <v>1.5</v>
      </c>
      <c r="K34">
        <f t="shared" si="0"/>
        <v>23</v>
      </c>
      <c r="L34">
        <f t="shared" si="1"/>
        <v>2028</v>
      </c>
    </row>
    <row r="35" spans="2:12" x14ac:dyDescent="0.2">
      <c r="B35" t="s">
        <v>260</v>
      </c>
      <c r="C35" s="31" t="s">
        <v>99</v>
      </c>
      <c r="D35" s="8">
        <v>337716</v>
      </c>
      <c r="E35">
        <v>15</v>
      </c>
      <c r="F35" t="s">
        <v>266</v>
      </c>
      <c r="G35">
        <f>VLOOKUP(F35,Sheet2!$B$2:$C$90,2,FALSE)</f>
        <v>2005</v>
      </c>
      <c r="H35" s="33" t="s">
        <v>236</v>
      </c>
      <c r="I35" t="s">
        <v>247</v>
      </c>
      <c r="J35">
        <v>1.5</v>
      </c>
      <c r="K35">
        <f t="shared" si="0"/>
        <v>23</v>
      </c>
      <c r="L35">
        <f t="shared" si="1"/>
        <v>2028</v>
      </c>
    </row>
    <row r="36" spans="2:12" x14ac:dyDescent="0.2">
      <c r="B36" t="s">
        <v>260</v>
      </c>
      <c r="C36" s="31" t="s">
        <v>100</v>
      </c>
      <c r="D36" s="8">
        <v>3240846</v>
      </c>
      <c r="E36">
        <v>15</v>
      </c>
      <c r="F36" t="s">
        <v>266</v>
      </c>
      <c r="G36">
        <f>VLOOKUP(F36,Sheet2!$B$2:$C$90,2,FALSE)</f>
        <v>2005</v>
      </c>
      <c r="H36" s="33" t="s">
        <v>236</v>
      </c>
      <c r="I36" t="s">
        <v>247</v>
      </c>
      <c r="J36">
        <v>1.5</v>
      </c>
      <c r="K36">
        <f t="shared" si="0"/>
        <v>23</v>
      </c>
      <c r="L36">
        <f t="shared" si="1"/>
        <v>2028</v>
      </c>
    </row>
    <row r="37" spans="2:12" x14ac:dyDescent="0.2">
      <c r="B37" t="s">
        <v>260</v>
      </c>
      <c r="C37" s="31" t="s">
        <v>101</v>
      </c>
      <c r="D37" s="8">
        <v>3211250</v>
      </c>
      <c r="E37">
        <v>15</v>
      </c>
      <c r="F37" t="s">
        <v>266</v>
      </c>
      <c r="G37">
        <f>VLOOKUP(F37,Sheet2!$B$2:$C$90,2,FALSE)</f>
        <v>2005</v>
      </c>
      <c r="H37" s="33" t="s">
        <v>236</v>
      </c>
      <c r="I37" t="s">
        <v>247</v>
      </c>
      <c r="J37">
        <v>1.5</v>
      </c>
      <c r="K37">
        <f t="shared" si="0"/>
        <v>23</v>
      </c>
      <c r="L37">
        <f t="shared" si="1"/>
        <v>2028</v>
      </c>
    </row>
    <row r="38" spans="2:12" x14ac:dyDescent="0.2">
      <c r="B38" t="s">
        <v>260</v>
      </c>
      <c r="C38" s="31" t="s">
        <v>102</v>
      </c>
      <c r="D38" s="8">
        <v>78576</v>
      </c>
      <c r="E38">
        <v>15</v>
      </c>
      <c r="F38" t="s">
        <v>266</v>
      </c>
      <c r="G38">
        <f>VLOOKUP(F38,Sheet2!$B$2:$C$90,2,FALSE)</f>
        <v>2005</v>
      </c>
      <c r="H38" s="33" t="s">
        <v>236</v>
      </c>
      <c r="I38" t="s">
        <v>247</v>
      </c>
      <c r="J38">
        <v>1.5</v>
      </c>
      <c r="K38">
        <f t="shared" si="0"/>
        <v>23</v>
      </c>
      <c r="L38">
        <f t="shared" si="1"/>
        <v>2028</v>
      </c>
    </row>
    <row r="39" spans="2:12" x14ac:dyDescent="0.2">
      <c r="B39" t="s">
        <v>260</v>
      </c>
      <c r="C39" s="31" t="s">
        <v>103</v>
      </c>
      <c r="D39" s="8">
        <v>172504</v>
      </c>
      <c r="E39">
        <v>15</v>
      </c>
      <c r="F39" t="s">
        <v>266</v>
      </c>
      <c r="G39">
        <f>VLOOKUP(F39,Sheet2!$B$2:$C$90,2,FALSE)</f>
        <v>2005</v>
      </c>
      <c r="H39" s="33" t="s">
        <v>236</v>
      </c>
      <c r="I39" t="s">
        <v>247</v>
      </c>
      <c r="J39">
        <v>1.5</v>
      </c>
      <c r="K39">
        <f t="shared" si="0"/>
        <v>23</v>
      </c>
      <c r="L39">
        <f t="shared" si="1"/>
        <v>2028</v>
      </c>
    </row>
    <row r="40" spans="2:12" x14ac:dyDescent="0.2">
      <c r="B40" t="s">
        <v>260</v>
      </c>
      <c r="C40" s="31" t="s">
        <v>104</v>
      </c>
      <c r="D40" s="8">
        <v>7632</v>
      </c>
      <c r="E40">
        <v>15</v>
      </c>
      <c r="F40" t="s">
        <v>266</v>
      </c>
      <c r="G40">
        <f>VLOOKUP(F40,Sheet2!$B$2:$C$90,2,FALSE)</f>
        <v>2005</v>
      </c>
      <c r="H40" s="33" t="s">
        <v>236</v>
      </c>
      <c r="I40" t="s">
        <v>247</v>
      </c>
      <c r="J40">
        <v>1.5</v>
      </c>
      <c r="K40">
        <f t="shared" si="0"/>
        <v>23</v>
      </c>
      <c r="L40">
        <f t="shared" si="1"/>
        <v>2028</v>
      </c>
    </row>
    <row r="41" spans="2:12" x14ac:dyDescent="0.2">
      <c r="B41" t="s">
        <v>260</v>
      </c>
      <c r="C41" s="31" t="s">
        <v>105</v>
      </c>
      <c r="D41" s="8">
        <v>26471</v>
      </c>
      <c r="E41">
        <v>15</v>
      </c>
      <c r="F41" t="s">
        <v>266</v>
      </c>
      <c r="G41">
        <f>VLOOKUP(F41,Sheet2!$B$2:$C$90,2,FALSE)</f>
        <v>2005</v>
      </c>
      <c r="H41" s="33" t="s">
        <v>236</v>
      </c>
      <c r="I41" t="s">
        <v>247</v>
      </c>
      <c r="J41">
        <v>1.5</v>
      </c>
      <c r="K41">
        <f t="shared" si="0"/>
        <v>23</v>
      </c>
      <c r="L41">
        <f t="shared" si="1"/>
        <v>2028</v>
      </c>
    </row>
    <row r="42" spans="2:12" x14ac:dyDescent="0.2">
      <c r="B42" t="s">
        <v>262</v>
      </c>
      <c r="C42" s="31" t="s">
        <v>261</v>
      </c>
      <c r="D42" s="8">
        <v>33381595</v>
      </c>
      <c r="E42">
        <v>50</v>
      </c>
      <c r="F42" t="s">
        <v>266</v>
      </c>
      <c r="G42">
        <f>VLOOKUP(F42,Sheet2!$B$2:$C$90,2,FALSE)</f>
        <v>2005</v>
      </c>
      <c r="H42" s="33" t="s">
        <v>236</v>
      </c>
      <c r="I42" t="s">
        <v>247</v>
      </c>
      <c r="J42">
        <v>1.5</v>
      </c>
      <c r="K42">
        <f t="shared" si="0"/>
        <v>75</v>
      </c>
      <c r="L42">
        <f t="shared" si="1"/>
        <v>2080</v>
      </c>
    </row>
    <row r="43" spans="2:12" x14ac:dyDescent="0.2">
      <c r="B43" t="s">
        <v>262</v>
      </c>
      <c r="C43" s="31" t="s">
        <v>106</v>
      </c>
      <c r="D43" s="8">
        <v>3562236</v>
      </c>
      <c r="E43">
        <v>15</v>
      </c>
      <c r="F43" t="s">
        <v>266</v>
      </c>
      <c r="G43">
        <f>VLOOKUP(F43,Sheet2!$B$2:$C$90,2,FALSE)</f>
        <v>2005</v>
      </c>
      <c r="H43" s="33" t="s">
        <v>236</v>
      </c>
      <c r="I43" t="s">
        <v>247</v>
      </c>
      <c r="J43">
        <v>1.5</v>
      </c>
      <c r="K43">
        <f t="shared" si="0"/>
        <v>23</v>
      </c>
      <c r="L43">
        <f t="shared" si="1"/>
        <v>2028</v>
      </c>
    </row>
    <row r="44" spans="2:12" x14ac:dyDescent="0.2">
      <c r="B44" t="s">
        <v>262</v>
      </c>
      <c r="C44" s="31" t="s">
        <v>107</v>
      </c>
      <c r="D44" s="8">
        <v>174949</v>
      </c>
      <c r="E44">
        <v>15</v>
      </c>
      <c r="F44" t="s">
        <v>266</v>
      </c>
      <c r="G44">
        <f>VLOOKUP(F44,Sheet2!$B$2:$C$90,2,FALSE)</f>
        <v>2005</v>
      </c>
      <c r="H44" s="33" t="s">
        <v>236</v>
      </c>
      <c r="I44" t="s">
        <v>247</v>
      </c>
      <c r="J44">
        <v>1.5</v>
      </c>
      <c r="K44">
        <f t="shared" si="0"/>
        <v>23</v>
      </c>
      <c r="L44">
        <f t="shared" si="1"/>
        <v>2028</v>
      </c>
    </row>
    <row r="45" spans="2:12" x14ac:dyDescent="0.2">
      <c r="B45" t="s">
        <v>262</v>
      </c>
      <c r="C45" s="31" t="s">
        <v>108</v>
      </c>
      <c r="D45" s="8">
        <v>3699347</v>
      </c>
      <c r="E45">
        <v>15</v>
      </c>
      <c r="F45" t="s">
        <v>266</v>
      </c>
      <c r="G45">
        <f>VLOOKUP(F45,Sheet2!$B$2:$C$90,2,FALSE)</f>
        <v>2005</v>
      </c>
      <c r="H45" s="33" t="s">
        <v>236</v>
      </c>
      <c r="I45" t="s">
        <v>247</v>
      </c>
      <c r="J45">
        <v>1.5</v>
      </c>
      <c r="K45">
        <f t="shared" si="0"/>
        <v>23</v>
      </c>
      <c r="L45">
        <f t="shared" si="1"/>
        <v>2028</v>
      </c>
    </row>
    <row r="46" spans="2:12" x14ac:dyDescent="0.2">
      <c r="B46" t="s">
        <v>262</v>
      </c>
      <c r="C46" s="31" t="s">
        <v>109</v>
      </c>
      <c r="D46" s="8">
        <v>158283</v>
      </c>
      <c r="E46">
        <v>15</v>
      </c>
      <c r="F46" t="s">
        <v>266</v>
      </c>
      <c r="G46">
        <f>VLOOKUP(F46,Sheet2!$B$2:$C$90,2,FALSE)</f>
        <v>2005</v>
      </c>
      <c r="H46" s="33" t="s">
        <v>236</v>
      </c>
      <c r="I46" t="s">
        <v>247</v>
      </c>
      <c r="J46">
        <v>1.5</v>
      </c>
      <c r="K46">
        <f t="shared" si="0"/>
        <v>23</v>
      </c>
      <c r="L46">
        <f t="shared" si="1"/>
        <v>2028</v>
      </c>
    </row>
    <row r="47" spans="2:12" x14ac:dyDescent="0.2">
      <c r="B47" t="s">
        <v>262</v>
      </c>
      <c r="C47" s="31" t="s">
        <v>110</v>
      </c>
      <c r="D47" s="8">
        <v>507232</v>
      </c>
      <c r="E47">
        <v>15</v>
      </c>
      <c r="F47" t="s">
        <v>266</v>
      </c>
      <c r="G47">
        <f>VLOOKUP(F47,Sheet2!$B$2:$C$90,2,FALSE)</f>
        <v>2005</v>
      </c>
      <c r="H47" s="33" t="s">
        <v>236</v>
      </c>
      <c r="I47" t="s">
        <v>247</v>
      </c>
      <c r="J47">
        <v>1.5</v>
      </c>
      <c r="K47">
        <f t="shared" si="0"/>
        <v>23</v>
      </c>
      <c r="L47">
        <f t="shared" si="1"/>
        <v>2028</v>
      </c>
    </row>
    <row r="48" spans="2:12" x14ac:dyDescent="0.2">
      <c r="B48" t="s">
        <v>262</v>
      </c>
      <c r="C48" s="31" t="s">
        <v>111</v>
      </c>
      <c r="D48" s="8">
        <v>495366</v>
      </c>
      <c r="E48">
        <v>15</v>
      </c>
      <c r="F48" t="s">
        <v>266</v>
      </c>
      <c r="G48">
        <f>VLOOKUP(F48,Sheet2!$B$2:$C$90,2,FALSE)</f>
        <v>2005</v>
      </c>
      <c r="H48" s="33" t="s">
        <v>236</v>
      </c>
      <c r="I48" t="s">
        <v>247</v>
      </c>
      <c r="J48">
        <v>1.5</v>
      </c>
      <c r="K48">
        <f t="shared" si="0"/>
        <v>23</v>
      </c>
      <c r="L48">
        <f t="shared" si="1"/>
        <v>2028</v>
      </c>
    </row>
    <row r="49" spans="2:12" x14ac:dyDescent="0.2">
      <c r="B49" t="s">
        <v>262</v>
      </c>
      <c r="C49" s="31" t="s">
        <v>112</v>
      </c>
      <c r="D49" s="8">
        <v>78576</v>
      </c>
      <c r="E49">
        <v>15</v>
      </c>
      <c r="F49" t="s">
        <v>266</v>
      </c>
      <c r="G49">
        <f>VLOOKUP(F49,Sheet2!$B$2:$C$90,2,FALSE)</f>
        <v>2005</v>
      </c>
      <c r="H49" s="33" t="s">
        <v>236</v>
      </c>
      <c r="I49" t="s">
        <v>247</v>
      </c>
      <c r="J49">
        <v>1.5</v>
      </c>
      <c r="K49">
        <f t="shared" si="0"/>
        <v>23</v>
      </c>
      <c r="L49">
        <f t="shared" si="1"/>
        <v>2028</v>
      </c>
    </row>
    <row r="50" spans="2:12" x14ac:dyDescent="0.2">
      <c r="B50" t="s">
        <v>262</v>
      </c>
      <c r="C50" s="31" t="s">
        <v>113</v>
      </c>
      <c r="D50" s="8">
        <v>172414</v>
      </c>
      <c r="E50">
        <v>15</v>
      </c>
      <c r="F50" t="s">
        <v>266</v>
      </c>
      <c r="G50">
        <f>VLOOKUP(F50,Sheet2!$B$2:$C$90,2,FALSE)</f>
        <v>2005</v>
      </c>
      <c r="H50" s="33" t="s">
        <v>236</v>
      </c>
      <c r="I50" t="s">
        <v>247</v>
      </c>
      <c r="J50">
        <v>1.5</v>
      </c>
      <c r="K50">
        <f t="shared" si="0"/>
        <v>23</v>
      </c>
      <c r="L50">
        <f t="shared" si="1"/>
        <v>2028</v>
      </c>
    </row>
    <row r="51" spans="2:12" x14ac:dyDescent="0.2">
      <c r="B51" t="s">
        <v>262</v>
      </c>
      <c r="C51" s="31" t="s">
        <v>114</v>
      </c>
      <c r="D51" s="8">
        <v>7632</v>
      </c>
      <c r="E51">
        <v>15</v>
      </c>
      <c r="F51" t="s">
        <v>266</v>
      </c>
      <c r="G51">
        <f>VLOOKUP(F51,Sheet2!$B$2:$C$90,2,FALSE)</f>
        <v>2005</v>
      </c>
      <c r="H51" s="33" t="s">
        <v>236</v>
      </c>
      <c r="I51" t="s">
        <v>247</v>
      </c>
      <c r="J51">
        <v>1.5</v>
      </c>
      <c r="K51">
        <f t="shared" si="0"/>
        <v>23</v>
      </c>
      <c r="L51">
        <f t="shared" si="1"/>
        <v>2028</v>
      </c>
    </row>
    <row r="52" spans="2:12" x14ac:dyDescent="0.2">
      <c r="B52" t="s">
        <v>262</v>
      </c>
      <c r="C52" s="31" t="s">
        <v>115</v>
      </c>
      <c r="D52" s="8">
        <v>26471</v>
      </c>
      <c r="E52">
        <v>15</v>
      </c>
      <c r="F52" t="s">
        <v>266</v>
      </c>
      <c r="G52">
        <f>VLOOKUP(F52,Sheet2!$B$2:$C$90,2,FALSE)</f>
        <v>2005</v>
      </c>
      <c r="H52" s="33" t="s">
        <v>236</v>
      </c>
      <c r="I52" t="s">
        <v>247</v>
      </c>
      <c r="J52">
        <v>1.5</v>
      </c>
      <c r="K52">
        <f t="shared" si="0"/>
        <v>23</v>
      </c>
      <c r="L52">
        <f t="shared" si="1"/>
        <v>2028</v>
      </c>
    </row>
    <row r="53" spans="2:12" x14ac:dyDescent="0.2">
      <c r="B53" t="s">
        <v>264</v>
      </c>
      <c r="C53" s="31" t="s">
        <v>263</v>
      </c>
      <c r="D53" s="8">
        <v>10604046</v>
      </c>
      <c r="E53">
        <v>50</v>
      </c>
      <c r="F53" t="s">
        <v>266</v>
      </c>
      <c r="G53">
        <f>VLOOKUP(F53,Sheet2!$B$2:$C$90,2,FALSE)</f>
        <v>2005</v>
      </c>
      <c r="H53" s="33" t="s">
        <v>236</v>
      </c>
      <c r="I53" t="s">
        <v>247</v>
      </c>
      <c r="J53">
        <v>1.5</v>
      </c>
      <c r="K53">
        <f t="shared" si="0"/>
        <v>75</v>
      </c>
      <c r="L53">
        <f t="shared" si="1"/>
        <v>2080</v>
      </c>
    </row>
    <row r="54" spans="2:12" x14ac:dyDescent="0.2">
      <c r="B54" t="s">
        <v>264</v>
      </c>
      <c r="C54" s="31" t="s">
        <v>116</v>
      </c>
      <c r="D54" s="8">
        <v>1246023</v>
      </c>
      <c r="E54">
        <v>15</v>
      </c>
      <c r="F54" t="s">
        <v>266</v>
      </c>
      <c r="G54">
        <f>VLOOKUP(F54,Sheet2!$B$2:$C$90,2,FALSE)</f>
        <v>2005</v>
      </c>
      <c r="H54" s="33" t="s">
        <v>236</v>
      </c>
      <c r="I54" t="s">
        <v>247</v>
      </c>
      <c r="J54">
        <v>1.5</v>
      </c>
      <c r="K54">
        <f t="shared" si="0"/>
        <v>23</v>
      </c>
      <c r="L54">
        <f t="shared" si="1"/>
        <v>2028</v>
      </c>
    </row>
    <row r="55" spans="2:12" x14ac:dyDescent="0.2">
      <c r="B55" t="s">
        <v>264</v>
      </c>
      <c r="C55" s="31" t="s">
        <v>117</v>
      </c>
      <c r="D55" s="8">
        <v>176421</v>
      </c>
      <c r="E55">
        <v>15</v>
      </c>
      <c r="F55" t="s">
        <v>266</v>
      </c>
      <c r="G55">
        <f>VLOOKUP(F55,Sheet2!$B$2:$C$90,2,FALSE)</f>
        <v>2005</v>
      </c>
      <c r="H55" s="33" t="s">
        <v>236</v>
      </c>
      <c r="I55" t="s">
        <v>247</v>
      </c>
      <c r="J55">
        <v>1.5</v>
      </c>
      <c r="K55">
        <f t="shared" si="0"/>
        <v>23</v>
      </c>
      <c r="L55">
        <f t="shared" si="1"/>
        <v>2028</v>
      </c>
    </row>
    <row r="56" spans="2:12" x14ac:dyDescent="0.2">
      <c r="B56" t="s">
        <v>264</v>
      </c>
      <c r="C56" s="31" t="s">
        <v>118</v>
      </c>
      <c r="D56" s="8">
        <v>4215546</v>
      </c>
      <c r="E56">
        <v>15</v>
      </c>
      <c r="F56" t="s">
        <v>266</v>
      </c>
      <c r="G56">
        <f>VLOOKUP(F56,Sheet2!$B$2:$C$90,2,FALSE)</f>
        <v>2005</v>
      </c>
      <c r="H56" s="33" t="s">
        <v>236</v>
      </c>
      <c r="I56" t="s">
        <v>247</v>
      </c>
      <c r="J56">
        <v>1.5</v>
      </c>
      <c r="K56">
        <f t="shared" si="0"/>
        <v>23</v>
      </c>
      <c r="L56">
        <f t="shared" si="1"/>
        <v>2028</v>
      </c>
    </row>
    <row r="57" spans="2:12" x14ac:dyDescent="0.2">
      <c r="B57" t="s">
        <v>264</v>
      </c>
      <c r="C57" s="31" t="s">
        <v>119</v>
      </c>
      <c r="D57" s="8">
        <v>166933</v>
      </c>
      <c r="E57">
        <v>15</v>
      </c>
      <c r="F57" t="s">
        <v>266</v>
      </c>
      <c r="G57">
        <f>VLOOKUP(F57,Sheet2!$B$2:$C$90,2,FALSE)</f>
        <v>2005</v>
      </c>
      <c r="H57" s="33" t="s">
        <v>236</v>
      </c>
      <c r="I57" t="s">
        <v>247</v>
      </c>
      <c r="J57">
        <v>1.5</v>
      </c>
      <c r="K57">
        <f t="shared" si="0"/>
        <v>23</v>
      </c>
      <c r="L57">
        <f t="shared" si="1"/>
        <v>2028</v>
      </c>
    </row>
    <row r="58" spans="2:12" x14ac:dyDescent="0.2">
      <c r="B58" t="s">
        <v>264</v>
      </c>
      <c r="C58" s="31" t="s">
        <v>120</v>
      </c>
      <c r="D58" s="8">
        <v>733674</v>
      </c>
      <c r="E58">
        <v>15</v>
      </c>
      <c r="F58" t="s">
        <v>266</v>
      </c>
      <c r="G58">
        <f>VLOOKUP(F58,Sheet2!$B$2:$C$90,2,FALSE)</f>
        <v>2005</v>
      </c>
      <c r="H58" s="33" t="s">
        <v>236</v>
      </c>
      <c r="I58" t="s">
        <v>247</v>
      </c>
      <c r="J58">
        <v>1.5</v>
      </c>
      <c r="K58">
        <f t="shared" si="0"/>
        <v>23</v>
      </c>
      <c r="L58">
        <f t="shared" si="1"/>
        <v>2028</v>
      </c>
    </row>
    <row r="59" spans="2:12" x14ac:dyDescent="0.2">
      <c r="B59" t="s">
        <v>264</v>
      </c>
      <c r="C59" s="31" t="s">
        <v>121</v>
      </c>
      <c r="D59" s="8">
        <v>495366</v>
      </c>
      <c r="E59">
        <v>15</v>
      </c>
      <c r="F59" t="s">
        <v>266</v>
      </c>
      <c r="G59">
        <f>VLOOKUP(F59,Sheet2!$B$2:$C$90,2,FALSE)</f>
        <v>2005</v>
      </c>
      <c r="H59" s="33" t="s">
        <v>236</v>
      </c>
      <c r="I59" t="s">
        <v>247</v>
      </c>
      <c r="J59">
        <v>1.5</v>
      </c>
      <c r="K59">
        <f t="shared" si="0"/>
        <v>23</v>
      </c>
      <c r="L59">
        <f t="shared" si="1"/>
        <v>2028</v>
      </c>
    </row>
    <row r="60" spans="2:12" x14ac:dyDescent="0.2">
      <c r="B60" t="s">
        <v>264</v>
      </c>
      <c r="C60" s="31" t="s">
        <v>122</v>
      </c>
      <c r="D60" s="8">
        <v>78576</v>
      </c>
      <c r="E60">
        <v>15</v>
      </c>
      <c r="F60" t="s">
        <v>266</v>
      </c>
      <c r="G60">
        <f>VLOOKUP(F60,Sheet2!$B$2:$C$90,2,FALSE)</f>
        <v>2005</v>
      </c>
      <c r="H60" s="33" t="s">
        <v>236</v>
      </c>
      <c r="I60" t="s">
        <v>247</v>
      </c>
      <c r="J60">
        <v>1.5</v>
      </c>
      <c r="K60">
        <f t="shared" si="0"/>
        <v>23</v>
      </c>
      <c r="L60">
        <f t="shared" si="1"/>
        <v>2028</v>
      </c>
    </row>
    <row r="61" spans="2:12" x14ac:dyDescent="0.2">
      <c r="B61" t="s">
        <v>264</v>
      </c>
      <c r="C61" s="31" t="s">
        <v>123</v>
      </c>
      <c r="D61" s="8">
        <v>155520</v>
      </c>
      <c r="E61">
        <v>15</v>
      </c>
      <c r="F61" t="s">
        <v>266</v>
      </c>
      <c r="G61">
        <f>VLOOKUP(F61,Sheet2!$B$2:$C$90,2,FALSE)</f>
        <v>2005</v>
      </c>
      <c r="H61" s="33" t="s">
        <v>236</v>
      </c>
      <c r="I61" t="s">
        <v>247</v>
      </c>
      <c r="J61">
        <v>1.5</v>
      </c>
      <c r="K61">
        <f t="shared" si="0"/>
        <v>23</v>
      </c>
      <c r="L61">
        <f t="shared" si="1"/>
        <v>2028</v>
      </c>
    </row>
    <row r="62" spans="2:12" x14ac:dyDescent="0.2">
      <c r="B62" t="s">
        <v>264</v>
      </c>
      <c r="C62" s="31" t="s">
        <v>124</v>
      </c>
      <c r="D62" s="8">
        <v>553199</v>
      </c>
      <c r="E62">
        <v>15</v>
      </c>
      <c r="F62" t="s">
        <v>266</v>
      </c>
      <c r="G62">
        <f>VLOOKUP(F62,Sheet2!$B$2:$C$90,2,FALSE)</f>
        <v>2005</v>
      </c>
      <c r="H62" s="33" t="s">
        <v>236</v>
      </c>
      <c r="I62" t="s">
        <v>247</v>
      </c>
      <c r="J62">
        <v>1.5</v>
      </c>
      <c r="K62">
        <f t="shared" si="0"/>
        <v>23</v>
      </c>
      <c r="L62">
        <f t="shared" si="1"/>
        <v>2028</v>
      </c>
    </row>
    <row r="63" spans="2:12" x14ac:dyDescent="0.2">
      <c r="B63" t="s">
        <v>264</v>
      </c>
      <c r="C63" s="31" t="s">
        <v>125</v>
      </c>
      <c r="D63" s="8">
        <v>26471</v>
      </c>
      <c r="E63">
        <v>15</v>
      </c>
      <c r="F63" t="s">
        <v>266</v>
      </c>
      <c r="G63">
        <f>VLOOKUP(F63,Sheet2!$B$2:$C$90,2,FALSE)</f>
        <v>2005</v>
      </c>
      <c r="H63" s="33" t="s">
        <v>236</v>
      </c>
      <c r="I63" t="s">
        <v>247</v>
      </c>
      <c r="J63">
        <v>1.5</v>
      </c>
      <c r="K63">
        <f t="shared" si="0"/>
        <v>23</v>
      </c>
      <c r="L63">
        <f t="shared" si="1"/>
        <v>2028</v>
      </c>
    </row>
    <row r="64" spans="2:12" x14ac:dyDescent="0.2">
      <c r="B64" t="s">
        <v>265</v>
      </c>
      <c r="C64" s="31" t="s">
        <v>126</v>
      </c>
      <c r="D64" s="8">
        <v>1905491</v>
      </c>
      <c r="E64">
        <v>15</v>
      </c>
      <c r="F64" t="s">
        <v>266</v>
      </c>
      <c r="G64">
        <f>VLOOKUP(F64,Sheet2!$B$2:$C$90,2,FALSE)</f>
        <v>2005</v>
      </c>
      <c r="H64" s="33" t="s">
        <v>236</v>
      </c>
      <c r="I64" t="s">
        <v>247</v>
      </c>
      <c r="J64">
        <v>1.5</v>
      </c>
      <c r="K64">
        <f t="shared" si="0"/>
        <v>23</v>
      </c>
      <c r="L64">
        <f t="shared" si="1"/>
        <v>2028</v>
      </c>
    </row>
    <row r="65" spans="2:12" x14ac:dyDescent="0.2">
      <c r="B65" t="s">
        <v>265</v>
      </c>
      <c r="C65" s="31" t="s">
        <v>127</v>
      </c>
      <c r="D65" s="8">
        <v>1210540</v>
      </c>
      <c r="E65">
        <v>15</v>
      </c>
      <c r="F65" t="s">
        <v>266</v>
      </c>
      <c r="G65">
        <f>VLOOKUP(F65,Sheet2!$B$2:$C$90,2,FALSE)</f>
        <v>2005</v>
      </c>
      <c r="H65" s="33" t="s">
        <v>236</v>
      </c>
      <c r="I65" t="s">
        <v>247</v>
      </c>
      <c r="J65">
        <v>1.5</v>
      </c>
      <c r="K65">
        <f t="shared" si="0"/>
        <v>23</v>
      </c>
      <c r="L65">
        <f t="shared" si="1"/>
        <v>2028</v>
      </c>
    </row>
    <row r="66" spans="2:12" x14ac:dyDescent="0.2">
      <c r="B66" t="s">
        <v>265</v>
      </c>
      <c r="C66" s="31" t="s">
        <v>128</v>
      </c>
      <c r="D66" s="8">
        <v>5986033</v>
      </c>
      <c r="E66">
        <v>15</v>
      </c>
      <c r="F66" t="s">
        <v>266</v>
      </c>
      <c r="G66">
        <f>VLOOKUP(F66,Sheet2!$B$2:$C$90,2,FALSE)</f>
        <v>2005</v>
      </c>
      <c r="H66" s="33" t="s">
        <v>236</v>
      </c>
      <c r="I66" t="s">
        <v>247</v>
      </c>
      <c r="J66">
        <v>1.5</v>
      </c>
      <c r="K66">
        <f t="shared" si="0"/>
        <v>23</v>
      </c>
      <c r="L66">
        <f t="shared" si="1"/>
        <v>2028</v>
      </c>
    </row>
    <row r="67" spans="2:12" x14ac:dyDescent="0.2">
      <c r="B67" t="s">
        <v>265</v>
      </c>
      <c r="C67" s="31" t="s">
        <v>129</v>
      </c>
      <c r="D67" s="8">
        <v>3120764</v>
      </c>
      <c r="E67">
        <v>15</v>
      </c>
      <c r="F67" t="s">
        <v>266</v>
      </c>
      <c r="G67">
        <f>VLOOKUP(F67,Sheet2!$B$2:$C$90,2,FALSE)</f>
        <v>2005</v>
      </c>
      <c r="H67" s="33" t="s">
        <v>236</v>
      </c>
      <c r="I67" t="s">
        <v>247</v>
      </c>
      <c r="J67">
        <v>1.5</v>
      </c>
      <c r="K67">
        <f t="shared" ref="K67:K130" si="9">ROUND(E67*J67,0)</f>
        <v>23</v>
      </c>
      <c r="L67">
        <f t="shared" ref="L67:L130" si="10">G67+K67</f>
        <v>2028</v>
      </c>
    </row>
    <row r="68" spans="2:12" x14ac:dyDescent="0.2">
      <c r="B68" t="s">
        <v>265</v>
      </c>
      <c r="C68" s="31" t="s">
        <v>130</v>
      </c>
      <c r="D68" s="8">
        <v>1795689</v>
      </c>
      <c r="E68">
        <v>15</v>
      </c>
      <c r="F68" t="s">
        <v>266</v>
      </c>
      <c r="G68">
        <f>VLOOKUP(F68,Sheet2!$B$2:$C$90,2,FALSE)</f>
        <v>2005</v>
      </c>
      <c r="H68" s="33" t="s">
        <v>236</v>
      </c>
      <c r="I68" t="s">
        <v>247</v>
      </c>
      <c r="J68">
        <v>1.5</v>
      </c>
      <c r="K68">
        <f t="shared" si="9"/>
        <v>23</v>
      </c>
      <c r="L68">
        <f t="shared" si="10"/>
        <v>2028</v>
      </c>
    </row>
    <row r="69" spans="2:12" x14ac:dyDescent="0.2">
      <c r="C69" s="31" t="s">
        <v>131</v>
      </c>
      <c r="D69" s="8">
        <v>21647911</v>
      </c>
      <c r="E69">
        <v>20</v>
      </c>
      <c r="F69" t="s">
        <v>266</v>
      </c>
      <c r="G69">
        <f>VLOOKUP(F69,Sheet2!$B$2:$C$90,2,FALSE)</f>
        <v>2005</v>
      </c>
      <c r="H69" s="33" t="s">
        <v>237</v>
      </c>
      <c r="I69" t="s">
        <v>250</v>
      </c>
      <c r="J69">
        <v>1</v>
      </c>
      <c r="K69">
        <f t="shared" si="9"/>
        <v>20</v>
      </c>
      <c r="L69">
        <f t="shared" si="10"/>
        <v>2025</v>
      </c>
    </row>
    <row r="70" spans="2:12" x14ac:dyDescent="0.2">
      <c r="C70" s="31" t="s">
        <v>132</v>
      </c>
      <c r="D70" s="8">
        <v>457414</v>
      </c>
      <c r="E70">
        <v>20</v>
      </c>
      <c r="F70" t="s">
        <v>266</v>
      </c>
      <c r="G70">
        <f>VLOOKUP(F70,Sheet2!$B$2:$C$90,2,FALSE)</f>
        <v>2005</v>
      </c>
      <c r="H70" s="33" t="s">
        <v>238</v>
      </c>
      <c r="I70" t="s">
        <v>250</v>
      </c>
      <c r="J70">
        <v>1</v>
      </c>
      <c r="K70">
        <f t="shared" si="9"/>
        <v>20</v>
      </c>
      <c r="L70">
        <f t="shared" si="10"/>
        <v>2025</v>
      </c>
    </row>
    <row r="71" spans="2:12" x14ac:dyDescent="0.2">
      <c r="C71" s="31" t="s">
        <v>133</v>
      </c>
      <c r="D71" s="8">
        <v>67253448</v>
      </c>
      <c r="E71">
        <v>20</v>
      </c>
      <c r="F71" t="s">
        <v>266</v>
      </c>
      <c r="G71">
        <f>VLOOKUP(F71,Sheet2!$B$2:$C$90,2,FALSE)</f>
        <v>2005</v>
      </c>
      <c r="H71" s="33" t="s">
        <v>238</v>
      </c>
      <c r="I71" t="s">
        <v>250</v>
      </c>
      <c r="J71">
        <v>1</v>
      </c>
      <c r="K71">
        <f t="shared" si="9"/>
        <v>20</v>
      </c>
      <c r="L71">
        <f t="shared" si="10"/>
        <v>2025</v>
      </c>
    </row>
    <row r="72" spans="2:12" x14ac:dyDescent="0.2">
      <c r="C72" s="31" t="s">
        <v>134</v>
      </c>
      <c r="D72" s="8">
        <v>2581445</v>
      </c>
      <c r="E72">
        <v>20</v>
      </c>
      <c r="F72" t="s">
        <v>266</v>
      </c>
      <c r="G72">
        <f>VLOOKUP(F72,Sheet2!$B$2:$C$90,2,FALSE)</f>
        <v>2005</v>
      </c>
      <c r="H72" s="33" t="s">
        <v>238</v>
      </c>
      <c r="I72" t="s">
        <v>250</v>
      </c>
      <c r="J72">
        <v>1</v>
      </c>
      <c r="K72">
        <f t="shared" si="9"/>
        <v>20</v>
      </c>
      <c r="L72">
        <f t="shared" si="10"/>
        <v>2025</v>
      </c>
    </row>
    <row r="73" spans="2:12" x14ac:dyDescent="0.2">
      <c r="C73" s="31" t="s">
        <v>135</v>
      </c>
      <c r="D73" s="8">
        <v>4325054</v>
      </c>
      <c r="E73">
        <v>20</v>
      </c>
      <c r="F73" t="s">
        <v>266</v>
      </c>
      <c r="G73">
        <f>VLOOKUP(F73,Sheet2!$B$2:$C$90,2,FALSE)</f>
        <v>2005</v>
      </c>
      <c r="H73" s="33" t="s">
        <v>238</v>
      </c>
      <c r="I73" t="s">
        <v>250</v>
      </c>
      <c r="J73">
        <v>1</v>
      </c>
      <c r="K73">
        <f t="shared" si="9"/>
        <v>20</v>
      </c>
      <c r="L73">
        <f t="shared" si="10"/>
        <v>2025</v>
      </c>
    </row>
    <row r="74" spans="2:12" x14ac:dyDescent="0.2">
      <c r="C74" s="31" t="s">
        <v>136</v>
      </c>
      <c r="D74" s="8">
        <v>1050693</v>
      </c>
      <c r="E74">
        <v>20</v>
      </c>
      <c r="F74" t="s">
        <v>266</v>
      </c>
      <c r="G74">
        <f>VLOOKUP(F74,Sheet2!$B$2:$C$90,2,FALSE)</f>
        <v>2005</v>
      </c>
      <c r="H74" s="33" t="s">
        <v>238</v>
      </c>
      <c r="I74" t="s">
        <v>250</v>
      </c>
      <c r="J74">
        <v>1</v>
      </c>
      <c r="K74">
        <f t="shared" si="9"/>
        <v>20</v>
      </c>
      <c r="L74">
        <f t="shared" si="10"/>
        <v>2025</v>
      </c>
    </row>
    <row r="75" spans="2:12" x14ac:dyDescent="0.2">
      <c r="C75" s="31" t="s">
        <v>137</v>
      </c>
      <c r="D75" s="8">
        <v>126807848</v>
      </c>
      <c r="E75">
        <v>20</v>
      </c>
      <c r="F75" t="s">
        <v>266</v>
      </c>
      <c r="G75">
        <f>VLOOKUP(F75,Sheet2!$B$2:$C$90,2,FALSE)</f>
        <v>2005</v>
      </c>
      <c r="H75" s="33" t="s">
        <v>238</v>
      </c>
      <c r="I75" t="s">
        <v>250</v>
      </c>
      <c r="J75">
        <v>1</v>
      </c>
      <c r="K75">
        <f t="shared" si="9"/>
        <v>20</v>
      </c>
      <c r="L75">
        <f t="shared" si="10"/>
        <v>2025</v>
      </c>
    </row>
    <row r="76" spans="2:12" x14ac:dyDescent="0.2">
      <c r="C76" s="31" t="s">
        <v>138</v>
      </c>
      <c r="D76" s="8">
        <v>523082</v>
      </c>
      <c r="E76">
        <v>20</v>
      </c>
      <c r="F76" t="s">
        <v>266</v>
      </c>
      <c r="G76">
        <f>VLOOKUP(F76,Sheet2!$B$2:$C$90,2,FALSE)</f>
        <v>2005</v>
      </c>
      <c r="H76" s="33" t="s">
        <v>238</v>
      </c>
      <c r="I76" t="s">
        <v>250</v>
      </c>
      <c r="J76">
        <v>1</v>
      </c>
      <c r="K76">
        <f t="shared" si="9"/>
        <v>20</v>
      </c>
      <c r="L76">
        <f t="shared" si="10"/>
        <v>2025</v>
      </c>
    </row>
    <row r="77" spans="2:12" x14ac:dyDescent="0.2">
      <c r="C77" s="31" t="s">
        <v>139</v>
      </c>
      <c r="D77" s="8">
        <v>4098611</v>
      </c>
      <c r="E77">
        <v>20</v>
      </c>
      <c r="F77" t="s">
        <v>266</v>
      </c>
      <c r="G77">
        <f>VLOOKUP(F77,Sheet2!$B$2:$C$90,2,FALSE)</f>
        <v>2005</v>
      </c>
      <c r="H77" s="33" t="s">
        <v>238</v>
      </c>
      <c r="I77" t="s">
        <v>250</v>
      </c>
      <c r="J77">
        <v>1</v>
      </c>
      <c r="K77">
        <f t="shared" si="9"/>
        <v>20</v>
      </c>
      <c r="L77">
        <f t="shared" si="10"/>
        <v>2025</v>
      </c>
    </row>
    <row r="78" spans="2:12" x14ac:dyDescent="0.2">
      <c r="C78" s="31" t="s">
        <v>140</v>
      </c>
      <c r="D78" s="8">
        <v>2694666</v>
      </c>
      <c r="E78">
        <v>20</v>
      </c>
      <c r="F78" t="s">
        <v>266</v>
      </c>
      <c r="G78">
        <f>VLOOKUP(F78,Sheet2!$B$2:$C$90,2,FALSE)</f>
        <v>2005</v>
      </c>
      <c r="H78" s="33" t="s">
        <v>238</v>
      </c>
      <c r="I78" t="s">
        <v>250</v>
      </c>
      <c r="J78">
        <v>1</v>
      </c>
      <c r="K78">
        <f t="shared" si="9"/>
        <v>20</v>
      </c>
      <c r="L78">
        <f t="shared" si="10"/>
        <v>2025</v>
      </c>
    </row>
    <row r="79" spans="2:12" x14ac:dyDescent="0.2">
      <c r="C79" s="31" t="s">
        <v>141</v>
      </c>
      <c r="D79" s="8">
        <v>2694666</v>
      </c>
      <c r="E79">
        <v>20</v>
      </c>
      <c r="F79" t="s">
        <v>266</v>
      </c>
      <c r="G79">
        <f>VLOOKUP(F79,Sheet2!$B$2:$C$90,2,FALSE)</f>
        <v>2005</v>
      </c>
      <c r="H79" s="33" t="s">
        <v>238</v>
      </c>
      <c r="I79" t="s">
        <v>250</v>
      </c>
      <c r="J79">
        <v>1</v>
      </c>
      <c r="K79">
        <f t="shared" si="9"/>
        <v>20</v>
      </c>
      <c r="L79">
        <f t="shared" si="10"/>
        <v>2025</v>
      </c>
    </row>
    <row r="80" spans="2:12" x14ac:dyDescent="0.2">
      <c r="C80" s="31" t="s">
        <v>142</v>
      </c>
      <c r="D80" s="8">
        <v>57742860</v>
      </c>
      <c r="E80">
        <v>20</v>
      </c>
      <c r="F80" t="s">
        <v>266</v>
      </c>
      <c r="G80">
        <f>VLOOKUP(F80,Sheet2!$B$2:$C$90,2,FALSE)</f>
        <v>2005</v>
      </c>
      <c r="H80" s="33" t="s">
        <v>238</v>
      </c>
      <c r="I80" t="s">
        <v>250</v>
      </c>
      <c r="J80">
        <v>1</v>
      </c>
      <c r="K80">
        <f t="shared" si="9"/>
        <v>20</v>
      </c>
      <c r="L80">
        <f t="shared" si="10"/>
        <v>2025</v>
      </c>
    </row>
    <row r="81" spans="3:12" x14ac:dyDescent="0.2">
      <c r="C81" s="31" t="s">
        <v>143</v>
      </c>
      <c r="D81" s="8">
        <v>15216942</v>
      </c>
      <c r="E81">
        <v>20</v>
      </c>
      <c r="F81" t="s">
        <v>266</v>
      </c>
      <c r="G81">
        <f>VLOOKUP(F81,Sheet2!$B$2:$C$90,2,FALSE)</f>
        <v>2005</v>
      </c>
      <c r="H81" s="33" t="s">
        <v>237</v>
      </c>
      <c r="I81" t="s">
        <v>250</v>
      </c>
      <c r="J81">
        <v>1</v>
      </c>
      <c r="K81">
        <f t="shared" si="9"/>
        <v>20</v>
      </c>
      <c r="L81">
        <f t="shared" si="10"/>
        <v>2025</v>
      </c>
    </row>
    <row r="82" spans="3:12" x14ac:dyDescent="0.2">
      <c r="C82" s="31" t="s">
        <v>144</v>
      </c>
      <c r="D82" s="8">
        <v>498173</v>
      </c>
      <c r="E82">
        <v>20</v>
      </c>
      <c r="F82" t="s">
        <v>266</v>
      </c>
      <c r="G82">
        <f>VLOOKUP(F82,Sheet2!$B$2:$C$90,2,FALSE)</f>
        <v>2005</v>
      </c>
      <c r="H82" s="33" t="s">
        <v>238</v>
      </c>
      <c r="I82" t="s">
        <v>250</v>
      </c>
      <c r="J82">
        <v>1</v>
      </c>
      <c r="K82">
        <f t="shared" si="9"/>
        <v>20</v>
      </c>
      <c r="L82">
        <f t="shared" si="10"/>
        <v>2025</v>
      </c>
    </row>
    <row r="83" spans="3:12" x14ac:dyDescent="0.2">
      <c r="C83" s="31" t="s">
        <v>145</v>
      </c>
      <c r="D83" s="8">
        <v>744996</v>
      </c>
      <c r="E83">
        <v>20</v>
      </c>
      <c r="F83" t="s">
        <v>266</v>
      </c>
      <c r="G83">
        <f>VLOOKUP(F83,Sheet2!$B$2:$C$90,2,FALSE)</f>
        <v>2005</v>
      </c>
      <c r="H83" s="33" t="s">
        <v>237</v>
      </c>
      <c r="I83" t="s">
        <v>250</v>
      </c>
      <c r="J83">
        <v>1</v>
      </c>
      <c r="K83">
        <f t="shared" si="9"/>
        <v>20</v>
      </c>
      <c r="L83">
        <f t="shared" si="10"/>
        <v>2025</v>
      </c>
    </row>
    <row r="84" spans="3:12" x14ac:dyDescent="0.2">
      <c r="C84" s="31" t="s">
        <v>146</v>
      </c>
      <c r="D84" s="8">
        <v>11367418</v>
      </c>
      <c r="E84">
        <v>20</v>
      </c>
      <c r="F84" t="s">
        <v>266</v>
      </c>
      <c r="G84">
        <f>VLOOKUP(F84,Sheet2!$B$2:$C$90,2,FALSE)</f>
        <v>2005</v>
      </c>
      <c r="H84" s="33" t="s">
        <v>237</v>
      </c>
      <c r="I84" t="s">
        <v>250</v>
      </c>
      <c r="J84">
        <v>1</v>
      </c>
      <c r="K84">
        <f t="shared" si="9"/>
        <v>20</v>
      </c>
      <c r="L84">
        <f t="shared" si="10"/>
        <v>2025</v>
      </c>
    </row>
    <row r="85" spans="3:12" x14ac:dyDescent="0.2">
      <c r="C85" s="31" t="s">
        <v>147</v>
      </c>
      <c r="D85" s="8">
        <v>647626</v>
      </c>
      <c r="E85">
        <v>10</v>
      </c>
      <c r="F85" t="s">
        <v>266</v>
      </c>
      <c r="G85">
        <f>VLOOKUP(F85,Sheet2!$B$2:$C$90,2,FALSE)</f>
        <v>2005</v>
      </c>
      <c r="H85" s="33" t="s">
        <v>239</v>
      </c>
      <c r="I85" t="s">
        <v>250</v>
      </c>
      <c r="J85">
        <v>1</v>
      </c>
      <c r="K85">
        <f t="shared" si="9"/>
        <v>10</v>
      </c>
      <c r="L85">
        <f t="shared" si="10"/>
        <v>2015</v>
      </c>
    </row>
    <row r="86" spans="3:12" x14ac:dyDescent="0.2">
      <c r="C86" s="31" t="s">
        <v>148</v>
      </c>
      <c r="D86" s="8">
        <v>1954200</v>
      </c>
      <c r="E86">
        <v>20</v>
      </c>
      <c r="F86" t="s">
        <v>266</v>
      </c>
      <c r="G86">
        <f>VLOOKUP(F86,Sheet2!$B$2:$C$90,2,FALSE)</f>
        <v>2005</v>
      </c>
      <c r="H86" s="33" t="s">
        <v>238</v>
      </c>
      <c r="I86" t="s">
        <v>250</v>
      </c>
      <c r="J86">
        <v>1</v>
      </c>
      <c r="K86">
        <f t="shared" si="9"/>
        <v>20</v>
      </c>
      <c r="L86">
        <f t="shared" si="10"/>
        <v>2025</v>
      </c>
    </row>
    <row r="87" spans="3:12" x14ac:dyDescent="0.2">
      <c r="C87" s="31" t="s">
        <v>149</v>
      </c>
      <c r="D87" s="8">
        <v>1954200</v>
      </c>
      <c r="E87">
        <v>20</v>
      </c>
      <c r="F87" t="s">
        <v>266</v>
      </c>
      <c r="G87">
        <f>VLOOKUP(F87,Sheet2!$B$2:$C$90,2,FALSE)</f>
        <v>2005</v>
      </c>
      <c r="H87" s="33" t="s">
        <v>238</v>
      </c>
      <c r="I87" t="s">
        <v>250</v>
      </c>
      <c r="J87">
        <v>1</v>
      </c>
      <c r="K87">
        <f t="shared" si="9"/>
        <v>20</v>
      </c>
      <c r="L87">
        <f t="shared" si="10"/>
        <v>2025</v>
      </c>
    </row>
    <row r="88" spans="3:12" x14ac:dyDescent="0.2">
      <c r="C88" s="31" t="s">
        <v>150</v>
      </c>
      <c r="D88" s="8">
        <v>14379104</v>
      </c>
      <c r="E88">
        <v>20</v>
      </c>
      <c r="F88" t="s">
        <v>266</v>
      </c>
      <c r="G88">
        <f>VLOOKUP(F88,Sheet2!$B$2:$C$90,2,FALSE)</f>
        <v>2005</v>
      </c>
      <c r="H88" s="33" t="s">
        <v>238</v>
      </c>
      <c r="I88" t="s">
        <v>250</v>
      </c>
      <c r="J88">
        <v>1</v>
      </c>
      <c r="K88">
        <f t="shared" si="9"/>
        <v>20</v>
      </c>
      <c r="L88">
        <f t="shared" si="10"/>
        <v>2025</v>
      </c>
    </row>
    <row r="89" spans="3:12" x14ac:dyDescent="0.2">
      <c r="C89" s="31" t="s">
        <v>151</v>
      </c>
      <c r="D89" s="8">
        <v>7540538</v>
      </c>
      <c r="E89">
        <v>20</v>
      </c>
      <c r="F89" t="s">
        <v>266</v>
      </c>
      <c r="G89">
        <f>VLOOKUP(F89,Sheet2!$B$2:$C$90,2,FALSE)</f>
        <v>2005</v>
      </c>
      <c r="H89" s="33" t="s">
        <v>238</v>
      </c>
      <c r="I89" t="s">
        <v>250</v>
      </c>
      <c r="J89">
        <v>1</v>
      </c>
      <c r="K89">
        <f t="shared" si="9"/>
        <v>20</v>
      </c>
      <c r="L89">
        <f t="shared" si="10"/>
        <v>2025</v>
      </c>
    </row>
    <row r="90" spans="3:12" x14ac:dyDescent="0.2">
      <c r="C90" s="31" t="s">
        <v>152</v>
      </c>
      <c r="D90" s="8">
        <v>2119503</v>
      </c>
      <c r="E90">
        <v>20</v>
      </c>
      <c r="F90" t="s">
        <v>266</v>
      </c>
      <c r="G90">
        <f>VLOOKUP(F90,Sheet2!$B$2:$C$90,2,FALSE)</f>
        <v>2005</v>
      </c>
      <c r="H90" s="33" t="s">
        <v>238</v>
      </c>
      <c r="I90" t="s">
        <v>250</v>
      </c>
      <c r="J90">
        <v>1</v>
      </c>
      <c r="K90">
        <f t="shared" si="9"/>
        <v>20</v>
      </c>
      <c r="L90">
        <f t="shared" si="10"/>
        <v>2025</v>
      </c>
    </row>
    <row r="91" spans="3:12" x14ac:dyDescent="0.2">
      <c r="C91" s="31" t="s">
        <v>153</v>
      </c>
      <c r="D91" s="8">
        <v>100766951</v>
      </c>
      <c r="E91">
        <v>20</v>
      </c>
      <c r="F91" t="s">
        <v>266</v>
      </c>
      <c r="G91">
        <f>VLOOKUP(F91,Sheet2!$B$2:$C$90,2,FALSE)</f>
        <v>2005</v>
      </c>
      <c r="H91" s="33" t="s">
        <v>238</v>
      </c>
      <c r="I91" t="s">
        <v>250</v>
      </c>
      <c r="J91">
        <v>1</v>
      </c>
      <c r="K91">
        <f t="shared" si="9"/>
        <v>20</v>
      </c>
      <c r="L91">
        <f t="shared" si="10"/>
        <v>2025</v>
      </c>
    </row>
    <row r="92" spans="3:12" x14ac:dyDescent="0.2">
      <c r="C92" s="31" t="s">
        <v>154</v>
      </c>
      <c r="D92" s="8">
        <v>4936448</v>
      </c>
      <c r="E92">
        <v>20</v>
      </c>
      <c r="F92" t="s">
        <v>266</v>
      </c>
      <c r="G92">
        <f>VLOOKUP(F92,Sheet2!$B$2:$C$90,2,FALSE)</f>
        <v>2005</v>
      </c>
      <c r="H92" s="33" t="s">
        <v>238</v>
      </c>
      <c r="I92" t="s">
        <v>250</v>
      </c>
      <c r="J92">
        <v>1</v>
      </c>
      <c r="K92">
        <f t="shared" si="9"/>
        <v>20</v>
      </c>
      <c r="L92">
        <f t="shared" si="10"/>
        <v>2025</v>
      </c>
    </row>
    <row r="93" spans="3:12" x14ac:dyDescent="0.2">
      <c r="C93" s="31" t="s">
        <v>155</v>
      </c>
      <c r="D93" s="8">
        <v>24908685</v>
      </c>
      <c r="E93">
        <v>20</v>
      </c>
      <c r="F93" t="s">
        <v>266</v>
      </c>
      <c r="G93">
        <f>VLOOKUP(F93,Sheet2!$B$2:$C$90,2,FALSE)</f>
        <v>2005</v>
      </c>
      <c r="H93" s="33" t="s">
        <v>238</v>
      </c>
      <c r="I93" t="s">
        <v>250</v>
      </c>
      <c r="J93">
        <v>1</v>
      </c>
      <c r="K93">
        <f t="shared" si="9"/>
        <v>20</v>
      </c>
      <c r="L93">
        <f t="shared" si="10"/>
        <v>2025</v>
      </c>
    </row>
    <row r="94" spans="3:12" x14ac:dyDescent="0.2">
      <c r="C94" s="31" t="s">
        <v>156</v>
      </c>
      <c r="D94" s="8">
        <v>86727510</v>
      </c>
      <c r="E94">
        <v>20</v>
      </c>
      <c r="F94" t="s">
        <v>266</v>
      </c>
      <c r="G94">
        <f>VLOOKUP(F94,Sheet2!$B$2:$C$90,2,FALSE)</f>
        <v>2005</v>
      </c>
      <c r="H94" s="33" t="s">
        <v>238</v>
      </c>
      <c r="I94" t="s">
        <v>250</v>
      </c>
      <c r="J94">
        <v>1</v>
      </c>
      <c r="K94">
        <f t="shared" si="9"/>
        <v>20</v>
      </c>
      <c r="L94">
        <f t="shared" si="10"/>
        <v>2025</v>
      </c>
    </row>
    <row r="95" spans="3:12" x14ac:dyDescent="0.2">
      <c r="C95" s="31" t="s">
        <v>157</v>
      </c>
      <c r="D95" s="8">
        <v>2117238</v>
      </c>
      <c r="E95">
        <v>20</v>
      </c>
      <c r="F95" t="s">
        <v>266</v>
      </c>
      <c r="G95">
        <f>VLOOKUP(F95,Sheet2!$B$2:$C$90,2,FALSE)</f>
        <v>2005</v>
      </c>
      <c r="H95" s="33" t="s">
        <v>238</v>
      </c>
      <c r="I95" t="s">
        <v>250</v>
      </c>
      <c r="J95">
        <v>1</v>
      </c>
      <c r="K95">
        <f t="shared" si="9"/>
        <v>20</v>
      </c>
      <c r="L95">
        <f t="shared" si="10"/>
        <v>2025</v>
      </c>
    </row>
    <row r="96" spans="3:12" x14ac:dyDescent="0.2">
      <c r="C96" s="31" t="s">
        <v>158</v>
      </c>
      <c r="D96" s="8">
        <v>4619429</v>
      </c>
      <c r="E96">
        <v>20</v>
      </c>
      <c r="F96" t="s">
        <v>266</v>
      </c>
      <c r="G96">
        <f>VLOOKUP(F96,Sheet2!$B$2:$C$90,2,FALSE)</f>
        <v>2005</v>
      </c>
      <c r="H96" s="33" t="s">
        <v>237</v>
      </c>
      <c r="I96" t="s">
        <v>250</v>
      </c>
      <c r="J96">
        <v>1</v>
      </c>
      <c r="K96">
        <f t="shared" si="9"/>
        <v>20</v>
      </c>
      <c r="L96">
        <f t="shared" si="10"/>
        <v>2025</v>
      </c>
    </row>
    <row r="97" spans="3:12" x14ac:dyDescent="0.2">
      <c r="C97" s="31" t="s">
        <v>159</v>
      </c>
      <c r="D97" s="8">
        <v>27852438</v>
      </c>
      <c r="E97">
        <v>20</v>
      </c>
      <c r="F97" t="s">
        <v>266</v>
      </c>
      <c r="G97">
        <f>VLOOKUP(F97,Sheet2!$B$2:$C$90,2,FALSE)</f>
        <v>2005</v>
      </c>
      <c r="H97" s="33" t="s">
        <v>238</v>
      </c>
      <c r="I97" t="s">
        <v>250</v>
      </c>
      <c r="J97">
        <v>1</v>
      </c>
      <c r="K97">
        <f t="shared" si="9"/>
        <v>20</v>
      </c>
      <c r="L97">
        <f t="shared" si="10"/>
        <v>2025</v>
      </c>
    </row>
    <row r="98" spans="3:12" x14ac:dyDescent="0.2">
      <c r="C98" s="31" t="s">
        <v>160</v>
      </c>
      <c r="D98" s="8">
        <v>230971</v>
      </c>
      <c r="E98">
        <v>20</v>
      </c>
      <c r="F98" t="s">
        <v>266</v>
      </c>
      <c r="G98">
        <f>VLOOKUP(F98,Sheet2!$B$2:$C$90,2,FALSE)</f>
        <v>2005</v>
      </c>
      <c r="H98" s="33" t="s">
        <v>238</v>
      </c>
      <c r="I98" t="s">
        <v>250</v>
      </c>
      <c r="J98">
        <v>1</v>
      </c>
      <c r="K98">
        <f t="shared" si="9"/>
        <v>20</v>
      </c>
      <c r="L98">
        <f t="shared" si="10"/>
        <v>2025</v>
      </c>
    </row>
    <row r="99" spans="3:12" x14ac:dyDescent="0.2">
      <c r="C99" s="31" t="s">
        <v>161</v>
      </c>
      <c r="D99" s="8">
        <v>3464572</v>
      </c>
      <c r="E99">
        <v>20</v>
      </c>
      <c r="F99" t="s">
        <v>266</v>
      </c>
      <c r="G99">
        <f>VLOOKUP(F99,Sheet2!$B$2:$C$90,2,FALSE)</f>
        <v>2005</v>
      </c>
      <c r="H99" s="33" t="s">
        <v>238</v>
      </c>
      <c r="I99" t="s">
        <v>250</v>
      </c>
      <c r="J99">
        <v>1</v>
      </c>
      <c r="K99">
        <f t="shared" si="9"/>
        <v>20</v>
      </c>
      <c r="L99">
        <f t="shared" si="10"/>
        <v>2025</v>
      </c>
    </row>
    <row r="100" spans="3:12" x14ac:dyDescent="0.2">
      <c r="C100" s="31" t="s">
        <v>162</v>
      </c>
      <c r="D100" s="8">
        <v>2386705</v>
      </c>
      <c r="E100">
        <v>20</v>
      </c>
      <c r="F100" t="s">
        <v>266</v>
      </c>
      <c r="G100">
        <f>VLOOKUP(F100,Sheet2!$B$2:$C$90,2,FALSE)</f>
        <v>2005</v>
      </c>
      <c r="H100" s="33" t="s">
        <v>237</v>
      </c>
      <c r="I100" t="s">
        <v>250</v>
      </c>
      <c r="J100">
        <v>1</v>
      </c>
      <c r="K100">
        <f t="shared" si="9"/>
        <v>20</v>
      </c>
      <c r="L100">
        <f t="shared" si="10"/>
        <v>2025</v>
      </c>
    </row>
    <row r="101" spans="3:12" x14ac:dyDescent="0.2">
      <c r="C101" s="31" t="s">
        <v>163</v>
      </c>
      <c r="D101" s="8">
        <v>2504455</v>
      </c>
      <c r="E101">
        <v>10</v>
      </c>
      <c r="F101" t="s">
        <v>266</v>
      </c>
      <c r="G101">
        <f>VLOOKUP(F101,Sheet2!$B$2:$C$90,2,FALSE)</f>
        <v>2005</v>
      </c>
      <c r="H101" s="33" t="s">
        <v>240</v>
      </c>
      <c r="I101" t="s">
        <v>250</v>
      </c>
      <c r="J101">
        <v>1</v>
      </c>
      <c r="K101">
        <f t="shared" si="9"/>
        <v>10</v>
      </c>
      <c r="L101">
        <f t="shared" si="10"/>
        <v>2015</v>
      </c>
    </row>
    <row r="102" spans="3:12" x14ac:dyDescent="0.2">
      <c r="C102" s="31" t="s">
        <v>164</v>
      </c>
      <c r="D102" s="8">
        <v>2807888</v>
      </c>
      <c r="E102">
        <v>20</v>
      </c>
      <c r="F102" t="s">
        <v>266</v>
      </c>
      <c r="G102">
        <f>VLOOKUP(F102,Sheet2!$B$2:$C$90,2,FALSE)</f>
        <v>2005</v>
      </c>
      <c r="H102" s="33" t="s">
        <v>238</v>
      </c>
      <c r="I102" t="s">
        <v>250</v>
      </c>
      <c r="J102">
        <v>1</v>
      </c>
      <c r="K102">
        <f t="shared" si="9"/>
        <v>20</v>
      </c>
      <c r="L102">
        <f t="shared" si="10"/>
        <v>2025</v>
      </c>
    </row>
    <row r="103" spans="3:12" x14ac:dyDescent="0.2">
      <c r="C103" s="31" t="s">
        <v>165</v>
      </c>
      <c r="D103" s="8">
        <v>3011687</v>
      </c>
      <c r="E103">
        <v>20</v>
      </c>
      <c r="F103" t="s">
        <v>266</v>
      </c>
      <c r="G103">
        <f>VLOOKUP(F103,Sheet2!$B$2:$C$90,2,FALSE)</f>
        <v>2005</v>
      </c>
      <c r="H103" s="33" t="s">
        <v>238</v>
      </c>
      <c r="I103" t="s">
        <v>250</v>
      </c>
      <c r="J103">
        <v>1</v>
      </c>
      <c r="K103">
        <f t="shared" si="9"/>
        <v>20</v>
      </c>
      <c r="L103">
        <f t="shared" si="10"/>
        <v>2025</v>
      </c>
    </row>
    <row r="104" spans="3:12" x14ac:dyDescent="0.2">
      <c r="C104" s="31" t="s">
        <v>166</v>
      </c>
      <c r="D104" s="8">
        <v>1770781</v>
      </c>
      <c r="E104">
        <v>20</v>
      </c>
      <c r="F104" t="s">
        <v>266</v>
      </c>
      <c r="G104">
        <f>VLOOKUP(F104,Sheet2!$B$2:$C$90,2,FALSE)</f>
        <v>2005</v>
      </c>
      <c r="H104" s="33" t="s">
        <v>241</v>
      </c>
      <c r="I104" t="s">
        <v>250</v>
      </c>
      <c r="J104">
        <v>1</v>
      </c>
      <c r="K104">
        <f t="shared" si="9"/>
        <v>20</v>
      </c>
      <c r="L104">
        <f t="shared" si="10"/>
        <v>2025</v>
      </c>
    </row>
    <row r="105" spans="3:12" x14ac:dyDescent="0.2">
      <c r="C105" s="31" t="s">
        <v>167</v>
      </c>
      <c r="D105" s="8">
        <v>18726802</v>
      </c>
      <c r="E105">
        <v>20</v>
      </c>
      <c r="F105" t="s">
        <v>266</v>
      </c>
      <c r="G105">
        <f>VLOOKUP(F105,Sheet2!$B$2:$C$90,2,FALSE)</f>
        <v>2005</v>
      </c>
      <c r="H105" s="33" t="s">
        <v>241</v>
      </c>
      <c r="I105" t="s">
        <v>250</v>
      </c>
      <c r="J105">
        <v>1</v>
      </c>
      <c r="K105">
        <f t="shared" si="9"/>
        <v>20</v>
      </c>
      <c r="L105">
        <f t="shared" si="10"/>
        <v>2025</v>
      </c>
    </row>
    <row r="106" spans="3:12" x14ac:dyDescent="0.2">
      <c r="C106" s="31" t="s">
        <v>168</v>
      </c>
      <c r="D106" s="8">
        <v>66347678</v>
      </c>
      <c r="E106">
        <v>20</v>
      </c>
      <c r="F106" t="s">
        <v>266</v>
      </c>
      <c r="G106">
        <f>VLOOKUP(F106,Sheet2!$B$2:$C$90,2,FALSE)</f>
        <v>2005</v>
      </c>
      <c r="H106" s="33" t="s">
        <v>241</v>
      </c>
      <c r="I106" t="s">
        <v>250</v>
      </c>
      <c r="J106">
        <v>1</v>
      </c>
      <c r="K106">
        <f t="shared" si="9"/>
        <v>20</v>
      </c>
      <c r="L106">
        <f t="shared" si="10"/>
        <v>2025</v>
      </c>
    </row>
    <row r="107" spans="3:12" x14ac:dyDescent="0.2">
      <c r="C107" s="31" t="s">
        <v>169</v>
      </c>
      <c r="D107" s="8">
        <v>88086166</v>
      </c>
      <c r="E107">
        <v>20</v>
      </c>
      <c r="F107" t="s">
        <v>266</v>
      </c>
      <c r="G107">
        <f>VLOOKUP(F107,Sheet2!$B$2:$C$90,2,FALSE)</f>
        <v>2005</v>
      </c>
      <c r="H107" s="33" t="s">
        <v>241</v>
      </c>
      <c r="I107" t="s">
        <v>250</v>
      </c>
      <c r="J107">
        <v>1</v>
      </c>
      <c r="K107">
        <f t="shared" si="9"/>
        <v>20</v>
      </c>
      <c r="L107">
        <f t="shared" si="10"/>
        <v>2025</v>
      </c>
    </row>
    <row r="108" spans="3:12" x14ac:dyDescent="0.2">
      <c r="C108" s="31" t="s">
        <v>170</v>
      </c>
      <c r="D108" s="8">
        <v>1238641</v>
      </c>
      <c r="E108">
        <v>20</v>
      </c>
      <c r="F108" t="s">
        <v>266</v>
      </c>
      <c r="G108">
        <f>VLOOKUP(F108,Sheet2!$B$2:$C$90,2,FALSE)</f>
        <v>2005</v>
      </c>
      <c r="H108" s="33" t="s">
        <v>241</v>
      </c>
      <c r="I108" t="s">
        <v>250</v>
      </c>
      <c r="J108">
        <v>1</v>
      </c>
      <c r="K108">
        <f t="shared" si="9"/>
        <v>20</v>
      </c>
      <c r="L108">
        <f t="shared" si="10"/>
        <v>2025</v>
      </c>
    </row>
    <row r="109" spans="3:12" x14ac:dyDescent="0.2">
      <c r="C109" s="31" t="s">
        <v>171</v>
      </c>
      <c r="D109" s="8">
        <v>840102</v>
      </c>
      <c r="E109">
        <v>20</v>
      </c>
      <c r="F109" t="s">
        <v>266</v>
      </c>
      <c r="G109">
        <f>VLOOKUP(F109,Sheet2!$B$2:$C$90,2,FALSE)</f>
        <v>2005</v>
      </c>
      <c r="H109" s="33" t="s">
        <v>241</v>
      </c>
      <c r="I109" t="s">
        <v>250</v>
      </c>
      <c r="J109">
        <v>1</v>
      </c>
      <c r="K109">
        <f t="shared" si="9"/>
        <v>20</v>
      </c>
      <c r="L109">
        <f t="shared" si="10"/>
        <v>2025</v>
      </c>
    </row>
    <row r="110" spans="3:12" x14ac:dyDescent="0.2">
      <c r="C110" s="31" t="s">
        <v>172</v>
      </c>
      <c r="D110" s="8">
        <v>1770781</v>
      </c>
      <c r="E110">
        <v>20</v>
      </c>
      <c r="F110" t="s">
        <v>266</v>
      </c>
      <c r="G110">
        <f>VLOOKUP(F110,Sheet2!$B$2:$C$90,2,FALSE)</f>
        <v>2005</v>
      </c>
      <c r="H110" s="33" t="s">
        <v>241</v>
      </c>
      <c r="I110" t="s">
        <v>250</v>
      </c>
      <c r="J110">
        <v>1</v>
      </c>
      <c r="K110">
        <f t="shared" si="9"/>
        <v>20</v>
      </c>
      <c r="L110">
        <f t="shared" si="10"/>
        <v>2025</v>
      </c>
    </row>
    <row r="111" spans="3:12" x14ac:dyDescent="0.2">
      <c r="C111" s="31" t="s">
        <v>173</v>
      </c>
      <c r="D111" s="8">
        <v>8853905</v>
      </c>
      <c r="E111">
        <v>20</v>
      </c>
      <c r="F111" t="s">
        <v>266</v>
      </c>
      <c r="G111">
        <f>VLOOKUP(F111,Sheet2!$B$2:$C$90,2,FALSE)</f>
        <v>2005</v>
      </c>
      <c r="H111" s="33" t="s">
        <v>241</v>
      </c>
      <c r="I111" t="s">
        <v>250</v>
      </c>
      <c r="J111">
        <v>1</v>
      </c>
      <c r="K111">
        <f t="shared" si="9"/>
        <v>20</v>
      </c>
      <c r="L111">
        <f t="shared" si="10"/>
        <v>2025</v>
      </c>
    </row>
    <row r="112" spans="3:12" x14ac:dyDescent="0.2">
      <c r="C112" s="31" t="s">
        <v>174</v>
      </c>
      <c r="D112" s="8">
        <v>5887507</v>
      </c>
      <c r="E112">
        <v>20</v>
      </c>
      <c r="F112" t="s">
        <v>266</v>
      </c>
      <c r="G112">
        <f>VLOOKUP(F112,Sheet2!$B$2:$C$90,2,FALSE)</f>
        <v>2005</v>
      </c>
      <c r="H112" s="33" t="s">
        <v>241</v>
      </c>
      <c r="I112" t="s">
        <v>250</v>
      </c>
      <c r="J112">
        <v>1</v>
      </c>
      <c r="K112">
        <f t="shared" si="9"/>
        <v>20</v>
      </c>
      <c r="L112">
        <f t="shared" si="10"/>
        <v>2025</v>
      </c>
    </row>
    <row r="113" spans="3:12" x14ac:dyDescent="0.2">
      <c r="C113" s="31" t="s">
        <v>175</v>
      </c>
      <c r="D113" s="8">
        <v>32200136</v>
      </c>
      <c r="E113">
        <v>20</v>
      </c>
      <c r="F113" t="s">
        <v>266</v>
      </c>
      <c r="G113">
        <f>VLOOKUP(F113,Sheet2!$B$2:$C$90,2,FALSE)</f>
        <v>2005</v>
      </c>
      <c r="H113" s="33" t="s">
        <v>241</v>
      </c>
      <c r="I113" t="s">
        <v>250</v>
      </c>
      <c r="J113">
        <v>1</v>
      </c>
      <c r="K113">
        <f t="shared" si="9"/>
        <v>20</v>
      </c>
      <c r="L113">
        <f t="shared" si="10"/>
        <v>2025</v>
      </c>
    </row>
    <row r="114" spans="3:12" x14ac:dyDescent="0.2">
      <c r="C114" s="31" t="s">
        <v>176</v>
      </c>
      <c r="D114" s="8">
        <v>1238641</v>
      </c>
      <c r="E114">
        <v>20</v>
      </c>
      <c r="F114" t="s">
        <v>266</v>
      </c>
      <c r="G114">
        <f>VLOOKUP(F114,Sheet2!$B$2:$C$90,2,FALSE)</f>
        <v>2005</v>
      </c>
      <c r="H114" s="33" t="s">
        <v>241</v>
      </c>
      <c r="I114" t="s">
        <v>250</v>
      </c>
      <c r="J114">
        <v>1</v>
      </c>
      <c r="K114">
        <f t="shared" si="9"/>
        <v>20</v>
      </c>
      <c r="L114">
        <f t="shared" si="10"/>
        <v>2025</v>
      </c>
    </row>
    <row r="115" spans="3:12" x14ac:dyDescent="0.2">
      <c r="C115" s="31" t="s">
        <v>177</v>
      </c>
      <c r="D115" s="8">
        <v>840102</v>
      </c>
      <c r="E115">
        <v>20</v>
      </c>
      <c r="F115" t="s">
        <v>266</v>
      </c>
      <c r="G115">
        <f>VLOOKUP(F115,Sheet2!$B$2:$C$90,2,FALSE)</f>
        <v>2005</v>
      </c>
      <c r="H115" s="33" t="s">
        <v>241</v>
      </c>
      <c r="I115" t="s">
        <v>250</v>
      </c>
      <c r="J115">
        <v>1</v>
      </c>
      <c r="K115">
        <f t="shared" si="9"/>
        <v>20</v>
      </c>
      <c r="L115">
        <f t="shared" si="10"/>
        <v>2025</v>
      </c>
    </row>
    <row r="116" spans="3:12" x14ac:dyDescent="0.2">
      <c r="C116" s="31" t="s">
        <v>178</v>
      </c>
      <c r="D116" s="8">
        <v>2035718</v>
      </c>
      <c r="E116">
        <v>20</v>
      </c>
      <c r="F116" t="s">
        <v>266</v>
      </c>
      <c r="G116">
        <f>VLOOKUP(F116,Sheet2!$B$2:$C$90,2,FALSE)</f>
        <v>2005</v>
      </c>
      <c r="H116" s="33" t="s">
        <v>241</v>
      </c>
      <c r="I116" t="s">
        <v>250</v>
      </c>
      <c r="J116">
        <v>1</v>
      </c>
      <c r="K116">
        <f t="shared" si="9"/>
        <v>20</v>
      </c>
      <c r="L116">
        <f t="shared" si="10"/>
        <v>2025</v>
      </c>
    </row>
    <row r="117" spans="3:12" x14ac:dyDescent="0.2">
      <c r="C117" s="31" t="s">
        <v>179</v>
      </c>
      <c r="D117" s="8">
        <v>840102</v>
      </c>
      <c r="E117">
        <v>20</v>
      </c>
      <c r="F117" t="s">
        <v>266</v>
      </c>
      <c r="G117">
        <f>VLOOKUP(F117,Sheet2!$B$2:$C$90,2,FALSE)</f>
        <v>2005</v>
      </c>
      <c r="H117" s="33" t="s">
        <v>241</v>
      </c>
      <c r="I117" t="s">
        <v>250</v>
      </c>
      <c r="J117">
        <v>1</v>
      </c>
      <c r="K117">
        <f t="shared" si="9"/>
        <v>20</v>
      </c>
      <c r="L117">
        <f t="shared" si="10"/>
        <v>2025</v>
      </c>
    </row>
    <row r="118" spans="3:12" x14ac:dyDescent="0.2">
      <c r="C118" s="31" t="s">
        <v>180</v>
      </c>
      <c r="D118" s="8">
        <v>1238641</v>
      </c>
      <c r="E118">
        <v>20</v>
      </c>
      <c r="F118" t="s">
        <v>266</v>
      </c>
      <c r="G118">
        <f>VLOOKUP(F118,Sheet2!$B$2:$C$90,2,FALSE)</f>
        <v>2005</v>
      </c>
      <c r="H118" s="33" t="s">
        <v>241</v>
      </c>
      <c r="I118" t="s">
        <v>250</v>
      </c>
      <c r="J118">
        <v>1</v>
      </c>
      <c r="K118">
        <f t="shared" si="9"/>
        <v>20</v>
      </c>
      <c r="L118">
        <f t="shared" si="10"/>
        <v>2025</v>
      </c>
    </row>
    <row r="119" spans="3:12" x14ac:dyDescent="0.2">
      <c r="C119" s="31" t="s">
        <v>181</v>
      </c>
      <c r="D119" s="8">
        <v>1770781</v>
      </c>
      <c r="E119">
        <v>20</v>
      </c>
      <c r="F119" t="s">
        <v>266</v>
      </c>
      <c r="G119">
        <f>VLOOKUP(F119,Sheet2!$B$2:$C$90,2,FALSE)</f>
        <v>2005</v>
      </c>
      <c r="H119" s="33" t="s">
        <v>241</v>
      </c>
      <c r="I119" t="s">
        <v>250</v>
      </c>
      <c r="J119">
        <v>1</v>
      </c>
      <c r="K119">
        <f t="shared" si="9"/>
        <v>20</v>
      </c>
      <c r="L119">
        <f t="shared" si="10"/>
        <v>2025</v>
      </c>
    </row>
    <row r="120" spans="3:12" x14ac:dyDescent="0.2">
      <c r="C120" s="31" t="s">
        <v>182</v>
      </c>
      <c r="D120" s="8">
        <v>2649378</v>
      </c>
      <c r="E120">
        <v>10</v>
      </c>
      <c r="F120" t="s">
        <v>266</v>
      </c>
      <c r="G120">
        <f>VLOOKUP(F120,Sheet2!$B$2:$C$90,2,FALSE)</f>
        <v>2005</v>
      </c>
      <c r="H120" s="33" t="s">
        <v>242</v>
      </c>
      <c r="I120" t="s">
        <v>250</v>
      </c>
      <c r="J120">
        <v>1</v>
      </c>
      <c r="K120">
        <f t="shared" si="9"/>
        <v>10</v>
      </c>
      <c r="L120">
        <f t="shared" si="10"/>
        <v>2015</v>
      </c>
    </row>
    <row r="121" spans="3:12" x14ac:dyDescent="0.2">
      <c r="C121" s="31" t="s">
        <v>183</v>
      </c>
      <c r="D121" s="8">
        <v>1548867</v>
      </c>
      <c r="E121">
        <v>10</v>
      </c>
      <c r="F121" t="s">
        <v>266</v>
      </c>
      <c r="G121">
        <f>VLOOKUP(F121,Sheet2!$B$2:$C$90,2,FALSE)</f>
        <v>2005</v>
      </c>
      <c r="H121" s="33" t="s">
        <v>242</v>
      </c>
      <c r="I121" t="s">
        <v>250</v>
      </c>
      <c r="J121">
        <v>1</v>
      </c>
      <c r="K121">
        <f t="shared" si="9"/>
        <v>10</v>
      </c>
      <c r="L121">
        <f t="shared" si="10"/>
        <v>2015</v>
      </c>
    </row>
    <row r="122" spans="3:12" x14ac:dyDescent="0.2">
      <c r="C122" s="31" t="s">
        <v>184</v>
      </c>
      <c r="D122" s="8">
        <v>4257121</v>
      </c>
      <c r="E122">
        <v>10</v>
      </c>
      <c r="F122" t="s">
        <v>266</v>
      </c>
      <c r="G122">
        <f>VLOOKUP(F122,Sheet2!$B$2:$C$90,2,FALSE)</f>
        <v>2005</v>
      </c>
      <c r="H122" s="33" t="s">
        <v>242</v>
      </c>
      <c r="I122" t="s">
        <v>250</v>
      </c>
      <c r="J122">
        <v>1</v>
      </c>
      <c r="K122">
        <f t="shared" si="9"/>
        <v>10</v>
      </c>
      <c r="L122">
        <f t="shared" si="10"/>
        <v>2015</v>
      </c>
    </row>
    <row r="123" spans="3:12" x14ac:dyDescent="0.2">
      <c r="C123" s="31" t="s">
        <v>185</v>
      </c>
      <c r="D123" s="8">
        <v>3192841</v>
      </c>
      <c r="E123">
        <v>10</v>
      </c>
      <c r="F123" t="s">
        <v>266</v>
      </c>
      <c r="G123">
        <f>VLOOKUP(F123,Sheet2!$B$2:$C$90,2,FALSE)</f>
        <v>2005</v>
      </c>
      <c r="H123" s="33" t="s">
        <v>242</v>
      </c>
      <c r="I123" t="s">
        <v>250</v>
      </c>
      <c r="J123">
        <v>1</v>
      </c>
      <c r="K123">
        <f t="shared" si="9"/>
        <v>10</v>
      </c>
      <c r="L123">
        <f t="shared" si="10"/>
        <v>2015</v>
      </c>
    </row>
    <row r="124" spans="3:12" x14ac:dyDescent="0.2">
      <c r="C124" s="31" t="s">
        <v>186</v>
      </c>
      <c r="D124" s="8">
        <v>10620158</v>
      </c>
      <c r="E124">
        <v>10</v>
      </c>
      <c r="F124" t="s">
        <v>266</v>
      </c>
      <c r="G124">
        <f>VLOOKUP(F124,Sheet2!$B$2:$C$90,2,FALSE)</f>
        <v>2005</v>
      </c>
      <c r="H124" s="33" t="s">
        <v>242</v>
      </c>
      <c r="I124" t="s">
        <v>250</v>
      </c>
      <c r="J124">
        <v>1</v>
      </c>
      <c r="K124">
        <f t="shared" si="9"/>
        <v>10</v>
      </c>
      <c r="L124">
        <f t="shared" si="10"/>
        <v>2015</v>
      </c>
    </row>
    <row r="125" spans="3:12" x14ac:dyDescent="0.2">
      <c r="C125" s="31" t="s">
        <v>187</v>
      </c>
      <c r="D125" s="8">
        <v>18070118</v>
      </c>
      <c r="E125">
        <v>10</v>
      </c>
      <c r="F125" t="s">
        <v>266</v>
      </c>
      <c r="G125">
        <f>VLOOKUP(F125,Sheet2!$B$2:$C$90,2,FALSE)</f>
        <v>2005</v>
      </c>
      <c r="H125" s="33" t="s">
        <v>242</v>
      </c>
      <c r="I125" t="s">
        <v>250</v>
      </c>
      <c r="J125">
        <v>1</v>
      </c>
      <c r="K125">
        <f t="shared" si="9"/>
        <v>10</v>
      </c>
      <c r="L125">
        <f t="shared" si="10"/>
        <v>2015</v>
      </c>
    </row>
    <row r="126" spans="3:12" x14ac:dyDescent="0.2">
      <c r="C126" s="31" t="s">
        <v>188</v>
      </c>
      <c r="D126" s="8">
        <v>56837090</v>
      </c>
      <c r="E126">
        <v>20</v>
      </c>
      <c r="F126" t="s">
        <v>266</v>
      </c>
      <c r="G126">
        <f>VLOOKUP(F126,Sheet2!$B$2:$C$90,2,FALSE)</f>
        <v>2005</v>
      </c>
      <c r="H126" s="33" t="s">
        <v>241</v>
      </c>
      <c r="I126" t="s">
        <v>250</v>
      </c>
      <c r="J126">
        <v>1</v>
      </c>
      <c r="K126">
        <f t="shared" si="9"/>
        <v>20</v>
      </c>
      <c r="L126">
        <f t="shared" si="10"/>
        <v>2025</v>
      </c>
    </row>
    <row r="127" spans="3:12" x14ac:dyDescent="0.2">
      <c r="C127" s="31" t="s">
        <v>189</v>
      </c>
      <c r="D127" s="8">
        <v>310226</v>
      </c>
      <c r="E127">
        <v>20</v>
      </c>
      <c r="F127" t="s">
        <v>266</v>
      </c>
      <c r="G127">
        <f>VLOOKUP(F127,Sheet2!$B$2:$C$90,2,FALSE)</f>
        <v>2005</v>
      </c>
      <c r="H127" s="33" t="s">
        <v>241</v>
      </c>
      <c r="I127" t="s">
        <v>250</v>
      </c>
      <c r="J127">
        <v>1</v>
      </c>
      <c r="K127">
        <f t="shared" si="9"/>
        <v>20</v>
      </c>
      <c r="L127">
        <f t="shared" si="10"/>
        <v>2025</v>
      </c>
    </row>
    <row r="128" spans="3:12" x14ac:dyDescent="0.2">
      <c r="C128" s="31" t="s">
        <v>190</v>
      </c>
      <c r="D128" s="8">
        <v>2332359</v>
      </c>
      <c r="E128">
        <v>20</v>
      </c>
      <c r="F128" t="s">
        <v>266</v>
      </c>
      <c r="G128">
        <f>VLOOKUP(F128,Sheet2!$B$2:$C$90,2,FALSE)</f>
        <v>2005</v>
      </c>
      <c r="H128" s="33" t="s">
        <v>241</v>
      </c>
      <c r="I128" t="s">
        <v>250</v>
      </c>
      <c r="J128">
        <v>1</v>
      </c>
      <c r="K128">
        <f t="shared" si="9"/>
        <v>20</v>
      </c>
      <c r="L128">
        <f t="shared" si="10"/>
        <v>2025</v>
      </c>
    </row>
    <row r="129" spans="3:12" x14ac:dyDescent="0.2">
      <c r="C129" s="31" t="s">
        <v>191</v>
      </c>
      <c r="D129" s="8">
        <v>47326500</v>
      </c>
      <c r="E129">
        <v>20</v>
      </c>
      <c r="F129" t="s">
        <v>266</v>
      </c>
      <c r="G129">
        <f>VLOOKUP(F129,Sheet2!$B$2:$C$90,2,FALSE)</f>
        <v>2005</v>
      </c>
      <c r="H129" s="33" t="s">
        <v>241</v>
      </c>
      <c r="I129" t="s">
        <v>250</v>
      </c>
      <c r="J129">
        <v>1</v>
      </c>
      <c r="K129">
        <f t="shared" si="9"/>
        <v>20</v>
      </c>
      <c r="L129">
        <f t="shared" si="10"/>
        <v>2025</v>
      </c>
    </row>
    <row r="130" spans="3:12" x14ac:dyDescent="0.2">
      <c r="C130" s="31" t="s">
        <v>173</v>
      </c>
      <c r="D130" s="8">
        <v>12635496</v>
      </c>
      <c r="E130">
        <v>20</v>
      </c>
      <c r="F130" t="s">
        <v>266</v>
      </c>
      <c r="G130">
        <f>VLOOKUP(F130,Sheet2!$B$2:$C$90,2,FALSE)</f>
        <v>2005</v>
      </c>
      <c r="H130" s="33" t="s">
        <v>241</v>
      </c>
      <c r="I130" t="s">
        <v>250</v>
      </c>
      <c r="J130">
        <v>1</v>
      </c>
      <c r="K130">
        <f t="shared" si="9"/>
        <v>20</v>
      </c>
      <c r="L130">
        <f t="shared" si="10"/>
        <v>2025</v>
      </c>
    </row>
    <row r="131" spans="3:12" x14ac:dyDescent="0.2">
      <c r="C131" s="31" t="s">
        <v>174</v>
      </c>
      <c r="D131" s="8">
        <v>25361570</v>
      </c>
      <c r="E131">
        <v>20</v>
      </c>
      <c r="F131" t="s">
        <v>266</v>
      </c>
      <c r="G131">
        <f>VLOOKUP(F131,Sheet2!$B$2:$C$90,2,FALSE)</f>
        <v>2005</v>
      </c>
      <c r="H131" s="33" t="s">
        <v>241</v>
      </c>
      <c r="I131" t="s">
        <v>250</v>
      </c>
      <c r="J131">
        <v>1</v>
      </c>
      <c r="K131">
        <f t="shared" ref="K131:K194" si="11">ROUND(E131*J131,0)</f>
        <v>20</v>
      </c>
      <c r="L131">
        <f t="shared" ref="L131:L194" si="12">G131+K131</f>
        <v>2025</v>
      </c>
    </row>
    <row r="132" spans="3:12" x14ac:dyDescent="0.2">
      <c r="C132" s="31" t="s">
        <v>192</v>
      </c>
      <c r="D132" s="8">
        <v>1252227</v>
      </c>
      <c r="E132">
        <v>20</v>
      </c>
      <c r="F132" t="s">
        <v>266</v>
      </c>
      <c r="G132">
        <f>VLOOKUP(F132,Sheet2!$B$2:$C$90,2,FALSE)</f>
        <v>2005</v>
      </c>
      <c r="H132" s="33" t="s">
        <v>241</v>
      </c>
      <c r="I132" t="s">
        <v>250</v>
      </c>
      <c r="J132">
        <v>1</v>
      </c>
      <c r="K132">
        <f t="shared" si="11"/>
        <v>20</v>
      </c>
      <c r="L132">
        <f t="shared" si="12"/>
        <v>2025</v>
      </c>
    </row>
    <row r="133" spans="3:12" x14ac:dyDescent="0.2">
      <c r="C133" s="31" t="s">
        <v>193</v>
      </c>
      <c r="D133" s="8">
        <v>2400292</v>
      </c>
      <c r="E133">
        <v>10</v>
      </c>
      <c r="F133" t="s">
        <v>266</v>
      </c>
      <c r="G133">
        <f>VLOOKUP(F133,Sheet2!$B$2:$C$90,2,FALSE)</f>
        <v>2005</v>
      </c>
      <c r="H133" s="33" t="s">
        <v>242</v>
      </c>
      <c r="I133" t="s">
        <v>250</v>
      </c>
      <c r="J133">
        <v>1</v>
      </c>
      <c r="K133">
        <f t="shared" si="11"/>
        <v>10</v>
      </c>
      <c r="L133">
        <f t="shared" si="12"/>
        <v>2015</v>
      </c>
    </row>
    <row r="134" spans="3:12" x14ac:dyDescent="0.2">
      <c r="C134" s="31" t="s">
        <v>194</v>
      </c>
      <c r="D134" s="8">
        <v>2377647</v>
      </c>
      <c r="E134">
        <v>20</v>
      </c>
      <c r="F134" t="s">
        <v>266</v>
      </c>
      <c r="G134">
        <f>VLOOKUP(F134,Sheet2!$B$2:$C$90,2,FALSE)</f>
        <v>2005</v>
      </c>
      <c r="H134" s="33" t="s">
        <v>241</v>
      </c>
      <c r="I134" t="s">
        <v>250</v>
      </c>
      <c r="J134">
        <v>1</v>
      </c>
      <c r="K134">
        <f t="shared" si="11"/>
        <v>20</v>
      </c>
      <c r="L134">
        <f t="shared" si="12"/>
        <v>2025</v>
      </c>
    </row>
    <row r="135" spans="3:12" x14ac:dyDescent="0.2">
      <c r="C135" s="31" t="s">
        <v>195</v>
      </c>
      <c r="D135" s="8">
        <v>37589469</v>
      </c>
      <c r="E135">
        <v>20</v>
      </c>
      <c r="F135" t="s">
        <v>266</v>
      </c>
      <c r="G135">
        <f>VLOOKUP(F135,Sheet2!$B$2:$C$90,2,FALSE)</f>
        <v>2005</v>
      </c>
      <c r="H135" s="33" t="s">
        <v>241</v>
      </c>
      <c r="I135" t="s">
        <v>250</v>
      </c>
      <c r="J135">
        <v>1</v>
      </c>
      <c r="K135">
        <f t="shared" si="11"/>
        <v>20</v>
      </c>
      <c r="L135">
        <f t="shared" si="12"/>
        <v>2025</v>
      </c>
    </row>
    <row r="136" spans="3:12" x14ac:dyDescent="0.2">
      <c r="C136" s="31" t="s">
        <v>196</v>
      </c>
      <c r="D136" s="8">
        <v>13292180</v>
      </c>
      <c r="E136">
        <v>20</v>
      </c>
      <c r="F136" t="s">
        <v>266</v>
      </c>
      <c r="G136">
        <f>VLOOKUP(F136,Sheet2!$B$2:$C$90,2,FALSE)</f>
        <v>2005</v>
      </c>
      <c r="H136" s="33" t="s">
        <v>241</v>
      </c>
      <c r="I136" t="s">
        <v>250</v>
      </c>
      <c r="J136">
        <v>1</v>
      </c>
      <c r="K136">
        <f t="shared" si="11"/>
        <v>20</v>
      </c>
      <c r="L136">
        <f t="shared" si="12"/>
        <v>2025</v>
      </c>
    </row>
    <row r="137" spans="3:12" x14ac:dyDescent="0.2">
      <c r="C137" s="31" t="s">
        <v>197</v>
      </c>
      <c r="D137" s="8">
        <v>3102263</v>
      </c>
      <c r="E137">
        <v>20</v>
      </c>
      <c r="F137" t="s">
        <v>266</v>
      </c>
      <c r="G137">
        <f>VLOOKUP(F137,Sheet2!$B$2:$C$90,2,FALSE)</f>
        <v>2005</v>
      </c>
      <c r="H137" s="33" t="s">
        <v>241</v>
      </c>
      <c r="I137" t="s">
        <v>250</v>
      </c>
      <c r="J137">
        <v>1</v>
      </c>
      <c r="K137">
        <f t="shared" si="11"/>
        <v>20</v>
      </c>
      <c r="L137">
        <f t="shared" si="12"/>
        <v>2025</v>
      </c>
    </row>
    <row r="138" spans="3:12" x14ac:dyDescent="0.2">
      <c r="C138" s="31" t="s">
        <v>198</v>
      </c>
      <c r="D138" s="8">
        <v>1770781</v>
      </c>
      <c r="E138">
        <v>20</v>
      </c>
      <c r="F138" t="s">
        <v>266</v>
      </c>
      <c r="G138">
        <f>VLOOKUP(F138,Sheet2!$B$2:$C$90,2,FALSE)</f>
        <v>2005</v>
      </c>
      <c r="H138" s="33" t="s">
        <v>241</v>
      </c>
      <c r="I138" t="s">
        <v>250</v>
      </c>
      <c r="J138">
        <v>1</v>
      </c>
      <c r="K138">
        <f t="shared" si="11"/>
        <v>20</v>
      </c>
      <c r="L138">
        <f t="shared" si="12"/>
        <v>2025</v>
      </c>
    </row>
    <row r="139" spans="3:12" x14ac:dyDescent="0.2">
      <c r="C139" s="31" t="s">
        <v>199</v>
      </c>
      <c r="D139" s="8">
        <v>1967786</v>
      </c>
      <c r="E139">
        <v>10</v>
      </c>
      <c r="F139" t="s">
        <v>266</v>
      </c>
      <c r="G139">
        <f>VLOOKUP(F139,Sheet2!$B$2:$C$90,2,FALSE)</f>
        <v>2005</v>
      </c>
      <c r="H139" s="33" t="s">
        <v>242</v>
      </c>
      <c r="I139" t="s">
        <v>250</v>
      </c>
      <c r="J139">
        <v>1</v>
      </c>
      <c r="K139">
        <f t="shared" si="11"/>
        <v>10</v>
      </c>
      <c r="L139">
        <f t="shared" si="12"/>
        <v>2015</v>
      </c>
    </row>
    <row r="140" spans="3:12" x14ac:dyDescent="0.2">
      <c r="C140" s="31" t="s">
        <v>195</v>
      </c>
      <c r="D140" s="8">
        <v>12409054</v>
      </c>
      <c r="E140">
        <v>20</v>
      </c>
      <c r="F140" t="s">
        <v>266</v>
      </c>
      <c r="G140">
        <f>VLOOKUP(F140,Sheet2!$B$2:$C$90,2,FALSE)</f>
        <v>2005</v>
      </c>
      <c r="H140" s="33" t="s">
        <v>241</v>
      </c>
      <c r="I140" t="s">
        <v>250</v>
      </c>
      <c r="J140">
        <v>1</v>
      </c>
      <c r="K140">
        <f t="shared" si="11"/>
        <v>20</v>
      </c>
      <c r="L140">
        <f t="shared" si="12"/>
        <v>2025</v>
      </c>
    </row>
    <row r="141" spans="3:12" x14ac:dyDescent="0.2">
      <c r="C141" s="31" t="s">
        <v>196</v>
      </c>
      <c r="D141" s="8">
        <v>188402346</v>
      </c>
      <c r="E141">
        <v>20</v>
      </c>
      <c r="F141" t="s">
        <v>266</v>
      </c>
      <c r="G141">
        <f>VLOOKUP(F141,Sheet2!$B$2:$C$90,2,FALSE)</f>
        <v>2005</v>
      </c>
      <c r="H141" s="33" t="s">
        <v>241</v>
      </c>
      <c r="I141" t="s">
        <v>250</v>
      </c>
      <c r="J141">
        <v>1</v>
      </c>
      <c r="K141">
        <f t="shared" si="11"/>
        <v>20</v>
      </c>
      <c r="L141">
        <f t="shared" si="12"/>
        <v>2025</v>
      </c>
    </row>
    <row r="142" spans="3:12" x14ac:dyDescent="0.2">
      <c r="C142" s="31" t="s">
        <v>200</v>
      </c>
      <c r="D142" s="8">
        <v>616035465</v>
      </c>
      <c r="E142">
        <v>50</v>
      </c>
      <c r="F142" t="s">
        <v>266</v>
      </c>
      <c r="G142">
        <f>VLOOKUP(F142,Sheet2!$B$2:$C$90,2,FALSE)</f>
        <v>2005</v>
      </c>
      <c r="H142" s="33" t="s">
        <v>243</v>
      </c>
      <c r="I142" t="s">
        <v>249</v>
      </c>
      <c r="J142">
        <v>1.5</v>
      </c>
      <c r="K142">
        <f t="shared" si="11"/>
        <v>75</v>
      </c>
      <c r="L142">
        <f t="shared" si="12"/>
        <v>2080</v>
      </c>
    </row>
    <row r="143" spans="3:12" x14ac:dyDescent="0.2">
      <c r="C143" s="31" t="s">
        <v>200</v>
      </c>
      <c r="D143" s="8">
        <v>491607058</v>
      </c>
      <c r="E143">
        <v>50</v>
      </c>
      <c r="F143" t="s">
        <v>267</v>
      </c>
      <c r="G143">
        <f>VLOOKUP(F143,Sheet2!$B$2:$C$90,2,FALSE)</f>
        <v>2006</v>
      </c>
      <c r="H143" s="33" t="s">
        <v>243</v>
      </c>
      <c r="I143" t="s">
        <v>249</v>
      </c>
      <c r="J143">
        <v>1.5</v>
      </c>
      <c r="K143">
        <f t="shared" si="11"/>
        <v>75</v>
      </c>
      <c r="L143">
        <f t="shared" si="12"/>
        <v>2081</v>
      </c>
    </row>
    <row r="144" spans="3:12" x14ac:dyDescent="0.2">
      <c r="C144" s="31" t="s">
        <v>200</v>
      </c>
      <c r="D144" s="8">
        <v>82344882</v>
      </c>
      <c r="E144">
        <v>50</v>
      </c>
      <c r="F144" t="s">
        <v>268</v>
      </c>
      <c r="G144">
        <f>VLOOKUP(F144,Sheet2!$B$2:$C$90,2,FALSE)</f>
        <v>2007</v>
      </c>
      <c r="H144" s="33" t="s">
        <v>243</v>
      </c>
      <c r="I144" t="s">
        <v>249</v>
      </c>
      <c r="J144">
        <v>1.5</v>
      </c>
      <c r="K144">
        <f t="shared" si="11"/>
        <v>75</v>
      </c>
      <c r="L144">
        <f t="shared" si="12"/>
        <v>2082</v>
      </c>
    </row>
    <row r="145" spans="3:12" x14ac:dyDescent="0.2">
      <c r="C145" s="31" t="s">
        <v>200</v>
      </c>
      <c r="D145" s="8">
        <v>366930746</v>
      </c>
      <c r="E145">
        <v>50</v>
      </c>
      <c r="F145" t="s">
        <v>268</v>
      </c>
      <c r="G145">
        <f>VLOOKUP(F145,Sheet2!$B$2:$C$90,2,FALSE)</f>
        <v>2007</v>
      </c>
      <c r="H145" s="33" t="s">
        <v>243</v>
      </c>
      <c r="I145" t="s">
        <v>249</v>
      </c>
      <c r="J145">
        <v>1.5</v>
      </c>
      <c r="K145">
        <f t="shared" si="11"/>
        <v>75</v>
      </c>
      <c r="L145">
        <f t="shared" si="12"/>
        <v>2082</v>
      </c>
    </row>
    <row r="146" spans="3:12" x14ac:dyDescent="0.2">
      <c r="C146" s="31" t="s">
        <v>200</v>
      </c>
      <c r="D146" s="8">
        <v>26423529</v>
      </c>
      <c r="E146">
        <v>50</v>
      </c>
      <c r="F146" t="s">
        <v>269</v>
      </c>
      <c r="G146">
        <f>VLOOKUP(F146,Sheet2!$B$2:$C$90,2,FALSE)</f>
        <v>2008</v>
      </c>
      <c r="H146" s="33" t="s">
        <v>243</v>
      </c>
      <c r="I146" t="s">
        <v>249</v>
      </c>
      <c r="J146">
        <v>1.5</v>
      </c>
      <c r="K146">
        <f t="shared" si="11"/>
        <v>75</v>
      </c>
      <c r="L146">
        <f t="shared" si="12"/>
        <v>2083</v>
      </c>
    </row>
    <row r="147" spans="3:12" x14ac:dyDescent="0.2">
      <c r="C147" s="31" t="s">
        <v>200</v>
      </c>
      <c r="D147" s="8">
        <v>85182478</v>
      </c>
      <c r="E147">
        <v>50</v>
      </c>
      <c r="F147" t="s">
        <v>269</v>
      </c>
      <c r="G147">
        <f>VLOOKUP(F147,Sheet2!$B$2:$C$90,2,FALSE)</f>
        <v>2008</v>
      </c>
      <c r="H147" s="33" t="s">
        <v>243</v>
      </c>
      <c r="I147" t="s">
        <v>249</v>
      </c>
      <c r="J147">
        <v>1.5</v>
      </c>
      <c r="K147">
        <f t="shared" si="11"/>
        <v>75</v>
      </c>
      <c r="L147">
        <f t="shared" si="12"/>
        <v>2083</v>
      </c>
    </row>
    <row r="148" spans="3:12" x14ac:dyDescent="0.2">
      <c r="C148" s="31" t="s">
        <v>200</v>
      </c>
      <c r="D148" s="8">
        <v>24318443</v>
      </c>
      <c r="E148">
        <v>50</v>
      </c>
      <c r="F148" t="s">
        <v>269</v>
      </c>
      <c r="G148">
        <f>VLOOKUP(F148,Sheet2!$B$2:$C$90,2,FALSE)</f>
        <v>2008</v>
      </c>
      <c r="H148" s="33" t="s">
        <v>243</v>
      </c>
      <c r="I148" t="s">
        <v>249</v>
      </c>
      <c r="J148">
        <v>1.5</v>
      </c>
      <c r="K148">
        <f t="shared" si="11"/>
        <v>75</v>
      </c>
      <c r="L148">
        <f t="shared" si="12"/>
        <v>2083</v>
      </c>
    </row>
    <row r="149" spans="3:12" x14ac:dyDescent="0.2">
      <c r="C149" s="31" t="s">
        <v>200</v>
      </c>
      <c r="D149" s="8">
        <v>32175752</v>
      </c>
      <c r="E149">
        <v>50</v>
      </c>
      <c r="F149" t="s">
        <v>269</v>
      </c>
      <c r="G149">
        <f>VLOOKUP(F149,Sheet2!$B$2:$C$90,2,FALSE)</f>
        <v>2008</v>
      </c>
      <c r="H149" s="33" t="s">
        <v>243</v>
      </c>
      <c r="I149" t="s">
        <v>249</v>
      </c>
      <c r="J149">
        <v>1.5</v>
      </c>
      <c r="K149">
        <f t="shared" si="11"/>
        <v>75</v>
      </c>
      <c r="L149">
        <f t="shared" si="12"/>
        <v>2083</v>
      </c>
    </row>
    <row r="150" spans="3:12" x14ac:dyDescent="0.2">
      <c r="C150" s="31" t="s">
        <v>200</v>
      </c>
      <c r="D150" s="8">
        <v>1358680</v>
      </c>
      <c r="E150">
        <v>50</v>
      </c>
      <c r="F150" t="s">
        <v>269</v>
      </c>
      <c r="G150">
        <f>VLOOKUP(F150,Sheet2!$B$2:$C$90,2,FALSE)</f>
        <v>2008</v>
      </c>
      <c r="H150" s="33" t="s">
        <v>243</v>
      </c>
      <c r="I150" t="s">
        <v>249</v>
      </c>
      <c r="J150">
        <v>1.5</v>
      </c>
      <c r="K150">
        <f t="shared" si="11"/>
        <v>75</v>
      </c>
      <c r="L150">
        <f t="shared" si="12"/>
        <v>2083</v>
      </c>
    </row>
    <row r="151" spans="3:12" x14ac:dyDescent="0.2">
      <c r="C151" s="31" t="s">
        <v>201</v>
      </c>
      <c r="D151" s="8">
        <v>8871280</v>
      </c>
      <c r="E151">
        <v>20</v>
      </c>
      <c r="F151" t="s">
        <v>269</v>
      </c>
      <c r="G151">
        <f>VLOOKUP(F151,Sheet2!$B$2:$C$90,2,FALSE)</f>
        <v>2008</v>
      </c>
      <c r="H151" s="33" t="s">
        <v>237</v>
      </c>
      <c r="I151" t="s">
        <v>248</v>
      </c>
      <c r="J151">
        <v>1</v>
      </c>
      <c r="K151">
        <f t="shared" si="11"/>
        <v>20</v>
      </c>
      <c r="L151">
        <f t="shared" si="12"/>
        <v>2028</v>
      </c>
    </row>
    <row r="152" spans="3:12" x14ac:dyDescent="0.2">
      <c r="C152" s="31" t="s">
        <v>202</v>
      </c>
      <c r="D152" s="8">
        <v>11685965</v>
      </c>
      <c r="E152">
        <v>20</v>
      </c>
      <c r="F152" t="s">
        <v>269</v>
      </c>
      <c r="G152">
        <f>VLOOKUP(F152,Sheet2!$B$2:$C$90,2,FALSE)</f>
        <v>2008</v>
      </c>
      <c r="H152" s="33" t="s">
        <v>237</v>
      </c>
      <c r="I152" t="s">
        <v>248</v>
      </c>
      <c r="J152">
        <v>1</v>
      </c>
      <c r="K152">
        <f t="shared" si="11"/>
        <v>20</v>
      </c>
      <c r="L152">
        <f t="shared" si="12"/>
        <v>2028</v>
      </c>
    </row>
    <row r="153" spans="3:12" x14ac:dyDescent="0.2">
      <c r="C153" s="31" t="s">
        <v>203</v>
      </c>
      <c r="D153" s="8">
        <v>17960364</v>
      </c>
      <c r="E153">
        <v>20</v>
      </c>
      <c r="F153" t="s">
        <v>269</v>
      </c>
      <c r="G153">
        <f>VLOOKUP(F153,Sheet2!$B$2:$C$90,2,FALSE)</f>
        <v>2008</v>
      </c>
      <c r="H153" s="33" t="s">
        <v>237</v>
      </c>
      <c r="I153" t="s">
        <v>248</v>
      </c>
      <c r="J153">
        <v>1</v>
      </c>
      <c r="K153">
        <f t="shared" si="11"/>
        <v>20</v>
      </c>
      <c r="L153">
        <f t="shared" si="12"/>
        <v>2028</v>
      </c>
    </row>
    <row r="154" spans="3:12" x14ac:dyDescent="0.2">
      <c r="C154" s="31" t="s">
        <v>204</v>
      </c>
      <c r="D154" s="8">
        <v>12791733</v>
      </c>
      <c r="E154">
        <v>20</v>
      </c>
      <c r="F154" t="s">
        <v>269</v>
      </c>
      <c r="G154">
        <f>VLOOKUP(F154,Sheet2!$B$2:$C$90,2,FALSE)</f>
        <v>2008</v>
      </c>
      <c r="H154" s="33" t="s">
        <v>237</v>
      </c>
      <c r="I154" t="s">
        <v>248</v>
      </c>
      <c r="J154">
        <v>1</v>
      </c>
      <c r="K154">
        <f t="shared" si="11"/>
        <v>20</v>
      </c>
      <c r="L154">
        <f t="shared" si="12"/>
        <v>2028</v>
      </c>
    </row>
    <row r="155" spans="3:12" x14ac:dyDescent="0.2">
      <c r="C155" s="31" t="s">
        <v>205</v>
      </c>
      <c r="D155" s="8">
        <v>8377035</v>
      </c>
      <c r="E155">
        <v>20</v>
      </c>
      <c r="F155" t="s">
        <v>269</v>
      </c>
      <c r="G155">
        <f>VLOOKUP(F155,Sheet2!$B$2:$C$90,2,FALSE)</f>
        <v>2008</v>
      </c>
      <c r="H155" s="33" t="s">
        <v>237</v>
      </c>
      <c r="I155" t="s">
        <v>248</v>
      </c>
      <c r="J155">
        <v>1</v>
      </c>
      <c r="K155">
        <f t="shared" si="11"/>
        <v>20</v>
      </c>
      <c r="L155">
        <f t="shared" si="12"/>
        <v>2028</v>
      </c>
    </row>
    <row r="156" spans="3:12" x14ac:dyDescent="0.2">
      <c r="C156" s="31" t="s">
        <v>206</v>
      </c>
      <c r="D156" s="8">
        <v>13998026</v>
      </c>
      <c r="E156">
        <v>20</v>
      </c>
      <c r="F156" t="s">
        <v>269</v>
      </c>
      <c r="G156">
        <f>VLOOKUP(F156,Sheet2!$B$2:$C$90,2,FALSE)</f>
        <v>2008</v>
      </c>
      <c r="H156" s="33" t="s">
        <v>237</v>
      </c>
      <c r="I156" t="s">
        <v>248</v>
      </c>
      <c r="J156">
        <v>1</v>
      </c>
      <c r="K156">
        <f t="shared" si="11"/>
        <v>20</v>
      </c>
      <c r="L156">
        <f t="shared" si="12"/>
        <v>2028</v>
      </c>
    </row>
    <row r="157" spans="3:12" x14ac:dyDescent="0.2">
      <c r="C157" s="31" t="s">
        <v>207</v>
      </c>
      <c r="D157" s="8">
        <v>28029560</v>
      </c>
      <c r="E157">
        <v>20</v>
      </c>
      <c r="F157" t="s">
        <v>269</v>
      </c>
      <c r="G157">
        <f>VLOOKUP(F157,Sheet2!$B$2:$C$90,2,FALSE)</f>
        <v>2008</v>
      </c>
      <c r="H157" s="33" t="s">
        <v>237</v>
      </c>
      <c r="I157" t="s">
        <v>248</v>
      </c>
      <c r="J157">
        <v>1</v>
      </c>
      <c r="K157">
        <f t="shared" si="11"/>
        <v>20</v>
      </c>
      <c r="L157">
        <f t="shared" si="12"/>
        <v>2028</v>
      </c>
    </row>
    <row r="158" spans="3:12" x14ac:dyDescent="0.2">
      <c r="C158" s="31" t="s">
        <v>208</v>
      </c>
      <c r="D158" s="8">
        <v>15505892</v>
      </c>
      <c r="E158">
        <v>20</v>
      </c>
      <c r="F158" t="s">
        <v>269</v>
      </c>
      <c r="G158">
        <f>VLOOKUP(F158,Sheet2!$B$2:$C$90,2,FALSE)</f>
        <v>2008</v>
      </c>
      <c r="H158" s="33" t="s">
        <v>237</v>
      </c>
      <c r="I158" t="s">
        <v>248</v>
      </c>
      <c r="J158">
        <v>1</v>
      </c>
      <c r="K158">
        <f t="shared" si="11"/>
        <v>20</v>
      </c>
      <c r="L158">
        <f t="shared" si="12"/>
        <v>2028</v>
      </c>
    </row>
    <row r="159" spans="3:12" x14ac:dyDescent="0.2">
      <c r="C159" s="31" t="s">
        <v>209</v>
      </c>
      <c r="D159" s="8">
        <v>7321529</v>
      </c>
      <c r="E159">
        <v>20</v>
      </c>
      <c r="F159" t="s">
        <v>269</v>
      </c>
      <c r="G159">
        <f>VLOOKUP(F159,Sheet2!$B$2:$C$90,2,FALSE)</f>
        <v>2008</v>
      </c>
      <c r="H159" s="33" t="s">
        <v>237</v>
      </c>
      <c r="I159" t="s">
        <v>248</v>
      </c>
      <c r="J159">
        <v>1</v>
      </c>
      <c r="K159">
        <f t="shared" si="11"/>
        <v>20</v>
      </c>
      <c r="L159">
        <f t="shared" si="12"/>
        <v>2028</v>
      </c>
    </row>
    <row r="160" spans="3:12" x14ac:dyDescent="0.2">
      <c r="C160" s="31" t="s">
        <v>210</v>
      </c>
      <c r="D160" s="8">
        <v>12791733</v>
      </c>
      <c r="E160">
        <v>20</v>
      </c>
      <c r="F160" t="s">
        <v>269</v>
      </c>
      <c r="G160">
        <f>VLOOKUP(F160,Sheet2!$B$2:$C$90,2,FALSE)</f>
        <v>2008</v>
      </c>
      <c r="H160" s="33" t="s">
        <v>237</v>
      </c>
      <c r="I160" t="s">
        <v>248</v>
      </c>
      <c r="J160">
        <v>1</v>
      </c>
      <c r="K160">
        <f t="shared" si="11"/>
        <v>20</v>
      </c>
      <c r="L160">
        <f t="shared" si="12"/>
        <v>2028</v>
      </c>
    </row>
    <row r="161" spans="3:12" x14ac:dyDescent="0.2">
      <c r="C161" s="31" t="s">
        <v>211</v>
      </c>
      <c r="D161" s="8">
        <v>8469182</v>
      </c>
      <c r="E161">
        <v>20</v>
      </c>
      <c r="F161" t="s">
        <v>269</v>
      </c>
      <c r="G161">
        <f>VLOOKUP(F161,Sheet2!$B$2:$C$90,2,FALSE)</f>
        <v>2008</v>
      </c>
      <c r="H161" s="33" t="s">
        <v>237</v>
      </c>
      <c r="I161" t="s">
        <v>248</v>
      </c>
      <c r="J161">
        <v>1</v>
      </c>
      <c r="K161">
        <f t="shared" si="11"/>
        <v>20</v>
      </c>
      <c r="L161">
        <f t="shared" si="12"/>
        <v>2028</v>
      </c>
    </row>
    <row r="162" spans="3:12" x14ac:dyDescent="0.2">
      <c r="C162" s="31" t="s">
        <v>212</v>
      </c>
      <c r="D162" s="8">
        <v>11133080</v>
      </c>
      <c r="E162">
        <v>20</v>
      </c>
      <c r="F162" t="s">
        <v>269</v>
      </c>
      <c r="G162">
        <f>VLOOKUP(F162,Sheet2!$B$2:$C$90,2,FALSE)</f>
        <v>2008</v>
      </c>
      <c r="H162" s="33" t="s">
        <v>237</v>
      </c>
      <c r="I162" t="s">
        <v>248</v>
      </c>
      <c r="J162">
        <v>1</v>
      </c>
      <c r="K162">
        <f t="shared" si="11"/>
        <v>20</v>
      </c>
      <c r="L162">
        <f t="shared" si="12"/>
        <v>2028</v>
      </c>
    </row>
    <row r="163" spans="3:12" x14ac:dyDescent="0.2">
      <c r="C163" s="31" t="s">
        <v>213</v>
      </c>
      <c r="D163" s="8">
        <v>8469182</v>
      </c>
      <c r="E163">
        <v>20</v>
      </c>
      <c r="F163" t="s">
        <v>269</v>
      </c>
      <c r="G163">
        <f>VLOOKUP(F163,Sheet2!$B$2:$C$90,2,FALSE)</f>
        <v>2008</v>
      </c>
      <c r="H163" s="33" t="s">
        <v>237</v>
      </c>
      <c r="I163" t="s">
        <v>248</v>
      </c>
      <c r="J163">
        <v>1</v>
      </c>
      <c r="K163">
        <f t="shared" si="11"/>
        <v>20</v>
      </c>
      <c r="L163">
        <f t="shared" si="12"/>
        <v>2028</v>
      </c>
    </row>
    <row r="164" spans="3:12" x14ac:dyDescent="0.2">
      <c r="C164" s="31" t="s">
        <v>214</v>
      </c>
      <c r="D164" s="8">
        <v>11133080</v>
      </c>
      <c r="E164">
        <v>20</v>
      </c>
      <c r="F164" t="s">
        <v>269</v>
      </c>
      <c r="G164">
        <f>VLOOKUP(F164,Sheet2!$B$2:$C$90,2,FALSE)</f>
        <v>2008</v>
      </c>
      <c r="H164" s="33" t="s">
        <v>237</v>
      </c>
      <c r="I164" t="s">
        <v>248</v>
      </c>
      <c r="J164">
        <v>1</v>
      </c>
      <c r="K164">
        <f t="shared" si="11"/>
        <v>20</v>
      </c>
      <c r="L164">
        <f t="shared" si="12"/>
        <v>2028</v>
      </c>
    </row>
    <row r="165" spans="3:12" x14ac:dyDescent="0.2">
      <c r="C165" s="31" t="s">
        <v>215</v>
      </c>
      <c r="D165" s="8">
        <v>8469182</v>
      </c>
      <c r="E165">
        <v>20</v>
      </c>
      <c r="F165" t="s">
        <v>269</v>
      </c>
      <c r="G165">
        <f>VLOOKUP(F165,Sheet2!$B$2:$C$90,2,FALSE)</f>
        <v>2008</v>
      </c>
      <c r="H165" s="33" t="s">
        <v>237</v>
      </c>
      <c r="I165" t="s">
        <v>248</v>
      </c>
      <c r="J165">
        <v>1</v>
      </c>
      <c r="K165">
        <f t="shared" si="11"/>
        <v>20</v>
      </c>
      <c r="L165">
        <f t="shared" si="12"/>
        <v>2028</v>
      </c>
    </row>
    <row r="166" spans="3:12" x14ac:dyDescent="0.2">
      <c r="C166" s="31" t="s">
        <v>216</v>
      </c>
      <c r="D166" s="8">
        <v>11133081</v>
      </c>
      <c r="E166">
        <v>20</v>
      </c>
      <c r="F166" t="s">
        <v>269</v>
      </c>
      <c r="G166">
        <f>VLOOKUP(F166,Sheet2!$B$2:$C$90,2,FALSE)</f>
        <v>2008</v>
      </c>
      <c r="H166" s="33" t="s">
        <v>237</v>
      </c>
      <c r="I166" t="s">
        <v>248</v>
      </c>
      <c r="J166">
        <v>1</v>
      </c>
      <c r="K166">
        <f t="shared" si="11"/>
        <v>20</v>
      </c>
      <c r="L166">
        <f t="shared" si="12"/>
        <v>2028</v>
      </c>
    </row>
    <row r="167" spans="3:12" x14ac:dyDescent="0.2">
      <c r="C167" s="31" t="s">
        <v>200</v>
      </c>
      <c r="D167" s="8">
        <v>31216348</v>
      </c>
      <c r="E167">
        <v>50</v>
      </c>
      <c r="F167" t="s">
        <v>269</v>
      </c>
      <c r="G167">
        <f>VLOOKUP(F167,Sheet2!$B$2:$C$90,2,FALSE)</f>
        <v>2008</v>
      </c>
      <c r="H167" s="33" t="s">
        <v>243</v>
      </c>
      <c r="I167" t="s">
        <v>249</v>
      </c>
      <c r="J167">
        <v>1.5</v>
      </c>
      <c r="K167">
        <f t="shared" si="11"/>
        <v>75</v>
      </c>
      <c r="L167">
        <f t="shared" si="12"/>
        <v>2083</v>
      </c>
    </row>
    <row r="168" spans="3:12" x14ac:dyDescent="0.2">
      <c r="C168" s="31" t="s">
        <v>200</v>
      </c>
      <c r="D168" s="8">
        <v>26443137</v>
      </c>
      <c r="E168">
        <v>50</v>
      </c>
      <c r="F168" t="s">
        <v>270</v>
      </c>
      <c r="G168">
        <f>VLOOKUP(F168,Sheet2!$B$2:$C$90,2,FALSE)</f>
        <v>2009</v>
      </c>
      <c r="H168" s="33" t="s">
        <v>243</v>
      </c>
      <c r="I168" t="s">
        <v>249</v>
      </c>
      <c r="J168">
        <v>1.5</v>
      </c>
      <c r="K168">
        <f t="shared" si="11"/>
        <v>75</v>
      </c>
      <c r="L168">
        <f t="shared" si="12"/>
        <v>2084</v>
      </c>
    </row>
    <row r="169" spans="3:12" x14ac:dyDescent="0.2">
      <c r="C169" s="31" t="s">
        <v>200</v>
      </c>
      <c r="D169" s="8">
        <v>21008849</v>
      </c>
      <c r="E169">
        <v>50</v>
      </c>
      <c r="F169" t="s">
        <v>270</v>
      </c>
      <c r="G169">
        <f>VLOOKUP(F169,Sheet2!$B$2:$C$90,2,FALSE)</f>
        <v>2009</v>
      </c>
      <c r="H169" s="33" t="s">
        <v>243</v>
      </c>
      <c r="I169" t="s">
        <v>249</v>
      </c>
      <c r="J169">
        <v>1.5</v>
      </c>
      <c r="K169">
        <f t="shared" si="11"/>
        <v>75</v>
      </c>
      <c r="L169">
        <f t="shared" si="12"/>
        <v>2084</v>
      </c>
    </row>
    <row r="170" spans="3:12" x14ac:dyDescent="0.2">
      <c r="C170" s="31" t="s">
        <v>200</v>
      </c>
      <c r="D170" s="8">
        <v>21709144</v>
      </c>
      <c r="E170">
        <v>50</v>
      </c>
      <c r="F170" t="s">
        <v>270</v>
      </c>
      <c r="G170">
        <f>VLOOKUP(F170,Sheet2!$B$2:$C$90,2,FALSE)</f>
        <v>2009</v>
      </c>
      <c r="H170" s="33" t="s">
        <v>243</v>
      </c>
      <c r="I170" t="s">
        <v>249</v>
      </c>
      <c r="J170">
        <v>1.5</v>
      </c>
      <c r="K170">
        <f t="shared" si="11"/>
        <v>75</v>
      </c>
      <c r="L170">
        <f t="shared" si="12"/>
        <v>2084</v>
      </c>
    </row>
    <row r="171" spans="3:12" x14ac:dyDescent="0.2">
      <c r="C171" s="31" t="s">
        <v>200</v>
      </c>
      <c r="D171" s="8">
        <v>19725908</v>
      </c>
      <c r="E171">
        <v>50</v>
      </c>
      <c r="F171" t="s">
        <v>270</v>
      </c>
      <c r="G171">
        <f>VLOOKUP(F171,Sheet2!$B$2:$C$90,2,FALSE)</f>
        <v>2009</v>
      </c>
      <c r="H171" s="33" t="s">
        <v>243</v>
      </c>
      <c r="I171" t="s">
        <v>249</v>
      </c>
      <c r="J171">
        <v>1.5</v>
      </c>
      <c r="K171">
        <f t="shared" si="11"/>
        <v>75</v>
      </c>
      <c r="L171">
        <f t="shared" si="12"/>
        <v>2084</v>
      </c>
    </row>
    <row r="172" spans="3:12" x14ac:dyDescent="0.2">
      <c r="C172" s="31" t="s">
        <v>200</v>
      </c>
      <c r="D172" s="8">
        <v>51821827</v>
      </c>
      <c r="E172">
        <v>50</v>
      </c>
      <c r="F172" t="s">
        <v>270</v>
      </c>
      <c r="G172">
        <f>VLOOKUP(F172,Sheet2!$B$2:$C$90,2,FALSE)</f>
        <v>2009</v>
      </c>
      <c r="H172" s="33" t="s">
        <v>243</v>
      </c>
      <c r="I172" t="s">
        <v>249</v>
      </c>
      <c r="J172">
        <v>1.5</v>
      </c>
      <c r="K172">
        <f t="shared" si="11"/>
        <v>75</v>
      </c>
      <c r="L172">
        <f t="shared" si="12"/>
        <v>2084</v>
      </c>
    </row>
    <row r="173" spans="3:12" x14ac:dyDescent="0.2">
      <c r="C173" s="31" t="s">
        <v>200</v>
      </c>
      <c r="D173" s="8">
        <v>191460640</v>
      </c>
      <c r="E173">
        <v>50</v>
      </c>
      <c r="F173" t="s">
        <v>270</v>
      </c>
      <c r="G173">
        <f>VLOOKUP(F173,Sheet2!$B$2:$C$90,2,FALSE)</f>
        <v>2009</v>
      </c>
      <c r="H173" s="33" t="s">
        <v>243</v>
      </c>
      <c r="I173" t="s">
        <v>249</v>
      </c>
      <c r="J173">
        <v>1.5</v>
      </c>
      <c r="K173">
        <f t="shared" si="11"/>
        <v>75</v>
      </c>
      <c r="L173">
        <f t="shared" si="12"/>
        <v>2084</v>
      </c>
    </row>
    <row r="174" spans="3:12" x14ac:dyDescent="0.2">
      <c r="C174" s="31" t="s">
        <v>217</v>
      </c>
      <c r="D174" s="8">
        <v>9267059</v>
      </c>
      <c r="E174">
        <v>20</v>
      </c>
      <c r="F174" t="s">
        <v>270</v>
      </c>
      <c r="G174">
        <f>VLOOKUP(F174,Sheet2!$B$2:$C$90,2,FALSE)</f>
        <v>2009</v>
      </c>
      <c r="H174" s="33" t="s">
        <v>237</v>
      </c>
      <c r="I174" t="s">
        <v>248</v>
      </c>
      <c r="J174">
        <v>1</v>
      </c>
      <c r="K174">
        <f t="shared" si="11"/>
        <v>20</v>
      </c>
      <c r="L174">
        <f t="shared" si="12"/>
        <v>2029</v>
      </c>
    </row>
    <row r="175" spans="3:12" x14ac:dyDescent="0.2">
      <c r="C175" s="31" t="s">
        <v>218</v>
      </c>
      <c r="D175" s="8">
        <v>10201141</v>
      </c>
      <c r="E175">
        <v>20</v>
      </c>
      <c r="F175" t="s">
        <v>270</v>
      </c>
      <c r="G175">
        <f>VLOOKUP(F175,Sheet2!$B$2:$C$90,2,FALSE)</f>
        <v>2009</v>
      </c>
      <c r="H175" s="33" t="s">
        <v>237</v>
      </c>
      <c r="I175" t="s">
        <v>248</v>
      </c>
      <c r="J175">
        <v>1</v>
      </c>
      <c r="K175">
        <f t="shared" si="11"/>
        <v>20</v>
      </c>
      <c r="L175">
        <f t="shared" si="12"/>
        <v>2029</v>
      </c>
    </row>
    <row r="176" spans="3:12" x14ac:dyDescent="0.2">
      <c r="C176" s="31" t="s">
        <v>200</v>
      </c>
      <c r="D176" s="8">
        <v>20448613</v>
      </c>
      <c r="E176">
        <v>50</v>
      </c>
      <c r="F176" t="s">
        <v>270</v>
      </c>
      <c r="G176">
        <f>VLOOKUP(F176,Sheet2!$B$2:$C$90,2,FALSE)</f>
        <v>2009</v>
      </c>
      <c r="H176" s="33" t="s">
        <v>243</v>
      </c>
      <c r="I176" t="s">
        <v>249</v>
      </c>
      <c r="J176">
        <v>1.5</v>
      </c>
      <c r="K176">
        <f t="shared" si="11"/>
        <v>75</v>
      </c>
      <c r="L176">
        <f t="shared" si="12"/>
        <v>2084</v>
      </c>
    </row>
    <row r="177" spans="3:12" x14ac:dyDescent="0.2">
      <c r="C177" s="31" t="s">
        <v>200</v>
      </c>
      <c r="D177" s="8">
        <v>5854466</v>
      </c>
      <c r="E177">
        <v>50</v>
      </c>
      <c r="F177" t="s">
        <v>270</v>
      </c>
      <c r="G177">
        <f>VLOOKUP(F177,Sheet2!$B$2:$C$90,2,FALSE)</f>
        <v>2009</v>
      </c>
      <c r="H177" s="33" t="s">
        <v>243</v>
      </c>
      <c r="I177" t="s">
        <v>249</v>
      </c>
      <c r="J177">
        <v>1.5</v>
      </c>
      <c r="K177">
        <f t="shared" si="11"/>
        <v>75</v>
      </c>
      <c r="L177">
        <f t="shared" si="12"/>
        <v>2084</v>
      </c>
    </row>
    <row r="178" spans="3:12" x14ac:dyDescent="0.2">
      <c r="C178" s="31" t="s">
        <v>200</v>
      </c>
      <c r="D178" s="8">
        <v>19697896</v>
      </c>
      <c r="E178">
        <v>50</v>
      </c>
      <c r="F178" t="s">
        <v>271</v>
      </c>
      <c r="G178">
        <f>VLOOKUP(F178,Sheet2!$B$2:$C$90,2,FALSE)</f>
        <v>2010</v>
      </c>
      <c r="H178" s="33" t="s">
        <v>243</v>
      </c>
      <c r="I178" t="s">
        <v>249</v>
      </c>
      <c r="J178">
        <v>1.5</v>
      </c>
      <c r="K178">
        <f t="shared" si="11"/>
        <v>75</v>
      </c>
      <c r="L178">
        <f t="shared" si="12"/>
        <v>2085</v>
      </c>
    </row>
    <row r="179" spans="3:12" x14ac:dyDescent="0.2">
      <c r="C179" s="31" t="s">
        <v>200</v>
      </c>
      <c r="D179" s="8">
        <v>16386902</v>
      </c>
      <c r="E179">
        <v>50</v>
      </c>
      <c r="F179" t="s">
        <v>271</v>
      </c>
      <c r="G179">
        <f>VLOOKUP(F179,Sheet2!$B$2:$C$90,2,FALSE)</f>
        <v>2010</v>
      </c>
      <c r="H179" s="33" t="s">
        <v>243</v>
      </c>
      <c r="I179" t="s">
        <v>249</v>
      </c>
      <c r="J179">
        <v>1.5</v>
      </c>
      <c r="K179">
        <f t="shared" si="11"/>
        <v>75</v>
      </c>
      <c r="L179">
        <f t="shared" si="12"/>
        <v>2085</v>
      </c>
    </row>
    <row r="180" spans="3:12" x14ac:dyDescent="0.2">
      <c r="C180" s="31" t="s">
        <v>200</v>
      </c>
      <c r="D180" s="8">
        <v>21962650</v>
      </c>
      <c r="E180">
        <v>50</v>
      </c>
      <c r="F180" t="s">
        <v>271</v>
      </c>
      <c r="G180">
        <f>VLOOKUP(F180,Sheet2!$B$2:$C$90,2,FALSE)</f>
        <v>2010</v>
      </c>
      <c r="H180" s="33" t="s">
        <v>243</v>
      </c>
      <c r="I180" t="s">
        <v>249</v>
      </c>
      <c r="J180">
        <v>1.5</v>
      </c>
      <c r="K180">
        <f t="shared" si="11"/>
        <v>75</v>
      </c>
      <c r="L180">
        <f t="shared" si="12"/>
        <v>2085</v>
      </c>
    </row>
    <row r="181" spans="3:12" x14ac:dyDescent="0.2">
      <c r="C181" s="31" t="s">
        <v>219</v>
      </c>
      <c r="D181" s="8">
        <v>4170646</v>
      </c>
      <c r="E181">
        <v>20</v>
      </c>
      <c r="F181" t="s">
        <v>271</v>
      </c>
      <c r="G181">
        <f>VLOOKUP(F181,Sheet2!$B$2:$C$90,2,FALSE)</f>
        <v>2010</v>
      </c>
      <c r="H181" s="33" t="s">
        <v>237</v>
      </c>
      <c r="I181" t="s">
        <v>248</v>
      </c>
      <c r="J181">
        <v>1</v>
      </c>
      <c r="K181">
        <f t="shared" si="11"/>
        <v>20</v>
      </c>
      <c r="L181">
        <f t="shared" si="12"/>
        <v>2030</v>
      </c>
    </row>
    <row r="182" spans="3:12" x14ac:dyDescent="0.2">
      <c r="C182" s="31" t="s">
        <v>220</v>
      </c>
      <c r="D182" s="8">
        <v>5213306</v>
      </c>
      <c r="E182">
        <v>20</v>
      </c>
      <c r="F182" t="s">
        <v>271</v>
      </c>
      <c r="G182">
        <f>VLOOKUP(F182,Sheet2!$B$2:$C$90,2,FALSE)</f>
        <v>2010</v>
      </c>
      <c r="H182" s="33" t="s">
        <v>237</v>
      </c>
      <c r="I182" t="s">
        <v>248</v>
      </c>
      <c r="J182">
        <v>1</v>
      </c>
      <c r="K182">
        <f t="shared" si="11"/>
        <v>20</v>
      </c>
      <c r="L182">
        <f t="shared" si="12"/>
        <v>2030</v>
      </c>
    </row>
    <row r="183" spans="3:12" x14ac:dyDescent="0.2">
      <c r="C183" s="31" t="s">
        <v>200</v>
      </c>
      <c r="D183" s="8">
        <v>22409439</v>
      </c>
      <c r="E183">
        <v>50</v>
      </c>
      <c r="F183" t="s">
        <v>271</v>
      </c>
      <c r="G183">
        <f>VLOOKUP(F183,Sheet2!$B$2:$C$90,2,FALSE)</f>
        <v>2010</v>
      </c>
      <c r="H183" s="33" t="s">
        <v>243</v>
      </c>
      <c r="I183" t="s">
        <v>249</v>
      </c>
      <c r="J183">
        <v>1.5</v>
      </c>
      <c r="K183">
        <f t="shared" si="11"/>
        <v>75</v>
      </c>
      <c r="L183">
        <f t="shared" si="12"/>
        <v>2085</v>
      </c>
    </row>
    <row r="184" spans="3:12" x14ac:dyDescent="0.2">
      <c r="C184" s="31" t="s">
        <v>221</v>
      </c>
      <c r="D184" s="8">
        <v>5892058</v>
      </c>
      <c r="E184">
        <v>20</v>
      </c>
      <c r="F184" t="s">
        <v>272</v>
      </c>
      <c r="G184">
        <f>VLOOKUP(F184,Sheet2!$B$2:$C$90,2,FALSE)</f>
        <v>2011</v>
      </c>
      <c r="H184" s="33" t="s">
        <v>237</v>
      </c>
      <c r="I184" t="s">
        <v>248</v>
      </c>
      <c r="J184">
        <v>1</v>
      </c>
      <c r="K184">
        <f t="shared" si="11"/>
        <v>20</v>
      </c>
      <c r="L184">
        <f t="shared" si="12"/>
        <v>2031</v>
      </c>
    </row>
    <row r="185" spans="3:12" x14ac:dyDescent="0.2">
      <c r="C185" s="31" t="s">
        <v>222</v>
      </c>
      <c r="D185" s="8">
        <v>6699245</v>
      </c>
      <c r="E185">
        <v>20</v>
      </c>
      <c r="F185" t="s">
        <v>272</v>
      </c>
      <c r="G185">
        <f>VLOOKUP(F185,Sheet2!$B$2:$C$90,2,FALSE)</f>
        <v>2011</v>
      </c>
      <c r="H185" s="33" t="s">
        <v>237</v>
      </c>
      <c r="I185" t="s">
        <v>248</v>
      </c>
      <c r="J185">
        <v>1</v>
      </c>
      <c r="K185">
        <f t="shared" si="11"/>
        <v>20</v>
      </c>
      <c r="L185">
        <f t="shared" si="12"/>
        <v>2031</v>
      </c>
    </row>
    <row r="186" spans="3:12" x14ac:dyDescent="0.2">
      <c r="C186" s="31" t="s">
        <v>200</v>
      </c>
      <c r="D186" s="8">
        <v>19006005</v>
      </c>
      <c r="E186">
        <v>50</v>
      </c>
      <c r="F186" t="s">
        <v>272</v>
      </c>
      <c r="G186">
        <f>VLOOKUP(F186,Sheet2!$B$2:$C$90,2,FALSE)</f>
        <v>2011</v>
      </c>
      <c r="H186" s="33" t="s">
        <v>243</v>
      </c>
      <c r="I186" t="s">
        <v>249</v>
      </c>
      <c r="J186">
        <v>1.5</v>
      </c>
      <c r="K186">
        <f t="shared" si="11"/>
        <v>75</v>
      </c>
      <c r="L186">
        <f t="shared" si="12"/>
        <v>2086</v>
      </c>
    </row>
    <row r="187" spans="3:12" x14ac:dyDescent="0.2">
      <c r="C187" s="31" t="s">
        <v>200</v>
      </c>
      <c r="D187" s="8">
        <v>1610678</v>
      </c>
      <c r="E187">
        <v>50</v>
      </c>
      <c r="F187" t="s">
        <v>272</v>
      </c>
      <c r="G187">
        <f>VLOOKUP(F187,Sheet2!$B$2:$C$90,2,FALSE)</f>
        <v>2011</v>
      </c>
      <c r="H187" s="33" t="s">
        <v>243</v>
      </c>
      <c r="I187" t="s">
        <v>249</v>
      </c>
      <c r="J187">
        <v>1.5</v>
      </c>
      <c r="K187">
        <f t="shared" si="11"/>
        <v>75</v>
      </c>
      <c r="L187">
        <f t="shared" si="12"/>
        <v>2086</v>
      </c>
    </row>
    <row r="188" spans="3:12" x14ac:dyDescent="0.2">
      <c r="C188" s="31" t="s">
        <v>200</v>
      </c>
      <c r="D188" s="8">
        <v>18870148</v>
      </c>
      <c r="E188">
        <v>50</v>
      </c>
      <c r="F188" t="s">
        <v>273</v>
      </c>
      <c r="G188">
        <f>VLOOKUP(F188,Sheet2!$B$2:$C$90,2,FALSE)</f>
        <v>2012</v>
      </c>
      <c r="H188" s="33" t="s">
        <v>243</v>
      </c>
      <c r="I188" t="s">
        <v>249</v>
      </c>
      <c r="J188">
        <v>1.5</v>
      </c>
      <c r="K188">
        <f t="shared" si="11"/>
        <v>75</v>
      </c>
      <c r="L188">
        <f t="shared" si="12"/>
        <v>2087</v>
      </c>
    </row>
    <row r="189" spans="3:12" x14ac:dyDescent="0.2">
      <c r="C189" s="31" t="s">
        <v>200</v>
      </c>
      <c r="D189" s="8">
        <v>17886934</v>
      </c>
      <c r="E189">
        <v>50</v>
      </c>
      <c r="F189" t="s">
        <v>273</v>
      </c>
      <c r="G189">
        <f>VLOOKUP(F189,Sheet2!$B$2:$C$90,2,FALSE)</f>
        <v>2012</v>
      </c>
      <c r="H189" s="33" t="s">
        <v>243</v>
      </c>
      <c r="I189" t="s">
        <v>249</v>
      </c>
      <c r="J189">
        <v>1.5</v>
      </c>
      <c r="K189">
        <f t="shared" si="11"/>
        <v>75</v>
      </c>
      <c r="L189">
        <f t="shared" si="12"/>
        <v>2087</v>
      </c>
    </row>
    <row r="190" spans="3:12" x14ac:dyDescent="0.2">
      <c r="C190" s="31" t="s">
        <v>200</v>
      </c>
      <c r="D190" s="8">
        <v>20158691</v>
      </c>
      <c r="E190">
        <v>50</v>
      </c>
      <c r="F190" t="s">
        <v>274</v>
      </c>
      <c r="G190">
        <f>VLOOKUP(F190,Sheet2!$B$2:$C$90,2,FALSE)</f>
        <v>2013</v>
      </c>
      <c r="H190" s="33" t="s">
        <v>243</v>
      </c>
      <c r="I190" t="s">
        <v>249</v>
      </c>
      <c r="J190">
        <v>1.5</v>
      </c>
      <c r="K190">
        <f t="shared" si="11"/>
        <v>75</v>
      </c>
      <c r="L190">
        <f t="shared" si="12"/>
        <v>2088</v>
      </c>
    </row>
    <row r="191" spans="3:12" x14ac:dyDescent="0.2">
      <c r="C191" s="31" t="s">
        <v>200</v>
      </c>
      <c r="D191" s="8">
        <v>22973876</v>
      </c>
      <c r="E191">
        <v>50</v>
      </c>
      <c r="F191" t="s">
        <v>274</v>
      </c>
      <c r="G191">
        <f>VLOOKUP(F191,Sheet2!$B$2:$C$90,2,FALSE)</f>
        <v>2013</v>
      </c>
      <c r="H191" s="33" t="s">
        <v>243</v>
      </c>
      <c r="I191" t="s">
        <v>249</v>
      </c>
      <c r="J191">
        <v>1.5</v>
      </c>
      <c r="K191">
        <f t="shared" si="11"/>
        <v>75</v>
      </c>
      <c r="L191">
        <f t="shared" si="12"/>
        <v>2088</v>
      </c>
    </row>
    <row r="192" spans="3:12" x14ac:dyDescent="0.2">
      <c r="C192" s="31" t="s">
        <v>223</v>
      </c>
      <c r="D192" s="8">
        <v>11476790</v>
      </c>
      <c r="E192">
        <v>20</v>
      </c>
      <c r="F192" t="s">
        <v>275</v>
      </c>
      <c r="G192">
        <f>VLOOKUP(F192,Sheet2!$B$2:$C$90,2,FALSE)</f>
        <v>2014</v>
      </c>
      <c r="H192" s="33" t="s">
        <v>237</v>
      </c>
      <c r="I192" t="s">
        <v>248</v>
      </c>
      <c r="J192">
        <v>1</v>
      </c>
      <c r="K192">
        <f t="shared" si="11"/>
        <v>20</v>
      </c>
      <c r="L192">
        <f t="shared" si="12"/>
        <v>2034</v>
      </c>
    </row>
    <row r="193" spans="3:12" x14ac:dyDescent="0.2">
      <c r="C193" s="31" t="s">
        <v>224</v>
      </c>
      <c r="D193" s="8">
        <v>12801035</v>
      </c>
      <c r="E193">
        <v>20</v>
      </c>
      <c r="F193" t="s">
        <v>275</v>
      </c>
      <c r="G193">
        <f>VLOOKUP(F193,Sheet2!$B$2:$C$90,2,FALSE)</f>
        <v>2014</v>
      </c>
      <c r="H193" s="33" t="s">
        <v>237</v>
      </c>
      <c r="I193" t="s">
        <v>248</v>
      </c>
      <c r="J193">
        <v>1</v>
      </c>
      <c r="K193">
        <f t="shared" si="11"/>
        <v>20</v>
      </c>
      <c r="L193">
        <f t="shared" si="12"/>
        <v>2034</v>
      </c>
    </row>
    <row r="194" spans="3:12" x14ac:dyDescent="0.2">
      <c r="C194" s="31" t="s">
        <v>200</v>
      </c>
      <c r="D194" s="8">
        <v>16459733</v>
      </c>
      <c r="E194">
        <v>50</v>
      </c>
      <c r="F194" t="s">
        <v>275</v>
      </c>
      <c r="G194">
        <f>VLOOKUP(F194,Sheet2!$B$2:$C$90,2,FALSE)</f>
        <v>2014</v>
      </c>
      <c r="H194" s="33" t="s">
        <v>243</v>
      </c>
      <c r="I194" t="s">
        <v>249</v>
      </c>
      <c r="J194">
        <v>1.5</v>
      </c>
      <c r="K194">
        <f t="shared" si="11"/>
        <v>75</v>
      </c>
      <c r="L194">
        <f t="shared" si="12"/>
        <v>2089</v>
      </c>
    </row>
    <row r="195" spans="3:12" x14ac:dyDescent="0.2">
      <c r="C195" s="31" t="s">
        <v>200</v>
      </c>
      <c r="D195" s="8">
        <v>19809944</v>
      </c>
      <c r="E195">
        <v>50</v>
      </c>
      <c r="F195" t="s">
        <v>275</v>
      </c>
      <c r="G195">
        <f>VLOOKUP(F195,Sheet2!$B$2:$C$90,2,FALSE)</f>
        <v>2014</v>
      </c>
      <c r="H195" s="33" t="s">
        <v>243</v>
      </c>
      <c r="I195" t="s">
        <v>249</v>
      </c>
      <c r="J195">
        <v>1.5</v>
      </c>
      <c r="K195">
        <f t="shared" ref="K195:K203" si="13">ROUND(E195*J195,0)</f>
        <v>75</v>
      </c>
      <c r="L195">
        <f t="shared" ref="L195:L203" si="14">G195+K195</f>
        <v>2089</v>
      </c>
    </row>
    <row r="196" spans="3:12" x14ac:dyDescent="0.2">
      <c r="C196" s="31" t="s">
        <v>225</v>
      </c>
      <c r="D196" s="8">
        <v>5947172</v>
      </c>
      <c r="E196">
        <v>20</v>
      </c>
      <c r="F196" t="s">
        <v>276</v>
      </c>
      <c r="G196">
        <f>VLOOKUP(F196,Sheet2!$B$2:$C$90,2,FALSE)</f>
        <v>2015</v>
      </c>
      <c r="H196" s="33" t="s">
        <v>237</v>
      </c>
      <c r="I196" t="s">
        <v>248</v>
      </c>
      <c r="J196">
        <v>1</v>
      </c>
      <c r="K196">
        <f t="shared" si="13"/>
        <v>20</v>
      </c>
      <c r="L196">
        <f t="shared" si="14"/>
        <v>2035</v>
      </c>
    </row>
    <row r="197" spans="3:12" x14ac:dyDescent="0.2">
      <c r="C197" s="31" t="s">
        <v>226</v>
      </c>
      <c r="D197" s="8">
        <v>12487392</v>
      </c>
      <c r="E197">
        <v>20</v>
      </c>
      <c r="F197" t="s">
        <v>276</v>
      </c>
      <c r="G197">
        <f>VLOOKUP(F197,Sheet2!$B$2:$C$90,2,FALSE)</f>
        <v>2015</v>
      </c>
      <c r="H197" s="33" t="s">
        <v>237</v>
      </c>
      <c r="I197" t="s">
        <v>248</v>
      </c>
      <c r="J197">
        <v>1</v>
      </c>
      <c r="K197">
        <f t="shared" si="13"/>
        <v>20</v>
      </c>
      <c r="L197">
        <f t="shared" si="14"/>
        <v>2035</v>
      </c>
    </row>
    <row r="198" spans="3:12" x14ac:dyDescent="0.2">
      <c r="C198" s="31" t="s">
        <v>200</v>
      </c>
      <c r="D198" s="8">
        <v>25677015</v>
      </c>
      <c r="E198">
        <v>50</v>
      </c>
      <c r="F198" t="s">
        <v>276</v>
      </c>
      <c r="G198">
        <f>VLOOKUP(F198,Sheet2!$B$2:$C$90,2,FALSE)</f>
        <v>2015</v>
      </c>
      <c r="H198" s="33" t="s">
        <v>243</v>
      </c>
      <c r="I198" t="s">
        <v>249</v>
      </c>
      <c r="J198">
        <v>1.5</v>
      </c>
      <c r="K198">
        <f t="shared" si="13"/>
        <v>75</v>
      </c>
      <c r="L198">
        <f t="shared" si="14"/>
        <v>2090</v>
      </c>
    </row>
    <row r="199" spans="3:12" x14ac:dyDescent="0.2">
      <c r="C199" s="32" t="s">
        <v>200</v>
      </c>
      <c r="D199" s="8">
        <v>23902467</v>
      </c>
      <c r="E199">
        <v>50</v>
      </c>
      <c r="F199" t="s">
        <v>276</v>
      </c>
      <c r="G199">
        <f>VLOOKUP(F199,Sheet2!$B$2:$C$90,2,FALSE)</f>
        <v>2015</v>
      </c>
      <c r="H199" s="32" t="s">
        <v>243</v>
      </c>
      <c r="I199" t="s">
        <v>249</v>
      </c>
      <c r="J199">
        <v>1.5</v>
      </c>
      <c r="K199">
        <f t="shared" si="13"/>
        <v>75</v>
      </c>
      <c r="L199">
        <f t="shared" si="14"/>
        <v>2090</v>
      </c>
    </row>
    <row r="200" spans="3:12" x14ac:dyDescent="0.2">
      <c r="C200" s="32" t="s">
        <v>200</v>
      </c>
      <c r="D200" s="8">
        <v>63852894</v>
      </c>
      <c r="E200">
        <v>50</v>
      </c>
      <c r="F200" t="s">
        <v>277</v>
      </c>
      <c r="G200">
        <f>VLOOKUP(F200,Sheet2!$B$2:$C$90,2,FALSE)</f>
        <v>2016</v>
      </c>
      <c r="H200" s="32" t="s">
        <v>243</v>
      </c>
      <c r="I200" t="s">
        <v>249</v>
      </c>
      <c r="J200">
        <v>1.5</v>
      </c>
      <c r="K200">
        <f t="shared" si="13"/>
        <v>75</v>
      </c>
      <c r="L200">
        <f t="shared" si="14"/>
        <v>2091</v>
      </c>
    </row>
    <row r="201" spans="3:12" x14ac:dyDescent="0.2">
      <c r="C201" s="32" t="s">
        <v>200</v>
      </c>
      <c r="D201" s="8">
        <v>52424080</v>
      </c>
      <c r="E201">
        <v>50</v>
      </c>
      <c r="F201" t="s">
        <v>277</v>
      </c>
      <c r="G201">
        <f>VLOOKUP(F201,Sheet2!$B$2:$C$90,2,FALSE)</f>
        <v>2016</v>
      </c>
      <c r="H201" s="32" t="s">
        <v>243</v>
      </c>
      <c r="I201" t="s">
        <v>249</v>
      </c>
      <c r="J201">
        <v>1.5</v>
      </c>
      <c r="K201">
        <f t="shared" si="13"/>
        <v>75</v>
      </c>
      <c r="L201">
        <f t="shared" si="14"/>
        <v>2091</v>
      </c>
    </row>
    <row r="202" spans="3:12" x14ac:dyDescent="0.2">
      <c r="C202" s="32" t="s">
        <v>200</v>
      </c>
      <c r="D202" s="8">
        <v>21358996</v>
      </c>
      <c r="E202">
        <v>50</v>
      </c>
      <c r="F202" t="s">
        <v>278</v>
      </c>
      <c r="G202">
        <f>VLOOKUP(F202,Sheet2!$B$2:$C$90,2,FALSE)</f>
        <v>2017</v>
      </c>
      <c r="H202" s="32" t="s">
        <v>243</v>
      </c>
      <c r="I202" t="s">
        <v>249</v>
      </c>
      <c r="J202">
        <v>1.5</v>
      </c>
      <c r="K202">
        <f t="shared" si="13"/>
        <v>75</v>
      </c>
      <c r="L202">
        <f t="shared" si="14"/>
        <v>2092</v>
      </c>
    </row>
    <row r="203" spans="3:12" x14ac:dyDescent="0.2">
      <c r="C203" s="32" t="s">
        <v>200</v>
      </c>
      <c r="D203" s="8">
        <v>3120514</v>
      </c>
      <c r="E203">
        <v>50</v>
      </c>
      <c r="F203" t="s">
        <v>279</v>
      </c>
      <c r="G203">
        <f>VLOOKUP(F203,Sheet2!$B$2:$C$90,2,FALSE)</f>
        <v>2021</v>
      </c>
      <c r="H203" s="32" t="s">
        <v>243</v>
      </c>
      <c r="I203" t="s">
        <v>249</v>
      </c>
      <c r="J203">
        <v>1.5</v>
      </c>
      <c r="K203">
        <f t="shared" si="13"/>
        <v>75</v>
      </c>
      <c r="L203">
        <f t="shared" si="14"/>
        <v>2096</v>
      </c>
    </row>
    <row r="204" spans="3:12" x14ac:dyDescent="0.2">
      <c r="C204" s="32" t="s">
        <v>227</v>
      </c>
      <c r="D204" s="8">
        <v>1297965</v>
      </c>
      <c r="E204">
        <v>20</v>
      </c>
      <c r="F204" t="s">
        <v>279</v>
      </c>
      <c r="G204">
        <f>VLOOKUP(F204,Sheet2!$B$2:$C$90,2,FALSE)</f>
        <v>2021</v>
      </c>
      <c r="H204" s="32" t="s">
        <v>241</v>
      </c>
    </row>
    <row r="205" spans="3:12" x14ac:dyDescent="0.2">
      <c r="C205" s="32" t="s">
        <v>228</v>
      </c>
      <c r="D205" s="8">
        <v>5015895</v>
      </c>
      <c r="E205">
        <v>20</v>
      </c>
      <c r="F205" t="s">
        <v>279</v>
      </c>
      <c r="G205">
        <f>VLOOKUP(F205,Sheet2!$B$2:$C$90,2,FALSE)</f>
        <v>2021</v>
      </c>
      <c r="H205" s="32" t="s">
        <v>241</v>
      </c>
    </row>
    <row r="206" spans="3:12" x14ac:dyDescent="0.2">
      <c r="C206" s="32" t="s">
        <v>229</v>
      </c>
      <c r="D206" s="8">
        <v>273000</v>
      </c>
      <c r="E206">
        <v>15</v>
      </c>
      <c r="F206" t="s">
        <v>272</v>
      </c>
      <c r="G206">
        <f>VLOOKUP(F206,Sheet2!$B$2:$C$90,2,FALSE)</f>
        <v>2011</v>
      </c>
      <c r="H206" s="32" t="s">
        <v>244</v>
      </c>
    </row>
    <row r="207" spans="3:12" x14ac:dyDescent="0.2">
      <c r="C207" s="32" t="s">
        <v>230</v>
      </c>
      <c r="D207" s="8">
        <v>173250</v>
      </c>
      <c r="E207">
        <v>15</v>
      </c>
      <c r="F207" t="s">
        <v>272</v>
      </c>
      <c r="G207">
        <f>VLOOKUP(F207,Sheet2!$B$2:$C$90,2,FALSE)</f>
        <v>2011</v>
      </c>
      <c r="H207" s="32" t="s">
        <v>244</v>
      </c>
    </row>
    <row r="208" spans="3:12" x14ac:dyDescent="0.2">
      <c r="C208" s="32" t="s">
        <v>231</v>
      </c>
      <c r="D208" s="8">
        <v>266700</v>
      </c>
      <c r="E208">
        <v>15</v>
      </c>
      <c r="F208" t="s">
        <v>272</v>
      </c>
      <c r="G208">
        <f>VLOOKUP(F208,Sheet2!$B$2:$C$90,2,FALSE)</f>
        <v>2011</v>
      </c>
      <c r="H208" s="32" t="s">
        <v>244</v>
      </c>
    </row>
    <row r="209" spans="3:8" x14ac:dyDescent="0.2">
      <c r="C209" s="32" t="s">
        <v>232</v>
      </c>
      <c r="D209" s="8">
        <v>115500</v>
      </c>
      <c r="E209">
        <v>20</v>
      </c>
      <c r="F209" t="s">
        <v>274</v>
      </c>
      <c r="G209">
        <f>VLOOKUP(F209,Sheet2!$B$2:$C$90,2,FALSE)</f>
        <v>2013</v>
      </c>
      <c r="H209" s="32" t="s">
        <v>244</v>
      </c>
    </row>
    <row r="210" spans="3:8" x14ac:dyDescent="0.2">
      <c r="C210" s="32" t="s">
        <v>233</v>
      </c>
      <c r="D210" s="8">
        <v>165900</v>
      </c>
      <c r="E210">
        <v>17</v>
      </c>
      <c r="F210" t="s">
        <v>274</v>
      </c>
      <c r="G210">
        <f>VLOOKUP(F210,Sheet2!$B$2:$C$90,2,FALSE)</f>
        <v>2013</v>
      </c>
      <c r="H210" s="32" t="s">
        <v>244</v>
      </c>
    </row>
    <row r="211" spans="3:8" x14ac:dyDescent="0.2">
      <c r="C211" s="32" t="s">
        <v>234</v>
      </c>
      <c r="D211" s="8">
        <v>1467510</v>
      </c>
      <c r="E211">
        <v>5</v>
      </c>
      <c r="F211" t="s">
        <v>292</v>
      </c>
      <c r="G211">
        <f>VLOOKUP(F211,Sheet2!$B$2:$C$90,2,FALSE)</f>
        <v>2021</v>
      </c>
      <c r="H211" s="32" t="s">
        <v>245</v>
      </c>
    </row>
  </sheetData>
  <phoneticPr fontId="2"/>
  <dataValidations count="1">
    <dataValidation allowBlank="1" showInputMessage="1" showErrorMessage="1" promptTitle="入力規制" prompt="半角数字12桁" sqref="H2:H198" xr:uid="{238F43F2-EAD6-4244-A3FE-4796537D24F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2EBE-6A89-40F0-BF72-E0C652B9B21D}">
  <dimension ref="A1:R45"/>
  <sheetViews>
    <sheetView topLeftCell="D21" workbookViewId="0">
      <selection activeCell="E24" sqref="E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1" spans="5:16" x14ac:dyDescent="0.2">
      <c r="E21" t="s">
        <v>59</v>
      </c>
      <c r="F21" s="30">
        <f>SUM(F19:F20)</f>
        <v>362295</v>
      </c>
      <c r="G21" s="30">
        <f t="shared" ref="G21:P21" si="2">SUM(G19:G20)</f>
        <v>361566</v>
      </c>
      <c r="H21" s="30">
        <f t="shared" si="2"/>
        <v>360928</v>
      </c>
      <c r="I21" s="30">
        <f t="shared" si="2"/>
        <v>360199</v>
      </c>
      <c r="J21" s="30">
        <f t="shared" si="2"/>
        <v>359562</v>
      </c>
      <c r="K21" s="30">
        <f t="shared" si="2"/>
        <v>357557</v>
      </c>
      <c r="L21" s="30">
        <f t="shared" si="2"/>
        <v>356646</v>
      </c>
      <c r="M21" s="30">
        <f t="shared" si="2"/>
        <v>355644</v>
      </c>
      <c r="N21" s="30">
        <f t="shared" si="2"/>
        <v>354733</v>
      </c>
      <c r="O21" s="30">
        <f t="shared" si="2"/>
        <v>353913</v>
      </c>
      <c r="P21" s="30">
        <f t="shared" si="2"/>
        <v>351089</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P24" si="3">ROUND(G19*170.5/1000,0)</f>
        <v>41596</v>
      </c>
      <c r="H23" s="8">
        <f t="shared" si="3"/>
        <v>41487</v>
      </c>
      <c r="I23" s="8">
        <f t="shared" si="3"/>
        <v>41363</v>
      </c>
      <c r="J23" s="8">
        <f t="shared" si="3"/>
        <v>41255</v>
      </c>
      <c r="K23" s="8">
        <f t="shared" si="3"/>
        <v>40913</v>
      </c>
      <c r="L23" s="8">
        <f t="shared" si="3"/>
        <v>40757</v>
      </c>
      <c r="M23" s="8">
        <f t="shared" si="3"/>
        <v>40587</v>
      </c>
      <c r="N23" s="8">
        <f t="shared" si="3"/>
        <v>40431</v>
      </c>
      <c r="O23" s="8">
        <f t="shared" si="3"/>
        <v>40291</v>
      </c>
      <c r="P23" s="8">
        <f t="shared" si="3"/>
        <v>39810</v>
      </c>
    </row>
    <row r="24" spans="5:16" x14ac:dyDescent="0.2">
      <c r="E24" t="s">
        <v>870</v>
      </c>
      <c r="F24" s="8">
        <f>ROUND(F20*170.5/1000,0)</f>
        <v>20051</v>
      </c>
      <c r="G24" s="8">
        <f t="shared" si="3"/>
        <v>20051</v>
      </c>
      <c r="H24" s="8">
        <f t="shared" si="3"/>
        <v>20051</v>
      </c>
      <c r="I24" s="8">
        <f t="shared" si="3"/>
        <v>20051</v>
      </c>
      <c r="J24" s="8">
        <f t="shared" si="3"/>
        <v>20051</v>
      </c>
      <c r="K24" s="8">
        <f t="shared" si="3"/>
        <v>20051</v>
      </c>
      <c r="L24" s="8">
        <f t="shared" si="3"/>
        <v>20051</v>
      </c>
      <c r="M24" s="8">
        <f t="shared" si="3"/>
        <v>20051</v>
      </c>
      <c r="N24" s="8">
        <f t="shared" si="3"/>
        <v>20051</v>
      </c>
      <c r="O24" s="8">
        <f t="shared" si="3"/>
        <v>20051</v>
      </c>
      <c r="P24" s="8">
        <f t="shared" si="3"/>
        <v>20051</v>
      </c>
    </row>
    <row r="25" spans="5:16" x14ac:dyDescent="0.2">
      <c r="E25" t="s">
        <v>869</v>
      </c>
      <c r="F25" s="30">
        <f>SUM(F23:F24)</f>
        <v>61771</v>
      </c>
      <c r="G25" s="30">
        <f t="shared" ref="G25:P25" si="4">SUM(G23:G24)</f>
        <v>61647</v>
      </c>
      <c r="H25" s="30">
        <f t="shared" si="4"/>
        <v>61538</v>
      </c>
      <c r="I25" s="30">
        <f t="shared" si="4"/>
        <v>61414</v>
      </c>
      <c r="J25" s="30">
        <f t="shared" si="4"/>
        <v>61306</v>
      </c>
      <c r="K25" s="30">
        <f t="shared" si="4"/>
        <v>60964</v>
      </c>
      <c r="L25" s="30">
        <f t="shared" si="4"/>
        <v>60808</v>
      </c>
      <c r="M25" s="30">
        <f t="shared" si="4"/>
        <v>60638</v>
      </c>
      <c r="N25" s="30">
        <f t="shared" si="4"/>
        <v>60482</v>
      </c>
      <c r="O25" s="30">
        <f t="shared" si="4"/>
        <v>60342</v>
      </c>
      <c r="P25" s="30">
        <f t="shared" si="4"/>
        <v>59861</v>
      </c>
    </row>
    <row r="29" spans="5:16" ht="45" x14ac:dyDescent="0.2">
      <c r="F29" s="7" t="s">
        <v>741</v>
      </c>
      <c r="G29" s="7" t="s">
        <v>15</v>
      </c>
      <c r="H29" s="7" t="s">
        <v>16</v>
      </c>
      <c r="I29" s="7" t="s">
        <v>17</v>
      </c>
      <c r="J29" s="7" t="s">
        <v>18</v>
      </c>
      <c r="K29" s="7" t="s">
        <v>19</v>
      </c>
      <c r="L29" s="7" t="s">
        <v>20</v>
      </c>
      <c r="M29" s="7" t="s">
        <v>21</v>
      </c>
      <c r="N29" s="7" t="s">
        <v>22</v>
      </c>
      <c r="O29" s="7" t="s">
        <v>23</v>
      </c>
      <c r="P29" s="7" t="s">
        <v>24</v>
      </c>
    </row>
    <row r="30" spans="5:16" x14ac:dyDescent="0.2">
      <c r="E30" t="s">
        <v>58</v>
      </c>
      <c r="F30" s="8">
        <f>F12</f>
        <v>3846</v>
      </c>
      <c r="G30" s="8">
        <f t="shared" ref="G30:O30" si="5">G12</f>
        <v>3835</v>
      </c>
      <c r="H30" s="8">
        <f t="shared" si="5"/>
        <v>3825</v>
      </c>
      <c r="I30" s="8">
        <f t="shared" si="5"/>
        <v>3814</v>
      </c>
      <c r="J30" s="8">
        <f t="shared" si="5"/>
        <v>3803</v>
      </c>
      <c r="K30" s="8">
        <f t="shared" si="5"/>
        <v>3771</v>
      </c>
      <c r="L30" s="8">
        <f t="shared" si="5"/>
        <v>3757</v>
      </c>
      <c r="M30" s="8">
        <f t="shared" si="5"/>
        <v>3742</v>
      </c>
      <c r="N30" s="8">
        <f t="shared" si="5"/>
        <v>3728</v>
      </c>
      <c r="O30" s="8">
        <f t="shared" si="5"/>
        <v>3713</v>
      </c>
    </row>
    <row r="31" spans="5:16" x14ac:dyDescent="0.2">
      <c r="E31" t="s">
        <v>65</v>
      </c>
      <c r="F31" s="8">
        <v>3803</v>
      </c>
      <c r="G31" s="8">
        <v>3798</v>
      </c>
      <c r="H31" s="8">
        <v>3794</v>
      </c>
      <c r="I31" s="8">
        <v>3790</v>
      </c>
      <c r="J31" s="8">
        <v>3786</v>
      </c>
      <c r="K31" s="8">
        <v>3783</v>
      </c>
      <c r="L31" s="8">
        <v>3779</v>
      </c>
      <c r="M31" s="8">
        <v>3776</v>
      </c>
      <c r="N31" s="8">
        <v>3773</v>
      </c>
      <c r="O31" s="8">
        <v>3771</v>
      </c>
    </row>
    <row r="35" spans="5:16" ht="45" x14ac:dyDescent="0.2">
      <c r="F35" s="7" t="s">
        <v>741</v>
      </c>
      <c r="G35" s="7" t="s">
        <v>15</v>
      </c>
      <c r="H35" s="7" t="s">
        <v>16</v>
      </c>
      <c r="I35" s="7" t="s">
        <v>17</v>
      </c>
      <c r="J35" s="7" t="s">
        <v>18</v>
      </c>
      <c r="K35" s="7" t="s">
        <v>19</v>
      </c>
      <c r="L35" s="7" t="s">
        <v>20</v>
      </c>
      <c r="M35" s="7" t="s">
        <v>21</v>
      </c>
      <c r="N35" s="7" t="s">
        <v>22</v>
      </c>
      <c r="O35" s="7" t="s">
        <v>23</v>
      </c>
      <c r="P35" s="7" t="s">
        <v>24</v>
      </c>
    </row>
    <row r="36" spans="5:16" x14ac:dyDescent="0.2">
      <c r="E36" t="s">
        <v>59</v>
      </c>
      <c r="F36" s="8">
        <f>F45*1000</f>
        <v>741320</v>
      </c>
      <c r="G36" s="8">
        <f t="shared" ref="G36:O36" si="6">G45*1000</f>
        <v>740950</v>
      </c>
      <c r="H36" s="8">
        <f t="shared" si="6"/>
        <v>742610</v>
      </c>
      <c r="I36" s="8">
        <f t="shared" si="6"/>
        <v>740590</v>
      </c>
      <c r="J36" s="8">
        <f t="shared" si="6"/>
        <v>740220</v>
      </c>
      <c r="K36" s="8">
        <f t="shared" si="6"/>
        <v>740220</v>
      </c>
      <c r="L36" s="8">
        <f t="shared" si="6"/>
        <v>741880</v>
      </c>
      <c r="M36" s="8">
        <f t="shared" si="6"/>
        <v>739490</v>
      </c>
      <c r="N36" s="8">
        <f t="shared" si="6"/>
        <v>739490</v>
      </c>
      <c r="O36" s="8">
        <f t="shared" si="6"/>
        <v>739490</v>
      </c>
    </row>
    <row r="37" spans="5:16" x14ac:dyDescent="0.2">
      <c r="G37" s="30">
        <f>F36-G36</f>
        <v>370</v>
      </c>
      <c r="H37" s="30">
        <f>G36-H36</f>
        <v>-1660</v>
      </c>
      <c r="I37" s="30">
        <f>H36-I36</f>
        <v>2020</v>
      </c>
      <c r="J37" s="30">
        <f t="shared" ref="J37:O37" si="7">I36-J36</f>
        <v>370</v>
      </c>
      <c r="K37" s="30">
        <f t="shared" si="7"/>
        <v>0</v>
      </c>
      <c r="L37" s="30">
        <f>K36-L36</f>
        <v>-1660</v>
      </c>
      <c r="M37" s="30">
        <f t="shared" si="7"/>
        <v>2390</v>
      </c>
      <c r="N37" s="30">
        <f t="shared" si="7"/>
        <v>0</v>
      </c>
      <c r="O37" s="30">
        <f t="shared" si="7"/>
        <v>0</v>
      </c>
    </row>
    <row r="40" spans="5:16" ht="45" x14ac:dyDescent="0.2">
      <c r="F40" s="7" t="s">
        <v>741</v>
      </c>
      <c r="G40" s="7" t="s">
        <v>15</v>
      </c>
      <c r="H40" s="7" t="s">
        <v>16</v>
      </c>
      <c r="I40" s="7" t="s">
        <v>17</v>
      </c>
      <c r="J40" s="7" t="s">
        <v>18</v>
      </c>
      <c r="K40" s="7" t="s">
        <v>19</v>
      </c>
      <c r="L40" s="7" t="s">
        <v>20</v>
      </c>
      <c r="M40" s="7" t="s">
        <v>21</v>
      </c>
      <c r="N40" s="7" t="s">
        <v>22</v>
      </c>
      <c r="O40" s="7" t="s">
        <v>23</v>
      </c>
      <c r="P40" s="7" t="s">
        <v>24</v>
      </c>
    </row>
    <row r="41" spans="5:16" x14ac:dyDescent="0.2">
      <c r="E41" t="s">
        <v>66</v>
      </c>
      <c r="F41" s="8">
        <v>83606</v>
      </c>
      <c r="G41" s="8">
        <v>83564</v>
      </c>
      <c r="H41" s="8">
        <v>83752</v>
      </c>
      <c r="I41" s="8">
        <v>83524</v>
      </c>
      <c r="J41" s="8">
        <v>83482</v>
      </c>
      <c r="K41" s="8">
        <v>83482</v>
      </c>
      <c r="L41" s="8">
        <v>83669</v>
      </c>
      <c r="M41" s="8">
        <v>83400</v>
      </c>
      <c r="N41" s="8">
        <v>83400</v>
      </c>
      <c r="O41" s="8">
        <v>83400</v>
      </c>
    </row>
    <row r="42" spans="5:16" x14ac:dyDescent="0.2">
      <c r="G42" s="30"/>
      <c r="H42" s="30"/>
      <c r="I42" s="30"/>
      <c r="J42" s="30"/>
      <c r="K42" s="30"/>
      <c r="L42" s="30"/>
      <c r="M42" s="30"/>
      <c r="N42" s="30"/>
      <c r="O42" s="30"/>
    </row>
    <row r="45" spans="5:16" x14ac:dyDescent="0.2">
      <c r="F45">
        <v>741.32</v>
      </c>
      <c r="G45">
        <v>740.95</v>
      </c>
      <c r="H45">
        <v>742.61</v>
      </c>
      <c r="I45">
        <v>740.59</v>
      </c>
      <c r="J45">
        <v>740.22</v>
      </c>
      <c r="K45">
        <v>740.22</v>
      </c>
      <c r="L45">
        <v>741.88</v>
      </c>
      <c r="M45">
        <v>739.49</v>
      </c>
      <c r="N45">
        <v>739.49</v>
      </c>
      <c r="O45">
        <v>739.49</v>
      </c>
    </row>
  </sheetData>
  <mergeCells count="6">
    <mergeCell ref="L1:R1"/>
    <mergeCell ref="A1:A2"/>
    <mergeCell ref="B1:B2"/>
    <mergeCell ref="C1:C2"/>
    <mergeCell ref="D1:D2"/>
    <mergeCell ref="E1:K1"/>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2701-D51A-41BA-BB88-547B837842F7}">
  <dimension ref="A1:Z23"/>
  <sheetViews>
    <sheetView topLeftCell="A3" workbookViewId="0">
      <selection activeCell="L23" sqref="L23"/>
    </sheetView>
  </sheetViews>
  <sheetFormatPr defaultRowHeight="13" x14ac:dyDescent="0.2"/>
  <sheetData>
    <row r="1" spans="1:26" ht="13.5" thickBot="1" x14ac:dyDescent="0.25"/>
    <row r="2" spans="1:26" ht="60.5" thickTop="1" x14ac:dyDescent="0.2">
      <c r="A2" s="9"/>
      <c r="B2" s="10" t="s">
        <v>25</v>
      </c>
      <c r="C2" s="10" t="s">
        <v>26</v>
      </c>
      <c r="D2" s="10" t="s">
        <v>27</v>
      </c>
      <c r="E2" s="10" t="s">
        <v>28</v>
      </c>
      <c r="F2" s="10" t="s">
        <v>29</v>
      </c>
      <c r="G2" s="11" t="s">
        <v>30</v>
      </c>
      <c r="H2" s="11" t="s">
        <v>31</v>
      </c>
      <c r="I2" s="11" t="s">
        <v>32</v>
      </c>
      <c r="J2" s="12" t="s">
        <v>33</v>
      </c>
      <c r="K2" s="13" t="s">
        <v>34</v>
      </c>
      <c r="L2" s="14" t="s">
        <v>35</v>
      </c>
      <c r="M2" s="27" t="s">
        <v>43</v>
      </c>
      <c r="N2" s="27" t="s">
        <v>44</v>
      </c>
      <c r="O2" s="27" t="s">
        <v>45</v>
      </c>
      <c r="P2" s="27" t="s">
        <v>46</v>
      </c>
      <c r="Q2" s="27" t="s">
        <v>47</v>
      </c>
      <c r="R2" s="27" t="s">
        <v>48</v>
      </c>
      <c r="S2" s="27" t="s">
        <v>49</v>
      </c>
      <c r="T2" s="27" t="s">
        <v>50</v>
      </c>
      <c r="U2" s="27" t="s">
        <v>51</v>
      </c>
      <c r="V2" s="27" t="s">
        <v>52</v>
      </c>
      <c r="W2" s="27" t="s">
        <v>53</v>
      </c>
      <c r="X2" s="27" t="s">
        <v>54</v>
      </c>
      <c r="Y2" s="27" t="s">
        <v>55</v>
      </c>
    </row>
    <row r="3" spans="1:26" ht="15" x14ac:dyDescent="0.2">
      <c r="A3" s="15" t="s">
        <v>36</v>
      </c>
      <c r="B3" s="16">
        <v>11023</v>
      </c>
      <c r="C3" s="16">
        <v>10763</v>
      </c>
      <c r="D3" s="16">
        <v>10517</v>
      </c>
      <c r="E3" s="16">
        <v>10236</v>
      </c>
      <c r="F3" s="16">
        <v>10027</v>
      </c>
      <c r="G3" s="17">
        <v>9814</v>
      </c>
      <c r="H3" s="17">
        <v>9596</v>
      </c>
      <c r="I3" s="17">
        <v>9353</v>
      </c>
      <c r="J3" s="18">
        <v>9114</v>
      </c>
      <c r="K3" s="18">
        <v>8954</v>
      </c>
      <c r="L3" s="19">
        <v>8699</v>
      </c>
    </row>
    <row r="4" spans="1:26" ht="15" x14ac:dyDescent="0.2">
      <c r="A4" s="20" t="s">
        <v>37</v>
      </c>
      <c r="B4" s="21">
        <v>2487</v>
      </c>
      <c r="C4" s="21">
        <v>2540</v>
      </c>
      <c r="D4" s="21">
        <v>2601</v>
      </c>
      <c r="E4" s="21">
        <v>2573</v>
      </c>
      <c r="F4" s="21">
        <v>2619</v>
      </c>
      <c r="G4" s="22">
        <v>2581</v>
      </c>
      <c r="H4" s="22">
        <v>2557</v>
      </c>
      <c r="I4" s="22">
        <v>2512</v>
      </c>
      <c r="J4" s="23">
        <v>2453</v>
      </c>
      <c r="K4" s="23">
        <v>2428</v>
      </c>
      <c r="L4" s="24">
        <v>2375</v>
      </c>
    </row>
    <row r="5" spans="1:26" ht="15" x14ac:dyDescent="0.2">
      <c r="A5" s="25" t="s">
        <v>38</v>
      </c>
      <c r="B5" s="21">
        <v>908</v>
      </c>
      <c r="C5" s="21">
        <v>949</v>
      </c>
      <c r="D5" s="21">
        <v>1010</v>
      </c>
      <c r="E5" s="21">
        <v>1046</v>
      </c>
      <c r="F5" s="21">
        <v>1128</v>
      </c>
      <c r="G5" s="22">
        <v>1180</v>
      </c>
      <c r="H5" s="22">
        <v>1196</v>
      </c>
      <c r="I5" s="22">
        <v>1201</v>
      </c>
      <c r="J5" s="23">
        <v>1230</v>
      </c>
      <c r="K5" s="23">
        <v>1218</v>
      </c>
      <c r="L5" s="24">
        <v>1236</v>
      </c>
    </row>
    <row r="6" spans="1:26" ht="15" x14ac:dyDescent="0.2">
      <c r="A6" s="20" t="s">
        <v>39</v>
      </c>
      <c r="B6" s="21">
        <v>92397</v>
      </c>
      <c r="C6" s="21">
        <v>92397</v>
      </c>
      <c r="D6" s="21">
        <v>115147</v>
      </c>
      <c r="E6" s="21">
        <v>126057</v>
      </c>
      <c r="F6" s="21">
        <v>123822</v>
      </c>
      <c r="G6" s="22">
        <v>132480</v>
      </c>
      <c r="H6" s="22">
        <v>141455</v>
      </c>
      <c r="I6" s="22">
        <v>139716</v>
      </c>
      <c r="J6" s="23">
        <v>133569</v>
      </c>
      <c r="K6" s="23">
        <v>136601</v>
      </c>
      <c r="L6" s="24">
        <v>143484</v>
      </c>
    </row>
    <row r="7" spans="1:26" ht="15" x14ac:dyDescent="0.2">
      <c r="A7" s="20" t="s">
        <v>40</v>
      </c>
      <c r="B7" s="21">
        <v>92397</v>
      </c>
      <c r="C7" s="21">
        <v>92397</v>
      </c>
      <c r="D7" s="21">
        <v>109901</v>
      </c>
      <c r="E7" s="21">
        <v>116363</v>
      </c>
      <c r="F7" s="21">
        <v>121416</v>
      </c>
      <c r="G7" s="22">
        <v>129752</v>
      </c>
      <c r="H7" s="22">
        <v>134144</v>
      </c>
      <c r="I7" s="22">
        <v>140013</v>
      </c>
      <c r="J7" s="23">
        <v>131918</v>
      </c>
      <c r="K7" s="23">
        <v>137673</v>
      </c>
      <c r="L7" s="24">
        <v>141103</v>
      </c>
    </row>
    <row r="8" spans="1:26" ht="15" x14ac:dyDescent="0.2">
      <c r="A8" s="20" t="s">
        <v>41</v>
      </c>
      <c r="B8" s="21">
        <v>16335000</v>
      </c>
      <c r="C8" s="21">
        <v>18571000</v>
      </c>
      <c r="D8" s="21">
        <v>19404000</v>
      </c>
      <c r="E8" s="21">
        <v>20438000</v>
      </c>
      <c r="F8" s="21">
        <v>21301000</v>
      </c>
      <c r="G8" s="22">
        <v>23039000</v>
      </c>
      <c r="H8" s="22">
        <v>24134000</v>
      </c>
      <c r="I8" s="22">
        <v>25187000</v>
      </c>
      <c r="J8" s="23">
        <v>23963000</v>
      </c>
      <c r="K8" s="23">
        <v>24015000</v>
      </c>
      <c r="L8" s="24">
        <v>23660000</v>
      </c>
    </row>
    <row r="9" spans="1:26" ht="15" x14ac:dyDescent="0.2">
      <c r="A9" s="20" t="s">
        <v>40</v>
      </c>
      <c r="B9" s="21">
        <v>92397</v>
      </c>
      <c r="C9" s="21">
        <v>92397</v>
      </c>
      <c r="D9" s="21">
        <v>109901</v>
      </c>
      <c r="E9" s="21">
        <v>116363</v>
      </c>
      <c r="F9" s="21">
        <v>121416</v>
      </c>
      <c r="G9" s="22">
        <v>129752</v>
      </c>
      <c r="H9" s="22">
        <v>134144</v>
      </c>
      <c r="I9" s="22">
        <v>140013</v>
      </c>
      <c r="J9" s="23">
        <v>131918</v>
      </c>
      <c r="K9" s="23">
        <v>137673</v>
      </c>
      <c r="L9" s="24">
        <v>141103</v>
      </c>
    </row>
    <row r="10" spans="1:26" ht="15" x14ac:dyDescent="0.2">
      <c r="A10" s="25" t="s">
        <v>42</v>
      </c>
      <c r="B10" s="26">
        <v>105578000</v>
      </c>
      <c r="C10" s="21">
        <v>114501000</v>
      </c>
      <c r="D10" s="21">
        <v>123604000</v>
      </c>
      <c r="E10" s="21">
        <v>98219000</v>
      </c>
      <c r="F10" s="21">
        <v>84617000</v>
      </c>
      <c r="G10" s="22">
        <v>94520000</v>
      </c>
      <c r="H10" s="22">
        <v>92010000</v>
      </c>
      <c r="I10" s="22">
        <v>91414000</v>
      </c>
      <c r="J10" s="23">
        <v>103443000</v>
      </c>
      <c r="K10" s="23">
        <v>98181000</v>
      </c>
      <c r="L10" s="24">
        <v>64460000</v>
      </c>
    </row>
    <row r="12" spans="1:26" x14ac:dyDescent="0.2">
      <c r="G12">
        <f>G4/G3</f>
        <v>0.26299164458936214</v>
      </c>
      <c r="H12">
        <f>H4/H3</f>
        <v>0.26646519383076284</v>
      </c>
      <c r="I12">
        <f t="shared" ref="I12:L12" si="0">I4/I3</f>
        <v>0.26857692718913717</v>
      </c>
      <c r="J12">
        <f t="shared" si="0"/>
        <v>0.26914636822470922</v>
      </c>
      <c r="K12">
        <f t="shared" si="0"/>
        <v>0.27116372570918024</v>
      </c>
      <c r="L12">
        <f t="shared" si="0"/>
        <v>0.27301988734337279</v>
      </c>
      <c r="M12">
        <f>L12+$L$14</f>
        <v>0.27450087406145135</v>
      </c>
      <c r="N12">
        <f>M12+$L$14</f>
        <v>0.27598186077952991</v>
      </c>
      <c r="O12">
        <f>N12+$L$14</f>
        <v>0.27746284749760847</v>
      </c>
      <c r="P12">
        <f>O12+$L$14</f>
        <v>0.27894383421568703</v>
      </c>
      <c r="Q12">
        <f>P12+$L$14</f>
        <v>0.28042482093376558</v>
      </c>
      <c r="R12">
        <f t="shared" ref="R12:Z12" si="1">Q12+$L$14</f>
        <v>0.28190580765184414</v>
      </c>
      <c r="S12">
        <f t="shared" si="1"/>
        <v>0.2833867943699227</v>
      </c>
      <c r="T12">
        <f t="shared" si="1"/>
        <v>0.28486778108800126</v>
      </c>
      <c r="U12">
        <f t="shared" si="1"/>
        <v>0.28634876780607982</v>
      </c>
      <c r="V12">
        <f t="shared" si="1"/>
        <v>0.28782975452415838</v>
      </c>
      <c r="W12">
        <f t="shared" si="1"/>
        <v>0.28931074124223694</v>
      </c>
      <c r="X12">
        <f t="shared" si="1"/>
        <v>0.29079172796031549</v>
      </c>
      <c r="Y12">
        <f t="shared" si="1"/>
        <v>0.29227271467839405</v>
      </c>
      <c r="Z12">
        <f t="shared" si="1"/>
        <v>0.29375370139647261</v>
      </c>
    </row>
    <row r="13" spans="1:26" x14ac:dyDescent="0.2">
      <c r="H13">
        <f>H5/H4</f>
        <v>0.4677356276886977</v>
      </c>
      <c r="I13">
        <f>I12-H12</f>
        <v>2.1117333583743347E-3</v>
      </c>
      <c r="J13">
        <f t="shared" ref="J13:L13" si="2">J12-I12</f>
        <v>5.6944103557204917E-4</v>
      </c>
      <c r="K13">
        <f t="shared" si="2"/>
        <v>2.0173574844710163E-3</v>
      </c>
      <c r="L13">
        <f t="shared" si="2"/>
        <v>1.8561616341925546E-3</v>
      </c>
    </row>
    <row r="14" spans="1:26" x14ac:dyDescent="0.2">
      <c r="L14">
        <f>AVERAGE(J13:L13)</f>
        <v>1.4809867180785401E-3</v>
      </c>
    </row>
    <row r="16" spans="1:26" x14ac:dyDescent="0.2">
      <c r="G16">
        <f>G5/G4</f>
        <v>0.45718713676869432</v>
      </c>
      <c r="H16">
        <f t="shared" ref="H16:L16" si="3">H5/H4</f>
        <v>0.4677356276886977</v>
      </c>
      <c r="I16">
        <f t="shared" si="3"/>
        <v>0.47810509554140129</v>
      </c>
      <c r="J16">
        <f t="shared" si="3"/>
        <v>0.50142682429677943</v>
      </c>
      <c r="K16">
        <f t="shared" si="3"/>
        <v>0.50164744645799009</v>
      </c>
      <c r="L16">
        <f t="shared" si="3"/>
        <v>0.5204210526315789</v>
      </c>
      <c r="M16">
        <f>L16+$L$18</f>
        <v>0.53452637166163808</v>
      </c>
      <c r="N16">
        <f t="shared" ref="N16:Y16" si="4">M16+$L$18</f>
        <v>0.54863169069169726</v>
      </c>
      <c r="O16">
        <f t="shared" si="4"/>
        <v>0.56273700972175644</v>
      </c>
      <c r="P16">
        <f t="shared" si="4"/>
        <v>0.57684232875181563</v>
      </c>
      <c r="Q16">
        <f t="shared" si="4"/>
        <v>0.59094764778187481</v>
      </c>
      <c r="R16">
        <f t="shared" si="4"/>
        <v>0.60505296681193399</v>
      </c>
      <c r="S16">
        <f t="shared" si="4"/>
        <v>0.61915828584199317</v>
      </c>
      <c r="T16">
        <f t="shared" si="4"/>
        <v>0.63326360487205235</v>
      </c>
      <c r="U16">
        <f t="shared" si="4"/>
        <v>0.64736892390211154</v>
      </c>
      <c r="V16">
        <f t="shared" si="4"/>
        <v>0.66147424293217072</v>
      </c>
      <c r="W16">
        <f t="shared" si="4"/>
        <v>0.6755795619622299</v>
      </c>
      <c r="X16">
        <f t="shared" si="4"/>
        <v>0.68968488099228908</v>
      </c>
      <c r="Y16">
        <f t="shared" si="4"/>
        <v>0.70379020002234827</v>
      </c>
    </row>
    <row r="17" spans="7:12" x14ac:dyDescent="0.2">
      <c r="H17">
        <f>H9/H8</f>
        <v>5.5582994944891025E-3</v>
      </c>
      <c r="I17">
        <f>I16-H16</f>
        <v>1.0369467852703596E-2</v>
      </c>
      <c r="J17">
        <f t="shared" ref="J17" si="5">J16-I16</f>
        <v>2.3321728755378135E-2</v>
      </c>
      <c r="K17">
        <f t="shared" ref="K17" si="6">K16-J16</f>
        <v>2.2062216121065958E-4</v>
      </c>
      <c r="L17">
        <f t="shared" ref="L17" si="7">L16-K16</f>
        <v>1.8773606173588808E-2</v>
      </c>
    </row>
    <row r="18" spans="7:12" x14ac:dyDescent="0.2">
      <c r="L18">
        <f>AVERAGE(J17:L17)</f>
        <v>1.4105319030059201E-2</v>
      </c>
    </row>
    <row r="20" spans="7:12" x14ac:dyDescent="0.2">
      <c r="G20">
        <f>G7/G5</f>
        <v>109.9593220338983</v>
      </c>
      <c r="H20">
        <f t="shared" ref="H20:L20" si="8">H7/H5</f>
        <v>112.16053511705685</v>
      </c>
      <c r="I20">
        <f t="shared" si="8"/>
        <v>116.58034970857619</v>
      </c>
      <c r="J20">
        <f t="shared" si="8"/>
        <v>107.25040650406504</v>
      </c>
      <c r="K20">
        <f t="shared" si="8"/>
        <v>113.03201970443349</v>
      </c>
      <c r="L20">
        <f t="shared" si="8"/>
        <v>114.16100323624596</v>
      </c>
    </row>
    <row r="21" spans="7:12" x14ac:dyDescent="0.2">
      <c r="L21">
        <f>AVERAGE(K20:L20)</f>
        <v>113.59651147033972</v>
      </c>
    </row>
    <row r="23" spans="7:12" x14ac:dyDescent="0.2">
      <c r="L23">
        <f>L8/L7</f>
        <v>167.678929576267</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5F59-E019-4079-9BBC-7CEDEC40D32C}">
  <dimension ref="A1:O17"/>
  <sheetViews>
    <sheetView workbookViewId="0"/>
  </sheetViews>
  <sheetFormatPr defaultRowHeight="13" x14ac:dyDescent="0.2"/>
  <sheetData>
    <row r="1" spans="1:15" ht="60.5" thickTop="1" x14ac:dyDescent="0.2">
      <c r="A1" s="9"/>
      <c r="B1" s="10" t="s">
        <v>25</v>
      </c>
      <c r="C1" s="10" t="s">
        <v>26</v>
      </c>
      <c r="D1" s="10" t="s">
        <v>27</v>
      </c>
      <c r="E1" s="10" t="s">
        <v>28</v>
      </c>
      <c r="F1" s="10" t="s">
        <v>29</v>
      </c>
      <c r="G1" s="11" t="s">
        <v>30</v>
      </c>
      <c r="H1" s="11" t="s">
        <v>31</v>
      </c>
      <c r="I1" s="11" t="s">
        <v>32</v>
      </c>
      <c r="J1" s="12" t="s">
        <v>33</v>
      </c>
      <c r="K1" s="13" t="s">
        <v>34</v>
      </c>
      <c r="L1" s="14" t="s">
        <v>35</v>
      </c>
    </row>
    <row r="2" spans="1:15" ht="15" x14ac:dyDescent="0.2">
      <c r="A2" s="15" t="s">
        <v>36</v>
      </c>
      <c r="B2" s="16">
        <v>11023</v>
      </c>
      <c r="C2" s="16">
        <v>10763</v>
      </c>
      <c r="D2" s="16">
        <v>10517</v>
      </c>
      <c r="E2" s="16">
        <v>10235</v>
      </c>
      <c r="F2" s="16">
        <v>10027</v>
      </c>
      <c r="G2" s="17">
        <v>9814</v>
      </c>
      <c r="H2" s="17">
        <v>9596</v>
      </c>
      <c r="I2" s="17">
        <v>9353</v>
      </c>
      <c r="J2" s="18">
        <v>9114</v>
      </c>
      <c r="K2" s="18">
        <v>8954</v>
      </c>
      <c r="L2" s="19">
        <v>8699</v>
      </c>
    </row>
    <row r="3" spans="1:15" ht="15" x14ac:dyDescent="0.2">
      <c r="A3" s="20" t="s">
        <v>60</v>
      </c>
      <c r="B3" s="21">
        <v>1214</v>
      </c>
      <c r="C3" s="21">
        <v>1111</v>
      </c>
      <c r="D3" s="21">
        <v>1101</v>
      </c>
      <c r="E3" s="21">
        <v>1068</v>
      </c>
      <c r="F3" s="21">
        <v>1064</v>
      </c>
      <c r="G3" s="22">
        <v>983</v>
      </c>
      <c r="H3" s="22">
        <v>1018</v>
      </c>
      <c r="I3" s="22">
        <v>954</v>
      </c>
      <c r="J3" s="23">
        <v>959</v>
      </c>
      <c r="K3" s="23">
        <v>954</v>
      </c>
      <c r="L3" s="24">
        <v>867</v>
      </c>
    </row>
    <row r="4" spans="1:15" ht="15" x14ac:dyDescent="0.2">
      <c r="A4" s="25" t="s">
        <v>61</v>
      </c>
      <c r="B4" s="28"/>
      <c r="C4" s="28"/>
      <c r="D4" s="28"/>
      <c r="E4" s="28"/>
      <c r="F4" s="28"/>
      <c r="G4" s="22">
        <v>386</v>
      </c>
      <c r="H4" s="22">
        <v>388</v>
      </c>
      <c r="I4" s="22">
        <v>384</v>
      </c>
      <c r="J4" s="23">
        <v>384</v>
      </c>
      <c r="K4" s="23">
        <v>382</v>
      </c>
      <c r="L4" s="24">
        <v>380</v>
      </c>
    </row>
    <row r="5" spans="1:15" ht="15" x14ac:dyDescent="0.2">
      <c r="A5" s="20" t="s">
        <v>62</v>
      </c>
      <c r="B5" s="21">
        <v>101297</v>
      </c>
      <c r="C5" s="21">
        <v>81334</v>
      </c>
      <c r="D5" s="21">
        <v>73493</v>
      </c>
      <c r="E5" s="21">
        <v>76114</v>
      </c>
      <c r="F5" s="21">
        <v>71592</v>
      </c>
      <c r="G5" s="22">
        <v>76669</v>
      </c>
      <c r="H5" s="22">
        <v>74134</v>
      </c>
      <c r="I5" s="22">
        <v>76664</v>
      </c>
      <c r="J5" s="23">
        <v>83492</v>
      </c>
      <c r="K5" s="23">
        <v>66584</v>
      </c>
      <c r="L5" s="24">
        <v>52420</v>
      </c>
    </row>
    <row r="6" spans="1:15" ht="15" x14ac:dyDescent="0.2">
      <c r="A6" s="20" t="s">
        <v>63</v>
      </c>
      <c r="B6" s="21">
        <v>61696</v>
      </c>
      <c r="C6" s="21">
        <v>63548</v>
      </c>
      <c r="D6" s="21">
        <v>57682</v>
      </c>
      <c r="E6" s="21">
        <v>56577</v>
      </c>
      <c r="F6" s="21">
        <v>56676</v>
      </c>
      <c r="G6" s="22">
        <v>58604</v>
      </c>
      <c r="H6" s="22">
        <v>56491</v>
      </c>
      <c r="I6" s="22">
        <v>56936</v>
      </c>
      <c r="J6" s="23">
        <v>54363</v>
      </c>
      <c r="K6" s="23">
        <v>54695</v>
      </c>
      <c r="L6" s="24">
        <v>51540</v>
      </c>
    </row>
    <row r="7" spans="1:15" ht="15" x14ac:dyDescent="0.2">
      <c r="A7" s="29" t="s">
        <v>64</v>
      </c>
      <c r="B7" s="21">
        <v>13986000</v>
      </c>
      <c r="C7" s="21">
        <v>14450000</v>
      </c>
      <c r="D7" s="21">
        <v>13728000</v>
      </c>
      <c r="E7" s="21">
        <v>13054000</v>
      </c>
      <c r="F7" s="21">
        <v>13668000</v>
      </c>
      <c r="G7" s="22">
        <v>14030000</v>
      </c>
      <c r="H7" s="22">
        <v>14568000</v>
      </c>
      <c r="I7" s="22">
        <v>13861000</v>
      </c>
      <c r="J7" s="23">
        <v>13202000</v>
      </c>
      <c r="K7" s="23">
        <v>12705000</v>
      </c>
      <c r="L7" s="24">
        <v>11841000</v>
      </c>
    </row>
    <row r="8" spans="1:15" x14ac:dyDescent="0.2">
      <c r="B8">
        <f>B3/B2</f>
        <v>0.11013335752517464</v>
      </c>
      <c r="C8">
        <f t="shared" ref="C8:L8" si="0">C3/C2</f>
        <v>0.10322400817615907</v>
      </c>
      <c r="D8">
        <f t="shared" si="0"/>
        <v>0.10468764856898355</v>
      </c>
      <c r="E8">
        <f t="shared" si="0"/>
        <v>0.10434782608695652</v>
      </c>
      <c r="F8">
        <f t="shared" si="0"/>
        <v>0.1061134935673681</v>
      </c>
      <c r="G8">
        <f t="shared" si="0"/>
        <v>0.10016303240269003</v>
      </c>
      <c r="H8">
        <f t="shared" si="0"/>
        <v>0.10608586911213005</v>
      </c>
      <c r="I8">
        <f t="shared" si="0"/>
        <v>0.10199935849460066</v>
      </c>
      <c r="J8">
        <f t="shared" si="0"/>
        <v>0.10522273425499232</v>
      </c>
      <c r="K8">
        <f t="shared" si="0"/>
        <v>0.10654456109001563</v>
      </c>
      <c r="L8">
        <f t="shared" si="0"/>
        <v>9.9666628348085984E-2</v>
      </c>
    </row>
    <row r="12" spans="1:15" x14ac:dyDescent="0.2">
      <c r="C12" s="30">
        <f>B3-C3</f>
        <v>103</v>
      </c>
      <c r="D12" s="30">
        <f t="shared" ref="D12:L12" si="1">C3-D3</f>
        <v>10</v>
      </c>
      <c r="E12" s="30">
        <f t="shared" si="1"/>
        <v>33</v>
      </c>
      <c r="F12" s="30">
        <f t="shared" si="1"/>
        <v>4</v>
      </c>
      <c r="G12" s="30">
        <f t="shared" si="1"/>
        <v>81</v>
      </c>
      <c r="H12" s="30">
        <f t="shared" si="1"/>
        <v>-35</v>
      </c>
      <c r="I12" s="30">
        <f t="shared" si="1"/>
        <v>64</v>
      </c>
      <c r="J12" s="30">
        <f t="shared" si="1"/>
        <v>-5</v>
      </c>
      <c r="K12" s="30">
        <f t="shared" si="1"/>
        <v>5</v>
      </c>
      <c r="L12" s="30">
        <f t="shared" si="1"/>
        <v>87</v>
      </c>
    </row>
    <row r="14" spans="1:15" x14ac:dyDescent="0.2">
      <c r="C14" s="8">
        <f>C6*1000/C3</f>
        <v>57198.919891989201</v>
      </c>
      <c r="D14" s="8">
        <f t="shared" ref="D14:K14" si="2">D6*1000/D3</f>
        <v>52390.554041780197</v>
      </c>
      <c r="E14" s="8">
        <f t="shared" si="2"/>
        <v>52974.719101123599</v>
      </c>
      <c r="F14" s="8">
        <f t="shared" si="2"/>
        <v>53266.917293233084</v>
      </c>
      <c r="G14" s="8">
        <f t="shared" si="2"/>
        <v>59617.497456765006</v>
      </c>
      <c r="H14" s="8">
        <f t="shared" si="2"/>
        <v>55492.141453831042</v>
      </c>
      <c r="I14" s="8">
        <f t="shared" si="2"/>
        <v>59681.341719077565</v>
      </c>
      <c r="J14" s="8">
        <f t="shared" si="2"/>
        <v>56687.174139728886</v>
      </c>
      <c r="K14" s="8">
        <f t="shared" si="2"/>
        <v>57332.285115303981</v>
      </c>
      <c r="L14" s="8">
        <f>L6*1000/L3</f>
        <v>59446.366782006924</v>
      </c>
      <c r="N14">
        <v>51.54</v>
      </c>
      <c r="O14">
        <f>N14*1000</f>
        <v>51540</v>
      </c>
    </row>
    <row r="15" spans="1:15" x14ac:dyDescent="0.2">
      <c r="L15" s="30">
        <f>AVERAGE(J14:L14)</f>
        <v>57821.942012346604</v>
      </c>
    </row>
    <row r="17" spans="12:12" x14ac:dyDescent="0.2">
      <c r="L17">
        <f>L7/L6</f>
        <v>229.74388824214202</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3B71-F3F8-4F69-9491-4FF8FE0DF428}">
  <sheetPr>
    <tabColor theme="3"/>
  </sheetPr>
  <dimension ref="A1:AB46"/>
  <sheetViews>
    <sheetView showGridLines="0" tabSelected="1" zoomScaleNormal="100" zoomScaleSheetLayoutView="100" workbookViewId="0">
      <selection activeCell="A3" sqref="A3:N23"/>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O4" s="42" t="s">
        <v>744</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742</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12500</v>
      </c>
      <c r="F6" s="50">
        <v>0</v>
      </c>
      <c r="G6" s="50">
        <v>0</v>
      </c>
      <c r="H6" s="50">
        <v>0</v>
      </c>
      <c r="I6" s="50">
        <v>11000</v>
      </c>
      <c r="J6" s="50">
        <v>0</v>
      </c>
      <c r="K6" s="50">
        <v>0</v>
      </c>
      <c r="L6" s="50">
        <v>0</v>
      </c>
      <c r="M6" s="50">
        <v>0</v>
      </c>
      <c r="N6" s="51">
        <v>11000</v>
      </c>
      <c r="R6" s="47" t="s">
        <v>321</v>
      </c>
      <c r="T6" s="48">
        <v>16000</v>
      </c>
    </row>
    <row r="7" spans="1:28" s="42" customFormat="1" ht="21.75" hidden="1" customHeight="1" x14ac:dyDescent="0.2">
      <c r="A7" s="347" t="s">
        <v>332</v>
      </c>
      <c r="B7" s="348"/>
      <c r="C7" s="348"/>
      <c r="D7" s="348"/>
      <c r="E7" s="348"/>
      <c r="F7" s="348"/>
      <c r="G7" s="348"/>
      <c r="H7" s="348"/>
      <c r="I7" s="348"/>
      <c r="J7" s="348"/>
      <c r="K7" s="348"/>
      <c r="L7" s="348"/>
      <c r="M7" s="348"/>
      <c r="N7" s="349"/>
      <c r="R7" s="42" t="s">
        <v>319</v>
      </c>
      <c r="T7" s="43">
        <v>10000</v>
      </c>
    </row>
    <row r="8" spans="1:28" s="47" customFormat="1" ht="21.75" hidden="1" customHeight="1" x14ac:dyDescent="0.2">
      <c r="A8" s="350"/>
      <c r="B8" s="351"/>
      <c r="C8" s="44">
        <v>18000</v>
      </c>
      <c r="D8" s="45">
        <v>18000</v>
      </c>
      <c r="E8" s="45"/>
      <c r="F8" s="45"/>
      <c r="G8" s="45"/>
      <c r="H8" s="45"/>
      <c r="I8" s="45"/>
      <c r="J8" s="45"/>
      <c r="K8" s="45"/>
      <c r="L8" s="45"/>
      <c r="M8" s="45"/>
      <c r="N8" s="46"/>
      <c r="R8" s="47" t="s">
        <v>321</v>
      </c>
      <c r="T8" s="48">
        <v>16000</v>
      </c>
    </row>
    <row r="9" spans="1:28" s="42" customFormat="1" ht="21.75" hidden="1" customHeight="1" x14ac:dyDescent="0.2">
      <c r="A9" s="352" t="s">
        <v>322</v>
      </c>
      <c r="B9" s="353"/>
      <c r="C9" s="353"/>
      <c r="D9" s="353"/>
      <c r="E9" s="353"/>
      <c r="F9" s="353"/>
      <c r="G9" s="353"/>
      <c r="H9" s="353"/>
      <c r="I9" s="353"/>
      <c r="J9" s="353"/>
      <c r="K9" s="353"/>
      <c r="L9" s="353"/>
      <c r="M9" s="353"/>
      <c r="N9" s="354"/>
    </row>
    <row r="10" spans="1:28" s="47" customFormat="1" ht="21.75" hidden="1" customHeight="1" x14ac:dyDescent="0.2">
      <c r="A10" s="350" t="s">
        <v>320</v>
      </c>
      <c r="B10" s="351"/>
      <c r="C10" s="49"/>
      <c r="D10" s="50"/>
      <c r="E10" s="50"/>
      <c r="F10" s="50"/>
      <c r="G10" s="50"/>
      <c r="H10" s="50"/>
      <c r="I10" s="50"/>
      <c r="J10" s="50"/>
      <c r="K10" s="50"/>
      <c r="L10" s="50"/>
      <c r="M10" s="50"/>
      <c r="N10" s="51"/>
    </row>
    <row r="11" spans="1:28" s="47" customFormat="1" ht="17.25" customHeight="1" x14ac:dyDescent="0.2">
      <c r="A11" s="355" t="s">
        <v>754</v>
      </c>
      <c r="B11" s="356"/>
      <c r="C11" s="356"/>
      <c r="D11" s="356"/>
      <c r="E11" s="356"/>
      <c r="F11" s="356"/>
      <c r="G11" s="356"/>
      <c r="H11" s="356"/>
      <c r="I11" s="356"/>
      <c r="J11" s="356"/>
      <c r="K11" s="356"/>
      <c r="L11" s="356"/>
      <c r="M11" s="356"/>
      <c r="N11" s="357"/>
    </row>
    <row r="12" spans="1:28" s="47" customFormat="1" ht="21.5" customHeight="1" thickBot="1" x14ac:dyDescent="0.25">
      <c r="A12" s="358" t="s">
        <v>320</v>
      </c>
      <c r="B12" s="359"/>
      <c r="C12" s="44">
        <v>18000</v>
      </c>
      <c r="D12" s="45">
        <v>18000</v>
      </c>
      <c r="E12" s="45">
        <v>80600</v>
      </c>
      <c r="F12" s="45">
        <v>146000</v>
      </c>
      <c r="G12" s="45">
        <v>749000</v>
      </c>
      <c r="H12" s="45">
        <v>50000</v>
      </c>
      <c r="I12" s="45">
        <v>88426</v>
      </c>
      <c r="J12" s="45">
        <v>50000</v>
      </c>
      <c r="K12" s="45">
        <v>50000</v>
      </c>
      <c r="L12" s="45">
        <v>50000</v>
      </c>
      <c r="M12" s="45">
        <v>50000</v>
      </c>
      <c r="N12" s="46">
        <v>58426</v>
      </c>
    </row>
    <row r="13" spans="1:28" s="42" customFormat="1" ht="33.5" hidden="1" thickBot="1" x14ac:dyDescent="0.25">
      <c r="A13" s="340" t="s">
        <v>306</v>
      </c>
      <c r="B13" s="341"/>
      <c r="C13" s="52" t="s">
        <v>307</v>
      </c>
      <c r="D13" s="52" t="s">
        <v>308</v>
      </c>
      <c r="E13" s="40" t="s">
        <v>753</v>
      </c>
      <c r="F13" s="40" t="s">
        <v>743</v>
      </c>
      <c r="G13" s="40" t="s">
        <v>752</v>
      </c>
      <c r="H13" s="40" t="s">
        <v>751</v>
      </c>
      <c r="I13" s="40" t="s">
        <v>750</v>
      </c>
      <c r="J13" s="40" t="s">
        <v>749</v>
      </c>
      <c r="K13" s="40" t="s">
        <v>748</v>
      </c>
      <c r="L13" s="40" t="s">
        <v>747</v>
      </c>
      <c r="M13" s="40" t="s">
        <v>746</v>
      </c>
      <c r="N13" s="41" t="s">
        <v>745</v>
      </c>
    </row>
    <row r="14" spans="1:28" s="42" customFormat="1" ht="24" hidden="1" customHeight="1" thickBot="1" x14ac:dyDescent="0.5">
      <c r="A14" s="360" t="s">
        <v>323</v>
      </c>
      <c r="B14" s="361"/>
      <c r="C14" s="53" t="e">
        <f>#REF!+#REF!+C12+#REF!+#REF!+#REF!+#REF!+C10+#REF!+C8+C6</f>
        <v>#REF!</v>
      </c>
      <c r="D14" s="54" t="e">
        <f>#REF!+#REF!+D12+#REF!+#REF!+#REF!+#REF!+D10+#REF!+D8+D6</f>
        <v>#REF!</v>
      </c>
      <c r="E14" s="55">
        <f>E6+E8+E10+E12</f>
        <v>93100</v>
      </c>
      <c r="F14" s="55">
        <f t="shared" ref="F14:N14" si="0">F6+F8+F10+F12</f>
        <v>146000</v>
      </c>
      <c r="G14" s="55">
        <f t="shared" si="0"/>
        <v>749000</v>
      </c>
      <c r="H14" s="55">
        <f t="shared" si="0"/>
        <v>50000</v>
      </c>
      <c r="I14" s="55">
        <f t="shared" si="0"/>
        <v>99426</v>
      </c>
      <c r="J14" s="55">
        <f t="shared" si="0"/>
        <v>50000</v>
      </c>
      <c r="K14" s="55">
        <f t="shared" si="0"/>
        <v>50000</v>
      </c>
      <c r="L14" s="55">
        <f t="shared" si="0"/>
        <v>50000</v>
      </c>
      <c r="M14" s="55">
        <f t="shared" si="0"/>
        <v>50000</v>
      </c>
      <c r="N14" s="56">
        <f t="shared" si="0"/>
        <v>69426</v>
      </c>
    </row>
    <row r="15" spans="1:28" s="42" customFormat="1" ht="20.25" customHeight="1" x14ac:dyDescent="0.2">
      <c r="A15" s="337" t="s">
        <v>324</v>
      </c>
      <c r="B15" s="338"/>
      <c r="C15" s="338"/>
      <c r="D15" s="338"/>
      <c r="E15" s="338"/>
      <c r="F15" s="338"/>
      <c r="G15" s="338"/>
      <c r="H15" s="338"/>
      <c r="I15" s="338"/>
      <c r="J15" s="338"/>
      <c r="K15" s="338"/>
      <c r="L15" s="338"/>
      <c r="M15" s="338"/>
      <c r="N15" s="339"/>
    </row>
    <row r="16" spans="1:28" s="42" customFormat="1" ht="20.25" customHeight="1" x14ac:dyDescent="0.2">
      <c r="A16" s="372" t="s">
        <v>325</v>
      </c>
      <c r="B16" s="373"/>
      <c r="C16" s="373"/>
      <c r="D16" s="373"/>
      <c r="E16" s="373"/>
      <c r="F16" s="373"/>
      <c r="G16" s="373"/>
      <c r="H16" s="373"/>
      <c r="I16" s="373"/>
      <c r="J16" s="373"/>
      <c r="K16" s="373"/>
      <c r="L16" s="373"/>
      <c r="M16" s="373"/>
      <c r="N16" s="374"/>
    </row>
    <row r="17" spans="1:14" s="42" customFormat="1" ht="20.25" customHeight="1" x14ac:dyDescent="0.2">
      <c r="A17" s="375" t="s">
        <v>320</v>
      </c>
      <c r="B17" s="376"/>
      <c r="C17" s="57"/>
      <c r="D17" s="58"/>
      <c r="E17" s="58">
        <f>ROUND((E14-E6)*50%,0)</f>
        <v>40300</v>
      </c>
      <c r="F17" s="58">
        <f t="shared" ref="F17:N17" si="1">ROUND((F14-F6)*50%,0)</f>
        <v>73000</v>
      </c>
      <c r="G17" s="58">
        <f t="shared" si="1"/>
        <v>374500</v>
      </c>
      <c r="H17" s="58">
        <f t="shared" si="1"/>
        <v>25000</v>
      </c>
      <c r="I17" s="58">
        <f t="shared" si="1"/>
        <v>44213</v>
      </c>
      <c r="J17" s="58">
        <f t="shared" si="1"/>
        <v>25000</v>
      </c>
      <c r="K17" s="58">
        <f t="shared" si="1"/>
        <v>25000</v>
      </c>
      <c r="L17" s="58">
        <f t="shared" si="1"/>
        <v>25000</v>
      </c>
      <c r="M17" s="58">
        <f t="shared" si="1"/>
        <v>25000</v>
      </c>
      <c r="N17" s="59">
        <f t="shared" si="1"/>
        <v>29213</v>
      </c>
    </row>
    <row r="18" spans="1:14" s="42" customFormat="1" ht="20.25" hidden="1" customHeight="1" x14ac:dyDescent="0.2">
      <c r="A18" s="372" t="s">
        <v>326</v>
      </c>
      <c r="B18" s="373"/>
      <c r="C18" s="373"/>
      <c r="D18" s="373"/>
      <c r="E18" s="373"/>
      <c r="F18" s="373"/>
      <c r="G18" s="373"/>
      <c r="H18" s="373"/>
      <c r="I18" s="373"/>
      <c r="J18" s="373"/>
      <c r="K18" s="373"/>
      <c r="L18" s="373"/>
      <c r="M18" s="373"/>
      <c r="N18" s="374"/>
    </row>
    <row r="19" spans="1:14" s="42" customFormat="1" ht="20.25" hidden="1" customHeight="1" x14ac:dyDescent="0.2">
      <c r="A19" s="377" t="s">
        <v>320</v>
      </c>
      <c r="B19" s="378"/>
      <c r="C19" s="60"/>
      <c r="D19" s="61"/>
      <c r="E19" s="61"/>
      <c r="F19" s="61"/>
      <c r="G19" s="61"/>
      <c r="H19" s="61"/>
      <c r="I19" s="61"/>
      <c r="J19" s="61"/>
      <c r="K19" s="61"/>
      <c r="L19" s="61"/>
      <c r="M19" s="61"/>
      <c r="N19" s="62"/>
    </row>
    <row r="20" spans="1:14" s="42" customFormat="1" ht="16.5" x14ac:dyDescent="0.2">
      <c r="A20" s="372" t="s">
        <v>333</v>
      </c>
      <c r="B20" s="373"/>
      <c r="C20" s="373"/>
      <c r="D20" s="373"/>
      <c r="E20" s="373"/>
      <c r="F20" s="373"/>
      <c r="G20" s="373"/>
      <c r="H20" s="373"/>
      <c r="I20" s="373"/>
      <c r="J20" s="373"/>
      <c r="K20" s="373"/>
      <c r="L20" s="373"/>
      <c r="M20" s="373"/>
      <c r="N20" s="374"/>
    </row>
    <row r="21" spans="1:14" s="42" customFormat="1" ht="17" thickBot="1" x14ac:dyDescent="0.25">
      <c r="A21" s="370" t="s">
        <v>320</v>
      </c>
      <c r="B21" s="371"/>
      <c r="C21" s="63"/>
      <c r="D21" s="64"/>
      <c r="E21" s="64">
        <v>46550</v>
      </c>
      <c r="F21" s="64">
        <v>73000</v>
      </c>
      <c r="G21" s="64">
        <v>374500</v>
      </c>
      <c r="H21" s="64">
        <v>25000</v>
      </c>
      <c r="I21" s="64">
        <v>49713</v>
      </c>
      <c r="J21" s="64">
        <v>25000</v>
      </c>
      <c r="K21" s="64">
        <v>25000</v>
      </c>
      <c r="L21" s="64">
        <v>25000</v>
      </c>
      <c r="M21" s="64">
        <v>25000</v>
      </c>
      <c r="N21" s="65">
        <v>34713</v>
      </c>
    </row>
    <row r="22" spans="1:14" s="42" customFormat="1" ht="16.5" x14ac:dyDescent="0.2">
      <c r="A22" s="362" t="s">
        <v>334</v>
      </c>
      <c r="B22" s="363"/>
      <c r="C22" s="363"/>
      <c r="D22" s="363"/>
      <c r="E22" s="363"/>
      <c r="F22" s="363"/>
      <c r="G22" s="363"/>
      <c r="H22" s="363"/>
      <c r="I22" s="363"/>
      <c r="J22" s="363"/>
      <c r="K22" s="363"/>
      <c r="L22" s="363"/>
      <c r="M22" s="363"/>
      <c r="N22" s="364"/>
    </row>
    <row r="23" spans="1:14" s="42" customFormat="1" ht="17" thickBot="1" x14ac:dyDescent="0.25">
      <c r="A23" s="365" t="s">
        <v>320</v>
      </c>
      <c r="B23" s="366"/>
      <c r="C23" s="63"/>
      <c r="D23" s="64"/>
      <c r="E23" s="64">
        <f>E14-E17-E19-E21</f>
        <v>6250</v>
      </c>
      <c r="F23" s="64">
        <f t="shared" ref="F23:N23" si="2">F14-F17-F19-F21</f>
        <v>0</v>
      </c>
      <c r="G23" s="64">
        <f t="shared" si="2"/>
        <v>0</v>
      </c>
      <c r="H23" s="64">
        <f>H14-H17-H19-H21</f>
        <v>0</v>
      </c>
      <c r="I23" s="64">
        <f t="shared" si="2"/>
        <v>5500</v>
      </c>
      <c r="J23" s="64">
        <f t="shared" si="2"/>
        <v>0</v>
      </c>
      <c r="K23" s="64">
        <f t="shared" si="2"/>
        <v>0</v>
      </c>
      <c r="L23" s="64">
        <f t="shared" si="2"/>
        <v>0</v>
      </c>
      <c r="M23" s="64">
        <f t="shared" si="2"/>
        <v>0</v>
      </c>
      <c r="N23" s="65">
        <f t="shared" si="2"/>
        <v>5500</v>
      </c>
    </row>
    <row r="24" spans="1:14" s="42" customFormat="1" ht="20.25" customHeight="1" x14ac:dyDescent="0.2">
      <c r="A24" s="367"/>
      <c r="B24" s="368"/>
      <c r="C24" s="368"/>
      <c r="D24" s="368"/>
      <c r="E24" s="368"/>
      <c r="F24" s="368"/>
      <c r="G24" s="368"/>
      <c r="H24" s="368"/>
      <c r="I24" s="368"/>
      <c r="J24" s="368"/>
      <c r="K24" s="368"/>
      <c r="L24" s="368"/>
      <c r="M24" s="368"/>
      <c r="N24" s="369"/>
    </row>
    <row r="25" spans="1:14" s="42" customFormat="1" ht="20.25" customHeight="1" thickBot="1" x14ac:dyDescent="0.25">
      <c r="A25" s="370" t="s">
        <v>327</v>
      </c>
      <c r="B25" s="371"/>
      <c r="C25" s="66"/>
      <c r="D25" s="67"/>
      <c r="E25" s="67">
        <f>E14-E17-E19-E21-E23</f>
        <v>0</v>
      </c>
      <c r="F25" s="67">
        <f t="shared" ref="F25:N25" si="3">F14-F17-F19-F21-F23</f>
        <v>0</v>
      </c>
      <c r="G25" s="67">
        <f t="shared" si="3"/>
        <v>0</v>
      </c>
      <c r="H25" s="67">
        <f t="shared" si="3"/>
        <v>0</v>
      </c>
      <c r="I25" s="67">
        <f t="shared" si="3"/>
        <v>0</v>
      </c>
      <c r="J25" s="67">
        <f t="shared" si="3"/>
        <v>0</v>
      </c>
      <c r="K25" s="67">
        <f t="shared" si="3"/>
        <v>0</v>
      </c>
      <c r="L25" s="67">
        <f t="shared" si="3"/>
        <v>0</v>
      </c>
      <c r="M25" s="67">
        <f t="shared" si="3"/>
        <v>0</v>
      </c>
      <c r="N25" s="68">
        <f t="shared" si="3"/>
        <v>0</v>
      </c>
    </row>
    <row r="26" spans="1:14" s="42" customFormat="1" ht="15.75" customHeight="1" x14ac:dyDescent="0.2">
      <c r="A26" s="42" t="s">
        <v>328</v>
      </c>
      <c r="C26" s="69"/>
      <c r="D26" s="69"/>
      <c r="E26" s="69"/>
      <c r="F26" s="69"/>
      <c r="G26" s="69"/>
      <c r="H26" s="69"/>
      <c r="I26" s="69"/>
      <c r="J26" s="69"/>
      <c r="K26" s="69"/>
      <c r="L26" s="69"/>
      <c r="M26" s="69"/>
      <c r="N26" s="69"/>
    </row>
    <row r="27" spans="1:14" s="42" customFormat="1" x14ac:dyDescent="0.2">
      <c r="A27" s="42" t="s">
        <v>329</v>
      </c>
      <c r="C27" s="69"/>
      <c r="D27" s="69"/>
      <c r="E27" s="69"/>
      <c r="F27" s="69"/>
      <c r="G27" s="69"/>
      <c r="H27" s="69"/>
      <c r="I27" s="69"/>
      <c r="J27" s="69"/>
      <c r="K27" s="69"/>
      <c r="L27" s="69"/>
      <c r="M27" s="69"/>
      <c r="N27" s="69"/>
    </row>
    <row r="28" spans="1:14" s="42" customFormat="1" x14ac:dyDescent="0.2">
      <c r="B28" s="70" t="s">
        <v>330</v>
      </c>
      <c r="C28" s="69"/>
      <c r="D28" s="69"/>
      <c r="E28" s="69"/>
      <c r="F28" s="69"/>
      <c r="G28" s="69"/>
      <c r="H28" s="69"/>
      <c r="I28" s="69"/>
      <c r="J28" s="69"/>
      <c r="K28" s="69"/>
      <c r="L28" s="69"/>
      <c r="M28" s="69"/>
      <c r="N28" s="69"/>
    </row>
    <row r="29" spans="1:14" s="42" customFormat="1" x14ac:dyDescent="0.2">
      <c r="C29" s="69">
        <f t="shared" ref="C29:N29" si="4">SUM(C17:C23)</f>
        <v>0</v>
      </c>
      <c r="D29" s="69">
        <f t="shared" si="4"/>
        <v>0</v>
      </c>
      <c r="E29" s="69">
        <f t="shared" si="4"/>
        <v>93100</v>
      </c>
      <c r="F29" s="69">
        <f t="shared" si="4"/>
        <v>146000</v>
      </c>
      <c r="G29" s="69">
        <f t="shared" si="4"/>
        <v>749000</v>
      </c>
      <c r="H29" s="69">
        <f t="shared" si="4"/>
        <v>50000</v>
      </c>
      <c r="I29" s="69">
        <f t="shared" si="4"/>
        <v>99426</v>
      </c>
      <c r="J29" s="69">
        <f t="shared" si="4"/>
        <v>50000</v>
      </c>
      <c r="K29" s="69">
        <f t="shared" si="4"/>
        <v>50000</v>
      </c>
      <c r="L29" s="69">
        <f t="shared" si="4"/>
        <v>50000</v>
      </c>
      <c r="M29" s="69">
        <f t="shared" si="4"/>
        <v>50000</v>
      </c>
      <c r="N29" s="69">
        <f t="shared" si="4"/>
        <v>69426</v>
      </c>
    </row>
    <row r="31" spans="1:14" x14ac:dyDescent="0.2">
      <c r="C31" s="72" t="e">
        <f t="shared" ref="C31:N31" si="5">C14-C29</f>
        <v>#REF!</v>
      </c>
      <c r="D31" s="72" t="e">
        <f t="shared" si="5"/>
        <v>#REF!</v>
      </c>
      <c r="E31" s="72">
        <f t="shared" si="5"/>
        <v>0</v>
      </c>
      <c r="F31" s="72">
        <f t="shared" si="5"/>
        <v>0</v>
      </c>
      <c r="G31" s="72">
        <f t="shared" si="5"/>
        <v>0</v>
      </c>
      <c r="H31" s="72">
        <f t="shared" si="5"/>
        <v>0</v>
      </c>
      <c r="I31" s="72">
        <f t="shared" si="5"/>
        <v>0</v>
      </c>
      <c r="J31" s="72">
        <f t="shared" si="5"/>
        <v>0</v>
      </c>
      <c r="K31" s="72">
        <f t="shared" si="5"/>
        <v>0</v>
      </c>
      <c r="L31" s="72">
        <f t="shared" si="5"/>
        <v>0</v>
      </c>
      <c r="M31" s="72">
        <f t="shared" si="5"/>
        <v>0</v>
      </c>
      <c r="N31" s="72">
        <f t="shared" si="5"/>
        <v>0</v>
      </c>
    </row>
    <row r="33" spans="3:14" x14ac:dyDescent="0.2">
      <c r="C33" s="72">
        <f t="shared" ref="C33:N33" si="6">SUM(C17,C19,C23)</f>
        <v>0</v>
      </c>
      <c r="D33" s="72">
        <f t="shared" si="6"/>
        <v>0</v>
      </c>
      <c r="E33" s="72">
        <f t="shared" si="6"/>
        <v>46550</v>
      </c>
      <c r="F33" s="72">
        <f t="shared" si="6"/>
        <v>73000</v>
      </c>
      <c r="G33" s="72">
        <f t="shared" si="6"/>
        <v>374500</v>
      </c>
      <c r="H33" s="72">
        <f t="shared" si="6"/>
        <v>25000</v>
      </c>
      <c r="I33" s="72">
        <f t="shared" si="6"/>
        <v>49713</v>
      </c>
      <c r="J33" s="72">
        <f t="shared" si="6"/>
        <v>25000</v>
      </c>
      <c r="K33" s="72">
        <f t="shared" si="6"/>
        <v>25000</v>
      </c>
      <c r="L33" s="72">
        <f t="shared" si="6"/>
        <v>25000</v>
      </c>
      <c r="M33" s="72">
        <f t="shared" si="6"/>
        <v>25000</v>
      </c>
      <c r="N33" s="72">
        <f t="shared" si="6"/>
        <v>34713</v>
      </c>
    </row>
    <row r="37" spans="3:14" x14ac:dyDescent="0.2">
      <c r="E37" s="72" t="e">
        <f>#REF!+#REF!</f>
        <v>#REF!</v>
      </c>
      <c r="F37" s="72" t="e">
        <f>#REF!+#REF!</f>
        <v>#REF!</v>
      </c>
      <c r="G37" s="72" t="e">
        <f>#REF!+#REF!</f>
        <v>#REF!</v>
      </c>
      <c r="H37" s="72" t="e">
        <f>#REF!+#REF!</f>
        <v>#REF!</v>
      </c>
      <c r="I37" s="72" t="e">
        <f>#REF!+#REF!</f>
        <v>#REF!</v>
      </c>
      <c r="J37" s="72" t="e">
        <f>#REF!+#REF!</f>
        <v>#REF!</v>
      </c>
      <c r="K37" s="72" t="e">
        <f>#REF!+#REF!</f>
        <v>#REF!</v>
      </c>
      <c r="L37" s="72" t="e">
        <f>#REF!+#REF!</f>
        <v>#REF!</v>
      </c>
      <c r="M37" s="72" t="e">
        <f>#REF!+#REF!</f>
        <v>#REF!</v>
      </c>
      <c r="N37" s="72" t="e">
        <f>#REF!+#REF!</f>
        <v>#REF!</v>
      </c>
    </row>
    <row r="38" spans="3:14" x14ac:dyDescent="0.2">
      <c r="E38" s="72" t="e">
        <f>E14-E37</f>
        <v>#REF!</v>
      </c>
      <c r="F38" s="72" t="e">
        <f t="shared" ref="F38:N38" si="7">F14-F37</f>
        <v>#REF!</v>
      </c>
      <c r="G38" s="72" t="e">
        <f t="shared" si="7"/>
        <v>#REF!</v>
      </c>
      <c r="H38" s="72" t="e">
        <f t="shared" si="7"/>
        <v>#REF!</v>
      </c>
      <c r="I38" s="72" t="e">
        <f t="shared" si="7"/>
        <v>#REF!</v>
      </c>
      <c r="J38" s="72" t="e">
        <f t="shared" si="7"/>
        <v>#REF!</v>
      </c>
      <c r="K38" s="72" t="e">
        <f t="shared" si="7"/>
        <v>#REF!</v>
      </c>
      <c r="L38" s="72" t="e">
        <f t="shared" si="7"/>
        <v>#REF!</v>
      </c>
      <c r="M38" s="72" t="e">
        <f t="shared" si="7"/>
        <v>#REF!</v>
      </c>
      <c r="N38" s="72" t="e">
        <f t="shared" si="7"/>
        <v>#REF!</v>
      </c>
    </row>
    <row r="39" spans="3:14" x14ac:dyDescent="0.2">
      <c r="F39" s="72">
        <v>200</v>
      </c>
      <c r="G39" s="73">
        <v>0.4</v>
      </c>
      <c r="H39" s="73">
        <f>F39/G39</f>
        <v>500</v>
      </c>
    </row>
    <row r="40" spans="3:14" x14ac:dyDescent="0.2">
      <c r="G40" s="72">
        <v>0.6</v>
      </c>
      <c r="H40" s="72">
        <f>F39/G40</f>
        <v>333.33333333333337</v>
      </c>
    </row>
    <row r="42" spans="3:14" x14ac:dyDescent="0.2">
      <c r="E42" s="72" t="s">
        <v>331</v>
      </c>
    </row>
    <row r="46" spans="3:14" x14ac:dyDescent="0.2">
      <c r="E46" s="72" t="e">
        <f>ROUND((E6+E8+E10+#REF!+#REF!)*45%,0)</f>
        <v>#REF!</v>
      </c>
      <c r="F46" s="72" t="e">
        <f>ROUND((F6+F8+F10+#REF!+#REF!)*45%,0)</f>
        <v>#REF!</v>
      </c>
      <c r="G46" s="72" t="e">
        <f>ROUND((G6+G8+G10+#REF!+#REF!)*45%,0)</f>
        <v>#REF!</v>
      </c>
      <c r="H46" s="72" t="e">
        <f>ROUND((H6+H8+H10+#REF!+#REF!)*45%,0)</f>
        <v>#REF!</v>
      </c>
      <c r="I46" s="72" t="e">
        <f>ROUND((I6+I8+I10+#REF!+#REF!)*45%,0)</f>
        <v>#REF!</v>
      </c>
      <c r="J46" s="72" t="e">
        <f>ROUND((J6+J8+J10+#REF!+#REF!)*45%,0)</f>
        <v>#REF!</v>
      </c>
      <c r="K46" s="72" t="e">
        <f>ROUND((K6+K8+K10+#REF!+#REF!)*45%,0)</f>
        <v>#REF!</v>
      </c>
      <c r="L46" s="72" t="e">
        <f>ROUND((L6+L8+L10+#REF!+#REF!)*45%,0)</f>
        <v>#REF!</v>
      </c>
      <c r="M46" s="72" t="e">
        <f>ROUND((M6+M8+M10+#REF!+#REF!)*45%,0)</f>
        <v>#REF!</v>
      </c>
      <c r="N46" s="72" t="e">
        <f>ROUND((N6+N8+N10+#REF!+#REF!)*45%,0)</f>
        <v>#REF!</v>
      </c>
    </row>
  </sheetData>
  <mergeCells count="22">
    <mergeCell ref="A22:N22"/>
    <mergeCell ref="A23:B23"/>
    <mergeCell ref="A24:N24"/>
    <mergeCell ref="A25:B25"/>
    <mergeCell ref="A16:N16"/>
    <mergeCell ref="A17:B17"/>
    <mergeCell ref="A18:N18"/>
    <mergeCell ref="A19:B19"/>
    <mergeCell ref="A20:N20"/>
    <mergeCell ref="A21:B21"/>
    <mergeCell ref="A15:N15"/>
    <mergeCell ref="A4:B4"/>
    <mergeCell ref="A5:N5"/>
    <mergeCell ref="A6:B6"/>
    <mergeCell ref="A7:N7"/>
    <mergeCell ref="A8:B8"/>
    <mergeCell ref="A9:N9"/>
    <mergeCell ref="A10:B10"/>
    <mergeCell ref="A11:N11"/>
    <mergeCell ref="A12:B12"/>
    <mergeCell ref="A13:B13"/>
    <mergeCell ref="A14:B14"/>
  </mergeCells>
  <phoneticPr fontId="2"/>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0F27-B71A-4644-8DF7-23E03C1E20DA}">
  <sheetPr>
    <tabColor theme="4"/>
  </sheetPr>
  <dimension ref="A1:AY161"/>
  <sheetViews>
    <sheetView showGridLines="0" topLeftCell="A103" zoomScale="96" zoomScaleNormal="96" zoomScaleSheetLayoutView="112" workbookViewId="0">
      <selection activeCell="O103" sqref="O103"/>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ROUND(P53*$AT$21,0)</f>
        <v>109223</v>
      </c>
      <c r="Q16" s="78">
        <f t="shared" ref="Q16:R16" si="2">ROUND(Q53*$AT$21,0)</f>
        <v>109886</v>
      </c>
      <c r="R16" s="78">
        <f t="shared" si="2"/>
        <v>111329</v>
      </c>
      <c r="S16" s="78">
        <f>ROUND(S53*$AT$21,0)-15000</f>
        <v>117988</v>
      </c>
      <c r="T16" s="78">
        <f>ROUND(T53*$AT$21,0)-16000</f>
        <v>117748</v>
      </c>
      <c r="U16" s="78">
        <f>ROUND(U53*$AT$21,0)-17000</f>
        <v>118784</v>
      </c>
      <c r="V16" s="78">
        <f>ROUND(V53*$AT$21,0)-18000</f>
        <v>119166</v>
      </c>
      <c r="W16" s="78">
        <f>ROUND(W53*$AT$21,0)-19000</f>
        <v>119595</v>
      </c>
      <c r="X16" s="78">
        <f>ROUND(X53*$AT$21,0)-20000</f>
        <v>119785</v>
      </c>
      <c r="Y16" s="78">
        <f>ROUND(Y53*$AT$21,0)-21000</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6" x14ac:dyDescent="0.55000000000000004">
      <c r="J17" s="77" t="s">
        <v>378</v>
      </c>
      <c r="K17" s="78"/>
      <c r="L17" s="78"/>
      <c r="M17" s="78"/>
      <c r="N17" s="78"/>
      <c r="O17" s="78"/>
      <c r="P17" s="78">
        <f>P28</f>
        <v>61771</v>
      </c>
      <c r="Q17" s="78">
        <f t="shared" ref="Q17:Y17" si="3">Q28</f>
        <v>61647</v>
      </c>
      <c r="R17" s="78">
        <f t="shared" si="3"/>
        <v>61538</v>
      </c>
      <c r="S17" s="78">
        <f t="shared" si="3"/>
        <v>61414</v>
      </c>
      <c r="T17" s="78">
        <f t="shared" si="3"/>
        <v>61306</v>
      </c>
      <c r="U17" s="78">
        <f t="shared" si="3"/>
        <v>60964</v>
      </c>
      <c r="V17" s="78">
        <f t="shared" si="3"/>
        <v>60808</v>
      </c>
      <c r="W17" s="78">
        <f t="shared" si="3"/>
        <v>60638</v>
      </c>
      <c r="X17" s="78">
        <f t="shared" si="3"/>
        <v>60482</v>
      </c>
      <c r="Y17" s="78">
        <f t="shared" si="3"/>
        <v>60342</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6" x14ac:dyDescent="0.55000000000000004">
      <c r="J18" s="77" t="s">
        <v>379</v>
      </c>
      <c r="K18" s="82"/>
      <c r="L18" s="82"/>
      <c r="M18" s="82"/>
      <c r="N18" s="82"/>
      <c r="O18" s="82"/>
      <c r="P18" s="82">
        <f>P17/P16</f>
        <v>0.56554938062495996</v>
      </c>
      <c r="Q18" s="82">
        <f t="shared" ref="Q18:AR18" si="4">Q17/Q16</f>
        <v>0.56100868172469653</v>
      </c>
      <c r="R18" s="82">
        <f t="shared" si="4"/>
        <v>0.55275804148065644</v>
      </c>
      <c r="S18" s="82">
        <f t="shared" si="4"/>
        <v>0.52051056039597243</v>
      </c>
      <c r="T18" s="82">
        <f t="shared" si="4"/>
        <v>0.52065427862893632</v>
      </c>
      <c r="U18" s="82">
        <f t="shared" si="4"/>
        <v>0.51323410560344829</v>
      </c>
      <c r="V18" s="82">
        <f t="shared" si="4"/>
        <v>0.5102797777889666</v>
      </c>
      <c r="W18" s="82">
        <f t="shared" si="4"/>
        <v>0.50702788578117819</v>
      </c>
      <c r="X18" s="82">
        <f t="shared" si="4"/>
        <v>0.50492131736027046</v>
      </c>
      <c r="Y18" s="82">
        <f t="shared" si="4"/>
        <v>0.50791219150870337</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6" x14ac:dyDescent="0.55000000000000004">
      <c r="J19" s="77" t="s">
        <v>380</v>
      </c>
      <c r="K19" s="78"/>
      <c r="L19" s="78"/>
      <c r="M19" s="78"/>
      <c r="N19" s="78"/>
      <c r="O19" s="78"/>
      <c r="P19" s="78">
        <f>予測!F21</f>
        <v>362295</v>
      </c>
      <c r="Q19" s="78">
        <f>予測!G21</f>
        <v>361566</v>
      </c>
      <c r="R19" s="78">
        <f>予測!H21</f>
        <v>360928</v>
      </c>
      <c r="S19" s="78">
        <f>予測!I21</f>
        <v>360199</v>
      </c>
      <c r="T19" s="78">
        <f>予測!J21</f>
        <v>359562</v>
      </c>
      <c r="U19" s="78">
        <f>予測!K21</f>
        <v>357557</v>
      </c>
      <c r="V19" s="78">
        <f>予測!L21</f>
        <v>356646</v>
      </c>
      <c r="W19" s="78">
        <f>予測!M21</f>
        <v>355644</v>
      </c>
      <c r="X19" s="78">
        <f>予測!N21</f>
        <v>354733</v>
      </c>
      <c r="Y19" s="78">
        <f>予測!O21</f>
        <v>353913</v>
      </c>
      <c r="Z19" s="78">
        <f t="shared" ref="Z19:AR19" si="5">Z8</f>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c r="AT19" s="146">
        <v>109686</v>
      </c>
    </row>
    <row r="20" spans="2:46" x14ac:dyDescent="0.55000000000000004">
      <c r="J20" s="77" t="s">
        <v>381</v>
      </c>
      <c r="K20" s="78"/>
      <c r="L20" s="78"/>
      <c r="M20" s="78"/>
      <c r="N20" s="78"/>
      <c r="O20" s="78"/>
      <c r="P20" s="78">
        <f>P16/P19*1000</f>
        <v>301.4753170759</v>
      </c>
      <c r="Q20" s="78">
        <f t="shared" ref="Q20:AR20" si="6">Q16/Q19*1000</f>
        <v>303.9168505888</v>
      </c>
      <c r="R20" s="78">
        <f t="shared" si="6"/>
        <v>308.4521012501</v>
      </c>
      <c r="S20" s="78">
        <f t="shared" si="6"/>
        <v>327.5633746901</v>
      </c>
      <c r="T20" s="78">
        <f t="shared" si="6"/>
        <v>327.4762071632</v>
      </c>
      <c r="U20" s="78">
        <f t="shared" si="6"/>
        <v>332.2099693196</v>
      </c>
      <c r="V20" s="78">
        <f t="shared" si="6"/>
        <v>334.1296411568</v>
      </c>
      <c r="W20" s="78">
        <f t="shared" si="6"/>
        <v>336.2772885245</v>
      </c>
      <c r="X20" s="78">
        <f t="shared" si="6"/>
        <v>337.6765059918</v>
      </c>
      <c r="Y20" s="78">
        <f t="shared" si="6"/>
        <v>335.6870191262</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c r="AT20" s="146">
        <v>175739</v>
      </c>
    </row>
    <row r="21" spans="2:46" x14ac:dyDescent="0.55000000000000004">
      <c r="J21" s="77" t="s">
        <v>382</v>
      </c>
      <c r="K21" s="82"/>
      <c r="L21" s="82"/>
      <c r="M21" s="82"/>
      <c r="N21" s="83"/>
      <c r="O21" s="82"/>
      <c r="P21" s="82">
        <f t="shared" ref="P21:AR21" si="7">P37/P53</f>
        <v>1.0950930587381498</v>
      </c>
      <c r="Q21" s="82">
        <f t="shared" si="7"/>
        <v>1.0762414872287132</v>
      </c>
      <c r="R21" s="82">
        <f t="shared" si="7"/>
        <v>1.0577672379478726</v>
      </c>
      <c r="S21" s="82">
        <f t="shared" si="7"/>
        <v>1.0340305904549145</v>
      </c>
      <c r="T21" s="82">
        <f t="shared" si="7"/>
        <v>1.0200101730823974</v>
      </c>
      <c r="U21" s="82">
        <f t="shared" si="7"/>
        <v>1.0053412271952122</v>
      </c>
      <c r="V21" s="82">
        <f t="shared" si="7"/>
        <v>0.99220541662116413</v>
      </c>
      <c r="W21" s="82">
        <f t="shared" si="7"/>
        <v>0.97954579229657246</v>
      </c>
      <c r="X21" s="82">
        <f t="shared" si="7"/>
        <v>0.96740101087674801</v>
      </c>
      <c r="Y21" s="82">
        <f t="shared" si="7"/>
        <v>0.95539612668196472</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c r="AT21" s="75">
        <f>AT19/AT20</f>
        <v>0.62414148253944768</v>
      </c>
    </row>
    <row r="23" spans="2:46" x14ac:dyDescent="0.55000000000000004">
      <c r="P23" s="143">
        <f>P49-P35+P51</f>
        <v>47112</v>
      </c>
      <c r="Q23" s="143">
        <f t="shared" ref="Q23:Y23" si="8">Q49-Q35+Q51</f>
        <v>44631</v>
      </c>
      <c r="R23" s="143">
        <f t="shared" si="8"/>
        <v>41592</v>
      </c>
      <c r="S23" s="143">
        <f t="shared" si="8"/>
        <v>60280</v>
      </c>
      <c r="T23" s="143">
        <f t="shared" si="8"/>
        <v>58152</v>
      </c>
      <c r="U23" s="143">
        <f t="shared" si="8"/>
        <v>59445</v>
      </c>
      <c r="V23" s="143">
        <f t="shared" si="8"/>
        <v>60068</v>
      </c>
      <c r="W23" s="143">
        <f t="shared" si="8"/>
        <v>60745</v>
      </c>
      <c r="X23" s="143">
        <f t="shared" si="8"/>
        <v>61312</v>
      </c>
      <c r="Y23" s="143">
        <f t="shared" si="8"/>
        <v>60864</v>
      </c>
    </row>
    <row r="24" spans="2:46" x14ac:dyDescent="0.55000000000000004">
      <c r="J24" s="84" t="s">
        <v>383</v>
      </c>
    </row>
    <row r="25" spans="2:46"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6"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6"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9">SUM(P28:P30)</f>
        <v>61841</v>
      </c>
      <c r="Q27" s="97">
        <f t="shared" si="9"/>
        <v>61717</v>
      </c>
      <c r="R27" s="97">
        <f t="shared" si="9"/>
        <v>61608</v>
      </c>
      <c r="S27" s="97">
        <f t="shared" si="9"/>
        <v>61484</v>
      </c>
      <c r="T27" s="97">
        <f t="shared" si="9"/>
        <v>61376</v>
      </c>
      <c r="U27" s="97">
        <f t="shared" si="9"/>
        <v>61034</v>
      </c>
      <c r="V27" s="97">
        <f t="shared" si="9"/>
        <v>60878</v>
      </c>
      <c r="W27" s="97">
        <f t="shared" si="9"/>
        <v>60708</v>
      </c>
      <c r="X27" s="97">
        <f t="shared" si="9"/>
        <v>60552</v>
      </c>
      <c r="Y27" s="97">
        <f t="shared" si="9"/>
        <v>60412</v>
      </c>
      <c r="Z27" s="98" t="e">
        <f t="shared" si="9"/>
        <v>#REF!</v>
      </c>
      <c r="AA27" s="98" t="e">
        <f t="shared" si="9"/>
        <v>#REF!</v>
      </c>
      <c r="AB27" s="98" t="e">
        <f t="shared" si="9"/>
        <v>#REF!</v>
      </c>
      <c r="AC27" s="98" t="e">
        <f t="shared" si="9"/>
        <v>#REF!</v>
      </c>
      <c r="AD27" s="98" t="e">
        <f t="shared" si="9"/>
        <v>#REF!</v>
      </c>
      <c r="AE27" s="98" t="e">
        <f t="shared" si="9"/>
        <v>#REF!</v>
      </c>
      <c r="AF27" s="98" t="e">
        <f t="shared" si="9"/>
        <v>#REF!</v>
      </c>
      <c r="AG27" s="98" t="e">
        <f t="shared" si="9"/>
        <v>#REF!</v>
      </c>
      <c r="AH27" s="98" t="e">
        <f t="shared" si="9"/>
        <v>#REF!</v>
      </c>
      <c r="AI27" s="98" t="e">
        <f t="shared" si="9"/>
        <v>#REF!</v>
      </c>
      <c r="AJ27" s="98" t="e">
        <f t="shared" si="9"/>
        <v>#REF!</v>
      </c>
      <c r="AK27" s="98" t="e">
        <f t="shared" si="9"/>
        <v>#REF!</v>
      </c>
      <c r="AL27" s="98" t="e">
        <f t="shared" si="9"/>
        <v>#REF!</v>
      </c>
      <c r="AM27" s="98" t="e">
        <f t="shared" si="9"/>
        <v>#REF!</v>
      </c>
      <c r="AN27" s="98" t="e">
        <f t="shared" si="9"/>
        <v>#REF!</v>
      </c>
      <c r="AO27" s="98" t="e">
        <f t="shared" si="9"/>
        <v>#REF!</v>
      </c>
      <c r="AP27" s="98" t="e">
        <f t="shared" si="9"/>
        <v>#REF!</v>
      </c>
      <c r="AQ27" s="98" t="e">
        <f t="shared" si="9"/>
        <v>#REF!</v>
      </c>
      <c r="AR27" s="98" t="e">
        <f t="shared" si="9"/>
        <v>#REF!</v>
      </c>
    </row>
    <row r="28" spans="2:46" ht="16" customHeight="1" x14ac:dyDescent="0.55000000000000004">
      <c r="B28" s="384"/>
      <c r="C28" s="384"/>
      <c r="D28" s="99" t="s">
        <v>391</v>
      </c>
      <c r="E28" s="100"/>
      <c r="F28" s="387" t="s">
        <v>392</v>
      </c>
      <c r="G28" s="387"/>
      <c r="H28" s="387"/>
      <c r="I28" s="387"/>
      <c r="J28" s="388"/>
      <c r="K28" s="102"/>
      <c r="L28" s="102"/>
      <c r="M28" s="102"/>
      <c r="N28" s="102"/>
      <c r="O28" s="102"/>
      <c r="P28" s="102">
        <f>予測!F25</f>
        <v>61771</v>
      </c>
      <c r="Q28" s="102">
        <f>予測!G25</f>
        <v>61647</v>
      </c>
      <c r="R28" s="102">
        <f>予測!H25</f>
        <v>61538</v>
      </c>
      <c r="S28" s="102">
        <f>予測!I25</f>
        <v>61414</v>
      </c>
      <c r="T28" s="102">
        <f>予測!J25</f>
        <v>61306</v>
      </c>
      <c r="U28" s="102">
        <f>予測!K25</f>
        <v>60964</v>
      </c>
      <c r="V28" s="102">
        <f>予測!L25</f>
        <v>60808</v>
      </c>
      <c r="W28" s="102">
        <f>予測!M25</f>
        <v>60638</v>
      </c>
      <c r="X28" s="102">
        <f>予測!N25</f>
        <v>60482</v>
      </c>
      <c r="Y28" s="102">
        <f>予測!O25</f>
        <v>60342</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6"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6"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10">Q30</f>
        <v>70</v>
      </c>
      <c r="S30" s="102">
        <f t="shared" si="10"/>
        <v>70</v>
      </c>
      <c r="T30" s="102">
        <f t="shared" si="10"/>
        <v>70</v>
      </c>
      <c r="U30" s="102">
        <f t="shared" si="10"/>
        <v>70</v>
      </c>
      <c r="V30" s="102">
        <f t="shared" si="10"/>
        <v>70</v>
      </c>
      <c r="W30" s="102">
        <f t="shared" si="10"/>
        <v>70</v>
      </c>
      <c r="X30" s="102">
        <f t="shared" si="10"/>
        <v>70</v>
      </c>
      <c r="Y30" s="102">
        <f t="shared" si="10"/>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6" ht="16" customHeight="1" x14ac:dyDescent="0.55000000000000004">
      <c r="B31" s="384"/>
      <c r="C31" s="384"/>
      <c r="D31" s="94" t="s">
        <v>397</v>
      </c>
      <c r="E31" s="386" t="s">
        <v>398</v>
      </c>
      <c r="F31" s="386"/>
      <c r="G31" s="386"/>
      <c r="H31" s="386"/>
      <c r="I31" s="95"/>
      <c r="J31" s="96"/>
      <c r="K31" s="97"/>
      <c r="L31" s="97"/>
      <c r="M31" s="97"/>
      <c r="N31" s="97"/>
      <c r="O31" s="97"/>
      <c r="P31" s="97">
        <f t="shared" ref="P31:Y31" si="11">P32+P35+P36</f>
        <v>129797</v>
      </c>
      <c r="Q31" s="97">
        <f t="shared" si="11"/>
        <v>127765</v>
      </c>
      <c r="R31" s="97">
        <f t="shared" si="11"/>
        <v>127067</v>
      </c>
      <c r="S31" s="97">
        <f t="shared" si="11"/>
        <v>158840</v>
      </c>
      <c r="T31" s="97">
        <f t="shared" si="11"/>
        <v>157203</v>
      </c>
      <c r="U31" s="97">
        <f t="shared" si="11"/>
        <v>157681</v>
      </c>
      <c r="V31" s="97">
        <f t="shared" si="11"/>
        <v>157177</v>
      </c>
      <c r="W31" s="97">
        <f t="shared" si="11"/>
        <v>156807</v>
      </c>
      <c r="X31" s="97">
        <f t="shared" si="11"/>
        <v>156111</v>
      </c>
      <c r="Y31" s="97">
        <f t="shared" si="11"/>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6" ht="16" customHeight="1" x14ac:dyDescent="0.55000000000000004">
      <c r="B32" s="384"/>
      <c r="C32" s="384"/>
      <c r="D32" s="104" t="s">
        <v>391</v>
      </c>
      <c r="E32" s="105"/>
      <c r="F32" s="389" t="s">
        <v>399</v>
      </c>
      <c r="G32" s="389"/>
      <c r="H32" s="389"/>
      <c r="I32" s="389"/>
      <c r="J32" s="390"/>
      <c r="K32" s="106"/>
      <c r="L32" s="106"/>
      <c r="M32" s="106"/>
      <c r="N32" s="106"/>
      <c r="O32" s="106"/>
      <c r="P32" s="106">
        <f t="shared" ref="P32:Y32" si="12">P33+P34</f>
        <v>88514</v>
      </c>
      <c r="Q32" s="106">
        <f t="shared" si="12"/>
        <v>83963</v>
      </c>
      <c r="R32" s="106">
        <f t="shared" si="12"/>
        <v>78957</v>
      </c>
      <c r="S32" s="106">
        <f t="shared" si="12"/>
        <v>95777</v>
      </c>
      <c r="T32" s="106">
        <f t="shared" si="12"/>
        <v>91874</v>
      </c>
      <c r="U32" s="106">
        <f t="shared" si="12"/>
        <v>91481</v>
      </c>
      <c r="V32" s="106">
        <f t="shared" si="12"/>
        <v>90502</v>
      </c>
      <c r="W32" s="106">
        <f t="shared" si="12"/>
        <v>89657</v>
      </c>
      <c r="X32" s="106">
        <f t="shared" si="12"/>
        <v>88778</v>
      </c>
      <c r="Y32" s="106">
        <f t="shared" si="12"/>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88514</v>
      </c>
      <c r="Q33" s="102">
        <f>Q101</f>
        <v>83963</v>
      </c>
      <c r="R33" s="102">
        <f t="shared" ref="R33:Y33" si="13">R101</f>
        <v>78957</v>
      </c>
      <c r="S33" s="102">
        <f t="shared" si="13"/>
        <v>95777</v>
      </c>
      <c r="T33" s="102">
        <f t="shared" si="13"/>
        <v>91874</v>
      </c>
      <c r="U33" s="102">
        <f t="shared" si="13"/>
        <v>91481</v>
      </c>
      <c r="V33" s="102">
        <f t="shared" si="13"/>
        <v>90502</v>
      </c>
      <c r="W33" s="102">
        <f t="shared" si="13"/>
        <v>89657</v>
      </c>
      <c r="X33" s="102">
        <f t="shared" si="13"/>
        <v>88778</v>
      </c>
      <c r="Y33" s="102">
        <f t="shared" si="13"/>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41283</v>
      </c>
      <c r="Q35" s="102">
        <v>43802</v>
      </c>
      <c r="R35" s="102">
        <v>48110</v>
      </c>
      <c r="S35" s="102">
        <v>63063</v>
      </c>
      <c r="T35" s="102">
        <v>65329</v>
      </c>
      <c r="U35" s="102">
        <v>66200</v>
      </c>
      <c r="V35" s="102">
        <v>66675</v>
      </c>
      <c r="W35" s="102">
        <v>67150</v>
      </c>
      <c r="X35" s="102">
        <v>67333</v>
      </c>
      <c r="Y35" s="102">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4">P27+P31</f>
        <v>191638</v>
      </c>
      <c r="Q37" s="115">
        <f t="shared" si="14"/>
        <v>189482</v>
      </c>
      <c r="R37" s="115">
        <f t="shared" si="14"/>
        <v>188675</v>
      </c>
      <c r="S37" s="115">
        <f t="shared" si="14"/>
        <v>220324</v>
      </c>
      <c r="T37" s="115">
        <f t="shared" si="14"/>
        <v>218579</v>
      </c>
      <c r="U37" s="115">
        <f t="shared" si="14"/>
        <v>218715</v>
      </c>
      <c r="V37" s="115">
        <f t="shared" si="14"/>
        <v>218055</v>
      </c>
      <c r="W37" s="115">
        <f t="shared" si="14"/>
        <v>217515</v>
      </c>
      <c r="X37" s="115">
        <f t="shared" si="14"/>
        <v>216663</v>
      </c>
      <c r="Y37" s="115">
        <f t="shared" si="14"/>
        <v>214003</v>
      </c>
      <c r="Z37" s="98" t="e">
        <f t="shared" si="14"/>
        <v>#REF!</v>
      </c>
      <c r="AA37" s="98" t="e">
        <f t="shared" si="14"/>
        <v>#REF!</v>
      </c>
      <c r="AB37" s="98" t="e">
        <f t="shared" si="14"/>
        <v>#REF!</v>
      </c>
      <c r="AC37" s="98" t="e">
        <f t="shared" si="14"/>
        <v>#REF!</v>
      </c>
      <c r="AD37" s="98" t="e">
        <f t="shared" si="14"/>
        <v>#REF!</v>
      </c>
      <c r="AE37" s="98" t="e">
        <f t="shared" si="14"/>
        <v>#REF!</v>
      </c>
      <c r="AF37" s="98" t="e">
        <f t="shared" si="14"/>
        <v>#REF!</v>
      </c>
      <c r="AG37" s="98" t="e">
        <f t="shared" si="14"/>
        <v>#REF!</v>
      </c>
      <c r="AH37" s="98" t="e">
        <f t="shared" si="14"/>
        <v>#REF!</v>
      </c>
      <c r="AI37" s="98" t="e">
        <f t="shared" si="14"/>
        <v>#REF!</v>
      </c>
      <c r="AJ37" s="98" t="e">
        <f t="shared" si="14"/>
        <v>#REF!</v>
      </c>
      <c r="AK37" s="98" t="e">
        <f t="shared" si="14"/>
        <v>#REF!</v>
      </c>
      <c r="AL37" s="98" t="e">
        <f t="shared" si="14"/>
        <v>#REF!</v>
      </c>
      <c r="AM37" s="98" t="e">
        <f t="shared" si="14"/>
        <v>#REF!</v>
      </c>
      <c r="AN37" s="98" t="e">
        <f t="shared" si="14"/>
        <v>#REF!</v>
      </c>
      <c r="AO37" s="98" t="e">
        <f t="shared" si="14"/>
        <v>#REF!</v>
      </c>
      <c r="AP37" s="98" t="e">
        <f t="shared" si="14"/>
        <v>#REF!</v>
      </c>
      <c r="AQ37" s="98" t="e">
        <f t="shared" si="14"/>
        <v>#REF!</v>
      </c>
      <c r="AR37" s="98" t="e">
        <f t="shared" si="14"/>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5">Q39+Q43+Q49+Q48</f>
        <v>172354</v>
      </c>
      <c r="R38" s="97">
        <f t="shared" si="15"/>
        <v>173423</v>
      </c>
      <c r="S38" s="97">
        <f t="shared" si="15"/>
        <v>200775</v>
      </c>
      <c r="T38" s="97">
        <f t="shared" si="15"/>
        <v>201841</v>
      </c>
      <c r="U38" s="97">
        <f t="shared" si="15"/>
        <v>204321</v>
      </c>
      <c r="V38" s="97">
        <f t="shared" si="15"/>
        <v>206266</v>
      </c>
      <c r="W38" s="97">
        <f t="shared" si="15"/>
        <v>208243</v>
      </c>
      <c r="X38" s="97">
        <f t="shared" si="15"/>
        <v>209859</v>
      </c>
      <c r="Y38" s="97">
        <f t="shared" si="15"/>
        <v>209822</v>
      </c>
      <c r="Z38" s="98" t="e">
        <f t="shared" ref="Z38:AR38" si="16">Z39+Z43+Z49</f>
        <v>#REF!</v>
      </c>
      <c r="AA38" s="98" t="e">
        <f t="shared" si="16"/>
        <v>#REF!</v>
      </c>
      <c r="AB38" s="98" t="e">
        <f t="shared" si="16"/>
        <v>#REF!</v>
      </c>
      <c r="AC38" s="98" t="e">
        <f t="shared" si="16"/>
        <v>#REF!</v>
      </c>
      <c r="AD38" s="98" t="e">
        <f t="shared" si="16"/>
        <v>#REF!</v>
      </c>
      <c r="AE38" s="98" t="e">
        <f t="shared" si="16"/>
        <v>#REF!</v>
      </c>
      <c r="AF38" s="98" t="e">
        <f t="shared" si="16"/>
        <v>#REF!</v>
      </c>
      <c r="AG38" s="98" t="e">
        <f t="shared" si="16"/>
        <v>#REF!</v>
      </c>
      <c r="AH38" s="98" t="e">
        <f t="shared" si="16"/>
        <v>#REF!</v>
      </c>
      <c r="AI38" s="98" t="e">
        <f t="shared" si="16"/>
        <v>#REF!</v>
      </c>
      <c r="AJ38" s="98" t="e">
        <f t="shared" si="16"/>
        <v>#REF!</v>
      </c>
      <c r="AK38" s="98" t="e">
        <f t="shared" si="16"/>
        <v>#REF!</v>
      </c>
      <c r="AL38" s="98" t="e">
        <f t="shared" si="16"/>
        <v>#REF!</v>
      </c>
      <c r="AM38" s="98" t="e">
        <f t="shared" si="16"/>
        <v>#REF!</v>
      </c>
      <c r="AN38" s="98" t="e">
        <f t="shared" si="16"/>
        <v>#REF!</v>
      </c>
      <c r="AO38" s="98" t="e">
        <f t="shared" si="16"/>
        <v>#REF!</v>
      </c>
      <c r="AP38" s="98" t="e">
        <f t="shared" si="16"/>
        <v>#REF!</v>
      </c>
      <c r="AQ38" s="98" t="e">
        <f t="shared" si="16"/>
        <v>#REF!</v>
      </c>
      <c r="AR38" s="98" t="e">
        <f t="shared" si="16"/>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7">SUM(P40:P42)</f>
        <v>9533</v>
      </c>
      <c r="Q39" s="116">
        <f t="shared" si="17"/>
        <v>9819</v>
      </c>
      <c r="R39" s="116">
        <f t="shared" si="17"/>
        <v>10114</v>
      </c>
      <c r="S39" s="116">
        <f t="shared" si="17"/>
        <v>10417</v>
      </c>
      <c r="T39" s="116">
        <f t="shared" si="17"/>
        <v>10730</v>
      </c>
      <c r="U39" s="116">
        <f t="shared" si="17"/>
        <v>11052</v>
      </c>
      <c r="V39" s="116">
        <f t="shared" si="17"/>
        <v>11383</v>
      </c>
      <c r="W39" s="116">
        <f t="shared" si="17"/>
        <v>11724</v>
      </c>
      <c r="X39" s="116">
        <f t="shared" si="17"/>
        <v>12076</v>
      </c>
      <c r="Y39" s="116">
        <f t="shared" si="17"/>
        <v>12438</v>
      </c>
      <c r="Z39" s="117" t="e">
        <f t="shared" si="17"/>
        <v>#REF!</v>
      </c>
      <c r="AA39" s="117" t="e">
        <f t="shared" si="17"/>
        <v>#REF!</v>
      </c>
      <c r="AB39" s="117" t="e">
        <f t="shared" si="17"/>
        <v>#REF!</v>
      </c>
      <c r="AC39" s="117" t="e">
        <f t="shared" si="17"/>
        <v>#REF!</v>
      </c>
      <c r="AD39" s="117" t="e">
        <f t="shared" si="17"/>
        <v>#REF!</v>
      </c>
      <c r="AE39" s="117" t="e">
        <f t="shared" si="17"/>
        <v>#REF!</v>
      </c>
      <c r="AF39" s="117" t="e">
        <f t="shared" si="17"/>
        <v>#REF!</v>
      </c>
      <c r="AG39" s="117" t="e">
        <f t="shared" si="17"/>
        <v>#REF!</v>
      </c>
      <c r="AH39" s="117" t="e">
        <f t="shared" si="17"/>
        <v>#REF!</v>
      </c>
      <c r="AI39" s="117" t="e">
        <f t="shared" si="17"/>
        <v>#REF!</v>
      </c>
      <c r="AJ39" s="117" t="e">
        <f t="shared" si="17"/>
        <v>#REF!</v>
      </c>
      <c r="AK39" s="117" t="e">
        <f t="shared" si="17"/>
        <v>#REF!</v>
      </c>
      <c r="AL39" s="117" t="e">
        <f t="shared" si="17"/>
        <v>#REF!</v>
      </c>
      <c r="AM39" s="117" t="e">
        <f t="shared" si="17"/>
        <v>#REF!</v>
      </c>
      <c r="AN39" s="117" t="e">
        <f t="shared" si="17"/>
        <v>#REF!</v>
      </c>
      <c r="AO39" s="117" t="e">
        <f t="shared" si="17"/>
        <v>#REF!</v>
      </c>
      <c r="AP39" s="117" t="e">
        <f t="shared" si="17"/>
        <v>#REF!</v>
      </c>
      <c r="AQ39" s="117" t="e">
        <f t="shared" si="17"/>
        <v>#REF!</v>
      </c>
      <c r="AR39" s="117" t="e">
        <f t="shared" si="17"/>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8">ROUND(Q40*1.03,0)</f>
        <v>5076</v>
      </c>
      <c r="S40" s="102">
        <f t="shared" si="18"/>
        <v>5228</v>
      </c>
      <c r="T40" s="102">
        <f t="shared" si="18"/>
        <v>5385</v>
      </c>
      <c r="U40" s="102">
        <f t="shared" si="18"/>
        <v>5547</v>
      </c>
      <c r="V40" s="102">
        <f t="shared" si="18"/>
        <v>5713</v>
      </c>
      <c r="W40" s="102">
        <f t="shared" si="18"/>
        <v>5884</v>
      </c>
      <c r="X40" s="102">
        <f t="shared" si="18"/>
        <v>6061</v>
      </c>
      <c r="Y40" s="102">
        <f t="shared" si="18"/>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8"/>
        <v>5038</v>
      </c>
      <c r="S42" s="102">
        <f t="shared" si="18"/>
        <v>5189</v>
      </c>
      <c r="T42" s="102">
        <f t="shared" si="18"/>
        <v>5345</v>
      </c>
      <c r="U42" s="102">
        <f t="shared" si="18"/>
        <v>5505</v>
      </c>
      <c r="V42" s="102">
        <f t="shared" si="18"/>
        <v>5670</v>
      </c>
      <c r="W42" s="102">
        <f t="shared" si="18"/>
        <v>5840</v>
      </c>
      <c r="X42" s="102">
        <f t="shared" si="18"/>
        <v>6015</v>
      </c>
      <c r="Y42" s="102">
        <f t="shared" si="18"/>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9">SUM(P44:P47)</f>
        <v>76391</v>
      </c>
      <c r="Q43" s="106">
        <f t="shared" si="19"/>
        <v>77129</v>
      </c>
      <c r="R43" s="106">
        <f t="shared" si="19"/>
        <v>77877</v>
      </c>
      <c r="S43" s="106">
        <f t="shared" si="19"/>
        <v>78635</v>
      </c>
      <c r="T43" s="106">
        <f t="shared" si="19"/>
        <v>79402</v>
      </c>
      <c r="U43" s="106">
        <f t="shared" si="19"/>
        <v>80178</v>
      </c>
      <c r="V43" s="106">
        <f t="shared" si="19"/>
        <v>80964</v>
      </c>
      <c r="W43" s="106">
        <f t="shared" si="19"/>
        <v>81760</v>
      </c>
      <c r="X43" s="106">
        <f t="shared" si="19"/>
        <v>82565</v>
      </c>
      <c r="Y43" s="106">
        <f t="shared" si="19"/>
        <v>83380</v>
      </c>
      <c r="Z43" s="98" t="e">
        <f t="shared" si="19"/>
        <v>#REF!</v>
      </c>
      <c r="AA43" s="98" t="e">
        <f t="shared" si="19"/>
        <v>#REF!</v>
      </c>
      <c r="AB43" s="98" t="e">
        <f t="shared" si="19"/>
        <v>#REF!</v>
      </c>
      <c r="AC43" s="98" t="e">
        <f t="shared" si="19"/>
        <v>#REF!</v>
      </c>
      <c r="AD43" s="98" t="e">
        <f t="shared" si="19"/>
        <v>#REF!</v>
      </c>
      <c r="AE43" s="98" t="e">
        <f t="shared" si="19"/>
        <v>#REF!</v>
      </c>
      <c r="AF43" s="98" t="e">
        <f t="shared" si="19"/>
        <v>#REF!</v>
      </c>
      <c r="AG43" s="98" t="e">
        <f t="shared" si="19"/>
        <v>#REF!</v>
      </c>
      <c r="AH43" s="98" t="e">
        <f t="shared" si="19"/>
        <v>#REF!</v>
      </c>
      <c r="AI43" s="98" t="e">
        <f t="shared" si="19"/>
        <v>#REF!</v>
      </c>
      <c r="AJ43" s="98" t="e">
        <f t="shared" si="19"/>
        <v>#REF!</v>
      </c>
      <c r="AK43" s="98" t="e">
        <f t="shared" si="19"/>
        <v>#REF!</v>
      </c>
      <c r="AL43" s="98" t="e">
        <f t="shared" si="19"/>
        <v>#REF!</v>
      </c>
      <c r="AM43" s="98" t="e">
        <f t="shared" si="19"/>
        <v>#REF!</v>
      </c>
      <c r="AN43" s="98" t="e">
        <f t="shared" si="19"/>
        <v>#REF!</v>
      </c>
      <c r="AO43" s="98" t="e">
        <f t="shared" si="19"/>
        <v>#REF!</v>
      </c>
      <c r="AP43" s="98" t="e">
        <f t="shared" si="19"/>
        <v>#REF!</v>
      </c>
      <c r="AQ43" s="98" t="e">
        <f t="shared" si="19"/>
        <v>#REF!</v>
      </c>
      <c r="AR43" s="98" t="e">
        <f t="shared" si="19"/>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20">ROUND(Q44*(1+$AU44),0)</f>
        <v>11539</v>
      </c>
      <c r="S44" s="102">
        <f t="shared" si="20"/>
        <v>11574</v>
      </c>
      <c r="T44" s="102">
        <f t="shared" si="20"/>
        <v>11609</v>
      </c>
      <c r="U44" s="102">
        <f t="shared" si="20"/>
        <v>11644</v>
      </c>
      <c r="V44" s="102">
        <f t="shared" si="20"/>
        <v>11679</v>
      </c>
      <c r="W44" s="102">
        <f t="shared" si="20"/>
        <v>11714</v>
      </c>
      <c r="X44" s="102">
        <f t="shared" si="20"/>
        <v>11749</v>
      </c>
      <c r="Y44" s="102">
        <f t="shared" si="20"/>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21">ROUND(AS45*(1+AU45),0)</f>
        <v>6600</v>
      </c>
      <c r="Q45" s="102">
        <f t="shared" ref="Q45:Y47" si="22">ROUND(P45*(1+$AU45),0)</f>
        <v>6611</v>
      </c>
      <c r="R45" s="102">
        <f t="shared" si="22"/>
        <v>6622</v>
      </c>
      <c r="S45" s="102">
        <f t="shared" si="22"/>
        <v>6633</v>
      </c>
      <c r="T45" s="102">
        <f t="shared" si="22"/>
        <v>6644</v>
      </c>
      <c r="U45" s="102">
        <f t="shared" si="22"/>
        <v>6655</v>
      </c>
      <c r="V45" s="102">
        <f t="shared" si="22"/>
        <v>6666</v>
      </c>
      <c r="W45" s="102">
        <f t="shared" si="22"/>
        <v>6677</v>
      </c>
      <c r="X45" s="102">
        <f t="shared" si="22"/>
        <v>6688</v>
      </c>
      <c r="Y45" s="102">
        <f t="shared" si="22"/>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3">ROUND(AS45/$AS$48,4)</f>
        <v>8.7099999999999997E-2</v>
      </c>
      <c r="AU45" s="163">
        <f t="shared" ref="AU45:AU47" si="24">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21"/>
        <v>7234</v>
      </c>
      <c r="Q46" s="102">
        <f t="shared" si="22"/>
        <v>7248</v>
      </c>
      <c r="R46" s="102">
        <f t="shared" si="22"/>
        <v>7262</v>
      </c>
      <c r="S46" s="102">
        <f t="shared" si="22"/>
        <v>7276</v>
      </c>
      <c r="T46" s="102">
        <f t="shared" si="22"/>
        <v>7290</v>
      </c>
      <c r="U46" s="102">
        <f t="shared" si="22"/>
        <v>7304</v>
      </c>
      <c r="V46" s="102">
        <f t="shared" si="22"/>
        <v>7318</v>
      </c>
      <c r="W46" s="102">
        <f t="shared" si="22"/>
        <v>7332</v>
      </c>
      <c r="X46" s="102">
        <f t="shared" si="22"/>
        <v>7346</v>
      </c>
      <c r="Y46" s="102">
        <f t="shared" si="22"/>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3"/>
        <v>9.5399999999999999E-2</v>
      </c>
      <c r="AU46" s="163">
        <f t="shared" si="24"/>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21"/>
        <v>51087</v>
      </c>
      <c r="Q47" s="102">
        <f t="shared" si="22"/>
        <v>51766</v>
      </c>
      <c r="R47" s="102">
        <f t="shared" si="22"/>
        <v>52454</v>
      </c>
      <c r="S47" s="102">
        <f t="shared" si="22"/>
        <v>53152</v>
      </c>
      <c r="T47" s="102">
        <f t="shared" si="22"/>
        <v>53859</v>
      </c>
      <c r="U47" s="102">
        <f t="shared" si="22"/>
        <v>54575</v>
      </c>
      <c r="V47" s="102">
        <f t="shared" si="22"/>
        <v>55301</v>
      </c>
      <c r="W47" s="102">
        <f t="shared" si="22"/>
        <v>56037</v>
      </c>
      <c r="X47" s="102">
        <f t="shared" si="22"/>
        <v>56782</v>
      </c>
      <c r="Y47" s="102">
        <f t="shared" si="22"/>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3"/>
        <v>0.6663</v>
      </c>
      <c r="AU47" s="163">
        <f t="shared" si="24"/>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v>82749</v>
      </c>
      <c r="Q49" s="102">
        <v>85406</v>
      </c>
      <c r="R49" s="102">
        <v>85432</v>
      </c>
      <c r="S49" s="102">
        <v>111723</v>
      </c>
      <c r="T49" s="102">
        <v>111709</v>
      </c>
      <c r="U49" s="102">
        <v>113091</v>
      </c>
      <c r="V49" s="102">
        <v>113919</v>
      </c>
      <c r="W49" s="102">
        <v>114759</v>
      </c>
      <c r="X49" s="102">
        <v>115218</v>
      </c>
      <c r="Y49" s="102">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5">P51+P52</f>
        <v>6324</v>
      </c>
      <c r="Q50" s="97">
        <f t="shared" si="25"/>
        <v>3705</v>
      </c>
      <c r="R50" s="97">
        <f t="shared" si="25"/>
        <v>4948</v>
      </c>
      <c r="S50" s="97">
        <f t="shared" si="25"/>
        <v>12298</v>
      </c>
      <c r="T50" s="97">
        <f t="shared" si="25"/>
        <v>12450</v>
      </c>
      <c r="U50" s="97">
        <f t="shared" si="25"/>
        <v>13232</v>
      </c>
      <c r="V50" s="97">
        <f t="shared" si="25"/>
        <v>13502</v>
      </c>
      <c r="W50" s="97">
        <f t="shared" si="25"/>
        <v>13814</v>
      </c>
      <c r="X50" s="97">
        <f t="shared" si="25"/>
        <v>14105</v>
      </c>
      <c r="Y50" s="97">
        <f t="shared" si="25"/>
        <v>14172</v>
      </c>
      <c r="Z50" s="98" t="e">
        <f t="shared" si="25"/>
        <v>#REF!</v>
      </c>
      <c r="AA50" s="98" t="e">
        <f t="shared" si="25"/>
        <v>#REF!</v>
      </c>
      <c r="AB50" s="98" t="e">
        <f t="shared" si="25"/>
        <v>#REF!</v>
      </c>
      <c r="AC50" s="98" t="e">
        <f t="shared" si="25"/>
        <v>#REF!</v>
      </c>
      <c r="AD50" s="98" t="e">
        <f t="shared" si="25"/>
        <v>#REF!</v>
      </c>
      <c r="AE50" s="98" t="e">
        <f t="shared" si="25"/>
        <v>#REF!</v>
      </c>
      <c r="AF50" s="98" t="e">
        <f t="shared" si="25"/>
        <v>#REF!</v>
      </c>
      <c r="AG50" s="98" t="e">
        <f t="shared" si="25"/>
        <v>#REF!</v>
      </c>
      <c r="AH50" s="98" t="e">
        <f t="shared" si="25"/>
        <v>#REF!</v>
      </c>
      <c r="AI50" s="98" t="e">
        <f t="shared" si="25"/>
        <v>#REF!</v>
      </c>
      <c r="AJ50" s="98" t="e">
        <f t="shared" si="25"/>
        <v>#REF!</v>
      </c>
      <c r="AK50" s="98" t="e">
        <f t="shared" si="25"/>
        <v>#REF!</v>
      </c>
      <c r="AL50" s="98" t="e">
        <f t="shared" si="25"/>
        <v>#REF!</v>
      </c>
      <c r="AM50" s="98" t="e">
        <f t="shared" si="25"/>
        <v>#REF!</v>
      </c>
      <c r="AN50" s="98" t="e">
        <f t="shared" si="25"/>
        <v>#REF!</v>
      </c>
      <c r="AO50" s="98" t="e">
        <f t="shared" si="25"/>
        <v>#REF!</v>
      </c>
      <c r="AP50" s="98" t="e">
        <f t="shared" si="25"/>
        <v>#REF!</v>
      </c>
      <c r="AQ50" s="98" t="e">
        <f t="shared" si="25"/>
        <v>#REF!</v>
      </c>
      <c r="AR50" s="98" t="e">
        <f t="shared" si="25"/>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6">P38+P50</f>
        <v>174997</v>
      </c>
      <c r="Q53" s="115">
        <f t="shared" si="26"/>
        <v>176059</v>
      </c>
      <c r="R53" s="115">
        <f t="shared" si="26"/>
        <v>178371</v>
      </c>
      <c r="S53" s="115">
        <f t="shared" si="26"/>
        <v>213073</v>
      </c>
      <c r="T53" s="115">
        <f t="shared" si="26"/>
        <v>214291</v>
      </c>
      <c r="U53" s="115">
        <f t="shared" si="26"/>
        <v>217553</v>
      </c>
      <c r="V53" s="115">
        <f t="shared" si="26"/>
        <v>219768</v>
      </c>
      <c r="W53" s="115">
        <f t="shared" si="26"/>
        <v>222057</v>
      </c>
      <c r="X53" s="115">
        <f t="shared" si="26"/>
        <v>223964</v>
      </c>
      <c r="Y53" s="115">
        <f t="shared" si="26"/>
        <v>223994</v>
      </c>
      <c r="Z53" s="98" t="e">
        <f t="shared" si="26"/>
        <v>#REF!</v>
      </c>
      <c r="AA53" s="98" t="e">
        <f t="shared" si="26"/>
        <v>#REF!</v>
      </c>
      <c r="AB53" s="98" t="e">
        <f t="shared" si="26"/>
        <v>#REF!</v>
      </c>
      <c r="AC53" s="98" t="e">
        <f t="shared" si="26"/>
        <v>#REF!</v>
      </c>
      <c r="AD53" s="98" t="e">
        <f t="shared" si="26"/>
        <v>#REF!</v>
      </c>
      <c r="AE53" s="98" t="e">
        <f t="shared" si="26"/>
        <v>#REF!</v>
      </c>
      <c r="AF53" s="98" t="e">
        <f t="shared" si="26"/>
        <v>#REF!</v>
      </c>
      <c r="AG53" s="98" t="e">
        <f t="shared" si="26"/>
        <v>#REF!</v>
      </c>
      <c r="AH53" s="98" t="e">
        <f t="shared" si="26"/>
        <v>#REF!</v>
      </c>
      <c r="AI53" s="98" t="e">
        <f t="shared" si="26"/>
        <v>#REF!</v>
      </c>
      <c r="AJ53" s="98" t="e">
        <f t="shared" si="26"/>
        <v>#REF!</v>
      </c>
      <c r="AK53" s="98" t="e">
        <f t="shared" si="26"/>
        <v>#REF!</v>
      </c>
      <c r="AL53" s="98" t="e">
        <f t="shared" si="26"/>
        <v>#REF!</v>
      </c>
      <c r="AM53" s="98" t="e">
        <f t="shared" si="26"/>
        <v>#REF!</v>
      </c>
      <c r="AN53" s="98" t="e">
        <f t="shared" si="26"/>
        <v>#REF!</v>
      </c>
      <c r="AO53" s="98" t="e">
        <f t="shared" si="26"/>
        <v>#REF!</v>
      </c>
      <c r="AP53" s="98" t="e">
        <f t="shared" si="26"/>
        <v>#REF!</v>
      </c>
      <c r="AQ53" s="98" t="e">
        <f t="shared" si="26"/>
        <v>#REF!</v>
      </c>
      <c r="AR53" s="98" t="e">
        <f t="shared" si="26"/>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7">P37-P53</f>
        <v>16641</v>
      </c>
      <c r="Q54" s="121">
        <f t="shared" si="27"/>
        <v>13423</v>
      </c>
      <c r="R54" s="121">
        <f>R37-R53-R90</f>
        <v>10304</v>
      </c>
      <c r="S54" s="121">
        <f t="shared" si="27"/>
        <v>7251</v>
      </c>
      <c r="T54" s="121">
        <f t="shared" si="27"/>
        <v>4288</v>
      </c>
      <c r="U54" s="121">
        <f t="shared" si="27"/>
        <v>1162</v>
      </c>
      <c r="V54" s="121">
        <f t="shared" si="27"/>
        <v>-1713</v>
      </c>
      <c r="W54" s="121">
        <f t="shared" si="27"/>
        <v>-4542</v>
      </c>
      <c r="X54" s="121">
        <f t="shared" si="27"/>
        <v>-7301</v>
      </c>
      <c r="Y54" s="121">
        <f t="shared" si="27"/>
        <v>-9991</v>
      </c>
      <c r="Z54" s="98" t="e">
        <f t="shared" si="27"/>
        <v>#REF!</v>
      </c>
      <c r="AA54" s="98" t="e">
        <f t="shared" si="27"/>
        <v>#REF!</v>
      </c>
      <c r="AB54" s="98" t="e">
        <f t="shared" si="27"/>
        <v>#REF!</v>
      </c>
      <c r="AC54" s="98" t="e">
        <f t="shared" si="27"/>
        <v>#REF!</v>
      </c>
      <c r="AD54" s="98" t="e">
        <f t="shared" si="27"/>
        <v>#REF!</v>
      </c>
      <c r="AE54" s="98" t="e">
        <f t="shared" si="27"/>
        <v>#REF!</v>
      </c>
      <c r="AF54" s="98" t="e">
        <f t="shared" si="27"/>
        <v>#REF!</v>
      </c>
      <c r="AG54" s="98" t="e">
        <f t="shared" si="27"/>
        <v>#REF!</v>
      </c>
      <c r="AH54" s="98" t="e">
        <f t="shared" si="27"/>
        <v>#REF!</v>
      </c>
      <c r="AI54" s="98" t="e">
        <f t="shared" si="27"/>
        <v>#REF!</v>
      </c>
      <c r="AJ54" s="98" t="e">
        <f t="shared" si="27"/>
        <v>#REF!</v>
      </c>
      <c r="AK54" s="98" t="e">
        <f t="shared" si="27"/>
        <v>#REF!</v>
      </c>
      <c r="AL54" s="98" t="e">
        <f t="shared" si="27"/>
        <v>#REF!</v>
      </c>
      <c r="AM54" s="98" t="e">
        <f t="shared" si="27"/>
        <v>#REF!</v>
      </c>
      <c r="AN54" s="98" t="e">
        <f t="shared" si="27"/>
        <v>#REF!</v>
      </c>
      <c r="AO54" s="98" t="e">
        <f t="shared" si="27"/>
        <v>#REF!</v>
      </c>
      <c r="AP54" s="98" t="e">
        <f t="shared" si="27"/>
        <v>#REF!</v>
      </c>
      <c r="AQ54" s="98" t="e">
        <f t="shared" si="27"/>
        <v>#REF!</v>
      </c>
      <c r="AR54" s="98" t="e">
        <f t="shared" si="27"/>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8">P55-P56</f>
        <v>0</v>
      </c>
      <c r="Q57" s="106">
        <f t="shared" si="28"/>
        <v>0</v>
      </c>
      <c r="R57" s="106">
        <f t="shared" si="28"/>
        <v>0</v>
      </c>
      <c r="S57" s="106">
        <f t="shared" si="28"/>
        <v>0</v>
      </c>
      <c r="T57" s="106">
        <f t="shared" si="28"/>
        <v>0</v>
      </c>
      <c r="U57" s="106">
        <f t="shared" si="28"/>
        <v>0</v>
      </c>
      <c r="V57" s="106">
        <f t="shared" si="28"/>
        <v>0</v>
      </c>
      <c r="W57" s="106">
        <f t="shared" si="28"/>
        <v>0</v>
      </c>
      <c r="X57" s="106">
        <f t="shared" si="28"/>
        <v>0</v>
      </c>
      <c r="Y57" s="106">
        <f t="shared" si="28"/>
        <v>0</v>
      </c>
      <c r="Z57" s="98" t="e">
        <f t="shared" si="28"/>
        <v>#REF!</v>
      </c>
      <c r="AA57" s="98" t="e">
        <f t="shared" si="28"/>
        <v>#REF!</v>
      </c>
      <c r="AB57" s="98" t="e">
        <f t="shared" si="28"/>
        <v>#REF!</v>
      </c>
      <c r="AC57" s="98" t="e">
        <f t="shared" si="28"/>
        <v>#REF!</v>
      </c>
      <c r="AD57" s="98" t="e">
        <f t="shared" si="28"/>
        <v>#REF!</v>
      </c>
      <c r="AE57" s="98" t="e">
        <f t="shared" si="28"/>
        <v>#REF!</v>
      </c>
      <c r="AF57" s="98" t="e">
        <f t="shared" si="28"/>
        <v>#REF!</v>
      </c>
      <c r="AG57" s="98" t="e">
        <f t="shared" si="28"/>
        <v>#REF!</v>
      </c>
      <c r="AH57" s="98" t="e">
        <f t="shared" si="28"/>
        <v>#REF!</v>
      </c>
      <c r="AI57" s="98" t="e">
        <f t="shared" si="28"/>
        <v>#REF!</v>
      </c>
      <c r="AJ57" s="98" t="e">
        <f t="shared" si="28"/>
        <v>#REF!</v>
      </c>
      <c r="AK57" s="98" t="e">
        <f t="shared" si="28"/>
        <v>#REF!</v>
      </c>
      <c r="AL57" s="98" t="e">
        <f t="shared" si="28"/>
        <v>#REF!</v>
      </c>
      <c r="AM57" s="98" t="e">
        <f t="shared" si="28"/>
        <v>#REF!</v>
      </c>
      <c r="AN57" s="98" t="e">
        <f t="shared" si="28"/>
        <v>#REF!</v>
      </c>
      <c r="AO57" s="98" t="e">
        <f t="shared" si="28"/>
        <v>#REF!</v>
      </c>
      <c r="AP57" s="98" t="e">
        <f t="shared" si="28"/>
        <v>#REF!</v>
      </c>
      <c r="AQ57" s="98" t="e">
        <f t="shared" si="28"/>
        <v>#REF!</v>
      </c>
      <c r="AR57" s="98" t="e">
        <f t="shared" si="28"/>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9">P54+P57</f>
        <v>16641</v>
      </c>
      <c r="Q58" s="124">
        <f t="shared" si="29"/>
        <v>13423</v>
      </c>
      <c r="R58" s="124">
        <f t="shared" si="29"/>
        <v>10304</v>
      </c>
      <c r="S58" s="124">
        <f t="shared" si="29"/>
        <v>7251</v>
      </c>
      <c r="T58" s="124">
        <f t="shared" si="29"/>
        <v>4288</v>
      </c>
      <c r="U58" s="124">
        <f t="shared" si="29"/>
        <v>1162</v>
      </c>
      <c r="V58" s="124">
        <f t="shared" si="29"/>
        <v>-1713</v>
      </c>
      <c r="W58" s="124">
        <f t="shared" si="29"/>
        <v>-4542</v>
      </c>
      <c r="X58" s="124">
        <f t="shared" si="29"/>
        <v>-7301</v>
      </c>
      <c r="Y58" s="124">
        <f t="shared" si="29"/>
        <v>-9991</v>
      </c>
      <c r="Z58" s="98" t="e">
        <f t="shared" si="29"/>
        <v>#REF!</v>
      </c>
      <c r="AA58" s="98" t="e">
        <f t="shared" si="29"/>
        <v>#REF!</v>
      </c>
      <c r="AB58" s="98" t="e">
        <f t="shared" si="29"/>
        <v>#REF!</v>
      </c>
      <c r="AC58" s="98" t="e">
        <f t="shared" si="29"/>
        <v>#REF!</v>
      </c>
      <c r="AD58" s="98" t="e">
        <f t="shared" si="29"/>
        <v>#REF!</v>
      </c>
      <c r="AE58" s="98" t="e">
        <f t="shared" si="29"/>
        <v>#REF!</v>
      </c>
      <c r="AF58" s="98" t="e">
        <f t="shared" si="29"/>
        <v>#REF!</v>
      </c>
      <c r="AG58" s="98" t="e">
        <f t="shared" si="29"/>
        <v>#REF!</v>
      </c>
      <c r="AH58" s="98" t="e">
        <f t="shared" si="29"/>
        <v>#REF!</v>
      </c>
      <c r="AI58" s="98" t="e">
        <f t="shared" si="29"/>
        <v>#REF!</v>
      </c>
      <c r="AJ58" s="98" t="e">
        <f t="shared" si="29"/>
        <v>#REF!</v>
      </c>
      <c r="AK58" s="98" t="e">
        <f t="shared" si="29"/>
        <v>#REF!</v>
      </c>
      <c r="AL58" s="98" t="e">
        <f t="shared" si="29"/>
        <v>#REF!</v>
      </c>
      <c r="AM58" s="98" t="e">
        <f t="shared" si="29"/>
        <v>#REF!</v>
      </c>
      <c r="AN58" s="98" t="e">
        <f t="shared" si="29"/>
        <v>#REF!</v>
      </c>
      <c r="AO58" s="98" t="e">
        <f t="shared" si="29"/>
        <v>#REF!</v>
      </c>
      <c r="AP58" s="98" t="e">
        <f t="shared" si="29"/>
        <v>#REF!</v>
      </c>
      <c r="AQ58" s="98" t="e">
        <f t="shared" si="29"/>
        <v>#REF!</v>
      </c>
      <c r="AR58" s="98" t="e">
        <f t="shared" si="29"/>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30">R58+Q59-R90</f>
        <v>40368</v>
      </c>
      <c r="S59" s="124">
        <f t="shared" si="30"/>
        <v>47619</v>
      </c>
      <c r="T59" s="124">
        <f t="shared" si="30"/>
        <v>51907</v>
      </c>
      <c r="U59" s="124">
        <f t="shared" si="30"/>
        <v>53069</v>
      </c>
      <c r="V59" s="124">
        <f t="shared" si="30"/>
        <v>51356</v>
      </c>
      <c r="W59" s="124">
        <f t="shared" si="30"/>
        <v>46814</v>
      </c>
      <c r="X59" s="124">
        <f t="shared" si="30"/>
        <v>39513</v>
      </c>
      <c r="Y59" s="124">
        <f t="shared" si="30"/>
        <v>29522</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31">Q21</f>
        <v>1.0762414872287132</v>
      </c>
      <c r="R61" s="126">
        <f t="shared" si="31"/>
        <v>1.0577672379478726</v>
      </c>
      <c r="S61" s="126">
        <f t="shared" si="31"/>
        <v>1.0340305904549145</v>
      </c>
      <c r="T61" s="126">
        <f t="shared" si="31"/>
        <v>1.0200101730823974</v>
      </c>
      <c r="U61" s="126">
        <f t="shared" si="31"/>
        <v>1.0053412271952122</v>
      </c>
      <c r="V61" s="126">
        <f t="shared" si="31"/>
        <v>0.99220541662116413</v>
      </c>
      <c r="W61" s="126">
        <f t="shared" si="31"/>
        <v>0.97954579229657246</v>
      </c>
      <c r="X61" s="126">
        <f t="shared" si="31"/>
        <v>0.96740101087674801</v>
      </c>
      <c r="Y61" s="126">
        <f t="shared" si="31"/>
        <v>0.95539612668196472</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32">Q18</f>
        <v>0.56100868172469653</v>
      </c>
      <c r="R62" s="126">
        <f t="shared" si="32"/>
        <v>0.55275804148065644</v>
      </c>
      <c r="S62" s="126">
        <f t="shared" si="32"/>
        <v>0.52051056039597243</v>
      </c>
      <c r="T62" s="126">
        <f t="shared" si="32"/>
        <v>0.52065427862893632</v>
      </c>
      <c r="U62" s="126">
        <f t="shared" si="32"/>
        <v>0.51323410560344829</v>
      </c>
      <c r="V62" s="126">
        <f t="shared" si="32"/>
        <v>0.5102797777889666</v>
      </c>
      <c r="W62" s="126">
        <f t="shared" si="32"/>
        <v>0.50702788578117819</v>
      </c>
      <c r="X62" s="126">
        <f t="shared" si="32"/>
        <v>0.50492131736027046</v>
      </c>
      <c r="Y62" s="126">
        <f t="shared" si="32"/>
        <v>0.50791219150870337</v>
      </c>
    </row>
    <row r="63" spans="2:51" ht="16" customHeight="1" x14ac:dyDescent="0.55000000000000004">
      <c r="B63" s="401" t="s">
        <v>437</v>
      </c>
      <c r="C63" s="401"/>
      <c r="D63" s="401"/>
      <c r="E63" s="401"/>
      <c r="F63" s="401"/>
      <c r="G63" s="401"/>
      <c r="H63" s="401"/>
      <c r="I63" s="401"/>
      <c r="J63" s="401"/>
      <c r="P63" s="126">
        <f>P28/(P53-P35)</f>
        <v>0.46196359393930331</v>
      </c>
      <c r="Q63" s="126">
        <f t="shared" ref="Q63:Y63" si="33">Q28/(Q53-Q35)</f>
        <v>0.46611521507368231</v>
      </c>
      <c r="R63" s="126">
        <f t="shared" si="33"/>
        <v>0.47242075525291533</v>
      </c>
      <c r="S63" s="126">
        <f t="shared" si="33"/>
        <v>0.40939937337510834</v>
      </c>
      <c r="T63" s="126">
        <f t="shared" si="33"/>
        <v>0.41155462466937875</v>
      </c>
      <c r="U63" s="126">
        <f t="shared" si="33"/>
        <v>0.40279346957113504</v>
      </c>
      <c r="V63" s="126">
        <f t="shared" si="33"/>
        <v>0.3971964753450517</v>
      </c>
      <c r="W63" s="126">
        <f t="shared" si="33"/>
        <v>0.39144777188893981</v>
      </c>
      <c r="X63" s="126">
        <f t="shared" si="33"/>
        <v>0.3861432283519865</v>
      </c>
      <c r="Y63" s="126">
        <f t="shared" si="33"/>
        <v>0.38346466700559229</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105641</v>
      </c>
      <c r="Q78" s="133">
        <f t="shared" ref="Q78:Y78" si="34">SUM(Q68,Q70:Q77)</f>
        <v>193510</v>
      </c>
      <c r="R78" s="133">
        <f t="shared" si="34"/>
        <v>787831</v>
      </c>
      <c r="S78" s="133">
        <f t="shared" si="34"/>
        <v>81854</v>
      </c>
      <c r="T78" s="133">
        <f t="shared" si="34"/>
        <v>120109</v>
      </c>
      <c r="U78" s="133">
        <f t="shared" si="34"/>
        <v>72180</v>
      </c>
      <c r="V78" s="133">
        <f t="shared" si="34"/>
        <v>66724</v>
      </c>
      <c r="W78" s="133">
        <f t="shared" si="34"/>
        <v>59032</v>
      </c>
      <c r="X78" s="133">
        <f t="shared" si="34"/>
        <v>58595</v>
      </c>
      <c r="Y78" s="133">
        <f t="shared" si="34"/>
        <v>66761</v>
      </c>
      <c r="Z78" s="117" t="e">
        <f t="shared" ref="Z78:AR78" si="35">SUM(Z68:Z77)</f>
        <v>#REF!</v>
      </c>
      <c r="AA78" s="117" t="e">
        <f t="shared" si="35"/>
        <v>#REF!</v>
      </c>
      <c r="AB78" s="117" t="e">
        <f t="shared" si="35"/>
        <v>#REF!</v>
      </c>
      <c r="AC78" s="117" t="e">
        <f t="shared" si="35"/>
        <v>#REF!</v>
      </c>
      <c r="AD78" s="117" t="e">
        <f t="shared" si="35"/>
        <v>#REF!</v>
      </c>
      <c r="AE78" s="117" t="e">
        <f t="shared" si="35"/>
        <v>#REF!</v>
      </c>
      <c r="AF78" s="117" t="e">
        <f t="shared" si="35"/>
        <v>#REF!</v>
      </c>
      <c r="AG78" s="117" t="e">
        <f t="shared" si="35"/>
        <v>#REF!</v>
      </c>
      <c r="AH78" s="117" t="e">
        <f t="shared" si="35"/>
        <v>#REF!</v>
      </c>
      <c r="AI78" s="117" t="e">
        <f t="shared" si="35"/>
        <v>#REF!</v>
      </c>
      <c r="AJ78" s="117" t="e">
        <f t="shared" si="35"/>
        <v>#REF!</v>
      </c>
      <c r="AK78" s="117" t="e">
        <f t="shared" si="35"/>
        <v>#REF!</v>
      </c>
      <c r="AL78" s="117" t="e">
        <f t="shared" si="35"/>
        <v>#REF!</v>
      </c>
      <c r="AM78" s="117" t="e">
        <f t="shared" si="35"/>
        <v>#REF!</v>
      </c>
      <c r="AN78" s="117" t="e">
        <f t="shared" si="35"/>
        <v>#REF!</v>
      </c>
      <c r="AO78" s="117" t="e">
        <f t="shared" si="35"/>
        <v>#REF!</v>
      </c>
      <c r="AP78" s="117" t="e">
        <f t="shared" si="35"/>
        <v>#REF!</v>
      </c>
      <c r="AQ78" s="117" t="e">
        <f t="shared" si="35"/>
        <v>#REF!</v>
      </c>
      <c r="AR78" s="117" t="e">
        <f t="shared" si="35"/>
        <v>#REF!</v>
      </c>
    </row>
    <row r="79" spans="3:44" ht="16" customHeight="1" x14ac:dyDescent="0.55000000000000004">
      <c r="C79" s="384"/>
      <c r="D79" s="402"/>
      <c r="E79" s="405" t="s">
        <v>461</v>
      </c>
      <c r="F79" s="392"/>
      <c r="G79" s="392"/>
      <c r="H79" s="392"/>
      <c r="I79" s="392"/>
      <c r="J79" s="123" t="s">
        <v>462</v>
      </c>
      <c r="K79" s="102"/>
      <c r="L79" s="102"/>
      <c r="M79" s="102"/>
      <c r="N79" s="102"/>
      <c r="O79" s="102"/>
      <c r="P79" s="102">
        <v>0</v>
      </c>
      <c r="Q79" s="102">
        <f>P79</f>
        <v>0</v>
      </c>
      <c r="R79" s="102">
        <f t="shared" ref="R79:Y79" si="36">Q79</f>
        <v>0</v>
      </c>
      <c r="S79" s="102">
        <f t="shared" si="36"/>
        <v>0</v>
      </c>
      <c r="T79" s="102">
        <f t="shared" si="36"/>
        <v>0</v>
      </c>
      <c r="U79" s="102">
        <f t="shared" si="36"/>
        <v>0</v>
      </c>
      <c r="V79" s="102">
        <f t="shared" si="36"/>
        <v>0</v>
      </c>
      <c r="W79" s="102">
        <f t="shared" si="36"/>
        <v>0</v>
      </c>
      <c r="X79" s="102">
        <f t="shared" si="36"/>
        <v>0</v>
      </c>
      <c r="Y79" s="102">
        <f t="shared" si="36"/>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7">P78-P79</f>
        <v>105641</v>
      </c>
      <c r="Q80" s="136">
        <f t="shared" si="37"/>
        <v>193510</v>
      </c>
      <c r="R80" s="136">
        <f t="shared" si="37"/>
        <v>787831</v>
      </c>
      <c r="S80" s="136">
        <f t="shared" si="37"/>
        <v>81854</v>
      </c>
      <c r="T80" s="136">
        <f t="shared" si="37"/>
        <v>120109</v>
      </c>
      <c r="U80" s="136">
        <f t="shared" si="37"/>
        <v>72180</v>
      </c>
      <c r="V80" s="136">
        <f t="shared" si="37"/>
        <v>66724</v>
      </c>
      <c r="W80" s="136">
        <f t="shared" si="37"/>
        <v>59032</v>
      </c>
      <c r="X80" s="136">
        <f t="shared" si="37"/>
        <v>58595</v>
      </c>
      <c r="Y80" s="136">
        <f t="shared" si="37"/>
        <v>66761</v>
      </c>
      <c r="Z80" s="98" t="e">
        <f t="shared" si="37"/>
        <v>#REF!</v>
      </c>
      <c r="AA80" s="98" t="e">
        <f t="shared" si="37"/>
        <v>#REF!</v>
      </c>
      <c r="AB80" s="98" t="e">
        <f t="shared" si="37"/>
        <v>#REF!</v>
      </c>
      <c r="AC80" s="98" t="e">
        <f t="shared" si="37"/>
        <v>#REF!</v>
      </c>
      <c r="AD80" s="98" t="e">
        <f t="shared" si="37"/>
        <v>#REF!</v>
      </c>
      <c r="AE80" s="98" t="e">
        <f t="shared" si="37"/>
        <v>#REF!</v>
      </c>
      <c r="AF80" s="98" t="e">
        <f t="shared" si="37"/>
        <v>#REF!</v>
      </c>
      <c r="AG80" s="98" t="e">
        <f t="shared" si="37"/>
        <v>#REF!</v>
      </c>
      <c r="AH80" s="98" t="e">
        <f t="shared" si="37"/>
        <v>#REF!</v>
      </c>
      <c r="AI80" s="98" t="e">
        <f t="shared" si="37"/>
        <v>#REF!</v>
      </c>
      <c r="AJ80" s="98" t="e">
        <f t="shared" si="37"/>
        <v>#REF!</v>
      </c>
      <c r="AK80" s="98" t="e">
        <f t="shared" si="37"/>
        <v>#REF!</v>
      </c>
      <c r="AL80" s="98" t="e">
        <f t="shared" si="37"/>
        <v>#REF!</v>
      </c>
      <c r="AM80" s="98" t="e">
        <f t="shared" si="37"/>
        <v>#REF!</v>
      </c>
      <c r="AN80" s="98" t="e">
        <f t="shared" si="37"/>
        <v>#REF!</v>
      </c>
      <c r="AO80" s="98" t="e">
        <f t="shared" si="37"/>
        <v>#REF!</v>
      </c>
      <c r="AP80" s="98" t="e">
        <f t="shared" si="37"/>
        <v>#REF!</v>
      </c>
      <c r="AQ80" s="98" t="e">
        <f t="shared" si="37"/>
        <v>#REF!</v>
      </c>
      <c r="AR80" s="98" t="e">
        <f t="shared" si="37"/>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8">SUM(P83:P86)+P81</f>
        <v>182406</v>
      </c>
      <c r="Q87" s="136">
        <f t="shared" si="38"/>
        <v>219368</v>
      </c>
      <c r="R87" s="136">
        <f t="shared" si="38"/>
        <v>809040</v>
      </c>
      <c r="S87" s="136">
        <f t="shared" si="38"/>
        <v>100231</v>
      </c>
      <c r="T87" s="136">
        <f t="shared" si="38"/>
        <v>145924</v>
      </c>
      <c r="U87" s="136">
        <f t="shared" si="38"/>
        <v>90209</v>
      </c>
      <c r="V87" s="136">
        <f t="shared" si="38"/>
        <v>81963</v>
      </c>
      <c r="W87" s="136">
        <f t="shared" si="38"/>
        <v>72551</v>
      </c>
      <c r="X87" s="136">
        <f t="shared" si="38"/>
        <v>83547</v>
      </c>
      <c r="Y87" s="136">
        <f t="shared" si="38"/>
        <v>94966</v>
      </c>
      <c r="Z87" s="98" t="e">
        <f t="shared" si="38"/>
        <v>#REF!</v>
      </c>
      <c r="AA87" s="98" t="e">
        <f t="shared" si="38"/>
        <v>#REF!</v>
      </c>
      <c r="AB87" s="98" t="e">
        <f t="shared" si="38"/>
        <v>#REF!</v>
      </c>
      <c r="AC87" s="98" t="e">
        <f t="shared" si="38"/>
        <v>#REF!</v>
      </c>
      <c r="AD87" s="98" t="e">
        <f t="shared" si="38"/>
        <v>#REF!</v>
      </c>
      <c r="AE87" s="98" t="e">
        <f t="shared" si="38"/>
        <v>#REF!</v>
      </c>
      <c r="AF87" s="98" t="e">
        <f t="shared" si="38"/>
        <v>#REF!</v>
      </c>
      <c r="AG87" s="98" t="e">
        <f t="shared" si="38"/>
        <v>#REF!</v>
      </c>
      <c r="AH87" s="98" t="e">
        <f t="shared" si="38"/>
        <v>#REF!</v>
      </c>
      <c r="AI87" s="98" t="e">
        <f t="shared" si="38"/>
        <v>#REF!</v>
      </c>
      <c r="AJ87" s="98" t="e">
        <f t="shared" si="38"/>
        <v>#REF!</v>
      </c>
      <c r="AK87" s="98" t="e">
        <f t="shared" si="38"/>
        <v>#REF!</v>
      </c>
      <c r="AL87" s="98" t="e">
        <f t="shared" si="38"/>
        <v>#REF!</v>
      </c>
      <c r="AM87" s="98" t="e">
        <f t="shared" si="38"/>
        <v>#REF!</v>
      </c>
      <c r="AN87" s="98" t="e">
        <f t="shared" si="38"/>
        <v>#REF!</v>
      </c>
      <c r="AO87" s="98" t="e">
        <f t="shared" si="38"/>
        <v>#REF!</v>
      </c>
      <c r="AP87" s="98" t="e">
        <f t="shared" si="38"/>
        <v>#REF!</v>
      </c>
      <c r="AQ87" s="98" t="e">
        <f t="shared" si="38"/>
        <v>#REF!</v>
      </c>
      <c r="AR87" s="98" t="e">
        <f t="shared" si="38"/>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9">P87-P80</f>
        <v>76765</v>
      </c>
      <c r="Q88" s="106">
        <f t="shared" si="39"/>
        <v>25858</v>
      </c>
      <c r="R88" s="106">
        <f t="shared" si="39"/>
        <v>21209</v>
      </c>
      <c r="S88" s="106">
        <f t="shared" si="39"/>
        <v>18377</v>
      </c>
      <c r="T88" s="106">
        <f t="shared" si="39"/>
        <v>25815</v>
      </c>
      <c r="U88" s="106">
        <f t="shared" si="39"/>
        <v>18029</v>
      </c>
      <c r="V88" s="106">
        <f t="shared" si="39"/>
        <v>15239</v>
      </c>
      <c r="W88" s="106">
        <f t="shared" si="39"/>
        <v>13519</v>
      </c>
      <c r="X88" s="106">
        <f t="shared" si="39"/>
        <v>24952</v>
      </c>
      <c r="Y88" s="106">
        <f t="shared" si="39"/>
        <v>28205</v>
      </c>
      <c r="Z88" s="98" t="e">
        <f t="shared" si="39"/>
        <v>#REF!</v>
      </c>
      <c r="AA88" s="98" t="e">
        <f t="shared" si="39"/>
        <v>#REF!</v>
      </c>
      <c r="AB88" s="98" t="e">
        <f t="shared" si="39"/>
        <v>#REF!</v>
      </c>
      <c r="AC88" s="98" t="e">
        <f t="shared" si="39"/>
        <v>#REF!</v>
      </c>
      <c r="AD88" s="98" t="e">
        <f t="shared" si="39"/>
        <v>#REF!</v>
      </c>
      <c r="AE88" s="98" t="e">
        <f t="shared" si="39"/>
        <v>#REF!</v>
      </c>
      <c r="AF88" s="98" t="e">
        <f t="shared" si="39"/>
        <v>#REF!</v>
      </c>
      <c r="AG88" s="98" t="e">
        <f t="shared" si="39"/>
        <v>#REF!</v>
      </c>
      <c r="AH88" s="98" t="e">
        <f t="shared" si="39"/>
        <v>#REF!</v>
      </c>
      <c r="AI88" s="98" t="e">
        <f t="shared" si="39"/>
        <v>#REF!</v>
      </c>
      <c r="AJ88" s="98" t="e">
        <f t="shared" si="39"/>
        <v>#REF!</v>
      </c>
      <c r="AK88" s="98" t="e">
        <f t="shared" si="39"/>
        <v>#REF!</v>
      </c>
      <c r="AL88" s="98" t="e">
        <f t="shared" si="39"/>
        <v>#REF!</v>
      </c>
      <c r="AM88" s="98" t="e">
        <f t="shared" si="39"/>
        <v>#REF!</v>
      </c>
      <c r="AN88" s="98" t="e">
        <f t="shared" si="39"/>
        <v>#REF!</v>
      </c>
      <c r="AO88" s="98" t="e">
        <f t="shared" si="39"/>
        <v>#REF!</v>
      </c>
      <c r="AP88" s="98" t="e">
        <f t="shared" si="39"/>
        <v>#REF!</v>
      </c>
      <c r="AQ88" s="98" t="e">
        <f t="shared" si="39"/>
        <v>#REF!</v>
      </c>
      <c r="AR88" s="98" t="e">
        <f t="shared" si="39"/>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40935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40">ROUND(Q81*10%,0)</f>
        <v>14600</v>
      </c>
      <c r="R92" s="102">
        <v>21209</v>
      </c>
      <c r="S92" s="102">
        <f t="shared" si="40"/>
        <v>5000</v>
      </c>
      <c r="T92" s="102">
        <f t="shared" si="40"/>
        <v>9943</v>
      </c>
      <c r="U92" s="102">
        <f t="shared" si="40"/>
        <v>5000</v>
      </c>
      <c r="V92" s="102">
        <f t="shared" si="40"/>
        <v>5000</v>
      </c>
      <c r="W92" s="102">
        <f t="shared" si="40"/>
        <v>5000</v>
      </c>
      <c r="X92" s="102">
        <f t="shared" si="40"/>
        <v>5000</v>
      </c>
      <c r="Y92" s="102">
        <f t="shared" si="40"/>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41">SUM(P89:P92)</f>
        <v>50245</v>
      </c>
      <c r="Q93" s="106">
        <f t="shared" si="41"/>
        <v>25858</v>
      </c>
      <c r="R93" s="106">
        <f t="shared" si="41"/>
        <v>21209</v>
      </c>
      <c r="S93" s="106">
        <f t="shared" si="41"/>
        <v>18377</v>
      </c>
      <c r="T93" s="106">
        <f t="shared" si="41"/>
        <v>25815</v>
      </c>
      <c r="U93" s="106">
        <f t="shared" si="41"/>
        <v>18029</v>
      </c>
      <c r="V93" s="106">
        <f t="shared" si="41"/>
        <v>15239</v>
      </c>
      <c r="W93" s="106">
        <f t="shared" si="41"/>
        <v>13519</v>
      </c>
      <c r="X93" s="106">
        <f t="shared" si="41"/>
        <v>24952</v>
      </c>
      <c r="Y93" s="106">
        <f t="shared" si="41"/>
        <v>28205</v>
      </c>
      <c r="Z93" s="98" t="e">
        <f t="shared" si="41"/>
        <v>#REF!</v>
      </c>
      <c r="AA93" s="98" t="e">
        <f t="shared" si="41"/>
        <v>#REF!</v>
      </c>
      <c r="AB93" s="98" t="e">
        <f t="shared" si="41"/>
        <v>#REF!</v>
      </c>
      <c r="AC93" s="98" t="e">
        <f t="shared" si="41"/>
        <v>#REF!</v>
      </c>
      <c r="AD93" s="98" t="e">
        <f t="shared" si="41"/>
        <v>#REF!</v>
      </c>
      <c r="AE93" s="98" t="e">
        <f t="shared" si="41"/>
        <v>#REF!</v>
      </c>
      <c r="AF93" s="98" t="e">
        <f t="shared" si="41"/>
        <v>#REF!</v>
      </c>
      <c r="AG93" s="98" t="e">
        <f t="shared" si="41"/>
        <v>#REF!</v>
      </c>
      <c r="AH93" s="98" t="e">
        <f t="shared" si="41"/>
        <v>#REF!</v>
      </c>
      <c r="AI93" s="98" t="e">
        <f t="shared" si="41"/>
        <v>#REF!</v>
      </c>
      <c r="AJ93" s="98" t="e">
        <f t="shared" si="41"/>
        <v>#REF!</v>
      </c>
      <c r="AK93" s="98" t="e">
        <f t="shared" si="41"/>
        <v>#REF!</v>
      </c>
      <c r="AL93" s="98" t="e">
        <f t="shared" si="41"/>
        <v>#REF!</v>
      </c>
      <c r="AM93" s="98" t="e">
        <f t="shared" si="41"/>
        <v>#REF!</v>
      </c>
      <c r="AN93" s="98" t="e">
        <f t="shared" si="41"/>
        <v>#REF!</v>
      </c>
      <c r="AO93" s="98" t="e">
        <f t="shared" si="41"/>
        <v>#REF!</v>
      </c>
      <c r="AP93" s="98" t="e">
        <f t="shared" si="41"/>
        <v>#REF!</v>
      </c>
      <c r="AQ93" s="98" t="e">
        <f t="shared" si="41"/>
        <v>#REF!</v>
      </c>
      <c r="AR93" s="98" t="e">
        <f t="shared" si="41"/>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42">P88-P93</f>
        <v>26520</v>
      </c>
      <c r="Q94" s="106">
        <f t="shared" si="42"/>
        <v>0</v>
      </c>
      <c r="R94" s="106">
        <f t="shared" si="42"/>
        <v>0</v>
      </c>
      <c r="S94" s="106">
        <f t="shared" si="42"/>
        <v>0</v>
      </c>
      <c r="T94" s="106">
        <f t="shared" si="42"/>
        <v>0</v>
      </c>
      <c r="U94" s="106">
        <f t="shared" si="42"/>
        <v>0</v>
      </c>
      <c r="V94" s="106">
        <f t="shared" si="42"/>
        <v>0</v>
      </c>
      <c r="W94" s="106">
        <f t="shared" si="42"/>
        <v>0</v>
      </c>
      <c r="X94" s="106">
        <f t="shared" si="42"/>
        <v>0</v>
      </c>
      <c r="Y94" s="106">
        <f t="shared" si="42"/>
        <v>0</v>
      </c>
      <c r="Z94" s="98" t="e">
        <f t="shared" si="42"/>
        <v>#REF!</v>
      </c>
      <c r="AA94" s="98" t="e">
        <f t="shared" si="42"/>
        <v>#REF!</v>
      </c>
      <c r="AB94" s="98" t="e">
        <f t="shared" si="42"/>
        <v>#REF!</v>
      </c>
      <c r="AC94" s="98" t="e">
        <f t="shared" si="42"/>
        <v>#REF!</v>
      </c>
      <c r="AD94" s="98" t="e">
        <f t="shared" si="42"/>
        <v>#REF!</v>
      </c>
      <c r="AE94" s="98" t="e">
        <f t="shared" si="42"/>
        <v>#REF!</v>
      </c>
      <c r="AF94" s="98" t="e">
        <f t="shared" si="42"/>
        <v>#REF!</v>
      </c>
      <c r="AG94" s="98" t="e">
        <f t="shared" si="42"/>
        <v>#REF!</v>
      </c>
      <c r="AH94" s="98" t="e">
        <f t="shared" si="42"/>
        <v>#REF!</v>
      </c>
      <c r="AI94" s="98" t="e">
        <f t="shared" si="42"/>
        <v>#REF!</v>
      </c>
      <c r="AJ94" s="98" t="e">
        <f t="shared" si="42"/>
        <v>#REF!</v>
      </c>
      <c r="AK94" s="98" t="e">
        <f t="shared" si="42"/>
        <v>#REF!</v>
      </c>
      <c r="AL94" s="98" t="e">
        <f t="shared" si="42"/>
        <v>#REF!</v>
      </c>
      <c r="AM94" s="98" t="e">
        <f t="shared" si="42"/>
        <v>#REF!</v>
      </c>
      <c r="AN94" s="98" t="e">
        <f t="shared" si="42"/>
        <v>#REF!</v>
      </c>
      <c r="AO94" s="98" t="e">
        <f t="shared" si="42"/>
        <v>#REF!</v>
      </c>
      <c r="AP94" s="98" t="e">
        <f t="shared" si="42"/>
        <v>#REF!</v>
      </c>
      <c r="AQ94" s="98" t="e">
        <f t="shared" si="42"/>
        <v>#REF!</v>
      </c>
      <c r="AR94" s="98" t="e">
        <f t="shared" si="42"/>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Q96+R68-R83</f>
        <v>709804</v>
      </c>
      <c r="S96" s="121">
        <f>R96+S68-S83</f>
        <v>684573</v>
      </c>
      <c r="T96" s="121">
        <f>S96+T68-T83</f>
        <v>687788</v>
      </c>
      <c r="U96" s="121">
        <f>T96+U68-U83</f>
        <v>672579</v>
      </c>
      <c r="V96" s="121">
        <f t="shared" ref="V96:X96" si="43">U96+V68-V83</f>
        <v>665616</v>
      </c>
      <c r="W96" s="121">
        <f t="shared" si="43"/>
        <v>668065</v>
      </c>
      <c r="X96" s="121">
        <f t="shared" si="43"/>
        <v>659518</v>
      </c>
      <c r="Y96" s="121">
        <f>X96+Y68-Y83</f>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P102+P103</f>
        <v>88514</v>
      </c>
      <c r="Q101" s="148">
        <f t="shared" ref="Q101:AR101" si="44">Q102+Q103</f>
        <v>83963</v>
      </c>
      <c r="R101" s="148">
        <f t="shared" si="44"/>
        <v>78957</v>
      </c>
      <c r="S101" s="148">
        <f t="shared" si="44"/>
        <v>95777</v>
      </c>
      <c r="T101" s="148">
        <f t="shared" si="44"/>
        <v>91874</v>
      </c>
      <c r="U101" s="148">
        <f t="shared" si="44"/>
        <v>91481</v>
      </c>
      <c r="V101" s="148">
        <f t="shared" si="44"/>
        <v>90502</v>
      </c>
      <c r="W101" s="148">
        <f t="shared" si="44"/>
        <v>89657</v>
      </c>
      <c r="X101" s="148">
        <f t="shared" si="44"/>
        <v>88778</v>
      </c>
      <c r="Y101" s="148">
        <f t="shared" si="44"/>
        <v>86957</v>
      </c>
      <c r="Z101" s="149" t="e">
        <f t="shared" si="44"/>
        <v>#REF!</v>
      </c>
      <c r="AA101" s="149" t="e">
        <f t="shared" si="44"/>
        <v>#REF!</v>
      </c>
      <c r="AB101" s="149" t="e">
        <f t="shared" si="44"/>
        <v>#REF!</v>
      </c>
      <c r="AC101" s="149" t="e">
        <f t="shared" si="44"/>
        <v>#REF!</v>
      </c>
      <c r="AD101" s="149" t="e">
        <f t="shared" si="44"/>
        <v>#REF!</v>
      </c>
      <c r="AE101" s="149" t="e">
        <f t="shared" si="44"/>
        <v>#REF!</v>
      </c>
      <c r="AF101" s="149" t="e">
        <f t="shared" si="44"/>
        <v>#REF!</v>
      </c>
      <c r="AG101" s="149" t="e">
        <f t="shared" si="44"/>
        <v>#REF!</v>
      </c>
      <c r="AH101" s="149" t="e">
        <f t="shared" si="44"/>
        <v>#REF!</v>
      </c>
      <c r="AI101" s="149" t="e">
        <f t="shared" si="44"/>
        <v>#REF!</v>
      </c>
      <c r="AJ101" s="149" t="e">
        <f t="shared" si="44"/>
        <v>#REF!</v>
      </c>
      <c r="AK101" s="149" t="e">
        <f t="shared" si="44"/>
        <v>#REF!</v>
      </c>
      <c r="AL101" s="149" t="e">
        <f t="shared" si="44"/>
        <v>#REF!</v>
      </c>
      <c r="AM101" s="149" t="e">
        <f t="shared" si="44"/>
        <v>#REF!</v>
      </c>
      <c r="AN101" s="149" t="e">
        <f t="shared" si="44"/>
        <v>#REF!</v>
      </c>
      <c r="AO101" s="149" t="e">
        <f t="shared" si="44"/>
        <v>#REF!</v>
      </c>
      <c r="AP101" s="149" t="e">
        <f t="shared" si="44"/>
        <v>#REF!</v>
      </c>
      <c r="AQ101" s="149" t="e">
        <f t="shared" si="44"/>
        <v>#REF!</v>
      </c>
      <c r="AR101" s="149" t="e">
        <f t="shared" si="44"/>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P23</f>
        <v>47112</v>
      </c>
      <c r="Q102" s="153">
        <f>Q23</f>
        <v>44631</v>
      </c>
      <c r="R102" s="153">
        <f>R23</f>
        <v>41592</v>
      </c>
      <c r="S102" s="153">
        <f>S23</f>
        <v>60280</v>
      </c>
      <c r="T102" s="153">
        <f>T23</f>
        <v>58152</v>
      </c>
      <c r="U102" s="153">
        <f>U23</f>
        <v>59445</v>
      </c>
      <c r="V102" s="153">
        <f>V23</f>
        <v>60068</v>
      </c>
      <c r="W102" s="153">
        <f>W23</f>
        <v>60745</v>
      </c>
      <c r="X102" s="153">
        <f>X23</f>
        <v>61312</v>
      </c>
      <c r="Y102" s="153">
        <f>Y23</f>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ROUND(P103*95%,0)</f>
        <v>39332</v>
      </c>
      <c r="R103" s="153">
        <f t="shared" ref="R103:Y103" si="45">ROUND(Q103*95%,0)</f>
        <v>37365</v>
      </c>
      <c r="S103" s="153">
        <f t="shared" si="45"/>
        <v>35497</v>
      </c>
      <c r="T103" s="153">
        <f t="shared" si="45"/>
        <v>33722</v>
      </c>
      <c r="U103" s="153">
        <f t="shared" si="45"/>
        <v>32036</v>
      </c>
      <c r="V103" s="153">
        <f t="shared" si="45"/>
        <v>30434</v>
      </c>
      <c r="W103" s="153">
        <f t="shared" si="45"/>
        <v>28912</v>
      </c>
      <c r="X103" s="153">
        <f t="shared" si="45"/>
        <v>27466</v>
      </c>
      <c r="Y103" s="153">
        <f t="shared" si="45"/>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6">P105+P106</f>
        <v>50013</v>
      </c>
      <c r="Q104" s="148">
        <f t="shared" si="46"/>
        <v>46082</v>
      </c>
      <c r="R104" s="148">
        <f t="shared" si="46"/>
        <v>37403</v>
      </c>
      <c r="S104" s="148">
        <f t="shared" si="46"/>
        <v>30426</v>
      </c>
      <c r="T104" s="148">
        <f t="shared" si="46"/>
        <v>24755</v>
      </c>
      <c r="U104" s="148">
        <f t="shared" si="46"/>
        <v>20752</v>
      </c>
      <c r="V104" s="148">
        <f t="shared" si="46"/>
        <v>15296</v>
      </c>
      <c r="W104" s="148">
        <f t="shared" si="46"/>
        <v>7604</v>
      </c>
      <c r="X104" s="148">
        <f t="shared" si="46"/>
        <v>7167</v>
      </c>
      <c r="Y104" s="148">
        <f t="shared" si="46"/>
        <v>1407</v>
      </c>
      <c r="Z104" s="149" t="e">
        <f t="shared" si="46"/>
        <v>#REF!</v>
      </c>
      <c r="AA104" s="149" t="e">
        <f t="shared" si="46"/>
        <v>#REF!</v>
      </c>
      <c r="AB104" s="149" t="e">
        <f t="shared" si="46"/>
        <v>#REF!</v>
      </c>
      <c r="AC104" s="149" t="e">
        <f t="shared" si="46"/>
        <v>#REF!</v>
      </c>
      <c r="AD104" s="149" t="e">
        <f t="shared" si="46"/>
        <v>#REF!</v>
      </c>
      <c r="AE104" s="149" t="e">
        <f t="shared" si="46"/>
        <v>#REF!</v>
      </c>
      <c r="AF104" s="149" t="e">
        <f t="shared" si="46"/>
        <v>#REF!</v>
      </c>
      <c r="AG104" s="149" t="e">
        <f t="shared" si="46"/>
        <v>#REF!</v>
      </c>
      <c r="AH104" s="149" t="e">
        <f t="shared" si="46"/>
        <v>#REF!</v>
      </c>
      <c r="AI104" s="149" t="e">
        <f t="shared" si="46"/>
        <v>#REF!</v>
      </c>
      <c r="AJ104" s="149" t="e">
        <f t="shared" si="46"/>
        <v>#REF!</v>
      </c>
      <c r="AK104" s="149" t="e">
        <f t="shared" si="46"/>
        <v>#REF!</v>
      </c>
      <c r="AL104" s="149" t="e">
        <f t="shared" si="46"/>
        <v>#REF!</v>
      </c>
      <c r="AM104" s="149" t="e">
        <f t="shared" si="46"/>
        <v>#REF!</v>
      </c>
      <c r="AN104" s="149" t="e">
        <f t="shared" si="46"/>
        <v>#REF!</v>
      </c>
      <c r="AO104" s="149" t="e">
        <f t="shared" si="46"/>
        <v>#REF!</v>
      </c>
      <c r="AP104" s="149" t="e">
        <f t="shared" si="46"/>
        <v>#REF!</v>
      </c>
      <c r="AQ104" s="149" t="e">
        <f t="shared" si="46"/>
        <v>#REF!</v>
      </c>
      <c r="AR104" s="149" t="e">
        <f t="shared" si="46"/>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7">Q70</f>
        <v>46082</v>
      </c>
      <c r="R106" s="153">
        <f t="shared" si="47"/>
        <v>37403</v>
      </c>
      <c r="S106" s="153">
        <f t="shared" si="47"/>
        <v>30426</v>
      </c>
      <c r="T106" s="153">
        <f t="shared" si="47"/>
        <v>24755</v>
      </c>
      <c r="U106" s="153">
        <f t="shared" si="47"/>
        <v>20752</v>
      </c>
      <c r="V106" s="153">
        <f t="shared" si="47"/>
        <v>15296</v>
      </c>
      <c r="W106" s="153">
        <f t="shared" si="47"/>
        <v>7604</v>
      </c>
      <c r="X106" s="153">
        <f t="shared" si="47"/>
        <v>7167</v>
      </c>
      <c r="Y106" s="153">
        <f t="shared" si="47"/>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8">P101+P104</f>
        <v>138527</v>
      </c>
      <c r="Q107" s="148">
        <f t="shared" si="48"/>
        <v>130045</v>
      </c>
      <c r="R107" s="148">
        <f t="shared" si="48"/>
        <v>116360</v>
      </c>
      <c r="S107" s="148">
        <f t="shared" si="48"/>
        <v>126203</v>
      </c>
      <c r="T107" s="148">
        <f t="shared" si="48"/>
        <v>116629</v>
      </c>
      <c r="U107" s="148">
        <f t="shared" si="48"/>
        <v>112233</v>
      </c>
      <c r="V107" s="148">
        <f t="shared" si="48"/>
        <v>105798</v>
      </c>
      <c r="W107" s="148">
        <f t="shared" si="48"/>
        <v>97261</v>
      </c>
      <c r="X107" s="148">
        <f t="shared" si="48"/>
        <v>95945</v>
      </c>
      <c r="Y107" s="148">
        <f t="shared" si="48"/>
        <v>88364</v>
      </c>
      <c r="Z107" s="149" t="e">
        <f t="shared" si="48"/>
        <v>#REF!</v>
      </c>
      <c r="AA107" s="149" t="e">
        <f t="shared" si="48"/>
        <v>#REF!</v>
      </c>
      <c r="AB107" s="149" t="e">
        <f t="shared" si="48"/>
        <v>#REF!</v>
      </c>
      <c r="AC107" s="149" t="e">
        <f t="shared" si="48"/>
        <v>#REF!</v>
      </c>
      <c r="AD107" s="149" t="e">
        <f t="shared" si="48"/>
        <v>#REF!</v>
      </c>
      <c r="AE107" s="149" t="e">
        <f t="shared" si="48"/>
        <v>#REF!</v>
      </c>
      <c r="AF107" s="149" t="e">
        <f t="shared" si="48"/>
        <v>#REF!</v>
      </c>
      <c r="AG107" s="149" t="e">
        <f t="shared" si="48"/>
        <v>#REF!</v>
      </c>
      <c r="AH107" s="149" t="e">
        <f t="shared" si="48"/>
        <v>#REF!</v>
      </c>
      <c r="AI107" s="149" t="e">
        <f t="shared" si="48"/>
        <v>#REF!</v>
      </c>
      <c r="AJ107" s="149" t="e">
        <f t="shared" si="48"/>
        <v>#REF!</v>
      </c>
      <c r="AK107" s="149" t="e">
        <f t="shared" si="48"/>
        <v>#REF!</v>
      </c>
      <c r="AL107" s="149" t="e">
        <f t="shared" si="48"/>
        <v>#REF!</v>
      </c>
      <c r="AM107" s="149" t="e">
        <f t="shared" si="48"/>
        <v>#REF!</v>
      </c>
      <c r="AN107" s="149" t="e">
        <f t="shared" si="48"/>
        <v>#REF!</v>
      </c>
      <c r="AO107" s="149" t="e">
        <f t="shared" si="48"/>
        <v>#REF!</v>
      </c>
      <c r="AP107" s="149" t="e">
        <f t="shared" si="48"/>
        <v>#REF!</v>
      </c>
      <c r="AQ107" s="149" t="e">
        <f t="shared" si="48"/>
        <v>#REF!</v>
      </c>
      <c r="AR107" s="149" t="e">
        <f t="shared" si="48"/>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9">P21</f>
        <v>1.0950930587381498</v>
      </c>
      <c r="Q111" s="158">
        <f t="shared" si="49"/>
        <v>1.0762414872287132</v>
      </c>
      <c r="R111" s="158">
        <f t="shared" si="49"/>
        <v>1.0577672379478726</v>
      </c>
      <c r="S111" s="158">
        <f t="shared" si="49"/>
        <v>1.0340305904549145</v>
      </c>
      <c r="T111" s="158">
        <f t="shared" si="49"/>
        <v>1.0200101730823974</v>
      </c>
      <c r="U111" s="158">
        <f t="shared" si="49"/>
        <v>1.0053412271952122</v>
      </c>
      <c r="V111" s="158">
        <f t="shared" si="49"/>
        <v>0.99220541662116413</v>
      </c>
      <c r="W111" s="158">
        <f t="shared" si="49"/>
        <v>0.97954579229657246</v>
      </c>
      <c r="X111" s="158">
        <f t="shared" si="49"/>
        <v>0.96740101087674801</v>
      </c>
      <c r="Y111" s="158">
        <f t="shared" si="49"/>
        <v>0.95539612668196472</v>
      </c>
      <c r="Z111" s="158" t="e">
        <f t="shared" si="49"/>
        <v>#REF!</v>
      </c>
      <c r="AA111" s="158" t="e">
        <f t="shared" si="49"/>
        <v>#REF!</v>
      </c>
      <c r="AB111" s="158" t="e">
        <f t="shared" si="49"/>
        <v>#REF!</v>
      </c>
      <c r="AC111" s="158" t="e">
        <f t="shared" si="49"/>
        <v>#REF!</v>
      </c>
      <c r="AD111" s="158" t="e">
        <f t="shared" si="49"/>
        <v>#REF!</v>
      </c>
      <c r="AE111" s="158" t="e">
        <f t="shared" si="49"/>
        <v>#REF!</v>
      </c>
      <c r="AF111" s="158" t="e">
        <f t="shared" si="49"/>
        <v>#REF!</v>
      </c>
      <c r="AG111" s="158" t="e">
        <f t="shared" si="49"/>
        <v>#REF!</v>
      </c>
      <c r="AH111" s="158" t="e">
        <f t="shared" si="49"/>
        <v>#REF!</v>
      </c>
      <c r="AI111" s="158" t="e">
        <f t="shared" si="49"/>
        <v>#REF!</v>
      </c>
      <c r="AJ111" s="158" t="e">
        <f t="shared" si="49"/>
        <v>#REF!</v>
      </c>
      <c r="AK111" s="158" t="e">
        <f t="shared" si="49"/>
        <v>#REF!</v>
      </c>
      <c r="AL111" s="158" t="e">
        <f t="shared" si="49"/>
        <v>#REF!</v>
      </c>
      <c r="AM111" s="158" t="e">
        <f t="shared" si="49"/>
        <v>#REF!</v>
      </c>
      <c r="AN111" s="158" t="e">
        <f t="shared" si="49"/>
        <v>#REF!</v>
      </c>
      <c r="AO111" s="158" t="e">
        <f t="shared" si="49"/>
        <v>#REF!</v>
      </c>
      <c r="AP111" s="158" t="e">
        <f t="shared" si="49"/>
        <v>#REF!</v>
      </c>
      <c r="AQ111" s="158" t="e">
        <f t="shared" si="49"/>
        <v>#REF!</v>
      </c>
      <c r="AR111" s="158" t="e">
        <f t="shared" si="49"/>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50">P16</f>
        <v>109223</v>
      </c>
      <c r="Q112" s="159">
        <f t="shared" si="50"/>
        <v>109886</v>
      </c>
      <c r="R112" s="159">
        <f t="shared" si="50"/>
        <v>111329</v>
      </c>
      <c r="S112" s="159">
        <f t="shared" si="50"/>
        <v>117988</v>
      </c>
      <c r="T112" s="159">
        <f t="shared" si="50"/>
        <v>117748</v>
      </c>
      <c r="U112" s="159">
        <f t="shared" si="50"/>
        <v>118784</v>
      </c>
      <c r="V112" s="159">
        <f t="shared" si="50"/>
        <v>119166</v>
      </c>
      <c r="W112" s="159">
        <f t="shared" si="50"/>
        <v>119595</v>
      </c>
      <c r="X112" s="159">
        <f t="shared" si="50"/>
        <v>119785</v>
      </c>
      <c r="Y112" s="159">
        <f t="shared" si="50"/>
        <v>118804</v>
      </c>
      <c r="Z112" s="159" t="e">
        <f t="shared" si="50"/>
        <v>#REF!</v>
      </c>
      <c r="AA112" s="159" t="e">
        <f t="shared" si="50"/>
        <v>#REF!</v>
      </c>
      <c r="AB112" s="159" t="e">
        <f t="shared" si="50"/>
        <v>#REF!</v>
      </c>
      <c r="AC112" s="159" t="e">
        <f t="shared" si="50"/>
        <v>#REF!</v>
      </c>
      <c r="AD112" s="159" t="e">
        <f t="shared" si="50"/>
        <v>#REF!</v>
      </c>
      <c r="AE112" s="159" t="e">
        <f t="shared" si="50"/>
        <v>#REF!</v>
      </c>
      <c r="AF112" s="159" t="e">
        <f t="shared" si="50"/>
        <v>#REF!</v>
      </c>
      <c r="AG112" s="159" t="e">
        <f t="shared" si="50"/>
        <v>#REF!</v>
      </c>
      <c r="AH112" s="159" t="e">
        <f t="shared" si="50"/>
        <v>#REF!</v>
      </c>
      <c r="AI112" s="159" t="e">
        <f t="shared" si="50"/>
        <v>#REF!</v>
      </c>
      <c r="AJ112" s="159" t="e">
        <f t="shared" si="50"/>
        <v>#REF!</v>
      </c>
      <c r="AK112" s="159" t="e">
        <f t="shared" si="50"/>
        <v>#REF!</v>
      </c>
      <c r="AL112" s="159" t="e">
        <f t="shared" si="50"/>
        <v>#REF!</v>
      </c>
      <c r="AM112" s="159" t="e">
        <f t="shared" si="50"/>
        <v>#REF!</v>
      </c>
      <c r="AN112" s="159" t="e">
        <f t="shared" si="50"/>
        <v>#REF!</v>
      </c>
      <c r="AO112" s="159" t="e">
        <f t="shared" si="50"/>
        <v>#REF!</v>
      </c>
      <c r="AP112" s="159" t="e">
        <f t="shared" si="50"/>
        <v>#REF!</v>
      </c>
      <c r="AQ112" s="159" t="e">
        <f t="shared" si="50"/>
        <v>#REF!</v>
      </c>
      <c r="AR112" s="159" t="e">
        <f t="shared" si="50"/>
        <v>#REF!</v>
      </c>
    </row>
    <row r="113" spans="3:44" x14ac:dyDescent="0.55000000000000004">
      <c r="C113" s="427" t="s">
        <v>491</v>
      </c>
      <c r="D113" s="428"/>
      <c r="E113" s="428"/>
      <c r="F113" s="428"/>
      <c r="G113" s="428"/>
      <c r="H113" s="428"/>
      <c r="I113" s="428"/>
      <c r="J113" s="429"/>
      <c r="K113" s="158"/>
      <c r="L113" s="158"/>
      <c r="M113" s="158"/>
      <c r="N113" s="158"/>
      <c r="O113" s="158"/>
      <c r="P113" s="158">
        <f t="shared" ref="P113:AR113" si="51">P18</f>
        <v>0.56554938062495996</v>
      </c>
      <c r="Q113" s="158">
        <f t="shared" si="51"/>
        <v>0.56100868172469653</v>
      </c>
      <c r="R113" s="158">
        <f t="shared" si="51"/>
        <v>0.55275804148065644</v>
      </c>
      <c r="S113" s="158">
        <f t="shared" si="51"/>
        <v>0.52051056039597243</v>
      </c>
      <c r="T113" s="158">
        <f t="shared" si="51"/>
        <v>0.52065427862893632</v>
      </c>
      <c r="U113" s="158">
        <f t="shared" si="51"/>
        <v>0.51323410560344829</v>
      </c>
      <c r="V113" s="158">
        <f t="shared" si="51"/>
        <v>0.5102797777889666</v>
      </c>
      <c r="W113" s="158">
        <f t="shared" si="51"/>
        <v>0.50702788578117819</v>
      </c>
      <c r="X113" s="158">
        <f t="shared" si="51"/>
        <v>0.50492131736027046</v>
      </c>
      <c r="Y113" s="158">
        <f t="shared" si="51"/>
        <v>0.50791219150870337</v>
      </c>
      <c r="Z113" s="158" t="e">
        <f t="shared" si="51"/>
        <v>#REF!</v>
      </c>
      <c r="AA113" s="158" t="e">
        <f t="shared" si="51"/>
        <v>#REF!</v>
      </c>
      <c r="AB113" s="158" t="e">
        <f t="shared" si="51"/>
        <v>#REF!</v>
      </c>
      <c r="AC113" s="158" t="e">
        <f t="shared" si="51"/>
        <v>#REF!</v>
      </c>
      <c r="AD113" s="158" t="e">
        <f t="shared" si="51"/>
        <v>#REF!</v>
      </c>
      <c r="AE113" s="158" t="e">
        <f t="shared" si="51"/>
        <v>#REF!</v>
      </c>
      <c r="AF113" s="158" t="e">
        <f t="shared" si="51"/>
        <v>#REF!</v>
      </c>
      <c r="AG113" s="158" t="e">
        <f t="shared" si="51"/>
        <v>#REF!</v>
      </c>
      <c r="AH113" s="158" t="e">
        <f t="shared" si="51"/>
        <v>#REF!</v>
      </c>
      <c r="AI113" s="158" t="e">
        <f t="shared" si="51"/>
        <v>#REF!</v>
      </c>
      <c r="AJ113" s="158" t="e">
        <f t="shared" si="51"/>
        <v>#REF!</v>
      </c>
      <c r="AK113" s="158" t="e">
        <f t="shared" si="51"/>
        <v>#REF!</v>
      </c>
      <c r="AL113" s="158" t="e">
        <f t="shared" si="51"/>
        <v>#REF!</v>
      </c>
      <c r="AM113" s="158" t="e">
        <f t="shared" si="51"/>
        <v>#REF!</v>
      </c>
      <c r="AN113" s="158" t="e">
        <f t="shared" si="51"/>
        <v>#REF!</v>
      </c>
      <c r="AO113" s="158" t="e">
        <f t="shared" si="51"/>
        <v>#REF!</v>
      </c>
      <c r="AP113" s="158" t="e">
        <f t="shared" si="51"/>
        <v>#REF!</v>
      </c>
      <c r="AQ113" s="158" t="e">
        <f t="shared" si="51"/>
        <v>#REF!</v>
      </c>
      <c r="AR113" s="158" t="e">
        <f t="shared" si="51"/>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ref="Q114:Y114" si="52">Q19</f>
        <v>361566</v>
      </c>
      <c r="R114" s="159">
        <f t="shared" si="52"/>
        <v>360928</v>
      </c>
      <c r="S114" s="159">
        <f t="shared" si="52"/>
        <v>360199</v>
      </c>
      <c r="T114" s="159">
        <f t="shared" si="52"/>
        <v>359562</v>
      </c>
      <c r="U114" s="159">
        <f t="shared" si="52"/>
        <v>357557</v>
      </c>
      <c r="V114" s="159">
        <f t="shared" si="52"/>
        <v>356646</v>
      </c>
      <c r="W114" s="159">
        <f t="shared" si="52"/>
        <v>355644</v>
      </c>
      <c r="X114" s="159">
        <f t="shared" si="52"/>
        <v>354733</v>
      </c>
      <c r="Y114" s="159">
        <f t="shared" si="52"/>
        <v>353913</v>
      </c>
      <c r="Z114" s="159">
        <f t="shared" ref="Z114:AR114" si="53">Z19</f>
        <v>0</v>
      </c>
      <c r="AA114" s="159">
        <f t="shared" si="53"/>
        <v>0</v>
      </c>
      <c r="AB114" s="159">
        <f t="shared" si="53"/>
        <v>0</v>
      </c>
      <c r="AC114" s="159">
        <f t="shared" si="53"/>
        <v>0</v>
      </c>
      <c r="AD114" s="159">
        <f t="shared" si="53"/>
        <v>0</v>
      </c>
      <c r="AE114" s="159">
        <f t="shared" si="53"/>
        <v>0</v>
      </c>
      <c r="AF114" s="159">
        <f t="shared" si="53"/>
        <v>0</v>
      </c>
      <c r="AG114" s="159">
        <f t="shared" si="53"/>
        <v>0</v>
      </c>
      <c r="AH114" s="159">
        <f t="shared" si="53"/>
        <v>0</v>
      </c>
      <c r="AI114" s="159">
        <f t="shared" si="53"/>
        <v>0</v>
      </c>
      <c r="AJ114" s="159">
        <f t="shared" si="53"/>
        <v>0</v>
      </c>
      <c r="AK114" s="159">
        <f t="shared" si="53"/>
        <v>0</v>
      </c>
      <c r="AL114" s="159">
        <f t="shared" si="53"/>
        <v>0</v>
      </c>
      <c r="AM114" s="159">
        <f t="shared" si="53"/>
        <v>0</v>
      </c>
      <c r="AN114" s="159">
        <f t="shared" si="53"/>
        <v>0</v>
      </c>
      <c r="AO114" s="159">
        <f t="shared" si="53"/>
        <v>0</v>
      </c>
      <c r="AP114" s="159">
        <f t="shared" si="53"/>
        <v>0</v>
      </c>
      <c r="AQ114" s="159">
        <f t="shared" si="53"/>
        <v>0</v>
      </c>
      <c r="AR114" s="159">
        <f t="shared" si="53"/>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54">ROUND(Q112*1000/Q114,0)</f>
        <v>304</v>
      </c>
      <c r="R115" s="160">
        <f t="shared" si="54"/>
        <v>308</v>
      </c>
      <c r="S115" s="160">
        <f t="shared" si="54"/>
        <v>328</v>
      </c>
      <c r="T115" s="160">
        <f t="shared" si="54"/>
        <v>327</v>
      </c>
      <c r="U115" s="160">
        <f t="shared" si="54"/>
        <v>332</v>
      </c>
      <c r="V115" s="160">
        <f t="shared" si="54"/>
        <v>334</v>
      </c>
      <c r="W115" s="160">
        <f t="shared" si="54"/>
        <v>336</v>
      </c>
      <c r="X115" s="160">
        <f t="shared" si="54"/>
        <v>338</v>
      </c>
      <c r="Y115" s="160">
        <f t="shared" si="54"/>
        <v>336</v>
      </c>
      <c r="Z115" s="160" t="e">
        <f t="shared" ref="Z115:AR115" si="55">Z20</f>
        <v>#REF!</v>
      </c>
      <c r="AA115" s="160" t="e">
        <f t="shared" si="55"/>
        <v>#REF!</v>
      </c>
      <c r="AB115" s="160" t="e">
        <f t="shared" si="55"/>
        <v>#REF!</v>
      </c>
      <c r="AC115" s="160" t="e">
        <f t="shared" si="55"/>
        <v>#REF!</v>
      </c>
      <c r="AD115" s="160" t="e">
        <f t="shared" si="55"/>
        <v>#REF!</v>
      </c>
      <c r="AE115" s="160" t="e">
        <f t="shared" si="55"/>
        <v>#REF!</v>
      </c>
      <c r="AF115" s="160" t="e">
        <f t="shared" si="55"/>
        <v>#REF!</v>
      </c>
      <c r="AG115" s="160" t="e">
        <f t="shared" si="55"/>
        <v>#REF!</v>
      </c>
      <c r="AH115" s="160" t="e">
        <f t="shared" si="55"/>
        <v>#REF!</v>
      </c>
      <c r="AI115" s="160" t="e">
        <f t="shared" si="55"/>
        <v>#REF!</v>
      </c>
      <c r="AJ115" s="160" t="e">
        <f t="shared" si="55"/>
        <v>#REF!</v>
      </c>
      <c r="AK115" s="160" t="e">
        <f t="shared" si="55"/>
        <v>#REF!</v>
      </c>
      <c r="AL115" s="160" t="e">
        <f t="shared" si="55"/>
        <v>#REF!</v>
      </c>
      <c r="AM115" s="160" t="e">
        <f t="shared" si="55"/>
        <v>#REF!</v>
      </c>
      <c r="AN115" s="160" t="e">
        <f t="shared" si="55"/>
        <v>#REF!</v>
      </c>
      <c r="AO115" s="160" t="e">
        <f t="shared" si="55"/>
        <v>#REF!</v>
      </c>
      <c r="AP115" s="160" t="e">
        <f t="shared" si="55"/>
        <v>#REF!</v>
      </c>
      <c r="AQ115" s="160" t="e">
        <f t="shared" si="55"/>
        <v>#REF!</v>
      </c>
      <c r="AR115" s="160" t="e">
        <f t="shared" si="55"/>
        <v>#REF!</v>
      </c>
    </row>
    <row r="116" spans="3:44" hidden="1" x14ac:dyDescent="0.55000000000000004"/>
    <row r="117" spans="3:44" hidden="1" x14ac:dyDescent="0.55000000000000004"/>
    <row r="118" spans="3:44" hidden="1" x14ac:dyDescent="0.55000000000000004">
      <c r="P118" s="143">
        <f>P83-P49-P35</f>
        <v>-34726</v>
      </c>
      <c r="Q118" s="143">
        <f t="shared" ref="Q118:Y118" si="56">Q83-Q49-Q35</f>
        <v>-55840</v>
      </c>
      <c r="R118" s="143">
        <f t="shared" si="56"/>
        <v>-73502</v>
      </c>
      <c r="S118" s="143">
        <f t="shared" si="56"/>
        <v>-124555</v>
      </c>
      <c r="T118" s="143">
        <f t="shared" si="56"/>
        <v>-130540</v>
      </c>
      <c r="U118" s="143">
        <f t="shared" si="56"/>
        <v>-139082</v>
      </c>
      <c r="V118" s="143">
        <f t="shared" si="56"/>
        <v>-148631</v>
      </c>
      <c r="W118" s="143">
        <f t="shared" si="56"/>
        <v>-159358</v>
      </c>
      <c r="X118" s="143">
        <f t="shared" si="56"/>
        <v>-149004</v>
      </c>
      <c r="Y118" s="143">
        <f t="shared" si="56"/>
        <v>-155098</v>
      </c>
    </row>
    <row r="119" spans="3:44" hidden="1" x14ac:dyDescent="0.55000000000000004">
      <c r="P119" s="143">
        <f>ROUND(P118,-3)</f>
        <v>-35000</v>
      </c>
      <c r="Q119" s="143">
        <f t="shared" ref="Q119:Y119" si="57">ROUND(Q118,-3)</f>
        <v>-56000</v>
      </c>
      <c r="R119" s="143">
        <f t="shared" si="57"/>
        <v>-74000</v>
      </c>
      <c r="S119" s="143">
        <f t="shared" si="57"/>
        <v>-125000</v>
      </c>
      <c r="T119" s="143">
        <f t="shared" si="57"/>
        <v>-131000</v>
      </c>
      <c r="U119" s="143">
        <f t="shared" si="57"/>
        <v>-139000</v>
      </c>
      <c r="V119" s="143">
        <f t="shared" si="57"/>
        <v>-149000</v>
      </c>
      <c r="W119" s="143">
        <f t="shared" si="57"/>
        <v>-159000</v>
      </c>
      <c r="X119" s="143">
        <f t="shared" si="57"/>
        <v>-149000</v>
      </c>
      <c r="Y119" s="143">
        <f t="shared" si="57"/>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8">Q37-Q35</f>
        <v>145680</v>
      </c>
      <c r="R121" s="168">
        <f t="shared" si="58"/>
        <v>140565</v>
      </c>
      <c r="S121" s="168">
        <f t="shared" si="58"/>
        <v>157261</v>
      </c>
      <c r="T121" s="168">
        <f t="shared" si="58"/>
        <v>153250</v>
      </c>
      <c r="U121" s="168">
        <f t="shared" si="58"/>
        <v>152515</v>
      </c>
      <c r="V121" s="168">
        <f t="shared" si="58"/>
        <v>151380</v>
      </c>
      <c r="W121" s="168">
        <f t="shared" si="58"/>
        <v>150365</v>
      </c>
      <c r="X121" s="168">
        <f t="shared" si="58"/>
        <v>149330</v>
      </c>
      <c r="Y121" s="168">
        <f t="shared" si="58"/>
        <v>147369</v>
      </c>
    </row>
    <row r="122" spans="3:44" x14ac:dyDescent="0.55000000000000004">
      <c r="C122" s="427" t="s">
        <v>496</v>
      </c>
      <c r="D122" s="428"/>
      <c r="E122" s="428"/>
      <c r="F122" s="428"/>
      <c r="G122" s="428"/>
      <c r="H122" s="428"/>
      <c r="I122" s="428"/>
      <c r="J122" s="429"/>
      <c r="P122" s="168">
        <f>P53-P49</f>
        <v>92248</v>
      </c>
      <c r="Q122" s="168">
        <f t="shared" ref="Q122:Y122" si="59">Q53-Q49</f>
        <v>90653</v>
      </c>
      <c r="R122" s="168">
        <f t="shared" si="59"/>
        <v>92939</v>
      </c>
      <c r="S122" s="168">
        <f t="shared" si="59"/>
        <v>101350</v>
      </c>
      <c r="T122" s="168">
        <f t="shared" si="59"/>
        <v>102582</v>
      </c>
      <c r="U122" s="168">
        <f t="shared" si="59"/>
        <v>104462</v>
      </c>
      <c r="V122" s="168">
        <f t="shared" si="59"/>
        <v>105849</v>
      </c>
      <c r="W122" s="168">
        <f t="shared" si="59"/>
        <v>107298</v>
      </c>
      <c r="X122" s="168">
        <f t="shared" si="59"/>
        <v>108746</v>
      </c>
      <c r="Y122" s="168">
        <f t="shared" si="59"/>
        <v>109990</v>
      </c>
    </row>
    <row r="123" spans="3:44" x14ac:dyDescent="0.55000000000000004">
      <c r="C123" s="427" t="s">
        <v>497</v>
      </c>
      <c r="D123" s="428"/>
      <c r="E123" s="428"/>
      <c r="F123" s="428"/>
      <c r="G123" s="428"/>
      <c r="H123" s="428"/>
      <c r="I123" s="428"/>
      <c r="J123" s="429"/>
      <c r="P123" s="168">
        <f>P121-P122</f>
        <v>58107</v>
      </c>
      <c r="Q123" s="168">
        <f t="shared" ref="Q123:Y123" si="60">Q121-Q122</f>
        <v>55027</v>
      </c>
      <c r="R123" s="168">
        <f t="shared" si="60"/>
        <v>47626</v>
      </c>
      <c r="S123" s="168">
        <f t="shared" si="60"/>
        <v>55911</v>
      </c>
      <c r="T123" s="168">
        <f t="shared" si="60"/>
        <v>50668</v>
      </c>
      <c r="U123" s="168">
        <f t="shared" si="60"/>
        <v>48053</v>
      </c>
      <c r="V123" s="168">
        <f t="shared" si="60"/>
        <v>45531</v>
      </c>
      <c r="W123" s="168">
        <f t="shared" si="60"/>
        <v>43067</v>
      </c>
      <c r="X123" s="168">
        <f t="shared" si="60"/>
        <v>40584</v>
      </c>
      <c r="Y123" s="168">
        <f t="shared" si="60"/>
        <v>37379</v>
      </c>
    </row>
    <row r="124" spans="3:44" x14ac:dyDescent="0.55000000000000004">
      <c r="C124" s="427" t="s">
        <v>498</v>
      </c>
      <c r="D124" s="428"/>
      <c r="E124" s="428"/>
      <c r="F124" s="428"/>
      <c r="G124" s="428"/>
      <c r="H124" s="428"/>
      <c r="I124" s="428"/>
      <c r="J124" s="429"/>
      <c r="P124" s="168">
        <f>P80</f>
        <v>105641</v>
      </c>
      <c r="Q124" s="168">
        <f t="shared" ref="Q124:Y124" si="61">Q80</f>
        <v>193510</v>
      </c>
      <c r="R124" s="168">
        <f t="shared" si="61"/>
        <v>787831</v>
      </c>
      <c r="S124" s="168">
        <f t="shared" si="61"/>
        <v>81854</v>
      </c>
      <c r="T124" s="168">
        <f t="shared" si="61"/>
        <v>120109</v>
      </c>
      <c r="U124" s="168">
        <f t="shared" si="61"/>
        <v>72180</v>
      </c>
      <c r="V124" s="168">
        <f t="shared" si="61"/>
        <v>66724</v>
      </c>
      <c r="W124" s="168">
        <f t="shared" si="61"/>
        <v>59032</v>
      </c>
      <c r="X124" s="168">
        <f t="shared" si="61"/>
        <v>58595</v>
      </c>
      <c r="Y124" s="168">
        <f t="shared" si="61"/>
        <v>66761</v>
      </c>
    </row>
    <row r="125" spans="3:44" x14ac:dyDescent="0.55000000000000004">
      <c r="C125" s="427" t="s">
        <v>499</v>
      </c>
      <c r="D125" s="428"/>
      <c r="E125" s="428"/>
      <c r="F125" s="428"/>
      <c r="G125" s="428"/>
      <c r="H125" s="428"/>
      <c r="I125" s="428"/>
      <c r="J125" s="429"/>
      <c r="P125" s="168">
        <f>P87</f>
        <v>182406</v>
      </c>
      <c r="Q125" s="168">
        <f t="shared" ref="Q125:Y125" si="62">Q87</f>
        <v>219368</v>
      </c>
      <c r="R125" s="168">
        <f t="shared" si="62"/>
        <v>809040</v>
      </c>
      <c r="S125" s="168">
        <f t="shared" si="62"/>
        <v>100231</v>
      </c>
      <c r="T125" s="168">
        <f t="shared" si="62"/>
        <v>145924</v>
      </c>
      <c r="U125" s="168">
        <f t="shared" si="62"/>
        <v>90209</v>
      </c>
      <c r="V125" s="168">
        <f t="shared" si="62"/>
        <v>81963</v>
      </c>
      <c r="W125" s="168">
        <f t="shared" si="62"/>
        <v>72551</v>
      </c>
      <c r="X125" s="168">
        <f t="shared" si="62"/>
        <v>83547</v>
      </c>
      <c r="Y125" s="168">
        <f t="shared" si="62"/>
        <v>94966</v>
      </c>
    </row>
    <row r="126" spans="3:44" x14ac:dyDescent="0.55000000000000004">
      <c r="C126" s="427" t="s">
        <v>500</v>
      </c>
      <c r="D126" s="428"/>
      <c r="E126" s="428"/>
      <c r="F126" s="428"/>
      <c r="G126" s="428"/>
      <c r="H126" s="428"/>
      <c r="I126" s="428"/>
      <c r="J126" s="429"/>
      <c r="P126" s="168">
        <f>P124-P125</f>
        <v>-76765</v>
      </c>
      <c r="Q126" s="168">
        <f t="shared" ref="Q126:Y126" si="63">Q124-Q125</f>
        <v>-25858</v>
      </c>
      <c r="R126" s="168">
        <f t="shared" si="63"/>
        <v>-21209</v>
      </c>
      <c r="S126" s="168">
        <f t="shared" si="63"/>
        <v>-18377</v>
      </c>
      <c r="T126" s="168">
        <f t="shared" si="63"/>
        <v>-25815</v>
      </c>
      <c r="U126" s="168">
        <f t="shared" si="63"/>
        <v>-18029</v>
      </c>
      <c r="V126" s="168">
        <f t="shared" si="63"/>
        <v>-15239</v>
      </c>
      <c r="W126" s="168">
        <f t="shared" si="63"/>
        <v>-13519</v>
      </c>
      <c r="X126" s="168">
        <f t="shared" si="63"/>
        <v>-24952</v>
      </c>
      <c r="Y126" s="168">
        <f t="shared" si="63"/>
        <v>-28205</v>
      </c>
    </row>
    <row r="127" spans="3:44" x14ac:dyDescent="0.55000000000000004">
      <c r="C127" s="427" t="s">
        <v>501</v>
      </c>
      <c r="D127" s="428"/>
      <c r="E127" s="428"/>
      <c r="F127" s="428"/>
      <c r="G127" s="428"/>
      <c r="H127" s="428"/>
      <c r="I127" s="428"/>
      <c r="J127" s="429"/>
      <c r="P127" s="168">
        <f>P123+P126</f>
        <v>-18658</v>
      </c>
      <c r="Q127" s="168">
        <f t="shared" ref="Q127:Y127" si="64">Q123+Q126</f>
        <v>29169</v>
      </c>
      <c r="R127" s="168">
        <f t="shared" si="64"/>
        <v>26417</v>
      </c>
      <c r="S127" s="168">
        <f t="shared" si="64"/>
        <v>37534</v>
      </c>
      <c r="T127" s="168">
        <f t="shared" si="64"/>
        <v>24853</v>
      </c>
      <c r="U127" s="168">
        <f t="shared" si="64"/>
        <v>30024</v>
      </c>
      <c r="V127" s="168">
        <f t="shared" si="64"/>
        <v>30292</v>
      </c>
      <c r="W127" s="168">
        <f t="shared" si="64"/>
        <v>29548</v>
      </c>
      <c r="X127" s="168">
        <f t="shared" si="64"/>
        <v>15632</v>
      </c>
      <c r="Y127" s="168">
        <f t="shared" si="64"/>
        <v>9174</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33500</v>
      </c>
      <c r="U133" s="143">
        <f t="shared" ref="U133:Y133" si="65">-(U58-U132)</f>
        <v>33660</v>
      </c>
      <c r="V133" s="143">
        <f t="shared" si="65"/>
        <v>32783</v>
      </c>
      <c r="W133" s="143">
        <f t="shared" si="65"/>
        <v>31495</v>
      </c>
      <c r="X133" s="143">
        <f t="shared" si="65"/>
        <v>30101</v>
      </c>
      <c r="Y133" s="143">
        <f t="shared" si="65"/>
        <v>27404</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18658</v>
      </c>
      <c r="Q137" s="143">
        <f t="shared" ref="Q137:Y137" si="66">-Q127</f>
        <v>-29169</v>
      </c>
      <c r="R137" s="143">
        <f t="shared" si="66"/>
        <v>-26417</v>
      </c>
      <c r="S137" s="143">
        <f t="shared" si="66"/>
        <v>-37534</v>
      </c>
      <c r="T137" s="143">
        <f t="shared" si="66"/>
        <v>-24853</v>
      </c>
      <c r="U137" s="143">
        <f t="shared" si="66"/>
        <v>-30024</v>
      </c>
      <c r="V137" s="143">
        <f t="shared" si="66"/>
        <v>-30292</v>
      </c>
      <c r="W137" s="143">
        <f t="shared" si="66"/>
        <v>-29548</v>
      </c>
      <c r="X137" s="143">
        <f t="shared" si="66"/>
        <v>-15632</v>
      </c>
      <c r="Y137" s="143">
        <f t="shared" si="66"/>
        <v>-9174</v>
      </c>
    </row>
    <row r="138" spans="3:25" x14ac:dyDescent="0.55000000000000004">
      <c r="P138" s="75">
        <f>SUM(P136:P137)</f>
        <v>18658</v>
      </c>
      <c r="Q138" s="75">
        <f t="shared" ref="Q138:Y138" si="67">SUM(Q136:Q137)</f>
        <v>-29169</v>
      </c>
      <c r="R138" s="75">
        <f t="shared" si="67"/>
        <v>243883</v>
      </c>
      <c r="S138" s="75">
        <f t="shared" si="67"/>
        <v>-22534</v>
      </c>
      <c r="T138" s="75">
        <f t="shared" si="67"/>
        <v>-17653</v>
      </c>
      <c r="U138" s="75">
        <f t="shared" si="67"/>
        <v>-20324</v>
      </c>
      <c r="V138" s="75">
        <f t="shared" si="67"/>
        <v>-30292</v>
      </c>
      <c r="W138" s="75">
        <f t="shared" si="67"/>
        <v>-29548</v>
      </c>
      <c r="X138" s="75">
        <f t="shared" si="67"/>
        <v>3068</v>
      </c>
      <c r="Y138" s="75">
        <f t="shared" si="67"/>
        <v>5026</v>
      </c>
    </row>
    <row r="142" spans="3:25" x14ac:dyDescent="0.55000000000000004">
      <c r="Q142" s="143">
        <f>P145</f>
        <v>531</v>
      </c>
    </row>
    <row r="143" spans="3:25" x14ac:dyDescent="0.55000000000000004">
      <c r="P143" s="143">
        <f>P49-P35</f>
        <v>41466</v>
      </c>
      <c r="Q143" s="143">
        <f t="shared" ref="Q143:Y143" si="68">Q49-Q35</f>
        <v>41604</v>
      </c>
      <c r="R143" s="143">
        <f t="shared" si="68"/>
        <v>37322</v>
      </c>
      <c r="S143" s="143">
        <f t="shared" si="68"/>
        <v>48660</v>
      </c>
      <c r="T143" s="143">
        <f t="shared" si="68"/>
        <v>46380</v>
      </c>
      <c r="U143" s="143">
        <f t="shared" si="68"/>
        <v>46891</v>
      </c>
      <c r="V143" s="143">
        <f t="shared" si="68"/>
        <v>47244</v>
      </c>
      <c r="W143" s="143">
        <f t="shared" si="68"/>
        <v>47609</v>
      </c>
      <c r="X143" s="143">
        <f t="shared" si="68"/>
        <v>47885</v>
      </c>
      <c r="Y143" s="143">
        <f t="shared" si="68"/>
        <v>47370</v>
      </c>
    </row>
    <row r="144" spans="3:25" x14ac:dyDescent="0.55000000000000004">
      <c r="P144" s="143">
        <f>P89</f>
        <v>40935</v>
      </c>
      <c r="Q144" s="143">
        <f t="shared" ref="Q144:Y144" si="69">Q89</f>
        <v>11258</v>
      </c>
      <c r="R144" s="143">
        <f t="shared" si="69"/>
        <v>0</v>
      </c>
      <c r="S144" s="143">
        <f t="shared" si="69"/>
        <v>13377</v>
      </c>
      <c r="T144" s="143">
        <f t="shared" si="69"/>
        <v>15872</v>
      </c>
      <c r="U144" s="143">
        <f t="shared" si="69"/>
        <v>13029</v>
      </c>
      <c r="V144" s="143">
        <f t="shared" si="69"/>
        <v>10239</v>
      </c>
      <c r="W144" s="143">
        <f t="shared" si="69"/>
        <v>8519</v>
      </c>
      <c r="X144" s="143">
        <f t="shared" si="69"/>
        <v>19952</v>
      </c>
      <c r="Y144" s="143">
        <f t="shared" si="69"/>
        <v>21262</v>
      </c>
    </row>
    <row r="145" spans="16:25" x14ac:dyDescent="0.55000000000000004">
      <c r="P145" s="143">
        <f>P143-P144</f>
        <v>531</v>
      </c>
      <c r="Q145" s="143">
        <f>SUM(Q142:Q143)</f>
        <v>42135</v>
      </c>
      <c r="R145" s="143">
        <f t="shared" ref="R145:Y145" si="70">SUM(R142:R143)</f>
        <v>37322</v>
      </c>
      <c r="S145" s="143">
        <f t="shared" si="70"/>
        <v>48660</v>
      </c>
      <c r="T145" s="143">
        <f t="shared" si="70"/>
        <v>46380</v>
      </c>
      <c r="U145" s="143">
        <f t="shared" si="70"/>
        <v>46891</v>
      </c>
      <c r="V145" s="143">
        <f t="shared" si="70"/>
        <v>47244</v>
      </c>
      <c r="W145" s="143">
        <f t="shared" si="70"/>
        <v>47609</v>
      </c>
      <c r="X145" s="143">
        <f t="shared" si="70"/>
        <v>47885</v>
      </c>
      <c r="Y145" s="143">
        <f t="shared" si="70"/>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71">Q161</f>
        <v>0.42993318309413669</v>
      </c>
      <c r="S161" s="75">
        <f t="shared" si="71"/>
        <v>0.42993318309413669</v>
      </c>
      <c r="T161" s="75">
        <f t="shared" si="71"/>
        <v>0.42993318309413669</v>
      </c>
      <c r="U161" s="75">
        <f t="shared" si="71"/>
        <v>0.42993318309413669</v>
      </c>
      <c r="V161" s="75">
        <f t="shared" si="71"/>
        <v>0.42993318309413669</v>
      </c>
      <c r="W161" s="75">
        <f t="shared" si="71"/>
        <v>0.42993318309413669</v>
      </c>
      <c r="X161" s="75">
        <f t="shared" si="71"/>
        <v>0.42993318309413669</v>
      </c>
      <c r="Y161" s="75">
        <f t="shared" si="71"/>
        <v>0.42993318309413669</v>
      </c>
    </row>
    <row r="108" spans="3:48" ht="30" customHeight="1" x14ac:dyDescent="0.55">
      <c r="C108" s="144" t="s">
        <v>880</v>
      </c>
    </row>
  </sheetData>
  <mergeCells count="97">
    <mergeCell ref="C123:J123"/>
    <mergeCell ref="C124:J124"/>
    <mergeCell ref="C125:J125"/>
    <mergeCell ref="C126:J126"/>
    <mergeCell ref="C127:J127"/>
    <mergeCell ref="C122:J122"/>
    <mergeCell ref="F103:J103"/>
    <mergeCell ref="C104:G104"/>
    <mergeCell ref="F105:J105"/>
    <mergeCell ref="F106:J106"/>
    <mergeCell ref="C107:G107"/>
    <mergeCell ref="C111:J111"/>
    <mergeCell ref="C112:J112"/>
    <mergeCell ref="C113:J113"/>
    <mergeCell ref="C114:J114"/>
    <mergeCell ref="C115:J115"/>
    <mergeCell ref="C121:J121"/>
    <mergeCell ref="F102:J102"/>
    <mergeCell ref="E87:I87"/>
    <mergeCell ref="C88:I88"/>
    <mergeCell ref="C89:D93"/>
    <mergeCell ref="F89:J89"/>
    <mergeCell ref="F90:J90"/>
    <mergeCell ref="F91:J91"/>
    <mergeCell ref="F92:J92"/>
    <mergeCell ref="E93:I93"/>
    <mergeCell ref="C94:H94"/>
    <mergeCell ref="I94:J94"/>
    <mergeCell ref="C95:I95"/>
    <mergeCell ref="C96:I96"/>
    <mergeCell ref="C101:G101"/>
    <mergeCell ref="D81:D87"/>
    <mergeCell ref="F81:J81"/>
    <mergeCell ref="F82:J82"/>
    <mergeCell ref="F83:J83"/>
    <mergeCell ref="F84:J84"/>
    <mergeCell ref="F85:J85"/>
    <mergeCell ref="F86:J86"/>
    <mergeCell ref="F76:J76"/>
    <mergeCell ref="F77:J77"/>
    <mergeCell ref="E79:I79"/>
    <mergeCell ref="F80:G80"/>
    <mergeCell ref="H80:I80"/>
    <mergeCell ref="B58:H58"/>
    <mergeCell ref="I58:J58"/>
    <mergeCell ref="E78:I78"/>
    <mergeCell ref="B61:J61"/>
    <mergeCell ref="B62:J62"/>
    <mergeCell ref="B63:J63"/>
    <mergeCell ref="C68:C87"/>
    <mergeCell ref="D68:D80"/>
    <mergeCell ref="F68:J68"/>
    <mergeCell ref="F69:J69"/>
    <mergeCell ref="F70:J70"/>
    <mergeCell ref="F71:J71"/>
    <mergeCell ref="F72:J72"/>
    <mergeCell ref="F73:J73"/>
    <mergeCell ref="F74:J74"/>
    <mergeCell ref="F75:J75"/>
    <mergeCell ref="C54:F54"/>
    <mergeCell ref="H54:I54"/>
    <mergeCell ref="B55:H55"/>
    <mergeCell ref="B56:H56"/>
    <mergeCell ref="B57:F57"/>
    <mergeCell ref="H57:I5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B59:H59"/>
    <mergeCell ref="I59:J59"/>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s>
  <phoneticPr fontId="2"/>
  <pageMargins left="0.7" right="0.7" top="0.75" bottom="0.75" header="0.3" footer="0.3"/>
  <pageSetup paperSize="9" scale="73" fitToHeight="4" orientation="landscape" r:id="rId1"/>
  <rowBreaks count="1" manualBreakCount="1">
    <brk id="64" max="24" man="1"/>
  </rowBreaks>
  <ignoredErrors>
    <ignoredError sqref="D27:J36 D38:J51 D52 E68:J77 E81:J86 E89:J92"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6E8D-7267-4428-BDDE-0651A7864A33}">
  <sheetPr>
    <tabColor theme="3"/>
  </sheetPr>
  <dimension ref="A1:AB50"/>
  <sheetViews>
    <sheetView showGridLines="0" topLeftCell="A4" zoomScaleNormal="100" zoomScaleSheetLayoutView="100" workbookViewId="0">
      <selection activeCell="F25" sqref="F25"/>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864</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38000</v>
      </c>
      <c r="F6" s="50">
        <v>10000</v>
      </c>
      <c r="G6" s="50">
        <v>25000</v>
      </c>
      <c r="H6" s="50">
        <v>110000</v>
      </c>
      <c r="I6" s="50">
        <v>110000</v>
      </c>
      <c r="J6" s="50">
        <v>70000</v>
      </c>
      <c r="K6" s="50">
        <v>60000</v>
      </c>
      <c r="L6" s="50">
        <v>55000</v>
      </c>
      <c r="M6" s="50">
        <v>83300</v>
      </c>
      <c r="N6" s="51">
        <v>121470</v>
      </c>
      <c r="P6" s="47">
        <f>ROUND(J6/$J$16,4)</f>
        <v>0.99570000000000003</v>
      </c>
      <c r="Q6" s="47">
        <f>ROUND(P6*$J$19,0)</f>
        <v>13442</v>
      </c>
      <c r="R6" s="47" t="s">
        <v>321</v>
      </c>
      <c r="T6" s="48">
        <v>16000</v>
      </c>
    </row>
    <row r="7" spans="1:28" s="42" customFormat="1" ht="21.75" customHeight="1" x14ac:dyDescent="0.2">
      <c r="A7" s="347" t="s">
        <v>865</v>
      </c>
      <c r="B7" s="348"/>
      <c r="C7" s="348"/>
      <c r="D7" s="348"/>
      <c r="E7" s="348"/>
      <c r="F7" s="348"/>
      <c r="G7" s="348"/>
      <c r="H7" s="348"/>
      <c r="I7" s="348"/>
      <c r="J7" s="348"/>
      <c r="K7" s="348"/>
      <c r="L7" s="348"/>
      <c r="M7" s="348"/>
      <c r="N7" s="349"/>
      <c r="R7" s="42" t="s">
        <v>319</v>
      </c>
      <c r="T7" s="43">
        <v>10000</v>
      </c>
    </row>
    <row r="8" spans="1:28" s="47" customFormat="1" ht="21.75" customHeight="1" thickBot="1" x14ac:dyDescent="0.25">
      <c r="A8" s="345" t="s">
        <v>320</v>
      </c>
      <c r="B8" s="346"/>
      <c r="C8" s="49"/>
      <c r="D8" s="50"/>
      <c r="E8" s="50">
        <v>12550</v>
      </c>
      <c r="F8" s="50">
        <v>115300</v>
      </c>
      <c r="G8" s="50">
        <v>300</v>
      </c>
      <c r="H8" s="50">
        <v>300</v>
      </c>
      <c r="I8" s="50">
        <v>300</v>
      </c>
      <c r="J8" s="50">
        <v>300</v>
      </c>
      <c r="K8" s="50">
        <v>300</v>
      </c>
      <c r="L8" s="50">
        <v>300</v>
      </c>
      <c r="M8" s="50">
        <v>300</v>
      </c>
      <c r="N8" s="51">
        <v>300</v>
      </c>
      <c r="P8" s="47">
        <f>ROUND(J8/$J$16,4)</f>
        <v>4.3E-3</v>
      </c>
      <c r="Q8" s="47">
        <f>ROUND(P8*$J$19,0)</f>
        <v>58</v>
      </c>
      <c r="R8" s="47" t="s">
        <v>321</v>
      </c>
      <c r="T8" s="48">
        <v>16000</v>
      </c>
    </row>
    <row r="9" spans="1:28" s="42" customFormat="1" ht="21.75" hidden="1" customHeight="1" x14ac:dyDescent="0.2">
      <c r="A9" s="347" t="s">
        <v>728</v>
      </c>
      <c r="B9" s="348"/>
      <c r="C9" s="348"/>
      <c r="D9" s="348"/>
      <c r="E9" s="348"/>
      <c r="F9" s="348"/>
      <c r="G9" s="348"/>
      <c r="H9" s="348"/>
      <c r="I9" s="348"/>
      <c r="J9" s="348"/>
      <c r="K9" s="348"/>
      <c r="L9" s="348"/>
      <c r="M9" s="348"/>
      <c r="N9" s="349"/>
      <c r="R9" s="42" t="s">
        <v>319</v>
      </c>
      <c r="T9" s="43">
        <v>10000</v>
      </c>
    </row>
    <row r="10" spans="1:28" s="47" customFormat="1" ht="21.75" hidden="1" customHeight="1" x14ac:dyDescent="0.2">
      <c r="A10" s="345" t="s">
        <v>320</v>
      </c>
      <c r="B10" s="346"/>
      <c r="C10" s="49">
        <v>18000</v>
      </c>
      <c r="D10" s="50">
        <v>18000</v>
      </c>
      <c r="E10" s="50">
        <f>Sheet3!N12</f>
        <v>0</v>
      </c>
      <c r="F10" s="50">
        <f>Sheet3!O12</f>
        <v>0</v>
      </c>
      <c r="G10" s="50">
        <f>Sheet3!P12</f>
        <v>0</v>
      </c>
      <c r="H10" s="50">
        <f>Sheet3!Q12</f>
        <v>0</v>
      </c>
      <c r="I10" s="50">
        <f>Sheet3!R12</f>
        <v>0</v>
      </c>
      <c r="J10" s="50">
        <f>Sheet3!S12</f>
        <v>0</v>
      </c>
      <c r="K10" s="50">
        <f>Sheet3!T12</f>
        <v>0</v>
      </c>
      <c r="L10" s="50">
        <f>Sheet3!U12</f>
        <v>0</v>
      </c>
      <c r="M10" s="50">
        <f>Sheet3!V12</f>
        <v>0</v>
      </c>
      <c r="N10" s="51">
        <f>Sheet3!W12</f>
        <v>0</v>
      </c>
      <c r="P10" s="47">
        <f>ROUND(J10/$J$16,4)</f>
        <v>0</v>
      </c>
      <c r="R10" s="47" t="s">
        <v>321</v>
      </c>
      <c r="T10" s="48">
        <v>16000</v>
      </c>
    </row>
    <row r="11" spans="1:28" s="42" customFormat="1" ht="21.75" hidden="1" customHeight="1" x14ac:dyDescent="0.2">
      <c r="A11" s="347" t="s">
        <v>729</v>
      </c>
      <c r="B11" s="348"/>
      <c r="C11" s="348"/>
      <c r="D11" s="348"/>
      <c r="E11" s="348"/>
      <c r="F11" s="348"/>
      <c r="G11" s="348"/>
      <c r="H11" s="348"/>
      <c r="I11" s="348"/>
      <c r="J11" s="348"/>
      <c r="K11" s="348"/>
      <c r="L11" s="348"/>
      <c r="M11" s="348"/>
      <c r="N11" s="349"/>
    </row>
    <row r="12" spans="1:28" s="47" customFormat="1" ht="21.75" hidden="1" customHeight="1" x14ac:dyDescent="0.2">
      <c r="A12" s="350" t="s">
        <v>320</v>
      </c>
      <c r="B12" s="351"/>
      <c r="C12" s="49"/>
      <c r="D12" s="50"/>
      <c r="E12" s="50"/>
      <c r="F12" s="50"/>
      <c r="G12" s="50"/>
      <c r="H12" s="50"/>
      <c r="I12" s="50"/>
      <c r="J12" s="50"/>
      <c r="K12" s="50"/>
      <c r="L12" s="50"/>
      <c r="M12" s="50"/>
      <c r="N12" s="51"/>
      <c r="P12" s="47">
        <f>ROUND(J12/$J$16,4)</f>
        <v>0</v>
      </c>
      <c r="Q12" s="47">
        <f>ROUND(P12*$J$19,0)</f>
        <v>0</v>
      </c>
    </row>
    <row r="13" spans="1:28" s="47" customFormat="1" ht="17" hidden="1" customHeight="1" x14ac:dyDescent="0.2">
      <c r="A13" s="355" t="s">
        <v>727</v>
      </c>
      <c r="B13" s="356"/>
      <c r="C13" s="356"/>
      <c r="D13" s="356"/>
      <c r="E13" s="356"/>
      <c r="F13" s="356"/>
      <c r="G13" s="356"/>
      <c r="H13" s="356"/>
      <c r="I13" s="356"/>
      <c r="J13" s="356"/>
      <c r="K13" s="356"/>
      <c r="L13" s="356"/>
      <c r="M13" s="356"/>
      <c r="N13" s="357"/>
    </row>
    <row r="14" spans="1:28" s="47" customFormat="1" ht="21.5" hidden="1" customHeight="1" thickBot="1" x14ac:dyDescent="0.25">
      <c r="A14" s="358" t="s">
        <v>320</v>
      </c>
      <c r="B14" s="359"/>
      <c r="C14" s="44">
        <v>18000</v>
      </c>
      <c r="D14" s="45">
        <v>18000</v>
      </c>
      <c r="E14" s="45">
        <f>Sheet3!N14</f>
        <v>0</v>
      </c>
      <c r="F14" s="45">
        <f>Sheet3!O14</f>
        <v>0</v>
      </c>
      <c r="G14" s="45">
        <f>Sheet3!P14</f>
        <v>0</v>
      </c>
      <c r="H14" s="45">
        <f>Sheet3!Q14</f>
        <v>0</v>
      </c>
      <c r="I14" s="45">
        <f>Sheet3!R14</f>
        <v>0</v>
      </c>
      <c r="J14" s="45"/>
      <c r="K14" s="45">
        <f>Sheet3!T14</f>
        <v>0</v>
      </c>
      <c r="L14" s="45">
        <f>Sheet3!U14</f>
        <v>0</v>
      </c>
      <c r="M14" s="45">
        <f>Sheet3!V14</f>
        <v>0</v>
      </c>
      <c r="N14" s="46">
        <f>Sheet3!W14</f>
        <v>0</v>
      </c>
      <c r="P14" s="47">
        <f>ROUND(J14/$J$16,4)</f>
        <v>0</v>
      </c>
      <c r="Q14" s="47">
        <f>ROUND(P14*$J$19,0)</f>
        <v>0</v>
      </c>
    </row>
    <row r="15" spans="1:28" s="42" customFormat="1" ht="33.5" hidden="1" thickBot="1" x14ac:dyDescent="0.25">
      <c r="A15" s="340" t="s">
        <v>306</v>
      </c>
      <c r="B15" s="341"/>
      <c r="C15" s="52" t="s">
        <v>307</v>
      </c>
      <c r="D15" s="52" t="s">
        <v>308</v>
      </c>
      <c r="E15" s="40" t="s">
        <v>753</v>
      </c>
      <c r="F15" s="40" t="s">
        <v>743</v>
      </c>
      <c r="G15" s="40" t="s">
        <v>752</v>
      </c>
      <c r="H15" s="40" t="s">
        <v>751</v>
      </c>
      <c r="I15" s="40" t="s">
        <v>750</v>
      </c>
      <c r="J15" s="40" t="s">
        <v>749</v>
      </c>
      <c r="K15" s="40" t="s">
        <v>748</v>
      </c>
      <c r="L15" s="40" t="s">
        <v>747</v>
      </c>
      <c r="M15" s="40" t="s">
        <v>746</v>
      </c>
      <c r="N15" s="41" t="s">
        <v>745</v>
      </c>
    </row>
    <row r="16" spans="1:28" s="42" customFormat="1" ht="24" hidden="1" customHeight="1" thickBot="1" x14ac:dyDescent="0.5">
      <c r="A16" s="360" t="s">
        <v>323</v>
      </c>
      <c r="B16" s="361"/>
      <c r="C16" s="53" t="e">
        <f>#REF!+#REF!+C14+#REF!+#REF!+#REF!+#REF!+C12+#REF!+C10+C6</f>
        <v>#REF!</v>
      </c>
      <c r="D16" s="54" t="e">
        <f>#REF!+#REF!+D14+#REF!+#REF!+#REF!+#REF!+D12+#REF!+D10+D6</f>
        <v>#REF!</v>
      </c>
      <c r="E16" s="55">
        <f>E6+E10+E12+E14+E8</f>
        <v>50550</v>
      </c>
      <c r="F16" s="55">
        <f t="shared" ref="F16:N16" si="0">F6+F10+F12+F14+F8</f>
        <v>125300</v>
      </c>
      <c r="G16" s="55">
        <f t="shared" si="0"/>
        <v>25300</v>
      </c>
      <c r="H16" s="55">
        <f t="shared" si="0"/>
        <v>110300</v>
      </c>
      <c r="I16" s="55">
        <f t="shared" si="0"/>
        <v>110300</v>
      </c>
      <c r="J16" s="55">
        <f t="shared" si="0"/>
        <v>70300</v>
      </c>
      <c r="K16" s="55">
        <f t="shared" si="0"/>
        <v>60300</v>
      </c>
      <c r="L16" s="55">
        <f t="shared" si="0"/>
        <v>55300</v>
      </c>
      <c r="M16" s="55">
        <f t="shared" si="0"/>
        <v>83600</v>
      </c>
      <c r="N16" s="56">
        <f t="shared" si="0"/>
        <v>121770</v>
      </c>
    </row>
    <row r="17" spans="1:14" s="42" customFormat="1" ht="20.25" customHeight="1" x14ac:dyDescent="0.2">
      <c r="A17" s="337" t="s">
        <v>324</v>
      </c>
      <c r="B17" s="338"/>
      <c r="C17" s="338"/>
      <c r="D17" s="338"/>
      <c r="E17" s="338"/>
      <c r="F17" s="338"/>
      <c r="G17" s="338"/>
      <c r="H17" s="338"/>
      <c r="I17" s="338"/>
      <c r="J17" s="338"/>
      <c r="K17" s="338"/>
      <c r="L17" s="338"/>
      <c r="M17" s="338"/>
      <c r="N17" s="339"/>
    </row>
    <row r="18" spans="1:14" s="42" customFormat="1" ht="20.25" customHeight="1" x14ac:dyDescent="0.2">
      <c r="A18" s="372" t="s">
        <v>325</v>
      </c>
      <c r="B18" s="373"/>
      <c r="C18" s="373"/>
      <c r="D18" s="373"/>
      <c r="E18" s="373"/>
      <c r="F18" s="373"/>
      <c r="G18" s="373"/>
      <c r="H18" s="373"/>
      <c r="I18" s="373"/>
      <c r="J18" s="373"/>
      <c r="K18" s="373"/>
      <c r="L18" s="373"/>
      <c r="M18" s="373"/>
      <c r="N18" s="374"/>
    </row>
    <row r="19" spans="1:14" s="42" customFormat="1" ht="20.25" customHeight="1" x14ac:dyDescent="0.2">
      <c r="A19" s="375" t="s">
        <v>320</v>
      </c>
      <c r="B19" s="376"/>
      <c r="C19" s="57"/>
      <c r="D19" s="58"/>
      <c r="E19" s="58">
        <v>3700</v>
      </c>
      <c r="F19" s="58">
        <v>34500</v>
      </c>
      <c r="G19" s="58">
        <v>0</v>
      </c>
      <c r="H19" s="58">
        <v>30000</v>
      </c>
      <c r="I19" s="58">
        <v>30000</v>
      </c>
      <c r="J19" s="58">
        <v>13500</v>
      </c>
      <c r="K19" s="58">
        <v>15000</v>
      </c>
      <c r="L19" s="58">
        <v>13500</v>
      </c>
      <c r="M19" s="58">
        <v>13500</v>
      </c>
      <c r="N19" s="59">
        <v>13500</v>
      </c>
    </row>
    <row r="20" spans="1:14" s="42" customFormat="1" ht="20.25" hidden="1" customHeight="1" x14ac:dyDescent="0.2">
      <c r="A20" s="372" t="s">
        <v>326</v>
      </c>
      <c r="B20" s="373"/>
      <c r="C20" s="373"/>
      <c r="D20" s="373"/>
      <c r="E20" s="373"/>
      <c r="F20" s="373"/>
      <c r="G20" s="373"/>
      <c r="H20" s="373"/>
      <c r="I20" s="373"/>
      <c r="J20" s="373"/>
      <c r="K20" s="373"/>
      <c r="L20" s="373"/>
      <c r="M20" s="373"/>
      <c r="N20" s="374"/>
    </row>
    <row r="21" spans="1:14" s="42" customFormat="1" ht="20.25" hidden="1" customHeight="1" x14ac:dyDescent="0.2">
      <c r="A21" s="377" t="s">
        <v>320</v>
      </c>
      <c r="B21" s="378"/>
      <c r="C21" s="60"/>
      <c r="D21" s="61"/>
      <c r="E21" s="61"/>
      <c r="F21" s="61"/>
      <c r="G21" s="61"/>
      <c r="H21" s="61"/>
      <c r="I21" s="61"/>
      <c r="J21" s="61"/>
      <c r="K21" s="61"/>
      <c r="L21" s="61"/>
      <c r="M21" s="61"/>
      <c r="N21" s="62"/>
    </row>
    <row r="22" spans="1:14" s="42" customFormat="1" ht="16.5" x14ac:dyDescent="0.2">
      <c r="A22" s="372" t="s">
        <v>333</v>
      </c>
      <c r="B22" s="373"/>
      <c r="C22" s="373"/>
      <c r="D22" s="373"/>
      <c r="E22" s="373"/>
      <c r="F22" s="373"/>
      <c r="G22" s="373"/>
      <c r="H22" s="373"/>
      <c r="I22" s="373"/>
      <c r="J22" s="373"/>
      <c r="K22" s="373"/>
      <c r="L22" s="373"/>
      <c r="M22" s="373"/>
      <c r="N22" s="374"/>
    </row>
    <row r="23" spans="1:14" s="42" customFormat="1" ht="17" thickBot="1" x14ac:dyDescent="0.25">
      <c r="A23" s="370" t="s">
        <v>320</v>
      </c>
      <c r="B23" s="371"/>
      <c r="C23" s="63"/>
      <c r="D23" s="64"/>
      <c r="E23" s="64">
        <v>32300</v>
      </c>
      <c r="F23" s="64">
        <v>80100</v>
      </c>
      <c r="G23" s="64">
        <v>16100</v>
      </c>
      <c r="H23" s="64">
        <v>70500</v>
      </c>
      <c r="I23" s="64">
        <v>70500</v>
      </c>
      <c r="J23" s="64">
        <v>44900</v>
      </c>
      <c r="K23" s="64">
        <v>38500</v>
      </c>
      <c r="L23" s="64">
        <v>35300</v>
      </c>
      <c r="M23" s="64">
        <v>53400</v>
      </c>
      <c r="N23" s="65">
        <v>77800</v>
      </c>
    </row>
    <row r="24" spans="1:14" s="42" customFormat="1" ht="16.5" x14ac:dyDescent="0.2">
      <c r="A24" s="362" t="s">
        <v>866</v>
      </c>
      <c r="B24" s="363"/>
      <c r="C24" s="363"/>
      <c r="D24" s="363"/>
      <c r="E24" s="363"/>
      <c r="F24" s="363"/>
      <c r="G24" s="363"/>
      <c r="H24" s="363"/>
      <c r="I24" s="363"/>
      <c r="J24" s="363"/>
      <c r="K24" s="363"/>
      <c r="L24" s="363"/>
      <c r="M24" s="363"/>
      <c r="N24" s="364"/>
    </row>
    <row r="25" spans="1:14" s="42" customFormat="1" ht="17" thickBot="1" x14ac:dyDescent="0.25">
      <c r="A25" s="365" t="s">
        <v>320</v>
      </c>
      <c r="B25" s="366"/>
      <c r="C25" s="63"/>
      <c r="D25" s="64"/>
      <c r="E25" s="64">
        <v>3033</v>
      </c>
      <c r="F25" s="64">
        <v>7518</v>
      </c>
      <c r="G25" s="64">
        <v>1518</v>
      </c>
      <c r="H25" s="64">
        <v>6618</v>
      </c>
      <c r="I25" s="64">
        <v>6618</v>
      </c>
      <c r="J25" s="64">
        <v>4218</v>
      </c>
      <c r="K25" s="64">
        <v>3618</v>
      </c>
      <c r="L25" s="64">
        <v>3318</v>
      </c>
      <c r="M25" s="64">
        <v>5016</v>
      </c>
      <c r="N25" s="65">
        <v>7306</v>
      </c>
    </row>
    <row r="26" spans="1:14" s="42" customFormat="1" ht="16.5" x14ac:dyDescent="0.2">
      <c r="A26" s="362" t="s">
        <v>867</v>
      </c>
      <c r="B26" s="363"/>
      <c r="C26" s="363"/>
      <c r="D26" s="363"/>
      <c r="E26" s="363"/>
      <c r="F26" s="363"/>
      <c r="G26" s="363"/>
      <c r="H26" s="363"/>
      <c r="I26" s="363"/>
      <c r="J26" s="363"/>
      <c r="K26" s="363"/>
      <c r="L26" s="363"/>
      <c r="M26" s="363"/>
      <c r="N26" s="364"/>
    </row>
    <row r="27" spans="1:14" s="42" customFormat="1" ht="17" thickBot="1" x14ac:dyDescent="0.25">
      <c r="A27" s="365" t="s">
        <v>320</v>
      </c>
      <c r="B27" s="366"/>
      <c r="C27" s="63"/>
      <c r="D27" s="64"/>
      <c r="E27" s="64">
        <f>E16-E19-E23-E25</f>
        <v>11517</v>
      </c>
      <c r="F27" s="64">
        <f t="shared" ref="F27:N27" si="1">F16-F19-F23-F25</f>
        <v>3182</v>
      </c>
      <c r="G27" s="64">
        <f t="shared" si="1"/>
        <v>7682</v>
      </c>
      <c r="H27" s="64">
        <f t="shared" si="1"/>
        <v>3182</v>
      </c>
      <c r="I27" s="64">
        <f t="shared" si="1"/>
        <v>3182</v>
      </c>
      <c r="J27" s="64">
        <f t="shared" si="1"/>
        <v>7682</v>
      </c>
      <c r="K27" s="64">
        <f t="shared" si="1"/>
        <v>3182</v>
      </c>
      <c r="L27" s="64">
        <f t="shared" si="1"/>
        <v>3182</v>
      </c>
      <c r="M27" s="64">
        <f t="shared" si="1"/>
        <v>11684</v>
      </c>
      <c r="N27" s="65">
        <f t="shared" si="1"/>
        <v>23164</v>
      </c>
    </row>
    <row r="28" spans="1:14" s="42" customFormat="1" ht="20.25" customHeight="1" x14ac:dyDescent="0.2">
      <c r="A28" s="367"/>
      <c r="B28" s="368"/>
      <c r="C28" s="368"/>
      <c r="D28" s="368"/>
      <c r="E28" s="368"/>
      <c r="F28" s="368"/>
      <c r="G28" s="368"/>
      <c r="H28" s="368"/>
      <c r="I28" s="368"/>
      <c r="J28" s="368"/>
      <c r="K28" s="368"/>
      <c r="L28" s="368"/>
      <c r="M28" s="368"/>
      <c r="N28" s="369"/>
    </row>
    <row r="29" spans="1:14" s="42" customFormat="1" ht="20.25" customHeight="1" thickBot="1" x14ac:dyDescent="0.25">
      <c r="A29" s="370" t="s">
        <v>327</v>
      </c>
      <c r="B29" s="371"/>
      <c r="C29" s="66"/>
      <c r="D29" s="67"/>
      <c r="E29" s="67">
        <f>E16-E19-E21-E23-E25</f>
        <v>11517</v>
      </c>
      <c r="F29" s="67">
        <f t="shared" ref="F29:N29" si="2">F16-F19-F21-F23-F25</f>
        <v>3182</v>
      </c>
      <c r="G29" s="67">
        <f t="shared" si="2"/>
        <v>7682</v>
      </c>
      <c r="H29" s="67">
        <f t="shared" si="2"/>
        <v>3182</v>
      </c>
      <c r="I29" s="67">
        <f t="shared" si="2"/>
        <v>3182</v>
      </c>
      <c r="J29" s="67">
        <f t="shared" si="2"/>
        <v>7682</v>
      </c>
      <c r="K29" s="67">
        <f t="shared" si="2"/>
        <v>3182</v>
      </c>
      <c r="L29" s="67">
        <f t="shared" si="2"/>
        <v>3182</v>
      </c>
      <c r="M29" s="67">
        <f t="shared" si="2"/>
        <v>11684</v>
      </c>
      <c r="N29" s="68">
        <f t="shared" si="2"/>
        <v>23164</v>
      </c>
    </row>
    <row r="30" spans="1:14" s="42" customFormat="1" ht="15.75" customHeight="1" x14ac:dyDescent="0.2">
      <c r="A30" s="42" t="s">
        <v>328</v>
      </c>
      <c r="C30" s="69"/>
      <c r="D30" s="69"/>
      <c r="E30" s="69"/>
      <c r="F30" s="69"/>
      <c r="G30" s="69"/>
      <c r="H30" s="69"/>
      <c r="I30" s="69"/>
      <c r="J30" s="69"/>
      <c r="K30" s="69"/>
      <c r="L30" s="69"/>
      <c r="M30" s="69"/>
      <c r="N30" s="69"/>
    </row>
    <row r="31" spans="1:14" s="42" customFormat="1" x14ac:dyDescent="0.2">
      <c r="A31" s="42" t="s">
        <v>329</v>
      </c>
      <c r="C31" s="69"/>
      <c r="D31" s="69"/>
      <c r="E31" s="69"/>
      <c r="F31" s="69"/>
      <c r="G31" s="69"/>
      <c r="H31" s="69"/>
      <c r="I31" s="69"/>
      <c r="J31" s="69"/>
      <c r="K31" s="69"/>
      <c r="L31" s="69"/>
      <c r="M31" s="69"/>
      <c r="N31" s="69"/>
    </row>
    <row r="32" spans="1:14" s="42" customFormat="1" x14ac:dyDescent="0.2">
      <c r="B32" s="70" t="s">
        <v>330</v>
      </c>
      <c r="C32" s="69"/>
      <c r="D32" s="69"/>
      <c r="E32" s="69"/>
      <c r="F32" s="69"/>
      <c r="G32" s="69"/>
      <c r="H32" s="69"/>
      <c r="I32" s="69"/>
      <c r="J32" s="69"/>
      <c r="K32" s="69"/>
      <c r="L32" s="69"/>
      <c r="M32" s="69"/>
      <c r="N32" s="69"/>
    </row>
    <row r="33" spans="3:14" s="42" customFormat="1" x14ac:dyDescent="0.2">
      <c r="C33" s="69">
        <f t="shared" ref="C33:N33" si="3">SUM(C19:C25)</f>
        <v>0</v>
      </c>
      <c r="D33" s="69">
        <f t="shared" si="3"/>
        <v>0</v>
      </c>
      <c r="E33" s="69">
        <f t="shared" si="3"/>
        <v>39033</v>
      </c>
      <c r="F33" s="69">
        <f t="shared" si="3"/>
        <v>122118</v>
      </c>
      <c r="G33" s="69">
        <f t="shared" si="3"/>
        <v>17618</v>
      </c>
      <c r="H33" s="69">
        <f t="shared" si="3"/>
        <v>107118</v>
      </c>
      <c r="I33" s="69">
        <f t="shared" si="3"/>
        <v>107118</v>
      </c>
      <c r="J33" s="69">
        <f t="shared" si="3"/>
        <v>62618</v>
      </c>
      <c r="K33" s="69">
        <f t="shared" si="3"/>
        <v>57118</v>
      </c>
      <c r="L33" s="69">
        <f t="shared" si="3"/>
        <v>52118</v>
      </c>
      <c r="M33" s="69">
        <f t="shared" si="3"/>
        <v>71916</v>
      </c>
      <c r="N33" s="69">
        <f t="shared" si="3"/>
        <v>98606</v>
      </c>
    </row>
    <row r="35" spans="3:14" x14ac:dyDescent="0.2">
      <c r="C35" s="72" t="e">
        <f t="shared" ref="C35:N35" si="4">C16-C33</f>
        <v>#REF!</v>
      </c>
      <c r="D35" s="72" t="e">
        <f t="shared" si="4"/>
        <v>#REF!</v>
      </c>
      <c r="E35" s="72">
        <f t="shared" si="4"/>
        <v>11517</v>
      </c>
      <c r="F35" s="72">
        <f t="shared" si="4"/>
        <v>3182</v>
      </c>
      <c r="G35" s="72">
        <f t="shared" si="4"/>
        <v>7682</v>
      </c>
      <c r="H35" s="72">
        <f t="shared" si="4"/>
        <v>3182</v>
      </c>
      <c r="I35" s="72">
        <f t="shared" si="4"/>
        <v>3182</v>
      </c>
      <c r="J35" s="72">
        <f t="shared" si="4"/>
        <v>7682</v>
      </c>
      <c r="K35" s="72">
        <f t="shared" si="4"/>
        <v>3182</v>
      </c>
      <c r="L35" s="72">
        <f t="shared" si="4"/>
        <v>3182</v>
      </c>
      <c r="M35" s="72">
        <f t="shared" si="4"/>
        <v>11684</v>
      </c>
      <c r="N35" s="72">
        <f t="shared" si="4"/>
        <v>23164</v>
      </c>
    </row>
    <row r="37" spans="3:14" x14ac:dyDescent="0.2">
      <c r="C37" s="72">
        <f t="shared" ref="C37:N37" si="5">SUM(C19,C21,C25)</f>
        <v>0</v>
      </c>
      <c r="D37" s="72">
        <f t="shared" si="5"/>
        <v>0</v>
      </c>
      <c r="E37" s="72">
        <f t="shared" si="5"/>
        <v>6733</v>
      </c>
      <c r="F37" s="72">
        <f t="shared" si="5"/>
        <v>42018</v>
      </c>
      <c r="G37" s="72">
        <f t="shared" si="5"/>
        <v>1518</v>
      </c>
      <c r="H37" s="72">
        <f t="shared" si="5"/>
        <v>36618</v>
      </c>
      <c r="I37" s="72">
        <f t="shared" si="5"/>
        <v>36618</v>
      </c>
      <c r="J37" s="72">
        <f t="shared" si="5"/>
        <v>17718</v>
      </c>
      <c r="K37" s="72">
        <f t="shared" si="5"/>
        <v>18618</v>
      </c>
      <c r="L37" s="72">
        <f t="shared" si="5"/>
        <v>16818</v>
      </c>
      <c r="M37" s="72">
        <f t="shared" si="5"/>
        <v>18516</v>
      </c>
      <c r="N37" s="72">
        <f t="shared" si="5"/>
        <v>20806</v>
      </c>
    </row>
    <row r="41" spans="3:14" x14ac:dyDescent="0.2">
      <c r="E41" s="72" t="e">
        <f>#REF!+#REF!</f>
        <v>#REF!</v>
      </c>
      <c r="F41" s="72" t="e">
        <f>#REF!+#REF!</f>
        <v>#REF!</v>
      </c>
      <c r="G41" s="72" t="e">
        <f>#REF!+#REF!</f>
        <v>#REF!</v>
      </c>
      <c r="H41" s="72" t="e">
        <f>#REF!+#REF!</f>
        <v>#REF!</v>
      </c>
      <c r="I41" s="72" t="e">
        <f>#REF!+#REF!</f>
        <v>#REF!</v>
      </c>
      <c r="J41" s="72" t="e">
        <f>#REF!+#REF!</f>
        <v>#REF!</v>
      </c>
      <c r="K41" s="72" t="e">
        <f>#REF!+#REF!</f>
        <v>#REF!</v>
      </c>
      <c r="L41" s="72" t="e">
        <f>#REF!+#REF!</f>
        <v>#REF!</v>
      </c>
      <c r="M41" s="72" t="e">
        <f>#REF!+#REF!</f>
        <v>#REF!</v>
      </c>
      <c r="N41" s="72" t="e">
        <f>#REF!+#REF!</f>
        <v>#REF!</v>
      </c>
    </row>
    <row r="42" spans="3:14" x14ac:dyDescent="0.2">
      <c r="E42" s="72" t="e">
        <f>E16-E41</f>
        <v>#REF!</v>
      </c>
      <c r="F42" s="72" t="e">
        <f t="shared" ref="F42:N42" si="6">F16-F41</f>
        <v>#REF!</v>
      </c>
      <c r="G42" s="72" t="e">
        <f t="shared" si="6"/>
        <v>#REF!</v>
      </c>
      <c r="H42" s="72" t="e">
        <f t="shared" si="6"/>
        <v>#REF!</v>
      </c>
      <c r="I42" s="72" t="e">
        <f t="shared" si="6"/>
        <v>#REF!</v>
      </c>
      <c r="J42" s="72" t="e">
        <f t="shared" si="6"/>
        <v>#REF!</v>
      </c>
      <c r="K42" s="72" t="e">
        <f t="shared" si="6"/>
        <v>#REF!</v>
      </c>
      <c r="L42" s="72" t="e">
        <f t="shared" si="6"/>
        <v>#REF!</v>
      </c>
      <c r="M42" s="72" t="e">
        <f t="shared" si="6"/>
        <v>#REF!</v>
      </c>
      <c r="N42" s="72" t="e">
        <f t="shared" si="6"/>
        <v>#REF!</v>
      </c>
    </row>
    <row r="43" spans="3:14" x14ac:dyDescent="0.2">
      <c r="F43" s="72">
        <v>200</v>
      </c>
      <c r="G43" s="73">
        <v>0.4</v>
      </c>
      <c r="H43" s="73">
        <f>F43/G43</f>
        <v>500</v>
      </c>
    </row>
    <row r="44" spans="3:14" x14ac:dyDescent="0.2">
      <c r="G44" s="72">
        <v>0.6</v>
      </c>
      <c r="H44" s="72">
        <f>F43/G44</f>
        <v>333.33333333333337</v>
      </c>
    </row>
    <row r="46" spans="3:14" x14ac:dyDescent="0.2">
      <c r="E46" s="72" t="s">
        <v>331</v>
      </c>
    </row>
    <row r="50" spans="5:14" x14ac:dyDescent="0.2">
      <c r="E50" s="72" t="e">
        <f>ROUND((E6+E10+E12+#REF!+#REF!)*45%,0)</f>
        <v>#REF!</v>
      </c>
      <c r="F50" s="72" t="e">
        <f>ROUND((F6+F10+F12+#REF!+#REF!)*45%,0)</f>
        <v>#REF!</v>
      </c>
      <c r="G50" s="72" t="e">
        <f>ROUND((G6+G10+G12+#REF!+#REF!)*45%,0)</f>
        <v>#REF!</v>
      </c>
      <c r="H50" s="72" t="e">
        <f>ROUND((H6+H10+H12+#REF!+#REF!)*45%,0)</f>
        <v>#REF!</v>
      </c>
      <c r="I50" s="72" t="e">
        <f>ROUND((I6+I10+I12+#REF!+#REF!)*45%,0)</f>
        <v>#REF!</v>
      </c>
      <c r="J50" s="72" t="e">
        <f>ROUND((J6+J10+J12+#REF!+#REF!)*45%,0)</f>
        <v>#REF!</v>
      </c>
      <c r="K50" s="72" t="e">
        <f>ROUND((K6+K10+K12+#REF!+#REF!)*45%,0)</f>
        <v>#REF!</v>
      </c>
      <c r="L50" s="72" t="e">
        <f>ROUND((L6+L10+L12+#REF!+#REF!)*45%,0)</f>
        <v>#REF!</v>
      </c>
      <c r="M50" s="72" t="e">
        <f>ROUND((M6+M10+M12+#REF!+#REF!)*45%,0)</f>
        <v>#REF!</v>
      </c>
      <c r="N50" s="72" t="e">
        <f>ROUND((N6+N10+N12+#REF!+#REF!)*45%,0)</f>
        <v>#REF!</v>
      </c>
    </row>
  </sheetData>
  <mergeCells count="26">
    <mergeCell ref="A26:N26"/>
    <mergeCell ref="A27:B27"/>
    <mergeCell ref="A24:N24"/>
    <mergeCell ref="A25:B25"/>
    <mergeCell ref="A28:N28"/>
    <mergeCell ref="A29:B29"/>
    <mergeCell ref="A7:N7"/>
    <mergeCell ref="A8:B8"/>
    <mergeCell ref="A18:N18"/>
    <mergeCell ref="A19:B19"/>
    <mergeCell ref="A20:N20"/>
    <mergeCell ref="A21:B21"/>
    <mergeCell ref="A22:N22"/>
    <mergeCell ref="A23:B23"/>
    <mergeCell ref="A12:B12"/>
    <mergeCell ref="A13:N13"/>
    <mergeCell ref="A14:B14"/>
    <mergeCell ref="A15:B15"/>
    <mergeCell ref="A16:B16"/>
    <mergeCell ref="A17:N17"/>
    <mergeCell ref="A11:N11"/>
    <mergeCell ref="A4:B4"/>
    <mergeCell ref="A5:N5"/>
    <mergeCell ref="A6:B6"/>
    <mergeCell ref="A9:N9"/>
    <mergeCell ref="A10:B10"/>
  </mergeCells>
  <phoneticPr fontId="3"/>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CDB0-C26D-4425-8D5C-DF8BF8C50694}">
  <sheetPr>
    <tabColor theme="4"/>
  </sheetPr>
  <dimension ref="A1:AY162"/>
  <sheetViews>
    <sheetView showGridLines="0" topLeftCell="A16" zoomScale="96" zoomScaleNormal="96" zoomScaleSheetLayoutView="121" workbookViewId="0">
      <selection activeCell="P28" sqref="P28"/>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P53-P35-P103-P30</f>
        <v>72463</v>
      </c>
      <c r="Q16" s="78">
        <f t="shared" ref="Q16:Y16" si="2">Q53-Q35-Q103-Q30</f>
        <v>73868</v>
      </c>
      <c r="R16" s="78">
        <f t="shared" si="2"/>
        <v>78891</v>
      </c>
      <c r="S16" s="78">
        <f t="shared" si="2"/>
        <v>78669</v>
      </c>
      <c r="T16" s="78">
        <f t="shared" si="2"/>
        <v>81007</v>
      </c>
      <c r="U16" s="78">
        <f t="shared" si="2"/>
        <v>83584</v>
      </c>
      <c r="V16" s="78">
        <f t="shared" si="2"/>
        <v>84428</v>
      </c>
      <c r="W16" s="78">
        <f t="shared" si="2"/>
        <v>82474</v>
      </c>
      <c r="X16" s="78">
        <f t="shared" si="2"/>
        <v>80838</v>
      </c>
      <c r="Y16" s="78">
        <f t="shared" si="2"/>
        <v>79306</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83606</v>
      </c>
      <c r="Q17" s="78">
        <f t="shared" ref="Q17:Y17" si="3">Q28</f>
        <v>83564</v>
      </c>
      <c r="R17" s="78">
        <f t="shared" si="3"/>
        <v>83752</v>
      </c>
      <c r="S17" s="78">
        <f t="shared" si="3"/>
        <v>83524</v>
      </c>
      <c r="T17" s="78">
        <f t="shared" si="3"/>
        <v>83482</v>
      </c>
      <c r="U17" s="78">
        <f t="shared" si="3"/>
        <v>83482</v>
      </c>
      <c r="V17" s="78">
        <f t="shared" si="3"/>
        <v>83669</v>
      </c>
      <c r="W17" s="78">
        <f t="shared" si="3"/>
        <v>83400</v>
      </c>
      <c r="X17" s="78">
        <f t="shared" si="3"/>
        <v>83400</v>
      </c>
      <c r="Y17" s="78">
        <f t="shared" si="3"/>
        <v>83400</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4">P17/P16</f>
        <v>1.1537750300153182</v>
      </c>
      <c r="Q18" s="82">
        <f t="shared" si="4"/>
        <v>1.1312611685709644</v>
      </c>
      <c r="R18" s="82">
        <f t="shared" si="4"/>
        <v>1.0616166609625939</v>
      </c>
      <c r="S18" s="82">
        <f t="shared" si="4"/>
        <v>1.0617142711868717</v>
      </c>
      <c r="T18" s="82">
        <f t="shared" si="4"/>
        <v>1.0305529151801696</v>
      </c>
      <c r="U18" s="82">
        <f t="shared" si="4"/>
        <v>0.99877967075038288</v>
      </c>
      <c r="V18" s="82">
        <f t="shared" si="4"/>
        <v>0.9910100914388591</v>
      </c>
      <c r="W18" s="82">
        <f t="shared" si="4"/>
        <v>1.0112277808763974</v>
      </c>
      <c r="X18" s="82">
        <f t="shared" si="4"/>
        <v>1.0316930156609516</v>
      </c>
      <c r="Y18" s="82">
        <f t="shared" si="4"/>
        <v>1.0516228280331879</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4" x14ac:dyDescent="0.55000000000000004">
      <c r="J19" s="77" t="s">
        <v>380</v>
      </c>
      <c r="K19" s="78"/>
      <c r="L19" s="78"/>
      <c r="M19" s="78"/>
      <c r="N19" s="78"/>
      <c r="O19" s="78"/>
      <c r="P19" s="78">
        <f>予測!F36</f>
        <v>741320</v>
      </c>
      <c r="Q19" s="78">
        <f>予測!G36</f>
        <v>740950</v>
      </c>
      <c r="R19" s="78">
        <f>予測!H36</f>
        <v>742610</v>
      </c>
      <c r="S19" s="78">
        <f>予測!I36</f>
        <v>740590</v>
      </c>
      <c r="T19" s="78">
        <f>予測!J36</f>
        <v>740220</v>
      </c>
      <c r="U19" s="78">
        <f>予測!K36</f>
        <v>740220</v>
      </c>
      <c r="V19" s="78">
        <f>予測!L36</f>
        <v>741880</v>
      </c>
      <c r="W19" s="78">
        <f>予測!M36</f>
        <v>739490</v>
      </c>
      <c r="X19" s="78">
        <f>予測!N36</f>
        <v>739490</v>
      </c>
      <c r="Y19" s="78">
        <f>予測!O36</f>
        <v>739490</v>
      </c>
      <c r="Z19" s="78">
        <f t="shared" ref="Z19:AR19" si="5">Z8</f>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row>
    <row r="20" spans="2:44" x14ac:dyDescent="0.55000000000000004">
      <c r="J20" s="77" t="s">
        <v>381</v>
      </c>
      <c r="K20" s="78"/>
      <c r="L20" s="78"/>
      <c r="M20" s="78"/>
      <c r="N20" s="78"/>
      <c r="O20" s="78"/>
      <c r="P20" s="78">
        <f t="shared" ref="P20:AR20" si="6">P16/P19*1000</f>
        <v>97.74861058652135</v>
      </c>
      <c r="Q20" s="78">
        <f t="shared" si="6"/>
        <v>99.69363654767528</v>
      </c>
      <c r="R20" s="78">
        <f t="shared" si="6"/>
        <v>106.23476656656926</v>
      </c>
      <c r="S20" s="78">
        <f t="shared" si="6"/>
        <v>106.22476674003158</v>
      </c>
      <c r="T20" s="78">
        <f t="shared" si="6"/>
        <v>109.43638377779578</v>
      </c>
      <c r="U20" s="78">
        <f t="shared" si="6"/>
        <v>112.91778120018373</v>
      </c>
      <c r="V20" s="78">
        <f t="shared" si="6"/>
        <v>113.80277133768264</v>
      </c>
      <c r="W20" s="78">
        <f t="shared" si="6"/>
        <v>111.52821539168886</v>
      </c>
      <c r="X20" s="78">
        <f t="shared" si="6"/>
        <v>109.31587986314894</v>
      </c>
      <c r="Y20" s="78">
        <f t="shared" si="6"/>
        <v>107.24418180097094</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row>
    <row r="21" spans="2:44" x14ac:dyDescent="0.55000000000000004">
      <c r="J21" s="77" t="s">
        <v>382</v>
      </c>
      <c r="K21" s="82"/>
      <c r="L21" s="82"/>
      <c r="M21" s="82"/>
      <c r="N21" s="83"/>
      <c r="O21" s="82"/>
      <c r="P21" s="82">
        <f t="shared" ref="P21:AR21" si="7">P37/P53</f>
        <v>1.1021760384737342</v>
      </c>
      <c r="Q21" s="82">
        <f t="shared" si="7"/>
        <v>1.0916273993373025</v>
      </c>
      <c r="R21" s="82">
        <f t="shared" si="7"/>
        <v>1.0571732689291138</v>
      </c>
      <c r="S21" s="82">
        <f t="shared" si="7"/>
        <v>1.0584482154796395</v>
      </c>
      <c r="T21" s="82">
        <f t="shared" si="7"/>
        <v>1.0424948123703093</v>
      </c>
      <c r="U21" s="82">
        <f t="shared" si="7"/>
        <v>1.0257770668359902</v>
      </c>
      <c r="V21" s="82">
        <f t="shared" si="7"/>
        <v>1.0215802950416775</v>
      </c>
      <c r="W21" s="82">
        <f t="shared" si="7"/>
        <v>1.0321521747118552</v>
      </c>
      <c r="X21" s="82">
        <f t="shared" si="7"/>
        <v>1.042669475771471</v>
      </c>
      <c r="Y21" s="82">
        <f t="shared" si="7"/>
        <v>1.0534479583997358</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8">SUM(P28:P30)</f>
        <v>137386</v>
      </c>
      <c r="Q27" s="97">
        <f t="shared" si="8"/>
        <v>137344</v>
      </c>
      <c r="R27" s="97">
        <f t="shared" si="8"/>
        <v>137532</v>
      </c>
      <c r="S27" s="97">
        <f t="shared" si="8"/>
        <v>137304</v>
      </c>
      <c r="T27" s="97">
        <f t="shared" si="8"/>
        <v>137262</v>
      </c>
      <c r="U27" s="97">
        <f t="shared" si="8"/>
        <v>137262</v>
      </c>
      <c r="V27" s="97">
        <f t="shared" si="8"/>
        <v>137449</v>
      </c>
      <c r="W27" s="97">
        <f t="shared" si="8"/>
        <v>137180</v>
      </c>
      <c r="X27" s="97">
        <f t="shared" si="8"/>
        <v>137180</v>
      </c>
      <c r="Y27" s="97">
        <f t="shared" si="8"/>
        <v>137180</v>
      </c>
      <c r="Z27" s="98" t="e">
        <f t="shared" si="8"/>
        <v>#REF!</v>
      </c>
      <c r="AA27" s="98" t="e">
        <f t="shared" si="8"/>
        <v>#REF!</v>
      </c>
      <c r="AB27" s="98" t="e">
        <f t="shared" si="8"/>
        <v>#REF!</v>
      </c>
      <c r="AC27" s="98" t="e">
        <f t="shared" si="8"/>
        <v>#REF!</v>
      </c>
      <c r="AD27" s="98" t="e">
        <f t="shared" si="8"/>
        <v>#REF!</v>
      </c>
      <c r="AE27" s="98" t="e">
        <f t="shared" si="8"/>
        <v>#REF!</v>
      </c>
      <c r="AF27" s="98" t="e">
        <f t="shared" si="8"/>
        <v>#REF!</v>
      </c>
      <c r="AG27" s="98" t="e">
        <f t="shared" si="8"/>
        <v>#REF!</v>
      </c>
      <c r="AH27" s="98" t="e">
        <f t="shared" si="8"/>
        <v>#REF!</v>
      </c>
      <c r="AI27" s="98" t="e">
        <f t="shared" si="8"/>
        <v>#REF!</v>
      </c>
      <c r="AJ27" s="98" t="e">
        <f t="shared" si="8"/>
        <v>#REF!</v>
      </c>
      <c r="AK27" s="98" t="e">
        <f t="shared" si="8"/>
        <v>#REF!</v>
      </c>
      <c r="AL27" s="98" t="e">
        <f t="shared" si="8"/>
        <v>#REF!</v>
      </c>
      <c r="AM27" s="98" t="e">
        <f t="shared" si="8"/>
        <v>#REF!</v>
      </c>
      <c r="AN27" s="98" t="e">
        <f t="shared" si="8"/>
        <v>#REF!</v>
      </c>
      <c r="AO27" s="98" t="e">
        <f t="shared" si="8"/>
        <v>#REF!</v>
      </c>
      <c r="AP27" s="98" t="e">
        <f t="shared" si="8"/>
        <v>#REF!</v>
      </c>
      <c r="AQ27" s="98" t="e">
        <f t="shared" si="8"/>
        <v>#REF!</v>
      </c>
      <c r="AR27" s="98" t="e">
        <f t="shared" si="8"/>
        <v>#REF!</v>
      </c>
    </row>
    <row r="28" spans="2:44" ht="16" customHeight="1" x14ac:dyDescent="0.55000000000000004">
      <c r="B28" s="384"/>
      <c r="C28" s="384"/>
      <c r="D28" s="99" t="s">
        <v>391</v>
      </c>
      <c r="E28" s="100"/>
      <c r="F28" s="387" t="s">
        <v>737</v>
      </c>
      <c r="G28" s="387"/>
      <c r="H28" s="387"/>
      <c r="I28" s="387"/>
      <c r="J28" s="388"/>
      <c r="K28" s="102"/>
      <c r="L28" s="102"/>
      <c r="M28" s="102"/>
      <c r="N28" s="102"/>
      <c r="O28" s="102"/>
      <c r="P28" s="102">
        <f>予測!F41</f>
        <v>83606</v>
      </c>
      <c r="Q28" s="102">
        <f>予測!G41</f>
        <v>83564</v>
      </c>
      <c r="R28" s="102">
        <f>予測!H41</f>
        <v>83752</v>
      </c>
      <c r="S28" s="102">
        <f>予測!I41</f>
        <v>83524</v>
      </c>
      <c r="T28" s="102">
        <f>予測!J41</f>
        <v>83482</v>
      </c>
      <c r="U28" s="102">
        <f>予測!K41</f>
        <v>83482</v>
      </c>
      <c r="V28" s="102">
        <f>予測!L41</f>
        <v>83669</v>
      </c>
      <c r="W28" s="102">
        <f>予測!M41</f>
        <v>83400</v>
      </c>
      <c r="X28" s="102">
        <f>予測!N41</f>
        <v>83400</v>
      </c>
      <c r="Y28" s="102">
        <f>予測!O41</f>
        <v>83400</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738</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53780</v>
      </c>
      <c r="Q30" s="102">
        <v>53780</v>
      </c>
      <c r="R30" s="102">
        <v>53780</v>
      </c>
      <c r="S30" s="102">
        <v>53780</v>
      </c>
      <c r="T30" s="102">
        <v>53780</v>
      </c>
      <c r="U30" s="102">
        <v>53780</v>
      </c>
      <c r="V30" s="102">
        <v>53780</v>
      </c>
      <c r="W30" s="102">
        <v>53780</v>
      </c>
      <c r="X30" s="102">
        <v>53780</v>
      </c>
      <c r="Y30" s="102">
        <v>53780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29457</v>
      </c>
      <c r="Q31" s="97">
        <f t="shared" si="9"/>
        <v>29687</v>
      </c>
      <c r="R31" s="97">
        <f t="shared" si="9"/>
        <v>32305</v>
      </c>
      <c r="S31" s="97">
        <f t="shared" si="9"/>
        <v>28920</v>
      </c>
      <c r="T31" s="97">
        <f t="shared" si="9"/>
        <v>29533</v>
      </c>
      <c r="U31" s="97">
        <f t="shared" si="9"/>
        <v>30749</v>
      </c>
      <c r="V31" s="97">
        <f t="shared" si="9"/>
        <v>31313</v>
      </c>
      <c r="W31" s="97">
        <f t="shared" si="9"/>
        <v>31356</v>
      </c>
      <c r="X31" s="97">
        <f t="shared" si="9"/>
        <v>31086</v>
      </c>
      <c r="Y31" s="97">
        <f t="shared" si="9"/>
        <v>28737</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5720</v>
      </c>
      <c r="Q32" s="106">
        <f t="shared" si="10"/>
        <v>5955</v>
      </c>
      <c r="R32" s="106">
        <f t="shared" si="10"/>
        <v>6412</v>
      </c>
      <c r="S32" s="106">
        <f t="shared" si="10"/>
        <v>6531</v>
      </c>
      <c r="T32" s="106">
        <f t="shared" si="10"/>
        <v>7190</v>
      </c>
      <c r="U32" s="106">
        <f t="shared" si="10"/>
        <v>7795</v>
      </c>
      <c r="V32" s="106">
        <f t="shared" si="10"/>
        <v>8129</v>
      </c>
      <c r="W32" s="106">
        <f t="shared" si="10"/>
        <v>8392</v>
      </c>
      <c r="X32" s="106">
        <f t="shared" si="10"/>
        <v>8626</v>
      </c>
      <c r="Y32" s="106">
        <f t="shared" si="10"/>
        <v>9033</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5720</v>
      </c>
      <c r="Q33" s="102">
        <v>5955</v>
      </c>
      <c r="R33" s="102">
        <v>6412</v>
      </c>
      <c r="S33" s="102">
        <v>6531</v>
      </c>
      <c r="T33" s="102">
        <v>7190</v>
      </c>
      <c r="U33" s="102">
        <v>7795</v>
      </c>
      <c r="V33" s="102">
        <v>8129</v>
      </c>
      <c r="W33" s="102">
        <v>8392</v>
      </c>
      <c r="X33" s="102">
        <v>8626</v>
      </c>
      <c r="Y33" s="102">
        <v>9033</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23704</v>
      </c>
      <c r="Q35" s="102">
        <v>23699</v>
      </c>
      <c r="R35" s="102">
        <v>25860</v>
      </c>
      <c r="S35" s="102">
        <v>22356</v>
      </c>
      <c r="T35" s="102">
        <v>22310</v>
      </c>
      <c r="U35" s="102">
        <v>22921</v>
      </c>
      <c r="V35" s="102">
        <v>23151</v>
      </c>
      <c r="W35" s="102">
        <v>22931</v>
      </c>
      <c r="X35" s="102">
        <v>22427</v>
      </c>
      <c r="Y35" s="102">
        <v>19671</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v>33</v>
      </c>
      <c r="Q36" s="102">
        <v>33</v>
      </c>
      <c r="R36" s="102">
        <v>33</v>
      </c>
      <c r="S36" s="102">
        <v>33</v>
      </c>
      <c r="T36" s="102">
        <v>33</v>
      </c>
      <c r="U36" s="102">
        <v>33</v>
      </c>
      <c r="V36" s="102">
        <v>33</v>
      </c>
      <c r="W36" s="102">
        <v>33</v>
      </c>
      <c r="X36" s="102">
        <v>33</v>
      </c>
      <c r="Y36" s="102">
        <v>33</v>
      </c>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166843</v>
      </c>
      <c r="Q37" s="115">
        <f t="shared" si="11"/>
        <v>167031</v>
      </c>
      <c r="R37" s="115">
        <f t="shared" si="11"/>
        <v>169837</v>
      </c>
      <c r="S37" s="115">
        <f t="shared" si="11"/>
        <v>166224</v>
      </c>
      <c r="T37" s="115">
        <f t="shared" si="11"/>
        <v>166795</v>
      </c>
      <c r="U37" s="115">
        <f t="shared" si="11"/>
        <v>168011</v>
      </c>
      <c r="V37" s="115">
        <f t="shared" si="11"/>
        <v>168762</v>
      </c>
      <c r="W37" s="115">
        <f t="shared" si="11"/>
        <v>168536</v>
      </c>
      <c r="X37" s="115">
        <f t="shared" si="11"/>
        <v>168266</v>
      </c>
      <c r="Y37" s="115">
        <f t="shared" si="11"/>
        <v>165917</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 t="shared" ref="P38:Y38" si="12">P39+P43+P49+P48</f>
        <v>148259</v>
      </c>
      <c r="Q38" s="97">
        <f t="shared" si="12"/>
        <v>149424</v>
      </c>
      <c r="R38" s="97">
        <f t="shared" si="12"/>
        <v>156151</v>
      </c>
      <c r="S38" s="97">
        <f t="shared" si="12"/>
        <v>152306</v>
      </c>
      <c r="T38" s="97">
        <f t="shared" si="12"/>
        <v>153938</v>
      </c>
      <c r="U38" s="97">
        <f t="shared" si="12"/>
        <v>156522</v>
      </c>
      <c r="V38" s="97">
        <f t="shared" si="12"/>
        <v>157262</v>
      </c>
      <c r="W38" s="97">
        <f t="shared" si="12"/>
        <v>154825</v>
      </c>
      <c r="X38" s="97">
        <f t="shared" si="12"/>
        <v>152451</v>
      </c>
      <c r="Y38" s="97">
        <f t="shared" si="12"/>
        <v>147755</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22733</v>
      </c>
      <c r="Q39" s="116">
        <f t="shared" si="14"/>
        <v>22812</v>
      </c>
      <c r="R39" s="116">
        <f t="shared" si="14"/>
        <v>22891</v>
      </c>
      <c r="S39" s="116">
        <f t="shared" si="14"/>
        <v>22970</v>
      </c>
      <c r="T39" s="116">
        <f t="shared" si="14"/>
        <v>23049</v>
      </c>
      <c r="U39" s="116">
        <f t="shared" si="14"/>
        <v>23128</v>
      </c>
      <c r="V39" s="116">
        <f t="shared" si="14"/>
        <v>23207</v>
      </c>
      <c r="W39" s="116">
        <f t="shared" si="14"/>
        <v>23286</v>
      </c>
      <c r="X39" s="116">
        <f t="shared" si="14"/>
        <v>23365</v>
      </c>
      <c r="Y39" s="116">
        <f t="shared" si="14"/>
        <v>23444</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v>9380</v>
      </c>
      <c r="Q40" s="102">
        <v>9418</v>
      </c>
      <c r="R40" s="102">
        <v>9456</v>
      </c>
      <c r="S40" s="102">
        <v>9494</v>
      </c>
      <c r="T40" s="102">
        <v>9532</v>
      </c>
      <c r="U40" s="102">
        <v>9570</v>
      </c>
      <c r="V40" s="102">
        <v>9608</v>
      </c>
      <c r="W40" s="102">
        <v>9646</v>
      </c>
      <c r="X40" s="102">
        <v>9684</v>
      </c>
      <c r="Y40" s="102">
        <v>9722</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v>13353</v>
      </c>
      <c r="Q42" s="102">
        <v>13394</v>
      </c>
      <c r="R42" s="102">
        <v>13435</v>
      </c>
      <c r="S42" s="102">
        <v>13476</v>
      </c>
      <c r="T42" s="102">
        <v>13517</v>
      </c>
      <c r="U42" s="102">
        <v>13558</v>
      </c>
      <c r="V42" s="102">
        <v>13599</v>
      </c>
      <c r="W42" s="102">
        <v>13640</v>
      </c>
      <c r="X42" s="102">
        <v>13681</v>
      </c>
      <c r="Y42" s="102">
        <v>13722</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5">SUM(P44:P47)</f>
        <v>77116</v>
      </c>
      <c r="Q43" s="106">
        <f t="shared" si="15"/>
        <v>77576</v>
      </c>
      <c r="R43" s="106">
        <f t="shared" si="15"/>
        <v>78061</v>
      </c>
      <c r="S43" s="106">
        <f t="shared" si="15"/>
        <v>78520</v>
      </c>
      <c r="T43" s="106">
        <f t="shared" si="15"/>
        <v>79003</v>
      </c>
      <c r="U43" s="106">
        <f t="shared" si="15"/>
        <v>79388</v>
      </c>
      <c r="V43" s="106">
        <f t="shared" si="15"/>
        <v>79794</v>
      </c>
      <c r="W43" s="106">
        <f t="shared" si="15"/>
        <v>80158</v>
      </c>
      <c r="X43" s="106">
        <f t="shared" si="15"/>
        <v>80552</v>
      </c>
      <c r="Y43" s="106">
        <f t="shared" si="15"/>
        <v>80950</v>
      </c>
      <c r="Z43" s="98" t="e">
        <f t="shared" si="15"/>
        <v>#REF!</v>
      </c>
      <c r="AA43" s="98" t="e">
        <f t="shared" si="15"/>
        <v>#REF!</v>
      </c>
      <c r="AB43" s="98" t="e">
        <f t="shared" si="15"/>
        <v>#REF!</v>
      </c>
      <c r="AC43" s="98" t="e">
        <f t="shared" si="15"/>
        <v>#REF!</v>
      </c>
      <c r="AD43" s="98" t="e">
        <f t="shared" si="15"/>
        <v>#REF!</v>
      </c>
      <c r="AE43" s="98" t="e">
        <f t="shared" si="15"/>
        <v>#REF!</v>
      </c>
      <c r="AF43" s="98" t="e">
        <f t="shared" si="15"/>
        <v>#REF!</v>
      </c>
      <c r="AG43" s="98" t="e">
        <f t="shared" si="15"/>
        <v>#REF!</v>
      </c>
      <c r="AH43" s="98" t="e">
        <f t="shared" si="15"/>
        <v>#REF!</v>
      </c>
      <c r="AI43" s="98" t="e">
        <f t="shared" si="15"/>
        <v>#REF!</v>
      </c>
      <c r="AJ43" s="98" t="e">
        <f t="shared" si="15"/>
        <v>#REF!</v>
      </c>
      <c r="AK43" s="98" t="e">
        <f t="shared" si="15"/>
        <v>#REF!</v>
      </c>
      <c r="AL43" s="98" t="e">
        <f t="shared" si="15"/>
        <v>#REF!</v>
      </c>
      <c r="AM43" s="98" t="e">
        <f t="shared" si="15"/>
        <v>#REF!</v>
      </c>
      <c r="AN43" s="98" t="e">
        <f t="shared" si="15"/>
        <v>#REF!</v>
      </c>
      <c r="AO43" s="98" t="e">
        <f t="shared" si="15"/>
        <v>#REF!</v>
      </c>
      <c r="AP43" s="98" t="e">
        <f t="shared" si="15"/>
        <v>#REF!</v>
      </c>
      <c r="AQ43" s="98" t="e">
        <f t="shared" si="15"/>
        <v>#REF!</v>
      </c>
      <c r="AR43" s="98" t="e">
        <f t="shared" si="15"/>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v>5132</v>
      </c>
      <c r="Q44" s="102">
        <v>5199</v>
      </c>
      <c r="R44" s="102">
        <v>5280</v>
      </c>
      <c r="S44" s="102">
        <v>5342</v>
      </c>
      <c r="T44" s="102">
        <v>5417</v>
      </c>
      <c r="U44" s="102">
        <v>5478</v>
      </c>
      <c r="V44" s="102">
        <v>5552</v>
      </c>
      <c r="W44" s="102">
        <v>5593</v>
      </c>
      <c r="X44" s="102">
        <v>5654</v>
      </c>
      <c r="Y44" s="102">
        <v>5715</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75">
        <v>4112</v>
      </c>
      <c r="AT44" s="161">
        <f>ROUND(AS44/$AS$48,4)</f>
        <v>0.13750000000000001</v>
      </c>
      <c r="AU44" s="163">
        <f>ROUND($AU$42*AT44,4)</f>
        <v>2.8E-3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v>7436</v>
      </c>
      <c r="Q45" s="102">
        <v>7540</v>
      </c>
      <c r="R45" s="102">
        <v>7646</v>
      </c>
      <c r="S45" s="102">
        <v>7753</v>
      </c>
      <c r="T45" s="102">
        <v>7862</v>
      </c>
      <c r="U45" s="102">
        <v>7948</v>
      </c>
      <c r="V45" s="102">
        <v>8035</v>
      </c>
      <c r="W45" s="102">
        <v>8123</v>
      </c>
      <c r="X45" s="102">
        <v>8212</v>
      </c>
      <c r="Y45" s="102">
        <v>8302</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75">
        <v>8879</v>
      </c>
      <c r="AT45" s="161">
        <f>ROUND(AS45/$AS$48,4)</f>
        <v>0.29680000000000001</v>
      </c>
      <c r="AU45" s="163">
        <f t="shared" ref="AU45:AU47" si="16">ROUND($AU$42*AT45,4)</f>
        <v>5.8999999999999999E-3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v>101</v>
      </c>
      <c r="Q46" s="102">
        <v>102</v>
      </c>
      <c r="R46" s="102">
        <v>103</v>
      </c>
      <c r="S46" s="102">
        <v>104</v>
      </c>
      <c r="T46" s="102">
        <v>105</v>
      </c>
      <c r="U46" s="102">
        <v>106</v>
      </c>
      <c r="V46" s="102">
        <v>107</v>
      </c>
      <c r="W46" s="102">
        <v>108</v>
      </c>
      <c r="X46" s="102">
        <v>109</v>
      </c>
      <c r="Y46" s="102">
        <v>110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75">
        <v>168</v>
      </c>
      <c r="AT46" s="161">
        <f>ROUND(AS46/$AS$48,4)</f>
        <v>5.5999999999999999E-3</v>
      </c>
      <c r="AU46" s="163">
        <f t="shared" si="16"/>
        <v>1E-4</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v>64447</v>
      </c>
      <c r="Q47" s="102">
        <v>64735</v>
      </c>
      <c r="R47" s="102">
        <v>65032</v>
      </c>
      <c r="S47" s="102">
        <v>65321</v>
      </c>
      <c r="T47" s="102">
        <v>65619</v>
      </c>
      <c r="U47" s="102">
        <v>65856</v>
      </c>
      <c r="V47" s="102">
        <v>66100</v>
      </c>
      <c r="W47" s="102">
        <v>66334</v>
      </c>
      <c r="X47" s="102">
        <v>66577</v>
      </c>
      <c r="Y47" s="102">
        <v>66823</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v>16757</v>
      </c>
      <c r="AT47" s="161">
        <f>ROUND(AS47/$AS$48,4)</f>
        <v>0.56010000000000004</v>
      </c>
      <c r="AU47" s="163">
        <f t="shared" si="16"/>
        <v>1.12E-2</v>
      </c>
      <c r="AY47" s="75">
        <v>169845</v>
      </c>
    </row>
    <row r="48" spans="2:51" ht="16" hidden="1"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29916</v>
      </c>
      <c r="AX48" s="75">
        <v>99450</v>
      </c>
      <c r="AY48" s="75">
        <v>6793</v>
      </c>
    </row>
    <row r="49" spans="2:51" ht="16" customHeight="1" x14ac:dyDescent="0.55000000000000004">
      <c r="B49" s="384"/>
      <c r="C49" s="384"/>
      <c r="D49" s="99" t="s">
        <v>404</v>
      </c>
      <c r="E49" s="100"/>
      <c r="F49" s="387" t="s">
        <v>418</v>
      </c>
      <c r="G49" s="387"/>
      <c r="H49" s="387"/>
      <c r="I49" s="387"/>
      <c r="J49" s="388"/>
      <c r="K49" s="102"/>
      <c r="L49" s="102"/>
      <c r="M49" s="102"/>
      <c r="N49" s="102"/>
      <c r="O49" s="102"/>
      <c r="P49" s="102">
        <v>48410</v>
      </c>
      <c r="Q49" s="102">
        <v>49036</v>
      </c>
      <c r="R49" s="102">
        <v>55199</v>
      </c>
      <c r="S49" s="102">
        <v>50816</v>
      </c>
      <c r="T49" s="102">
        <v>51886</v>
      </c>
      <c r="U49" s="102">
        <v>54006</v>
      </c>
      <c r="V49" s="102">
        <v>54261</v>
      </c>
      <c r="W49" s="102">
        <v>51381</v>
      </c>
      <c r="X49" s="102">
        <v>48534</v>
      </c>
      <c r="Y49" s="102">
        <v>43361</v>
      </c>
      <c r="Z49" s="103" t="e">
        <f>[12]公共下水道事業!AE50+#REF!+[12]農業集落排水事業!AE50</f>
        <v>#REF!</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X49" s="75">
        <v>1325</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17">P51+P52</f>
        <v>3117</v>
      </c>
      <c r="Q50" s="97">
        <f t="shared" si="17"/>
        <v>3587</v>
      </c>
      <c r="R50" s="97">
        <f t="shared" si="17"/>
        <v>4501</v>
      </c>
      <c r="S50" s="97">
        <f t="shared" si="17"/>
        <v>4739</v>
      </c>
      <c r="T50" s="97">
        <f t="shared" si="17"/>
        <v>6058</v>
      </c>
      <c r="U50" s="97">
        <f t="shared" si="17"/>
        <v>7267</v>
      </c>
      <c r="V50" s="97">
        <f t="shared" si="17"/>
        <v>7935</v>
      </c>
      <c r="W50" s="97">
        <f t="shared" si="17"/>
        <v>8461</v>
      </c>
      <c r="X50" s="97">
        <f t="shared" si="17"/>
        <v>8929</v>
      </c>
      <c r="Y50" s="97">
        <f t="shared" si="17"/>
        <v>9744</v>
      </c>
      <c r="Z50" s="98" t="e">
        <f t="shared" si="17"/>
        <v>#REF!</v>
      </c>
      <c r="AA50" s="98" t="e">
        <f t="shared" si="17"/>
        <v>#REF!</v>
      </c>
      <c r="AB50" s="98" t="e">
        <f t="shared" si="17"/>
        <v>#REF!</v>
      </c>
      <c r="AC50" s="98" t="e">
        <f t="shared" si="17"/>
        <v>#REF!</v>
      </c>
      <c r="AD50" s="98" t="e">
        <f t="shared" si="17"/>
        <v>#REF!</v>
      </c>
      <c r="AE50" s="98" t="e">
        <f t="shared" si="17"/>
        <v>#REF!</v>
      </c>
      <c r="AF50" s="98" t="e">
        <f t="shared" si="17"/>
        <v>#REF!</v>
      </c>
      <c r="AG50" s="98" t="e">
        <f t="shared" si="17"/>
        <v>#REF!</v>
      </c>
      <c r="AH50" s="98" t="e">
        <f t="shared" si="17"/>
        <v>#REF!</v>
      </c>
      <c r="AI50" s="98" t="e">
        <f t="shared" si="17"/>
        <v>#REF!</v>
      </c>
      <c r="AJ50" s="98" t="e">
        <f t="shared" si="17"/>
        <v>#REF!</v>
      </c>
      <c r="AK50" s="98" t="e">
        <f t="shared" si="17"/>
        <v>#REF!</v>
      </c>
      <c r="AL50" s="98" t="e">
        <f t="shared" si="17"/>
        <v>#REF!</v>
      </c>
      <c r="AM50" s="98" t="e">
        <f t="shared" si="17"/>
        <v>#REF!</v>
      </c>
      <c r="AN50" s="98" t="e">
        <f t="shared" si="17"/>
        <v>#REF!</v>
      </c>
      <c r="AO50" s="98" t="e">
        <f t="shared" si="17"/>
        <v>#REF!</v>
      </c>
      <c r="AP50" s="98" t="e">
        <f t="shared" si="17"/>
        <v>#REF!</v>
      </c>
      <c r="AQ50" s="98" t="e">
        <f t="shared" si="17"/>
        <v>#REF!</v>
      </c>
      <c r="AR50" s="98" t="e">
        <f t="shared" si="17"/>
        <v>#REF!</v>
      </c>
      <c r="AX50" s="75">
        <f>SUM(AX48:AX49)</f>
        <v>100775</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2857</v>
      </c>
      <c r="Q51" s="102">
        <v>3327</v>
      </c>
      <c r="R51" s="102">
        <v>4241</v>
      </c>
      <c r="S51" s="102">
        <v>4479</v>
      </c>
      <c r="T51" s="102">
        <v>5798</v>
      </c>
      <c r="U51" s="102">
        <v>7007</v>
      </c>
      <c r="V51" s="102">
        <v>7675</v>
      </c>
      <c r="W51" s="102">
        <v>8201</v>
      </c>
      <c r="X51" s="102">
        <v>8669</v>
      </c>
      <c r="Y51" s="102">
        <v>9484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X51" s="75">
        <f>AX50-SUM(AS44:AS47,AX49)</f>
        <v>69534</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260</v>
      </c>
      <c r="Q52" s="102">
        <v>260</v>
      </c>
      <c r="R52" s="102">
        <v>260</v>
      </c>
      <c r="S52" s="102">
        <v>260</v>
      </c>
      <c r="T52" s="102">
        <v>260</v>
      </c>
      <c r="U52" s="102">
        <v>260</v>
      </c>
      <c r="V52" s="102">
        <v>260</v>
      </c>
      <c r="W52" s="102">
        <v>260</v>
      </c>
      <c r="X52" s="102">
        <v>260</v>
      </c>
      <c r="Y52" s="102">
        <v>260</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18">P38+P50</f>
        <v>151376</v>
      </c>
      <c r="Q53" s="115">
        <f t="shared" si="18"/>
        <v>153011</v>
      </c>
      <c r="R53" s="115">
        <f t="shared" si="18"/>
        <v>160652</v>
      </c>
      <c r="S53" s="115">
        <f t="shared" si="18"/>
        <v>157045</v>
      </c>
      <c r="T53" s="115">
        <f t="shared" si="18"/>
        <v>159996</v>
      </c>
      <c r="U53" s="115">
        <f t="shared" si="18"/>
        <v>163789</v>
      </c>
      <c r="V53" s="115">
        <f t="shared" si="18"/>
        <v>165197</v>
      </c>
      <c r="W53" s="115">
        <f t="shared" si="18"/>
        <v>163286</v>
      </c>
      <c r="X53" s="115">
        <f t="shared" si="18"/>
        <v>161380</v>
      </c>
      <c r="Y53" s="115">
        <f t="shared" si="18"/>
        <v>157499</v>
      </c>
      <c r="Z53" s="98" t="e">
        <f t="shared" si="18"/>
        <v>#REF!</v>
      </c>
      <c r="AA53" s="98" t="e">
        <f t="shared" si="18"/>
        <v>#REF!</v>
      </c>
      <c r="AB53" s="98" t="e">
        <f t="shared" si="18"/>
        <v>#REF!</v>
      </c>
      <c r="AC53" s="98" t="e">
        <f t="shared" si="18"/>
        <v>#REF!</v>
      </c>
      <c r="AD53" s="98" t="e">
        <f t="shared" si="18"/>
        <v>#REF!</v>
      </c>
      <c r="AE53" s="98" t="e">
        <f t="shared" si="18"/>
        <v>#REF!</v>
      </c>
      <c r="AF53" s="98" t="e">
        <f t="shared" si="18"/>
        <v>#REF!</v>
      </c>
      <c r="AG53" s="98" t="e">
        <f t="shared" si="18"/>
        <v>#REF!</v>
      </c>
      <c r="AH53" s="98" t="e">
        <f t="shared" si="18"/>
        <v>#REF!</v>
      </c>
      <c r="AI53" s="98" t="e">
        <f t="shared" si="18"/>
        <v>#REF!</v>
      </c>
      <c r="AJ53" s="98" t="e">
        <f t="shared" si="18"/>
        <v>#REF!</v>
      </c>
      <c r="AK53" s="98" t="e">
        <f t="shared" si="18"/>
        <v>#REF!</v>
      </c>
      <c r="AL53" s="98" t="e">
        <f t="shared" si="18"/>
        <v>#REF!</v>
      </c>
      <c r="AM53" s="98" t="e">
        <f t="shared" si="18"/>
        <v>#REF!</v>
      </c>
      <c r="AN53" s="98" t="e">
        <f t="shared" si="18"/>
        <v>#REF!</v>
      </c>
      <c r="AO53" s="98" t="e">
        <f t="shared" si="18"/>
        <v>#REF!</v>
      </c>
      <c r="AP53" s="98" t="e">
        <f t="shared" si="18"/>
        <v>#REF!</v>
      </c>
      <c r="AQ53" s="98" t="e">
        <f t="shared" si="18"/>
        <v>#REF!</v>
      </c>
      <c r="AR53" s="98" t="e">
        <f t="shared" si="18"/>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Y54" si="19">P37-P53</f>
        <v>15467</v>
      </c>
      <c r="Q54" s="121">
        <f t="shared" si="19"/>
        <v>14020</v>
      </c>
      <c r="R54" s="121">
        <f t="shared" si="19"/>
        <v>9185</v>
      </c>
      <c r="S54" s="121">
        <f t="shared" si="19"/>
        <v>9179</v>
      </c>
      <c r="T54" s="121">
        <f t="shared" si="19"/>
        <v>6799</v>
      </c>
      <c r="U54" s="121">
        <f t="shared" si="19"/>
        <v>4222</v>
      </c>
      <c r="V54" s="121">
        <f t="shared" si="19"/>
        <v>3565</v>
      </c>
      <c r="W54" s="121">
        <f t="shared" si="19"/>
        <v>5250</v>
      </c>
      <c r="X54" s="121">
        <f t="shared" si="19"/>
        <v>6886</v>
      </c>
      <c r="Y54" s="121">
        <f t="shared" si="19"/>
        <v>8418</v>
      </c>
      <c r="Z54" s="98" t="e">
        <f t="shared" ref="Z54:AR54" si="20">Z37-Z53</f>
        <v>#REF!</v>
      </c>
      <c r="AA54" s="98" t="e">
        <f t="shared" si="20"/>
        <v>#REF!</v>
      </c>
      <c r="AB54" s="98" t="e">
        <f t="shared" si="20"/>
        <v>#REF!</v>
      </c>
      <c r="AC54" s="98" t="e">
        <f t="shared" si="20"/>
        <v>#REF!</v>
      </c>
      <c r="AD54" s="98" t="e">
        <f t="shared" si="20"/>
        <v>#REF!</v>
      </c>
      <c r="AE54" s="98" t="e">
        <f t="shared" si="20"/>
        <v>#REF!</v>
      </c>
      <c r="AF54" s="98" t="e">
        <f t="shared" si="20"/>
        <v>#REF!</v>
      </c>
      <c r="AG54" s="98" t="e">
        <f t="shared" si="20"/>
        <v>#REF!</v>
      </c>
      <c r="AH54" s="98" t="e">
        <f t="shared" si="20"/>
        <v>#REF!</v>
      </c>
      <c r="AI54" s="98" t="e">
        <f t="shared" si="20"/>
        <v>#REF!</v>
      </c>
      <c r="AJ54" s="98" t="e">
        <f t="shared" si="20"/>
        <v>#REF!</v>
      </c>
      <c r="AK54" s="98" t="e">
        <f t="shared" si="20"/>
        <v>#REF!</v>
      </c>
      <c r="AL54" s="98" t="e">
        <f t="shared" si="20"/>
        <v>#REF!</v>
      </c>
      <c r="AM54" s="98" t="e">
        <f t="shared" si="20"/>
        <v>#REF!</v>
      </c>
      <c r="AN54" s="98" t="e">
        <f t="shared" si="20"/>
        <v>#REF!</v>
      </c>
      <c r="AO54" s="98" t="e">
        <f t="shared" si="20"/>
        <v>#REF!</v>
      </c>
      <c r="AP54" s="98" t="e">
        <f t="shared" si="20"/>
        <v>#REF!</v>
      </c>
      <c r="AQ54" s="98" t="e">
        <f t="shared" si="20"/>
        <v>#REF!</v>
      </c>
      <c r="AR54" s="98" t="e">
        <f t="shared" si="20"/>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1">P55-P56</f>
        <v>0</v>
      </c>
      <c r="Q57" s="106">
        <f t="shared" si="21"/>
        <v>0</v>
      </c>
      <c r="R57" s="106">
        <f t="shared" si="21"/>
        <v>0</v>
      </c>
      <c r="S57" s="106">
        <f t="shared" si="21"/>
        <v>0</v>
      </c>
      <c r="T57" s="106">
        <f t="shared" si="21"/>
        <v>0</v>
      </c>
      <c r="U57" s="106">
        <f t="shared" si="21"/>
        <v>0</v>
      </c>
      <c r="V57" s="106">
        <f t="shared" si="21"/>
        <v>0</v>
      </c>
      <c r="W57" s="106">
        <f t="shared" si="21"/>
        <v>0</v>
      </c>
      <c r="X57" s="106">
        <f t="shared" si="21"/>
        <v>0</v>
      </c>
      <c r="Y57" s="106">
        <f t="shared" si="21"/>
        <v>0</v>
      </c>
      <c r="Z57" s="98" t="e">
        <f t="shared" si="21"/>
        <v>#REF!</v>
      </c>
      <c r="AA57" s="98" t="e">
        <f t="shared" si="21"/>
        <v>#REF!</v>
      </c>
      <c r="AB57" s="98" t="e">
        <f t="shared" si="21"/>
        <v>#REF!</v>
      </c>
      <c r="AC57" s="98" t="e">
        <f t="shared" si="21"/>
        <v>#REF!</v>
      </c>
      <c r="AD57" s="98" t="e">
        <f t="shared" si="21"/>
        <v>#REF!</v>
      </c>
      <c r="AE57" s="98" t="e">
        <f t="shared" si="21"/>
        <v>#REF!</v>
      </c>
      <c r="AF57" s="98" t="e">
        <f t="shared" si="21"/>
        <v>#REF!</v>
      </c>
      <c r="AG57" s="98" t="e">
        <f t="shared" si="21"/>
        <v>#REF!</v>
      </c>
      <c r="AH57" s="98" t="e">
        <f t="shared" si="21"/>
        <v>#REF!</v>
      </c>
      <c r="AI57" s="98" t="e">
        <f t="shared" si="21"/>
        <v>#REF!</v>
      </c>
      <c r="AJ57" s="98" t="e">
        <f t="shared" si="21"/>
        <v>#REF!</v>
      </c>
      <c r="AK57" s="98" t="e">
        <f t="shared" si="21"/>
        <v>#REF!</v>
      </c>
      <c r="AL57" s="98" t="e">
        <f t="shared" si="21"/>
        <v>#REF!</v>
      </c>
      <c r="AM57" s="98" t="e">
        <f t="shared" si="21"/>
        <v>#REF!</v>
      </c>
      <c r="AN57" s="98" t="e">
        <f t="shared" si="21"/>
        <v>#REF!</v>
      </c>
      <c r="AO57" s="98" t="e">
        <f t="shared" si="21"/>
        <v>#REF!</v>
      </c>
      <c r="AP57" s="98" t="e">
        <f t="shared" si="21"/>
        <v>#REF!</v>
      </c>
      <c r="AQ57" s="98" t="e">
        <f t="shared" si="21"/>
        <v>#REF!</v>
      </c>
      <c r="AR57" s="98" t="e">
        <f t="shared" si="21"/>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2">P54+P57</f>
        <v>15467</v>
      </c>
      <c r="Q58" s="124">
        <f t="shared" si="22"/>
        <v>14020</v>
      </c>
      <c r="R58" s="124">
        <f t="shared" si="22"/>
        <v>9185</v>
      </c>
      <c r="S58" s="124">
        <f t="shared" si="22"/>
        <v>9179</v>
      </c>
      <c r="T58" s="124">
        <f t="shared" si="22"/>
        <v>6799</v>
      </c>
      <c r="U58" s="124">
        <f t="shared" si="22"/>
        <v>4222</v>
      </c>
      <c r="V58" s="124">
        <f t="shared" si="22"/>
        <v>3565</v>
      </c>
      <c r="W58" s="124">
        <f t="shared" si="22"/>
        <v>5250</v>
      </c>
      <c r="X58" s="124">
        <f t="shared" si="22"/>
        <v>6886</v>
      </c>
      <c r="Y58" s="124">
        <f t="shared" si="22"/>
        <v>8418</v>
      </c>
      <c r="Z58" s="98" t="e">
        <f t="shared" si="22"/>
        <v>#REF!</v>
      </c>
      <c r="AA58" s="98" t="e">
        <f t="shared" si="22"/>
        <v>#REF!</v>
      </c>
      <c r="AB58" s="98" t="e">
        <f t="shared" si="22"/>
        <v>#REF!</v>
      </c>
      <c r="AC58" s="98" t="e">
        <f t="shared" si="22"/>
        <v>#REF!</v>
      </c>
      <c r="AD58" s="98" t="e">
        <f t="shared" si="22"/>
        <v>#REF!</v>
      </c>
      <c r="AE58" s="98" t="e">
        <f t="shared" si="22"/>
        <v>#REF!</v>
      </c>
      <c r="AF58" s="98" t="e">
        <f t="shared" si="22"/>
        <v>#REF!</v>
      </c>
      <c r="AG58" s="98" t="e">
        <f t="shared" si="22"/>
        <v>#REF!</v>
      </c>
      <c r="AH58" s="98" t="e">
        <f t="shared" si="22"/>
        <v>#REF!</v>
      </c>
      <c r="AI58" s="98" t="e">
        <f t="shared" si="22"/>
        <v>#REF!</v>
      </c>
      <c r="AJ58" s="98" t="e">
        <f t="shared" si="22"/>
        <v>#REF!</v>
      </c>
      <c r="AK58" s="98" t="e">
        <f t="shared" si="22"/>
        <v>#REF!</v>
      </c>
      <c r="AL58" s="98" t="e">
        <f t="shared" si="22"/>
        <v>#REF!</v>
      </c>
      <c r="AM58" s="98" t="e">
        <f t="shared" si="22"/>
        <v>#REF!</v>
      </c>
      <c r="AN58" s="98" t="e">
        <f t="shared" si="22"/>
        <v>#REF!</v>
      </c>
      <c r="AO58" s="98" t="e">
        <f t="shared" si="22"/>
        <v>#REF!</v>
      </c>
      <c r="AP58" s="98" t="e">
        <f t="shared" si="22"/>
        <v>#REF!</v>
      </c>
      <c r="AQ58" s="98" t="e">
        <f t="shared" si="22"/>
        <v>#REF!</v>
      </c>
      <c r="AR58" s="98" t="e">
        <f t="shared" si="22"/>
        <v>#REF!</v>
      </c>
    </row>
    <row r="59" spans="2:51" ht="16" customHeight="1" x14ac:dyDescent="0.55000000000000004">
      <c r="B59" s="379" t="s">
        <v>502</v>
      </c>
      <c r="C59" s="380"/>
      <c r="D59" s="380"/>
      <c r="E59" s="380"/>
      <c r="F59" s="380"/>
      <c r="G59" s="380"/>
      <c r="H59" s="380"/>
      <c r="I59" s="381"/>
      <c r="J59" s="382"/>
      <c r="K59" s="165"/>
      <c r="L59" s="165"/>
      <c r="M59" s="165"/>
      <c r="N59" s="165"/>
      <c r="O59" s="165"/>
      <c r="P59" s="124">
        <f>P58-P91</f>
        <v>15467</v>
      </c>
      <c r="Q59" s="124">
        <f>Q58+P59-Q91</f>
        <v>29487</v>
      </c>
      <c r="R59" s="124">
        <f>R58+Q59-R91</f>
        <v>38672</v>
      </c>
      <c r="S59" s="124">
        <f t="shared" ref="S59:X59" si="23">S58+R59-S91</f>
        <v>47851</v>
      </c>
      <c r="T59" s="124">
        <f t="shared" si="23"/>
        <v>54650</v>
      </c>
      <c r="U59" s="124">
        <f t="shared" si="23"/>
        <v>58872</v>
      </c>
      <c r="V59" s="124">
        <f t="shared" si="23"/>
        <v>62437</v>
      </c>
      <c r="W59" s="124">
        <f t="shared" si="23"/>
        <v>67687</v>
      </c>
      <c r="X59" s="124">
        <f t="shared" si="23"/>
        <v>74573</v>
      </c>
      <c r="Y59" s="124">
        <f>Y58+X59-Y91</f>
        <v>82991</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 t="shared" ref="P61:Y61" si="24">P21</f>
        <v>1.1021760384737342</v>
      </c>
      <c r="Q61" s="126">
        <f t="shared" si="24"/>
        <v>1.0916273993373025</v>
      </c>
      <c r="R61" s="126">
        <f t="shared" si="24"/>
        <v>1.0571732689291138</v>
      </c>
      <c r="S61" s="126">
        <f t="shared" si="24"/>
        <v>1.0584482154796395</v>
      </c>
      <c r="T61" s="126">
        <f t="shared" si="24"/>
        <v>1.0424948123703093</v>
      </c>
      <c r="U61" s="126">
        <f t="shared" si="24"/>
        <v>1.0257770668359902</v>
      </c>
      <c r="V61" s="126">
        <f t="shared" si="24"/>
        <v>1.0215802950416775</v>
      </c>
      <c r="W61" s="126">
        <f t="shared" si="24"/>
        <v>1.0321521747118552</v>
      </c>
      <c r="X61" s="126">
        <f t="shared" si="24"/>
        <v>1.042669475771471</v>
      </c>
      <c r="Y61" s="126">
        <f t="shared" si="24"/>
        <v>1.0534479583997358</v>
      </c>
    </row>
    <row r="62" spans="2:51" ht="16" customHeight="1" x14ac:dyDescent="0.55000000000000004">
      <c r="B62" s="401" t="s">
        <v>734</v>
      </c>
      <c r="C62" s="401"/>
      <c r="D62" s="401"/>
      <c r="E62" s="401"/>
      <c r="F62" s="401"/>
      <c r="G62" s="401"/>
      <c r="H62" s="401"/>
      <c r="I62" s="401"/>
      <c r="J62" s="401"/>
      <c r="K62" s="125"/>
      <c r="L62" s="125"/>
      <c r="M62" s="125"/>
      <c r="N62" s="125"/>
      <c r="O62" s="125"/>
      <c r="P62" s="126">
        <f>ROUND(P63/P64,4)</f>
        <v>0.67169999999999996</v>
      </c>
      <c r="Q62" s="126">
        <f t="shared" ref="Q62:Y62" si="25">ROUND(Q63/Q64,4)</f>
        <v>0.66800000000000004</v>
      </c>
      <c r="R62" s="126">
        <f t="shared" si="25"/>
        <v>0.65059999999999996</v>
      </c>
      <c r="S62" s="126">
        <f t="shared" si="25"/>
        <v>0.66749999999999998</v>
      </c>
      <c r="T62" s="126">
        <f t="shared" si="25"/>
        <v>0.65690000000000004</v>
      </c>
      <c r="U62" s="126">
        <f t="shared" si="25"/>
        <v>0.64780000000000004</v>
      </c>
      <c r="V62" s="126">
        <f t="shared" si="25"/>
        <v>0.64219999999999999</v>
      </c>
      <c r="W62" s="126">
        <f t="shared" si="25"/>
        <v>0.64970000000000006</v>
      </c>
      <c r="X62" s="126">
        <f t="shared" si="25"/>
        <v>0.65949999999999998</v>
      </c>
      <c r="Y62" s="126">
        <f t="shared" si="25"/>
        <v>0.68030000000000002</v>
      </c>
    </row>
    <row r="63" spans="2:51" ht="16" customHeight="1" x14ac:dyDescent="0.55000000000000004">
      <c r="B63" s="401" t="s">
        <v>735</v>
      </c>
      <c r="C63" s="401"/>
      <c r="D63" s="401"/>
      <c r="E63" s="401"/>
      <c r="F63" s="401"/>
      <c r="G63" s="401"/>
      <c r="H63" s="401"/>
      <c r="I63" s="401"/>
      <c r="J63" s="401"/>
      <c r="P63" s="125">
        <f>ROUND(P28*1000/予測!F36,1)</f>
        <v>112.8</v>
      </c>
      <c r="Q63" s="125">
        <f>ROUND(Q28*1000/予測!G36,1)</f>
        <v>112.8</v>
      </c>
      <c r="R63" s="125">
        <f>ROUND(R28*1000/予測!H36,1)</f>
        <v>112.8</v>
      </c>
      <c r="S63" s="125">
        <f>ROUND(S28*1000/予測!I36,1)</f>
        <v>112.8</v>
      </c>
      <c r="T63" s="125">
        <f>ROUND(T28*1000/予測!J36,1)</f>
        <v>112.8</v>
      </c>
      <c r="U63" s="125">
        <f>ROUND(U28*1000/予測!K36,1)</f>
        <v>112.8</v>
      </c>
      <c r="V63" s="125">
        <f>ROUND(V28*1000/予測!L36,1)</f>
        <v>112.8</v>
      </c>
      <c r="W63" s="125">
        <f>ROUND(W28*1000/予測!M36,1)</f>
        <v>112.8</v>
      </c>
      <c r="X63" s="125">
        <f>ROUND(X28*1000/予測!N36,1)</f>
        <v>112.8</v>
      </c>
      <c r="Y63" s="125">
        <f>ROUND(Y28*1000/予測!O36,1)</f>
        <v>112.8</v>
      </c>
    </row>
    <row r="64" spans="2:51" ht="16" customHeight="1" x14ac:dyDescent="0.55000000000000004">
      <c r="B64" s="401" t="s">
        <v>736</v>
      </c>
      <c r="C64" s="401"/>
      <c r="D64" s="401"/>
      <c r="E64" s="401"/>
      <c r="F64" s="401"/>
      <c r="G64" s="401"/>
      <c r="H64" s="401"/>
      <c r="I64" s="401"/>
      <c r="J64" s="401"/>
      <c r="P64" s="167">
        <f>ROUND((P53-P30/2)*1000/予測!F36,2)</f>
        <v>167.92</v>
      </c>
      <c r="Q64" s="167">
        <f>ROUND((Q53-Q30/2-1000)*1000/予測!G36,2)</f>
        <v>168.87</v>
      </c>
      <c r="R64" s="167">
        <f>ROUND((R53-R30/2-5000)*1000/予測!H36,2)</f>
        <v>173.39</v>
      </c>
      <c r="S64" s="167">
        <f>ROUND((S53-S30/2-5000)*1000/予測!I36,2)</f>
        <v>168.99</v>
      </c>
      <c r="T64" s="167">
        <f>ROUND((T53-T30/2-6000)*1000/予測!J36,2)</f>
        <v>171.71</v>
      </c>
      <c r="U64" s="167">
        <f>ROUND((U53-U30/2-8000)*1000/予測!K36,2)</f>
        <v>174.14</v>
      </c>
      <c r="V64" s="167">
        <f>ROUND((V53-V30/2-8000)*1000/予測!L36,2)</f>
        <v>175.64</v>
      </c>
      <c r="W64" s="167">
        <f>ROUND((W53-W30/2-8000)*1000/予測!M36,2)</f>
        <v>173.63</v>
      </c>
      <c r="X64" s="167">
        <f>ROUND((X53-X30/2-8000)*1000/予測!N36,2)</f>
        <v>171.05</v>
      </c>
      <c r="Y64" s="167">
        <f>ROUND((Y53-Y30/2-8000)*1000/予測!O36,2)</f>
        <v>165.8</v>
      </c>
    </row>
    <row r="65" spans="3:44" ht="16" customHeight="1" x14ac:dyDescent="0.55000000000000004"/>
    <row r="66" spans="3:44" ht="16" customHeight="1" x14ac:dyDescent="0.55000000000000004">
      <c r="J66" s="84" t="s">
        <v>438</v>
      </c>
    </row>
    <row r="67" spans="3:44" ht="16" customHeight="1" x14ac:dyDescent="0.55000000000000004">
      <c r="C67" s="85"/>
      <c r="D67" s="86"/>
      <c r="E67" s="127"/>
      <c r="F67" s="86"/>
      <c r="G67" s="86"/>
      <c r="H67" s="86"/>
      <c r="I67" s="87" t="s">
        <v>439</v>
      </c>
      <c r="J67" s="88"/>
      <c r="K67" s="76"/>
      <c r="L67" s="76"/>
      <c r="M67" s="76"/>
      <c r="P67" s="89" t="s">
        <v>336</v>
      </c>
      <c r="Q67" s="89" t="s">
        <v>337</v>
      </c>
      <c r="R67" s="89" t="s">
        <v>338</v>
      </c>
      <c r="S67" s="89" t="s">
        <v>339</v>
      </c>
      <c r="T67" s="89" t="s">
        <v>340</v>
      </c>
      <c r="U67" s="89" t="s">
        <v>341</v>
      </c>
      <c r="V67" s="89" t="s">
        <v>342</v>
      </c>
      <c r="W67" s="89" t="s">
        <v>343</v>
      </c>
      <c r="X67" s="89" t="s">
        <v>344</v>
      </c>
      <c r="Y67" s="89" t="s">
        <v>345</v>
      </c>
      <c r="Z67" s="75" t="s">
        <v>346</v>
      </c>
      <c r="AA67" s="75" t="s">
        <v>347</v>
      </c>
      <c r="AB67" s="75" t="s">
        <v>348</v>
      </c>
      <c r="AC67" s="75" t="s">
        <v>349</v>
      </c>
      <c r="AD67" s="75" t="s">
        <v>350</v>
      </c>
      <c r="AE67" s="75" t="s">
        <v>351</v>
      </c>
      <c r="AF67" s="75" t="s">
        <v>352</v>
      </c>
      <c r="AG67" s="75" t="s">
        <v>353</v>
      </c>
      <c r="AH67" s="75" t="s">
        <v>354</v>
      </c>
      <c r="AI67" s="75" t="s">
        <v>355</v>
      </c>
      <c r="AJ67" s="75" t="s">
        <v>356</v>
      </c>
      <c r="AK67" s="75" t="s">
        <v>357</v>
      </c>
      <c r="AL67" s="75" t="s">
        <v>358</v>
      </c>
      <c r="AM67" s="75" t="s">
        <v>359</v>
      </c>
      <c r="AN67" s="75" t="s">
        <v>360</v>
      </c>
      <c r="AO67" s="75" t="s">
        <v>361</v>
      </c>
      <c r="AP67" s="75" t="s">
        <v>362</v>
      </c>
      <c r="AQ67" s="75" t="s">
        <v>363</v>
      </c>
      <c r="AR67" s="75" t="s">
        <v>364</v>
      </c>
    </row>
    <row r="68" spans="3:44" ht="16" customHeight="1" x14ac:dyDescent="0.55000000000000004">
      <c r="C68" s="90"/>
      <c r="D68" s="91"/>
      <c r="E68" s="91" t="s">
        <v>440</v>
      </c>
      <c r="F68" s="91"/>
      <c r="G68" s="91"/>
      <c r="H68" s="91"/>
      <c r="I68" s="91"/>
      <c r="J68" s="92"/>
      <c r="K68" s="76"/>
      <c r="L68" s="76"/>
      <c r="M68" s="76"/>
      <c r="P68" s="93">
        <v>2025</v>
      </c>
      <c r="Q68" s="93">
        <v>2026</v>
      </c>
      <c r="R68" s="93">
        <v>2027</v>
      </c>
      <c r="S68" s="93">
        <v>2028</v>
      </c>
      <c r="T68" s="93">
        <v>2029</v>
      </c>
      <c r="U68" s="93">
        <v>2030</v>
      </c>
      <c r="V68" s="93">
        <v>2031</v>
      </c>
      <c r="W68" s="93">
        <v>2032</v>
      </c>
      <c r="X68" s="93">
        <v>2033</v>
      </c>
      <c r="Y68" s="93">
        <v>2034</v>
      </c>
      <c r="Z68" s="75">
        <v>2035</v>
      </c>
      <c r="AA68" s="75">
        <v>2036</v>
      </c>
      <c r="AB68" s="75">
        <v>2037</v>
      </c>
      <c r="AC68" s="75">
        <v>2038</v>
      </c>
      <c r="AD68" s="75">
        <v>2039</v>
      </c>
      <c r="AE68" s="75">
        <v>2040</v>
      </c>
      <c r="AF68" s="75">
        <v>2041</v>
      </c>
      <c r="AG68" s="75">
        <v>2042</v>
      </c>
      <c r="AH68" s="75">
        <v>2043</v>
      </c>
      <c r="AI68" s="75">
        <v>2044</v>
      </c>
      <c r="AJ68" s="75">
        <v>2045</v>
      </c>
      <c r="AK68" s="75">
        <v>2046</v>
      </c>
      <c r="AL68" s="75">
        <v>2047</v>
      </c>
      <c r="AM68" s="75">
        <v>2048</v>
      </c>
      <c r="AN68" s="75">
        <v>2049</v>
      </c>
      <c r="AO68" s="75">
        <v>2050</v>
      </c>
      <c r="AP68" s="75">
        <v>2051</v>
      </c>
      <c r="AQ68" s="75">
        <v>2052</v>
      </c>
      <c r="AR68" s="75">
        <v>2053</v>
      </c>
    </row>
    <row r="69" spans="3:44" ht="16" customHeight="1" x14ac:dyDescent="0.55000000000000004">
      <c r="C69" s="383" t="s">
        <v>441</v>
      </c>
      <c r="D69" s="383" t="s">
        <v>442</v>
      </c>
      <c r="E69" s="128" t="s">
        <v>388</v>
      </c>
      <c r="F69" s="387" t="s">
        <v>443</v>
      </c>
      <c r="G69" s="387"/>
      <c r="H69" s="387"/>
      <c r="I69" s="387"/>
      <c r="J69" s="403"/>
      <c r="K69" s="102"/>
      <c r="L69" s="102"/>
      <c r="M69" s="102"/>
      <c r="N69" s="102"/>
      <c r="O69" s="102"/>
      <c r="P69" s="102">
        <f>'【簡易水道】建設改良費の年度別事業費 '!E23</f>
        <v>32300</v>
      </c>
      <c r="Q69" s="102">
        <f>'【簡易水道】建設改良費の年度別事業費 '!F23</f>
        <v>80100</v>
      </c>
      <c r="R69" s="102">
        <f>'【簡易水道】建設改良費の年度別事業費 '!G23</f>
        <v>16100</v>
      </c>
      <c r="S69" s="102">
        <f>'【簡易水道】建設改良費の年度別事業費 '!H23</f>
        <v>70500</v>
      </c>
      <c r="T69" s="102">
        <f>'【簡易水道】建設改良費の年度別事業費 '!I23</f>
        <v>70500</v>
      </c>
      <c r="U69" s="102">
        <f>'【簡易水道】建設改良費の年度別事業費 '!J23</f>
        <v>44900</v>
      </c>
      <c r="V69" s="102">
        <f>'【簡易水道】建設改良費の年度別事業費 '!K23</f>
        <v>38500</v>
      </c>
      <c r="W69" s="102">
        <f>'【簡易水道】建設改良費の年度別事業費 '!L23</f>
        <v>35300</v>
      </c>
      <c r="X69" s="102">
        <f>'【簡易水道】建設改良費の年度別事業費 '!M23</f>
        <v>53400</v>
      </c>
      <c r="Y69" s="102">
        <f>'【簡易水道】建設改良費の年度別事業費 '!N23</f>
        <v>77800</v>
      </c>
      <c r="Z69" s="129" t="e">
        <f>[12]公共下水道事業!AE73+#REF!+[12]農業集落排水事業!AE64</f>
        <v>#REF!</v>
      </c>
      <c r="AA69" s="129" t="e">
        <f>[12]公共下水道事業!AF73+#REF!+[12]農業集落排水事業!AF64</f>
        <v>#REF!</v>
      </c>
      <c r="AB69" s="129" t="e">
        <f>[12]公共下水道事業!AG73+#REF!+[12]農業集落排水事業!AG64</f>
        <v>#REF!</v>
      </c>
      <c r="AC69" s="129" t="e">
        <f>[12]公共下水道事業!AH73+#REF!+[12]農業集落排水事業!AH64</f>
        <v>#REF!</v>
      </c>
      <c r="AD69" s="129" t="e">
        <f>[12]公共下水道事業!AI73+#REF!+[12]農業集落排水事業!AI64</f>
        <v>#REF!</v>
      </c>
      <c r="AE69" s="129" t="e">
        <f>[12]公共下水道事業!AJ73+#REF!+[12]農業集落排水事業!AJ64</f>
        <v>#REF!</v>
      </c>
      <c r="AF69" s="129" t="e">
        <f>[12]公共下水道事業!AK73+#REF!+[12]農業集落排水事業!AK64</f>
        <v>#REF!</v>
      </c>
      <c r="AG69" s="129" t="e">
        <f>[12]公共下水道事業!AL73+#REF!+[12]農業集落排水事業!AL64</f>
        <v>#REF!</v>
      </c>
      <c r="AH69" s="129" t="e">
        <f>[12]公共下水道事業!AM73+#REF!+[12]農業集落排水事業!AM64</f>
        <v>#REF!</v>
      </c>
      <c r="AI69" s="129" t="e">
        <f>[12]公共下水道事業!AN73+#REF!+[12]農業集落排水事業!AN64</f>
        <v>#REF!</v>
      </c>
      <c r="AJ69" s="129" t="e">
        <f>[12]公共下水道事業!AO73+#REF!+[12]農業集落排水事業!AO64</f>
        <v>#REF!</v>
      </c>
      <c r="AK69" s="129" t="e">
        <f>[12]公共下水道事業!AP73+#REF!+[12]農業集落排水事業!AP64</f>
        <v>#REF!</v>
      </c>
      <c r="AL69" s="129" t="e">
        <f>[12]公共下水道事業!AQ73+#REF!+[12]農業集落排水事業!AQ64</f>
        <v>#REF!</v>
      </c>
      <c r="AM69" s="129" t="e">
        <f>[12]公共下水道事業!AR73+#REF!+[12]農業集落排水事業!AR64</f>
        <v>#REF!</v>
      </c>
      <c r="AN69" s="129" t="e">
        <f>[12]公共下水道事業!AS73+#REF!+[12]農業集落排水事業!AS64</f>
        <v>#REF!</v>
      </c>
      <c r="AO69" s="129" t="e">
        <f>[12]公共下水道事業!AT73+#REF!+[12]農業集落排水事業!AT64</f>
        <v>#REF!</v>
      </c>
      <c r="AP69" s="129" t="e">
        <f>[12]公共下水道事業!AU73+#REF!+[12]農業集落排水事業!AU64</f>
        <v>#REF!</v>
      </c>
      <c r="AQ69" s="129" t="e">
        <f>[12]公共下水道事業!AV73+#REF!+[12]農業集落排水事業!AV64</f>
        <v>#REF!</v>
      </c>
      <c r="AR69" s="129" t="e">
        <f>[12]公共下水道事業!AW73+#REF!+[12]農業集落排水事業!AW64</f>
        <v>#REF!</v>
      </c>
    </row>
    <row r="70" spans="3:44" ht="16" customHeight="1" x14ac:dyDescent="0.55000000000000004">
      <c r="C70" s="384"/>
      <c r="D70" s="384"/>
      <c r="E70" s="130"/>
      <c r="F70" s="391" t="s">
        <v>444</v>
      </c>
      <c r="G70" s="387"/>
      <c r="H70" s="387"/>
      <c r="I70" s="387"/>
      <c r="J70" s="388"/>
      <c r="K70" s="102"/>
      <c r="L70" s="102"/>
      <c r="M70" s="102"/>
      <c r="N70" s="102"/>
      <c r="O70" s="102"/>
      <c r="P70" s="102"/>
      <c r="Q70" s="102"/>
      <c r="R70" s="102"/>
      <c r="S70" s="102"/>
      <c r="T70" s="102"/>
      <c r="U70" s="102"/>
      <c r="V70" s="102"/>
      <c r="W70" s="102"/>
      <c r="X70" s="102"/>
      <c r="Y70" s="102"/>
      <c r="Z70" s="103" t="e">
        <f>[12]公共下水道事業!AE74+#REF!+[12]農業集落排水事業!AE65</f>
        <v>#REF!</v>
      </c>
      <c r="AA70" s="103" t="e">
        <f>[12]公共下水道事業!AF74+#REF!+[12]農業集落排水事業!AF65</f>
        <v>#REF!</v>
      </c>
      <c r="AB70" s="103" t="e">
        <f>[12]公共下水道事業!AG74+#REF!+[12]農業集落排水事業!AG65</f>
        <v>#REF!</v>
      </c>
      <c r="AC70" s="103" t="e">
        <f>[12]公共下水道事業!AH74+#REF!+[12]農業集落排水事業!AH65</f>
        <v>#REF!</v>
      </c>
      <c r="AD70" s="103" t="e">
        <f>[12]公共下水道事業!AI74+#REF!+[12]農業集落排水事業!AI65</f>
        <v>#REF!</v>
      </c>
      <c r="AE70" s="103" t="e">
        <f>[12]公共下水道事業!AJ74+#REF!+[12]農業集落排水事業!AJ65</f>
        <v>#REF!</v>
      </c>
      <c r="AF70" s="103" t="e">
        <f>[12]公共下水道事業!AK74+#REF!+[12]農業集落排水事業!AK65</f>
        <v>#REF!</v>
      </c>
      <c r="AG70" s="103" t="e">
        <f>[12]公共下水道事業!AL74+#REF!+[12]農業集落排水事業!AL65</f>
        <v>#REF!</v>
      </c>
      <c r="AH70" s="103" t="e">
        <f>[12]公共下水道事業!AM74+#REF!+[12]農業集落排水事業!AM65</f>
        <v>#REF!</v>
      </c>
      <c r="AI70" s="103" t="e">
        <f>[12]公共下水道事業!AN74+#REF!+[12]農業集落排水事業!AN65</f>
        <v>#REF!</v>
      </c>
      <c r="AJ70" s="103" t="e">
        <f>[12]公共下水道事業!AO74+#REF!+[12]農業集落排水事業!AO65</f>
        <v>#REF!</v>
      </c>
      <c r="AK70" s="103" t="e">
        <f>[12]公共下水道事業!AP74+#REF!+[12]農業集落排水事業!AP65</f>
        <v>#REF!</v>
      </c>
      <c r="AL70" s="103" t="e">
        <f>[12]公共下水道事業!AQ74+#REF!+[12]農業集落排水事業!AQ65</f>
        <v>#REF!</v>
      </c>
      <c r="AM70" s="103" t="e">
        <f>[12]公共下水道事業!AR74+#REF!+[12]農業集落排水事業!AR65</f>
        <v>#REF!</v>
      </c>
      <c r="AN70" s="103" t="e">
        <f>[12]公共下水道事業!AS74+#REF!+[12]農業集落排水事業!AS65</f>
        <v>#REF!</v>
      </c>
      <c r="AO70" s="103" t="e">
        <f>[12]公共下水道事業!AT74+#REF!+[12]農業集落排水事業!AT65</f>
        <v>#REF!</v>
      </c>
      <c r="AP70" s="103" t="e">
        <f>[12]公共下水道事業!AU74+#REF!+[12]農業集落排水事業!AU65</f>
        <v>#REF!</v>
      </c>
      <c r="AQ70" s="103" t="e">
        <f>[12]公共下水道事業!AV74+#REF!+[12]農業集落排水事業!AV65</f>
        <v>#REF!</v>
      </c>
      <c r="AR70" s="103" t="e">
        <f>[12]公共下水道事業!AW74+#REF!+[12]農業集落排水事業!AW65</f>
        <v>#REF!</v>
      </c>
    </row>
    <row r="71" spans="3:44" ht="16" customHeight="1" x14ac:dyDescent="0.55000000000000004">
      <c r="C71" s="384"/>
      <c r="D71" s="402"/>
      <c r="E71" s="131" t="s">
        <v>445</v>
      </c>
      <c r="F71" s="387" t="s">
        <v>446</v>
      </c>
      <c r="G71" s="387"/>
      <c r="H71" s="387"/>
      <c r="I71" s="387"/>
      <c r="J71" s="403"/>
      <c r="K71" s="102"/>
      <c r="L71" s="102"/>
      <c r="M71" s="102"/>
      <c r="N71" s="102"/>
      <c r="O71" s="102"/>
      <c r="P71" s="102"/>
      <c r="Q71" s="102"/>
      <c r="R71" s="102"/>
      <c r="S71" s="102"/>
      <c r="T71" s="102"/>
      <c r="U71" s="102"/>
      <c r="V71" s="102"/>
      <c r="W71" s="102"/>
      <c r="X71" s="102"/>
      <c r="Y71" s="102"/>
      <c r="Z71" s="129" t="e">
        <f>[12]公共下水道事業!AE75+#REF!+[12]農業集落排水事業!AE66</f>
        <v>#REF!</v>
      </c>
      <c r="AA71" s="129" t="e">
        <f>[12]公共下水道事業!AF75+#REF!+[12]農業集落排水事業!AF66</f>
        <v>#REF!</v>
      </c>
      <c r="AB71" s="129" t="e">
        <f>[12]公共下水道事業!AG75+#REF!+[12]農業集落排水事業!AG66</f>
        <v>#REF!</v>
      </c>
      <c r="AC71" s="129" t="e">
        <f>[12]公共下水道事業!AH75+#REF!+[12]農業集落排水事業!AH66</f>
        <v>#REF!</v>
      </c>
      <c r="AD71" s="129" t="e">
        <f>[12]公共下水道事業!AI75+#REF!+[12]農業集落排水事業!AI66</f>
        <v>#REF!</v>
      </c>
      <c r="AE71" s="129" t="e">
        <f>[12]公共下水道事業!AJ75+#REF!+[12]農業集落排水事業!AJ66</f>
        <v>#REF!</v>
      </c>
      <c r="AF71" s="129" t="e">
        <f>[12]公共下水道事業!AK75+#REF!+[12]農業集落排水事業!AK66</f>
        <v>#REF!</v>
      </c>
      <c r="AG71" s="129" t="e">
        <f>[12]公共下水道事業!AL75+#REF!+[12]農業集落排水事業!AL66</f>
        <v>#REF!</v>
      </c>
      <c r="AH71" s="129" t="e">
        <f>[12]公共下水道事業!AM75+#REF!+[12]農業集落排水事業!AM66</f>
        <v>#REF!</v>
      </c>
      <c r="AI71" s="129" t="e">
        <f>[12]公共下水道事業!AN75+#REF!+[12]農業集落排水事業!AN66</f>
        <v>#REF!</v>
      </c>
      <c r="AJ71" s="129" t="e">
        <f>[12]公共下水道事業!AO75+#REF!+[12]農業集落排水事業!AO66</f>
        <v>#REF!</v>
      </c>
      <c r="AK71" s="129" t="e">
        <f>[12]公共下水道事業!AP75+#REF!+[12]農業集落排水事業!AP66</f>
        <v>#REF!</v>
      </c>
      <c r="AL71" s="129" t="e">
        <f>[12]公共下水道事業!AQ75+#REF!+[12]農業集落排水事業!AQ66</f>
        <v>#REF!</v>
      </c>
      <c r="AM71" s="129" t="e">
        <f>[12]公共下水道事業!AR75+#REF!+[12]農業集落排水事業!AR66</f>
        <v>#REF!</v>
      </c>
      <c r="AN71" s="129" t="e">
        <f>[12]公共下水道事業!AS75+#REF!+[12]農業集落排水事業!AS66</f>
        <v>#REF!</v>
      </c>
      <c r="AO71" s="129" t="e">
        <f>[12]公共下水道事業!AT75+#REF!+[12]農業集落排水事業!AT66</f>
        <v>#REF!</v>
      </c>
      <c r="AP71" s="129" t="e">
        <f>[12]公共下水道事業!AU75+#REF!+[12]農業集落排水事業!AU66</f>
        <v>#REF!</v>
      </c>
      <c r="AQ71" s="129" t="e">
        <f>[12]公共下水道事業!AV75+#REF!+[12]農業集落排水事業!AV66</f>
        <v>#REF!</v>
      </c>
      <c r="AR71" s="129" t="e">
        <f>[12]公共下水道事業!AW75+#REF!+[12]農業集落排水事業!AW66</f>
        <v>#REF!</v>
      </c>
    </row>
    <row r="72" spans="3:44" ht="16" customHeight="1" x14ac:dyDescent="0.55000000000000004">
      <c r="C72" s="384"/>
      <c r="D72" s="402"/>
      <c r="E72" s="128" t="s">
        <v>447</v>
      </c>
      <c r="F72" s="389" t="s">
        <v>448</v>
      </c>
      <c r="G72" s="389"/>
      <c r="H72" s="389"/>
      <c r="I72" s="389"/>
      <c r="J72" s="404"/>
      <c r="K72" s="102"/>
      <c r="L72" s="102"/>
      <c r="M72" s="102"/>
      <c r="N72" s="102"/>
      <c r="O72" s="102"/>
      <c r="P72" s="102"/>
      <c r="Q72" s="102"/>
      <c r="R72" s="102"/>
      <c r="S72" s="102"/>
      <c r="T72" s="102"/>
      <c r="U72" s="102"/>
      <c r="V72" s="102"/>
      <c r="W72" s="102"/>
      <c r="X72" s="102"/>
      <c r="Y72" s="102"/>
      <c r="Z72" s="129" t="e">
        <f>[12]公共下水道事業!AE76+#REF!+[12]農業集落排水事業!AE67</f>
        <v>#REF!</v>
      </c>
      <c r="AA72" s="129" t="e">
        <f>[12]公共下水道事業!AF76+#REF!+[12]農業集落排水事業!AF67</f>
        <v>#REF!</v>
      </c>
      <c r="AB72" s="129" t="e">
        <f>[12]公共下水道事業!AG76+#REF!+[12]農業集落排水事業!AG67</f>
        <v>#REF!</v>
      </c>
      <c r="AC72" s="129" t="e">
        <f>[12]公共下水道事業!AH76+#REF!+[12]農業集落排水事業!AH67</f>
        <v>#REF!</v>
      </c>
      <c r="AD72" s="129" t="e">
        <f>[12]公共下水道事業!AI76+#REF!+[12]農業集落排水事業!AI67</f>
        <v>#REF!</v>
      </c>
      <c r="AE72" s="129" t="e">
        <f>[12]公共下水道事業!AJ76+#REF!+[12]農業集落排水事業!AJ67</f>
        <v>#REF!</v>
      </c>
      <c r="AF72" s="129" t="e">
        <f>[12]公共下水道事業!AK76+#REF!+[12]農業集落排水事業!AK67</f>
        <v>#REF!</v>
      </c>
      <c r="AG72" s="129" t="e">
        <f>[12]公共下水道事業!AL76+#REF!+[12]農業集落排水事業!AL67</f>
        <v>#REF!</v>
      </c>
      <c r="AH72" s="129" t="e">
        <f>[12]公共下水道事業!AM76+#REF!+[12]農業集落排水事業!AM67</f>
        <v>#REF!</v>
      </c>
      <c r="AI72" s="129" t="e">
        <f>[12]公共下水道事業!AN76+#REF!+[12]農業集落排水事業!AN67</f>
        <v>#REF!</v>
      </c>
      <c r="AJ72" s="129" t="e">
        <f>[12]公共下水道事業!AO76+#REF!+[12]農業集落排水事業!AO67</f>
        <v>#REF!</v>
      </c>
      <c r="AK72" s="129" t="e">
        <f>[12]公共下水道事業!AP76+#REF!+[12]農業集落排水事業!AP67</f>
        <v>#REF!</v>
      </c>
      <c r="AL72" s="129" t="e">
        <f>[12]公共下水道事業!AQ76+#REF!+[12]農業集落排水事業!AQ67</f>
        <v>#REF!</v>
      </c>
      <c r="AM72" s="129" t="e">
        <f>[12]公共下水道事業!AR76+#REF!+[12]農業集落排水事業!AR67</f>
        <v>#REF!</v>
      </c>
      <c r="AN72" s="129" t="e">
        <f>[12]公共下水道事業!AS76+#REF!+[12]農業集落排水事業!AS67</f>
        <v>#REF!</v>
      </c>
      <c r="AO72" s="129" t="e">
        <f>[12]公共下水道事業!AT76+#REF!+[12]農業集落排水事業!AT67</f>
        <v>#REF!</v>
      </c>
      <c r="AP72" s="129" t="e">
        <f>[12]公共下水道事業!AU76+#REF!+[12]農業集落排水事業!AU67</f>
        <v>#REF!</v>
      </c>
      <c r="AQ72" s="129" t="e">
        <f>[12]公共下水道事業!AV76+#REF!+[12]農業集落排水事業!AV67</f>
        <v>#REF!</v>
      </c>
      <c r="AR72" s="129" t="e">
        <f>[12]公共下水道事業!AW76+#REF!+[12]農業集落排水事業!AW67</f>
        <v>#REF!</v>
      </c>
    </row>
    <row r="73" spans="3:44" ht="16" customHeight="1" x14ac:dyDescent="0.55000000000000004">
      <c r="C73" s="384"/>
      <c r="D73" s="402"/>
      <c r="E73" s="131" t="s">
        <v>449</v>
      </c>
      <c r="F73" s="387" t="s">
        <v>450</v>
      </c>
      <c r="G73" s="387"/>
      <c r="H73" s="387"/>
      <c r="I73" s="387"/>
      <c r="J73" s="403"/>
      <c r="K73" s="102"/>
      <c r="L73" s="102"/>
      <c r="M73" s="102"/>
      <c r="N73" s="102"/>
      <c r="O73" s="102"/>
      <c r="P73" s="102">
        <v>7940</v>
      </c>
      <c r="Q73" s="102">
        <v>7940</v>
      </c>
      <c r="R73" s="102">
        <v>7940</v>
      </c>
      <c r="S73" s="102">
        <v>7940</v>
      </c>
      <c r="T73" s="102">
        <v>7940</v>
      </c>
      <c r="U73" s="102">
        <v>7940</v>
      </c>
      <c r="V73" s="102">
        <v>7940</v>
      </c>
      <c r="W73" s="102">
        <v>7940</v>
      </c>
      <c r="X73" s="102">
        <v>7940</v>
      </c>
      <c r="Y73" s="102">
        <v>7940</v>
      </c>
      <c r="Z73" s="103" t="e">
        <f>[12]公共下水道事業!AE77+#REF!+[12]農業集落排水事業!AE68</f>
        <v>#REF!</v>
      </c>
      <c r="AA73" s="103" t="e">
        <f>[12]公共下水道事業!AF77+#REF!+[12]農業集落排水事業!AF68</f>
        <v>#REF!</v>
      </c>
      <c r="AB73" s="103" t="e">
        <f>[12]公共下水道事業!AG77+#REF!+[12]農業集落排水事業!AG68</f>
        <v>#REF!</v>
      </c>
      <c r="AC73" s="103" t="e">
        <f>[12]公共下水道事業!AH77+#REF!+[12]農業集落排水事業!AH68</f>
        <v>#REF!</v>
      </c>
      <c r="AD73" s="103" t="e">
        <f>[12]公共下水道事業!AI77+#REF!+[12]農業集落排水事業!AI68</f>
        <v>#REF!</v>
      </c>
      <c r="AE73" s="103" t="e">
        <f>[12]公共下水道事業!AJ77+#REF!+[12]農業集落排水事業!AJ68</f>
        <v>#REF!</v>
      </c>
      <c r="AF73" s="103" t="e">
        <f>[12]公共下水道事業!AK77+#REF!+[12]農業集落排水事業!AK68</f>
        <v>#REF!</v>
      </c>
      <c r="AG73" s="103" t="e">
        <f>[12]公共下水道事業!AL77+#REF!+[12]農業集落排水事業!AL68</f>
        <v>#REF!</v>
      </c>
      <c r="AH73" s="103" t="e">
        <f>[12]公共下水道事業!AM77+#REF!+[12]農業集落排水事業!AM68</f>
        <v>#REF!</v>
      </c>
      <c r="AI73" s="103" t="e">
        <f>[12]公共下水道事業!AN77+#REF!+[12]農業集落排水事業!AN68</f>
        <v>#REF!</v>
      </c>
      <c r="AJ73" s="103" t="e">
        <f>[12]公共下水道事業!AO77+#REF!+[12]農業集落排水事業!AO68</f>
        <v>#REF!</v>
      </c>
      <c r="AK73" s="103" t="e">
        <f>[12]公共下水道事業!AP77+#REF!+[12]農業集落排水事業!AP68</f>
        <v>#REF!</v>
      </c>
      <c r="AL73" s="103" t="e">
        <f>[12]公共下水道事業!AQ77+#REF!+[12]農業集落排水事業!AQ68</f>
        <v>#REF!</v>
      </c>
      <c r="AM73" s="103" t="e">
        <f>[12]公共下水道事業!AR77+#REF!+[12]農業集落排水事業!AR68</f>
        <v>#REF!</v>
      </c>
      <c r="AN73" s="103" t="e">
        <f>[12]公共下水道事業!AS77+#REF!+[12]農業集落排水事業!AS68</f>
        <v>#REF!</v>
      </c>
      <c r="AO73" s="103" t="e">
        <f>[12]公共下水道事業!AT77+#REF!+[12]農業集落排水事業!AT68</f>
        <v>#REF!</v>
      </c>
      <c r="AP73" s="103" t="e">
        <f>[12]公共下水道事業!AU77+#REF!+[12]農業集落排水事業!AU68</f>
        <v>#REF!</v>
      </c>
      <c r="AQ73" s="103" t="e">
        <f>[12]公共下水道事業!AV77+#REF!+[12]農業集落排水事業!AV68</f>
        <v>#REF!</v>
      </c>
      <c r="AR73" s="103" t="e">
        <f>[12]公共下水道事業!AW77+#REF!+[12]農業集落排水事業!AW68</f>
        <v>#REF!</v>
      </c>
    </row>
    <row r="74" spans="3:44" ht="16" customHeight="1" x14ac:dyDescent="0.55000000000000004">
      <c r="C74" s="384"/>
      <c r="D74" s="402"/>
      <c r="E74" s="131" t="s">
        <v>451</v>
      </c>
      <c r="F74" s="387" t="s">
        <v>452</v>
      </c>
      <c r="G74" s="387"/>
      <c r="H74" s="387"/>
      <c r="I74" s="387"/>
      <c r="J74" s="403"/>
      <c r="K74" s="102"/>
      <c r="L74" s="102"/>
      <c r="M74" s="102"/>
      <c r="N74" s="102"/>
      <c r="O74" s="102"/>
      <c r="P74" s="102"/>
      <c r="Q74" s="102"/>
      <c r="R74" s="102"/>
      <c r="S74" s="102"/>
      <c r="T74" s="102"/>
      <c r="U74" s="102"/>
      <c r="V74" s="102"/>
      <c r="W74" s="102"/>
      <c r="X74" s="102"/>
      <c r="Y74" s="102"/>
      <c r="Z74" s="129" t="e">
        <f>[12]公共下水道事業!AE78+#REF!+[12]農業集落排水事業!AE69</f>
        <v>#REF!</v>
      </c>
      <c r="AA74" s="129" t="e">
        <f>[12]公共下水道事業!AF78+#REF!+[12]農業集落排水事業!AF69</f>
        <v>#REF!</v>
      </c>
      <c r="AB74" s="129" t="e">
        <f>[12]公共下水道事業!AG78+#REF!+[12]農業集落排水事業!AG69</f>
        <v>#REF!</v>
      </c>
      <c r="AC74" s="129" t="e">
        <f>[12]公共下水道事業!AH78+#REF!+[12]農業集落排水事業!AH69</f>
        <v>#REF!</v>
      </c>
      <c r="AD74" s="129" t="e">
        <f>[12]公共下水道事業!AI78+#REF!+[12]農業集落排水事業!AI69</f>
        <v>#REF!</v>
      </c>
      <c r="AE74" s="129" t="e">
        <f>[12]公共下水道事業!AJ78+#REF!+[12]農業集落排水事業!AJ69</f>
        <v>#REF!</v>
      </c>
      <c r="AF74" s="129" t="e">
        <f>[12]公共下水道事業!AK78+#REF!+[12]農業集落排水事業!AK69</f>
        <v>#REF!</v>
      </c>
      <c r="AG74" s="129" t="e">
        <f>[12]公共下水道事業!AL78+#REF!+[12]農業集落排水事業!AL69</f>
        <v>#REF!</v>
      </c>
      <c r="AH74" s="129" t="e">
        <f>[12]公共下水道事業!AM78+#REF!+[12]農業集落排水事業!AM69</f>
        <v>#REF!</v>
      </c>
      <c r="AI74" s="129" t="e">
        <f>[12]公共下水道事業!AN78+#REF!+[12]農業集落排水事業!AN69</f>
        <v>#REF!</v>
      </c>
      <c r="AJ74" s="129" t="e">
        <f>[12]公共下水道事業!AO78+#REF!+[12]農業集落排水事業!AO69</f>
        <v>#REF!</v>
      </c>
      <c r="AK74" s="129" t="e">
        <f>[12]公共下水道事業!AP78+#REF!+[12]農業集落排水事業!AP69</f>
        <v>#REF!</v>
      </c>
      <c r="AL74" s="129" t="e">
        <f>[12]公共下水道事業!AQ78+#REF!+[12]農業集落排水事業!AQ69</f>
        <v>#REF!</v>
      </c>
      <c r="AM74" s="129" t="e">
        <f>[12]公共下水道事業!AR78+#REF!+[12]農業集落排水事業!AR69</f>
        <v>#REF!</v>
      </c>
      <c r="AN74" s="129" t="e">
        <f>[12]公共下水道事業!AS78+#REF!+[12]農業集落排水事業!AS69</f>
        <v>#REF!</v>
      </c>
      <c r="AO74" s="129" t="e">
        <f>[12]公共下水道事業!AT78+#REF!+[12]農業集落排水事業!AT69</f>
        <v>#REF!</v>
      </c>
      <c r="AP74" s="129" t="e">
        <f>[12]公共下水道事業!AU78+#REF!+[12]農業集落排水事業!AU69</f>
        <v>#REF!</v>
      </c>
      <c r="AQ74" s="129" t="e">
        <f>[12]公共下水道事業!AV78+#REF!+[12]農業集落排水事業!AV69</f>
        <v>#REF!</v>
      </c>
      <c r="AR74" s="129" t="e">
        <f>[12]公共下水道事業!AW78+#REF!+[12]農業集落排水事業!AW69</f>
        <v>#REF!</v>
      </c>
    </row>
    <row r="75" spans="3:44" ht="16" customHeight="1" x14ac:dyDescent="0.55000000000000004">
      <c r="C75" s="384"/>
      <c r="D75" s="402"/>
      <c r="E75" s="131" t="s">
        <v>453</v>
      </c>
      <c r="F75" s="387" t="s">
        <v>454</v>
      </c>
      <c r="G75" s="387"/>
      <c r="H75" s="387"/>
      <c r="I75" s="387"/>
      <c r="J75" s="403"/>
      <c r="K75" s="102"/>
      <c r="L75" s="102"/>
      <c r="M75" s="102"/>
      <c r="N75" s="102"/>
      <c r="O75" s="102"/>
      <c r="P75" s="102">
        <f>'【簡易水道】建設改良費の年度別事業費 '!E19</f>
        <v>3700</v>
      </c>
      <c r="Q75" s="102">
        <f>'【簡易水道】建設改良費の年度別事業費 '!F19</f>
        <v>34500</v>
      </c>
      <c r="R75" s="102">
        <f>'【簡易水道】建設改良費の年度別事業費 '!G19</f>
        <v>0</v>
      </c>
      <c r="S75" s="102">
        <f>'【簡易水道】建設改良費の年度別事業費 '!H19</f>
        <v>30000</v>
      </c>
      <c r="T75" s="102">
        <f>'【簡易水道】建設改良費の年度別事業費 '!I19</f>
        <v>30000</v>
      </c>
      <c r="U75" s="102">
        <f>'【簡易水道】建設改良費の年度別事業費 '!J19</f>
        <v>13500</v>
      </c>
      <c r="V75" s="102">
        <f>'【簡易水道】建設改良費の年度別事業費 '!K19</f>
        <v>15000</v>
      </c>
      <c r="W75" s="102">
        <f>'【簡易水道】建設改良費の年度別事業費 '!L19</f>
        <v>13500</v>
      </c>
      <c r="X75" s="102">
        <f>'【簡易水道】建設改良費の年度別事業費 '!M19</f>
        <v>13500</v>
      </c>
      <c r="Y75" s="102">
        <f>'【簡易水道】建設改良費の年度別事業費 '!N19</f>
        <v>13500</v>
      </c>
      <c r="Z75" s="129" t="e">
        <f>[12]公共下水道事業!AE79+#REF!+[12]農業集落排水事業!AE70</f>
        <v>#REF!</v>
      </c>
      <c r="AA75" s="129" t="e">
        <f>[12]公共下水道事業!AF79+#REF!+[12]農業集落排水事業!AF70</f>
        <v>#REF!</v>
      </c>
      <c r="AB75" s="129" t="e">
        <f>[12]公共下水道事業!AG79+#REF!+[12]農業集落排水事業!AG70</f>
        <v>#REF!</v>
      </c>
      <c r="AC75" s="129" t="e">
        <f>[12]公共下水道事業!AH79+#REF!+[12]農業集落排水事業!AH70</f>
        <v>#REF!</v>
      </c>
      <c r="AD75" s="129" t="e">
        <f>[12]公共下水道事業!AI79+#REF!+[12]農業集落排水事業!AI70</f>
        <v>#REF!</v>
      </c>
      <c r="AE75" s="129" t="e">
        <f>[12]公共下水道事業!AJ79+#REF!+[12]農業集落排水事業!AJ70</f>
        <v>#REF!</v>
      </c>
      <c r="AF75" s="129" t="e">
        <f>[12]公共下水道事業!AK79+#REF!+[12]農業集落排水事業!AK70</f>
        <v>#REF!</v>
      </c>
      <c r="AG75" s="129" t="e">
        <f>[12]公共下水道事業!AL79+#REF!+[12]農業集落排水事業!AL70</f>
        <v>#REF!</v>
      </c>
      <c r="AH75" s="129" t="e">
        <f>[12]公共下水道事業!AM79+#REF!+[12]農業集落排水事業!AM70</f>
        <v>#REF!</v>
      </c>
      <c r="AI75" s="129" t="e">
        <f>[12]公共下水道事業!AN79+#REF!+[12]農業集落排水事業!AN70</f>
        <v>#REF!</v>
      </c>
      <c r="AJ75" s="129" t="e">
        <f>[12]公共下水道事業!AO79+#REF!+[12]農業集落排水事業!AO70</f>
        <v>#REF!</v>
      </c>
      <c r="AK75" s="129" t="e">
        <f>[12]公共下水道事業!AP79+#REF!+[12]農業集落排水事業!AP70</f>
        <v>#REF!</v>
      </c>
      <c r="AL75" s="129" t="e">
        <f>[12]公共下水道事業!AQ79+#REF!+[12]農業集落排水事業!AQ70</f>
        <v>#REF!</v>
      </c>
      <c r="AM75" s="129" t="e">
        <f>[12]公共下水道事業!AR79+#REF!+[12]農業集落排水事業!AR70</f>
        <v>#REF!</v>
      </c>
      <c r="AN75" s="129" t="e">
        <f>[12]公共下水道事業!AS79+#REF!+[12]農業集落排水事業!AS70</f>
        <v>#REF!</v>
      </c>
      <c r="AO75" s="129" t="e">
        <f>[12]公共下水道事業!AT79+#REF!+[12]農業集落排水事業!AT70</f>
        <v>#REF!</v>
      </c>
      <c r="AP75" s="129" t="e">
        <f>[12]公共下水道事業!AU79+#REF!+[12]農業集落排水事業!AU70</f>
        <v>#REF!</v>
      </c>
      <c r="AQ75" s="129" t="e">
        <f>[12]公共下水道事業!AV79+#REF!+[12]農業集落排水事業!AV70</f>
        <v>#REF!</v>
      </c>
      <c r="AR75" s="129" t="e">
        <f>[12]公共下水道事業!AW79+#REF!+[12]農業集落排水事業!AW70</f>
        <v>#REF!</v>
      </c>
    </row>
    <row r="76" spans="3:44" ht="16" customHeight="1" x14ac:dyDescent="0.55000000000000004">
      <c r="C76" s="384"/>
      <c r="D76" s="402"/>
      <c r="E76" s="131" t="s">
        <v>455</v>
      </c>
      <c r="F76" s="387" t="s">
        <v>456</v>
      </c>
      <c r="G76" s="387"/>
      <c r="H76" s="387"/>
      <c r="I76" s="387"/>
      <c r="J76" s="403"/>
      <c r="K76" s="132"/>
      <c r="L76" s="132"/>
      <c r="M76" s="132"/>
      <c r="N76" s="132"/>
      <c r="O76" s="132"/>
      <c r="P76" s="132"/>
      <c r="Q76" s="132"/>
      <c r="R76" s="132"/>
      <c r="S76" s="132"/>
      <c r="T76" s="132"/>
      <c r="U76" s="132"/>
      <c r="V76" s="132"/>
      <c r="W76" s="132"/>
      <c r="X76" s="132"/>
      <c r="Y76" s="132"/>
      <c r="Z76" s="129" t="e">
        <f>[12]公共下水道事業!AE80+#REF!+[12]農業集落排水事業!AE71</f>
        <v>#REF!</v>
      </c>
      <c r="AA76" s="129" t="e">
        <f>[12]公共下水道事業!AF80+#REF!+[12]農業集落排水事業!AF71</f>
        <v>#REF!</v>
      </c>
      <c r="AB76" s="129" t="e">
        <f>[12]公共下水道事業!AG80+#REF!+[12]農業集落排水事業!AG71</f>
        <v>#REF!</v>
      </c>
      <c r="AC76" s="129" t="e">
        <f>[12]公共下水道事業!AH80+#REF!+[12]農業集落排水事業!AH71</f>
        <v>#REF!</v>
      </c>
      <c r="AD76" s="129" t="e">
        <f>[12]公共下水道事業!AI80+#REF!+[12]農業集落排水事業!AI71</f>
        <v>#REF!</v>
      </c>
      <c r="AE76" s="129" t="e">
        <f>[12]公共下水道事業!AJ80+#REF!+[12]農業集落排水事業!AJ71</f>
        <v>#REF!</v>
      </c>
      <c r="AF76" s="129" t="e">
        <f>[12]公共下水道事業!AK80+#REF!+[12]農業集落排水事業!AK71</f>
        <v>#REF!</v>
      </c>
      <c r="AG76" s="129" t="e">
        <f>[12]公共下水道事業!AL80+#REF!+[12]農業集落排水事業!AL71</f>
        <v>#REF!</v>
      </c>
      <c r="AH76" s="129" t="e">
        <f>[12]公共下水道事業!AM80+#REF!+[12]農業集落排水事業!AM71</f>
        <v>#REF!</v>
      </c>
      <c r="AI76" s="129" t="e">
        <f>[12]公共下水道事業!AN80+#REF!+[12]農業集落排水事業!AN71</f>
        <v>#REF!</v>
      </c>
      <c r="AJ76" s="129" t="e">
        <f>[12]公共下水道事業!AO80+#REF!+[12]農業集落排水事業!AO71</f>
        <v>#REF!</v>
      </c>
      <c r="AK76" s="129" t="e">
        <f>[12]公共下水道事業!AP80+#REF!+[12]農業集落排水事業!AP71</f>
        <v>#REF!</v>
      </c>
      <c r="AL76" s="129" t="e">
        <f>[12]公共下水道事業!AQ80+#REF!+[12]農業集落排水事業!AQ71</f>
        <v>#REF!</v>
      </c>
      <c r="AM76" s="129" t="e">
        <f>[12]公共下水道事業!AR80+#REF!+[12]農業集落排水事業!AR71</f>
        <v>#REF!</v>
      </c>
      <c r="AN76" s="129" t="e">
        <f>[12]公共下水道事業!AS80+#REF!+[12]農業集落排水事業!AS71</f>
        <v>#REF!</v>
      </c>
      <c r="AO76" s="129" t="e">
        <f>[12]公共下水道事業!AT80+#REF!+[12]農業集落排水事業!AT71</f>
        <v>#REF!</v>
      </c>
      <c r="AP76" s="129" t="e">
        <f>[12]公共下水道事業!AU80+#REF!+[12]農業集落排水事業!AU71</f>
        <v>#REF!</v>
      </c>
      <c r="AQ76" s="129" t="e">
        <f>[12]公共下水道事業!AV80+#REF!+[12]農業集落排水事業!AV71</f>
        <v>#REF!</v>
      </c>
      <c r="AR76" s="129" t="e">
        <f>[12]公共下水道事業!AW80+#REF!+[12]農業集落排水事業!AW71</f>
        <v>#REF!</v>
      </c>
    </row>
    <row r="77" spans="3:44" ht="16" customHeight="1" x14ac:dyDescent="0.55000000000000004">
      <c r="C77" s="384"/>
      <c r="D77" s="402"/>
      <c r="E77" s="131" t="s">
        <v>457</v>
      </c>
      <c r="F77" s="387" t="s">
        <v>458</v>
      </c>
      <c r="G77" s="387"/>
      <c r="H77" s="387"/>
      <c r="I77" s="387"/>
      <c r="J77" s="403"/>
      <c r="K77" s="102"/>
      <c r="L77" s="102"/>
      <c r="M77" s="102"/>
      <c r="N77" s="102"/>
      <c r="O77" s="102"/>
      <c r="P77" s="102">
        <f>'【簡易水道】建設改良費の年度別事業費 '!E25</f>
        <v>3033</v>
      </c>
      <c r="Q77" s="102">
        <f>'【簡易水道】建設改良費の年度別事業費 '!F25</f>
        <v>7518</v>
      </c>
      <c r="R77" s="102">
        <f>'【簡易水道】建設改良費の年度別事業費 '!G25</f>
        <v>1518</v>
      </c>
      <c r="S77" s="102">
        <f>'【簡易水道】建設改良費の年度別事業費 '!H25</f>
        <v>6618</v>
      </c>
      <c r="T77" s="102">
        <f>'【簡易水道】建設改良費の年度別事業費 '!I25</f>
        <v>6618</v>
      </c>
      <c r="U77" s="102">
        <f>'【簡易水道】建設改良費の年度別事業費 '!J25</f>
        <v>4218</v>
      </c>
      <c r="V77" s="102">
        <f>'【簡易水道】建設改良費の年度別事業費 '!K25</f>
        <v>3618</v>
      </c>
      <c r="W77" s="102">
        <f>'【簡易水道】建設改良費の年度別事業費 '!L25</f>
        <v>3318</v>
      </c>
      <c r="X77" s="102">
        <f>'【簡易水道】建設改良費の年度別事業費 '!M25</f>
        <v>5016</v>
      </c>
      <c r="Y77" s="102">
        <f>'【簡易水道】建設改良費の年度別事業費 '!N25</f>
        <v>7306</v>
      </c>
      <c r="Z77" s="129" t="e">
        <f>[12]公共下水道事業!AE81+#REF!+[12]農業集落排水事業!AE72</f>
        <v>#REF!</v>
      </c>
      <c r="AA77" s="129" t="e">
        <f>[12]公共下水道事業!AF81+#REF!+[12]農業集落排水事業!AF72</f>
        <v>#REF!</v>
      </c>
      <c r="AB77" s="129" t="e">
        <f>[12]公共下水道事業!AG81+#REF!+[12]農業集落排水事業!AG72</f>
        <v>#REF!</v>
      </c>
      <c r="AC77" s="129" t="e">
        <f>[12]公共下水道事業!AH81+#REF!+[12]農業集落排水事業!AH72</f>
        <v>#REF!</v>
      </c>
      <c r="AD77" s="129" t="e">
        <f>[12]公共下水道事業!AI81+#REF!+[12]農業集落排水事業!AI72</f>
        <v>#REF!</v>
      </c>
      <c r="AE77" s="129" t="e">
        <f>[12]公共下水道事業!AJ81+#REF!+[12]農業集落排水事業!AJ72</f>
        <v>#REF!</v>
      </c>
      <c r="AF77" s="129" t="e">
        <f>[12]公共下水道事業!AK81+#REF!+[12]農業集落排水事業!AK72</f>
        <v>#REF!</v>
      </c>
      <c r="AG77" s="129" t="e">
        <f>[12]公共下水道事業!AL81+#REF!+[12]農業集落排水事業!AL72</f>
        <v>#REF!</v>
      </c>
      <c r="AH77" s="129" t="e">
        <f>[12]公共下水道事業!AM81+#REF!+[12]農業集落排水事業!AM72</f>
        <v>#REF!</v>
      </c>
      <c r="AI77" s="129" t="e">
        <f>[12]公共下水道事業!AN81+#REF!+[12]農業集落排水事業!AN72</f>
        <v>#REF!</v>
      </c>
      <c r="AJ77" s="129" t="e">
        <f>[12]公共下水道事業!AO81+#REF!+[12]農業集落排水事業!AO72</f>
        <v>#REF!</v>
      </c>
      <c r="AK77" s="129" t="e">
        <f>[12]公共下水道事業!AP81+#REF!+[12]農業集落排水事業!AP72</f>
        <v>#REF!</v>
      </c>
      <c r="AL77" s="129" t="e">
        <f>[12]公共下水道事業!AQ81+#REF!+[12]農業集落排水事業!AQ72</f>
        <v>#REF!</v>
      </c>
      <c r="AM77" s="129" t="e">
        <f>[12]公共下水道事業!AR81+#REF!+[12]農業集落排水事業!AR72</f>
        <v>#REF!</v>
      </c>
      <c r="AN77" s="129" t="e">
        <f>[12]公共下水道事業!AS81+#REF!+[12]農業集落排水事業!AS72</f>
        <v>#REF!</v>
      </c>
      <c r="AO77" s="129" t="e">
        <f>[12]公共下水道事業!AT81+#REF!+[12]農業集落排水事業!AT72</f>
        <v>#REF!</v>
      </c>
      <c r="AP77" s="129" t="e">
        <f>[12]公共下水道事業!AU81+#REF!+[12]農業集落排水事業!AU72</f>
        <v>#REF!</v>
      </c>
      <c r="AQ77" s="129" t="e">
        <f>[12]公共下水道事業!AV81+#REF!+[12]農業集落排水事業!AV72</f>
        <v>#REF!</v>
      </c>
      <c r="AR77" s="129" t="e">
        <f>[12]公共下水道事業!AW81+#REF!+[12]農業集落排水事業!AW72</f>
        <v>#REF!</v>
      </c>
    </row>
    <row r="78" spans="3:44" ht="16" customHeight="1" x14ac:dyDescent="0.55000000000000004">
      <c r="C78" s="384"/>
      <c r="D78" s="402"/>
      <c r="E78" s="131" t="s">
        <v>459</v>
      </c>
      <c r="F78" s="387" t="s">
        <v>396</v>
      </c>
      <c r="G78" s="387"/>
      <c r="H78" s="387"/>
      <c r="I78" s="387"/>
      <c r="J78" s="403"/>
      <c r="K78" s="102"/>
      <c r="L78" s="102"/>
      <c r="M78" s="102"/>
      <c r="N78" s="102"/>
      <c r="O78" s="102"/>
      <c r="P78" s="102"/>
      <c r="Q78" s="102"/>
      <c r="R78" s="102"/>
      <c r="S78" s="102"/>
      <c r="T78" s="102"/>
      <c r="U78" s="102"/>
      <c r="V78" s="102"/>
      <c r="W78" s="102"/>
      <c r="X78" s="102"/>
      <c r="Y78" s="102"/>
      <c r="Z78" s="129" t="e">
        <f>[12]公共下水道事業!AE82+#REF!+[12]農業集落排水事業!AE73</f>
        <v>#REF!</v>
      </c>
      <c r="AA78" s="129" t="e">
        <f>[12]公共下水道事業!AF82+#REF!+[12]農業集落排水事業!AF73</f>
        <v>#REF!</v>
      </c>
      <c r="AB78" s="129" t="e">
        <f>[12]公共下水道事業!AG82+#REF!+[12]農業集落排水事業!AG73</f>
        <v>#REF!</v>
      </c>
      <c r="AC78" s="129" t="e">
        <f>[12]公共下水道事業!AH82+#REF!+[12]農業集落排水事業!AH73</f>
        <v>#REF!</v>
      </c>
      <c r="AD78" s="129" t="e">
        <f>[12]公共下水道事業!AI82+#REF!+[12]農業集落排水事業!AI73</f>
        <v>#REF!</v>
      </c>
      <c r="AE78" s="129" t="e">
        <f>[12]公共下水道事業!AJ82+#REF!+[12]農業集落排水事業!AJ73</f>
        <v>#REF!</v>
      </c>
      <c r="AF78" s="129" t="e">
        <f>[12]公共下水道事業!AK82+#REF!+[12]農業集落排水事業!AK73</f>
        <v>#REF!</v>
      </c>
      <c r="AG78" s="129" t="e">
        <f>[12]公共下水道事業!AL82+#REF!+[12]農業集落排水事業!AL73</f>
        <v>#REF!</v>
      </c>
      <c r="AH78" s="129" t="e">
        <f>[12]公共下水道事業!AM82+#REF!+[12]農業集落排水事業!AM73</f>
        <v>#REF!</v>
      </c>
      <c r="AI78" s="129" t="e">
        <f>[12]公共下水道事業!AN82+#REF!+[12]農業集落排水事業!AN73</f>
        <v>#REF!</v>
      </c>
      <c r="AJ78" s="129" t="e">
        <f>[12]公共下水道事業!AO82+#REF!+[12]農業集落排水事業!AO73</f>
        <v>#REF!</v>
      </c>
      <c r="AK78" s="129" t="e">
        <f>[12]公共下水道事業!AP82+#REF!+[12]農業集落排水事業!AP73</f>
        <v>#REF!</v>
      </c>
      <c r="AL78" s="129" t="e">
        <f>[12]公共下水道事業!AQ82+#REF!+[12]農業集落排水事業!AQ73</f>
        <v>#REF!</v>
      </c>
      <c r="AM78" s="129" t="e">
        <f>[12]公共下水道事業!AR82+#REF!+[12]農業集落排水事業!AR73</f>
        <v>#REF!</v>
      </c>
      <c r="AN78" s="129" t="e">
        <f>[12]公共下水道事業!AS82+#REF!+[12]農業集落排水事業!AS73</f>
        <v>#REF!</v>
      </c>
      <c r="AO78" s="129" t="e">
        <f>[12]公共下水道事業!AT82+#REF!+[12]農業集落排水事業!AT73</f>
        <v>#REF!</v>
      </c>
      <c r="AP78" s="129" t="e">
        <f>[12]公共下水道事業!AU82+#REF!+[12]農業集落排水事業!AU73</f>
        <v>#REF!</v>
      </c>
      <c r="AQ78" s="129" t="e">
        <f>[12]公共下水道事業!AV82+#REF!+[12]農業集落排水事業!AV73</f>
        <v>#REF!</v>
      </c>
      <c r="AR78" s="129" t="e">
        <f>[12]公共下水道事業!AW82+#REF!+[12]農業集落排水事業!AW73</f>
        <v>#REF!</v>
      </c>
    </row>
    <row r="79" spans="3:44" ht="16" customHeight="1" x14ac:dyDescent="0.55000000000000004">
      <c r="C79" s="384"/>
      <c r="D79" s="402"/>
      <c r="E79" s="399" t="s">
        <v>460</v>
      </c>
      <c r="F79" s="400"/>
      <c r="G79" s="400"/>
      <c r="H79" s="400"/>
      <c r="I79" s="400"/>
      <c r="J79" s="96" t="s">
        <v>390</v>
      </c>
      <c r="K79" s="133"/>
      <c r="L79" s="133"/>
      <c r="M79" s="133"/>
      <c r="N79" s="133"/>
      <c r="O79" s="133"/>
      <c r="P79" s="133">
        <f>SUM(P69,P71:P78)</f>
        <v>46973</v>
      </c>
      <c r="Q79" s="133">
        <f t="shared" ref="Q79:Y79" si="26">SUM(Q69,Q71:Q78)</f>
        <v>130058</v>
      </c>
      <c r="R79" s="133">
        <f t="shared" si="26"/>
        <v>25558</v>
      </c>
      <c r="S79" s="133">
        <f t="shared" si="26"/>
        <v>115058</v>
      </c>
      <c r="T79" s="133">
        <f t="shared" si="26"/>
        <v>115058</v>
      </c>
      <c r="U79" s="133">
        <f t="shared" si="26"/>
        <v>70558</v>
      </c>
      <c r="V79" s="133">
        <f t="shared" si="26"/>
        <v>65058</v>
      </c>
      <c r="W79" s="133">
        <f t="shared" si="26"/>
        <v>60058</v>
      </c>
      <c r="X79" s="133">
        <f t="shared" si="26"/>
        <v>79856</v>
      </c>
      <c r="Y79" s="133">
        <f t="shared" si="26"/>
        <v>106546</v>
      </c>
      <c r="Z79" s="117" t="e">
        <f t="shared" ref="Z79:AR79" si="27">SUM(Z69:Z78)</f>
        <v>#REF!</v>
      </c>
      <c r="AA79" s="117" t="e">
        <f t="shared" si="27"/>
        <v>#REF!</v>
      </c>
      <c r="AB79" s="117" t="e">
        <f t="shared" si="27"/>
        <v>#REF!</v>
      </c>
      <c r="AC79" s="117" t="e">
        <f t="shared" si="27"/>
        <v>#REF!</v>
      </c>
      <c r="AD79" s="117" t="e">
        <f t="shared" si="27"/>
        <v>#REF!</v>
      </c>
      <c r="AE79" s="117" t="e">
        <f t="shared" si="27"/>
        <v>#REF!</v>
      </c>
      <c r="AF79" s="117" t="e">
        <f t="shared" si="27"/>
        <v>#REF!</v>
      </c>
      <c r="AG79" s="117" t="e">
        <f t="shared" si="27"/>
        <v>#REF!</v>
      </c>
      <c r="AH79" s="117" t="e">
        <f t="shared" si="27"/>
        <v>#REF!</v>
      </c>
      <c r="AI79" s="117" t="e">
        <f t="shared" si="27"/>
        <v>#REF!</v>
      </c>
      <c r="AJ79" s="117" t="e">
        <f t="shared" si="27"/>
        <v>#REF!</v>
      </c>
      <c r="AK79" s="117" t="e">
        <f t="shared" si="27"/>
        <v>#REF!</v>
      </c>
      <c r="AL79" s="117" t="e">
        <f t="shared" si="27"/>
        <v>#REF!</v>
      </c>
      <c r="AM79" s="117" t="e">
        <f t="shared" si="27"/>
        <v>#REF!</v>
      </c>
      <c r="AN79" s="117" t="e">
        <f t="shared" si="27"/>
        <v>#REF!</v>
      </c>
      <c r="AO79" s="117" t="e">
        <f t="shared" si="27"/>
        <v>#REF!</v>
      </c>
      <c r="AP79" s="117" t="e">
        <f t="shared" si="27"/>
        <v>#REF!</v>
      </c>
      <c r="AQ79" s="117" t="e">
        <f t="shared" si="27"/>
        <v>#REF!</v>
      </c>
      <c r="AR79" s="117" t="e">
        <f t="shared" si="27"/>
        <v>#REF!</v>
      </c>
    </row>
    <row r="80" spans="3:44" ht="16" customHeight="1" x14ac:dyDescent="0.55000000000000004">
      <c r="C80" s="384"/>
      <c r="D80" s="402"/>
      <c r="E80" s="405" t="s">
        <v>461</v>
      </c>
      <c r="F80" s="392"/>
      <c r="G80" s="392"/>
      <c r="H80" s="392"/>
      <c r="I80" s="392"/>
      <c r="J80" s="123" t="s">
        <v>462</v>
      </c>
      <c r="K80" s="102"/>
      <c r="L80" s="102"/>
      <c r="M80" s="102"/>
      <c r="N80" s="102"/>
      <c r="O80" s="102"/>
      <c r="P80" s="102">
        <f>[12]公共下水道事業!U84+[12]農業集落排水事業!U75</f>
        <v>0</v>
      </c>
      <c r="Q80" s="102">
        <f>[12]公共下水道事業!V84+[12]農業集落排水事業!V75</f>
        <v>0</v>
      </c>
      <c r="R80" s="102">
        <f>[12]公共下水道事業!W84+[12]農業集落排水事業!W75</f>
        <v>0</v>
      </c>
      <c r="S80" s="102">
        <f>[12]公共下水道事業!X84+[12]農業集落排水事業!X75</f>
        <v>0</v>
      </c>
      <c r="T80" s="102">
        <f>[12]公共下水道事業!Y84+[12]農業集落排水事業!Y75</f>
        <v>0</v>
      </c>
      <c r="U80" s="102">
        <f>[12]公共下水道事業!Z84+[12]農業集落排水事業!Z75</f>
        <v>0</v>
      </c>
      <c r="V80" s="102">
        <f>[12]公共下水道事業!AA84+[12]農業集落排水事業!AA75</f>
        <v>0</v>
      </c>
      <c r="W80" s="102">
        <f>[12]公共下水道事業!AB84+[12]農業集落排水事業!AB75</f>
        <v>0</v>
      </c>
      <c r="X80" s="102">
        <f>[12]公共下水道事業!AC84+[12]農業集落排水事業!AC75</f>
        <v>0</v>
      </c>
      <c r="Y80" s="102">
        <f>[12]公共下水道事業!AD84+[12]農業集落排水事業!AD75</f>
        <v>0</v>
      </c>
      <c r="Z80" s="129" t="e">
        <f>[12]公共下水道事業!AE84+#REF!+[12]農業集落排水事業!AE75</f>
        <v>#REF!</v>
      </c>
      <c r="AA80" s="129" t="e">
        <f>[12]公共下水道事業!AF84+#REF!+[12]農業集落排水事業!AF75</f>
        <v>#REF!</v>
      </c>
      <c r="AB80" s="129" t="e">
        <f>[12]公共下水道事業!AG84+#REF!+[12]農業集落排水事業!AG75</f>
        <v>#REF!</v>
      </c>
      <c r="AC80" s="129" t="e">
        <f>[12]公共下水道事業!AH84+#REF!+[12]農業集落排水事業!AH75</f>
        <v>#REF!</v>
      </c>
      <c r="AD80" s="129" t="e">
        <f>[12]公共下水道事業!AI84+#REF!+[12]農業集落排水事業!AI75</f>
        <v>#REF!</v>
      </c>
      <c r="AE80" s="129" t="e">
        <f>[12]公共下水道事業!AJ84+#REF!+[12]農業集落排水事業!AJ75</f>
        <v>#REF!</v>
      </c>
      <c r="AF80" s="129" t="e">
        <f>[12]公共下水道事業!AK84+#REF!+[12]農業集落排水事業!AK75</f>
        <v>#REF!</v>
      </c>
      <c r="AG80" s="129" t="e">
        <f>[12]公共下水道事業!AL84+#REF!+[12]農業集落排水事業!AL75</f>
        <v>#REF!</v>
      </c>
      <c r="AH80" s="129" t="e">
        <f>[12]公共下水道事業!AM84+#REF!+[12]農業集落排水事業!AM75</f>
        <v>#REF!</v>
      </c>
      <c r="AI80" s="129" t="e">
        <f>[12]公共下水道事業!AN84+#REF!+[12]農業集落排水事業!AN75</f>
        <v>#REF!</v>
      </c>
      <c r="AJ80" s="129" t="e">
        <f>[12]公共下水道事業!AO84+#REF!+[12]農業集落排水事業!AO75</f>
        <v>#REF!</v>
      </c>
      <c r="AK80" s="129" t="e">
        <f>[12]公共下水道事業!AP84+#REF!+[12]農業集落排水事業!AP75</f>
        <v>#REF!</v>
      </c>
      <c r="AL80" s="129" t="e">
        <f>[12]公共下水道事業!AQ84+#REF!+[12]農業集落排水事業!AQ75</f>
        <v>#REF!</v>
      </c>
      <c r="AM80" s="129" t="e">
        <f>[12]公共下水道事業!AR84+#REF!+[12]農業集落排水事業!AR75</f>
        <v>#REF!</v>
      </c>
      <c r="AN80" s="129" t="e">
        <f>[12]公共下水道事業!AS84+#REF!+[12]農業集落排水事業!AS75</f>
        <v>#REF!</v>
      </c>
      <c r="AO80" s="129" t="e">
        <f>[12]公共下水道事業!AT84+#REF!+[12]農業集落排水事業!AT75</f>
        <v>#REF!</v>
      </c>
      <c r="AP80" s="129" t="e">
        <f>[12]公共下水道事業!AU84+#REF!+[12]農業集落排水事業!AU75</f>
        <v>#REF!</v>
      </c>
      <c r="AQ80" s="129" t="e">
        <f>[12]公共下水道事業!AV84+#REF!+[12]農業集落排水事業!AV75</f>
        <v>#REF!</v>
      </c>
      <c r="AR80" s="129" t="e">
        <f>[12]公共下水道事業!AW84+#REF!+[12]農業集落排水事業!AW75</f>
        <v>#REF!</v>
      </c>
    </row>
    <row r="81" spans="3:44" ht="16" customHeight="1" x14ac:dyDescent="0.55000000000000004">
      <c r="C81" s="384"/>
      <c r="D81" s="402"/>
      <c r="E81" s="134"/>
      <c r="F81" s="406" t="s">
        <v>463</v>
      </c>
      <c r="G81" s="406"/>
      <c r="H81" s="407" t="s">
        <v>464</v>
      </c>
      <c r="I81" s="407"/>
      <c r="J81" s="135" t="s">
        <v>406</v>
      </c>
      <c r="K81" s="136"/>
      <c r="L81" s="136"/>
      <c r="M81" s="136"/>
      <c r="N81" s="136"/>
      <c r="O81" s="136"/>
      <c r="P81" s="136">
        <f t="shared" ref="P81:AR81" si="28">P79-P80</f>
        <v>46973</v>
      </c>
      <c r="Q81" s="136">
        <f t="shared" si="28"/>
        <v>130058</v>
      </c>
      <c r="R81" s="136">
        <f t="shared" si="28"/>
        <v>25558</v>
      </c>
      <c r="S81" s="136">
        <f t="shared" si="28"/>
        <v>115058</v>
      </c>
      <c r="T81" s="136">
        <f t="shared" si="28"/>
        <v>115058</v>
      </c>
      <c r="U81" s="136">
        <f t="shared" si="28"/>
        <v>70558</v>
      </c>
      <c r="V81" s="136">
        <f t="shared" si="28"/>
        <v>65058</v>
      </c>
      <c r="W81" s="136">
        <f t="shared" si="28"/>
        <v>60058</v>
      </c>
      <c r="X81" s="136">
        <f t="shared" si="28"/>
        <v>79856</v>
      </c>
      <c r="Y81" s="136">
        <f t="shared" si="28"/>
        <v>106546</v>
      </c>
      <c r="Z81" s="98" t="e">
        <f t="shared" si="28"/>
        <v>#REF!</v>
      </c>
      <c r="AA81" s="98" t="e">
        <f t="shared" si="28"/>
        <v>#REF!</v>
      </c>
      <c r="AB81" s="98" t="e">
        <f t="shared" si="28"/>
        <v>#REF!</v>
      </c>
      <c r="AC81" s="98" t="e">
        <f t="shared" si="28"/>
        <v>#REF!</v>
      </c>
      <c r="AD81" s="98" t="e">
        <f t="shared" si="28"/>
        <v>#REF!</v>
      </c>
      <c r="AE81" s="98" t="e">
        <f t="shared" si="28"/>
        <v>#REF!</v>
      </c>
      <c r="AF81" s="98" t="e">
        <f t="shared" si="28"/>
        <v>#REF!</v>
      </c>
      <c r="AG81" s="98" t="e">
        <f t="shared" si="28"/>
        <v>#REF!</v>
      </c>
      <c r="AH81" s="98" t="e">
        <f t="shared" si="28"/>
        <v>#REF!</v>
      </c>
      <c r="AI81" s="98" t="e">
        <f t="shared" si="28"/>
        <v>#REF!</v>
      </c>
      <c r="AJ81" s="98" t="e">
        <f t="shared" si="28"/>
        <v>#REF!</v>
      </c>
      <c r="AK81" s="98" t="e">
        <f t="shared" si="28"/>
        <v>#REF!</v>
      </c>
      <c r="AL81" s="98" t="e">
        <f t="shared" si="28"/>
        <v>#REF!</v>
      </c>
      <c r="AM81" s="98" t="e">
        <f t="shared" si="28"/>
        <v>#REF!</v>
      </c>
      <c r="AN81" s="98" t="e">
        <f t="shared" si="28"/>
        <v>#REF!</v>
      </c>
      <c r="AO81" s="98" t="e">
        <f t="shared" si="28"/>
        <v>#REF!</v>
      </c>
      <c r="AP81" s="98" t="e">
        <f t="shared" si="28"/>
        <v>#REF!</v>
      </c>
      <c r="AQ81" s="98" t="e">
        <f t="shared" si="28"/>
        <v>#REF!</v>
      </c>
      <c r="AR81" s="98" t="e">
        <f t="shared" si="28"/>
        <v>#REF!</v>
      </c>
    </row>
    <row r="82" spans="3:44" ht="16" customHeight="1" x14ac:dyDescent="0.55000000000000004">
      <c r="C82" s="384"/>
      <c r="D82" s="383" t="s">
        <v>465</v>
      </c>
      <c r="E82" s="128" t="s">
        <v>388</v>
      </c>
      <c r="F82" s="389" t="s">
        <v>466</v>
      </c>
      <c r="G82" s="389"/>
      <c r="H82" s="389"/>
      <c r="I82" s="426"/>
      <c r="J82" s="404"/>
      <c r="K82" s="137"/>
      <c r="L82" s="137"/>
      <c r="M82" s="137"/>
      <c r="N82" s="137"/>
      <c r="O82" s="137"/>
      <c r="P82" s="102">
        <f>'【簡易水道】建設改良費の年度別事業費 '!E6+'【簡易水道】建設改良費の年度別事業費 '!E8</f>
        <v>50550</v>
      </c>
      <c r="Q82" s="102">
        <f>'【簡易水道】建設改良費の年度別事業費 '!F6+'【簡易水道】建設改良費の年度別事業費 '!F8</f>
        <v>125300</v>
      </c>
      <c r="R82" s="102">
        <f>'【簡易水道】建設改良費の年度別事業費 '!G6+'【簡易水道】建設改良費の年度別事業費 '!G8</f>
        <v>25300</v>
      </c>
      <c r="S82" s="102">
        <f>'【簡易水道】建設改良費の年度別事業費 '!H6+'【簡易水道】建設改良費の年度別事業費 '!H8</f>
        <v>110300</v>
      </c>
      <c r="T82" s="102">
        <f>'【簡易水道】建設改良費の年度別事業費 '!I6+'【簡易水道】建設改良費の年度別事業費 '!I8</f>
        <v>110300</v>
      </c>
      <c r="U82" s="102">
        <f>'【簡易水道】建設改良費の年度別事業費 '!J6+'【簡易水道】建設改良費の年度別事業費 '!J8</f>
        <v>70300</v>
      </c>
      <c r="V82" s="102">
        <f>'【簡易水道】建設改良費の年度別事業費 '!K6+'【簡易水道】建設改良費の年度別事業費 '!K8</f>
        <v>60300</v>
      </c>
      <c r="W82" s="102">
        <f>'【簡易水道】建設改良費の年度別事業費 '!L6+'【簡易水道】建設改良費の年度別事業費 '!L8</f>
        <v>55300</v>
      </c>
      <c r="X82" s="102">
        <f>'【簡易水道】建設改良費の年度別事業費 '!M6+'【簡易水道】建設改良費の年度別事業費 '!M8</f>
        <v>83600</v>
      </c>
      <c r="Y82" s="102">
        <f>'【簡易水道】建設改良費の年度別事業費 '!N6+'【簡易水道】建設改良費の年度別事業費 '!N8</f>
        <v>121770</v>
      </c>
      <c r="Z82" s="129" t="e">
        <f>[12]公共下水道事業!AE86+#REF!+[12]農業集落排水事業!AE77</f>
        <v>#REF!</v>
      </c>
      <c r="AA82" s="129" t="e">
        <f>[12]公共下水道事業!AF86+#REF!+[12]農業集落排水事業!AF77</f>
        <v>#REF!</v>
      </c>
      <c r="AB82" s="129" t="e">
        <f>[12]公共下水道事業!AG86+#REF!+[12]農業集落排水事業!AG77</f>
        <v>#REF!</v>
      </c>
      <c r="AC82" s="129" t="e">
        <f>[12]公共下水道事業!AH86+#REF!+[12]農業集落排水事業!AH77</f>
        <v>#REF!</v>
      </c>
      <c r="AD82" s="129" t="e">
        <f>[12]公共下水道事業!AI86+#REF!+[12]農業集落排水事業!AI77</f>
        <v>#REF!</v>
      </c>
      <c r="AE82" s="129" t="e">
        <f>[12]公共下水道事業!AJ86+#REF!+[12]農業集落排水事業!AJ77</f>
        <v>#REF!</v>
      </c>
      <c r="AF82" s="129" t="e">
        <f>[12]公共下水道事業!AK86+#REF!+[12]農業集落排水事業!AK77</f>
        <v>#REF!</v>
      </c>
      <c r="AG82" s="129" t="e">
        <f>[12]公共下水道事業!AL86+#REF!+[12]農業集落排水事業!AL77</f>
        <v>#REF!</v>
      </c>
      <c r="AH82" s="129" t="e">
        <f>[12]公共下水道事業!AM86+#REF!+[12]農業集落排水事業!AM77</f>
        <v>#REF!</v>
      </c>
      <c r="AI82" s="129" t="e">
        <f>[12]公共下水道事業!AN86+#REF!+[12]農業集落排水事業!AN77</f>
        <v>#REF!</v>
      </c>
      <c r="AJ82" s="129" t="e">
        <f>[12]公共下水道事業!AO86+#REF!+[12]農業集落排水事業!AO77</f>
        <v>#REF!</v>
      </c>
      <c r="AK82" s="129" t="e">
        <f>[12]公共下水道事業!AP86+#REF!+[12]農業集落排水事業!AP77</f>
        <v>#REF!</v>
      </c>
      <c r="AL82" s="129" t="e">
        <f>[12]公共下水道事業!AQ86+#REF!+[12]農業集落排水事業!AQ77</f>
        <v>#REF!</v>
      </c>
      <c r="AM82" s="129" t="e">
        <f>[12]公共下水道事業!AR86+#REF!+[12]農業集落排水事業!AR77</f>
        <v>#REF!</v>
      </c>
      <c r="AN82" s="129" t="e">
        <f>[12]公共下水道事業!AS86+#REF!+[12]農業集落排水事業!AS77</f>
        <v>#REF!</v>
      </c>
      <c r="AO82" s="129" t="e">
        <f>[12]公共下水道事業!AT86+#REF!+[12]農業集落排水事業!AT77</f>
        <v>#REF!</v>
      </c>
      <c r="AP82" s="129" t="e">
        <f>[12]公共下水道事業!AU86+#REF!+[12]農業集落排水事業!AU77</f>
        <v>#REF!</v>
      </c>
      <c r="AQ82" s="129" t="e">
        <f>[12]公共下水道事業!AV86+#REF!+[12]農業集落排水事業!AV77</f>
        <v>#REF!</v>
      </c>
      <c r="AR82" s="129" t="e">
        <f>[12]公共下水道事業!AW86+#REF!+[12]農業集落排水事業!AW77</f>
        <v>#REF!</v>
      </c>
    </row>
    <row r="83" spans="3:44" ht="16" customHeight="1" x14ac:dyDescent="0.55000000000000004">
      <c r="C83" s="384"/>
      <c r="D83" s="384"/>
      <c r="E83" s="138"/>
      <c r="F83" s="391" t="s">
        <v>467</v>
      </c>
      <c r="G83" s="387"/>
      <c r="H83" s="387"/>
      <c r="I83" s="408"/>
      <c r="J83" s="403"/>
      <c r="K83" s="137"/>
      <c r="L83" s="137"/>
      <c r="M83" s="137"/>
      <c r="N83" s="137"/>
      <c r="O83" s="137"/>
      <c r="P83" s="137"/>
      <c r="Q83" s="137"/>
      <c r="R83" s="137"/>
      <c r="S83" s="137"/>
      <c r="T83" s="137"/>
      <c r="U83" s="137"/>
      <c r="V83" s="137"/>
      <c r="W83" s="137"/>
      <c r="X83" s="137"/>
      <c r="Y83" s="137"/>
      <c r="Z83" s="129" t="e">
        <f>[12]公共下水道事業!AE87+#REF!+[12]農業集落排水事業!AE78</f>
        <v>#REF!</v>
      </c>
      <c r="AA83" s="129" t="e">
        <f>[12]公共下水道事業!AF87+#REF!+[12]農業集落排水事業!AF78</f>
        <v>#REF!</v>
      </c>
      <c r="AB83" s="129" t="e">
        <f>[12]公共下水道事業!AG87+#REF!+[12]農業集落排水事業!AG78</f>
        <v>#REF!</v>
      </c>
      <c r="AC83" s="129" t="e">
        <f>[12]公共下水道事業!AH87+#REF!+[12]農業集落排水事業!AH78</f>
        <v>#REF!</v>
      </c>
      <c r="AD83" s="129" t="e">
        <f>[12]公共下水道事業!AI87+#REF!+[12]農業集落排水事業!AI78</f>
        <v>#REF!</v>
      </c>
      <c r="AE83" s="129" t="e">
        <f>[12]公共下水道事業!AJ87+#REF!+[12]農業集落排水事業!AJ78</f>
        <v>#REF!</v>
      </c>
      <c r="AF83" s="129" t="e">
        <f>[12]公共下水道事業!AK87+#REF!+[12]農業集落排水事業!AK78</f>
        <v>#REF!</v>
      </c>
      <c r="AG83" s="129" t="e">
        <f>[12]公共下水道事業!AL87+#REF!+[12]農業集落排水事業!AL78</f>
        <v>#REF!</v>
      </c>
      <c r="AH83" s="129" t="e">
        <f>[12]公共下水道事業!AM87+#REF!+[12]農業集落排水事業!AM78</f>
        <v>#REF!</v>
      </c>
      <c r="AI83" s="129" t="e">
        <f>[12]公共下水道事業!AN87+#REF!+[12]農業集落排水事業!AN78</f>
        <v>#REF!</v>
      </c>
      <c r="AJ83" s="129" t="e">
        <f>[12]公共下水道事業!AO87+#REF!+[12]農業集落排水事業!AO78</f>
        <v>#REF!</v>
      </c>
      <c r="AK83" s="129" t="e">
        <f>[12]公共下水道事業!AP87+#REF!+[12]農業集落排水事業!AP78</f>
        <v>#REF!</v>
      </c>
      <c r="AL83" s="129" t="e">
        <f>[12]公共下水道事業!AQ87+#REF!+[12]農業集落排水事業!AQ78</f>
        <v>#REF!</v>
      </c>
      <c r="AM83" s="129" t="e">
        <f>[12]公共下水道事業!AR87+#REF!+[12]農業集落排水事業!AR78</f>
        <v>#REF!</v>
      </c>
      <c r="AN83" s="129" t="e">
        <f>[12]公共下水道事業!AS87+#REF!+[12]農業集落排水事業!AS78</f>
        <v>#REF!</v>
      </c>
      <c r="AO83" s="129" t="e">
        <f>[12]公共下水道事業!AT87+#REF!+[12]農業集落排水事業!AT78</f>
        <v>#REF!</v>
      </c>
      <c r="AP83" s="129" t="e">
        <f>[12]公共下水道事業!AU87+#REF!+[12]農業集落排水事業!AU78</f>
        <v>#REF!</v>
      </c>
      <c r="AQ83" s="129" t="e">
        <f>[12]公共下水道事業!AV87+#REF!+[12]農業集落排水事業!AV78</f>
        <v>#REF!</v>
      </c>
      <c r="AR83" s="129" t="e">
        <f>[12]公共下水道事業!AW87+#REF!+[12]農業集落排水事業!AW78</f>
        <v>#REF!</v>
      </c>
    </row>
    <row r="84" spans="3:44" ht="16" customHeight="1" x14ac:dyDescent="0.55000000000000004">
      <c r="C84" s="384"/>
      <c r="D84" s="384"/>
      <c r="E84" s="131" t="s">
        <v>397</v>
      </c>
      <c r="F84" s="387" t="s">
        <v>468</v>
      </c>
      <c r="G84" s="387"/>
      <c r="H84" s="387"/>
      <c r="I84" s="408"/>
      <c r="J84" s="403"/>
      <c r="K84" s="102"/>
      <c r="L84" s="102"/>
      <c r="M84" s="102"/>
      <c r="N84" s="102"/>
      <c r="O84" s="102"/>
      <c r="P84" s="102">
        <v>12859</v>
      </c>
      <c r="Q84" s="102">
        <v>12659</v>
      </c>
      <c r="R84" s="102">
        <v>12753</v>
      </c>
      <c r="S84" s="102">
        <v>15521</v>
      </c>
      <c r="T84" s="102">
        <v>26914</v>
      </c>
      <c r="U84" s="102">
        <v>22908</v>
      </c>
      <c r="V84" s="102">
        <v>22851</v>
      </c>
      <c r="W84" s="102">
        <v>20847</v>
      </c>
      <c r="X84" s="102">
        <v>21521</v>
      </c>
      <c r="Y84" s="102">
        <v>27593</v>
      </c>
      <c r="Z84" s="129">
        <v>8703</v>
      </c>
      <c r="AA84" s="129" t="e">
        <f>[12]公共下水道事業!AF88+#REF!+[12]農業集落排水事業!AF79</f>
        <v>#REF!</v>
      </c>
      <c r="AB84" s="129" t="e">
        <f>[12]公共下水道事業!AG88+#REF!+[12]農業集落排水事業!AG79</f>
        <v>#REF!</v>
      </c>
      <c r="AC84" s="129" t="e">
        <f>[12]公共下水道事業!AH88+#REF!+[12]農業集落排水事業!AH79</f>
        <v>#REF!</v>
      </c>
      <c r="AD84" s="129" t="e">
        <f>[12]公共下水道事業!AI88+#REF!+[12]農業集落排水事業!AI79</f>
        <v>#REF!</v>
      </c>
      <c r="AE84" s="129" t="e">
        <f>[12]公共下水道事業!AJ88+#REF!+[12]農業集落排水事業!AJ79</f>
        <v>#REF!</v>
      </c>
      <c r="AF84" s="129" t="e">
        <f>[12]公共下水道事業!AK88+#REF!+[12]農業集落排水事業!AK79</f>
        <v>#REF!</v>
      </c>
      <c r="AG84" s="129" t="e">
        <f>[12]公共下水道事業!AL88+#REF!+[12]農業集落排水事業!AL79</f>
        <v>#REF!</v>
      </c>
      <c r="AH84" s="129" t="e">
        <f>[12]公共下水道事業!AM88+#REF!+[12]農業集落排水事業!AM79</f>
        <v>#REF!</v>
      </c>
      <c r="AI84" s="129" t="e">
        <f>[12]公共下水道事業!AN88+#REF!+[12]農業集落排水事業!AN79</f>
        <v>#REF!</v>
      </c>
      <c r="AJ84" s="129" t="e">
        <f>[12]公共下水道事業!AO88+#REF!+[12]農業集落排水事業!AO79</f>
        <v>#REF!</v>
      </c>
      <c r="AK84" s="129" t="e">
        <f>[12]公共下水道事業!AP88+#REF!+[12]農業集落排水事業!AP79</f>
        <v>#REF!</v>
      </c>
      <c r="AL84" s="129" t="e">
        <f>[12]公共下水道事業!AQ88+#REF!+[12]農業集落排水事業!AQ79</f>
        <v>#REF!</v>
      </c>
      <c r="AM84" s="129" t="e">
        <f>[12]公共下水道事業!AR88+#REF!+[12]農業集落排水事業!AR79</f>
        <v>#REF!</v>
      </c>
      <c r="AN84" s="129" t="e">
        <f>[12]公共下水道事業!AS88+#REF!+[12]農業集落排水事業!AS79</f>
        <v>#REF!</v>
      </c>
      <c r="AO84" s="129" t="e">
        <f>[12]公共下水道事業!AT88+#REF!+[12]農業集落排水事業!AT79</f>
        <v>#REF!</v>
      </c>
      <c r="AP84" s="129" t="e">
        <f>[12]公共下水道事業!AU88+#REF!+[12]農業集落排水事業!AU79</f>
        <v>#REF!</v>
      </c>
      <c r="AQ84" s="129" t="e">
        <f>[12]公共下水道事業!AV88+#REF!+[12]農業集落排水事業!AV79</f>
        <v>#REF!</v>
      </c>
      <c r="AR84" s="129" t="e">
        <f>[12]公共下水道事業!AW88+#REF!+[12]農業集落排水事業!AW79</f>
        <v>#REF!</v>
      </c>
    </row>
    <row r="85" spans="3:44" ht="16" customHeight="1" x14ac:dyDescent="0.55000000000000004">
      <c r="C85" s="384"/>
      <c r="D85" s="384"/>
      <c r="E85" s="131" t="s">
        <v>469</v>
      </c>
      <c r="F85" s="387" t="s">
        <v>470</v>
      </c>
      <c r="G85" s="387"/>
      <c r="H85" s="387"/>
      <c r="I85" s="408"/>
      <c r="J85" s="403"/>
      <c r="K85" s="102"/>
      <c r="L85" s="102"/>
      <c r="M85" s="102"/>
      <c r="N85" s="102"/>
      <c r="O85" s="102"/>
      <c r="P85" s="102"/>
      <c r="Q85" s="102"/>
      <c r="R85" s="102"/>
      <c r="S85" s="102"/>
      <c r="T85" s="102"/>
      <c r="U85" s="102"/>
      <c r="V85" s="102"/>
      <c r="W85" s="102"/>
      <c r="X85" s="102"/>
      <c r="Y85" s="102"/>
      <c r="Z85" s="129" t="e">
        <f>[12]公共下水道事業!AE89+#REF!+[12]農業集落排水事業!AE80</f>
        <v>#REF!</v>
      </c>
      <c r="AA85" s="129" t="e">
        <f>[12]公共下水道事業!AF89+#REF!+[12]農業集落排水事業!AF80</f>
        <v>#REF!</v>
      </c>
      <c r="AB85" s="129" t="e">
        <f>[12]公共下水道事業!AG89+#REF!+[12]農業集落排水事業!AG80</f>
        <v>#REF!</v>
      </c>
      <c r="AC85" s="129" t="e">
        <f>[12]公共下水道事業!AH89+#REF!+[12]農業集落排水事業!AH80</f>
        <v>#REF!</v>
      </c>
      <c r="AD85" s="129" t="e">
        <f>[12]公共下水道事業!AI89+#REF!+[12]農業集落排水事業!AI80</f>
        <v>#REF!</v>
      </c>
      <c r="AE85" s="129" t="e">
        <f>[12]公共下水道事業!AJ89+#REF!+[12]農業集落排水事業!AJ80</f>
        <v>#REF!</v>
      </c>
      <c r="AF85" s="129" t="e">
        <f>[12]公共下水道事業!AK89+#REF!+[12]農業集落排水事業!AK80</f>
        <v>#REF!</v>
      </c>
      <c r="AG85" s="129" t="e">
        <f>[12]公共下水道事業!AL89+#REF!+[12]農業集落排水事業!AL80</f>
        <v>#REF!</v>
      </c>
      <c r="AH85" s="129" t="e">
        <f>[12]公共下水道事業!AM89+#REF!+[12]農業集落排水事業!AM80</f>
        <v>#REF!</v>
      </c>
      <c r="AI85" s="129" t="e">
        <f>[12]公共下水道事業!AN89+#REF!+[12]農業集落排水事業!AN80</f>
        <v>#REF!</v>
      </c>
      <c r="AJ85" s="129" t="e">
        <f>[12]公共下水道事業!AO89+#REF!+[12]農業集落排水事業!AO80</f>
        <v>#REF!</v>
      </c>
      <c r="AK85" s="129" t="e">
        <f>[12]公共下水道事業!AP89+#REF!+[12]農業集落排水事業!AP80</f>
        <v>#REF!</v>
      </c>
      <c r="AL85" s="129" t="e">
        <f>[12]公共下水道事業!AQ89+#REF!+[12]農業集落排水事業!AQ80</f>
        <v>#REF!</v>
      </c>
      <c r="AM85" s="129" t="e">
        <f>[12]公共下水道事業!AR89+#REF!+[12]農業集落排水事業!AR80</f>
        <v>#REF!</v>
      </c>
      <c r="AN85" s="129" t="e">
        <f>[12]公共下水道事業!AS89+#REF!+[12]農業集落排水事業!AS80</f>
        <v>#REF!</v>
      </c>
      <c r="AO85" s="129" t="e">
        <f>[12]公共下水道事業!AT89+#REF!+[12]農業集落排水事業!AT80</f>
        <v>#REF!</v>
      </c>
      <c r="AP85" s="129" t="e">
        <f>[12]公共下水道事業!AU89+#REF!+[12]農業集落排水事業!AU80</f>
        <v>#REF!</v>
      </c>
      <c r="AQ85" s="129" t="e">
        <f>[12]公共下水道事業!AV89+#REF!+[12]農業集落排水事業!AV80</f>
        <v>#REF!</v>
      </c>
      <c r="AR85" s="129" t="e">
        <f>[12]公共下水道事業!AW89+#REF!+[12]農業集落排水事業!AW80</f>
        <v>#REF!</v>
      </c>
    </row>
    <row r="86" spans="3:44" ht="16" customHeight="1" x14ac:dyDescent="0.55000000000000004">
      <c r="C86" s="384"/>
      <c r="D86" s="384"/>
      <c r="E86" s="131" t="s">
        <v>471</v>
      </c>
      <c r="F86" s="387" t="s">
        <v>472</v>
      </c>
      <c r="G86" s="387"/>
      <c r="H86" s="387"/>
      <c r="I86" s="408"/>
      <c r="J86" s="403"/>
      <c r="K86" s="102"/>
      <c r="L86" s="102"/>
      <c r="M86" s="102"/>
      <c r="N86" s="102"/>
      <c r="O86" s="102"/>
      <c r="P86" s="102"/>
      <c r="Q86" s="102"/>
      <c r="R86" s="102"/>
      <c r="S86" s="102"/>
      <c r="T86" s="102"/>
      <c r="U86" s="102"/>
      <c r="V86" s="102"/>
      <c r="W86" s="102"/>
      <c r="X86" s="102"/>
      <c r="Y86" s="102"/>
      <c r="Z86" s="129" t="e">
        <f>[12]公共下水道事業!AE90+#REF!+[12]農業集落排水事業!AE81</f>
        <v>#REF!</v>
      </c>
      <c r="AA86" s="129" t="e">
        <f>[12]公共下水道事業!AF90+#REF!+[12]農業集落排水事業!AF81</f>
        <v>#REF!</v>
      </c>
      <c r="AB86" s="129" t="e">
        <f>[12]公共下水道事業!AG90+#REF!+[12]農業集落排水事業!AG81</f>
        <v>#REF!</v>
      </c>
      <c r="AC86" s="129" t="e">
        <f>[12]公共下水道事業!AH90+#REF!+[12]農業集落排水事業!AH81</f>
        <v>#REF!</v>
      </c>
      <c r="AD86" s="129" t="e">
        <f>[12]公共下水道事業!AI90+#REF!+[12]農業集落排水事業!AI81</f>
        <v>#REF!</v>
      </c>
      <c r="AE86" s="129" t="e">
        <f>[12]公共下水道事業!AJ90+#REF!+[12]農業集落排水事業!AJ81</f>
        <v>#REF!</v>
      </c>
      <c r="AF86" s="129" t="e">
        <f>[12]公共下水道事業!AK90+#REF!+[12]農業集落排水事業!AK81</f>
        <v>#REF!</v>
      </c>
      <c r="AG86" s="129" t="e">
        <f>[12]公共下水道事業!AL90+#REF!+[12]農業集落排水事業!AL81</f>
        <v>#REF!</v>
      </c>
      <c r="AH86" s="129" t="e">
        <f>[12]公共下水道事業!AM90+#REF!+[12]農業集落排水事業!AM81</f>
        <v>#REF!</v>
      </c>
      <c r="AI86" s="129" t="e">
        <f>[12]公共下水道事業!AN90+#REF!+[12]農業集落排水事業!AN81</f>
        <v>#REF!</v>
      </c>
      <c r="AJ86" s="129" t="e">
        <f>[12]公共下水道事業!AO90+#REF!+[12]農業集落排水事業!AO81</f>
        <v>#REF!</v>
      </c>
      <c r="AK86" s="129" t="e">
        <f>[12]公共下水道事業!AP90+#REF!+[12]農業集落排水事業!AP81</f>
        <v>#REF!</v>
      </c>
      <c r="AL86" s="129" t="e">
        <f>[12]公共下水道事業!AQ90+#REF!+[12]農業集落排水事業!AQ81</f>
        <v>#REF!</v>
      </c>
      <c r="AM86" s="129" t="e">
        <f>[12]公共下水道事業!AR90+#REF!+[12]農業集落排水事業!AR81</f>
        <v>#REF!</v>
      </c>
      <c r="AN86" s="129" t="e">
        <f>[12]公共下水道事業!AS90+#REF!+[12]農業集落排水事業!AS81</f>
        <v>#REF!</v>
      </c>
      <c r="AO86" s="129" t="e">
        <f>[12]公共下水道事業!AT90+#REF!+[12]農業集落排水事業!AT81</f>
        <v>#REF!</v>
      </c>
      <c r="AP86" s="129" t="e">
        <f>[12]公共下水道事業!AU90+#REF!+[12]農業集落排水事業!AU81</f>
        <v>#REF!</v>
      </c>
      <c r="AQ86" s="129" t="e">
        <f>[12]公共下水道事業!AV90+#REF!+[12]農業集落排水事業!AV81</f>
        <v>#REF!</v>
      </c>
      <c r="AR86" s="129" t="e">
        <f>[12]公共下水道事業!AW90+#REF!+[12]農業集落排水事業!AW81</f>
        <v>#REF!</v>
      </c>
    </row>
    <row r="87" spans="3:44" ht="16" customHeight="1" x14ac:dyDescent="0.55000000000000004">
      <c r="C87" s="384"/>
      <c r="D87" s="384"/>
      <c r="E87" s="131" t="s">
        <v>473</v>
      </c>
      <c r="F87" s="387" t="s">
        <v>396</v>
      </c>
      <c r="G87" s="387"/>
      <c r="H87" s="387"/>
      <c r="I87" s="408"/>
      <c r="J87" s="403"/>
      <c r="K87" s="102"/>
      <c r="L87" s="102"/>
      <c r="M87" s="102"/>
      <c r="N87" s="102"/>
      <c r="O87" s="102"/>
      <c r="P87" s="102"/>
      <c r="Q87" s="102"/>
      <c r="R87" s="102"/>
      <c r="S87" s="102"/>
      <c r="T87" s="102"/>
      <c r="U87" s="102"/>
      <c r="V87" s="102"/>
      <c r="W87" s="102"/>
      <c r="X87" s="102"/>
      <c r="Y87" s="102"/>
      <c r="Z87" s="129" t="e">
        <f>[12]公共下水道事業!AE91+#REF!+[12]農業集落排水事業!AE82</f>
        <v>#REF!</v>
      </c>
      <c r="AA87" s="129" t="e">
        <f>[12]公共下水道事業!AF91+#REF!+[12]農業集落排水事業!AF82</f>
        <v>#REF!</v>
      </c>
      <c r="AB87" s="129" t="e">
        <f>[12]公共下水道事業!AG91+#REF!+[12]農業集落排水事業!AG82</f>
        <v>#REF!</v>
      </c>
      <c r="AC87" s="129" t="e">
        <f>[12]公共下水道事業!AH91+#REF!+[12]農業集落排水事業!AH82</f>
        <v>#REF!</v>
      </c>
      <c r="AD87" s="129" t="e">
        <f>[12]公共下水道事業!AI91+#REF!+[12]農業集落排水事業!AI82</f>
        <v>#REF!</v>
      </c>
      <c r="AE87" s="129" t="e">
        <f>[12]公共下水道事業!AJ91+#REF!+[12]農業集落排水事業!AJ82</f>
        <v>#REF!</v>
      </c>
      <c r="AF87" s="129" t="e">
        <f>[12]公共下水道事業!AK91+#REF!+[12]農業集落排水事業!AK82</f>
        <v>#REF!</v>
      </c>
      <c r="AG87" s="129" t="e">
        <f>[12]公共下水道事業!AL91+#REF!+[12]農業集落排水事業!AL82</f>
        <v>#REF!</v>
      </c>
      <c r="AH87" s="129" t="e">
        <f>[12]公共下水道事業!AM91+#REF!+[12]農業集落排水事業!AM82</f>
        <v>#REF!</v>
      </c>
      <c r="AI87" s="129" t="e">
        <f>[12]公共下水道事業!AN91+#REF!+[12]農業集落排水事業!AN82</f>
        <v>#REF!</v>
      </c>
      <c r="AJ87" s="129" t="e">
        <f>[12]公共下水道事業!AO91+#REF!+[12]農業集落排水事業!AO82</f>
        <v>#REF!</v>
      </c>
      <c r="AK87" s="129" t="e">
        <f>[12]公共下水道事業!AP91+#REF!+[12]農業集落排水事業!AP82</f>
        <v>#REF!</v>
      </c>
      <c r="AL87" s="129" t="e">
        <f>[12]公共下水道事業!AQ91+#REF!+[12]農業集落排水事業!AQ82</f>
        <v>#REF!</v>
      </c>
      <c r="AM87" s="129" t="e">
        <f>[12]公共下水道事業!AR91+#REF!+[12]農業集落排水事業!AR82</f>
        <v>#REF!</v>
      </c>
      <c r="AN87" s="129" t="e">
        <f>[12]公共下水道事業!AS91+#REF!+[12]農業集落排水事業!AS82</f>
        <v>#REF!</v>
      </c>
      <c r="AO87" s="129" t="e">
        <f>[12]公共下水道事業!AT91+#REF!+[12]農業集落排水事業!AT82</f>
        <v>#REF!</v>
      </c>
      <c r="AP87" s="129" t="e">
        <f>[12]公共下水道事業!AU91+#REF!+[12]農業集落排水事業!AU82</f>
        <v>#REF!</v>
      </c>
      <c r="AQ87" s="129" t="e">
        <f>[12]公共下水道事業!AV91+#REF!+[12]農業集落排水事業!AV82</f>
        <v>#REF!</v>
      </c>
      <c r="AR87" s="129" t="e">
        <f>[12]公共下水道事業!AW91+#REF!+[12]農業集落排水事業!AW82</f>
        <v>#REF!</v>
      </c>
    </row>
    <row r="88" spans="3:44" ht="16" customHeight="1" x14ac:dyDescent="0.55000000000000004">
      <c r="C88" s="385"/>
      <c r="D88" s="385"/>
      <c r="E88" s="410" t="s">
        <v>460</v>
      </c>
      <c r="F88" s="411"/>
      <c r="G88" s="411"/>
      <c r="H88" s="411"/>
      <c r="I88" s="411"/>
      <c r="J88" s="139" t="s">
        <v>422</v>
      </c>
      <c r="K88" s="136"/>
      <c r="L88" s="136"/>
      <c r="M88" s="136"/>
      <c r="N88" s="136"/>
      <c r="O88" s="136"/>
      <c r="P88" s="136">
        <f t="shared" ref="P88:AR88" si="29">SUM(P84:P87)+P82</f>
        <v>63409</v>
      </c>
      <c r="Q88" s="136">
        <f t="shared" si="29"/>
        <v>137959</v>
      </c>
      <c r="R88" s="136">
        <f t="shared" si="29"/>
        <v>38053</v>
      </c>
      <c r="S88" s="136">
        <f t="shared" si="29"/>
        <v>125821</v>
      </c>
      <c r="T88" s="136">
        <f t="shared" si="29"/>
        <v>137214</v>
      </c>
      <c r="U88" s="136">
        <f t="shared" si="29"/>
        <v>93208</v>
      </c>
      <c r="V88" s="136">
        <f t="shared" si="29"/>
        <v>83151</v>
      </c>
      <c r="W88" s="136">
        <f t="shared" si="29"/>
        <v>76147</v>
      </c>
      <c r="X88" s="136">
        <f t="shared" si="29"/>
        <v>105121</v>
      </c>
      <c r="Y88" s="136">
        <f t="shared" si="29"/>
        <v>149363</v>
      </c>
      <c r="Z88" s="98" t="e">
        <f t="shared" si="29"/>
        <v>#REF!</v>
      </c>
      <c r="AA88" s="98" t="e">
        <f t="shared" si="29"/>
        <v>#REF!</v>
      </c>
      <c r="AB88" s="98" t="e">
        <f t="shared" si="29"/>
        <v>#REF!</v>
      </c>
      <c r="AC88" s="98" t="e">
        <f t="shared" si="29"/>
        <v>#REF!</v>
      </c>
      <c r="AD88" s="98" t="e">
        <f t="shared" si="29"/>
        <v>#REF!</v>
      </c>
      <c r="AE88" s="98" t="e">
        <f t="shared" si="29"/>
        <v>#REF!</v>
      </c>
      <c r="AF88" s="98" t="e">
        <f t="shared" si="29"/>
        <v>#REF!</v>
      </c>
      <c r="AG88" s="98" t="e">
        <f t="shared" si="29"/>
        <v>#REF!</v>
      </c>
      <c r="AH88" s="98" t="e">
        <f t="shared" si="29"/>
        <v>#REF!</v>
      </c>
      <c r="AI88" s="98" t="e">
        <f t="shared" si="29"/>
        <v>#REF!</v>
      </c>
      <c r="AJ88" s="98" t="e">
        <f t="shared" si="29"/>
        <v>#REF!</v>
      </c>
      <c r="AK88" s="98" t="e">
        <f t="shared" si="29"/>
        <v>#REF!</v>
      </c>
      <c r="AL88" s="98" t="e">
        <f t="shared" si="29"/>
        <v>#REF!</v>
      </c>
      <c r="AM88" s="98" t="e">
        <f t="shared" si="29"/>
        <v>#REF!</v>
      </c>
      <c r="AN88" s="98" t="e">
        <f t="shared" si="29"/>
        <v>#REF!</v>
      </c>
      <c r="AO88" s="98" t="e">
        <f t="shared" si="29"/>
        <v>#REF!</v>
      </c>
      <c r="AP88" s="98" t="e">
        <f t="shared" si="29"/>
        <v>#REF!</v>
      </c>
      <c r="AQ88" s="98" t="e">
        <f t="shared" si="29"/>
        <v>#REF!</v>
      </c>
      <c r="AR88" s="98" t="e">
        <f t="shared" si="29"/>
        <v>#REF!</v>
      </c>
    </row>
    <row r="89" spans="3:44" ht="27" customHeight="1" x14ac:dyDescent="0.55000000000000004">
      <c r="C89" s="412" t="s">
        <v>474</v>
      </c>
      <c r="D89" s="413"/>
      <c r="E89" s="413"/>
      <c r="F89" s="413"/>
      <c r="G89" s="413"/>
      <c r="H89" s="413"/>
      <c r="I89" s="413"/>
      <c r="J89" s="123" t="s">
        <v>425</v>
      </c>
      <c r="K89" s="106"/>
      <c r="L89" s="106"/>
      <c r="M89" s="106"/>
      <c r="N89" s="106"/>
      <c r="O89" s="106"/>
      <c r="P89" s="106">
        <f t="shared" ref="P89:AR89" si="30">P88-P81</f>
        <v>16436</v>
      </c>
      <c r="Q89" s="106">
        <f t="shared" si="30"/>
        <v>7901</v>
      </c>
      <c r="R89" s="106">
        <f t="shared" si="30"/>
        <v>12495</v>
      </c>
      <c r="S89" s="106">
        <f t="shared" si="30"/>
        <v>10763</v>
      </c>
      <c r="T89" s="106">
        <f t="shared" si="30"/>
        <v>22156</v>
      </c>
      <c r="U89" s="106">
        <f t="shared" si="30"/>
        <v>22650</v>
      </c>
      <c r="V89" s="106">
        <f t="shared" si="30"/>
        <v>18093</v>
      </c>
      <c r="W89" s="106">
        <f t="shared" si="30"/>
        <v>16089</v>
      </c>
      <c r="X89" s="106">
        <f t="shared" si="30"/>
        <v>25265</v>
      </c>
      <c r="Y89" s="106">
        <f t="shared" si="30"/>
        <v>42817</v>
      </c>
      <c r="Z89" s="98" t="e">
        <f t="shared" si="30"/>
        <v>#REF!</v>
      </c>
      <c r="AA89" s="98" t="e">
        <f t="shared" si="30"/>
        <v>#REF!</v>
      </c>
      <c r="AB89" s="98" t="e">
        <f t="shared" si="30"/>
        <v>#REF!</v>
      </c>
      <c r="AC89" s="98" t="e">
        <f t="shared" si="30"/>
        <v>#REF!</v>
      </c>
      <c r="AD89" s="98" t="e">
        <f t="shared" si="30"/>
        <v>#REF!</v>
      </c>
      <c r="AE89" s="98" t="e">
        <f t="shared" si="30"/>
        <v>#REF!</v>
      </c>
      <c r="AF89" s="98" t="e">
        <f t="shared" si="30"/>
        <v>#REF!</v>
      </c>
      <c r="AG89" s="98" t="e">
        <f t="shared" si="30"/>
        <v>#REF!</v>
      </c>
      <c r="AH89" s="98" t="e">
        <f t="shared" si="30"/>
        <v>#REF!</v>
      </c>
      <c r="AI89" s="98" t="e">
        <f t="shared" si="30"/>
        <v>#REF!</v>
      </c>
      <c r="AJ89" s="98" t="e">
        <f t="shared" si="30"/>
        <v>#REF!</v>
      </c>
      <c r="AK89" s="98" t="e">
        <f t="shared" si="30"/>
        <v>#REF!</v>
      </c>
      <c r="AL89" s="98" t="e">
        <f t="shared" si="30"/>
        <v>#REF!</v>
      </c>
      <c r="AM89" s="98" t="e">
        <f t="shared" si="30"/>
        <v>#REF!</v>
      </c>
      <c r="AN89" s="98" t="e">
        <f t="shared" si="30"/>
        <v>#REF!</v>
      </c>
      <c r="AO89" s="98" t="e">
        <f t="shared" si="30"/>
        <v>#REF!</v>
      </c>
      <c r="AP89" s="98" t="e">
        <f t="shared" si="30"/>
        <v>#REF!</v>
      </c>
      <c r="AQ89" s="98" t="e">
        <f t="shared" si="30"/>
        <v>#REF!</v>
      </c>
      <c r="AR89" s="98" t="e">
        <f t="shared" si="30"/>
        <v>#REF!</v>
      </c>
    </row>
    <row r="90" spans="3:44" ht="16" customHeight="1" x14ac:dyDescent="0.55000000000000004">
      <c r="C90" s="414" t="s">
        <v>475</v>
      </c>
      <c r="D90" s="415"/>
      <c r="E90" s="138" t="s">
        <v>388</v>
      </c>
      <c r="F90" s="387" t="s">
        <v>476</v>
      </c>
      <c r="G90" s="387"/>
      <c r="H90" s="387"/>
      <c r="I90" s="408"/>
      <c r="J90" s="403"/>
      <c r="K90" s="102"/>
      <c r="L90" s="102"/>
      <c r="M90" s="102"/>
      <c r="N90" s="102"/>
      <c r="O90" s="102"/>
      <c r="P90" s="102">
        <v>11381</v>
      </c>
      <c r="Q90" s="102">
        <v>7901</v>
      </c>
      <c r="R90" s="102">
        <v>9965</v>
      </c>
      <c r="S90" s="102">
        <v>10763</v>
      </c>
      <c r="T90" s="102">
        <v>15196</v>
      </c>
      <c r="U90" s="102">
        <v>15620</v>
      </c>
      <c r="V90" s="102">
        <v>12063</v>
      </c>
      <c r="W90" s="102">
        <v>10559</v>
      </c>
      <c r="X90" s="102">
        <v>16905</v>
      </c>
      <c r="Y90" s="102">
        <v>30640</v>
      </c>
      <c r="Z90" s="129" t="e">
        <f>[12]公共下水道事業!AE94+#REF!+[12]農業集落排水事業!AE85</f>
        <v>#REF!</v>
      </c>
      <c r="AA90" s="129" t="e">
        <f>[12]公共下水道事業!AF94+#REF!+[12]農業集落排水事業!AF85</f>
        <v>#REF!</v>
      </c>
      <c r="AB90" s="129" t="e">
        <f>[12]公共下水道事業!AG94+#REF!+[12]農業集落排水事業!AG85</f>
        <v>#REF!</v>
      </c>
      <c r="AC90" s="129" t="e">
        <f>[12]公共下水道事業!AH94+#REF!+[12]農業集落排水事業!AH85</f>
        <v>#REF!</v>
      </c>
      <c r="AD90" s="129" t="e">
        <f>[12]公共下水道事業!AI94+#REF!+[12]農業集落排水事業!AI85</f>
        <v>#REF!</v>
      </c>
      <c r="AE90" s="129" t="e">
        <f>[12]公共下水道事業!AJ94+#REF!+[12]農業集落排水事業!AJ85</f>
        <v>#REF!</v>
      </c>
      <c r="AF90" s="129" t="e">
        <f>[12]公共下水道事業!AK94+#REF!+[12]農業集落排水事業!AK85</f>
        <v>#REF!</v>
      </c>
      <c r="AG90" s="129" t="e">
        <f>[12]公共下水道事業!AL94+#REF!+[12]農業集落排水事業!AL85</f>
        <v>#REF!</v>
      </c>
      <c r="AH90" s="129" t="e">
        <f>[12]公共下水道事業!AM94+#REF!+[12]農業集落排水事業!AM85</f>
        <v>#REF!</v>
      </c>
      <c r="AI90" s="129" t="e">
        <f>[12]公共下水道事業!AN94+#REF!+[12]農業集落排水事業!AN85</f>
        <v>#REF!</v>
      </c>
      <c r="AJ90" s="129" t="e">
        <f>[12]公共下水道事業!AO94+#REF!+[12]農業集落排水事業!AO85</f>
        <v>#REF!</v>
      </c>
      <c r="AK90" s="129" t="e">
        <f>[12]公共下水道事業!AP94+#REF!+[12]農業集落排水事業!AP85</f>
        <v>#REF!</v>
      </c>
      <c r="AL90" s="129" t="e">
        <f>[12]公共下水道事業!AQ94+#REF!+[12]農業集落排水事業!AQ85</f>
        <v>#REF!</v>
      </c>
      <c r="AM90" s="129" t="e">
        <f>[12]公共下水道事業!AR94+#REF!+[12]農業集落排水事業!AR85</f>
        <v>#REF!</v>
      </c>
      <c r="AN90" s="129" t="e">
        <f>[12]公共下水道事業!AS94+#REF!+[12]農業集落排水事業!AS85</f>
        <v>#REF!</v>
      </c>
      <c r="AO90" s="129" t="e">
        <f>[12]公共下水道事業!AT94+#REF!+[12]農業集落排水事業!AT85</f>
        <v>#REF!</v>
      </c>
      <c r="AP90" s="129" t="e">
        <f>[12]公共下水道事業!AU94+#REF!+[12]農業集落排水事業!AU85</f>
        <v>#REF!</v>
      </c>
      <c r="AQ90" s="129" t="e">
        <f>[12]公共下水道事業!AV94+#REF!+[12]農業集落排水事業!AV85</f>
        <v>#REF!</v>
      </c>
      <c r="AR90" s="129" t="e">
        <f>[12]公共下水道事業!AW94+#REF!+[12]農業集落排水事業!AW85</f>
        <v>#REF!</v>
      </c>
    </row>
    <row r="91" spans="3:44" ht="16" customHeight="1" x14ac:dyDescent="0.55000000000000004">
      <c r="C91" s="416"/>
      <c r="D91" s="417"/>
      <c r="E91" s="131" t="s">
        <v>397</v>
      </c>
      <c r="F91" s="387" t="s">
        <v>477</v>
      </c>
      <c r="G91" s="387"/>
      <c r="H91" s="387"/>
      <c r="I91" s="408"/>
      <c r="J91" s="403"/>
      <c r="K91" s="102"/>
      <c r="L91" s="102"/>
      <c r="M91" s="102"/>
      <c r="N91" s="102"/>
      <c r="O91" s="102"/>
      <c r="P91" s="102"/>
      <c r="Q91" s="102"/>
      <c r="R91" s="102"/>
      <c r="S91" s="102"/>
      <c r="T91" s="102"/>
      <c r="U91" s="102"/>
      <c r="V91" s="102"/>
      <c r="W91" s="102"/>
      <c r="X91" s="102"/>
      <c r="Y91" s="102"/>
      <c r="Z91" s="129" t="e">
        <f>[12]公共下水道事業!AE95+#REF!+[12]農業集落排水事業!AE86</f>
        <v>#REF!</v>
      </c>
      <c r="AA91" s="129" t="e">
        <f>[12]公共下水道事業!AF95+#REF!+[12]農業集落排水事業!AF86</f>
        <v>#REF!</v>
      </c>
      <c r="AB91" s="129" t="e">
        <f>[12]公共下水道事業!AG95+#REF!+[12]農業集落排水事業!AG86</f>
        <v>#REF!</v>
      </c>
      <c r="AC91" s="129" t="e">
        <f>[12]公共下水道事業!AH95+#REF!+[12]農業集落排水事業!AH86</f>
        <v>#REF!</v>
      </c>
      <c r="AD91" s="129" t="e">
        <f>[12]公共下水道事業!AI95+#REF!+[12]農業集落排水事業!AI86</f>
        <v>#REF!</v>
      </c>
      <c r="AE91" s="129" t="e">
        <f>[12]公共下水道事業!AJ95+#REF!+[12]農業集落排水事業!AJ86</f>
        <v>#REF!</v>
      </c>
      <c r="AF91" s="129" t="e">
        <f>[12]公共下水道事業!AK95+#REF!+[12]農業集落排水事業!AK86</f>
        <v>#REF!</v>
      </c>
      <c r="AG91" s="129" t="e">
        <f>[12]公共下水道事業!AL95+#REF!+[12]農業集落排水事業!AL86</f>
        <v>#REF!</v>
      </c>
      <c r="AH91" s="129" t="e">
        <f>[12]公共下水道事業!AM95+#REF!+[12]農業集落排水事業!AM86</f>
        <v>#REF!</v>
      </c>
      <c r="AI91" s="129" t="e">
        <f>[12]公共下水道事業!AN95+#REF!+[12]農業集落排水事業!AN86</f>
        <v>#REF!</v>
      </c>
      <c r="AJ91" s="129" t="e">
        <f>[12]公共下水道事業!AO95+#REF!+[12]農業集落排水事業!AO86</f>
        <v>#REF!</v>
      </c>
      <c r="AK91" s="129" t="e">
        <f>[12]公共下水道事業!AP95+#REF!+[12]農業集落排水事業!AP86</f>
        <v>#REF!</v>
      </c>
      <c r="AL91" s="129" t="e">
        <f>[12]公共下水道事業!AQ95+#REF!+[12]農業集落排水事業!AQ86</f>
        <v>#REF!</v>
      </c>
      <c r="AM91" s="129" t="e">
        <f>[12]公共下水道事業!AR95+#REF!+[12]農業集落排水事業!AR86</f>
        <v>#REF!</v>
      </c>
      <c r="AN91" s="129" t="e">
        <f>[12]公共下水道事業!AS95+#REF!+[12]農業集落排水事業!AS86</f>
        <v>#REF!</v>
      </c>
      <c r="AO91" s="129" t="e">
        <f>[12]公共下水道事業!AT95+#REF!+[12]農業集落排水事業!AT86</f>
        <v>#REF!</v>
      </c>
      <c r="AP91" s="129" t="e">
        <f>[12]公共下水道事業!AU95+#REF!+[12]農業集落排水事業!AU86</f>
        <v>#REF!</v>
      </c>
      <c r="AQ91" s="129" t="e">
        <f>[12]公共下水道事業!AV95+#REF!+[12]農業集落排水事業!AV86</f>
        <v>#REF!</v>
      </c>
      <c r="AR91" s="129" t="e">
        <f>[12]公共下水道事業!AW95+#REF!+[12]農業集落排水事業!AW86</f>
        <v>#REF!</v>
      </c>
    </row>
    <row r="92" spans="3:44" ht="16" customHeight="1" x14ac:dyDescent="0.55000000000000004">
      <c r="C92" s="416"/>
      <c r="D92" s="417"/>
      <c r="E92" s="131" t="s">
        <v>469</v>
      </c>
      <c r="F92" s="387" t="s">
        <v>478</v>
      </c>
      <c r="G92" s="387"/>
      <c r="H92" s="387"/>
      <c r="I92" s="408"/>
      <c r="J92" s="403"/>
      <c r="K92" s="102"/>
      <c r="L92" s="102"/>
      <c r="M92" s="102"/>
      <c r="N92" s="102"/>
      <c r="O92" s="102"/>
      <c r="P92" s="102"/>
      <c r="Q92" s="102"/>
      <c r="R92" s="102"/>
      <c r="S92" s="102"/>
      <c r="T92" s="102"/>
      <c r="U92" s="102"/>
      <c r="V92" s="102"/>
      <c r="W92" s="102"/>
      <c r="X92" s="102"/>
      <c r="Y92" s="102"/>
      <c r="Z92" s="129" t="e">
        <f>[12]公共下水道事業!AE96+#REF!+[12]農業集落排水事業!AE87</f>
        <v>#REF!</v>
      </c>
      <c r="AA92" s="129" t="e">
        <f>[12]公共下水道事業!AF96+#REF!+[12]農業集落排水事業!AF87</f>
        <v>#REF!</v>
      </c>
      <c r="AB92" s="129" t="e">
        <f>[12]公共下水道事業!AG96+#REF!+[12]農業集落排水事業!AG87</f>
        <v>#REF!</v>
      </c>
      <c r="AC92" s="129" t="e">
        <f>[12]公共下水道事業!AH96+#REF!+[12]農業集落排水事業!AH87</f>
        <v>#REF!</v>
      </c>
      <c r="AD92" s="129" t="e">
        <f>[12]公共下水道事業!AI96+#REF!+[12]農業集落排水事業!AI87</f>
        <v>#REF!</v>
      </c>
      <c r="AE92" s="129" t="e">
        <f>[12]公共下水道事業!AJ96+#REF!+[12]農業集落排水事業!AJ87</f>
        <v>#REF!</v>
      </c>
      <c r="AF92" s="129" t="e">
        <f>[12]公共下水道事業!AK96+#REF!+[12]農業集落排水事業!AK87</f>
        <v>#REF!</v>
      </c>
      <c r="AG92" s="129" t="e">
        <f>[12]公共下水道事業!AL96+#REF!+[12]農業集落排水事業!AL87</f>
        <v>#REF!</v>
      </c>
      <c r="AH92" s="129" t="e">
        <f>[12]公共下水道事業!AM96+#REF!+[12]農業集落排水事業!AM87</f>
        <v>#REF!</v>
      </c>
      <c r="AI92" s="129" t="e">
        <f>[12]公共下水道事業!AN96+#REF!+[12]農業集落排水事業!AN87</f>
        <v>#REF!</v>
      </c>
      <c r="AJ92" s="129" t="e">
        <f>[12]公共下水道事業!AO96+#REF!+[12]農業集落排水事業!AO87</f>
        <v>#REF!</v>
      </c>
      <c r="AK92" s="129" t="e">
        <f>[12]公共下水道事業!AP96+#REF!+[12]農業集落排水事業!AP87</f>
        <v>#REF!</v>
      </c>
      <c r="AL92" s="129" t="e">
        <f>[12]公共下水道事業!AQ96+#REF!+[12]農業集落排水事業!AQ87</f>
        <v>#REF!</v>
      </c>
      <c r="AM92" s="129" t="e">
        <f>[12]公共下水道事業!AR96+#REF!+[12]農業集落排水事業!AR87</f>
        <v>#REF!</v>
      </c>
      <c r="AN92" s="129" t="e">
        <f>[12]公共下水道事業!AS96+#REF!+[12]農業集落排水事業!AS87</f>
        <v>#REF!</v>
      </c>
      <c r="AO92" s="129" t="e">
        <f>[12]公共下水道事業!AT96+#REF!+[12]農業集落排水事業!AT87</f>
        <v>#REF!</v>
      </c>
      <c r="AP92" s="129" t="e">
        <f>[12]公共下水道事業!AU96+#REF!+[12]農業集落排水事業!AU87</f>
        <v>#REF!</v>
      </c>
      <c r="AQ92" s="129" t="e">
        <f>[12]公共下水道事業!AV96+#REF!+[12]農業集落排水事業!AV87</f>
        <v>#REF!</v>
      </c>
      <c r="AR92" s="129" t="e">
        <f>[12]公共下水道事業!AW96+#REF!+[12]農業集落排水事業!AW87</f>
        <v>#REF!</v>
      </c>
    </row>
    <row r="93" spans="3:44" ht="16" customHeight="1" x14ac:dyDescent="0.55000000000000004">
      <c r="C93" s="416"/>
      <c r="D93" s="417"/>
      <c r="E93" s="131" t="s">
        <v>471</v>
      </c>
      <c r="F93" s="387" t="s">
        <v>396</v>
      </c>
      <c r="G93" s="387"/>
      <c r="H93" s="387"/>
      <c r="I93" s="408"/>
      <c r="J93" s="403"/>
      <c r="K93" s="102"/>
      <c r="L93" s="102"/>
      <c r="M93" s="102"/>
      <c r="N93" s="102"/>
      <c r="O93" s="102"/>
      <c r="P93" s="102">
        <f>ROUND(P82*10%,0)</f>
        <v>5055</v>
      </c>
      <c r="Q93" s="102"/>
      <c r="R93" s="102">
        <f t="shared" ref="R93:Y93" si="31">ROUND(R82*10%,0)</f>
        <v>2530</v>
      </c>
      <c r="S93" s="102"/>
      <c r="T93" s="102">
        <v>6960</v>
      </c>
      <c r="U93" s="102">
        <f t="shared" si="31"/>
        <v>7030</v>
      </c>
      <c r="V93" s="102">
        <f t="shared" si="31"/>
        <v>6030</v>
      </c>
      <c r="W93" s="102">
        <f t="shared" si="31"/>
        <v>5530</v>
      </c>
      <c r="X93" s="102">
        <f t="shared" si="31"/>
        <v>8360</v>
      </c>
      <c r="Y93" s="102">
        <f t="shared" si="31"/>
        <v>12177</v>
      </c>
      <c r="Z93" s="129" t="e">
        <f>[12]公共下水道事業!AE97+#REF!+[12]農業集落排水事業!AE88</f>
        <v>#REF!</v>
      </c>
      <c r="AA93" s="129" t="e">
        <f>[12]公共下水道事業!AF97+#REF!+[12]農業集落排水事業!AF88</f>
        <v>#REF!</v>
      </c>
      <c r="AB93" s="129" t="e">
        <f>[12]公共下水道事業!AG97+#REF!+[12]農業集落排水事業!AG88</f>
        <v>#REF!</v>
      </c>
      <c r="AC93" s="129" t="e">
        <f>[12]公共下水道事業!AH97+#REF!+[12]農業集落排水事業!AH88</f>
        <v>#REF!</v>
      </c>
      <c r="AD93" s="129" t="e">
        <f>[12]公共下水道事業!AI97+#REF!+[12]農業集落排水事業!AI88</f>
        <v>#REF!</v>
      </c>
      <c r="AE93" s="129" t="e">
        <f>[12]公共下水道事業!AJ97+#REF!+[12]農業集落排水事業!AJ88</f>
        <v>#REF!</v>
      </c>
      <c r="AF93" s="129" t="e">
        <f>[12]公共下水道事業!AK97+#REF!+[12]農業集落排水事業!AK88</f>
        <v>#REF!</v>
      </c>
      <c r="AG93" s="129" t="e">
        <f>[12]公共下水道事業!AL97+#REF!+[12]農業集落排水事業!AL88</f>
        <v>#REF!</v>
      </c>
      <c r="AH93" s="129" t="e">
        <f>[12]公共下水道事業!AM97+#REF!+[12]農業集落排水事業!AM88</f>
        <v>#REF!</v>
      </c>
      <c r="AI93" s="129" t="e">
        <f>[12]公共下水道事業!AN97+#REF!+[12]農業集落排水事業!AN88</f>
        <v>#REF!</v>
      </c>
      <c r="AJ93" s="129" t="e">
        <f>[12]公共下水道事業!AO97+#REF!+[12]農業集落排水事業!AO88</f>
        <v>#REF!</v>
      </c>
      <c r="AK93" s="129" t="e">
        <f>[12]公共下水道事業!AP97+#REF!+[12]農業集落排水事業!AP88</f>
        <v>#REF!</v>
      </c>
      <c r="AL93" s="129" t="e">
        <f>[12]公共下水道事業!AQ97+#REF!+[12]農業集落排水事業!AQ88</f>
        <v>#REF!</v>
      </c>
      <c r="AM93" s="129" t="e">
        <f>[12]公共下水道事業!AR97+#REF!+[12]農業集落排水事業!AR88</f>
        <v>#REF!</v>
      </c>
      <c r="AN93" s="129" t="e">
        <f>[12]公共下水道事業!AS97+#REF!+[12]農業集落排水事業!AS88</f>
        <v>#REF!</v>
      </c>
      <c r="AO93" s="129" t="e">
        <f>[12]公共下水道事業!AT97+#REF!+[12]農業集落排水事業!AT88</f>
        <v>#REF!</v>
      </c>
      <c r="AP93" s="129" t="e">
        <f>[12]公共下水道事業!AU97+#REF!+[12]農業集落排水事業!AU88</f>
        <v>#REF!</v>
      </c>
      <c r="AQ93" s="129" t="e">
        <f>[12]公共下水道事業!AV97+#REF!+[12]農業集落排水事業!AV88</f>
        <v>#REF!</v>
      </c>
      <c r="AR93" s="129" t="e">
        <f>[12]公共下水道事業!AW97+#REF!+[12]農業集落排水事業!AW88</f>
        <v>#REF!</v>
      </c>
    </row>
    <row r="94" spans="3:44" ht="16" customHeight="1" x14ac:dyDescent="0.55000000000000004">
      <c r="C94" s="418"/>
      <c r="D94" s="419"/>
      <c r="E94" s="391" t="s">
        <v>460</v>
      </c>
      <c r="F94" s="408"/>
      <c r="G94" s="408"/>
      <c r="H94" s="408"/>
      <c r="I94" s="408"/>
      <c r="J94" s="140" t="s">
        <v>427</v>
      </c>
      <c r="K94" s="106"/>
      <c r="L94" s="106"/>
      <c r="M94" s="106"/>
      <c r="N94" s="106"/>
      <c r="O94" s="106"/>
      <c r="P94" s="106">
        <f t="shared" ref="P94:AR94" si="32">SUM(P90:P93)</f>
        <v>16436</v>
      </c>
      <c r="Q94" s="106">
        <f t="shared" si="32"/>
        <v>7901</v>
      </c>
      <c r="R94" s="106">
        <f t="shared" si="32"/>
        <v>12495</v>
      </c>
      <c r="S94" s="106">
        <f t="shared" si="32"/>
        <v>10763</v>
      </c>
      <c r="T94" s="106">
        <f t="shared" si="32"/>
        <v>22156</v>
      </c>
      <c r="U94" s="106">
        <f t="shared" si="32"/>
        <v>22650</v>
      </c>
      <c r="V94" s="106">
        <f t="shared" si="32"/>
        <v>18093</v>
      </c>
      <c r="W94" s="106">
        <f t="shared" si="32"/>
        <v>16089</v>
      </c>
      <c r="X94" s="106">
        <f t="shared" si="32"/>
        <v>25265</v>
      </c>
      <c r="Y94" s="106">
        <f t="shared" si="32"/>
        <v>42817</v>
      </c>
      <c r="Z94" s="98" t="e">
        <f t="shared" si="32"/>
        <v>#REF!</v>
      </c>
      <c r="AA94" s="98" t="e">
        <f t="shared" si="32"/>
        <v>#REF!</v>
      </c>
      <c r="AB94" s="98" t="e">
        <f t="shared" si="32"/>
        <v>#REF!</v>
      </c>
      <c r="AC94" s="98" t="e">
        <f t="shared" si="32"/>
        <v>#REF!</v>
      </c>
      <c r="AD94" s="98" t="e">
        <f t="shared" si="32"/>
        <v>#REF!</v>
      </c>
      <c r="AE94" s="98" t="e">
        <f t="shared" si="32"/>
        <v>#REF!</v>
      </c>
      <c r="AF94" s="98" t="e">
        <f t="shared" si="32"/>
        <v>#REF!</v>
      </c>
      <c r="AG94" s="98" t="e">
        <f t="shared" si="32"/>
        <v>#REF!</v>
      </c>
      <c r="AH94" s="98" t="e">
        <f t="shared" si="32"/>
        <v>#REF!</v>
      </c>
      <c r="AI94" s="98" t="e">
        <f t="shared" si="32"/>
        <v>#REF!</v>
      </c>
      <c r="AJ94" s="98" t="e">
        <f t="shared" si="32"/>
        <v>#REF!</v>
      </c>
      <c r="AK94" s="98" t="e">
        <f t="shared" si="32"/>
        <v>#REF!</v>
      </c>
      <c r="AL94" s="98" t="e">
        <f t="shared" si="32"/>
        <v>#REF!</v>
      </c>
      <c r="AM94" s="98" t="e">
        <f t="shared" si="32"/>
        <v>#REF!</v>
      </c>
      <c r="AN94" s="98" t="e">
        <f t="shared" si="32"/>
        <v>#REF!</v>
      </c>
      <c r="AO94" s="98" t="e">
        <f t="shared" si="32"/>
        <v>#REF!</v>
      </c>
      <c r="AP94" s="98" t="e">
        <f t="shared" si="32"/>
        <v>#REF!</v>
      </c>
      <c r="AQ94" s="98" t="e">
        <f t="shared" si="32"/>
        <v>#REF!</v>
      </c>
      <c r="AR94" s="98" t="e">
        <f t="shared" si="32"/>
        <v>#REF!</v>
      </c>
    </row>
    <row r="95" spans="3:44" ht="16" customHeight="1" x14ac:dyDescent="0.55000000000000004">
      <c r="C95" s="420" t="s">
        <v>479</v>
      </c>
      <c r="D95" s="421"/>
      <c r="E95" s="421"/>
      <c r="F95" s="421"/>
      <c r="G95" s="421"/>
      <c r="H95" s="421"/>
      <c r="I95" s="422" t="s">
        <v>480</v>
      </c>
      <c r="J95" s="423"/>
      <c r="K95" s="106"/>
      <c r="L95" s="106"/>
      <c r="M95" s="106"/>
      <c r="N95" s="106"/>
      <c r="O95" s="106"/>
      <c r="P95" s="106">
        <f t="shared" ref="P95:AR95" si="33">P89-P94</f>
        <v>0</v>
      </c>
      <c r="Q95" s="106">
        <f t="shared" si="33"/>
        <v>0</v>
      </c>
      <c r="R95" s="106">
        <f t="shared" si="33"/>
        <v>0</v>
      </c>
      <c r="S95" s="106">
        <f t="shared" si="33"/>
        <v>0</v>
      </c>
      <c r="T95" s="106">
        <f t="shared" si="33"/>
        <v>0</v>
      </c>
      <c r="U95" s="106">
        <f t="shared" si="33"/>
        <v>0</v>
      </c>
      <c r="V95" s="106">
        <f t="shared" si="33"/>
        <v>0</v>
      </c>
      <c r="W95" s="106">
        <f t="shared" si="33"/>
        <v>0</v>
      </c>
      <c r="X95" s="106">
        <f t="shared" si="33"/>
        <v>0</v>
      </c>
      <c r="Y95" s="106">
        <f t="shared" si="33"/>
        <v>0</v>
      </c>
      <c r="Z95" s="98" t="e">
        <f t="shared" si="33"/>
        <v>#REF!</v>
      </c>
      <c r="AA95" s="98" t="e">
        <f t="shared" si="33"/>
        <v>#REF!</v>
      </c>
      <c r="AB95" s="98" t="e">
        <f t="shared" si="33"/>
        <v>#REF!</v>
      </c>
      <c r="AC95" s="98" t="e">
        <f t="shared" si="33"/>
        <v>#REF!</v>
      </c>
      <c r="AD95" s="98" t="e">
        <f t="shared" si="33"/>
        <v>#REF!</v>
      </c>
      <c r="AE95" s="98" t="e">
        <f t="shared" si="33"/>
        <v>#REF!</v>
      </c>
      <c r="AF95" s="98" t="e">
        <f t="shared" si="33"/>
        <v>#REF!</v>
      </c>
      <c r="AG95" s="98" t="e">
        <f t="shared" si="33"/>
        <v>#REF!</v>
      </c>
      <c r="AH95" s="98" t="e">
        <f t="shared" si="33"/>
        <v>#REF!</v>
      </c>
      <c r="AI95" s="98" t="e">
        <f t="shared" si="33"/>
        <v>#REF!</v>
      </c>
      <c r="AJ95" s="98" t="e">
        <f t="shared" si="33"/>
        <v>#REF!</v>
      </c>
      <c r="AK95" s="98" t="e">
        <f t="shared" si="33"/>
        <v>#REF!</v>
      </c>
      <c r="AL95" s="98" t="e">
        <f t="shared" si="33"/>
        <v>#REF!</v>
      </c>
      <c r="AM95" s="98" t="e">
        <f t="shared" si="33"/>
        <v>#REF!</v>
      </c>
      <c r="AN95" s="98" t="e">
        <f t="shared" si="33"/>
        <v>#REF!</v>
      </c>
      <c r="AO95" s="98" t="e">
        <f t="shared" si="33"/>
        <v>#REF!</v>
      </c>
      <c r="AP95" s="98" t="e">
        <f t="shared" si="33"/>
        <v>#REF!</v>
      </c>
      <c r="AQ95" s="98" t="e">
        <f t="shared" si="33"/>
        <v>#REF!</v>
      </c>
      <c r="AR95" s="98" t="e">
        <f t="shared" si="33"/>
        <v>#REF!</v>
      </c>
    </row>
    <row r="96" spans="3:44" ht="16" customHeight="1" x14ac:dyDescent="0.55000000000000004">
      <c r="C96" s="391" t="s">
        <v>481</v>
      </c>
      <c r="D96" s="387"/>
      <c r="E96" s="387"/>
      <c r="F96" s="387"/>
      <c r="G96" s="387"/>
      <c r="H96" s="387"/>
      <c r="I96" s="387"/>
      <c r="J96" s="141" t="s">
        <v>429</v>
      </c>
      <c r="K96" s="102"/>
      <c r="L96" s="102"/>
      <c r="M96" s="102"/>
      <c r="N96" s="102"/>
      <c r="O96" s="102"/>
      <c r="P96" s="102">
        <v>0</v>
      </c>
      <c r="Q96" s="102">
        <v>0</v>
      </c>
      <c r="R96" s="102">
        <v>0</v>
      </c>
      <c r="S96" s="102">
        <v>0</v>
      </c>
      <c r="T96" s="102">
        <v>0</v>
      </c>
      <c r="U96" s="102">
        <v>0</v>
      </c>
      <c r="V96" s="102">
        <v>0</v>
      </c>
      <c r="W96" s="102">
        <v>0</v>
      </c>
      <c r="X96" s="102">
        <v>0</v>
      </c>
      <c r="Y96" s="102">
        <v>0</v>
      </c>
      <c r="Z96" s="103" t="e">
        <f>[12]公共下水道事業!AE100+#REF!+[12]農業集落排水事業!AE91</f>
        <v>#REF!</v>
      </c>
      <c r="AA96" s="103" t="e">
        <f>[12]公共下水道事業!AF100+#REF!+[12]農業集落排水事業!AF91</f>
        <v>#REF!</v>
      </c>
      <c r="AB96" s="103" t="e">
        <f>[12]公共下水道事業!AG100+#REF!+[12]農業集落排水事業!AG91</f>
        <v>#REF!</v>
      </c>
      <c r="AC96" s="103" t="e">
        <f>[12]公共下水道事業!AH100+#REF!+[12]農業集落排水事業!AH91</f>
        <v>#REF!</v>
      </c>
      <c r="AD96" s="103" t="e">
        <f>[12]公共下水道事業!AI100+#REF!+[12]農業集落排水事業!AI91</f>
        <v>#REF!</v>
      </c>
      <c r="AE96" s="103" t="e">
        <f>[12]公共下水道事業!AJ100+#REF!+[12]農業集落排水事業!AJ91</f>
        <v>#REF!</v>
      </c>
      <c r="AF96" s="103" t="e">
        <f>[12]公共下水道事業!AK100+#REF!+[12]農業集落排水事業!AK91</f>
        <v>#REF!</v>
      </c>
      <c r="AG96" s="103" t="e">
        <f>[12]公共下水道事業!AL100+#REF!+[12]農業集落排水事業!AL91</f>
        <v>#REF!</v>
      </c>
      <c r="AH96" s="103" t="e">
        <f>[12]公共下水道事業!AM100+#REF!+[12]農業集落排水事業!AM91</f>
        <v>#REF!</v>
      </c>
      <c r="AI96" s="103" t="e">
        <f>[12]公共下水道事業!AN100+#REF!+[12]農業集落排水事業!AN91</f>
        <v>#REF!</v>
      </c>
      <c r="AJ96" s="103" t="e">
        <f>[12]公共下水道事業!AO100+#REF!+[12]農業集落排水事業!AO91</f>
        <v>#REF!</v>
      </c>
      <c r="AK96" s="103" t="e">
        <f>[12]公共下水道事業!AP100+#REF!+[12]農業集落排水事業!AP91</f>
        <v>#REF!</v>
      </c>
      <c r="AL96" s="103" t="e">
        <f>[12]公共下水道事業!AQ100+#REF!+[12]農業集落排水事業!AQ91</f>
        <v>#REF!</v>
      </c>
      <c r="AM96" s="103" t="e">
        <f>[12]公共下水道事業!AR100+#REF!+[12]農業集落排水事業!AR91</f>
        <v>#REF!</v>
      </c>
      <c r="AN96" s="103" t="e">
        <f>[12]公共下水道事業!AS100+#REF!+[12]農業集落排水事業!AS91</f>
        <v>#REF!</v>
      </c>
      <c r="AO96" s="103" t="e">
        <f>[12]公共下水道事業!AT100+#REF!+[12]農業集落排水事業!AT91</f>
        <v>#REF!</v>
      </c>
      <c r="AP96" s="103" t="e">
        <f>[12]公共下水道事業!AU100+#REF!+[12]農業集落排水事業!AU91</f>
        <v>#REF!</v>
      </c>
      <c r="AQ96" s="103" t="e">
        <f>[12]公共下水道事業!AV100+#REF!+[12]農業集落排水事業!AV91</f>
        <v>#REF!</v>
      </c>
      <c r="AR96" s="103" t="e">
        <f>[12]公共下水道事業!AW100+#REF!+[12]農業集落排水事業!AW91</f>
        <v>#REF!</v>
      </c>
    </row>
    <row r="97" spans="3:48" ht="16" customHeight="1" x14ac:dyDescent="0.55000000000000004">
      <c r="C97" s="424" t="s">
        <v>482</v>
      </c>
      <c r="D97" s="396"/>
      <c r="E97" s="396"/>
      <c r="F97" s="396"/>
      <c r="G97" s="396"/>
      <c r="H97" s="396"/>
      <c r="I97" s="396"/>
      <c r="J97" s="142" t="s">
        <v>432</v>
      </c>
      <c r="K97" s="121"/>
      <c r="L97" s="121"/>
      <c r="M97" s="121"/>
      <c r="N97" s="121"/>
      <c r="O97" s="121"/>
      <c r="P97" s="121">
        <v>262323</v>
      </c>
      <c r="Q97" s="121">
        <v>329764</v>
      </c>
      <c r="R97" s="121">
        <v>333111</v>
      </c>
      <c r="S97" s="121">
        <v>388090</v>
      </c>
      <c r="T97" s="121">
        <v>431676</v>
      </c>
      <c r="U97" s="121">
        <v>453668</v>
      </c>
      <c r="V97" s="121">
        <v>469317</v>
      </c>
      <c r="W97" s="121">
        <v>483770</v>
      </c>
      <c r="X97" s="121">
        <v>515649</v>
      </c>
      <c r="Y97" s="121">
        <v>565856</v>
      </c>
      <c r="Z97" s="103" t="e">
        <f>[12]公共下水道事業!AE101+#REF!+[12]農業集落排水事業!AE92</f>
        <v>#REF!</v>
      </c>
      <c r="AA97" s="103" t="e">
        <f>[12]公共下水道事業!AF101+#REF!+[12]農業集落排水事業!AF92</f>
        <v>#REF!</v>
      </c>
      <c r="AB97" s="103" t="e">
        <f>[12]公共下水道事業!AG101+#REF!+[12]農業集落排水事業!AG92</f>
        <v>#REF!</v>
      </c>
      <c r="AC97" s="103" t="e">
        <f>[12]公共下水道事業!AH101+#REF!+[12]農業集落排水事業!AH92</f>
        <v>#REF!</v>
      </c>
      <c r="AD97" s="103" t="e">
        <f>[12]公共下水道事業!AI101+#REF!+[12]農業集落排水事業!AI92</f>
        <v>#REF!</v>
      </c>
      <c r="AE97" s="103" t="e">
        <f>[12]公共下水道事業!AJ101+#REF!+[12]農業集落排水事業!AJ92</f>
        <v>#REF!</v>
      </c>
      <c r="AF97" s="103" t="e">
        <f>[12]公共下水道事業!AK101+#REF!+[12]農業集落排水事業!AK92</f>
        <v>#REF!</v>
      </c>
      <c r="AG97" s="103" t="e">
        <f>[12]公共下水道事業!AL101+#REF!+[12]農業集落排水事業!AL92</f>
        <v>#REF!</v>
      </c>
      <c r="AH97" s="103" t="e">
        <f>[12]公共下水道事業!AM101+#REF!+[12]農業集落排水事業!AM92</f>
        <v>#REF!</v>
      </c>
      <c r="AI97" s="103" t="e">
        <f>[12]公共下水道事業!AN101+#REF!+[12]農業集落排水事業!AN92</f>
        <v>#REF!</v>
      </c>
      <c r="AJ97" s="103" t="e">
        <f>[12]公共下水道事業!AO101+#REF!+[12]農業集落排水事業!AO92</f>
        <v>#REF!</v>
      </c>
      <c r="AK97" s="103" t="e">
        <f>[12]公共下水道事業!AP101+#REF!+[12]農業集落排水事業!AP92</f>
        <v>#REF!</v>
      </c>
      <c r="AL97" s="103" t="e">
        <f>[12]公共下水道事業!AQ101+#REF!+[12]農業集落排水事業!AQ92</f>
        <v>#REF!</v>
      </c>
      <c r="AM97" s="103" t="e">
        <f>[12]公共下水道事業!AR101+#REF!+[12]農業集落排水事業!AR92</f>
        <v>#REF!</v>
      </c>
      <c r="AN97" s="103" t="e">
        <f>[12]公共下水道事業!AS101+#REF!+[12]農業集落排水事業!AS92</f>
        <v>#REF!</v>
      </c>
      <c r="AO97" s="103" t="e">
        <f>[12]公共下水道事業!AT101+#REF!+[12]農業集落排水事業!AT92</f>
        <v>#REF!</v>
      </c>
      <c r="AP97" s="103" t="e">
        <f>[12]公共下水道事業!AU101+#REF!+[12]農業集落排水事業!AU92</f>
        <v>#REF!</v>
      </c>
      <c r="AQ97" s="103" t="e">
        <f>[12]公共下水道事業!AV101+#REF!+[12]農業集落排水事業!AV92</f>
        <v>#REF!</v>
      </c>
      <c r="AR97" s="103" t="e">
        <f>[12]公共下水道事業!AW101+#REF!+[12]農業集落排水事業!AW92</f>
        <v>#REF!</v>
      </c>
      <c r="AT97" s="143">
        <f>P97-Y97</f>
        <v>-303533</v>
      </c>
    </row>
    <row r="98" spans="3:48" ht="16" customHeight="1" x14ac:dyDescent="0.55000000000000004">
      <c r="C98" s="144"/>
      <c r="D98" s="144"/>
      <c r="E98" s="145"/>
      <c r="F98" s="144"/>
      <c r="G98" s="144"/>
      <c r="H98" s="144"/>
      <c r="I98" s="144"/>
      <c r="J98" s="84"/>
    </row>
    <row r="99" spans="3:48" ht="16" customHeight="1" x14ac:dyDescent="0.55000000000000004">
      <c r="C99" s="144" t="s">
        <v>483</v>
      </c>
      <c r="D99" s="144"/>
      <c r="E99" s="145"/>
      <c r="F99" s="144"/>
      <c r="G99" s="144"/>
      <c r="H99" s="144"/>
      <c r="I99" s="144"/>
      <c r="J99" s="84"/>
      <c r="AT99" s="146">
        <v>1240550</v>
      </c>
      <c r="AU99" s="146">
        <v>28130</v>
      </c>
      <c r="AV99" s="146">
        <f>AT99+AU99</f>
        <v>1268680</v>
      </c>
    </row>
    <row r="100" spans="3:48" ht="16" customHeight="1" x14ac:dyDescent="0.55000000000000004">
      <c r="C100" s="85"/>
      <c r="D100" s="86"/>
      <c r="E100" s="127"/>
      <c r="F100" s="86"/>
      <c r="G100" s="86"/>
      <c r="H100" s="86"/>
      <c r="I100" s="87" t="s">
        <v>439</v>
      </c>
      <c r="J100" s="88"/>
      <c r="K100" s="76"/>
      <c r="L100" s="76"/>
      <c r="M100" s="76"/>
      <c r="P100" s="89" t="s">
        <v>336</v>
      </c>
      <c r="Q100" s="89" t="s">
        <v>337</v>
      </c>
      <c r="R100" s="89" t="s">
        <v>338</v>
      </c>
      <c r="S100" s="89" t="s">
        <v>339</v>
      </c>
      <c r="T100" s="89" t="s">
        <v>340</v>
      </c>
      <c r="U100" s="89" t="s">
        <v>341</v>
      </c>
      <c r="V100" s="89" t="s">
        <v>342</v>
      </c>
      <c r="W100" s="89" t="s">
        <v>343</v>
      </c>
      <c r="X100" s="89" t="s">
        <v>344</v>
      </c>
      <c r="Y100" s="89" t="s">
        <v>345</v>
      </c>
      <c r="Z100" s="75" t="s">
        <v>346</v>
      </c>
      <c r="AA100" s="75" t="s">
        <v>347</v>
      </c>
      <c r="AB100" s="75" t="s">
        <v>348</v>
      </c>
      <c r="AC100" s="75" t="s">
        <v>349</v>
      </c>
      <c r="AD100" s="75" t="s">
        <v>350</v>
      </c>
      <c r="AE100" s="75" t="s">
        <v>351</v>
      </c>
      <c r="AF100" s="75" t="s">
        <v>352</v>
      </c>
      <c r="AG100" s="75" t="s">
        <v>353</v>
      </c>
      <c r="AH100" s="75" t="s">
        <v>354</v>
      </c>
      <c r="AI100" s="75" t="s">
        <v>355</v>
      </c>
      <c r="AJ100" s="75" t="s">
        <v>356</v>
      </c>
      <c r="AK100" s="75" t="s">
        <v>357</v>
      </c>
      <c r="AL100" s="75" t="s">
        <v>358</v>
      </c>
      <c r="AM100" s="75" t="s">
        <v>359</v>
      </c>
      <c r="AN100" s="75" t="s">
        <v>360</v>
      </c>
      <c r="AO100" s="75" t="s">
        <v>361</v>
      </c>
      <c r="AP100" s="75" t="s">
        <v>362</v>
      </c>
      <c r="AQ100" s="75" t="s">
        <v>363</v>
      </c>
      <c r="AR100" s="75" t="s">
        <v>364</v>
      </c>
    </row>
    <row r="101" spans="3:48" ht="16" customHeight="1" x14ac:dyDescent="0.55000000000000004">
      <c r="C101" s="90"/>
      <c r="D101" s="91"/>
      <c r="E101" s="91" t="s">
        <v>440</v>
      </c>
      <c r="F101" s="91"/>
      <c r="G101" s="91"/>
      <c r="H101" s="91"/>
      <c r="I101" s="91"/>
      <c r="J101" s="92"/>
      <c r="K101" s="76"/>
      <c r="L101" s="76"/>
      <c r="M101" s="76"/>
      <c r="P101" s="93">
        <v>2025</v>
      </c>
      <c r="Q101" s="93">
        <v>2026</v>
      </c>
      <c r="R101" s="93">
        <v>2027</v>
      </c>
      <c r="S101" s="93">
        <v>2028</v>
      </c>
      <c r="T101" s="93">
        <v>2029</v>
      </c>
      <c r="U101" s="93">
        <v>2030</v>
      </c>
      <c r="V101" s="93">
        <v>2031</v>
      </c>
      <c r="W101" s="93">
        <v>2032</v>
      </c>
      <c r="X101" s="93">
        <v>2033</v>
      </c>
      <c r="Y101" s="93">
        <v>2034</v>
      </c>
      <c r="Z101" s="75">
        <v>2035</v>
      </c>
      <c r="AA101" s="75">
        <v>2036</v>
      </c>
      <c r="AB101" s="75">
        <v>2037</v>
      </c>
      <c r="AC101" s="75">
        <v>2038</v>
      </c>
      <c r="AD101" s="75">
        <v>2039</v>
      </c>
      <c r="AE101" s="75">
        <v>2040</v>
      </c>
      <c r="AF101" s="75">
        <v>2041</v>
      </c>
      <c r="AG101" s="75">
        <v>2042</v>
      </c>
      <c r="AH101" s="75">
        <v>2043</v>
      </c>
      <c r="AI101" s="75">
        <v>2044</v>
      </c>
      <c r="AJ101" s="75">
        <v>2045</v>
      </c>
      <c r="AK101" s="75">
        <v>2046</v>
      </c>
      <c r="AL101" s="75">
        <v>2047</v>
      </c>
      <c r="AM101" s="75">
        <v>2048</v>
      </c>
      <c r="AN101" s="75">
        <v>2049</v>
      </c>
      <c r="AO101" s="75">
        <v>2050</v>
      </c>
      <c r="AP101" s="75">
        <v>2051</v>
      </c>
      <c r="AQ101" s="75">
        <v>2052</v>
      </c>
      <c r="AR101" s="75">
        <v>2053</v>
      </c>
    </row>
    <row r="102" spans="3:48" ht="16" customHeight="1" x14ac:dyDescent="0.55000000000000004">
      <c r="C102" s="425" t="s">
        <v>484</v>
      </c>
      <c r="D102" s="426"/>
      <c r="E102" s="426"/>
      <c r="F102" s="426"/>
      <c r="G102" s="426"/>
      <c r="H102" s="110"/>
      <c r="I102" s="110"/>
      <c r="J102" s="147"/>
      <c r="K102" s="148"/>
      <c r="L102" s="148"/>
      <c r="M102" s="148"/>
      <c r="N102" s="148"/>
      <c r="O102" s="148"/>
      <c r="P102" s="148">
        <f t="shared" ref="P102:AR102" si="34">P103+P104</f>
        <v>5720</v>
      </c>
      <c r="Q102" s="148">
        <f t="shared" si="34"/>
        <v>5955</v>
      </c>
      <c r="R102" s="148">
        <f t="shared" si="34"/>
        <v>6412</v>
      </c>
      <c r="S102" s="148">
        <f t="shared" si="34"/>
        <v>6531</v>
      </c>
      <c r="T102" s="148">
        <f t="shared" si="34"/>
        <v>7190</v>
      </c>
      <c r="U102" s="148">
        <f t="shared" si="34"/>
        <v>7795</v>
      </c>
      <c r="V102" s="148">
        <f t="shared" si="34"/>
        <v>8129</v>
      </c>
      <c r="W102" s="148">
        <f t="shared" si="34"/>
        <v>8392</v>
      </c>
      <c r="X102" s="148">
        <f t="shared" si="34"/>
        <v>8626</v>
      </c>
      <c r="Y102" s="148">
        <f t="shared" si="34"/>
        <v>9033</v>
      </c>
      <c r="Z102" s="149" t="e">
        <f t="shared" si="34"/>
        <v>#REF!</v>
      </c>
      <c r="AA102" s="149" t="e">
        <f t="shared" si="34"/>
        <v>#REF!</v>
      </c>
      <c r="AB102" s="149" t="e">
        <f t="shared" si="34"/>
        <v>#REF!</v>
      </c>
      <c r="AC102" s="149" t="e">
        <f t="shared" si="34"/>
        <v>#REF!</v>
      </c>
      <c r="AD102" s="149" t="e">
        <f t="shared" si="34"/>
        <v>#REF!</v>
      </c>
      <c r="AE102" s="149" t="e">
        <f t="shared" si="34"/>
        <v>#REF!</v>
      </c>
      <c r="AF102" s="149" t="e">
        <f t="shared" si="34"/>
        <v>#REF!</v>
      </c>
      <c r="AG102" s="149" t="e">
        <f t="shared" si="34"/>
        <v>#REF!</v>
      </c>
      <c r="AH102" s="149" t="e">
        <f t="shared" si="34"/>
        <v>#REF!</v>
      </c>
      <c r="AI102" s="149" t="e">
        <f t="shared" si="34"/>
        <v>#REF!</v>
      </c>
      <c r="AJ102" s="149" t="e">
        <f t="shared" si="34"/>
        <v>#REF!</v>
      </c>
      <c r="AK102" s="149" t="e">
        <f t="shared" si="34"/>
        <v>#REF!</v>
      </c>
      <c r="AL102" s="149" t="e">
        <f t="shared" si="34"/>
        <v>#REF!</v>
      </c>
      <c r="AM102" s="149" t="e">
        <f t="shared" si="34"/>
        <v>#REF!</v>
      </c>
      <c r="AN102" s="149" t="e">
        <f t="shared" si="34"/>
        <v>#REF!</v>
      </c>
      <c r="AO102" s="149" t="e">
        <f t="shared" si="34"/>
        <v>#REF!</v>
      </c>
      <c r="AP102" s="149" t="e">
        <f t="shared" si="34"/>
        <v>#REF!</v>
      </c>
      <c r="AQ102" s="149" t="e">
        <f t="shared" si="34"/>
        <v>#REF!</v>
      </c>
      <c r="AR102" s="149" t="e">
        <f t="shared" si="34"/>
        <v>#REF!</v>
      </c>
      <c r="AT102" s="75">
        <v>114000</v>
      </c>
      <c r="AU102" s="75">
        <v>76000</v>
      </c>
      <c r="AV102" s="75">
        <f>SUM(AT102:AU102)</f>
        <v>190000</v>
      </c>
    </row>
    <row r="103" spans="3:48" ht="16" customHeight="1" x14ac:dyDescent="0.55000000000000004">
      <c r="C103" s="150"/>
      <c r="D103" s="151"/>
      <c r="E103" s="152"/>
      <c r="F103" s="409" t="s">
        <v>485</v>
      </c>
      <c r="G103" s="408"/>
      <c r="H103" s="408"/>
      <c r="I103" s="408"/>
      <c r="J103" s="403"/>
      <c r="K103" s="153"/>
      <c r="L103" s="153"/>
      <c r="M103" s="153"/>
      <c r="N103" s="153"/>
      <c r="O103" s="153"/>
      <c r="P103" s="153">
        <v>1429</v>
      </c>
      <c r="Q103" s="153">
        <v>1664</v>
      </c>
      <c r="R103" s="153">
        <v>2121</v>
      </c>
      <c r="S103" s="153">
        <v>2240</v>
      </c>
      <c r="T103" s="153">
        <v>2899</v>
      </c>
      <c r="U103" s="153">
        <v>3504</v>
      </c>
      <c r="V103" s="153">
        <v>3838</v>
      </c>
      <c r="W103" s="153">
        <v>4101</v>
      </c>
      <c r="X103" s="153">
        <v>4335</v>
      </c>
      <c r="Y103" s="153">
        <v>4742</v>
      </c>
      <c r="Z103" s="129" t="e">
        <f>[12]公共下水道事業!AE107+#REF!+[12]農業集落排水事業!AE98</f>
        <v>#REF!</v>
      </c>
      <c r="AA103" s="129" t="e">
        <f>[12]公共下水道事業!AF107+#REF!+[12]農業集落排水事業!AF98</f>
        <v>#REF!</v>
      </c>
      <c r="AB103" s="129" t="e">
        <f>[12]公共下水道事業!AG107+#REF!+[12]農業集落排水事業!AG98</f>
        <v>#REF!</v>
      </c>
      <c r="AC103" s="129" t="e">
        <f>[12]公共下水道事業!AH107+#REF!+[12]農業集落排水事業!AH98</f>
        <v>#REF!</v>
      </c>
      <c r="AD103" s="129" t="e">
        <f>[12]公共下水道事業!AI107+#REF!+[12]農業集落排水事業!AI98</f>
        <v>#REF!</v>
      </c>
      <c r="AE103" s="129" t="e">
        <f>[12]公共下水道事業!AJ107+#REF!+[12]農業集落排水事業!AJ98</f>
        <v>#REF!</v>
      </c>
      <c r="AF103" s="129" t="e">
        <f>[12]公共下水道事業!AK107+#REF!+[12]農業集落排水事業!AK98</f>
        <v>#REF!</v>
      </c>
      <c r="AG103" s="129" t="e">
        <f>[12]公共下水道事業!AL107+#REF!+[12]農業集落排水事業!AL98</f>
        <v>#REF!</v>
      </c>
      <c r="AH103" s="129" t="e">
        <f>[12]公共下水道事業!AM107+#REF!+[12]農業集落排水事業!AM98</f>
        <v>#REF!</v>
      </c>
      <c r="AI103" s="129" t="e">
        <f>[12]公共下水道事業!AN107+#REF!+[12]農業集落排水事業!AN98</f>
        <v>#REF!</v>
      </c>
      <c r="AJ103" s="129" t="e">
        <f>[12]公共下水道事業!AO107+#REF!+[12]農業集落排水事業!AO98</f>
        <v>#REF!</v>
      </c>
      <c r="AK103" s="129" t="e">
        <f>[12]公共下水道事業!AP107+#REF!+[12]農業集落排水事業!AP98</f>
        <v>#REF!</v>
      </c>
      <c r="AL103" s="129" t="e">
        <f>[12]公共下水道事業!AQ107+#REF!+[12]農業集落排水事業!AQ98</f>
        <v>#REF!</v>
      </c>
      <c r="AM103" s="129" t="e">
        <f>[12]公共下水道事業!AR107+#REF!+[12]農業集落排水事業!AR98</f>
        <v>#REF!</v>
      </c>
      <c r="AN103" s="129" t="e">
        <f>[12]公共下水道事業!AS107+#REF!+[12]農業集落排水事業!AS98</f>
        <v>#REF!</v>
      </c>
      <c r="AO103" s="129" t="e">
        <f>[12]公共下水道事業!AT107+#REF!+[12]農業集落排水事業!AT98</f>
        <v>#REF!</v>
      </c>
      <c r="AP103" s="129" t="e">
        <f>[12]公共下水道事業!AU107+#REF!+[12]農業集落排水事業!AU98</f>
        <v>#REF!</v>
      </c>
      <c r="AQ103" s="129" t="e">
        <f>[12]公共下水道事業!AV107+#REF!+[12]農業集落排水事業!AV98</f>
        <v>#REF!</v>
      </c>
      <c r="AR103" s="129" t="e">
        <f>[12]公共下水道事業!AW107+#REF!+[12]農業集落排水事業!AW98</f>
        <v>#REF!</v>
      </c>
      <c r="AT103" s="75">
        <v>19019</v>
      </c>
      <c r="AU103" s="75">
        <v>6469</v>
      </c>
      <c r="AV103" s="75">
        <f>SUM(AT103:AU103)</f>
        <v>25488</v>
      </c>
    </row>
    <row r="104" spans="3:48" ht="16" customHeight="1" x14ac:dyDescent="0.55000000000000004">
      <c r="C104" s="154"/>
      <c r="D104" s="155"/>
      <c r="E104" s="156"/>
      <c r="F104" s="409" t="s">
        <v>486</v>
      </c>
      <c r="G104" s="408"/>
      <c r="H104" s="408"/>
      <c r="I104" s="408"/>
      <c r="J104" s="403"/>
      <c r="K104" s="153"/>
      <c r="L104" s="153"/>
      <c r="M104" s="153"/>
      <c r="N104" s="153"/>
      <c r="O104" s="153"/>
      <c r="P104" s="153">
        <v>4291</v>
      </c>
      <c r="Q104" s="153">
        <v>4291</v>
      </c>
      <c r="R104" s="153">
        <v>4291</v>
      </c>
      <c r="S104" s="153">
        <v>4291</v>
      </c>
      <c r="T104" s="153">
        <v>4291</v>
      </c>
      <c r="U104" s="153">
        <v>4291</v>
      </c>
      <c r="V104" s="153">
        <v>4291</v>
      </c>
      <c r="W104" s="153">
        <v>4291</v>
      </c>
      <c r="X104" s="153">
        <v>4291</v>
      </c>
      <c r="Y104" s="153">
        <v>4291</v>
      </c>
      <c r="Z104" s="129" t="e">
        <f>[12]公共下水道事業!AE108+#REF!+[12]農業集落排水事業!AE99</f>
        <v>#REF!</v>
      </c>
      <c r="AA104" s="129" t="e">
        <f>[12]公共下水道事業!AF108+#REF!+[12]農業集落排水事業!AF99</f>
        <v>#REF!</v>
      </c>
      <c r="AB104" s="129" t="e">
        <f>[12]公共下水道事業!AG108+#REF!+[12]農業集落排水事業!AG99</f>
        <v>#REF!</v>
      </c>
      <c r="AC104" s="129" t="e">
        <f>[12]公共下水道事業!AH108+#REF!+[12]農業集落排水事業!AH99</f>
        <v>#REF!</v>
      </c>
      <c r="AD104" s="129" t="e">
        <f>[12]公共下水道事業!AI108+#REF!+[12]農業集落排水事業!AI99</f>
        <v>#REF!</v>
      </c>
      <c r="AE104" s="129" t="e">
        <f>[12]公共下水道事業!AJ108+#REF!+[12]農業集落排水事業!AJ99</f>
        <v>#REF!</v>
      </c>
      <c r="AF104" s="129" t="e">
        <f>[12]公共下水道事業!AK108+#REF!+[12]農業集落排水事業!AK99</f>
        <v>#REF!</v>
      </c>
      <c r="AG104" s="129" t="e">
        <f>[12]公共下水道事業!AL108+#REF!+[12]農業集落排水事業!AL99</f>
        <v>#REF!</v>
      </c>
      <c r="AH104" s="129" t="e">
        <f>[12]公共下水道事業!AM108+#REF!+[12]農業集落排水事業!AM99</f>
        <v>#REF!</v>
      </c>
      <c r="AI104" s="129" t="e">
        <f>[12]公共下水道事業!AN108+#REF!+[12]農業集落排水事業!AN99</f>
        <v>#REF!</v>
      </c>
      <c r="AJ104" s="129" t="e">
        <f>[12]公共下水道事業!AO108+#REF!+[12]農業集落排水事業!AO99</f>
        <v>#REF!</v>
      </c>
      <c r="AK104" s="129" t="e">
        <f>[12]公共下水道事業!AP108+#REF!+[12]農業集落排水事業!AP99</f>
        <v>#REF!</v>
      </c>
      <c r="AL104" s="129" t="e">
        <f>[12]公共下水道事業!AQ108+#REF!+[12]農業集落排水事業!AQ99</f>
        <v>#REF!</v>
      </c>
      <c r="AM104" s="129" t="e">
        <f>[12]公共下水道事業!AR108+#REF!+[12]農業集落排水事業!AR99</f>
        <v>#REF!</v>
      </c>
      <c r="AN104" s="129" t="e">
        <f>[12]公共下水道事業!AS108+#REF!+[12]農業集落排水事業!AS99</f>
        <v>#REF!</v>
      </c>
      <c r="AO104" s="129" t="e">
        <f>[12]公共下水道事業!AT108+#REF!+[12]農業集落排水事業!AT99</f>
        <v>#REF!</v>
      </c>
      <c r="AP104" s="129" t="e">
        <f>[12]公共下水道事業!AU108+#REF!+[12]農業集落排水事業!AU99</f>
        <v>#REF!</v>
      </c>
      <c r="AQ104" s="129" t="e">
        <f>[12]公共下水道事業!AV108+#REF!+[12]農業集落排水事業!AV99</f>
        <v>#REF!</v>
      </c>
      <c r="AR104" s="129" t="e">
        <f>[12]公共下水道事業!AW108+#REF!+[12]農業集落排水事業!AW99</f>
        <v>#REF!</v>
      </c>
      <c r="AV104" s="75">
        <f>AV103/AV102</f>
        <v>0.13414736842105263</v>
      </c>
    </row>
    <row r="105" spans="3:48" ht="16" customHeight="1" x14ac:dyDescent="0.55000000000000004">
      <c r="C105" s="425" t="s">
        <v>487</v>
      </c>
      <c r="D105" s="426"/>
      <c r="E105" s="426"/>
      <c r="F105" s="426"/>
      <c r="G105" s="426"/>
      <c r="H105" s="110"/>
      <c r="I105" s="110"/>
      <c r="J105" s="147"/>
      <c r="K105" s="148"/>
      <c r="L105" s="148"/>
      <c r="M105" s="148"/>
      <c r="N105" s="148"/>
      <c r="O105" s="148"/>
      <c r="P105" s="148">
        <f t="shared" ref="P105:AR105" si="35">P106+P107</f>
        <v>7940</v>
      </c>
      <c r="Q105" s="148">
        <f t="shared" si="35"/>
        <v>7940</v>
      </c>
      <c r="R105" s="148">
        <f t="shared" si="35"/>
        <v>7940</v>
      </c>
      <c r="S105" s="148">
        <f t="shared" si="35"/>
        <v>7940</v>
      </c>
      <c r="T105" s="148">
        <f t="shared" si="35"/>
        <v>7940</v>
      </c>
      <c r="U105" s="148">
        <f t="shared" si="35"/>
        <v>7940</v>
      </c>
      <c r="V105" s="148">
        <f t="shared" si="35"/>
        <v>7940</v>
      </c>
      <c r="W105" s="148">
        <f t="shared" si="35"/>
        <v>7940</v>
      </c>
      <c r="X105" s="148">
        <f t="shared" si="35"/>
        <v>7940</v>
      </c>
      <c r="Y105" s="148">
        <f t="shared" si="35"/>
        <v>7940</v>
      </c>
      <c r="Z105" s="149" t="e">
        <f t="shared" si="35"/>
        <v>#REF!</v>
      </c>
      <c r="AA105" s="149" t="e">
        <f t="shared" si="35"/>
        <v>#REF!</v>
      </c>
      <c r="AB105" s="149" t="e">
        <f t="shared" si="35"/>
        <v>#REF!</v>
      </c>
      <c r="AC105" s="149" t="e">
        <f t="shared" si="35"/>
        <v>#REF!</v>
      </c>
      <c r="AD105" s="149" t="e">
        <f t="shared" si="35"/>
        <v>#REF!</v>
      </c>
      <c r="AE105" s="149" t="e">
        <f t="shared" si="35"/>
        <v>#REF!</v>
      </c>
      <c r="AF105" s="149" t="e">
        <f t="shared" si="35"/>
        <v>#REF!</v>
      </c>
      <c r="AG105" s="149" t="e">
        <f t="shared" si="35"/>
        <v>#REF!</v>
      </c>
      <c r="AH105" s="149" t="e">
        <f t="shared" si="35"/>
        <v>#REF!</v>
      </c>
      <c r="AI105" s="149" t="e">
        <f t="shared" si="35"/>
        <v>#REF!</v>
      </c>
      <c r="AJ105" s="149" t="e">
        <f t="shared" si="35"/>
        <v>#REF!</v>
      </c>
      <c r="AK105" s="149" t="e">
        <f t="shared" si="35"/>
        <v>#REF!</v>
      </c>
      <c r="AL105" s="149" t="e">
        <f t="shared" si="35"/>
        <v>#REF!</v>
      </c>
      <c r="AM105" s="149" t="e">
        <f t="shared" si="35"/>
        <v>#REF!</v>
      </c>
      <c r="AN105" s="149" t="e">
        <f t="shared" si="35"/>
        <v>#REF!</v>
      </c>
      <c r="AO105" s="149" t="e">
        <f t="shared" si="35"/>
        <v>#REF!</v>
      </c>
      <c r="AP105" s="149" t="e">
        <f t="shared" si="35"/>
        <v>#REF!</v>
      </c>
      <c r="AQ105" s="149" t="e">
        <f t="shared" si="35"/>
        <v>#REF!</v>
      </c>
      <c r="AR105" s="149" t="e">
        <f t="shared" si="35"/>
        <v>#REF!</v>
      </c>
    </row>
    <row r="106" spans="3:48" ht="16" customHeight="1" x14ac:dyDescent="0.55000000000000004">
      <c r="C106" s="150"/>
      <c r="D106" s="151"/>
      <c r="E106" s="152"/>
      <c r="F106" s="409" t="s">
        <v>485</v>
      </c>
      <c r="G106" s="408"/>
      <c r="H106" s="408"/>
      <c r="I106" s="408"/>
      <c r="J106" s="403"/>
      <c r="K106" s="153"/>
      <c r="L106" s="153"/>
      <c r="M106" s="153"/>
      <c r="N106" s="153"/>
      <c r="O106" s="153"/>
      <c r="P106" s="153">
        <f>P73</f>
        <v>7940</v>
      </c>
      <c r="Q106" s="153">
        <f t="shared" ref="Q106:Y106" si="36">Q73</f>
        <v>7940</v>
      </c>
      <c r="R106" s="153">
        <f t="shared" si="36"/>
        <v>7940</v>
      </c>
      <c r="S106" s="153">
        <f t="shared" si="36"/>
        <v>7940</v>
      </c>
      <c r="T106" s="153">
        <f t="shared" si="36"/>
        <v>7940</v>
      </c>
      <c r="U106" s="153">
        <f t="shared" si="36"/>
        <v>7940</v>
      </c>
      <c r="V106" s="153">
        <f t="shared" si="36"/>
        <v>7940</v>
      </c>
      <c r="W106" s="153">
        <f t="shared" si="36"/>
        <v>7940</v>
      </c>
      <c r="X106" s="153">
        <f t="shared" si="36"/>
        <v>7940</v>
      </c>
      <c r="Y106" s="153">
        <f t="shared" si="36"/>
        <v>7940</v>
      </c>
      <c r="Z106" s="129" t="e">
        <f>[12]公共下水道事業!AE110+#REF!+[12]農業集落排水事業!AE101</f>
        <v>#REF!</v>
      </c>
      <c r="AA106" s="129" t="e">
        <f>[12]公共下水道事業!AF110+#REF!+[12]農業集落排水事業!AF101</f>
        <v>#REF!</v>
      </c>
      <c r="AB106" s="129" t="e">
        <f>[12]公共下水道事業!AG110+#REF!+[12]農業集落排水事業!AG101</f>
        <v>#REF!</v>
      </c>
      <c r="AC106" s="129" t="e">
        <f>[12]公共下水道事業!AH110+#REF!+[12]農業集落排水事業!AH101</f>
        <v>#REF!</v>
      </c>
      <c r="AD106" s="129" t="e">
        <f>[12]公共下水道事業!AI110+#REF!+[12]農業集落排水事業!AI101</f>
        <v>#REF!</v>
      </c>
      <c r="AE106" s="129" t="e">
        <f>[12]公共下水道事業!AJ110+#REF!+[12]農業集落排水事業!AJ101</f>
        <v>#REF!</v>
      </c>
      <c r="AF106" s="129" t="e">
        <f>[12]公共下水道事業!AK110+#REF!+[12]農業集落排水事業!AK101</f>
        <v>#REF!</v>
      </c>
      <c r="AG106" s="129" t="e">
        <f>[12]公共下水道事業!AL110+#REF!+[12]農業集落排水事業!AL101</f>
        <v>#REF!</v>
      </c>
      <c r="AH106" s="129" t="e">
        <f>[12]公共下水道事業!AM110+#REF!+[12]農業集落排水事業!AM101</f>
        <v>#REF!</v>
      </c>
      <c r="AI106" s="129" t="e">
        <f>[12]公共下水道事業!AN110+#REF!+[12]農業集落排水事業!AN101</f>
        <v>#REF!</v>
      </c>
      <c r="AJ106" s="129" t="e">
        <f>[12]公共下水道事業!AO110+#REF!+[12]農業集落排水事業!AO101</f>
        <v>#REF!</v>
      </c>
      <c r="AK106" s="129" t="e">
        <f>[12]公共下水道事業!AP110+#REF!+[12]農業集落排水事業!AP101</f>
        <v>#REF!</v>
      </c>
      <c r="AL106" s="129" t="e">
        <f>[12]公共下水道事業!AQ110+#REF!+[12]農業集落排水事業!AQ101</f>
        <v>#REF!</v>
      </c>
      <c r="AM106" s="129" t="e">
        <f>[12]公共下水道事業!AR110+#REF!+[12]農業集落排水事業!AR101</f>
        <v>#REF!</v>
      </c>
      <c r="AN106" s="129" t="e">
        <f>[12]公共下水道事業!AS110+#REF!+[12]農業集落排水事業!AS101</f>
        <v>#REF!</v>
      </c>
      <c r="AO106" s="129" t="e">
        <f>[12]公共下水道事業!AT110+#REF!+[12]農業集落排水事業!AT101</f>
        <v>#REF!</v>
      </c>
      <c r="AP106" s="129" t="e">
        <f>[12]公共下水道事業!AU110+#REF!+[12]農業集落排水事業!AU101</f>
        <v>#REF!</v>
      </c>
      <c r="AQ106" s="129" t="e">
        <f>[12]公共下水道事業!AV110+#REF!+[12]農業集落排水事業!AV101</f>
        <v>#REF!</v>
      </c>
      <c r="AR106" s="129" t="e">
        <f>[12]公共下水道事業!AW110+#REF!+[12]農業集落排水事業!AW101</f>
        <v>#REF!</v>
      </c>
    </row>
    <row r="107" spans="3:48" ht="16" customHeight="1" x14ac:dyDescent="0.55000000000000004">
      <c r="C107" s="154"/>
      <c r="D107" s="155"/>
      <c r="E107" s="156"/>
      <c r="F107" s="409" t="s">
        <v>486</v>
      </c>
      <c r="G107" s="408"/>
      <c r="H107" s="408"/>
      <c r="I107" s="408"/>
      <c r="J107" s="403"/>
      <c r="K107" s="153"/>
      <c r="L107" s="153"/>
      <c r="M107" s="153"/>
      <c r="N107" s="153"/>
      <c r="O107" s="153"/>
      <c r="P107" s="153">
        <f>P71</f>
        <v>0</v>
      </c>
      <c r="Q107" s="153">
        <f t="shared" ref="Q107:Y107" si="37">Q71</f>
        <v>0</v>
      </c>
      <c r="R107" s="153">
        <f t="shared" si="37"/>
        <v>0</v>
      </c>
      <c r="S107" s="153">
        <f t="shared" si="37"/>
        <v>0</v>
      </c>
      <c r="T107" s="153">
        <f t="shared" si="37"/>
        <v>0</v>
      </c>
      <c r="U107" s="153">
        <f t="shared" si="37"/>
        <v>0</v>
      </c>
      <c r="V107" s="153">
        <f t="shared" si="37"/>
        <v>0</v>
      </c>
      <c r="W107" s="153">
        <f t="shared" si="37"/>
        <v>0</v>
      </c>
      <c r="X107" s="153">
        <f t="shared" si="37"/>
        <v>0</v>
      </c>
      <c r="Y107" s="153">
        <f t="shared" si="37"/>
        <v>0</v>
      </c>
      <c r="Z107" s="129" t="e">
        <f>[12]公共下水道事業!AE111+#REF!+[12]農業集落排水事業!AE102</f>
        <v>#REF!</v>
      </c>
      <c r="AA107" s="129" t="e">
        <f>[12]公共下水道事業!AF111+#REF!+[12]農業集落排水事業!AF102</f>
        <v>#REF!</v>
      </c>
      <c r="AB107" s="129" t="e">
        <f>[12]公共下水道事業!AG111+#REF!+[12]農業集落排水事業!AG102</f>
        <v>#REF!</v>
      </c>
      <c r="AC107" s="129" t="e">
        <f>[12]公共下水道事業!AH111+#REF!+[12]農業集落排水事業!AH102</f>
        <v>#REF!</v>
      </c>
      <c r="AD107" s="129" t="e">
        <f>[12]公共下水道事業!AI111+#REF!+[12]農業集落排水事業!AI102</f>
        <v>#REF!</v>
      </c>
      <c r="AE107" s="129" t="e">
        <f>[12]公共下水道事業!AJ111+#REF!+[12]農業集落排水事業!AJ102</f>
        <v>#REF!</v>
      </c>
      <c r="AF107" s="129" t="e">
        <f>[12]公共下水道事業!AK111+#REF!+[12]農業集落排水事業!AK102</f>
        <v>#REF!</v>
      </c>
      <c r="AG107" s="129" t="e">
        <f>[12]公共下水道事業!AL111+#REF!+[12]農業集落排水事業!AL102</f>
        <v>#REF!</v>
      </c>
      <c r="AH107" s="129" t="e">
        <f>[12]公共下水道事業!AM111+#REF!+[12]農業集落排水事業!AM102</f>
        <v>#REF!</v>
      </c>
      <c r="AI107" s="129" t="e">
        <f>[12]公共下水道事業!AN111+#REF!+[12]農業集落排水事業!AN102</f>
        <v>#REF!</v>
      </c>
      <c r="AJ107" s="129" t="e">
        <f>[12]公共下水道事業!AO111+#REF!+[12]農業集落排水事業!AO102</f>
        <v>#REF!</v>
      </c>
      <c r="AK107" s="129" t="e">
        <f>[12]公共下水道事業!AP111+#REF!+[12]農業集落排水事業!AP102</f>
        <v>#REF!</v>
      </c>
      <c r="AL107" s="129" t="e">
        <f>[12]公共下水道事業!AQ111+#REF!+[12]農業集落排水事業!AQ102</f>
        <v>#REF!</v>
      </c>
      <c r="AM107" s="129" t="e">
        <f>[12]公共下水道事業!AR111+#REF!+[12]農業集落排水事業!AR102</f>
        <v>#REF!</v>
      </c>
      <c r="AN107" s="129" t="e">
        <f>[12]公共下水道事業!AS111+#REF!+[12]農業集落排水事業!AS102</f>
        <v>#REF!</v>
      </c>
      <c r="AO107" s="129" t="e">
        <f>[12]公共下水道事業!AT111+#REF!+[12]農業集落排水事業!AT102</f>
        <v>#REF!</v>
      </c>
      <c r="AP107" s="129" t="e">
        <f>[12]公共下水道事業!AU111+#REF!+[12]農業集落排水事業!AU102</f>
        <v>#REF!</v>
      </c>
      <c r="AQ107" s="129" t="e">
        <f>[12]公共下水道事業!AV111+#REF!+[12]農業集落排水事業!AV102</f>
        <v>#REF!</v>
      </c>
      <c r="AR107" s="129" t="e">
        <f>[12]公共下水道事業!AW111+#REF!+[12]農業集落排水事業!AW102</f>
        <v>#REF!</v>
      </c>
    </row>
    <row r="108" spans="3:48" ht="16" customHeight="1" x14ac:dyDescent="0.55000000000000004">
      <c r="C108" s="409" t="s">
        <v>488</v>
      </c>
      <c r="D108" s="408"/>
      <c r="E108" s="408"/>
      <c r="F108" s="408"/>
      <c r="G108" s="408"/>
      <c r="H108" s="110"/>
      <c r="I108" s="110"/>
      <c r="J108" s="147"/>
      <c r="K108" s="148"/>
      <c r="L108" s="148"/>
      <c r="M108" s="148"/>
      <c r="N108" s="148"/>
      <c r="O108" s="148"/>
      <c r="P108" s="148">
        <f t="shared" ref="P108:AR108" si="38">P102+P105</f>
        <v>13660</v>
      </c>
      <c r="Q108" s="148">
        <f t="shared" si="38"/>
        <v>13895</v>
      </c>
      <c r="R108" s="148">
        <f t="shared" si="38"/>
        <v>14352</v>
      </c>
      <c r="S108" s="148">
        <f t="shared" si="38"/>
        <v>14471</v>
      </c>
      <c r="T108" s="148">
        <f t="shared" si="38"/>
        <v>15130</v>
      </c>
      <c r="U108" s="148">
        <f t="shared" si="38"/>
        <v>15735</v>
      </c>
      <c r="V108" s="148">
        <f t="shared" si="38"/>
        <v>16069</v>
      </c>
      <c r="W108" s="148">
        <f t="shared" si="38"/>
        <v>16332</v>
      </c>
      <c r="X108" s="148">
        <f t="shared" si="38"/>
        <v>16566</v>
      </c>
      <c r="Y108" s="148">
        <f t="shared" si="38"/>
        <v>16973</v>
      </c>
      <c r="Z108" s="149" t="e">
        <f t="shared" si="38"/>
        <v>#REF!</v>
      </c>
      <c r="AA108" s="149" t="e">
        <f t="shared" si="38"/>
        <v>#REF!</v>
      </c>
      <c r="AB108" s="149" t="e">
        <f t="shared" si="38"/>
        <v>#REF!</v>
      </c>
      <c r="AC108" s="149" t="e">
        <f t="shared" si="38"/>
        <v>#REF!</v>
      </c>
      <c r="AD108" s="149" t="e">
        <f t="shared" si="38"/>
        <v>#REF!</v>
      </c>
      <c r="AE108" s="149" t="e">
        <f t="shared" si="38"/>
        <v>#REF!</v>
      </c>
      <c r="AF108" s="149" t="e">
        <f t="shared" si="38"/>
        <v>#REF!</v>
      </c>
      <c r="AG108" s="149" t="e">
        <f t="shared" si="38"/>
        <v>#REF!</v>
      </c>
      <c r="AH108" s="149" t="e">
        <f t="shared" si="38"/>
        <v>#REF!</v>
      </c>
      <c r="AI108" s="149" t="e">
        <f t="shared" si="38"/>
        <v>#REF!</v>
      </c>
      <c r="AJ108" s="149" t="e">
        <f t="shared" si="38"/>
        <v>#REF!</v>
      </c>
      <c r="AK108" s="149" t="e">
        <f t="shared" si="38"/>
        <v>#REF!</v>
      </c>
      <c r="AL108" s="149" t="e">
        <f t="shared" si="38"/>
        <v>#REF!</v>
      </c>
      <c r="AM108" s="149" t="e">
        <f t="shared" si="38"/>
        <v>#REF!</v>
      </c>
      <c r="AN108" s="149" t="e">
        <f t="shared" si="38"/>
        <v>#REF!</v>
      </c>
      <c r="AO108" s="149" t="e">
        <f t="shared" si="38"/>
        <v>#REF!</v>
      </c>
      <c r="AP108" s="149" t="e">
        <f t="shared" si="38"/>
        <v>#REF!</v>
      </c>
      <c r="AQ108" s="149" t="e">
        <f t="shared" si="38"/>
        <v>#REF!</v>
      </c>
      <c r="AR108" s="149" t="e">
        <f t="shared" si="38"/>
        <v>#REF!</v>
      </c>
      <c r="AS108" s="143">
        <f>P108-Y108</f>
        <v>-3313</v>
      </c>
      <c r="AT108" s="157">
        <f>Y108/P108</f>
        <v>1.2425329428989751</v>
      </c>
    </row>
    <row r="110" spans="3:48" x14ac:dyDescent="0.55000000000000004">
      <c r="K110" s="76"/>
      <c r="L110" s="76"/>
      <c r="M110" s="76"/>
      <c r="P110" s="75" t="s">
        <v>336</v>
      </c>
      <c r="Q110" s="75" t="s">
        <v>337</v>
      </c>
      <c r="R110" s="75" t="s">
        <v>338</v>
      </c>
      <c r="S110" s="75" t="s">
        <v>339</v>
      </c>
      <c r="T110" s="75" t="s">
        <v>340</v>
      </c>
      <c r="U110" s="75" t="s">
        <v>341</v>
      </c>
      <c r="V110" s="75" t="s">
        <v>342</v>
      </c>
      <c r="W110" s="75" t="s">
        <v>343</v>
      </c>
      <c r="X110" s="75" t="s">
        <v>344</v>
      </c>
      <c r="Y110" s="75" t="s">
        <v>345</v>
      </c>
      <c r="Z110" s="75" t="s">
        <v>346</v>
      </c>
      <c r="AA110" s="75" t="s">
        <v>347</v>
      </c>
      <c r="AB110" s="75" t="s">
        <v>348</v>
      </c>
      <c r="AC110" s="75" t="s">
        <v>349</v>
      </c>
      <c r="AD110" s="75" t="s">
        <v>350</v>
      </c>
      <c r="AE110" s="75" t="s">
        <v>351</v>
      </c>
      <c r="AF110" s="75" t="s">
        <v>352</v>
      </c>
      <c r="AG110" s="75" t="s">
        <v>353</v>
      </c>
      <c r="AH110" s="75" t="s">
        <v>354</v>
      </c>
      <c r="AI110" s="75" t="s">
        <v>355</v>
      </c>
      <c r="AJ110" s="75" t="s">
        <v>356</v>
      </c>
      <c r="AK110" s="75" t="s">
        <v>357</v>
      </c>
      <c r="AL110" s="75" t="s">
        <v>358</v>
      </c>
      <c r="AM110" s="75" t="s">
        <v>359</v>
      </c>
      <c r="AN110" s="75" t="s">
        <v>360</v>
      </c>
      <c r="AO110" s="75" t="s">
        <v>361</v>
      </c>
      <c r="AP110" s="75" t="s">
        <v>362</v>
      </c>
      <c r="AQ110" s="75" t="s">
        <v>363</v>
      </c>
      <c r="AR110" s="75" t="s">
        <v>364</v>
      </c>
    </row>
    <row r="111" spans="3:48" x14ac:dyDescent="0.55000000000000004">
      <c r="K111" s="76"/>
      <c r="L111" s="76"/>
      <c r="M111" s="76"/>
      <c r="P111" s="75">
        <v>2025</v>
      </c>
      <c r="Q111" s="75">
        <v>2026</v>
      </c>
      <c r="R111" s="75">
        <v>2027</v>
      </c>
      <c r="S111" s="75">
        <v>2028</v>
      </c>
      <c r="T111" s="75">
        <v>2029</v>
      </c>
      <c r="U111" s="75">
        <v>2030</v>
      </c>
      <c r="V111" s="75">
        <v>2031</v>
      </c>
      <c r="W111" s="75">
        <v>2032</v>
      </c>
      <c r="X111" s="75">
        <v>2033</v>
      </c>
      <c r="Y111" s="75">
        <v>2034</v>
      </c>
      <c r="Z111" s="75">
        <v>2035</v>
      </c>
      <c r="AA111" s="75">
        <v>2036</v>
      </c>
      <c r="AB111" s="75">
        <v>2037</v>
      </c>
      <c r="AC111" s="75">
        <v>2038</v>
      </c>
      <c r="AD111" s="75">
        <v>2039</v>
      </c>
      <c r="AE111" s="75">
        <v>2040</v>
      </c>
      <c r="AF111" s="75">
        <v>2041</v>
      </c>
      <c r="AG111" s="75">
        <v>2042</v>
      </c>
      <c r="AH111" s="75">
        <v>2043</v>
      </c>
      <c r="AI111" s="75">
        <v>2044</v>
      </c>
      <c r="AJ111" s="75">
        <v>2045</v>
      </c>
      <c r="AK111" s="75">
        <v>2046</v>
      </c>
      <c r="AL111" s="75">
        <v>2047</v>
      </c>
      <c r="AM111" s="75">
        <v>2048</v>
      </c>
      <c r="AN111" s="75">
        <v>2049</v>
      </c>
      <c r="AO111" s="75">
        <v>2050</v>
      </c>
      <c r="AP111" s="75">
        <v>2051</v>
      </c>
      <c r="AQ111" s="75">
        <v>2052</v>
      </c>
      <c r="AR111" s="75">
        <v>2053</v>
      </c>
    </row>
    <row r="112" spans="3:48" x14ac:dyDescent="0.55000000000000004">
      <c r="C112" s="430" t="s">
        <v>489</v>
      </c>
      <c r="D112" s="430"/>
      <c r="E112" s="430"/>
      <c r="F112" s="430"/>
      <c r="G112" s="430"/>
      <c r="H112" s="430"/>
      <c r="I112" s="430"/>
      <c r="J112" s="430"/>
      <c r="K112" s="172"/>
      <c r="L112" s="172"/>
      <c r="M112" s="172"/>
      <c r="N112" s="172"/>
      <c r="O112" s="172"/>
      <c r="P112" s="172">
        <f t="shared" ref="P112:AR112" si="39">P21</f>
        <v>1.1021760384737342</v>
      </c>
      <c r="Q112" s="172">
        <f t="shared" si="39"/>
        <v>1.0916273993373025</v>
      </c>
      <c r="R112" s="172">
        <f t="shared" si="39"/>
        <v>1.0571732689291138</v>
      </c>
      <c r="S112" s="172">
        <f t="shared" si="39"/>
        <v>1.0584482154796395</v>
      </c>
      <c r="T112" s="172">
        <f t="shared" si="39"/>
        <v>1.0424948123703093</v>
      </c>
      <c r="U112" s="172">
        <f t="shared" si="39"/>
        <v>1.0257770668359902</v>
      </c>
      <c r="V112" s="172">
        <f t="shared" si="39"/>
        <v>1.0215802950416775</v>
      </c>
      <c r="W112" s="172">
        <f t="shared" si="39"/>
        <v>1.0321521747118552</v>
      </c>
      <c r="X112" s="172">
        <f t="shared" si="39"/>
        <v>1.042669475771471</v>
      </c>
      <c r="Y112" s="172">
        <f t="shared" si="39"/>
        <v>1.0534479583997358</v>
      </c>
      <c r="Z112" s="169" t="e">
        <f t="shared" si="39"/>
        <v>#REF!</v>
      </c>
      <c r="AA112" s="158" t="e">
        <f t="shared" si="39"/>
        <v>#REF!</v>
      </c>
      <c r="AB112" s="158" t="e">
        <f t="shared" si="39"/>
        <v>#REF!</v>
      </c>
      <c r="AC112" s="158" t="e">
        <f t="shared" si="39"/>
        <v>#REF!</v>
      </c>
      <c r="AD112" s="158" t="e">
        <f t="shared" si="39"/>
        <v>#REF!</v>
      </c>
      <c r="AE112" s="158" t="e">
        <f t="shared" si="39"/>
        <v>#REF!</v>
      </c>
      <c r="AF112" s="158" t="e">
        <f t="shared" si="39"/>
        <v>#REF!</v>
      </c>
      <c r="AG112" s="158" t="e">
        <f t="shared" si="39"/>
        <v>#REF!</v>
      </c>
      <c r="AH112" s="158" t="e">
        <f t="shared" si="39"/>
        <v>#REF!</v>
      </c>
      <c r="AI112" s="158" t="e">
        <f t="shared" si="39"/>
        <v>#REF!</v>
      </c>
      <c r="AJ112" s="158" t="e">
        <f t="shared" si="39"/>
        <v>#REF!</v>
      </c>
      <c r="AK112" s="158" t="e">
        <f t="shared" si="39"/>
        <v>#REF!</v>
      </c>
      <c r="AL112" s="158" t="e">
        <f t="shared" si="39"/>
        <v>#REF!</v>
      </c>
      <c r="AM112" s="158" t="e">
        <f t="shared" si="39"/>
        <v>#REF!</v>
      </c>
      <c r="AN112" s="158" t="e">
        <f t="shared" si="39"/>
        <v>#REF!</v>
      </c>
      <c r="AO112" s="158" t="e">
        <f t="shared" si="39"/>
        <v>#REF!</v>
      </c>
      <c r="AP112" s="158" t="e">
        <f t="shared" si="39"/>
        <v>#REF!</v>
      </c>
      <c r="AQ112" s="158" t="e">
        <f t="shared" si="39"/>
        <v>#REF!</v>
      </c>
      <c r="AR112" s="158" t="e">
        <f t="shared" si="39"/>
        <v>#REF!</v>
      </c>
    </row>
    <row r="113" spans="3:44" hidden="1" x14ac:dyDescent="0.55000000000000004">
      <c r="C113" s="430" t="s">
        <v>490</v>
      </c>
      <c r="D113" s="430"/>
      <c r="E113" s="430"/>
      <c r="F113" s="430"/>
      <c r="G113" s="430"/>
      <c r="H113" s="430"/>
      <c r="I113" s="430"/>
      <c r="J113" s="430"/>
      <c r="K113" s="173"/>
      <c r="L113" s="173"/>
      <c r="M113" s="173"/>
      <c r="N113" s="173"/>
      <c r="O113" s="173"/>
      <c r="P113" s="173">
        <f t="shared" ref="P113:AR113" si="40">P16</f>
        <v>72463</v>
      </c>
      <c r="Q113" s="173">
        <f t="shared" si="40"/>
        <v>73868</v>
      </c>
      <c r="R113" s="173">
        <f t="shared" si="40"/>
        <v>78891</v>
      </c>
      <c r="S113" s="173">
        <f t="shared" si="40"/>
        <v>78669</v>
      </c>
      <c r="T113" s="173">
        <f t="shared" si="40"/>
        <v>81007</v>
      </c>
      <c r="U113" s="173">
        <f t="shared" si="40"/>
        <v>83584</v>
      </c>
      <c r="V113" s="173">
        <f t="shared" si="40"/>
        <v>84428</v>
      </c>
      <c r="W113" s="173">
        <f t="shared" si="40"/>
        <v>82474</v>
      </c>
      <c r="X113" s="173">
        <f t="shared" si="40"/>
        <v>80838</v>
      </c>
      <c r="Y113" s="173">
        <f t="shared" si="40"/>
        <v>79306</v>
      </c>
      <c r="Z113" s="170" t="e">
        <f t="shared" si="40"/>
        <v>#REF!</v>
      </c>
      <c r="AA113" s="159" t="e">
        <f t="shared" si="40"/>
        <v>#REF!</v>
      </c>
      <c r="AB113" s="159" t="e">
        <f t="shared" si="40"/>
        <v>#REF!</v>
      </c>
      <c r="AC113" s="159" t="e">
        <f t="shared" si="40"/>
        <v>#REF!</v>
      </c>
      <c r="AD113" s="159" t="e">
        <f t="shared" si="40"/>
        <v>#REF!</v>
      </c>
      <c r="AE113" s="159" t="e">
        <f t="shared" si="40"/>
        <v>#REF!</v>
      </c>
      <c r="AF113" s="159" t="e">
        <f t="shared" si="40"/>
        <v>#REF!</v>
      </c>
      <c r="AG113" s="159" t="e">
        <f t="shared" si="40"/>
        <v>#REF!</v>
      </c>
      <c r="AH113" s="159" t="e">
        <f t="shared" si="40"/>
        <v>#REF!</v>
      </c>
      <c r="AI113" s="159" t="e">
        <f t="shared" si="40"/>
        <v>#REF!</v>
      </c>
      <c r="AJ113" s="159" t="e">
        <f t="shared" si="40"/>
        <v>#REF!</v>
      </c>
      <c r="AK113" s="159" t="e">
        <f t="shared" si="40"/>
        <v>#REF!</v>
      </c>
      <c r="AL113" s="159" t="e">
        <f t="shared" si="40"/>
        <v>#REF!</v>
      </c>
      <c r="AM113" s="159" t="e">
        <f t="shared" si="40"/>
        <v>#REF!</v>
      </c>
      <c r="AN113" s="159" t="e">
        <f t="shared" si="40"/>
        <v>#REF!</v>
      </c>
      <c r="AO113" s="159" t="e">
        <f t="shared" si="40"/>
        <v>#REF!</v>
      </c>
      <c r="AP113" s="159" t="e">
        <f t="shared" si="40"/>
        <v>#REF!</v>
      </c>
      <c r="AQ113" s="159" t="e">
        <f t="shared" si="40"/>
        <v>#REF!</v>
      </c>
      <c r="AR113" s="159" t="e">
        <f t="shared" si="40"/>
        <v>#REF!</v>
      </c>
    </row>
    <row r="114" spans="3:44" hidden="1" x14ac:dyDescent="0.55000000000000004">
      <c r="C114" s="430" t="s">
        <v>491</v>
      </c>
      <c r="D114" s="430"/>
      <c r="E114" s="430"/>
      <c r="F114" s="430"/>
      <c r="G114" s="430"/>
      <c r="H114" s="430"/>
      <c r="I114" s="430"/>
      <c r="J114" s="430"/>
      <c r="K114" s="172"/>
      <c r="L114" s="172"/>
      <c r="M114" s="172"/>
      <c r="N114" s="172"/>
      <c r="O114" s="172"/>
      <c r="P114" s="172">
        <f t="shared" ref="P114:AR114" si="41">P18</f>
        <v>1.1537750300153182</v>
      </c>
      <c r="Q114" s="172">
        <f t="shared" si="41"/>
        <v>1.1312611685709644</v>
      </c>
      <c r="R114" s="172">
        <f t="shared" si="41"/>
        <v>1.0616166609625939</v>
      </c>
      <c r="S114" s="172">
        <f t="shared" si="41"/>
        <v>1.0617142711868717</v>
      </c>
      <c r="T114" s="172">
        <f t="shared" si="41"/>
        <v>1.0305529151801696</v>
      </c>
      <c r="U114" s="172">
        <f t="shared" si="41"/>
        <v>0.99877967075038288</v>
      </c>
      <c r="V114" s="172">
        <f t="shared" si="41"/>
        <v>0.9910100914388591</v>
      </c>
      <c r="W114" s="172">
        <f t="shared" si="41"/>
        <v>1.0112277808763974</v>
      </c>
      <c r="X114" s="172">
        <f t="shared" si="41"/>
        <v>1.0316930156609516</v>
      </c>
      <c r="Y114" s="172">
        <f t="shared" si="41"/>
        <v>1.0516228280331879</v>
      </c>
      <c r="Z114" s="169" t="e">
        <f t="shared" si="41"/>
        <v>#REF!</v>
      </c>
      <c r="AA114" s="158" t="e">
        <f t="shared" si="41"/>
        <v>#REF!</v>
      </c>
      <c r="AB114" s="158" t="e">
        <f t="shared" si="41"/>
        <v>#REF!</v>
      </c>
      <c r="AC114" s="158" t="e">
        <f t="shared" si="41"/>
        <v>#REF!</v>
      </c>
      <c r="AD114" s="158" t="e">
        <f t="shared" si="41"/>
        <v>#REF!</v>
      </c>
      <c r="AE114" s="158" t="e">
        <f t="shared" si="41"/>
        <v>#REF!</v>
      </c>
      <c r="AF114" s="158" t="e">
        <f t="shared" si="41"/>
        <v>#REF!</v>
      </c>
      <c r="AG114" s="158" t="e">
        <f t="shared" si="41"/>
        <v>#REF!</v>
      </c>
      <c r="AH114" s="158" t="e">
        <f t="shared" si="41"/>
        <v>#REF!</v>
      </c>
      <c r="AI114" s="158" t="e">
        <f t="shared" si="41"/>
        <v>#REF!</v>
      </c>
      <c r="AJ114" s="158" t="e">
        <f t="shared" si="41"/>
        <v>#REF!</v>
      </c>
      <c r="AK114" s="158" t="e">
        <f t="shared" si="41"/>
        <v>#REF!</v>
      </c>
      <c r="AL114" s="158" t="e">
        <f t="shared" si="41"/>
        <v>#REF!</v>
      </c>
      <c r="AM114" s="158" t="e">
        <f t="shared" si="41"/>
        <v>#REF!</v>
      </c>
      <c r="AN114" s="158" t="e">
        <f t="shared" si="41"/>
        <v>#REF!</v>
      </c>
      <c r="AO114" s="158" t="e">
        <f t="shared" si="41"/>
        <v>#REF!</v>
      </c>
      <c r="AP114" s="158" t="e">
        <f t="shared" si="41"/>
        <v>#REF!</v>
      </c>
      <c r="AQ114" s="158" t="e">
        <f t="shared" si="41"/>
        <v>#REF!</v>
      </c>
      <c r="AR114" s="158" t="e">
        <f t="shared" si="41"/>
        <v>#REF!</v>
      </c>
    </row>
    <row r="115" spans="3:44" hidden="1" x14ac:dyDescent="0.55000000000000004">
      <c r="C115" s="430" t="s">
        <v>492</v>
      </c>
      <c r="D115" s="430"/>
      <c r="E115" s="430"/>
      <c r="F115" s="430"/>
      <c r="G115" s="430"/>
      <c r="H115" s="430"/>
      <c r="I115" s="430"/>
      <c r="J115" s="430"/>
      <c r="K115" s="173"/>
      <c r="L115" s="173"/>
      <c r="M115" s="173"/>
      <c r="N115" s="173"/>
      <c r="O115" s="173"/>
      <c r="P115" s="173">
        <f>'[13]P参考　R12繰入０円180％'!D17</f>
        <v>3016564</v>
      </c>
      <c r="Q115" s="173">
        <f>'[13]P参考　R12繰入０円180％'!E17</f>
        <v>3008548</v>
      </c>
      <c r="R115" s="173">
        <f>'[13]P参考　R12繰入０円180％'!F17</f>
        <v>3000651</v>
      </c>
      <c r="S115" s="173">
        <f>'[13]P参考　R12繰入０円180％'!G17</f>
        <v>2992755</v>
      </c>
      <c r="T115" s="173">
        <f>'[13]P参考　R12繰入０円180％'!H17</f>
        <v>2984739</v>
      </c>
      <c r="U115" s="173">
        <f>'[13]P参考　R12繰入０円180％'!I17</f>
        <v>2963921</v>
      </c>
      <c r="V115" s="173">
        <f>'[13]P参考　R12繰入０円180％'!J17</f>
        <v>2943103</v>
      </c>
      <c r="W115" s="173">
        <f>'[13]P参考　R12繰入０円180％'!K17</f>
        <v>2922285</v>
      </c>
      <c r="X115" s="173">
        <f>'[13]P参考　R12繰入０円180％'!L17</f>
        <v>2901467</v>
      </c>
      <c r="Y115" s="173">
        <f>'[13]P参考　R12繰入０円180％'!M17</f>
        <v>2880649</v>
      </c>
      <c r="Z115" s="170">
        <f t="shared" ref="Z115:AR115" si="42">Z19</f>
        <v>0</v>
      </c>
      <c r="AA115" s="159">
        <f t="shared" si="42"/>
        <v>0</v>
      </c>
      <c r="AB115" s="159">
        <f t="shared" si="42"/>
        <v>0</v>
      </c>
      <c r="AC115" s="159">
        <f t="shared" si="42"/>
        <v>0</v>
      </c>
      <c r="AD115" s="159">
        <f t="shared" si="42"/>
        <v>0</v>
      </c>
      <c r="AE115" s="159">
        <f t="shared" si="42"/>
        <v>0</v>
      </c>
      <c r="AF115" s="159">
        <f t="shared" si="42"/>
        <v>0</v>
      </c>
      <c r="AG115" s="159">
        <f t="shared" si="42"/>
        <v>0</v>
      </c>
      <c r="AH115" s="159">
        <f t="shared" si="42"/>
        <v>0</v>
      </c>
      <c r="AI115" s="159">
        <f t="shared" si="42"/>
        <v>0</v>
      </c>
      <c r="AJ115" s="159">
        <f t="shared" si="42"/>
        <v>0</v>
      </c>
      <c r="AK115" s="159">
        <f t="shared" si="42"/>
        <v>0</v>
      </c>
      <c r="AL115" s="159">
        <f t="shared" si="42"/>
        <v>0</v>
      </c>
      <c r="AM115" s="159">
        <f t="shared" si="42"/>
        <v>0</v>
      </c>
      <c r="AN115" s="159">
        <f t="shared" si="42"/>
        <v>0</v>
      </c>
      <c r="AO115" s="159">
        <f t="shared" si="42"/>
        <v>0</v>
      </c>
      <c r="AP115" s="159">
        <f t="shared" si="42"/>
        <v>0</v>
      </c>
      <c r="AQ115" s="159">
        <f t="shared" si="42"/>
        <v>0</v>
      </c>
      <c r="AR115" s="159">
        <f t="shared" si="42"/>
        <v>0</v>
      </c>
    </row>
    <row r="116" spans="3:44" hidden="1" x14ac:dyDescent="0.55000000000000004">
      <c r="C116" s="430" t="s">
        <v>493</v>
      </c>
      <c r="D116" s="430"/>
      <c r="E116" s="430"/>
      <c r="F116" s="430"/>
      <c r="G116" s="430"/>
      <c r="H116" s="430"/>
      <c r="I116" s="430"/>
      <c r="J116" s="430"/>
      <c r="K116" s="174"/>
      <c r="L116" s="174"/>
      <c r="M116" s="174"/>
      <c r="N116" s="174"/>
      <c r="O116" s="174"/>
      <c r="P116" s="174">
        <f>ROUND(P113*1000/P115,0)</f>
        <v>24</v>
      </c>
      <c r="Q116" s="174">
        <f t="shared" ref="Q116:Y116" si="43">ROUND(Q113*1000/Q115,0)</f>
        <v>25</v>
      </c>
      <c r="R116" s="174">
        <f t="shared" si="43"/>
        <v>26</v>
      </c>
      <c r="S116" s="174">
        <f t="shared" si="43"/>
        <v>26</v>
      </c>
      <c r="T116" s="174">
        <f t="shared" si="43"/>
        <v>27</v>
      </c>
      <c r="U116" s="174">
        <f t="shared" si="43"/>
        <v>28</v>
      </c>
      <c r="V116" s="174">
        <f t="shared" si="43"/>
        <v>29</v>
      </c>
      <c r="W116" s="174">
        <f t="shared" si="43"/>
        <v>28</v>
      </c>
      <c r="X116" s="174">
        <f t="shared" si="43"/>
        <v>28</v>
      </c>
      <c r="Y116" s="174">
        <f t="shared" si="43"/>
        <v>28</v>
      </c>
      <c r="Z116" s="171" t="e">
        <f t="shared" ref="Z116:AR116" si="44">Z20</f>
        <v>#REF!</v>
      </c>
      <c r="AA116" s="160" t="e">
        <f t="shared" si="44"/>
        <v>#REF!</v>
      </c>
      <c r="AB116" s="160" t="e">
        <f t="shared" si="44"/>
        <v>#REF!</v>
      </c>
      <c r="AC116" s="160" t="e">
        <f t="shared" si="44"/>
        <v>#REF!</v>
      </c>
      <c r="AD116" s="160" t="e">
        <f t="shared" si="44"/>
        <v>#REF!</v>
      </c>
      <c r="AE116" s="160" t="e">
        <f t="shared" si="44"/>
        <v>#REF!</v>
      </c>
      <c r="AF116" s="160" t="e">
        <f t="shared" si="44"/>
        <v>#REF!</v>
      </c>
      <c r="AG116" s="160" t="e">
        <f t="shared" si="44"/>
        <v>#REF!</v>
      </c>
      <c r="AH116" s="160" t="e">
        <f t="shared" si="44"/>
        <v>#REF!</v>
      </c>
      <c r="AI116" s="160" t="e">
        <f t="shared" si="44"/>
        <v>#REF!</v>
      </c>
      <c r="AJ116" s="160" t="e">
        <f t="shared" si="44"/>
        <v>#REF!</v>
      </c>
      <c r="AK116" s="160" t="e">
        <f t="shared" si="44"/>
        <v>#REF!</v>
      </c>
      <c r="AL116" s="160" t="e">
        <f t="shared" si="44"/>
        <v>#REF!</v>
      </c>
      <c r="AM116" s="160" t="e">
        <f t="shared" si="44"/>
        <v>#REF!</v>
      </c>
      <c r="AN116" s="160" t="e">
        <f t="shared" si="44"/>
        <v>#REF!</v>
      </c>
      <c r="AO116" s="160" t="e">
        <f t="shared" si="44"/>
        <v>#REF!</v>
      </c>
      <c r="AP116" s="160" t="e">
        <f t="shared" si="44"/>
        <v>#REF!</v>
      </c>
      <c r="AQ116" s="160" t="e">
        <f t="shared" si="44"/>
        <v>#REF!</v>
      </c>
      <c r="AR116" s="160" t="e">
        <f t="shared" si="44"/>
        <v>#REF!</v>
      </c>
    </row>
    <row r="117" spans="3:44" hidden="1" x14ac:dyDescent="0.5500000000000000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row>
    <row r="118" spans="3:44" hidden="1" x14ac:dyDescent="0.5500000000000000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row>
    <row r="119" spans="3:44" hidden="1" x14ac:dyDescent="0.55000000000000004">
      <c r="C119" s="175"/>
      <c r="D119" s="175"/>
      <c r="E119" s="175"/>
      <c r="F119" s="175"/>
      <c r="G119" s="175"/>
      <c r="H119" s="175"/>
      <c r="I119" s="175"/>
      <c r="J119" s="175"/>
      <c r="K119" s="175"/>
      <c r="L119" s="175"/>
      <c r="M119" s="175"/>
      <c r="N119" s="175"/>
      <c r="O119" s="175"/>
      <c r="P119" s="168">
        <f t="shared" ref="P119:Y119" si="45">P84-P49-P35</f>
        <v>-59255</v>
      </c>
      <c r="Q119" s="168">
        <f t="shared" si="45"/>
        <v>-60076</v>
      </c>
      <c r="R119" s="168">
        <f t="shared" si="45"/>
        <v>-68306</v>
      </c>
      <c r="S119" s="168">
        <f t="shared" si="45"/>
        <v>-57651</v>
      </c>
      <c r="T119" s="168">
        <f t="shared" si="45"/>
        <v>-47282</v>
      </c>
      <c r="U119" s="168">
        <f t="shared" si="45"/>
        <v>-54019</v>
      </c>
      <c r="V119" s="168">
        <f t="shared" si="45"/>
        <v>-54561</v>
      </c>
      <c r="W119" s="168">
        <f t="shared" si="45"/>
        <v>-53465</v>
      </c>
      <c r="X119" s="168">
        <f t="shared" si="45"/>
        <v>-49440</v>
      </c>
      <c r="Y119" s="168">
        <f t="shared" si="45"/>
        <v>-35439</v>
      </c>
    </row>
    <row r="120" spans="3:44" hidden="1" x14ac:dyDescent="0.55000000000000004">
      <c r="C120" s="175"/>
      <c r="D120" s="175"/>
      <c r="E120" s="175"/>
      <c r="F120" s="175"/>
      <c r="G120" s="175"/>
      <c r="H120" s="175"/>
      <c r="I120" s="175"/>
      <c r="J120" s="175"/>
      <c r="K120" s="175"/>
      <c r="L120" s="175"/>
      <c r="M120" s="175"/>
      <c r="N120" s="175"/>
      <c r="O120" s="175"/>
      <c r="P120" s="168">
        <f>ROUND(P119,-3)</f>
        <v>-59000</v>
      </c>
      <c r="Q120" s="168">
        <f t="shared" ref="Q120:Y120" si="46">ROUND(Q119,-3)</f>
        <v>-60000</v>
      </c>
      <c r="R120" s="168">
        <f t="shared" si="46"/>
        <v>-68000</v>
      </c>
      <c r="S120" s="168">
        <f t="shared" si="46"/>
        <v>-58000</v>
      </c>
      <c r="T120" s="168">
        <f t="shared" si="46"/>
        <v>-47000</v>
      </c>
      <c r="U120" s="168">
        <f t="shared" si="46"/>
        <v>-54000</v>
      </c>
      <c r="V120" s="168">
        <f t="shared" si="46"/>
        <v>-55000</v>
      </c>
      <c r="W120" s="168">
        <f t="shared" si="46"/>
        <v>-53000</v>
      </c>
      <c r="X120" s="168">
        <f t="shared" si="46"/>
        <v>-49000</v>
      </c>
      <c r="Y120" s="168">
        <f t="shared" si="46"/>
        <v>-35000</v>
      </c>
    </row>
    <row r="121" spans="3:44" hidden="1" x14ac:dyDescent="0.5500000000000000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row>
    <row r="122" spans="3:44" x14ac:dyDescent="0.55000000000000004">
      <c r="C122" s="430" t="s">
        <v>495</v>
      </c>
      <c r="D122" s="430"/>
      <c r="E122" s="430"/>
      <c r="F122" s="430"/>
      <c r="G122" s="430"/>
      <c r="H122" s="430"/>
      <c r="I122" s="430"/>
      <c r="J122" s="430"/>
      <c r="K122" s="175"/>
      <c r="L122" s="175"/>
      <c r="M122" s="175"/>
      <c r="N122" s="175"/>
      <c r="O122" s="175"/>
      <c r="P122" s="168">
        <f t="shared" ref="P122:Y122" si="47">P37-P35</f>
        <v>143139</v>
      </c>
      <c r="Q122" s="168">
        <f t="shared" si="47"/>
        <v>143332</v>
      </c>
      <c r="R122" s="168">
        <f t="shared" si="47"/>
        <v>143977</v>
      </c>
      <c r="S122" s="168">
        <f t="shared" si="47"/>
        <v>143868</v>
      </c>
      <c r="T122" s="168">
        <f t="shared" si="47"/>
        <v>144485</v>
      </c>
      <c r="U122" s="168">
        <f t="shared" si="47"/>
        <v>145090</v>
      </c>
      <c r="V122" s="168">
        <f t="shared" si="47"/>
        <v>145611</v>
      </c>
      <c r="W122" s="168">
        <f t="shared" si="47"/>
        <v>145605</v>
      </c>
      <c r="X122" s="168">
        <f t="shared" si="47"/>
        <v>145839</v>
      </c>
      <c r="Y122" s="168">
        <f t="shared" si="47"/>
        <v>146246</v>
      </c>
    </row>
    <row r="123" spans="3:44" x14ac:dyDescent="0.55000000000000004">
      <c r="C123" s="430" t="s">
        <v>496</v>
      </c>
      <c r="D123" s="430"/>
      <c r="E123" s="430"/>
      <c r="F123" s="430"/>
      <c r="G123" s="430"/>
      <c r="H123" s="430"/>
      <c r="I123" s="430"/>
      <c r="J123" s="430"/>
      <c r="K123" s="175"/>
      <c r="L123" s="175"/>
      <c r="M123" s="175"/>
      <c r="N123" s="175"/>
      <c r="O123" s="175"/>
      <c r="P123" s="168">
        <f>P53-P49</f>
        <v>102966</v>
      </c>
      <c r="Q123" s="168">
        <f t="shared" ref="Q123:Y123" si="48">Q53-Q49</f>
        <v>103975</v>
      </c>
      <c r="R123" s="168">
        <f t="shared" si="48"/>
        <v>105453</v>
      </c>
      <c r="S123" s="168">
        <f t="shared" si="48"/>
        <v>106229</v>
      </c>
      <c r="T123" s="168">
        <f t="shared" si="48"/>
        <v>108110</v>
      </c>
      <c r="U123" s="168">
        <f t="shared" si="48"/>
        <v>109783</v>
      </c>
      <c r="V123" s="168">
        <f t="shared" si="48"/>
        <v>110936</v>
      </c>
      <c r="W123" s="168">
        <f t="shared" si="48"/>
        <v>111905</v>
      </c>
      <c r="X123" s="168">
        <f t="shared" si="48"/>
        <v>112846</v>
      </c>
      <c r="Y123" s="168">
        <f t="shared" si="48"/>
        <v>114138</v>
      </c>
    </row>
    <row r="124" spans="3:44" x14ac:dyDescent="0.55000000000000004">
      <c r="C124" s="430" t="s">
        <v>497</v>
      </c>
      <c r="D124" s="430"/>
      <c r="E124" s="430"/>
      <c r="F124" s="430"/>
      <c r="G124" s="430"/>
      <c r="H124" s="430"/>
      <c r="I124" s="430"/>
      <c r="J124" s="430"/>
      <c r="K124" s="175"/>
      <c r="L124" s="175"/>
      <c r="M124" s="175"/>
      <c r="N124" s="175"/>
      <c r="O124" s="175"/>
      <c r="P124" s="168">
        <f>P122-P123</f>
        <v>40173</v>
      </c>
      <c r="Q124" s="168">
        <f t="shared" ref="Q124:Y124" si="49">Q122-Q123</f>
        <v>39357</v>
      </c>
      <c r="R124" s="168">
        <f t="shared" si="49"/>
        <v>38524</v>
      </c>
      <c r="S124" s="168">
        <f t="shared" si="49"/>
        <v>37639</v>
      </c>
      <c r="T124" s="168">
        <f t="shared" si="49"/>
        <v>36375</v>
      </c>
      <c r="U124" s="168">
        <f t="shared" si="49"/>
        <v>35307</v>
      </c>
      <c r="V124" s="168">
        <f t="shared" si="49"/>
        <v>34675</v>
      </c>
      <c r="W124" s="168">
        <f t="shared" si="49"/>
        <v>33700</v>
      </c>
      <c r="X124" s="168">
        <f t="shared" si="49"/>
        <v>32993</v>
      </c>
      <c r="Y124" s="168">
        <f t="shared" si="49"/>
        <v>32108</v>
      </c>
    </row>
    <row r="125" spans="3:44" x14ac:dyDescent="0.55000000000000004">
      <c r="C125" s="430" t="s">
        <v>498</v>
      </c>
      <c r="D125" s="430"/>
      <c r="E125" s="430"/>
      <c r="F125" s="430"/>
      <c r="G125" s="430"/>
      <c r="H125" s="430"/>
      <c r="I125" s="430"/>
      <c r="J125" s="430"/>
      <c r="K125" s="175"/>
      <c r="L125" s="175"/>
      <c r="M125" s="175"/>
      <c r="N125" s="175"/>
      <c r="O125" s="175"/>
      <c r="P125" s="168">
        <f>P81</f>
        <v>46973</v>
      </c>
      <c r="Q125" s="168">
        <f t="shared" ref="Q125:Y125" si="50">Q81</f>
        <v>130058</v>
      </c>
      <c r="R125" s="168">
        <f t="shared" si="50"/>
        <v>25558</v>
      </c>
      <c r="S125" s="168">
        <f t="shared" si="50"/>
        <v>115058</v>
      </c>
      <c r="T125" s="168">
        <f t="shared" si="50"/>
        <v>115058</v>
      </c>
      <c r="U125" s="168">
        <f t="shared" si="50"/>
        <v>70558</v>
      </c>
      <c r="V125" s="168">
        <f t="shared" si="50"/>
        <v>65058</v>
      </c>
      <c r="W125" s="168">
        <f t="shared" si="50"/>
        <v>60058</v>
      </c>
      <c r="X125" s="168">
        <f t="shared" si="50"/>
        <v>79856</v>
      </c>
      <c r="Y125" s="168">
        <f t="shared" si="50"/>
        <v>106546</v>
      </c>
    </row>
    <row r="126" spans="3:44" x14ac:dyDescent="0.55000000000000004">
      <c r="C126" s="430" t="s">
        <v>499</v>
      </c>
      <c r="D126" s="430"/>
      <c r="E126" s="430"/>
      <c r="F126" s="430"/>
      <c r="G126" s="430"/>
      <c r="H126" s="430"/>
      <c r="I126" s="430"/>
      <c r="J126" s="430"/>
      <c r="K126" s="175"/>
      <c r="L126" s="175"/>
      <c r="M126" s="175"/>
      <c r="N126" s="175"/>
      <c r="O126" s="175"/>
      <c r="P126" s="168">
        <f>P88</f>
        <v>63409</v>
      </c>
      <c r="Q126" s="168">
        <f t="shared" ref="Q126:Y126" si="51">Q88</f>
        <v>137959</v>
      </c>
      <c r="R126" s="168">
        <f t="shared" si="51"/>
        <v>38053</v>
      </c>
      <c r="S126" s="168">
        <f t="shared" si="51"/>
        <v>125821</v>
      </c>
      <c r="T126" s="168">
        <f t="shared" si="51"/>
        <v>137214</v>
      </c>
      <c r="U126" s="168">
        <f t="shared" si="51"/>
        <v>93208</v>
      </c>
      <c r="V126" s="168">
        <f t="shared" si="51"/>
        <v>83151</v>
      </c>
      <c r="W126" s="168">
        <f t="shared" si="51"/>
        <v>76147</v>
      </c>
      <c r="X126" s="168">
        <f t="shared" si="51"/>
        <v>105121</v>
      </c>
      <c r="Y126" s="168">
        <f t="shared" si="51"/>
        <v>149363</v>
      </c>
    </row>
    <row r="127" spans="3:44" x14ac:dyDescent="0.55000000000000004">
      <c r="C127" s="430" t="s">
        <v>500</v>
      </c>
      <c r="D127" s="430"/>
      <c r="E127" s="430"/>
      <c r="F127" s="430"/>
      <c r="G127" s="430"/>
      <c r="H127" s="430"/>
      <c r="I127" s="430"/>
      <c r="J127" s="430"/>
      <c r="K127" s="175"/>
      <c r="L127" s="175"/>
      <c r="M127" s="175"/>
      <c r="N127" s="175"/>
      <c r="O127" s="175"/>
      <c r="P127" s="168">
        <f>P125-P126</f>
        <v>-16436</v>
      </c>
      <c r="Q127" s="168">
        <f t="shared" ref="Q127:Y127" si="52">Q125-Q126</f>
        <v>-7901</v>
      </c>
      <c r="R127" s="168">
        <f t="shared" si="52"/>
        <v>-12495</v>
      </c>
      <c r="S127" s="168">
        <f t="shared" si="52"/>
        <v>-10763</v>
      </c>
      <c r="T127" s="168">
        <f t="shared" si="52"/>
        <v>-22156</v>
      </c>
      <c r="U127" s="168">
        <f t="shared" si="52"/>
        <v>-22650</v>
      </c>
      <c r="V127" s="168">
        <f t="shared" si="52"/>
        <v>-18093</v>
      </c>
      <c r="W127" s="168">
        <f t="shared" si="52"/>
        <v>-16089</v>
      </c>
      <c r="X127" s="168">
        <f t="shared" si="52"/>
        <v>-25265</v>
      </c>
      <c r="Y127" s="168">
        <f t="shared" si="52"/>
        <v>-42817</v>
      </c>
    </row>
    <row r="128" spans="3:44" x14ac:dyDescent="0.55000000000000004">
      <c r="C128" s="430" t="s">
        <v>501</v>
      </c>
      <c r="D128" s="430"/>
      <c r="E128" s="430"/>
      <c r="F128" s="430"/>
      <c r="G128" s="430"/>
      <c r="H128" s="430"/>
      <c r="I128" s="430"/>
      <c r="J128" s="430"/>
      <c r="K128" s="175"/>
      <c r="L128" s="175"/>
      <c r="M128" s="175"/>
      <c r="N128" s="175"/>
      <c r="O128" s="175"/>
      <c r="P128" s="168">
        <f>P124+P127</f>
        <v>23737</v>
      </c>
      <c r="Q128" s="168">
        <f t="shared" ref="Q128:Y128" si="53">Q124+Q127</f>
        <v>31456</v>
      </c>
      <c r="R128" s="168">
        <f t="shared" si="53"/>
        <v>26029</v>
      </c>
      <c r="S128" s="168">
        <f t="shared" si="53"/>
        <v>26876</v>
      </c>
      <c r="T128" s="168">
        <f t="shared" si="53"/>
        <v>14219</v>
      </c>
      <c r="U128" s="168">
        <f t="shared" si="53"/>
        <v>12657</v>
      </c>
      <c r="V128" s="168">
        <f t="shared" si="53"/>
        <v>16582</v>
      </c>
      <c r="W128" s="168">
        <f t="shared" si="53"/>
        <v>17611</v>
      </c>
      <c r="X128" s="168">
        <f t="shared" si="53"/>
        <v>7728</v>
      </c>
      <c r="Y128" s="168">
        <f t="shared" si="53"/>
        <v>-10709</v>
      </c>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1" spans="3:25" x14ac:dyDescent="0.55000000000000004">
      <c r="C131" s="164"/>
      <c r="D131" s="164"/>
      <c r="E131" s="164"/>
      <c r="F131" s="164"/>
      <c r="G131" s="164"/>
      <c r="H131" s="164"/>
      <c r="I131" s="164"/>
      <c r="J131" s="164"/>
      <c r="P131" s="143"/>
      <c r="Q131" s="143"/>
      <c r="R131" s="143"/>
      <c r="S131" s="143"/>
      <c r="T131" s="143"/>
      <c r="U131" s="143"/>
      <c r="V131" s="143"/>
      <c r="W131" s="143"/>
      <c r="X131" s="143"/>
      <c r="Y131" s="143"/>
    </row>
    <row r="133" spans="3:25" x14ac:dyDescent="0.55000000000000004">
      <c r="T133" s="75">
        <v>37788</v>
      </c>
      <c r="U133" s="75">
        <v>34822</v>
      </c>
      <c r="V133" s="75">
        <v>31070</v>
      </c>
      <c r="W133" s="75">
        <v>26953</v>
      </c>
      <c r="X133" s="75">
        <v>22800</v>
      </c>
      <c r="Y133" s="75">
        <v>17413</v>
      </c>
    </row>
    <row r="134" spans="3:25" x14ac:dyDescent="0.55000000000000004">
      <c r="T134" s="143">
        <f>-(T58-T133)</f>
        <v>30989</v>
      </c>
      <c r="U134" s="143">
        <f t="shared" ref="U134:Y134" si="54">-(U58-U133)</f>
        <v>30600</v>
      </c>
      <c r="V134" s="143">
        <f t="shared" si="54"/>
        <v>27505</v>
      </c>
      <c r="W134" s="143">
        <f t="shared" si="54"/>
        <v>21703</v>
      </c>
      <c r="X134" s="143">
        <f t="shared" si="54"/>
        <v>15914</v>
      </c>
      <c r="Y134" s="143">
        <f t="shared" si="54"/>
        <v>8995</v>
      </c>
    </row>
    <row r="136" spans="3:25" x14ac:dyDescent="0.55000000000000004">
      <c r="P136" s="75">
        <f>213239-15279</f>
        <v>197960</v>
      </c>
    </row>
    <row r="137" spans="3:25" x14ac:dyDescent="0.55000000000000004">
      <c r="P137" s="75">
        <v>0</v>
      </c>
      <c r="Q137" s="75">
        <v>0</v>
      </c>
      <c r="R137" s="75">
        <v>270300</v>
      </c>
      <c r="S137" s="75">
        <v>15000</v>
      </c>
      <c r="T137" s="75">
        <v>7200</v>
      </c>
      <c r="U137" s="75">
        <v>9700</v>
      </c>
      <c r="V137" s="75">
        <v>0</v>
      </c>
      <c r="W137" s="75">
        <v>0</v>
      </c>
      <c r="X137" s="75">
        <v>18700</v>
      </c>
      <c r="Y137" s="75">
        <v>14200</v>
      </c>
    </row>
    <row r="138" spans="3:25" x14ac:dyDescent="0.55000000000000004">
      <c r="P138" s="143">
        <f>-P128</f>
        <v>-23737</v>
      </c>
      <c r="Q138" s="143">
        <f t="shared" ref="Q138:Y138" si="55">-Q128</f>
        <v>-31456</v>
      </c>
      <c r="R138" s="143">
        <f t="shared" si="55"/>
        <v>-26029</v>
      </c>
      <c r="S138" s="143">
        <f t="shared" si="55"/>
        <v>-26876</v>
      </c>
      <c r="T138" s="143">
        <f t="shared" si="55"/>
        <v>-14219</v>
      </c>
      <c r="U138" s="143">
        <f t="shared" si="55"/>
        <v>-12657</v>
      </c>
      <c r="V138" s="143">
        <f t="shared" si="55"/>
        <v>-16582</v>
      </c>
      <c r="W138" s="143">
        <f t="shared" si="55"/>
        <v>-17611</v>
      </c>
      <c r="X138" s="143">
        <f t="shared" si="55"/>
        <v>-7728</v>
      </c>
      <c r="Y138" s="143">
        <f t="shared" si="55"/>
        <v>10709</v>
      </c>
    </row>
    <row r="139" spans="3:25" x14ac:dyDescent="0.55000000000000004">
      <c r="P139" s="75">
        <f>SUM(P137:P138)</f>
        <v>-23737</v>
      </c>
      <c r="Q139" s="75">
        <f t="shared" ref="Q139:Y139" si="56">SUM(Q137:Q138)</f>
        <v>-31456</v>
      </c>
      <c r="R139" s="75">
        <f t="shared" si="56"/>
        <v>244271</v>
      </c>
      <c r="S139" s="75">
        <f t="shared" si="56"/>
        <v>-11876</v>
      </c>
      <c r="T139" s="75">
        <f t="shared" si="56"/>
        <v>-7019</v>
      </c>
      <c r="U139" s="75">
        <f t="shared" si="56"/>
        <v>-2957</v>
      </c>
      <c r="V139" s="75">
        <f t="shared" si="56"/>
        <v>-16582</v>
      </c>
      <c r="W139" s="75">
        <f t="shared" si="56"/>
        <v>-17611</v>
      </c>
      <c r="X139" s="75">
        <f t="shared" si="56"/>
        <v>10972</v>
      </c>
      <c r="Y139" s="75">
        <f t="shared" si="56"/>
        <v>24909</v>
      </c>
    </row>
    <row r="143" spans="3:25" x14ac:dyDescent="0.55000000000000004">
      <c r="Q143" s="143">
        <f>P146</f>
        <v>13325</v>
      </c>
    </row>
    <row r="144" spans="3:25" x14ac:dyDescent="0.55000000000000004">
      <c r="P144" s="143">
        <f t="shared" ref="P144:Y144" si="57">P49-P35</f>
        <v>24706</v>
      </c>
      <c r="Q144" s="143">
        <f t="shared" si="57"/>
        <v>25337</v>
      </c>
      <c r="R144" s="143">
        <f t="shared" si="57"/>
        <v>29339</v>
      </c>
      <c r="S144" s="143">
        <f t="shared" si="57"/>
        <v>28460</v>
      </c>
      <c r="T144" s="143">
        <f t="shared" si="57"/>
        <v>29576</v>
      </c>
      <c r="U144" s="143">
        <f t="shared" si="57"/>
        <v>31085</v>
      </c>
      <c r="V144" s="143">
        <f t="shared" si="57"/>
        <v>31110</v>
      </c>
      <c r="W144" s="143">
        <f t="shared" si="57"/>
        <v>28450</v>
      </c>
      <c r="X144" s="143">
        <f t="shared" si="57"/>
        <v>26107</v>
      </c>
      <c r="Y144" s="143">
        <f t="shared" si="57"/>
        <v>23690</v>
      </c>
    </row>
    <row r="145" spans="6:25" x14ac:dyDescent="0.55000000000000004">
      <c r="P145" s="143">
        <f>P90</f>
        <v>11381</v>
      </c>
      <c r="Q145" s="143">
        <f t="shared" ref="Q145:Y145" si="58">Q90</f>
        <v>7901</v>
      </c>
      <c r="R145" s="143">
        <f t="shared" si="58"/>
        <v>9965</v>
      </c>
      <c r="S145" s="143">
        <f t="shared" si="58"/>
        <v>10763</v>
      </c>
      <c r="T145" s="143">
        <f t="shared" si="58"/>
        <v>15196</v>
      </c>
      <c r="U145" s="143">
        <f t="shared" si="58"/>
        <v>15620</v>
      </c>
      <c r="V145" s="143">
        <f t="shared" si="58"/>
        <v>12063</v>
      </c>
      <c r="W145" s="143">
        <f t="shared" si="58"/>
        <v>10559</v>
      </c>
      <c r="X145" s="143">
        <f t="shared" si="58"/>
        <v>16905</v>
      </c>
      <c r="Y145" s="143">
        <f t="shared" si="58"/>
        <v>30640</v>
      </c>
    </row>
    <row r="146" spans="6:25" x14ac:dyDescent="0.55000000000000004">
      <c r="P146" s="143">
        <f>P144-P145</f>
        <v>13325</v>
      </c>
      <c r="Q146" s="143">
        <f>SUM(Q143:Q144)</f>
        <v>38662</v>
      </c>
      <c r="R146" s="143">
        <f t="shared" ref="R146:Y146" si="59">SUM(R143:R144)</f>
        <v>29339</v>
      </c>
      <c r="S146" s="143">
        <f t="shared" si="59"/>
        <v>28460</v>
      </c>
      <c r="T146" s="143">
        <f t="shared" si="59"/>
        <v>29576</v>
      </c>
      <c r="U146" s="143">
        <f t="shared" si="59"/>
        <v>31085</v>
      </c>
      <c r="V146" s="143">
        <f t="shared" si="59"/>
        <v>31110</v>
      </c>
      <c r="W146" s="143">
        <f t="shared" si="59"/>
        <v>28450</v>
      </c>
      <c r="X146" s="143">
        <f t="shared" si="59"/>
        <v>26107</v>
      </c>
      <c r="Y146" s="143">
        <f t="shared" si="59"/>
        <v>23690</v>
      </c>
    </row>
    <row r="147" spans="6:25" x14ac:dyDescent="0.55000000000000004">
      <c r="Q147" s="75">
        <v>52629</v>
      </c>
    </row>
    <row r="153" spans="6:25" x14ac:dyDescent="0.55000000000000004">
      <c r="F153" s="75" t="s">
        <v>739</v>
      </c>
      <c r="P153" s="75">
        <v>50595</v>
      </c>
      <c r="Q153" s="75">
        <v>49426</v>
      </c>
      <c r="R153" s="75">
        <v>49423</v>
      </c>
      <c r="S153" s="75">
        <v>48145</v>
      </c>
      <c r="T153" s="75">
        <v>47225</v>
      </c>
      <c r="U153" s="75">
        <v>46477</v>
      </c>
      <c r="V153" s="75">
        <v>44664</v>
      </c>
      <c r="W153" s="75">
        <v>43713</v>
      </c>
      <c r="X153" s="75">
        <v>41715</v>
      </c>
      <c r="Y153" s="75">
        <v>39119</v>
      </c>
    </row>
    <row r="154" spans="6:25" x14ac:dyDescent="0.55000000000000004">
      <c r="F154" s="75" t="s">
        <v>740</v>
      </c>
      <c r="P154" s="143">
        <f>P72</f>
        <v>0</v>
      </c>
      <c r="Q154" s="143">
        <f t="shared" ref="Q154:Y154" si="60">Q72</f>
        <v>0</v>
      </c>
      <c r="R154" s="143">
        <f t="shared" si="60"/>
        <v>0</v>
      </c>
      <c r="S154" s="143">
        <f t="shared" si="60"/>
        <v>0</v>
      </c>
      <c r="T154" s="143">
        <f t="shared" si="60"/>
        <v>0</v>
      </c>
      <c r="U154" s="143">
        <f t="shared" si="60"/>
        <v>0</v>
      </c>
      <c r="V154" s="143">
        <f t="shared" si="60"/>
        <v>0</v>
      </c>
      <c r="W154" s="143">
        <f t="shared" si="60"/>
        <v>0</v>
      </c>
      <c r="X154" s="143">
        <f t="shared" si="60"/>
        <v>0</v>
      </c>
      <c r="Y154" s="143">
        <f t="shared" si="60"/>
        <v>0</v>
      </c>
    </row>
    <row r="155" spans="6:25" x14ac:dyDescent="0.55000000000000004">
      <c r="P155" s="75">
        <f>SUM(P153:P154)</f>
        <v>50595</v>
      </c>
      <c r="Q155" s="75">
        <f t="shared" ref="Q155:Y155" si="61">SUM(Q153:Q154)</f>
        <v>49426</v>
      </c>
      <c r="R155" s="75">
        <f t="shared" si="61"/>
        <v>49423</v>
      </c>
      <c r="S155" s="75">
        <f t="shared" si="61"/>
        <v>48145</v>
      </c>
      <c r="T155" s="75">
        <f t="shared" si="61"/>
        <v>47225</v>
      </c>
      <c r="U155" s="75">
        <f t="shared" si="61"/>
        <v>46477</v>
      </c>
      <c r="V155" s="75">
        <f t="shared" si="61"/>
        <v>44664</v>
      </c>
      <c r="W155" s="75">
        <f t="shared" si="61"/>
        <v>43713</v>
      </c>
      <c r="X155" s="75">
        <f t="shared" si="61"/>
        <v>41715</v>
      </c>
      <c r="Y155" s="75">
        <f t="shared" si="61"/>
        <v>39119</v>
      </c>
    </row>
    <row r="160" spans="6:25" x14ac:dyDescent="0.55000000000000004">
      <c r="P160" s="75">
        <v>32484</v>
      </c>
    </row>
    <row r="161" spans="16:25" x14ac:dyDescent="0.55000000000000004">
      <c r="P161" s="75">
        <v>30726</v>
      </c>
    </row>
    <row r="162" spans="16:25" x14ac:dyDescent="0.55000000000000004">
      <c r="P162" s="75">
        <f>P161/P160</f>
        <v>0.94588104913188031</v>
      </c>
      <c r="Q162" s="75">
        <f>P162</f>
        <v>0.94588104913188031</v>
      </c>
      <c r="R162" s="75">
        <f t="shared" ref="R162:Y162" si="62">Q162</f>
        <v>0.94588104913188031</v>
      </c>
      <c r="S162" s="75">
        <f t="shared" si="62"/>
        <v>0.94588104913188031</v>
      </c>
      <c r="T162" s="75">
        <f t="shared" si="62"/>
        <v>0.94588104913188031</v>
      </c>
      <c r="U162" s="75">
        <f t="shared" si="62"/>
        <v>0.94588104913188031</v>
      </c>
      <c r="V162" s="75">
        <f t="shared" si="62"/>
        <v>0.94588104913188031</v>
      </c>
      <c r="W162" s="75">
        <f t="shared" si="62"/>
        <v>0.94588104913188031</v>
      </c>
      <c r="X162" s="75">
        <f t="shared" si="62"/>
        <v>0.94588104913188031</v>
      </c>
      <c r="Y162" s="75">
        <f t="shared" si="62"/>
        <v>0.94588104913188031</v>
      </c>
    </row>
  </sheetData>
  <mergeCells count="98">
    <mergeCell ref="C124:J124"/>
    <mergeCell ref="C125:J125"/>
    <mergeCell ref="C126:J126"/>
    <mergeCell ref="C127:J127"/>
    <mergeCell ref="C128:J128"/>
    <mergeCell ref="B64:J64"/>
    <mergeCell ref="C113:J113"/>
    <mergeCell ref="C114:J114"/>
    <mergeCell ref="C115:J115"/>
    <mergeCell ref="C116:J116"/>
    <mergeCell ref="C95:H95"/>
    <mergeCell ref="I95:J95"/>
    <mergeCell ref="C96:I96"/>
    <mergeCell ref="C97:I97"/>
    <mergeCell ref="C102:G102"/>
    <mergeCell ref="F103:J103"/>
    <mergeCell ref="F86:J86"/>
    <mergeCell ref="F87:J87"/>
    <mergeCell ref="E88:I88"/>
    <mergeCell ref="C89:I89"/>
    <mergeCell ref="C90:D94"/>
    <mergeCell ref="C122:J122"/>
    <mergeCell ref="C123:J123"/>
    <mergeCell ref="F104:J104"/>
    <mergeCell ref="C105:G105"/>
    <mergeCell ref="F106:J106"/>
    <mergeCell ref="F107:J107"/>
    <mergeCell ref="C108:G108"/>
    <mergeCell ref="C112:J112"/>
    <mergeCell ref="F90:J90"/>
    <mergeCell ref="F91:J91"/>
    <mergeCell ref="F92:J92"/>
    <mergeCell ref="F93:J93"/>
    <mergeCell ref="E94:I94"/>
    <mergeCell ref="F78:J78"/>
    <mergeCell ref="E79:I79"/>
    <mergeCell ref="E80:I80"/>
    <mergeCell ref="F81:G81"/>
    <mergeCell ref="H81:I81"/>
    <mergeCell ref="D82:D88"/>
    <mergeCell ref="F82:J82"/>
    <mergeCell ref="F83:J83"/>
    <mergeCell ref="F84:J84"/>
    <mergeCell ref="F85:J85"/>
    <mergeCell ref="F77:J77"/>
    <mergeCell ref="B59:H59"/>
    <mergeCell ref="I59:J59"/>
    <mergeCell ref="B61:J61"/>
    <mergeCell ref="B62:J62"/>
    <mergeCell ref="B63:J63"/>
    <mergeCell ref="C69:C88"/>
    <mergeCell ref="D69:D81"/>
    <mergeCell ref="F69:J69"/>
    <mergeCell ref="F70:J70"/>
    <mergeCell ref="F71:J71"/>
    <mergeCell ref="F72:J72"/>
    <mergeCell ref="F73:J73"/>
    <mergeCell ref="F74:J74"/>
    <mergeCell ref="F75:J75"/>
    <mergeCell ref="F76:J76"/>
    <mergeCell ref="B55:H55"/>
    <mergeCell ref="B56:H56"/>
    <mergeCell ref="B57:F57"/>
    <mergeCell ref="H57:I57"/>
    <mergeCell ref="B58:H58"/>
    <mergeCell ref="I58:J58"/>
    <mergeCell ref="E50:H50"/>
    <mergeCell ref="F51:J51"/>
    <mergeCell ref="F52:J52"/>
    <mergeCell ref="D53:I53"/>
    <mergeCell ref="C54:F54"/>
    <mergeCell ref="H54:I54"/>
    <mergeCell ref="G44:J44"/>
    <mergeCell ref="G45:J45"/>
    <mergeCell ref="G46:J46"/>
    <mergeCell ref="G47:J47"/>
    <mergeCell ref="F48:J48"/>
    <mergeCell ref="F39:J39"/>
    <mergeCell ref="G40:J40"/>
    <mergeCell ref="G41:J41"/>
    <mergeCell ref="G42:J42"/>
    <mergeCell ref="F43:J43"/>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s>
  <phoneticPr fontId="2"/>
  <pageMargins left="0.7" right="0.7" top="0.75" bottom="0.75" header="0.3" footer="0.3"/>
  <pageSetup paperSize="8" scale="73" fitToHeight="4" orientation="portrait" r:id="rId1"/>
  <rowBreaks count="2" manualBreakCount="2">
    <brk id="65" max="24" man="1"/>
    <brk id="108" max="24" man="1"/>
  </rowBreaks>
  <ignoredErrors>
    <ignoredError sqref="E69:J78 D27:J36 D38:J52 E82:J87 E90:J94"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F73-F272-4279-A881-3035A990A2BE}">
  <sheetPr>
    <tabColor theme="5"/>
  </sheetPr>
  <dimension ref="A1:R42"/>
  <sheetViews>
    <sheetView topLeftCell="C1" workbookViewId="0">
      <selection activeCell="F20" sqref="F20"/>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ROUND(H19*(170.5*110%)/1000,0)</f>
        <v>45636</v>
      </c>
      <c r="I23" s="8">
        <f>ROUND(I19*(170.5*110%)/1000,0)</f>
        <v>45499</v>
      </c>
      <c r="J23" s="8">
        <f t="shared" ref="J23:P23" si="3">ROUND(J19*(170.5*110%)/1000,0)</f>
        <v>45380</v>
      </c>
      <c r="K23" s="8">
        <f t="shared" si="3"/>
        <v>45004</v>
      </c>
      <c r="L23" s="8">
        <f t="shared" si="3"/>
        <v>44833</v>
      </c>
      <c r="M23" s="8">
        <f t="shared" si="3"/>
        <v>44645</v>
      </c>
      <c r="N23" s="8">
        <f t="shared" si="3"/>
        <v>44474</v>
      </c>
      <c r="O23" s="8">
        <f t="shared" si="3"/>
        <v>44321</v>
      </c>
      <c r="P23" s="8">
        <f t="shared" si="3"/>
        <v>43791</v>
      </c>
    </row>
    <row r="24" spans="5:16" x14ac:dyDescent="0.2">
      <c r="E24" t="s">
        <v>755</v>
      </c>
      <c r="F24" s="8">
        <f>ROUND(F20*170.5/1000,0)</f>
        <v>20051</v>
      </c>
      <c r="G24" s="8">
        <f t="shared" si="2"/>
        <v>20051</v>
      </c>
      <c r="H24" s="8">
        <f>ROUND(H20*(170.5*110%)/1000,0)</f>
        <v>22056</v>
      </c>
      <c r="I24" s="8">
        <f>ROUND(I20*(170.5*110%)/1000,0)</f>
        <v>22056</v>
      </c>
      <c r="J24" s="8">
        <f t="shared" ref="J24:P24" si="4">ROUND(J20*(170.5*110%)/1000,0)</f>
        <v>22056</v>
      </c>
      <c r="K24" s="8">
        <f t="shared" si="4"/>
        <v>22056</v>
      </c>
      <c r="L24" s="8">
        <f t="shared" si="4"/>
        <v>22056</v>
      </c>
      <c r="M24" s="8">
        <f t="shared" si="4"/>
        <v>22056</v>
      </c>
      <c r="N24" s="8">
        <f t="shared" si="4"/>
        <v>22056</v>
      </c>
      <c r="O24" s="8">
        <f t="shared" si="4"/>
        <v>22056</v>
      </c>
      <c r="P24" s="8">
        <f t="shared" si="4"/>
        <v>22056</v>
      </c>
    </row>
    <row r="25" spans="5:16" x14ac:dyDescent="0.2">
      <c r="E25" t="s">
        <v>757</v>
      </c>
      <c r="F25" s="30">
        <f>SUM(F23:F24)</f>
        <v>61771</v>
      </c>
      <c r="G25" s="30">
        <f t="shared" ref="G25:I25" si="5">SUM(G23:G24)</f>
        <v>61647</v>
      </c>
      <c r="H25" s="30">
        <f t="shared" si="5"/>
        <v>67692</v>
      </c>
      <c r="I25" s="30">
        <f t="shared" si="5"/>
        <v>67555</v>
      </c>
      <c r="J25" s="30">
        <f t="shared" ref="J25" si="6">SUM(J23:J24)</f>
        <v>67436</v>
      </c>
      <c r="K25" s="30">
        <f t="shared" ref="K25" si="7">SUM(K23:K24)</f>
        <v>67060</v>
      </c>
      <c r="L25" s="30">
        <f t="shared" ref="L25" si="8">SUM(L23:L24)</f>
        <v>66889</v>
      </c>
      <c r="M25" s="30">
        <f t="shared" ref="M25" si="9">SUM(M23:M24)</f>
        <v>66701</v>
      </c>
      <c r="N25" s="30">
        <f t="shared" ref="N25" si="10">SUM(N23:N24)</f>
        <v>66530</v>
      </c>
      <c r="O25" s="30">
        <f t="shared" ref="O25" si="11">SUM(O23:O24)</f>
        <v>66377</v>
      </c>
      <c r="P25" s="30">
        <f t="shared" ref="P25" si="12">SUM(P23:P24)</f>
        <v>65847</v>
      </c>
    </row>
    <row r="26" spans="5:16" x14ac:dyDescent="0.2">
      <c r="H26">
        <v>170.5</v>
      </c>
      <c r="I26">
        <f>H26*110%</f>
        <v>187.55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13">G12</f>
        <v>3835</v>
      </c>
      <c r="H30" s="8">
        <f t="shared" si="13"/>
        <v>3825</v>
      </c>
      <c r="I30" s="8">
        <f t="shared" si="13"/>
        <v>3814</v>
      </c>
      <c r="J30" s="8">
        <f t="shared" si="13"/>
        <v>3803</v>
      </c>
      <c r="K30" s="8">
        <f t="shared" si="13"/>
        <v>3771</v>
      </c>
      <c r="L30" s="8">
        <f t="shared" si="13"/>
        <v>3757</v>
      </c>
      <c r="M30" s="8">
        <f t="shared" si="13"/>
        <v>3742</v>
      </c>
      <c r="N30" s="8">
        <f t="shared" si="13"/>
        <v>3728</v>
      </c>
      <c r="O30" s="8">
        <f t="shared" si="13"/>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14">G36-H36</f>
        <v>58</v>
      </c>
      <c r="I37" s="30">
        <f t="shared" si="14"/>
        <v>58</v>
      </c>
      <c r="J37" s="30">
        <f t="shared" si="14"/>
        <v>57</v>
      </c>
      <c r="K37" s="30">
        <f t="shared" si="14"/>
        <v>174</v>
      </c>
      <c r="L37" s="30">
        <f t="shared" si="14"/>
        <v>116</v>
      </c>
      <c r="M37" s="30">
        <f t="shared" si="14"/>
        <v>57</v>
      </c>
      <c r="N37" s="30">
        <f t="shared" si="14"/>
        <v>58</v>
      </c>
      <c r="O37" s="30">
        <f t="shared" si="14"/>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17B7-0FD0-41DA-92B9-444294B0142E}">
  <sheetPr>
    <tabColor theme="5"/>
  </sheetPr>
  <dimension ref="A1:AY161"/>
  <sheetViews>
    <sheetView showGridLines="0" view="pageBreakPreview" topLeftCell="A42" zoomScale="112" zoomScaleNormal="96" workbookViewId="0">
      <selection activeCell="K42"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67692</v>
      </c>
      <c r="S17" s="78">
        <f t="shared" si="2"/>
        <v>67555</v>
      </c>
      <c r="T17" s="78">
        <f t="shared" si="2"/>
        <v>67436</v>
      </c>
      <c r="U17" s="78">
        <f t="shared" si="2"/>
        <v>67060</v>
      </c>
      <c r="V17" s="78">
        <f t="shared" si="2"/>
        <v>66889</v>
      </c>
      <c r="W17" s="78">
        <f t="shared" si="2"/>
        <v>66701</v>
      </c>
      <c r="X17" s="78">
        <f t="shared" si="2"/>
        <v>66530</v>
      </c>
      <c r="Y17" s="78">
        <f t="shared" si="2"/>
        <v>66377</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0.6080356421058305</v>
      </c>
      <c r="S18" s="82">
        <f t="shared" si="3"/>
        <v>0.57255822626029762</v>
      </c>
      <c r="T18" s="82">
        <f t="shared" si="3"/>
        <v>0.57271461086387876</v>
      </c>
      <c r="U18" s="82">
        <f t="shared" si="3"/>
        <v>0.56455414870689657</v>
      </c>
      <c r="V18" s="82">
        <f t="shared" si="3"/>
        <v>0.56130943389893095</v>
      </c>
      <c r="W18" s="82">
        <f t="shared" si="3"/>
        <v>0.55772398511643462</v>
      </c>
      <c r="X18" s="82">
        <f t="shared" si="3"/>
        <v>0.55541177943816</v>
      </c>
      <c r="Y18" s="82">
        <f t="shared" si="3"/>
        <v>0.55871014443958111</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(2)P1-10%'!F19+'予測 (2)P1-10%'!F20</f>
        <v>362295</v>
      </c>
      <c r="Q19" s="78">
        <f>'予測 (2)P1-10%'!G19+'予測 (2)P1-10%'!G20</f>
        <v>361566</v>
      </c>
      <c r="R19" s="78">
        <f>'予測 (2)P1-10%'!H19+'予測 (2)P1-10%'!H20</f>
        <v>360928</v>
      </c>
      <c r="S19" s="78">
        <f>'予測 (2)P1-10%'!I19+'予測 (2)P1-10%'!I20</f>
        <v>360199</v>
      </c>
      <c r="T19" s="78">
        <f>'予測 (2)P1-10%'!J19+'予測 (2)P1-10%'!J20</f>
        <v>359562</v>
      </c>
      <c r="U19" s="78">
        <f>'予測 (2)P1-10%'!K19+'予測 (2)P1-10%'!K20</f>
        <v>357557</v>
      </c>
      <c r="V19" s="78">
        <f>'予測 (2)P1-10%'!L19+'予測 (2)P1-10%'!L20</f>
        <v>356646</v>
      </c>
      <c r="W19" s="78">
        <f>'予測 (2)P1-10%'!M19+'予測 (2)P1-10%'!M20</f>
        <v>355644</v>
      </c>
      <c r="X19" s="78">
        <f>'予測 (2)P1-10%'!N19+'予測 (2)P1-10%'!N20</f>
        <v>354733</v>
      </c>
      <c r="Y19" s="78">
        <f>'予測 (2)P1-10%'!O19+'予測 (2)P1-10%'!O20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1.0922683620095195</v>
      </c>
      <c r="S21" s="82">
        <f t="shared" si="6"/>
        <v>1.0628516987135863</v>
      </c>
      <c r="T21" s="82">
        <f t="shared" si="6"/>
        <v>1.0486161341353579</v>
      </c>
      <c r="U21" s="82">
        <f t="shared" si="6"/>
        <v>1.0333619853552927</v>
      </c>
      <c r="V21" s="82">
        <f t="shared" si="6"/>
        <v>1.0198755050780823</v>
      </c>
      <c r="W21" s="82">
        <f t="shared" si="6"/>
        <v>1.0068495926721517</v>
      </c>
      <c r="X21" s="82">
        <f t="shared" si="6"/>
        <v>0.99440535085995962</v>
      </c>
      <c r="Y21" s="82">
        <f t="shared" si="6"/>
        <v>0.98233881264676737</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67762</v>
      </c>
      <c r="S27" s="97">
        <f t="shared" si="7"/>
        <v>67625</v>
      </c>
      <c r="T27" s="97">
        <f t="shared" si="7"/>
        <v>67506</v>
      </c>
      <c r="U27" s="97">
        <f t="shared" si="7"/>
        <v>67130</v>
      </c>
      <c r="V27" s="97">
        <f t="shared" si="7"/>
        <v>66959</v>
      </c>
      <c r="W27" s="97">
        <f t="shared" si="7"/>
        <v>66771</v>
      </c>
      <c r="X27" s="97">
        <f t="shared" si="7"/>
        <v>66600</v>
      </c>
      <c r="Y27" s="97">
        <f t="shared" si="7"/>
        <v>66447</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(2)P1-10%'!F25</f>
        <v>61771</v>
      </c>
      <c r="Q28" s="102">
        <f>'予測 (2)P1-10%'!G25</f>
        <v>61647</v>
      </c>
      <c r="R28" s="102">
        <f>'予測 (2)P1-10%'!H25</f>
        <v>67692</v>
      </c>
      <c r="S28" s="102">
        <f>'予測 (2)P1-10%'!I25</f>
        <v>67555</v>
      </c>
      <c r="T28" s="102">
        <f>'予測 (2)P1-10%'!J25</f>
        <v>67436</v>
      </c>
      <c r="U28" s="102">
        <f>'予測 (2)P1-10%'!K25</f>
        <v>67060</v>
      </c>
      <c r="V28" s="102">
        <f>'予測 (2)P1-10%'!L25</f>
        <v>66889</v>
      </c>
      <c r="W28" s="102">
        <f>'予測 (2)P1-10%'!M25</f>
        <v>66701</v>
      </c>
      <c r="X28" s="102">
        <f>'予測 (2)P1-10%'!N25</f>
        <v>66530</v>
      </c>
      <c r="Y28" s="102">
        <f>'予測 (2)P1-10%'!O25</f>
        <v>66377</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194829</v>
      </c>
      <c r="S37" s="115">
        <f t="shared" si="11"/>
        <v>226465</v>
      </c>
      <c r="T37" s="115">
        <f t="shared" si="11"/>
        <v>224709</v>
      </c>
      <c r="U37" s="115">
        <f t="shared" si="11"/>
        <v>224811</v>
      </c>
      <c r="V37" s="115">
        <f t="shared" si="11"/>
        <v>224136</v>
      </c>
      <c r="W37" s="115">
        <f t="shared" si="11"/>
        <v>223578</v>
      </c>
      <c r="X37" s="115">
        <f t="shared" si="11"/>
        <v>222711</v>
      </c>
      <c r="Y37" s="115">
        <f t="shared" si="11"/>
        <v>220038</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16458</v>
      </c>
      <c r="S54" s="121">
        <f t="shared" si="24"/>
        <v>13392</v>
      </c>
      <c r="T54" s="121">
        <f t="shared" si="24"/>
        <v>10418</v>
      </c>
      <c r="U54" s="121">
        <f t="shared" si="24"/>
        <v>7258</v>
      </c>
      <c r="V54" s="121">
        <f t="shared" si="24"/>
        <v>4368</v>
      </c>
      <c r="W54" s="121">
        <f t="shared" si="24"/>
        <v>1521</v>
      </c>
      <c r="X54" s="121">
        <f t="shared" si="24"/>
        <v>-1253</v>
      </c>
      <c r="Y54" s="121">
        <f t="shared" si="24"/>
        <v>-3956</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16458</v>
      </c>
      <c r="S58" s="124">
        <f t="shared" si="26"/>
        <v>13392</v>
      </c>
      <c r="T58" s="124">
        <f t="shared" si="26"/>
        <v>10418</v>
      </c>
      <c r="U58" s="124">
        <f t="shared" si="26"/>
        <v>7258</v>
      </c>
      <c r="V58" s="124">
        <f t="shared" si="26"/>
        <v>4368</v>
      </c>
      <c r="W58" s="124">
        <f t="shared" si="26"/>
        <v>1521</v>
      </c>
      <c r="X58" s="124">
        <f t="shared" si="26"/>
        <v>-1253</v>
      </c>
      <c r="Y58" s="124">
        <f t="shared" si="26"/>
        <v>-3956</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46522</v>
      </c>
      <c r="S59" s="124">
        <f t="shared" si="27"/>
        <v>59914</v>
      </c>
      <c r="T59" s="124">
        <f t="shared" si="27"/>
        <v>70332</v>
      </c>
      <c r="U59" s="124">
        <f t="shared" si="27"/>
        <v>77590</v>
      </c>
      <c r="V59" s="124">
        <f t="shared" si="27"/>
        <v>81958</v>
      </c>
      <c r="W59" s="124">
        <f t="shared" si="27"/>
        <v>83479</v>
      </c>
      <c r="X59" s="124">
        <f t="shared" si="27"/>
        <v>82226</v>
      </c>
      <c r="Y59" s="124">
        <f t="shared" si="27"/>
        <v>78270</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1.0922683620095195</v>
      </c>
      <c r="S61" s="126">
        <f t="shared" si="28"/>
        <v>1.0628516987135863</v>
      </c>
      <c r="T61" s="126">
        <f t="shared" si="28"/>
        <v>1.0486161341353579</v>
      </c>
      <c r="U61" s="126">
        <f t="shared" si="28"/>
        <v>1.0333619853552927</v>
      </c>
      <c r="V61" s="126">
        <f t="shared" si="28"/>
        <v>1.0198755050780823</v>
      </c>
      <c r="W61" s="126">
        <f t="shared" si="28"/>
        <v>1.0068495926721517</v>
      </c>
      <c r="X61" s="126">
        <f t="shared" si="28"/>
        <v>0.99440535085995962</v>
      </c>
      <c r="Y61" s="126">
        <f t="shared" si="28"/>
        <v>0.98233881264676737</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0.6080356421058305</v>
      </c>
      <c r="S62" s="126">
        <f t="shared" si="29"/>
        <v>0.57255822626029762</v>
      </c>
      <c r="T62" s="126">
        <f t="shared" si="29"/>
        <v>0.57271461086387876</v>
      </c>
      <c r="U62" s="126">
        <f t="shared" si="29"/>
        <v>0.56455414870689657</v>
      </c>
      <c r="V62" s="126">
        <f t="shared" si="29"/>
        <v>0.56130943389893095</v>
      </c>
      <c r="W62" s="126">
        <f t="shared" si="29"/>
        <v>0.55772398511643462</v>
      </c>
      <c r="X62" s="126">
        <f t="shared" si="29"/>
        <v>0.55541177943816</v>
      </c>
      <c r="Y62" s="126">
        <f t="shared" si="29"/>
        <v>0.55871014443958111</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0.5196643661571767</v>
      </c>
      <c r="S63" s="126">
        <f t="shared" si="30"/>
        <v>0.45033664422371844</v>
      </c>
      <c r="T63" s="126">
        <f t="shared" si="30"/>
        <v>0.45270605926343632</v>
      </c>
      <c r="U63" s="126">
        <f t="shared" si="30"/>
        <v>0.4430701736998936</v>
      </c>
      <c r="V63" s="126">
        <f t="shared" si="30"/>
        <v>0.43691742927501587</v>
      </c>
      <c r="W63" s="126">
        <f t="shared" si="30"/>
        <v>0.43058738468887786</v>
      </c>
      <c r="X63" s="126">
        <f t="shared" si="30"/>
        <v>0.42475627430074508</v>
      </c>
      <c r="Y63" s="126">
        <f t="shared" si="30"/>
        <v>0.42181621759023896</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1.0922683620095195</v>
      </c>
      <c r="S111" s="158">
        <f t="shared" si="46"/>
        <v>1.0628516987135863</v>
      </c>
      <c r="T111" s="158">
        <f t="shared" si="46"/>
        <v>1.0486161341353579</v>
      </c>
      <c r="U111" s="158">
        <f t="shared" si="46"/>
        <v>1.0333619853552927</v>
      </c>
      <c r="V111" s="158">
        <f t="shared" si="46"/>
        <v>1.0198755050780823</v>
      </c>
      <c r="W111" s="158">
        <f t="shared" si="46"/>
        <v>1.0068495926721517</v>
      </c>
      <c r="X111" s="158">
        <f t="shared" si="46"/>
        <v>0.99440535085995962</v>
      </c>
      <c r="Y111" s="158">
        <f t="shared" si="46"/>
        <v>0.98233881264676737</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0.6080356421058305</v>
      </c>
      <c r="S113" s="158">
        <f t="shared" si="48"/>
        <v>0.57255822626029762</v>
      </c>
      <c r="T113" s="158">
        <f t="shared" si="48"/>
        <v>0.57271461086387876</v>
      </c>
      <c r="U113" s="158">
        <f t="shared" si="48"/>
        <v>0.56455414870689657</v>
      </c>
      <c r="V113" s="158">
        <f t="shared" si="48"/>
        <v>0.56130943389893095</v>
      </c>
      <c r="W113" s="158">
        <f t="shared" si="48"/>
        <v>0.55772398511643462</v>
      </c>
      <c r="X113" s="158">
        <f t="shared" si="48"/>
        <v>0.55541177943816</v>
      </c>
      <c r="Y113" s="158">
        <f t="shared" si="48"/>
        <v>0.55871014443958111</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146719</v>
      </c>
      <c r="S121" s="168">
        <f t="shared" si="52"/>
        <v>163402</v>
      </c>
      <c r="T121" s="168">
        <f t="shared" si="52"/>
        <v>159380</v>
      </c>
      <c r="U121" s="168">
        <f t="shared" si="52"/>
        <v>158611</v>
      </c>
      <c r="V121" s="168">
        <f t="shared" si="52"/>
        <v>157461</v>
      </c>
      <c r="W121" s="168">
        <f t="shared" si="52"/>
        <v>156428</v>
      </c>
      <c r="X121" s="168">
        <f t="shared" si="52"/>
        <v>155378</v>
      </c>
      <c r="Y121" s="168">
        <f t="shared" si="52"/>
        <v>153404</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53780</v>
      </c>
      <c r="S123" s="168">
        <f t="shared" si="54"/>
        <v>62052</v>
      </c>
      <c r="T123" s="168">
        <f t="shared" si="54"/>
        <v>56798</v>
      </c>
      <c r="U123" s="168">
        <f t="shared" si="54"/>
        <v>54149</v>
      </c>
      <c r="V123" s="168">
        <f t="shared" si="54"/>
        <v>51612</v>
      </c>
      <c r="W123" s="168">
        <f t="shared" si="54"/>
        <v>49130</v>
      </c>
      <c r="X123" s="168">
        <f t="shared" si="54"/>
        <v>46632</v>
      </c>
      <c r="Y123" s="168">
        <f t="shared" si="54"/>
        <v>43414</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32571</v>
      </c>
      <c r="S127" s="168">
        <f t="shared" si="58"/>
        <v>43675</v>
      </c>
      <c r="T127" s="168">
        <f t="shared" si="58"/>
        <v>30983</v>
      </c>
      <c r="U127" s="168">
        <f t="shared" si="58"/>
        <v>36120</v>
      </c>
      <c r="V127" s="168">
        <f t="shared" si="58"/>
        <v>36373</v>
      </c>
      <c r="W127" s="168">
        <f t="shared" si="58"/>
        <v>35611</v>
      </c>
      <c r="X127" s="168">
        <f t="shared" si="58"/>
        <v>21680</v>
      </c>
      <c r="Y127" s="168">
        <f t="shared" si="58"/>
        <v>15209</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27370</v>
      </c>
      <c r="U133" s="143">
        <f t="shared" ref="U133:Y133" si="59">-(U58-U132)</f>
        <v>27564</v>
      </c>
      <c r="V133" s="143">
        <f t="shared" si="59"/>
        <v>26702</v>
      </c>
      <c r="W133" s="143">
        <f t="shared" si="59"/>
        <v>25432</v>
      </c>
      <c r="X133" s="143">
        <f t="shared" si="59"/>
        <v>24053</v>
      </c>
      <c r="Y133" s="143">
        <f t="shared" si="59"/>
        <v>21369</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-32571</v>
      </c>
      <c r="S137" s="143">
        <f t="shared" si="60"/>
        <v>-43675</v>
      </c>
      <c r="T137" s="143">
        <f t="shared" si="60"/>
        <v>-30983</v>
      </c>
      <c r="U137" s="143">
        <f t="shared" si="60"/>
        <v>-36120</v>
      </c>
      <c r="V137" s="143">
        <f t="shared" si="60"/>
        <v>-36373</v>
      </c>
      <c r="W137" s="143">
        <f t="shared" si="60"/>
        <v>-35611</v>
      </c>
      <c r="X137" s="143">
        <f t="shared" si="60"/>
        <v>-21680</v>
      </c>
      <c r="Y137" s="143">
        <f t="shared" si="60"/>
        <v>-15209</v>
      </c>
    </row>
    <row r="138" spans="3:25" x14ac:dyDescent="0.55000000000000004">
      <c r="P138" s="75">
        <f>SUM(P136:P137)</f>
        <v>-14430</v>
      </c>
      <c r="Q138" s="75">
        <f t="shared" ref="Q138:Y138" si="61">SUM(Q136:Q137)</f>
        <v>-29169</v>
      </c>
      <c r="R138" s="75">
        <f t="shared" si="61"/>
        <v>237729</v>
      </c>
      <c r="S138" s="75">
        <f t="shared" si="61"/>
        <v>-28675</v>
      </c>
      <c r="T138" s="75">
        <f t="shared" si="61"/>
        <v>-23783</v>
      </c>
      <c r="U138" s="75">
        <f t="shared" si="61"/>
        <v>-26420</v>
      </c>
      <c r="V138" s="75">
        <f t="shared" si="61"/>
        <v>-36373</v>
      </c>
      <c r="W138" s="75">
        <f t="shared" si="61"/>
        <v>-35611</v>
      </c>
      <c r="X138" s="75">
        <f t="shared" si="61"/>
        <v>-2980</v>
      </c>
      <c r="Y138" s="75">
        <f t="shared" si="61"/>
        <v>-1009</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1"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E82C-FC43-442C-9BA5-1D9E49A42225}">
  <sheetPr>
    <tabColor rgb="FFFF0000"/>
  </sheetPr>
  <dimension ref="A1:R52"/>
  <sheetViews>
    <sheetView topLeftCell="C12" workbookViewId="0">
      <selection activeCell="O24" sqref="O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ROUND(H19*170.5/1000,0)+H48</f>
        <v>46057</v>
      </c>
      <c r="I23" s="8">
        <f>ROUND(I19*170.5/1000,0)+I48</f>
        <v>45919</v>
      </c>
      <c r="J23" s="8">
        <f>ROUND(J19*170.5/1000,0)+J48</f>
        <v>45800</v>
      </c>
      <c r="K23" s="8">
        <f>ROUND(K19*170.5/1000,0)+K48</f>
        <v>45420</v>
      </c>
      <c r="L23" s="8">
        <f>ROUND(L19*170.5/1000,0)+L48</f>
        <v>45246</v>
      </c>
      <c r="M23" s="8">
        <f>ROUND(M19*170.5/1000,0)+M48</f>
        <v>45057</v>
      </c>
      <c r="N23" s="8">
        <f>ROUND(N19*170.5/1000,0)+N48</f>
        <v>44884</v>
      </c>
      <c r="O23" s="8">
        <f>ROUND(O19*170.5/1000,0)+O48</f>
        <v>44729</v>
      </c>
      <c r="P23" s="8">
        <f>ROUND(P19*170.5/1000,0)+P48</f>
        <v>44195</v>
      </c>
    </row>
    <row r="24" spans="5:16" x14ac:dyDescent="0.2">
      <c r="E24" t="s">
        <v>755</v>
      </c>
      <c r="F24" s="8">
        <f>ROUND(F20*170.5/1000,0)</f>
        <v>20051</v>
      </c>
      <c r="G24" s="8">
        <f t="shared" si="2"/>
        <v>20051</v>
      </c>
      <c r="H24" s="8">
        <f>ROUND(H20*170.5/1000,0)+H50</f>
        <v>28283</v>
      </c>
      <c r="I24" s="8">
        <f>ROUND(I20*170.5/1000,0)+I50</f>
        <v>28283</v>
      </c>
      <c r="J24" s="8">
        <f>ROUND(J20*170.5/1000,0)+J50</f>
        <v>28283</v>
      </c>
      <c r="K24" s="8">
        <f>ROUND(K20*170.5/1000,0)+K50</f>
        <v>28283</v>
      </c>
      <c r="L24" s="8">
        <f>ROUND(L20*170.5/1000,0)+L50</f>
        <v>28283</v>
      </c>
      <c r="M24" s="8">
        <f>ROUND(M20*170.5/1000,0)+M50</f>
        <v>28283</v>
      </c>
      <c r="N24" s="8">
        <f>ROUND(N20*170.5/1000,0)+N50</f>
        <v>28283</v>
      </c>
      <c r="O24" s="8">
        <f>ROUND(O20*170.5/1000,0)+O50</f>
        <v>28283</v>
      </c>
      <c r="P24" s="8">
        <f>ROUND(P20*170.5/1000,0)+P50</f>
        <v>28283</v>
      </c>
    </row>
    <row r="25" spans="5:16" x14ac:dyDescent="0.2">
      <c r="E25" t="s">
        <v>757</v>
      </c>
      <c r="F25" s="30">
        <f>SUM(F23:F24)</f>
        <v>61771</v>
      </c>
      <c r="G25" s="30">
        <f t="shared" ref="G25:P25" si="5">SUM(G23:G24)</f>
        <v>61647</v>
      </c>
      <c r="H25" s="30">
        <f t="shared" si="5"/>
        <v>74340</v>
      </c>
      <c r="I25" s="30">
        <f t="shared" si="5"/>
        <v>74202</v>
      </c>
      <c r="J25" s="30">
        <f t="shared" si="5"/>
        <v>74083</v>
      </c>
      <c r="K25" s="30">
        <f t="shared" si="5"/>
        <v>73703</v>
      </c>
      <c r="L25" s="30">
        <f t="shared" si="5"/>
        <v>73529</v>
      </c>
      <c r="M25" s="30">
        <f t="shared" si="5"/>
        <v>73340</v>
      </c>
      <c r="N25" s="30">
        <f t="shared" si="5"/>
        <v>73167</v>
      </c>
      <c r="O25" s="30">
        <f t="shared" si="5"/>
        <v>73012</v>
      </c>
      <c r="P25" s="30">
        <f t="shared" si="5"/>
        <v>72478</v>
      </c>
    </row>
    <row r="26" spans="5:16" x14ac:dyDescent="0.2">
      <c r="H26">
        <v>170.5</v>
      </c>
      <c r="I26">
        <f>ROUND(L25/(L19+L20)*1000,2)</f>
        <v>206.17</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row r="44" spans="5:16" x14ac:dyDescent="0.2">
      <c r="E44" t="s">
        <v>871</v>
      </c>
    </row>
    <row r="45" spans="5:16" x14ac:dyDescent="0.2">
      <c r="E45" t="s">
        <v>872</v>
      </c>
      <c r="F45" s="8">
        <f>ROUND(F14*8,0)</f>
        <v>21488</v>
      </c>
      <c r="G45" s="8">
        <f>ROUND(G14*8,0)</f>
        <v>21424</v>
      </c>
      <c r="H45" s="8">
        <f>ROUND(H14*8,0)</f>
        <v>21368</v>
      </c>
      <c r="I45" s="8">
        <f>ROUND(I14*8,0)</f>
        <v>21304</v>
      </c>
      <c r="J45" s="8">
        <f>ROUND(J14*8,0)</f>
        <v>21248</v>
      </c>
      <c r="K45" s="8">
        <f>ROUND(K14*8,0)</f>
        <v>21072</v>
      </c>
      <c r="L45" s="8">
        <f>ROUND(L14*8,0)</f>
        <v>20992</v>
      </c>
      <c r="M45" s="8">
        <f>ROUND(M14*8,0)</f>
        <v>20904</v>
      </c>
      <c r="N45" s="8">
        <f>ROUND(N14*8,0)</f>
        <v>20824</v>
      </c>
      <c r="O45" s="8">
        <f>ROUND(O14*8,0)</f>
        <v>20752</v>
      </c>
      <c r="P45" s="8">
        <f>ROUND(P14*8,0)</f>
        <v>20504</v>
      </c>
    </row>
    <row r="46" spans="5:16" x14ac:dyDescent="0.2">
      <c r="E46" t="s">
        <v>873</v>
      </c>
      <c r="F46" s="8">
        <v>0</v>
      </c>
      <c r="G46" s="8">
        <v>0</v>
      </c>
      <c r="H46" s="8">
        <f>ROUND(H45*100/1000,0)</f>
        <v>2137</v>
      </c>
      <c r="I46" s="8">
        <f>ROUND(I45*100/1000,0)</f>
        <v>2130</v>
      </c>
      <c r="J46" s="8">
        <f>ROUND(J45*100/1000,0)</f>
        <v>2125</v>
      </c>
      <c r="K46" s="8">
        <f>ROUND(K45*100/1000,0)</f>
        <v>2107</v>
      </c>
      <c r="L46" s="8">
        <f>ROUND(L45*100/1000,0)</f>
        <v>2099</v>
      </c>
      <c r="M46" s="8">
        <f>ROUND(M45*100/1000,0)</f>
        <v>2090</v>
      </c>
      <c r="N46" s="8">
        <f>ROUND(N45*100/1000,0)</f>
        <v>2082</v>
      </c>
      <c r="O46" s="8">
        <f>ROUND(O45*100/1000,0)</f>
        <v>2075</v>
      </c>
      <c r="P46" s="8">
        <f>ROUND(P45*100/1000,0)</f>
        <v>2050</v>
      </c>
    </row>
    <row r="47" spans="5:16" x14ac:dyDescent="0.2">
      <c r="E47" t="s">
        <v>874</v>
      </c>
      <c r="F47" s="8">
        <v>0</v>
      </c>
      <c r="G47" s="8">
        <v>0</v>
      </c>
      <c r="H47" s="8">
        <f>ROUND(H19*10/1000,0)</f>
        <v>2433</v>
      </c>
      <c r="I47" s="8">
        <f>ROUND(I19*10/1000,0)</f>
        <v>2426</v>
      </c>
      <c r="J47" s="8">
        <f>ROUND(J19*10/1000,0)</f>
        <v>2420</v>
      </c>
      <c r="K47" s="8">
        <f>ROUND(K19*10/1000,0)</f>
        <v>2400</v>
      </c>
      <c r="L47" s="8">
        <f>ROUND(L19*10/1000,0)</f>
        <v>2390</v>
      </c>
      <c r="M47" s="8">
        <f>ROUND(M19*10/1000,0)</f>
        <v>2380</v>
      </c>
      <c r="N47" s="8">
        <f>ROUND(N19*10/1000,0)</f>
        <v>2371</v>
      </c>
      <c r="O47" s="8">
        <f>ROUND(O19*10/1000,0)</f>
        <v>2363</v>
      </c>
      <c r="P47" s="8">
        <f>ROUND(P19*10/1000,0)</f>
        <v>2335</v>
      </c>
    </row>
    <row r="48" spans="5:16" x14ac:dyDescent="0.2">
      <c r="E48" t="s">
        <v>875</v>
      </c>
      <c r="F48" s="30">
        <f>F46+F47</f>
        <v>0</v>
      </c>
      <c r="G48" s="30">
        <f>G46+G47</f>
        <v>0</v>
      </c>
      <c r="H48" s="30">
        <f>H46+H47</f>
        <v>4570</v>
      </c>
      <c r="I48" s="30">
        <f>I46+I47</f>
        <v>4556</v>
      </c>
      <c r="J48" s="30">
        <f>J46+J47</f>
        <v>4545</v>
      </c>
      <c r="K48" s="30">
        <f>K46+K47</f>
        <v>4507</v>
      </c>
      <c r="L48" s="30">
        <f>L46+L47</f>
        <v>4489</v>
      </c>
      <c r="M48" s="30">
        <f>M46+M47</f>
        <v>4470</v>
      </c>
      <c r="N48" s="30">
        <f>N46+N47</f>
        <v>4453</v>
      </c>
      <c r="O48" s="30">
        <f>O46+O47</f>
        <v>4438</v>
      </c>
      <c r="P48" s="30">
        <f>P46+P47</f>
        <v>4385</v>
      </c>
    </row>
    <row r="49" spans="5:16" x14ac:dyDescent="0.2">
      <c r="E49" t="s">
        <v>876</v>
      </c>
      <c r="F49" s="8">
        <v>0</v>
      </c>
      <c r="G49" s="8">
        <v>0</v>
      </c>
      <c r="H49" s="8">
        <v>70</v>
      </c>
      <c r="I49" s="8">
        <v>70</v>
      </c>
      <c r="J49" s="8">
        <v>70</v>
      </c>
      <c r="K49" s="8">
        <v>70</v>
      </c>
      <c r="L49" s="8">
        <v>70</v>
      </c>
      <c r="M49" s="8">
        <v>70</v>
      </c>
      <c r="N49" s="8">
        <v>70</v>
      </c>
      <c r="O49" s="8">
        <v>70</v>
      </c>
      <c r="P49" s="8">
        <v>70</v>
      </c>
    </row>
    <row r="50" spans="5:16" x14ac:dyDescent="0.2">
      <c r="E50" t="s">
        <v>877</v>
      </c>
      <c r="F50" s="8">
        <f>ROUND(F20*F49/1000,0)</f>
        <v>0</v>
      </c>
      <c r="G50" s="8">
        <f>ROUND(G20*G49/1000,0)</f>
        <v>0</v>
      </c>
      <c r="H50" s="8">
        <f>ROUND(H20*H49/1000,0)</f>
        <v>8232</v>
      </c>
      <c r="I50" s="8">
        <f>ROUND(I20*I49/1000,0)</f>
        <v>8232</v>
      </c>
      <c r="J50" s="8">
        <f>ROUND(J20*J49/1000,0)</f>
        <v>8232</v>
      </c>
      <c r="K50" s="8">
        <f>ROUND(K20*K49/1000,0)</f>
        <v>8232</v>
      </c>
      <c r="L50" s="8">
        <f>ROUND(L20*L49/1000,0)</f>
        <v>8232</v>
      </c>
      <c r="M50" s="8">
        <f>ROUND(M20*M49/1000,0)</f>
        <v>8232</v>
      </c>
      <c r="N50" s="8">
        <f>ROUND(N20*N49/1000,0)</f>
        <v>8232</v>
      </c>
      <c r="O50" s="8">
        <f>ROUND(O20*O49/1000,0)</f>
        <v>8232</v>
      </c>
      <c r="P50" s="8">
        <f>ROUND(P20*P49/1000,0)</f>
        <v>8232</v>
      </c>
    </row>
    <row r="51" spans="5:16" x14ac:dyDescent="0.2">
      <c r="E51" t="s">
        <v>878</v>
      </c>
      <c r="F51" s="30">
        <f>F48+F50</f>
        <v>0</v>
      </c>
      <c r="G51" s="30">
        <f>G48+G50</f>
        <v>0</v>
      </c>
      <c r="H51" s="30">
        <f>H48+H50</f>
        <v>12802</v>
      </c>
      <c r="I51" s="30">
        <f>I48+I50</f>
        <v>12788</v>
      </c>
      <c r="J51" s="30">
        <f>J48+J50</f>
        <v>12777</v>
      </c>
      <c r="K51" s="30">
        <f>K48+K50</f>
        <v>12739</v>
      </c>
      <c r="L51" s="30">
        <f>L48+L50</f>
        <v>12721</v>
      </c>
      <c r="M51" s="30">
        <f>M48+M50</f>
        <v>12702</v>
      </c>
      <c r="N51" s="30">
        <f>N48+N50</f>
        <v>12685</v>
      </c>
      <c r="O51" s="30">
        <f>O48+O50</f>
        <v>12670</v>
      </c>
      <c r="P51" s="30">
        <f>P48+P50</f>
        <v>12617</v>
      </c>
    </row>
    <row r="52" spans="5:16" x14ac:dyDescent="0.2">
      <c r="E52" t="s">
        <v>879</v>
      </c>
    </row>
  </sheetData>
  <mergeCells count="6">
    <mergeCell ref="L1:R1"/>
    <mergeCell ref="A1:A2"/>
    <mergeCell ref="B1:B2"/>
    <mergeCell ref="C1:C2"/>
    <mergeCell ref="D1:D2"/>
    <mergeCell ref="E1:K1"/>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F65F-02A1-405D-A646-8586A8D6C184}">
  <sheetPr>
    <tabColor rgb="FFFF0000"/>
  </sheetPr>
  <dimension ref="A1:AY161"/>
  <sheetViews>
    <sheetView showGridLines="0" topLeftCell="A94" zoomScale="96" zoomScaleNormal="96" zoomScaleSheetLayoutView="112" workbookViewId="0">
      <selection activeCell="K94"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74340</v>
      </c>
      <c r="S17" s="78">
        <f t="shared" si="2"/>
        <v>74202</v>
      </c>
      <c r="T17" s="78">
        <f t="shared" si="2"/>
        <v>74083</v>
      </c>
      <c r="U17" s="78">
        <f t="shared" si="2"/>
        <v>73703</v>
      </c>
      <c r="V17" s="78">
        <f t="shared" si="2"/>
        <v>73529</v>
      </c>
      <c r="W17" s="78">
        <f t="shared" si="2"/>
        <v>73340</v>
      </c>
      <c r="X17" s="78">
        <f t="shared" si="2"/>
        <v>73167</v>
      </c>
      <c r="Y17" s="78">
        <f t="shared" si="2"/>
        <v>73012</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0.6677505411887289</v>
      </c>
      <c r="S18" s="82">
        <f t="shared" si="3"/>
        <v>0.6288944638437807</v>
      </c>
      <c r="T18" s="82">
        <f t="shared" si="3"/>
        <v>0.6291656758501206</v>
      </c>
      <c r="U18" s="82">
        <f t="shared" si="3"/>
        <v>0.6204791891163793</v>
      </c>
      <c r="V18" s="82">
        <f t="shared" si="3"/>
        <v>0.6170300253427992</v>
      </c>
      <c r="W18" s="82">
        <f t="shared" si="3"/>
        <v>0.6132363393118442</v>
      </c>
      <c r="X18" s="82">
        <f t="shared" si="3"/>
        <v>0.6108193847309763</v>
      </c>
      <c r="Y18" s="82">
        <f t="shared" si="3"/>
        <v>0.6145584323760143</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(2)協議会案'!F19+'予測 (2)協議会案'!F20</f>
        <v>362295</v>
      </c>
      <c r="Q19" s="78">
        <f>'予測 (2)協議会案'!G19+'予測 (2)協議会案'!G20</f>
        <v>361566</v>
      </c>
      <c r="R19" s="78">
        <f>'予測 (2)協議会案'!H19+'予測 (2)協議会案'!H20</f>
        <v>360928</v>
      </c>
      <c r="S19" s="78">
        <f>'予測 (2)協議会案'!I19+'予測 (2)協議会案'!I20</f>
        <v>360199</v>
      </c>
      <c r="T19" s="78">
        <f>'予測 (2)協議会案'!J19+'予測 (2)協議会案'!J20</f>
        <v>359562</v>
      </c>
      <c r="U19" s="78">
        <f>'予測 (2)協議会案'!K19+'予測 (2)協議会案'!K20</f>
        <v>357557</v>
      </c>
      <c r="V19" s="78">
        <f>'予測 (2)協議会案'!L19+'予測 (2)協議会案'!L20</f>
        <v>356646</v>
      </c>
      <c r="W19" s="78">
        <f>'予測 (2)協議会案'!M19+'予測 (2)協議会案'!M20</f>
        <v>355644</v>
      </c>
      <c r="X19" s="78">
        <f>'予測 (2)協議会案'!N19+'予測 (2)協議会案'!N20</f>
        <v>354733</v>
      </c>
      <c r="Y19" s="78">
        <f>'予測 (2)協議会案'!O19+'予測 (2)協議会案'!O20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1.1295389945675025</v>
      </c>
      <c r="S21" s="82">
        <f t="shared" si="6"/>
        <v>1.0940475799373923</v>
      </c>
      <c r="T21" s="82">
        <f t="shared" si="6"/>
        <v>1.079634702344009</v>
      </c>
      <c r="U21" s="82">
        <f t="shared" si="6"/>
        <v>1.0638970733568371</v>
      </c>
      <c r="V21" s="82">
        <f t="shared" si="6"/>
        <v>1.0500891849586838</v>
      </c>
      <c r="W21" s="82">
        <f t="shared" si="6"/>
        <v>1.0367473216336347</v>
      </c>
      <c r="X21" s="82">
        <f t="shared" si="6"/>
        <v>1.0240395777892877</v>
      </c>
      <c r="Y21" s="82">
        <f t="shared" si="6"/>
        <v>1.0119601417895123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74410</v>
      </c>
      <c r="S27" s="97">
        <f t="shared" si="7"/>
        <v>74272</v>
      </c>
      <c r="T27" s="97">
        <f t="shared" si="7"/>
        <v>74153</v>
      </c>
      <c r="U27" s="97">
        <f t="shared" si="7"/>
        <v>73773</v>
      </c>
      <c r="V27" s="97">
        <f t="shared" si="7"/>
        <v>73599</v>
      </c>
      <c r="W27" s="97">
        <f t="shared" si="7"/>
        <v>73410</v>
      </c>
      <c r="X27" s="97">
        <f t="shared" si="7"/>
        <v>73237</v>
      </c>
      <c r="Y27" s="97">
        <f t="shared" si="7"/>
        <v>73082</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(2)協議会案'!F25</f>
        <v>61771</v>
      </c>
      <c r="Q28" s="102">
        <f>'予測 (2)協議会案'!G25</f>
        <v>61647</v>
      </c>
      <c r="R28" s="102">
        <f>'予測 (2)協議会案'!H25</f>
        <v>74340</v>
      </c>
      <c r="S28" s="102">
        <f>'予測 (2)協議会案'!I25</f>
        <v>74202</v>
      </c>
      <c r="T28" s="102">
        <f>'予測 (2)協議会案'!J25</f>
        <v>74083</v>
      </c>
      <c r="U28" s="102">
        <f>'予測 (2)協議会案'!K25</f>
        <v>73703</v>
      </c>
      <c r="V28" s="102">
        <f>'予測 (2)協議会案'!L25</f>
        <v>73529</v>
      </c>
      <c r="W28" s="102">
        <f>'予測 (2)協議会案'!M25</f>
        <v>73340</v>
      </c>
      <c r="X28" s="102">
        <f>'予測 (2)協議会案'!N25</f>
        <v>73167</v>
      </c>
      <c r="Y28" s="102">
        <f>'予測 (2)協議会案'!O25</f>
        <v>73012</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201477</v>
      </c>
      <c r="S37" s="115">
        <f t="shared" si="11"/>
        <v>233112</v>
      </c>
      <c r="T37" s="115">
        <f t="shared" si="11"/>
        <v>231356</v>
      </c>
      <c r="U37" s="115">
        <f t="shared" si="11"/>
        <v>231454</v>
      </c>
      <c r="V37" s="115">
        <f t="shared" si="11"/>
        <v>230776</v>
      </c>
      <c r="W37" s="115">
        <f t="shared" si="11"/>
        <v>230217</v>
      </c>
      <c r="X37" s="115">
        <f t="shared" si="11"/>
        <v>229348</v>
      </c>
      <c r="Y37" s="115">
        <f t="shared" si="11"/>
        <v>226673</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23106</v>
      </c>
      <c r="S54" s="121">
        <f t="shared" si="24"/>
        <v>20039</v>
      </c>
      <c r="T54" s="121">
        <f t="shared" si="24"/>
        <v>17065</v>
      </c>
      <c r="U54" s="121">
        <f t="shared" si="24"/>
        <v>13901</v>
      </c>
      <c r="V54" s="121">
        <f t="shared" si="24"/>
        <v>11008</v>
      </c>
      <c r="W54" s="121">
        <f t="shared" si="24"/>
        <v>8160</v>
      </c>
      <c r="X54" s="121">
        <f t="shared" si="24"/>
        <v>5384</v>
      </c>
      <c r="Y54" s="121">
        <f t="shared" si="24"/>
        <v>2679</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23106</v>
      </c>
      <c r="S58" s="124">
        <f t="shared" si="26"/>
        <v>20039</v>
      </c>
      <c r="T58" s="124">
        <f t="shared" si="26"/>
        <v>17065</v>
      </c>
      <c r="U58" s="124">
        <f t="shared" si="26"/>
        <v>13901</v>
      </c>
      <c r="V58" s="124">
        <f t="shared" si="26"/>
        <v>11008</v>
      </c>
      <c r="W58" s="124">
        <f t="shared" si="26"/>
        <v>8160</v>
      </c>
      <c r="X58" s="124">
        <f t="shared" si="26"/>
        <v>5384</v>
      </c>
      <c r="Y58" s="124">
        <f t="shared" si="26"/>
        <v>2679</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53170</v>
      </c>
      <c r="S59" s="124">
        <f t="shared" si="27"/>
        <v>73209</v>
      </c>
      <c r="T59" s="124">
        <f t="shared" si="27"/>
        <v>90274</v>
      </c>
      <c r="U59" s="124">
        <f t="shared" si="27"/>
        <v>104175</v>
      </c>
      <c r="V59" s="124">
        <f t="shared" si="27"/>
        <v>115183</v>
      </c>
      <c r="W59" s="124">
        <f t="shared" si="27"/>
        <v>123343</v>
      </c>
      <c r="X59" s="124">
        <f t="shared" si="27"/>
        <v>128727</v>
      </c>
      <c r="Y59" s="124">
        <f t="shared" si="27"/>
        <v>131406</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1.1295389945675025</v>
      </c>
      <c r="S61" s="126">
        <f t="shared" si="28"/>
        <v>1.0940475799373923</v>
      </c>
      <c r="T61" s="126">
        <f t="shared" si="28"/>
        <v>1.079634702344009</v>
      </c>
      <c r="U61" s="126">
        <f t="shared" si="28"/>
        <v>1.0638970733568371</v>
      </c>
      <c r="V61" s="126">
        <f t="shared" si="28"/>
        <v>1.0500891849586838</v>
      </c>
      <c r="W61" s="126">
        <f t="shared" si="28"/>
        <v>1.0367473216336347</v>
      </c>
      <c r="X61" s="126">
        <f t="shared" si="28"/>
        <v>1.0240395777892877</v>
      </c>
      <c r="Y61" s="126">
        <f t="shared" si="28"/>
        <v>1.0119601417895123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0.6677505411887289</v>
      </c>
      <c r="S62" s="126">
        <f t="shared" si="29"/>
        <v>0.6288944638437807</v>
      </c>
      <c r="T62" s="126">
        <f t="shared" si="29"/>
        <v>0.6291656758501206</v>
      </c>
      <c r="U62" s="126">
        <f t="shared" si="29"/>
        <v>0.6204791891163793</v>
      </c>
      <c r="V62" s="126">
        <f t="shared" si="29"/>
        <v>0.6170300253427992</v>
      </c>
      <c r="W62" s="126">
        <f t="shared" si="29"/>
        <v>0.6132363393118442</v>
      </c>
      <c r="X62" s="126">
        <f t="shared" si="29"/>
        <v>0.6108193847309763</v>
      </c>
      <c r="Y62" s="126">
        <f t="shared" si="29"/>
        <v>0.6145584323760143</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0.5707003631171264</v>
      </c>
      <c r="S63" s="126">
        <f t="shared" si="30"/>
        <v>0.49464702353176454</v>
      </c>
      <c r="T63" s="126">
        <f t="shared" si="30"/>
        <v>0.49732817765604653</v>
      </c>
      <c r="U63" s="126">
        <f t="shared" si="30"/>
        <v>0.4869609456039854</v>
      </c>
      <c r="V63" s="126">
        <f t="shared" si="30"/>
        <v>0.4802897585127994</v>
      </c>
      <c r="W63" s="126">
        <f t="shared" si="30"/>
        <v>0.47344535753710293</v>
      </c>
      <c r="X63" s="126">
        <f t="shared" si="30"/>
        <v>0.4671297508156112</v>
      </c>
      <c r="Y63" s="126">
        <f t="shared" si="30"/>
        <v>0.4639806812404677</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1.1295389945675025</v>
      </c>
      <c r="S111" s="158">
        <f t="shared" si="46"/>
        <v>1.0940475799373923</v>
      </c>
      <c r="T111" s="158">
        <f t="shared" si="46"/>
        <v>1.079634702344009</v>
      </c>
      <c r="U111" s="158">
        <f t="shared" si="46"/>
        <v>1.0638970733568371</v>
      </c>
      <c r="V111" s="158">
        <f t="shared" si="46"/>
        <v>1.0500891849586838</v>
      </c>
      <c r="W111" s="158">
        <f t="shared" si="46"/>
        <v>1.0367473216336347</v>
      </c>
      <c r="X111" s="158">
        <f t="shared" si="46"/>
        <v>1.0240395777892877</v>
      </c>
      <c r="Y111" s="158">
        <f t="shared" si="46"/>
        <v>1.0119601417895123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0.6677505411887289</v>
      </c>
      <c r="S113" s="158">
        <f t="shared" si="48"/>
        <v>0.6288944638437807</v>
      </c>
      <c r="T113" s="158">
        <f t="shared" si="48"/>
        <v>0.6291656758501206</v>
      </c>
      <c r="U113" s="158">
        <f t="shared" si="48"/>
        <v>0.6204791891163793</v>
      </c>
      <c r="V113" s="158">
        <f t="shared" si="48"/>
        <v>0.6170300253427992</v>
      </c>
      <c r="W113" s="158">
        <f t="shared" si="48"/>
        <v>0.6132363393118442</v>
      </c>
      <c r="X113" s="158">
        <f t="shared" si="48"/>
        <v>0.6108193847309763</v>
      </c>
      <c r="Y113" s="158">
        <f t="shared" si="48"/>
        <v>0.6145584323760143</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153367</v>
      </c>
      <c r="S121" s="168">
        <f t="shared" si="52"/>
        <v>170049</v>
      </c>
      <c r="T121" s="168">
        <f t="shared" si="52"/>
        <v>166027</v>
      </c>
      <c r="U121" s="168">
        <f t="shared" si="52"/>
        <v>165254</v>
      </c>
      <c r="V121" s="168">
        <f t="shared" si="52"/>
        <v>164101</v>
      </c>
      <c r="W121" s="168">
        <f t="shared" si="52"/>
        <v>163067</v>
      </c>
      <c r="X121" s="168">
        <f t="shared" si="52"/>
        <v>162015</v>
      </c>
      <c r="Y121" s="168">
        <f t="shared" si="52"/>
        <v>160039</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60428</v>
      </c>
      <c r="S123" s="168">
        <f t="shared" si="54"/>
        <v>68699</v>
      </c>
      <c r="T123" s="168">
        <f t="shared" si="54"/>
        <v>63445</v>
      </c>
      <c r="U123" s="168">
        <f t="shared" si="54"/>
        <v>60792</v>
      </c>
      <c r="V123" s="168">
        <f t="shared" si="54"/>
        <v>58252</v>
      </c>
      <c r="W123" s="168">
        <f t="shared" si="54"/>
        <v>55769</v>
      </c>
      <c r="X123" s="168">
        <f t="shared" si="54"/>
        <v>53269</v>
      </c>
      <c r="Y123" s="168">
        <f t="shared" si="54"/>
        <v>50049</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35648</v>
      </c>
      <c r="S127" s="168">
        <f t="shared" si="58"/>
        <v>46746</v>
      </c>
      <c r="T127" s="168">
        <f t="shared" si="58"/>
        <v>34048</v>
      </c>
      <c r="U127" s="168">
        <f t="shared" si="58"/>
        <v>39168</v>
      </c>
      <c r="V127" s="168">
        <f t="shared" si="58"/>
        <v>39413</v>
      </c>
      <c r="W127" s="168">
        <f t="shared" si="58"/>
        <v>38642</v>
      </c>
      <c r="X127" s="168">
        <f t="shared" si="58"/>
        <v>24704</v>
      </c>
      <c r="Y127" s="168">
        <f t="shared" si="58"/>
        <v>19432</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20723</v>
      </c>
      <c r="U133" s="143">
        <f t="shared" ref="U133:Y133" si="59">-(U58-U132)</f>
        <v>20921</v>
      </c>
      <c r="V133" s="143">
        <f t="shared" si="59"/>
        <v>20062</v>
      </c>
      <c r="W133" s="143">
        <f t="shared" si="59"/>
        <v>18793</v>
      </c>
      <c r="X133" s="143">
        <f t="shared" si="59"/>
        <v>17416</v>
      </c>
      <c r="Y133" s="143">
        <f t="shared" si="59"/>
        <v>14734</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-35648</v>
      </c>
      <c r="S137" s="143">
        <f t="shared" si="60"/>
        <v>-46746</v>
      </c>
      <c r="T137" s="143">
        <f t="shared" si="60"/>
        <v>-34048</v>
      </c>
      <c r="U137" s="143">
        <f t="shared" si="60"/>
        <v>-39168</v>
      </c>
      <c r="V137" s="143">
        <f t="shared" si="60"/>
        <v>-39413</v>
      </c>
      <c r="W137" s="143">
        <f t="shared" si="60"/>
        <v>-38642</v>
      </c>
      <c r="X137" s="143">
        <f t="shared" si="60"/>
        <v>-24704</v>
      </c>
      <c r="Y137" s="143">
        <f t="shared" si="60"/>
        <v>-19432</v>
      </c>
    </row>
    <row r="138" spans="3:25" x14ac:dyDescent="0.55000000000000004">
      <c r="P138" s="75">
        <f>SUM(P136:P137)</f>
        <v>-14430</v>
      </c>
      <c r="Q138" s="75">
        <f t="shared" ref="Q138:Y138" si="61">SUM(Q136:Q137)</f>
        <v>-29169</v>
      </c>
      <c r="R138" s="75">
        <f t="shared" si="61"/>
        <v>234652</v>
      </c>
      <c r="S138" s="75">
        <f t="shared" si="61"/>
        <v>-31746</v>
      </c>
      <c r="T138" s="75">
        <f t="shared" si="61"/>
        <v>-26848</v>
      </c>
      <c r="U138" s="75">
        <f t="shared" si="61"/>
        <v>-29468</v>
      </c>
      <c r="V138" s="75">
        <f t="shared" si="61"/>
        <v>-39413</v>
      </c>
      <c r="W138" s="75">
        <f t="shared" si="61"/>
        <v>-38642</v>
      </c>
      <c r="X138" s="75">
        <f t="shared" si="61"/>
        <v>-6004</v>
      </c>
      <c r="Y138" s="75">
        <f t="shared" si="61"/>
        <v>-5232</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EFFD-8F10-459E-A2D0-DB6C474D585A}">
  <sheetPr>
    <tabColor rgb="FF7030A0"/>
  </sheetPr>
  <dimension ref="A1:R42"/>
  <sheetViews>
    <sheetView topLeftCell="C1" workbookViewId="0">
      <selection activeCell="H25" sqref="H25"/>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ROUND(H19*(170.5*120%)/1000,0)</f>
        <v>49785</v>
      </c>
      <c r="I23" s="8">
        <f>ROUND(I19*(170.5*120%)/1000,0)</f>
        <v>49636</v>
      </c>
      <c r="J23" s="8">
        <f t="shared" ref="J23:P23" si="3">ROUND(J19*(170.5*120%)/1000,0)</f>
        <v>49505</v>
      </c>
      <c r="K23" s="8">
        <f t="shared" si="3"/>
        <v>49095</v>
      </c>
      <c r="L23" s="8">
        <f t="shared" si="3"/>
        <v>48909</v>
      </c>
      <c r="M23" s="8">
        <f t="shared" si="3"/>
        <v>48704</v>
      </c>
      <c r="N23" s="8">
        <f t="shared" si="3"/>
        <v>48517</v>
      </c>
      <c r="O23" s="8">
        <f t="shared" si="3"/>
        <v>48350</v>
      </c>
      <c r="P23" s="8">
        <f t="shared" si="3"/>
        <v>47772</v>
      </c>
    </row>
    <row r="24" spans="5:16" x14ac:dyDescent="0.2">
      <c r="E24" t="s">
        <v>755</v>
      </c>
      <c r="F24" s="8">
        <f>ROUND(F20*170.5/1000,0)</f>
        <v>20051</v>
      </c>
      <c r="G24" s="8">
        <f t="shared" si="2"/>
        <v>20051</v>
      </c>
      <c r="H24" s="8">
        <f>ROUND(H20*(170.5*120%)/1000,0)</f>
        <v>24061</v>
      </c>
      <c r="I24" s="8">
        <f>ROUND(I20*(170.5*120%)/1000,0)</f>
        <v>24061</v>
      </c>
      <c r="J24" s="8">
        <f t="shared" ref="J24:P24" si="4">ROUND(J20*(170.5*120%)/1000,0)</f>
        <v>24061</v>
      </c>
      <c r="K24" s="8">
        <f t="shared" si="4"/>
        <v>24061</v>
      </c>
      <c r="L24" s="8">
        <f t="shared" si="4"/>
        <v>24061</v>
      </c>
      <c r="M24" s="8">
        <f t="shared" si="4"/>
        <v>24061</v>
      </c>
      <c r="N24" s="8">
        <f t="shared" si="4"/>
        <v>24061</v>
      </c>
      <c r="O24" s="8">
        <f t="shared" si="4"/>
        <v>24061</v>
      </c>
      <c r="P24" s="8">
        <f t="shared" si="4"/>
        <v>24061</v>
      </c>
    </row>
    <row r="25" spans="5:16" x14ac:dyDescent="0.2">
      <c r="E25" t="s">
        <v>757</v>
      </c>
      <c r="F25" s="30">
        <f>SUM(F23:F24)</f>
        <v>61771</v>
      </c>
      <c r="G25" s="30">
        <f t="shared" ref="G25:P25" si="5">SUM(G23:G24)</f>
        <v>61647</v>
      </c>
      <c r="H25" s="30">
        <f t="shared" si="5"/>
        <v>73846</v>
      </c>
      <c r="I25" s="30">
        <f t="shared" si="5"/>
        <v>73697</v>
      </c>
      <c r="J25" s="30">
        <f t="shared" si="5"/>
        <v>73566</v>
      </c>
      <c r="K25" s="30">
        <f t="shared" si="5"/>
        <v>73156</v>
      </c>
      <c r="L25" s="30">
        <f t="shared" si="5"/>
        <v>72970</v>
      </c>
      <c r="M25" s="30">
        <f t="shared" si="5"/>
        <v>72765</v>
      </c>
      <c r="N25" s="30">
        <f t="shared" si="5"/>
        <v>72578</v>
      </c>
      <c r="O25" s="30">
        <f t="shared" si="5"/>
        <v>72411</v>
      </c>
      <c r="P25" s="30">
        <f t="shared" si="5"/>
        <v>71833</v>
      </c>
    </row>
    <row r="26" spans="5:16" x14ac:dyDescent="0.2">
      <c r="G26">
        <v>170.5</v>
      </c>
      <c r="H26">
        <f>G26*120%</f>
        <v>204.6</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171C-56C5-42F6-8F8F-749C144A58B1}">
  <sheetPr>
    <tabColor rgb="FF7030A0"/>
  </sheetPr>
  <dimension ref="A1:AY161"/>
  <sheetViews>
    <sheetView showGridLines="0" view="pageBreakPreview" topLeftCell="A40" zoomScale="112" zoomScaleNormal="96" workbookViewId="0">
      <selection activeCell="K40"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P1-10%'!P16</f>
        <v>109223</v>
      </c>
      <c r="Q16" s="78">
        <f>'下水道現況予測 P1-10%'!Q16</f>
        <v>109886</v>
      </c>
      <c r="R16" s="78">
        <f>'下水道現況予測 P1-10%'!R16</f>
        <v>111329</v>
      </c>
      <c r="S16" s="78">
        <f>'下水道現況予測 P1-10%'!S16</f>
        <v>117988</v>
      </c>
      <c r="T16" s="78">
        <f>'下水道現況予測 P1-10%'!T16</f>
        <v>117748</v>
      </c>
      <c r="U16" s="78">
        <f>'下水道現況予測 P1-10%'!U16</f>
        <v>118784</v>
      </c>
      <c r="V16" s="78">
        <f>'下水道現況予測 P1-10%'!V16</f>
        <v>119166</v>
      </c>
      <c r="W16" s="78">
        <f>'下水道現況予測 P1-10%'!W16</f>
        <v>119595</v>
      </c>
      <c r="X16" s="78">
        <f>'下水道現況予測 P1-10%'!X16</f>
        <v>119785</v>
      </c>
      <c r="Y16" s="78">
        <f>'下水道現況予測 P1-10%'!Y16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73846</v>
      </c>
      <c r="S17" s="78">
        <f t="shared" si="2"/>
        <v>73697</v>
      </c>
      <c r="T17" s="78">
        <f t="shared" si="2"/>
        <v>73566</v>
      </c>
      <c r="U17" s="78">
        <f t="shared" si="2"/>
        <v>73156</v>
      </c>
      <c r="V17" s="78">
        <f t="shared" si="2"/>
        <v>72970</v>
      </c>
      <c r="W17" s="78">
        <f t="shared" si="2"/>
        <v>72765</v>
      </c>
      <c r="X17" s="78">
        <f t="shared" si="2"/>
        <v>72578</v>
      </c>
      <c r="Y17" s="78">
        <f t="shared" si="2"/>
        <v>72411</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0.66331324273100445</v>
      </c>
      <c r="S18" s="82">
        <f t="shared" si="3"/>
        <v>0.62461436756280297</v>
      </c>
      <c r="T18" s="82">
        <f t="shared" si="3"/>
        <v>0.6247749430988212</v>
      </c>
      <c r="U18" s="82">
        <f t="shared" si="3"/>
        <v>0.61587419181034486</v>
      </c>
      <c r="V18" s="82">
        <f t="shared" si="3"/>
        <v>0.61233909000889519</v>
      </c>
      <c r="W18" s="82">
        <f t="shared" si="3"/>
        <v>0.6084284460052678</v>
      </c>
      <c r="X18" s="82">
        <f t="shared" si="3"/>
        <v>0.60590224151604954</v>
      </c>
      <c r="Y18" s="82">
        <f t="shared" si="3"/>
        <v>0.60949968014544964</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(2)P3-20%'!F19+'予測 (2)P3-20%'!F20</f>
        <v>362295</v>
      </c>
      <c r="Q19" s="78">
        <f>'予測 (2)P3-20%'!G19+'予測 (2)P3-20%'!G20</f>
        <v>361566</v>
      </c>
      <c r="R19" s="78">
        <f>'予測 (2)P3-20%'!H19+'予測 (2)P3-20%'!H20</f>
        <v>360928</v>
      </c>
      <c r="S19" s="78">
        <f>'予測 (2)P3-20%'!I19+'予測 (2)P3-20%'!I20</f>
        <v>360199</v>
      </c>
      <c r="T19" s="78">
        <f>'予測 (2)P3-20%'!J19+'予測 (2)P3-20%'!J20</f>
        <v>359562</v>
      </c>
      <c r="U19" s="78">
        <f>'予測 (2)P3-20%'!K19+'予測 (2)P3-20%'!K20</f>
        <v>357557</v>
      </c>
      <c r="V19" s="78">
        <f>'予測 (2)P3-20%'!L19+'予測 (2)P3-20%'!L20</f>
        <v>356646</v>
      </c>
      <c r="W19" s="78">
        <f>'予測 (2)P3-20%'!M19+'予測 (2)P3-20%'!M20</f>
        <v>355644</v>
      </c>
      <c r="X19" s="78">
        <f>'予測 (2)P3-20%'!N19+'予測 (2)P3-20%'!N20</f>
        <v>354733</v>
      </c>
      <c r="Y19" s="78">
        <f>'予測 (2)P3-20%'!O19+'予測 (2)P3-20%'!O20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1.1267694860711663</v>
      </c>
      <c r="S21" s="82">
        <f t="shared" si="6"/>
        <v>1.0916775001994621</v>
      </c>
      <c r="T21" s="82">
        <f t="shared" si="6"/>
        <v>1.0772220951883187</v>
      </c>
      <c r="U21" s="82">
        <f t="shared" si="6"/>
        <v>1.0613827435153733</v>
      </c>
      <c r="V21" s="82">
        <f t="shared" si="6"/>
        <v>1.0475455935350007</v>
      </c>
      <c r="W21" s="82">
        <f t="shared" si="6"/>
        <v>1.0341578963959703</v>
      </c>
      <c r="X21" s="82">
        <f t="shared" si="6"/>
        <v>1.0214096908431711</v>
      </c>
      <c r="Y21" s="82">
        <f t="shared" si="6"/>
        <v>1.0092770342062733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73916</v>
      </c>
      <c r="S27" s="97">
        <f t="shared" si="7"/>
        <v>73767</v>
      </c>
      <c r="T27" s="97">
        <f t="shared" si="7"/>
        <v>73636</v>
      </c>
      <c r="U27" s="97">
        <f t="shared" si="7"/>
        <v>73226</v>
      </c>
      <c r="V27" s="97">
        <f t="shared" si="7"/>
        <v>73040</v>
      </c>
      <c r="W27" s="97">
        <f t="shared" si="7"/>
        <v>72835</v>
      </c>
      <c r="X27" s="97">
        <f t="shared" si="7"/>
        <v>72648</v>
      </c>
      <c r="Y27" s="97">
        <f t="shared" si="7"/>
        <v>72481</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(2)P3-20%'!F25</f>
        <v>61771</v>
      </c>
      <c r="Q28" s="102">
        <f>'予測 (2)P3-20%'!G25</f>
        <v>61647</v>
      </c>
      <c r="R28" s="102">
        <f>'予測 (2)P3-20%'!H25</f>
        <v>73846</v>
      </c>
      <c r="S28" s="102">
        <f>'予測 (2)P3-20%'!I25</f>
        <v>73697</v>
      </c>
      <c r="T28" s="102">
        <f>'予測 (2)P3-20%'!J25</f>
        <v>73566</v>
      </c>
      <c r="U28" s="102">
        <f>'予測 (2)P3-20%'!K25</f>
        <v>73156</v>
      </c>
      <c r="V28" s="102">
        <f>'予測 (2)P3-20%'!L25</f>
        <v>72970</v>
      </c>
      <c r="W28" s="102">
        <f>'予測 (2)P3-20%'!M25</f>
        <v>72765</v>
      </c>
      <c r="X28" s="102">
        <f>'予測 (2)P3-20%'!N25</f>
        <v>72578</v>
      </c>
      <c r="Y28" s="102">
        <f>'予測 (2)P3-20%'!O25</f>
        <v>72411</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P1-10%'!P33</f>
        <v>88514</v>
      </c>
      <c r="Q33" s="102">
        <f>'下水道現況予測 P1-10%'!Q33</f>
        <v>83963</v>
      </c>
      <c r="R33" s="102">
        <f>'下水道現況予測 P1-10%'!R33</f>
        <v>78957</v>
      </c>
      <c r="S33" s="102">
        <f>'下水道現況予測 P1-10%'!S33</f>
        <v>95777</v>
      </c>
      <c r="T33" s="102">
        <f>'下水道現況予測 P1-10%'!T33</f>
        <v>91874</v>
      </c>
      <c r="U33" s="102">
        <f>'下水道現況予測 P1-10%'!U33</f>
        <v>91481</v>
      </c>
      <c r="V33" s="102">
        <f>'下水道現況予測 P1-10%'!V33</f>
        <v>90502</v>
      </c>
      <c r="W33" s="102">
        <f>'下水道現況予測 P1-10%'!W33</f>
        <v>89657</v>
      </c>
      <c r="X33" s="102">
        <f>'下水道現況予測 P1-10%'!X33</f>
        <v>88778</v>
      </c>
      <c r="Y33" s="102">
        <f>'下水道現況予測 P1-10%'!Y33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P1-10%'!P35</f>
        <v>41283</v>
      </c>
      <c r="Q35" s="102">
        <f>'下水道現況予測 P1-10%'!Q35</f>
        <v>43802</v>
      </c>
      <c r="R35" s="102">
        <f>'下水道現況予測 P1-10%'!R35</f>
        <v>48110</v>
      </c>
      <c r="S35" s="102">
        <f>'下水道現況予測 P1-10%'!S35</f>
        <v>63063</v>
      </c>
      <c r="T35" s="102">
        <f>'下水道現況予測 P1-10%'!T35</f>
        <v>65329</v>
      </c>
      <c r="U35" s="102">
        <f>'下水道現況予測 P1-10%'!U35</f>
        <v>66200</v>
      </c>
      <c r="V35" s="102">
        <f>'下水道現況予測 P1-10%'!V35</f>
        <v>66675</v>
      </c>
      <c r="W35" s="102">
        <f>'下水道現況予測 P1-10%'!W35</f>
        <v>67150</v>
      </c>
      <c r="X35" s="102">
        <f>'下水道現況予測 P1-10%'!X35</f>
        <v>67333</v>
      </c>
      <c r="Y35" s="102">
        <f>'下水道現況予測 P1-10%'!Y35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200983</v>
      </c>
      <c r="S37" s="115">
        <f t="shared" si="11"/>
        <v>232607</v>
      </c>
      <c r="T37" s="115">
        <f t="shared" si="11"/>
        <v>230839</v>
      </c>
      <c r="U37" s="115">
        <f t="shared" si="11"/>
        <v>230907</v>
      </c>
      <c r="V37" s="115">
        <f t="shared" si="11"/>
        <v>230217</v>
      </c>
      <c r="W37" s="115">
        <f t="shared" si="11"/>
        <v>229642</v>
      </c>
      <c r="X37" s="115">
        <f t="shared" si="11"/>
        <v>228759</v>
      </c>
      <c r="Y37" s="115">
        <f t="shared" si="11"/>
        <v>226072</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P1-10%'!P49</f>
        <v>82749</v>
      </c>
      <c r="Q49" s="102">
        <f>'下水道現況予測 P1-10%'!Q49</f>
        <v>85406</v>
      </c>
      <c r="R49" s="102">
        <f>'下水道現況予測 P1-10%'!R49</f>
        <v>85432</v>
      </c>
      <c r="S49" s="102">
        <f>'下水道現況予測 P1-10%'!S49</f>
        <v>111723</v>
      </c>
      <c r="T49" s="102">
        <f>'下水道現況予測 P1-10%'!T49</f>
        <v>111709</v>
      </c>
      <c r="U49" s="102">
        <f>'下水道現況予測 P1-10%'!U49</f>
        <v>113091</v>
      </c>
      <c r="V49" s="102">
        <f>'下水道現況予測 P1-10%'!V49</f>
        <v>113919</v>
      </c>
      <c r="W49" s="102">
        <f>'下水道現況予測 P1-10%'!W49</f>
        <v>114759</v>
      </c>
      <c r="X49" s="102">
        <f>'下水道現況予測 P1-10%'!X49</f>
        <v>115218</v>
      </c>
      <c r="Y49" s="102">
        <f>'下水道現況予測 P1-10%'!Y49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22612</v>
      </c>
      <c r="S54" s="121">
        <f t="shared" si="24"/>
        <v>19534</v>
      </c>
      <c r="T54" s="121">
        <f t="shared" si="24"/>
        <v>16548</v>
      </c>
      <c r="U54" s="121">
        <f t="shared" si="24"/>
        <v>13354</v>
      </c>
      <c r="V54" s="121">
        <f t="shared" si="24"/>
        <v>10449</v>
      </c>
      <c r="W54" s="121">
        <f t="shared" si="24"/>
        <v>7585</v>
      </c>
      <c r="X54" s="121">
        <f t="shared" si="24"/>
        <v>4795</v>
      </c>
      <c r="Y54" s="121">
        <f t="shared" si="24"/>
        <v>2078</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22612</v>
      </c>
      <c r="S58" s="124">
        <f t="shared" si="26"/>
        <v>19534</v>
      </c>
      <c r="T58" s="124">
        <f t="shared" si="26"/>
        <v>16548</v>
      </c>
      <c r="U58" s="124">
        <f t="shared" si="26"/>
        <v>13354</v>
      </c>
      <c r="V58" s="124">
        <f t="shared" si="26"/>
        <v>10449</v>
      </c>
      <c r="W58" s="124">
        <f t="shared" si="26"/>
        <v>7585</v>
      </c>
      <c r="X58" s="124">
        <f t="shared" si="26"/>
        <v>4795</v>
      </c>
      <c r="Y58" s="124">
        <f t="shared" si="26"/>
        <v>2078</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52676</v>
      </c>
      <c r="S59" s="124">
        <f t="shared" si="27"/>
        <v>72210</v>
      </c>
      <c r="T59" s="124">
        <f t="shared" si="27"/>
        <v>88758</v>
      </c>
      <c r="U59" s="124">
        <f t="shared" si="27"/>
        <v>102112</v>
      </c>
      <c r="V59" s="124">
        <f t="shared" si="27"/>
        <v>112561</v>
      </c>
      <c r="W59" s="124">
        <f t="shared" si="27"/>
        <v>120146</v>
      </c>
      <c r="X59" s="124">
        <f t="shared" si="27"/>
        <v>124941</v>
      </c>
      <c r="Y59" s="124">
        <f t="shared" si="27"/>
        <v>127019</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1.1267694860711663</v>
      </c>
      <c r="S61" s="126">
        <f t="shared" si="28"/>
        <v>1.0916775001994621</v>
      </c>
      <c r="T61" s="126">
        <f t="shared" si="28"/>
        <v>1.0772220951883187</v>
      </c>
      <c r="U61" s="126">
        <f t="shared" si="28"/>
        <v>1.0613827435153733</v>
      </c>
      <c r="V61" s="126">
        <f t="shared" si="28"/>
        <v>1.0475455935350007</v>
      </c>
      <c r="W61" s="126">
        <f t="shared" si="28"/>
        <v>1.0341578963959703</v>
      </c>
      <c r="X61" s="126">
        <f t="shared" si="28"/>
        <v>1.0214096908431711</v>
      </c>
      <c r="Y61" s="126">
        <f t="shared" si="28"/>
        <v>1.0092770342062733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0.66331324273100445</v>
      </c>
      <c r="S62" s="126">
        <f t="shared" si="29"/>
        <v>0.62461436756280297</v>
      </c>
      <c r="T62" s="126">
        <f t="shared" si="29"/>
        <v>0.6247749430988212</v>
      </c>
      <c r="U62" s="126">
        <f t="shared" si="29"/>
        <v>0.61587419181034486</v>
      </c>
      <c r="V62" s="126">
        <f t="shared" si="29"/>
        <v>0.61233909000889519</v>
      </c>
      <c r="W62" s="126">
        <f t="shared" si="29"/>
        <v>0.6084284460052678</v>
      </c>
      <c r="X62" s="126">
        <f t="shared" si="29"/>
        <v>0.60590224151604954</v>
      </c>
      <c r="Y62" s="126">
        <f t="shared" si="29"/>
        <v>0.60949968014544964</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0.56690797706143814</v>
      </c>
      <c r="S63" s="126">
        <f t="shared" si="30"/>
        <v>0.49128058129458035</v>
      </c>
      <c r="T63" s="126">
        <f t="shared" si="30"/>
        <v>0.49385749385749383</v>
      </c>
      <c r="U63" s="126">
        <f t="shared" si="30"/>
        <v>0.48334687782865221</v>
      </c>
      <c r="V63" s="126">
        <f t="shared" si="30"/>
        <v>0.47663838320497998</v>
      </c>
      <c r="W63" s="126">
        <f t="shared" si="30"/>
        <v>0.46973345297501079</v>
      </c>
      <c r="X63" s="126">
        <f t="shared" si="30"/>
        <v>0.46336932024950361</v>
      </c>
      <c r="Y63" s="126">
        <f t="shared" si="30"/>
        <v>0.46016141331977634</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8110</v>
      </c>
      <c r="X89" s="102">
        <v>13355</v>
      </c>
      <c r="Y89" s="102">
        <v>14835</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13110</v>
      </c>
      <c r="X93" s="106">
        <f t="shared" si="37"/>
        <v>18355</v>
      </c>
      <c r="Y93" s="106">
        <f t="shared" si="37"/>
        <v>21778</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409</v>
      </c>
      <c r="X94" s="106">
        <f t="shared" si="38"/>
        <v>6597</v>
      </c>
      <c r="Y94" s="106">
        <f t="shared" si="38"/>
        <v>6427</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1.1267694860711663</v>
      </c>
      <c r="S111" s="158">
        <f t="shared" si="46"/>
        <v>1.0916775001994621</v>
      </c>
      <c r="T111" s="158">
        <f t="shared" si="46"/>
        <v>1.0772220951883187</v>
      </c>
      <c r="U111" s="158">
        <f t="shared" si="46"/>
        <v>1.0613827435153733</v>
      </c>
      <c r="V111" s="158">
        <f t="shared" si="46"/>
        <v>1.0475455935350007</v>
      </c>
      <c r="W111" s="158">
        <f t="shared" si="46"/>
        <v>1.0341578963959703</v>
      </c>
      <c r="X111" s="158">
        <f t="shared" si="46"/>
        <v>1.0214096908431711</v>
      </c>
      <c r="Y111" s="158">
        <f t="shared" si="46"/>
        <v>1.0092770342062733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0.66331324273100445</v>
      </c>
      <c r="S113" s="158">
        <f t="shared" si="48"/>
        <v>0.62461436756280297</v>
      </c>
      <c r="T113" s="158">
        <f t="shared" si="48"/>
        <v>0.6247749430988212</v>
      </c>
      <c r="U113" s="158">
        <f t="shared" si="48"/>
        <v>0.61587419181034486</v>
      </c>
      <c r="V113" s="158">
        <f t="shared" si="48"/>
        <v>0.61233909000889519</v>
      </c>
      <c r="W113" s="158">
        <f t="shared" si="48"/>
        <v>0.6084284460052678</v>
      </c>
      <c r="X113" s="158">
        <f t="shared" si="48"/>
        <v>0.60590224151604954</v>
      </c>
      <c r="Y113" s="158">
        <f t="shared" si="48"/>
        <v>0.60949968014544964</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152873</v>
      </c>
      <c r="S121" s="168">
        <f t="shared" si="52"/>
        <v>169544</v>
      </c>
      <c r="T121" s="168">
        <f t="shared" si="52"/>
        <v>165510</v>
      </c>
      <c r="U121" s="168">
        <f t="shared" si="52"/>
        <v>164707</v>
      </c>
      <c r="V121" s="168">
        <f t="shared" si="52"/>
        <v>163542</v>
      </c>
      <c r="W121" s="168">
        <f t="shared" si="52"/>
        <v>162492</v>
      </c>
      <c r="X121" s="168">
        <f t="shared" si="52"/>
        <v>161426</v>
      </c>
      <c r="Y121" s="168">
        <f t="shared" si="52"/>
        <v>159438</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59934</v>
      </c>
      <c r="S123" s="168">
        <f t="shared" si="54"/>
        <v>68194</v>
      </c>
      <c r="T123" s="168">
        <f t="shared" si="54"/>
        <v>62928</v>
      </c>
      <c r="U123" s="168">
        <f t="shared" si="54"/>
        <v>60245</v>
      </c>
      <c r="V123" s="168">
        <f t="shared" si="54"/>
        <v>57693</v>
      </c>
      <c r="W123" s="168">
        <f t="shared" si="54"/>
        <v>55194</v>
      </c>
      <c r="X123" s="168">
        <f t="shared" si="54"/>
        <v>52680</v>
      </c>
      <c r="Y123" s="168">
        <f t="shared" si="54"/>
        <v>49448</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38725</v>
      </c>
      <c r="S127" s="168">
        <f t="shared" si="58"/>
        <v>49817</v>
      </c>
      <c r="T127" s="168">
        <f t="shared" si="58"/>
        <v>37113</v>
      </c>
      <c r="U127" s="168">
        <f t="shared" si="58"/>
        <v>42216</v>
      </c>
      <c r="V127" s="168">
        <f t="shared" si="58"/>
        <v>42454</v>
      </c>
      <c r="W127" s="168">
        <f t="shared" si="58"/>
        <v>41675</v>
      </c>
      <c r="X127" s="168">
        <f t="shared" si="58"/>
        <v>27728</v>
      </c>
      <c r="Y127" s="168">
        <f t="shared" si="58"/>
        <v>21243</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21240</v>
      </c>
      <c r="U133" s="143">
        <f t="shared" ref="U133:Y133" si="59">-(U58-U132)</f>
        <v>21468</v>
      </c>
      <c r="V133" s="143">
        <f t="shared" si="59"/>
        <v>20621</v>
      </c>
      <c r="W133" s="143">
        <f t="shared" si="59"/>
        <v>19368</v>
      </c>
      <c r="X133" s="143">
        <f t="shared" si="59"/>
        <v>18005</v>
      </c>
      <c r="Y133" s="143">
        <f t="shared" si="59"/>
        <v>15335</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-38725</v>
      </c>
      <c r="S137" s="143">
        <f t="shared" si="60"/>
        <v>-49817</v>
      </c>
      <c r="T137" s="143">
        <f t="shared" si="60"/>
        <v>-37113</v>
      </c>
      <c r="U137" s="143">
        <f t="shared" si="60"/>
        <v>-42216</v>
      </c>
      <c r="V137" s="143">
        <f t="shared" si="60"/>
        <v>-42454</v>
      </c>
      <c r="W137" s="143">
        <f t="shared" si="60"/>
        <v>-41675</v>
      </c>
      <c r="X137" s="143">
        <f t="shared" si="60"/>
        <v>-27728</v>
      </c>
      <c r="Y137" s="143">
        <f t="shared" si="60"/>
        <v>-21243</v>
      </c>
    </row>
    <row r="138" spans="3:25" x14ac:dyDescent="0.55000000000000004">
      <c r="P138" s="75">
        <f>SUM(P136:P137)</f>
        <v>-14430</v>
      </c>
      <c r="Q138" s="75">
        <f t="shared" ref="Q138:Y138" si="61">SUM(Q136:Q137)</f>
        <v>-29169</v>
      </c>
      <c r="R138" s="75">
        <f t="shared" si="61"/>
        <v>231575</v>
      </c>
      <c r="S138" s="75">
        <f t="shared" si="61"/>
        <v>-34817</v>
      </c>
      <c r="T138" s="75">
        <f t="shared" si="61"/>
        <v>-29913</v>
      </c>
      <c r="U138" s="75">
        <f t="shared" si="61"/>
        <v>-32516</v>
      </c>
      <c r="V138" s="75">
        <f t="shared" si="61"/>
        <v>-42454</v>
      </c>
      <c r="W138" s="75">
        <f t="shared" si="61"/>
        <v>-41675</v>
      </c>
      <c r="X138" s="75">
        <f t="shared" si="61"/>
        <v>-9028</v>
      </c>
      <c r="Y138" s="75">
        <f t="shared" si="61"/>
        <v>-7043</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8110</v>
      </c>
      <c r="X144" s="143">
        <f t="shared" si="63"/>
        <v>13355</v>
      </c>
      <c r="Y144" s="143">
        <f t="shared" si="63"/>
        <v>14835</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BFB0-2AF7-4E7E-9138-C998E6137F71}">
  <sheetPr>
    <tabColor theme="6"/>
  </sheetPr>
  <dimension ref="A1:R42"/>
  <sheetViews>
    <sheetView topLeftCell="B5" zoomScale="112" workbookViewId="0">
      <selection activeCell="I27" sqref="I27"/>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ROUND(H19*(170.5*130%)/1000,0)</f>
        <v>53934</v>
      </c>
      <c r="I23" s="8">
        <f>ROUND(I19*(170.5*130%)/1000,0)</f>
        <v>53772</v>
      </c>
      <c r="J23" s="8">
        <f t="shared" ref="J23:P23" si="3">ROUND(J19*(170.5*130%)/1000,0)</f>
        <v>53631</v>
      </c>
      <c r="K23" s="8">
        <f t="shared" si="3"/>
        <v>53186</v>
      </c>
      <c r="L23" s="8">
        <f t="shared" si="3"/>
        <v>52985</v>
      </c>
      <c r="M23" s="8">
        <f t="shared" si="3"/>
        <v>52762</v>
      </c>
      <c r="N23" s="8">
        <f t="shared" si="3"/>
        <v>52561</v>
      </c>
      <c r="O23" s="8">
        <f t="shared" si="3"/>
        <v>52379</v>
      </c>
      <c r="P23" s="8">
        <f t="shared" si="3"/>
        <v>51753</v>
      </c>
    </row>
    <row r="24" spans="5:16" x14ac:dyDescent="0.2">
      <c r="E24" t="s">
        <v>755</v>
      </c>
      <c r="F24" s="8">
        <f>ROUND(F20*170.5/1000,0)</f>
        <v>20051</v>
      </c>
      <c r="G24" s="8">
        <f t="shared" si="2"/>
        <v>20051</v>
      </c>
      <c r="H24" s="8">
        <f>ROUND(H20*(170.5*130%)/1000,0)</f>
        <v>26066</v>
      </c>
      <c r="I24" s="8">
        <f>ROUND(I20*(170.5*130%)/1000,0)</f>
        <v>26066</v>
      </c>
      <c r="J24" s="8">
        <f t="shared" ref="J24:P24" si="4">ROUND(J20*(170.5*130%)/1000,0)</f>
        <v>26066</v>
      </c>
      <c r="K24" s="8">
        <f t="shared" si="4"/>
        <v>26066</v>
      </c>
      <c r="L24" s="8">
        <f t="shared" si="4"/>
        <v>26066</v>
      </c>
      <c r="M24" s="8">
        <f t="shared" si="4"/>
        <v>26066</v>
      </c>
      <c r="N24" s="8">
        <f t="shared" si="4"/>
        <v>26066</v>
      </c>
      <c r="O24" s="8">
        <f t="shared" si="4"/>
        <v>26066</v>
      </c>
      <c r="P24" s="8">
        <f t="shared" si="4"/>
        <v>26066</v>
      </c>
    </row>
    <row r="25" spans="5:16" x14ac:dyDescent="0.2">
      <c r="E25" t="s">
        <v>757</v>
      </c>
      <c r="F25" s="30">
        <f>SUM(F23:F24)</f>
        <v>61771</v>
      </c>
      <c r="G25" s="30">
        <f t="shared" ref="G25:P25" si="5">SUM(G23:G24)</f>
        <v>61647</v>
      </c>
      <c r="H25" s="30">
        <f t="shared" si="5"/>
        <v>80000</v>
      </c>
      <c r="I25" s="30">
        <f t="shared" si="5"/>
        <v>79838</v>
      </c>
      <c r="J25" s="30">
        <f t="shared" si="5"/>
        <v>79697</v>
      </c>
      <c r="K25" s="30">
        <f t="shared" si="5"/>
        <v>79252</v>
      </c>
      <c r="L25" s="30">
        <f t="shared" si="5"/>
        <v>79051</v>
      </c>
      <c r="M25" s="30">
        <f t="shared" si="5"/>
        <v>78828</v>
      </c>
      <c r="N25" s="30">
        <f t="shared" si="5"/>
        <v>78627</v>
      </c>
      <c r="O25" s="30">
        <f t="shared" si="5"/>
        <v>78445</v>
      </c>
      <c r="P25" s="30">
        <f t="shared" si="5"/>
        <v>77819</v>
      </c>
    </row>
    <row r="26" spans="5:16" x14ac:dyDescent="0.2">
      <c r="H26">
        <v>170.5</v>
      </c>
      <c r="I26">
        <f>H26*130%</f>
        <v>221.65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2DD3-7716-4EEA-919B-E269D341B22E}">
  <sheetPr>
    <tabColor theme="6"/>
  </sheetPr>
  <dimension ref="A1:AY161"/>
  <sheetViews>
    <sheetView showGridLines="0" view="pageBreakPreview" topLeftCell="B48" zoomScale="112" zoomScaleNormal="96" workbookViewId="0">
      <selection activeCell="K48"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335</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P3-20%'!P16</f>
        <v>109223</v>
      </c>
      <c r="Q16" s="78">
        <f>'下水道現況予測 P3-20%'!Q16</f>
        <v>109886</v>
      </c>
      <c r="R16" s="78">
        <f>'下水道現況予測 P3-20%'!R16</f>
        <v>111329</v>
      </c>
      <c r="S16" s="78">
        <f>'下水道現況予測 P3-20%'!S16</f>
        <v>117988</v>
      </c>
      <c r="T16" s="78">
        <f>'下水道現況予測 P3-20%'!T16</f>
        <v>117748</v>
      </c>
      <c r="U16" s="78">
        <f>'下水道現況予測 P3-20%'!U16</f>
        <v>118784</v>
      </c>
      <c r="V16" s="78">
        <f>'下水道現況予測 P3-20%'!V16</f>
        <v>119166</v>
      </c>
      <c r="W16" s="78">
        <f>'下水道現況予測 P3-20%'!W16</f>
        <v>119595</v>
      </c>
      <c r="X16" s="78">
        <f>'下水道現況予測 P3-20%'!X16</f>
        <v>119785</v>
      </c>
      <c r="Y16" s="78">
        <f>'下水道現況予測 P3-20%'!Y16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80000</v>
      </c>
      <c r="S17" s="78">
        <f t="shared" si="2"/>
        <v>79838</v>
      </c>
      <c r="T17" s="78">
        <f t="shared" si="2"/>
        <v>79697</v>
      </c>
      <c r="U17" s="78">
        <f t="shared" si="2"/>
        <v>79252</v>
      </c>
      <c r="V17" s="78">
        <f t="shared" si="2"/>
        <v>79051</v>
      </c>
      <c r="W17" s="78">
        <f t="shared" si="2"/>
        <v>78828</v>
      </c>
      <c r="X17" s="78">
        <f t="shared" si="2"/>
        <v>78627</v>
      </c>
      <c r="Y17" s="78">
        <f t="shared" si="2"/>
        <v>78445</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0.71859084335617851</v>
      </c>
      <c r="S18" s="82">
        <f t="shared" si="3"/>
        <v>0.67666203342712816</v>
      </c>
      <c r="T18" s="82">
        <f t="shared" si="3"/>
        <v>0.67684376804701563</v>
      </c>
      <c r="U18" s="82">
        <f t="shared" si="3"/>
        <v>0.66719423491379315</v>
      </c>
      <c r="V18" s="82">
        <f t="shared" si="3"/>
        <v>0.66336874611885943</v>
      </c>
      <c r="W18" s="82">
        <f t="shared" si="3"/>
        <v>0.65912454534052423</v>
      </c>
      <c r="X18" s="82">
        <f t="shared" si="3"/>
        <v>0.65640105188462661</v>
      </c>
      <c r="Y18" s="82">
        <f t="shared" si="3"/>
        <v>0.66028921585131817</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(2)P4-30%'!F19+'予測 (2)P4-30%'!F20</f>
        <v>362295</v>
      </c>
      <c r="Q19" s="78">
        <f>'予測 (2)P4-30%'!G19+'予測 (2)P4-30%'!G20</f>
        <v>361566</v>
      </c>
      <c r="R19" s="78">
        <f>'予測 (2)P4-30%'!H19+'予測 (2)P4-30%'!H20</f>
        <v>360928</v>
      </c>
      <c r="S19" s="78">
        <f>'予測 (2)P4-30%'!I19+'予測 (2)P4-30%'!I20</f>
        <v>360199</v>
      </c>
      <c r="T19" s="78">
        <f>'予測 (2)P4-30%'!J19+'予測 (2)P4-30%'!J20</f>
        <v>359562</v>
      </c>
      <c r="U19" s="78">
        <f>'予測 (2)P4-30%'!K19+'予測 (2)P4-30%'!K20</f>
        <v>357557</v>
      </c>
      <c r="V19" s="78">
        <f>'予測 (2)P4-30%'!L19+'予測 (2)P4-30%'!L20</f>
        <v>356646</v>
      </c>
      <c r="W19" s="78">
        <f>'予測 (2)P4-30%'!M19+'予測 (2)P4-30%'!M20</f>
        <v>355644</v>
      </c>
      <c r="X19" s="78">
        <f>'予測 (2)P4-30%'!N19+'予測 (2)P4-30%'!N20</f>
        <v>354733</v>
      </c>
      <c r="Y19" s="78">
        <f>'予測 (2)P4-30%'!O19+'予測 (2)P4-30%'!O20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1.161270610132813</v>
      </c>
      <c r="S21" s="82">
        <f t="shared" si="6"/>
        <v>1.1204986084581341</v>
      </c>
      <c r="T21" s="82">
        <f t="shared" si="6"/>
        <v>1.1058327227928377</v>
      </c>
      <c r="U21" s="82">
        <f t="shared" si="6"/>
        <v>1.0894035016754537</v>
      </c>
      <c r="V21" s="82">
        <f t="shared" si="6"/>
        <v>1.0752156819919187</v>
      </c>
      <c r="W21" s="82">
        <f t="shared" si="6"/>
        <v>1.0614616967715496</v>
      </c>
      <c r="X21" s="82">
        <f t="shared" si="6"/>
        <v>1.0484184958296869</v>
      </c>
      <c r="Y21" s="82">
        <f t="shared" si="6"/>
        <v>1.0362152557657793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80070</v>
      </c>
      <c r="S27" s="97">
        <f t="shared" si="7"/>
        <v>79908</v>
      </c>
      <c r="T27" s="97">
        <f t="shared" si="7"/>
        <v>79767</v>
      </c>
      <c r="U27" s="97">
        <f t="shared" si="7"/>
        <v>79322</v>
      </c>
      <c r="V27" s="97">
        <f t="shared" si="7"/>
        <v>79121</v>
      </c>
      <c r="W27" s="97">
        <f t="shared" si="7"/>
        <v>78898</v>
      </c>
      <c r="X27" s="97">
        <f t="shared" si="7"/>
        <v>78697</v>
      </c>
      <c r="Y27" s="97">
        <f t="shared" si="7"/>
        <v>78515</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(2)P4-30%'!F25</f>
        <v>61771</v>
      </c>
      <c r="Q28" s="102">
        <f>'予測 (2)P4-30%'!G25</f>
        <v>61647</v>
      </c>
      <c r="R28" s="102">
        <f>'予測 (2)P4-30%'!H25</f>
        <v>80000</v>
      </c>
      <c r="S28" s="102">
        <f>'予測 (2)P4-30%'!I25</f>
        <v>79838</v>
      </c>
      <c r="T28" s="102">
        <f>'予測 (2)P4-30%'!J25</f>
        <v>79697</v>
      </c>
      <c r="U28" s="102">
        <f>'予測 (2)P4-30%'!K25</f>
        <v>79252</v>
      </c>
      <c r="V28" s="102">
        <f>'予測 (2)P4-30%'!L25</f>
        <v>79051</v>
      </c>
      <c r="W28" s="102">
        <f>'予測 (2)P4-30%'!M25</f>
        <v>78828</v>
      </c>
      <c r="X28" s="102">
        <f>'予測 (2)P4-30%'!N25</f>
        <v>78627</v>
      </c>
      <c r="Y28" s="102">
        <f>'予測 (2)P4-30%'!O25</f>
        <v>78445</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P3-20%'!P33</f>
        <v>88514</v>
      </c>
      <c r="Q33" s="102">
        <f>'下水道現況予測 P3-20%'!Q33</f>
        <v>83963</v>
      </c>
      <c r="R33" s="102">
        <f>'下水道現況予測 P3-20%'!R33</f>
        <v>78957</v>
      </c>
      <c r="S33" s="102">
        <f>'下水道現況予測 P3-20%'!S33</f>
        <v>95777</v>
      </c>
      <c r="T33" s="102">
        <f>'下水道現況予測 P3-20%'!T33</f>
        <v>91874</v>
      </c>
      <c r="U33" s="102">
        <f>'下水道現況予測 P3-20%'!U33</f>
        <v>91481</v>
      </c>
      <c r="V33" s="102">
        <f>'下水道現況予測 P3-20%'!V33</f>
        <v>90502</v>
      </c>
      <c r="W33" s="102">
        <f>'下水道現況予測 P3-20%'!W33</f>
        <v>89657</v>
      </c>
      <c r="X33" s="102">
        <f>'下水道現況予測 P3-20%'!X33</f>
        <v>88778</v>
      </c>
      <c r="Y33" s="102">
        <f>'下水道現況予測 P3-20%'!Y33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P3-20%'!P35</f>
        <v>41283</v>
      </c>
      <c r="Q35" s="102">
        <f>'下水道現況予測 P3-20%'!Q35</f>
        <v>43802</v>
      </c>
      <c r="R35" s="102">
        <f>'下水道現況予測 P3-20%'!R35</f>
        <v>48110</v>
      </c>
      <c r="S35" s="102">
        <f>'下水道現況予測 P3-20%'!S35</f>
        <v>63063</v>
      </c>
      <c r="T35" s="102">
        <f>'下水道現況予測 P3-20%'!T35</f>
        <v>65329</v>
      </c>
      <c r="U35" s="102">
        <f>'下水道現況予測 P3-20%'!U35</f>
        <v>66200</v>
      </c>
      <c r="V35" s="102">
        <f>'下水道現況予測 P3-20%'!V35</f>
        <v>66675</v>
      </c>
      <c r="W35" s="102">
        <f>'下水道現況予測 P3-20%'!W35</f>
        <v>67150</v>
      </c>
      <c r="X35" s="102">
        <f>'下水道現況予測 P3-20%'!X35</f>
        <v>67333</v>
      </c>
      <c r="Y35" s="102">
        <f>'下水道現況予測 P3-20%'!Y35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207137</v>
      </c>
      <c r="S37" s="115">
        <f t="shared" si="11"/>
        <v>238748</v>
      </c>
      <c r="T37" s="115">
        <f t="shared" si="11"/>
        <v>236970</v>
      </c>
      <c r="U37" s="115">
        <f t="shared" si="11"/>
        <v>237003</v>
      </c>
      <c r="V37" s="115">
        <f t="shared" si="11"/>
        <v>236298</v>
      </c>
      <c r="W37" s="115">
        <f t="shared" si="11"/>
        <v>235705</v>
      </c>
      <c r="X37" s="115">
        <f t="shared" si="11"/>
        <v>234808</v>
      </c>
      <c r="Y37" s="115">
        <f t="shared" si="11"/>
        <v>232106</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P3-20%'!P49</f>
        <v>82749</v>
      </c>
      <c r="Q49" s="102">
        <f>'下水道現況予測 P3-20%'!Q49</f>
        <v>85406</v>
      </c>
      <c r="R49" s="102">
        <f>'下水道現況予測 P3-20%'!R49</f>
        <v>85432</v>
      </c>
      <c r="S49" s="102">
        <f>'下水道現況予測 P3-20%'!S49</f>
        <v>111723</v>
      </c>
      <c r="T49" s="102">
        <f>'下水道現況予測 P3-20%'!T49</f>
        <v>111709</v>
      </c>
      <c r="U49" s="102">
        <f>'下水道現況予測 P3-20%'!U49</f>
        <v>113091</v>
      </c>
      <c r="V49" s="102">
        <f>'下水道現況予測 P3-20%'!V49</f>
        <v>113919</v>
      </c>
      <c r="W49" s="102">
        <f>'下水道現況予測 P3-20%'!W49</f>
        <v>114759</v>
      </c>
      <c r="X49" s="102">
        <f>'下水道現況予測 P3-20%'!X49</f>
        <v>115218</v>
      </c>
      <c r="Y49" s="102">
        <f>'下水道現況予測 P3-20%'!Y49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28766</v>
      </c>
      <c r="S54" s="121">
        <f t="shared" si="24"/>
        <v>25675</v>
      </c>
      <c r="T54" s="121">
        <f t="shared" si="24"/>
        <v>22679</v>
      </c>
      <c r="U54" s="121">
        <f t="shared" si="24"/>
        <v>19450</v>
      </c>
      <c r="V54" s="121">
        <f t="shared" si="24"/>
        <v>16530</v>
      </c>
      <c r="W54" s="121">
        <f t="shared" si="24"/>
        <v>13648</v>
      </c>
      <c r="X54" s="121">
        <f t="shared" si="24"/>
        <v>10844</v>
      </c>
      <c r="Y54" s="121">
        <f t="shared" si="24"/>
        <v>8112</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28766</v>
      </c>
      <c r="S58" s="124">
        <f t="shared" si="26"/>
        <v>25675</v>
      </c>
      <c r="T58" s="124">
        <f t="shared" si="26"/>
        <v>22679</v>
      </c>
      <c r="U58" s="124">
        <f t="shared" si="26"/>
        <v>19450</v>
      </c>
      <c r="V58" s="124">
        <f t="shared" si="26"/>
        <v>16530</v>
      </c>
      <c r="W58" s="124">
        <f t="shared" si="26"/>
        <v>13648</v>
      </c>
      <c r="X58" s="124">
        <f t="shared" si="26"/>
        <v>10844</v>
      </c>
      <c r="Y58" s="124">
        <f t="shared" si="26"/>
        <v>8112</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58830</v>
      </c>
      <c r="S59" s="124">
        <f t="shared" si="27"/>
        <v>84505</v>
      </c>
      <c r="T59" s="124">
        <f t="shared" si="27"/>
        <v>107184</v>
      </c>
      <c r="U59" s="124">
        <f t="shared" si="27"/>
        <v>126634</v>
      </c>
      <c r="V59" s="124">
        <f t="shared" si="27"/>
        <v>143164</v>
      </c>
      <c r="W59" s="124">
        <f t="shared" si="27"/>
        <v>156812</v>
      </c>
      <c r="X59" s="124">
        <f t="shared" si="27"/>
        <v>167656</v>
      </c>
      <c r="Y59" s="124">
        <f t="shared" si="27"/>
        <v>175768</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1.161270610132813</v>
      </c>
      <c r="S61" s="126">
        <f t="shared" si="28"/>
        <v>1.1204986084581341</v>
      </c>
      <c r="T61" s="126">
        <f t="shared" si="28"/>
        <v>1.1058327227928377</v>
      </c>
      <c r="U61" s="126">
        <f t="shared" si="28"/>
        <v>1.0894035016754537</v>
      </c>
      <c r="V61" s="126">
        <f t="shared" si="28"/>
        <v>1.0752156819919187</v>
      </c>
      <c r="W61" s="126">
        <f t="shared" si="28"/>
        <v>1.0614616967715496</v>
      </c>
      <c r="X61" s="126">
        <f t="shared" si="28"/>
        <v>1.0484184958296869</v>
      </c>
      <c r="Y61" s="126">
        <f t="shared" si="28"/>
        <v>1.0362152557657793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0.71859084335617851</v>
      </c>
      <c r="S62" s="126">
        <f t="shared" si="29"/>
        <v>0.67666203342712816</v>
      </c>
      <c r="T62" s="126">
        <f t="shared" si="29"/>
        <v>0.67684376804701563</v>
      </c>
      <c r="U62" s="126">
        <f t="shared" si="29"/>
        <v>0.66719423491379315</v>
      </c>
      <c r="V62" s="126">
        <f t="shared" si="29"/>
        <v>0.66336874611885943</v>
      </c>
      <c r="W62" s="126">
        <f t="shared" si="29"/>
        <v>0.65912454534052423</v>
      </c>
      <c r="X62" s="126">
        <f t="shared" si="29"/>
        <v>0.65640105188462661</v>
      </c>
      <c r="Y62" s="126">
        <f t="shared" si="29"/>
        <v>0.66028921585131817</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0.61415158796569969</v>
      </c>
      <c r="S63" s="126">
        <f t="shared" si="30"/>
        <v>0.53221785214319051</v>
      </c>
      <c r="T63" s="126">
        <f t="shared" si="30"/>
        <v>0.53501564157301862</v>
      </c>
      <c r="U63" s="126">
        <f t="shared" si="30"/>
        <v>0.52362358195741077</v>
      </c>
      <c r="V63" s="126">
        <f t="shared" si="30"/>
        <v>0.51635933713494409</v>
      </c>
      <c r="W63" s="126">
        <f t="shared" si="30"/>
        <v>0.50887306577494884</v>
      </c>
      <c r="X63" s="126">
        <f t="shared" si="30"/>
        <v>0.50198875063046267</v>
      </c>
      <c r="Y63" s="126">
        <f t="shared" si="30"/>
        <v>0.49850660904931365</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1.161270610132813</v>
      </c>
      <c r="S111" s="158">
        <f t="shared" si="46"/>
        <v>1.1204986084581341</v>
      </c>
      <c r="T111" s="158">
        <f t="shared" si="46"/>
        <v>1.1058327227928377</v>
      </c>
      <c r="U111" s="158">
        <f t="shared" si="46"/>
        <v>1.0894035016754537</v>
      </c>
      <c r="V111" s="158">
        <f t="shared" si="46"/>
        <v>1.0752156819919187</v>
      </c>
      <c r="W111" s="158">
        <f t="shared" si="46"/>
        <v>1.0614616967715496</v>
      </c>
      <c r="X111" s="158">
        <f t="shared" si="46"/>
        <v>1.0484184958296869</v>
      </c>
      <c r="Y111" s="158">
        <f t="shared" si="46"/>
        <v>1.0362152557657793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0.71859084335617851</v>
      </c>
      <c r="S113" s="158">
        <f t="shared" si="48"/>
        <v>0.67666203342712816</v>
      </c>
      <c r="T113" s="158">
        <f t="shared" si="48"/>
        <v>0.67684376804701563</v>
      </c>
      <c r="U113" s="158">
        <f t="shared" si="48"/>
        <v>0.66719423491379315</v>
      </c>
      <c r="V113" s="158">
        <f t="shared" si="48"/>
        <v>0.66336874611885943</v>
      </c>
      <c r="W113" s="158">
        <f t="shared" si="48"/>
        <v>0.65912454534052423</v>
      </c>
      <c r="X113" s="158">
        <f t="shared" si="48"/>
        <v>0.65640105188462661</v>
      </c>
      <c r="Y113" s="158">
        <f t="shared" si="48"/>
        <v>0.66028921585131817</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159027</v>
      </c>
      <c r="S121" s="168">
        <f t="shared" si="52"/>
        <v>175685</v>
      </c>
      <c r="T121" s="168">
        <f t="shared" si="52"/>
        <v>171641</v>
      </c>
      <c r="U121" s="168">
        <f t="shared" si="52"/>
        <v>170803</v>
      </c>
      <c r="V121" s="168">
        <f t="shared" si="52"/>
        <v>169623</v>
      </c>
      <c r="W121" s="168">
        <f t="shared" si="52"/>
        <v>168555</v>
      </c>
      <c r="X121" s="168">
        <f t="shared" si="52"/>
        <v>167475</v>
      </c>
      <c r="Y121" s="168">
        <f t="shared" si="52"/>
        <v>165472</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66088</v>
      </c>
      <c r="S123" s="168">
        <f t="shared" si="54"/>
        <v>74335</v>
      </c>
      <c r="T123" s="168">
        <f t="shared" si="54"/>
        <v>69059</v>
      </c>
      <c r="U123" s="168">
        <f t="shared" si="54"/>
        <v>66341</v>
      </c>
      <c r="V123" s="168">
        <f t="shared" si="54"/>
        <v>63774</v>
      </c>
      <c r="W123" s="168">
        <f t="shared" si="54"/>
        <v>61257</v>
      </c>
      <c r="X123" s="168">
        <f t="shared" si="54"/>
        <v>58729</v>
      </c>
      <c r="Y123" s="168">
        <f t="shared" si="54"/>
        <v>55482</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44879</v>
      </c>
      <c r="S127" s="168">
        <f t="shared" si="58"/>
        <v>55958</v>
      </c>
      <c r="T127" s="168">
        <f t="shared" si="58"/>
        <v>43244</v>
      </c>
      <c r="U127" s="168">
        <f t="shared" si="58"/>
        <v>48312</v>
      </c>
      <c r="V127" s="168">
        <f t="shared" si="58"/>
        <v>48535</v>
      </c>
      <c r="W127" s="168">
        <f t="shared" si="58"/>
        <v>47738</v>
      </c>
      <c r="X127" s="168">
        <f t="shared" si="58"/>
        <v>33777</v>
      </c>
      <c r="Y127" s="168">
        <f t="shared" si="58"/>
        <v>27277</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15109</v>
      </c>
      <c r="U133" s="143">
        <f t="shared" ref="U133:Y133" si="59">-(U58-U132)</f>
        <v>15372</v>
      </c>
      <c r="V133" s="143">
        <f t="shared" si="59"/>
        <v>14540</v>
      </c>
      <c r="W133" s="143">
        <f t="shared" si="59"/>
        <v>13305</v>
      </c>
      <c r="X133" s="143">
        <f t="shared" si="59"/>
        <v>11956</v>
      </c>
      <c r="Y133" s="143">
        <f t="shared" si="59"/>
        <v>9301</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-44879</v>
      </c>
      <c r="S137" s="143">
        <f t="shared" si="60"/>
        <v>-55958</v>
      </c>
      <c r="T137" s="143">
        <f t="shared" si="60"/>
        <v>-43244</v>
      </c>
      <c r="U137" s="143">
        <f t="shared" si="60"/>
        <v>-48312</v>
      </c>
      <c r="V137" s="143">
        <f t="shared" si="60"/>
        <v>-48535</v>
      </c>
      <c r="W137" s="143">
        <f t="shared" si="60"/>
        <v>-47738</v>
      </c>
      <c r="X137" s="143">
        <f t="shared" si="60"/>
        <v>-33777</v>
      </c>
      <c r="Y137" s="143">
        <f t="shared" si="60"/>
        <v>-27277</v>
      </c>
    </row>
    <row r="138" spans="3:25" x14ac:dyDescent="0.55000000000000004">
      <c r="P138" s="75">
        <f>SUM(P136:P137)</f>
        <v>-14430</v>
      </c>
      <c r="Q138" s="75">
        <f t="shared" ref="Q138:Y138" si="61">SUM(Q136:Q137)</f>
        <v>-29169</v>
      </c>
      <c r="R138" s="75">
        <f t="shared" si="61"/>
        <v>225421</v>
      </c>
      <c r="S138" s="75">
        <f t="shared" si="61"/>
        <v>-40958</v>
      </c>
      <c r="T138" s="75">
        <f t="shared" si="61"/>
        <v>-36044</v>
      </c>
      <c r="U138" s="75">
        <f t="shared" si="61"/>
        <v>-38612</v>
      </c>
      <c r="V138" s="75">
        <f t="shared" si="61"/>
        <v>-48535</v>
      </c>
      <c r="W138" s="75">
        <f t="shared" si="61"/>
        <v>-47738</v>
      </c>
      <c r="X138" s="75">
        <f t="shared" si="61"/>
        <v>-15077</v>
      </c>
      <c r="Y138" s="75">
        <f t="shared" si="61"/>
        <v>-13077</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6EB0-7AF7-4681-ACC3-EAF13C4B5597}">
  <dimension ref="B2:N50"/>
  <sheetViews>
    <sheetView showGridLines="0" topLeftCell="B1" zoomScale="91" zoomScaleNormal="100" workbookViewId="0">
      <selection activeCell="F4" sqref="F4"/>
    </sheetView>
  </sheetViews>
  <sheetFormatPr defaultRowHeight="18" x14ac:dyDescent="0.2"/>
  <cols>
    <col min="1" max="1" width="16.7265625" style="179" customWidth="1"/>
    <col min="2" max="2" width="3" style="179" customWidth="1"/>
    <col min="3" max="3" width="20.08984375" style="179" bestFit="1" customWidth="1"/>
    <col min="4" max="13" width="12.6328125" style="179" customWidth="1"/>
    <col min="14" max="16384" width="8.7265625" style="179"/>
  </cols>
  <sheetData>
    <row r="2" spans="2:13" ht="19" customHeight="1" x14ac:dyDescent="0.2">
      <c r="B2" s="437" t="s">
        <v>758</v>
      </c>
      <c r="C2" s="437"/>
      <c r="D2" s="438"/>
      <c r="E2" s="176" t="s">
        <v>759</v>
      </c>
      <c r="F2" s="177">
        <v>170.5</v>
      </c>
      <c r="G2" s="178" t="s">
        <v>760</v>
      </c>
      <c r="H2" s="178" t="s">
        <v>761</v>
      </c>
      <c r="I2" s="178" t="s">
        <v>762</v>
      </c>
      <c r="J2" s="178" t="s">
        <v>761</v>
      </c>
    </row>
    <row r="3" spans="2:13" ht="19" customHeight="1" x14ac:dyDescent="0.2">
      <c r="C3" s="180" t="s">
        <v>763</v>
      </c>
      <c r="D3" s="181" t="s">
        <v>776</v>
      </c>
      <c r="E3" s="181" t="s">
        <v>337</v>
      </c>
      <c r="F3" s="181" t="s">
        <v>338</v>
      </c>
      <c r="G3" s="181" t="s">
        <v>339</v>
      </c>
      <c r="H3" s="181" t="s">
        <v>340</v>
      </c>
      <c r="I3" s="181" t="s">
        <v>341</v>
      </c>
      <c r="J3" s="181" t="s">
        <v>342</v>
      </c>
      <c r="K3" s="181" t="s">
        <v>343</v>
      </c>
      <c r="L3" s="181" t="s">
        <v>344</v>
      </c>
      <c r="M3" s="181" t="s">
        <v>345</v>
      </c>
    </row>
    <row r="4" spans="2:13" ht="19" customHeight="1" x14ac:dyDescent="0.2">
      <c r="C4" s="182" t="s">
        <v>764</v>
      </c>
      <c r="D4" s="183">
        <f>下水道現況予測!P28</f>
        <v>61771</v>
      </c>
      <c r="E4" s="183">
        <f>下水道現況予測!Q28</f>
        <v>61647</v>
      </c>
      <c r="F4" s="183">
        <f>下水道現況予測!R28</f>
        <v>61538</v>
      </c>
      <c r="G4" s="183">
        <f>下水道現況予測!S28</f>
        <v>61414</v>
      </c>
      <c r="H4" s="183">
        <f>下水道現況予測!T28</f>
        <v>61306</v>
      </c>
      <c r="I4" s="183">
        <f>下水道現況予測!U28</f>
        <v>60964</v>
      </c>
      <c r="J4" s="183">
        <f>下水道現況予測!V28</f>
        <v>60808</v>
      </c>
      <c r="K4" s="183">
        <f>下水道現況予測!W28</f>
        <v>60638</v>
      </c>
      <c r="L4" s="183">
        <f>下水道現況予測!X28</f>
        <v>60482</v>
      </c>
      <c r="M4" s="183">
        <f>下水道現況予測!Y28</f>
        <v>60342</v>
      </c>
    </row>
    <row r="5" spans="2:13" ht="19" customHeight="1" x14ac:dyDescent="0.2">
      <c r="C5" s="205" t="s">
        <v>766</v>
      </c>
      <c r="D5" s="206">
        <f>下水道現況予測!P61</f>
        <v>1.0950930587381498</v>
      </c>
      <c r="E5" s="206">
        <f>下水道現況予測!Q61</f>
        <v>1.0762414872287132</v>
      </c>
      <c r="F5" s="206">
        <f>下水道現況予測!R61</f>
        <v>1.0577672379478726</v>
      </c>
      <c r="G5" s="206">
        <f>下水道現況予測!S61</f>
        <v>1.0340305904549145</v>
      </c>
      <c r="H5" s="206">
        <f>下水道現況予測!T61</f>
        <v>1.0200101730823974</v>
      </c>
      <c r="I5" s="206">
        <f>下水道現況予測!U61</f>
        <v>1.0053412271952122</v>
      </c>
      <c r="J5" s="206">
        <f>下水道現況予測!V61</f>
        <v>0.99220541662116413</v>
      </c>
      <c r="K5" s="206">
        <f>下水道現況予測!W61</f>
        <v>0.97954579229657246</v>
      </c>
      <c r="L5" s="206">
        <f>下水道現況予測!X61</f>
        <v>0.96740101087674801</v>
      </c>
      <c r="M5" s="206">
        <f>下水道現況予測!Y61</f>
        <v>0.95539612668196472</v>
      </c>
    </row>
    <row r="6" spans="2:13" ht="19" customHeight="1" x14ac:dyDescent="0.2">
      <c r="C6" s="184" t="s">
        <v>767</v>
      </c>
      <c r="D6" s="187">
        <f>下水道現況予測!P62</f>
        <v>0.56554938062495996</v>
      </c>
      <c r="E6" s="187">
        <f>下水道現況予測!Q62</f>
        <v>0.56100868172469653</v>
      </c>
      <c r="F6" s="187">
        <f>下水道現況予測!R62</f>
        <v>0.55275804148065644</v>
      </c>
      <c r="G6" s="187">
        <f>下水道現況予測!S62</f>
        <v>0.52051056039597243</v>
      </c>
      <c r="H6" s="187">
        <f>下水道現況予測!T62</f>
        <v>0.52065427862893632</v>
      </c>
      <c r="I6" s="187">
        <f>下水道現況予測!U62</f>
        <v>0.51323410560344829</v>
      </c>
      <c r="J6" s="187">
        <f>下水道現況予測!V62</f>
        <v>0.5102797777889666</v>
      </c>
      <c r="K6" s="187">
        <f>下水道現況予測!W62</f>
        <v>0.50702788578117819</v>
      </c>
      <c r="L6" s="187">
        <f>下水道現況予測!X62</f>
        <v>0.50492131736027046</v>
      </c>
      <c r="M6" s="187">
        <f>下水道現況予測!Y62</f>
        <v>0.50791219150870337</v>
      </c>
    </row>
    <row r="7" spans="2:13" ht="19" customHeight="1" x14ac:dyDescent="0.2"/>
    <row r="8" spans="2:13" ht="19" customHeight="1" x14ac:dyDescent="0.2">
      <c r="B8" s="439" t="s">
        <v>769</v>
      </c>
      <c r="C8" s="439"/>
      <c r="D8" s="440"/>
      <c r="E8" s="176" t="s">
        <v>759</v>
      </c>
      <c r="F8" s="177">
        <v>187.55</v>
      </c>
      <c r="G8" s="178" t="s">
        <v>760</v>
      </c>
      <c r="H8" s="177">
        <f>F8-$F$2</f>
        <v>17.05</v>
      </c>
      <c r="I8" s="178" t="s">
        <v>762</v>
      </c>
      <c r="J8" s="188">
        <v>0.1</v>
      </c>
    </row>
    <row r="9" spans="2:13" ht="19" customHeight="1" x14ac:dyDescent="0.2">
      <c r="C9" s="189" t="s">
        <v>763</v>
      </c>
      <c r="D9" s="190" t="str">
        <f t="shared" ref="D9:M9" si="0">D3</f>
        <v>令和７年度</v>
      </c>
      <c r="E9" s="190" t="str">
        <f t="shared" si="0"/>
        <v>令和8年度</v>
      </c>
      <c r="F9" s="190" t="str">
        <f t="shared" si="0"/>
        <v>令和9年度</v>
      </c>
      <c r="G9" s="190" t="str">
        <f t="shared" si="0"/>
        <v>令和10年度</v>
      </c>
      <c r="H9" s="190" t="str">
        <f t="shared" si="0"/>
        <v>令和11年度</v>
      </c>
      <c r="I9" s="190" t="str">
        <f t="shared" si="0"/>
        <v>令和12年度</v>
      </c>
      <c r="J9" s="190" t="str">
        <f t="shared" si="0"/>
        <v>令和13年度</v>
      </c>
      <c r="K9" s="190" t="str">
        <f t="shared" si="0"/>
        <v>令和14年度</v>
      </c>
      <c r="L9" s="190" t="str">
        <f t="shared" si="0"/>
        <v>令和15年度</v>
      </c>
      <c r="M9" s="190" t="str">
        <f t="shared" si="0"/>
        <v>令和16年度</v>
      </c>
    </row>
    <row r="10" spans="2:13" ht="19" customHeight="1" x14ac:dyDescent="0.2">
      <c r="C10" s="182" t="s">
        <v>764</v>
      </c>
      <c r="D10" s="183">
        <f>'下水道現況予測 P1-10%'!P28</f>
        <v>61771</v>
      </c>
      <c r="E10" s="183">
        <f>'下水道現況予測 P1-10%'!Q28</f>
        <v>61647</v>
      </c>
      <c r="F10" s="183">
        <f>'下水道現況予測 P1-10%'!R28</f>
        <v>67692</v>
      </c>
      <c r="G10" s="183">
        <f>'下水道現況予測 P1-10%'!S28</f>
        <v>67555</v>
      </c>
      <c r="H10" s="183">
        <f>'下水道現況予測 P1-10%'!T28</f>
        <v>67436</v>
      </c>
      <c r="I10" s="183">
        <f>'下水道現況予測 P1-10%'!U28</f>
        <v>67060</v>
      </c>
      <c r="J10" s="183">
        <f>'下水道現況予測 P1-10%'!V28</f>
        <v>66889</v>
      </c>
      <c r="K10" s="183">
        <f>'下水道現況予測 P1-10%'!W28</f>
        <v>66701</v>
      </c>
      <c r="L10" s="183">
        <f>'下水道現況予測 P1-10%'!X28</f>
        <v>66530</v>
      </c>
      <c r="M10" s="183">
        <f>'下水道現況予測 P1-10%'!Y28</f>
        <v>66377</v>
      </c>
    </row>
    <row r="11" spans="2:13" ht="19" customHeight="1" x14ac:dyDescent="0.2">
      <c r="C11" s="205" t="s">
        <v>766</v>
      </c>
      <c r="D11" s="206">
        <f>'下水道現況予測 P1-10%'!P61</f>
        <v>1.0950930587381498</v>
      </c>
      <c r="E11" s="206">
        <f>'下水道現況予測 P1-10%'!Q61</f>
        <v>1.0762414872287132</v>
      </c>
      <c r="F11" s="206">
        <f>'下水道現況予測 P1-10%'!R61</f>
        <v>1.0922683620095195</v>
      </c>
      <c r="G11" s="206">
        <f>'下水道現況予測 P1-10%'!S61</f>
        <v>1.0628516987135863</v>
      </c>
      <c r="H11" s="206">
        <f>'下水道現況予測 P1-10%'!T61</f>
        <v>1.0486161341353579</v>
      </c>
      <c r="I11" s="206">
        <f>'下水道現況予測 P1-10%'!U61</f>
        <v>1.0333619853552927</v>
      </c>
      <c r="J11" s="206">
        <f>'下水道現況予測 P1-10%'!V61</f>
        <v>1.0198755050780823</v>
      </c>
      <c r="K11" s="206">
        <f>'下水道現況予測 P1-10%'!W61</f>
        <v>1.0068495926721517</v>
      </c>
      <c r="L11" s="206">
        <f>'下水道現況予測 P1-10%'!X61</f>
        <v>0.99440535085995962</v>
      </c>
      <c r="M11" s="206">
        <f>'下水道現況予測 P1-10%'!Y61</f>
        <v>0.98233881264676737</v>
      </c>
    </row>
    <row r="12" spans="2:13" ht="19" customHeight="1" x14ac:dyDescent="0.2">
      <c r="C12" s="184" t="s">
        <v>767</v>
      </c>
      <c r="D12" s="187">
        <f>'下水道現況予測 P1-10%'!P62</f>
        <v>0.56554938062495996</v>
      </c>
      <c r="E12" s="187">
        <f>'下水道現況予測 P1-10%'!Q62</f>
        <v>0.56100868172469653</v>
      </c>
      <c r="F12" s="187">
        <f>'下水道現況予測 P1-10%'!R62</f>
        <v>0.6080356421058305</v>
      </c>
      <c r="G12" s="187">
        <f>'下水道現況予測 P1-10%'!S62</f>
        <v>0.57255822626029762</v>
      </c>
      <c r="H12" s="187">
        <f>'下水道現況予測 P1-10%'!T62</f>
        <v>0.57271461086387876</v>
      </c>
      <c r="I12" s="187">
        <f>'下水道現況予測 P1-10%'!U62</f>
        <v>0.56455414870689657</v>
      </c>
      <c r="J12" s="187">
        <f>'下水道現況予測 P1-10%'!V62</f>
        <v>0.56130943389893095</v>
      </c>
      <c r="K12" s="187">
        <f>'下水道現況予測 P1-10%'!W62</f>
        <v>0.55772398511643462</v>
      </c>
      <c r="L12" s="187">
        <f>'下水道現況予測 P1-10%'!X62</f>
        <v>0.55541177943816</v>
      </c>
      <c r="M12" s="187">
        <f>'下水道現況予測 P1-10%'!Y62</f>
        <v>0.55871014443958111</v>
      </c>
    </row>
    <row r="13" spans="2:13" ht="19" customHeight="1" x14ac:dyDescent="0.2"/>
    <row r="14" spans="2:13" ht="19" customHeight="1" x14ac:dyDescent="0.2">
      <c r="B14" s="434" t="s">
        <v>881</v>
      </c>
      <c r="C14" s="435"/>
      <c r="D14" s="436"/>
      <c r="E14" s="176" t="s">
        <v>759</v>
      </c>
      <c r="F14" s="177">
        <f>'予測 (2)協議会案'!I26</f>
        <v>206.17</v>
      </c>
      <c r="G14" s="178" t="s">
        <v>760</v>
      </c>
      <c r="H14" s="177">
        <f>F14-$F$2</f>
        <v>35.66999999999999</v>
      </c>
      <c r="I14" s="178" t="s">
        <v>762</v>
      </c>
      <c r="J14" s="188">
        <f>F14/$F$2-1</f>
        <v>0.20920821114369503</v>
      </c>
    </row>
    <row r="15" spans="2:13" ht="19" customHeight="1" x14ac:dyDescent="0.2">
      <c r="C15" s="195" t="s">
        <v>763</v>
      </c>
      <c r="D15" s="196" t="str">
        <f t="shared" ref="D15:M15" si="1">D9</f>
        <v>令和７年度</v>
      </c>
      <c r="E15" s="196" t="str">
        <f t="shared" si="1"/>
        <v>令和8年度</v>
      </c>
      <c r="F15" s="196" t="str">
        <f t="shared" si="1"/>
        <v>令和9年度</v>
      </c>
      <c r="G15" s="196" t="str">
        <f t="shared" si="1"/>
        <v>令和10年度</v>
      </c>
      <c r="H15" s="196" t="str">
        <f t="shared" si="1"/>
        <v>令和11年度</v>
      </c>
      <c r="I15" s="196" t="str">
        <f t="shared" si="1"/>
        <v>令和12年度</v>
      </c>
      <c r="J15" s="196" t="str">
        <f t="shared" si="1"/>
        <v>令和13年度</v>
      </c>
      <c r="K15" s="196" t="str">
        <f t="shared" si="1"/>
        <v>令和14年度</v>
      </c>
      <c r="L15" s="196" t="str">
        <f t="shared" si="1"/>
        <v>令和15年度</v>
      </c>
      <c r="M15" s="196" t="str">
        <f t="shared" si="1"/>
        <v>令和16年度</v>
      </c>
    </row>
    <row r="16" spans="2:13" ht="19" customHeight="1" x14ac:dyDescent="0.2">
      <c r="C16" s="182" t="s">
        <v>764</v>
      </c>
      <c r="D16" s="183">
        <f>'下水道現況予測 協議会案'!P28</f>
        <v>61771</v>
      </c>
      <c r="E16" s="183">
        <f>'下水道現況予測 協議会案'!Q28</f>
        <v>61647</v>
      </c>
      <c r="F16" s="183">
        <f>'下水道現況予測 協議会案'!R28</f>
        <v>74340</v>
      </c>
      <c r="G16" s="183">
        <f>'下水道現況予測 協議会案'!S28</f>
        <v>74202</v>
      </c>
      <c r="H16" s="183">
        <f>'下水道現況予測 協議会案'!T28</f>
        <v>74083</v>
      </c>
      <c r="I16" s="183">
        <f>'下水道現況予測 協議会案'!U28</f>
        <v>73703</v>
      </c>
      <c r="J16" s="183">
        <f>'下水道現況予測 協議会案'!V28</f>
        <v>73529</v>
      </c>
      <c r="K16" s="183">
        <f>'下水道現況予測 協議会案'!W28</f>
        <v>73340</v>
      </c>
      <c r="L16" s="183">
        <f>'下水道現況予測 協議会案'!X28</f>
        <v>73167</v>
      </c>
      <c r="M16" s="183">
        <f>'下水道現況予測 協議会案'!Y28</f>
        <v>73012</v>
      </c>
    </row>
    <row r="17" spans="2:13" ht="19" customHeight="1" x14ac:dyDescent="0.2">
      <c r="C17" s="205" t="s">
        <v>766</v>
      </c>
      <c r="D17" s="206">
        <f>'下水道現況予測 協議会案'!P61</f>
        <v>1.0950930587381498</v>
      </c>
      <c r="E17" s="206">
        <f>'下水道現況予測 協議会案'!Q61</f>
        <v>1.0762414872287132</v>
      </c>
      <c r="F17" s="206">
        <f>'下水道現況予測 協議会案'!R61</f>
        <v>1.1295389945675025</v>
      </c>
      <c r="G17" s="206">
        <f>'下水道現況予測 協議会案'!S61</f>
        <v>1.0940475799373923</v>
      </c>
      <c r="H17" s="206">
        <f>'下水道現況予測 協議会案'!T61</f>
        <v>1.079634702344009</v>
      </c>
      <c r="I17" s="206">
        <f>'下水道現況予測 協議会案'!U61</f>
        <v>1.0638970733568371</v>
      </c>
      <c r="J17" s="206">
        <f>'下水道現況予測 協議会案'!V61</f>
        <v>1.0500891849586838</v>
      </c>
      <c r="K17" s="206">
        <f>'下水道現況予測 協議会案'!W61</f>
        <v>1.0367473216336347</v>
      </c>
      <c r="L17" s="206">
        <f>'下水道現況予測 協議会案'!X61</f>
        <v>1.0240395777892877</v>
      </c>
      <c r="M17" s="206">
        <f>'下水道現況予測 協議会案'!Y61</f>
        <v>1.0119601417895123</v>
      </c>
    </row>
    <row r="18" spans="2:13" ht="19" customHeight="1" x14ac:dyDescent="0.2">
      <c r="C18" s="184" t="s">
        <v>767</v>
      </c>
      <c r="D18" s="187">
        <f>'下水道現況予測 協議会案'!P62</f>
        <v>0.56554938062495996</v>
      </c>
      <c r="E18" s="187">
        <f>'下水道現況予測 協議会案'!Q62</f>
        <v>0.56100868172469653</v>
      </c>
      <c r="F18" s="187">
        <f>'下水道現況予測 協議会案'!R62</f>
        <v>0.6677505411887289</v>
      </c>
      <c r="G18" s="187">
        <f>'下水道現況予測 協議会案'!S62</f>
        <v>0.6288944638437807</v>
      </c>
      <c r="H18" s="187">
        <f>'下水道現況予測 協議会案'!T62</f>
        <v>0.6291656758501206</v>
      </c>
      <c r="I18" s="187">
        <f>'下水道現況予測 協議会案'!U62</f>
        <v>0.6204791891163793</v>
      </c>
      <c r="J18" s="187">
        <f>'下水道現況予測 協議会案'!V62</f>
        <v>0.6170300253427992</v>
      </c>
      <c r="K18" s="187">
        <f>'下水道現況予測 協議会案'!W62</f>
        <v>0.6132363393118442</v>
      </c>
      <c r="L18" s="187">
        <f>'下水道現況予測 協議会案'!X62</f>
        <v>0.6108193847309763</v>
      </c>
      <c r="M18" s="187">
        <f>'下水道現況予測 協議会案'!Y62</f>
        <v>0.6145584323760143</v>
      </c>
    </row>
    <row r="19" spans="2:13" ht="19" customHeight="1" x14ac:dyDescent="0.2"/>
    <row r="20" spans="2:13" ht="19" customHeight="1" x14ac:dyDescent="0.2">
      <c r="B20" s="441" t="s">
        <v>770</v>
      </c>
      <c r="C20" s="442"/>
      <c r="D20" s="443"/>
      <c r="E20" s="176" t="s">
        <v>759</v>
      </c>
      <c r="F20" s="177">
        <f>'予測 (2)P3-20%'!H26</f>
        <v>204.6</v>
      </c>
      <c r="G20" s="178" t="s">
        <v>760</v>
      </c>
      <c r="H20" s="177">
        <f>F20-$F$2</f>
        <v>34.099999999999994</v>
      </c>
      <c r="I20" s="178" t="s">
        <v>762</v>
      </c>
      <c r="J20" s="188">
        <v>0.2</v>
      </c>
    </row>
    <row r="21" spans="2:13" ht="19" customHeight="1" x14ac:dyDescent="0.2">
      <c r="C21" s="191" t="s">
        <v>763</v>
      </c>
      <c r="D21" s="192" t="str">
        <f t="shared" ref="D21:M21" si="2">D9</f>
        <v>令和７年度</v>
      </c>
      <c r="E21" s="192" t="str">
        <f t="shared" si="2"/>
        <v>令和8年度</v>
      </c>
      <c r="F21" s="192" t="str">
        <f t="shared" si="2"/>
        <v>令和9年度</v>
      </c>
      <c r="G21" s="192" t="str">
        <f t="shared" si="2"/>
        <v>令和10年度</v>
      </c>
      <c r="H21" s="192" t="str">
        <f t="shared" si="2"/>
        <v>令和11年度</v>
      </c>
      <c r="I21" s="192" t="str">
        <f t="shared" si="2"/>
        <v>令和12年度</v>
      </c>
      <c r="J21" s="192" t="str">
        <f t="shared" si="2"/>
        <v>令和13年度</v>
      </c>
      <c r="K21" s="192" t="str">
        <f t="shared" si="2"/>
        <v>令和14年度</v>
      </c>
      <c r="L21" s="192" t="str">
        <f t="shared" si="2"/>
        <v>令和15年度</v>
      </c>
      <c r="M21" s="192" t="str">
        <f t="shared" si="2"/>
        <v>令和16年度</v>
      </c>
    </row>
    <row r="22" spans="2:13" ht="19" customHeight="1" x14ac:dyDescent="0.2">
      <c r="C22" s="182" t="s">
        <v>764</v>
      </c>
      <c r="D22" s="183">
        <f>'下水道現況予測 P3-20%'!P28</f>
        <v>61771</v>
      </c>
      <c r="E22" s="183">
        <f>'下水道現況予測 P3-20%'!Q28</f>
        <v>61647</v>
      </c>
      <c r="F22" s="183">
        <f>'下水道現況予測 P3-20%'!R28</f>
        <v>73846</v>
      </c>
      <c r="G22" s="183">
        <f>'下水道現況予測 P3-20%'!S28</f>
        <v>73697</v>
      </c>
      <c r="H22" s="183">
        <f>'下水道現況予測 P3-20%'!T28</f>
        <v>73566</v>
      </c>
      <c r="I22" s="183">
        <f>'下水道現況予測 P3-20%'!U28</f>
        <v>73156</v>
      </c>
      <c r="J22" s="183">
        <f>'下水道現況予測 P3-20%'!V28</f>
        <v>72970</v>
      </c>
      <c r="K22" s="183">
        <f>'下水道現況予測 P3-20%'!W28</f>
        <v>72765</v>
      </c>
      <c r="L22" s="183">
        <f>'下水道現況予測 P3-20%'!X28</f>
        <v>72578</v>
      </c>
      <c r="M22" s="183">
        <f>'下水道現況予測 P3-20%'!Y28</f>
        <v>72411</v>
      </c>
    </row>
    <row r="23" spans="2:13" ht="19" customHeight="1" x14ac:dyDescent="0.2">
      <c r="C23" s="205" t="s">
        <v>766</v>
      </c>
      <c r="D23" s="206">
        <f>'下水道現況予測 P3-20%'!P61</f>
        <v>1.0950930587381498</v>
      </c>
      <c r="E23" s="206">
        <f>'下水道現況予測 P3-20%'!Q61</f>
        <v>1.0762414872287132</v>
      </c>
      <c r="F23" s="206">
        <f>'下水道現況予測 P3-20%'!R61</f>
        <v>1.1267694860711663</v>
      </c>
      <c r="G23" s="206">
        <f>'下水道現況予測 P3-20%'!S61</f>
        <v>1.0916775001994621</v>
      </c>
      <c r="H23" s="206">
        <f>'下水道現況予測 P3-20%'!T61</f>
        <v>1.0772220951883187</v>
      </c>
      <c r="I23" s="206">
        <f>'下水道現況予測 P3-20%'!U61</f>
        <v>1.0613827435153733</v>
      </c>
      <c r="J23" s="206">
        <f>'下水道現況予測 P3-20%'!V61</f>
        <v>1.0475455935350007</v>
      </c>
      <c r="K23" s="206">
        <f>'下水道現況予測 P3-20%'!W61</f>
        <v>1.0341578963959703</v>
      </c>
      <c r="L23" s="206">
        <f>'下水道現況予測 P3-20%'!X61</f>
        <v>1.0214096908431711</v>
      </c>
      <c r="M23" s="206">
        <f>'下水道現況予測 P3-20%'!Y61</f>
        <v>1.0092770342062733</v>
      </c>
    </row>
    <row r="24" spans="2:13" ht="19" customHeight="1" x14ac:dyDescent="0.2">
      <c r="C24" s="184" t="s">
        <v>767</v>
      </c>
      <c r="D24" s="187">
        <f>'下水道現況予測 P3-20%'!P62</f>
        <v>0.56554938062495996</v>
      </c>
      <c r="E24" s="187">
        <f>'下水道現況予測 P3-20%'!Q62</f>
        <v>0.56100868172469653</v>
      </c>
      <c r="F24" s="187">
        <f>'下水道現況予測 P3-20%'!R62</f>
        <v>0.66331324273100445</v>
      </c>
      <c r="G24" s="187">
        <f>'下水道現況予測 P3-20%'!S62</f>
        <v>0.62461436756280297</v>
      </c>
      <c r="H24" s="187">
        <f>'下水道現況予測 P3-20%'!T62</f>
        <v>0.6247749430988212</v>
      </c>
      <c r="I24" s="187">
        <f>'下水道現況予測 P3-20%'!U62</f>
        <v>0.61587419181034486</v>
      </c>
      <c r="J24" s="187">
        <f>'下水道現況予測 P3-20%'!V62</f>
        <v>0.61233909000889519</v>
      </c>
      <c r="K24" s="187">
        <f>'下水道現況予測 P3-20%'!W62</f>
        <v>0.6084284460052678</v>
      </c>
      <c r="L24" s="187">
        <f>'下水道現況予測 P3-20%'!X62</f>
        <v>0.60590224151604954</v>
      </c>
      <c r="M24" s="187">
        <f>'下水道現況予測 P3-20%'!Y62</f>
        <v>0.60949968014544964</v>
      </c>
    </row>
    <row r="25" spans="2:13" ht="19" customHeight="1" x14ac:dyDescent="0.2"/>
    <row r="26" spans="2:13" ht="19" customHeight="1" x14ac:dyDescent="0.2">
      <c r="B26" s="444" t="s">
        <v>771</v>
      </c>
      <c r="C26" s="445"/>
      <c r="D26" s="446"/>
      <c r="E26" s="176" t="s">
        <v>759</v>
      </c>
      <c r="F26" s="177">
        <f>'予測 (2)P4-30%'!I26</f>
        <v>221.65</v>
      </c>
      <c r="G26" s="178" t="s">
        <v>760</v>
      </c>
      <c r="H26" s="177">
        <f>F26-$F$2</f>
        <v>51.150000000000006</v>
      </c>
      <c r="I26" s="178" t="s">
        <v>762</v>
      </c>
      <c r="J26" s="188">
        <v>0.3</v>
      </c>
    </row>
    <row r="27" spans="2:13" ht="19" customHeight="1" x14ac:dyDescent="0.2">
      <c r="C27" s="193" t="s">
        <v>763</v>
      </c>
      <c r="D27" s="194" t="str">
        <f t="shared" ref="D27:M27" si="3">D21</f>
        <v>令和７年度</v>
      </c>
      <c r="E27" s="194" t="str">
        <f t="shared" si="3"/>
        <v>令和8年度</v>
      </c>
      <c r="F27" s="194" t="str">
        <f t="shared" si="3"/>
        <v>令和9年度</v>
      </c>
      <c r="G27" s="194" t="str">
        <f t="shared" si="3"/>
        <v>令和10年度</v>
      </c>
      <c r="H27" s="194" t="str">
        <f t="shared" si="3"/>
        <v>令和11年度</v>
      </c>
      <c r="I27" s="194" t="str">
        <f t="shared" si="3"/>
        <v>令和12年度</v>
      </c>
      <c r="J27" s="194" t="str">
        <f t="shared" si="3"/>
        <v>令和13年度</v>
      </c>
      <c r="K27" s="194" t="str">
        <f t="shared" si="3"/>
        <v>令和14年度</v>
      </c>
      <c r="L27" s="194" t="str">
        <f t="shared" si="3"/>
        <v>令和15年度</v>
      </c>
      <c r="M27" s="194" t="str">
        <f t="shared" si="3"/>
        <v>令和16年度</v>
      </c>
    </row>
    <row r="28" spans="2:13" ht="19" customHeight="1" x14ac:dyDescent="0.2">
      <c r="C28" s="182" t="s">
        <v>764</v>
      </c>
      <c r="D28" s="183">
        <f>'下水道現況予測 P4-30%'!P28</f>
        <v>61771</v>
      </c>
      <c r="E28" s="183">
        <f>'下水道現況予測 P4-30%'!Q28</f>
        <v>61647</v>
      </c>
      <c r="F28" s="183">
        <f>'下水道現況予測 P4-30%'!R28</f>
        <v>80000</v>
      </c>
      <c r="G28" s="183">
        <f>'下水道現況予測 P4-30%'!S28</f>
        <v>79838</v>
      </c>
      <c r="H28" s="183">
        <f>'下水道現況予測 P4-30%'!T28</f>
        <v>79697</v>
      </c>
      <c r="I28" s="183">
        <f>'下水道現況予測 P4-30%'!U28</f>
        <v>79252</v>
      </c>
      <c r="J28" s="183">
        <f>'下水道現況予測 P4-30%'!V28</f>
        <v>79051</v>
      </c>
      <c r="K28" s="183">
        <f>'下水道現況予測 P4-30%'!W28</f>
        <v>78828</v>
      </c>
      <c r="L28" s="183">
        <f>'下水道現況予測 P4-30%'!X28</f>
        <v>78627</v>
      </c>
      <c r="M28" s="183">
        <f>'下水道現況予測 P4-30%'!Y28</f>
        <v>78445</v>
      </c>
    </row>
    <row r="29" spans="2:13" ht="19" customHeight="1" x14ac:dyDescent="0.2">
      <c r="C29" s="205" t="s">
        <v>766</v>
      </c>
      <c r="D29" s="206">
        <f>'下水道現況予測 P4-30%'!P61</f>
        <v>1.0950930587381498</v>
      </c>
      <c r="E29" s="206">
        <f>'下水道現況予測 P4-30%'!Q61</f>
        <v>1.0762414872287132</v>
      </c>
      <c r="F29" s="206">
        <f>'下水道現況予測 P4-30%'!R61</f>
        <v>1.161270610132813</v>
      </c>
      <c r="G29" s="206">
        <f>'下水道現況予測 P4-30%'!S61</f>
        <v>1.1204986084581341</v>
      </c>
      <c r="H29" s="206">
        <f>'下水道現況予測 P4-30%'!T61</f>
        <v>1.1058327227928377</v>
      </c>
      <c r="I29" s="206">
        <f>'下水道現況予測 P4-30%'!U61</f>
        <v>1.0894035016754537</v>
      </c>
      <c r="J29" s="206">
        <f>'下水道現況予測 P4-30%'!V61</f>
        <v>1.0752156819919187</v>
      </c>
      <c r="K29" s="206">
        <f>'下水道現況予測 P4-30%'!W61</f>
        <v>1.0614616967715496</v>
      </c>
      <c r="L29" s="206">
        <f>'下水道現況予測 P4-30%'!X61</f>
        <v>1.0484184958296869</v>
      </c>
      <c r="M29" s="206">
        <f>'下水道現況予測 P4-30%'!Y61</f>
        <v>1.0362152557657793</v>
      </c>
    </row>
    <row r="30" spans="2:13" ht="19" customHeight="1" x14ac:dyDescent="0.2">
      <c r="C30" s="184" t="s">
        <v>767</v>
      </c>
      <c r="D30" s="187">
        <f>'下水道現況予測 P4-30%'!P62</f>
        <v>0.56554938062495996</v>
      </c>
      <c r="E30" s="187">
        <f>'下水道現況予測 P4-30%'!Q62</f>
        <v>0.56100868172469653</v>
      </c>
      <c r="F30" s="187">
        <f>'下水道現況予測 P4-30%'!R62</f>
        <v>0.71859084335617851</v>
      </c>
      <c r="G30" s="187">
        <f>'下水道現況予測 P4-30%'!S62</f>
        <v>0.67666203342712816</v>
      </c>
      <c r="H30" s="187">
        <f>'下水道現況予測 P4-30%'!T62</f>
        <v>0.67684376804701563</v>
      </c>
      <c r="I30" s="187">
        <f>'下水道現況予測 P4-30%'!U62</f>
        <v>0.66719423491379315</v>
      </c>
      <c r="J30" s="187">
        <f>'下水道現況予測 P4-30%'!V62</f>
        <v>0.66336874611885943</v>
      </c>
      <c r="K30" s="187">
        <f>'下水道現況予測 P4-30%'!W62</f>
        <v>0.65912454534052423</v>
      </c>
      <c r="L30" s="187">
        <f>'下水道現況予測 P4-30%'!X62</f>
        <v>0.65640105188462661</v>
      </c>
      <c r="M30" s="187">
        <f>'下水道現況予測 P4-30%'!Y62</f>
        <v>0.66028921585131817</v>
      </c>
    </row>
    <row r="31" spans="2:13" ht="19" customHeight="1" x14ac:dyDescent="0.2"/>
    <row r="32" spans="2:13" ht="19" customHeight="1" x14ac:dyDescent="0.2">
      <c r="B32" s="434" t="s">
        <v>882</v>
      </c>
      <c r="C32" s="435"/>
      <c r="D32" s="436"/>
      <c r="E32" s="176" t="s">
        <v>759</v>
      </c>
      <c r="F32" s="177"/>
      <c r="G32" s="178" t="s">
        <v>760</v>
      </c>
      <c r="H32" s="177">
        <f>F32-$F$2</f>
        <v>-170.5</v>
      </c>
      <c r="I32" s="178" t="s">
        <v>762</v>
      </c>
      <c r="J32" s="188">
        <v>0.1</v>
      </c>
    </row>
    <row r="33" spans="2:14" ht="19" customHeight="1" x14ac:dyDescent="0.2">
      <c r="C33" s="195" t="s">
        <v>763</v>
      </c>
      <c r="D33" s="196" t="str">
        <f>D27</f>
        <v>令和７年度</v>
      </c>
      <c r="E33" s="196" t="str">
        <f t="shared" ref="E33:M33" si="4">E27</f>
        <v>令和8年度</v>
      </c>
      <c r="F33" s="196" t="str">
        <f t="shared" si="4"/>
        <v>令和9年度</v>
      </c>
      <c r="G33" s="196" t="str">
        <f t="shared" si="4"/>
        <v>令和10年度</v>
      </c>
      <c r="H33" s="196" t="str">
        <f t="shared" si="4"/>
        <v>令和11年度</v>
      </c>
      <c r="I33" s="196" t="str">
        <f t="shared" si="4"/>
        <v>令和12年度</v>
      </c>
      <c r="J33" s="196" t="str">
        <f t="shared" si="4"/>
        <v>令和13年度</v>
      </c>
      <c r="K33" s="196" t="str">
        <f t="shared" si="4"/>
        <v>令和14年度</v>
      </c>
      <c r="L33" s="196" t="str">
        <f t="shared" si="4"/>
        <v>令和15年度</v>
      </c>
      <c r="M33" s="196" t="str">
        <f t="shared" si="4"/>
        <v>令和16年度</v>
      </c>
    </row>
    <row r="34" spans="2:14" ht="19" customHeight="1" x14ac:dyDescent="0.2">
      <c r="C34" s="182" t="s">
        <v>883</v>
      </c>
      <c r="D34" s="183">
        <f>'予測 (2)協議会案'!F46</f>
        <v>0</v>
      </c>
      <c r="E34" s="183">
        <f>'予測 (2)協議会案'!G46</f>
        <v>0</v>
      </c>
      <c r="F34" s="183">
        <f>'予測 (2)協議会案'!H46</f>
        <v>2137</v>
      </c>
      <c r="G34" s="183">
        <f>'予測 (2)協議会案'!I46</f>
        <v>2130</v>
      </c>
      <c r="H34" s="183">
        <f>'予測 (2)協議会案'!J46</f>
        <v>2125</v>
      </c>
      <c r="I34" s="183">
        <f>'予測 (2)協議会案'!K46</f>
        <v>2107</v>
      </c>
      <c r="J34" s="183">
        <f>'予測 (2)協議会案'!L46</f>
        <v>2099</v>
      </c>
      <c r="K34" s="183">
        <f>'予測 (2)協議会案'!M46</f>
        <v>2090</v>
      </c>
      <c r="L34" s="183">
        <f>'予測 (2)協議会案'!N46</f>
        <v>2082</v>
      </c>
      <c r="M34" s="183">
        <f>'予測 (2)協議会案'!O46</f>
        <v>2075</v>
      </c>
    </row>
    <row r="35" spans="2:14" ht="19" customHeight="1" x14ac:dyDescent="0.2">
      <c r="C35" s="184" t="s">
        <v>884</v>
      </c>
      <c r="D35" s="185">
        <f>'予測 (2)協議会案'!F47</f>
        <v>0</v>
      </c>
      <c r="E35" s="185">
        <f>'予測 (2)協議会案'!G47</f>
        <v>0</v>
      </c>
      <c r="F35" s="185">
        <f>'予測 (2)協議会案'!H47</f>
        <v>2433</v>
      </c>
      <c r="G35" s="185">
        <f>'予測 (2)協議会案'!I47</f>
        <v>2426</v>
      </c>
      <c r="H35" s="185">
        <f>'予測 (2)協議会案'!J47</f>
        <v>2420</v>
      </c>
      <c r="I35" s="185">
        <f>'予測 (2)協議会案'!K47</f>
        <v>2400</v>
      </c>
      <c r="J35" s="185">
        <f>'予測 (2)協議会案'!L47</f>
        <v>2390</v>
      </c>
      <c r="K35" s="185">
        <f>'予測 (2)協議会案'!M47</f>
        <v>2380</v>
      </c>
      <c r="L35" s="185">
        <f>'予測 (2)協議会案'!N47</f>
        <v>2371</v>
      </c>
      <c r="M35" s="185">
        <f>'予測 (2)協議会案'!O47</f>
        <v>2363</v>
      </c>
      <c r="N35" s="179">
        <f>M35/$M$4</f>
        <v>0.039160120645653114</v>
      </c>
    </row>
    <row r="36" spans="2:14" ht="19" customHeight="1" x14ac:dyDescent="0.2">
      <c r="C36" s="205" t="s">
        <v>885</v>
      </c>
      <c r="D36" s="206">
        <f>'予測 (2)協議会案'!F50</f>
        <v>0</v>
      </c>
      <c r="E36" s="206">
        <f>'予測 (2)協議会案'!G50</f>
        <v>0</v>
      </c>
      <c r="F36" s="206">
        <f>'予測 (2)協議会案'!H50</f>
        <v>8232</v>
      </c>
      <c r="G36" s="206">
        <f>'予測 (2)協議会案'!I50</f>
        <v>8232</v>
      </c>
      <c r="H36" s="206">
        <f>'予測 (2)協議会案'!J50</f>
        <v>8232</v>
      </c>
      <c r="I36" s="206">
        <f>'予測 (2)協議会案'!K50</f>
        <v>8232</v>
      </c>
      <c r="J36" s="206">
        <f>'予測 (2)協議会案'!L50</f>
        <v>8232</v>
      </c>
      <c r="K36" s="206">
        <f>'予測 (2)協議会案'!M50</f>
        <v>8232</v>
      </c>
      <c r="L36" s="206">
        <f>'予測 (2)協議会案'!N50</f>
        <v>8232</v>
      </c>
      <c r="M36" s="206">
        <f>'予測 (2)協議会案'!O50</f>
        <v>8232</v>
      </c>
    </row>
    <row r="37" spans="2:14" ht="19" customHeight="1" x14ac:dyDescent="0.2">
      <c r="C37" s="184" t="s">
        <v>886</v>
      </c>
      <c r="D37" s="187">
        <f>'予測 (2)協議会案'!F51</f>
        <v>0</v>
      </c>
      <c r="E37" s="187">
        <f>'予測 (2)協議会案'!G51</f>
        <v>0</v>
      </c>
      <c r="F37" s="187">
        <f>'予測 (2)協議会案'!H51</f>
        <v>12802</v>
      </c>
      <c r="G37" s="187">
        <f>'予測 (2)協議会案'!I51</f>
        <v>12788</v>
      </c>
      <c r="H37" s="187">
        <f>'予測 (2)協議会案'!J51</f>
        <v>12777</v>
      </c>
      <c r="I37" s="187">
        <f>'予測 (2)協議会案'!K51</f>
        <v>12739</v>
      </c>
      <c r="J37" s="187">
        <f>'予測 (2)協議会案'!L51</f>
        <v>12721</v>
      </c>
      <c r="K37" s="187">
        <f>'予測 (2)協議会案'!M51</f>
        <v>12702</v>
      </c>
      <c r="L37" s="187">
        <f>'予測 (2)協議会案'!N51</f>
        <v>12685</v>
      </c>
      <c r="M37" s="187">
        <f>'予測 (2)協議会案'!O51</f>
        <v>12670</v>
      </c>
    </row>
    <row r="38" spans="2:14" ht="19" customHeight="1" x14ac:dyDescent="0.2">
      <c r="C38" s="182" t="s">
        <v>887</v>
      </c>
      <c r="D38" s="183">
        <f>'下水道現況予測 協議会案'!P28</f>
        <v>61771</v>
      </c>
      <c r="E38" s="183">
        <f>'下水道現況予測 協議会案'!Q28</f>
        <v>61647</v>
      </c>
      <c r="F38" s="183">
        <f>'下水道現況予測 協議会案'!R28</f>
        <v>74340</v>
      </c>
      <c r="G38" s="183">
        <f>'下水道現況予測 協議会案'!S28</f>
        <v>74202</v>
      </c>
      <c r="H38" s="183">
        <f>'下水道現況予測 協議会案'!T28</f>
        <v>74083</v>
      </c>
      <c r="I38" s="183">
        <f>'下水道現況予測 協議会案'!U28</f>
        <v>73703</v>
      </c>
      <c r="J38" s="183">
        <f>'下水道現況予測 協議会案'!V28</f>
        <v>73529</v>
      </c>
      <c r="K38" s="183">
        <f>'下水道現況予測 協議会案'!W28</f>
        <v>73340</v>
      </c>
      <c r="L38" s="183">
        <f>'下水道現況予測 協議会案'!X28</f>
        <v>73167</v>
      </c>
      <c r="M38" s="183">
        <f>'下水道現況予測 協議会案'!Y28</f>
        <v>73012</v>
      </c>
    </row>
    <row r="39" spans="2:14" ht="19" customHeight="1" x14ac:dyDescent="0.2"/>
    <row r="40" spans="2:14" ht="19" customHeight="1" x14ac:dyDescent="0.2">
      <c r="B40" s="431" t="s">
        <v>772</v>
      </c>
      <c r="C40" s="432"/>
      <c r="D40" s="433"/>
      <c r="E40" s="176" t="s">
        <v>759</v>
      </c>
      <c r="F40" s="177"/>
      <c r="G40" s="178" t="s">
        <v>760</v>
      </c>
      <c r="H40" s="177">
        <f>F40-$F$2</f>
        <v>-170.5</v>
      </c>
      <c r="I40" s="178" t="s">
        <v>762</v>
      </c>
      <c r="J40" s="188">
        <v>0.8</v>
      </c>
    </row>
    <row r="41" spans="2:14" ht="19" customHeight="1" x14ac:dyDescent="0.2">
      <c r="C41" s="197" t="s">
        <v>763</v>
      </c>
      <c r="D41" s="198" t="s">
        <v>337</v>
      </c>
      <c r="E41" s="198" t="s">
        <v>338</v>
      </c>
      <c r="F41" s="198" t="s">
        <v>339</v>
      </c>
      <c r="G41" s="198" t="s">
        <v>340</v>
      </c>
      <c r="H41" s="198" t="s">
        <v>341</v>
      </c>
      <c r="I41" s="198" t="s">
        <v>342</v>
      </c>
      <c r="J41" s="198" t="s">
        <v>343</v>
      </c>
      <c r="K41" s="198" t="s">
        <v>344</v>
      </c>
      <c r="L41" s="198" t="s">
        <v>345</v>
      </c>
      <c r="M41" s="198" t="s">
        <v>346</v>
      </c>
    </row>
    <row r="42" spans="2:14" ht="19" customHeight="1" x14ac:dyDescent="0.2">
      <c r="C42" s="182" t="s">
        <v>764</v>
      </c>
      <c r="D42" s="183"/>
      <c r="E42" s="183"/>
      <c r="F42" s="183"/>
      <c r="G42" s="183"/>
      <c r="H42" s="183"/>
      <c r="I42" s="183"/>
      <c r="J42" s="183"/>
      <c r="K42" s="183"/>
      <c r="L42" s="183"/>
      <c r="M42" s="183"/>
    </row>
    <row r="43" spans="2:14" ht="19" customHeight="1" x14ac:dyDescent="0.2">
      <c r="C43" s="184" t="s">
        <v>765</v>
      </c>
      <c r="D43" s="185"/>
      <c r="E43" s="185"/>
      <c r="F43" s="185"/>
      <c r="G43" s="185"/>
      <c r="H43" s="185"/>
      <c r="I43" s="185"/>
      <c r="J43" s="185"/>
      <c r="K43" s="185"/>
      <c r="L43" s="185"/>
      <c r="M43" s="185"/>
    </row>
    <row r="44" spans="2:14" ht="19" customHeight="1" x14ac:dyDescent="0.2">
      <c r="C44" s="182" t="s">
        <v>766</v>
      </c>
      <c r="D44" s="186"/>
      <c r="E44" s="186"/>
      <c r="F44" s="186"/>
      <c r="G44" s="186"/>
      <c r="H44" s="186"/>
      <c r="I44" s="186"/>
      <c r="J44" s="186"/>
      <c r="K44" s="186"/>
      <c r="L44" s="186"/>
      <c r="M44" s="186"/>
    </row>
    <row r="45" spans="2:14" ht="19" customHeight="1" x14ac:dyDescent="0.2">
      <c r="C45" s="184" t="s">
        <v>767</v>
      </c>
      <c r="D45" s="187"/>
      <c r="E45" s="187"/>
      <c r="F45" s="187"/>
      <c r="G45" s="187"/>
      <c r="H45" s="187"/>
      <c r="I45" s="187"/>
      <c r="J45" s="187"/>
      <c r="K45" s="187"/>
      <c r="L45" s="187"/>
      <c r="M45" s="187"/>
    </row>
    <row r="46" spans="2:14" ht="19" customHeight="1" x14ac:dyDescent="0.2">
      <c r="C46" s="182" t="s">
        <v>768</v>
      </c>
      <c r="D46" s="186"/>
      <c r="E46" s="186"/>
      <c r="F46" s="186"/>
      <c r="G46" s="186"/>
      <c r="H46" s="186"/>
      <c r="I46" s="186"/>
      <c r="J46" s="186"/>
      <c r="K46" s="186"/>
      <c r="L46" s="186"/>
      <c r="M46" s="186"/>
    </row>
    <row r="48" spans="2:14" ht="28" customHeight="1" x14ac:dyDescent="0.55">
      <c r="B48" t="s">
        <v>888</v>
      </c>
    </row>
    <row r="49" spans="2:14" ht="28" customHeight="1" x14ac:dyDescent="0.55">
      <c r="B49" t="s">
        <v>889</v>
      </c>
    </row>
    <row r="50" spans="2:14" ht="28" customHeight="1" x14ac:dyDescent="0.55">
      <c r="B50" t="s">
        <v>890</v>
      </c>
    </row>
  </sheetData>
  <mergeCells count="7">
    <mergeCell ref="B40:D40"/>
    <mergeCell ref="B14:D14"/>
    <mergeCell ref="B2:D2"/>
    <mergeCell ref="B8:D8"/>
    <mergeCell ref="B20:D20"/>
    <mergeCell ref="B26:D26"/>
    <mergeCell ref="B32:D32"/>
  </mergeCells>
  <phoneticPr fontId="2"/>
  <pageMargins left="0.7" right="0.7" top="0.75" bottom="0.75" header="0.3" footer="0.3"/>
  <pageSetup paperSize="9" scale="7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589A-14D2-4F27-997C-9A0D61FFE64B}">
  <dimension ref="B3:G7"/>
  <sheetViews>
    <sheetView workbookViewId="0">
      <selection activeCell="B3" sqref="B3:G6"/>
    </sheetView>
  </sheetViews>
  <sheetFormatPr defaultRowHeight="18" x14ac:dyDescent="0.2"/>
  <cols>
    <col min="1" max="1" width="8.7265625" style="179"/>
    <col min="2" max="2" width="26.36328125" style="179" bestFit="1" customWidth="1"/>
    <col min="3" max="3" width="8.7265625" style="179"/>
    <col min="4" max="4" width="25.90625" style="179" bestFit="1" customWidth="1"/>
    <col min="5" max="16384" width="8.7265625" style="179"/>
  </cols>
  <sheetData>
    <row r="3" spans="2:7" x14ac:dyDescent="0.2">
      <c r="B3" s="199" t="s">
        <v>773</v>
      </c>
      <c r="C3" s="199">
        <v>1</v>
      </c>
      <c r="D3" s="199" t="s">
        <v>774</v>
      </c>
      <c r="E3" s="200">
        <f>シミュレーションまとめ!F8-シミュレーションまとめ!F2</f>
        <v>17.05</v>
      </c>
      <c r="F3" s="199" t="s">
        <v>762</v>
      </c>
      <c r="G3" s="201">
        <v>0.1</v>
      </c>
    </row>
    <row r="4" spans="2:7" x14ac:dyDescent="0.2">
      <c r="B4" s="202" t="s">
        <v>773</v>
      </c>
      <c r="C4" s="202">
        <v>2</v>
      </c>
      <c r="D4" s="202" t="s">
        <v>774</v>
      </c>
      <c r="E4" s="203">
        <f>シミュレーションまとめ!H14</f>
        <v>35.66999999999999</v>
      </c>
      <c r="F4" s="202" t="s">
        <v>762</v>
      </c>
      <c r="G4" s="204">
        <v>0.15</v>
      </c>
    </row>
    <row r="5" spans="2:7" x14ac:dyDescent="0.2">
      <c r="B5" s="199" t="s">
        <v>773</v>
      </c>
      <c r="C5" s="199">
        <v>3</v>
      </c>
      <c r="D5" s="199" t="s">
        <v>774</v>
      </c>
      <c r="E5" s="200">
        <f>シミュレーションまとめ!H20</f>
        <v>34.099999999999994</v>
      </c>
      <c r="F5" s="199" t="s">
        <v>762</v>
      </c>
      <c r="G5" s="201">
        <v>0.2</v>
      </c>
    </row>
    <row r="6" spans="2:7" x14ac:dyDescent="0.2">
      <c r="B6" s="202" t="s">
        <v>773</v>
      </c>
      <c r="C6" s="202">
        <v>4</v>
      </c>
      <c r="D6" s="202" t="s">
        <v>774</v>
      </c>
      <c r="E6" s="203">
        <f>シミュレーションまとめ!H26</f>
        <v>51.150000000000006</v>
      </c>
      <c r="F6" s="202" t="s">
        <v>762</v>
      </c>
      <c r="G6" s="204">
        <v>0.3</v>
      </c>
    </row>
    <row r="7" spans="2:7" x14ac:dyDescent="0.2">
      <c r="B7" s="199" t="s">
        <v>773</v>
      </c>
      <c r="C7" s="199" t="s">
        <v>775</v>
      </c>
      <c r="D7" s="199" t="s">
        <v>774</v>
      </c>
      <c r="E7" s="200">
        <f>シミュレーションまとめ!F40-シミュレーションまとめ!F2</f>
        <v>-170.5</v>
      </c>
      <c r="F7" s="199" t="s">
        <v>762</v>
      </c>
      <c r="G7" s="201">
        <v>0.8</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0595-A7EF-4677-9D53-8257B24021F8}">
  <sheetPr>
    <tabColor rgb="FFFFFF00"/>
    <pageSetUpPr fitToPage="1"/>
  </sheetPr>
  <dimension ref="A1:T96"/>
  <sheetViews>
    <sheetView showGridLines="0" view="pageBreakPreview" zoomScale="85" zoomScaleNormal="75" zoomScaleSheetLayoutView="85" workbookViewId="0">
      <selection activeCell="E2" sqref="E2:O16"/>
    </sheetView>
  </sheetViews>
  <sheetFormatPr defaultColWidth="9" defaultRowHeight="12" x14ac:dyDescent="0.2"/>
  <cols>
    <col min="1" max="1" width="8" style="207" customWidth="1"/>
    <col min="2" max="2" width="3.81640625" style="208" customWidth="1"/>
    <col min="3" max="4" width="11.26953125" style="209" hidden="1" customWidth="1"/>
    <col min="5" max="5" width="11.26953125" style="209" customWidth="1"/>
    <col min="6" max="15" width="12.36328125" style="209" customWidth="1"/>
    <col min="16" max="16" width="2.54296875" style="207" customWidth="1"/>
    <col min="17" max="17" width="9.36328125" style="207" bestFit="1" customWidth="1"/>
    <col min="18" max="18" width="9" style="207"/>
    <col min="19" max="19" width="10.90625" style="207" bestFit="1" customWidth="1"/>
    <col min="20" max="20" width="9.6328125" style="207" bestFit="1" customWidth="1"/>
    <col min="21" max="16384" width="9" style="207"/>
  </cols>
  <sheetData>
    <row r="1" spans="1:19" ht="12.5" thickBot="1" x14ac:dyDescent="0.25"/>
    <row r="2" spans="1:19" s="208" customFormat="1" ht="25" customHeight="1" x14ac:dyDescent="0.2">
      <c r="A2" s="210"/>
      <c r="B2" s="210"/>
      <c r="C2" s="211"/>
      <c r="D2" s="211"/>
      <c r="E2" s="486" t="s">
        <v>778</v>
      </c>
      <c r="F2" s="487"/>
      <c r="G2" s="487"/>
      <c r="H2" s="487"/>
      <c r="I2" s="487"/>
      <c r="J2" s="487"/>
      <c r="K2" s="487"/>
      <c r="L2" s="212"/>
      <c r="M2" s="212"/>
      <c r="N2" s="212"/>
      <c r="O2" s="213"/>
      <c r="S2" s="214"/>
    </row>
    <row r="3" spans="1:19" s="208" customFormat="1" ht="22" customHeight="1" thickBot="1" x14ac:dyDescent="0.25">
      <c r="A3" s="215"/>
      <c r="B3" s="215"/>
      <c r="C3" s="216"/>
      <c r="D3" s="216"/>
      <c r="E3" s="496" t="s">
        <v>779</v>
      </c>
      <c r="F3" s="497"/>
      <c r="G3" s="497"/>
      <c r="H3" s="497"/>
      <c r="I3" s="497"/>
      <c r="J3" s="497"/>
      <c r="K3" s="497"/>
      <c r="L3" s="217"/>
      <c r="M3" s="217"/>
      <c r="N3" s="217"/>
      <c r="O3" s="218"/>
      <c r="S3" s="214"/>
    </row>
    <row r="4" spans="1:19" s="225" customFormat="1" ht="22.5" thickBot="1" x14ac:dyDescent="0.25">
      <c r="A4" s="484"/>
      <c r="B4" s="484"/>
      <c r="C4" s="219" t="s">
        <v>780</v>
      </c>
      <c r="D4" s="220" t="s">
        <v>307</v>
      </c>
      <c r="E4" s="221" t="s">
        <v>781</v>
      </c>
      <c r="F4" s="222" t="s">
        <v>782</v>
      </c>
      <c r="G4" s="222" t="s">
        <v>783</v>
      </c>
      <c r="H4" s="223" t="s">
        <v>784</v>
      </c>
      <c r="I4" s="222" t="s">
        <v>785</v>
      </c>
      <c r="J4" s="222" t="s">
        <v>786</v>
      </c>
      <c r="K4" s="222" t="s">
        <v>787</v>
      </c>
      <c r="L4" s="222" t="s">
        <v>788</v>
      </c>
      <c r="M4" s="222" t="s">
        <v>789</v>
      </c>
      <c r="N4" s="222" t="s">
        <v>790</v>
      </c>
      <c r="O4" s="224" t="s">
        <v>791</v>
      </c>
    </row>
    <row r="5" spans="1:19" s="231" customFormat="1" ht="43.5" customHeight="1" thickBot="1" x14ac:dyDescent="0.25">
      <c r="A5" s="485"/>
      <c r="B5" s="485"/>
      <c r="C5" s="226"/>
      <c r="D5" s="227"/>
      <c r="E5" s="228" t="s">
        <v>793</v>
      </c>
      <c r="F5" s="229" t="s">
        <v>792</v>
      </c>
      <c r="G5" s="229" t="s">
        <v>794</v>
      </c>
      <c r="H5" s="229"/>
      <c r="I5" s="229"/>
      <c r="J5" s="229"/>
      <c r="K5" s="229" t="s">
        <v>795</v>
      </c>
      <c r="L5" s="229"/>
      <c r="M5" s="229"/>
      <c r="N5" s="229"/>
      <c r="O5" s="230"/>
      <c r="Q5" s="232">
        <f t="shared" ref="Q5:Q66" si="0">SUM(F5:O5)</f>
        <v>0</v>
      </c>
      <c r="S5" s="233"/>
    </row>
    <row r="6" spans="1:19" s="208" customFormat="1" ht="25" customHeight="1" x14ac:dyDescent="0.2">
      <c r="A6" s="210"/>
      <c r="B6" s="210"/>
      <c r="C6" s="211"/>
      <c r="D6" s="211"/>
      <c r="E6" s="486" t="s">
        <v>796</v>
      </c>
      <c r="F6" s="487"/>
      <c r="G6" s="487"/>
      <c r="H6" s="487"/>
      <c r="I6" s="487"/>
      <c r="J6" s="487"/>
      <c r="K6" s="487"/>
      <c r="L6" s="212"/>
      <c r="M6" s="212"/>
      <c r="N6" s="212"/>
      <c r="O6" s="213"/>
      <c r="S6" s="214"/>
    </row>
    <row r="7" spans="1:19" s="208" customFormat="1" ht="22" customHeight="1" thickBot="1" x14ac:dyDescent="0.25">
      <c r="B7" s="215"/>
      <c r="C7" s="216"/>
      <c r="D7" s="216"/>
      <c r="E7" s="496" t="s">
        <v>797</v>
      </c>
      <c r="F7" s="497"/>
      <c r="G7" s="497"/>
      <c r="H7" s="497"/>
      <c r="I7" s="497"/>
      <c r="J7" s="497"/>
      <c r="K7" s="497"/>
      <c r="L7" s="217"/>
      <c r="M7" s="217"/>
      <c r="N7" s="217"/>
      <c r="O7" s="218"/>
      <c r="S7" s="214"/>
    </row>
    <row r="8" spans="1:19" s="225" customFormat="1" ht="22.5" thickBot="1" x14ac:dyDescent="0.25">
      <c r="A8" s="484"/>
      <c r="B8" s="484"/>
      <c r="C8" s="219" t="s">
        <v>780</v>
      </c>
      <c r="D8" s="220" t="s">
        <v>307</v>
      </c>
      <c r="E8" s="221" t="s">
        <v>781</v>
      </c>
      <c r="F8" s="222" t="s">
        <v>782</v>
      </c>
      <c r="G8" s="222" t="s">
        <v>783</v>
      </c>
      <c r="H8" s="223" t="s">
        <v>784</v>
      </c>
      <c r="I8" s="222" t="s">
        <v>785</v>
      </c>
      <c r="J8" s="222" t="s">
        <v>786</v>
      </c>
      <c r="K8" s="222" t="s">
        <v>787</v>
      </c>
      <c r="L8" s="223" t="s">
        <v>788</v>
      </c>
      <c r="M8" s="222" t="s">
        <v>789</v>
      </c>
      <c r="N8" s="222" t="s">
        <v>790</v>
      </c>
      <c r="O8" s="224" t="s">
        <v>791</v>
      </c>
    </row>
    <row r="9" spans="1:19" s="231" customFormat="1" ht="43.5" customHeight="1" thickBot="1" x14ac:dyDescent="0.25">
      <c r="A9" s="485"/>
      <c r="B9" s="485"/>
      <c r="C9" s="234"/>
      <c r="D9" s="235"/>
      <c r="E9" s="236"/>
      <c r="F9" s="237"/>
      <c r="G9" s="290"/>
      <c r="H9" s="237"/>
      <c r="I9" s="290"/>
      <c r="J9" s="237"/>
      <c r="K9" s="290"/>
      <c r="L9" s="237"/>
      <c r="M9" s="290"/>
      <c r="N9" s="237"/>
      <c r="O9" s="238"/>
      <c r="Q9" s="232">
        <f t="shared" ref="Q9" si="1">SUM(F9:O9)</f>
        <v>0</v>
      </c>
      <c r="S9" s="233"/>
    </row>
    <row r="10" spans="1:19" s="208" customFormat="1" ht="25" customHeight="1" x14ac:dyDescent="0.2">
      <c r="A10" s="210"/>
      <c r="B10" s="210"/>
      <c r="C10" s="211"/>
      <c r="D10" s="211"/>
      <c r="E10" s="486" t="s">
        <v>798</v>
      </c>
      <c r="F10" s="487"/>
      <c r="G10" s="487"/>
      <c r="H10" s="487"/>
      <c r="I10" s="487"/>
      <c r="J10" s="487"/>
      <c r="K10" s="487"/>
      <c r="L10" s="212"/>
      <c r="M10" s="212"/>
      <c r="N10" s="212"/>
      <c r="O10" s="213"/>
      <c r="S10" s="214"/>
    </row>
    <row r="11" spans="1:19" s="208" customFormat="1" ht="23.5" customHeight="1" thickBot="1" x14ac:dyDescent="0.25">
      <c r="A11" s="239"/>
      <c r="B11" s="239"/>
      <c r="C11" s="240"/>
      <c r="D11" s="240"/>
      <c r="E11" s="488" t="s">
        <v>799</v>
      </c>
      <c r="F11" s="489"/>
      <c r="G11" s="489"/>
      <c r="H11" s="489"/>
      <c r="I11" s="489"/>
      <c r="J11" s="489"/>
      <c r="K11" s="489"/>
      <c r="L11" s="241"/>
      <c r="M11" s="241"/>
      <c r="N11" s="241"/>
      <c r="O11" s="242"/>
      <c r="S11" s="214"/>
    </row>
    <row r="12" spans="1:19" s="225" customFormat="1" ht="22.5" thickBot="1" x14ac:dyDescent="0.25">
      <c r="A12" s="484"/>
      <c r="B12" s="484"/>
      <c r="C12" s="219" t="s">
        <v>780</v>
      </c>
      <c r="D12" s="220" t="s">
        <v>307</v>
      </c>
      <c r="E12" s="221" t="s">
        <v>781</v>
      </c>
      <c r="F12" s="222" t="s">
        <v>782</v>
      </c>
      <c r="G12" s="222" t="s">
        <v>783</v>
      </c>
      <c r="H12" s="223" t="s">
        <v>784</v>
      </c>
      <c r="I12" s="222" t="s">
        <v>785</v>
      </c>
      <c r="J12" s="222" t="s">
        <v>786</v>
      </c>
      <c r="K12" s="222" t="s">
        <v>787</v>
      </c>
      <c r="L12" s="223" t="s">
        <v>788</v>
      </c>
      <c r="M12" s="222" t="s">
        <v>789</v>
      </c>
      <c r="N12" s="222" t="s">
        <v>790</v>
      </c>
      <c r="O12" s="224" t="s">
        <v>791</v>
      </c>
    </row>
    <row r="13" spans="1:19" s="231" customFormat="1" ht="30" customHeight="1" x14ac:dyDescent="0.2">
      <c r="A13" s="477"/>
      <c r="B13" s="477"/>
      <c r="C13" s="243"/>
      <c r="D13" s="244"/>
      <c r="E13" s="245"/>
      <c r="F13" s="246" t="s">
        <v>800</v>
      </c>
      <c r="G13" s="247" t="s">
        <v>800</v>
      </c>
      <c r="H13" s="248" t="s">
        <v>800</v>
      </c>
      <c r="I13" s="247" t="s">
        <v>800</v>
      </c>
      <c r="J13" s="246" t="s">
        <v>800</v>
      </c>
      <c r="K13" s="247" t="s">
        <v>800</v>
      </c>
      <c r="L13" s="246" t="s">
        <v>800</v>
      </c>
      <c r="M13" s="247" t="s">
        <v>800</v>
      </c>
      <c r="N13" s="246" t="s">
        <v>800</v>
      </c>
      <c r="O13" s="249" t="s">
        <v>800</v>
      </c>
      <c r="Q13" s="232">
        <f t="shared" si="0"/>
        <v>0</v>
      </c>
      <c r="S13" s="233"/>
    </row>
    <row r="14" spans="1:19" s="208" customFormat="1" ht="23.5" customHeight="1" thickBot="1" x14ac:dyDescent="0.25">
      <c r="A14" s="239"/>
      <c r="B14" s="239"/>
      <c r="C14" s="240"/>
      <c r="D14" s="240"/>
      <c r="E14" s="488" t="s">
        <v>801</v>
      </c>
      <c r="F14" s="489"/>
      <c r="G14" s="489"/>
      <c r="H14" s="489"/>
      <c r="I14" s="489"/>
      <c r="J14" s="489"/>
      <c r="K14" s="489"/>
      <c r="L14" s="250"/>
      <c r="M14" s="250"/>
      <c r="N14" s="250"/>
      <c r="O14" s="251"/>
      <c r="S14" s="214"/>
    </row>
    <row r="15" spans="1:19" s="225" customFormat="1" ht="22.5" thickBot="1" x14ac:dyDescent="0.25">
      <c r="A15" s="484"/>
      <c r="B15" s="484"/>
      <c r="C15" s="219" t="s">
        <v>780</v>
      </c>
      <c r="D15" s="220" t="s">
        <v>307</v>
      </c>
      <c r="E15" s="221" t="s">
        <v>781</v>
      </c>
      <c r="F15" s="222" t="s">
        <v>782</v>
      </c>
      <c r="G15" s="222" t="s">
        <v>783</v>
      </c>
      <c r="H15" s="223" t="s">
        <v>784</v>
      </c>
      <c r="I15" s="222" t="s">
        <v>785</v>
      </c>
      <c r="J15" s="222" t="s">
        <v>786</v>
      </c>
      <c r="K15" s="222" t="s">
        <v>787</v>
      </c>
      <c r="L15" s="223" t="s">
        <v>788</v>
      </c>
      <c r="M15" s="222" t="s">
        <v>789</v>
      </c>
      <c r="N15" s="222" t="s">
        <v>790</v>
      </c>
      <c r="O15" s="224" t="s">
        <v>791</v>
      </c>
    </row>
    <row r="16" spans="1:19" s="231" customFormat="1" ht="30" customHeight="1" x14ac:dyDescent="0.2">
      <c r="A16" s="477"/>
      <c r="B16" s="477"/>
      <c r="C16" s="243"/>
      <c r="D16" s="244"/>
      <c r="E16" s="245"/>
      <c r="F16" s="490" t="s">
        <v>828</v>
      </c>
      <c r="G16" s="491"/>
      <c r="H16" s="491"/>
      <c r="I16" s="491"/>
      <c r="J16" s="491"/>
      <c r="K16" s="491"/>
      <c r="L16" s="491"/>
      <c r="M16" s="491"/>
      <c r="N16" s="491"/>
      <c r="O16" s="492"/>
      <c r="Q16" s="232">
        <f>SUM(F16:O16)</f>
        <v>0</v>
      </c>
      <c r="S16" s="233"/>
    </row>
    <row r="17" spans="1:19" s="208" customFormat="1" ht="23.5" hidden="1" customHeight="1" thickBot="1" x14ac:dyDescent="0.25">
      <c r="A17" s="239"/>
      <c r="B17" s="239"/>
      <c r="C17" s="240"/>
      <c r="D17" s="240"/>
      <c r="E17" s="493" t="s">
        <v>802</v>
      </c>
      <c r="F17" s="494"/>
      <c r="G17" s="494"/>
      <c r="H17" s="494"/>
      <c r="I17" s="494"/>
      <c r="J17" s="494"/>
      <c r="K17" s="494"/>
      <c r="L17" s="494"/>
      <c r="M17" s="494"/>
      <c r="N17" s="494"/>
      <c r="O17" s="495"/>
      <c r="S17" s="214"/>
    </row>
    <row r="18" spans="1:19" s="225" customFormat="1" ht="22.5" hidden="1" thickBot="1" x14ac:dyDescent="0.25">
      <c r="A18" s="484"/>
      <c r="B18" s="484"/>
      <c r="C18" s="219" t="s">
        <v>780</v>
      </c>
      <c r="D18" s="220" t="s">
        <v>307</v>
      </c>
      <c r="E18" s="221" t="s">
        <v>781</v>
      </c>
      <c r="F18" s="222" t="s">
        <v>782</v>
      </c>
      <c r="G18" s="222" t="s">
        <v>783</v>
      </c>
      <c r="H18" s="223" t="s">
        <v>784</v>
      </c>
      <c r="I18" s="222" t="s">
        <v>785</v>
      </c>
      <c r="J18" s="222" t="s">
        <v>786</v>
      </c>
      <c r="K18" s="222" t="s">
        <v>787</v>
      </c>
      <c r="L18" s="223" t="s">
        <v>788</v>
      </c>
      <c r="M18" s="222" t="s">
        <v>789</v>
      </c>
      <c r="N18" s="252" t="s">
        <v>790</v>
      </c>
      <c r="O18" s="224" t="s">
        <v>803</v>
      </c>
    </row>
    <row r="19" spans="1:19" s="231" customFormat="1" ht="30" hidden="1" customHeight="1" thickBot="1" x14ac:dyDescent="0.25">
      <c r="A19" s="477"/>
      <c r="B19" s="477"/>
      <c r="C19" s="253"/>
      <c r="D19" s="254"/>
      <c r="E19" s="255"/>
      <c r="F19" s="478" t="s">
        <v>804</v>
      </c>
      <c r="G19" s="479"/>
      <c r="H19" s="480"/>
      <c r="I19" s="256" t="s">
        <v>805</v>
      </c>
      <c r="J19" s="257" t="s">
        <v>805</v>
      </c>
      <c r="K19" s="256" t="s">
        <v>805</v>
      </c>
      <c r="L19" s="257" t="s">
        <v>805</v>
      </c>
      <c r="M19" s="256" t="s">
        <v>805</v>
      </c>
      <c r="N19" s="257" t="s">
        <v>805</v>
      </c>
      <c r="O19" s="258" t="s">
        <v>805</v>
      </c>
      <c r="Q19" s="232">
        <f t="shared" ref="Q19" si="2">SUM(F19:O19)</f>
        <v>0</v>
      </c>
      <c r="S19" s="233"/>
    </row>
    <row r="20" spans="1:19" s="231" customFormat="1" ht="30" customHeight="1" x14ac:dyDescent="0.2">
      <c r="A20" s="259"/>
      <c r="B20" s="260"/>
      <c r="C20" s="261"/>
      <c r="D20" s="261"/>
      <c r="E20" s="262"/>
      <c r="F20" s="263"/>
      <c r="G20" s="263"/>
      <c r="H20" s="263"/>
      <c r="I20" s="263"/>
      <c r="J20" s="264"/>
      <c r="K20" s="264"/>
      <c r="L20" s="264"/>
      <c r="M20" s="264"/>
      <c r="N20" s="264"/>
      <c r="O20" s="264"/>
      <c r="Q20" s="232"/>
      <c r="S20" s="233"/>
    </row>
    <row r="21" spans="1:19" s="231" customFormat="1" ht="30" customHeight="1" x14ac:dyDescent="0.2">
      <c r="A21" s="259"/>
      <c r="B21" s="260"/>
      <c r="C21" s="261"/>
      <c r="D21" s="261"/>
      <c r="E21" s="262"/>
      <c r="F21" s="263"/>
      <c r="G21" s="263"/>
      <c r="H21" s="263"/>
      <c r="I21" s="263"/>
      <c r="J21" s="264"/>
      <c r="K21" s="264"/>
      <c r="L21" s="264"/>
      <c r="M21" s="264"/>
      <c r="N21" s="264"/>
      <c r="O21" s="265"/>
      <c r="Q21" s="232"/>
      <c r="S21" s="233"/>
    </row>
    <row r="22" spans="1:19" s="231" customFormat="1" ht="30" customHeight="1" x14ac:dyDescent="0.2">
      <c r="A22" s="259"/>
      <c r="B22" s="260"/>
      <c r="C22" s="261"/>
      <c r="D22" s="261"/>
      <c r="E22" s="262"/>
      <c r="F22" s="263"/>
      <c r="G22" s="263"/>
      <c r="H22" s="263"/>
      <c r="I22" s="263"/>
      <c r="J22" s="264"/>
      <c r="K22" s="264"/>
      <c r="L22" s="264"/>
      <c r="M22" s="264"/>
      <c r="N22" s="264"/>
      <c r="O22" s="265"/>
      <c r="Q22" s="232"/>
      <c r="S22" s="233"/>
    </row>
    <row r="23" spans="1:19" s="231" customFormat="1" ht="30" customHeight="1" x14ac:dyDescent="0.2">
      <c r="A23" s="259"/>
      <c r="B23" s="260"/>
      <c r="C23" s="261"/>
      <c r="D23" s="261"/>
      <c r="E23" s="262"/>
      <c r="F23" s="263"/>
      <c r="G23" s="263"/>
      <c r="H23" s="263"/>
      <c r="I23" s="263"/>
      <c r="J23" s="264"/>
      <c r="K23" s="264"/>
      <c r="L23" s="264"/>
      <c r="M23" s="264"/>
      <c r="N23" s="264"/>
      <c r="O23" s="265"/>
      <c r="Q23" s="232"/>
      <c r="S23" s="233"/>
    </row>
    <row r="24" spans="1:19" s="231" customFormat="1" ht="30" customHeight="1" x14ac:dyDescent="0.2">
      <c r="A24" s="259"/>
      <c r="B24" s="260"/>
      <c r="C24" s="261"/>
      <c r="D24" s="261"/>
      <c r="E24" s="262"/>
      <c r="F24" s="263"/>
      <c r="G24" s="263"/>
      <c r="H24" s="263"/>
      <c r="I24" s="263"/>
      <c r="J24" s="264"/>
      <c r="K24" s="264"/>
      <c r="L24" s="264"/>
      <c r="M24" s="264"/>
      <c r="N24" s="264"/>
      <c r="O24" s="265"/>
      <c r="Q24" s="232"/>
      <c r="S24" s="233"/>
    </row>
    <row r="25" spans="1:19" s="231" customFormat="1" ht="30" customHeight="1" x14ac:dyDescent="0.2">
      <c r="A25" s="259"/>
      <c r="B25" s="260"/>
      <c r="C25" s="261"/>
      <c r="D25" s="261"/>
      <c r="E25" s="262"/>
      <c r="F25" s="263"/>
      <c r="G25" s="263"/>
      <c r="H25" s="263"/>
      <c r="I25" s="263"/>
      <c r="J25" s="264"/>
      <c r="K25" s="264"/>
      <c r="L25" s="264"/>
      <c r="M25" s="264"/>
      <c r="N25" s="264"/>
      <c r="O25" s="265"/>
      <c r="Q25" s="232"/>
      <c r="S25" s="233"/>
    </row>
    <row r="26" spans="1:19" s="231" customFormat="1" ht="30" customHeight="1" x14ac:dyDescent="0.2">
      <c r="A26" s="259"/>
      <c r="B26" s="260"/>
      <c r="C26" s="261"/>
      <c r="D26" s="261"/>
      <c r="E26" s="262"/>
      <c r="F26" s="263"/>
      <c r="G26" s="263"/>
      <c r="H26" s="263"/>
      <c r="I26" s="263"/>
      <c r="J26" s="264"/>
      <c r="K26" s="264"/>
      <c r="L26" s="264"/>
      <c r="M26" s="264"/>
      <c r="N26" s="264"/>
      <c r="O26" s="265"/>
      <c r="Q26" s="232"/>
      <c r="S26" s="233"/>
    </row>
    <row r="27" spans="1:19" s="231" customFormat="1" ht="30" customHeight="1" x14ac:dyDescent="0.2">
      <c r="A27" s="259"/>
      <c r="B27" s="260"/>
      <c r="C27" s="261"/>
      <c r="D27" s="261"/>
      <c r="E27" s="262"/>
      <c r="F27" s="263"/>
      <c r="G27" s="263"/>
      <c r="H27" s="263"/>
      <c r="I27" s="263"/>
      <c r="J27" s="264"/>
      <c r="K27" s="264"/>
      <c r="L27" s="264"/>
      <c r="M27" s="264"/>
      <c r="N27" s="264"/>
      <c r="O27" s="265"/>
      <c r="Q27" s="232"/>
      <c r="S27" s="233"/>
    </row>
    <row r="28" spans="1:19" s="231" customFormat="1" ht="30" customHeight="1" x14ac:dyDescent="0.2">
      <c r="A28" s="259"/>
      <c r="B28" s="260"/>
      <c r="C28" s="261"/>
      <c r="D28" s="261"/>
      <c r="E28" s="262"/>
      <c r="F28" s="263"/>
      <c r="G28" s="263"/>
      <c r="H28" s="263"/>
      <c r="I28" s="263"/>
      <c r="J28" s="264"/>
      <c r="K28" s="264"/>
      <c r="L28" s="264"/>
      <c r="M28" s="264"/>
      <c r="N28" s="264"/>
      <c r="O28" s="265"/>
      <c r="Q28" s="232"/>
      <c r="S28" s="233"/>
    </row>
    <row r="29" spans="1:19" s="231" customFormat="1" ht="30" customHeight="1" x14ac:dyDescent="0.2">
      <c r="A29" s="259"/>
      <c r="B29" s="260"/>
      <c r="C29" s="261"/>
      <c r="D29" s="261"/>
      <c r="E29" s="262"/>
      <c r="F29" s="263"/>
      <c r="G29" s="263"/>
      <c r="H29" s="263"/>
      <c r="I29" s="263"/>
      <c r="J29" s="264"/>
      <c r="K29" s="264"/>
      <c r="L29" s="264"/>
      <c r="M29" s="264"/>
      <c r="N29" s="264"/>
      <c r="O29" s="265"/>
      <c r="Q29" s="232"/>
      <c r="S29" s="233"/>
    </row>
    <row r="30" spans="1:19" s="231" customFormat="1" ht="30" customHeight="1" x14ac:dyDescent="0.2">
      <c r="A30" s="259"/>
      <c r="B30" s="260"/>
      <c r="C30" s="261"/>
      <c r="D30" s="261"/>
      <c r="E30" s="262"/>
      <c r="F30" s="263"/>
      <c r="G30" s="263"/>
      <c r="H30" s="263"/>
      <c r="I30" s="263"/>
      <c r="J30" s="264"/>
      <c r="K30" s="264"/>
      <c r="L30" s="264"/>
      <c r="M30" s="264"/>
      <c r="N30" s="264"/>
      <c r="O30" s="265"/>
      <c r="Q30" s="232"/>
      <c r="S30" s="233"/>
    </row>
    <row r="31" spans="1:19" s="231" customFormat="1" ht="30" customHeight="1" x14ac:dyDescent="0.2">
      <c r="A31" s="259"/>
      <c r="B31" s="260"/>
      <c r="C31" s="261"/>
      <c r="D31" s="261"/>
      <c r="E31" s="262"/>
      <c r="F31" s="263"/>
      <c r="G31" s="263"/>
      <c r="H31" s="263"/>
      <c r="I31" s="263"/>
      <c r="J31" s="264"/>
      <c r="K31" s="264"/>
      <c r="L31" s="264"/>
      <c r="M31" s="264"/>
      <c r="N31" s="264"/>
      <c r="O31" s="265"/>
      <c r="Q31" s="232"/>
      <c r="S31" s="233"/>
    </row>
    <row r="32" spans="1:19" s="231" customFormat="1" ht="30" customHeight="1" x14ac:dyDescent="0.2">
      <c r="A32" s="259"/>
      <c r="B32" s="260"/>
      <c r="C32" s="261"/>
      <c r="D32" s="261"/>
      <c r="E32" s="262"/>
      <c r="F32" s="263"/>
      <c r="G32" s="263"/>
      <c r="H32" s="263"/>
      <c r="I32" s="263"/>
      <c r="J32" s="264"/>
      <c r="K32" s="264"/>
      <c r="L32" s="264"/>
      <c r="M32" s="264"/>
      <c r="N32" s="264"/>
      <c r="O32" s="265"/>
      <c r="Q32" s="232"/>
      <c r="S32" s="233"/>
    </row>
    <row r="33" spans="1:19" s="231" customFormat="1" ht="30" customHeight="1" x14ac:dyDescent="0.2">
      <c r="A33" s="259"/>
      <c r="B33" s="260"/>
      <c r="C33" s="261"/>
      <c r="D33" s="261"/>
      <c r="E33" s="262"/>
      <c r="F33" s="263"/>
      <c r="G33" s="263"/>
      <c r="H33" s="263"/>
      <c r="I33" s="263"/>
      <c r="J33" s="264"/>
      <c r="K33" s="264"/>
      <c r="L33" s="264"/>
      <c r="M33" s="264"/>
      <c r="N33" s="264"/>
      <c r="O33" s="265"/>
      <c r="Q33" s="232"/>
      <c r="S33" s="233"/>
    </row>
    <row r="34" spans="1:19" s="231" customFormat="1" ht="30" customHeight="1" x14ac:dyDescent="0.2">
      <c r="A34" s="259"/>
      <c r="B34" s="260"/>
      <c r="C34" s="261"/>
      <c r="D34" s="261"/>
      <c r="E34" s="262"/>
      <c r="F34" s="263"/>
      <c r="G34" s="263"/>
      <c r="H34" s="263"/>
      <c r="I34" s="263"/>
      <c r="J34" s="264"/>
      <c r="K34" s="264"/>
      <c r="L34" s="264"/>
      <c r="M34" s="264"/>
      <c r="N34" s="264"/>
      <c r="O34" s="265"/>
      <c r="Q34" s="232"/>
      <c r="S34" s="233"/>
    </row>
    <row r="35" spans="1:19" s="231" customFormat="1" ht="30" customHeight="1" x14ac:dyDescent="0.2">
      <c r="A35" s="259"/>
      <c r="B35" s="260"/>
      <c r="C35" s="261"/>
      <c r="D35" s="261"/>
      <c r="E35" s="262"/>
      <c r="F35" s="263"/>
      <c r="G35" s="263"/>
      <c r="H35" s="263"/>
      <c r="I35" s="263"/>
      <c r="J35" s="264"/>
      <c r="K35" s="264"/>
      <c r="L35" s="264"/>
      <c r="M35" s="264"/>
      <c r="N35" s="264"/>
      <c r="O35" s="265"/>
      <c r="Q35" s="232"/>
      <c r="S35" s="233"/>
    </row>
    <row r="36" spans="1:19" s="231" customFormat="1" ht="30" customHeight="1" x14ac:dyDescent="0.2">
      <c r="A36" s="259"/>
      <c r="B36" s="260"/>
      <c r="C36" s="261"/>
      <c r="D36" s="261"/>
      <c r="E36" s="262"/>
      <c r="F36" s="263"/>
      <c r="G36" s="263"/>
      <c r="H36" s="263"/>
      <c r="I36" s="263"/>
      <c r="J36" s="264"/>
      <c r="K36" s="264"/>
      <c r="L36" s="264"/>
      <c r="M36" s="264"/>
      <c r="N36" s="264"/>
      <c r="O36" s="265"/>
      <c r="Q36" s="232"/>
      <c r="S36" s="233"/>
    </row>
    <row r="37" spans="1:19" s="231" customFormat="1" ht="30" customHeight="1" x14ac:dyDescent="0.2">
      <c r="A37" s="259"/>
      <c r="B37" s="260"/>
      <c r="C37" s="261"/>
      <c r="D37" s="261"/>
      <c r="E37" s="262"/>
      <c r="F37" s="263"/>
      <c r="G37" s="263"/>
      <c r="H37" s="263"/>
      <c r="I37" s="263"/>
      <c r="J37" s="264"/>
      <c r="K37" s="264"/>
      <c r="L37" s="264"/>
      <c r="M37" s="264"/>
      <c r="N37" s="264"/>
      <c r="O37" s="265"/>
      <c r="Q37" s="232"/>
      <c r="S37" s="233"/>
    </row>
    <row r="38" spans="1:19" s="231" customFormat="1" ht="30" customHeight="1" x14ac:dyDescent="0.2">
      <c r="A38" s="259"/>
      <c r="B38" s="260"/>
      <c r="C38" s="261"/>
      <c r="D38" s="261"/>
      <c r="E38" s="262"/>
      <c r="F38" s="263"/>
      <c r="G38" s="263"/>
      <c r="H38" s="263"/>
      <c r="I38" s="263"/>
      <c r="J38" s="264"/>
      <c r="K38" s="264"/>
      <c r="L38" s="264"/>
      <c r="M38" s="264"/>
      <c r="N38" s="264"/>
      <c r="O38" s="265"/>
      <c r="Q38" s="232"/>
      <c r="S38" s="233"/>
    </row>
    <row r="39" spans="1:19" s="231" customFormat="1" ht="30" customHeight="1" x14ac:dyDescent="0.2">
      <c r="A39" s="259"/>
      <c r="B39" s="260"/>
      <c r="C39" s="261"/>
      <c r="D39" s="261"/>
      <c r="E39" s="262"/>
      <c r="F39" s="263"/>
      <c r="G39" s="263"/>
      <c r="H39" s="263"/>
      <c r="I39" s="263"/>
      <c r="J39" s="264"/>
      <c r="K39" s="264"/>
      <c r="L39" s="264"/>
      <c r="M39" s="264"/>
      <c r="N39" s="264"/>
      <c r="O39" s="265"/>
      <c r="Q39" s="232"/>
      <c r="S39" s="233"/>
    </row>
    <row r="40" spans="1:19" s="231" customFormat="1" ht="30" customHeight="1" x14ac:dyDescent="0.2">
      <c r="A40" s="259"/>
      <c r="B40" s="260"/>
      <c r="C40" s="261"/>
      <c r="D40" s="261"/>
      <c r="E40" s="262"/>
      <c r="F40" s="263"/>
      <c r="G40" s="263"/>
      <c r="H40" s="263"/>
      <c r="I40" s="263"/>
      <c r="J40" s="264"/>
      <c r="K40" s="264"/>
      <c r="L40" s="264"/>
      <c r="M40" s="264"/>
      <c r="N40" s="264"/>
      <c r="O40" s="265"/>
      <c r="Q40" s="232"/>
      <c r="S40" s="233"/>
    </row>
    <row r="41" spans="1:19" s="231" customFormat="1" ht="30" customHeight="1" x14ac:dyDescent="0.2">
      <c r="A41" s="259"/>
      <c r="B41" s="260"/>
      <c r="C41" s="261"/>
      <c r="D41" s="261"/>
      <c r="E41" s="262"/>
      <c r="F41" s="263"/>
      <c r="G41" s="263"/>
      <c r="H41" s="263"/>
      <c r="I41" s="263"/>
      <c r="J41" s="264"/>
      <c r="K41" s="264"/>
      <c r="L41" s="264"/>
      <c r="M41" s="264"/>
      <c r="N41" s="264"/>
      <c r="O41" s="265"/>
      <c r="Q41" s="232"/>
      <c r="S41" s="233"/>
    </row>
    <row r="42" spans="1:19" s="231" customFormat="1" ht="30" customHeight="1" x14ac:dyDescent="0.2">
      <c r="A42" s="259"/>
      <c r="B42" s="260"/>
      <c r="C42" s="261"/>
      <c r="D42" s="261"/>
      <c r="E42" s="262"/>
      <c r="F42" s="263"/>
      <c r="G42" s="263"/>
      <c r="H42" s="263"/>
      <c r="I42" s="263"/>
      <c r="J42" s="264"/>
      <c r="K42" s="264"/>
      <c r="L42" s="264"/>
      <c r="M42" s="264"/>
      <c r="N42" s="264"/>
      <c r="O42" s="265"/>
      <c r="Q42" s="232"/>
      <c r="S42" s="233"/>
    </row>
    <row r="43" spans="1:19" s="231" customFormat="1" ht="30" customHeight="1" x14ac:dyDescent="0.2">
      <c r="A43" s="259"/>
      <c r="B43" s="260"/>
      <c r="C43" s="261"/>
      <c r="D43" s="261"/>
      <c r="E43" s="262"/>
      <c r="F43" s="263"/>
      <c r="G43" s="263"/>
      <c r="H43" s="263"/>
      <c r="I43" s="263"/>
      <c r="J43" s="264"/>
      <c r="K43" s="264"/>
      <c r="L43" s="264"/>
      <c r="M43" s="264"/>
      <c r="N43" s="264"/>
      <c r="O43" s="265"/>
      <c r="Q43" s="232"/>
      <c r="S43" s="233"/>
    </row>
    <row r="44" spans="1:19" s="231" customFormat="1" ht="30" customHeight="1" x14ac:dyDescent="0.2">
      <c r="A44" s="259"/>
      <c r="B44" s="260"/>
      <c r="C44" s="261"/>
      <c r="D44" s="261"/>
      <c r="E44" s="262"/>
      <c r="F44" s="263"/>
      <c r="G44" s="263"/>
      <c r="H44" s="263"/>
      <c r="I44" s="263"/>
      <c r="J44" s="264"/>
      <c r="K44" s="264"/>
      <c r="L44" s="264"/>
      <c r="M44" s="264"/>
      <c r="N44" s="264"/>
      <c r="O44" s="265"/>
      <c r="Q44" s="232"/>
      <c r="S44" s="233"/>
    </row>
    <row r="45" spans="1:19" s="231" customFormat="1" ht="30" customHeight="1" x14ac:dyDescent="0.2">
      <c r="A45" s="259"/>
      <c r="B45" s="260"/>
      <c r="C45" s="261"/>
      <c r="D45" s="261"/>
      <c r="E45" s="262"/>
      <c r="F45" s="263"/>
      <c r="G45" s="263"/>
      <c r="H45" s="263"/>
      <c r="I45" s="263"/>
      <c r="J45" s="264"/>
      <c r="K45" s="264"/>
      <c r="L45" s="264"/>
      <c r="M45" s="264"/>
      <c r="N45" s="264"/>
      <c r="O45" s="265"/>
      <c r="Q45" s="232"/>
      <c r="S45" s="233"/>
    </row>
    <row r="46" spans="1:19" s="231" customFormat="1" ht="30" customHeight="1" x14ac:dyDescent="0.2">
      <c r="A46" s="259"/>
      <c r="B46" s="260"/>
      <c r="C46" s="261"/>
      <c r="D46" s="261"/>
      <c r="E46" s="262"/>
      <c r="F46" s="263"/>
      <c r="G46" s="263"/>
      <c r="H46" s="263"/>
      <c r="I46" s="263"/>
      <c r="J46" s="264"/>
      <c r="K46" s="264"/>
      <c r="L46" s="264"/>
      <c r="M46" s="264"/>
      <c r="N46" s="264"/>
      <c r="O46" s="265"/>
      <c r="Q46" s="232"/>
      <c r="S46" s="233"/>
    </row>
    <row r="47" spans="1:19" s="231" customFormat="1" ht="30" customHeight="1" thickBot="1" x14ac:dyDescent="0.25">
      <c r="A47" s="259"/>
      <c r="B47" s="260"/>
      <c r="C47" s="261"/>
      <c r="D47" s="261"/>
      <c r="E47" s="262"/>
      <c r="F47" s="263"/>
      <c r="G47" s="263"/>
      <c r="H47" s="263"/>
      <c r="I47" s="263"/>
      <c r="J47" s="264"/>
      <c r="K47" s="264"/>
      <c r="L47" s="264"/>
      <c r="M47" s="264"/>
      <c r="N47" s="264"/>
      <c r="O47" s="265"/>
      <c r="Q47" s="232"/>
      <c r="S47" s="233"/>
    </row>
    <row r="48" spans="1:19" s="231" customFormat="1" ht="21.65" customHeight="1" x14ac:dyDescent="0.2">
      <c r="A48" s="472" t="s">
        <v>806</v>
      </c>
      <c r="B48" s="473"/>
      <c r="C48" s="473"/>
      <c r="D48" s="473"/>
      <c r="E48" s="473"/>
      <c r="F48" s="473"/>
      <c r="G48" s="473"/>
      <c r="H48" s="473"/>
      <c r="I48" s="473"/>
      <c r="J48" s="473"/>
      <c r="K48" s="473"/>
      <c r="L48" s="473"/>
      <c r="M48" s="473"/>
      <c r="N48" s="473"/>
      <c r="O48" s="474"/>
      <c r="Q48" s="232"/>
      <c r="S48" s="233"/>
    </row>
    <row r="49" spans="1:20" s="231" customFormat="1" ht="21.65" hidden="1" customHeight="1" x14ac:dyDescent="0.2">
      <c r="A49" s="465" t="s">
        <v>807</v>
      </c>
      <c r="B49" s="481"/>
      <c r="C49" s="481"/>
      <c r="D49" s="481"/>
      <c r="E49" s="481"/>
      <c r="F49" s="481"/>
      <c r="G49" s="481"/>
      <c r="H49" s="481"/>
      <c r="I49" s="481"/>
      <c r="J49" s="481"/>
      <c r="K49" s="481"/>
      <c r="L49" s="481"/>
      <c r="M49" s="481"/>
      <c r="N49" s="481"/>
      <c r="O49" s="482"/>
      <c r="Q49" s="232">
        <f t="shared" si="0"/>
        <v>0</v>
      </c>
      <c r="T49" s="233"/>
    </row>
    <row r="50" spans="1:20" s="231" customFormat="1" ht="21.65" hidden="1" customHeight="1" x14ac:dyDescent="0.2">
      <c r="A50" s="463" t="s">
        <v>320</v>
      </c>
      <c r="B50" s="464"/>
      <c r="C50" s="266"/>
      <c r="D50" s="267"/>
      <c r="E50" s="267"/>
      <c r="F50" s="268">
        <v>62600</v>
      </c>
      <c r="G50" s="268">
        <v>190736</v>
      </c>
      <c r="H50" s="268">
        <v>475136</v>
      </c>
      <c r="I50" s="268">
        <v>0</v>
      </c>
      <c r="J50" s="268">
        <v>0</v>
      </c>
      <c r="K50" s="268">
        <v>0</v>
      </c>
      <c r="L50" s="268">
        <v>0</v>
      </c>
      <c r="M50" s="268">
        <v>0</v>
      </c>
      <c r="N50" s="268">
        <v>0</v>
      </c>
      <c r="O50" s="269">
        <v>0</v>
      </c>
      <c r="Q50" s="232">
        <f t="shared" si="0"/>
        <v>728472</v>
      </c>
    </row>
    <row r="51" spans="1:20" s="231" customFormat="1" ht="21.65" hidden="1" customHeight="1" x14ac:dyDescent="0.2">
      <c r="A51" s="465" t="s">
        <v>808</v>
      </c>
      <c r="B51" s="466"/>
      <c r="C51" s="466"/>
      <c r="D51" s="466"/>
      <c r="E51" s="466"/>
      <c r="F51" s="466"/>
      <c r="G51" s="466"/>
      <c r="H51" s="466"/>
      <c r="I51" s="466"/>
      <c r="J51" s="466"/>
      <c r="K51" s="466"/>
      <c r="L51" s="466"/>
      <c r="M51" s="466"/>
      <c r="N51" s="466"/>
      <c r="O51" s="467"/>
      <c r="Q51" s="232">
        <f t="shared" si="0"/>
        <v>0</v>
      </c>
      <c r="S51" s="231" t="s">
        <v>809</v>
      </c>
    </row>
    <row r="52" spans="1:20" s="231" customFormat="1" ht="21.65" hidden="1" customHeight="1" thickBot="1" x14ac:dyDescent="0.25">
      <c r="A52" s="468" t="s">
        <v>320</v>
      </c>
      <c r="B52" s="469"/>
      <c r="C52" s="270"/>
      <c r="D52" s="271"/>
      <c r="E52" s="271"/>
      <c r="F52" s="272">
        <v>29000</v>
      </c>
      <c r="G52" s="272">
        <v>29000</v>
      </c>
      <c r="H52" s="272">
        <v>29000</v>
      </c>
      <c r="I52" s="272">
        <v>0</v>
      </c>
      <c r="J52" s="272">
        <v>0</v>
      </c>
      <c r="K52" s="272">
        <v>0</v>
      </c>
      <c r="L52" s="272">
        <v>0</v>
      </c>
      <c r="M52" s="272">
        <v>0</v>
      </c>
      <c r="N52" s="272">
        <v>0</v>
      </c>
      <c r="O52" s="273">
        <v>0</v>
      </c>
      <c r="Q52" s="232">
        <f t="shared" si="0"/>
        <v>87000</v>
      </c>
      <c r="S52" s="274">
        <f>Q50+Q52</f>
        <v>815472</v>
      </c>
    </row>
    <row r="53" spans="1:20" s="231" customFormat="1" ht="21.75" customHeight="1" thickBot="1" x14ac:dyDescent="0.25">
      <c r="A53" s="470" t="s">
        <v>320</v>
      </c>
      <c r="B53" s="471"/>
      <c r="C53" s="275"/>
      <c r="D53" s="276"/>
      <c r="E53" s="276"/>
      <c r="F53" s="277">
        <f>F50+F52</f>
        <v>91600</v>
      </c>
      <c r="G53" s="277">
        <f t="shared" ref="G53:O53" si="3">G50+G52</f>
        <v>219736</v>
      </c>
      <c r="H53" s="277">
        <f t="shared" si="3"/>
        <v>504136</v>
      </c>
      <c r="I53" s="277">
        <f t="shared" si="3"/>
        <v>0</v>
      </c>
      <c r="J53" s="277">
        <f t="shared" si="3"/>
        <v>0</v>
      </c>
      <c r="K53" s="277">
        <f t="shared" si="3"/>
        <v>0</v>
      </c>
      <c r="L53" s="277">
        <f t="shared" si="3"/>
        <v>0</v>
      </c>
      <c r="M53" s="277">
        <f t="shared" si="3"/>
        <v>0</v>
      </c>
      <c r="N53" s="277">
        <f t="shared" si="3"/>
        <v>0</v>
      </c>
      <c r="O53" s="278">
        <f t="shared" si="3"/>
        <v>0</v>
      </c>
      <c r="Q53" s="232"/>
      <c r="S53" s="274"/>
    </row>
    <row r="54" spans="1:20" s="231" customFormat="1" ht="21.75" customHeight="1" x14ac:dyDescent="0.2">
      <c r="A54" s="483" t="s">
        <v>810</v>
      </c>
      <c r="B54" s="473"/>
      <c r="C54" s="473"/>
      <c r="D54" s="473"/>
      <c r="E54" s="473"/>
      <c r="F54" s="473"/>
      <c r="G54" s="473"/>
      <c r="H54" s="473"/>
      <c r="I54" s="473"/>
      <c r="J54" s="473"/>
      <c r="K54" s="473"/>
      <c r="L54" s="473"/>
      <c r="M54" s="473"/>
      <c r="N54" s="473"/>
      <c r="O54" s="474"/>
      <c r="Q54" s="232">
        <f t="shared" si="0"/>
        <v>0</v>
      </c>
    </row>
    <row r="55" spans="1:20" s="231" customFormat="1" ht="21.75" customHeight="1" thickBot="1" x14ac:dyDescent="0.25">
      <c r="A55" s="470" t="s">
        <v>320</v>
      </c>
      <c r="B55" s="471"/>
      <c r="C55" s="275"/>
      <c r="D55" s="276"/>
      <c r="E55" s="276"/>
      <c r="F55" s="277">
        <v>62061</v>
      </c>
      <c r="G55" s="277">
        <v>65000</v>
      </c>
      <c r="H55" s="277">
        <v>53000</v>
      </c>
      <c r="I55" s="277">
        <v>27000</v>
      </c>
      <c r="J55" s="277">
        <v>36000</v>
      </c>
      <c r="K55" s="277">
        <v>51000</v>
      </c>
      <c r="L55" s="277">
        <v>0</v>
      </c>
      <c r="M55" s="277">
        <v>0</v>
      </c>
      <c r="N55" s="277">
        <v>0</v>
      </c>
      <c r="O55" s="278">
        <v>0</v>
      </c>
      <c r="Q55" s="232">
        <f t="shared" si="0"/>
        <v>294061</v>
      </c>
    </row>
    <row r="56" spans="1:20" s="231" customFormat="1" ht="21.75" customHeight="1" x14ac:dyDescent="0.2">
      <c r="A56" s="472" t="s">
        <v>811</v>
      </c>
      <c r="B56" s="473"/>
      <c r="C56" s="473"/>
      <c r="D56" s="473"/>
      <c r="E56" s="473"/>
      <c r="F56" s="473"/>
      <c r="G56" s="473"/>
      <c r="H56" s="473"/>
      <c r="I56" s="473"/>
      <c r="J56" s="473"/>
      <c r="K56" s="473"/>
      <c r="L56" s="473"/>
      <c r="M56" s="473"/>
      <c r="N56" s="473"/>
      <c r="O56" s="474"/>
      <c r="Q56" s="232"/>
    </row>
    <row r="57" spans="1:20" s="231" customFormat="1" ht="21.75" hidden="1" customHeight="1" x14ac:dyDescent="0.2">
      <c r="A57" s="465" t="s">
        <v>812</v>
      </c>
      <c r="B57" s="466"/>
      <c r="C57" s="466"/>
      <c r="D57" s="466"/>
      <c r="E57" s="466"/>
      <c r="F57" s="466"/>
      <c r="G57" s="466"/>
      <c r="H57" s="466"/>
      <c r="I57" s="466"/>
      <c r="J57" s="466"/>
      <c r="K57" s="466"/>
      <c r="L57" s="466"/>
      <c r="M57" s="466"/>
      <c r="N57" s="466"/>
      <c r="O57" s="467"/>
      <c r="Q57" s="232">
        <f t="shared" si="0"/>
        <v>0</v>
      </c>
    </row>
    <row r="58" spans="1:20" s="231" customFormat="1" ht="21.75" hidden="1" customHeight="1" x14ac:dyDescent="0.2">
      <c r="A58" s="463" t="s">
        <v>320</v>
      </c>
      <c r="B58" s="464"/>
      <c r="C58" s="266"/>
      <c r="D58" s="267"/>
      <c r="E58" s="267"/>
      <c r="F58" s="268">
        <v>1735000</v>
      </c>
      <c r="G58" s="268">
        <v>0</v>
      </c>
      <c r="H58" s="268">
        <v>0</v>
      </c>
      <c r="I58" s="268">
        <v>0</v>
      </c>
      <c r="J58" s="268">
        <v>0</v>
      </c>
      <c r="K58" s="268">
        <v>0</v>
      </c>
      <c r="L58" s="268">
        <v>0</v>
      </c>
      <c r="M58" s="268">
        <v>0</v>
      </c>
      <c r="N58" s="268">
        <v>0</v>
      </c>
      <c r="O58" s="269">
        <v>0</v>
      </c>
      <c r="Q58" s="232">
        <f t="shared" si="0"/>
        <v>1735000</v>
      </c>
      <c r="S58" s="274"/>
    </row>
    <row r="59" spans="1:20" s="231" customFormat="1" ht="21.75" hidden="1" customHeight="1" x14ac:dyDescent="0.2">
      <c r="A59" s="465" t="s">
        <v>813</v>
      </c>
      <c r="B59" s="466"/>
      <c r="C59" s="466"/>
      <c r="D59" s="466"/>
      <c r="E59" s="466"/>
      <c r="F59" s="466"/>
      <c r="G59" s="466"/>
      <c r="H59" s="466"/>
      <c r="I59" s="466"/>
      <c r="J59" s="466"/>
      <c r="K59" s="466"/>
      <c r="L59" s="466"/>
      <c r="M59" s="466"/>
      <c r="N59" s="466"/>
      <c r="O59" s="467"/>
      <c r="Q59" s="232">
        <f t="shared" si="0"/>
        <v>0</v>
      </c>
      <c r="S59" s="231" t="s">
        <v>814</v>
      </c>
    </row>
    <row r="60" spans="1:20" s="231" customFormat="1" ht="21.75" hidden="1" customHeight="1" thickBot="1" x14ac:dyDescent="0.25">
      <c r="A60" s="468" t="s">
        <v>320</v>
      </c>
      <c r="B60" s="469"/>
      <c r="C60" s="270"/>
      <c r="D60" s="271"/>
      <c r="E60" s="271"/>
      <c r="F60" s="272">
        <v>26800</v>
      </c>
      <c r="G60" s="272">
        <v>0</v>
      </c>
      <c r="H60" s="272">
        <v>0</v>
      </c>
      <c r="I60" s="272">
        <v>79485</v>
      </c>
      <c r="J60" s="272">
        <v>108283</v>
      </c>
      <c r="K60" s="272">
        <v>0</v>
      </c>
      <c r="L60" s="272">
        <v>297600</v>
      </c>
      <c r="M60" s="272">
        <v>696450</v>
      </c>
      <c r="N60" s="272">
        <v>398850</v>
      </c>
      <c r="O60" s="273">
        <v>829850</v>
      </c>
      <c r="Q60" s="232">
        <f t="shared" si="0"/>
        <v>2437318</v>
      </c>
      <c r="S60" s="274">
        <f>Q58+Q60</f>
        <v>4172318</v>
      </c>
    </row>
    <row r="61" spans="1:20" s="231" customFormat="1" ht="21.75" customHeight="1" thickBot="1" x14ac:dyDescent="0.25">
      <c r="A61" s="470" t="s">
        <v>320</v>
      </c>
      <c r="B61" s="471"/>
      <c r="C61" s="275"/>
      <c r="D61" s="276"/>
      <c r="E61" s="276"/>
      <c r="F61" s="277">
        <f>F58+F60</f>
        <v>1761800</v>
      </c>
      <c r="G61" s="277">
        <f t="shared" ref="G61:O61" si="4">G58+G60</f>
        <v>0</v>
      </c>
      <c r="H61" s="277">
        <f t="shared" si="4"/>
        <v>0</v>
      </c>
      <c r="I61" s="277">
        <f t="shared" si="4"/>
        <v>79485</v>
      </c>
      <c r="J61" s="277">
        <f t="shared" si="4"/>
        <v>108283</v>
      </c>
      <c r="K61" s="277">
        <f t="shared" si="4"/>
        <v>0</v>
      </c>
      <c r="L61" s="277">
        <f t="shared" si="4"/>
        <v>297600</v>
      </c>
      <c r="M61" s="277">
        <f t="shared" si="4"/>
        <v>696450</v>
      </c>
      <c r="N61" s="277">
        <f t="shared" si="4"/>
        <v>398850</v>
      </c>
      <c r="O61" s="278">
        <f t="shared" si="4"/>
        <v>829850</v>
      </c>
      <c r="Q61" s="232"/>
      <c r="S61" s="274"/>
    </row>
    <row r="62" spans="1:20" s="231" customFormat="1" ht="21.75" customHeight="1" x14ac:dyDescent="0.2">
      <c r="A62" s="472" t="s">
        <v>815</v>
      </c>
      <c r="B62" s="473"/>
      <c r="C62" s="473"/>
      <c r="D62" s="473"/>
      <c r="E62" s="473"/>
      <c r="F62" s="473"/>
      <c r="G62" s="473"/>
      <c r="H62" s="473"/>
      <c r="I62" s="473"/>
      <c r="J62" s="473"/>
      <c r="K62" s="473"/>
      <c r="L62" s="473"/>
      <c r="M62" s="473"/>
      <c r="N62" s="473"/>
      <c r="O62" s="474"/>
      <c r="Q62" s="232"/>
      <c r="S62" s="274"/>
    </row>
    <row r="63" spans="1:20" s="231" customFormat="1" ht="21.75" hidden="1" customHeight="1" thickBot="1" x14ac:dyDescent="0.25">
      <c r="A63" s="465" t="s">
        <v>816</v>
      </c>
      <c r="B63" s="466"/>
      <c r="C63" s="466"/>
      <c r="D63" s="466"/>
      <c r="E63" s="466"/>
      <c r="F63" s="466"/>
      <c r="G63" s="466"/>
      <c r="H63" s="466"/>
      <c r="I63" s="466"/>
      <c r="J63" s="466"/>
      <c r="K63" s="466"/>
      <c r="L63" s="466"/>
      <c r="M63" s="466"/>
      <c r="N63" s="466"/>
      <c r="O63" s="467"/>
      <c r="Q63" s="232">
        <f t="shared" si="0"/>
        <v>0</v>
      </c>
    </row>
    <row r="64" spans="1:20" s="231" customFormat="1" ht="21.75" hidden="1" customHeight="1" x14ac:dyDescent="0.2">
      <c r="A64" s="463" t="s">
        <v>320</v>
      </c>
      <c r="B64" s="464"/>
      <c r="C64" s="266"/>
      <c r="D64" s="267"/>
      <c r="E64" s="267"/>
      <c r="F64" s="268">
        <v>130395</v>
      </c>
      <c r="G64" s="268">
        <v>203000</v>
      </c>
      <c r="H64" s="268">
        <v>0</v>
      </c>
      <c r="I64" s="268">
        <v>130980</v>
      </c>
      <c r="J64" s="268">
        <v>350618</v>
      </c>
      <c r="K64" s="268">
        <v>218480</v>
      </c>
      <c r="L64" s="268">
        <v>73587</v>
      </c>
      <c r="M64" s="268">
        <v>38655</v>
      </c>
      <c r="N64" s="268">
        <v>10144</v>
      </c>
      <c r="O64" s="269">
        <v>245175</v>
      </c>
      <c r="Q64" s="232">
        <f t="shared" si="0"/>
        <v>1401034</v>
      </c>
    </row>
    <row r="65" spans="1:19" s="231" customFormat="1" ht="21.75" hidden="1" customHeight="1" x14ac:dyDescent="0.2">
      <c r="A65" s="465" t="s">
        <v>817</v>
      </c>
      <c r="B65" s="466"/>
      <c r="C65" s="466"/>
      <c r="D65" s="466"/>
      <c r="E65" s="466"/>
      <c r="F65" s="466"/>
      <c r="G65" s="466"/>
      <c r="H65" s="466"/>
      <c r="I65" s="466"/>
      <c r="J65" s="466"/>
      <c r="K65" s="466"/>
      <c r="L65" s="466"/>
      <c r="M65" s="466"/>
      <c r="N65" s="466"/>
      <c r="O65" s="467"/>
      <c r="Q65" s="232">
        <f t="shared" si="0"/>
        <v>0</v>
      </c>
      <c r="S65" s="231" t="s">
        <v>818</v>
      </c>
    </row>
    <row r="66" spans="1:19" s="231" customFormat="1" ht="21.75" hidden="1" customHeight="1" thickBot="1" x14ac:dyDescent="0.25">
      <c r="A66" s="468" t="s">
        <v>320</v>
      </c>
      <c r="B66" s="469"/>
      <c r="C66" s="270"/>
      <c r="D66" s="271"/>
      <c r="E66" s="271"/>
      <c r="F66" s="272">
        <v>157674</v>
      </c>
      <c r="G66" s="272">
        <v>307681</v>
      </c>
      <c r="H66" s="272">
        <v>51300</v>
      </c>
      <c r="I66" s="272">
        <v>164141</v>
      </c>
      <c r="J66" s="272">
        <v>2829</v>
      </c>
      <c r="K66" s="272">
        <v>127016</v>
      </c>
      <c r="L66" s="272">
        <v>174435</v>
      </c>
      <c r="M66" s="272">
        <v>2797</v>
      </c>
      <c r="N66" s="272">
        <v>121590</v>
      </c>
      <c r="O66" s="273">
        <v>4713</v>
      </c>
      <c r="Q66" s="232">
        <f t="shared" si="0"/>
        <v>1114176</v>
      </c>
      <c r="S66" s="274">
        <f>Q64+Q66</f>
        <v>2515210</v>
      </c>
    </row>
    <row r="67" spans="1:19" s="231" customFormat="1" ht="21.75" customHeight="1" thickBot="1" x14ac:dyDescent="0.25">
      <c r="A67" s="470" t="s">
        <v>320</v>
      </c>
      <c r="B67" s="471"/>
      <c r="C67" s="275"/>
      <c r="D67" s="276"/>
      <c r="E67" s="276"/>
      <c r="F67" s="277">
        <f>F64+F66</f>
        <v>288069</v>
      </c>
      <c r="G67" s="277">
        <f t="shared" ref="G67:O67" si="5">G64+G66</f>
        <v>510681</v>
      </c>
      <c r="H67" s="277">
        <f t="shared" si="5"/>
        <v>51300</v>
      </c>
      <c r="I67" s="277">
        <f t="shared" si="5"/>
        <v>295121</v>
      </c>
      <c r="J67" s="277">
        <f t="shared" si="5"/>
        <v>353447</v>
      </c>
      <c r="K67" s="277">
        <f t="shared" si="5"/>
        <v>345496</v>
      </c>
      <c r="L67" s="277">
        <f t="shared" si="5"/>
        <v>248022</v>
      </c>
      <c r="M67" s="277">
        <f t="shared" si="5"/>
        <v>41452</v>
      </c>
      <c r="N67" s="277">
        <f t="shared" si="5"/>
        <v>131734</v>
      </c>
      <c r="O67" s="278">
        <f t="shared" si="5"/>
        <v>249888</v>
      </c>
      <c r="Q67" s="232"/>
      <c r="S67" s="274"/>
    </row>
    <row r="68" spans="1:19" s="208" customFormat="1" ht="21.75" customHeight="1" thickTop="1" thickBot="1" x14ac:dyDescent="0.5">
      <c r="A68" s="475" t="s">
        <v>323</v>
      </c>
      <c r="B68" s="476"/>
      <c r="C68" s="279" t="e">
        <f>#REF!+C13+C50+C52+C55+C5+#REF!+#REF!+#REF!</f>
        <v>#REF!</v>
      </c>
      <c r="D68" s="280" t="e">
        <f>#REF!+D13+D50+D52+D55+D5+#REF!+#REF!+#REF!</f>
        <v>#REF!</v>
      </c>
      <c r="E68" s="280"/>
      <c r="F68" s="281" t="e">
        <f>F5+#REF!+#REF!+#REF!+F13+F50+F52+F55+F58+F60+F64+F66</f>
        <v>#VALUE!</v>
      </c>
      <c r="G68" s="281" t="e">
        <f>G5+#REF!+#REF!+#REF!+G13+G50+G52+G55+G58+G60+G64+G66</f>
        <v>#VALUE!</v>
      </c>
      <c r="H68" s="281" t="e">
        <f>H5+#REF!+#REF!+#REF!+H13+H50+H52+H55+H58+H60+H64+H66</f>
        <v>#REF!</v>
      </c>
      <c r="I68" s="281" t="e">
        <f>I5+#REF!+#REF!+#REF!+I13+I50+I52+I55+I58+I60+I64+I66</f>
        <v>#REF!</v>
      </c>
      <c r="J68" s="281" t="e">
        <f>J5+#REF!+#REF!+#REF!+J13+J50+J52+J55+J58+J60+J64+J66</f>
        <v>#REF!</v>
      </c>
      <c r="K68" s="281" t="e">
        <f>K5+#REF!+#REF!+#REF!+K13+K50+K52+K55+K58+K60+K64+K66</f>
        <v>#VALUE!</v>
      </c>
      <c r="L68" s="281" t="e">
        <f>L5+#REF!+#REF!+#REF!+L13+L50+L52+L55+L58+L60+L64+L66</f>
        <v>#REF!</v>
      </c>
      <c r="M68" s="281" t="e">
        <f>M5+#REF!+#REF!+#REF!+M13+M50+M52+M55+M58+M60+M64+M66</f>
        <v>#REF!</v>
      </c>
      <c r="N68" s="281" t="e">
        <f>N5+#REF!+#REF!+#REF!+N13+N50+N52+N55+N58+N60+N64+N66</f>
        <v>#REF!</v>
      </c>
      <c r="O68" s="282" t="e">
        <f>O5+#REF!+#REF!+#REF!+O13+O50+O52+O55+O58+O60+O64+O66</f>
        <v>#REF!</v>
      </c>
      <c r="Q68" s="232" t="e">
        <f>SUM(F68:O68)</f>
        <v>#VALUE!</v>
      </c>
    </row>
    <row r="69" spans="1:19" s="208" customFormat="1" ht="21.75" customHeight="1" thickTop="1" x14ac:dyDescent="0.2">
      <c r="A69" s="460" t="s">
        <v>324</v>
      </c>
      <c r="B69" s="461"/>
      <c r="C69" s="461"/>
      <c r="D69" s="461"/>
      <c r="E69" s="461"/>
      <c r="F69" s="461"/>
      <c r="G69" s="461"/>
      <c r="H69" s="461"/>
      <c r="I69" s="461"/>
      <c r="J69" s="461"/>
      <c r="K69" s="461"/>
      <c r="L69" s="461"/>
      <c r="M69" s="461"/>
      <c r="N69" s="461"/>
      <c r="O69" s="462"/>
      <c r="Q69" s="232"/>
    </row>
    <row r="70" spans="1:19" s="208" customFormat="1" ht="21.75" customHeight="1" x14ac:dyDescent="0.2">
      <c r="A70" s="457" t="s">
        <v>325</v>
      </c>
      <c r="B70" s="458"/>
      <c r="C70" s="458"/>
      <c r="D70" s="458"/>
      <c r="E70" s="458"/>
      <c r="F70" s="458"/>
      <c r="G70" s="458"/>
      <c r="H70" s="458"/>
      <c r="I70" s="458"/>
      <c r="J70" s="458"/>
      <c r="K70" s="458"/>
      <c r="L70" s="458"/>
      <c r="M70" s="458"/>
      <c r="N70" s="458"/>
      <c r="O70" s="459"/>
      <c r="Q70" s="232"/>
    </row>
    <row r="71" spans="1:19" s="208" customFormat="1" ht="21.75" customHeight="1" x14ac:dyDescent="0.2">
      <c r="A71" s="450" t="s">
        <v>320</v>
      </c>
      <c r="B71" s="451"/>
      <c r="C71" s="283"/>
      <c r="D71" s="277"/>
      <c r="E71" s="277"/>
      <c r="F71" s="277">
        <v>1203618</v>
      </c>
      <c r="G71" s="277">
        <v>465899</v>
      </c>
      <c r="H71" s="277">
        <v>530429</v>
      </c>
      <c r="I71" s="277">
        <v>410377</v>
      </c>
      <c r="J71" s="277">
        <v>503963</v>
      </c>
      <c r="K71" s="277">
        <v>491014</v>
      </c>
      <c r="L71" s="277">
        <v>783996</v>
      </c>
      <c r="M71" s="277">
        <v>974814</v>
      </c>
      <c r="N71" s="277">
        <v>696700</v>
      </c>
      <c r="O71" s="278">
        <v>800561</v>
      </c>
      <c r="Q71" s="232">
        <f t="shared" ref="Q71:Q75" si="6">SUM(F71:O71)</f>
        <v>6861371</v>
      </c>
    </row>
    <row r="72" spans="1:19" s="208" customFormat="1" ht="21.75" customHeight="1" x14ac:dyDescent="0.2">
      <c r="A72" s="457" t="s">
        <v>819</v>
      </c>
      <c r="B72" s="458"/>
      <c r="C72" s="458"/>
      <c r="D72" s="458"/>
      <c r="E72" s="458"/>
      <c r="F72" s="458"/>
      <c r="G72" s="458"/>
      <c r="H72" s="458"/>
      <c r="I72" s="458"/>
      <c r="J72" s="458"/>
      <c r="K72" s="458"/>
      <c r="L72" s="458"/>
      <c r="M72" s="458"/>
      <c r="N72" s="458"/>
      <c r="O72" s="459"/>
      <c r="Q72" s="232"/>
    </row>
    <row r="73" spans="1:19" s="208" customFormat="1" ht="21.75" customHeight="1" x14ac:dyDescent="0.2">
      <c r="A73" s="450" t="s">
        <v>320</v>
      </c>
      <c r="B73" s="451"/>
      <c r="C73" s="283"/>
      <c r="D73" s="277"/>
      <c r="E73" s="277"/>
      <c r="F73" s="277">
        <v>2122616</v>
      </c>
      <c r="G73" s="277">
        <v>1901083</v>
      </c>
      <c r="H73" s="277">
        <v>1436418</v>
      </c>
      <c r="I73" s="277">
        <v>1394392</v>
      </c>
      <c r="J73" s="277">
        <v>1573274</v>
      </c>
      <c r="K73" s="277">
        <v>1651044</v>
      </c>
      <c r="L73" s="277">
        <v>2107196</v>
      </c>
      <c r="M73" s="277">
        <v>2238968</v>
      </c>
      <c r="N73" s="277">
        <v>1631614</v>
      </c>
      <c r="O73" s="278">
        <v>2168174</v>
      </c>
      <c r="Q73" s="232">
        <f t="shared" si="6"/>
        <v>18224779</v>
      </c>
    </row>
    <row r="74" spans="1:19" s="208" customFormat="1" ht="21.75" customHeight="1" x14ac:dyDescent="0.2">
      <c r="A74" s="457" t="s">
        <v>820</v>
      </c>
      <c r="B74" s="458"/>
      <c r="C74" s="458"/>
      <c r="D74" s="458"/>
      <c r="E74" s="458"/>
      <c r="F74" s="458"/>
      <c r="G74" s="458"/>
      <c r="H74" s="458"/>
      <c r="I74" s="458"/>
      <c r="J74" s="458"/>
      <c r="K74" s="458"/>
      <c r="L74" s="458"/>
      <c r="M74" s="458"/>
      <c r="N74" s="458"/>
      <c r="O74" s="459"/>
      <c r="Q74" s="232"/>
    </row>
    <row r="75" spans="1:19" s="208" customFormat="1" ht="21.75" customHeight="1" thickBot="1" x14ac:dyDescent="0.25">
      <c r="A75" s="455" t="s">
        <v>320</v>
      </c>
      <c r="B75" s="456"/>
      <c r="C75" s="284"/>
      <c r="D75" s="285"/>
      <c r="E75" s="285"/>
      <c r="F75" s="285">
        <v>257016</v>
      </c>
      <c r="G75" s="285">
        <v>343351</v>
      </c>
      <c r="H75" s="285">
        <v>281039</v>
      </c>
      <c r="I75" s="285">
        <v>300693</v>
      </c>
      <c r="J75" s="285">
        <v>375113</v>
      </c>
      <c r="K75" s="285">
        <v>356182</v>
      </c>
      <c r="L75" s="285">
        <v>483062</v>
      </c>
      <c r="M75" s="285">
        <v>566427</v>
      </c>
      <c r="N75" s="285">
        <v>503934</v>
      </c>
      <c r="O75" s="286">
        <v>457122</v>
      </c>
      <c r="Q75" s="232">
        <f t="shared" si="6"/>
        <v>3923939</v>
      </c>
    </row>
    <row r="76" spans="1:19" s="208" customFormat="1" ht="16.5" hidden="1" x14ac:dyDescent="0.2">
      <c r="A76" s="447" t="s">
        <v>821</v>
      </c>
      <c r="B76" s="448"/>
      <c r="C76" s="448"/>
      <c r="D76" s="448"/>
      <c r="E76" s="448"/>
      <c r="F76" s="448"/>
      <c r="G76" s="448"/>
      <c r="H76" s="448"/>
      <c r="I76" s="448"/>
      <c r="J76" s="448"/>
      <c r="K76" s="448"/>
      <c r="L76" s="448"/>
      <c r="M76" s="448"/>
      <c r="N76" s="448"/>
      <c r="O76" s="449"/>
    </row>
    <row r="77" spans="1:19" s="208" customFormat="1" ht="16.5" hidden="1" x14ac:dyDescent="0.2">
      <c r="A77" s="450" t="s">
        <v>320</v>
      </c>
      <c r="B77" s="451"/>
      <c r="C77" s="283"/>
      <c r="D77" s="277"/>
      <c r="E77" s="277"/>
      <c r="F77" s="277"/>
      <c r="G77" s="277"/>
      <c r="H77" s="277"/>
      <c r="I77" s="277"/>
      <c r="J77" s="277"/>
      <c r="K77" s="277"/>
      <c r="L77" s="277"/>
      <c r="M77" s="277"/>
      <c r="N77" s="277"/>
      <c r="O77" s="278"/>
    </row>
    <row r="78" spans="1:19" s="208" customFormat="1" ht="20.25" hidden="1" customHeight="1" x14ac:dyDescent="0.2">
      <c r="A78" s="452" t="s">
        <v>822</v>
      </c>
      <c r="B78" s="453"/>
      <c r="C78" s="453"/>
      <c r="D78" s="453"/>
      <c r="E78" s="453"/>
      <c r="F78" s="453"/>
      <c r="G78" s="453"/>
      <c r="H78" s="453"/>
      <c r="I78" s="453"/>
      <c r="J78" s="453"/>
      <c r="K78" s="453"/>
      <c r="L78" s="453"/>
      <c r="M78" s="453"/>
      <c r="N78" s="453"/>
      <c r="O78" s="454"/>
    </row>
    <row r="79" spans="1:19" s="208" customFormat="1" ht="20.25" hidden="1" customHeight="1" thickBot="1" x14ac:dyDescent="0.25">
      <c r="A79" s="455" t="s">
        <v>320</v>
      </c>
      <c r="B79" s="456"/>
      <c r="C79" s="284"/>
      <c r="D79" s="285"/>
      <c r="E79" s="285"/>
      <c r="F79" s="285" t="e">
        <f t="shared" ref="F79:O79" si="7">F68-F71-F73-F75-F77</f>
        <v>#VALUE!</v>
      </c>
      <c r="G79" s="285" t="e">
        <f t="shared" si="7"/>
        <v>#VALUE!</v>
      </c>
      <c r="H79" s="285" t="e">
        <f t="shared" si="7"/>
        <v>#REF!</v>
      </c>
      <c r="I79" s="285" t="e">
        <f t="shared" si="7"/>
        <v>#REF!</v>
      </c>
      <c r="J79" s="285" t="e">
        <f t="shared" si="7"/>
        <v>#REF!</v>
      </c>
      <c r="K79" s="285" t="e">
        <f t="shared" si="7"/>
        <v>#VALUE!</v>
      </c>
      <c r="L79" s="285" t="e">
        <f t="shared" si="7"/>
        <v>#REF!</v>
      </c>
      <c r="M79" s="285" t="e">
        <f t="shared" si="7"/>
        <v>#REF!</v>
      </c>
      <c r="N79" s="285" t="e">
        <f t="shared" si="7"/>
        <v>#REF!</v>
      </c>
      <c r="O79" s="286" t="e">
        <f t="shared" si="7"/>
        <v>#REF!</v>
      </c>
    </row>
    <row r="80" spans="1:19" s="208" customFormat="1" ht="15.75" customHeight="1" x14ac:dyDescent="0.2">
      <c r="C80" s="287"/>
      <c r="D80" s="287"/>
      <c r="E80" s="287"/>
      <c r="F80" s="287"/>
      <c r="G80" s="287"/>
      <c r="H80" s="287"/>
      <c r="I80" s="287"/>
      <c r="J80" s="287"/>
      <c r="K80" s="287"/>
      <c r="L80" s="287"/>
      <c r="M80" s="287"/>
      <c r="N80" s="287"/>
      <c r="O80" s="287"/>
    </row>
    <row r="81" spans="1:20" s="208" customFormat="1" x14ac:dyDescent="0.2">
      <c r="C81" s="287"/>
      <c r="D81" s="287"/>
      <c r="E81" s="287"/>
      <c r="F81" s="287"/>
      <c r="G81" s="287"/>
      <c r="H81" s="287"/>
      <c r="I81" s="287"/>
      <c r="J81" s="287"/>
      <c r="K81" s="287"/>
      <c r="L81" s="287"/>
      <c r="M81" s="287"/>
      <c r="N81" s="287"/>
      <c r="O81" s="287"/>
      <c r="Q81" s="208" t="s">
        <v>823</v>
      </c>
    </row>
    <row r="82" spans="1:20" s="208" customFormat="1" x14ac:dyDescent="0.2">
      <c r="A82" s="208" t="s">
        <v>824</v>
      </c>
      <c r="B82" s="288"/>
      <c r="C82" s="287"/>
      <c r="D82" s="287"/>
      <c r="E82" s="287"/>
      <c r="F82" s="287">
        <f>F71+F73+F75</f>
        <v>3583250</v>
      </c>
      <c r="G82" s="287">
        <f t="shared" ref="G82:O82" si="8">G71+G73+G75</f>
        <v>2710333</v>
      </c>
      <c r="H82" s="287">
        <f t="shared" si="8"/>
        <v>2247886</v>
      </c>
      <c r="I82" s="287">
        <f t="shared" si="8"/>
        <v>2105462</v>
      </c>
      <c r="J82" s="287">
        <f t="shared" si="8"/>
        <v>2452350</v>
      </c>
      <c r="K82" s="287">
        <f t="shared" si="8"/>
        <v>2498240</v>
      </c>
      <c r="L82" s="287">
        <f t="shared" si="8"/>
        <v>3374254</v>
      </c>
      <c r="M82" s="287">
        <f t="shared" si="8"/>
        <v>3780209</v>
      </c>
      <c r="N82" s="287">
        <f t="shared" si="8"/>
        <v>2832248</v>
      </c>
      <c r="O82" s="287">
        <f t="shared" si="8"/>
        <v>3425857</v>
      </c>
      <c r="Q82" s="232">
        <f>Q71+Q73+Q75</f>
        <v>29010089</v>
      </c>
    </row>
    <row r="83" spans="1:20" s="208" customFormat="1" x14ac:dyDescent="0.2">
      <c r="A83" s="208" t="s">
        <v>825</v>
      </c>
      <c r="C83" s="287"/>
      <c r="D83" s="287"/>
      <c r="E83" s="287"/>
      <c r="F83" s="287" t="e">
        <f>F82-F68</f>
        <v>#VALUE!</v>
      </c>
      <c r="G83" s="287" t="e">
        <f t="shared" ref="G83:O83" si="9">G82-G68</f>
        <v>#VALUE!</v>
      </c>
      <c r="H83" s="287" t="e">
        <f t="shared" si="9"/>
        <v>#REF!</v>
      </c>
      <c r="I83" s="287" t="e">
        <f t="shared" si="9"/>
        <v>#REF!</v>
      </c>
      <c r="J83" s="287" t="e">
        <f t="shared" si="9"/>
        <v>#REF!</v>
      </c>
      <c r="K83" s="287" t="e">
        <f t="shared" si="9"/>
        <v>#VALUE!</v>
      </c>
      <c r="L83" s="287" t="e">
        <f t="shared" si="9"/>
        <v>#REF!</v>
      </c>
      <c r="M83" s="287" t="e">
        <f t="shared" si="9"/>
        <v>#REF!</v>
      </c>
      <c r="N83" s="287" t="e">
        <f t="shared" si="9"/>
        <v>#REF!</v>
      </c>
      <c r="O83" s="287" t="e">
        <f t="shared" si="9"/>
        <v>#REF!</v>
      </c>
    </row>
    <row r="85" spans="1:20" x14ac:dyDescent="0.2">
      <c r="A85" s="207" t="s">
        <v>826</v>
      </c>
    </row>
    <row r="86" spans="1:20" x14ac:dyDescent="0.2">
      <c r="A86" s="207" t="s">
        <v>827</v>
      </c>
    </row>
    <row r="93" spans="1:20" s="209" customFormat="1" x14ac:dyDescent="0.2">
      <c r="A93" s="207"/>
      <c r="B93" s="208"/>
      <c r="H93" s="289"/>
      <c r="I93" s="289"/>
      <c r="P93" s="207"/>
      <c r="Q93" s="207"/>
      <c r="R93" s="207"/>
      <c r="S93" s="207"/>
      <c r="T93" s="207"/>
    </row>
    <row r="94" spans="1:20" s="209" customFormat="1" x14ac:dyDescent="0.2">
      <c r="A94" s="207"/>
      <c r="B94" s="208"/>
      <c r="P94" s="207"/>
      <c r="Q94" s="207"/>
      <c r="R94" s="207"/>
      <c r="S94" s="207"/>
      <c r="T94" s="207"/>
    </row>
    <row r="96" spans="1:20" s="209" customFormat="1" x14ac:dyDescent="0.2">
      <c r="A96" s="207"/>
      <c r="B96" s="208"/>
      <c r="P96" s="207"/>
      <c r="Q96" s="207"/>
      <c r="R96" s="207"/>
      <c r="S96" s="207"/>
      <c r="T96" s="207"/>
    </row>
  </sheetData>
  <mergeCells count="52">
    <mergeCell ref="E7:K7"/>
    <mergeCell ref="E2:K2"/>
    <mergeCell ref="E3:K3"/>
    <mergeCell ref="A4:B4"/>
    <mergeCell ref="A5:B5"/>
    <mergeCell ref="E6:K6"/>
    <mergeCell ref="A18:B18"/>
    <mergeCell ref="A8:B8"/>
    <mergeCell ref="A9:B9"/>
    <mergeCell ref="E10:K10"/>
    <mergeCell ref="E11:K11"/>
    <mergeCell ref="A12:B12"/>
    <mergeCell ref="A13:B13"/>
    <mergeCell ref="E14:K14"/>
    <mergeCell ref="A15:B15"/>
    <mergeCell ref="A16:B16"/>
    <mergeCell ref="F16:O16"/>
    <mergeCell ref="E17:O17"/>
    <mergeCell ref="A57:O57"/>
    <mergeCell ref="A19:B19"/>
    <mergeCell ref="F19:H19"/>
    <mergeCell ref="A48:O48"/>
    <mergeCell ref="A49:O49"/>
    <mergeCell ref="A50:B50"/>
    <mergeCell ref="A51:O51"/>
    <mergeCell ref="A52:B52"/>
    <mergeCell ref="A53:B53"/>
    <mergeCell ref="A54:O54"/>
    <mergeCell ref="A55:B55"/>
    <mergeCell ref="A56:O56"/>
    <mergeCell ref="A69:O69"/>
    <mergeCell ref="A58:B58"/>
    <mergeCell ref="A59:O59"/>
    <mergeCell ref="A60:B60"/>
    <mergeCell ref="A61:B61"/>
    <mergeCell ref="A62:O62"/>
    <mergeCell ref="A63:O63"/>
    <mergeCell ref="A64:B64"/>
    <mergeCell ref="A65:O65"/>
    <mergeCell ref="A66:B66"/>
    <mergeCell ref="A67:B67"/>
    <mergeCell ref="A68:B68"/>
    <mergeCell ref="A76:O76"/>
    <mergeCell ref="A77:B77"/>
    <mergeCell ref="A78:O78"/>
    <mergeCell ref="A79:B79"/>
    <mergeCell ref="A70:O70"/>
    <mergeCell ref="A71:B71"/>
    <mergeCell ref="A72:O72"/>
    <mergeCell ref="A73:B73"/>
    <mergeCell ref="A74:O74"/>
    <mergeCell ref="A75:B75"/>
  </mergeCells>
  <phoneticPr fontId="2"/>
  <pageMargins left="0.98425196850393704" right="0.98425196850393704" top="0.59055118110236227" bottom="0.59055118110236227" header="0.31496062992125984" footer="0.35433070866141736"/>
  <pageSetup paperSize="9" scale="58" orientation="portrait" r:id="rId1"/>
  <headerFooter>
    <oddHeader>&amp;R2023/5/1改</oddHead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ワークシート</vt:lpstr>
      </vt:variant>
      <vt:variant>
        <vt:i4>23</vt:i4>
      </vt:variant>
      <vt:variant>
        <vt:lpstr>グラフ</vt:lpstr>
      </vt:variant>
      <vt:variant>
        <vt:i4>7</vt:i4>
      </vt:variant>
      <vt:variant>
        <vt:lpstr>名前付き一覧</vt:lpstr>
      </vt:variant>
      <vt:variant>
        <vt:i4>9</vt:i4>
      </vt:variant>
    </vt:vector>
  </HeadingPairs>
  <TitlesOfParts>
    <vt:vector size="39" baseType="lpstr">
      <vt:lpstr>計画改訂スケジュール水道</vt:lpstr>
      <vt:lpstr>計画改訂スケジュール 下水道</vt:lpstr>
      <vt:lpstr>Sheet2</vt:lpstr>
      <vt:lpstr>Sheet3</vt:lpstr>
      <vt:lpstr>Sheet1</vt:lpstr>
      <vt:lpstr>予測</vt:lpstr>
      <vt:lpstr>下水過去</vt:lpstr>
      <vt:lpstr>簡水過去</vt:lpstr>
      <vt:lpstr>【下水道】建設改良費の年度別事業費 (2)</vt:lpstr>
      <vt:lpstr>下水道現況予測</vt:lpstr>
      <vt:lpstr>【簡易水道】建設改良費の年度別事業費 </vt:lpstr>
      <vt:lpstr>簡水現況予測</vt:lpstr>
      <vt:lpstr>予測 (2)P1-10%</vt:lpstr>
      <vt:lpstr>下水道現況予測 P1-10%</vt:lpstr>
      <vt:lpstr>予測 (2)協議会案</vt:lpstr>
      <vt:lpstr>下水道現況予測 協議会案</vt:lpstr>
      <vt:lpstr>予測 (2)P3-20%</vt:lpstr>
      <vt:lpstr>下水道現況予測 P3-20%</vt:lpstr>
      <vt:lpstr>予測 (2)P4-30%</vt:lpstr>
      <vt:lpstr>下水道現況予測 P4-30%</vt:lpstr>
      <vt:lpstr>シミュレーションまとめ</vt:lpstr>
      <vt:lpstr>シミュレーションパターン</vt:lpstr>
      <vt:lpstr>ロードマップ２</vt:lpstr>
      <vt:lpstr>総人口共通</vt:lpstr>
      <vt:lpstr>水洗化人口</vt:lpstr>
      <vt:lpstr>有収水量　下水</vt:lpstr>
      <vt:lpstr>使用料収入</vt:lpstr>
      <vt:lpstr>総人口＆給水人口</vt:lpstr>
      <vt:lpstr>有収水量簡水</vt:lpstr>
      <vt:lpstr>料金収入</vt:lpstr>
      <vt:lpstr>'【下水道】建設改良費の年度別事業費 (2)'!Print_Area</vt:lpstr>
      <vt:lpstr>'【簡易水道】建設改良費の年度別事業費 '!Print_Area</vt:lpstr>
      <vt:lpstr>ロードマップ２!Print_Area</vt:lpstr>
      <vt:lpstr>下水道現況予測!Print_Area</vt:lpstr>
      <vt:lpstr>'下水道現況予測 P1-10%'!Print_Area</vt:lpstr>
      <vt:lpstr>'下水道現況予測 協議会案'!Print_Area</vt:lpstr>
      <vt:lpstr>'下水道現況予測 P3-20%'!Print_Area</vt:lpstr>
      <vt:lpstr>'下水道現況予測 P4-30%'!Print_Area</vt:lpstr>
      <vt:lpstr>簡水現況予測!Print_Area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 斉藤</dc:creator>
  <cp:lastModifiedBy>智 斉藤</cp:lastModifiedBy>
  <cp:lastPrinted>2025-11-15T05:00:51Z</cp:lastPrinted>
  <dcterms:created xsi:type="dcterms:W3CDTF">2025-10-16T09:34:13Z</dcterms:created>
  <dcterms:modified xsi:type="dcterms:W3CDTF">2026-01-05T03:11:53Z</dcterms:modified>
</cp:coreProperties>
</file>