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filterPrivacy="1" defaultThemeVersion="124226"/>
  <xr:revisionPtr revIDLastSave="0" documentId="13_ncr:1_{FBAE7143-E247-48D8-8AED-183EDAB705EC}" xr6:coauthVersionLast="45" xr6:coauthVersionMax="45" xr10:uidLastSave="{00000000-0000-0000-0000-000000000000}"/>
  <bookViews>
    <workbookView xWindow="-120" yWindow="-120" windowWidth="20730" windowHeight="11160" xr2:uid="{00000000-000D-0000-FFFF-FFFF00000000}"/>
  </bookViews>
  <sheets>
    <sheet name="R7決算書（議案番号無し）決算統計" sheetId="14" r:id="rId1"/>
    <sheet name="R6決算書（議案番号無し）決算統計" sheetId="13" r:id="rId2"/>
    <sheet name="R5決算書（議案番号無し）" sheetId="12" r:id="rId3"/>
    <sheet name="R4決算書（議案番号無し）" sheetId="11" r:id="rId4"/>
    <sheet name="R3決算書（議案番号無し）" sheetId="10" r:id="rId5"/>
    <sheet name="R2決算書（議案番号無し）" sheetId="7" r:id="rId6"/>
    <sheet name="Sheet1" sheetId="9" r:id="rId7"/>
  </sheets>
  <definedNames>
    <definedName name="_xlnm.Print_Area" localSheetId="5">'R2決算書（議案番号無し）'!$B$1:$BA$100</definedName>
    <definedName name="_xlnm.Print_Area" localSheetId="4">'R3決算書（議案番号無し）'!$B$1:$BA$100</definedName>
    <definedName name="_xlnm.Print_Area" localSheetId="3">'R4決算書（議案番号無し）'!$B$1:$BA$100</definedName>
    <definedName name="_xlnm.Print_Area" localSheetId="2">'R5決算書（議案番号無し）'!$B$1:$BA$100</definedName>
    <definedName name="_xlnm.Print_Area" localSheetId="1">'R6決算書（議案番号無し）決算統計'!$B$1:$BA$100</definedName>
    <definedName name="_xlnm.Print_Area" localSheetId="0">'R7決算書（議案番号無し）決算統計'!$B$1:$BA$102</definedName>
  </definedNames>
  <calcPr calcId="191029"/>
</workbook>
</file>

<file path=xl/calcChain.xml><?xml version="1.0" encoding="utf-8"?>
<calcChain xmlns="http://schemas.openxmlformats.org/spreadsheetml/2006/main">
  <c r="AN43" i="14" l="1"/>
  <c r="BC100" i="14" l="1"/>
  <c r="M30" i="14"/>
  <c r="M43" i="14"/>
  <c r="X43" i="14"/>
  <c r="AD43" i="14" s="1"/>
  <c r="M26" i="14"/>
  <c r="Q78" i="14"/>
  <c r="AA78" i="14" s="1"/>
  <c r="AI78" i="14" s="1"/>
  <c r="Y26" i="14"/>
  <c r="AN95" i="14"/>
  <c r="S95" i="14"/>
  <c r="AB95" i="14" s="1"/>
  <c r="AP95" i="14" s="1"/>
  <c r="Q95" i="14"/>
  <c r="AN93" i="14"/>
  <c r="Q93" i="14"/>
  <c r="S93" i="14" s="1"/>
  <c r="AN91" i="14"/>
  <c r="AL91" i="14"/>
  <c r="AJ91" i="14"/>
  <c r="AF91" i="14"/>
  <c r="Z91" i="14"/>
  <c r="W91" i="14"/>
  <c r="Q91" i="14"/>
  <c r="M91" i="14"/>
  <c r="I91" i="14"/>
  <c r="Q80" i="14"/>
  <c r="AA80" i="14" s="1"/>
  <c r="AI80" i="14" s="1"/>
  <c r="Q76" i="14"/>
  <c r="AA76" i="14" s="1"/>
  <c r="AI76" i="14" s="1"/>
  <c r="U74" i="14"/>
  <c r="U72" i="14" s="1"/>
  <c r="Q74" i="14"/>
  <c r="AA74" i="14" s="1"/>
  <c r="AE72" i="14"/>
  <c r="X72" i="14"/>
  <c r="M72" i="14"/>
  <c r="I72" i="14"/>
  <c r="X47" i="14"/>
  <c r="AD47" i="14" s="1"/>
  <c r="AN47" i="14" s="1"/>
  <c r="X45" i="14"/>
  <c r="AD45" i="14" s="1"/>
  <c r="AN45" i="14" s="1"/>
  <c r="AL41" i="14"/>
  <c r="AH41" i="14"/>
  <c r="AB41" i="14"/>
  <c r="V41" i="14"/>
  <c r="S41" i="14"/>
  <c r="Q41" i="14"/>
  <c r="M41" i="14"/>
  <c r="I41" i="14"/>
  <c r="U28" i="14"/>
  <c r="Q26" i="14"/>
  <c r="I26" i="14"/>
  <c r="U30" i="14" l="1"/>
  <c r="AC30" i="14" s="1"/>
  <c r="AD41" i="14"/>
  <c r="X41" i="14"/>
  <c r="AI74" i="14"/>
  <c r="AI72" i="14" s="1"/>
  <c r="AA72" i="14"/>
  <c r="AB93" i="14"/>
  <c r="S91" i="14"/>
  <c r="AC28" i="14"/>
  <c r="Q72" i="14"/>
  <c r="AN41" i="14"/>
  <c r="AF89" i="13"/>
  <c r="U26" i="14" l="1"/>
  <c r="AC26" i="14" s="1"/>
  <c r="AB91" i="14"/>
  <c r="AP93" i="14"/>
  <c r="AP91" i="14" s="1"/>
  <c r="AN45" i="13"/>
  <c r="AF91" i="11" l="1"/>
  <c r="I26" i="13"/>
  <c r="AN93" i="13"/>
  <c r="Q93" i="13"/>
  <c r="S93" i="13" s="1"/>
  <c r="AN91" i="13"/>
  <c r="S91" i="13"/>
  <c r="AB91" i="13" s="1"/>
  <c r="AP91" i="13" s="1"/>
  <c r="Q91" i="13"/>
  <c r="AN89" i="13"/>
  <c r="AL89" i="13"/>
  <c r="AJ89" i="13"/>
  <c r="Z89" i="13"/>
  <c r="W89" i="13"/>
  <c r="Q89" i="13"/>
  <c r="M89" i="13"/>
  <c r="I89" i="13"/>
  <c r="Q78" i="13"/>
  <c r="AA78" i="13" s="1"/>
  <c r="AI78" i="13" s="1"/>
  <c r="Q76" i="13"/>
  <c r="AA76" i="13" s="1"/>
  <c r="AI76" i="13" s="1"/>
  <c r="U74" i="13"/>
  <c r="Q74" i="13"/>
  <c r="AA74" i="13" s="1"/>
  <c r="AE72" i="13"/>
  <c r="X72" i="13"/>
  <c r="U72" i="13"/>
  <c r="M72" i="13"/>
  <c r="I72" i="13"/>
  <c r="X47" i="13"/>
  <c r="AD47" i="13" s="1"/>
  <c r="AN47" i="13" s="1"/>
  <c r="X45" i="13"/>
  <c r="AD45" i="13" s="1"/>
  <c r="X43" i="13"/>
  <c r="AD43" i="13" s="1"/>
  <c r="AL41" i="13"/>
  <c r="AH41" i="13"/>
  <c r="AB41" i="13"/>
  <c r="V41" i="13"/>
  <c r="S41" i="13"/>
  <c r="Q41" i="13"/>
  <c r="M41" i="13"/>
  <c r="I41" i="13"/>
  <c r="U30" i="13"/>
  <c r="AC30" i="13" s="1"/>
  <c r="U28" i="13"/>
  <c r="AC28" i="13" s="1"/>
  <c r="Y26" i="13"/>
  <c r="Q26" i="13"/>
  <c r="M26" i="13"/>
  <c r="X41" i="13" l="1"/>
  <c r="BC98" i="13"/>
  <c r="AD41" i="13"/>
  <c r="AB93" i="13"/>
  <c r="S89" i="13"/>
  <c r="AI74" i="13"/>
  <c r="AI72" i="13" s="1"/>
  <c r="AA72" i="13"/>
  <c r="U26" i="13"/>
  <c r="AC26" i="13" s="1"/>
  <c r="AN43" i="13"/>
  <c r="AN41" i="13" s="1"/>
  <c r="Q72" i="13"/>
  <c r="AB89" i="12"/>
  <c r="AF89" i="12"/>
  <c r="AJ89" i="12"/>
  <c r="AP89" i="12"/>
  <c r="AF91" i="12"/>
  <c r="AP91" i="12"/>
  <c r="AN91" i="12"/>
  <c r="W89" i="12"/>
  <c r="AP93" i="13" l="1"/>
  <c r="AP89" i="13" s="1"/>
  <c r="AB89" i="13"/>
  <c r="BC98" i="12"/>
  <c r="I26" i="12" l="1"/>
  <c r="AN93" i="12"/>
  <c r="Q93" i="12"/>
  <c r="S93" i="12" s="1"/>
  <c r="AB93" i="12" s="1"/>
  <c r="AP93" i="12" s="1"/>
  <c r="Q91" i="12"/>
  <c r="S91" i="12" s="1"/>
  <c r="AL89" i="12"/>
  <c r="Z89" i="12"/>
  <c r="Q89" i="12"/>
  <c r="M89" i="12"/>
  <c r="I89" i="12"/>
  <c r="Q78" i="12"/>
  <c r="AA78" i="12" s="1"/>
  <c r="AI78" i="12" s="1"/>
  <c r="Q76" i="12"/>
  <c r="AA76" i="12" s="1"/>
  <c r="AI76" i="12" s="1"/>
  <c r="U74" i="12"/>
  <c r="U72" i="12" s="1"/>
  <c r="Q74" i="12"/>
  <c r="AA74" i="12" s="1"/>
  <c r="AE72" i="12"/>
  <c r="X72" i="12"/>
  <c r="M72" i="12"/>
  <c r="I72" i="12"/>
  <c r="X47" i="12"/>
  <c r="AD47" i="12" s="1"/>
  <c r="AN47" i="12" s="1"/>
  <c r="X45" i="12"/>
  <c r="AD45" i="12" s="1"/>
  <c r="AN45" i="12" s="1"/>
  <c r="X43" i="12"/>
  <c r="AL41" i="12"/>
  <c r="AH41" i="12"/>
  <c r="AB41" i="12"/>
  <c r="V41" i="12"/>
  <c r="S41" i="12"/>
  <c r="Q41" i="12"/>
  <c r="M41" i="12"/>
  <c r="I41" i="12"/>
  <c r="U30" i="12"/>
  <c r="AC30" i="12" s="1"/>
  <c r="U28" i="12"/>
  <c r="AC28" i="12" s="1"/>
  <c r="Y26" i="12"/>
  <c r="Q26" i="12"/>
  <c r="M26" i="12"/>
  <c r="AN89" i="12" l="1"/>
  <c r="X41" i="12"/>
  <c r="AD43" i="12"/>
  <c r="AD41" i="12" s="1"/>
  <c r="AB91" i="12"/>
  <c r="S89" i="12"/>
  <c r="AI74" i="12"/>
  <c r="AI72" i="12" s="1"/>
  <c r="AA72" i="12"/>
  <c r="U26" i="12"/>
  <c r="AC26" i="12" s="1"/>
  <c r="AN43" i="12"/>
  <c r="AN41" i="12" s="1"/>
  <c r="Q72" i="12"/>
  <c r="W91" i="11"/>
  <c r="BG94" i="11"/>
  <c r="BC94" i="11"/>
  <c r="BG92" i="11" l="1"/>
  <c r="AN91" i="11"/>
  <c r="AN93" i="11" l="1"/>
  <c r="Q93" i="11"/>
  <c r="S93" i="11" s="1"/>
  <c r="AB93" i="11" s="1"/>
  <c r="AN89" i="11"/>
  <c r="Q91" i="11"/>
  <c r="S91" i="11" s="1"/>
  <c r="AL89" i="11"/>
  <c r="AJ89" i="11"/>
  <c r="AF89" i="11"/>
  <c r="BC98" i="11" s="1"/>
  <c r="Z89" i="11"/>
  <c r="W89" i="11"/>
  <c r="Q89" i="11"/>
  <c r="M89" i="11"/>
  <c r="I89" i="11"/>
  <c r="Q78" i="11"/>
  <c r="AA78" i="11" s="1"/>
  <c r="AI78" i="11" s="1"/>
  <c r="Q76" i="11"/>
  <c r="AA76" i="11" s="1"/>
  <c r="AI76" i="11" s="1"/>
  <c r="U74" i="11"/>
  <c r="U72" i="11" s="1"/>
  <c r="Q74" i="11"/>
  <c r="AA74" i="11" s="1"/>
  <c r="AE72" i="11"/>
  <c r="X72" i="11"/>
  <c r="M72" i="11"/>
  <c r="I72" i="11"/>
  <c r="X47" i="11"/>
  <c r="AD47" i="11" s="1"/>
  <c r="AN47" i="11" s="1"/>
  <c r="X45" i="11"/>
  <c r="AD45" i="11" s="1"/>
  <c r="AN45" i="11" s="1"/>
  <c r="X43" i="11"/>
  <c r="AL41" i="11"/>
  <c r="AH41" i="11"/>
  <c r="AB41" i="11"/>
  <c r="V41" i="11"/>
  <c r="S41" i="11"/>
  <c r="Q41" i="11"/>
  <c r="M41" i="11"/>
  <c r="I41" i="11"/>
  <c r="U30" i="11"/>
  <c r="AC30" i="11" s="1"/>
  <c r="U28" i="11"/>
  <c r="Y26" i="11"/>
  <c r="Q26" i="11"/>
  <c r="M26" i="11"/>
  <c r="I26" i="11"/>
  <c r="S89" i="11" l="1"/>
  <c r="AB91" i="11"/>
  <c r="AP91" i="11" s="1"/>
  <c r="X41" i="11"/>
  <c r="AD43" i="11"/>
  <c r="U26" i="11"/>
  <c r="AC26" i="11" s="1"/>
  <c r="AC28" i="11"/>
  <c r="AI74" i="11"/>
  <c r="AI72" i="11" s="1"/>
  <c r="AA72" i="11"/>
  <c r="Q72" i="11"/>
  <c r="AP93" i="11"/>
  <c r="Y26" i="10"/>
  <c r="AB89" i="11" l="1"/>
  <c r="AP89" i="11"/>
  <c r="AD41" i="11"/>
  <c r="AN43" i="11"/>
  <c r="AN41" i="11" s="1"/>
  <c r="M26" i="10"/>
  <c r="AN93" i="10"/>
  <c r="Q93" i="10"/>
  <c r="S93" i="10" s="1"/>
  <c r="AB93" i="10" s="1"/>
  <c r="AP93" i="10" s="1"/>
  <c r="AN91" i="10"/>
  <c r="AN89" i="10" s="1"/>
  <c r="Q91" i="10"/>
  <c r="S91" i="10" s="1"/>
  <c r="AL89" i="10"/>
  <c r="AJ89" i="10"/>
  <c r="AF89" i="10"/>
  <c r="BC96" i="10" s="1"/>
  <c r="Z89" i="10"/>
  <c r="W89" i="10"/>
  <c r="M89" i="10"/>
  <c r="I89" i="10"/>
  <c r="Q78" i="10"/>
  <c r="AA78" i="10" s="1"/>
  <c r="AI78" i="10" s="1"/>
  <c r="Q76" i="10"/>
  <c r="AA76" i="10" s="1"/>
  <c r="AI76" i="10" s="1"/>
  <c r="U74" i="10"/>
  <c r="Q74" i="10"/>
  <c r="AA74" i="10" s="1"/>
  <c r="AI74" i="10" s="1"/>
  <c r="AE72" i="10"/>
  <c r="X72" i="10"/>
  <c r="U72" i="10"/>
  <c r="M72" i="10"/>
  <c r="I72" i="10"/>
  <c r="X47" i="10"/>
  <c r="AD47" i="10" s="1"/>
  <c r="AN47" i="10" s="1"/>
  <c r="X45" i="10"/>
  <c r="AD45" i="10" s="1"/>
  <c r="AN45" i="10" s="1"/>
  <c r="X43" i="10"/>
  <c r="AD43" i="10" s="1"/>
  <c r="AL41" i="10"/>
  <c r="AH41" i="10"/>
  <c r="AB41" i="10"/>
  <c r="V41" i="10"/>
  <c r="S41" i="10"/>
  <c r="Q41" i="10"/>
  <c r="M41" i="10"/>
  <c r="I41" i="10"/>
  <c r="U30" i="10"/>
  <c r="AC30" i="10" s="1"/>
  <c r="U28" i="10"/>
  <c r="AC28" i="10" s="1"/>
  <c r="Q26" i="10"/>
  <c r="I26" i="10"/>
  <c r="Q89" i="10" l="1"/>
  <c r="AI72" i="10"/>
  <c r="U26" i="10"/>
  <c r="AC26" i="10" s="1"/>
  <c r="X41" i="10"/>
  <c r="S89" i="10"/>
  <c r="AB91" i="10"/>
  <c r="AD41" i="10"/>
  <c r="AA72" i="10"/>
  <c r="AN43" i="10"/>
  <c r="AN41" i="10" s="1"/>
  <c r="Q72" i="10"/>
  <c r="M26" i="7"/>
  <c r="AP91" i="10" l="1"/>
  <c r="AP89" i="10" s="1"/>
  <c r="AB89" i="10"/>
  <c r="M89" i="7"/>
  <c r="AN93" i="7" l="1"/>
  <c r="Q93" i="7"/>
  <c r="S93" i="7" s="1"/>
  <c r="AB93" i="7" s="1"/>
  <c r="AP93" i="7" s="1"/>
  <c r="AN91" i="7"/>
  <c r="AN89" i="7" s="1"/>
  <c r="Q91" i="7"/>
  <c r="S91" i="7" s="1"/>
  <c r="AL89" i="7"/>
  <c r="AJ89" i="7"/>
  <c r="AF89" i="7"/>
  <c r="Z89" i="7"/>
  <c r="W89" i="7"/>
  <c r="I89" i="7"/>
  <c r="Q78" i="7"/>
  <c r="AA78" i="7" s="1"/>
  <c r="AI78" i="7" s="1"/>
  <c r="Q76" i="7"/>
  <c r="U74" i="7"/>
  <c r="Q74" i="7"/>
  <c r="AA74" i="7" s="1"/>
  <c r="AE72" i="7"/>
  <c r="X72" i="7"/>
  <c r="U72" i="7"/>
  <c r="M72" i="7"/>
  <c r="I72" i="7"/>
  <c r="X47" i="7"/>
  <c r="AD47" i="7" s="1"/>
  <c r="AN47" i="7" s="1"/>
  <c r="X45" i="7"/>
  <c r="AD45" i="7" s="1"/>
  <c r="AN45" i="7" s="1"/>
  <c r="X43" i="7"/>
  <c r="AD43" i="7" s="1"/>
  <c r="AL41" i="7"/>
  <c r="AH41" i="7"/>
  <c r="AB41" i="7"/>
  <c r="V41" i="7"/>
  <c r="S41" i="7"/>
  <c r="Q41" i="7"/>
  <c r="M41" i="7"/>
  <c r="I41" i="7"/>
  <c r="U30" i="7"/>
  <c r="AC30" i="7" s="1"/>
  <c r="U28" i="7"/>
  <c r="AC28" i="7" s="1"/>
  <c r="Y26" i="7"/>
  <c r="Q26" i="7"/>
  <c r="I26" i="7"/>
  <c r="Q89" i="7" l="1"/>
  <c r="AA76" i="7"/>
  <c r="AI76" i="7" s="1"/>
  <c r="X41" i="7"/>
  <c r="AD41" i="7"/>
  <c r="AI74" i="7"/>
  <c r="AB91" i="7"/>
  <c r="S89" i="7"/>
  <c r="U26" i="7"/>
  <c r="AC26" i="7" s="1"/>
  <c r="AN43" i="7"/>
  <c r="AN41" i="7" s="1"/>
  <c r="Q72" i="7"/>
  <c r="AA72" i="7" l="1"/>
  <c r="AI72" i="7"/>
  <c r="AP91" i="7"/>
  <c r="AP89" i="7" s="1"/>
  <c r="AB89" i="7"/>
</calcChain>
</file>

<file path=xl/sharedStrings.xml><?xml version="1.0" encoding="utf-8"?>
<sst xmlns="http://schemas.openxmlformats.org/spreadsheetml/2006/main" count="527" uniqueCount="107">
  <si>
    <t>（１）収益的収入及び支出</t>
    <rPh sb="3" eb="5">
      <t>シュウエキ</t>
    </rPh>
    <rPh sb="5" eb="6">
      <t>テキ</t>
    </rPh>
    <rPh sb="6" eb="8">
      <t>シュウニュウ</t>
    </rPh>
    <rPh sb="8" eb="9">
      <t>オヨ</t>
    </rPh>
    <rPh sb="10" eb="12">
      <t>シシュツ</t>
    </rPh>
    <phoneticPr fontId="4"/>
  </si>
  <si>
    <t>収　　入</t>
    <rPh sb="0" eb="1">
      <t>オサム</t>
    </rPh>
    <rPh sb="3" eb="4">
      <t>イリ</t>
    </rPh>
    <phoneticPr fontId="4"/>
  </si>
  <si>
    <t>区　　分</t>
    <rPh sb="0" eb="1">
      <t>ク</t>
    </rPh>
    <rPh sb="3" eb="4">
      <t>ブン</t>
    </rPh>
    <phoneticPr fontId="4"/>
  </si>
  <si>
    <t>予　　　算　　　額</t>
    <rPh sb="0" eb="1">
      <t>ヨ</t>
    </rPh>
    <rPh sb="4" eb="5">
      <t>サン</t>
    </rPh>
    <rPh sb="8" eb="9">
      <t>ガク</t>
    </rPh>
    <phoneticPr fontId="4"/>
  </si>
  <si>
    <t>決算額</t>
    <rPh sb="0" eb="3">
      <t>ケッサンガク</t>
    </rPh>
    <phoneticPr fontId="3"/>
  </si>
  <si>
    <t>予算額に比べ　 　 　　決算額の増減</t>
    <rPh sb="0" eb="2">
      <t>ヨサン</t>
    </rPh>
    <rPh sb="2" eb="3">
      <t>ガク</t>
    </rPh>
    <rPh sb="4" eb="5">
      <t>クラ</t>
    </rPh>
    <rPh sb="12" eb="15">
      <t>ケッサンガク</t>
    </rPh>
    <rPh sb="16" eb="18">
      <t>ゾウゲン</t>
    </rPh>
    <phoneticPr fontId="3"/>
  </si>
  <si>
    <t>備　　　考</t>
    <rPh sb="0" eb="1">
      <t>ソナエ</t>
    </rPh>
    <rPh sb="4" eb="5">
      <t>コウ</t>
    </rPh>
    <phoneticPr fontId="3"/>
  </si>
  <si>
    <t>当初予算額</t>
    <rPh sb="0" eb="1">
      <t>トウ</t>
    </rPh>
    <rPh sb="1" eb="2">
      <t>ショ</t>
    </rPh>
    <rPh sb="2" eb="3">
      <t>ヨ</t>
    </rPh>
    <rPh sb="3" eb="4">
      <t>サン</t>
    </rPh>
    <rPh sb="4" eb="5">
      <t>ガク</t>
    </rPh>
    <phoneticPr fontId="4"/>
  </si>
  <si>
    <t>補正予算額</t>
    <rPh sb="0" eb="2">
      <t>ホセイ</t>
    </rPh>
    <rPh sb="2" eb="4">
      <t>ヨサン</t>
    </rPh>
    <rPh sb="4" eb="5">
      <t>ガク</t>
    </rPh>
    <phoneticPr fontId="4"/>
  </si>
  <si>
    <t>合　計</t>
    <rPh sb="0" eb="1">
      <t>ゴウ</t>
    </rPh>
    <rPh sb="2" eb="3">
      <t>ケイ</t>
    </rPh>
    <phoneticPr fontId="3"/>
  </si>
  <si>
    <t>第１款 水道事業収益</t>
    <rPh sb="0" eb="1">
      <t>ダイ</t>
    </rPh>
    <rPh sb="2" eb="3">
      <t>カン</t>
    </rPh>
    <rPh sb="4" eb="6">
      <t>スイドウ</t>
    </rPh>
    <rPh sb="6" eb="8">
      <t>ジギョウ</t>
    </rPh>
    <rPh sb="8" eb="9">
      <t>シュウ</t>
    </rPh>
    <rPh sb="9" eb="10">
      <t>エキ</t>
    </rPh>
    <phoneticPr fontId="4"/>
  </si>
  <si>
    <t>　第１項 営業収益</t>
    <rPh sb="1" eb="2">
      <t>ダイ</t>
    </rPh>
    <rPh sb="3" eb="4">
      <t>コウ</t>
    </rPh>
    <rPh sb="5" eb="7">
      <t>エイギョウ</t>
    </rPh>
    <rPh sb="7" eb="9">
      <t>シュウエキ</t>
    </rPh>
    <phoneticPr fontId="4"/>
  </si>
  <si>
    <t>　第２項 営業外収益</t>
    <rPh sb="1" eb="2">
      <t>ダイ</t>
    </rPh>
    <rPh sb="3" eb="4">
      <t>コウ</t>
    </rPh>
    <rPh sb="5" eb="8">
      <t>エイギョウガイ</t>
    </rPh>
    <rPh sb="8" eb="10">
      <t>シュウエキ</t>
    </rPh>
    <phoneticPr fontId="4"/>
  </si>
  <si>
    <t>支　　出</t>
    <rPh sb="0" eb="1">
      <t>ササ</t>
    </rPh>
    <rPh sb="3" eb="4">
      <t>デ</t>
    </rPh>
    <phoneticPr fontId="4"/>
  </si>
  <si>
    <t>予　　　　　算　　　　　額</t>
    <rPh sb="0" eb="1">
      <t>ヨ</t>
    </rPh>
    <rPh sb="6" eb="7">
      <t>サン</t>
    </rPh>
    <rPh sb="12" eb="13">
      <t>ガク</t>
    </rPh>
    <phoneticPr fontId="4"/>
  </si>
  <si>
    <t>決算額</t>
    <rPh sb="0" eb="2">
      <t>ケッサン</t>
    </rPh>
    <rPh sb="2" eb="3">
      <t>ガク</t>
    </rPh>
    <phoneticPr fontId="4"/>
  </si>
  <si>
    <t>地方公営企業法第２６条第２項の規定による繰越額</t>
    <rPh sb="0" eb="2">
      <t>チホウ</t>
    </rPh>
    <rPh sb="2" eb="4">
      <t>コウエイ</t>
    </rPh>
    <rPh sb="4" eb="6">
      <t>キギョウ</t>
    </rPh>
    <rPh sb="6" eb="7">
      <t>ホウ</t>
    </rPh>
    <rPh sb="7" eb="8">
      <t>ダイ</t>
    </rPh>
    <rPh sb="10" eb="11">
      <t>ジョウ</t>
    </rPh>
    <rPh sb="11" eb="12">
      <t>ダイ</t>
    </rPh>
    <rPh sb="13" eb="14">
      <t>コウ</t>
    </rPh>
    <rPh sb="15" eb="17">
      <t>キテイ</t>
    </rPh>
    <rPh sb="20" eb="22">
      <t>クリコシ</t>
    </rPh>
    <rPh sb="22" eb="23">
      <t>ガク</t>
    </rPh>
    <phoneticPr fontId="4"/>
  </si>
  <si>
    <t>不用額</t>
    <rPh sb="0" eb="2">
      <t>フヨウ</t>
    </rPh>
    <rPh sb="2" eb="3">
      <t>ガク</t>
    </rPh>
    <phoneticPr fontId="4"/>
  </si>
  <si>
    <t>備  　考</t>
    <rPh sb="0" eb="1">
      <t>ビ</t>
    </rPh>
    <rPh sb="4" eb="5">
      <t>コウ</t>
    </rPh>
    <phoneticPr fontId="4"/>
  </si>
  <si>
    <t>当初予算額</t>
    <phoneticPr fontId="3"/>
  </si>
  <si>
    <t>補正予算額</t>
    <phoneticPr fontId="3"/>
  </si>
  <si>
    <t>予備費　 　　支出額</t>
    <phoneticPr fontId="3"/>
  </si>
  <si>
    <t>流用　  　増減額</t>
    <phoneticPr fontId="3"/>
  </si>
  <si>
    <t>地方公営企業法第２４条第３項の規定による支出額</t>
    <rPh sb="0" eb="2">
      <t>チホウ</t>
    </rPh>
    <rPh sb="2" eb="4">
      <t>コウエイ</t>
    </rPh>
    <rPh sb="4" eb="6">
      <t>キギョウ</t>
    </rPh>
    <rPh sb="6" eb="7">
      <t>ホウ</t>
    </rPh>
    <rPh sb="7" eb="8">
      <t>ダイ</t>
    </rPh>
    <rPh sb="10" eb="11">
      <t>ジョウ</t>
    </rPh>
    <rPh sb="11" eb="12">
      <t>ダイ</t>
    </rPh>
    <rPh sb="13" eb="14">
      <t>コウ</t>
    </rPh>
    <rPh sb="15" eb="16">
      <t>キ</t>
    </rPh>
    <rPh sb="16" eb="17">
      <t>サダム</t>
    </rPh>
    <rPh sb="20" eb="23">
      <t>シシュツガク</t>
    </rPh>
    <phoneticPr fontId="4"/>
  </si>
  <si>
    <t>小　計</t>
    <rPh sb="0" eb="1">
      <t>ショウ</t>
    </rPh>
    <rPh sb="2" eb="3">
      <t>ケイ</t>
    </rPh>
    <phoneticPr fontId="4"/>
  </si>
  <si>
    <t>合　計</t>
    <rPh sb="0" eb="1">
      <t>ゴウ</t>
    </rPh>
    <rPh sb="2" eb="3">
      <t>ケイ</t>
    </rPh>
    <phoneticPr fontId="4"/>
  </si>
  <si>
    <t>第１款 水道事業費用</t>
    <rPh sb="0" eb="1">
      <t>ダイ</t>
    </rPh>
    <rPh sb="2" eb="3">
      <t>カン</t>
    </rPh>
    <rPh sb="4" eb="6">
      <t>スイドウ</t>
    </rPh>
    <rPh sb="6" eb="8">
      <t>ジギョウ</t>
    </rPh>
    <rPh sb="8" eb="10">
      <t>ヒヨウ</t>
    </rPh>
    <phoneticPr fontId="4"/>
  </si>
  <si>
    <t>　第１項 営業費用</t>
    <rPh sb="1" eb="2">
      <t>ダイ</t>
    </rPh>
    <rPh sb="3" eb="4">
      <t>コウ</t>
    </rPh>
    <rPh sb="5" eb="7">
      <t>エイギョウ</t>
    </rPh>
    <rPh sb="7" eb="9">
      <t>ヒヨウ</t>
    </rPh>
    <phoneticPr fontId="4"/>
  </si>
  <si>
    <t>　第２項 営業外費用</t>
    <rPh sb="1" eb="2">
      <t>ダイ</t>
    </rPh>
    <rPh sb="3" eb="4">
      <t>コウ</t>
    </rPh>
    <rPh sb="5" eb="8">
      <t>エイギョウガイ</t>
    </rPh>
    <rPh sb="8" eb="10">
      <t>ヒヨウ</t>
    </rPh>
    <phoneticPr fontId="4"/>
  </si>
  <si>
    <t>　第３項 予備費</t>
    <rPh sb="1" eb="2">
      <t>ダイ</t>
    </rPh>
    <rPh sb="3" eb="4">
      <t>コウ</t>
    </rPh>
    <rPh sb="5" eb="8">
      <t>ヨビヒ</t>
    </rPh>
    <phoneticPr fontId="4"/>
  </si>
  <si>
    <t>（２）資本的収入及び支出</t>
    <rPh sb="3" eb="6">
      <t>シホンテキ</t>
    </rPh>
    <rPh sb="6" eb="8">
      <t>シュウニュウ</t>
    </rPh>
    <rPh sb="8" eb="9">
      <t>オヨ</t>
    </rPh>
    <rPh sb="10" eb="12">
      <t>シシュツ</t>
    </rPh>
    <phoneticPr fontId="4"/>
  </si>
  <si>
    <t>小　計</t>
    <rPh sb="0" eb="1">
      <t>コ</t>
    </rPh>
    <rPh sb="2" eb="3">
      <t>ケイ</t>
    </rPh>
    <phoneticPr fontId="3"/>
  </si>
  <si>
    <t>地方公営企業法第２６条の規定による繰越額に係る財源充当額</t>
    <rPh sb="0" eb="2">
      <t>チホウ</t>
    </rPh>
    <rPh sb="2" eb="4">
      <t>コウエイ</t>
    </rPh>
    <rPh sb="4" eb="6">
      <t>キギョウ</t>
    </rPh>
    <rPh sb="6" eb="7">
      <t>ホウ</t>
    </rPh>
    <rPh sb="7" eb="8">
      <t>ダイ</t>
    </rPh>
    <rPh sb="10" eb="11">
      <t>ジョウ</t>
    </rPh>
    <rPh sb="12" eb="14">
      <t>キテイ</t>
    </rPh>
    <rPh sb="17" eb="19">
      <t>クリコシ</t>
    </rPh>
    <rPh sb="19" eb="20">
      <t>ガク</t>
    </rPh>
    <rPh sb="21" eb="22">
      <t>カカ</t>
    </rPh>
    <rPh sb="23" eb="25">
      <t>ザイゲン</t>
    </rPh>
    <rPh sb="25" eb="27">
      <t>ジュウトウ</t>
    </rPh>
    <rPh sb="27" eb="28">
      <t>ガク</t>
    </rPh>
    <phoneticPr fontId="4"/>
  </si>
  <si>
    <t>継続費逓次　　　繰越額に係る　　財源充当額</t>
    <phoneticPr fontId="4"/>
  </si>
  <si>
    <t>第１款 資本的収入</t>
    <rPh sb="0" eb="1">
      <t>ダイ</t>
    </rPh>
    <rPh sb="2" eb="3">
      <t>カン</t>
    </rPh>
    <rPh sb="4" eb="7">
      <t>シホンテキ</t>
    </rPh>
    <rPh sb="7" eb="9">
      <t>シュウニュウ</t>
    </rPh>
    <phoneticPr fontId="4"/>
  </si>
  <si>
    <t>　第１項 工事負担金</t>
    <rPh sb="1" eb="2">
      <t>ダイ</t>
    </rPh>
    <rPh sb="3" eb="4">
      <t>コウ</t>
    </rPh>
    <rPh sb="5" eb="7">
      <t>コウジ</t>
    </rPh>
    <rPh sb="7" eb="10">
      <t>フタンキン</t>
    </rPh>
    <phoneticPr fontId="4"/>
  </si>
  <si>
    <t>予　　　　算　　　　額</t>
    <rPh sb="0" eb="1">
      <t>ヨ</t>
    </rPh>
    <rPh sb="5" eb="6">
      <t>サン</t>
    </rPh>
    <rPh sb="10" eb="11">
      <t>ガク</t>
    </rPh>
    <phoneticPr fontId="4"/>
  </si>
  <si>
    <t>翌年度繰越額</t>
    <rPh sb="0" eb="3">
      <t>ヨクネンド</t>
    </rPh>
    <rPh sb="3" eb="6">
      <t>クリコシガク</t>
    </rPh>
    <phoneticPr fontId="3"/>
  </si>
  <si>
    <t>備　考</t>
    <rPh sb="0" eb="1">
      <t>ビ</t>
    </rPh>
    <rPh sb="2" eb="3">
      <t>コウ</t>
    </rPh>
    <phoneticPr fontId="4"/>
  </si>
  <si>
    <t>流用　　　　　　　増減額</t>
    <phoneticPr fontId="3"/>
  </si>
  <si>
    <t>地方公営企業法第２６条の規定による繰越額</t>
    <rPh sb="0" eb="2">
      <t>チホウ</t>
    </rPh>
    <rPh sb="2" eb="4">
      <t>コウエイ</t>
    </rPh>
    <rPh sb="4" eb="6">
      <t>キギョウ</t>
    </rPh>
    <rPh sb="6" eb="7">
      <t>ホウ</t>
    </rPh>
    <rPh sb="7" eb="8">
      <t>ダイ</t>
    </rPh>
    <rPh sb="10" eb="11">
      <t>ジョウ</t>
    </rPh>
    <rPh sb="12" eb="14">
      <t>キテイ</t>
    </rPh>
    <rPh sb="17" eb="19">
      <t>クリコシ</t>
    </rPh>
    <rPh sb="19" eb="20">
      <t>ガク</t>
    </rPh>
    <phoneticPr fontId="4"/>
  </si>
  <si>
    <t>継続費
逓次
繰越額</t>
    <rPh sb="0" eb="2">
      <t>ケイゾク</t>
    </rPh>
    <rPh sb="2" eb="3">
      <t>ヒ</t>
    </rPh>
    <rPh sb="4" eb="5">
      <t>テイ</t>
    </rPh>
    <rPh sb="5" eb="6">
      <t>ツギ</t>
    </rPh>
    <rPh sb="7" eb="9">
      <t>クリコシ</t>
    </rPh>
    <rPh sb="9" eb="10">
      <t>ガク</t>
    </rPh>
    <phoneticPr fontId="4"/>
  </si>
  <si>
    <t>地方公営企業法第２６条の規定による繰越額</t>
    <phoneticPr fontId="3"/>
  </si>
  <si>
    <t>合計</t>
    <rPh sb="0" eb="2">
      <t>ゴウケイ</t>
    </rPh>
    <phoneticPr fontId="3"/>
  </si>
  <si>
    <t>第１款 資本的支出</t>
    <rPh sb="0" eb="1">
      <t>ダイ</t>
    </rPh>
    <rPh sb="2" eb="3">
      <t>カン</t>
    </rPh>
    <rPh sb="4" eb="7">
      <t>シホンテキ</t>
    </rPh>
    <rPh sb="7" eb="9">
      <t>シシュツ</t>
    </rPh>
    <phoneticPr fontId="4"/>
  </si>
  <si>
    <t>　第１項 建設改良費</t>
    <rPh sb="1" eb="2">
      <t>ダイ</t>
    </rPh>
    <rPh sb="3" eb="4">
      <t>コウ</t>
    </rPh>
    <rPh sb="5" eb="7">
      <t>ケンセツ</t>
    </rPh>
    <rPh sb="7" eb="9">
      <t>カイリョウ</t>
    </rPh>
    <rPh sb="9" eb="10">
      <t>ヒ</t>
    </rPh>
    <phoneticPr fontId="4"/>
  </si>
  <si>
    <t>　第２項 企業債償還金</t>
    <rPh sb="1" eb="2">
      <t>ダイ</t>
    </rPh>
    <rPh sb="3" eb="4">
      <t>コウ</t>
    </rPh>
    <rPh sb="5" eb="7">
      <t>キギョウ</t>
    </rPh>
    <rPh sb="7" eb="8">
      <t>サイ</t>
    </rPh>
    <rPh sb="8" eb="11">
      <t>ショウカンキン</t>
    </rPh>
    <phoneticPr fontId="4"/>
  </si>
  <si>
    <t>税込(単位　円）</t>
    <rPh sb="0" eb="2">
      <t>ゼイコ</t>
    </rPh>
    <rPh sb="3" eb="5">
      <t>タンイ</t>
    </rPh>
    <rPh sb="6" eb="7">
      <t>エン</t>
    </rPh>
    <phoneticPr fontId="3"/>
  </si>
  <si>
    <t>予算額に比べ   　　決算額の増減</t>
    <rPh sb="0" eb="2">
      <t>ヨサン</t>
    </rPh>
    <rPh sb="2" eb="3">
      <t>ガク</t>
    </rPh>
    <rPh sb="4" eb="5">
      <t>クラ</t>
    </rPh>
    <rPh sb="11" eb="14">
      <t>ケッサンガク</t>
    </rPh>
    <rPh sb="15" eb="17">
      <t>ゾウゲン</t>
    </rPh>
    <phoneticPr fontId="3"/>
  </si>
  <si>
    <t>地方公営企業法第  　２４条第３項の規　　　定による支出額に  　係る財源充当額</t>
    <rPh sb="0" eb="2">
      <t>チホウ</t>
    </rPh>
    <rPh sb="2" eb="4">
      <t>コウエイ</t>
    </rPh>
    <rPh sb="4" eb="6">
      <t>キギョウ</t>
    </rPh>
    <rPh sb="6" eb="7">
      <t>ホウ</t>
    </rPh>
    <rPh sb="7" eb="8">
      <t>ダイ</t>
    </rPh>
    <rPh sb="13" eb="14">
      <t>ジョウ</t>
    </rPh>
    <rPh sb="14" eb="15">
      <t>ダイ</t>
    </rPh>
    <rPh sb="16" eb="17">
      <t>コウ</t>
    </rPh>
    <rPh sb="18" eb="19">
      <t>キ</t>
    </rPh>
    <rPh sb="22" eb="23">
      <t>サダム</t>
    </rPh>
    <rPh sb="26" eb="28">
      <t>シシュツ</t>
    </rPh>
    <rPh sb="28" eb="29">
      <t>ガク</t>
    </rPh>
    <rPh sb="33" eb="34">
      <t>カカ</t>
    </rPh>
    <rPh sb="35" eb="37">
      <t>ザイゲン</t>
    </rPh>
    <rPh sb="37" eb="39">
      <t>ジュウトウ</t>
    </rPh>
    <rPh sb="39" eb="40">
      <t>ガク</t>
    </rPh>
    <phoneticPr fontId="4"/>
  </si>
  <si>
    <t>継続費  逓次     繰越額</t>
    <phoneticPr fontId="3"/>
  </si>
  <si>
    <t>　第２項 企業債</t>
    <rPh sb="1" eb="2">
      <t>ダイ</t>
    </rPh>
    <rPh sb="3" eb="4">
      <t>コウ</t>
    </rPh>
    <rPh sb="5" eb="7">
      <t>キギョウ</t>
    </rPh>
    <rPh sb="7" eb="8">
      <t>サイ</t>
    </rPh>
    <phoneticPr fontId="4"/>
  </si>
  <si>
    <t>　第３項 他会計補助金</t>
    <rPh sb="1" eb="2">
      <t>ダイ</t>
    </rPh>
    <rPh sb="3" eb="4">
      <t>コウ</t>
    </rPh>
    <rPh sb="5" eb="6">
      <t>ホカ</t>
    </rPh>
    <rPh sb="6" eb="8">
      <t>カイケイ</t>
    </rPh>
    <rPh sb="8" eb="11">
      <t>ホジョキン</t>
    </rPh>
    <phoneticPr fontId="4"/>
  </si>
  <si>
    <t>令和２年度小野町水道事業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</si>
  <si>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3,013,600円</t>
    <phoneticPr fontId="1"/>
  </si>
  <si>
    <t>4,762,300円</t>
    <rPh sb="9" eb="10">
      <t>エン</t>
    </rPh>
    <phoneticPr fontId="1"/>
  </si>
  <si>
    <t>6,261,100円</t>
    <rPh sb="9" eb="10">
      <t>エン</t>
    </rPh>
    <phoneticPr fontId="1"/>
  </si>
  <si>
    <t>資本的収入額が資本的支出額に不足する額 53,666,194円は、当年度分消費税及び地方消費税資本的収支調整額 3,755,506円、過年度分損益勘定留保資金 49,910,688円で補填した。　</t>
    <rPh sb="90" eb="91">
      <t>エン</t>
    </rPh>
    <rPh sb="92" eb="94">
      <t>ホテン</t>
    </rPh>
    <phoneticPr fontId="3"/>
  </si>
  <si>
    <t>うち、仮受消費税及び地方消費税　11,227,408円</t>
    <rPh sb="3" eb="5">
      <t>カリウケ</t>
    </rPh>
    <rPh sb="5" eb="8">
      <t>ショウヒゼイ</t>
    </rPh>
    <rPh sb="8" eb="9">
      <t>オヨ</t>
    </rPh>
    <rPh sb="10" eb="15">
      <t>チホウショウヒゼイ</t>
    </rPh>
    <rPh sb="26" eb="27">
      <t>エン</t>
    </rPh>
    <phoneticPr fontId="1"/>
  </si>
  <si>
    <t>うち、仮払消費税及び地方消費税　</t>
    <rPh sb="3" eb="4">
      <t>カリ</t>
    </rPh>
    <rPh sb="4" eb="5">
      <t>ハラ</t>
    </rPh>
    <rPh sb="5" eb="8">
      <t>ショウヒゼイ</t>
    </rPh>
    <rPh sb="8" eb="9">
      <t>オヨ</t>
    </rPh>
    <rPh sb="10" eb="15">
      <t>チホウショウヒゼイ</t>
    </rPh>
    <phoneticPr fontId="1"/>
  </si>
  <si>
    <t>うち、消費税及び地方消費税納付額　</t>
    <rPh sb="3" eb="6">
      <t>ショウヒゼイ</t>
    </rPh>
    <rPh sb="6" eb="7">
      <t>オヨ</t>
    </rPh>
    <rPh sb="8" eb="13">
      <t>チホウショウヒゼイ</t>
    </rPh>
    <rPh sb="13" eb="15">
      <t>ノウフ</t>
    </rPh>
    <rPh sb="15" eb="16">
      <t>ガク</t>
    </rPh>
    <phoneticPr fontId="1"/>
  </si>
  <si>
    <t>うち、仮受消費税及び地方消費税　157,000円</t>
    <rPh sb="3" eb="4">
      <t>カリ</t>
    </rPh>
    <phoneticPr fontId="1"/>
  </si>
  <si>
    <t>うち、仮払消費税及び地方消費税　</t>
    <rPh sb="3" eb="4">
      <t>カリ</t>
    </rPh>
    <rPh sb="4" eb="5">
      <t>ハラ</t>
    </rPh>
    <phoneticPr fontId="1"/>
  </si>
  <si>
    <t>令和３年度小野町水道事業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</si>
  <si>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※26条繰越額は建設改良費等の未払分を計上すること。</t>
    <rPh sb="3" eb="4">
      <t>ジョウ</t>
    </rPh>
    <rPh sb="4" eb="7">
      <t>クリコシガク</t>
    </rPh>
    <rPh sb="8" eb="14">
      <t>ケンセツカイリョウヒトウ</t>
    </rPh>
    <rPh sb="15" eb="17">
      <t>ミバラ</t>
    </rPh>
    <rPh sb="17" eb="18">
      <t>ブン</t>
    </rPh>
    <rPh sb="19" eb="21">
      <t>ケイジョウ</t>
    </rPh>
    <phoneticPr fontId="1"/>
  </si>
  <si>
    <t>うち、仮受消費税及び地方消費税　117,000円</t>
    <rPh sb="3" eb="4">
      <t>カリ</t>
    </rPh>
    <phoneticPr fontId="1"/>
  </si>
  <si>
    <t>不足額</t>
    <rPh sb="0" eb="3">
      <t>フソクガク</t>
    </rPh>
    <phoneticPr fontId="1"/>
  </si>
  <si>
    <t>うち、仮受消費税及び地方消費税　11,458,197円</t>
    <rPh sb="3" eb="5">
      <t>カリウケ</t>
    </rPh>
    <rPh sb="5" eb="8">
      <t>ショウヒゼイ</t>
    </rPh>
    <rPh sb="8" eb="9">
      <t>オヨ</t>
    </rPh>
    <rPh sb="10" eb="15">
      <t>チホウショウヒゼイ</t>
    </rPh>
    <rPh sb="26" eb="27">
      <t>エン</t>
    </rPh>
    <phoneticPr fontId="1"/>
  </si>
  <si>
    <t>3,397,255円</t>
    <phoneticPr fontId="1"/>
  </si>
  <si>
    <t>6,117,464円</t>
    <rPh sb="9" eb="10">
      <t>エン</t>
    </rPh>
    <phoneticPr fontId="1"/>
  </si>
  <si>
    <t>資本的収入額が資本的支出額に不足する額 42,675,983円は、当年度分消費税及び地方消費税資本的収支調整額 2,207,333円、過年度分損益勘定留保資金 29,346,718円、当年度分損益勘定留保資金 11,121,932円で補填した。　</t>
    <rPh sb="90" eb="91">
      <t>エン</t>
    </rPh>
    <rPh sb="115" eb="116">
      <t>エン</t>
    </rPh>
    <rPh sb="117" eb="119">
      <t>ホテン</t>
    </rPh>
    <phoneticPr fontId="3"/>
  </si>
  <si>
    <t>令和４年度小野町水道事業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</si>
  <si>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うち、仮受消費税及び地方消費税　11,116,751円</t>
    <rPh sb="3" eb="5">
      <t>カリウケ</t>
    </rPh>
    <rPh sb="5" eb="8">
      <t>ショウヒゼイ</t>
    </rPh>
    <rPh sb="8" eb="9">
      <t>オヨ</t>
    </rPh>
    <rPh sb="10" eb="15">
      <t>チホウショウヒゼイ</t>
    </rPh>
    <rPh sb="26" eb="27">
      <t>エン</t>
    </rPh>
    <phoneticPr fontId="1"/>
  </si>
  <si>
    <t>うち、仮受消費税及び地方消費税　71,000円</t>
    <rPh sb="3" eb="4">
      <t>カリ</t>
    </rPh>
    <phoneticPr fontId="1"/>
  </si>
  <si>
    <t>4,029,453円</t>
    <phoneticPr fontId="1"/>
  </si>
  <si>
    <t>0円</t>
    <rPh sb="1" eb="2">
      <t>エン</t>
    </rPh>
    <phoneticPr fontId="1"/>
  </si>
  <si>
    <t>決算額（繰越分込）</t>
    <rPh sb="0" eb="3">
      <t>ケッサンガク</t>
    </rPh>
    <rPh sb="4" eb="6">
      <t>クリコシ</t>
    </rPh>
    <rPh sb="6" eb="7">
      <t>ブン</t>
    </rPh>
    <rPh sb="7" eb="8">
      <t>コ</t>
    </rPh>
    <phoneticPr fontId="1"/>
  </si>
  <si>
    <t>消費税</t>
    <rPh sb="0" eb="3">
      <t>ショウヒゼイ</t>
    </rPh>
    <phoneticPr fontId="1"/>
  </si>
  <si>
    <t>10,787,341円</t>
    <rPh sb="10" eb="11">
      <t>エン</t>
    </rPh>
    <phoneticPr fontId="1"/>
  </si>
  <si>
    <t>資本的収入額が資本的支出額に不足する額 92,294,971円は、当年度分消費税及び地方消費税資本的収支調整額 7,808,124円、過年度分損益勘定留保資金 52,455,745円、当年度分損益勘定留保資金 32,031,102円で補填した。　</t>
    <rPh sb="90" eb="91">
      <t>エン</t>
    </rPh>
    <rPh sb="115" eb="116">
      <t>エン</t>
    </rPh>
    <rPh sb="117" eb="119">
      <t>ホテン</t>
    </rPh>
    <phoneticPr fontId="3"/>
  </si>
  <si>
    <t>令和５年度小野町水道事業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</si>
  <si>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うち、仮受消費税及び地方消費税　11,129,161円</t>
    <rPh sb="3" eb="5">
      <t>カリウケ</t>
    </rPh>
    <rPh sb="5" eb="8">
      <t>ショウヒゼイ</t>
    </rPh>
    <rPh sb="8" eb="9">
      <t>オヨ</t>
    </rPh>
    <rPh sb="10" eb="15">
      <t>チホウショウヒゼイ</t>
    </rPh>
    <rPh sb="26" eb="27">
      <t>エン</t>
    </rPh>
    <phoneticPr fontId="1"/>
  </si>
  <si>
    <t>3,476,134円</t>
    <phoneticPr fontId="1"/>
  </si>
  <si>
    <t>うち、仮受消費税及び地方消費税　60,000円</t>
    <rPh sb="3" eb="4">
      <t>カリ</t>
    </rPh>
    <phoneticPr fontId="1"/>
  </si>
  <si>
    <t>7,381,311円</t>
    <rPh sb="9" eb="10">
      <t>エン</t>
    </rPh>
    <phoneticPr fontId="1"/>
  </si>
  <si>
    <t>資本的収入額が資本的支出額に不足する額 79,521,536円は、当年度分消費税及び地方消費税資本的収支調整額 3,845,177円、過年度分損益勘定留保資金 31,930,317円、当年度分損益勘定留保資金 43,746,042円で補填した。　</t>
    <rPh sb="90" eb="91">
      <t>エン</t>
    </rPh>
    <rPh sb="115" eb="116">
      <t>エン</t>
    </rPh>
    <rPh sb="117" eb="119">
      <t>ホテン</t>
    </rPh>
    <phoneticPr fontId="3"/>
  </si>
  <si>
    <t>2,639,700円</t>
    <rPh sb="9" eb="10">
      <t>エン</t>
    </rPh>
    <phoneticPr fontId="1"/>
  </si>
  <si>
    <t>令和６年度小野町水道事業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</si>
  <si>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赤は未修正</t>
    <rPh sb="0" eb="1">
      <t>アカ</t>
    </rPh>
    <rPh sb="2" eb="5">
      <t>ミシュウセイ</t>
    </rPh>
    <phoneticPr fontId="1"/>
  </si>
  <si>
    <t>青は修正済</t>
    <rPh sb="0" eb="1">
      <t>アオ</t>
    </rPh>
    <rPh sb="2" eb="5">
      <t>シュウセイスミ</t>
    </rPh>
    <phoneticPr fontId="1"/>
  </si>
  <si>
    <t>Ｒ6はなし</t>
    <phoneticPr fontId="1"/>
  </si>
  <si>
    <t>AG91　60,804,100円から変更</t>
    <rPh sb="15" eb="16">
      <t>エン</t>
    </rPh>
    <rPh sb="18" eb="20">
      <t>ヘンコウ</t>
    </rPh>
    <phoneticPr fontId="1"/>
  </si>
  <si>
    <t>7,163,424円</t>
    <rPh sb="9" eb="10">
      <t>エン</t>
    </rPh>
    <phoneticPr fontId="1"/>
  </si>
  <si>
    <t>うち、仮受消費税及び地方消費税　96,000円</t>
    <rPh sb="3" eb="4">
      <t>カリ</t>
    </rPh>
    <phoneticPr fontId="1"/>
  </si>
  <si>
    <t>うち、仮受消費税及び地方消費税　10,789,182円</t>
    <rPh sb="3" eb="5">
      <t>カリウケ</t>
    </rPh>
    <rPh sb="5" eb="8">
      <t>ショウヒゼイ</t>
    </rPh>
    <rPh sb="8" eb="9">
      <t>オヨ</t>
    </rPh>
    <rPh sb="10" eb="15">
      <t>チホウショウヒゼイ</t>
    </rPh>
    <rPh sb="26" eb="27">
      <t>エン</t>
    </rPh>
    <phoneticPr fontId="1"/>
  </si>
  <si>
    <t>3,788,925円</t>
    <phoneticPr fontId="1"/>
  </si>
  <si>
    <t>3,340,000円</t>
    <rPh sb="9" eb="10">
      <t>エン</t>
    </rPh>
    <phoneticPr fontId="1"/>
  </si>
  <si>
    <r>
      <t xml:space="preserve">資本的収入額が資本的支出額に不足する額 </t>
    </r>
    <r>
      <rPr>
        <sz val="11"/>
        <color rgb="FF00B0F0"/>
        <rFont val="ＭＳ 明朝"/>
        <family val="1"/>
        <charset val="128"/>
      </rPr>
      <t>54,156,399</t>
    </r>
    <r>
      <rPr>
        <sz val="11"/>
        <rFont val="ＭＳ 明朝"/>
        <family val="1"/>
        <charset val="128"/>
      </rPr>
      <t xml:space="preserve">円は、当年度分消費税及び地方消費税資本的収支調整額 </t>
    </r>
    <r>
      <rPr>
        <sz val="11"/>
        <color rgb="FF00B0F0"/>
        <rFont val="ＭＳ 明朝"/>
        <family val="1"/>
        <charset val="128"/>
      </rPr>
      <t>3,746,234</t>
    </r>
    <r>
      <rPr>
        <sz val="11"/>
        <rFont val="ＭＳ 明朝"/>
        <family val="1"/>
        <charset val="128"/>
      </rPr>
      <t xml:space="preserve">円、過年度分損益勘定留保資金 </t>
    </r>
    <r>
      <rPr>
        <sz val="11"/>
        <color rgb="FF00B0F0"/>
        <rFont val="ＭＳ 明朝"/>
        <family val="1"/>
        <charset val="128"/>
      </rPr>
      <t>22,803,286</t>
    </r>
    <r>
      <rPr>
        <sz val="11"/>
        <rFont val="ＭＳ 明朝"/>
        <family val="1"/>
        <charset val="128"/>
      </rPr>
      <t xml:space="preserve">円、当年度分損益勘定留保資金 </t>
    </r>
    <r>
      <rPr>
        <sz val="11"/>
        <color rgb="FFFF0000"/>
        <rFont val="ＭＳ 明朝"/>
        <family val="1"/>
        <charset val="128"/>
      </rPr>
      <t>27,606,877</t>
    </r>
    <r>
      <rPr>
        <sz val="11"/>
        <rFont val="ＭＳ 明朝"/>
        <family val="1"/>
        <charset val="128"/>
      </rPr>
      <t>円で補填した。　</t>
    </r>
    <rPh sb="90" eb="91">
      <t>エン</t>
    </rPh>
    <rPh sb="115" eb="116">
      <t>エン</t>
    </rPh>
    <rPh sb="117" eb="119">
      <t>ホテン</t>
    </rPh>
    <phoneticPr fontId="3"/>
  </si>
  <si>
    <t>令和７年度小野町水道事業 決算報告書</t>
    <rPh sb="0" eb="2">
      <t>レイワ</t>
    </rPh>
    <rPh sb="3" eb="5">
      <t>ネンド</t>
    </rPh>
    <rPh sb="4" eb="5">
      <t>ガンネン</t>
    </rPh>
    <rPh sb="5" eb="7">
      <t>オノ</t>
    </rPh>
    <rPh sb="7" eb="8">
      <t>マチ</t>
    </rPh>
    <rPh sb="8" eb="10">
      <t>スイドウ</t>
    </rPh>
    <rPh sb="10" eb="12">
      <t>ジギョウ</t>
    </rPh>
    <rPh sb="13" eb="15">
      <t>ケッサン</t>
    </rPh>
    <rPh sb="15" eb="17">
      <t>ホウコク</t>
    </rPh>
    <rPh sb="17" eb="18">
      <t>ショ</t>
    </rPh>
    <phoneticPr fontId="4"/>
  </si>
  <si>
    <t>1,866,600円</t>
    <rPh sb="9" eb="10">
      <t>エン</t>
    </rPh>
    <phoneticPr fontId="1"/>
  </si>
  <si>
    <t>3,347,709円</t>
    <phoneticPr fontId="1"/>
  </si>
  <si>
    <t>うち、仮受消費税及び地方消費税　56,000円</t>
    <rPh sb="3" eb="4">
      <t>カリ</t>
    </rPh>
    <phoneticPr fontId="1"/>
  </si>
  <si>
    <t>　第３項 他会計長期借入金</t>
    <rPh sb="1" eb="2">
      <t>ダイ</t>
    </rPh>
    <rPh sb="3" eb="4">
      <t>コウ</t>
    </rPh>
    <rPh sb="5" eb="8">
      <t>タカイケイ</t>
    </rPh>
    <rPh sb="8" eb="10">
      <t>チョウキ</t>
    </rPh>
    <rPh sb="10" eb="13">
      <t>カリイレキン</t>
    </rPh>
    <phoneticPr fontId="4"/>
  </si>
  <si>
    <t>　第４項 他会計補助金</t>
    <rPh sb="1" eb="2">
      <t>ダイ</t>
    </rPh>
    <rPh sb="3" eb="4">
      <t>コウ</t>
    </rPh>
    <rPh sb="5" eb="6">
      <t>ホカ</t>
    </rPh>
    <rPh sb="6" eb="8">
      <t>カイケイ</t>
    </rPh>
    <rPh sb="8" eb="11">
      <t>ホジョキン</t>
    </rPh>
    <phoneticPr fontId="4"/>
  </si>
  <si>
    <t>資本的収入額が資本的支出額に不足する額 52,589,185円は、当年度分消費税及び地方消費税資本的収支調整額 5,510,057円、過年度分損益勘定留保資金 22,475,883円、当年度分損益勘定留保資金 24,603,245円で補填した。　</t>
    <rPh sb="90" eb="91">
      <t>エン</t>
    </rPh>
    <rPh sb="115" eb="116">
      <t>エン</t>
    </rPh>
    <rPh sb="117" eb="119">
      <t>ホテン</t>
    </rPh>
    <phoneticPr fontId="3"/>
  </si>
  <si>
    <r>
      <t>うち、仮受消費税及び地方消費税　</t>
    </r>
    <r>
      <rPr>
        <sz val="10"/>
        <color rgb="FFFF0000"/>
        <rFont val="ＭＳ 明朝"/>
        <family val="1"/>
        <charset val="128"/>
      </rPr>
      <t>10,654,701</t>
    </r>
    <r>
      <rPr>
        <sz val="10"/>
        <rFont val="ＭＳ 明朝"/>
        <family val="1"/>
        <charset val="128"/>
      </rPr>
      <t>円</t>
    </r>
    <rPh sb="3" eb="5">
      <t>カリウケ</t>
    </rPh>
    <rPh sb="5" eb="8">
      <t>ショウヒゼイ</t>
    </rPh>
    <rPh sb="8" eb="9">
      <t>オヨ</t>
    </rPh>
    <rPh sb="10" eb="15">
      <t>チホウショウヒゼイ</t>
    </rPh>
    <rPh sb="26" eb="27">
      <t>エン</t>
    </rPh>
    <phoneticPr fontId="1"/>
  </si>
  <si>
    <t>6,844,812円</t>
    <rPh sb="9" eb="10">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</si>
</sst>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quot;△ &quot;#,##0.0"/>
  </numFmts>
  <fonts count="29" x14ac:knownFonts="1">
    <font>
      <sz val="11"/>
      <color theme="1"/>
      <name val="ＭＳ Ｐゴシック"/>
      <family val="2"/>
      <charset val="128"/>
      <scheme val="minor"/>
    </font>
    <font>
      <sz val="6"/>
      <name val="ＭＳ Ｐゴシック"/>
      <family val="2"/>
      <charset val="128"/>
      <scheme val="minor"/>
    </font>
    <font>
      <sz val="11"/>
      <name val="ＭＳ ゴシック"/>
      <family val="3"/>
      <charset val="128"/>
    </font>
    <font>
      <sz val="6"/>
      <name val="ＭＳ ゴシック"/>
      <family val="3"/>
      <charset val="128"/>
    </font>
    <font>
      <sz val="6"/>
      <name val="ＭＳ Ｐゴシック"/>
      <family val="3"/>
      <charset val="128"/>
    </font>
    <font>
      <sz val="11"/>
      <name val="ＭＳ 明朝"/>
      <family val="1"/>
      <charset val="128"/>
    </font>
    <font>
      <sz val="10"/>
      <name val="ＭＳ 明朝"/>
      <family val="1"/>
      <charset val="128"/>
    </font>
    <font>
      <sz val="18"/>
      <color theme="1"/>
      <name val="ＭＳ 明朝"/>
      <family val="1"/>
      <charset val="128"/>
    </font>
    <font>
      <sz val="11"/>
      <color theme="1"/>
      <name val="ＭＳ ゴシック"/>
      <family val="3"/>
      <charset val="128"/>
    </font>
    <font>
      <b/>
      <sz val="16"/>
      <color theme="1"/>
      <name val="ＭＳ 明朝"/>
      <family val="1"/>
      <charset val="128"/>
    </font>
    <font>
      <sz val="14"/>
      <color theme="1"/>
      <name val="ＭＳ 明朝"/>
      <family val="1"/>
      <charset val="128"/>
    </font>
    <font>
      <sz val="11"/>
      <color theme="1"/>
      <name val="ＭＳ 明朝"/>
      <family val="1"/>
      <charset val="128"/>
    </font>
    <font>
      <sz val="10"/>
      <color theme="1"/>
      <name val="ＭＳ 明朝"/>
      <family val="1"/>
      <charset val="128"/>
    </font>
    <font>
      <b/>
      <sz val="14"/>
      <color theme="1"/>
      <name val="ＭＳ 明朝"/>
      <family val="1"/>
      <charset val="128"/>
    </font>
    <font>
      <sz val="6"/>
      <color theme="1"/>
      <name val="ＭＳ 明朝"/>
      <family val="1"/>
      <charset val="128"/>
    </font>
    <font>
      <sz val="9"/>
      <color theme="1"/>
      <name val="ＭＳ 明朝"/>
      <family val="1"/>
      <charset val="128"/>
    </font>
    <font>
      <sz val="8"/>
      <color theme="1"/>
      <name val="ＭＳ 明朝"/>
      <family val="1"/>
      <charset val="128"/>
    </font>
    <font>
      <sz val="11"/>
      <color rgb="FFFF0000"/>
      <name val="ＭＳ ゴシック"/>
      <family val="3"/>
      <charset val="128"/>
    </font>
    <font>
      <sz val="11"/>
      <color rgb="FFFF0000"/>
      <name val="ＭＳ 明朝"/>
      <family val="1"/>
      <charset val="128"/>
    </font>
    <font>
      <sz val="10"/>
      <color rgb="FFFF0000"/>
      <name val="ＭＳ 明朝"/>
      <family val="1"/>
      <charset val="128"/>
    </font>
    <font>
      <sz val="9"/>
      <color rgb="FFFF0000"/>
      <name val="ＭＳ 明朝"/>
      <family val="1"/>
      <charset val="128"/>
    </font>
    <font>
      <sz val="18"/>
      <name val="ＭＳ 明朝"/>
      <family val="1"/>
      <charset val="128"/>
    </font>
    <font>
      <b/>
      <sz val="16"/>
      <name val="ＭＳ 明朝"/>
      <family val="1"/>
      <charset val="128"/>
    </font>
    <font>
      <sz val="14"/>
      <name val="ＭＳ 明朝"/>
      <family val="1"/>
      <charset val="128"/>
    </font>
    <font>
      <b/>
      <sz val="14"/>
      <name val="ＭＳ 明朝"/>
      <family val="1"/>
      <charset val="128"/>
    </font>
    <font>
      <sz val="6"/>
      <name val="ＭＳ 明朝"/>
      <family val="1"/>
      <charset val="128"/>
    </font>
    <font>
      <sz val="8"/>
      <name val="ＭＳ 明朝"/>
      <family val="1"/>
      <charset val="128"/>
    </font>
    <font>
      <sz val="10"/>
      <color rgb="FF00B0F0"/>
      <name val="ＭＳ 明朝"/>
      <family val="1"/>
      <charset val="128"/>
    </font>
    <font>
      <sz val="11"/>
      <color rgb="FF00B0F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2" fillId="0" borderId="0"/>
    <xf numFmtId="38" fontId="2" fillId="0" borderId="0" applyFont="0" applyFill="0" applyBorder="0" applyAlignment="0" applyProtection="0"/>
    <xf numFmtId="9" fontId="2" fillId="0" borderId="0" applyFont="0" applyFill="0" applyBorder="0" applyAlignment="0" applyProtection="0"/>
  </cellStyleXfs>
  <cellXfs count="328">
    <xf numFmtId="0" fontId="0" fillId="0" borderId="0" xfId="0">
      <alignment vertical="center"/>
    </xf>
    <xf numFmtId="0" fontId="2" fillId="0" borderId="0" xfId="1" applyFont="1" applyFill="1"/>
    <xf numFmtId="176" fontId="5" fillId="0" borderId="0" xfId="2" applyNumberFormat="1" applyFont="1" applyFill="1" applyAlignment="1">
      <alignment vertical="center"/>
    </xf>
    <xf numFmtId="38" fontId="5" fillId="0" borderId="0" xfId="2" applyFont="1" applyFill="1" applyAlignment="1">
      <alignment vertical="center"/>
    </xf>
    <xf numFmtId="176" fontId="6" fillId="0" borderId="0" xfId="2" applyNumberFormat="1" applyFont="1" applyFill="1" applyAlignment="1">
      <alignment vertical="center"/>
    </xf>
    <xf numFmtId="0" fontId="8" fillId="0" borderId="0" xfId="1" applyFont="1" applyFill="1"/>
    <xf numFmtId="176" fontId="9" fillId="0" borderId="0" xfId="2" applyNumberFormat="1" applyFont="1" applyFill="1" applyAlignment="1">
      <alignment horizontal="center" vertical="center"/>
    </xf>
    <xf numFmtId="176" fontId="11" fillId="0" borderId="0" xfId="2" applyNumberFormat="1" applyFont="1" applyFill="1" applyAlignment="1">
      <alignment vertical="center"/>
    </xf>
    <xf numFmtId="176" fontId="12" fillId="0" borderId="0" xfId="2" applyNumberFormat="1" applyFont="1" applyFill="1" applyAlignment="1">
      <alignment horizontal="right" vertical="center" shrinkToFit="1"/>
    </xf>
    <xf numFmtId="176" fontId="12" fillId="0" borderId="0" xfId="2" applyNumberFormat="1" applyFont="1" applyFill="1" applyAlignment="1">
      <alignment vertical="center"/>
    </xf>
    <xf numFmtId="176" fontId="12" fillId="0" borderId="0" xfId="2" applyNumberFormat="1" applyFont="1" applyFill="1" applyBorder="1" applyAlignment="1">
      <alignment vertical="center"/>
    </xf>
    <xf numFmtId="176" fontId="15" fillId="0" borderId="0" xfId="2" applyNumberFormat="1" applyFont="1" applyFill="1" applyBorder="1" applyAlignment="1">
      <alignment vertical="center"/>
    </xf>
    <xf numFmtId="176" fontId="12" fillId="0" borderId="0" xfId="2" applyNumberFormat="1" applyFont="1" applyFill="1" applyBorder="1" applyAlignment="1">
      <alignment vertical="center" wrapText="1" shrinkToFit="1"/>
    </xf>
    <xf numFmtId="176" fontId="12" fillId="0" borderId="0" xfId="2" applyNumberFormat="1" applyFont="1" applyFill="1" applyAlignment="1">
      <alignment vertical="center" shrinkToFit="1"/>
    </xf>
    <xf numFmtId="176" fontId="12" fillId="0" borderId="0" xfId="2" applyNumberFormat="1" applyFont="1" applyFill="1" applyBorder="1" applyAlignment="1">
      <alignment horizontal="right" vertical="center"/>
    </xf>
    <xf numFmtId="176" fontId="12" fillId="0" borderId="0" xfId="2" applyNumberFormat="1" applyFont="1" applyFill="1" applyBorder="1" applyAlignment="1">
      <alignment vertical="center" wrapText="1"/>
    </xf>
    <xf numFmtId="176" fontId="12" fillId="0" borderId="0" xfId="2" applyNumberFormat="1" applyFont="1" applyFill="1" applyBorder="1" applyAlignment="1">
      <alignment horizontal="center" vertical="center"/>
    </xf>
    <xf numFmtId="0" fontId="11" fillId="0" borderId="0" xfId="1" applyFont="1" applyFill="1" applyBorder="1" applyAlignment="1">
      <alignment vertical="center" wrapText="1"/>
    </xf>
    <xf numFmtId="0" fontId="17" fillId="0" borderId="0" xfId="1" applyFont="1" applyFill="1"/>
    <xf numFmtId="176" fontId="18" fillId="0" borderId="0" xfId="2" applyNumberFormat="1" applyFont="1" applyFill="1" applyAlignment="1">
      <alignment vertical="center"/>
    </xf>
    <xf numFmtId="176" fontId="19" fillId="0" borderId="0" xfId="2" applyNumberFormat="1" applyFont="1" applyFill="1" applyAlignment="1">
      <alignment horizontal="right" vertical="center" shrinkToFit="1"/>
    </xf>
    <xf numFmtId="176" fontId="19" fillId="0" borderId="0" xfId="2" applyNumberFormat="1" applyFont="1" applyFill="1" applyAlignment="1">
      <alignment vertical="center"/>
    </xf>
    <xf numFmtId="176" fontId="19" fillId="0" borderId="0" xfId="2" applyNumberFormat="1" applyFont="1" applyFill="1" applyBorder="1" applyAlignment="1">
      <alignment vertical="center"/>
    </xf>
    <xf numFmtId="176" fontId="20" fillId="0" borderId="0" xfId="2" applyNumberFormat="1" applyFont="1" applyFill="1" applyBorder="1" applyAlignment="1">
      <alignment vertical="center"/>
    </xf>
    <xf numFmtId="176" fontId="19" fillId="0" borderId="0" xfId="2" applyNumberFormat="1" applyFont="1" applyFill="1" applyBorder="1" applyAlignment="1">
      <alignment vertical="center" wrapText="1" shrinkToFit="1"/>
    </xf>
    <xf numFmtId="38" fontId="18" fillId="0" borderId="0" xfId="2" applyFont="1" applyFill="1" applyAlignment="1">
      <alignment vertical="center"/>
    </xf>
    <xf numFmtId="176" fontId="19" fillId="0" borderId="0" xfId="2" applyNumberFormat="1" applyFont="1" applyFill="1" applyAlignment="1">
      <alignment vertical="center" shrinkToFit="1"/>
    </xf>
    <xf numFmtId="176" fontId="19" fillId="0" borderId="0" xfId="2" applyNumberFormat="1" applyFont="1" applyFill="1" applyBorder="1" applyAlignment="1">
      <alignment horizontal="right" vertical="center"/>
    </xf>
    <xf numFmtId="176" fontId="19" fillId="0" borderId="0" xfId="2" applyNumberFormat="1" applyFont="1" applyFill="1" applyBorder="1" applyAlignment="1">
      <alignment vertical="center" wrapText="1"/>
    </xf>
    <xf numFmtId="0" fontId="18" fillId="0" borderId="0" xfId="1" applyFont="1" applyFill="1" applyBorder="1" applyAlignment="1">
      <alignment vertical="center" wrapText="1"/>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6" fillId="0" borderId="0" xfId="2" applyNumberFormat="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18" fillId="0" borderId="0" xfId="2" applyNumberFormat="1" applyFont="1" applyFill="1" applyAlignment="1">
      <alignment vertical="center"/>
    </xf>
    <xf numFmtId="176" fontId="6" fillId="0" borderId="0" xfId="2" applyNumberFormat="1" applyFont="1" applyFill="1" applyBorder="1" applyAlignment="1">
      <alignment horizontal="center" vertical="center"/>
    </xf>
    <xf numFmtId="176" fontId="22" fillId="0" borderId="0" xfId="2" applyNumberFormat="1" applyFont="1" applyFill="1" applyAlignment="1">
      <alignment horizontal="center" vertical="center"/>
    </xf>
    <xf numFmtId="176" fontId="6" fillId="0" borderId="0" xfId="2" applyNumberFormat="1" applyFont="1" applyFill="1" applyAlignment="1">
      <alignment horizontal="right" vertical="center" shrinkToFit="1"/>
    </xf>
    <xf numFmtId="176" fontId="6" fillId="0" borderId="2" xfId="2" applyNumberFormat="1" applyFont="1" applyFill="1" applyBorder="1" applyAlignment="1">
      <alignment vertical="center" shrinkToFit="1"/>
    </xf>
    <xf numFmtId="176" fontId="6" fillId="0" borderId="3" xfId="2" applyNumberFormat="1" applyFont="1" applyFill="1" applyBorder="1" applyAlignment="1">
      <alignment vertical="center" shrinkToFit="1"/>
    </xf>
    <xf numFmtId="176" fontId="6" fillId="0" borderId="7" xfId="2" applyNumberFormat="1" applyFont="1" applyFill="1" applyBorder="1" applyAlignment="1">
      <alignment vertical="center" shrinkToFit="1"/>
    </xf>
    <xf numFmtId="176" fontId="6" fillId="0" borderId="1" xfId="2" applyNumberFormat="1" applyFont="1" applyFill="1" applyBorder="1" applyAlignment="1">
      <alignment vertical="center" shrinkToFit="1"/>
    </xf>
    <xf numFmtId="176" fontId="6" fillId="0" borderId="2" xfId="2" applyNumberFormat="1" applyFont="1" applyFill="1" applyBorder="1" applyAlignment="1">
      <alignment horizontal="center" vertical="center" shrinkToFit="1"/>
    </xf>
    <xf numFmtId="176" fontId="6" fillId="0" borderId="3" xfId="2" applyNumberFormat="1" applyFont="1" applyFill="1" applyBorder="1" applyAlignment="1">
      <alignment horizontal="center" vertical="center" shrinkToFit="1"/>
    </xf>
    <xf numFmtId="176" fontId="6" fillId="0" borderId="4" xfId="2" applyNumberFormat="1" applyFont="1" applyFill="1" applyBorder="1" applyAlignment="1">
      <alignment horizontal="center" vertical="center" shrinkToFit="1"/>
    </xf>
    <xf numFmtId="176" fontId="6" fillId="0" borderId="7" xfId="2" applyNumberFormat="1" applyFont="1" applyFill="1" applyBorder="1" applyAlignment="1">
      <alignment horizontal="center" vertical="center" shrinkToFit="1"/>
    </xf>
    <xf numFmtId="176" fontId="6" fillId="0" borderId="1" xfId="2" applyNumberFormat="1" applyFont="1" applyFill="1" applyBorder="1" applyAlignment="1">
      <alignment horizontal="center" vertical="center" shrinkToFit="1"/>
    </xf>
    <xf numFmtId="176" fontId="6" fillId="0" borderId="8" xfId="2" applyNumberFormat="1" applyFont="1" applyFill="1" applyBorder="1" applyAlignment="1">
      <alignment horizontal="center" vertical="center" shrinkToFit="1"/>
    </xf>
    <xf numFmtId="0" fontId="5" fillId="0" borderId="3" xfId="1" applyFont="1" applyFill="1" applyBorder="1" applyAlignment="1">
      <alignment horizontal="left" vertical="center" wrapText="1"/>
    </xf>
    <xf numFmtId="0" fontId="5" fillId="0" borderId="0" xfId="1" applyFont="1" applyFill="1" applyBorder="1" applyAlignment="1">
      <alignment horizontal="left" vertical="center" wrapText="1"/>
    </xf>
    <xf numFmtId="176" fontId="18" fillId="0" borderId="0" xfId="2" applyNumberFormat="1" applyFont="1" applyFill="1" applyAlignment="1">
      <alignment horizontal="center" vertical="center"/>
    </xf>
    <xf numFmtId="176" fontId="18" fillId="0" borderId="0" xfId="2" applyNumberFormat="1" applyFont="1" applyFill="1" applyAlignment="1">
      <alignment vertical="center"/>
    </xf>
    <xf numFmtId="176" fontId="6" fillId="0" borderId="5" xfId="2" applyNumberFormat="1" applyFont="1" applyFill="1" applyBorder="1" applyAlignment="1">
      <alignment vertical="center" shrinkToFit="1"/>
    </xf>
    <xf numFmtId="176" fontId="6" fillId="0" borderId="10" xfId="2" applyNumberFormat="1" applyFont="1" applyFill="1" applyBorder="1" applyAlignment="1">
      <alignment vertical="center" shrinkToFit="1"/>
    </xf>
    <xf numFmtId="176" fontId="6" fillId="0" borderId="4" xfId="2" applyNumberFormat="1" applyFont="1" applyFill="1" applyBorder="1" applyAlignment="1">
      <alignment vertical="center" shrinkToFit="1"/>
    </xf>
    <xf numFmtId="176" fontId="6" fillId="0" borderId="8" xfId="2" applyNumberFormat="1" applyFont="1" applyFill="1" applyBorder="1" applyAlignment="1">
      <alignment vertical="center" shrinkToFit="1"/>
    </xf>
    <xf numFmtId="176" fontId="6" fillId="0" borderId="5" xfId="2" applyNumberFormat="1" applyFont="1" applyFill="1" applyBorder="1" applyAlignment="1">
      <alignment horizontal="right" vertical="center" shrinkToFit="1"/>
    </xf>
    <xf numFmtId="176" fontId="6" fillId="0" borderId="2" xfId="2" applyNumberFormat="1" applyFont="1" applyFill="1" applyBorder="1" applyAlignment="1">
      <alignment horizontal="left" vertical="center"/>
    </xf>
    <xf numFmtId="176" fontId="6" fillId="0" borderId="3" xfId="2" applyNumberFormat="1" applyFont="1" applyFill="1" applyBorder="1" applyAlignment="1">
      <alignment horizontal="left" vertical="center"/>
    </xf>
    <xf numFmtId="176" fontId="6" fillId="0" borderId="4" xfId="2" applyNumberFormat="1" applyFont="1" applyFill="1" applyBorder="1" applyAlignment="1">
      <alignment horizontal="left" vertical="center"/>
    </xf>
    <xf numFmtId="176" fontId="6" fillId="0" borderId="7" xfId="2" applyNumberFormat="1" applyFont="1" applyFill="1" applyBorder="1" applyAlignment="1">
      <alignment horizontal="left" vertical="center"/>
    </xf>
    <xf numFmtId="176" fontId="6" fillId="0" borderId="1" xfId="2" applyNumberFormat="1" applyFont="1" applyFill="1" applyBorder="1" applyAlignment="1">
      <alignment horizontal="left" vertical="center"/>
    </xf>
    <xf numFmtId="176" fontId="6" fillId="0" borderId="8" xfId="2" applyNumberFormat="1" applyFont="1" applyFill="1" applyBorder="1" applyAlignment="1">
      <alignment horizontal="left" vertical="center"/>
    </xf>
    <xf numFmtId="176" fontId="6" fillId="0" borderId="2" xfId="2" applyNumberFormat="1" applyFont="1" applyFill="1" applyBorder="1" applyAlignment="1">
      <alignment vertical="center"/>
    </xf>
    <xf numFmtId="176" fontId="6" fillId="0" borderId="3" xfId="2" applyNumberFormat="1" applyFont="1" applyFill="1" applyBorder="1" applyAlignment="1">
      <alignment vertical="center"/>
    </xf>
    <xf numFmtId="176" fontId="6" fillId="0" borderId="4" xfId="2" applyNumberFormat="1" applyFont="1" applyFill="1" applyBorder="1" applyAlignment="1">
      <alignment vertical="center"/>
    </xf>
    <xf numFmtId="176" fontId="6" fillId="0" borderId="7"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8" xfId="2" applyNumberFormat="1" applyFont="1" applyFill="1" applyBorder="1" applyAlignment="1">
      <alignment vertical="center"/>
    </xf>
    <xf numFmtId="176" fontId="6" fillId="0" borderId="2" xfId="2" applyNumberFormat="1" applyFont="1" applyFill="1" applyBorder="1" applyAlignment="1">
      <alignment horizontal="right" vertical="center" shrinkToFit="1"/>
    </xf>
    <xf numFmtId="176" fontId="6" fillId="0" borderId="3" xfId="2" applyNumberFormat="1" applyFont="1" applyFill="1" applyBorder="1" applyAlignment="1">
      <alignment horizontal="right" vertical="center" shrinkToFit="1"/>
    </xf>
    <xf numFmtId="176" fontId="6" fillId="0" borderId="4" xfId="2" applyNumberFormat="1" applyFont="1" applyFill="1" applyBorder="1" applyAlignment="1">
      <alignment horizontal="right" vertical="center" shrinkToFit="1"/>
    </xf>
    <xf numFmtId="176" fontId="6" fillId="0" borderId="7" xfId="2" applyNumberFormat="1" applyFont="1" applyFill="1" applyBorder="1" applyAlignment="1">
      <alignment horizontal="right" vertical="center" shrinkToFit="1"/>
    </xf>
    <xf numFmtId="176" fontId="6" fillId="0" borderId="1" xfId="2" applyNumberFormat="1" applyFont="1" applyFill="1" applyBorder="1" applyAlignment="1">
      <alignment horizontal="right" vertical="center" shrinkToFit="1"/>
    </xf>
    <xf numFmtId="176" fontId="6" fillId="0" borderId="8" xfId="2" applyNumberFormat="1" applyFont="1" applyFill="1" applyBorder="1" applyAlignment="1">
      <alignment horizontal="right" vertical="center" shrinkToFit="1"/>
    </xf>
    <xf numFmtId="176" fontId="6" fillId="0" borderId="5" xfId="2" applyNumberFormat="1" applyFont="1" applyFill="1" applyBorder="1" applyAlignment="1">
      <alignment vertical="center"/>
    </xf>
    <xf numFmtId="176" fontId="25" fillId="0" borderId="2" xfId="2" applyNumberFormat="1" applyFont="1" applyFill="1" applyBorder="1" applyAlignment="1">
      <alignment horizontal="center" vertical="center" wrapText="1"/>
    </xf>
    <xf numFmtId="176" fontId="25" fillId="0" borderId="3" xfId="2" applyNumberFormat="1" applyFont="1" applyFill="1" applyBorder="1" applyAlignment="1">
      <alignment horizontal="center" vertical="center" wrapText="1"/>
    </xf>
    <xf numFmtId="176" fontId="25" fillId="0" borderId="4" xfId="2" applyNumberFormat="1" applyFont="1" applyFill="1" applyBorder="1" applyAlignment="1">
      <alignment horizontal="center" vertical="center" wrapText="1"/>
    </xf>
    <xf numFmtId="176" fontId="25" fillId="0" borderId="6" xfId="2" applyNumberFormat="1" applyFont="1" applyFill="1" applyBorder="1" applyAlignment="1">
      <alignment horizontal="center" vertical="center" wrapText="1"/>
    </xf>
    <xf numFmtId="176" fontId="25" fillId="0" borderId="0" xfId="2" applyNumberFormat="1" applyFont="1" applyFill="1" applyBorder="1" applyAlignment="1">
      <alignment horizontal="center" vertical="center" wrapText="1"/>
    </xf>
    <xf numFmtId="176" fontId="25" fillId="0" borderId="9" xfId="2" applyNumberFormat="1" applyFont="1" applyFill="1" applyBorder="1" applyAlignment="1">
      <alignment horizontal="center" vertical="center" wrapText="1"/>
    </xf>
    <xf numFmtId="176" fontId="25" fillId="0" borderId="7" xfId="2" applyNumberFormat="1" applyFont="1" applyFill="1" applyBorder="1" applyAlignment="1">
      <alignment horizontal="center" vertical="center" wrapText="1"/>
    </xf>
    <xf numFmtId="176" fontId="25" fillId="0" borderId="1" xfId="2" applyNumberFormat="1" applyFont="1" applyFill="1" applyBorder="1" applyAlignment="1">
      <alignment horizontal="center" vertical="center" wrapText="1"/>
    </xf>
    <xf numFmtId="176" fontId="25" fillId="0" borderId="8" xfId="2" applyNumberFormat="1" applyFont="1" applyFill="1" applyBorder="1" applyAlignment="1">
      <alignment horizontal="center" vertical="center" wrapText="1"/>
    </xf>
    <xf numFmtId="176" fontId="25" fillId="0" borderId="5" xfId="2" applyNumberFormat="1" applyFont="1" applyFill="1" applyBorder="1" applyAlignment="1">
      <alignment horizontal="center" vertical="center" wrapText="1"/>
    </xf>
    <xf numFmtId="176" fontId="25" fillId="0" borderId="10" xfId="2" applyNumberFormat="1" applyFont="1" applyFill="1" applyBorder="1" applyAlignment="1">
      <alignment horizontal="center" vertical="center" wrapText="1"/>
    </xf>
    <xf numFmtId="176" fontId="6" fillId="0" borderId="5" xfId="2" applyNumberFormat="1" applyFont="1" applyFill="1" applyBorder="1" applyAlignment="1">
      <alignment horizontal="center" vertical="center"/>
    </xf>
    <xf numFmtId="176" fontId="6" fillId="0" borderId="10" xfId="2" applyNumberFormat="1" applyFont="1" applyFill="1" applyBorder="1" applyAlignment="1">
      <alignment horizontal="center" vertical="center"/>
    </xf>
    <xf numFmtId="176" fontId="6" fillId="0" borderId="2" xfId="2" applyNumberFormat="1" applyFont="1" applyFill="1" applyBorder="1" applyAlignment="1">
      <alignment horizontal="left" vertical="center" shrinkToFit="1"/>
    </xf>
    <xf numFmtId="176" fontId="6" fillId="0" borderId="3" xfId="2" applyNumberFormat="1" applyFont="1" applyFill="1" applyBorder="1" applyAlignment="1">
      <alignment horizontal="left" vertical="center" shrinkToFit="1"/>
    </xf>
    <xf numFmtId="176" fontId="6" fillId="0" borderId="4" xfId="2" applyNumberFormat="1" applyFont="1" applyFill="1" applyBorder="1" applyAlignment="1">
      <alignment horizontal="left" vertical="center" shrinkToFit="1"/>
    </xf>
    <xf numFmtId="176" fontId="19" fillId="0" borderId="7" xfId="2" applyNumberFormat="1" applyFont="1" applyFill="1" applyBorder="1" applyAlignment="1">
      <alignment horizontal="left" vertical="center" shrinkToFit="1"/>
    </xf>
    <xf numFmtId="176" fontId="19" fillId="0" borderId="1" xfId="2" applyNumberFormat="1" applyFont="1" applyFill="1" applyBorder="1" applyAlignment="1">
      <alignment horizontal="left" vertical="center" shrinkToFit="1"/>
    </xf>
    <xf numFmtId="176" fontId="19" fillId="0" borderId="8" xfId="2" applyNumberFormat="1" applyFont="1" applyFill="1" applyBorder="1" applyAlignment="1">
      <alignment horizontal="left" vertical="center" shrinkToFit="1"/>
    </xf>
    <xf numFmtId="176" fontId="26" fillId="0" borderId="6" xfId="2" applyNumberFormat="1" applyFont="1" applyFill="1" applyBorder="1" applyAlignment="1">
      <alignment horizontal="center" vertical="center" wrapText="1"/>
    </xf>
    <xf numFmtId="176" fontId="26" fillId="0" borderId="0" xfId="2" applyNumberFormat="1" applyFont="1" applyFill="1" applyBorder="1" applyAlignment="1">
      <alignment horizontal="center" vertical="center" wrapText="1"/>
    </xf>
    <xf numFmtId="176" fontId="26" fillId="0" borderId="7" xfId="2" applyNumberFormat="1" applyFont="1" applyFill="1" applyBorder="1" applyAlignment="1">
      <alignment horizontal="center" vertical="center" wrapText="1"/>
    </xf>
    <xf numFmtId="176" fontId="26" fillId="0" borderId="1" xfId="2" applyNumberFormat="1" applyFont="1" applyFill="1" applyBorder="1" applyAlignment="1">
      <alignment horizontal="center" vertical="center" wrapText="1"/>
    </xf>
    <xf numFmtId="176" fontId="26" fillId="0" borderId="6" xfId="2" applyNumberFormat="1" applyFont="1" applyFill="1" applyBorder="1" applyAlignment="1">
      <alignment horizontal="center" vertical="center"/>
    </xf>
    <xf numFmtId="176" fontId="26" fillId="0" borderId="9" xfId="2" applyNumberFormat="1" applyFont="1" applyFill="1" applyBorder="1" applyAlignment="1">
      <alignment horizontal="center" vertical="center"/>
    </xf>
    <xf numFmtId="176" fontId="26" fillId="0" borderId="7" xfId="2" applyNumberFormat="1" applyFont="1" applyFill="1" applyBorder="1" applyAlignment="1">
      <alignment horizontal="center" vertical="center"/>
    </xf>
    <xf numFmtId="176" fontId="26" fillId="0" borderId="8"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xf>
    <xf numFmtId="176" fontId="6" fillId="0" borderId="3" xfId="2" applyNumberFormat="1" applyFont="1" applyFill="1" applyBorder="1" applyAlignment="1">
      <alignment horizontal="center" vertical="center"/>
    </xf>
    <xf numFmtId="176" fontId="6" fillId="0" borderId="4" xfId="2" applyNumberFormat="1" applyFont="1" applyFill="1" applyBorder="1" applyAlignment="1">
      <alignment horizontal="center" vertical="center"/>
    </xf>
    <xf numFmtId="176" fontId="6" fillId="0" borderId="6" xfId="2" applyNumberFormat="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9" xfId="2" applyNumberFormat="1" applyFont="1" applyFill="1" applyBorder="1" applyAlignment="1">
      <alignment horizontal="center" vertical="center"/>
    </xf>
    <xf numFmtId="176" fontId="6" fillId="0" borderId="7" xfId="2" applyNumberFormat="1" applyFont="1" applyFill="1" applyBorder="1" applyAlignment="1">
      <alignment horizontal="center" vertical="center"/>
    </xf>
    <xf numFmtId="176" fontId="6" fillId="0" borderId="1" xfId="2" applyNumberFormat="1" applyFont="1" applyFill="1" applyBorder="1" applyAlignment="1">
      <alignment horizontal="center" vertical="center"/>
    </xf>
    <xf numFmtId="176" fontId="6" fillId="0" borderId="8"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wrapText="1"/>
    </xf>
    <xf numFmtId="176" fontId="6" fillId="0" borderId="3" xfId="2" applyNumberFormat="1" applyFont="1" applyFill="1" applyBorder="1" applyAlignment="1">
      <alignment horizontal="center" vertical="center" wrapText="1"/>
    </xf>
    <xf numFmtId="176" fontId="6" fillId="0" borderId="4" xfId="2" applyNumberFormat="1" applyFont="1" applyFill="1" applyBorder="1" applyAlignment="1">
      <alignment horizontal="center" vertical="center" wrapText="1"/>
    </xf>
    <xf numFmtId="176" fontId="6" fillId="0" borderId="7" xfId="2" applyNumberFormat="1" applyFont="1" applyFill="1" applyBorder="1" applyAlignment="1">
      <alignment horizontal="center" vertical="center" wrapText="1"/>
    </xf>
    <xf numFmtId="176" fontId="6" fillId="0" borderId="1" xfId="2" applyNumberFormat="1" applyFont="1" applyFill="1" applyBorder="1" applyAlignment="1">
      <alignment horizontal="center" vertical="center" wrapText="1"/>
    </xf>
    <xf numFmtId="176" fontId="6" fillId="0" borderId="8" xfId="2" applyNumberFormat="1" applyFont="1" applyFill="1" applyBorder="1" applyAlignment="1">
      <alignment horizontal="center" vertical="center" wrapText="1"/>
    </xf>
    <xf numFmtId="176" fontId="6" fillId="0" borderId="6" xfId="2" applyNumberFormat="1" applyFont="1" applyFill="1" applyBorder="1" applyAlignment="1">
      <alignment horizontal="center" vertical="center" wrapText="1"/>
    </xf>
    <xf numFmtId="176" fontId="6" fillId="0" borderId="0" xfId="2" applyNumberFormat="1" applyFont="1" applyFill="1" applyBorder="1" applyAlignment="1">
      <alignment horizontal="center" vertical="center" wrapText="1"/>
    </xf>
    <xf numFmtId="176" fontId="24" fillId="0" borderId="0" xfId="2" applyNumberFormat="1" applyFont="1" applyFill="1" applyAlignment="1"/>
    <xf numFmtId="176" fontId="24" fillId="0" borderId="1" xfId="2" applyNumberFormat="1" applyFont="1" applyFill="1" applyBorder="1" applyAlignment="1"/>
    <xf numFmtId="176" fontId="5" fillId="0" borderId="0" xfId="2" applyNumberFormat="1" applyFont="1" applyFill="1" applyBorder="1" applyAlignment="1">
      <alignment horizontal="right" vertical="center"/>
    </xf>
    <xf numFmtId="176" fontId="6" fillId="0" borderId="5" xfId="2" applyNumberFormat="1" applyFont="1" applyFill="1" applyBorder="1" applyAlignment="1">
      <alignment horizontal="left" vertical="center"/>
    </xf>
    <xf numFmtId="177" fontId="6" fillId="0" borderId="5" xfId="2" applyNumberFormat="1" applyFont="1" applyFill="1" applyBorder="1" applyAlignment="1">
      <alignment horizontal="left" vertical="center"/>
    </xf>
    <xf numFmtId="0" fontId="25" fillId="0" borderId="2" xfId="1" applyFont="1" applyFill="1" applyBorder="1" applyAlignment="1">
      <alignment horizontal="center" vertical="center" wrapText="1"/>
    </xf>
    <xf numFmtId="0" fontId="25" fillId="0" borderId="3" xfId="1" applyFont="1" applyFill="1" applyBorder="1" applyAlignment="1">
      <alignment horizontal="center" vertical="center" wrapText="1"/>
    </xf>
    <xf numFmtId="0" fontId="25" fillId="0" borderId="4" xfId="1" applyFont="1" applyFill="1" applyBorder="1" applyAlignment="1">
      <alignment horizontal="center" vertical="center" wrapText="1"/>
    </xf>
    <xf numFmtId="0" fontId="25" fillId="0" borderId="6" xfId="1" applyFont="1" applyFill="1" applyBorder="1" applyAlignment="1">
      <alignment horizontal="center" vertical="center" wrapText="1"/>
    </xf>
    <xf numFmtId="0" fontId="25" fillId="0" borderId="0" xfId="1" applyFont="1" applyFill="1" applyBorder="1" applyAlignment="1">
      <alignment horizontal="center" vertical="center" wrapText="1"/>
    </xf>
    <xf numFmtId="0" fontId="25" fillId="0" borderId="9" xfId="1" applyFont="1" applyFill="1" applyBorder="1" applyAlignment="1">
      <alignment horizontal="center" vertical="center" wrapText="1"/>
    </xf>
    <xf numFmtId="0" fontId="25" fillId="0" borderId="7" xfId="1" applyFont="1" applyFill="1" applyBorder="1" applyAlignment="1">
      <alignment horizontal="center" vertical="center" wrapText="1"/>
    </xf>
    <xf numFmtId="0" fontId="25" fillId="0" borderId="1" xfId="1" applyFont="1" applyFill="1" applyBorder="1" applyAlignment="1">
      <alignment horizontal="center" vertical="center" wrapText="1"/>
    </xf>
    <xf numFmtId="0" fontId="25" fillId="0" borderId="8" xfId="1" applyFont="1" applyFill="1" applyBorder="1" applyAlignment="1">
      <alignment horizontal="center" vertical="center" wrapText="1"/>
    </xf>
    <xf numFmtId="0" fontId="6" fillId="0" borderId="2" xfId="1" applyFont="1" applyFill="1" applyBorder="1" applyAlignment="1">
      <alignment horizontal="center" vertical="center" wrapText="1"/>
    </xf>
    <xf numFmtId="0" fontId="6" fillId="0" borderId="3" xfId="1" applyFont="1" applyFill="1" applyBorder="1" applyAlignment="1">
      <alignment horizontal="center" vertical="center" wrapText="1"/>
    </xf>
    <xf numFmtId="0" fontId="6" fillId="0" borderId="6" xfId="1" applyFont="1" applyFill="1" applyBorder="1" applyAlignment="1">
      <alignment horizontal="center" vertical="center" wrapText="1"/>
    </xf>
    <xf numFmtId="0" fontId="6" fillId="0" borderId="0" xfId="1" applyFont="1" applyFill="1" applyBorder="1" applyAlignment="1">
      <alignment horizontal="center" vertical="center" wrapText="1"/>
    </xf>
    <xf numFmtId="0" fontId="6" fillId="0" borderId="7" xfId="1" applyFont="1" applyFill="1" applyBorder="1" applyAlignment="1">
      <alignment horizontal="center" vertical="center" wrapText="1"/>
    </xf>
    <xf numFmtId="0" fontId="6" fillId="0" borderId="1" xfId="1" applyFont="1" applyFill="1" applyBorder="1" applyAlignment="1">
      <alignment horizontal="center" vertical="center" wrapText="1"/>
    </xf>
    <xf numFmtId="176" fontId="23" fillId="0" borderId="0" xfId="2" applyNumberFormat="1" applyFont="1" applyFill="1" applyAlignment="1">
      <alignment vertical="center"/>
    </xf>
    <xf numFmtId="176" fontId="5" fillId="0" borderId="1" xfId="2" applyNumberFormat="1" applyFont="1" applyFill="1" applyBorder="1" applyAlignment="1">
      <alignment horizontal="right" vertical="center"/>
    </xf>
    <xf numFmtId="176" fontId="6" fillId="0" borderId="7" xfId="2" applyNumberFormat="1" applyFont="1" applyFill="1" applyBorder="1" applyAlignment="1">
      <alignment horizontal="left" vertical="center" wrapText="1"/>
    </xf>
    <xf numFmtId="176" fontId="6" fillId="0" borderId="1" xfId="2" applyNumberFormat="1" applyFont="1" applyFill="1" applyBorder="1" applyAlignment="1">
      <alignment horizontal="left" vertical="center" wrapText="1"/>
    </xf>
    <xf numFmtId="176" fontId="6" fillId="0" borderId="8" xfId="2" applyNumberFormat="1" applyFont="1" applyFill="1" applyBorder="1" applyAlignment="1">
      <alignment horizontal="left" vertical="center" wrapText="1"/>
    </xf>
    <xf numFmtId="176" fontId="19" fillId="0" borderId="2" xfId="2" applyNumberFormat="1" applyFont="1" applyFill="1" applyBorder="1" applyAlignment="1">
      <alignment vertical="center"/>
    </xf>
    <xf numFmtId="176" fontId="19" fillId="0" borderId="3" xfId="2" applyNumberFormat="1" applyFont="1" applyFill="1" applyBorder="1" applyAlignment="1">
      <alignment vertical="center"/>
    </xf>
    <xf numFmtId="176" fontId="19" fillId="0" borderId="4" xfId="2" applyNumberFormat="1" applyFont="1" applyFill="1" applyBorder="1" applyAlignment="1">
      <alignment vertical="center"/>
    </xf>
    <xf numFmtId="176" fontId="19" fillId="0" borderId="7" xfId="2" applyNumberFormat="1" applyFont="1" applyFill="1" applyBorder="1" applyAlignment="1">
      <alignment vertical="center"/>
    </xf>
    <xf numFmtId="176" fontId="19" fillId="0" borderId="1" xfId="2" applyNumberFormat="1" applyFont="1" applyFill="1" applyBorder="1" applyAlignment="1">
      <alignment vertical="center"/>
    </xf>
    <xf numFmtId="176" fontId="19" fillId="0" borderId="8" xfId="2" applyNumberFormat="1" applyFont="1" applyFill="1" applyBorder="1" applyAlignment="1">
      <alignment vertical="center"/>
    </xf>
    <xf numFmtId="176" fontId="6" fillId="0" borderId="2" xfId="2" applyNumberFormat="1" applyFont="1" applyFill="1" applyBorder="1" applyAlignment="1">
      <alignment horizontal="right" vertical="center"/>
    </xf>
    <xf numFmtId="176" fontId="6" fillId="0" borderId="3" xfId="2" applyNumberFormat="1" applyFont="1" applyFill="1" applyBorder="1" applyAlignment="1">
      <alignment horizontal="right" vertical="center"/>
    </xf>
    <xf numFmtId="176" fontId="6" fillId="0" borderId="4" xfId="2" applyNumberFormat="1" applyFont="1" applyFill="1" applyBorder="1" applyAlignment="1">
      <alignment horizontal="right" vertical="center"/>
    </xf>
    <xf numFmtId="176" fontId="6" fillId="0" borderId="7" xfId="2" applyNumberFormat="1" applyFont="1" applyFill="1" applyBorder="1" applyAlignment="1">
      <alignment horizontal="right" vertical="center"/>
    </xf>
    <xf numFmtId="176" fontId="6" fillId="0" borderId="1" xfId="2" applyNumberFormat="1" applyFont="1" applyFill="1" applyBorder="1" applyAlignment="1">
      <alignment horizontal="right" vertical="center"/>
    </xf>
    <xf numFmtId="176" fontId="6" fillId="0" borderId="8" xfId="2" applyNumberFormat="1" applyFont="1" applyFill="1" applyBorder="1" applyAlignment="1">
      <alignment horizontal="right" vertical="center"/>
    </xf>
    <xf numFmtId="176" fontId="6" fillId="0" borderId="5" xfId="2" applyNumberFormat="1" applyFont="1" applyFill="1" applyBorder="1" applyAlignment="1">
      <alignment horizontal="center" vertical="center" wrapText="1"/>
    </xf>
    <xf numFmtId="176" fontId="24" fillId="0" borderId="0" xfId="2" applyNumberFormat="1" applyFont="1" applyFill="1" applyBorder="1" applyAlignment="1"/>
    <xf numFmtId="176" fontId="6" fillId="0" borderId="2" xfId="2" applyNumberFormat="1" applyFont="1" applyFill="1" applyBorder="1" applyAlignment="1">
      <alignment vertical="center" wrapText="1"/>
    </xf>
    <xf numFmtId="176" fontId="6" fillId="0" borderId="3" xfId="2" applyNumberFormat="1" applyFont="1" applyFill="1" applyBorder="1" applyAlignment="1">
      <alignment vertical="center" wrapText="1"/>
    </xf>
    <xf numFmtId="176" fontId="6" fillId="0" borderId="7" xfId="2" applyNumberFormat="1" applyFont="1" applyFill="1" applyBorder="1" applyAlignment="1">
      <alignment vertical="center" wrapText="1"/>
    </xf>
    <xf numFmtId="176" fontId="6" fillId="0" borderId="1" xfId="2" applyNumberFormat="1" applyFont="1" applyFill="1" applyBorder="1" applyAlignment="1">
      <alignment vertical="center" wrapText="1"/>
    </xf>
    <xf numFmtId="0" fontId="21" fillId="0" borderId="0" xfId="1" applyFont="1" applyFill="1" applyAlignment="1">
      <alignment horizontal="left"/>
    </xf>
    <xf numFmtId="176" fontId="22" fillId="0" borderId="0" xfId="2" applyNumberFormat="1" applyFont="1" applyFill="1" applyAlignment="1">
      <alignment horizontal="center" vertical="center"/>
    </xf>
    <xf numFmtId="176" fontId="23" fillId="0" borderId="0" xfId="2" applyNumberFormat="1" applyFont="1" applyFill="1" applyAlignment="1">
      <alignment horizontal="left" vertical="center"/>
    </xf>
    <xf numFmtId="176" fontId="6" fillId="0" borderId="0" xfId="2" applyNumberFormat="1" applyFont="1" applyFill="1" applyAlignment="1">
      <alignment horizontal="left" vertical="center" shrinkToFit="1"/>
    </xf>
    <xf numFmtId="176" fontId="27" fillId="0" borderId="2" xfId="2" applyNumberFormat="1" applyFont="1" applyFill="1" applyBorder="1" applyAlignment="1">
      <alignment vertical="center" shrinkToFit="1"/>
    </xf>
    <xf numFmtId="176" fontId="27" fillId="0" borderId="3" xfId="2" applyNumberFormat="1" applyFont="1" applyFill="1" applyBorder="1" applyAlignment="1">
      <alignment vertical="center" shrinkToFit="1"/>
    </xf>
    <xf numFmtId="176" fontId="27" fillId="0" borderId="4" xfId="2" applyNumberFormat="1" applyFont="1" applyFill="1" applyBorder="1" applyAlignment="1">
      <alignment vertical="center" shrinkToFit="1"/>
    </xf>
    <xf numFmtId="176" fontId="27" fillId="0" borderId="7" xfId="2" applyNumberFormat="1" applyFont="1" applyFill="1" applyBorder="1" applyAlignment="1">
      <alignment vertical="center" shrinkToFit="1"/>
    </xf>
    <xf numFmtId="176" fontId="27" fillId="0" borderId="1" xfId="2" applyNumberFormat="1" applyFont="1" applyFill="1" applyBorder="1" applyAlignment="1">
      <alignment vertical="center" shrinkToFit="1"/>
    </xf>
    <xf numFmtId="176" fontId="27" fillId="0" borderId="8" xfId="2" applyNumberFormat="1" applyFont="1" applyFill="1" applyBorder="1" applyAlignment="1">
      <alignment vertical="center" shrinkToFit="1"/>
    </xf>
    <xf numFmtId="176" fontId="27" fillId="0" borderId="5" xfId="2" applyNumberFormat="1" applyFont="1" applyFill="1" applyBorder="1" applyAlignment="1">
      <alignment vertical="center" shrinkToFit="1"/>
    </xf>
    <xf numFmtId="176" fontId="27" fillId="0" borderId="7" xfId="2" applyNumberFormat="1" applyFont="1" applyFill="1" applyBorder="1" applyAlignment="1">
      <alignment horizontal="left" vertical="center" shrinkToFit="1"/>
    </xf>
    <xf numFmtId="176" fontId="27" fillId="0" borderId="1" xfId="2" applyNumberFormat="1" applyFont="1" applyFill="1" applyBorder="1" applyAlignment="1">
      <alignment horizontal="left" vertical="center" shrinkToFit="1"/>
    </xf>
    <xf numFmtId="176" fontId="27" fillId="0" borderId="8" xfId="2" applyNumberFormat="1" applyFont="1" applyFill="1" applyBorder="1" applyAlignment="1">
      <alignment horizontal="left" vertical="center" shrinkToFit="1"/>
    </xf>
    <xf numFmtId="176" fontId="27" fillId="0" borderId="5" xfId="2" applyNumberFormat="1" applyFont="1" applyFill="1" applyBorder="1" applyAlignment="1">
      <alignment vertical="center"/>
    </xf>
    <xf numFmtId="176" fontId="27" fillId="0" borderId="2" xfId="2" applyNumberFormat="1" applyFont="1" applyFill="1" applyBorder="1" applyAlignment="1">
      <alignment vertical="center"/>
    </xf>
    <xf numFmtId="176" fontId="27" fillId="0" borderId="3" xfId="2" applyNumberFormat="1" applyFont="1" applyFill="1" applyBorder="1" applyAlignment="1">
      <alignment vertical="center"/>
    </xf>
    <xf numFmtId="176" fontId="27" fillId="0" borderId="4" xfId="2" applyNumberFormat="1" applyFont="1" applyFill="1" applyBorder="1" applyAlignment="1">
      <alignment vertical="center"/>
    </xf>
    <xf numFmtId="176" fontId="27" fillId="0" borderId="7" xfId="2" applyNumberFormat="1" applyFont="1" applyFill="1" applyBorder="1" applyAlignment="1">
      <alignment vertical="center"/>
    </xf>
    <xf numFmtId="176" fontId="27" fillId="0" borderId="1" xfId="2" applyNumberFormat="1" applyFont="1" applyFill="1" applyBorder="1" applyAlignment="1">
      <alignment vertical="center"/>
    </xf>
    <xf numFmtId="176" fontId="27" fillId="0" borderId="8" xfId="2" applyNumberFormat="1" applyFont="1" applyFill="1" applyBorder="1" applyAlignment="1">
      <alignment vertical="center"/>
    </xf>
    <xf numFmtId="177" fontId="27" fillId="0" borderId="5" xfId="2" applyNumberFormat="1" applyFont="1" applyFill="1" applyBorder="1" applyAlignment="1">
      <alignment horizontal="left" vertical="center"/>
    </xf>
    <xf numFmtId="176" fontId="27" fillId="0" borderId="7" xfId="2" applyNumberFormat="1" applyFont="1" applyFill="1" applyBorder="1" applyAlignment="1">
      <alignment horizontal="left" vertical="center" wrapText="1"/>
    </xf>
    <xf numFmtId="176" fontId="27" fillId="0" borderId="1" xfId="2" applyNumberFormat="1" applyFont="1" applyFill="1" applyBorder="1" applyAlignment="1">
      <alignment horizontal="left" vertical="center" wrapText="1"/>
    </xf>
    <xf numFmtId="176" fontId="27" fillId="0" borderId="8" xfId="2" applyNumberFormat="1" applyFont="1" applyFill="1" applyBorder="1" applyAlignment="1">
      <alignment horizontal="left" vertical="center" wrapText="1"/>
    </xf>
    <xf numFmtId="176" fontId="27" fillId="0" borderId="2" xfId="2" applyNumberFormat="1" applyFont="1" applyFill="1" applyBorder="1" applyAlignment="1">
      <alignment horizontal="left" vertical="center"/>
    </xf>
    <xf numFmtId="176" fontId="27" fillId="0" borderId="3" xfId="2" applyNumberFormat="1" applyFont="1" applyFill="1" applyBorder="1" applyAlignment="1">
      <alignment horizontal="left" vertical="center"/>
    </xf>
    <xf numFmtId="176" fontId="27" fillId="0" borderId="4" xfId="2" applyNumberFormat="1" applyFont="1" applyFill="1" applyBorder="1" applyAlignment="1">
      <alignment horizontal="left" vertical="center"/>
    </xf>
    <xf numFmtId="176" fontId="27" fillId="0" borderId="7" xfId="2" applyNumberFormat="1" applyFont="1" applyFill="1" applyBorder="1" applyAlignment="1">
      <alignment horizontal="left" vertical="center"/>
    </xf>
    <xf numFmtId="176" fontId="27" fillId="0" borderId="1" xfId="2" applyNumberFormat="1" applyFont="1" applyFill="1" applyBorder="1" applyAlignment="1">
      <alignment horizontal="left" vertical="center"/>
    </xf>
    <xf numFmtId="176" fontId="27" fillId="0" borderId="8" xfId="2" applyNumberFormat="1" applyFont="1" applyFill="1" applyBorder="1" applyAlignment="1">
      <alignment horizontal="left" vertical="center"/>
    </xf>
    <xf numFmtId="176" fontId="6" fillId="0" borderId="7" xfId="2" applyNumberFormat="1" applyFont="1" applyFill="1" applyBorder="1" applyAlignment="1">
      <alignment horizontal="left" vertical="center" shrinkToFit="1"/>
    </xf>
    <xf numFmtId="176" fontId="6" fillId="0" borderId="1" xfId="2" applyNumberFormat="1" applyFont="1" applyFill="1" applyBorder="1" applyAlignment="1">
      <alignment horizontal="left" vertical="center" shrinkToFit="1"/>
    </xf>
    <xf numFmtId="176" fontId="6" fillId="0" borderId="8" xfId="2" applyNumberFormat="1" applyFont="1" applyFill="1" applyBorder="1" applyAlignment="1">
      <alignment horizontal="left" vertical="center" shrinkToFit="1"/>
    </xf>
    <xf numFmtId="176" fontId="19" fillId="0" borderId="5" xfId="2" applyNumberFormat="1" applyFont="1" applyFill="1" applyBorder="1" applyAlignment="1">
      <alignment vertical="center"/>
    </xf>
    <xf numFmtId="176" fontId="6" fillId="0" borderId="0" xfId="2" applyNumberFormat="1" applyFont="1" applyFill="1" applyAlignment="1">
      <alignment horizontal="right" vertical="center" shrinkToFit="1"/>
    </xf>
    <xf numFmtId="0" fontId="7" fillId="0" borderId="0" xfId="1" applyFont="1" applyFill="1" applyAlignment="1">
      <alignment horizontal="left"/>
    </xf>
    <xf numFmtId="176" fontId="9" fillId="0" borderId="0" xfId="2" applyNumberFormat="1" applyFont="1" applyFill="1" applyAlignment="1">
      <alignment horizontal="center" vertical="center"/>
    </xf>
    <xf numFmtId="176" fontId="10" fillId="0" borderId="0" xfId="2" applyNumberFormat="1" applyFont="1" applyFill="1" applyAlignment="1">
      <alignment horizontal="left" vertical="center"/>
    </xf>
    <xf numFmtId="176" fontId="12" fillId="0" borderId="0" xfId="2" applyNumberFormat="1" applyFont="1" applyFill="1" applyAlignment="1">
      <alignment horizontal="right" vertical="center" shrinkToFit="1"/>
    </xf>
    <xf numFmtId="176" fontId="13" fillId="0" borderId="0" xfId="2" applyNumberFormat="1" applyFont="1" applyFill="1" applyAlignment="1"/>
    <xf numFmtId="176" fontId="13" fillId="0" borderId="1" xfId="2" applyNumberFormat="1" applyFont="1" applyFill="1" applyBorder="1" applyAlignment="1"/>
    <xf numFmtId="176" fontId="11" fillId="0" borderId="1" xfId="2" applyNumberFormat="1" applyFont="1" applyFill="1" applyBorder="1" applyAlignment="1">
      <alignment horizontal="right" vertical="center"/>
    </xf>
    <xf numFmtId="176" fontId="12" fillId="0" borderId="2" xfId="2" applyNumberFormat="1" applyFont="1" applyFill="1" applyBorder="1" applyAlignment="1">
      <alignment horizontal="center" vertical="center"/>
    </xf>
    <xf numFmtId="176" fontId="12" fillId="0" borderId="3" xfId="2" applyNumberFormat="1" applyFont="1" applyFill="1" applyBorder="1" applyAlignment="1">
      <alignment horizontal="center" vertical="center"/>
    </xf>
    <xf numFmtId="176" fontId="12" fillId="0" borderId="6" xfId="2" applyNumberFormat="1" applyFont="1" applyFill="1" applyBorder="1" applyAlignment="1">
      <alignment horizontal="center" vertical="center"/>
    </xf>
    <xf numFmtId="176" fontId="12" fillId="0" borderId="0" xfId="2" applyNumberFormat="1" applyFont="1" applyFill="1" applyBorder="1" applyAlignment="1">
      <alignment horizontal="center" vertical="center"/>
    </xf>
    <xf numFmtId="176" fontId="12" fillId="0" borderId="7" xfId="2" applyNumberFormat="1" applyFont="1" applyFill="1" applyBorder="1" applyAlignment="1">
      <alignment horizontal="center" vertical="center"/>
    </xf>
    <xf numFmtId="176" fontId="12" fillId="0" borderId="1" xfId="2" applyNumberFormat="1" applyFont="1" applyFill="1" applyBorder="1" applyAlignment="1">
      <alignment horizontal="center" vertical="center"/>
    </xf>
    <xf numFmtId="176" fontId="12" fillId="0" borderId="5" xfId="2" applyNumberFormat="1" applyFont="1" applyFill="1" applyBorder="1" applyAlignment="1">
      <alignment horizontal="center" vertical="center"/>
    </xf>
    <xf numFmtId="176" fontId="12" fillId="0" borderId="5" xfId="2" applyNumberFormat="1" applyFont="1" applyFill="1" applyBorder="1" applyAlignment="1">
      <alignment horizontal="center" vertical="center" wrapText="1"/>
    </xf>
    <xf numFmtId="176" fontId="12" fillId="0" borderId="4" xfId="2" applyNumberFormat="1" applyFont="1" applyFill="1" applyBorder="1" applyAlignment="1">
      <alignment horizontal="center" vertical="center"/>
    </xf>
    <xf numFmtId="176" fontId="12" fillId="0" borderId="9" xfId="2" applyNumberFormat="1" applyFont="1" applyFill="1" applyBorder="1" applyAlignment="1">
      <alignment horizontal="center" vertical="center"/>
    </xf>
    <xf numFmtId="176" fontId="12" fillId="0" borderId="8" xfId="2" applyNumberFormat="1" applyFont="1" applyFill="1" applyBorder="1" applyAlignment="1">
      <alignment horizontal="center" vertical="center"/>
    </xf>
    <xf numFmtId="176" fontId="14" fillId="0" borderId="2" xfId="2" applyNumberFormat="1" applyFont="1" applyFill="1" applyBorder="1" applyAlignment="1">
      <alignment horizontal="center" vertical="center" wrapText="1"/>
    </xf>
    <xf numFmtId="176" fontId="14" fillId="0" borderId="3" xfId="2" applyNumberFormat="1" applyFont="1" applyFill="1" applyBorder="1" applyAlignment="1">
      <alignment horizontal="center" vertical="center" wrapText="1"/>
    </xf>
    <xf numFmtId="176" fontId="14" fillId="0" borderId="6" xfId="2" applyNumberFormat="1" applyFont="1" applyFill="1" applyBorder="1" applyAlignment="1">
      <alignment horizontal="center" vertical="center" wrapText="1"/>
    </xf>
    <xf numFmtId="176" fontId="14" fillId="0" borderId="0" xfId="2" applyNumberFormat="1" applyFont="1" applyFill="1" applyBorder="1" applyAlignment="1">
      <alignment horizontal="center" vertical="center" wrapText="1"/>
    </xf>
    <xf numFmtId="176" fontId="14" fillId="0" borderId="7" xfId="2" applyNumberFormat="1" applyFont="1" applyFill="1" applyBorder="1" applyAlignment="1">
      <alignment horizontal="center" vertical="center" wrapText="1"/>
    </xf>
    <xf numFmtId="176" fontId="14" fillId="0" borderId="1" xfId="2" applyNumberFormat="1" applyFont="1" applyFill="1" applyBorder="1" applyAlignment="1">
      <alignment horizontal="center" vertical="center" wrapText="1"/>
    </xf>
    <xf numFmtId="176" fontId="12" fillId="0" borderId="3" xfId="2" applyNumberFormat="1" applyFont="1" applyFill="1" applyBorder="1" applyAlignment="1">
      <alignment vertical="center"/>
    </xf>
    <xf numFmtId="176" fontId="12" fillId="0" borderId="1" xfId="2" applyNumberFormat="1" applyFont="1" applyFill="1" applyBorder="1" applyAlignment="1">
      <alignment vertical="center"/>
    </xf>
    <xf numFmtId="176" fontId="12" fillId="0" borderId="2" xfId="2" applyNumberFormat="1" applyFont="1" applyFill="1" applyBorder="1" applyAlignment="1">
      <alignment vertical="center"/>
    </xf>
    <xf numFmtId="176" fontId="12" fillId="0" borderId="7" xfId="2" applyNumberFormat="1" applyFont="1" applyFill="1" applyBorder="1" applyAlignment="1">
      <alignment vertical="center"/>
    </xf>
    <xf numFmtId="176" fontId="12" fillId="0" borderId="4" xfId="2" applyNumberFormat="1" applyFont="1" applyFill="1" applyBorder="1" applyAlignment="1">
      <alignment vertical="center"/>
    </xf>
    <xf numFmtId="176" fontId="12" fillId="0" borderId="8" xfId="2" applyNumberFormat="1" applyFont="1" applyFill="1" applyBorder="1" applyAlignment="1">
      <alignment vertical="center"/>
    </xf>
    <xf numFmtId="176" fontId="12" fillId="0" borderId="5" xfId="2" applyNumberFormat="1" applyFont="1" applyFill="1" applyBorder="1" applyAlignment="1">
      <alignment vertical="center"/>
    </xf>
    <xf numFmtId="176" fontId="12" fillId="0" borderId="2" xfId="2" applyNumberFormat="1" applyFont="1" applyFill="1" applyBorder="1" applyAlignment="1">
      <alignment vertical="center" wrapText="1"/>
    </xf>
    <xf numFmtId="176" fontId="12" fillId="0" borderId="3" xfId="2" applyNumberFormat="1" applyFont="1" applyFill="1" applyBorder="1" applyAlignment="1">
      <alignment vertical="center" wrapText="1"/>
    </xf>
    <xf numFmtId="176" fontId="12" fillId="0" borderId="7" xfId="2" applyNumberFormat="1" applyFont="1" applyFill="1" applyBorder="1" applyAlignment="1">
      <alignment vertical="center" wrapText="1"/>
    </xf>
    <xf numFmtId="176" fontId="12" fillId="0" borderId="1" xfId="2" applyNumberFormat="1" applyFont="1" applyFill="1" applyBorder="1" applyAlignment="1">
      <alignment vertical="center" wrapText="1"/>
    </xf>
    <xf numFmtId="176" fontId="12" fillId="0" borderId="2" xfId="2" applyNumberFormat="1" applyFont="1" applyFill="1" applyBorder="1" applyAlignment="1">
      <alignment horizontal="left" vertical="center"/>
    </xf>
    <xf numFmtId="176" fontId="12" fillId="0" borderId="3" xfId="2" applyNumberFormat="1" applyFont="1" applyFill="1" applyBorder="1" applyAlignment="1">
      <alignment horizontal="left" vertical="center"/>
    </xf>
    <xf numFmtId="176" fontId="12" fillId="0" borderId="4" xfId="2" applyNumberFormat="1" applyFont="1" applyFill="1" applyBorder="1" applyAlignment="1">
      <alignment horizontal="left" vertical="center"/>
    </xf>
    <xf numFmtId="176" fontId="12" fillId="0" borderId="7" xfId="2" applyNumberFormat="1" applyFont="1" applyFill="1" applyBorder="1" applyAlignment="1">
      <alignment horizontal="left" vertical="center"/>
    </xf>
    <xf numFmtId="176" fontId="12" fillId="0" borderId="1" xfId="2" applyNumberFormat="1" applyFont="1" applyFill="1" applyBorder="1" applyAlignment="1">
      <alignment horizontal="left" vertical="center"/>
    </xf>
    <xf numFmtId="176" fontId="12" fillId="0" borderId="8" xfId="2" applyNumberFormat="1" applyFont="1" applyFill="1" applyBorder="1" applyAlignment="1">
      <alignment horizontal="left" vertical="center"/>
    </xf>
    <xf numFmtId="176" fontId="14" fillId="0" borderId="5" xfId="2" applyNumberFormat="1" applyFont="1" applyFill="1" applyBorder="1" applyAlignment="1">
      <alignment horizontal="center" vertical="center" wrapText="1"/>
    </xf>
    <xf numFmtId="176" fontId="12" fillId="0" borderId="5" xfId="2" applyNumberFormat="1" applyFont="1" applyFill="1" applyBorder="1" applyAlignment="1">
      <alignment horizontal="left" vertical="center"/>
    </xf>
    <xf numFmtId="176" fontId="13" fillId="0" borderId="0" xfId="2" applyNumberFormat="1" applyFont="1" applyFill="1" applyBorder="1" applyAlignment="1"/>
    <xf numFmtId="176" fontId="12" fillId="0" borderId="2" xfId="2" applyNumberFormat="1" applyFont="1" applyFill="1" applyBorder="1" applyAlignment="1">
      <alignment horizontal="right" vertical="center"/>
    </xf>
    <xf numFmtId="176" fontId="12" fillId="0" borderId="3" xfId="2" applyNumberFormat="1" applyFont="1" applyFill="1" applyBorder="1" applyAlignment="1">
      <alignment horizontal="right" vertical="center"/>
    </xf>
    <xf numFmtId="176" fontId="12" fillId="0" borderId="4" xfId="2" applyNumberFormat="1" applyFont="1" applyFill="1" applyBorder="1" applyAlignment="1">
      <alignment horizontal="right" vertical="center"/>
    </xf>
    <xf numFmtId="176" fontId="12" fillId="0" borderId="7" xfId="2" applyNumberFormat="1" applyFont="1" applyFill="1" applyBorder="1" applyAlignment="1">
      <alignment horizontal="right" vertical="center"/>
    </xf>
    <xf numFmtId="176" fontId="12" fillId="0" borderId="1" xfId="2" applyNumberFormat="1" applyFont="1" applyFill="1" applyBorder="1" applyAlignment="1">
      <alignment horizontal="right" vertical="center"/>
    </xf>
    <xf numFmtId="176" fontId="12" fillId="0" borderId="8" xfId="2" applyNumberFormat="1" applyFont="1" applyFill="1" applyBorder="1" applyAlignment="1">
      <alignment horizontal="right" vertical="center"/>
    </xf>
    <xf numFmtId="176" fontId="12" fillId="0" borderId="5" xfId="2" applyNumberFormat="1" applyFont="1" applyFill="1" applyBorder="1" applyAlignment="1">
      <alignment vertical="center" shrinkToFit="1"/>
    </xf>
    <xf numFmtId="176" fontId="12" fillId="0" borderId="2" xfId="2" applyNumberFormat="1" applyFont="1" applyFill="1" applyBorder="1" applyAlignment="1">
      <alignment horizontal="center" vertical="center" wrapText="1"/>
    </xf>
    <xf numFmtId="176" fontId="12" fillId="0" borderId="3" xfId="2" applyNumberFormat="1" applyFont="1" applyFill="1" applyBorder="1" applyAlignment="1">
      <alignment horizontal="center" vertical="center" wrapText="1"/>
    </xf>
    <xf numFmtId="176" fontId="12" fillId="0" borderId="4" xfId="2" applyNumberFormat="1" applyFont="1" applyFill="1" applyBorder="1" applyAlignment="1">
      <alignment horizontal="center" vertical="center" wrapText="1"/>
    </xf>
    <xf numFmtId="176" fontId="12" fillId="0" borderId="7" xfId="2" applyNumberFormat="1" applyFont="1" applyFill="1" applyBorder="1" applyAlignment="1">
      <alignment horizontal="center" vertical="center" wrapText="1"/>
    </xf>
    <xf numFmtId="176" fontId="12" fillId="0" borderId="1" xfId="2" applyNumberFormat="1" applyFont="1" applyFill="1" applyBorder="1" applyAlignment="1">
      <alignment horizontal="center" vertical="center" wrapText="1"/>
    </xf>
    <xf numFmtId="176" fontId="12" fillId="0" borderId="8" xfId="2" applyNumberFormat="1" applyFont="1" applyFill="1" applyBorder="1" applyAlignment="1">
      <alignment horizontal="center" vertical="center" wrapText="1"/>
    </xf>
    <xf numFmtId="176" fontId="12" fillId="0" borderId="2" xfId="2" applyNumberFormat="1" applyFont="1" applyFill="1" applyBorder="1" applyAlignment="1">
      <alignment vertical="center" shrinkToFit="1"/>
    </xf>
    <xf numFmtId="176" fontId="12" fillId="0" borderId="3" xfId="2" applyNumberFormat="1" applyFont="1" applyFill="1" applyBorder="1" applyAlignment="1">
      <alignment vertical="center" shrinkToFit="1"/>
    </xf>
    <xf numFmtId="176" fontId="12" fillId="0" borderId="4" xfId="2" applyNumberFormat="1" applyFont="1" applyFill="1" applyBorder="1" applyAlignment="1">
      <alignment vertical="center" shrinkToFit="1"/>
    </xf>
    <xf numFmtId="176" fontId="12" fillId="0" borderId="7" xfId="2" applyNumberFormat="1" applyFont="1" applyFill="1" applyBorder="1" applyAlignment="1">
      <alignment vertical="center" shrinkToFit="1"/>
    </xf>
    <xf numFmtId="176" fontId="12" fillId="0" borderId="1" xfId="2" applyNumberFormat="1" applyFont="1" applyFill="1" applyBorder="1" applyAlignment="1">
      <alignment vertical="center" shrinkToFit="1"/>
    </xf>
    <xf numFmtId="176" fontId="12" fillId="0" borderId="8" xfId="2" applyNumberFormat="1" applyFont="1" applyFill="1" applyBorder="1" applyAlignment="1">
      <alignment vertical="center" shrinkToFit="1"/>
    </xf>
    <xf numFmtId="176" fontId="12" fillId="0" borderId="2" xfId="2" applyNumberFormat="1" applyFont="1" applyFill="1" applyBorder="1" applyAlignment="1">
      <alignment horizontal="left" vertical="center" shrinkToFit="1"/>
    </xf>
    <xf numFmtId="176" fontId="12" fillId="0" borderId="3" xfId="2" applyNumberFormat="1" applyFont="1" applyFill="1" applyBorder="1" applyAlignment="1">
      <alignment horizontal="left" vertical="center" shrinkToFit="1"/>
    </xf>
    <xf numFmtId="176" fontId="12" fillId="0" borderId="4" xfId="2" applyNumberFormat="1" applyFont="1" applyFill="1" applyBorder="1" applyAlignment="1">
      <alignment horizontal="left" vertical="center" shrinkToFit="1"/>
    </xf>
    <xf numFmtId="176" fontId="12" fillId="0" borderId="7" xfId="2" applyNumberFormat="1" applyFont="1" applyFill="1" applyBorder="1" applyAlignment="1">
      <alignment horizontal="left" vertical="center" wrapText="1"/>
    </xf>
    <xf numFmtId="176" fontId="12" fillId="0" borderId="1" xfId="2" applyNumberFormat="1" applyFont="1" applyFill="1" applyBorder="1" applyAlignment="1">
      <alignment horizontal="left" vertical="center" wrapText="1"/>
    </xf>
    <xf numFmtId="176" fontId="12" fillId="0" borderId="8" xfId="2" applyNumberFormat="1" applyFont="1" applyFill="1" applyBorder="1" applyAlignment="1">
      <alignment horizontal="left" vertical="center" wrapText="1"/>
    </xf>
    <xf numFmtId="176" fontId="12" fillId="0" borderId="2" xfId="2" applyNumberFormat="1" applyFont="1" applyFill="1" applyBorder="1" applyAlignment="1">
      <alignment horizontal="center" vertical="center" shrinkToFit="1"/>
    </xf>
    <xf numFmtId="176" fontId="12" fillId="0" borderId="3" xfId="2" applyNumberFormat="1" applyFont="1" applyFill="1" applyBorder="1" applyAlignment="1">
      <alignment horizontal="center" vertical="center" shrinkToFit="1"/>
    </xf>
    <xf numFmtId="176" fontId="12" fillId="0" borderId="4" xfId="2" applyNumberFormat="1" applyFont="1" applyFill="1" applyBorder="1" applyAlignment="1">
      <alignment horizontal="center" vertical="center" shrinkToFit="1"/>
    </xf>
    <xf numFmtId="176" fontId="12" fillId="0" borderId="7" xfId="2" applyNumberFormat="1" applyFont="1" applyFill="1" applyBorder="1" applyAlignment="1">
      <alignment horizontal="center" vertical="center" shrinkToFit="1"/>
    </xf>
    <xf numFmtId="176" fontId="12" fillId="0" borderId="1" xfId="2" applyNumberFormat="1" applyFont="1" applyFill="1" applyBorder="1" applyAlignment="1">
      <alignment horizontal="center" vertical="center" shrinkToFit="1"/>
    </xf>
    <xf numFmtId="176" fontId="12" fillId="0" borderId="8" xfId="2" applyNumberFormat="1" applyFont="1" applyFill="1" applyBorder="1" applyAlignment="1">
      <alignment horizontal="center" vertical="center" shrinkToFit="1"/>
    </xf>
    <xf numFmtId="176" fontId="10" fillId="0" borderId="0" xfId="2" applyNumberFormat="1" applyFont="1" applyFill="1" applyAlignment="1">
      <alignment vertical="center"/>
    </xf>
    <xf numFmtId="176" fontId="12" fillId="0" borderId="6" xfId="2" applyNumberFormat="1" applyFont="1" applyFill="1" applyBorder="1" applyAlignment="1">
      <alignment horizontal="center" vertical="center" wrapText="1"/>
    </xf>
    <xf numFmtId="176" fontId="12" fillId="0" borderId="0" xfId="2" applyNumberFormat="1" applyFont="1" applyFill="1" applyBorder="1" applyAlignment="1">
      <alignment horizontal="center" vertical="center" wrapText="1"/>
    </xf>
    <xf numFmtId="0" fontId="14" fillId="0" borderId="2" xfId="1" applyFont="1" applyFill="1" applyBorder="1" applyAlignment="1">
      <alignment horizontal="center" vertical="center" wrapText="1"/>
    </xf>
    <xf numFmtId="0" fontId="14" fillId="0" borderId="3" xfId="1" applyFont="1" applyFill="1" applyBorder="1" applyAlignment="1">
      <alignment horizontal="center" vertical="center" wrapText="1"/>
    </xf>
    <xf numFmtId="0" fontId="14" fillId="0" borderId="4" xfId="1" applyFont="1" applyFill="1" applyBorder="1" applyAlignment="1">
      <alignment horizontal="center" vertical="center" wrapText="1"/>
    </xf>
    <xf numFmtId="0" fontId="14" fillId="0" borderId="6" xfId="1" applyFont="1" applyFill="1" applyBorder="1" applyAlignment="1">
      <alignment horizontal="center" vertical="center" wrapText="1"/>
    </xf>
    <xf numFmtId="0" fontId="14" fillId="0" borderId="0" xfId="1" applyFont="1" applyFill="1" applyBorder="1" applyAlignment="1">
      <alignment horizontal="center" vertical="center" wrapText="1"/>
    </xf>
    <xf numFmtId="0" fontId="14" fillId="0" borderId="9" xfId="1" applyFont="1" applyFill="1" applyBorder="1" applyAlignment="1">
      <alignment horizontal="center" vertical="center" wrapText="1"/>
    </xf>
    <xf numFmtId="0" fontId="14" fillId="0" borderId="7" xfId="1" applyFont="1" applyFill="1" applyBorder="1" applyAlignment="1">
      <alignment horizontal="center" vertical="center" wrapText="1"/>
    </xf>
    <xf numFmtId="0" fontId="14" fillId="0" borderId="1" xfId="1" applyFont="1" applyFill="1" applyBorder="1" applyAlignment="1">
      <alignment horizontal="center" vertical="center" wrapText="1"/>
    </xf>
    <xf numFmtId="0" fontId="14" fillId="0" borderId="8" xfId="1" applyFont="1" applyFill="1" applyBorder="1" applyAlignment="1">
      <alignment horizontal="center" vertical="center" wrapText="1"/>
    </xf>
    <xf numFmtId="0" fontId="12" fillId="0" borderId="2" xfId="1" applyFont="1" applyFill="1" applyBorder="1" applyAlignment="1">
      <alignment horizontal="center" vertical="center" wrapText="1"/>
    </xf>
    <xf numFmtId="0" fontId="12" fillId="0" borderId="3" xfId="1" applyFont="1" applyFill="1" applyBorder="1" applyAlignment="1">
      <alignment horizontal="center" vertical="center" wrapText="1"/>
    </xf>
    <xf numFmtId="0" fontId="12" fillId="0" borderId="6" xfId="1" applyFont="1" applyFill="1" applyBorder="1" applyAlignment="1">
      <alignment horizontal="center" vertical="center" wrapText="1"/>
    </xf>
    <xf numFmtId="0" fontId="12" fillId="0" borderId="0" xfId="1" applyFont="1" applyFill="1" applyBorder="1" applyAlignment="1">
      <alignment horizontal="center" vertical="center" wrapText="1"/>
    </xf>
    <xf numFmtId="0" fontId="12" fillId="0" borderId="7" xfId="1" applyFont="1" applyFill="1" applyBorder="1" applyAlignment="1">
      <alignment horizontal="center" vertical="center" wrapText="1"/>
    </xf>
    <xf numFmtId="0" fontId="12" fillId="0" borderId="1" xfId="1" applyFont="1" applyFill="1" applyBorder="1" applyAlignment="1">
      <alignment horizontal="center" vertical="center" wrapText="1"/>
    </xf>
    <xf numFmtId="177" fontId="12" fillId="0" borderId="5" xfId="2" applyNumberFormat="1" applyFont="1" applyFill="1" applyBorder="1" applyAlignment="1">
      <alignment horizontal="left" vertical="center"/>
    </xf>
    <xf numFmtId="176" fontId="11" fillId="0" borderId="0" xfId="2" applyNumberFormat="1" applyFont="1" applyFill="1" applyBorder="1" applyAlignment="1">
      <alignment horizontal="right" vertical="center"/>
    </xf>
    <xf numFmtId="176" fontId="14" fillId="0" borderId="4" xfId="2" applyNumberFormat="1" applyFont="1" applyFill="1" applyBorder="1" applyAlignment="1">
      <alignment horizontal="center" vertical="center" wrapText="1"/>
    </xf>
    <xf numFmtId="176" fontId="14" fillId="0" borderId="9" xfId="2" applyNumberFormat="1" applyFont="1" applyFill="1" applyBorder="1" applyAlignment="1">
      <alignment horizontal="center" vertical="center" wrapText="1"/>
    </xf>
    <xf numFmtId="176" fontId="14" fillId="0" borderId="8" xfId="2" applyNumberFormat="1" applyFont="1" applyFill="1" applyBorder="1" applyAlignment="1">
      <alignment horizontal="center" vertical="center" wrapText="1"/>
    </xf>
    <xf numFmtId="176" fontId="14" fillId="0" borderId="10" xfId="2" applyNumberFormat="1" applyFont="1" applyFill="1" applyBorder="1" applyAlignment="1">
      <alignment horizontal="center" vertical="center" wrapText="1"/>
    </xf>
    <xf numFmtId="176" fontId="12" fillId="0" borderId="10" xfId="2" applyNumberFormat="1" applyFont="1" applyFill="1" applyBorder="1" applyAlignment="1">
      <alignment horizontal="center" vertical="center"/>
    </xf>
    <xf numFmtId="176" fontId="16" fillId="0" borderId="6" xfId="2" applyNumberFormat="1" applyFont="1" applyFill="1" applyBorder="1" applyAlignment="1">
      <alignment horizontal="center" vertical="center" wrapText="1"/>
    </xf>
    <xf numFmtId="176" fontId="16" fillId="0" borderId="0" xfId="2" applyNumberFormat="1" applyFont="1" applyFill="1" applyBorder="1" applyAlignment="1">
      <alignment horizontal="center" vertical="center" wrapText="1"/>
    </xf>
    <xf numFmtId="176" fontId="16" fillId="0" borderId="7" xfId="2" applyNumberFormat="1" applyFont="1" applyFill="1" applyBorder="1" applyAlignment="1">
      <alignment horizontal="center" vertical="center" wrapText="1"/>
    </xf>
    <xf numFmtId="176" fontId="16" fillId="0" borderId="1" xfId="2" applyNumberFormat="1" applyFont="1" applyFill="1" applyBorder="1" applyAlignment="1">
      <alignment horizontal="center" vertical="center" wrapText="1"/>
    </xf>
    <xf numFmtId="176" fontId="16" fillId="0" borderId="6" xfId="2" applyNumberFormat="1" applyFont="1" applyFill="1" applyBorder="1" applyAlignment="1">
      <alignment horizontal="center" vertical="center"/>
    </xf>
    <xf numFmtId="176" fontId="16" fillId="0" borderId="9" xfId="2" applyNumberFormat="1" applyFont="1" applyFill="1" applyBorder="1" applyAlignment="1">
      <alignment horizontal="center" vertical="center"/>
    </xf>
    <xf numFmtId="176" fontId="16" fillId="0" borderId="7" xfId="2" applyNumberFormat="1" applyFont="1" applyFill="1" applyBorder="1" applyAlignment="1">
      <alignment horizontal="center" vertical="center"/>
    </xf>
    <xf numFmtId="176" fontId="16" fillId="0" borderId="8" xfId="2" applyNumberFormat="1" applyFont="1" applyFill="1" applyBorder="1" applyAlignment="1">
      <alignment horizontal="center" vertical="center"/>
    </xf>
    <xf numFmtId="176" fontId="12" fillId="0" borderId="2" xfId="2" applyNumberFormat="1" applyFont="1" applyFill="1" applyBorder="1" applyAlignment="1">
      <alignment horizontal="right" vertical="center" shrinkToFit="1"/>
    </xf>
    <xf numFmtId="176" fontId="12" fillId="0" borderId="3" xfId="2" applyNumberFormat="1" applyFont="1" applyFill="1" applyBorder="1" applyAlignment="1">
      <alignment horizontal="right" vertical="center" shrinkToFit="1"/>
    </xf>
    <xf numFmtId="176" fontId="12" fillId="0" borderId="7" xfId="2" applyNumberFormat="1" applyFont="1" applyFill="1" applyBorder="1" applyAlignment="1">
      <alignment horizontal="right" vertical="center" shrinkToFit="1"/>
    </xf>
    <xf numFmtId="176" fontId="12" fillId="0" borderId="1" xfId="2" applyNumberFormat="1" applyFont="1" applyFill="1" applyBorder="1" applyAlignment="1">
      <alignment horizontal="right" vertical="center" shrinkToFit="1"/>
    </xf>
    <xf numFmtId="176" fontId="12" fillId="0" borderId="5" xfId="2" applyNumberFormat="1" applyFont="1" applyFill="1" applyBorder="1" applyAlignment="1">
      <alignment horizontal="right" vertical="center" shrinkToFit="1"/>
    </xf>
    <xf numFmtId="176" fontId="12" fillId="0" borderId="4" xfId="2" applyNumberFormat="1" applyFont="1" applyFill="1" applyBorder="1" applyAlignment="1">
      <alignment horizontal="right" vertical="center" shrinkToFit="1"/>
    </xf>
    <xf numFmtId="176" fontId="12" fillId="0" borderId="8" xfId="2" applyNumberFormat="1" applyFont="1" applyFill="1" applyBorder="1" applyAlignment="1">
      <alignment horizontal="right" vertical="center" shrinkToFit="1"/>
    </xf>
    <xf numFmtId="176" fontId="12" fillId="0" borderId="7" xfId="2" applyNumberFormat="1" applyFont="1" applyFill="1" applyBorder="1" applyAlignment="1">
      <alignment horizontal="left" vertical="center" shrinkToFit="1"/>
    </xf>
    <xf numFmtId="176" fontId="12" fillId="0" borderId="1" xfId="2" applyNumberFormat="1" applyFont="1" applyFill="1" applyBorder="1" applyAlignment="1">
      <alignment horizontal="left" vertical="center" shrinkToFit="1"/>
    </xf>
    <xf numFmtId="176" fontId="12" fillId="0" borderId="8" xfId="2" applyNumberFormat="1" applyFont="1" applyFill="1" applyBorder="1" applyAlignment="1">
      <alignment horizontal="left" vertical="center" shrinkToFit="1"/>
    </xf>
    <xf numFmtId="176" fontId="12" fillId="0" borderId="10" xfId="2" applyNumberFormat="1" applyFont="1" applyFill="1" applyBorder="1" applyAlignment="1">
      <alignment vertical="center" shrinkToFit="1"/>
    </xf>
  </cellXfs>
  <cellStyles count="4">
    <cellStyle name="パーセント 2" xfId="3" xr:uid="{00000000-0005-0000-0000-000000000000}"/>
    <cellStyle name="桁区切り 2" xfId="2" xr:uid="{00000000-0005-0000-0000-000001000000}"/>
    <cellStyle name="標準" xfId="0" builtinId="0"/>
    <cellStyle name="標準 2" xfId="1" xr:uid="{00000000-0005-0000-0000-000003000000}"/>
  </cellStyles>
  <dxfs count="0"/>
  <tableStyles count="0" defaultTableStyle="TableStyleMedium9" defaultPivotStyle="PivotStyleLight16"/>
  <colors>
    <mruColors>
      <color rgb="FFFFCCFF"/>
      <color rgb="FF99FF99"/>
      <color rgb="FFCCECFF"/>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E86B-5DE5-4A1A-B67C-3C7DB9FC23E5}">
  <sheetPr>
    <tabColor rgb="FFFF0000"/>
  </sheetPr>
  <dimension ref="B1:CM906"/>
  <sheetViews>
    <sheetView showGridLines="0" tabSelected="1" showOutlineSymbols="0" view="pageBreakPreview" topLeftCell="I9" zoomScale="89" zoomScaleNormal="89" zoomScaleSheetLayoutView="89" workbookViewId="0">
      <selection activeCell="AS93" sqref="AS93:BA93"/>
    </sheetView>
  </sheetViews>
  <sheetFormatPr defaultRowHeight="13.5" x14ac:dyDescent="0.15"/>
  <cols>
    <col min="1" max="1" width="2.625" style="44" customWidth="1"/>
    <col min="2" max="15" width="3.125" style="44" customWidth="1"/>
    <col min="16" max="16" width="4.25" style="44" customWidth="1"/>
    <col min="17" max="37" width="3.125" style="44" customWidth="1"/>
    <col min="38" max="38" width="4.625" style="44" customWidth="1"/>
    <col min="39" max="42" width="3.125" style="44" customWidth="1"/>
    <col min="43" max="43" width="3.5" style="44" customWidth="1"/>
    <col min="44" max="53" width="3.125" style="44" customWidth="1"/>
    <col min="54" max="54" width="5.625" style="44" customWidth="1"/>
    <col min="55" max="55" width="15.25" style="44" customWidth="1"/>
    <col min="56" max="58" width="2.625" style="44" customWidth="1"/>
    <col min="59" max="59" width="11.625" style="44" bestFit="1" customWidth="1"/>
    <col min="60" max="100" width="2.625" style="44" customWidth="1"/>
    <col min="101" max="260" width="9" style="44"/>
    <col min="261" max="275" width="3.125" style="44" customWidth="1"/>
    <col min="276" max="276" width="5.5" style="44" customWidth="1"/>
    <col min="277" max="277" width="5.625" style="44" customWidth="1"/>
    <col min="278" max="293" width="3.125" style="44" customWidth="1"/>
    <col min="294" max="294" width="5.375" style="44" customWidth="1"/>
    <col min="295" max="296" width="3.125" style="44" customWidth="1"/>
    <col min="297" max="297" width="4.625" style="44" customWidth="1"/>
    <col min="298" max="298" width="3.5" style="44" customWidth="1"/>
    <col min="299" max="309" width="3.125" style="44" customWidth="1"/>
    <col min="310" max="311" width="5.625" style="44" customWidth="1"/>
    <col min="312" max="356" width="2.625" style="44" customWidth="1"/>
    <col min="357" max="516" width="9" style="44"/>
    <col min="517" max="531" width="3.125" style="44" customWidth="1"/>
    <col min="532" max="532" width="5.5" style="44" customWidth="1"/>
    <col min="533" max="533" width="5.625" style="44" customWidth="1"/>
    <col min="534" max="549" width="3.125" style="44" customWidth="1"/>
    <col min="550" max="550" width="5.375" style="44" customWidth="1"/>
    <col min="551" max="552" width="3.125" style="44" customWidth="1"/>
    <col min="553" max="553" width="4.625" style="44" customWidth="1"/>
    <col min="554" max="554" width="3.5" style="44" customWidth="1"/>
    <col min="555" max="565" width="3.125" style="44" customWidth="1"/>
    <col min="566" max="567" width="5.625" style="44" customWidth="1"/>
    <col min="568" max="612" width="2.625" style="44" customWidth="1"/>
    <col min="613" max="772" width="9" style="44"/>
    <col min="773" max="787" width="3.125" style="44" customWidth="1"/>
    <col min="788" max="788" width="5.5" style="44" customWidth="1"/>
    <col min="789" max="789" width="5.625" style="44" customWidth="1"/>
    <col min="790" max="805" width="3.125" style="44" customWidth="1"/>
    <col min="806" max="806" width="5.375" style="44" customWidth="1"/>
    <col min="807" max="808" width="3.125" style="44" customWidth="1"/>
    <col min="809" max="809" width="4.625" style="44" customWidth="1"/>
    <col min="810" max="810" width="3.5" style="44" customWidth="1"/>
    <col min="811" max="821" width="3.125" style="44" customWidth="1"/>
    <col min="822" max="823" width="5.625" style="44" customWidth="1"/>
    <col min="824" max="868" width="2.625" style="44" customWidth="1"/>
    <col min="869" max="1028" width="9" style="44"/>
    <col min="1029" max="1043" width="3.125" style="44" customWidth="1"/>
    <col min="1044" max="1044" width="5.5" style="44" customWidth="1"/>
    <col min="1045" max="1045" width="5.625" style="44" customWidth="1"/>
    <col min="1046" max="1061" width="3.125" style="44" customWidth="1"/>
    <col min="1062" max="1062" width="5.375" style="44" customWidth="1"/>
    <col min="1063" max="1064" width="3.125" style="44" customWidth="1"/>
    <col min="1065" max="1065" width="4.625" style="44" customWidth="1"/>
    <col min="1066" max="1066" width="3.5" style="44" customWidth="1"/>
    <col min="1067" max="1077" width="3.125" style="44" customWidth="1"/>
    <col min="1078" max="1079" width="5.625" style="44" customWidth="1"/>
    <col min="1080" max="1124" width="2.625" style="44" customWidth="1"/>
    <col min="1125" max="1284" width="9" style="44"/>
    <col min="1285" max="1299" width="3.125" style="44" customWidth="1"/>
    <col min="1300" max="1300" width="5.5" style="44" customWidth="1"/>
    <col min="1301" max="1301" width="5.625" style="44" customWidth="1"/>
    <col min="1302" max="1317" width="3.125" style="44" customWidth="1"/>
    <col min="1318" max="1318" width="5.375" style="44" customWidth="1"/>
    <col min="1319" max="1320" width="3.125" style="44" customWidth="1"/>
    <col min="1321" max="1321" width="4.625" style="44" customWidth="1"/>
    <col min="1322" max="1322" width="3.5" style="44" customWidth="1"/>
    <col min="1323" max="1333" width="3.125" style="44" customWidth="1"/>
    <col min="1334" max="1335" width="5.625" style="44" customWidth="1"/>
    <col min="1336" max="1380" width="2.625" style="44" customWidth="1"/>
    <col min="1381" max="1540" width="9" style="44"/>
    <col min="1541" max="1555" width="3.125" style="44" customWidth="1"/>
    <col min="1556" max="1556" width="5.5" style="44" customWidth="1"/>
    <col min="1557" max="1557" width="5.625" style="44" customWidth="1"/>
    <col min="1558" max="1573" width="3.125" style="44" customWidth="1"/>
    <col min="1574" max="1574" width="5.375" style="44" customWidth="1"/>
    <col min="1575" max="1576" width="3.125" style="44" customWidth="1"/>
    <col min="1577" max="1577" width="4.625" style="44" customWidth="1"/>
    <col min="1578" max="1578" width="3.5" style="44" customWidth="1"/>
    <col min="1579" max="1589" width="3.125" style="44" customWidth="1"/>
    <col min="1590" max="1591" width="5.625" style="44" customWidth="1"/>
    <col min="1592" max="1636" width="2.625" style="44" customWidth="1"/>
    <col min="1637" max="1796" width="9" style="44"/>
    <col min="1797" max="1811" width="3.125" style="44" customWidth="1"/>
    <col min="1812" max="1812" width="5.5" style="44" customWidth="1"/>
    <col min="1813" max="1813" width="5.625" style="44" customWidth="1"/>
    <col min="1814" max="1829" width="3.125" style="44" customWidth="1"/>
    <col min="1830" max="1830" width="5.375" style="44" customWidth="1"/>
    <col min="1831" max="1832" width="3.125" style="44" customWidth="1"/>
    <col min="1833" max="1833" width="4.625" style="44" customWidth="1"/>
    <col min="1834" max="1834" width="3.5" style="44" customWidth="1"/>
    <col min="1835" max="1845" width="3.125" style="44" customWidth="1"/>
    <col min="1846" max="1847" width="5.625" style="44" customWidth="1"/>
    <col min="1848" max="1892" width="2.625" style="44" customWidth="1"/>
    <col min="1893" max="2052" width="9" style="44"/>
    <col min="2053" max="2067" width="3.125" style="44" customWidth="1"/>
    <col min="2068" max="2068" width="5.5" style="44" customWidth="1"/>
    <col min="2069" max="2069" width="5.625" style="44" customWidth="1"/>
    <col min="2070" max="2085" width="3.125" style="44" customWidth="1"/>
    <col min="2086" max="2086" width="5.375" style="44" customWidth="1"/>
    <col min="2087" max="2088" width="3.125" style="44" customWidth="1"/>
    <col min="2089" max="2089" width="4.625" style="44" customWidth="1"/>
    <col min="2090" max="2090" width="3.5" style="44" customWidth="1"/>
    <col min="2091" max="2101" width="3.125" style="44" customWidth="1"/>
    <col min="2102" max="2103" width="5.625" style="44" customWidth="1"/>
    <col min="2104" max="2148" width="2.625" style="44" customWidth="1"/>
    <col min="2149" max="2308" width="9" style="44"/>
    <col min="2309" max="2323" width="3.125" style="44" customWidth="1"/>
    <col min="2324" max="2324" width="5.5" style="44" customWidth="1"/>
    <col min="2325" max="2325" width="5.625" style="44" customWidth="1"/>
    <col min="2326" max="2341" width="3.125" style="44" customWidth="1"/>
    <col min="2342" max="2342" width="5.375" style="44" customWidth="1"/>
    <col min="2343" max="2344" width="3.125" style="44" customWidth="1"/>
    <col min="2345" max="2345" width="4.625" style="44" customWidth="1"/>
    <col min="2346" max="2346" width="3.5" style="44" customWidth="1"/>
    <col min="2347" max="2357" width="3.125" style="44" customWidth="1"/>
    <col min="2358" max="2359" width="5.625" style="44" customWidth="1"/>
    <col min="2360" max="2404" width="2.625" style="44" customWidth="1"/>
    <col min="2405" max="2564" width="9" style="44"/>
    <col min="2565" max="2579" width="3.125" style="44" customWidth="1"/>
    <col min="2580" max="2580" width="5.5" style="44" customWidth="1"/>
    <col min="2581" max="2581" width="5.625" style="44" customWidth="1"/>
    <col min="2582" max="2597" width="3.125" style="44" customWidth="1"/>
    <col min="2598" max="2598" width="5.375" style="44" customWidth="1"/>
    <col min="2599" max="2600" width="3.125" style="44" customWidth="1"/>
    <col min="2601" max="2601" width="4.625" style="44" customWidth="1"/>
    <col min="2602" max="2602" width="3.5" style="44" customWidth="1"/>
    <col min="2603" max="2613" width="3.125" style="44" customWidth="1"/>
    <col min="2614" max="2615" width="5.625" style="44" customWidth="1"/>
    <col min="2616" max="2660" width="2.625" style="44" customWidth="1"/>
    <col min="2661" max="2820" width="9" style="44"/>
    <col min="2821" max="2835" width="3.125" style="44" customWidth="1"/>
    <col min="2836" max="2836" width="5.5" style="44" customWidth="1"/>
    <col min="2837" max="2837" width="5.625" style="44" customWidth="1"/>
    <col min="2838" max="2853" width="3.125" style="44" customWidth="1"/>
    <col min="2854" max="2854" width="5.375" style="44" customWidth="1"/>
    <col min="2855" max="2856" width="3.125" style="44" customWidth="1"/>
    <col min="2857" max="2857" width="4.625" style="44" customWidth="1"/>
    <col min="2858" max="2858" width="3.5" style="44" customWidth="1"/>
    <col min="2859" max="2869" width="3.125" style="44" customWidth="1"/>
    <col min="2870" max="2871" width="5.625" style="44" customWidth="1"/>
    <col min="2872" max="2916" width="2.625" style="44" customWidth="1"/>
    <col min="2917" max="3076" width="9" style="44"/>
    <col min="3077" max="3091" width="3.125" style="44" customWidth="1"/>
    <col min="3092" max="3092" width="5.5" style="44" customWidth="1"/>
    <col min="3093" max="3093" width="5.625" style="44" customWidth="1"/>
    <col min="3094" max="3109" width="3.125" style="44" customWidth="1"/>
    <col min="3110" max="3110" width="5.375" style="44" customWidth="1"/>
    <col min="3111" max="3112" width="3.125" style="44" customWidth="1"/>
    <col min="3113" max="3113" width="4.625" style="44" customWidth="1"/>
    <col min="3114" max="3114" width="3.5" style="44" customWidth="1"/>
    <col min="3115" max="3125" width="3.125" style="44" customWidth="1"/>
    <col min="3126" max="3127" width="5.625" style="44" customWidth="1"/>
    <col min="3128" max="3172" width="2.625" style="44" customWidth="1"/>
    <col min="3173" max="3332" width="9" style="44"/>
    <col min="3333" max="3347" width="3.125" style="44" customWidth="1"/>
    <col min="3348" max="3348" width="5.5" style="44" customWidth="1"/>
    <col min="3349" max="3349" width="5.625" style="44" customWidth="1"/>
    <col min="3350" max="3365" width="3.125" style="44" customWidth="1"/>
    <col min="3366" max="3366" width="5.375" style="44" customWidth="1"/>
    <col min="3367" max="3368" width="3.125" style="44" customWidth="1"/>
    <col min="3369" max="3369" width="4.625" style="44" customWidth="1"/>
    <col min="3370" max="3370" width="3.5" style="44" customWidth="1"/>
    <col min="3371" max="3381" width="3.125" style="44" customWidth="1"/>
    <col min="3382" max="3383" width="5.625" style="44" customWidth="1"/>
    <col min="3384" max="3428" width="2.625" style="44" customWidth="1"/>
    <col min="3429" max="3588" width="9" style="44"/>
    <col min="3589" max="3603" width="3.125" style="44" customWidth="1"/>
    <col min="3604" max="3604" width="5.5" style="44" customWidth="1"/>
    <col min="3605" max="3605" width="5.625" style="44" customWidth="1"/>
    <col min="3606" max="3621" width="3.125" style="44" customWidth="1"/>
    <col min="3622" max="3622" width="5.375" style="44" customWidth="1"/>
    <col min="3623" max="3624" width="3.125" style="44" customWidth="1"/>
    <col min="3625" max="3625" width="4.625" style="44" customWidth="1"/>
    <col min="3626" max="3626" width="3.5" style="44" customWidth="1"/>
    <col min="3627" max="3637" width="3.125" style="44" customWidth="1"/>
    <col min="3638" max="3639" width="5.625" style="44" customWidth="1"/>
    <col min="3640" max="3684" width="2.625" style="44" customWidth="1"/>
    <col min="3685" max="3844" width="9" style="44"/>
    <col min="3845" max="3859" width="3.125" style="44" customWidth="1"/>
    <col min="3860" max="3860" width="5.5" style="44" customWidth="1"/>
    <col min="3861" max="3861" width="5.625" style="44" customWidth="1"/>
    <col min="3862" max="3877" width="3.125" style="44" customWidth="1"/>
    <col min="3878" max="3878" width="5.375" style="44" customWidth="1"/>
    <col min="3879" max="3880" width="3.125" style="44" customWidth="1"/>
    <col min="3881" max="3881" width="4.625" style="44" customWidth="1"/>
    <col min="3882" max="3882" width="3.5" style="44" customWidth="1"/>
    <col min="3883" max="3893" width="3.125" style="44" customWidth="1"/>
    <col min="3894" max="3895" width="5.625" style="44" customWidth="1"/>
    <col min="3896" max="3940" width="2.625" style="44" customWidth="1"/>
    <col min="3941" max="4100" width="9" style="44"/>
    <col min="4101" max="4115" width="3.125" style="44" customWidth="1"/>
    <col min="4116" max="4116" width="5.5" style="44" customWidth="1"/>
    <col min="4117" max="4117" width="5.625" style="44" customWidth="1"/>
    <col min="4118" max="4133" width="3.125" style="44" customWidth="1"/>
    <col min="4134" max="4134" width="5.375" style="44" customWidth="1"/>
    <col min="4135" max="4136" width="3.125" style="44" customWidth="1"/>
    <col min="4137" max="4137" width="4.625" style="44" customWidth="1"/>
    <col min="4138" max="4138" width="3.5" style="44" customWidth="1"/>
    <col min="4139" max="4149" width="3.125" style="44" customWidth="1"/>
    <col min="4150" max="4151" width="5.625" style="44" customWidth="1"/>
    <col min="4152" max="4196" width="2.625" style="44" customWidth="1"/>
    <col min="4197" max="4356" width="9" style="44"/>
    <col min="4357" max="4371" width="3.125" style="44" customWidth="1"/>
    <col min="4372" max="4372" width="5.5" style="44" customWidth="1"/>
    <col min="4373" max="4373" width="5.625" style="44" customWidth="1"/>
    <col min="4374" max="4389" width="3.125" style="44" customWidth="1"/>
    <col min="4390" max="4390" width="5.375" style="44" customWidth="1"/>
    <col min="4391" max="4392" width="3.125" style="44" customWidth="1"/>
    <col min="4393" max="4393" width="4.625" style="44" customWidth="1"/>
    <col min="4394" max="4394" width="3.5" style="44" customWidth="1"/>
    <col min="4395" max="4405" width="3.125" style="44" customWidth="1"/>
    <col min="4406" max="4407" width="5.625" style="44" customWidth="1"/>
    <col min="4408" max="4452" width="2.625" style="44" customWidth="1"/>
    <col min="4453" max="4612" width="9" style="44"/>
    <col min="4613" max="4627" width="3.125" style="44" customWidth="1"/>
    <col min="4628" max="4628" width="5.5" style="44" customWidth="1"/>
    <col min="4629" max="4629" width="5.625" style="44" customWidth="1"/>
    <col min="4630" max="4645" width="3.125" style="44" customWidth="1"/>
    <col min="4646" max="4646" width="5.375" style="44" customWidth="1"/>
    <col min="4647" max="4648" width="3.125" style="44" customWidth="1"/>
    <col min="4649" max="4649" width="4.625" style="44" customWidth="1"/>
    <col min="4650" max="4650" width="3.5" style="44" customWidth="1"/>
    <col min="4651" max="4661" width="3.125" style="44" customWidth="1"/>
    <col min="4662" max="4663" width="5.625" style="44" customWidth="1"/>
    <col min="4664" max="4708" width="2.625" style="44" customWidth="1"/>
    <col min="4709" max="4868" width="9" style="44"/>
    <col min="4869" max="4883" width="3.125" style="44" customWidth="1"/>
    <col min="4884" max="4884" width="5.5" style="44" customWidth="1"/>
    <col min="4885" max="4885" width="5.625" style="44" customWidth="1"/>
    <col min="4886" max="4901" width="3.125" style="44" customWidth="1"/>
    <col min="4902" max="4902" width="5.375" style="44" customWidth="1"/>
    <col min="4903" max="4904" width="3.125" style="44" customWidth="1"/>
    <col min="4905" max="4905" width="4.625" style="44" customWidth="1"/>
    <col min="4906" max="4906" width="3.5" style="44" customWidth="1"/>
    <col min="4907" max="4917" width="3.125" style="44" customWidth="1"/>
    <col min="4918" max="4919" width="5.625" style="44" customWidth="1"/>
    <col min="4920" max="4964" width="2.625" style="44" customWidth="1"/>
    <col min="4965" max="5124" width="9" style="44"/>
    <col min="5125" max="5139" width="3.125" style="44" customWidth="1"/>
    <col min="5140" max="5140" width="5.5" style="44" customWidth="1"/>
    <col min="5141" max="5141" width="5.625" style="44" customWidth="1"/>
    <col min="5142" max="5157" width="3.125" style="44" customWidth="1"/>
    <col min="5158" max="5158" width="5.375" style="44" customWidth="1"/>
    <col min="5159" max="5160" width="3.125" style="44" customWidth="1"/>
    <col min="5161" max="5161" width="4.625" style="44" customWidth="1"/>
    <col min="5162" max="5162" width="3.5" style="44" customWidth="1"/>
    <col min="5163" max="5173" width="3.125" style="44" customWidth="1"/>
    <col min="5174" max="5175" width="5.625" style="44" customWidth="1"/>
    <col min="5176" max="5220" width="2.625" style="44" customWidth="1"/>
    <col min="5221" max="5380" width="9" style="44"/>
    <col min="5381" max="5395" width="3.125" style="44" customWidth="1"/>
    <col min="5396" max="5396" width="5.5" style="44" customWidth="1"/>
    <col min="5397" max="5397" width="5.625" style="44" customWidth="1"/>
    <col min="5398" max="5413" width="3.125" style="44" customWidth="1"/>
    <col min="5414" max="5414" width="5.375" style="44" customWidth="1"/>
    <col min="5415" max="5416" width="3.125" style="44" customWidth="1"/>
    <col min="5417" max="5417" width="4.625" style="44" customWidth="1"/>
    <col min="5418" max="5418" width="3.5" style="44" customWidth="1"/>
    <col min="5419" max="5429" width="3.125" style="44" customWidth="1"/>
    <col min="5430" max="5431" width="5.625" style="44" customWidth="1"/>
    <col min="5432" max="5476" width="2.625" style="44" customWidth="1"/>
    <col min="5477" max="5636" width="9" style="44"/>
    <col min="5637" max="5651" width="3.125" style="44" customWidth="1"/>
    <col min="5652" max="5652" width="5.5" style="44" customWidth="1"/>
    <col min="5653" max="5653" width="5.625" style="44" customWidth="1"/>
    <col min="5654" max="5669" width="3.125" style="44" customWidth="1"/>
    <col min="5670" max="5670" width="5.375" style="44" customWidth="1"/>
    <col min="5671" max="5672" width="3.125" style="44" customWidth="1"/>
    <col min="5673" max="5673" width="4.625" style="44" customWidth="1"/>
    <col min="5674" max="5674" width="3.5" style="44" customWidth="1"/>
    <col min="5675" max="5685" width="3.125" style="44" customWidth="1"/>
    <col min="5686" max="5687" width="5.625" style="44" customWidth="1"/>
    <col min="5688" max="5732" width="2.625" style="44" customWidth="1"/>
    <col min="5733" max="5892" width="9" style="44"/>
    <col min="5893" max="5907" width="3.125" style="44" customWidth="1"/>
    <col min="5908" max="5908" width="5.5" style="44" customWidth="1"/>
    <col min="5909" max="5909" width="5.625" style="44" customWidth="1"/>
    <col min="5910" max="5925" width="3.125" style="44" customWidth="1"/>
    <col min="5926" max="5926" width="5.375" style="44" customWidth="1"/>
    <col min="5927" max="5928" width="3.125" style="44" customWidth="1"/>
    <col min="5929" max="5929" width="4.625" style="44" customWidth="1"/>
    <col min="5930" max="5930" width="3.5" style="44" customWidth="1"/>
    <col min="5931" max="5941" width="3.125" style="44" customWidth="1"/>
    <col min="5942" max="5943" width="5.625" style="44" customWidth="1"/>
    <col min="5944" max="5988" width="2.625" style="44" customWidth="1"/>
    <col min="5989" max="6148" width="9" style="44"/>
    <col min="6149" max="6163" width="3.125" style="44" customWidth="1"/>
    <col min="6164" max="6164" width="5.5" style="44" customWidth="1"/>
    <col min="6165" max="6165" width="5.625" style="44" customWidth="1"/>
    <col min="6166" max="6181" width="3.125" style="44" customWidth="1"/>
    <col min="6182" max="6182" width="5.375" style="44" customWidth="1"/>
    <col min="6183" max="6184" width="3.125" style="44" customWidth="1"/>
    <col min="6185" max="6185" width="4.625" style="44" customWidth="1"/>
    <col min="6186" max="6186" width="3.5" style="44" customWidth="1"/>
    <col min="6187" max="6197" width="3.125" style="44" customWidth="1"/>
    <col min="6198" max="6199" width="5.625" style="44" customWidth="1"/>
    <col min="6200" max="6244" width="2.625" style="44" customWidth="1"/>
    <col min="6245" max="6404" width="9" style="44"/>
    <col min="6405" max="6419" width="3.125" style="44" customWidth="1"/>
    <col min="6420" max="6420" width="5.5" style="44" customWidth="1"/>
    <col min="6421" max="6421" width="5.625" style="44" customWidth="1"/>
    <col min="6422" max="6437" width="3.125" style="44" customWidth="1"/>
    <col min="6438" max="6438" width="5.375" style="44" customWidth="1"/>
    <col min="6439" max="6440" width="3.125" style="44" customWidth="1"/>
    <col min="6441" max="6441" width="4.625" style="44" customWidth="1"/>
    <col min="6442" max="6442" width="3.5" style="44" customWidth="1"/>
    <col min="6443" max="6453" width="3.125" style="44" customWidth="1"/>
    <col min="6454" max="6455" width="5.625" style="44" customWidth="1"/>
    <col min="6456" max="6500" width="2.625" style="44" customWidth="1"/>
    <col min="6501" max="6660" width="9" style="44"/>
    <col min="6661" max="6675" width="3.125" style="44" customWidth="1"/>
    <col min="6676" max="6676" width="5.5" style="44" customWidth="1"/>
    <col min="6677" max="6677" width="5.625" style="44" customWidth="1"/>
    <col min="6678" max="6693" width="3.125" style="44" customWidth="1"/>
    <col min="6694" max="6694" width="5.375" style="44" customWidth="1"/>
    <col min="6695" max="6696" width="3.125" style="44" customWidth="1"/>
    <col min="6697" max="6697" width="4.625" style="44" customWidth="1"/>
    <col min="6698" max="6698" width="3.5" style="44" customWidth="1"/>
    <col min="6699" max="6709" width="3.125" style="44" customWidth="1"/>
    <col min="6710" max="6711" width="5.625" style="44" customWidth="1"/>
    <col min="6712" max="6756" width="2.625" style="44" customWidth="1"/>
    <col min="6757" max="6916" width="9" style="44"/>
    <col min="6917" max="6931" width="3.125" style="44" customWidth="1"/>
    <col min="6932" max="6932" width="5.5" style="44" customWidth="1"/>
    <col min="6933" max="6933" width="5.625" style="44" customWidth="1"/>
    <col min="6934" max="6949" width="3.125" style="44" customWidth="1"/>
    <col min="6950" max="6950" width="5.375" style="44" customWidth="1"/>
    <col min="6951" max="6952" width="3.125" style="44" customWidth="1"/>
    <col min="6953" max="6953" width="4.625" style="44" customWidth="1"/>
    <col min="6954" max="6954" width="3.5" style="44" customWidth="1"/>
    <col min="6955" max="6965" width="3.125" style="44" customWidth="1"/>
    <col min="6966" max="6967" width="5.625" style="44" customWidth="1"/>
    <col min="6968" max="7012" width="2.625" style="44" customWidth="1"/>
    <col min="7013" max="7172" width="9" style="44"/>
    <col min="7173" max="7187" width="3.125" style="44" customWidth="1"/>
    <col min="7188" max="7188" width="5.5" style="44" customWidth="1"/>
    <col min="7189" max="7189" width="5.625" style="44" customWidth="1"/>
    <col min="7190" max="7205" width="3.125" style="44" customWidth="1"/>
    <col min="7206" max="7206" width="5.375" style="44" customWidth="1"/>
    <col min="7207" max="7208" width="3.125" style="44" customWidth="1"/>
    <col min="7209" max="7209" width="4.625" style="44" customWidth="1"/>
    <col min="7210" max="7210" width="3.5" style="44" customWidth="1"/>
    <col min="7211" max="7221" width="3.125" style="44" customWidth="1"/>
    <col min="7222" max="7223" width="5.625" style="44" customWidth="1"/>
    <col min="7224" max="7268" width="2.625" style="44" customWidth="1"/>
    <col min="7269" max="7428" width="9" style="44"/>
    <col min="7429" max="7443" width="3.125" style="44" customWidth="1"/>
    <col min="7444" max="7444" width="5.5" style="44" customWidth="1"/>
    <col min="7445" max="7445" width="5.625" style="44" customWidth="1"/>
    <col min="7446" max="7461" width="3.125" style="44" customWidth="1"/>
    <col min="7462" max="7462" width="5.375" style="44" customWidth="1"/>
    <col min="7463" max="7464" width="3.125" style="44" customWidth="1"/>
    <col min="7465" max="7465" width="4.625" style="44" customWidth="1"/>
    <col min="7466" max="7466" width="3.5" style="44" customWidth="1"/>
    <col min="7467" max="7477" width="3.125" style="44" customWidth="1"/>
    <col min="7478" max="7479" width="5.625" style="44" customWidth="1"/>
    <col min="7480" max="7524" width="2.625" style="44" customWidth="1"/>
    <col min="7525" max="7684" width="9" style="44"/>
    <col min="7685" max="7699" width="3.125" style="44" customWidth="1"/>
    <col min="7700" max="7700" width="5.5" style="44" customWidth="1"/>
    <col min="7701" max="7701" width="5.625" style="44" customWidth="1"/>
    <col min="7702" max="7717" width="3.125" style="44" customWidth="1"/>
    <col min="7718" max="7718" width="5.375" style="44" customWidth="1"/>
    <col min="7719" max="7720" width="3.125" style="44" customWidth="1"/>
    <col min="7721" max="7721" width="4.625" style="44" customWidth="1"/>
    <col min="7722" max="7722" width="3.5" style="44" customWidth="1"/>
    <col min="7723" max="7733" width="3.125" style="44" customWidth="1"/>
    <col min="7734" max="7735" width="5.625" style="44" customWidth="1"/>
    <col min="7736" max="7780" width="2.625" style="44" customWidth="1"/>
    <col min="7781" max="7940" width="9" style="44"/>
    <col min="7941" max="7955" width="3.125" style="44" customWidth="1"/>
    <col min="7956" max="7956" width="5.5" style="44" customWidth="1"/>
    <col min="7957" max="7957" width="5.625" style="44" customWidth="1"/>
    <col min="7958" max="7973" width="3.125" style="44" customWidth="1"/>
    <col min="7974" max="7974" width="5.375" style="44" customWidth="1"/>
    <col min="7975" max="7976" width="3.125" style="44" customWidth="1"/>
    <col min="7977" max="7977" width="4.625" style="44" customWidth="1"/>
    <col min="7978" max="7978" width="3.5" style="44" customWidth="1"/>
    <col min="7979" max="7989" width="3.125" style="44" customWidth="1"/>
    <col min="7990" max="7991" width="5.625" style="44" customWidth="1"/>
    <col min="7992" max="8036" width="2.625" style="44" customWidth="1"/>
    <col min="8037" max="8196" width="9" style="44"/>
    <col min="8197" max="8211" width="3.125" style="44" customWidth="1"/>
    <col min="8212" max="8212" width="5.5" style="44" customWidth="1"/>
    <col min="8213" max="8213" width="5.625" style="44" customWidth="1"/>
    <col min="8214" max="8229" width="3.125" style="44" customWidth="1"/>
    <col min="8230" max="8230" width="5.375" style="44" customWidth="1"/>
    <col min="8231" max="8232" width="3.125" style="44" customWidth="1"/>
    <col min="8233" max="8233" width="4.625" style="44" customWidth="1"/>
    <col min="8234" max="8234" width="3.5" style="44" customWidth="1"/>
    <col min="8235" max="8245" width="3.125" style="44" customWidth="1"/>
    <col min="8246" max="8247" width="5.625" style="44" customWidth="1"/>
    <col min="8248" max="8292" width="2.625" style="44" customWidth="1"/>
    <col min="8293" max="8452" width="9" style="44"/>
    <col min="8453" max="8467" width="3.125" style="44" customWidth="1"/>
    <col min="8468" max="8468" width="5.5" style="44" customWidth="1"/>
    <col min="8469" max="8469" width="5.625" style="44" customWidth="1"/>
    <col min="8470" max="8485" width="3.125" style="44" customWidth="1"/>
    <col min="8486" max="8486" width="5.375" style="44" customWidth="1"/>
    <col min="8487" max="8488" width="3.125" style="44" customWidth="1"/>
    <col min="8489" max="8489" width="4.625" style="44" customWidth="1"/>
    <col min="8490" max="8490" width="3.5" style="44" customWidth="1"/>
    <col min="8491" max="8501" width="3.125" style="44" customWidth="1"/>
    <col min="8502" max="8503" width="5.625" style="44" customWidth="1"/>
    <col min="8504" max="8548" width="2.625" style="44" customWidth="1"/>
    <col min="8549" max="8708" width="9" style="44"/>
    <col min="8709" max="8723" width="3.125" style="44" customWidth="1"/>
    <col min="8724" max="8724" width="5.5" style="44" customWidth="1"/>
    <col min="8725" max="8725" width="5.625" style="44" customWidth="1"/>
    <col min="8726" max="8741" width="3.125" style="44" customWidth="1"/>
    <col min="8742" max="8742" width="5.375" style="44" customWidth="1"/>
    <col min="8743" max="8744" width="3.125" style="44" customWidth="1"/>
    <col min="8745" max="8745" width="4.625" style="44" customWidth="1"/>
    <col min="8746" max="8746" width="3.5" style="44" customWidth="1"/>
    <col min="8747" max="8757" width="3.125" style="44" customWidth="1"/>
    <col min="8758" max="8759" width="5.625" style="44" customWidth="1"/>
    <col min="8760" max="8804" width="2.625" style="44" customWidth="1"/>
    <col min="8805" max="8964" width="9" style="44"/>
    <col min="8965" max="8979" width="3.125" style="44" customWidth="1"/>
    <col min="8980" max="8980" width="5.5" style="44" customWidth="1"/>
    <col min="8981" max="8981" width="5.625" style="44" customWidth="1"/>
    <col min="8982" max="8997" width="3.125" style="44" customWidth="1"/>
    <col min="8998" max="8998" width="5.375" style="44" customWidth="1"/>
    <col min="8999" max="9000" width="3.125" style="44" customWidth="1"/>
    <col min="9001" max="9001" width="4.625" style="44" customWidth="1"/>
    <col min="9002" max="9002" width="3.5" style="44" customWidth="1"/>
    <col min="9003" max="9013" width="3.125" style="44" customWidth="1"/>
    <col min="9014" max="9015" width="5.625" style="44" customWidth="1"/>
    <col min="9016" max="9060" width="2.625" style="44" customWidth="1"/>
    <col min="9061" max="9220" width="9" style="44"/>
    <col min="9221" max="9235" width="3.125" style="44" customWidth="1"/>
    <col min="9236" max="9236" width="5.5" style="44" customWidth="1"/>
    <col min="9237" max="9237" width="5.625" style="44" customWidth="1"/>
    <col min="9238" max="9253" width="3.125" style="44" customWidth="1"/>
    <col min="9254" max="9254" width="5.375" style="44" customWidth="1"/>
    <col min="9255" max="9256" width="3.125" style="44" customWidth="1"/>
    <col min="9257" max="9257" width="4.625" style="44" customWidth="1"/>
    <col min="9258" max="9258" width="3.5" style="44" customWidth="1"/>
    <col min="9259" max="9269" width="3.125" style="44" customWidth="1"/>
    <col min="9270" max="9271" width="5.625" style="44" customWidth="1"/>
    <col min="9272" max="9316" width="2.625" style="44" customWidth="1"/>
    <col min="9317" max="9476" width="9" style="44"/>
    <col min="9477" max="9491" width="3.125" style="44" customWidth="1"/>
    <col min="9492" max="9492" width="5.5" style="44" customWidth="1"/>
    <col min="9493" max="9493" width="5.625" style="44" customWidth="1"/>
    <col min="9494" max="9509" width="3.125" style="44" customWidth="1"/>
    <col min="9510" max="9510" width="5.375" style="44" customWidth="1"/>
    <col min="9511" max="9512" width="3.125" style="44" customWidth="1"/>
    <col min="9513" max="9513" width="4.625" style="44" customWidth="1"/>
    <col min="9514" max="9514" width="3.5" style="44" customWidth="1"/>
    <col min="9515" max="9525" width="3.125" style="44" customWidth="1"/>
    <col min="9526" max="9527" width="5.625" style="44" customWidth="1"/>
    <col min="9528" max="9572" width="2.625" style="44" customWidth="1"/>
    <col min="9573" max="9732" width="9" style="44"/>
    <col min="9733" max="9747" width="3.125" style="44" customWidth="1"/>
    <col min="9748" max="9748" width="5.5" style="44" customWidth="1"/>
    <col min="9749" max="9749" width="5.625" style="44" customWidth="1"/>
    <col min="9750" max="9765" width="3.125" style="44" customWidth="1"/>
    <col min="9766" max="9766" width="5.375" style="44" customWidth="1"/>
    <col min="9767" max="9768" width="3.125" style="44" customWidth="1"/>
    <col min="9769" max="9769" width="4.625" style="44" customWidth="1"/>
    <col min="9770" max="9770" width="3.5" style="44" customWidth="1"/>
    <col min="9771" max="9781" width="3.125" style="44" customWidth="1"/>
    <col min="9782" max="9783" width="5.625" style="44" customWidth="1"/>
    <col min="9784" max="9828" width="2.625" style="44" customWidth="1"/>
    <col min="9829" max="9988" width="9" style="44"/>
    <col min="9989" max="10003" width="3.125" style="44" customWidth="1"/>
    <col min="10004" max="10004" width="5.5" style="44" customWidth="1"/>
    <col min="10005" max="10005" width="5.625" style="44" customWidth="1"/>
    <col min="10006" max="10021" width="3.125" style="44" customWidth="1"/>
    <col min="10022" max="10022" width="5.375" style="44" customWidth="1"/>
    <col min="10023" max="10024" width="3.125" style="44" customWidth="1"/>
    <col min="10025" max="10025" width="4.625" style="44" customWidth="1"/>
    <col min="10026" max="10026" width="3.5" style="44" customWidth="1"/>
    <col min="10027" max="10037" width="3.125" style="44" customWidth="1"/>
    <col min="10038" max="10039" width="5.625" style="44" customWidth="1"/>
    <col min="10040" max="10084" width="2.625" style="44" customWidth="1"/>
    <col min="10085" max="10244" width="9" style="44"/>
    <col min="10245" max="10259" width="3.125" style="44" customWidth="1"/>
    <col min="10260" max="10260" width="5.5" style="44" customWidth="1"/>
    <col min="10261" max="10261" width="5.625" style="44" customWidth="1"/>
    <col min="10262" max="10277" width="3.125" style="44" customWidth="1"/>
    <col min="10278" max="10278" width="5.375" style="44" customWidth="1"/>
    <col min="10279" max="10280" width="3.125" style="44" customWidth="1"/>
    <col min="10281" max="10281" width="4.625" style="44" customWidth="1"/>
    <col min="10282" max="10282" width="3.5" style="44" customWidth="1"/>
    <col min="10283" max="10293" width="3.125" style="44" customWidth="1"/>
    <col min="10294" max="10295" width="5.625" style="44" customWidth="1"/>
    <col min="10296" max="10340" width="2.625" style="44" customWidth="1"/>
    <col min="10341" max="10500" width="9" style="44"/>
    <col min="10501" max="10515" width="3.125" style="44" customWidth="1"/>
    <col min="10516" max="10516" width="5.5" style="44" customWidth="1"/>
    <col min="10517" max="10517" width="5.625" style="44" customWidth="1"/>
    <col min="10518" max="10533" width="3.125" style="44" customWidth="1"/>
    <col min="10534" max="10534" width="5.375" style="44" customWidth="1"/>
    <col min="10535" max="10536" width="3.125" style="44" customWidth="1"/>
    <col min="10537" max="10537" width="4.625" style="44" customWidth="1"/>
    <col min="10538" max="10538" width="3.5" style="44" customWidth="1"/>
    <col min="10539" max="10549" width="3.125" style="44" customWidth="1"/>
    <col min="10550" max="10551" width="5.625" style="44" customWidth="1"/>
    <col min="10552" max="10596" width="2.625" style="44" customWidth="1"/>
    <col min="10597" max="10756" width="9" style="44"/>
    <col min="10757" max="10771" width="3.125" style="44" customWidth="1"/>
    <col min="10772" max="10772" width="5.5" style="44" customWidth="1"/>
    <col min="10773" max="10773" width="5.625" style="44" customWidth="1"/>
    <col min="10774" max="10789" width="3.125" style="44" customWidth="1"/>
    <col min="10790" max="10790" width="5.375" style="44" customWidth="1"/>
    <col min="10791" max="10792" width="3.125" style="44" customWidth="1"/>
    <col min="10793" max="10793" width="4.625" style="44" customWidth="1"/>
    <col min="10794" max="10794" width="3.5" style="44" customWidth="1"/>
    <col min="10795" max="10805" width="3.125" style="44" customWidth="1"/>
    <col min="10806" max="10807" width="5.625" style="44" customWidth="1"/>
    <col min="10808" max="10852" width="2.625" style="44" customWidth="1"/>
    <col min="10853" max="11012" width="9" style="44"/>
    <col min="11013" max="11027" width="3.125" style="44" customWidth="1"/>
    <col min="11028" max="11028" width="5.5" style="44" customWidth="1"/>
    <col min="11029" max="11029" width="5.625" style="44" customWidth="1"/>
    <col min="11030" max="11045" width="3.125" style="44" customWidth="1"/>
    <col min="11046" max="11046" width="5.375" style="44" customWidth="1"/>
    <col min="11047" max="11048" width="3.125" style="44" customWidth="1"/>
    <col min="11049" max="11049" width="4.625" style="44" customWidth="1"/>
    <col min="11050" max="11050" width="3.5" style="44" customWidth="1"/>
    <col min="11051" max="11061" width="3.125" style="44" customWidth="1"/>
    <col min="11062" max="11063" width="5.625" style="44" customWidth="1"/>
    <col min="11064" max="11108" width="2.625" style="44" customWidth="1"/>
    <col min="11109" max="11268" width="9" style="44"/>
    <col min="11269" max="11283" width="3.125" style="44" customWidth="1"/>
    <col min="11284" max="11284" width="5.5" style="44" customWidth="1"/>
    <col min="11285" max="11285" width="5.625" style="44" customWidth="1"/>
    <col min="11286" max="11301" width="3.125" style="44" customWidth="1"/>
    <col min="11302" max="11302" width="5.375" style="44" customWidth="1"/>
    <col min="11303" max="11304" width="3.125" style="44" customWidth="1"/>
    <col min="11305" max="11305" width="4.625" style="44" customWidth="1"/>
    <col min="11306" max="11306" width="3.5" style="44" customWidth="1"/>
    <col min="11307" max="11317" width="3.125" style="44" customWidth="1"/>
    <col min="11318" max="11319" width="5.625" style="44" customWidth="1"/>
    <col min="11320" max="11364" width="2.625" style="44" customWidth="1"/>
    <col min="11365" max="11524" width="9" style="44"/>
    <col min="11525" max="11539" width="3.125" style="44" customWidth="1"/>
    <col min="11540" max="11540" width="5.5" style="44" customWidth="1"/>
    <col min="11541" max="11541" width="5.625" style="44" customWidth="1"/>
    <col min="11542" max="11557" width="3.125" style="44" customWidth="1"/>
    <col min="11558" max="11558" width="5.375" style="44" customWidth="1"/>
    <col min="11559" max="11560" width="3.125" style="44" customWidth="1"/>
    <col min="11561" max="11561" width="4.625" style="44" customWidth="1"/>
    <col min="11562" max="11562" width="3.5" style="44" customWidth="1"/>
    <col min="11563" max="11573" width="3.125" style="44" customWidth="1"/>
    <col min="11574" max="11575" width="5.625" style="44" customWidth="1"/>
    <col min="11576" max="11620" width="2.625" style="44" customWidth="1"/>
    <col min="11621" max="11780" width="9" style="44"/>
    <col min="11781" max="11795" width="3.125" style="44" customWidth="1"/>
    <col min="11796" max="11796" width="5.5" style="44" customWidth="1"/>
    <col min="11797" max="11797" width="5.625" style="44" customWidth="1"/>
    <col min="11798" max="11813" width="3.125" style="44" customWidth="1"/>
    <col min="11814" max="11814" width="5.375" style="44" customWidth="1"/>
    <col min="11815" max="11816" width="3.125" style="44" customWidth="1"/>
    <col min="11817" max="11817" width="4.625" style="44" customWidth="1"/>
    <col min="11818" max="11818" width="3.5" style="44" customWidth="1"/>
    <col min="11819" max="11829" width="3.125" style="44" customWidth="1"/>
    <col min="11830" max="11831" width="5.625" style="44" customWidth="1"/>
    <col min="11832" max="11876" width="2.625" style="44" customWidth="1"/>
    <col min="11877" max="12036" width="9" style="44"/>
    <col min="12037" max="12051" width="3.125" style="44" customWidth="1"/>
    <col min="12052" max="12052" width="5.5" style="44" customWidth="1"/>
    <col min="12053" max="12053" width="5.625" style="44" customWidth="1"/>
    <col min="12054" max="12069" width="3.125" style="44" customWidth="1"/>
    <col min="12070" max="12070" width="5.375" style="44" customWidth="1"/>
    <col min="12071" max="12072" width="3.125" style="44" customWidth="1"/>
    <col min="12073" max="12073" width="4.625" style="44" customWidth="1"/>
    <col min="12074" max="12074" width="3.5" style="44" customWidth="1"/>
    <col min="12075" max="12085" width="3.125" style="44" customWidth="1"/>
    <col min="12086" max="12087" width="5.625" style="44" customWidth="1"/>
    <col min="12088" max="12132" width="2.625" style="44" customWidth="1"/>
    <col min="12133" max="12292" width="9" style="44"/>
    <col min="12293" max="12307" width="3.125" style="44" customWidth="1"/>
    <col min="12308" max="12308" width="5.5" style="44" customWidth="1"/>
    <col min="12309" max="12309" width="5.625" style="44" customWidth="1"/>
    <col min="12310" max="12325" width="3.125" style="44" customWidth="1"/>
    <col min="12326" max="12326" width="5.375" style="44" customWidth="1"/>
    <col min="12327" max="12328" width="3.125" style="44" customWidth="1"/>
    <col min="12329" max="12329" width="4.625" style="44" customWidth="1"/>
    <col min="12330" max="12330" width="3.5" style="44" customWidth="1"/>
    <col min="12331" max="12341" width="3.125" style="44" customWidth="1"/>
    <col min="12342" max="12343" width="5.625" style="44" customWidth="1"/>
    <col min="12344" max="12388" width="2.625" style="44" customWidth="1"/>
    <col min="12389" max="12548" width="9" style="44"/>
    <col min="12549" max="12563" width="3.125" style="44" customWidth="1"/>
    <col min="12564" max="12564" width="5.5" style="44" customWidth="1"/>
    <col min="12565" max="12565" width="5.625" style="44" customWidth="1"/>
    <col min="12566" max="12581" width="3.125" style="44" customWidth="1"/>
    <col min="12582" max="12582" width="5.375" style="44" customWidth="1"/>
    <col min="12583" max="12584" width="3.125" style="44" customWidth="1"/>
    <col min="12585" max="12585" width="4.625" style="44" customWidth="1"/>
    <col min="12586" max="12586" width="3.5" style="44" customWidth="1"/>
    <col min="12587" max="12597" width="3.125" style="44" customWidth="1"/>
    <col min="12598" max="12599" width="5.625" style="44" customWidth="1"/>
    <col min="12600" max="12644" width="2.625" style="44" customWidth="1"/>
    <col min="12645" max="12804" width="9" style="44"/>
    <col min="12805" max="12819" width="3.125" style="44" customWidth="1"/>
    <col min="12820" max="12820" width="5.5" style="44" customWidth="1"/>
    <col min="12821" max="12821" width="5.625" style="44" customWidth="1"/>
    <col min="12822" max="12837" width="3.125" style="44" customWidth="1"/>
    <col min="12838" max="12838" width="5.375" style="44" customWidth="1"/>
    <col min="12839" max="12840" width="3.125" style="44" customWidth="1"/>
    <col min="12841" max="12841" width="4.625" style="44" customWidth="1"/>
    <col min="12842" max="12842" width="3.5" style="44" customWidth="1"/>
    <col min="12843" max="12853" width="3.125" style="44" customWidth="1"/>
    <col min="12854" max="12855" width="5.625" style="44" customWidth="1"/>
    <col min="12856" max="12900" width="2.625" style="44" customWidth="1"/>
    <col min="12901" max="13060" width="9" style="44"/>
    <col min="13061" max="13075" width="3.125" style="44" customWidth="1"/>
    <col min="13076" max="13076" width="5.5" style="44" customWidth="1"/>
    <col min="13077" max="13077" width="5.625" style="44" customWidth="1"/>
    <col min="13078" max="13093" width="3.125" style="44" customWidth="1"/>
    <col min="13094" max="13094" width="5.375" style="44" customWidth="1"/>
    <col min="13095" max="13096" width="3.125" style="44" customWidth="1"/>
    <col min="13097" max="13097" width="4.625" style="44" customWidth="1"/>
    <col min="13098" max="13098" width="3.5" style="44" customWidth="1"/>
    <col min="13099" max="13109" width="3.125" style="44" customWidth="1"/>
    <col min="13110" max="13111" width="5.625" style="44" customWidth="1"/>
    <col min="13112" max="13156" width="2.625" style="44" customWidth="1"/>
    <col min="13157" max="13316" width="9" style="44"/>
    <col min="13317" max="13331" width="3.125" style="44" customWidth="1"/>
    <col min="13332" max="13332" width="5.5" style="44" customWidth="1"/>
    <col min="13333" max="13333" width="5.625" style="44" customWidth="1"/>
    <col min="13334" max="13349" width="3.125" style="44" customWidth="1"/>
    <col min="13350" max="13350" width="5.375" style="44" customWidth="1"/>
    <col min="13351" max="13352" width="3.125" style="44" customWidth="1"/>
    <col min="13353" max="13353" width="4.625" style="44" customWidth="1"/>
    <col min="13354" max="13354" width="3.5" style="44" customWidth="1"/>
    <col min="13355" max="13365" width="3.125" style="44" customWidth="1"/>
    <col min="13366" max="13367" width="5.625" style="44" customWidth="1"/>
    <col min="13368" max="13412" width="2.625" style="44" customWidth="1"/>
    <col min="13413" max="13572" width="9" style="44"/>
    <col min="13573" max="13587" width="3.125" style="44" customWidth="1"/>
    <col min="13588" max="13588" width="5.5" style="44" customWidth="1"/>
    <col min="13589" max="13589" width="5.625" style="44" customWidth="1"/>
    <col min="13590" max="13605" width="3.125" style="44" customWidth="1"/>
    <col min="13606" max="13606" width="5.375" style="44" customWidth="1"/>
    <col min="13607" max="13608" width="3.125" style="44" customWidth="1"/>
    <col min="13609" max="13609" width="4.625" style="44" customWidth="1"/>
    <col min="13610" max="13610" width="3.5" style="44" customWidth="1"/>
    <col min="13611" max="13621" width="3.125" style="44" customWidth="1"/>
    <col min="13622" max="13623" width="5.625" style="44" customWidth="1"/>
    <col min="13624" max="13668" width="2.625" style="44" customWidth="1"/>
    <col min="13669" max="13828" width="9" style="44"/>
    <col min="13829" max="13843" width="3.125" style="44" customWidth="1"/>
    <col min="13844" max="13844" width="5.5" style="44" customWidth="1"/>
    <col min="13845" max="13845" width="5.625" style="44" customWidth="1"/>
    <col min="13846" max="13861" width="3.125" style="44" customWidth="1"/>
    <col min="13862" max="13862" width="5.375" style="44" customWidth="1"/>
    <col min="13863" max="13864" width="3.125" style="44" customWidth="1"/>
    <col min="13865" max="13865" width="4.625" style="44" customWidth="1"/>
    <col min="13866" max="13866" width="3.5" style="44" customWidth="1"/>
    <col min="13867" max="13877" width="3.125" style="44" customWidth="1"/>
    <col min="13878" max="13879" width="5.625" style="44" customWidth="1"/>
    <col min="13880" max="13924" width="2.625" style="44" customWidth="1"/>
    <col min="13925" max="14084" width="9" style="44"/>
    <col min="14085" max="14099" width="3.125" style="44" customWidth="1"/>
    <col min="14100" max="14100" width="5.5" style="44" customWidth="1"/>
    <col min="14101" max="14101" width="5.625" style="44" customWidth="1"/>
    <col min="14102" max="14117" width="3.125" style="44" customWidth="1"/>
    <col min="14118" max="14118" width="5.375" style="44" customWidth="1"/>
    <col min="14119" max="14120" width="3.125" style="44" customWidth="1"/>
    <col min="14121" max="14121" width="4.625" style="44" customWidth="1"/>
    <col min="14122" max="14122" width="3.5" style="44" customWidth="1"/>
    <col min="14123" max="14133" width="3.125" style="44" customWidth="1"/>
    <col min="14134" max="14135" width="5.625" style="44" customWidth="1"/>
    <col min="14136" max="14180" width="2.625" style="44" customWidth="1"/>
    <col min="14181" max="14340" width="9" style="44"/>
    <col min="14341" max="14355" width="3.125" style="44" customWidth="1"/>
    <col min="14356" max="14356" width="5.5" style="44" customWidth="1"/>
    <col min="14357" max="14357" width="5.625" style="44" customWidth="1"/>
    <col min="14358" max="14373" width="3.125" style="44" customWidth="1"/>
    <col min="14374" max="14374" width="5.375" style="44" customWidth="1"/>
    <col min="14375" max="14376" width="3.125" style="44" customWidth="1"/>
    <col min="14377" max="14377" width="4.625" style="44" customWidth="1"/>
    <col min="14378" max="14378" width="3.5" style="44" customWidth="1"/>
    <col min="14379" max="14389" width="3.125" style="44" customWidth="1"/>
    <col min="14390" max="14391" width="5.625" style="44" customWidth="1"/>
    <col min="14392" max="14436" width="2.625" style="44" customWidth="1"/>
    <col min="14437" max="14596" width="9" style="44"/>
    <col min="14597" max="14611" width="3.125" style="44" customWidth="1"/>
    <col min="14612" max="14612" width="5.5" style="44" customWidth="1"/>
    <col min="14613" max="14613" width="5.625" style="44" customWidth="1"/>
    <col min="14614" max="14629" width="3.125" style="44" customWidth="1"/>
    <col min="14630" max="14630" width="5.375" style="44" customWidth="1"/>
    <col min="14631" max="14632" width="3.125" style="44" customWidth="1"/>
    <col min="14633" max="14633" width="4.625" style="44" customWidth="1"/>
    <col min="14634" max="14634" width="3.5" style="44" customWidth="1"/>
    <col min="14635" max="14645" width="3.125" style="44" customWidth="1"/>
    <col min="14646" max="14647" width="5.625" style="44" customWidth="1"/>
    <col min="14648" max="14692" width="2.625" style="44" customWidth="1"/>
    <col min="14693" max="14852" width="9" style="44"/>
    <col min="14853" max="14867" width="3.125" style="44" customWidth="1"/>
    <col min="14868" max="14868" width="5.5" style="44" customWidth="1"/>
    <col min="14869" max="14869" width="5.625" style="44" customWidth="1"/>
    <col min="14870" max="14885" width="3.125" style="44" customWidth="1"/>
    <col min="14886" max="14886" width="5.375" style="44" customWidth="1"/>
    <col min="14887" max="14888" width="3.125" style="44" customWidth="1"/>
    <col min="14889" max="14889" width="4.625" style="44" customWidth="1"/>
    <col min="14890" max="14890" width="3.5" style="44" customWidth="1"/>
    <col min="14891" max="14901" width="3.125" style="44" customWidth="1"/>
    <col min="14902" max="14903" width="5.625" style="44" customWidth="1"/>
    <col min="14904" max="14948" width="2.625" style="44" customWidth="1"/>
    <col min="14949" max="15108" width="9" style="44"/>
    <col min="15109" max="15123" width="3.125" style="44" customWidth="1"/>
    <col min="15124" max="15124" width="5.5" style="44" customWidth="1"/>
    <col min="15125" max="15125" width="5.625" style="44" customWidth="1"/>
    <col min="15126" max="15141" width="3.125" style="44" customWidth="1"/>
    <col min="15142" max="15142" width="5.375" style="44" customWidth="1"/>
    <col min="15143" max="15144" width="3.125" style="44" customWidth="1"/>
    <col min="15145" max="15145" width="4.625" style="44" customWidth="1"/>
    <col min="15146" max="15146" width="3.5" style="44" customWidth="1"/>
    <col min="15147" max="15157" width="3.125" style="44" customWidth="1"/>
    <col min="15158" max="15159" width="5.625" style="44" customWidth="1"/>
    <col min="15160" max="15204" width="2.625" style="44" customWidth="1"/>
    <col min="15205" max="15364" width="9" style="44"/>
    <col min="15365" max="15379" width="3.125" style="44" customWidth="1"/>
    <col min="15380" max="15380" width="5.5" style="44" customWidth="1"/>
    <col min="15381" max="15381" width="5.625" style="44" customWidth="1"/>
    <col min="15382" max="15397" width="3.125" style="44" customWidth="1"/>
    <col min="15398" max="15398" width="5.375" style="44" customWidth="1"/>
    <col min="15399" max="15400" width="3.125" style="44" customWidth="1"/>
    <col min="15401" max="15401" width="4.625" style="44" customWidth="1"/>
    <col min="15402" max="15402" width="3.5" style="44" customWidth="1"/>
    <col min="15403" max="15413" width="3.125" style="44" customWidth="1"/>
    <col min="15414" max="15415" width="5.625" style="44" customWidth="1"/>
    <col min="15416" max="15460" width="2.625" style="44" customWidth="1"/>
    <col min="15461" max="15620" width="9" style="44"/>
    <col min="15621" max="15635" width="3.125" style="44" customWidth="1"/>
    <col min="15636" max="15636" width="5.5" style="44" customWidth="1"/>
    <col min="15637" max="15637" width="5.625" style="44" customWidth="1"/>
    <col min="15638" max="15653" width="3.125" style="44" customWidth="1"/>
    <col min="15654" max="15654" width="5.375" style="44" customWidth="1"/>
    <col min="15655" max="15656" width="3.125" style="44" customWidth="1"/>
    <col min="15657" max="15657" width="4.625" style="44" customWidth="1"/>
    <col min="15658" max="15658" width="3.5" style="44" customWidth="1"/>
    <col min="15659" max="15669" width="3.125" style="44" customWidth="1"/>
    <col min="15670" max="15671" width="5.625" style="44" customWidth="1"/>
    <col min="15672" max="15716" width="2.625" style="44" customWidth="1"/>
    <col min="15717" max="15876" width="9" style="44"/>
    <col min="15877" max="15891" width="3.125" style="44" customWidth="1"/>
    <col min="15892" max="15892" width="5.5" style="44" customWidth="1"/>
    <col min="15893" max="15893" width="5.625" style="44" customWidth="1"/>
    <col min="15894" max="15909" width="3.125" style="44" customWidth="1"/>
    <col min="15910" max="15910" width="5.375" style="44" customWidth="1"/>
    <col min="15911" max="15912" width="3.125" style="44" customWidth="1"/>
    <col min="15913" max="15913" width="4.625" style="44" customWidth="1"/>
    <col min="15914" max="15914" width="3.5" style="44" customWidth="1"/>
    <col min="15915" max="15925" width="3.125" style="44" customWidth="1"/>
    <col min="15926" max="15927" width="5.625" style="44" customWidth="1"/>
    <col min="15928" max="15972" width="2.625" style="44" customWidth="1"/>
    <col min="15973" max="16132" width="9" style="44"/>
    <col min="16133" max="16147" width="3.125" style="44" customWidth="1"/>
    <col min="16148" max="16148" width="5.5" style="44" customWidth="1"/>
    <col min="16149" max="16149" width="5.625" style="44" customWidth="1"/>
    <col min="16150" max="16165" width="3.125" style="44" customWidth="1"/>
    <col min="16166" max="16166" width="5.375" style="44" customWidth="1"/>
    <col min="16167" max="16168" width="3.125" style="44" customWidth="1"/>
    <col min="16169" max="16169" width="4.625" style="44" customWidth="1"/>
    <col min="16170" max="16170" width="3.5" style="44" customWidth="1"/>
    <col min="16171" max="16181" width="3.125" style="44" customWidth="1"/>
    <col min="16182" max="16183" width="5.625" style="44" customWidth="1"/>
    <col min="16184" max="16228" width="2.625" style="44" customWidth="1"/>
    <col min="16229" max="16384" width="9" style="44"/>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98</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47"/>
      <c r="AK16" s="47"/>
      <c r="AL16" s="47"/>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47"/>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176"/>
      <c r="AS17" s="176"/>
      <c r="AT17" s="176"/>
      <c r="AU17" s="176"/>
      <c r="AV17" s="176"/>
      <c r="AW17" s="176"/>
      <c r="AX17" s="176"/>
      <c r="AY17" s="176"/>
      <c r="AZ17" s="176"/>
      <c r="BA17" s="176"/>
    </row>
    <row r="18" spans="2:53" ht="13.5" customHeight="1" x14ac:dyDescent="0.15">
      <c r="B18" s="130" t="s">
        <v>1</v>
      </c>
      <c r="C18" s="130"/>
      <c r="D18" s="130"/>
      <c r="E18" s="130"/>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1"/>
      <c r="C19" s="131"/>
      <c r="D19" s="131"/>
      <c r="E19" s="131"/>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1" t="s">
        <v>47</v>
      </c>
      <c r="AV19" s="151"/>
      <c r="AW19" s="151"/>
      <c r="AX19" s="151"/>
      <c r="AY19" s="151"/>
      <c r="AZ19" s="151"/>
      <c r="BA19" s="151"/>
    </row>
    <row r="20" spans="2:53" s="21" customFormat="1" ht="13.5" customHeight="1" x14ac:dyDescent="0.15">
      <c r="B20" s="113" t="s">
        <v>2</v>
      </c>
      <c r="C20" s="114"/>
      <c r="D20" s="114"/>
      <c r="E20" s="114"/>
      <c r="F20" s="114"/>
      <c r="G20" s="114"/>
      <c r="H20" s="114"/>
      <c r="I20" s="113" t="s">
        <v>3</v>
      </c>
      <c r="J20" s="114"/>
      <c r="K20" s="114"/>
      <c r="L20" s="114"/>
      <c r="M20" s="114"/>
      <c r="N20" s="114"/>
      <c r="O20" s="114"/>
      <c r="P20" s="114"/>
      <c r="Q20" s="114"/>
      <c r="R20" s="114"/>
      <c r="S20" s="114"/>
      <c r="T20" s="114"/>
      <c r="U20" s="114"/>
      <c r="V20" s="114"/>
      <c r="W20" s="114"/>
      <c r="X20" s="114"/>
      <c r="Y20" s="97" t="s">
        <v>4</v>
      </c>
      <c r="Z20" s="97"/>
      <c r="AA20" s="97"/>
      <c r="AB20" s="97"/>
      <c r="AC20" s="167" t="s">
        <v>5</v>
      </c>
      <c r="AD20" s="167"/>
      <c r="AE20" s="167"/>
      <c r="AF20" s="167"/>
      <c r="AG20" s="97" t="s">
        <v>6</v>
      </c>
      <c r="AH20" s="97"/>
      <c r="AI20" s="97"/>
      <c r="AJ20" s="97"/>
      <c r="AK20" s="97"/>
      <c r="AL20" s="97"/>
      <c r="AM20" s="97"/>
      <c r="AN20" s="97"/>
      <c r="AO20" s="97"/>
      <c r="AP20" s="97"/>
      <c r="AQ20" s="97"/>
      <c r="AR20" s="97"/>
      <c r="AS20" s="97"/>
      <c r="AT20" s="97"/>
      <c r="AU20" s="97"/>
      <c r="AV20" s="97"/>
      <c r="AW20" s="97"/>
      <c r="AX20" s="97"/>
      <c r="AY20" s="97"/>
      <c r="AZ20" s="97"/>
      <c r="BA20" s="97"/>
    </row>
    <row r="21" spans="2:53" s="21" customFormat="1" ht="13.5" customHeight="1" x14ac:dyDescent="0.15">
      <c r="B21" s="116"/>
      <c r="C21" s="117"/>
      <c r="D21" s="117"/>
      <c r="E21" s="117"/>
      <c r="F21" s="117"/>
      <c r="G21" s="117"/>
      <c r="H21" s="117"/>
      <c r="I21" s="119"/>
      <c r="J21" s="120"/>
      <c r="K21" s="120"/>
      <c r="L21" s="120"/>
      <c r="M21" s="120"/>
      <c r="N21" s="120"/>
      <c r="O21" s="120"/>
      <c r="P21" s="120"/>
      <c r="Q21" s="120"/>
      <c r="R21" s="120"/>
      <c r="S21" s="120"/>
      <c r="T21" s="120"/>
      <c r="U21" s="120"/>
      <c r="V21" s="120"/>
      <c r="W21" s="120"/>
      <c r="X21" s="120"/>
      <c r="Y21" s="97"/>
      <c r="Z21" s="97"/>
      <c r="AA21" s="97"/>
      <c r="AB21" s="97"/>
      <c r="AC21" s="167"/>
      <c r="AD21" s="167"/>
      <c r="AE21" s="167"/>
      <c r="AF21" s="167"/>
      <c r="AG21" s="97"/>
      <c r="AH21" s="97"/>
      <c r="AI21" s="97"/>
      <c r="AJ21" s="97"/>
      <c r="AK21" s="97"/>
      <c r="AL21" s="97"/>
      <c r="AM21" s="97"/>
      <c r="AN21" s="97"/>
      <c r="AO21" s="97"/>
      <c r="AP21" s="97"/>
      <c r="AQ21" s="97"/>
      <c r="AR21" s="97"/>
      <c r="AS21" s="97"/>
      <c r="AT21" s="97"/>
      <c r="AU21" s="97"/>
      <c r="AV21" s="97"/>
      <c r="AW21" s="97"/>
      <c r="AX21" s="97"/>
      <c r="AY21" s="97"/>
      <c r="AZ21" s="97"/>
      <c r="BA21" s="97"/>
    </row>
    <row r="22" spans="2:53" s="21" customFormat="1" ht="13.5" customHeight="1" x14ac:dyDescent="0.15">
      <c r="B22" s="116"/>
      <c r="C22" s="117"/>
      <c r="D22" s="117"/>
      <c r="E22" s="117"/>
      <c r="F22" s="117"/>
      <c r="G22" s="117"/>
      <c r="H22" s="117"/>
      <c r="I22" s="113" t="s">
        <v>7</v>
      </c>
      <c r="J22" s="114"/>
      <c r="K22" s="114"/>
      <c r="L22" s="114"/>
      <c r="M22" s="113" t="s">
        <v>8</v>
      </c>
      <c r="N22" s="114"/>
      <c r="O22" s="114"/>
      <c r="P22" s="115"/>
      <c r="Q22" s="86" t="s">
        <v>49</v>
      </c>
      <c r="R22" s="87"/>
      <c r="S22" s="87"/>
      <c r="T22" s="87"/>
      <c r="U22" s="113" t="s">
        <v>9</v>
      </c>
      <c r="V22" s="114"/>
      <c r="W22" s="114"/>
      <c r="X22" s="114"/>
      <c r="Y22" s="97"/>
      <c r="Z22" s="97"/>
      <c r="AA22" s="97"/>
      <c r="AB22" s="97"/>
      <c r="AC22" s="167"/>
      <c r="AD22" s="167"/>
      <c r="AE22" s="167"/>
      <c r="AF22" s="167"/>
      <c r="AG22" s="97"/>
      <c r="AH22" s="97"/>
      <c r="AI22" s="97"/>
      <c r="AJ22" s="97"/>
      <c r="AK22" s="97"/>
      <c r="AL22" s="97"/>
      <c r="AM22" s="97"/>
      <c r="AN22" s="97"/>
      <c r="AO22" s="97"/>
      <c r="AP22" s="97"/>
      <c r="AQ22" s="97"/>
      <c r="AR22" s="97"/>
      <c r="AS22" s="97"/>
      <c r="AT22" s="97"/>
      <c r="AU22" s="97"/>
      <c r="AV22" s="97"/>
      <c r="AW22" s="97"/>
      <c r="AX22" s="97"/>
      <c r="AY22" s="97"/>
      <c r="AZ22" s="97"/>
      <c r="BA22" s="97"/>
    </row>
    <row r="23" spans="2:53" s="21" customFormat="1" ht="13.5" customHeight="1" x14ac:dyDescent="0.15">
      <c r="B23" s="116"/>
      <c r="C23" s="117"/>
      <c r="D23" s="117"/>
      <c r="E23" s="117"/>
      <c r="F23" s="117"/>
      <c r="G23" s="117"/>
      <c r="H23" s="117"/>
      <c r="I23" s="116"/>
      <c r="J23" s="117"/>
      <c r="K23" s="117"/>
      <c r="L23" s="117"/>
      <c r="M23" s="116"/>
      <c r="N23" s="117"/>
      <c r="O23" s="117"/>
      <c r="P23" s="118"/>
      <c r="Q23" s="89"/>
      <c r="R23" s="90"/>
      <c r="S23" s="90"/>
      <c r="T23" s="90"/>
      <c r="U23" s="116"/>
      <c r="V23" s="117"/>
      <c r="W23" s="117"/>
      <c r="X23" s="117"/>
      <c r="Y23" s="97"/>
      <c r="Z23" s="97"/>
      <c r="AA23" s="97"/>
      <c r="AB23" s="97"/>
      <c r="AC23" s="167"/>
      <c r="AD23" s="167"/>
      <c r="AE23" s="167"/>
      <c r="AF23" s="167"/>
      <c r="AG23" s="97"/>
      <c r="AH23" s="97"/>
      <c r="AI23" s="97"/>
      <c r="AJ23" s="97"/>
      <c r="AK23" s="97"/>
      <c r="AL23" s="97"/>
      <c r="AM23" s="97"/>
      <c r="AN23" s="97"/>
      <c r="AO23" s="97"/>
      <c r="AP23" s="97"/>
      <c r="AQ23" s="97"/>
      <c r="AR23" s="97"/>
      <c r="AS23" s="97"/>
      <c r="AT23" s="97"/>
      <c r="AU23" s="97"/>
      <c r="AV23" s="97"/>
      <c r="AW23" s="97"/>
      <c r="AX23" s="97"/>
      <c r="AY23" s="97"/>
      <c r="AZ23" s="97"/>
      <c r="BA23" s="97"/>
    </row>
    <row r="24" spans="2:53" s="21" customFormat="1" ht="13.5" customHeight="1" x14ac:dyDescent="0.15">
      <c r="B24" s="116"/>
      <c r="C24" s="117"/>
      <c r="D24" s="117"/>
      <c r="E24" s="117"/>
      <c r="F24" s="117"/>
      <c r="G24" s="117"/>
      <c r="H24" s="117"/>
      <c r="I24" s="116"/>
      <c r="J24" s="117"/>
      <c r="K24" s="117"/>
      <c r="L24" s="117"/>
      <c r="M24" s="116"/>
      <c r="N24" s="117"/>
      <c r="O24" s="117"/>
      <c r="P24" s="118"/>
      <c r="Q24" s="89"/>
      <c r="R24" s="90"/>
      <c r="S24" s="90"/>
      <c r="T24" s="90"/>
      <c r="U24" s="116"/>
      <c r="V24" s="117"/>
      <c r="W24" s="117"/>
      <c r="X24" s="117"/>
      <c r="Y24" s="97"/>
      <c r="Z24" s="97"/>
      <c r="AA24" s="97"/>
      <c r="AB24" s="97"/>
      <c r="AC24" s="167"/>
      <c r="AD24" s="167"/>
      <c r="AE24" s="167"/>
      <c r="AF24" s="167"/>
      <c r="AG24" s="97"/>
      <c r="AH24" s="97"/>
      <c r="AI24" s="97"/>
      <c r="AJ24" s="97"/>
      <c r="AK24" s="97"/>
      <c r="AL24" s="97"/>
      <c r="AM24" s="97"/>
      <c r="AN24" s="97"/>
      <c r="AO24" s="97"/>
      <c r="AP24" s="97"/>
      <c r="AQ24" s="97"/>
      <c r="AR24" s="97"/>
      <c r="AS24" s="97"/>
      <c r="AT24" s="97"/>
      <c r="AU24" s="97"/>
      <c r="AV24" s="97"/>
      <c r="AW24" s="97"/>
      <c r="AX24" s="97"/>
      <c r="AY24" s="97"/>
      <c r="AZ24" s="97"/>
      <c r="BA24" s="97"/>
    </row>
    <row r="25" spans="2:53" s="21" customFormat="1" ht="13.5" customHeight="1" x14ac:dyDescent="0.15">
      <c r="B25" s="119"/>
      <c r="C25" s="120"/>
      <c r="D25" s="120"/>
      <c r="E25" s="120"/>
      <c r="F25" s="120"/>
      <c r="G25" s="120"/>
      <c r="H25" s="120"/>
      <c r="I25" s="119"/>
      <c r="J25" s="120"/>
      <c r="K25" s="120"/>
      <c r="L25" s="120"/>
      <c r="M25" s="119"/>
      <c r="N25" s="120"/>
      <c r="O25" s="120"/>
      <c r="P25" s="121"/>
      <c r="Q25" s="92"/>
      <c r="R25" s="93"/>
      <c r="S25" s="93"/>
      <c r="T25" s="93"/>
      <c r="U25" s="119"/>
      <c r="V25" s="120"/>
      <c r="W25" s="120"/>
      <c r="X25" s="120"/>
      <c r="Y25" s="97"/>
      <c r="Z25" s="97"/>
      <c r="AA25" s="97"/>
      <c r="AB25" s="97"/>
      <c r="AC25" s="167"/>
      <c r="AD25" s="167"/>
      <c r="AE25" s="167"/>
      <c r="AF25" s="167"/>
      <c r="AG25" s="97"/>
      <c r="AH25" s="97"/>
      <c r="AI25" s="97"/>
      <c r="AJ25" s="97"/>
      <c r="AK25" s="97"/>
      <c r="AL25" s="97"/>
      <c r="AM25" s="97"/>
      <c r="AN25" s="97"/>
      <c r="AO25" s="97"/>
      <c r="AP25" s="97"/>
      <c r="AQ25" s="97"/>
      <c r="AR25" s="97"/>
      <c r="AS25" s="97"/>
      <c r="AT25" s="97"/>
      <c r="AU25" s="97"/>
      <c r="AV25" s="97"/>
      <c r="AW25" s="97"/>
      <c r="AX25" s="97"/>
      <c r="AY25" s="97"/>
      <c r="AZ25" s="97"/>
      <c r="BA25" s="97"/>
    </row>
    <row r="26" spans="2:53" s="21" customFormat="1" ht="18" customHeight="1" x14ac:dyDescent="0.15">
      <c r="B26" s="73" t="s">
        <v>10</v>
      </c>
      <c r="C26" s="74"/>
      <c r="D26" s="74"/>
      <c r="E26" s="74"/>
      <c r="F26" s="74"/>
      <c r="G26" s="74"/>
      <c r="H26" s="74"/>
      <c r="I26" s="73">
        <f>SUM(I28:L31)</f>
        <v>165326000</v>
      </c>
      <c r="J26" s="74"/>
      <c r="K26" s="74"/>
      <c r="L26" s="74"/>
      <c r="M26" s="73">
        <f>SUM(M28:P31)</f>
        <v>129000</v>
      </c>
      <c r="N26" s="74"/>
      <c r="O26" s="74"/>
      <c r="P26" s="75"/>
      <c r="Q26" s="73">
        <f t="shared" ref="Q26" si="0">SUM(Q28:T31)</f>
        <v>0</v>
      </c>
      <c r="R26" s="74"/>
      <c r="S26" s="74"/>
      <c r="T26" s="75"/>
      <c r="U26" s="73">
        <f t="shared" ref="U26" si="1">SUM(U28:X31)</f>
        <v>165455000</v>
      </c>
      <c r="V26" s="74"/>
      <c r="W26" s="74"/>
      <c r="X26" s="74"/>
      <c r="Y26" s="85">
        <f>SUM(Y28:AB31)</f>
        <v>164604730</v>
      </c>
      <c r="Z26" s="85"/>
      <c r="AA26" s="85"/>
      <c r="AB26" s="85"/>
      <c r="AC26" s="74">
        <f>Y26-U26</f>
        <v>-850270</v>
      </c>
      <c r="AD26" s="74"/>
      <c r="AE26" s="74"/>
      <c r="AF26" s="74"/>
      <c r="AG26" s="97"/>
      <c r="AH26" s="97"/>
      <c r="AI26" s="97"/>
      <c r="AJ26" s="97"/>
      <c r="AK26" s="97"/>
      <c r="AL26" s="97"/>
      <c r="AM26" s="97"/>
      <c r="AN26" s="97"/>
      <c r="AO26" s="97"/>
      <c r="AP26" s="97"/>
      <c r="AQ26" s="97"/>
      <c r="AR26" s="97"/>
      <c r="AS26" s="97"/>
      <c r="AT26" s="97"/>
      <c r="AU26" s="97"/>
      <c r="AV26" s="97"/>
      <c r="AW26" s="97"/>
      <c r="AX26" s="97"/>
      <c r="AY26" s="97"/>
      <c r="AZ26" s="97"/>
      <c r="BA26" s="97"/>
    </row>
    <row r="27" spans="2:53" s="21" customFormat="1" ht="18" customHeight="1" x14ac:dyDescent="0.15">
      <c r="B27" s="76"/>
      <c r="C27" s="77"/>
      <c r="D27" s="77"/>
      <c r="E27" s="77"/>
      <c r="F27" s="77"/>
      <c r="G27" s="77"/>
      <c r="H27" s="77"/>
      <c r="I27" s="76"/>
      <c r="J27" s="77"/>
      <c r="K27" s="77"/>
      <c r="L27" s="77"/>
      <c r="M27" s="76"/>
      <c r="N27" s="77"/>
      <c r="O27" s="77"/>
      <c r="P27" s="78"/>
      <c r="Q27" s="76"/>
      <c r="R27" s="77"/>
      <c r="S27" s="77"/>
      <c r="T27" s="78"/>
      <c r="U27" s="76"/>
      <c r="V27" s="77"/>
      <c r="W27" s="77"/>
      <c r="X27" s="77"/>
      <c r="Y27" s="85"/>
      <c r="Z27" s="85"/>
      <c r="AA27" s="85"/>
      <c r="AB27" s="85"/>
      <c r="AC27" s="77"/>
      <c r="AD27" s="77"/>
      <c r="AE27" s="77"/>
      <c r="AF27" s="77"/>
      <c r="AG27" s="97"/>
      <c r="AH27" s="97"/>
      <c r="AI27" s="97"/>
      <c r="AJ27" s="97"/>
      <c r="AK27" s="97"/>
      <c r="AL27" s="97"/>
      <c r="AM27" s="97"/>
      <c r="AN27" s="97"/>
      <c r="AO27" s="97"/>
      <c r="AP27" s="97"/>
      <c r="AQ27" s="97"/>
      <c r="AR27" s="97"/>
      <c r="AS27" s="97"/>
      <c r="AT27" s="97"/>
      <c r="AU27" s="97"/>
      <c r="AV27" s="97"/>
      <c r="AW27" s="97"/>
      <c r="AX27" s="97"/>
      <c r="AY27" s="97"/>
      <c r="AZ27" s="97"/>
      <c r="BA27" s="97"/>
    </row>
    <row r="28" spans="2:53" s="21" customFormat="1" ht="18" customHeight="1" x14ac:dyDescent="0.15">
      <c r="B28" s="73" t="s">
        <v>11</v>
      </c>
      <c r="C28" s="74"/>
      <c r="D28" s="74"/>
      <c r="E28" s="74"/>
      <c r="F28" s="74"/>
      <c r="G28" s="74"/>
      <c r="H28" s="74"/>
      <c r="I28" s="73">
        <v>120423000</v>
      </c>
      <c r="J28" s="74"/>
      <c r="K28" s="74"/>
      <c r="L28" s="74"/>
      <c r="M28" s="73">
        <v>-2000000</v>
      </c>
      <c r="N28" s="74"/>
      <c r="O28" s="74"/>
      <c r="P28" s="75"/>
      <c r="Q28" s="73">
        <v>0</v>
      </c>
      <c r="R28" s="74"/>
      <c r="S28" s="74"/>
      <c r="T28" s="75"/>
      <c r="U28" s="73">
        <f>SUM(I28:T29)</f>
        <v>118423000</v>
      </c>
      <c r="V28" s="74"/>
      <c r="W28" s="74"/>
      <c r="X28" s="74"/>
      <c r="Y28" s="85">
        <v>117815812</v>
      </c>
      <c r="Z28" s="85"/>
      <c r="AA28" s="85"/>
      <c r="AB28" s="85"/>
      <c r="AC28" s="169">
        <f>Y28-U28</f>
        <v>-607188</v>
      </c>
      <c r="AD28" s="170"/>
      <c r="AE28" s="170"/>
      <c r="AF28" s="170"/>
      <c r="AG28" s="67" t="s">
        <v>105</v>
      </c>
      <c r="AH28" s="68"/>
      <c r="AI28" s="68"/>
      <c r="AJ28" s="68"/>
      <c r="AK28" s="68"/>
      <c r="AL28" s="68"/>
      <c r="AM28" s="68"/>
      <c r="AN28" s="68"/>
      <c r="AO28" s="68"/>
      <c r="AP28" s="68"/>
      <c r="AQ28" s="68"/>
      <c r="AR28" s="68"/>
      <c r="AS28" s="68"/>
      <c r="AT28" s="68"/>
      <c r="AU28" s="68"/>
      <c r="AV28" s="68"/>
      <c r="AW28" s="68"/>
      <c r="AX28" s="68"/>
      <c r="AY28" s="68"/>
      <c r="AZ28" s="68"/>
      <c r="BA28" s="69"/>
    </row>
    <row r="29" spans="2:53" s="21" customFormat="1" ht="18" customHeight="1" x14ac:dyDescent="0.15">
      <c r="B29" s="76"/>
      <c r="C29" s="77"/>
      <c r="D29" s="77"/>
      <c r="E29" s="77"/>
      <c r="F29" s="77"/>
      <c r="G29" s="77"/>
      <c r="H29" s="77"/>
      <c r="I29" s="76"/>
      <c r="J29" s="77"/>
      <c r="K29" s="77"/>
      <c r="L29" s="77"/>
      <c r="M29" s="76"/>
      <c r="N29" s="77"/>
      <c r="O29" s="77"/>
      <c r="P29" s="78"/>
      <c r="Q29" s="76"/>
      <c r="R29" s="77"/>
      <c r="S29" s="77"/>
      <c r="T29" s="78"/>
      <c r="U29" s="76"/>
      <c r="V29" s="77"/>
      <c r="W29" s="77"/>
      <c r="X29" s="77"/>
      <c r="Y29" s="85"/>
      <c r="Z29" s="85"/>
      <c r="AA29" s="85"/>
      <c r="AB29" s="85"/>
      <c r="AC29" s="171"/>
      <c r="AD29" s="172"/>
      <c r="AE29" s="172"/>
      <c r="AF29" s="172"/>
      <c r="AG29" s="70"/>
      <c r="AH29" s="71"/>
      <c r="AI29" s="71"/>
      <c r="AJ29" s="71"/>
      <c r="AK29" s="71"/>
      <c r="AL29" s="71"/>
      <c r="AM29" s="71"/>
      <c r="AN29" s="71"/>
      <c r="AO29" s="71"/>
      <c r="AP29" s="71"/>
      <c r="AQ29" s="71"/>
      <c r="AR29" s="71"/>
      <c r="AS29" s="71"/>
      <c r="AT29" s="71"/>
      <c r="AU29" s="71"/>
      <c r="AV29" s="71"/>
      <c r="AW29" s="71"/>
      <c r="AX29" s="71"/>
      <c r="AY29" s="71"/>
      <c r="AZ29" s="71"/>
      <c r="BA29" s="72"/>
    </row>
    <row r="30" spans="2:53" s="21" customFormat="1" ht="18" customHeight="1" x14ac:dyDescent="0.15">
      <c r="B30" s="73" t="s">
        <v>12</v>
      </c>
      <c r="C30" s="74"/>
      <c r="D30" s="74"/>
      <c r="E30" s="74"/>
      <c r="F30" s="74"/>
      <c r="G30" s="74"/>
      <c r="H30" s="75"/>
      <c r="I30" s="73">
        <v>44903000</v>
      </c>
      <c r="J30" s="74"/>
      <c r="K30" s="74"/>
      <c r="L30" s="75"/>
      <c r="M30" s="73">
        <f>1273000+514000+342000</f>
        <v>2129000</v>
      </c>
      <c r="N30" s="74"/>
      <c r="O30" s="74"/>
      <c r="P30" s="75"/>
      <c r="Q30" s="73">
        <v>0</v>
      </c>
      <c r="R30" s="74"/>
      <c r="S30" s="74"/>
      <c r="T30" s="75"/>
      <c r="U30" s="73">
        <f>SUM(I30:T31)</f>
        <v>47032000</v>
      </c>
      <c r="V30" s="74"/>
      <c r="W30" s="74"/>
      <c r="X30" s="74"/>
      <c r="Y30" s="85">
        <v>46788918</v>
      </c>
      <c r="Z30" s="85"/>
      <c r="AA30" s="85"/>
      <c r="AB30" s="85"/>
      <c r="AC30" s="73">
        <f>Y30-U30</f>
        <v>-243082</v>
      </c>
      <c r="AD30" s="74"/>
      <c r="AE30" s="74"/>
      <c r="AF30" s="74"/>
      <c r="AG30" s="133"/>
      <c r="AH30" s="133"/>
      <c r="AI30" s="133"/>
      <c r="AJ30" s="133"/>
      <c r="AK30" s="133"/>
      <c r="AL30" s="133"/>
      <c r="AM30" s="133"/>
      <c r="AN30" s="133"/>
      <c r="AO30" s="133"/>
      <c r="AP30" s="133"/>
      <c r="AQ30" s="133"/>
      <c r="AR30" s="133"/>
      <c r="AS30" s="133"/>
      <c r="AT30" s="133"/>
      <c r="AU30" s="133"/>
      <c r="AV30" s="133"/>
      <c r="AW30" s="133"/>
      <c r="AX30" s="133"/>
      <c r="AY30" s="133"/>
      <c r="AZ30" s="133"/>
      <c r="BA30" s="133"/>
    </row>
    <row r="31" spans="2:53" s="21" customFormat="1" ht="18" customHeight="1" x14ac:dyDescent="0.15">
      <c r="B31" s="76"/>
      <c r="C31" s="77"/>
      <c r="D31" s="77"/>
      <c r="E31" s="77"/>
      <c r="F31" s="77"/>
      <c r="G31" s="77"/>
      <c r="H31" s="78"/>
      <c r="I31" s="76"/>
      <c r="J31" s="77"/>
      <c r="K31" s="77"/>
      <c r="L31" s="78"/>
      <c r="M31" s="76"/>
      <c r="N31" s="77"/>
      <c r="O31" s="77"/>
      <c r="P31" s="78"/>
      <c r="Q31" s="76"/>
      <c r="R31" s="77"/>
      <c r="S31" s="77"/>
      <c r="T31" s="78"/>
      <c r="U31" s="76"/>
      <c r="V31" s="77"/>
      <c r="W31" s="77"/>
      <c r="X31" s="77"/>
      <c r="Y31" s="85"/>
      <c r="Z31" s="85"/>
      <c r="AA31" s="85"/>
      <c r="AB31" s="85"/>
      <c r="AC31" s="76"/>
      <c r="AD31" s="77"/>
      <c r="AE31" s="77"/>
      <c r="AF31" s="77"/>
      <c r="AG31" s="133"/>
      <c r="AH31" s="133"/>
      <c r="AI31" s="133"/>
      <c r="AJ31" s="133"/>
      <c r="AK31" s="133"/>
      <c r="AL31" s="133"/>
      <c r="AM31" s="133"/>
      <c r="AN31" s="133"/>
      <c r="AO31" s="133"/>
      <c r="AP31" s="133"/>
      <c r="AQ31" s="133"/>
      <c r="AR31" s="133"/>
      <c r="AS31" s="133"/>
      <c r="AT31" s="133"/>
      <c r="AU31" s="133"/>
      <c r="AV31" s="133"/>
      <c r="AW31" s="133"/>
      <c r="AX31" s="133"/>
      <c r="AY31" s="133"/>
      <c r="AZ31" s="133"/>
      <c r="BA31" s="133"/>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1"/>
      <c r="C34" s="131"/>
      <c r="D34" s="131"/>
      <c r="E34" s="131"/>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1" t="s">
        <v>47</v>
      </c>
      <c r="AV34" s="151"/>
      <c r="AW34" s="151"/>
      <c r="AX34" s="151"/>
      <c r="AY34" s="151"/>
      <c r="AZ34" s="151"/>
      <c r="BA34" s="151"/>
    </row>
    <row r="35" spans="2:53" s="21" customFormat="1" ht="13.5" customHeight="1" x14ac:dyDescent="0.15">
      <c r="B35" s="97" t="s">
        <v>2</v>
      </c>
      <c r="C35" s="97"/>
      <c r="D35" s="97"/>
      <c r="E35" s="97"/>
      <c r="F35" s="97"/>
      <c r="G35" s="97"/>
      <c r="H35" s="97"/>
      <c r="I35" s="113" t="s">
        <v>14</v>
      </c>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5"/>
      <c r="AH35" s="113" t="s">
        <v>15</v>
      </c>
      <c r="AI35" s="114"/>
      <c r="AJ35" s="114"/>
      <c r="AK35" s="115"/>
      <c r="AL35" s="95" t="s">
        <v>16</v>
      </c>
      <c r="AM35" s="95"/>
      <c r="AN35" s="97" t="s">
        <v>17</v>
      </c>
      <c r="AO35" s="97"/>
      <c r="AP35" s="97"/>
      <c r="AQ35" s="97"/>
      <c r="AR35" s="113" t="s">
        <v>18</v>
      </c>
      <c r="AS35" s="114"/>
      <c r="AT35" s="114"/>
      <c r="AU35" s="114"/>
      <c r="AV35" s="114"/>
      <c r="AW35" s="114"/>
      <c r="AX35" s="114"/>
      <c r="AY35" s="114"/>
      <c r="AZ35" s="114"/>
      <c r="BA35" s="115"/>
    </row>
    <row r="36" spans="2:53" s="21" customFormat="1" ht="13.5" customHeight="1" x14ac:dyDescent="0.15">
      <c r="B36" s="97"/>
      <c r="C36" s="97"/>
      <c r="D36" s="97"/>
      <c r="E36" s="97"/>
      <c r="F36" s="97"/>
      <c r="G36" s="97"/>
      <c r="H36" s="97"/>
      <c r="I36" s="119"/>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1"/>
      <c r="AH36" s="116"/>
      <c r="AI36" s="117"/>
      <c r="AJ36" s="117"/>
      <c r="AK36" s="118"/>
      <c r="AL36" s="95"/>
      <c r="AM36" s="95"/>
      <c r="AN36" s="97"/>
      <c r="AO36" s="97"/>
      <c r="AP36" s="97"/>
      <c r="AQ36" s="97"/>
      <c r="AR36" s="116"/>
      <c r="AS36" s="117"/>
      <c r="AT36" s="117"/>
      <c r="AU36" s="117"/>
      <c r="AV36" s="117"/>
      <c r="AW36" s="117"/>
      <c r="AX36" s="117"/>
      <c r="AY36" s="117"/>
      <c r="AZ36" s="117"/>
      <c r="BA36" s="118"/>
    </row>
    <row r="37" spans="2:53" s="21" customFormat="1" ht="13.5" customHeight="1" x14ac:dyDescent="0.15">
      <c r="B37" s="97"/>
      <c r="C37" s="97"/>
      <c r="D37" s="97"/>
      <c r="E37" s="97"/>
      <c r="F37" s="97"/>
      <c r="G37" s="97"/>
      <c r="H37" s="97"/>
      <c r="I37" s="97" t="s">
        <v>19</v>
      </c>
      <c r="J37" s="97"/>
      <c r="K37" s="97"/>
      <c r="L37" s="97"/>
      <c r="M37" s="97" t="s">
        <v>20</v>
      </c>
      <c r="N37" s="97"/>
      <c r="O37" s="97"/>
      <c r="P37" s="97"/>
      <c r="Q37" s="167" t="s">
        <v>21</v>
      </c>
      <c r="R37" s="167"/>
      <c r="S37" s="167" t="s">
        <v>22</v>
      </c>
      <c r="T37" s="167"/>
      <c r="U37" s="167"/>
      <c r="V37" s="95" t="s">
        <v>23</v>
      </c>
      <c r="W37" s="95"/>
      <c r="X37" s="97" t="s">
        <v>24</v>
      </c>
      <c r="Y37" s="97"/>
      <c r="Z37" s="97"/>
      <c r="AA37" s="97"/>
      <c r="AB37" s="95" t="s">
        <v>16</v>
      </c>
      <c r="AC37" s="95"/>
      <c r="AD37" s="97" t="s">
        <v>25</v>
      </c>
      <c r="AE37" s="97"/>
      <c r="AF37" s="97"/>
      <c r="AG37" s="97"/>
      <c r="AH37" s="116"/>
      <c r="AI37" s="117"/>
      <c r="AJ37" s="117"/>
      <c r="AK37" s="118"/>
      <c r="AL37" s="95"/>
      <c r="AM37" s="95"/>
      <c r="AN37" s="97"/>
      <c r="AO37" s="97"/>
      <c r="AP37" s="97"/>
      <c r="AQ37" s="97"/>
      <c r="AR37" s="116"/>
      <c r="AS37" s="117"/>
      <c r="AT37" s="117"/>
      <c r="AU37" s="117"/>
      <c r="AV37" s="117"/>
      <c r="AW37" s="117"/>
      <c r="AX37" s="117"/>
      <c r="AY37" s="117"/>
      <c r="AZ37" s="117"/>
      <c r="BA37" s="118"/>
    </row>
    <row r="38" spans="2:53" s="21" customFormat="1" ht="13.5" customHeight="1" x14ac:dyDescent="0.15">
      <c r="B38" s="97"/>
      <c r="C38" s="97"/>
      <c r="D38" s="97"/>
      <c r="E38" s="97"/>
      <c r="F38" s="97"/>
      <c r="G38" s="97"/>
      <c r="H38" s="97"/>
      <c r="I38" s="97"/>
      <c r="J38" s="97"/>
      <c r="K38" s="97"/>
      <c r="L38" s="97"/>
      <c r="M38" s="97"/>
      <c r="N38" s="97"/>
      <c r="O38" s="97"/>
      <c r="P38" s="97"/>
      <c r="Q38" s="167"/>
      <c r="R38" s="167"/>
      <c r="S38" s="167"/>
      <c r="T38" s="167"/>
      <c r="U38" s="167"/>
      <c r="V38" s="95"/>
      <c r="W38" s="95"/>
      <c r="X38" s="97"/>
      <c r="Y38" s="97"/>
      <c r="Z38" s="97"/>
      <c r="AA38" s="97"/>
      <c r="AB38" s="95"/>
      <c r="AC38" s="95"/>
      <c r="AD38" s="97"/>
      <c r="AE38" s="97"/>
      <c r="AF38" s="97"/>
      <c r="AG38" s="97"/>
      <c r="AH38" s="116"/>
      <c r="AI38" s="117"/>
      <c r="AJ38" s="117"/>
      <c r="AK38" s="118"/>
      <c r="AL38" s="95"/>
      <c r="AM38" s="95"/>
      <c r="AN38" s="97"/>
      <c r="AO38" s="97"/>
      <c r="AP38" s="97"/>
      <c r="AQ38" s="97"/>
      <c r="AR38" s="116"/>
      <c r="AS38" s="117"/>
      <c r="AT38" s="117"/>
      <c r="AU38" s="117"/>
      <c r="AV38" s="117"/>
      <c r="AW38" s="117"/>
      <c r="AX38" s="117"/>
      <c r="AY38" s="117"/>
      <c r="AZ38" s="117"/>
      <c r="BA38" s="118"/>
    </row>
    <row r="39" spans="2:53" s="21" customFormat="1" ht="13.5" customHeight="1" x14ac:dyDescent="0.15">
      <c r="B39" s="97"/>
      <c r="C39" s="97"/>
      <c r="D39" s="97"/>
      <c r="E39" s="97"/>
      <c r="F39" s="97"/>
      <c r="G39" s="97"/>
      <c r="H39" s="97"/>
      <c r="I39" s="97"/>
      <c r="J39" s="97"/>
      <c r="K39" s="97"/>
      <c r="L39" s="97"/>
      <c r="M39" s="97"/>
      <c r="N39" s="97"/>
      <c r="O39" s="97"/>
      <c r="P39" s="97"/>
      <c r="Q39" s="167"/>
      <c r="R39" s="167"/>
      <c r="S39" s="167"/>
      <c r="T39" s="167"/>
      <c r="U39" s="167"/>
      <c r="V39" s="95"/>
      <c r="W39" s="95"/>
      <c r="X39" s="97"/>
      <c r="Y39" s="97"/>
      <c r="Z39" s="97"/>
      <c r="AA39" s="97"/>
      <c r="AB39" s="95"/>
      <c r="AC39" s="95"/>
      <c r="AD39" s="97"/>
      <c r="AE39" s="97"/>
      <c r="AF39" s="97"/>
      <c r="AG39" s="97"/>
      <c r="AH39" s="116"/>
      <c r="AI39" s="117"/>
      <c r="AJ39" s="117"/>
      <c r="AK39" s="118"/>
      <c r="AL39" s="95"/>
      <c r="AM39" s="95"/>
      <c r="AN39" s="97"/>
      <c r="AO39" s="97"/>
      <c r="AP39" s="97"/>
      <c r="AQ39" s="97"/>
      <c r="AR39" s="116"/>
      <c r="AS39" s="117"/>
      <c r="AT39" s="117"/>
      <c r="AU39" s="117"/>
      <c r="AV39" s="117"/>
      <c r="AW39" s="117"/>
      <c r="AX39" s="117"/>
      <c r="AY39" s="117"/>
      <c r="AZ39" s="117"/>
      <c r="BA39" s="118"/>
    </row>
    <row r="40" spans="2:53" s="21" customFormat="1" ht="13.5" customHeight="1" x14ac:dyDescent="0.15">
      <c r="B40" s="97"/>
      <c r="C40" s="97"/>
      <c r="D40" s="97"/>
      <c r="E40" s="97"/>
      <c r="F40" s="97"/>
      <c r="G40" s="97"/>
      <c r="H40" s="97"/>
      <c r="I40" s="97"/>
      <c r="J40" s="97"/>
      <c r="K40" s="97"/>
      <c r="L40" s="97"/>
      <c r="M40" s="97"/>
      <c r="N40" s="97"/>
      <c r="O40" s="97"/>
      <c r="P40" s="97"/>
      <c r="Q40" s="167"/>
      <c r="R40" s="167"/>
      <c r="S40" s="167"/>
      <c r="T40" s="167"/>
      <c r="U40" s="167"/>
      <c r="V40" s="95"/>
      <c r="W40" s="95"/>
      <c r="X40" s="97"/>
      <c r="Y40" s="97"/>
      <c r="Z40" s="97"/>
      <c r="AA40" s="97"/>
      <c r="AB40" s="95"/>
      <c r="AC40" s="95"/>
      <c r="AD40" s="97"/>
      <c r="AE40" s="97"/>
      <c r="AF40" s="97"/>
      <c r="AG40" s="97"/>
      <c r="AH40" s="119"/>
      <c r="AI40" s="120"/>
      <c r="AJ40" s="120"/>
      <c r="AK40" s="121"/>
      <c r="AL40" s="95"/>
      <c r="AM40" s="95"/>
      <c r="AN40" s="97"/>
      <c r="AO40" s="97"/>
      <c r="AP40" s="97"/>
      <c r="AQ40" s="97"/>
      <c r="AR40" s="119"/>
      <c r="AS40" s="120"/>
      <c r="AT40" s="120"/>
      <c r="AU40" s="120"/>
      <c r="AV40" s="120"/>
      <c r="AW40" s="120"/>
      <c r="AX40" s="120"/>
      <c r="AY40" s="120"/>
      <c r="AZ40" s="120"/>
      <c r="BA40" s="121"/>
    </row>
    <row r="41" spans="2:53" s="21" customFormat="1" ht="18" customHeight="1" x14ac:dyDescent="0.15">
      <c r="B41" s="85" t="s">
        <v>26</v>
      </c>
      <c r="C41" s="85"/>
      <c r="D41" s="85"/>
      <c r="E41" s="85"/>
      <c r="F41" s="85"/>
      <c r="G41" s="85"/>
      <c r="H41" s="85"/>
      <c r="I41" s="161">
        <f>SUM(I43:L48)</f>
        <v>154542000</v>
      </c>
      <c r="J41" s="162"/>
      <c r="K41" s="162"/>
      <c r="L41" s="163"/>
      <c r="M41" s="161">
        <f>SUM(M43:P48)</f>
        <v>1369000</v>
      </c>
      <c r="N41" s="162"/>
      <c r="O41" s="162"/>
      <c r="P41" s="163"/>
      <c r="Q41" s="85">
        <f>SUM(Q43:R48)</f>
        <v>0</v>
      </c>
      <c r="R41" s="85"/>
      <c r="S41" s="85">
        <f>SUM(S43:U48)</f>
        <v>0</v>
      </c>
      <c r="T41" s="85"/>
      <c r="U41" s="85"/>
      <c r="V41" s="161">
        <f>SUM(V43:W48)</f>
        <v>0</v>
      </c>
      <c r="W41" s="163"/>
      <c r="X41" s="161">
        <f>SUM(X43:AA48)</f>
        <v>155911000</v>
      </c>
      <c r="Y41" s="162"/>
      <c r="Z41" s="162"/>
      <c r="AA41" s="163"/>
      <c r="AB41" s="73">
        <f>SUM(AB43:AC48)</f>
        <v>0</v>
      </c>
      <c r="AC41" s="74"/>
      <c r="AD41" s="161">
        <f>SUM(AD43:AG48)</f>
        <v>155911000</v>
      </c>
      <c r="AE41" s="162"/>
      <c r="AF41" s="162"/>
      <c r="AG41" s="163"/>
      <c r="AH41" s="73">
        <f>SUM(AH43:AK48)</f>
        <v>145183878</v>
      </c>
      <c r="AI41" s="74"/>
      <c r="AJ41" s="74"/>
      <c r="AK41" s="74"/>
      <c r="AL41" s="62">
        <f>SUM(AL43:AM48)</f>
        <v>0</v>
      </c>
      <c r="AM41" s="62"/>
      <c r="AN41" s="62">
        <f>SUM(AN43:AQ48)</f>
        <v>10727122</v>
      </c>
      <c r="AO41" s="62"/>
      <c r="AP41" s="62"/>
      <c r="AQ41" s="62"/>
      <c r="AR41" s="122"/>
      <c r="AS41" s="123"/>
      <c r="AT41" s="123"/>
      <c r="AU41" s="123"/>
      <c r="AV41" s="123"/>
      <c r="AW41" s="123"/>
      <c r="AX41" s="123"/>
      <c r="AY41" s="123"/>
      <c r="AZ41" s="123"/>
      <c r="BA41" s="124"/>
    </row>
    <row r="42" spans="2:53" s="21" customFormat="1" ht="18" customHeight="1" x14ac:dyDescent="0.15">
      <c r="B42" s="85"/>
      <c r="C42" s="85"/>
      <c r="D42" s="85"/>
      <c r="E42" s="85"/>
      <c r="F42" s="85"/>
      <c r="G42" s="85"/>
      <c r="H42" s="85"/>
      <c r="I42" s="164"/>
      <c r="J42" s="165"/>
      <c r="K42" s="165"/>
      <c r="L42" s="166"/>
      <c r="M42" s="164"/>
      <c r="N42" s="165"/>
      <c r="O42" s="165"/>
      <c r="P42" s="166"/>
      <c r="Q42" s="85"/>
      <c r="R42" s="85"/>
      <c r="S42" s="85"/>
      <c r="T42" s="85"/>
      <c r="U42" s="85"/>
      <c r="V42" s="164"/>
      <c r="W42" s="166"/>
      <c r="X42" s="164"/>
      <c r="Y42" s="165"/>
      <c r="Z42" s="165"/>
      <c r="AA42" s="166"/>
      <c r="AB42" s="76"/>
      <c r="AC42" s="77"/>
      <c r="AD42" s="164"/>
      <c r="AE42" s="165"/>
      <c r="AF42" s="165"/>
      <c r="AG42" s="166"/>
      <c r="AH42" s="76"/>
      <c r="AI42" s="77"/>
      <c r="AJ42" s="77"/>
      <c r="AK42" s="77"/>
      <c r="AL42" s="62"/>
      <c r="AM42" s="62"/>
      <c r="AN42" s="62"/>
      <c r="AO42" s="62"/>
      <c r="AP42" s="62"/>
      <c r="AQ42" s="62"/>
      <c r="AR42" s="125"/>
      <c r="AS42" s="126"/>
      <c r="AT42" s="126"/>
      <c r="AU42" s="126"/>
      <c r="AV42" s="126"/>
      <c r="AW42" s="126"/>
      <c r="AX42" s="126"/>
      <c r="AY42" s="126"/>
      <c r="AZ42" s="126"/>
      <c r="BA42" s="127"/>
    </row>
    <row r="43" spans="2:53" s="21" customFormat="1" ht="18" customHeight="1" x14ac:dyDescent="0.15">
      <c r="B43" s="85" t="s">
        <v>27</v>
      </c>
      <c r="C43" s="85"/>
      <c r="D43" s="85"/>
      <c r="E43" s="85"/>
      <c r="F43" s="85"/>
      <c r="G43" s="85"/>
      <c r="H43" s="85"/>
      <c r="I43" s="85">
        <v>143440000</v>
      </c>
      <c r="J43" s="85"/>
      <c r="K43" s="85"/>
      <c r="L43" s="85"/>
      <c r="M43" s="85">
        <f>1646000+514000-767000</f>
        <v>1393000</v>
      </c>
      <c r="N43" s="85"/>
      <c r="O43" s="85"/>
      <c r="P43" s="85"/>
      <c r="Q43" s="85">
        <v>0</v>
      </c>
      <c r="R43" s="85"/>
      <c r="S43" s="62">
        <v>0</v>
      </c>
      <c r="T43" s="62"/>
      <c r="U43" s="62"/>
      <c r="V43" s="85">
        <v>0</v>
      </c>
      <c r="W43" s="85"/>
      <c r="X43" s="85">
        <f>SUM(I43:T44)</f>
        <v>144833000</v>
      </c>
      <c r="Y43" s="85"/>
      <c r="Z43" s="85"/>
      <c r="AA43" s="85"/>
      <c r="AB43" s="73">
        <v>0</v>
      </c>
      <c r="AC43" s="75"/>
      <c r="AD43" s="85">
        <f>SUM(X43:AC44)</f>
        <v>144833000</v>
      </c>
      <c r="AE43" s="85"/>
      <c r="AF43" s="85"/>
      <c r="AG43" s="85"/>
      <c r="AH43" s="155">
        <v>138299445</v>
      </c>
      <c r="AI43" s="156"/>
      <c r="AJ43" s="156"/>
      <c r="AK43" s="157"/>
      <c r="AL43" s="62">
        <v>0</v>
      </c>
      <c r="AM43" s="62"/>
      <c r="AN43" s="62">
        <f>AD43-AH43-AL43</f>
        <v>6533555</v>
      </c>
      <c r="AO43" s="62"/>
      <c r="AP43" s="62"/>
      <c r="AQ43" s="62"/>
      <c r="AR43" s="99" t="s">
        <v>59</v>
      </c>
      <c r="AS43" s="100"/>
      <c r="AT43" s="100"/>
      <c r="AU43" s="100"/>
      <c r="AV43" s="100"/>
      <c r="AW43" s="100"/>
      <c r="AX43" s="100"/>
      <c r="AY43" s="100"/>
      <c r="AZ43" s="100"/>
      <c r="BA43" s="101"/>
    </row>
    <row r="44" spans="2:53" s="21" customFormat="1" ht="18" customHeight="1" x14ac:dyDescent="0.15">
      <c r="B44" s="85"/>
      <c r="C44" s="85"/>
      <c r="D44" s="85"/>
      <c r="E44" s="85"/>
      <c r="F44" s="85"/>
      <c r="G44" s="85"/>
      <c r="H44" s="85"/>
      <c r="I44" s="85"/>
      <c r="J44" s="85"/>
      <c r="K44" s="85"/>
      <c r="L44" s="85"/>
      <c r="M44" s="85"/>
      <c r="N44" s="85"/>
      <c r="O44" s="85"/>
      <c r="P44" s="85"/>
      <c r="Q44" s="85"/>
      <c r="R44" s="85"/>
      <c r="S44" s="62"/>
      <c r="T44" s="62"/>
      <c r="U44" s="62"/>
      <c r="V44" s="85"/>
      <c r="W44" s="85"/>
      <c r="X44" s="85"/>
      <c r="Y44" s="85"/>
      <c r="Z44" s="85"/>
      <c r="AA44" s="85"/>
      <c r="AB44" s="76"/>
      <c r="AC44" s="78"/>
      <c r="AD44" s="85"/>
      <c r="AE44" s="85"/>
      <c r="AF44" s="85"/>
      <c r="AG44" s="85"/>
      <c r="AH44" s="158"/>
      <c r="AI44" s="159"/>
      <c r="AJ44" s="159"/>
      <c r="AK44" s="160"/>
      <c r="AL44" s="62"/>
      <c r="AM44" s="62"/>
      <c r="AN44" s="62"/>
      <c r="AO44" s="62"/>
      <c r="AP44" s="62"/>
      <c r="AQ44" s="62"/>
      <c r="AR44" s="152" t="s">
        <v>100</v>
      </c>
      <c r="AS44" s="153"/>
      <c r="AT44" s="153"/>
      <c r="AU44" s="153"/>
      <c r="AV44" s="153"/>
      <c r="AW44" s="153"/>
      <c r="AX44" s="153"/>
      <c r="AY44" s="153"/>
      <c r="AZ44" s="153"/>
      <c r="BA44" s="154"/>
    </row>
    <row r="45" spans="2:53" s="21" customFormat="1" ht="18" customHeight="1" x14ac:dyDescent="0.15">
      <c r="B45" s="85" t="s">
        <v>28</v>
      </c>
      <c r="C45" s="85"/>
      <c r="D45" s="85"/>
      <c r="E45" s="85"/>
      <c r="F45" s="85"/>
      <c r="G45" s="85"/>
      <c r="H45" s="85"/>
      <c r="I45" s="85">
        <v>10602000</v>
      </c>
      <c r="J45" s="85"/>
      <c r="K45" s="85"/>
      <c r="L45" s="85"/>
      <c r="M45" s="85">
        <v>-24000</v>
      </c>
      <c r="N45" s="85"/>
      <c r="O45" s="85"/>
      <c r="P45" s="85"/>
      <c r="Q45" s="85">
        <v>0</v>
      </c>
      <c r="R45" s="85"/>
      <c r="S45" s="62">
        <v>0</v>
      </c>
      <c r="T45" s="62"/>
      <c r="U45" s="62"/>
      <c r="V45" s="85">
        <v>0</v>
      </c>
      <c r="W45" s="85"/>
      <c r="X45" s="85">
        <f>SUM(I45:T46)</f>
        <v>10578000</v>
      </c>
      <c r="Y45" s="85"/>
      <c r="Z45" s="85"/>
      <c r="AA45" s="85"/>
      <c r="AB45" s="73">
        <v>0</v>
      </c>
      <c r="AC45" s="75"/>
      <c r="AD45" s="85">
        <f>SUM(X45:AC46)</f>
        <v>10578000</v>
      </c>
      <c r="AE45" s="85"/>
      <c r="AF45" s="85"/>
      <c r="AG45" s="85"/>
      <c r="AH45" s="73">
        <v>6884433</v>
      </c>
      <c r="AI45" s="74"/>
      <c r="AJ45" s="74"/>
      <c r="AK45" s="75"/>
      <c r="AL45" s="73">
        <v>0</v>
      </c>
      <c r="AM45" s="75"/>
      <c r="AN45" s="48">
        <f>AD45-AH45-AL45</f>
        <v>3693567</v>
      </c>
      <c r="AO45" s="49"/>
      <c r="AP45" s="49"/>
      <c r="AQ45" s="64"/>
      <c r="AR45" s="99" t="s">
        <v>60</v>
      </c>
      <c r="AS45" s="100"/>
      <c r="AT45" s="100"/>
      <c r="AU45" s="100"/>
      <c r="AV45" s="100"/>
      <c r="AW45" s="100"/>
      <c r="AX45" s="100"/>
      <c r="AY45" s="100"/>
      <c r="AZ45" s="100"/>
      <c r="BA45" s="101"/>
    </row>
    <row r="46" spans="2:53" s="21" customFormat="1" ht="18" customHeight="1" x14ac:dyDescent="0.15">
      <c r="B46" s="85"/>
      <c r="C46" s="85"/>
      <c r="D46" s="85"/>
      <c r="E46" s="85"/>
      <c r="F46" s="85"/>
      <c r="G46" s="85"/>
      <c r="H46" s="85"/>
      <c r="I46" s="85"/>
      <c r="J46" s="85"/>
      <c r="K46" s="85"/>
      <c r="L46" s="85"/>
      <c r="M46" s="85"/>
      <c r="N46" s="85"/>
      <c r="O46" s="85"/>
      <c r="P46" s="85"/>
      <c r="Q46" s="85"/>
      <c r="R46" s="85"/>
      <c r="S46" s="62"/>
      <c r="T46" s="62"/>
      <c r="U46" s="62"/>
      <c r="V46" s="85"/>
      <c r="W46" s="85"/>
      <c r="X46" s="85"/>
      <c r="Y46" s="85"/>
      <c r="Z46" s="85"/>
      <c r="AA46" s="85"/>
      <c r="AB46" s="76"/>
      <c r="AC46" s="78"/>
      <c r="AD46" s="85"/>
      <c r="AE46" s="85"/>
      <c r="AF46" s="85"/>
      <c r="AG46" s="85"/>
      <c r="AH46" s="76"/>
      <c r="AI46" s="77"/>
      <c r="AJ46" s="77"/>
      <c r="AK46" s="78"/>
      <c r="AL46" s="76"/>
      <c r="AM46" s="78"/>
      <c r="AN46" s="50"/>
      <c r="AO46" s="51"/>
      <c r="AP46" s="51"/>
      <c r="AQ46" s="65"/>
      <c r="AR46" s="152" t="s">
        <v>99</v>
      </c>
      <c r="AS46" s="153"/>
      <c r="AT46" s="153"/>
      <c r="AU46" s="153"/>
      <c r="AV46" s="153"/>
      <c r="AW46" s="153"/>
      <c r="AX46" s="153"/>
      <c r="AY46" s="153"/>
      <c r="AZ46" s="153"/>
      <c r="BA46" s="154"/>
    </row>
    <row r="47" spans="2:53" s="21" customFormat="1" ht="18" customHeight="1" x14ac:dyDescent="0.15">
      <c r="B47" s="85" t="s">
        <v>29</v>
      </c>
      <c r="C47" s="85"/>
      <c r="D47" s="85"/>
      <c r="E47" s="85"/>
      <c r="F47" s="85"/>
      <c r="G47" s="85"/>
      <c r="H47" s="85"/>
      <c r="I47" s="85">
        <v>500000</v>
      </c>
      <c r="J47" s="85"/>
      <c r="K47" s="85"/>
      <c r="L47" s="85"/>
      <c r="M47" s="85">
        <v>0</v>
      </c>
      <c r="N47" s="85"/>
      <c r="O47" s="85"/>
      <c r="P47" s="85"/>
      <c r="Q47" s="85">
        <v>0</v>
      </c>
      <c r="R47" s="85"/>
      <c r="S47" s="62">
        <v>0</v>
      </c>
      <c r="T47" s="62"/>
      <c r="U47" s="62"/>
      <c r="V47" s="85">
        <v>0</v>
      </c>
      <c r="W47" s="85"/>
      <c r="X47" s="85">
        <f>SUM(I47:T48)</f>
        <v>500000</v>
      </c>
      <c r="Y47" s="85"/>
      <c r="Z47" s="85"/>
      <c r="AA47" s="85"/>
      <c r="AB47" s="73">
        <v>0</v>
      </c>
      <c r="AC47" s="75"/>
      <c r="AD47" s="85">
        <f>SUM(X47:AC48)</f>
        <v>500000</v>
      </c>
      <c r="AE47" s="85"/>
      <c r="AF47" s="85"/>
      <c r="AG47" s="85"/>
      <c r="AH47" s="73">
        <v>0</v>
      </c>
      <c r="AI47" s="74"/>
      <c r="AJ47" s="74"/>
      <c r="AK47" s="75"/>
      <c r="AL47" s="73">
        <v>0</v>
      </c>
      <c r="AM47" s="75"/>
      <c r="AN47" s="48">
        <f>AD47-AH47-AL47</f>
        <v>500000</v>
      </c>
      <c r="AO47" s="49"/>
      <c r="AP47" s="49"/>
      <c r="AQ47" s="64"/>
      <c r="AR47" s="52"/>
      <c r="AS47" s="53"/>
      <c r="AT47" s="53"/>
      <c r="AU47" s="53"/>
      <c r="AV47" s="53"/>
      <c r="AW47" s="53"/>
      <c r="AX47" s="53"/>
      <c r="AY47" s="53"/>
      <c r="AZ47" s="53"/>
      <c r="BA47" s="54"/>
    </row>
    <row r="48" spans="2:53" s="21" customFormat="1" ht="18" customHeight="1" x14ac:dyDescent="0.15">
      <c r="B48" s="85"/>
      <c r="C48" s="85"/>
      <c r="D48" s="85"/>
      <c r="E48" s="85"/>
      <c r="F48" s="85"/>
      <c r="G48" s="85"/>
      <c r="H48" s="85"/>
      <c r="I48" s="85"/>
      <c r="J48" s="85"/>
      <c r="K48" s="85"/>
      <c r="L48" s="85"/>
      <c r="M48" s="85"/>
      <c r="N48" s="85"/>
      <c r="O48" s="85"/>
      <c r="P48" s="85"/>
      <c r="Q48" s="85"/>
      <c r="R48" s="85"/>
      <c r="S48" s="62"/>
      <c r="T48" s="62"/>
      <c r="U48" s="62"/>
      <c r="V48" s="85"/>
      <c r="W48" s="85"/>
      <c r="X48" s="85"/>
      <c r="Y48" s="85"/>
      <c r="Z48" s="85"/>
      <c r="AA48" s="85"/>
      <c r="AB48" s="76"/>
      <c r="AC48" s="78"/>
      <c r="AD48" s="85"/>
      <c r="AE48" s="85"/>
      <c r="AF48" s="85"/>
      <c r="AG48" s="85"/>
      <c r="AH48" s="76"/>
      <c r="AI48" s="77"/>
      <c r="AJ48" s="77"/>
      <c r="AK48" s="78"/>
      <c r="AL48" s="76"/>
      <c r="AM48" s="78"/>
      <c r="AN48" s="50"/>
      <c r="AO48" s="51"/>
      <c r="AP48" s="51"/>
      <c r="AQ48" s="65"/>
      <c r="AR48" s="55"/>
      <c r="AS48" s="56"/>
      <c r="AT48" s="56"/>
      <c r="AU48" s="56"/>
      <c r="AV48" s="56"/>
      <c r="AW48" s="56"/>
      <c r="AX48" s="56"/>
      <c r="AY48" s="56"/>
      <c r="AZ48" s="56"/>
      <c r="BA48" s="57"/>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row>
    <row r="52" spans="2:83" s="25" customFormat="1" ht="13.5" customHeight="1" x14ac:dyDescent="0.15">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row>
    <row r="53" spans="2:83" s="25" customFormat="1" ht="13.5" customHeight="1" x14ac:dyDescent="0.15">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row>
    <row r="54" spans="2:83" s="25" customFormat="1" ht="13.5" customHeight="1" x14ac:dyDescent="0.15">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row>
    <row r="55" spans="2:83" s="25" customFormat="1" ht="13.5" customHeight="1" x14ac:dyDescent="0.15">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row>
    <row r="56" spans="2:83" s="25" customFormat="1" ht="13.5" customHeight="1" x14ac:dyDescent="0.15">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row>
    <row r="57" spans="2:83" s="25" customFormat="1" ht="12" customHeight="1" x14ac:dyDescent="0.15">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row>
    <row r="58" spans="2:83" s="25" customFormat="1" ht="13.5" hidden="1" customHeight="1" x14ac:dyDescent="0.15">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row>
    <row r="59" spans="2:83" s="25" customFormat="1" ht="13.5" hidden="1" customHeight="1" x14ac:dyDescent="0.15">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row>
    <row r="60" spans="2:83" s="25" customFormat="1" ht="13.5" customHeight="1" x14ac:dyDescent="0.15">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row>
    <row r="61" spans="2:83" s="25" customFormat="1" ht="13.5" customHeight="1" x14ac:dyDescent="0.15">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row>
    <row r="62" spans="2:83" s="25" customFormat="1" ht="13.5" customHeight="1" x14ac:dyDescent="0.15">
      <c r="B62" s="150" t="s">
        <v>30</v>
      </c>
      <c r="C62" s="150"/>
      <c r="D62" s="150"/>
      <c r="E62" s="150"/>
      <c r="F62" s="150"/>
      <c r="G62" s="150"/>
      <c r="H62" s="150"/>
      <c r="I62" s="150"/>
      <c r="J62" s="150"/>
      <c r="K62" s="150"/>
      <c r="L62" s="150"/>
      <c r="M62" s="150"/>
      <c r="N62" s="150"/>
      <c r="O62" s="44"/>
      <c r="P62" s="44"/>
      <c r="Q62" s="44"/>
      <c r="R62" s="44"/>
      <c r="S62" s="44"/>
      <c r="T62" s="44"/>
      <c r="U62" s="44"/>
      <c r="V62" s="44"/>
      <c r="W62" s="44"/>
      <c r="X62" s="44"/>
      <c r="Y62" s="44"/>
      <c r="Z62" s="44"/>
      <c r="AA62" s="44"/>
      <c r="AB62" s="44"/>
      <c r="AC62" s="44"/>
      <c r="AD62" s="44"/>
      <c r="AE62" s="44"/>
      <c r="AF62" s="44"/>
      <c r="AG62" s="44"/>
      <c r="AH62" s="44"/>
      <c r="AI62" s="44"/>
      <c r="AJ62" s="44"/>
      <c r="AK62" s="20"/>
      <c r="AL62" s="20"/>
      <c r="AM62" s="20"/>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row>
    <row r="63" spans="2:83" s="25" customFormat="1" ht="13.5" customHeight="1" x14ac:dyDescent="0.15">
      <c r="B63" s="150"/>
      <c r="C63" s="150"/>
      <c r="D63" s="150"/>
      <c r="E63" s="150"/>
      <c r="F63" s="150"/>
      <c r="G63" s="150"/>
      <c r="H63" s="150"/>
      <c r="I63" s="150"/>
      <c r="J63" s="150"/>
      <c r="K63" s="150"/>
      <c r="L63" s="150"/>
      <c r="M63" s="150"/>
      <c r="N63" s="150"/>
      <c r="O63" s="20"/>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20"/>
      <c r="AP63" s="20"/>
      <c r="AQ63" s="20"/>
      <c r="AR63" s="26"/>
      <c r="AS63" s="26"/>
      <c r="AT63" s="26"/>
      <c r="AU63" s="26"/>
      <c r="AV63" s="26"/>
      <c r="AW63" s="26"/>
      <c r="AX63" s="26"/>
      <c r="AY63" s="26"/>
      <c r="AZ63" s="26"/>
      <c r="BA63" s="26"/>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row>
    <row r="64" spans="2:83" s="25" customFormat="1" ht="13.5" customHeight="1" x14ac:dyDescent="0.15">
      <c r="B64" s="130" t="s">
        <v>1</v>
      </c>
      <c r="C64" s="130"/>
      <c r="D64" s="130"/>
      <c r="E64" s="130"/>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row>
    <row r="65" spans="2:82" s="25" customFormat="1" ht="13.5" customHeight="1" x14ac:dyDescent="0.15">
      <c r="B65" s="131"/>
      <c r="C65" s="131"/>
      <c r="D65" s="131"/>
      <c r="E65" s="131"/>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1" t="s">
        <v>47</v>
      </c>
      <c r="AV65" s="151"/>
      <c r="AW65" s="151"/>
      <c r="AX65" s="151"/>
      <c r="AY65" s="151"/>
      <c r="AZ65" s="151"/>
      <c r="BA65" s="151"/>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row>
    <row r="66" spans="2:82" s="21" customFormat="1" ht="13.5" customHeight="1" x14ac:dyDescent="0.15">
      <c r="B66" s="113" t="s">
        <v>2</v>
      </c>
      <c r="C66" s="114"/>
      <c r="D66" s="114"/>
      <c r="E66" s="114"/>
      <c r="F66" s="114"/>
      <c r="G66" s="114"/>
      <c r="H66" s="114"/>
      <c r="I66" s="113" t="s">
        <v>14</v>
      </c>
      <c r="J66" s="114"/>
      <c r="K66" s="114"/>
      <c r="L66" s="114"/>
      <c r="M66" s="114"/>
      <c r="N66" s="114"/>
      <c r="O66" s="114"/>
      <c r="P66" s="114"/>
      <c r="Q66" s="114"/>
      <c r="R66" s="114"/>
      <c r="S66" s="114"/>
      <c r="T66" s="114"/>
      <c r="U66" s="114"/>
      <c r="V66" s="114"/>
      <c r="W66" s="114"/>
      <c r="X66" s="114"/>
      <c r="Y66" s="114"/>
      <c r="Z66" s="114"/>
      <c r="AA66" s="114"/>
      <c r="AB66" s="114"/>
      <c r="AC66" s="114"/>
      <c r="AD66" s="114"/>
      <c r="AE66" s="97" t="s">
        <v>4</v>
      </c>
      <c r="AF66" s="97"/>
      <c r="AG66" s="97"/>
      <c r="AH66" s="97"/>
      <c r="AI66" s="122" t="s">
        <v>48</v>
      </c>
      <c r="AJ66" s="123"/>
      <c r="AK66" s="123"/>
      <c r="AL66" s="123"/>
      <c r="AM66" s="97" t="s">
        <v>6</v>
      </c>
      <c r="AN66" s="97"/>
      <c r="AO66" s="97"/>
      <c r="AP66" s="97"/>
      <c r="AQ66" s="97"/>
      <c r="AR66" s="97"/>
      <c r="AS66" s="97"/>
      <c r="AT66" s="97"/>
      <c r="AU66" s="97"/>
      <c r="AV66" s="97"/>
      <c r="AW66" s="97"/>
      <c r="AX66" s="97"/>
      <c r="AY66" s="97"/>
      <c r="AZ66" s="97"/>
      <c r="BA66" s="97"/>
    </row>
    <row r="67" spans="2:82" s="21" customFormat="1" ht="13.5" customHeight="1" x14ac:dyDescent="0.15">
      <c r="B67" s="116"/>
      <c r="C67" s="117"/>
      <c r="D67" s="117"/>
      <c r="E67" s="117"/>
      <c r="F67" s="117"/>
      <c r="G67" s="117"/>
      <c r="H67" s="117"/>
      <c r="I67" s="119"/>
      <c r="J67" s="120"/>
      <c r="K67" s="120"/>
      <c r="L67" s="120"/>
      <c r="M67" s="120"/>
      <c r="N67" s="120"/>
      <c r="O67" s="120"/>
      <c r="P67" s="120"/>
      <c r="Q67" s="120"/>
      <c r="R67" s="120"/>
      <c r="S67" s="120"/>
      <c r="T67" s="120"/>
      <c r="U67" s="120"/>
      <c r="V67" s="120"/>
      <c r="W67" s="120"/>
      <c r="X67" s="120"/>
      <c r="Y67" s="120"/>
      <c r="Z67" s="120"/>
      <c r="AA67" s="120"/>
      <c r="AB67" s="120"/>
      <c r="AC67" s="120"/>
      <c r="AD67" s="120"/>
      <c r="AE67" s="97"/>
      <c r="AF67" s="97"/>
      <c r="AG67" s="97"/>
      <c r="AH67" s="97"/>
      <c r="AI67" s="128"/>
      <c r="AJ67" s="129"/>
      <c r="AK67" s="129"/>
      <c r="AL67" s="129"/>
      <c r="AM67" s="97"/>
      <c r="AN67" s="97"/>
      <c r="AO67" s="97"/>
      <c r="AP67" s="97"/>
      <c r="AQ67" s="97"/>
      <c r="AR67" s="97"/>
      <c r="AS67" s="97"/>
      <c r="AT67" s="97"/>
      <c r="AU67" s="97"/>
      <c r="AV67" s="97"/>
      <c r="AW67" s="97"/>
      <c r="AX67" s="97"/>
      <c r="AY67" s="97"/>
      <c r="AZ67" s="97"/>
      <c r="BA67" s="97"/>
    </row>
    <row r="68" spans="2:82" s="21" customFormat="1" ht="13.5" customHeight="1" x14ac:dyDescent="0.15">
      <c r="B68" s="116"/>
      <c r="C68" s="117"/>
      <c r="D68" s="117"/>
      <c r="E68" s="117"/>
      <c r="F68" s="117"/>
      <c r="G68" s="117"/>
      <c r="H68" s="117"/>
      <c r="I68" s="113" t="s">
        <v>7</v>
      </c>
      <c r="J68" s="114"/>
      <c r="K68" s="114"/>
      <c r="L68" s="115"/>
      <c r="M68" s="113" t="s">
        <v>8</v>
      </c>
      <c r="N68" s="114"/>
      <c r="O68" s="114"/>
      <c r="P68" s="115"/>
      <c r="Q68" s="113" t="s">
        <v>31</v>
      </c>
      <c r="R68" s="114"/>
      <c r="S68" s="114"/>
      <c r="T68" s="115"/>
      <c r="U68" s="135" t="s">
        <v>32</v>
      </c>
      <c r="V68" s="136"/>
      <c r="W68" s="137"/>
      <c r="X68" s="135" t="s">
        <v>33</v>
      </c>
      <c r="Y68" s="136"/>
      <c r="Z68" s="137"/>
      <c r="AA68" s="144" t="s">
        <v>9</v>
      </c>
      <c r="AB68" s="145"/>
      <c r="AC68" s="145"/>
      <c r="AD68" s="145"/>
      <c r="AE68" s="97"/>
      <c r="AF68" s="97"/>
      <c r="AG68" s="97"/>
      <c r="AH68" s="97"/>
      <c r="AI68" s="128"/>
      <c r="AJ68" s="129"/>
      <c r="AK68" s="129"/>
      <c r="AL68" s="129"/>
      <c r="AM68" s="97"/>
      <c r="AN68" s="97"/>
      <c r="AO68" s="97"/>
      <c r="AP68" s="97"/>
      <c r="AQ68" s="97"/>
      <c r="AR68" s="97"/>
      <c r="AS68" s="97"/>
      <c r="AT68" s="97"/>
      <c r="AU68" s="97"/>
      <c r="AV68" s="97"/>
      <c r="AW68" s="97"/>
      <c r="AX68" s="97"/>
      <c r="AY68" s="97"/>
      <c r="AZ68" s="97"/>
      <c r="BA68" s="97"/>
    </row>
    <row r="69" spans="2:82" s="21" customFormat="1" ht="13.5" customHeight="1" x14ac:dyDescent="0.15">
      <c r="B69" s="116"/>
      <c r="C69" s="117"/>
      <c r="D69" s="117"/>
      <c r="E69" s="117"/>
      <c r="F69" s="117"/>
      <c r="G69" s="117"/>
      <c r="H69" s="117"/>
      <c r="I69" s="116"/>
      <c r="J69" s="117"/>
      <c r="K69" s="117"/>
      <c r="L69" s="118"/>
      <c r="M69" s="116"/>
      <c r="N69" s="117"/>
      <c r="O69" s="117"/>
      <c r="P69" s="118"/>
      <c r="Q69" s="116"/>
      <c r="R69" s="117"/>
      <c r="S69" s="117"/>
      <c r="T69" s="118"/>
      <c r="U69" s="138"/>
      <c r="V69" s="139"/>
      <c r="W69" s="140"/>
      <c r="X69" s="138"/>
      <c r="Y69" s="139"/>
      <c r="Z69" s="140"/>
      <c r="AA69" s="146"/>
      <c r="AB69" s="147"/>
      <c r="AC69" s="147"/>
      <c r="AD69" s="147"/>
      <c r="AE69" s="97"/>
      <c r="AF69" s="97"/>
      <c r="AG69" s="97"/>
      <c r="AH69" s="97"/>
      <c r="AI69" s="128"/>
      <c r="AJ69" s="129"/>
      <c r="AK69" s="129"/>
      <c r="AL69" s="129"/>
      <c r="AM69" s="97"/>
      <c r="AN69" s="97"/>
      <c r="AO69" s="97"/>
      <c r="AP69" s="97"/>
      <c r="AQ69" s="97"/>
      <c r="AR69" s="97"/>
      <c r="AS69" s="97"/>
      <c r="AT69" s="97"/>
      <c r="AU69" s="97"/>
      <c r="AV69" s="97"/>
      <c r="AW69" s="97"/>
      <c r="AX69" s="97"/>
      <c r="AY69" s="97"/>
      <c r="AZ69" s="97"/>
      <c r="BA69" s="97"/>
    </row>
    <row r="70" spans="2:82" s="21" customFormat="1" ht="13.5" customHeight="1" x14ac:dyDescent="0.15">
      <c r="B70" s="116"/>
      <c r="C70" s="117"/>
      <c r="D70" s="117"/>
      <c r="E70" s="117"/>
      <c r="F70" s="117"/>
      <c r="G70" s="117"/>
      <c r="H70" s="117"/>
      <c r="I70" s="116"/>
      <c r="J70" s="117"/>
      <c r="K70" s="117"/>
      <c r="L70" s="118"/>
      <c r="M70" s="116"/>
      <c r="N70" s="117"/>
      <c r="O70" s="117"/>
      <c r="P70" s="118"/>
      <c r="Q70" s="116"/>
      <c r="R70" s="117"/>
      <c r="S70" s="117"/>
      <c r="T70" s="118"/>
      <c r="U70" s="138"/>
      <c r="V70" s="139"/>
      <c r="W70" s="140"/>
      <c r="X70" s="138"/>
      <c r="Y70" s="139"/>
      <c r="Z70" s="140"/>
      <c r="AA70" s="146"/>
      <c r="AB70" s="147"/>
      <c r="AC70" s="147"/>
      <c r="AD70" s="147"/>
      <c r="AE70" s="97"/>
      <c r="AF70" s="97"/>
      <c r="AG70" s="97"/>
      <c r="AH70" s="97"/>
      <c r="AI70" s="128"/>
      <c r="AJ70" s="129"/>
      <c r="AK70" s="129"/>
      <c r="AL70" s="129"/>
      <c r="AM70" s="97"/>
      <c r="AN70" s="97"/>
      <c r="AO70" s="97"/>
      <c r="AP70" s="97"/>
      <c r="AQ70" s="97"/>
      <c r="AR70" s="97"/>
      <c r="AS70" s="97"/>
      <c r="AT70" s="97"/>
      <c r="AU70" s="97"/>
      <c r="AV70" s="97"/>
      <c r="AW70" s="97"/>
      <c r="AX70" s="97"/>
      <c r="AY70" s="97"/>
      <c r="AZ70" s="97"/>
      <c r="BA70" s="97"/>
    </row>
    <row r="71" spans="2:82" s="21" customFormat="1" ht="13.5" customHeight="1" x14ac:dyDescent="0.15">
      <c r="B71" s="119"/>
      <c r="C71" s="120"/>
      <c r="D71" s="120"/>
      <c r="E71" s="120"/>
      <c r="F71" s="120"/>
      <c r="G71" s="120"/>
      <c r="H71" s="120"/>
      <c r="I71" s="119"/>
      <c r="J71" s="120"/>
      <c r="K71" s="120"/>
      <c r="L71" s="121"/>
      <c r="M71" s="119"/>
      <c r="N71" s="120"/>
      <c r="O71" s="120"/>
      <c r="P71" s="121"/>
      <c r="Q71" s="119"/>
      <c r="R71" s="120"/>
      <c r="S71" s="120"/>
      <c r="T71" s="121"/>
      <c r="U71" s="141"/>
      <c r="V71" s="142"/>
      <c r="W71" s="143"/>
      <c r="X71" s="141"/>
      <c r="Y71" s="142"/>
      <c r="Z71" s="143"/>
      <c r="AA71" s="148"/>
      <c r="AB71" s="149"/>
      <c r="AC71" s="149"/>
      <c r="AD71" s="149"/>
      <c r="AE71" s="97"/>
      <c r="AF71" s="97"/>
      <c r="AG71" s="97"/>
      <c r="AH71" s="97"/>
      <c r="AI71" s="125"/>
      <c r="AJ71" s="126"/>
      <c r="AK71" s="126"/>
      <c r="AL71" s="126"/>
      <c r="AM71" s="97"/>
      <c r="AN71" s="97"/>
      <c r="AO71" s="97"/>
      <c r="AP71" s="97"/>
      <c r="AQ71" s="97"/>
      <c r="AR71" s="97"/>
      <c r="AS71" s="97"/>
      <c r="AT71" s="97"/>
      <c r="AU71" s="97"/>
      <c r="AV71" s="97"/>
      <c r="AW71" s="97"/>
      <c r="AX71" s="97"/>
      <c r="AY71" s="97"/>
      <c r="AZ71" s="97"/>
      <c r="BA71" s="97"/>
    </row>
    <row r="72" spans="2:82" s="21" customFormat="1" ht="18" customHeight="1" x14ac:dyDescent="0.15">
      <c r="B72" s="73" t="s">
        <v>34</v>
      </c>
      <c r="C72" s="74"/>
      <c r="D72" s="74"/>
      <c r="E72" s="74"/>
      <c r="F72" s="74"/>
      <c r="G72" s="74"/>
      <c r="H72" s="74"/>
      <c r="I72" s="73">
        <f>SUM(I74:L81)</f>
        <v>62391000</v>
      </c>
      <c r="J72" s="74"/>
      <c r="K72" s="74"/>
      <c r="L72" s="75"/>
      <c r="M72" s="48">
        <f>SUM(M74:P81)</f>
        <v>1293000</v>
      </c>
      <c r="N72" s="49"/>
      <c r="O72" s="49"/>
      <c r="P72" s="64"/>
      <c r="Q72" s="48">
        <f>SUM(Q74:T81)</f>
        <v>63684000</v>
      </c>
      <c r="R72" s="49"/>
      <c r="S72" s="49"/>
      <c r="T72" s="64"/>
      <c r="U72" s="73">
        <f>SUM(U74:W81)</f>
        <v>0</v>
      </c>
      <c r="V72" s="74"/>
      <c r="W72" s="75"/>
      <c r="X72" s="73">
        <f>SUM(X74:Z81)</f>
        <v>0</v>
      </c>
      <c r="Y72" s="74"/>
      <c r="Z72" s="75"/>
      <c r="AA72" s="73">
        <f>SUM(AA74:AD81)</f>
        <v>63684000</v>
      </c>
      <c r="AB72" s="74"/>
      <c r="AC72" s="74"/>
      <c r="AD72" s="74"/>
      <c r="AE72" s="85">
        <f>SUM(AE74:AH81)</f>
        <v>61717320</v>
      </c>
      <c r="AF72" s="85"/>
      <c r="AG72" s="85"/>
      <c r="AH72" s="85"/>
      <c r="AI72" s="85">
        <f>SUM(AI74:AL81)</f>
        <v>-1966680</v>
      </c>
      <c r="AJ72" s="85"/>
      <c r="AK72" s="85"/>
      <c r="AL72" s="85"/>
      <c r="AM72" s="133"/>
      <c r="AN72" s="133"/>
      <c r="AO72" s="133"/>
      <c r="AP72" s="133"/>
      <c r="AQ72" s="133"/>
      <c r="AR72" s="133"/>
      <c r="AS72" s="133"/>
      <c r="AT72" s="133"/>
      <c r="AU72" s="133"/>
      <c r="AV72" s="133"/>
      <c r="AW72" s="133"/>
      <c r="AX72" s="133"/>
      <c r="AY72" s="133"/>
      <c r="AZ72" s="133"/>
      <c r="BA72" s="133"/>
    </row>
    <row r="73" spans="2:82" s="21" customFormat="1" ht="18" customHeight="1" x14ac:dyDescent="0.15">
      <c r="B73" s="76"/>
      <c r="C73" s="77"/>
      <c r="D73" s="77"/>
      <c r="E73" s="77"/>
      <c r="F73" s="77"/>
      <c r="G73" s="77"/>
      <c r="H73" s="77"/>
      <c r="I73" s="76"/>
      <c r="J73" s="77"/>
      <c r="K73" s="77"/>
      <c r="L73" s="78"/>
      <c r="M73" s="50"/>
      <c r="N73" s="51"/>
      <c r="O73" s="51"/>
      <c r="P73" s="65"/>
      <c r="Q73" s="50"/>
      <c r="R73" s="51"/>
      <c r="S73" s="51"/>
      <c r="T73" s="65"/>
      <c r="U73" s="76"/>
      <c r="V73" s="77"/>
      <c r="W73" s="78"/>
      <c r="X73" s="76"/>
      <c r="Y73" s="77"/>
      <c r="Z73" s="78"/>
      <c r="AA73" s="76"/>
      <c r="AB73" s="77"/>
      <c r="AC73" s="77"/>
      <c r="AD73" s="77"/>
      <c r="AE73" s="85"/>
      <c r="AF73" s="85"/>
      <c r="AG73" s="85"/>
      <c r="AH73" s="85"/>
      <c r="AI73" s="85"/>
      <c r="AJ73" s="85"/>
      <c r="AK73" s="85"/>
      <c r="AL73" s="85"/>
      <c r="AM73" s="133"/>
      <c r="AN73" s="133"/>
      <c r="AO73" s="133"/>
      <c r="AP73" s="133"/>
      <c r="AQ73" s="133"/>
      <c r="AR73" s="133"/>
      <c r="AS73" s="133"/>
      <c r="AT73" s="133"/>
      <c r="AU73" s="133"/>
      <c r="AV73" s="133"/>
      <c r="AW73" s="133"/>
      <c r="AX73" s="133"/>
      <c r="AY73" s="133"/>
      <c r="AZ73" s="133"/>
      <c r="BA73" s="133"/>
    </row>
    <row r="74" spans="2:82" s="21" customFormat="1" ht="18" customHeight="1" x14ac:dyDescent="0.15">
      <c r="B74" s="73" t="s">
        <v>35</v>
      </c>
      <c r="C74" s="74"/>
      <c r="D74" s="74"/>
      <c r="E74" s="74"/>
      <c r="F74" s="74"/>
      <c r="G74" s="74"/>
      <c r="H74" s="74"/>
      <c r="I74" s="73">
        <v>5791000</v>
      </c>
      <c r="J74" s="74"/>
      <c r="K74" s="74"/>
      <c r="L74" s="75"/>
      <c r="M74" s="73">
        <v>3493000</v>
      </c>
      <c r="N74" s="74"/>
      <c r="O74" s="74"/>
      <c r="P74" s="75"/>
      <c r="Q74" s="48">
        <f>SUM(I74:P75)</f>
        <v>9284000</v>
      </c>
      <c r="R74" s="49"/>
      <c r="S74" s="49"/>
      <c r="T74" s="64"/>
      <c r="U74" s="73">
        <f>SUM(X82:Z83)</f>
        <v>0</v>
      </c>
      <c r="V74" s="74"/>
      <c r="W74" s="75"/>
      <c r="X74" s="73">
        <v>0</v>
      </c>
      <c r="Y74" s="74"/>
      <c r="Z74" s="75"/>
      <c r="AA74" s="73">
        <f>SUM(Q74:Z75)</f>
        <v>9284000</v>
      </c>
      <c r="AB74" s="74"/>
      <c r="AC74" s="74"/>
      <c r="AD74" s="74"/>
      <c r="AE74" s="85">
        <v>8917320</v>
      </c>
      <c r="AF74" s="85"/>
      <c r="AG74" s="85"/>
      <c r="AH74" s="85"/>
      <c r="AI74" s="73">
        <f>AE74-AA74</f>
        <v>-366680</v>
      </c>
      <c r="AJ74" s="74"/>
      <c r="AK74" s="74"/>
      <c r="AL74" s="74"/>
      <c r="AM74" s="134" t="s">
        <v>101</v>
      </c>
      <c r="AN74" s="134"/>
      <c r="AO74" s="134"/>
      <c r="AP74" s="134"/>
      <c r="AQ74" s="134"/>
      <c r="AR74" s="134"/>
      <c r="AS74" s="134"/>
      <c r="AT74" s="134"/>
      <c r="AU74" s="134"/>
      <c r="AV74" s="134"/>
      <c r="AW74" s="134"/>
      <c r="AX74" s="134"/>
      <c r="AY74" s="134"/>
      <c r="AZ74" s="134"/>
      <c r="BA74" s="134"/>
    </row>
    <row r="75" spans="2:82" s="21" customFormat="1" ht="18" customHeight="1" x14ac:dyDescent="0.15">
      <c r="B75" s="76"/>
      <c r="C75" s="77"/>
      <c r="D75" s="77"/>
      <c r="E75" s="77"/>
      <c r="F75" s="77"/>
      <c r="G75" s="77"/>
      <c r="H75" s="77"/>
      <c r="I75" s="76"/>
      <c r="J75" s="77"/>
      <c r="K75" s="77"/>
      <c r="L75" s="78"/>
      <c r="M75" s="76"/>
      <c r="N75" s="77"/>
      <c r="O75" s="77"/>
      <c r="P75" s="78"/>
      <c r="Q75" s="50"/>
      <c r="R75" s="51"/>
      <c r="S75" s="51"/>
      <c r="T75" s="65"/>
      <c r="U75" s="76"/>
      <c r="V75" s="77"/>
      <c r="W75" s="78"/>
      <c r="X75" s="76"/>
      <c r="Y75" s="77"/>
      <c r="Z75" s="78"/>
      <c r="AA75" s="76"/>
      <c r="AB75" s="77"/>
      <c r="AC75" s="77"/>
      <c r="AD75" s="77"/>
      <c r="AE75" s="85"/>
      <c r="AF75" s="85"/>
      <c r="AG75" s="85"/>
      <c r="AH75" s="85"/>
      <c r="AI75" s="76"/>
      <c r="AJ75" s="77"/>
      <c r="AK75" s="77"/>
      <c r="AL75" s="77"/>
      <c r="AM75" s="134"/>
      <c r="AN75" s="134"/>
      <c r="AO75" s="134"/>
      <c r="AP75" s="134"/>
      <c r="AQ75" s="134"/>
      <c r="AR75" s="134"/>
      <c r="AS75" s="134"/>
      <c r="AT75" s="134"/>
      <c r="AU75" s="134"/>
      <c r="AV75" s="134"/>
      <c r="AW75" s="134"/>
      <c r="AX75" s="134"/>
      <c r="AY75" s="134"/>
      <c r="AZ75" s="134"/>
      <c r="BA75" s="134"/>
    </row>
    <row r="76" spans="2:82" s="21" customFormat="1" ht="18" customHeight="1" x14ac:dyDescent="0.15">
      <c r="B76" s="73" t="s">
        <v>51</v>
      </c>
      <c r="C76" s="74"/>
      <c r="D76" s="74"/>
      <c r="E76" s="74"/>
      <c r="F76" s="74"/>
      <c r="G76" s="74"/>
      <c r="H76" s="75"/>
      <c r="I76" s="73">
        <v>9000000</v>
      </c>
      <c r="J76" s="74"/>
      <c r="K76" s="74"/>
      <c r="L76" s="75"/>
      <c r="M76" s="48">
        <v>0</v>
      </c>
      <c r="N76" s="49"/>
      <c r="O76" s="49"/>
      <c r="P76" s="64"/>
      <c r="Q76" s="48">
        <f>SUM(I76:P77)</f>
        <v>9000000</v>
      </c>
      <c r="R76" s="49"/>
      <c r="S76" s="49"/>
      <c r="T76" s="64"/>
      <c r="U76" s="73">
        <v>0</v>
      </c>
      <c r="V76" s="74"/>
      <c r="W76" s="75"/>
      <c r="X76" s="73">
        <v>0</v>
      </c>
      <c r="Y76" s="74"/>
      <c r="Z76" s="75"/>
      <c r="AA76" s="73">
        <f>SUM(Q76:Z77)</f>
        <v>9000000</v>
      </c>
      <c r="AB76" s="74"/>
      <c r="AC76" s="74"/>
      <c r="AD76" s="74"/>
      <c r="AE76" s="85">
        <v>8800000</v>
      </c>
      <c r="AF76" s="85"/>
      <c r="AG76" s="85"/>
      <c r="AH76" s="85"/>
      <c r="AI76" s="73">
        <f>AE76-AA76</f>
        <v>-200000</v>
      </c>
      <c r="AJ76" s="74"/>
      <c r="AK76" s="74"/>
      <c r="AL76" s="74"/>
      <c r="AM76" s="97"/>
      <c r="AN76" s="97"/>
      <c r="AO76" s="97"/>
      <c r="AP76" s="97"/>
      <c r="AQ76" s="97"/>
      <c r="AR76" s="97"/>
      <c r="AS76" s="97"/>
      <c r="AT76" s="97"/>
      <c r="AU76" s="97"/>
      <c r="AV76" s="97"/>
      <c r="AW76" s="97"/>
      <c r="AX76" s="97"/>
      <c r="AY76" s="97"/>
      <c r="AZ76" s="97"/>
      <c r="BA76" s="97"/>
    </row>
    <row r="77" spans="2:82" s="21" customFormat="1" ht="18" customHeight="1" x14ac:dyDescent="0.15">
      <c r="B77" s="76"/>
      <c r="C77" s="77"/>
      <c r="D77" s="77"/>
      <c r="E77" s="77"/>
      <c r="F77" s="77"/>
      <c r="G77" s="77"/>
      <c r="H77" s="78"/>
      <c r="I77" s="76"/>
      <c r="J77" s="77"/>
      <c r="K77" s="77"/>
      <c r="L77" s="78"/>
      <c r="M77" s="50"/>
      <c r="N77" s="51"/>
      <c r="O77" s="51"/>
      <c r="P77" s="65"/>
      <c r="Q77" s="50"/>
      <c r="R77" s="51"/>
      <c r="S77" s="51"/>
      <c r="T77" s="65"/>
      <c r="U77" s="76"/>
      <c r="V77" s="77"/>
      <c r="W77" s="78"/>
      <c r="X77" s="76"/>
      <c r="Y77" s="77"/>
      <c r="Z77" s="78"/>
      <c r="AA77" s="76"/>
      <c r="AB77" s="77"/>
      <c r="AC77" s="77"/>
      <c r="AD77" s="77"/>
      <c r="AE77" s="85"/>
      <c r="AF77" s="85"/>
      <c r="AG77" s="85"/>
      <c r="AH77" s="85"/>
      <c r="AI77" s="76"/>
      <c r="AJ77" s="77"/>
      <c r="AK77" s="77"/>
      <c r="AL77" s="77"/>
      <c r="AM77" s="97"/>
      <c r="AN77" s="97"/>
      <c r="AO77" s="97"/>
      <c r="AP77" s="97"/>
      <c r="AQ77" s="97"/>
      <c r="AR77" s="97"/>
      <c r="AS77" s="97"/>
      <c r="AT77" s="97"/>
      <c r="AU77" s="97"/>
      <c r="AV77" s="97"/>
      <c r="AW77" s="97"/>
      <c r="AX77" s="97"/>
      <c r="AY77" s="97"/>
      <c r="AZ77" s="97"/>
      <c r="BA77" s="97"/>
    </row>
    <row r="78" spans="2:82" s="21" customFormat="1" ht="18" customHeight="1" x14ac:dyDescent="0.15">
      <c r="B78" s="73" t="s">
        <v>102</v>
      </c>
      <c r="C78" s="74"/>
      <c r="D78" s="74"/>
      <c r="E78" s="74"/>
      <c r="F78" s="74"/>
      <c r="G78" s="74"/>
      <c r="H78" s="75"/>
      <c r="I78" s="73">
        <v>20000000</v>
      </c>
      <c r="J78" s="74"/>
      <c r="K78" s="74"/>
      <c r="L78" s="75"/>
      <c r="M78" s="79">
        <v>0</v>
      </c>
      <c r="N78" s="80"/>
      <c r="O78" s="80"/>
      <c r="P78" s="81"/>
      <c r="Q78" s="48">
        <f>SUM(I78:P79)</f>
        <v>20000000</v>
      </c>
      <c r="R78" s="49"/>
      <c r="S78" s="49"/>
      <c r="T78" s="64"/>
      <c r="U78" s="73">
        <v>0</v>
      </c>
      <c r="V78" s="74"/>
      <c r="W78" s="75"/>
      <c r="X78" s="73">
        <v>0</v>
      </c>
      <c r="Y78" s="74"/>
      <c r="Z78" s="75"/>
      <c r="AA78" s="73">
        <f>SUM(Q78:Z79)</f>
        <v>20000000</v>
      </c>
      <c r="AB78" s="74"/>
      <c r="AC78" s="74"/>
      <c r="AD78" s="74"/>
      <c r="AE78" s="85">
        <v>18600000</v>
      </c>
      <c r="AF78" s="85"/>
      <c r="AG78" s="85"/>
      <c r="AH78" s="85"/>
      <c r="AI78" s="73">
        <f>AE78-AA78</f>
        <v>-1400000</v>
      </c>
      <c r="AJ78" s="74"/>
      <c r="AK78" s="74"/>
      <c r="AL78" s="74"/>
      <c r="AM78" s="97"/>
      <c r="AN78" s="97"/>
      <c r="AO78" s="97"/>
      <c r="AP78" s="97"/>
      <c r="AQ78" s="97"/>
      <c r="AR78" s="97"/>
      <c r="AS78" s="97"/>
      <c r="AT78" s="97"/>
      <c r="AU78" s="97"/>
      <c r="AV78" s="97"/>
      <c r="AW78" s="97"/>
      <c r="AX78" s="97"/>
      <c r="AY78" s="97"/>
      <c r="AZ78" s="97"/>
      <c r="BA78" s="97"/>
    </row>
    <row r="79" spans="2:82" s="21" customFormat="1" ht="18" customHeight="1" x14ac:dyDescent="0.15">
      <c r="B79" s="76"/>
      <c r="C79" s="77"/>
      <c r="D79" s="77"/>
      <c r="E79" s="77"/>
      <c r="F79" s="77"/>
      <c r="G79" s="77"/>
      <c r="H79" s="78"/>
      <c r="I79" s="76"/>
      <c r="J79" s="77"/>
      <c r="K79" s="77"/>
      <c r="L79" s="78"/>
      <c r="M79" s="82"/>
      <c r="N79" s="83"/>
      <c r="O79" s="83"/>
      <c r="P79" s="84"/>
      <c r="Q79" s="50"/>
      <c r="R79" s="51"/>
      <c r="S79" s="51"/>
      <c r="T79" s="65"/>
      <c r="U79" s="76"/>
      <c r="V79" s="77"/>
      <c r="W79" s="78"/>
      <c r="X79" s="76"/>
      <c r="Y79" s="77"/>
      <c r="Z79" s="78"/>
      <c r="AA79" s="76"/>
      <c r="AB79" s="77"/>
      <c r="AC79" s="77"/>
      <c r="AD79" s="77"/>
      <c r="AE79" s="85"/>
      <c r="AF79" s="85"/>
      <c r="AG79" s="85"/>
      <c r="AH79" s="85"/>
      <c r="AI79" s="76"/>
      <c r="AJ79" s="77"/>
      <c r="AK79" s="77"/>
      <c r="AL79" s="77"/>
      <c r="AM79" s="97"/>
      <c r="AN79" s="97"/>
      <c r="AO79" s="97"/>
      <c r="AP79" s="97"/>
      <c r="AQ79" s="97"/>
      <c r="AR79" s="97"/>
      <c r="AS79" s="97"/>
      <c r="AT79" s="97"/>
      <c r="AU79" s="97"/>
      <c r="AV79" s="97"/>
      <c r="AW79" s="97"/>
      <c r="AX79" s="97"/>
      <c r="AY79" s="97"/>
      <c r="AZ79" s="97"/>
      <c r="BA79" s="97"/>
    </row>
    <row r="80" spans="2:82" s="21" customFormat="1" ht="18" customHeight="1" x14ac:dyDescent="0.15">
      <c r="B80" s="73" t="s">
        <v>103</v>
      </c>
      <c r="C80" s="74"/>
      <c r="D80" s="74"/>
      <c r="E80" s="74"/>
      <c r="F80" s="74"/>
      <c r="G80" s="74"/>
      <c r="H80" s="74"/>
      <c r="I80" s="73">
        <v>27600000</v>
      </c>
      <c r="J80" s="74"/>
      <c r="K80" s="74"/>
      <c r="L80" s="75"/>
      <c r="M80" s="73">
        <v>-2200000</v>
      </c>
      <c r="N80" s="74"/>
      <c r="O80" s="74"/>
      <c r="P80" s="75"/>
      <c r="Q80" s="48">
        <f>SUM(I80:P81)</f>
        <v>25400000</v>
      </c>
      <c r="R80" s="49"/>
      <c r="S80" s="49"/>
      <c r="T80" s="64"/>
      <c r="U80" s="73">
        <v>0</v>
      </c>
      <c r="V80" s="74"/>
      <c r="W80" s="75"/>
      <c r="X80" s="73">
        <v>0</v>
      </c>
      <c r="Y80" s="74"/>
      <c r="Z80" s="75"/>
      <c r="AA80" s="73">
        <f>SUM(Q80:Z81)</f>
        <v>25400000</v>
      </c>
      <c r="AB80" s="74"/>
      <c r="AC80" s="74"/>
      <c r="AD80" s="74"/>
      <c r="AE80" s="85">
        <v>25400000</v>
      </c>
      <c r="AF80" s="85"/>
      <c r="AG80" s="85"/>
      <c r="AH80" s="85"/>
      <c r="AI80" s="73">
        <f>AE80-AA80</f>
        <v>0</v>
      </c>
      <c r="AJ80" s="74"/>
      <c r="AK80" s="74"/>
      <c r="AL80" s="74"/>
      <c r="AM80" s="97"/>
      <c r="AN80" s="97"/>
      <c r="AO80" s="97"/>
      <c r="AP80" s="97"/>
      <c r="AQ80" s="97"/>
      <c r="AR80" s="97"/>
      <c r="AS80" s="97"/>
      <c r="AT80" s="97"/>
      <c r="AU80" s="97"/>
      <c r="AV80" s="97"/>
      <c r="AW80" s="97"/>
      <c r="AX80" s="97"/>
      <c r="AY80" s="97"/>
      <c r="AZ80" s="97"/>
      <c r="BA80" s="97"/>
    </row>
    <row r="81" spans="2:91" s="21" customFormat="1" ht="18" customHeight="1" x14ac:dyDescent="0.15">
      <c r="B81" s="76"/>
      <c r="C81" s="77"/>
      <c r="D81" s="77"/>
      <c r="E81" s="77"/>
      <c r="F81" s="77"/>
      <c r="G81" s="77"/>
      <c r="H81" s="77"/>
      <c r="I81" s="76"/>
      <c r="J81" s="77"/>
      <c r="K81" s="77"/>
      <c r="L81" s="78"/>
      <c r="M81" s="76"/>
      <c r="N81" s="77"/>
      <c r="O81" s="77"/>
      <c r="P81" s="78"/>
      <c r="Q81" s="50"/>
      <c r="R81" s="51"/>
      <c r="S81" s="51"/>
      <c r="T81" s="65"/>
      <c r="U81" s="76"/>
      <c r="V81" s="77"/>
      <c r="W81" s="78"/>
      <c r="X81" s="76"/>
      <c r="Y81" s="77"/>
      <c r="Z81" s="78"/>
      <c r="AA81" s="76"/>
      <c r="AB81" s="77"/>
      <c r="AC81" s="77"/>
      <c r="AD81" s="77"/>
      <c r="AE81" s="85"/>
      <c r="AF81" s="85"/>
      <c r="AG81" s="85"/>
      <c r="AH81" s="85"/>
      <c r="AI81" s="76"/>
      <c r="AJ81" s="77"/>
      <c r="AK81" s="77"/>
      <c r="AL81" s="77"/>
      <c r="AM81" s="97"/>
      <c r="AN81" s="97"/>
      <c r="AO81" s="97"/>
      <c r="AP81" s="97"/>
      <c r="AQ81" s="97"/>
      <c r="AR81" s="97"/>
      <c r="AS81" s="97"/>
      <c r="AT81" s="97"/>
      <c r="AU81" s="97"/>
      <c r="AV81" s="97"/>
      <c r="AW81" s="97"/>
      <c r="AX81" s="97"/>
      <c r="AY81" s="97"/>
      <c r="AZ81" s="97"/>
      <c r="BA81" s="97"/>
    </row>
    <row r="82" spans="2:91" s="21" customFormat="1" ht="13.5" customHeight="1" x14ac:dyDescent="0.15">
      <c r="B82" s="22"/>
      <c r="C82" s="22"/>
      <c r="D82" s="22"/>
      <c r="E82" s="22"/>
      <c r="F82" s="22"/>
      <c r="G82" s="22"/>
      <c r="H82" s="22"/>
      <c r="I82" s="22"/>
      <c r="J82" s="22"/>
      <c r="K82" s="22"/>
      <c r="L82" s="22"/>
      <c r="M82" s="22"/>
      <c r="N82" s="22"/>
      <c r="O82" s="22"/>
      <c r="P82" s="22"/>
      <c r="Q82" s="22"/>
      <c r="R82" s="22"/>
      <c r="S82" s="22"/>
      <c r="T82" s="22"/>
      <c r="U82" s="22"/>
      <c r="V82" s="22"/>
      <c r="W82" s="27"/>
      <c r="X82" s="27"/>
      <c r="Y82" s="27"/>
      <c r="Z82" s="27"/>
      <c r="AA82" s="27"/>
      <c r="AB82" s="27"/>
      <c r="AC82" s="27"/>
      <c r="AD82" s="27"/>
      <c r="AE82" s="27"/>
      <c r="AF82" s="27"/>
      <c r="AG82" s="27"/>
      <c r="AH82" s="27"/>
      <c r="AI82" s="22"/>
      <c r="AJ82" s="22"/>
      <c r="AK82" s="22"/>
      <c r="AL82" s="22"/>
      <c r="AM82" s="22"/>
      <c r="AN82" s="22"/>
      <c r="AO82" s="22"/>
      <c r="AP82" s="22"/>
      <c r="AQ82" s="22"/>
      <c r="AR82" s="22"/>
      <c r="AS82" s="28"/>
      <c r="AT82" s="28"/>
      <c r="AU82" s="28"/>
      <c r="AV82" s="28"/>
      <c r="AW82" s="28"/>
      <c r="AX82" s="28"/>
      <c r="AY82" s="28"/>
      <c r="AZ82" s="28"/>
      <c r="BA82" s="28"/>
    </row>
    <row r="83" spans="2:91" ht="13.5" customHeight="1" x14ac:dyDescent="0.15">
      <c r="B83" s="130" t="s">
        <v>13</v>
      </c>
      <c r="C83" s="130"/>
      <c r="D83" s="130"/>
      <c r="E83" s="130"/>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CM83" s="21"/>
    </row>
    <row r="84" spans="2:91" ht="13.5" customHeight="1" x14ac:dyDescent="0.15">
      <c r="B84" s="131"/>
      <c r="C84" s="131"/>
      <c r="D84" s="131"/>
      <c r="E84" s="131"/>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45"/>
      <c r="AU84" s="132" t="s">
        <v>47</v>
      </c>
      <c r="AV84" s="132"/>
      <c r="AW84" s="132"/>
      <c r="AX84" s="132"/>
      <c r="AY84" s="132"/>
      <c r="AZ84" s="132"/>
      <c r="BA84" s="132"/>
      <c r="CM84" s="21"/>
    </row>
    <row r="85" spans="2:91" s="21" customFormat="1" ht="13.5" customHeight="1" x14ac:dyDescent="0.15">
      <c r="B85" s="113" t="s">
        <v>2</v>
      </c>
      <c r="C85" s="114"/>
      <c r="D85" s="114"/>
      <c r="E85" s="114"/>
      <c r="F85" s="114"/>
      <c r="G85" s="114"/>
      <c r="H85" s="115"/>
      <c r="I85" s="113" t="s">
        <v>36</v>
      </c>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3" t="s">
        <v>4</v>
      </c>
      <c r="AG85" s="114"/>
      <c r="AH85" s="114"/>
      <c r="AI85" s="115"/>
      <c r="AJ85" s="122" t="s">
        <v>37</v>
      </c>
      <c r="AK85" s="123"/>
      <c r="AL85" s="123"/>
      <c r="AM85" s="123"/>
      <c r="AN85" s="123"/>
      <c r="AO85" s="124"/>
      <c r="AP85" s="113" t="s">
        <v>17</v>
      </c>
      <c r="AQ85" s="114"/>
      <c r="AR85" s="115"/>
      <c r="AS85" s="113" t="s">
        <v>38</v>
      </c>
      <c r="AT85" s="114"/>
      <c r="AU85" s="114"/>
      <c r="AV85" s="114"/>
      <c r="AW85" s="114"/>
      <c r="AX85" s="114"/>
      <c r="AY85" s="114"/>
      <c r="AZ85" s="114"/>
      <c r="BA85" s="115"/>
    </row>
    <row r="86" spans="2:91" s="21" customFormat="1" ht="13.5" customHeight="1" x14ac:dyDescent="0.15">
      <c r="B86" s="116"/>
      <c r="C86" s="117"/>
      <c r="D86" s="117"/>
      <c r="E86" s="117"/>
      <c r="F86" s="117"/>
      <c r="G86" s="117"/>
      <c r="H86" s="118"/>
      <c r="I86" s="119"/>
      <c r="J86" s="120"/>
      <c r="K86" s="120"/>
      <c r="L86" s="120"/>
      <c r="M86" s="120"/>
      <c r="N86" s="120"/>
      <c r="O86" s="120"/>
      <c r="P86" s="120"/>
      <c r="Q86" s="120"/>
      <c r="R86" s="120"/>
      <c r="S86" s="120"/>
      <c r="T86" s="120"/>
      <c r="U86" s="120"/>
      <c r="V86" s="120"/>
      <c r="W86" s="120"/>
      <c r="X86" s="120"/>
      <c r="Y86" s="120"/>
      <c r="Z86" s="120"/>
      <c r="AA86" s="120"/>
      <c r="AB86" s="120"/>
      <c r="AC86" s="120"/>
      <c r="AD86" s="120"/>
      <c r="AE86" s="120"/>
      <c r="AF86" s="116"/>
      <c r="AG86" s="117"/>
      <c r="AH86" s="117"/>
      <c r="AI86" s="118"/>
      <c r="AJ86" s="125"/>
      <c r="AK86" s="126"/>
      <c r="AL86" s="126"/>
      <c r="AM86" s="126"/>
      <c r="AN86" s="126"/>
      <c r="AO86" s="127"/>
      <c r="AP86" s="116"/>
      <c r="AQ86" s="117"/>
      <c r="AR86" s="118"/>
      <c r="AS86" s="116"/>
      <c r="AT86" s="117"/>
      <c r="AU86" s="117"/>
      <c r="AV86" s="117"/>
      <c r="AW86" s="117"/>
      <c r="AX86" s="117"/>
      <c r="AY86" s="117"/>
      <c r="AZ86" s="117"/>
      <c r="BA86" s="118"/>
    </row>
    <row r="87" spans="2:91" s="21" customFormat="1" ht="13.5" customHeight="1" x14ac:dyDescent="0.15">
      <c r="B87" s="116"/>
      <c r="C87" s="117"/>
      <c r="D87" s="117"/>
      <c r="E87" s="117"/>
      <c r="F87" s="117"/>
      <c r="G87" s="117"/>
      <c r="H87" s="118"/>
      <c r="I87" s="113" t="s">
        <v>19</v>
      </c>
      <c r="J87" s="114"/>
      <c r="K87" s="114"/>
      <c r="L87" s="115"/>
      <c r="M87" s="113" t="s">
        <v>20</v>
      </c>
      <c r="N87" s="114"/>
      <c r="O87" s="114"/>
      <c r="P87" s="115"/>
      <c r="Q87" s="122" t="s">
        <v>39</v>
      </c>
      <c r="R87" s="123"/>
      <c r="S87" s="97" t="s">
        <v>24</v>
      </c>
      <c r="T87" s="97"/>
      <c r="U87" s="97"/>
      <c r="V87" s="97"/>
      <c r="W87" s="86" t="s">
        <v>40</v>
      </c>
      <c r="X87" s="87"/>
      <c r="Y87" s="88"/>
      <c r="Z87" s="95" t="s">
        <v>41</v>
      </c>
      <c r="AA87" s="96"/>
      <c r="AB87" s="97" t="s">
        <v>25</v>
      </c>
      <c r="AC87" s="97"/>
      <c r="AD87" s="97"/>
      <c r="AE87" s="98"/>
      <c r="AF87" s="116"/>
      <c r="AG87" s="117"/>
      <c r="AH87" s="117"/>
      <c r="AI87" s="118"/>
      <c r="AJ87" s="89" t="s">
        <v>42</v>
      </c>
      <c r="AK87" s="91"/>
      <c r="AL87" s="105" t="s">
        <v>50</v>
      </c>
      <c r="AM87" s="106"/>
      <c r="AN87" s="109" t="s">
        <v>43</v>
      </c>
      <c r="AO87" s="110"/>
      <c r="AP87" s="116"/>
      <c r="AQ87" s="117"/>
      <c r="AR87" s="118"/>
      <c r="AS87" s="116"/>
      <c r="AT87" s="117"/>
      <c r="AU87" s="117"/>
      <c r="AV87" s="117"/>
      <c r="AW87" s="117"/>
      <c r="AX87" s="117"/>
      <c r="AY87" s="117"/>
      <c r="AZ87" s="117"/>
      <c r="BA87" s="118"/>
    </row>
    <row r="88" spans="2:91" s="21" customFormat="1" ht="13.5" customHeight="1" x14ac:dyDescent="0.15">
      <c r="B88" s="116"/>
      <c r="C88" s="117"/>
      <c r="D88" s="117"/>
      <c r="E88" s="117"/>
      <c r="F88" s="117"/>
      <c r="G88" s="117"/>
      <c r="H88" s="118"/>
      <c r="I88" s="116"/>
      <c r="J88" s="117"/>
      <c r="K88" s="117"/>
      <c r="L88" s="118"/>
      <c r="M88" s="116"/>
      <c r="N88" s="117"/>
      <c r="O88" s="117"/>
      <c r="P88" s="118"/>
      <c r="Q88" s="128"/>
      <c r="R88" s="129"/>
      <c r="S88" s="97"/>
      <c r="T88" s="97"/>
      <c r="U88" s="97"/>
      <c r="V88" s="97"/>
      <c r="W88" s="89"/>
      <c r="X88" s="90"/>
      <c r="Y88" s="91"/>
      <c r="Z88" s="95"/>
      <c r="AA88" s="96"/>
      <c r="AB88" s="97"/>
      <c r="AC88" s="97"/>
      <c r="AD88" s="97"/>
      <c r="AE88" s="98"/>
      <c r="AF88" s="116"/>
      <c r="AG88" s="117"/>
      <c r="AH88" s="117"/>
      <c r="AI88" s="118"/>
      <c r="AJ88" s="89"/>
      <c r="AK88" s="91"/>
      <c r="AL88" s="105"/>
      <c r="AM88" s="106"/>
      <c r="AN88" s="109"/>
      <c r="AO88" s="110"/>
      <c r="AP88" s="116"/>
      <c r="AQ88" s="117"/>
      <c r="AR88" s="118"/>
      <c r="AS88" s="116"/>
      <c r="AT88" s="117"/>
      <c r="AU88" s="117"/>
      <c r="AV88" s="117"/>
      <c r="AW88" s="117"/>
      <c r="AX88" s="117"/>
      <c r="AY88" s="117"/>
      <c r="AZ88" s="117"/>
      <c r="BA88" s="118"/>
    </row>
    <row r="89" spans="2:91" s="21" customFormat="1" ht="13.5" customHeight="1" x14ac:dyDescent="0.15">
      <c r="B89" s="116"/>
      <c r="C89" s="117"/>
      <c r="D89" s="117"/>
      <c r="E89" s="117"/>
      <c r="F89" s="117"/>
      <c r="G89" s="117"/>
      <c r="H89" s="118"/>
      <c r="I89" s="116"/>
      <c r="J89" s="117"/>
      <c r="K89" s="117"/>
      <c r="L89" s="118"/>
      <c r="M89" s="116"/>
      <c r="N89" s="117"/>
      <c r="O89" s="117"/>
      <c r="P89" s="118"/>
      <c r="Q89" s="128"/>
      <c r="R89" s="129"/>
      <c r="S89" s="97"/>
      <c r="T89" s="97"/>
      <c r="U89" s="97"/>
      <c r="V89" s="97"/>
      <c r="W89" s="89"/>
      <c r="X89" s="90"/>
      <c r="Y89" s="91"/>
      <c r="Z89" s="95"/>
      <c r="AA89" s="96"/>
      <c r="AB89" s="97"/>
      <c r="AC89" s="97"/>
      <c r="AD89" s="97"/>
      <c r="AE89" s="98"/>
      <c r="AF89" s="116"/>
      <c r="AG89" s="117"/>
      <c r="AH89" s="117"/>
      <c r="AI89" s="118"/>
      <c r="AJ89" s="89"/>
      <c r="AK89" s="91"/>
      <c r="AL89" s="105"/>
      <c r="AM89" s="106"/>
      <c r="AN89" s="109"/>
      <c r="AO89" s="110"/>
      <c r="AP89" s="116"/>
      <c r="AQ89" s="117"/>
      <c r="AR89" s="118"/>
      <c r="AS89" s="116"/>
      <c r="AT89" s="117"/>
      <c r="AU89" s="117"/>
      <c r="AV89" s="117"/>
      <c r="AW89" s="117"/>
      <c r="AX89" s="117"/>
      <c r="AY89" s="117"/>
      <c r="AZ89" s="117"/>
      <c r="BA89" s="118"/>
    </row>
    <row r="90" spans="2:91" s="21" customFormat="1" ht="13.5" customHeight="1" x14ac:dyDescent="0.15">
      <c r="B90" s="119"/>
      <c r="C90" s="120"/>
      <c r="D90" s="120"/>
      <c r="E90" s="120"/>
      <c r="F90" s="120"/>
      <c r="G90" s="120"/>
      <c r="H90" s="121"/>
      <c r="I90" s="119"/>
      <c r="J90" s="120"/>
      <c r="K90" s="120"/>
      <c r="L90" s="121"/>
      <c r="M90" s="119"/>
      <c r="N90" s="120"/>
      <c r="O90" s="120"/>
      <c r="P90" s="121"/>
      <c r="Q90" s="125"/>
      <c r="R90" s="126"/>
      <c r="S90" s="97"/>
      <c r="T90" s="97"/>
      <c r="U90" s="97"/>
      <c r="V90" s="97"/>
      <c r="W90" s="92"/>
      <c r="X90" s="93"/>
      <c r="Y90" s="94"/>
      <c r="Z90" s="95"/>
      <c r="AA90" s="96"/>
      <c r="AB90" s="97"/>
      <c r="AC90" s="97"/>
      <c r="AD90" s="97"/>
      <c r="AE90" s="98"/>
      <c r="AF90" s="119"/>
      <c r="AG90" s="120"/>
      <c r="AH90" s="120"/>
      <c r="AI90" s="121"/>
      <c r="AJ90" s="92"/>
      <c r="AK90" s="94"/>
      <c r="AL90" s="107"/>
      <c r="AM90" s="108"/>
      <c r="AN90" s="111"/>
      <c r="AO90" s="112"/>
      <c r="AP90" s="119"/>
      <c r="AQ90" s="120"/>
      <c r="AR90" s="121"/>
      <c r="AS90" s="119"/>
      <c r="AT90" s="120"/>
      <c r="AU90" s="120"/>
      <c r="AV90" s="120"/>
      <c r="AW90" s="120"/>
      <c r="AX90" s="120"/>
      <c r="AY90" s="120"/>
      <c r="AZ90" s="120"/>
      <c r="BA90" s="121"/>
      <c r="BC90" s="21" t="s">
        <v>64</v>
      </c>
      <c r="BK90" s="21" t="s">
        <v>90</v>
      </c>
    </row>
    <row r="91" spans="2:91" s="21" customFormat="1" ht="18" customHeight="1" x14ac:dyDescent="0.15">
      <c r="B91" s="73" t="s">
        <v>44</v>
      </c>
      <c r="C91" s="74"/>
      <c r="D91" s="74"/>
      <c r="E91" s="74"/>
      <c r="F91" s="74"/>
      <c r="G91" s="74"/>
      <c r="H91" s="75"/>
      <c r="I91" s="79">
        <f>SUM(I93:L96)</f>
        <v>121050000</v>
      </c>
      <c r="J91" s="80"/>
      <c r="K91" s="80"/>
      <c r="L91" s="81"/>
      <c r="M91" s="79">
        <f>SUM(M93:P96)</f>
        <v>-6342000</v>
      </c>
      <c r="N91" s="80"/>
      <c r="O91" s="80"/>
      <c r="P91" s="81"/>
      <c r="Q91" s="79">
        <f>SUM(Q93:R96)</f>
        <v>0</v>
      </c>
      <c r="R91" s="80"/>
      <c r="S91" s="66">
        <f>SUM(S93:V96)</f>
        <v>114708000</v>
      </c>
      <c r="T91" s="66"/>
      <c r="U91" s="66"/>
      <c r="V91" s="66"/>
      <c r="W91" s="79">
        <f>SUM(W93:Y96)</f>
        <v>0</v>
      </c>
      <c r="X91" s="80"/>
      <c r="Y91" s="81"/>
      <c r="Z91" s="79">
        <f>SUM(Z93:AA96)</f>
        <v>0</v>
      </c>
      <c r="AA91" s="80"/>
      <c r="AB91" s="66">
        <f>SUM(AB93:AE96)</f>
        <v>114708000</v>
      </c>
      <c r="AC91" s="66"/>
      <c r="AD91" s="66"/>
      <c r="AE91" s="66"/>
      <c r="AF91" s="79">
        <f>SUM(AF93:AI96)</f>
        <v>114306505</v>
      </c>
      <c r="AG91" s="80"/>
      <c r="AH91" s="80"/>
      <c r="AI91" s="80"/>
      <c r="AJ91" s="79">
        <f>SUM(AJ93:AK96)</f>
        <v>0</v>
      </c>
      <c r="AK91" s="81"/>
      <c r="AL91" s="48">
        <f>SUM(AL93:AM96)</f>
        <v>0</v>
      </c>
      <c r="AM91" s="64"/>
      <c r="AN91" s="66">
        <f>SUM(AN93:AO96)</f>
        <v>0</v>
      </c>
      <c r="AO91" s="66"/>
      <c r="AP91" s="79">
        <f>SUM(AP93:AR96)</f>
        <v>401495</v>
      </c>
      <c r="AQ91" s="80"/>
      <c r="AR91" s="80"/>
      <c r="AS91" s="52"/>
      <c r="AT91" s="53"/>
      <c r="AU91" s="53"/>
      <c r="AV91" s="53"/>
      <c r="AW91" s="53"/>
      <c r="AX91" s="53"/>
      <c r="AY91" s="53"/>
      <c r="AZ91" s="53"/>
      <c r="BA91" s="54"/>
    </row>
    <row r="92" spans="2:91" s="21" customFormat="1" ht="18" customHeight="1" x14ac:dyDescent="0.15">
      <c r="B92" s="76"/>
      <c r="C92" s="77"/>
      <c r="D92" s="77"/>
      <c r="E92" s="77"/>
      <c r="F92" s="77"/>
      <c r="G92" s="77"/>
      <c r="H92" s="78"/>
      <c r="I92" s="82"/>
      <c r="J92" s="83"/>
      <c r="K92" s="83"/>
      <c r="L92" s="84"/>
      <c r="M92" s="82"/>
      <c r="N92" s="83"/>
      <c r="O92" s="83"/>
      <c r="P92" s="84"/>
      <c r="Q92" s="82"/>
      <c r="R92" s="83"/>
      <c r="S92" s="66"/>
      <c r="T92" s="66"/>
      <c r="U92" s="66"/>
      <c r="V92" s="66"/>
      <c r="W92" s="82"/>
      <c r="X92" s="83"/>
      <c r="Y92" s="84"/>
      <c r="Z92" s="82"/>
      <c r="AA92" s="83"/>
      <c r="AB92" s="66"/>
      <c r="AC92" s="66"/>
      <c r="AD92" s="66"/>
      <c r="AE92" s="66"/>
      <c r="AF92" s="82"/>
      <c r="AG92" s="83"/>
      <c r="AH92" s="83"/>
      <c r="AI92" s="83"/>
      <c r="AJ92" s="82"/>
      <c r="AK92" s="84"/>
      <c r="AL92" s="50"/>
      <c r="AM92" s="65"/>
      <c r="AN92" s="66"/>
      <c r="AO92" s="66"/>
      <c r="AP92" s="82"/>
      <c r="AQ92" s="83"/>
      <c r="AR92" s="83"/>
      <c r="AS92" s="55"/>
      <c r="AT92" s="56"/>
      <c r="AU92" s="56"/>
      <c r="AV92" s="56"/>
      <c r="AW92" s="56"/>
      <c r="AX92" s="56"/>
      <c r="AY92" s="56"/>
      <c r="AZ92" s="56"/>
      <c r="BA92" s="57"/>
      <c r="BC92" s="21" t="s">
        <v>76</v>
      </c>
      <c r="BG92" s="21" t="s">
        <v>77</v>
      </c>
    </row>
    <row r="93" spans="2:91" s="21" customFormat="1" ht="18" customHeight="1" x14ac:dyDescent="0.15">
      <c r="B93" s="73" t="s">
        <v>45</v>
      </c>
      <c r="C93" s="74"/>
      <c r="D93" s="74"/>
      <c r="E93" s="74"/>
      <c r="F93" s="74"/>
      <c r="G93" s="74"/>
      <c r="H93" s="75"/>
      <c r="I93" s="48">
        <v>82035000</v>
      </c>
      <c r="J93" s="49"/>
      <c r="K93" s="49"/>
      <c r="L93" s="64"/>
      <c r="M93" s="48">
        <v>-6342000</v>
      </c>
      <c r="N93" s="49"/>
      <c r="O93" s="49"/>
      <c r="P93" s="64"/>
      <c r="Q93" s="79">
        <f>SUM(Q97:R98)</f>
        <v>0</v>
      </c>
      <c r="R93" s="80"/>
      <c r="S93" s="62">
        <f>SUM(I93:R94)</f>
        <v>75693000</v>
      </c>
      <c r="T93" s="62"/>
      <c r="U93" s="62"/>
      <c r="V93" s="62"/>
      <c r="W93" s="62">
        <v>0</v>
      </c>
      <c r="X93" s="62"/>
      <c r="Y93" s="62"/>
      <c r="Z93" s="48">
        <v>0</v>
      </c>
      <c r="AA93" s="49"/>
      <c r="AB93" s="62">
        <f>SUM(S93:AA94)</f>
        <v>75693000</v>
      </c>
      <c r="AC93" s="62"/>
      <c r="AD93" s="62"/>
      <c r="AE93" s="62"/>
      <c r="AF93" s="48">
        <v>75292926</v>
      </c>
      <c r="AG93" s="49"/>
      <c r="AH93" s="49"/>
      <c r="AI93" s="64"/>
      <c r="AJ93" s="62">
        <v>0</v>
      </c>
      <c r="AK93" s="62"/>
      <c r="AL93" s="48">
        <v>0</v>
      </c>
      <c r="AM93" s="64"/>
      <c r="AN93" s="66">
        <f>SUM(AJ93:AM94)</f>
        <v>0</v>
      </c>
      <c r="AO93" s="66"/>
      <c r="AP93" s="48">
        <f>AB93-AF93-AN93</f>
        <v>400074</v>
      </c>
      <c r="AQ93" s="49"/>
      <c r="AR93" s="49"/>
      <c r="AS93" s="99" t="s">
        <v>62</v>
      </c>
      <c r="AT93" s="100"/>
      <c r="AU93" s="100"/>
      <c r="AV93" s="100"/>
      <c r="AW93" s="100"/>
      <c r="AX93" s="100"/>
      <c r="AY93" s="100"/>
      <c r="AZ93" s="100"/>
      <c r="BA93" s="101"/>
      <c r="BC93" s="21">
        <v>15372000</v>
      </c>
    </row>
    <row r="94" spans="2:91" s="21" customFormat="1" ht="18" customHeight="1" x14ac:dyDescent="0.15">
      <c r="B94" s="76"/>
      <c r="C94" s="77"/>
      <c r="D94" s="77"/>
      <c r="E94" s="77"/>
      <c r="F94" s="77"/>
      <c r="G94" s="77"/>
      <c r="H94" s="78"/>
      <c r="I94" s="50"/>
      <c r="J94" s="51"/>
      <c r="K94" s="51"/>
      <c r="L94" s="65"/>
      <c r="M94" s="50"/>
      <c r="N94" s="51"/>
      <c r="O94" s="51"/>
      <c r="P94" s="65"/>
      <c r="Q94" s="82"/>
      <c r="R94" s="83"/>
      <c r="S94" s="62"/>
      <c r="T94" s="62"/>
      <c r="U94" s="62"/>
      <c r="V94" s="62"/>
      <c r="W94" s="62"/>
      <c r="X94" s="62"/>
      <c r="Y94" s="62"/>
      <c r="Z94" s="50"/>
      <c r="AA94" s="51"/>
      <c r="AB94" s="62"/>
      <c r="AC94" s="62"/>
      <c r="AD94" s="62"/>
      <c r="AE94" s="62"/>
      <c r="AF94" s="50"/>
      <c r="AG94" s="51"/>
      <c r="AH94" s="51"/>
      <c r="AI94" s="65"/>
      <c r="AJ94" s="62"/>
      <c r="AK94" s="62"/>
      <c r="AL94" s="50"/>
      <c r="AM94" s="65"/>
      <c r="AN94" s="66"/>
      <c r="AO94" s="66"/>
      <c r="AP94" s="50"/>
      <c r="AQ94" s="51"/>
      <c r="AR94" s="51"/>
      <c r="AS94" s="102" t="s">
        <v>106</v>
      </c>
      <c r="AT94" s="103"/>
      <c r="AU94" s="103"/>
      <c r="AV94" s="103"/>
      <c r="AW94" s="103"/>
      <c r="AX94" s="103"/>
      <c r="AY94" s="103"/>
      <c r="AZ94" s="103"/>
      <c r="BA94" s="104"/>
      <c r="BC94" s="21">
        <v>7750000</v>
      </c>
    </row>
    <row r="95" spans="2:91" s="21" customFormat="1" ht="18" customHeight="1" x14ac:dyDescent="0.15">
      <c r="B95" s="67" t="s">
        <v>46</v>
      </c>
      <c r="C95" s="68"/>
      <c r="D95" s="68"/>
      <c r="E95" s="68"/>
      <c r="F95" s="68"/>
      <c r="G95" s="68"/>
      <c r="H95" s="69"/>
      <c r="I95" s="48">
        <v>39015000</v>
      </c>
      <c r="J95" s="49"/>
      <c r="K95" s="49"/>
      <c r="L95" s="64"/>
      <c r="M95" s="48">
        <v>0</v>
      </c>
      <c r="N95" s="49"/>
      <c r="O95" s="49"/>
      <c r="P95" s="64"/>
      <c r="Q95" s="79">
        <f>SUM(Q97:R97)</f>
        <v>0</v>
      </c>
      <c r="R95" s="80"/>
      <c r="S95" s="48">
        <f>SUM(I95:R96)</f>
        <v>39015000</v>
      </c>
      <c r="T95" s="49"/>
      <c r="U95" s="49"/>
      <c r="V95" s="64"/>
      <c r="W95" s="62">
        <v>0</v>
      </c>
      <c r="X95" s="62"/>
      <c r="Y95" s="62"/>
      <c r="Z95" s="62">
        <v>0</v>
      </c>
      <c r="AA95" s="63"/>
      <c r="AB95" s="62">
        <f>SUM(S95:AA96)</f>
        <v>39015000</v>
      </c>
      <c r="AC95" s="62"/>
      <c r="AD95" s="62"/>
      <c r="AE95" s="62"/>
      <c r="AF95" s="48">
        <v>39013579</v>
      </c>
      <c r="AG95" s="49"/>
      <c r="AH95" s="49"/>
      <c r="AI95" s="64"/>
      <c r="AJ95" s="62">
        <v>0</v>
      </c>
      <c r="AK95" s="62"/>
      <c r="AL95" s="48">
        <v>0</v>
      </c>
      <c r="AM95" s="64"/>
      <c r="AN95" s="66">
        <f>SUM(AJ95:AM96)</f>
        <v>0</v>
      </c>
      <c r="AO95" s="66"/>
      <c r="AP95" s="48">
        <f>AB95-AF95-AN95</f>
        <v>1421</v>
      </c>
      <c r="AQ95" s="49"/>
      <c r="AR95" s="49"/>
      <c r="AS95" s="52"/>
      <c r="AT95" s="53"/>
      <c r="AU95" s="53"/>
      <c r="AV95" s="53"/>
      <c r="AW95" s="53"/>
      <c r="AX95" s="53"/>
      <c r="AY95" s="53"/>
      <c r="AZ95" s="53"/>
      <c r="BA95" s="54"/>
      <c r="BC95" s="21">
        <v>2475000</v>
      </c>
    </row>
    <row r="96" spans="2:91" s="21" customFormat="1" ht="18" customHeight="1" x14ac:dyDescent="0.15">
      <c r="B96" s="70"/>
      <c r="C96" s="71"/>
      <c r="D96" s="71"/>
      <c r="E96" s="71"/>
      <c r="F96" s="71"/>
      <c r="G96" s="71"/>
      <c r="H96" s="72"/>
      <c r="I96" s="50"/>
      <c r="J96" s="51"/>
      <c r="K96" s="51"/>
      <c r="L96" s="65"/>
      <c r="M96" s="50"/>
      <c r="N96" s="51"/>
      <c r="O96" s="51"/>
      <c r="P96" s="65"/>
      <c r="Q96" s="82"/>
      <c r="R96" s="83"/>
      <c r="S96" s="50"/>
      <c r="T96" s="51"/>
      <c r="U96" s="51"/>
      <c r="V96" s="65"/>
      <c r="W96" s="62"/>
      <c r="X96" s="62"/>
      <c r="Y96" s="62"/>
      <c r="Z96" s="62"/>
      <c r="AA96" s="63"/>
      <c r="AB96" s="62"/>
      <c r="AC96" s="62"/>
      <c r="AD96" s="62"/>
      <c r="AE96" s="62"/>
      <c r="AF96" s="50"/>
      <c r="AG96" s="51"/>
      <c r="AH96" s="51"/>
      <c r="AI96" s="65"/>
      <c r="AJ96" s="62"/>
      <c r="AK96" s="62"/>
      <c r="AL96" s="50"/>
      <c r="AM96" s="65"/>
      <c r="AN96" s="66"/>
      <c r="AO96" s="66"/>
      <c r="AP96" s="50"/>
      <c r="AQ96" s="51"/>
      <c r="AR96" s="51"/>
      <c r="AS96" s="55"/>
      <c r="AT96" s="56"/>
      <c r="AU96" s="56"/>
      <c r="AV96" s="56"/>
      <c r="AW96" s="56"/>
      <c r="AX96" s="56"/>
      <c r="AY96" s="56"/>
      <c r="AZ96" s="56"/>
      <c r="BA96" s="57"/>
      <c r="BC96" s="21">
        <v>1754500</v>
      </c>
    </row>
    <row r="97" spans="2:59" ht="15" customHeight="1" x14ac:dyDescent="0.15">
      <c r="B97" s="58" t="s">
        <v>104</v>
      </c>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C97" s="21">
        <v>4840000</v>
      </c>
      <c r="BG97" s="44">
        <v>81194421</v>
      </c>
    </row>
    <row r="98" spans="2:59" ht="15" customHeight="1" x14ac:dyDescent="0.15">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row>
    <row r="99" spans="2:59" ht="15" customHeight="1" x14ac:dyDescent="0.15">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C99" s="44" t="s">
        <v>66</v>
      </c>
    </row>
    <row r="100" spans="2:59" ht="13.5" customHeight="1" x14ac:dyDescent="0.15">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C100" s="44">
        <f>AE72-AF91</f>
        <v>-52589185</v>
      </c>
    </row>
    <row r="101" spans="2:59" s="18" customFormat="1" ht="13.5" customHeight="1" x14ac:dyDescent="0.15"/>
    <row r="102" spans="2:59" s="18" customFormat="1" ht="13.5" customHeight="1" x14ac:dyDescent="0.15"/>
    <row r="103" spans="2:59" s="18" customFormat="1" ht="13.5" customHeight="1" x14ac:dyDescent="0.15"/>
    <row r="104" spans="2:59" s="18" customFormat="1" ht="13.5" customHeight="1" x14ac:dyDescent="0.15"/>
    <row r="105" spans="2:59" s="18" customFormat="1" ht="13.5" customHeight="1" x14ac:dyDescent="0.15">
      <c r="AF105" s="60"/>
      <c r="AG105" s="60"/>
      <c r="AH105" s="60"/>
      <c r="AI105" s="60"/>
      <c r="AJ105" s="60"/>
    </row>
    <row r="106" spans="2:59" ht="18" customHeight="1" x14ac:dyDescent="0.15">
      <c r="D106" s="60"/>
      <c r="E106" s="60"/>
      <c r="F106" s="60"/>
      <c r="AF106" s="61"/>
      <c r="AG106" s="61"/>
      <c r="AH106" s="61"/>
      <c r="AI106" s="61"/>
      <c r="AJ106" s="61"/>
    </row>
    <row r="107" spans="2:59" ht="18" customHeight="1" x14ac:dyDescent="0.15">
      <c r="AF107" s="61"/>
      <c r="AG107" s="61"/>
      <c r="AH107" s="61"/>
      <c r="AI107" s="61"/>
      <c r="AJ107" s="61"/>
    </row>
    <row r="108" spans="2:59" ht="18" customHeight="1" x14ac:dyDescent="0.15"/>
    <row r="109" spans="2:59" ht="18" customHeight="1" x14ac:dyDescent="0.15"/>
    <row r="110" spans="2:59" ht="18" customHeight="1" x14ac:dyDescent="0.15"/>
    <row r="111" spans="2:59" ht="18" customHeight="1" x14ac:dyDescent="0.15"/>
    <row r="112" spans="2:59"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row r="905" ht="18" customHeight="1" x14ac:dyDescent="0.15"/>
    <row r="906" ht="18" customHeight="1" x14ac:dyDescent="0.15"/>
  </sheetData>
  <mergeCells count="23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83:E84"/>
    <mergeCell ref="AU84:BA84"/>
    <mergeCell ref="X76:Z77"/>
    <mergeCell ref="AA76:AD77"/>
    <mergeCell ref="AE76:AH77"/>
    <mergeCell ref="AI76:AL77"/>
    <mergeCell ref="AM76:BA77"/>
    <mergeCell ref="B80:H81"/>
    <mergeCell ref="I80:L81"/>
    <mergeCell ref="M80:P81"/>
    <mergeCell ref="Q80:T81"/>
    <mergeCell ref="U80:W81"/>
    <mergeCell ref="AM78:BA79"/>
    <mergeCell ref="X80:Z81"/>
    <mergeCell ref="AA80:AD81"/>
    <mergeCell ref="AE80:AH81"/>
    <mergeCell ref="AI80:AL81"/>
    <mergeCell ref="AM80:BA81"/>
    <mergeCell ref="B76:H77"/>
    <mergeCell ref="I76:L77"/>
    <mergeCell ref="M76:P77"/>
    <mergeCell ref="Q76:T77"/>
    <mergeCell ref="U76:W77"/>
    <mergeCell ref="AL87:AM90"/>
    <mergeCell ref="AN87:AO90"/>
    <mergeCell ref="B85:H90"/>
    <mergeCell ref="I85:AE86"/>
    <mergeCell ref="AF85:AI90"/>
    <mergeCell ref="AJ85:AO86"/>
    <mergeCell ref="AP85:AR90"/>
    <mergeCell ref="AS85:BA90"/>
    <mergeCell ref="I87:L90"/>
    <mergeCell ref="M87:P90"/>
    <mergeCell ref="Q87:R90"/>
    <mergeCell ref="S87:V90"/>
    <mergeCell ref="AN93:AO94"/>
    <mergeCell ref="AP93:AR94"/>
    <mergeCell ref="AS93:BA93"/>
    <mergeCell ref="AS94:BA94"/>
    <mergeCell ref="AP91:AR92"/>
    <mergeCell ref="AS91:BA92"/>
    <mergeCell ref="B93:H94"/>
    <mergeCell ref="I93:L94"/>
    <mergeCell ref="M93:P94"/>
    <mergeCell ref="Q93:R94"/>
    <mergeCell ref="S93:V94"/>
    <mergeCell ref="W93:Y94"/>
    <mergeCell ref="Z93:AA94"/>
    <mergeCell ref="AB93:AE94"/>
    <mergeCell ref="Z91:AA92"/>
    <mergeCell ref="AB91:AE92"/>
    <mergeCell ref="AF91:AI92"/>
    <mergeCell ref="AJ91:AK92"/>
    <mergeCell ref="AL91:AM92"/>
    <mergeCell ref="AN91:AO92"/>
    <mergeCell ref="B91:H92"/>
    <mergeCell ref="I91:L92"/>
    <mergeCell ref="M91:P92"/>
    <mergeCell ref="Q91:R92"/>
    <mergeCell ref="AF107:AJ107"/>
    <mergeCell ref="B78:H79"/>
    <mergeCell ref="I78:L79"/>
    <mergeCell ref="M78:P79"/>
    <mergeCell ref="Q78:T79"/>
    <mergeCell ref="U78:W79"/>
    <mergeCell ref="X78:Z79"/>
    <mergeCell ref="AA78:AD79"/>
    <mergeCell ref="AE78:AH79"/>
    <mergeCell ref="AI78:AL79"/>
    <mergeCell ref="I95:L96"/>
    <mergeCell ref="M95:P96"/>
    <mergeCell ref="Q95:R96"/>
    <mergeCell ref="S95:V96"/>
    <mergeCell ref="W95:Y96"/>
    <mergeCell ref="AF93:AI94"/>
    <mergeCell ref="AJ93:AK94"/>
    <mergeCell ref="AL93:AM94"/>
    <mergeCell ref="S91:V92"/>
    <mergeCell ref="W91:Y92"/>
    <mergeCell ref="W87:Y90"/>
    <mergeCell ref="Z87:AA90"/>
    <mergeCell ref="AB87:AE90"/>
    <mergeCell ref="AJ87:AK90"/>
    <mergeCell ref="AP95:AR96"/>
    <mergeCell ref="AS95:BA96"/>
    <mergeCell ref="B97:BA99"/>
    <mergeCell ref="AF105:AJ105"/>
    <mergeCell ref="D106:F106"/>
    <mergeCell ref="AF106:AJ106"/>
    <mergeCell ref="Z95:AA96"/>
    <mergeCell ref="AB95:AE96"/>
    <mergeCell ref="AF95:AI96"/>
    <mergeCell ref="AJ95:AK96"/>
    <mergeCell ref="AL95:AM96"/>
    <mergeCell ref="AN95:AO96"/>
    <mergeCell ref="B95:H96"/>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A55570F4-1E80-4EA4-BB03-EF3E1575665F}">
          <xm:sqref>D65447:G65447 JC65447:JF65447 SY65447:TB65447 ACU65447:ACX65447 AMQ65447:AMT65447 AWM65447:AWP65447 BGI65447:BGL65447 BQE65447:BQH65447 CAA65447:CAD65447 CJW65447:CJZ65447 CTS65447:CTV65447 DDO65447:DDR65447 DNK65447:DNN65447 DXG65447:DXJ65447 EHC65447:EHF65447 EQY65447:ERB65447 FAU65447:FAX65447 FKQ65447:FKT65447 FUM65447:FUP65447 GEI65447:GEL65447 GOE65447:GOH65447 GYA65447:GYD65447 HHW65447:HHZ65447 HRS65447:HRV65447 IBO65447:IBR65447 ILK65447:ILN65447 IVG65447:IVJ65447 JFC65447:JFF65447 JOY65447:JPB65447 JYU65447:JYX65447 KIQ65447:KIT65447 KSM65447:KSP65447 LCI65447:LCL65447 LME65447:LMH65447 LWA65447:LWD65447 MFW65447:MFZ65447 MPS65447:MPV65447 MZO65447:MZR65447 NJK65447:NJN65447 NTG65447:NTJ65447 ODC65447:ODF65447 OMY65447:ONB65447 OWU65447:OWX65447 PGQ65447:PGT65447 PQM65447:PQP65447 QAI65447:QAL65447 QKE65447:QKH65447 QUA65447:QUD65447 RDW65447:RDZ65447 RNS65447:RNV65447 RXO65447:RXR65447 SHK65447:SHN65447 SRG65447:SRJ65447 TBC65447:TBF65447 TKY65447:TLB65447 TUU65447:TUX65447 UEQ65447:UET65447 UOM65447:UOP65447 UYI65447:UYL65447 VIE65447:VIH65447 VSA65447:VSD65447 WBW65447:WBZ65447 WLS65447:WLV65447 WVO65447:WVR65447 D130983:G130983 JC130983:JF130983 SY130983:TB130983 ACU130983:ACX130983 AMQ130983:AMT130983 AWM130983:AWP130983 BGI130983:BGL130983 BQE130983:BQH130983 CAA130983:CAD130983 CJW130983:CJZ130983 CTS130983:CTV130983 DDO130983:DDR130983 DNK130983:DNN130983 DXG130983:DXJ130983 EHC130983:EHF130983 EQY130983:ERB130983 FAU130983:FAX130983 FKQ130983:FKT130983 FUM130983:FUP130983 GEI130983:GEL130983 GOE130983:GOH130983 GYA130983:GYD130983 HHW130983:HHZ130983 HRS130983:HRV130983 IBO130983:IBR130983 ILK130983:ILN130983 IVG130983:IVJ130983 JFC130983:JFF130983 JOY130983:JPB130983 JYU130983:JYX130983 KIQ130983:KIT130983 KSM130983:KSP130983 LCI130983:LCL130983 LME130983:LMH130983 LWA130983:LWD130983 MFW130983:MFZ130983 MPS130983:MPV130983 MZO130983:MZR130983 NJK130983:NJN130983 NTG130983:NTJ130983 ODC130983:ODF130983 OMY130983:ONB130983 OWU130983:OWX130983 PGQ130983:PGT130983 PQM130983:PQP130983 QAI130983:QAL130983 QKE130983:QKH130983 QUA130983:QUD130983 RDW130983:RDZ130983 RNS130983:RNV130983 RXO130983:RXR130983 SHK130983:SHN130983 SRG130983:SRJ130983 TBC130983:TBF130983 TKY130983:TLB130983 TUU130983:TUX130983 UEQ130983:UET130983 UOM130983:UOP130983 UYI130983:UYL130983 VIE130983:VIH130983 VSA130983:VSD130983 WBW130983:WBZ130983 WLS130983:WLV130983 WVO130983:WVR130983 D196519:G196519 JC196519:JF196519 SY196519:TB196519 ACU196519:ACX196519 AMQ196519:AMT196519 AWM196519:AWP196519 BGI196519:BGL196519 BQE196519:BQH196519 CAA196519:CAD196519 CJW196519:CJZ196519 CTS196519:CTV196519 DDO196519:DDR196519 DNK196519:DNN196519 DXG196519:DXJ196519 EHC196519:EHF196519 EQY196519:ERB196519 FAU196519:FAX196519 FKQ196519:FKT196519 FUM196519:FUP196519 GEI196519:GEL196519 GOE196519:GOH196519 GYA196519:GYD196519 HHW196519:HHZ196519 HRS196519:HRV196519 IBO196519:IBR196519 ILK196519:ILN196519 IVG196519:IVJ196519 JFC196519:JFF196519 JOY196519:JPB196519 JYU196519:JYX196519 KIQ196519:KIT196519 KSM196519:KSP196519 LCI196519:LCL196519 LME196519:LMH196519 LWA196519:LWD196519 MFW196519:MFZ196519 MPS196519:MPV196519 MZO196519:MZR196519 NJK196519:NJN196519 NTG196519:NTJ196519 ODC196519:ODF196519 OMY196519:ONB196519 OWU196519:OWX196519 PGQ196519:PGT196519 PQM196519:PQP196519 QAI196519:QAL196519 QKE196519:QKH196519 QUA196519:QUD196519 RDW196519:RDZ196519 RNS196519:RNV196519 RXO196519:RXR196519 SHK196519:SHN196519 SRG196519:SRJ196519 TBC196519:TBF196519 TKY196519:TLB196519 TUU196519:TUX196519 UEQ196519:UET196519 UOM196519:UOP196519 UYI196519:UYL196519 VIE196519:VIH196519 VSA196519:VSD196519 WBW196519:WBZ196519 WLS196519:WLV196519 WVO196519:WVR196519 D262055:G262055 JC262055:JF262055 SY262055:TB262055 ACU262055:ACX262055 AMQ262055:AMT262055 AWM262055:AWP262055 BGI262055:BGL262055 BQE262055:BQH262055 CAA262055:CAD262055 CJW262055:CJZ262055 CTS262055:CTV262055 DDO262055:DDR262055 DNK262055:DNN262055 DXG262055:DXJ262055 EHC262055:EHF262055 EQY262055:ERB262055 FAU262055:FAX262055 FKQ262055:FKT262055 FUM262055:FUP262055 GEI262055:GEL262055 GOE262055:GOH262055 GYA262055:GYD262055 HHW262055:HHZ262055 HRS262055:HRV262055 IBO262055:IBR262055 ILK262055:ILN262055 IVG262055:IVJ262055 JFC262055:JFF262055 JOY262055:JPB262055 JYU262055:JYX262055 KIQ262055:KIT262055 KSM262055:KSP262055 LCI262055:LCL262055 LME262055:LMH262055 LWA262055:LWD262055 MFW262055:MFZ262055 MPS262055:MPV262055 MZO262055:MZR262055 NJK262055:NJN262055 NTG262055:NTJ262055 ODC262055:ODF262055 OMY262055:ONB262055 OWU262055:OWX262055 PGQ262055:PGT262055 PQM262055:PQP262055 QAI262055:QAL262055 QKE262055:QKH262055 QUA262055:QUD262055 RDW262055:RDZ262055 RNS262055:RNV262055 RXO262055:RXR262055 SHK262055:SHN262055 SRG262055:SRJ262055 TBC262055:TBF262055 TKY262055:TLB262055 TUU262055:TUX262055 UEQ262055:UET262055 UOM262055:UOP262055 UYI262055:UYL262055 VIE262055:VIH262055 VSA262055:VSD262055 WBW262055:WBZ262055 WLS262055:WLV262055 WVO262055:WVR262055 D327591:G327591 JC327591:JF327591 SY327591:TB327591 ACU327591:ACX327591 AMQ327591:AMT327591 AWM327591:AWP327591 BGI327591:BGL327591 BQE327591:BQH327591 CAA327591:CAD327591 CJW327591:CJZ327591 CTS327591:CTV327591 DDO327591:DDR327591 DNK327591:DNN327591 DXG327591:DXJ327591 EHC327591:EHF327591 EQY327591:ERB327591 FAU327591:FAX327591 FKQ327591:FKT327591 FUM327591:FUP327591 GEI327591:GEL327591 GOE327591:GOH327591 GYA327591:GYD327591 HHW327591:HHZ327591 HRS327591:HRV327591 IBO327591:IBR327591 ILK327591:ILN327591 IVG327591:IVJ327591 JFC327591:JFF327591 JOY327591:JPB327591 JYU327591:JYX327591 KIQ327591:KIT327591 KSM327591:KSP327591 LCI327591:LCL327591 LME327591:LMH327591 LWA327591:LWD327591 MFW327591:MFZ327591 MPS327591:MPV327591 MZO327591:MZR327591 NJK327591:NJN327591 NTG327591:NTJ327591 ODC327591:ODF327591 OMY327591:ONB327591 OWU327591:OWX327591 PGQ327591:PGT327591 PQM327591:PQP327591 QAI327591:QAL327591 QKE327591:QKH327591 QUA327591:QUD327591 RDW327591:RDZ327591 RNS327591:RNV327591 RXO327591:RXR327591 SHK327591:SHN327591 SRG327591:SRJ327591 TBC327591:TBF327591 TKY327591:TLB327591 TUU327591:TUX327591 UEQ327591:UET327591 UOM327591:UOP327591 UYI327591:UYL327591 VIE327591:VIH327591 VSA327591:VSD327591 WBW327591:WBZ327591 WLS327591:WLV327591 WVO327591:WVR327591 D393127:G393127 JC393127:JF393127 SY393127:TB393127 ACU393127:ACX393127 AMQ393127:AMT393127 AWM393127:AWP393127 BGI393127:BGL393127 BQE393127:BQH393127 CAA393127:CAD393127 CJW393127:CJZ393127 CTS393127:CTV393127 DDO393127:DDR393127 DNK393127:DNN393127 DXG393127:DXJ393127 EHC393127:EHF393127 EQY393127:ERB393127 FAU393127:FAX393127 FKQ393127:FKT393127 FUM393127:FUP393127 GEI393127:GEL393127 GOE393127:GOH393127 GYA393127:GYD393127 HHW393127:HHZ393127 HRS393127:HRV393127 IBO393127:IBR393127 ILK393127:ILN393127 IVG393127:IVJ393127 JFC393127:JFF393127 JOY393127:JPB393127 JYU393127:JYX393127 KIQ393127:KIT393127 KSM393127:KSP393127 LCI393127:LCL393127 LME393127:LMH393127 LWA393127:LWD393127 MFW393127:MFZ393127 MPS393127:MPV393127 MZO393127:MZR393127 NJK393127:NJN393127 NTG393127:NTJ393127 ODC393127:ODF393127 OMY393127:ONB393127 OWU393127:OWX393127 PGQ393127:PGT393127 PQM393127:PQP393127 QAI393127:QAL393127 QKE393127:QKH393127 QUA393127:QUD393127 RDW393127:RDZ393127 RNS393127:RNV393127 RXO393127:RXR393127 SHK393127:SHN393127 SRG393127:SRJ393127 TBC393127:TBF393127 TKY393127:TLB393127 TUU393127:TUX393127 UEQ393127:UET393127 UOM393127:UOP393127 UYI393127:UYL393127 VIE393127:VIH393127 VSA393127:VSD393127 WBW393127:WBZ393127 WLS393127:WLV393127 WVO393127:WVR393127 D458663:G458663 JC458663:JF458663 SY458663:TB458663 ACU458663:ACX458663 AMQ458663:AMT458663 AWM458663:AWP458663 BGI458663:BGL458663 BQE458663:BQH458663 CAA458663:CAD458663 CJW458663:CJZ458663 CTS458663:CTV458663 DDO458663:DDR458663 DNK458663:DNN458663 DXG458663:DXJ458663 EHC458663:EHF458663 EQY458663:ERB458663 FAU458663:FAX458663 FKQ458663:FKT458663 FUM458663:FUP458663 GEI458663:GEL458663 GOE458663:GOH458663 GYA458663:GYD458663 HHW458663:HHZ458663 HRS458663:HRV458663 IBO458663:IBR458663 ILK458663:ILN458663 IVG458663:IVJ458663 JFC458663:JFF458663 JOY458663:JPB458663 JYU458663:JYX458663 KIQ458663:KIT458663 KSM458663:KSP458663 LCI458663:LCL458663 LME458663:LMH458663 LWA458663:LWD458663 MFW458663:MFZ458663 MPS458663:MPV458663 MZO458663:MZR458663 NJK458663:NJN458663 NTG458663:NTJ458663 ODC458663:ODF458663 OMY458663:ONB458663 OWU458663:OWX458663 PGQ458663:PGT458663 PQM458663:PQP458663 QAI458663:QAL458663 QKE458663:QKH458663 QUA458663:QUD458663 RDW458663:RDZ458663 RNS458663:RNV458663 RXO458663:RXR458663 SHK458663:SHN458663 SRG458663:SRJ458663 TBC458663:TBF458663 TKY458663:TLB458663 TUU458663:TUX458663 UEQ458663:UET458663 UOM458663:UOP458663 UYI458663:UYL458663 VIE458663:VIH458663 VSA458663:VSD458663 WBW458663:WBZ458663 WLS458663:WLV458663 WVO458663:WVR458663 D524199:G524199 JC524199:JF524199 SY524199:TB524199 ACU524199:ACX524199 AMQ524199:AMT524199 AWM524199:AWP524199 BGI524199:BGL524199 BQE524199:BQH524199 CAA524199:CAD524199 CJW524199:CJZ524199 CTS524199:CTV524199 DDO524199:DDR524199 DNK524199:DNN524199 DXG524199:DXJ524199 EHC524199:EHF524199 EQY524199:ERB524199 FAU524199:FAX524199 FKQ524199:FKT524199 FUM524199:FUP524199 GEI524199:GEL524199 GOE524199:GOH524199 GYA524199:GYD524199 HHW524199:HHZ524199 HRS524199:HRV524199 IBO524199:IBR524199 ILK524199:ILN524199 IVG524199:IVJ524199 JFC524199:JFF524199 JOY524199:JPB524199 JYU524199:JYX524199 KIQ524199:KIT524199 KSM524199:KSP524199 LCI524199:LCL524199 LME524199:LMH524199 LWA524199:LWD524199 MFW524199:MFZ524199 MPS524199:MPV524199 MZO524199:MZR524199 NJK524199:NJN524199 NTG524199:NTJ524199 ODC524199:ODF524199 OMY524199:ONB524199 OWU524199:OWX524199 PGQ524199:PGT524199 PQM524199:PQP524199 QAI524199:QAL524199 QKE524199:QKH524199 QUA524199:QUD524199 RDW524199:RDZ524199 RNS524199:RNV524199 RXO524199:RXR524199 SHK524199:SHN524199 SRG524199:SRJ524199 TBC524199:TBF524199 TKY524199:TLB524199 TUU524199:TUX524199 UEQ524199:UET524199 UOM524199:UOP524199 UYI524199:UYL524199 VIE524199:VIH524199 VSA524199:VSD524199 WBW524199:WBZ524199 WLS524199:WLV524199 WVO524199:WVR524199 D589735:G589735 JC589735:JF589735 SY589735:TB589735 ACU589735:ACX589735 AMQ589735:AMT589735 AWM589735:AWP589735 BGI589735:BGL589735 BQE589735:BQH589735 CAA589735:CAD589735 CJW589735:CJZ589735 CTS589735:CTV589735 DDO589735:DDR589735 DNK589735:DNN589735 DXG589735:DXJ589735 EHC589735:EHF589735 EQY589735:ERB589735 FAU589735:FAX589735 FKQ589735:FKT589735 FUM589735:FUP589735 GEI589735:GEL589735 GOE589735:GOH589735 GYA589735:GYD589735 HHW589735:HHZ589735 HRS589735:HRV589735 IBO589735:IBR589735 ILK589735:ILN589735 IVG589735:IVJ589735 JFC589735:JFF589735 JOY589735:JPB589735 JYU589735:JYX589735 KIQ589735:KIT589735 KSM589735:KSP589735 LCI589735:LCL589735 LME589735:LMH589735 LWA589735:LWD589735 MFW589735:MFZ589735 MPS589735:MPV589735 MZO589735:MZR589735 NJK589735:NJN589735 NTG589735:NTJ589735 ODC589735:ODF589735 OMY589735:ONB589735 OWU589735:OWX589735 PGQ589735:PGT589735 PQM589735:PQP589735 QAI589735:QAL589735 QKE589735:QKH589735 QUA589735:QUD589735 RDW589735:RDZ589735 RNS589735:RNV589735 RXO589735:RXR589735 SHK589735:SHN589735 SRG589735:SRJ589735 TBC589735:TBF589735 TKY589735:TLB589735 TUU589735:TUX589735 UEQ589735:UET589735 UOM589735:UOP589735 UYI589735:UYL589735 VIE589735:VIH589735 VSA589735:VSD589735 WBW589735:WBZ589735 WLS589735:WLV589735 WVO589735:WVR589735 D655271:G655271 JC655271:JF655271 SY655271:TB655271 ACU655271:ACX655271 AMQ655271:AMT655271 AWM655271:AWP655271 BGI655271:BGL655271 BQE655271:BQH655271 CAA655271:CAD655271 CJW655271:CJZ655271 CTS655271:CTV655271 DDO655271:DDR655271 DNK655271:DNN655271 DXG655271:DXJ655271 EHC655271:EHF655271 EQY655271:ERB655271 FAU655271:FAX655271 FKQ655271:FKT655271 FUM655271:FUP655271 GEI655271:GEL655271 GOE655271:GOH655271 GYA655271:GYD655271 HHW655271:HHZ655271 HRS655271:HRV655271 IBO655271:IBR655271 ILK655271:ILN655271 IVG655271:IVJ655271 JFC655271:JFF655271 JOY655271:JPB655271 JYU655271:JYX655271 KIQ655271:KIT655271 KSM655271:KSP655271 LCI655271:LCL655271 LME655271:LMH655271 LWA655271:LWD655271 MFW655271:MFZ655271 MPS655271:MPV655271 MZO655271:MZR655271 NJK655271:NJN655271 NTG655271:NTJ655271 ODC655271:ODF655271 OMY655271:ONB655271 OWU655271:OWX655271 PGQ655271:PGT655271 PQM655271:PQP655271 QAI655271:QAL655271 QKE655271:QKH655271 QUA655271:QUD655271 RDW655271:RDZ655271 RNS655271:RNV655271 RXO655271:RXR655271 SHK655271:SHN655271 SRG655271:SRJ655271 TBC655271:TBF655271 TKY655271:TLB655271 TUU655271:TUX655271 UEQ655271:UET655271 UOM655271:UOP655271 UYI655271:UYL655271 VIE655271:VIH655271 VSA655271:VSD655271 WBW655271:WBZ655271 WLS655271:WLV655271 WVO655271:WVR655271 D720807:G720807 JC720807:JF720807 SY720807:TB720807 ACU720807:ACX720807 AMQ720807:AMT720807 AWM720807:AWP720807 BGI720807:BGL720807 BQE720807:BQH720807 CAA720807:CAD720807 CJW720807:CJZ720807 CTS720807:CTV720807 DDO720807:DDR720807 DNK720807:DNN720807 DXG720807:DXJ720807 EHC720807:EHF720807 EQY720807:ERB720807 FAU720807:FAX720807 FKQ720807:FKT720807 FUM720807:FUP720807 GEI720807:GEL720807 GOE720807:GOH720807 GYA720807:GYD720807 HHW720807:HHZ720807 HRS720807:HRV720807 IBO720807:IBR720807 ILK720807:ILN720807 IVG720807:IVJ720807 JFC720807:JFF720807 JOY720807:JPB720807 JYU720807:JYX720807 KIQ720807:KIT720807 KSM720807:KSP720807 LCI720807:LCL720807 LME720807:LMH720807 LWA720807:LWD720807 MFW720807:MFZ720807 MPS720807:MPV720807 MZO720807:MZR720807 NJK720807:NJN720807 NTG720807:NTJ720807 ODC720807:ODF720807 OMY720807:ONB720807 OWU720807:OWX720807 PGQ720807:PGT720807 PQM720807:PQP720807 QAI720807:QAL720807 QKE720807:QKH720807 QUA720807:QUD720807 RDW720807:RDZ720807 RNS720807:RNV720807 RXO720807:RXR720807 SHK720807:SHN720807 SRG720807:SRJ720807 TBC720807:TBF720807 TKY720807:TLB720807 TUU720807:TUX720807 UEQ720807:UET720807 UOM720807:UOP720807 UYI720807:UYL720807 VIE720807:VIH720807 VSA720807:VSD720807 WBW720807:WBZ720807 WLS720807:WLV720807 WVO720807:WVR720807 D786343:G786343 JC786343:JF786343 SY786343:TB786343 ACU786343:ACX786343 AMQ786343:AMT786343 AWM786343:AWP786343 BGI786343:BGL786343 BQE786343:BQH786343 CAA786343:CAD786343 CJW786343:CJZ786343 CTS786343:CTV786343 DDO786343:DDR786343 DNK786343:DNN786343 DXG786343:DXJ786343 EHC786343:EHF786343 EQY786343:ERB786343 FAU786343:FAX786343 FKQ786343:FKT786343 FUM786343:FUP786343 GEI786343:GEL786343 GOE786343:GOH786343 GYA786343:GYD786343 HHW786343:HHZ786343 HRS786343:HRV786343 IBO786343:IBR786343 ILK786343:ILN786343 IVG786343:IVJ786343 JFC786343:JFF786343 JOY786343:JPB786343 JYU786343:JYX786343 KIQ786343:KIT786343 KSM786343:KSP786343 LCI786343:LCL786343 LME786343:LMH786343 LWA786343:LWD786343 MFW786343:MFZ786343 MPS786343:MPV786343 MZO786343:MZR786343 NJK786343:NJN786343 NTG786343:NTJ786343 ODC786343:ODF786343 OMY786343:ONB786343 OWU786343:OWX786343 PGQ786343:PGT786343 PQM786343:PQP786343 QAI786343:QAL786343 QKE786343:QKH786343 QUA786343:QUD786343 RDW786343:RDZ786343 RNS786343:RNV786343 RXO786343:RXR786343 SHK786343:SHN786343 SRG786343:SRJ786343 TBC786343:TBF786343 TKY786343:TLB786343 TUU786343:TUX786343 UEQ786343:UET786343 UOM786343:UOP786343 UYI786343:UYL786343 VIE786343:VIH786343 VSA786343:VSD786343 WBW786343:WBZ786343 WLS786343:WLV786343 WVO786343:WVR786343 D851879:G851879 JC851879:JF851879 SY851879:TB851879 ACU851879:ACX851879 AMQ851879:AMT851879 AWM851879:AWP851879 BGI851879:BGL851879 BQE851879:BQH851879 CAA851879:CAD851879 CJW851879:CJZ851879 CTS851879:CTV851879 DDO851879:DDR851879 DNK851879:DNN851879 DXG851879:DXJ851879 EHC851879:EHF851879 EQY851879:ERB851879 FAU851879:FAX851879 FKQ851879:FKT851879 FUM851879:FUP851879 GEI851879:GEL851879 GOE851879:GOH851879 GYA851879:GYD851879 HHW851879:HHZ851879 HRS851879:HRV851879 IBO851879:IBR851879 ILK851879:ILN851879 IVG851879:IVJ851879 JFC851879:JFF851879 JOY851879:JPB851879 JYU851879:JYX851879 KIQ851879:KIT851879 KSM851879:KSP851879 LCI851879:LCL851879 LME851879:LMH851879 LWA851879:LWD851879 MFW851879:MFZ851879 MPS851879:MPV851879 MZO851879:MZR851879 NJK851879:NJN851879 NTG851879:NTJ851879 ODC851879:ODF851879 OMY851879:ONB851879 OWU851879:OWX851879 PGQ851879:PGT851879 PQM851879:PQP851879 QAI851879:QAL851879 QKE851879:QKH851879 QUA851879:QUD851879 RDW851879:RDZ851879 RNS851879:RNV851879 RXO851879:RXR851879 SHK851879:SHN851879 SRG851879:SRJ851879 TBC851879:TBF851879 TKY851879:TLB851879 TUU851879:TUX851879 UEQ851879:UET851879 UOM851879:UOP851879 UYI851879:UYL851879 VIE851879:VIH851879 VSA851879:VSD851879 WBW851879:WBZ851879 WLS851879:WLV851879 WVO851879:WVR851879 D917415:G917415 JC917415:JF917415 SY917415:TB917415 ACU917415:ACX917415 AMQ917415:AMT917415 AWM917415:AWP917415 BGI917415:BGL917415 BQE917415:BQH917415 CAA917415:CAD917415 CJW917415:CJZ917415 CTS917415:CTV917415 DDO917415:DDR917415 DNK917415:DNN917415 DXG917415:DXJ917415 EHC917415:EHF917415 EQY917415:ERB917415 FAU917415:FAX917415 FKQ917415:FKT917415 FUM917415:FUP917415 GEI917415:GEL917415 GOE917415:GOH917415 GYA917415:GYD917415 HHW917415:HHZ917415 HRS917415:HRV917415 IBO917415:IBR917415 ILK917415:ILN917415 IVG917415:IVJ917415 JFC917415:JFF917415 JOY917415:JPB917415 JYU917415:JYX917415 KIQ917415:KIT917415 KSM917415:KSP917415 LCI917415:LCL917415 LME917415:LMH917415 LWA917415:LWD917415 MFW917415:MFZ917415 MPS917415:MPV917415 MZO917415:MZR917415 NJK917415:NJN917415 NTG917415:NTJ917415 ODC917415:ODF917415 OMY917415:ONB917415 OWU917415:OWX917415 PGQ917415:PGT917415 PQM917415:PQP917415 QAI917415:QAL917415 QKE917415:QKH917415 QUA917415:QUD917415 RDW917415:RDZ917415 RNS917415:RNV917415 RXO917415:RXR917415 SHK917415:SHN917415 SRG917415:SRJ917415 TBC917415:TBF917415 TKY917415:TLB917415 TUU917415:TUX917415 UEQ917415:UET917415 UOM917415:UOP917415 UYI917415:UYL917415 VIE917415:VIH917415 VSA917415:VSD917415 WBW917415:WBZ917415 WLS917415:WLV917415 WVO917415:WVR917415 D982951:G982951 JC982951:JF982951 SY982951:TB982951 ACU982951:ACX982951 AMQ982951:AMT982951 AWM982951:AWP982951 BGI982951:BGL982951 BQE982951:BQH982951 CAA982951:CAD982951 CJW982951:CJZ982951 CTS982951:CTV982951 DDO982951:DDR982951 DNK982951:DNN982951 DXG982951:DXJ982951 EHC982951:EHF982951 EQY982951:ERB982951 FAU982951:FAX982951 FKQ982951:FKT982951 FUM982951:FUP982951 GEI982951:GEL982951 GOE982951:GOH982951 GYA982951:GYD982951 HHW982951:HHZ982951 HRS982951:HRV982951 IBO982951:IBR982951 ILK982951:ILN982951 IVG982951:IVJ982951 JFC982951:JFF982951 JOY982951:JPB982951 JYU982951:JYX982951 KIQ982951:KIT982951 KSM982951:KSP982951 LCI982951:LCL982951 LME982951:LMH982951 LWA982951:LWD982951 MFW982951:MFZ982951 MPS982951:MPV982951 MZO982951:MZR982951 NJK982951:NJN982951 NTG982951:NTJ982951 ODC982951:ODF982951 OMY982951:ONB982951 OWU982951:OWX982951 PGQ982951:PGT982951 PQM982951:PQP982951 QAI982951:QAL982951 QKE982951:QKH982951 QUA982951:QUD982951 RDW982951:RDZ982951 RNS982951:RNV982951 RXO982951:RXR982951 SHK982951:SHN982951 SRG982951:SRJ982951 TBC982951:TBF982951 TKY982951:TLB982951 TUU982951:TUX982951 UEQ982951:UET982951 UOM982951:UOP982951 UYI982951:UYL982951 VIE982951:VIH982951 VSA982951:VSD982951 WBW982951:WBZ982951 WLS982951:WLV982951 WVO982951:WVR982951 AM65317:AU65327 KI65317:KP65327 UE65317:UL65327 AEA65317:AEH65327 ANW65317:AOD65327 AXS65317:AXZ65327 BHO65317:BHV65327 BRK65317:BRR65327 CBG65317:CBN65327 CLC65317:CLJ65327 CUY65317:CVF65327 DEU65317:DFB65327 DOQ65317:DOX65327 DYM65317:DYT65327 EII65317:EIP65327 ESE65317:ESL65327 FCA65317:FCH65327 FLW65317:FMD65327 FVS65317:FVZ65327 GFO65317:GFV65327 GPK65317:GPR65327 GZG65317:GZN65327 HJC65317:HJJ65327 HSY65317:HTF65327 ICU65317:IDB65327 IMQ65317:IMX65327 IWM65317:IWT65327 JGI65317:JGP65327 JQE65317:JQL65327 KAA65317:KAH65327 KJW65317:KKD65327 KTS65317:KTZ65327 LDO65317:LDV65327 LNK65317:LNR65327 LXG65317:LXN65327 MHC65317:MHJ65327 MQY65317:MRF65327 NAU65317:NBB65327 NKQ65317:NKX65327 NUM65317:NUT65327 OEI65317:OEP65327 OOE65317:OOL65327 OYA65317:OYH65327 PHW65317:PID65327 PRS65317:PRZ65327 QBO65317:QBV65327 QLK65317:QLR65327 QVG65317:QVN65327 RFC65317:RFJ65327 ROY65317:RPF65327 RYU65317:RZB65327 SIQ65317:SIX65327 SSM65317:SST65327 TCI65317:TCP65327 TME65317:TML65327 TWA65317:TWH65327 UFW65317:UGD65327 UPS65317:UPZ65327 UZO65317:UZV65327 VJK65317:VJR65327 VTG65317:VTN65327 WDC65317:WDJ65327 WMY65317:WNF65327 WWU65317:WXB65327 AM130853:AU130863 KI130853:KP130863 UE130853:UL130863 AEA130853:AEH130863 ANW130853:AOD130863 AXS130853:AXZ130863 BHO130853:BHV130863 BRK130853:BRR130863 CBG130853:CBN130863 CLC130853:CLJ130863 CUY130853:CVF130863 DEU130853:DFB130863 DOQ130853:DOX130863 DYM130853:DYT130863 EII130853:EIP130863 ESE130853:ESL130863 FCA130853:FCH130863 FLW130853:FMD130863 FVS130853:FVZ130863 GFO130853:GFV130863 GPK130853:GPR130863 GZG130853:GZN130863 HJC130853:HJJ130863 HSY130853:HTF130863 ICU130853:IDB130863 IMQ130853:IMX130863 IWM130853:IWT130863 JGI130853:JGP130863 JQE130853:JQL130863 KAA130853:KAH130863 KJW130853:KKD130863 KTS130853:KTZ130863 LDO130853:LDV130863 LNK130853:LNR130863 LXG130853:LXN130863 MHC130853:MHJ130863 MQY130853:MRF130863 NAU130853:NBB130863 NKQ130853:NKX130863 NUM130853:NUT130863 OEI130853:OEP130863 OOE130853:OOL130863 OYA130853:OYH130863 PHW130853:PID130863 PRS130853:PRZ130863 QBO130853:QBV130863 QLK130853:QLR130863 QVG130853:QVN130863 RFC130853:RFJ130863 ROY130853:RPF130863 RYU130853:RZB130863 SIQ130853:SIX130863 SSM130853:SST130863 TCI130853:TCP130863 TME130853:TML130863 TWA130853:TWH130863 UFW130853:UGD130863 UPS130853:UPZ130863 UZO130853:UZV130863 VJK130853:VJR130863 VTG130853:VTN130863 WDC130853:WDJ130863 WMY130853:WNF130863 WWU130853:WXB130863 AM196389:AU196399 KI196389:KP196399 UE196389:UL196399 AEA196389:AEH196399 ANW196389:AOD196399 AXS196389:AXZ196399 BHO196389:BHV196399 BRK196389:BRR196399 CBG196389:CBN196399 CLC196389:CLJ196399 CUY196389:CVF196399 DEU196389:DFB196399 DOQ196389:DOX196399 DYM196389:DYT196399 EII196389:EIP196399 ESE196389:ESL196399 FCA196389:FCH196399 FLW196389:FMD196399 FVS196389:FVZ196399 GFO196389:GFV196399 GPK196389:GPR196399 GZG196389:GZN196399 HJC196389:HJJ196399 HSY196389:HTF196399 ICU196389:IDB196399 IMQ196389:IMX196399 IWM196389:IWT196399 JGI196389:JGP196399 JQE196389:JQL196399 KAA196389:KAH196399 KJW196389:KKD196399 KTS196389:KTZ196399 LDO196389:LDV196399 LNK196389:LNR196399 LXG196389:LXN196399 MHC196389:MHJ196399 MQY196389:MRF196399 NAU196389:NBB196399 NKQ196389:NKX196399 NUM196389:NUT196399 OEI196389:OEP196399 OOE196389:OOL196399 OYA196389:OYH196399 PHW196389:PID196399 PRS196389:PRZ196399 QBO196389:QBV196399 QLK196389:QLR196399 QVG196389:QVN196399 RFC196389:RFJ196399 ROY196389:RPF196399 RYU196389:RZB196399 SIQ196389:SIX196399 SSM196389:SST196399 TCI196389:TCP196399 TME196389:TML196399 TWA196389:TWH196399 UFW196389:UGD196399 UPS196389:UPZ196399 UZO196389:UZV196399 VJK196389:VJR196399 VTG196389:VTN196399 WDC196389:WDJ196399 WMY196389:WNF196399 WWU196389:WXB196399 AM261925:AU261935 KI261925:KP261935 UE261925:UL261935 AEA261925:AEH261935 ANW261925:AOD261935 AXS261925:AXZ261935 BHO261925:BHV261935 BRK261925:BRR261935 CBG261925:CBN261935 CLC261925:CLJ261935 CUY261925:CVF261935 DEU261925:DFB261935 DOQ261925:DOX261935 DYM261925:DYT261935 EII261925:EIP261935 ESE261925:ESL261935 FCA261925:FCH261935 FLW261925:FMD261935 FVS261925:FVZ261935 GFO261925:GFV261935 GPK261925:GPR261935 GZG261925:GZN261935 HJC261925:HJJ261935 HSY261925:HTF261935 ICU261925:IDB261935 IMQ261925:IMX261935 IWM261925:IWT261935 JGI261925:JGP261935 JQE261925:JQL261935 KAA261925:KAH261935 KJW261925:KKD261935 KTS261925:KTZ261935 LDO261925:LDV261935 LNK261925:LNR261935 LXG261925:LXN261935 MHC261925:MHJ261935 MQY261925:MRF261935 NAU261925:NBB261935 NKQ261925:NKX261935 NUM261925:NUT261935 OEI261925:OEP261935 OOE261925:OOL261935 OYA261925:OYH261935 PHW261925:PID261935 PRS261925:PRZ261935 QBO261925:QBV261935 QLK261925:QLR261935 QVG261925:QVN261935 RFC261925:RFJ261935 ROY261925:RPF261935 RYU261925:RZB261935 SIQ261925:SIX261935 SSM261925:SST261935 TCI261925:TCP261935 TME261925:TML261935 TWA261925:TWH261935 UFW261925:UGD261935 UPS261925:UPZ261935 UZO261925:UZV261935 VJK261925:VJR261935 VTG261925:VTN261935 WDC261925:WDJ261935 WMY261925:WNF261935 WWU261925:WXB261935 AM327461:AU327471 KI327461:KP327471 UE327461:UL327471 AEA327461:AEH327471 ANW327461:AOD327471 AXS327461:AXZ327471 BHO327461:BHV327471 BRK327461:BRR327471 CBG327461:CBN327471 CLC327461:CLJ327471 CUY327461:CVF327471 DEU327461:DFB327471 DOQ327461:DOX327471 DYM327461:DYT327471 EII327461:EIP327471 ESE327461:ESL327471 FCA327461:FCH327471 FLW327461:FMD327471 FVS327461:FVZ327471 GFO327461:GFV327471 GPK327461:GPR327471 GZG327461:GZN327471 HJC327461:HJJ327471 HSY327461:HTF327471 ICU327461:IDB327471 IMQ327461:IMX327471 IWM327461:IWT327471 JGI327461:JGP327471 JQE327461:JQL327471 KAA327461:KAH327471 KJW327461:KKD327471 KTS327461:KTZ327471 LDO327461:LDV327471 LNK327461:LNR327471 LXG327461:LXN327471 MHC327461:MHJ327471 MQY327461:MRF327471 NAU327461:NBB327471 NKQ327461:NKX327471 NUM327461:NUT327471 OEI327461:OEP327471 OOE327461:OOL327471 OYA327461:OYH327471 PHW327461:PID327471 PRS327461:PRZ327471 QBO327461:QBV327471 QLK327461:QLR327471 QVG327461:QVN327471 RFC327461:RFJ327471 ROY327461:RPF327471 RYU327461:RZB327471 SIQ327461:SIX327471 SSM327461:SST327471 TCI327461:TCP327471 TME327461:TML327471 TWA327461:TWH327471 UFW327461:UGD327471 UPS327461:UPZ327471 UZO327461:UZV327471 VJK327461:VJR327471 VTG327461:VTN327471 WDC327461:WDJ327471 WMY327461:WNF327471 WWU327461:WXB327471 AM392997:AU393007 KI392997:KP393007 UE392997:UL393007 AEA392997:AEH393007 ANW392997:AOD393007 AXS392997:AXZ393007 BHO392997:BHV393007 BRK392997:BRR393007 CBG392997:CBN393007 CLC392997:CLJ393007 CUY392997:CVF393007 DEU392997:DFB393007 DOQ392997:DOX393007 DYM392997:DYT393007 EII392997:EIP393007 ESE392997:ESL393007 FCA392997:FCH393007 FLW392997:FMD393007 FVS392997:FVZ393007 GFO392997:GFV393007 GPK392997:GPR393007 GZG392997:GZN393007 HJC392997:HJJ393007 HSY392997:HTF393007 ICU392997:IDB393007 IMQ392997:IMX393007 IWM392997:IWT393007 JGI392997:JGP393007 JQE392997:JQL393007 KAA392997:KAH393007 KJW392997:KKD393007 KTS392997:KTZ393007 LDO392997:LDV393007 LNK392997:LNR393007 LXG392997:LXN393007 MHC392997:MHJ393007 MQY392997:MRF393007 NAU392997:NBB393007 NKQ392997:NKX393007 NUM392997:NUT393007 OEI392997:OEP393007 OOE392997:OOL393007 OYA392997:OYH393007 PHW392997:PID393007 PRS392997:PRZ393007 QBO392997:QBV393007 QLK392997:QLR393007 QVG392997:QVN393007 RFC392997:RFJ393007 ROY392997:RPF393007 RYU392997:RZB393007 SIQ392997:SIX393007 SSM392997:SST393007 TCI392997:TCP393007 TME392997:TML393007 TWA392997:TWH393007 UFW392997:UGD393007 UPS392997:UPZ393007 UZO392997:UZV393007 VJK392997:VJR393007 VTG392997:VTN393007 WDC392997:WDJ393007 WMY392997:WNF393007 WWU392997:WXB393007 AM458533:AU458543 KI458533:KP458543 UE458533:UL458543 AEA458533:AEH458543 ANW458533:AOD458543 AXS458533:AXZ458543 BHO458533:BHV458543 BRK458533:BRR458543 CBG458533:CBN458543 CLC458533:CLJ458543 CUY458533:CVF458543 DEU458533:DFB458543 DOQ458533:DOX458543 DYM458533:DYT458543 EII458533:EIP458543 ESE458533:ESL458543 FCA458533:FCH458543 FLW458533:FMD458543 FVS458533:FVZ458543 GFO458533:GFV458543 GPK458533:GPR458543 GZG458533:GZN458543 HJC458533:HJJ458543 HSY458533:HTF458543 ICU458533:IDB458543 IMQ458533:IMX458543 IWM458533:IWT458543 JGI458533:JGP458543 JQE458533:JQL458543 KAA458533:KAH458543 KJW458533:KKD458543 KTS458533:KTZ458543 LDO458533:LDV458543 LNK458533:LNR458543 LXG458533:LXN458543 MHC458533:MHJ458543 MQY458533:MRF458543 NAU458533:NBB458543 NKQ458533:NKX458543 NUM458533:NUT458543 OEI458533:OEP458543 OOE458533:OOL458543 OYA458533:OYH458543 PHW458533:PID458543 PRS458533:PRZ458543 QBO458533:QBV458543 QLK458533:QLR458543 QVG458533:QVN458543 RFC458533:RFJ458543 ROY458533:RPF458543 RYU458533:RZB458543 SIQ458533:SIX458543 SSM458533:SST458543 TCI458533:TCP458543 TME458533:TML458543 TWA458533:TWH458543 UFW458533:UGD458543 UPS458533:UPZ458543 UZO458533:UZV458543 VJK458533:VJR458543 VTG458533:VTN458543 WDC458533:WDJ458543 WMY458533:WNF458543 WWU458533:WXB458543 AM524069:AU524079 KI524069:KP524079 UE524069:UL524079 AEA524069:AEH524079 ANW524069:AOD524079 AXS524069:AXZ524079 BHO524069:BHV524079 BRK524069:BRR524079 CBG524069:CBN524079 CLC524069:CLJ524079 CUY524069:CVF524079 DEU524069:DFB524079 DOQ524069:DOX524079 DYM524069:DYT524079 EII524069:EIP524079 ESE524069:ESL524079 FCA524069:FCH524079 FLW524069:FMD524079 FVS524069:FVZ524079 GFO524069:GFV524079 GPK524069:GPR524079 GZG524069:GZN524079 HJC524069:HJJ524079 HSY524069:HTF524079 ICU524069:IDB524079 IMQ524069:IMX524079 IWM524069:IWT524079 JGI524069:JGP524079 JQE524069:JQL524079 KAA524069:KAH524079 KJW524069:KKD524079 KTS524069:KTZ524079 LDO524069:LDV524079 LNK524069:LNR524079 LXG524069:LXN524079 MHC524069:MHJ524079 MQY524069:MRF524079 NAU524069:NBB524079 NKQ524069:NKX524079 NUM524069:NUT524079 OEI524069:OEP524079 OOE524069:OOL524079 OYA524069:OYH524079 PHW524069:PID524079 PRS524069:PRZ524079 QBO524069:QBV524079 QLK524069:QLR524079 QVG524069:QVN524079 RFC524069:RFJ524079 ROY524069:RPF524079 RYU524069:RZB524079 SIQ524069:SIX524079 SSM524069:SST524079 TCI524069:TCP524079 TME524069:TML524079 TWA524069:TWH524079 UFW524069:UGD524079 UPS524069:UPZ524079 UZO524069:UZV524079 VJK524069:VJR524079 VTG524069:VTN524079 WDC524069:WDJ524079 WMY524069:WNF524079 WWU524069:WXB524079 AM589605:AU589615 KI589605:KP589615 UE589605:UL589615 AEA589605:AEH589615 ANW589605:AOD589615 AXS589605:AXZ589615 BHO589605:BHV589615 BRK589605:BRR589615 CBG589605:CBN589615 CLC589605:CLJ589615 CUY589605:CVF589615 DEU589605:DFB589615 DOQ589605:DOX589615 DYM589605:DYT589615 EII589605:EIP589615 ESE589605:ESL589615 FCA589605:FCH589615 FLW589605:FMD589615 FVS589605:FVZ589615 GFO589605:GFV589615 GPK589605:GPR589615 GZG589605:GZN589615 HJC589605:HJJ589615 HSY589605:HTF589615 ICU589605:IDB589615 IMQ589605:IMX589615 IWM589605:IWT589615 JGI589605:JGP589615 JQE589605:JQL589615 KAA589605:KAH589615 KJW589605:KKD589615 KTS589605:KTZ589615 LDO589605:LDV589615 LNK589605:LNR589615 LXG589605:LXN589615 MHC589605:MHJ589615 MQY589605:MRF589615 NAU589605:NBB589615 NKQ589605:NKX589615 NUM589605:NUT589615 OEI589605:OEP589615 OOE589605:OOL589615 OYA589605:OYH589615 PHW589605:PID589615 PRS589605:PRZ589615 QBO589605:QBV589615 QLK589605:QLR589615 QVG589605:QVN589615 RFC589605:RFJ589615 ROY589605:RPF589615 RYU589605:RZB589615 SIQ589605:SIX589615 SSM589605:SST589615 TCI589605:TCP589615 TME589605:TML589615 TWA589605:TWH589615 UFW589605:UGD589615 UPS589605:UPZ589615 UZO589605:UZV589615 VJK589605:VJR589615 VTG589605:VTN589615 WDC589605:WDJ589615 WMY589605:WNF589615 WWU589605:WXB589615 AM655141:AU655151 KI655141:KP655151 UE655141:UL655151 AEA655141:AEH655151 ANW655141:AOD655151 AXS655141:AXZ655151 BHO655141:BHV655151 BRK655141:BRR655151 CBG655141:CBN655151 CLC655141:CLJ655151 CUY655141:CVF655151 DEU655141:DFB655151 DOQ655141:DOX655151 DYM655141:DYT655151 EII655141:EIP655151 ESE655141:ESL655151 FCA655141:FCH655151 FLW655141:FMD655151 FVS655141:FVZ655151 GFO655141:GFV655151 GPK655141:GPR655151 GZG655141:GZN655151 HJC655141:HJJ655151 HSY655141:HTF655151 ICU655141:IDB655151 IMQ655141:IMX655151 IWM655141:IWT655151 JGI655141:JGP655151 JQE655141:JQL655151 KAA655141:KAH655151 KJW655141:KKD655151 KTS655141:KTZ655151 LDO655141:LDV655151 LNK655141:LNR655151 LXG655141:LXN655151 MHC655141:MHJ655151 MQY655141:MRF655151 NAU655141:NBB655151 NKQ655141:NKX655151 NUM655141:NUT655151 OEI655141:OEP655151 OOE655141:OOL655151 OYA655141:OYH655151 PHW655141:PID655151 PRS655141:PRZ655151 QBO655141:QBV655151 QLK655141:QLR655151 QVG655141:QVN655151 RFC655141:RFJ655151 ROY655141:RPF655151 RYU655141:RZB655151 SIQ655141:SIX655151 SSM655141:SST655151 TCI655141:TCP655151 TME655141:TML655151 TWA655141:TWH655151 UFW655141:UGD655151 UPS655141:UPZ655151 UZO655141:UZV655151 VJK655141:VJR655151 VTG655141:VTN655151 WDC655141:WDJ655151 WMY655141:WNF655151 WWU655141:WXB655151 AM720677:AU720687 KI720677:KP720687 UE720677:UL720687 AEA720677:AEH720687 ANW720677:AOD720687 AXS720677:AXZ720687 BHO720677:BHV720687 BRK720677:BRR720687 CBG720677:CBN720687 CLC720677:CLJ720687 CUY720677:CVF720687 DEU720677:DFB720687 DOQ720677:DOX720687 DYM720677:DYT720687 EII720677:EIP720687 ESE720677:ESL720687 FCA720677:FCH720687 FLW720677:FMD720687 FVS720677:FVZ720687 GFO720677:GFV720687 GPK720677:GPR720687 GZG720677:GZN720687 HJC720677:HJJ720687 HSY720677:HTF720687 ICU720677:IDB720687 IMQ720677:IMX720687 IWM720677:IWT720687 JGI720677:JGP720687 JQE720677:JQL720687 KAA720677:KAH720687 KJW720677:KKD720687 KTS720677:KTZ720687 LDO720677:LDV720687 LNK720677:LNR720687 LXG720677:LXN720687 MHC720677:MHJ720687 MQY720677:MRF720687 NAU720677:NBB720687 NKQ720677:NKX720687 NUM720677:NUT720687 OEI720677:OEP720687 OOE720677:OOL720687 OYA720677:OYH720687 PHW720677:PID720687 PRS720677:PRZ720687 QBO720677:QBV720687 QLK720677:QLR720687 QVG720677:QVN720687 RFC720677:RFJ720687 ROY720677:RPF720687 RYU720677:RZB720687 SIQ720677:SIX720687 SSM720677:SST720687 TCI720677:TCP720687 TME720677:TML720687 TWA720677:TWH720687 UFW720677:UGD720687 UPS720677:UPZ720687 UZO720677:UZV720687 VJK720677:VJR720687 VTG720677:VTN720687 WDC720677:WDJ720687 WMY720677:WNF720687 WWU720677:WXB720687 AM786213:AU786223 KI786213:KP786223 UE786213:UL786223 AEA786213:AEH786223 ANW786213:AOD786223 AXS786213:AXZ786223 BHO786213:BHV786223 BRK786213:BRR786223 CBG786213:CBN786223 CLC786213:CLJ786223 CUY786213:CVF786223 DEU786213:DFB786223 DOQ786213:DOX786223 DYM786213:DYT786223 EII786213:EIP786223 ESE786213:ESL786223 FCA786213:FCH786223 FLW786213:FMD786223 FVS786213:FVZ786223 GFO786213:GFV786223 GPK786213:GPR786223 GZG786213:GZN786223 HJC786213:HJJ786223 HSY786213:HTF786223 ICU786213:IDB786223 IMQ786213:IMX786223 IWM786213:IWT786223 JGI786213:JGP786223 JQE786213:JQL786223 KAA786213:KAH786223 KJW786213:KKD786223 KTS786213:KTZ786223 LDO786213:LDV786223 LNK786213:LNR786223 LXG786213:LXN786223 MHC786213:MHJ786223 MQY786213:MRF786223 NAU786213:NBB786223 NKQ786213:NKX786223 NUM786213:NUT786223 OEI786213:OEP786223 OOE786213:OOL786223 OYA786213:OYH786223 PHW786213:PID786223 PRS786213:PRZ786223 QBO786213:QBV786223 QLK786213:QLR786223 QVG786213:QVN786223 RFC786213:RFJ786223 ROY786213:RPF786223 RYU786213:RZB786223 SIQ786213:SIX786223 SSM786213:SST786223 TCI786213:TCP786223 TME786213:TML786223 TWA786213:TWH786223 UFW786213:UGD786223 UPS786213:UPZ786223 UZO786213:UZV786223 VJK786213:VJR786223 VTG786213:VTN786223 WDC786213:WDJ786223 WMY786213:WNF786223 WWU786213:WXB786223 AM851749:AU851759 KI851749:KP851759 UE851749:UL851759 AEA851749:AEH851759 ANW851749:AOD851759 AXS851749:AXZ851759 BHO851749:BHV851759 BRK851749:BRR851759 CBG851749:CBN851759 CLC851749:CLJ851759 CUY851749:CVF851759 DEU851749:DFB851759 DOQ851749:DOX851759 DYM851749:DYT851759 EII851749:EIP851759 ESE851749:ESL851759 FCA851749:FCH851759 FLW851749:FMD851759 FVS851749:FVZ851759 GFO851749:GFV851759 GPK851749:GPR851759 GZG851749:GZN851759 HJC851749:HJJ851759 HSY851749:HTF851759 ICU851749:IDB851759 IMQ851749:IMX851759 IWM851749:IWT851759 JGI851749:JGP851759 JQE851749:JQL851759 KAA851749:KAH851759 KJW851749:KKD851759 KTS851749:KTZ851759 LDO851749:LDV851759 LNK851749:LNR851759 LXG851749:LXN851759 MHC851749:MHJ851759 MQY851749:MRF851759 NAU851749:NBB851759 NKQ851749:NKX851759 NUM851749:NUT851759 OEI851749:OEP851759 OOE851749:OOL851759 OYA851749:OYH851759 PHW851749:PID851759 PRS851749:PRZ851759 QBO851749:QBV851759 QLK851749:QLR851759 QVG851749:QVN851759 RFC851749:RFJ851759 ROY851749:RPF851759 RYU851749:RZB851759 SIQ851749:SIX851759 SSM851749:SST851759 TCI851749:TCP851759 TME851749:TML851759 TWA851749:TWH851759 UFW851749:UGD851759 UPS851749:UPZ851759 UZO851749:UZV851759 VJK851749:VJR851759 VTG851749:VTN851759 WDC851749:WDJ851759 WMY851749:WNF851759 WWU851749:WXB851759 AM917285:AU917295 KI917285:KP917295 UE917285:UL917295 AEA917285:AEH917295 ANW917285:AOD917295 AXS917285:AXZ917295 BHO917285:BHV917295 BRK917285:BRR917295 CBG917285:CBN917295 CLC917285:CLJ917295 CUY917285:CVF917295 DEU917285:DFB917295 DOQ917285:DOX917295 DYM917285:DYT917295 EII917285:EIP917295 ESE917285:ESL917295 FCA917285:FCH917295 FLW917285:FMD917295 FVS917285:FVZ917295 GFO917285:GFV917295 GPK917285:GPR917295 GZG917285:GZN917295 HJC917285:HJJ917295 HSY917285:HTF917295 ICU917285:IDB917295 IMQ917285:IMX917295 IWM917285:IWT917295 JGI917285:JGP917295 JQE917285:JQL917295 KAA917285:KAH917295 KJW917285:KKD917295 KTS917285:KTZ917295 LDO917285:LDV917295 LNK917285:LNR917295 LXG917285:LXN917295 MHC917285:MHJ917295 MQY917285:MRF917295 NAU917285:NBB917295 NKQ917285:NKX917295 NUM917285:NUT917295 OEI917285:OEP917295 OOE917285:OOL917295 OYA917285:OYH917295 PHW917285:PID917295 PRS917285:PRZ917295 QBO917285:QBV917295 QLK917285:QLR917295 QVG917285:QVN917295 RFC917285:RFJ917295 ROY917285:RPF917295 RYU917285:RZB917295 SIQ917285:SIX917295 SSM917285:SST917295 TCI917285:TCP917295 TME917285:TML917295 TWA917285:TWH917295 UFW917285:UGD917295 UPS917285:UPZ917295 UZO917285:UZV917295 VJK917285:VJR917295 VTG917285:VTN917295 WDC917285:WDJ917295 WMY917285:WNF917295 WWU917285:WXB917295 AM982821:AU982831 KI982821:KP982831 UE982821:UL982831 AEA982821:AEH982831 ANW982821:AOD982831 AXS982821:AXZ982831 BHO982821:BHV982831 BRK982821:BRR982831 CBG982821:CBN982831 CLC982821:CLJ982831 CUY982821:CVF982831 DEU982821:DFB982831 DOQ982821:DOX982831 DYM982821:DYT982831 EII982821:EIP982831 ESE982821:ESL982831 FCA982821:FCH982831 FLW982821:FMD982831 FVS982821:FVZ982831 GFO982821:GFV982831 GPK982821:GPR982831 GZG982821:GZN982831 HJC982821:HJJ982831 HSY982821:HTF982831 ICU982821:IDB982831 IMQ982821:IMX982831 IWM982821:IWT982831 JGI982821:JGP982831 JQE982821:JQL982831 KAA982821:KAH982831 KJW982821:KKD982831 KTS982821:KTZ982831 LDO982821:LDV982831 LNK982821:LNR982831 LXG982821:LXN982831 MHC982821:MHJ982831 MQY982821:MRF982831 NAU982821:NBB982831 NKQ982821:NKX982831 NUM982821:NUT982831 OEI982821:OEP982831 OOE982821:OOL982831 OYA982821:OYH982831 PHW982821:PID982831 PRS982821:PRZ982831 QBO982821:QBV982831 QLK982821:QLR982831 QVG982821:QVN982831 RFC982821:RFJ982831 ROY982821:RPF982831 RYU982821:RZB982831 SIQ982821:SIX982831 SSM982821:SST982831 TCI982821:TCP982831 TME982821:TML982831 TWA982821:TWH982831 UFW982821:UGD982831 UPS982821:UPZ982831 UZO982821:UZV982831 VJK982821:VJR982831 VTG982821:VTN982831 WDC982821:WDJ982831 WMY982821:WNF982831 WWU982821:WXB982831 D65438:D65442 JC65438:JC65442 SY65438:SY65442 ACU65438:ACU65442 AMQ65438:AMQ65442 AWM65438:AWM65442 BGI65438:BGI65442 BQE65438:BQE65442 CAA65438:CAA65442 CJW65438:CJW65442 CTS65438:CTS65442 DDO65438:DDO65442 DNK65438:DNK65442 DXG65438:DXG65442 EHC65438:EHC65442 EQY65438:EQY65442 FAU65438:FAU65442 FKQ65438:FKQ65442 FUM65438:FUM65442 GEI65438:GEI65442 GOE65438:GOE65442 GYA65438:GYA65442 HHW65438:HHW65442 HRS65438:HRS65442 IBO65438:IBO65442 ILK65438:ILK65442 IVG65438:IVG65442 JFC65438:JFC65442 JOY65438:JOY65442 JYU65438:JYU65442 KIQ65438:KIQ65442 KSM65438:KSM65442 LCI65438:LCI65442 LME65438:LME65442 LWA65438:LWA65442 MFW65438:MFW65442 MPS65438:MPS65442 MZO65438:MZO65442 NJK65438:NJK65442 NTG65438:NTG65442 ODC65438:ODC65442 OMY65438:OMY65442 OWU65438:OWU65442 PGQ65438:PGQ65442 PQM65438:PQM65442 QAI65438:QAI65442 QKE65438:QKE65442 QUA65438:QUA65442 RDW65438:RDW65442 RNS65438:RNS65442 RXO65438:RXO65442 SHK65438:SHK65442 SRG65438:SRG65442 TBC65438:TBC65442 TKY65438:TKY65442 TUU65438:TUU65442 UEQ65438:UEQ65442 UOM65438:UOM65442 UYI65438:UYI65442 VIE65438:VIE65442 VSA65438:VSA65442 WBW65438:WBW65442 WLS65438:WLS65442 WVO65438:WVO65442 D130974:D130978 JC130974:JC130978 SY130974:SY130978 ACU130974:ACU130978 AMQ130974:AMQ130978 AWM130974:AWM130978 BGI130974:BGI130978 BQE130974:BQE130978 CAA130974:CAA130978 CJW130974:CJW130978 CTS130974:CTS130978 DDO130974:DDO130978 DNK130974:DNK130978 DXG130974:DXG130978 EHC130974:EHC130978 EQY130974:EQY130978 FAU130974:FAU130978 FKQ130974:FKQ130978 FUM130974:FUM130978 GEI130974:GEI130978 GOE130974:GOE130978 GYA130974:GYA130978 HHW130974:HHW130978 HRS130974:HRS130978 IBO130974:IBO130978 ILK130974:ILK130978 IVG130974:IVG130978 JFC130974:JFC130978 JOY130974:JOY130978 JYU130974:JYU130978 KIQ130974:KIQ130978 KSM130974:KSM130978 LCI130974:LCI130978 LME130974:LME130978 LWA130974:LWA130978 MFW130974:MFW130978 MPS130974:MPS130978 MZO130974:MZO130978 NJK130974:NJK130978 NTG130974:NTG130978 ODC130974:ODC130978 OMY130974:OMY130978 OWU130974:OWU130978 PGQ130974:PGQ130978 PQM130974:PQM130978 QAI130974:QAI130978 QKE130974:QKE130978 QUA130974:QUA130978 RDW130974:RDW130978 RNS130974:RNS130978 RXO130974:RXO130978 SHK130974:SHK130978 SRG130974:SRG130978 TBC130974:TBC130978 TKY130974:TKY130978 TUU130974:TUU130978 UEQ130974:UEQ130978 UOM130974:UOM130978 UYI130974:UYI130978 VIE130974:VIE130978 VSA130974:VSA130978 WBW130974:WBW130978 WLS130974:WLS130978 WVO130974:WVO130978 D196510:D196514 JC196510:JC196514 SY196510:SY196514 ACU196510:ACU196514 AMQ196510:AMQ196514 AWM196510:AWM196514 BGI196510:BGI196514 BQE196510:BQE196514 CAA196510:CAA196514 CJW196510:CJW196514 CTS196510:CTS196514 DDO196510:DDO196514 DNK196510:DNK196514 DXG196510:DXG196514 EHC196510:EHC196514 EQY196510:EQY196514 FAU196510:FAU196514 FKQ196510:FKQ196514 FUM196510:FUM196514 GEI196510:GEI196514 GOE196510:GOE196514 GYA196510:GYA196514 HHW196510:HHW196514 HRS196510:HRS196514 IBO196510:IBO196514 ILK196510:ILK196514 IVG196510:IVG196514 JFC196510:JFC196514 JOY196510:JOY196514 JYU196510:JYU196514 KIQ196510:KIQ196514 KSM196510:KSM196514 LCI196510:LCI196514 LME196510:LME196514 LWA196510:LWA196514 MFW196510:MFW196514 MPS196510:MPS196514 MZO196510:MZO196514 NJK196510:NJK196514 NTG196510:NTG196514 ODC196510:ODC196514 OMY196510:OMY196514 OWU196510:OWU196514 PGQ196510:PGQ196514 PQM196510:PQM196514 QAI196510:QAI196514 QKE196510:QKE196514 QUA196510:QUA196514 RDW196510:RDW196514 RNS196510:RNS196514 RXO196510:RXO196514 SHK196510:SHK196514 SRG196510:SRG196514 TBC196510:TBC196514 TKY196510:TKY196514 TUU196510:TUU196514 UEQ196510:UEQ196514 UOM196510:UOM196514 UYI196510:UYI196514 VIE196510:VIE196514 VSA196510:VSA196514 WBW196510:WBW196514 WLS196510:WLS196514 WVO196510:WVO196514 D262046:D262050 JC262046:JC262050 SY262046:SY262050 ACU262046:ACU262050 AMQ262046:AMQ262050 AWM262046:AWM262050 BGI262046:BGI262050 BQE262046:BQE262050 CAA262046:CAA262050 CJW262046:CJW262050 CTS262046:CTS262050 DDO262046:DDO262050 DNK262046:DNK262050 DXG262046:DXG262050 EHC262046:EHC262050 EQY262046:EQY262050 FAU262046:FAU262050 FKQ262046:FKQ262050 FUM262046:FUM262050 GEI262046:GEI262050 GOE262046:GOE262050 GYA262046:GYA262050 HHW262046:HHW262050 HRS262046:HRS262050 IBO262046:IBO262050 ILK262046:ILK262050 IVG262046:IVG262050 JFC262046:JFC262050 JOY262046:JOY262050 JYU262046:JYU262050 KIQ262046:KIQ262050 KSM262046:KSM262050 LCI262046:LCI262050 LME262046:LME262050 LWA262046:LWA262050 MFW262046:MFW262050 MPS262046:MPS262050 MZO262046:MZO262050 NJK262046:NJK262050 NTG262046:NTG262050 ODC262046:ODC262050 OMY262046:OMY262050 OWU262046:OWU262050 PGQ262046:PGQ262050 PQM262046:PQM262050 QAI262046:QAI262050 QKE262046:QKE262050 QUA262046:QUA262050 RDW262046:RDW262050 RNS262046:RNS262050 RXO262046:RXO262050 SHK262046:SHK262050 SRG262046:SRG262050 TBC262046:TBC262050 TKY262046:TKY262050 TUU262046:TUU262050 UEQ262046:UEQ262050 UOM262046:UOM262050 UYI262046:UYI262050 VIE262046:VIE262050 VSA262046:VSA262050 WBW262046:WBW262050 WLS262046:WLS262050 WVO262046:WVO262050 D327582:D327586 JC327582:JC327586 SY327582:SY327586 ACU327582:ACU327586 AMQ327582:AMQ327586 AWM327582:AWM327586 BGI327582:BGI327586 BQE327582:BQE327586 CAA327582:CAA327586 CJW327582:CJW327586 CTS327582:CTS327586 DDO327582:DDO327586 DNK327582:DNK327586 DXG327582:DXG327586 EHC327582:EHC327586 EQY327582:EQY327586 FAU327582:FAU327586 FKQ327582:FKQ327586 FUM327582:FUM327586 GEI327582:GEI327586 GOE327582:GOE327586 GYA327582:GYA327586 HHW327582:HHW327586 HRS327582:HRS327586 IBO327582:IBO327586 ILK327582:ILK327586 IVG327582:IVG327586 JFC327582:JFC327586 JOY327582:JOY327586 JYU327582:JYU327586 KIQ327582:KIQ327586 KSM327582:KSM327586 LCI327582:LCI327586 LME327582:LME327586 LWA327582:LWA327586 MFW327582:MFW327586 MPS327582:MPS327586 MZO327582:MZO327586 NJK327582:NJK327586 NTG327582:NTG327586 ODC327582:ODC327586 OMY327582:OMY327586 OWU327582:OWU327586 PGQ327582:PGQ327586 PQM327582:PQM327586 QAI327582:QAI327586 QKE327582:QKE327586 QUA327582:QUA327586 RDW327582:RDW327586 RNS327582:RNS327586 RXO327582:RXO327586 SHK327582:SHK327586 SRG327582:SRG327586 TBC327582:TBC327586 TKY327582:TKY327586 TUU327582:TUU327586 UEQ327582:UEQ327586 UOM327582:UOM327586 UYI327582:UYI327586 VIE327582:VIE327586 VSA327582:VSA327586 WBW327582:WBW327586 WLS327582:WLS327586 WVO327582:WVO327586 D393118:D393122 JC393118:JC393122 SY393118:SY393122 ACU393118:ACU393122 AMQ393118:AMQ393122 AWM393118:AWM393122 BGI393118:BGI393122 BQE393118:BQE393122 CAA393118:CAA393122 CJW393118:CJW393122 CTS393118:CTS393122 DDO393118:DDO393122 DNK393118:DNK393122 DXG393118:DXG393122 EHC393118:EHC393122 EQY393118:EQY393122 FAU393118:FAU393122 FKQ393118:FKQ393122 FUM393118:FUM393122 GEI393118:GEI393122 GOE393118:GOE393122 GYA393118:GYA393122 HHW393118:HHW393122 HRS393118:HRS393122 IBO393118:IBO393122 ILK393118:ILK393122 IVG393118:IVG393122 JFC393118:JFC393122 JOY393118:JOY393122 JYU393118:JYU393122 KIQ393118:KIQ393122 KSM393118:KSM393122 LCI393118:LCI393122 LME393118:LME393122 LWA393118:LWA393122 MFW393118:MFW393122 MPS393118:MPS393122 MZO393118:MZO393122 NJK393118:NJK393122 NTG393118:NTG393122 ODC393118:ODC393122 OMY393118:OMY393122 OWU393118:OWU393122 PGQ393118:PGQ393122 PQM393118:PQM393122 QAI393118:QAI393122 QKE393118:QKE393122 QUA393118:QUA393122 RDW393118:RDW393122 RNS393118:RNS393122 RXO393118:RXO393122 SHK393118:SHK393122 SRG393118:SRG393122 TBC393118:TBC393122 TKY393118:TKY393122 TUU393118:TUU393122 UEQ393118:UEQ393122 UOM393118:UOM393122 UYI393118:UYI393122 VIE393118:VIE393122 VSA393118:VSA393122 WBW393118:WBW393122 WLS393118:WLS393122 WVO393118:WVO393122 D458654:D458658 JC458654:JC458658 SY458654:SY458658 ACU458654:ACU458658 AMQ458654:AMQ458658 AWM458654:AWM458658 BGI458654:BGI458658 BQE458654:BQE458658 CAA458654:CAA458658 CJW458654:CJW458658 CTS458654:CTS458658 DDO458654:DDO458658 DNK458654:DNK458658 DXG458654:DXG458658 EHC458654:EHC458658 EQY458654:EQY458658 FAU458654:FAU458658 FKQ458654:FKQ458658 FUM458654:FUM458658 GEI458654:GEI458658 GOE458654:GOE458658 GYA458654:GYA458658 HHW458654:HHW458658 HRS458654:HRS458658 IBO458654:IBO458658 ILK458654:ILK458658 IVG458654:IVG458658 JFC458654:JFC458658 JOY458654:JOY458658 JYU458654:JYU458658 KIQ458654:KIQ458658 KSM458654:KSM458658 LCI458654:LCI458658 LME458654:LME458658 LWA458654:LWA458658 MFW458654:MFW458658 MPS458654:MPS458658 MZO458654:MZO458658 NJK458654:NJK458658 NTG458654:NTG458658 ODC458654:ODC458658 OMY458654:OMY458658 OWU458654:OWU458658 PGQ458654:PGQ458658 PQM458654:PQM458658 QAI458654:QAI458658 QKE458654:QKE458658 QUA458654:QUA458658 RDW458654:RDW458658 RNS458654:RNS458658 RXO458654:RXO458658 SHK458654:SHK458658 SRG458654:SRG458658 TBC458654:TBC458658 TKY458654:TKY458658 TUU458654:TUU458658 UEQ458654:UEQ458658 UOM458654:UOM458658 UYI458654:UYI458658 VIE458654:VIE458658 VSA458654:VSA458658 WBW458654:WBW458658 WLS458654:WLS458658 WVO458654:WVO458658 D524190:D524194 JC524190:JC524194 SY524190:SY524194 ACU524190:ACU524194 AMQ524190:AMQ524194 AWM524190:AWM524194 BGI524190:BGI524194 BQE524190:BQE524194 CAA524190:CAA524194 CJW524190:CJW524194 CTS524190:CTS524194 DDO524190:DDO524194 DNK524190:DNK524194 DXG524190:DXG524194 EHC524190:EHC524194 EQY524190:EQY524194 FAU524190:FAU524194 FKQ524190:FKQ524194 FUM524190:FUM524194 GEI524190:GEI524194 GOE524190:GOE524194 GYA524190:GYA524194 HHW524190:HHW524194 HRS524190:HRS524194 IBO524190:IBO524194 ILK524190:ILK524194 IVG524190:IVG524194 JFC524190:JFC524194 JOY524190:JOY524194 JYU524190:JYU524194 KIQ524190:KIQ524194 KSM524190:KSM524194 LCI524190:LCI524194 LME524190:LME524194 LWA524190:LWA524194 MFW524190:MFW524194 MPS524190:MPS524194 MZO524190:MZO524194 NJK524190:NJK524194 NTG524190:NTG524194 ODC524190:ODC524194 OMY524190:OMY524194 OWU524190:OWU524194 PGQ524190:PGQ524194 PQM524190:PQM524194 QAI524190:QAI524194 QKE524190:QKE524194 QUA524190:QUA524194 RDW524190:RDW524194 RNS524190:RNS524194 RXO524190:RXO524194 SHK524190:SHK524194 SRG524190:SRG524194 TBC524190:TBC524194 TKY524190:TKY524194 TUU524190:TUU524194 UEQ524190:UEQ524194 UOM524190:UOM524194 UYI524190:UYI524194 VIE524190:VIE524194 VSA524190:VSA524194 WBW524190:WBW524194 WLS524190:WLS524194 WVO524190:WVO524194 D589726:D589730 JC589726:JC589730 SY589726:SY589730 ACU589726:ACU589730 AMQ589726:AMQ589730 AWM589726:AWM589730 BGI589726:BGI589730 BQE589726:BQE589730 CAA589726:CAA589730 CJW589726:CJW589730 CTS589726:CTS589730 DDO589726:DDO589730 DNK589726:DNK589730 DXG589726:DXG589730 EHC589726:EHC589730 EQY589726:EQY589730 FAU589726:FAU589730 FKQ589726:FKQ589730 FUM589726:FUM589730 GEI589726:GEI589730 GOE589726:GOE589730 GYA589726:GYA589730 HHW589726:HHW589730 HRS589726:HRS589730 IBO589726:IBO589730 ILK589726:ILK589730 IVG589726:IVG589730 JFC589726:JFC589730 JOY589726:JOY589730 JYU589726:JYU589730 KIQ589726:KIQ589730 KSM589726:KSM589730 LCI589726:LCI589730 LME589726:LME589730 LWA589726:LWA589730 MFW589726:MFW589730 MPS589726:MPS589730 MZO589726:MZO589730 NJK589726:NJK589730 NTG589726:NTG589730 ODC589726:ODC589730 OMY589726:OMY589730 OWU589726:OWU589730 PGQ589726:PGQ589730 PQM589726:PQM589730 QAI589726:QAI589730 QKE589726:QKE589730 QUA589726:QUA589730 RDW589726:RDW589730 RNS589726:RNS589730 RXO589726:RXO589730 SHK589726:SHK589730 SRG589726:SRG589730 TBC589726:TBC589730 TKY589726:TKY589730 TUU589726:TUU589730 UEQ589726:UEQ589730 UOM589726:UOM589730 UYI589726:UYI589730 VIE589726:VIE589730 VSA589726:VSA589730 WBW589726:WBW589730 WLS589726:WLS589730 WVO589726:WVO589730 D655262:D655266 JC655262:JC655266 SY655262:SY655266 ACU655262:ACU655266 AMQ655262:AMQ655266 AWM655262:AWM655266 BGI655262:BGI655266 BQE655262:BQE655266 CAA655262:CAA655266 CJW655262:CJW655266 CTS655262:CTS655266 DDO655262:DDO655266 DNK655262:DNK655266 DXG655262:DXG655266 EHC655262:EHC655266 EQY655262:EQY655266 FAU655262:FAU655266 FKQ655262:FKQ655266 FUM655262:FUM655266 GEI655262:GEI655266 GOE655262:GOE655266 GYA655262:GYA655266 HHW655262:HHW655266 HRS655262:HRS655266 IBO655262:IBO655266 ILK655262:ILK655266 IVG655262:IVG655266 JFC655262:JFC655266 JOY655262:JOY655266 JYU655262:JYU655266 KIQ655262:KIQ655266 KSM655262:KSM655266 LCI655262:LCI655266 LME655262:LME655266 LWA655262:LWA655266 MFW655262:MFW655266 MPS655262:MPS655266 MZO655262:MZO655266 NJK655262:NJK655266 NTG655262:NTG655266 ODC655262:ODC655266 OMY655262:OMY655266 OWU655262:OWU655266 PGQ655262:PGQ655266 PQM655262:PQM655266 QAI655262:QAI655266 QKE655262:QKE655266 QUA655262:QUA655266 RDW655262:RDW655266 RNS655262:RNS655266 RXO655262:RXO655266 SHK655262:SHK655266 SRG655262:SRG655266 TBC655262:TBC655266 TKY655262:TKY655266 TUU655262:TUU655266 UEQ655262:UEQ655266 UOM655262:UOM655266 UYI655262:UYI655266 VIE655262:VIE655266 VSA655262:VSA655266 WBW655262:WBW655266 WLS655262:WLS655266 WVO655262:WVO655266 D720798:D720802 JC720798:JC720802 SY720798:SY720802 ACU720798:ACU720802 AMQ720798:AMQ720802 AWM720798:AWM720802 BGI720798:BGI720802 BQE720798:BQE720802 CAA720798:CAA720802 CJW720798:CJW720802 CTS720798:CTS720802 DDO720798:DDO720802 DNK720798:DNK720802 DXG720798:DXG720802 EHC720798:EHC720802 EQY720798:EQY720802 FAU720798:FAU720802 FKQ720798:FKQ720802 FUM720798:FUM720802 GEI720798:GEI720802 GOE720798:GOE720802 GYA720798:GYA720802 HHW720798:HHW720802 HRS720798:HRS720802 IBO720798:IBO720802 ILK720798:ILK720802 IVG720798:IVG720802 JFC720798:JFC720802 JOY720798:JOY720802 JYU720798:JYU720802 KIQ720798:KIQ720802 KSM720798:KSM720802 LCI720798:LCI720802 LME720798:LME720802 LWA720798:LWA720802 MFW720798:MFW720802 MPS720798:MPS720802 MZO720798:MZO720802 NJK720798:NJK720802 NTG720798:NTG720802 ODC720798:ODC720802 OMY720798:OMY720802 OWU720798:OWU720802 PGQ720798:PGQ720802 PQM720798:PQM720802 QAI720798:QAI720802 QKE720798:QKE720802 QUA720798:QUA720802 RDW720798:RDW720802 RNS720798:RNS720802 RXO720798:RXO720802 SHK720798:SHK720802 SRG720798:SRG720802 TBC720798:TBC720802 TKY720798:TKY720802 TUU720798:TUU720802 UEQ720798:UEQ720802 UOM720798:UOM720802 UYI720798:UYI720802 VIE720798:VIE720802 VSA720798:VSA720802 WBW720798:WBW720802 WLS720798:WLS720802 WVO720798:WVO720802 D786334:D786338 JC786334:JC786338 SY786334:SY786338 ACU786334:ACU786338 AMQ786334:AMQ786338 AWM786334:AWM786338 BGI786334:BGI786338 BQE786334:BQE786338 CAA786334:CAA786338 CJW786334:CJW786338 CTS786334:CTS786338 DDO786334:DDO786338 DNK786334:DNK786338 DXG786334:DXG786338 EHC786334:EHC786338 EQY786334:EQY786338 FAU786334:FAU786338 FKQ786334:FKQ786338 FUM786334:FUM786338 GEI786334:GEI786338 GOE786334:GOE786338 GYA786334:GYA786338 HHW786334:HHW786338 HRS786334:HRS786338 IBO786334:IBO786338 ILK786334:ILK786338 IVG786334:IVG786338 JFC786334:JFC786338 JOY786334:JOY786338 JYU786334:JYU786338 KIQ786334:KIQ786338 KSM786334:KSM786338 LCI786334:LCI786338 LME786334:LME786338 LWA786334:LWA786338 MFW786334:MFW786338 MPS786334:MPS786338 MZO786334:MZO786338 NJK786334:NJK786338 NTG786334:NTG786338 ODC786334:ODC786338 OMY786334:OMY786338 OWU786334:OWU786338 PGQ786334:PGQ786338 PQM786334:PQM786338 QAI786334:QAI786338 QKE786334:QKE786338 QUA786334:QUA786338 RDW786334:RDW786338 RNS786334:RNS786338 RXO786334:RXO786338 SHK786334:SHK786338 SRG786334:SRG786338 TBC786334:TBC786338 TKY786334:TKY786338 TUU786334:TUU786338 UEQ786334:UEQ786338 UOM786334:UOM786338 UYI786334:UYI786338 VIE786334:VIE786338 VSA786334:VSA786338 WBW786334:WBW786338 WLS786334:WLS786338 WVO786334:WVO786338 D851870:D851874 JC851870:JC851874 SY851870:SY851874 ACU851870:ACU851874 AMQ851870:AMQ851874 AWM851870:AWM851874 BGI851870:BGI851874 BQE851870:BQE851874 CAA851870:CAA851874 CJW851870:CJW851874 CTS851870:CTS851874 DDO851870:DDO851874 DNK851870:DNK851874 DXG851870:DXG851874 EHC851870:EHC851874 EQY851870:EQY851874 FAU851870:FAU851874 FKQ851870:FKQ851874 FUM851870:FUM851874 GEI851870:GEI851874 GOE851870:GOE851874 GYA851870:GYA851874 HHW851870:HHW851874 HRS851870:HRS851874 IBO851870:IBO851874 ILK851870:ILK851874 IVG851870:IVG851874 JFC851870:JFC851874 JOY851870:JOY851874 JYU851870:JYU851874 KIQ851870:KIQ851874 KSM851870:KSM851874 LCI851870:LCI851874 LME851870:LME851874 LWA851870:LWA851874 MFW851870:MFW851874 MPS851870:MPS851874 MZO851870:MZO851874 NJK851870:NJK851874 NTG851870:NTG851874 ODC851870:ODC851874 OMY851870:OMY851874 OWU851870:OWU851874 PGQ851870:PGQ851874 PQM851870:PQM851874 QAI851870:QAI851874 QKE851870:QKE851874 QUA851870:QUA851874 RDW851870:RDW851874 RNS851870:RNS851874 RXO851870:RXO851874 SHK851870:SHK851874 SRG851870:SRG851874 TBC851870:TBC851874 TKY851870:TKY851874 TUU851870:TUU851874 UEQ851870:UEQ851874 UOM851870:UOM851874 UYI851870:UYI851874 VIE851870:VIE851874 VSA851870:VSA851874 WBW851870:WBW851874 WLS851870:WLS851874 WVO851870:WVO851874 D917406:D917410 JC917406:JC917410 SY917406:SY917410 ACU917406:ACU917410 AMQ917406:AMQ917410 AWM917406:AWM917410 BGI917406:BGI917410 BQE917406:BQE917410 CAA917406:CAA917410 CJW917406:CJW917410 CTS917406:CTS917410 DDO917406:DDO917410 DNK917406:DNK917410 DXG917406:DXG917410 EHC917406:EHC917410 EQY917406:EQY917410 FAU917406:FAU917410 FKQ917406:FKQ917410 FUM917406:FUM917410 GEI917406:GEI917410 GOE917406:GOE917410 GYA917406:GYA917410 HHW917406:HHW917410 HRS917406:HRS917410 IBO917406:IBO917410 ILK917406:ILK917410 IVG917406:IVG917410 JFC917406:JFC917410 JOY917406:JOY917410 JYU917406:JYU917410 KIQ917406:KIQ917410 KSM917406:KSM917410 LCI917406:LCI917410 LME917406:LME917410 LWA917406:LWA917410 MFW917406:MFW917410 MPS917406:MPS917410 MZO917406:MZO917410 NJK917406:NJK917410 NTG917406:NTG917410 ODC917406:ODC917410 OMY917406:OMY917410 OWU917406:OWU917410 PGQ917406:PGQ917410 PQM917406:PQM917410 QAI917406:QAI917410 QKE917406:QKE917410 QUA917406:QUA917410 RDW917406:RDW917410 RNS917406:RNS917410 RXO917406:RXO917410 SHK917406:SHK917410 SRG917406:SRG917410 TBC917406:TBC917410 TKY917406:TKY917410 TUU917406:TUU917410 UEQ917406:UEQ917410 UOM917406:UOM917410 UYI917406:UYI917410 VIE917406:VIE917410 VSA917406:VSA917410 WBW917406:WBW917410 WLS917406:WLS917410 WVO917406:WVO917410 D982942:D982946 JC982942:JC982946 SY982942:SY982946 ACU982942:ACU982946 AMQ982942:AMQ982946 AWM982942:AWM982946 BGI982942:BGI982946 BQE982942:BQE982946 CAA982942:CAA982946 CJW982942:CJW982946 CTS982942:CTS982946 DDO982942:DDO982946 DNK982942:DNK982946 DXG982942:DXG982946 EHC982942:EHC982946 EQY982942:EQY982946 FAU982942:FAU982946 FKQ982942:FKQ982946 FUM982942:FUM982946 GEI982942:GEI982946 GOE982942:GOE982946 GYA982942:GYA982946 HHW982942:HHW982946 HRS982942:HRS982946 IBO982942:IBO982946 ILK982942:ILK982946 IVG982942:IVG982946 JFC982942:JFC982946 JOY982942:JOY982946 JYU982942:JYU982946 KIQ982942:KIQ982946 KSM982942:KSM982946 LCI982942:LCI982946 LME982942:LME982946 LWA982942:LWA982946 MFW982942:MFW982946 MPS982942:MPS982946 MZO982942:MZO982946 NJK982942:NJK982946 NTG982942:NTG982946 ODC982942:ODC982946 OMY982942:OMY982946 OWU982942:OWU982946 PGQ982942:PGQ982946 PQM982942:PQM982946 QAI982942:QAI982946 QKE982942:QKE982946 QUA982942:QUA982946 RDW982942:RDW982946 RNS982942:RNS982946 RXO982942:RXO982946 SHK982942:SHK982946 SRG982942:SRG982946 TBC982942:TBC982946 TKY982942:TKY982946 TUU982942:TUU982946 UEQ982942:UEQ982946 UOM982942:UOM982946 UYI982942:UYI982946 VIE982942:VIE982946 VSA982942:VSA982946 WBW982942:WBW982946 WLS982942:WLS982946 WVO982942:WVO982946 D65437:G65437 JC65437:JF65437 SY65437:TB65437 ACU65437:ACX65437 AMQ65437:AMT65437 AWM65437:AWP65437 BGI65437:BGL65437 BQE65437:BQH65437 CAA65437:CAD65437 CJW65437:CJZ65437 CTS65437:CTV65437 DDO65437:DDR65437 DNK65437:DNN65437 DXG65437:DXJ65437 EHC65437:EHF65437 EQY65437:ERB65437 FAU65437:FAX65437 FKQ65437:FKT65437 FUM65437:FUP65437 GEI65437:GEL65437 GOE65437:GOH65437 GYA65437:GYD65437 HHW65437:HHZ65437 HRS65437:HRV65437 IBO65437:IBR65437 ILK65437:ILN65437 IVG65437:IVJ65437 JFC65437:JFF65437 JOY65437:JPB65437 JYU65437:JYX65437 KIQ65437:KIT65437 KSM65437:KSP65437 LCI65437:LCL65437 LME65437:LMH65437 LWA65437:LWD65437 MFW65437:MFZ65437 MPS65437:MPV65437 MZO65437:MZR65437 NJK65437:NJN65437 NTG65437:NTJ65437 ODC65437:ODF65437 OMY65437:ONB65437 OWU65437:OWX65437 PGQ65437:PGT65437 PQM65437:PQP65437 QAI65437:QAL65437 QKE65437:QKH65437 QUA65437:QUD65437 RDW65437:RDZ65437 RNS65437:RNV65437 RXO65437:RXR65437 SHK65437:SHN65437 SRG65437:SRJ65437 TBC65437:TBF65437 TKY65437:TLB65437 TUU65437:TUX65437 UEQ65437:UET65437 UOM65437:UOP65437 UYI65437:UYL65437 VIE65437:VIH65437 VSA65437:VSD65437 WBW65437:WBZ65437 WLS65437:WLV65437 WVO65437:WVR65437 D130973:G130973 JC130973:JF130973 SY130973:TB130973 ACU130973:ACX130973 AMQ130973:AMT130973 AWM130973:AWP130973 BGI130973:BGL130973 BQE130973:BQH130973 CAA130973:CAD130973 CJW130973:CJZ130973 CTS130973:CTV130973 DDO130973:DDR130973 DNK130973:DNN130973 DXG130973:DXJ130973 EHC130973:EHF130973 EQY130973:ERB130973 FAU130973:FAX130973 FKQ130973:FKT130973 FUM130973:FUP130973 GEI130973:GEL130973 GOE130973:GOH130973 GYA130973:GYD130973 HHW130973:HHZ130973 HRS130973:HRV130973 IBO130973:IBR130973 ILK130973:ILN130973 IVG130973:IVJ130973 JFC130973:JFF130973 JOY130973:JPB130973 JYU130973:JYX130973 KIQ130973:KIT130973 KSM130973:KSP130973 LCI130973:LCL130973 LME130973:LMH130973 LWA130973:LWD130973 MFW130973:MFZ130973 MPS130973:MPV130973 MZO130973:MZR130973 NJK130973:NJN130973 NTG130973:NTJ130973 ODC130973:ODF130973 OMY130973:ONB130973 OWU130973:OWX130973 PGQ130973:PGT130973 PQM130973:PQP130973 QAI130973:QAL130973 QKE130973:QKH130973 QUA130973:QUD130973 RDW130973:RDZ130973 RNS130973:RNV130973 RXO130973:RXR130973 SHK130973:SHN130973 SRG130973:SRJ130973 TBC130973:TBF130973 TKY130973:TLB130973 TUU130973:TUX130973 UEQ130973:UET130973 UOM130973:UOP130973 UYI130973:UYL130973 VIE130973:VIH130973 VSA130973:VSD130973 WBW130973:WBZ130973 WLS130973:WLV130973 WVO130973:WVR130973 D196509:G196509 JC196509:JF196509 SY196509:TB196509 ACU196509:ACX196509 AMQ196509:AMT196509 AWM196509:AWP196509 BGI196509:BGL196509 BQE196509:BQH196509 CAA196509:CAD196509 CJW196509:CJZ196509 CTS196509:CTV196509 DDO196509:DDR196509 DNK196509:DNN196509 DXG196509:DXJ196509 EHC196509:EHF196509 EQY196509:ERB196509 FAU196509:FAX196509 FKQ196509:FKT196509 FUM196509:FUP196509 GEI196509:GEL196509 GOE196509:GOH196509 GYA196509:GYD196509 HHW196509:HHZ196509 HRS196509:HRV196509 IBO196509:IBR196509 ILK196509:ILN196509 IVG196509:IVJ196509 JFC196509:JFF196509 JOY196509:JPB196509 JYU196509:JYX196509 KIQ196509:KIT196509 KSM196509:KSP196509 LCI196509:LCL196509 LME196509:LMH196509 LWA196509:LWD196509 MFW196509:MFZ196509 MPS196509:MPV196509 MZO196509:MZR196509 NJK196509:NJN196509 NTG196509:NTJ196509 ODC196509:ODF196509 OMY196509:ONB196509 OWU196509:OWX196509 PGQ196509:PGT196509 PQM196509:PQP196509 QAI196509:QAL196509 QKE196509:QKH196509 QUA196509:QUD196509 RDW196509:RDZ196509 RNS196509:RNV196509 RXO196509:RXR196509 SHK196509:SHN196509 SRG196509:SRJ196509 TBC196509:TBF196509 TKY196509:TLB196509 TUU196509:TUX196509 UEQ196509:UET196509 UOM196509:UOP196509 UYI196509:UYL196509 VIE196509:VIH196509 VSA196509:VSD196509 WBW196509:WBZ196509 WLS196509:WLV196509 WVO196509:WVR196509 D262045:G262045 JC262045:JF262045 SY262045:TB262045 ACU262045:ACX262045 AMQ262045:AMT262045 AWM262045:AWP262045 BGI262045:BGL262045 BQE262045:BQH262045 CAA262045:CAD262045 CJW262045:CJZ262045 CTS262045:CTV262045 DDO262045:DDR262045 DNK262045:DNN262045 DXG262045:DXJ262045 EHC262045:EHF262045 EQY262045:ERB262045 FAU262045:FAX262045 FKQ262045:FKT262045 FUM262045:FUP262045 GEI262045:GEL262045 GOE262045:GOH262045 GYA262045:GYD262045 HHW262045:HHZ262045 HRS262045:HRV262045 IBO262045:IBR262045 ILK262045:ILN262045 IVG262045:IVJ262045 JFC262045:JFF262045 JOY262045:JPB262045 JYU262045:JYX262045 KIQ262045:KIT262045 KSM262045:KSP262045 LCI262045:LCL262045 LME262045:LMH262045 LWA262045:LWD262045 MFW262045:MFZ262045 MPS262045:MPV262045 MZO262045:MZR262045 NJK262045:NJN262045 NTG262045:NTJ262045 ODC262045:ODF262045 OMY262045:ONB262045 OWU262045:OWX262045 PGQ262045:PGT262045 PQM262045:PQP262045 QAI262045:QAL262045 QKE262045:QKH262045 QUA262045:QUD262045 RDW262045:RDZ262045 RNS262045:RNV262045 RXO262045:RXR262045 SHK262045:SHN262045 SRG262045:SRJ262045 TBC262045:TBF262045 TKY262045:TLB262045 TUU262045:TUX262045 UEQ262045:UET262045 UOM262045:UOP262045 UYI262045:UYL262045 VIE262045:VIH262045 VSA262045:VSD262045 WBW262045:WBZ262045 WLS262045:WLV262045 WVO262045:WVR262045 D327581:G327581 JC327581:JF327581 SY327581:TB327581 ACU327581:ACX327581 AMQ327581:AMT327581 AWM327581:AWP327581 BGI327581:BGL327581 BQE327581:BQH327581 CAA327581:CAD327581 CJW327581:CJZ327581 CTS327581:CTV327581 DDO327581:DDR327581 DNK327581:DNN327581 DXG327581:DXJ327581 EHC327581:EHF327581 EQY327581:ERB327581 FAU327581:FAX327581 FKQ327581:FKT327581 FUM327581:FUP327581 GEI327581:GEL327581 GOE327581:GOH327581 GYA327581:GYD327581 HHW327581:HHZ327581 HRS327581:HRV327581 IBO327581:IBR327581 ILK327581:ILN327581 IVG327581:IVJ327581 JFC327581:JFF327581 JOY327581:JPB327581 JYU327581:JYX327581 KIQ327581:KIT327581 KSM327581:KSP327581 LCI327581:LCL327581 LME327581:LMH327581 LWA327581:LWD327581 MFW327581:MFZ327581 MPS327581:MPV327581 MZO327581:MZR327581 NJK327581:NJN327581 NTG327581:NTJ327581 ODC327581:ODF327581 OMY327581:ONB327581 OWU327581:OWX327581 PGQ327581:PGT327581 PQM327581:PQP327581 QAI327581:QAL327581 QKE327581:QKH327581 QUA327581:QUD327581 RDW327581:RDZ327581 RNS327581:RNV327581 RXO327581:RXR327581 SHK327581:SHN327581 SRG327581:SRJ327581 TBC327581:TBF327581 TKY327581:TLB327581 TUU327581:TUX327581 UEQ327581:UET327581 UOM327581:UOP327581 UYI327581:UYL327581 VIE327581:VIH327581 VSA327581:VSD327581 WBW327581:WBZ327581 WLS327581:WLV327581 WVO327581:WVR327581 D393117:G393117 JC393117:JF393117 SY393117:TB393117 ACU393117:ACX393117 AMQ393117:AMT393117 AWM393117:AWP393117 BGI393117:BGL393117 BQE393117:BQH393117 CAA393117:CAD393117 CJW393117:CJZ393117 CTS393117:CTV393117 DDO393117:DDR393117 DNK393117:DNN393117 DXG393117:DXJ393117 EHC393117:EHF393117 EQY393117:ERB393117 FAU393117:FAX393117 FKQ393117:FKT393117 FUM393117:FUP393117 GEI393117:GEL393117 GOE393117:GOH393117 GYA393117:GYD393117 HHW393117:HHZ393117 HRS393117:HRV393117 IBO393117:IBR393117 ILK393117:ILN393117 IVG393117:IVJ393117 JFC393117:JFF393117 JOY393117:JPB393117 JYU393117:JYX393117 KIQ393117:KIT393117 KSM393117:KSP393117 LCI393117:LCL393117 LME393117:LMH393117 LWA393117:LWD393117 MFW393117:MFZ393117 MPS393117:MPV393117 MZO393117:MZR393117 NJK393117:NJN393117 NTG393117:NTJ393117 ODC393117:ODF393117 OMY393117:ONB393117 OWU393117:OWX393117 PGQ393117:PGT393117 PQM393117:PQP393117 QAI393117:QAL393117 QKE393117:QKH393117 QUA393117:QUD393117 RDW393117:RDZ393117 RNS393117:RNV393117 RXO393117:RXR393117 SHK393117:SHN393117 SRG393117:SRJ393117 TBC393117:TBF393117 TKY393117:TLB393117 TUU393117:TUX393117 UEQ393117:UET393117 UOM393117:UOP393117 UYI393117:UYL393117 VIE393117:VIH393117 VSA393117:VSD393117 WBW393117:WBZ393117 WLS393117:WLV393117 WVO393117:WVR393117 D458653:G458653 JC458653:JF458653 SY458653:TB458653 ACU458653:ACX458653 AMQ458653:AMT458653 AWM458653:AWP458653 BGI458653:BGL458653 BQE458653:BQH458653 CAA458653:CAD458653 CJW458653:CJZ458653 CTS458653:CTV458653 DDO458653:DDR458653 DNK458653:DNN458653 DXG458653:DXJ458653 EHC458653:EHF458653 EQY458653:ERB458653 FAU458653:FAX458653 FKQ458653:FKT458653 FUM458653:FUP458653 GEI458653:GEL458653 GOE458653:GOH458653 GYA458653:GYD458653 HHW458653:HHZ458653 HRS458653:HRV458653 IBO458653:IBR458653 ILK458653:ILN458653 IVG458653:IVJ458653 JFC458653:JFF458653 JOY458653:JPB458653 JYU458653:JYX458653 KIQ458653:KIT458653 KSM458653:KSP458653 LCI458653:LCL458653 LME458653:LMH458653 LWA458653:LWD458653 MFW458653:MFZ458653 MPS458653:MPV458653 MZO458653:MZR458653 NJK458653:NJN458653 NTG458653:NTJ458653 ODC458653:ODF458653 OMY458653:ONB458653 OWU458653:OWX458653 PGQ458653:PGT458653 PQM458653:PQP458653 QAI458653:QAL458653 QKE458653:QKH458653 QUA458653:QUD458653 RDW458653:RDZ458653 RNS458653:RNV458653 RXO458653:RXR458653 SHK458653:SHN458653 SRG458653:SRJ458653 TBC458653:TBF458653 TKY458653:TLB458653 TUU458653:TUX458653 UEQ458653:UET458653 UOM458653:UOP458653 UYI458653:UYL458653 VIE458653:VIH458653 VSA458653:VSD458653 WBW458653:WBZ458653 WLS458653:WLV458653 WVO458653:WVR458653 D524189:G524189 JC524189:JF524189 SY524189:TB524189 ACU524189:ACX524189 AMQ524189:AMT524189 AWM524189:AWP524189 BGI524189:BGL524189 BQE524189:BQH524189 CAA524189:CAD524189 CJW524189:CJZ524189 CTS524189:CTV524189 DDO524189:DDR524189 DNK524189:DNN524189 DXG524189:DXJ524189 EHC524189:EHF524189 EQY524189:ERB524189 FAU524189:FAX524189 FKQ524189:FKT524189 FUM524189:FUP524189 GEI524189:GEL524189 GOE524189:GOH524189 GYA524189:GYD524189 HHW524189:HHZ524189 HRS524189:HRV524189 IBO524189:IBR524189 ILK524189:ILN524189 IVG524189:IVJ524189 JFC524189:JFF524189 JOY524189:JPB524189 JYU524189:JYX524189 KIQ524189:KIT524189 KSM524189:KSP524189 LCI524189:LCL524189 LME524189:LMH524189 LWA524189:LWD524189 MFW524189:MFZ524189 MPS524189:MPV524189 MZO524189:MZR524189 NJK524189:NJN524189 NTG524189:NTJ524189 ODC524189:ODF524189 OMY524189:ONB524189 OWU524189:OWX524189 PGQ524189:PGT524189 PQM524189:PQP524189 QAI524189:QAL524189 QKE524189:QKH524189 QUA524189:QUD524189 RDW524189:RDZ524189 RNS524189:RNV524189 RXO524189:RXR524189 SHK524189:SHN524189 SRG524189:SRJ524189 TBC524189:TBF524189 TKY524189:TLB524189 TUU524189:TUX524189 UEQ524189:UET524189 UOM524189:UOP524189 UYI524189:UYL524189 VIE524189:VIH524189 VSA524189:VSD524189 WBW524189:WBZ524189 WLS524189:WLV524189 WVO524189:WVR524189 D589725:G589725 JC589725:JF589725 SY589725:TB589725 ACU589725:ACX589725 AMQ589725:AMT589725 AWM589725:AWP589725 BGI589725:BGL589725 BQE589725:BQH589725 CAA589725:CAD589725 CJW589725:CJZ589725 CTS589725:CTV589725 DDO589725:DDR589725 DNK589725:DNN589725 DXG589725:DXJ589725 EHC589725:EHF589725 EQY589725:ERB589725 FAU589725:FAX589725 FKQ589725:FKT589725 FUM589725:FUP589725 GEI589725:GEL589725 GOE589725:GOH589725 GYA589725:GYD589725 HHW589725:HHZ589725 HRS589725:HRV589725 IBO589725:IBR589725 ILK589725:ILN589725 IVG589725:IVJ589725 JFC589725:JFF589725 JOY589725:JPB589725 JYU589725:JYX589725 KIQ589725:KIT589725 KSM589725:KSP589725 LCI589725:LCL589725 LME589725:LMH589725 LWA589725:LWD589725 MFW589725:MFZ589725 MPS589725:MPV589725 MZO589725:MZR589725 NJK589725:NJN589725 NTG589725:NTJ589725 ODC589725:ODF589725 OMY589725:ONB589725 OWU589725:OWX589725 PGQ589725:PGT589725 PQM589725:PQP589725 QAI589725:QAL589725 QKE589725:QKH589725 QUA589725:QUD589725 RDW589725:RDZ589725 RNS589725:RNV589725 RXO589725:RXR589725 SHK589725:SHN589725 SRG589725:SRJ589725 TBC589725:TBF589725 TKY589725:TLB589725 TUU589725:TUX589725 UEQ589725:UET589725 UOM589725:UOP589725 UYI589725:UYL589725 VIE589725:VIH589725 VSA589725:VSD589725 WBW589725:WBZ589725 WLS589725:WLV589725 WVO589725:WVR589725 D655261:G655261 JC655261:JF655261 SY655261:TB655261 ACU655261:ACX655261 AMQ655261:AMT655261 AWM655261:AWP655261 BGI655261:BGL655261 BQE655261:BQH655261 CAA655261:CAD655261 CJW655261:CJZ655261 CTS655261:CTV655261 DDO655261:DDR655261 DNK655261:DNN655261 DXG655261:DXJ655261 EHC655261:EHF655261 EQY655261:ERB655261 FAU655261:FAX655261 FKQ655261:FKT655261 FUM655261:FUP655261 GEI655261:GEL655261 GOE655261:GOH655261 GYA655261:GYD655261 HHW655261:HHZ655261 HRS655261:HRV655261 IBO655261:IBR655261 ILK655261:ILN655261 IVG655261:IVJ655261 JFC655261:JFF655261 JOY655261:JPB655261 JYU655261:JYX655261 KIQ655261:KIT655261 KSM655261:KSP655261 LCI655261:LCL655261 LME655261:LMH655261 LWA655261:LWD655261 MFW655261:MFZ655261 MPS655261:MPV655261 MZO655261:MZR655261 NJK655261:NJN655261 NTG655261:NTJ655261 ODC655261:ODF655261 OMY655261:ONB655261 OWU655261:OWX655261 PGQ655261:PGT655261 PQM655261:PQP655261 QAI655261:QAL655261 QKE655261:QKH655261 QUA655261:QUD655261 RDW655261:RDZ655261 RNS655261:RNV655261 RXO655261:RXR655261 SHK655261:SHN655261 SRG655261:SRJ655261 TBC655261:TBF655261 TKY655261:TLB655261 TUU655261:TUX655261 UEQ655261:UET655261 UOM655261:UOP655261 UYI655261:UYL655261 VIE655261:VIH655261 VSA655261:VSD655261 WBW655261:WBZ655261 WLS655261:WLV655261 WVO655261:WVR655261 D720797:G720797 JC720797:JF720797 SY720797:TB720797 ACU720797:ACX720797 AMQ720797:AMT720797 AWM720797:AWP720797 BGI720797:BGL720797 BQE720797:BQH720797 CAA720797:CAD720797 CJW720797:CJZ720797 CTS720797:CTV720797 DDO720797:DDR720797 DNK720797:DNN720797 DXG720797:DXJ720797 EHC720797:EHF720797 EQY720797:ERB720797 FAU720797:FAX720797 FKQ720797:FKT720797 FUM720797:FUP720797 GEI720797:GEL720797 GOE720797:GOH720797 GYA720797:GYD720797 HHW720797:HHZ720797 HRS720797:HRV720797 IBO720797:IBR720797 ILK720797:ILN720797 IVG720797:IVJ720797 JFC720797:JFF720797 JOY720797:JPB720797 JYU720797:JYX720797 KIQ720797:KIT720797 KSM720797:KSP720797 LCI720797:LCL720797 LME720797:LMH720797 LWA720797:LWD720797 MFW720797:MFZ720797 MPS720797:MPV720797 MZO720797:MZR720797 NJK720797:NJN720797 NTG720797:NTJ720797 ODC720797:ODF720797 OMY720797:ONB720797 OWU720797:OWX720797 PGQ720797:PGT720797 PQM720797:PQP720797 QAI720797:QAL720797 QKE720797:QKH720797 QUA720797:QUD720797 RDW720797:RDZ720797 RNS720797:RNV720797 RXO720797:RXR720797 SHK720797:SHN720797 SRG720797:SRJ720797 TBC720797:TBF720797 TKY720797:TLB720797 TUU720797:TUX720797 UEQ720797:UET720797 UOM720797:UOP720797 UYI720797:UYL720797 VIE720797:VIH720797 VSA720797:VSD720797 WBW720797:WBZ720797 WLS720797:WLV720797 WVO720797:WVR720797 D786333:G786333 JC786333:JF786333 SY786333:TB786333 ACU786333:ACX786333 AMQ786333:AMT786333 AWM786333:AWP786333 BGI786333:BGL786333 BQE786333:BQH786333 CAA786333:CAD786333 CJW786333:CJZ786333 CTS786333:CTV786333 DDO786333:DDR786333 DNK786333:DNN786333 DXG786333:DXJ786333 EHC786333:EHF786333 EQY786333:ERB786333 FAU786333:FAX786333 FKQ786333:FKT786333 FUM786333:FUP786333 GEI786333:GEL786333 GOE786333:GOH786333 GYA786333:GYD786333 HHW786333:HHZ786333 HRS786333:HRV786333 IBO786333:IBR786333 ILK786333:ILN786333 IVG786333:IVJ786333 JFC786333:JFF786333 JOY786333:JPB786333 JYU786333:JYX786333 KIQ786333:KIT786333 KSM786333:KSP786333 LCI786333:LCL786333 LME786333:LMH786333 LWA786333:LWD786333 MFW786333:MFZ786333 MPS786333:MPV786333 MZO786333:MZR786333 NJK786333:NJN786333 NTG786333:NTJ786333 ODC786333:ODF786333 OMY786333:ONB786333 OWU786333:OWX786333 PGQ786333:PGT786333 PQM786333:PQP786333 QAI786333:QAL786333 QKE786333:QKH786333 QUA786333:QUD786333 RDW786333:RDZ786333 RNS786333:RNV786333 RXO786333:RXR786333 SHK786333:SHN786333 SRG786333:SRJ786333 TBC786333:TBF786333 TKY786333:TLB786333 TUU786333:TUX786333 UEQ786333:UET786333 UOM786333:UOP786333 UYI786333:UYL786333 VIE786333:VIH786333 VSA786333:VSD786333 WBW786333:WBZ786333 WLS786333:WLV786333 WVO786333:WVR786333 D851869:G851869 JC851869:JF851869 SY851869:TB851869 ACU851869:ACX851869 AMQ851869:AMT851869 AWM851869:AWP851869 BGI851869:BGL851869 BQE851869:BQH851869 CAA851869:CAD851869 CJW851869:CJZ851869 CTS851869:CTV851869 DDO851869:DDR851869 DNK851869:DNN851869 DXG851869:DXJ851869 EHC851869:EHF851869 EQY851869:ERB851869 FAU851869:FAX851869 FKQ851869:FKT851869 FUM851869:FUP851869 GEI851869:GEL851869 GOE851869:GOH851869 GYA851869:GYD851869 HHW851869:HHZ851869 HRS851869:HRV851869 IBO851869:IBR851869 ILK851869:ILN851869 IVG851869:IVJ851869 JFC851869:JFF851869 JOY851869:JPB851869 JYU851869:JYX851869 KIQ851869:KIT851869 KSM851869:KSP851869 LCI851869:LCL851869 LME851869:LMH851869 LWA851869:LWD851869 MFW851869:MFZ851869 MPS851869:MPV851869 MZO851869:MZR851869 NJK851869:NJN851869 NTG851869:NTJ851869 ODC851869:ODF851869 OMY851869:ONB851869 OWU851869:OWX851869 PGQ851869:PGT851869 PQM851869:PQP851869 QAI851869:QAL851869 QKE851869:QKH851869 QUA851869:QUD851869 RDW851869:RDZ851869 RNS851869:RNV851869 RXO851869:RXR851869 SHK851869:SHN851869 SRG851869:SRJ851869 TBC851869:TBF851869 TKY851869:TLB851869 TUU851869:TUX851869 UEQ851869:UET851869 UOM851869:UOP851869 UYI851869:UYL851869 VIE851869:VIH851869 VSA851869:VSD851869 WBW851869:WBZ851869 WLS851869:WLV851869 WVO851869:WVR851869 D917405:G917405 JC917405:JF917405 SY917405:TB917405 ACU917405:ACX917405 AMQ917405:AMT917405 AWM917405:AWP917405 BGI917405:BGL917405 BQE917405:BQH917405 CAA917405:CAD917405 CJW917405:CJZ917405 CTS917405:CTV917405 DDO917405:DDR917405 DNK917405:DNN917405 DXG917405:DXJ917405 EHC917405:EHF917405 EQY917405:ERB917405 FAU917405:FAX917405 FKQ917405:FKT917405 FUM917405:FUP917405 GEI917405:GEL917405 GOE917405:GOH917405 GYA917405:GYD917405 HHW917405:HHZ917405 HRS917405:HRV917405 IBO917405:IBR917405 ILK917405:ILN917405 IVG917405:IVJ917405 JFC917405:JFF917405 JOY917405:JPB917405 JYU917405:JYX917405 KIQ917405:KIT917405 KSM917405:KSP917405 LCI917405:LCL917405 LME917405:LMH917405 LWA917405:LWD917405 MFW917405:MFZ917405 MPS917405:MPV917405 MZO917405:MZR917405 NJK917405:NJN917405 NTG917405:NTJ917405 ODC917405:ODF917405 OMY917405:ONB917405 OWU917405:OWX917405 PGQ917405:PGT917405 PQM917405:PQP917405 QAI917405:QAL917405 QKE917405:QKH917405 QUA917405:QUD917405 RDW917405:RDZ917405 RNS917405:RNV917405 RXO917405:RXR917405 SHK917405:SHN917405 SRG917405:SRJ917405 TBC917405:TBF917405 TKY917405:TLB917405 TUU917405:TUX917405 UEQ917405:UET917405 UOM917405:UOP917405 UYI917405:UYL917405 VIE917405:VIH917405 VSA917405:VSD917405 WBW917405:WBZ917405 WLS917405:WLV917405 WVO917405:WVR917405 D982941:G982941 JC982941:JF982941 SY982941:TB982941 ACU982941:ACX982941 AMQ982941:AMT982941 AWM982941:AWP982941 BGI982941:BGL982941 BQE982941:BQH982941 CAA982941:CAD982941 CJW982941:CJZ982941 CTS982941:CTV982941 DDO982941:DDR982941 DNK982941:DNN982941 DXG982941:DXJ982941 EHC982941:EHF982941 EQY982941:ERB982941 FAU982941:FAX982941 FKQ982941:FKT982941 FUM982941:FUP982941 GEI982941:GEL982941 GOE982941:GOH982941 GYA982941:GYD982941 HHW982941:HHZ982941 HRS982941:HRV982941 IBO982941:IBR982941 ILK982941:ILN982941 IVG982941:IVJ982941 JFC982941:JFF982941 JOY982941:JPB982941 JYU982941:JYX982941 KIQ982941:KIT982941 KSM982941:KSP982941 LCI982941:LCL982941 LME982941:LMH982941 LWA982941:LWD982941 MFW982941:MFZ982941 MPS982941:MPV982941 MZO982941:MZR982941 NJK982941:NJN982941 NTG982941:NTJ982941 ODC982941:ODF982941 OMY982941:ONB982941 OWU982941:OWX982941 PGQ982941:PGT982941 PQM982941:PQP982941 QAI982941:QAL982941 QKE982941:QKH982941 QUA982941:QUD982941 RDW982941:RDZ982941 RNS982941:RNV982941 RXO982941:RXR982941 SHK982941:SHN982941 SRG982941:SRJ982941 TBC982941:TBF982941 TKY982941:TLB982941 TUU982941:TUX982941 UEQ982941:UET982941 UOM982941:UOP982941 UYI982941:UYL982941 VIE982941:VIH982941 VSA982941:VSD982941 WBW982941:WBZ982941 WLS982941:WLV982941 WVO982941:WVR982941 D65436 JC65436 SY65436 ACU65436 AMQ65436 AWM65436 BGI65436 BQE65436 CAA65436 CJW65436 CTS65436 DDO65436 DNK65436 DXG65436 EHC65436 EQY65436 FAU65436 FKQ65436 FUM65436 GEI65436 GOE65436 GYA65436 HHW65436 HRS65436 IBO65436 ILK65436 IVG65436 JFC65436 JOY65436 JYU65436 KIQ65436 KSM65436 LCI65436 LME65436 LWA65436 MFW65436 MPS65436 MZO65436 NJK65436 NTG65436 ODC65436 OMY65436 OWU65436 PGQ65436 PQM65436 QAI65436 QKE65436 QUA65436 RDW65436 RNS65436 RXO65436 SHK65436 SRG65436 TBC65436 TKY65436 TUU65436 UEQ65436 UOM65436 UYI65436 VIE65436 VSA65436 WBW65436 WLS65436 WVO65436 D130972 JC130972 SY130972 ACU130972 AMQ130972 AWM130972 BGI130972 BQE130972 CAA130972 CJW130972 CTS130972 DDO130972 DNK130972 DXG130972 EHC130972 EQY130972 FAU130972 FKQ130972 FUM130972 GEI130972 GOE130972 GYA130972 HHW130972 HRS130972 IBO130972 ILK130972 IVG130972 JFC130972 JOY130972 JYU130972 KIQ130972 KSM130972 LCI130972 LME130972 LWA130972 MFW130972 MPS130972 MZO130972 NJK130972 NTG130972 ODC130972 OMY130972 OWU130972 PGQ130972 PQM130972 QAI130972 QKE130972 QUA130972 RDW130972 RNS130972 RXO130972 SHK130972 SRG130972 TBC130972 TKY130972 TUU130972 UEQ130972 UOM130972 UYI130972 VIE130972 VSA130972 WBW130972 WLS130972 WVO130972 D196508 JC196508 SY196508 ACU196508 AMQ196508 AWM196508 BGI196508 BQE196508 CAA196508 CJW196508 CTS196508 DDO196508 DNK196508 DXG196508 EHC196508 EQY196508 FAU196508 FKQ196508 FUM196508 GEI196508 GOE196508 GYA196508 HHW196508 HRS196508 IBO196508 ILK196508 IVG196508 JFC196508 JOY196508 JYU196508 KIQ196508 KSM196508 LCI196508 LME196508 LWA196508 MFW196508 MPS196508 MZO196508 NJK196508 NTG196508 ODC196508 OMY196508 OWU196508 PGQ196508 PQM196508 QAI196508 QKE196508 QUA196508 RDW196508 RNS196508 RXO196508 SHK196508 SRG196508 TBC196508 TKY196508 TUU196508 UEQ196508 UOM196508 UYI196508 VIE196508 VSA196508 WBW196508 WLS196508 WVO196508 D262044 JC262044 SY262044 ACU262044 AMQ262044 AWM262044 BGI262044 BQE262044 CAA262044 CJW262044 CTS262044 DDO262044 DNK262044 DXG262044 EHC262044 EQY262044 FAU262044 FKQ262044 FUM262044 GEI262044 GOE262044 GYA262044 HHW262044 HRS262044 IBO262044 ILK262044 IVG262044 JFC262044 JOY262044 JYU262044 KIQ262044 KSM262044 LCI262044 LME262044 LWA262044 MFW262044 MPS262044 MZO262044 NJK262044 NTG262044 ODC262044 OMY262044 OWU262044 PGQ262044 PQM262044 QAI262044 QKE262044 QUA262044 RDW262044 RNS262044 RXO262044 SHK262044 SRG262044 TBC262044 TKY262044 TUU262044 UEQ262044 UOM262044 UYI262044 VIE262044 VSA262044 WBW262044 WLS262044 WVO262044 D327580 JC327580 SY327580 ACU327580 AMQ327580 AWM327580 BGI327580 BQE327580 CAA327580 CJW327580 CTS327580 DDO327580 DNK327580 DXG327580 EHC327580 EQY327580 FAU327580 FKQ327580 FUM327580 GEI327580 GOE327580 GYA327580 HHW327580 HRS327580 IBO327580 ILK327580 IVG327580 JFC327580 JOY327580 JYU327580 KIQ327580 KSM327580 LCI327580 LME327580 LWA327580 MFW327580 MPS327580 MZO327580 NJK327580 NTG327580 ODC327580 OMY327580 OWU327580 PGQ327580 PQM327580 QAI327580 QKE327580 QUA327580 RDW327580 RNS327580 RXO327580 SHK327580 SRG327580 TBC327580 TKY327580 TUU327580 UEQ327580 UOM327580 UYI327580 VIE327580 VSA327580 WBW327580 WLS327580 WVO327580 D393116 JC393116 SY393116 ACU393116 AMQ393116 AWM393116 BGI393116 BQE393116 CAA393116 CJW393116 CTS393116 DDO393116 DNK393116 DXG393116 EHC393116 EQY393116 FAU393116 FKQ393116 FUM393116 GEI393116 GOE393116 GYA393116 HHW393116 HRS393116 IBO393116 ILK393116 IVG393116 JFC393116 JOY393116 JYU393116 KIQ393116 KSM393116 LCI393116 LME393116 LWA393116 MFW393116 MPS393116 MZO393116 NJK393116 NTG393116 ODC393116 OMY393116 OWU393116 PGQ393116 PQM393116 QAI393116 QKE393116 QUA393116 RDW393116 RNS393116 RXO393116 SHK393116 SRG393116 TBC393116 TKY393116 TUU393116 UEQ393116 UOM393116 UYI393116 VIE393116 VSA393116 WBW393116 WLS393116 WVO393116 D458652 JC458652 SY458652 ACU458652 AMQ458652 AWM458652 BGI458652 BQE458652 CAA458652 CJW458652 CTS458652 DDO458652 DNK458652 DXG458652 EHC458652 EQY458652 FAU458652 FKQ458652 FUM458652 GEI458652 GOE458652 GYA458652 HHW458652 HRS458652 IBO458652 ILK458652 IVG458652 JFC458652 JOY458652 JYU458652 KIQ458652 KSM458652 LCI458652 LME458652 LWA458652 MFW458652 MPS458652 MZO458652 NJK458652 NTG458652 ODC458652 OMY458652 OWU458652 PGQ458652 PQM458652 QAI458652 QKE458652 QUA458652 RDW458652 RNS458652 RXO458652 SHK458652 SRG458652 TBC458652 TKY458652 TUU458652 UEQ458652 UOM458652 UYI458652 VIE458652 VSA458652 WBW458652 WLS458652 WVO458652 D524188 JC524188 SY524188 ACU524188 AMQ524188 AWM524188 BGI524188 BQE524188 CAA524188 CJW524188 CTS524188 DDO524188 DNK524188 DXG524188 EHC524188 EQY524188 FAU524188 FKQ524188 FUM524188 GEI524188 GOE524188 GYA524188 HHW524188 HRS524188 IBO524188 ILK524188 IVG524188 JFC524188 JOY524188 JYU524188 KIQ524188 KSM524188 LCI524188 LME524188 LWA524188 MFW524188 MPS524188 MZO524188 NJK524188 NTG524188 ODC524188 OMY524188 OWU524188 PGQ524188 PQM524188 QAI524188 QKE524188 QUA524188 RDW524188 RNS524188 RXO524188 SHK524188 SRG524188 TBC524188 TKY524188 TUU524188 UEQ524188 UOM524188 UYI524188 VIE524188 VSA524188 WBW524188 WLS524188 WVO524188 D589724 JC589724 SY589724 ACU589724 AMQ589724 AWM589724 BGI589724 BQE589724 CAA589724 CJW589724 CTS589724 DDO589724 DNK589724 DXG589724 EHC589724 EQY589724 FAU589724 FKQ589724 FUM589724 GEI589724 GOE589724 GYA589724 HHW589724 HRS589724 IBO589724 ILK589724 IVG589724 JFC589724 JOY589724 JYU589724 KIQ589724 KSM589724 LCI589724 LME589724 LWA589724 MFW589724 MPS589724 MZO589724 NJK589724 NTG589724 ODC589724 OMY589724 OWU589724 PGQ589724 PQM589724 QAI589724 QKE589724 QUA589724 RDW589724 RNS589724 RXO589724 SHK589724 SRG589724 TBC589724 TKY589724 TUU589724 UEQ589724 UOM589724 UYI589724 VIE589724 VSA589724 WBW589724 WLS589724 WVO589724 D655260 JC655260 SY655260 ACU655260 AMQ655260 AWM655260 BGI655260 BQE655260 CAA655260 CJW655260 CTS655260 DDO655260 DNK655260 DXG655260 EHC655260 EQY655260 FAU655260 FKQ655260 FUM655260 GEI655260 GOE655260 GYA655260 HHW655260 HRS655260 IBO655260 ILK655260 IVG655260 JFC655260 JOY655260 JYU655260 KIQ655260 KSM655260 LCI655260 LME655260 LWA655260 MFW655260 MPS655260 MZO655260 NJK655260 NTG655260 ODC655260 OMY655260 OWU655260 PGQ655260 PQM655260 QAI655260 QKE655260 QUA655260 RDW655260 RNS655260 RXO655260 SHK655260 SRG655260 TBC655260 TKY655260 TUU655260 UEQ655260 UOM655260 UYI655260 VIE655260 VSA655260 WBW655260 WLS655260 WVO655260 D720796 JC720796 SY720796 ACU720796 AMQ720796 AWM720796 BGI720796 BQE720796 CAA720796 CJW720796 CTS720796 DDO720796 DNK720796 DXG720796 EHC720796 EQY720796 FAU720796 FKQ720796 FUM720796 GEI720796 GOE720796 GYA720796 HHW720796 HRS720796 IBO720796 ILK720796 IVG720796 JFC720796 JOY720796 JYU720796 KIQ720796 KSM720796 LCI720796 LME720796 LWA720796 MFW720796 MPS720796 MZO720796 NJK720796 NTG720796 ODC720796 OMY720796 OWU720796 PGQ720796 PQM720796 QAI720796 QKE720796 QUA720796 RDW720796 RNS720796 RXO720796 SHK720796 SRG720796 TBC720796 TKY720796 TUU720796 UEQ720796 UOM720796 UYI720796 VIE720796 VSA720796 WBW720796 WLS720796 WVO720796 D786332 JC786332 SY786332 ACU786332 AMQ786332 AWM786332 BGI786332 BQE786332 CAA786332 CJW786332 CTS786332 DDO786332 DNK786332 DXG786332 EHC786332 EQY786332 FAU786332 FKQ786332 FUM786332 GEI786332 GOE786332 GYA786332 HHW786332 HRS786332 IBO786332 ILK786332 IVG786332 JFC786332 JOY786332 JYU786332 KIQ786332 KSM786332 LCI786332 LME786332 LWA786332 MFW786332 MPS786332 MZO786332 NJK786332 NTG786332 ODC786332 OMY786332 OWU786332 PGQ786332 PQM786332 QAI786332 QKE786332 QUA786332 RDW786332 RNS786332 RXO786332 SHK786332 SRG786332 TBC786332 TKY786332 TUU786332 UEQ786332 UOM786332 UYI786332 VIE786332 VSA786332 WBW786332 WLS786332 WVO786332 D851868 JC851868 SY851868 ACU851868 AMQ851868 AWM851868 BGI851868 BQE851868 CAA851868 CJW851868 CTS851868 DDO851868 DNK851868 DXG851868 EHC851868 EQY851868 FAU851868 FKQ851868 FUM851868 GEI851868 GOE851868 GYA851868 HHW851868 HRS851868 IBO851868 ILK851868 IVG851868 JFC851868 JOY851868 JYU851868 KIQ851868 KSM851868 LCI851868 LME851868 LWA851868 MFW851868 MPS851868 MZO851868 NJK851868 NTG851868 ODC851868 OMY851868 OWU851868 PGQ851868 PQM851868 QAI851868 QKE851868 QUA851868 RDW851868 RNS851868 RXO851868 SHK851868 SRG851868 TBC851868 TKY851868 TUU851868 UEQ851868 UOM851868 UYI851868 VIE851868 VSA851868 WBW851868 WLS851868 WVO851868 D917404 JC917404 SY917404 ACU917404 AMQ917404 AWM917404 BGI917404 BQE917404 CAA917404 CJW917404 CTS917404 DDO917404 DNK917404 DXG917404 EHC917404 EQY917404 FAU917404 FKQ917404 FUM917404 GEI917404 GOE917404 GYA917404 HHW917404 HRS917404 IBO917404 ILK917404 IVG917404 JFC917404 JOY917404 JYU917404 KIQ917404 KSM917404 LCI917404 LME917404 LWA917404 MFW917404 MPS917404 MZO917404 NJK917404 NTG917404 ODC917404 OMY917404 OWU917404 PGQ917404 PQM917404 QAI917404 QKE917404 QUA917404 RDW917404 RNS917404 RXO917404 SHK917404 SRG917404 TBC917404 TKY917404 TUU917404 UEQ917404 UOM917404 UYI917404 VIE917404 VSA917404 WBW917404 WLS917404 WVO917404 D982940 JC982940 SY982940 ACU982940 AMQ982940 AWM982940 BGI982940 BQE982940 CAA982940 CJW982940 CTS982940 DDO982940 DNK982940 DXG982940 EHC982940 EQY982940 FAU982940 FKQ982940 FUM982940 GEI982940 GOE982940 GYA982940 HHW982940 HRS982940 IBO982940 ILK982940 IVG982940 JFC982940 JOY982940 JYU982940 KIQ982940 KSM982940 LCI982940 LME982940 LWA982940 MFW982940 MPS982940 MZO982940 NJK982940 NTG982940 ODC982940 OMY982940 OWU982940 PGQ982940 PQM982940 QAI982940 QKE982940 QUA982940 RDW982940 RNS982940 RXO982940 SHK982940 SRG982940 TBC982940 TKY982940 TUU982940 UEQ982940 UOM982940 UYI982940 VIE982940 VSA982940 WBW982940 WLS982940 WVO982940 D65432:G65432 JC65432:JF65432 SY65432:TB65432 ACU65432:ACX65432 AMQ65432:AMT65432 AWM65432:AWP65432 BGI65432:BGL65432 BQE65432:BQH65432 CAA65432:CAD65432 CJW65432:CJZ65432 CTS65432:CTV65432 DDO65432:DDR65432 DNK65432:DNN65432 DXG65432:DXJ65432 EHC65432:EHF65432 EQY65432:ERB65432 FAU65432:FAX65432 FKQ65432:FKT65432 FUM65432:FUP65432 GEI65432:GEL65432 GOE65432:GOH65432 GYA65432:GYD65432 HHW65432:HHZ65432 HRS65432:HRV65432 IBO65432:IBR65432 ILK65432:ILN65432 IVG65432:IVJ65432 JFC65432:JFF65432 JOY65432:JPB65432 JYU65432:JYX65432 KIQ65432:KIT65432 KSM65432:KSP65432 LCI65432:LCL65432 LME65432:LMH65432 LWA65432:LWD65432 MFW65432:MFZ65432 MPS65432:MPV65432 MZO65432:MZR65432 NJK65432:NJN65432 NTG65432:NTJ65432 ODC65432:ODF65432 OMY65432:ONB65432 OWU65432:OWX65432 PGQ65432:PGT65432 PQM65432:PQP65432 QAI65432:QAL65432 QKE65432:QKH65432 QUA65432:QUD65432 RDW65432:RDZ65432 RNS65432:RNV65432 RXO65432:RXR65432 SHK65432:SHN65432 SRG65432:SRJ65432 TBC65432:TBF65432 TKY65432:TLB65432 TUU65432:TUX65432 UEQ65432:UET65432 UOM65432:UOP65432 UYI65432:UYL65432 VIE65432:VIH65432 VSA65432:VSD65432 WBW65432:WBZ65432 WLS65432:WLV65432 WVO65432:WVR65432 D130968:G130968 JC130968:JF130968 SY130968:TB130968 ACU130968:ACX130968 AMQ130968:AMT130968 AWM130968:AWP130968 BGI130968:BGL130968 BQE130968:BQH130968 CAA130968:CAD130968 CJW130968:CJZ130968 CTS130968:CTV130968 DDO130968:DDR130968 DNK130968:DNN130968 DXG130968:DXJ130968 EHC130968:EHF130968 EQY130968:ERB130968 FAU130968:FAX130968 FKQ130968:FKT130968 FUM130968:FUP130968 GEI130968:GEL130968 GOE130968:GOH130968 GYA130968:GYD130968 HHW130968:HHZ130968 HRS130968:HRV130968 IBO130968:IBR130968 ILK130968:ILN130968 IVG130968:IVJ130968 JFC130968:JFF130968 JOY130968:JPB130968 JYU130968:JYX130968 KIQ130968:KIT130968 KSM130968:KSP130968 LCI130968:LCL130968 LME130968:LMH130968 LWA130968:LWD130968 MFW130968:MFZ130968 MPS130968:MPV130968 MZO130968:MZR130968 NJK130968:NJN130968 NTG130968:NTJ130968 ODC130968:ODF130968 OMY130968:ONB130968 OWU130968:OWX130968 PGQ130968:PGT130968 PQM130968:PQP130968 QAI130968:QAL130968 QKE130968:QKH130968 QUA130968:QUD130968 RDW130968:RDZ130968 RNS130968:RNV130968 RXO130968:RXR130968 SHK130968:SHN130968 SRG130968:SRJ130968 TBC130968:TBF130968 TKY130968:TLB130968 TUU130968:TUX130968 UEQ130968:UET130968 UOM130968:UOP130968 UYI130968:UYL130968 VIE130968:VIH130968 VSA130968:VSD130968 WBW130968:WBZ130968 WLS130968:WLV130968 WVO130968:WVR130968 D196504:G196504 JC196504:JF196504 SY196504:TB196504 ACU196504:ACX196504 AMQ196504:AMT196504 AWM196504:AWP196504 BGI196504:BGL196504 BQE196504:BQH196504 CAA196504:CAD196504 CJW196504:CJZ196504 CTS196504:CTV196504 DDO196504:DDR196504 DNK196504:DNN196504 DXG196504:DXJ196504 EHC196504:EHF196504 EQY196504:ERB196504 FAU196504:FAX196504 FKQ196504:FKT196504 FUM196504:FUP196504 GEI196504:GEL196504 GOE196504:GOH196504 GYA196504:GYD196504 HHW196504:HHZ196504 HRS196504:HRV196504 IBO196504:IBR196504 ILK196504:ILN196504 IVG196504:IVJ196504 JFC196504:JFF196504 JOY196504:JPB196504 JYU196504:JYX196504 KIQ196504:KIT196504 KSM196504:KSP196504 LCI196504:LCL196504 LME196504:LMH196504 LWA196504:LWD196504 MFW196504:MFZ196504 MPS196504:MPV196504 MZO196504:MZR196504 NJK196504:NJN196504 NTG196504:NTJ196504 ODC196504:ODF196504 OMY196504:ONB196504 OWU196504:OWX196504 PGQ196504:PGT196504 PQM196504:PQP196504 QAI196504:QAL196504 QKE196504:QKH196504 QUA196504:QUD196504 RDW196504:RDZ196504 RNS196504:RNV196504 RXO196504:RXR196504 SHK196504:SHN196504 SRG196504:SRJ196504 TBC196504:TBF196504 TKY196504:TLB196504 TUU196504:TUX196504 UEQ196504:UET196504 UOM196504:UOP196504 UYI196504:UYL196504 VIE196504:VIH196504 VSA196504:VSD196504 WBW196504:WBZ196504 WLS196504:WLV196504 WVO196504:WVR196504 D262040:G262040 JC262040:JF262040 SY262040:TB262040 ACU262040:ACX262040 AMQ262040:AMT262040 AWM262040:AWP262040 BGI262040:BGL262040 BQE262040:BQH262040 CAA262040:CAD262040 CJW262040:CJZ262040 CTS262040:CTV262040 DDO262040:DDR262040 DNK262040:DNN262040 DXG262040:DXJ262040 EHC262040:EHF262040 EQY262040:ERB262040 FAU262040:FAX262040 FKQ262040:FKT262040 FUM262040:FUP262040 GEI262040:GEL262040 GOE262040:GOH262040 GYA262040:GYD262040 HHW262040:HHZ262040 HRS262040:HRV262040 IBO262040:IBR262040 ILK262040:ILN262040 IVG262040:IVJ262040 JFC262040:JFF262040 JOY262040:JPB262040 JYU262040:JYX262040 KIQ262040:KIT262040 KSM262040:KSP262040 LCI262040:LCL262040 LME262040:LMH262040 LWA262040:LWD262040 MFW262040:MFZ262040 MPS262040:MPV262040 MZO262040:MZR262040 NJK262040:NJN262040 NTG262040:NTJ262040 ODC262040:ODF262040 OMY262040:ONB262040 OWU262040:OWX262040 PGQ262040:PGT262040 PQM262040:PQP262040 QAI262040:QAL262040 QKE262040:QKH262040 QUA262040:QUD262040 RDW262040:RDZ262040 RNS262040:RNV262040 RXO262040:RXR262040 SHK262040:SHN262040 SRG262040:SRJ262040 TBC262040:TBF262040 TKY262040:TLB262040 TUU262040:TUX262040 UEQ262040:UET262040 UOM262040:UOP262040 UYI262040:UYL262040 VIE262040:VIH262040 VSA262040:VSD262040 WBW262040:WBZ262040 WLS262040:WLV262040 WVO262040:WVR262040 D327576:G327576 JC327576:JF327576 SY327576:TB327576 ACU327576:ACX327576 AMQ327576:AMT327576 AWM327576:AWP327576 BGI327576:BGL327576 BQE327576:BQH327576 CAA327576:CAD327576 CJW327576:CJZ327576 CTS327576:CTV327576 DDO327576:DDR327576 DNK327576:DNN327576 DXG327576:DXJ327576 EHC327576:EHF327576 EQY327576:ERB327576 FAU327576:FAX327576 FKQ327576:FKT327576 FUM327576:FUP327576 GEI327576:GEL327576 GOE327576:GOH327576 GYA327576:GYD327576 HHW327576:HHZ327576 HRS327576:HRV327576 IBO327576:IBR327576 ILK327576:ILN327576 IVG327576:IVJ327576 JFC327576:JFF327576 JOY327576:JPB327576 JYU327576:JYX327576 KIQ327576:KIT327576 KSM327576:KSP327576 LCI327576:LCL327576 LME327576:LMH327576 LWA327576:LWD327576 MFW327576:MFZ327576 MPS327576:MPV327576 MZO327576:MZR327576 NJK327576:NJN327576 NTG327576:NTJ327576 ODC327576:ODF327576 OMY327576:ONB327576 OWU327576:OWX327576 PGQ327576:PGT327576 PQM327576:PQP327576 QAI327576:QAL327576 QKE327576:QKH327576 QUA327576:QUD327576 RDW327576:RDZ327576 RNS327576:RNV327576 RXO327576:RXR327576 SHK327576:SHN327576 SRG327576:SRJ327576 TBC327576:TBF327576 TKY327576:TLB327576 TUU327576:TUX327576 UEQ327576:UET327576 UOM327576:UOP327576 UYI327576:UYL327576 VIE327576:VIH327576 VSA327576:VSD327576 WBW327576:WBZ327576 WLS327576:WLV327576 WVO327576:WVR327576 D393112:G393112 JC393112:JF393112 SY393112:TB393112 ACU393112:ACX393112 AMQ393112:AMT393112 AWM393112:AWP393112 BGI393112:BGL393112 BQE393112:BQH393112 CAA393112:CAD393112 CJW393112:CJZ393112 CTS393112:CTV393112 DDO393112:DDR393112 DNK393112:DNN393112 DXG393112:DXJ393112 EHC393112:EHF393112 EQY393112:ERB393112 FAU393112:FAX393112 FKQ393112:FKT393112 FUM393112:FUP393112 GEI393112:GEL393112 GOE393112:GOH393112 GYA393112:GYD393112 HHW393112:HHZ393112 HRS393112:HRV393112 IBO393112:IBR393112 ILK393112:ILN393112 IVG393112:IVJ393112 JFC393112:JFF393112 JOY393112:JPB393112 JYU393112:JYX393112 KIQ393112:KIT393112 KSM393112:KSP393112 LCI393112:LCL393112 LME393112:LMH393112 LWA393112:LWD393112 MFW393112:MFZ393112 MPS393112:MPV393112 MZO393112:MZR393112 NJK393112:NJN393112 NTG393112:NTJ393112 ODC393112:ODF393112 OMY393112:ONB393112 OWU393112:OWX393112 PGQ393112:PGT393112 PQM393112:PQP393112 QAI393112:QAL393112 QKE393112:QKH393112 QUA393112:QUD393112 RDW393112:RDZ393112 RNS393112:RNV393112 RXO393112:RXR393112 SHK393112:SHN393112 SRG393112:SRJ393112 TBC393112:TBF393112 TKY393112:TLB393112 TUU393112:TUX393112 UEQ393112:UET393112 UOM393112:UOP393112 UYI393112:UYL393112 VIE393112:VIH393112 VSA393112:VSD393112 WBW393112:WBZ393112 WLS393112:WLV393112 WVO393112:WVR393112 D458648:G458648 JC458648:JF458648 SY458648:TB458648 ACU458648:ACX458648 AMQ458648:AMT458648 AWM458648:AWP458648 BGI458648:BGL458648 BQE458648:BQH458648 CAA458648:CAD458648 CJW458648:CJZ458648 CTS458648:CTV458648 DDO458648:DDR458648 DNK458648:DNN458648 DXG458648:DXJ458648 EHC458648:EHF458648 EQY458648:ERB458648 FAU458648:FAX458648 FKQ458648:FKT458648 FUM458648:FUP458648 GEI458648:GEL458648 GOE458648:GOH458648 GYA458648:GYD458648 HHW458648:HHZ458648 HRS458648:HRV458648 IBO458648:IBR458648 ILK458648:ILN458648 IVG458648:IVJ458648 JFC458648:JFF458648 JOY458648:JPB458648 JYU458648:JYX458648 KIQ458648:KIT458648 KSM458648:KSP458648 LCI458648:LCL458648 LME458648:LMH458648 LWA458648:LWD458648 MFW458648:MFZ458648 MPS458648:MPV458648 MZO458648:MZR458648 NJK458648:NJN458648 NTG458648:NTJ458648 ODC458648:ODF458648 OMY458648:ONB458648 OWU458648:OWX458648 PGQ458648:PGT458648 PQM458648:PQP458648 QAI458648:QAL458648 QKE458648:QKH458648 QUA458648:QUD458648 RDW458648:RDZ458648 RNS458648:RNV458648 RXO458648:RXR458648 SHK458648:SHN458648 SRG458648:SRJ458648 TBC458648:TBF458648 TKY458648:TLB458648 TUU458648:TUX458648 UEQ458648:UET458648 UOM458648:UOP458648 UYI458648:UYL458648 VIE458648:VIH458648 VSA458648:VSD458648 WBW458648:WBZ458648 WLS458648:WLV458648 WVO458648:WVR458648 D524184:G524184 JC524184:JF524184 SY524184:TB524184 ACU524184:ACX524184 AMQ524184:AMT524184 AWM524184:AWP524184 BGI524184:BGL524184 BQE524184:BQH524184 CAA524184:CAD524184 CJW524184:CJZ524184 CTS524184:CTV524184 DDO524184:DDR524184 DNK524184:DNN524184 DXG524184:DXJ524184 EHC524184:EHF524184 EQY524184:ERB524184 FAU524184:FAX524184 FKQ524184:FKT524184 FUM524184:FUP524184 GEI524184:GEL524184 GOE524184:GOH524184 GYA524184:GYD524184 HHW524184:HHZ524184 HRS524184:HRV524184 IBO524184:IBR524184 ILK524184:ILN524184 IVG524184:IVJ524184 JFC524184:JFF524184 JOY524184:JPB524184 JYU524184:JYX524184 KIQ524184:KIT524184 KSM524184:KSP524184 LCI524184:LCL524184 LME524184:LMH524184 LWA524184:LWD524184 MFW524184:MFZ524184 MPS524184:MPV524184 MZO524184:MZR524184 NJK524184:NJN524184 NTG524184:NTJ524184 ODC524184:ODF524184 OMY524184:ONB524184 OWU524184:OWX524184 PGQ524184:PGT524184 PQM524184:PQP524184 QAI524184:QAL524184 QKE524184:QKH524184 QUA524184:QUD524184 RDW524184:RDZ524184 RNS524184:RNV524184 RXO524184:RXR524184 SHK524184:SHN524184 SRG524184:SRJ524184 TBC524184:TBF524184 TKY524184:TLB524184 TUU524184:TUX524184 UEQ524184:UET524184 UOM524184:UOP524184 UYI524184:UYL524184 VIE524184:VIH524184 VSA524184:VSD524184 WBW524184:WBZ524184 WLS524184:WLV524184 WVO524184:WVR524184 D589720:G589720 JC589720:JF589720 SY589720:TB589720 ACU589720:ACX589720 AMQ589720:AMT589720 AWM589720:AWP589720 BGI589720:BGL589720 BQE589720:BQH589720 CAA589720:CAD589720 CJW589720:CJZ589720 CTS589720:CTV589720 DDO589720:DDR589720 DNK589720:DNN589720 DXG589720:DXJ589720 EHC589720:EHF589720 EQY589720:ERB589720 FAU589720:FAX589720 FKQ589720:FKT589720 FUM589720:FUP589720 GEI589720:GEL589720 GOE589720:GOH589720 GYA589720:GYD589720 HHW589720:HHZ589720 HRS589720:HRV589720 IBO589720:IBR589720 ILK589720:ILN589720 IVG589720:IVJ589720 JFC589720:JFF589720 JOY589720:JPB589720 JYU589720:JYX589720 KIQ589720:KIT589720 KSM589720:KSP589720 LCI589720:LCL589720 LME589720:LMH589720 LWA589720:LWD589720 MFW589720:MFZ589720 MPS589720:MPV589720 MZO589720:MZR589720 NJK589720:NJN589720 NTG589720:NTJ589720 ODC589720:ODF589720 OMY589720:ONB589720 OWU589720:OWX589720 PGQ589720:PGT589720 PQM589720:PQP589720 QAI589720:QAL589720 QKE589720:QKH589720 QUA589720:QUD589720 RDW589720:RDZ589720 RNS589720:RNV589720 RXO589720:RXR589720 SHK589720:SHN589720 SRG589720:SRJ589720 TBC589720:TBF589720 TKY589720:TLB589720 TUU589720:TUX589720 UEQ589720:UET589720 UOM589720:UOP589720 UYI589720:UYL589720 VIE589720:VIH589720 VSA589720:VSD589720 WBW589720:WBZ589720 WLS589720:WLV589720 WVO589720:WVR589720 D655256:G655256 JC655256:JF655256 SY655256:TB655256 ACU655256:ACX655256 AMQ655256:AMT655256 AWM655256:AWP655256 BGI655256:BGL655256 BQE655256:BQH655256 CAA655256:CAD655256 CJW655256:CJZ655256 CTS655256:CTV655256 DDO655256:DDR655256 DNK655256:DNN655256 DXG655256:DXJ655256 EHC655256:EHF655256 EQY655256:ERB655256 FAU655256:FAX655256 FKQ655256:FKT655256 FUM655256:FUP655256 GEI655256:GEL655256 GOE655256:GOH655256 GYA655256:GYD655256 HHW655256:HHZ655256 HRS655256:HRV655256 IBO655256:IBR655256 ILK655256:ILN655256 IVG655256:IVJ655256 JFC655256:JFF655256 JOY655256:JPB655256 JYU655256:JYX655256 KIQ655256:KIT655256 KSM655256:KSP655256 LCI655256:LCL655256 LME655256:LMH655256 LWA655256:LWD655256 MFW655256:MFZ655256 MPS655256:MPV655256 MZO655256:MZR655256 NJK655256:NJN655256 NTG655256:NTJ655256 ODC655256:ODF655256 OMY655256:ONB655256 OWU655256:OWX655256 PGQ655256:PGT655256 PQM655256:PQP655256 QAI655256:QAL655256 QKE655256:QKH655256 QUA655256:QUD655256 RDW655256:RDZ655256 RNS655256:RNV655256 RXO655256:RXR655256 SHK655256:SHN655256 SRG655256:SRJ655256 TBC655256:TBF655256 TKY655256:TLB655256 TUU655256:TUX655256 UEQ655256:UET655256 UOM655256:UOP655256 UYI655256:UYL655256 VIE655256:VIH655256 VSA655256:VSD655256 WBW655256:WBZ655256 WLS655256:WLV655256 WVO655256:WVR655256 D720792:G720792 JC720792:JF720792 SY720792:TB720792 ACU720792:ACX720792 AMQ720792:AMT720792 AWM720792:AWP720792 BGI720792:BGL720792 BQE720792:BQH720792 CAA720792:CAD720792 CJW720792:CJZ720792 CTS720792:CTV720792 DDO720792:DDR720792 DNK720792:DNN720792 DXG720792:DXJ720792 EHC720792:EHF720792 EQY720792:ERB720792 FAU720792:FAX720792 FKQ720792:FKT720792 FUM720792:FUP720792 GEI720792:GEL720792 GOE720792:GOH720792 GYA720792:GYD720792 HHW720792:HHZ720792 HRS720792:HRV720792 IBO720792:IBR720792 ILK720792:ILN720792 IVG720792:IVJ720792 JFC720792:JFF720792 JOY720792:JPB720792 JYU720792:JYX720792 KIQ720792:KIT720792 KSM720792:KSP720792 LCI720792:LCL720792 LME720792:LMH720792 LWA720792:LWD720792 MFW720792:MFZ720792 MPS720792:MPV720792 MZO720792:MZR720792 NJK720792:NJN720792 NTG720792:NTJ720792 ODC720792:ODF720792 OMY720792:ONB720792 OWU720792:OWX720792 PGQ720792:PGT720792 PQM720792:PQP720792 QAI720792:QAL720792 QKE720792:QKH720792 QUA720792:QUD720792 RDW720792:RDZ720792 RNS720792:RNV720792 RXO720792:RXR720792 SHK720792:SHN720792 SRG720792:SRJ720792 TBC720792:TBF720792 TKY720792:TLB720792 TUU720792:TUX720792 UEQ720792:UET720792 UOM720792:UOP720792 UYI720792:UYL720792 VIE720792:VIH720792 VSA720792:VSD720792 WBW720792:WBZ720792 WLS720792:WLV720792 WVO720792:WVR720792 D786328:G786328 JC786328:JF786328 SY786328:TB786328 ACU786328:ACX786328 AMQ786328:AMT786328 AWM786328:AWP786328 BGI786328:BGL786328 BQE786328:BQH786328 CAA786328:CAD786328 CJW786328:CJZ786328 CTS786328:CTV786328 DDO786328:DDR786328 DNK786328:DNN786328 DXG786328:DXJ786328 EHC786328:EHF786328 EQY786328:ERB786328 FAU786328:FAX786328 FKQ786328:FKT786328 FUM786328:FUP786328 GEI786328:GEL786328 GOE786328:GOH786328 GYA786328:GYD786328 HHW786328:HHZ786328 HRS786328:HRV786328 IBO786328:IBR786328 ILK786328:ILN786328 IVG786328:IVJ786328 JFC786328:JFF786328 JOY786328:JPB786328 JYU786328:JYX786328 KIQ786328:KIT786328 KSM786328:KSP786328 LCI786328:LCL786328 LME786328:LMH786328 LWA786328:LWD786328 MFW786328:MFZ786328 MPS786328:MPV786328 MZO786328:MZR786328 NJK786328:NJN786328 NTG786328:NTJ786328 ODC786328:ODF786328 OMY786328:ONB786328 OWU786328:OWX786328 PGQ786328:PGT786328 PQM786328:PQP786328 QAI786328:QAL786328 QKE786328:QKH786328 QUA786328:QUD786328 RDW786328:RDZ786328 RNS786328:RNV786328 RXO786328:RXR786328 SHK786328:SHN786328 SRG786328:SRJ786328 TBC786328:TBF786328 TKY786328:TLB786328 TUU786328:TUX786328 UEQ786328:UET786328 UOM786328:UOP786328 UYI786328:UYL786328 VIE786328:VIH786328 VSA786328:VSD786328 WBW786328:WBZ786328 WLS786328:WLV786328 WVO786328:WVR786328 D851864:G851864 JC851864:JF851864 SY851864:TB851864 ACU851864:ACX851864 AMQ851864:AMT851864 AWM851864:AWP851864 BGI851864:BGL851864 BQE851864:BQH851864 CAA851864:CAD851864 CJW851864:CJZ851864 CTS851864:CTV851864 DDO851864:DDR851864 DNK851864:DNN851864 DXG851864:DXJ851864 EHC851864:EHF851864 EQY851864:ERB851864 FAU851864:FAX851864 FKQ851864:FKT851864 FUM851864:FUP851864 GEI851864:GEL851864 GOE851864:GOH851864 GYA851864:GYD851864 HHW851864:HHZ851864 HRS851864:HRV851864 IBO851864:IBR851864 ILK851864:ILN851864 IVG851864:IVJ851864 JFC851864:JFF851864 JOY851864:JPB851864 JYU851864:JYX851864 KIQ851864:KIT851864 KSM851864:KSP851864 LCI851864:LCL851864 LME851864:LMH851864 LWA851864:LWD851864 MFW851864:MFZ851864 MPS851864:MPV851864 MZO851864:MZR851864 NJK851864:NJN851864 NTG851864:NTJ851864 ODC851864:ODF851864 OMY851864:ONB851864 OWU851864:OWX851864 PGQ851864:PGT851864 PQM851864:PQP851864 QAI851864:QAL851864 QKE851864:QKH851864 QUA851864:QUD851864 RDW851864:RDZ851864 RNS851864:RNV851864 RXO851864:RXR851864 SHK851864:SHN851864 SRG851864:SRJ851864 TBC851864:TBF851864 TKY851864:TLB851864 TUU851864:TUX851864 UEQ851864:UET851864 UOM851864:UOP851864 UYI851864:UYL851864 VIE851864:VIH851864 VSA851864:VSD851864 WBW851864:WBZ851864 WLS851864:WLV851864 WVO851864:WVR851864 D917400:G917400 JC917400:JF917400 SY917400:TB917400 ACU917400:ACX917400 AMQ917400:AMT917400 AWM917400:AWP917400 BGI917400:BGL917400 BQE917400:BQH917400 CAA917400:CAD917400 CJW917400:CJZ917400 CTS917400:CTV917400 DDO917400:DDR917400 DNK917400:DNN917400 DXG917400:DXJ917400 EHC917400:EHF917400 EQY917400:ERB917400 FAU917400:FAX917400 FKQ917400:FKT917400 FUM917400:FUP917400 GEI917400:GEL917400 GOE917400:GOH917400 GYA917400:GYD917400 HHW917400:HHZ917400 HRS917400:HRV917400 IBO917400:IBR917400 ILK917400:ILN917400 IVG917400:IVJ917400 JFC917400:JFF917400 JOY917400:JPB917400 JYU917400:JYX917400 KIQ917400:KIT917400 KSM917400:KSP917400 LCI917400:LCL917400 LME917400:LMH917400 LWA917400:LWD917400 MFW917400:MFZ917400 MPS917400:MPV917400 MZO917400:MZR917400 NJK917400:NJN917400 NTG917400:NTJ917400 ODC917400:ODF917400 OMY917400:ONB917400 OWU917400:OWX917400 PGQ917400:PGT917400 PQM917400:PQP917400 QAI917400:QAL917400 QKE917400:QKH917400 QUA917400:QUD917400 RDW917400:RDZ917400 RNS917400:RNV917400 RXO917400:RXR917400 SHK917400:SHN917400 SRG917400:SRJ917400 TBC917400:TBF917400 TKY917400:TLB917400 TUU917400:TUX917400 UEQ917400:UET917400 UOM917400:UOP917400 UYI917400:UYL917400 VIE917400:VIH917400 VSA917400:VSD917400 WBW917400:WBZ917400 WLS917400:WLV917400 WVO917400:WVR917400 D982936:G982936 JC982936:JF982936 SY982936:TB982936 ACU982936:ACX982936 AMQ982936:AMT982936 AWM982936:AWP982936 BGI982936:BGL982936 BQE982936:BQH982936 CAA982936:CAD982936 CJW982936:CJZ982936 CTS982936:CTV982936 DDO982936:DDR982936 DNK982936:DNN982936 DXG982936:DXJ982936 EHC982936:EHF982936 EQY982936:ERB982936 FAU982936:FAX982936 FKQ982936:FKT982936 FUM982936:FUP982936 GEI982936:GEL982936 GOE982936:GOH982936 GYA982936:GYD982936 HHW982936:HHZ982936 HRS982936:HRV982936 IBO982936:IBR982936 ILK982936:ILN982936 IVG982936:IVJ982936 JFC982936:JFF982936 JOY982936:JPB982936 JYU982936:JYX982936 KIQ982936:KIT982936 KSM982936:KSP982936 LCI982936:LCL982936 LME982936:LMH982936 LWA982936:LWD982936 MFW982936:MFZ982936 MPS982936:MPV982936 MZO982936:MZR982936 NJK982936:NJN982936 NTG982936:NTJ982936 ODC982936:ODF982936 OMY982936:ONB982936 OWU982936:OWX982936 PGQ982936:PGT982936 PQM982936:PQP982936 QAI982936:QAL982936 QKE982936:QKH982936 QUA982936:QUD982936 RDW982936:RDZ982936 RNS982936:RNV982936 RXO982936:RXR982936 SHK982936:SHN982936 SRG982936:SRJ982936 TBC982936:TBF982936 TKY982936:TLB982936 TUU982936:TUX982936 UEQ982936:UET982936 UOM982936:UOP982936 UYI982936:UYL982936 VIE982936:VIH982936 VSA982936:VSD982936 WBW982936:WBZ982936 WLS982936:WLV982936 WVO982936:WVR982936 O65428:O65430 JN65428:JN65430 TJ65428:TJ65430 ADF65428:ADF65430 ANB65428:ANB65430 AWX65428:AWX65430 BGT65428:BGT65430 BQP65428:BQP65430 CAL65428:CAL65430 CKH65428:CKH65430 CUD65428:CUD65430 DDZ65428:DDZ65430 DNV65428:DNV65430 DXR65428:DXR65430 EHN65428:EHN65430 ERJ65428:ERJ65430 FBF65428:FBF65430 FLB65428:FLB65430 FUX65428:FUX65430 GET65428:GET65430 GOP65428:GOP65430 GYL65428:GYL65430 HIH65428:HIH65430 HSD65428:HSD65430 IBZ65428:IBZ65430 ILV65428:ILV65430 IVR65428:IVR65430 JFN65428:JFN65430 JPJ65428:JPJ65430 JZF65428:JZF65430 KJB65428:KJB65430 KSX65428:KSX65430 LCT65428:LCT65430 LMP65428:LMP65430 LWL65428:LWL65430 MGH65428:MGH65430 MQD65428:MQD65430 MZZ65428:MZZ65430 NJV65428:NJV65430 NTR65428:NTR65430 ODN65428:ODN65430 ONJ65428:ONJ65430 OXF65428:OXF65430 PHB65428:PHB65430 PQX65428:PQX65430 QAT65428:QAT65430 QKP65428:QKP65430 QUL65428:QUL65430 REH65428:REH65430 ROD65428:ROD65430 RXZ65428:RXZ65430 SHV65428:SHV65430 SRR65428:SRR65430 TBN65428:TBN65430 TLJ65428:TLJ65430 TVF65428:TVF65430 UFB65428:UFB65430 UOX65428:UOX65430 UYT65428:UYT65430 VIP65428:VIP65430 VSL65428:VSL65430 WCH65428:WCH65430 WMD65428:WMD65430 WVZ65428:WVZ65430 O130964:O130966 JN130964:JN130966 TJ130964:TJ130966 ADF130964:ADF130966 ANB130964:ANB130966 AWX130964:AWX130966 BGT130964:BGT130966 BQP130964:BQP130966 CAL130964:CAL130966 CKH130964:CKH130966 CUD130964:CUD130966 DDZ130964:DDZ130966 DNV130964:DNV130966 DXR130964:DXR130966 EHN130964:EHN130966 ERJ130964:ERJ130966 FBF130964:FBF130966 FLB130964:FLB130966 FUX130964:FUX130966 GET130964:GET130966 GOP130964:GOP130966 GYL130964:GYL130966 HIH130964:HIH130966 HSD130964:HSD130966 IBZ130964:IBZ130966 ILV130964:ILV130966 IVR130964:IVR130966 JFN130964:JFN130966 JPJ130964:JPJ130966 JZF130964:JZF130966 KJB130964:KJB130966 KSX130964:KSX130966 LCT130964:LCT130966 LMP130964:LMP130966 LWL130964:LWL130966 MGH130964:MGH130966 MQD130964:MQD130966 MZZ130964:MZZ130966 NJV130964:NJV130966 NTR130964:NTR130966 ODN130964:ODN130966 ONJ130964:ONJ130966 OXF130964:OXF130966 PHB130964:PHB130966 PQX130964:PQX130966 QAT130964:QAT130966 QKP130964:QKP130966 QUL130964:QUL130966 REH130964:REH130966 ROD130964:ROD130966 RXZ130964:RXZ130966 SHV130964:SHV130966 SRR130964:SRR130966 TBN130964:TBN130966 TLJ130964:TLJ130966 TVF130964:TVF130966 UFB130964:UFB130966 UOX130964:UOX130966 UYT130964:UYT130966 VIP130964:VIP130966 VSL130964:VSL130966 WCH130964:WCH130966 WMD130964:WMD130966 WVZ130964:WVZ130966 O196500:O196502 JN196500:JN196502 TJ196500:TJ196502 ADF196500:ADF196502 ANB196500:ANB196502 AWX196500:AWX196502 BGT196500:BGT196502 BQP196500:BQP196502 CAL196500:CAL196502 CKH196500:CKH196502 CUD196500:CUD196502 DDZ196500:DDZ196502 DNV196500:DNV196502 DXR196500:DXR196502 EHN196500:EHN196502 ERJ196500:ERJ196502 FBF196500:FBF196502 FLB196500:FLB196502 FUX196500:FUX196502 GET196500:GET196502 GOP196500:GOP196502 GYL196500:GYL196502 HIH196500:HIH196502 HSD196500:HSD196502 IBZ196500:IBZ196502 ILV196500:ILV196502 IVR196500:IVR196502 JFN196500:JFN196502 JPJ196500:JPJ196502 JZF196500:JZF196502 KJB196500:KJB196502 KSX196500:KSX196502 LCT196500:LCT196502 LMP196500:LMP196502 LWL196500:LWL196502 MGH196500:MGH196502 MQD196500:MQD196502 MZZ196500:MZZ196502 NJV196500:NJV196502 NTR196500:NTR196502 ODN196500:ODN196502 ONJ196500:ONJ196502 OXF196500:OXF196502 PHB196500:PHB196502 PQX196500:PQX196502 QAT196500:QAT196502 QKP196500:QKP196502 QUL196500:QUL196502 REH196500:REH196502 ROD196500:ROD196502 RXZ196500:RXZ196502 SHV196500:SHV196502 SRR196500:SRR196502 TBN196500:TBN196502 TLJ196500:TLJ196502 TVF196500:TVF196502 UFB196500:UFB196502 UOX196500:UOX196502 UYT196500:UYT196502 VIP196500:VIP196502 VSL196500:VSL196502 WCH196500:WCH196502 WMD196500:WMD196502 WVZ196500:WVZ196502 O262036:O262038 JN262036:JN262038 TJ262036:TJ262038 ADF262036:ADF262038 ANB262036:ANB262038 AWX262036:AWX262038 BGT262036:BGT262038 BQP262036:BQP262038 CAL262036:CAL262038 CKH262036:CKH262038 CUD262036:CUD262038 DDZ262036:DDZ262038 DNV262036:DNV262038 DXR262036:DXR262038 EHN262036:EHN262038 ERJ262036:ERJ262038 FBF262036:FBF262038 FLB262036:FLB262038 FUX262036:FUX262038 GET262036:GET262038 GOP262036:GOP262038 GYL262036:GYL262038 HIH262036:HIH262038 HSD262036:HSD262038 IBZ262036:IBZ262038 ILV262036:ILV262038 IVR262036:IVR262038 JFN262036:JFN262038 JPJ262036:JPJ262038 JZF262036:JZF262038 KJB262036:KJB262038 KSX262036:KSX262038 LCT262036:LCT262038 LMP262036:LMP262038 LWL262036:LWL262038 MGH262036:MGH262038 MQD262036:MQD262038 MZZ262036:MZZ262038 NJV262036:NJV262038 NTR262036:NTR262038 ODN262036:ODN262038 ONJ262036:ONJ262038 OXF262036:OXF262038 PHB262036:PHB262038 PQX262036:PQX262038 QAT262036:QAT262038 QKP262036:QKP262038 QUL262036:QUL262038 REH262036:REH262038 ROD262036:ROD262038 RXZ262036:RXZ262038 SHV262036:SHV262038 SRR262036:SRR262038 TBN262036:TBN262038 TLJ262036:TLJ262038 TVF262036:TVF262038 UFB262036:UFB262038 UOX262036:UOX262038 UYT262036:UYT262038 VIP262036:VIP262038 VSL262036:VSL262038 WCH262036:WCH262038 WMD262036:WMD262038 WVZ262036:WVZ262038 O327572:O327574 JN327572:JN327574 TJ327572:TJ327574 ADF327572:ADF327574 ANB327572:ANB327574 AWX327572:AWX327574 BGT327572:BGT327574 BQP327572:BQP327574 CAL327572:CAL327574 CKH327572:CKH327574 CUD327572:CUD327574 DDZ327572:DDZ327574 DNV327572:DNV327574 DXR327572:DXR327574 EHN327572:EHN327574 ERJ327572:ERJ327574 FBF327572:FBF327574 FLB327572:FLB327574 FUX327572:FUX327574 GET327572:GET327574 GOP327572:GOP327574 GYL327572:GYL327574 HIH327572:HIH327574 HSD327572:HSD327574 IBZ327572:IBZ327574 ILV327572:ILV327574 IVR327572:IVR327574 JFN327572:JFN327574 JPJ327572:JPJ327574 JZF327572:JZF327574 KJB327572:KJB327574 KSX327572:KSX327574 LCT327572:LCT327574 LMP327572:LMP327574 LWL327572:LWL327574 MGH327572:MGH327574 MQD327572:MQD327574 MZZ327572:MZZ327574 NJV327572:NJV327574 NTR327572:NTR327574 ODN327572:ODN327574 ONJ327572:ONJ327574 OXF327572:OXF327574 PHB327572:PHB327574 PQX327572:PQX327574 QAT327572:QAT327574 QKP327572:QKP327574 QUL327572:QUL327574 REH327572:REH327574 ROD327572:ROD327574 RXZ327572:RXZ327574 SHV327572:SHV327574 SRR327572:SRR327574 TBN327572:TBN327574 TLJ327572:TLJ327574 TVF327572:TVF327574 UFB327572:UFB327574 UOX327572:UOX327574 UYT327572:UYT327574 VIP327572:VIP327574 VSL327572:VSL327574 WCH327572:WCH327574 WMD327572:WMD327574 WVZ327572:WVZ327574 O393108:O393110 JN393108:JN393110 TJ393108:TJ393110 ADF393108:ADF393110 ANB393108:ANB393110 AWX393108:AWX393110 BGT393108:BGT393110 BQP393108:BQP393110 CAL393108:CAL393110 CKH393108:CKH393110 CUD393108:CUD393110 DDZ393108:DDZ393110 DNV393108:DNV393110 DXR393108:DXR393110 EHN393108:EHN393110 ERJ393108:ERJ393110 FBF393108:FBF393110 FLB393108:FLB393110 FUX393108:FUX393110 GET393108:GET393110 GOP393108:GOP393110 GYL393108:GYL393110 HIH393108:HIH393110 HSD393108:HSD393110 IBZ393108:IBZ393110 ILV393108:ILV393110 IVR393108:IVR393110 JFN393108:JFN393110 JPJ393108:JPJ393110 JZF393108:JZF393110 KJB393108:KJB393110 KSX393108:KSX393110 LCT393108:LCT393110 LMP393108:LMP393110 LWL393108:LWL393110 MGH393108:MGH393110 MQD393108:MQD393110 MZZ393108:MZZ393110 NJV393108:NJV393110 NTR393108:NTR393110 ODN393108:ODN393110 ONJ393108:ONJ393110 OXF393108:OXF393110 PHB393108:PHB393110 PQX393108:PQX393110 QAT393108:QAT393110 QKP393108:QKP393110 QUL393108:QUL393110 REH393108:REH393110 ROD393108:ROD393110 RXZ393108:RXZ393110 SHV393108:SHV393110 SRR393108:SRR393110 TBN393108:TBN393110 TLJ393108:TLJ393110 TVF393108:TVF393110 UFB393108:UFB393110 UOX393108:UOX393110 UYT393108:UYT393110 VIP393108:VIP393110 VSL393108:VSL393110 WCH393108:WCH393110 WMD393108:WMD393110 WVZ393108:WVZ393110 O458644:O458646 JN458644:JN458646 TJ458644:TJ458646 ADF458644:ADF458646 ANB458644:ANB458646 AWX458644:AWX458646 BGT458644:BGT458646 BQP458644:BQP458646 CAL458644:CAL458646 CKH458644:CKH458646 CUD458644:CUD458646 DDZ458644:DDZ458646 DNV458644:DNV458646 DXR458644:DXR458646 EHN458644:EHN458646 ERJ458644:ERJ458646 FBF458644:FBF458646 FLB458644:FLB458646 FUX458644:FUX458646 GET458644:GET458646 GOP458644:GOP458646 GYL458644:GYL458646 HIH458644:HIH458646 HSD458644:HSD458646 IBZ458644:IBZ458646 ILV458644:ILV458646 IVR458644:IVR458646 JFN458644:JFN458646 JPJ458644:JPJ458646 JZF458644:JZF458646 KJB458644:KJB458646 KSX458644:KSX458646 LCT458644:LCT458646 LMP458644:LMP458646 LWL458644:LWL458646 MGH458644:MGH458646 MQD458644:MQD458646 MZZ458644:MZZ458646 NJV458644:NJV458646 NTR458644:NTR458646 ODN458644:ODN458646 ONJ458644:ONJ458646 OXF458644:OXF458646 PHB458644:PHB458646 PQX458644:PQX458646 QAT458644:QAT458646 QKP458644:QKP458646 QUL458644:QUL458646 REH458644:REH458646 ROD458644:ROD458646 RXZ458644:RXZ458646 SHV458644:SHV458646 SRR458644:SRR458646 TBN458644:TBN458646 TLJ458644:TLJ458646 TVF458644:TVF458646 UFB458644:UFB458646 UOX458644:UOX458646 UYT458644:UYT458646 VIP458644:VIP458646 VSL458644:VSL458646 WCH458644:WCH458646 WMD458644:WMD458646 WVZ458644:WVZ458646 O524180:O524182 JN524180:JN524182 TJ524180:TJ524182 ADF524180:ADF524182 ANB524180:ANB524182 AWX524180:AWX524182 BGT524180:BGT524182 BQP524180:BQP524182 CAL524180:CAL524182 CKH524180:CKH524182 CUD524180:CUD524182 DDZ524180:DDZ524182 DNV524180:DNV524182 DXR524180:DXR524182 EHN524180:EHN524182 ERJ524180:ERJ524182 FBF524180:FBF524182 FLB524180:FLB524182 FUX524180:FUX524182 GET524180:GET524182 GOP524180:GOP524182 GYL524180:GYL524182 HIH524180:HIH524182 HSD524180:HSD524182 IBZ524180:IBZ524182 ILV524180:ILV524182 IVR524180:IVR524182 JFN524180:JFN524182 JPJ524180:JPJ524182 JZF524180:JZF524182 KJB524180:KJB524182 KSX524180:KSX524182 LCT524180:LCT524182 LMP524180:LMP524182 LWL524180:LWL524182 MGH524180:MGH524182 MQD524180:MQD524182 MZZ524180:MZZ524182 NJV524180:NJV524182 NTR524180:NTR524182 ODN524180:ODN524182 ONJ524180:ONJ524182 OXF524180:OXF524182 PHB524180:PHB524182 PQX524180:PQX524182 QAT524180:QAT524182 QKP524180:QKP524182 QUL524180:QUL524182 REH524180:REH524182 ROD524180:ROD524182 RXZ524180:RXZ524182 SHV524180:SHV524182 SRR524180:SRR524182 TBN524180:TBN524182 TLJ524180:TLJ524182 TVF524180:TVF524182 UFB524180:UFB524182 UOX524180:UOX524182 UYT524180:UYT524182 VIP524180:VIP524182 VSL524180:VSL524182 WCH524180:WCH524182 WMD524180:WMD524182 WVZ524180:WVZ524182 O589716:O589718 JN589716:JN589718 TJ589716:TJ589718 ADF589716:ADF589718 ANB589716:ANB589718 AWX589716:AWX589718 BGT589716:BGT589718 BQP589716:BQP589718 CAL589716:CAL589718 CKH589716:CKH589718 CUD589716:CUD589718 DDZ589716:DDZ589718 DNV589716:DNV589718 DXR589716:DXR589718 EHN589716:EHN589718 ERJ589716:ERJ589718 FBF589716:FBF589718 FLB589716:FLB589718 FUX589716:FUX589718 GET589716:GET589718 GOP589716:GOP589718 GYL589716:GYL589718 HIH589716:HIH589718 HSD589716:HSD589718 IBZ589716:IBZ589718 ILV589716:ILV589718 IVR589716:IVR589718 JFN589716:JFN589718 JPJ589716:JPJ589718 JZF589716:JZF589718 KJB589716:KJB589718 KSX589716:KSX589718 LCT589716:LCT589718 LMP589716:LMP589718 LWL589716:LWL589718 MGH589716:MGH589718 MQD589716:MQD589718 MZZ589716:MZZ589718 NJV589716:NJV589718 NTR589716:NTR589718 ODN589716:ODN589718 ONJ589716:ONJ589718 OXF589716:OXF589718 PHB589716:PHB589718 PQX589716:PQX589718 QAT589716:QAT589718 QKP589716:QKP589718 QUL589716:QUL589718 REH589716:REH589718 ROD589716:ROD589718 RXZ589716:RXZ589718 SHV589716:SHV589718 SRR589716:SRR589718 TBN589716:TBN589718 TLJ589716:TLJ589718 TVF589716:TVF589718 UFB589716:UFB589718 UOX589716:UOX589718 UYT589716:UYT589718 VIP589716:VIP589718 VSL589716:VSL589718 WCH589716:WCH589718 WMD589716:WMD589718 WVZ589716:WVZ589718 O655252:O655254 JN655252:JN655254 TJ655252:TJ655254 ADF655252:ADF655254 ANB655252:ANB655254 AWX655252:AWX655254 BGT655252:BGT655254 BQP655252:BQP655254 CAL655252:CAL655254 CKH655252:CKH655254 CUD655252:CUD655254 DDZ655252:DDZ655254 DNV655252:DNV655254 DXR655252:DXR655254 EHN655252:EHN655254 ERJ655252:ERJ655254 FBF655252:FBF655254 FLB655252:FLB655254 FUX655252:FUX655254 GET655252:GET655254 GOP655252:GOP655254 GYL655252:GYL655254 HIH655252:HIH655254 HSD655252:HSD655254 IBZ655252:IBZ655254 ILV655252:ILV655254 IVR655252:IVR655254 JFN655252:JFN655254 JPJ655252:JPJ655254 JZF655252:JZF655254 KJB655252:KJB655254 KSX655252:KSX655254 LCT655252:LCT655254 LMP655252:LMP655254 LWL655252:LWL655254 MGH655252:MGH655254 MQD655252:MQD655254 MZZ655252:MZZ655254 NJV655252:NJV655254 NTR655252:NTR655254 ODN655252:ODN655254 ONJ655252:ONJ655254 OXF655252:OXF655254 PHB655252:PHB655254 PQX655252:PQX655254 QAT655252:QAT655254 QKP655252:QKP655254 QUL655252:QUL655254 REH655252:REH655254 ROD655252:ROD655254 RXZ655252:RXZ655254 SHV655252:SHV655254 SRR655252:SRR655254 TBN655252:TBN655254 TLJ655252:TLJ655254 TVF655252:TVF655254 UFB655252:UFB655254 UOX655252:UOX655254 UYT655252:UYT655254 VIP655252:VIP655254 VSL655252:VSL655254 WCH655252:WCH655254 WMD655252:WMD655254 WVZ655252:WVZ655254 O720788:O720790 JN720788:JN720790 TJ720788:TJ720790 ADF720788:ADF720790 ANB720788:ANB720790 AWX720788:AWX720790 BGT720788:BGT720790 BQP720788:BQP720790 CAL720788:CAL720790 CKH720788:CKH720790 CUD720788:CUD720790 DDZ720788:DDZ720790 DNV720788:DNV720790 DXR720788:DXR720790 EHN720788:EHN720790 ERJ720788:ERJ720790 FBF720788:FBF720790 FLB720788:FLB720790 FUX720788:FUX720790 GET720788:GET720790 GOP720788:GOP720790 GYL720788:GYL720790 HIH720788:HIH720790 HSD720788:HSD720790 IBZ720788:IBZ720790 ILV720788:ILV720790 IVR720788:IVR720790 JFN720788:JFN720790 JPJ720788:JPJ720790 JZF720788:JZF720790 KJB720788:KJB720790 KSX720788:KSX720790 LCT720788:LCT720790 LMP720788:LMP720790 LWL720788:LWL720790 MGH720788:MGH720790 MQD720788:MQD720790 MZZ720788:MZZ720790 NJV720788:NJV720790 NTR720788:NTR720790 ODN720788:ODN720790 ONJ720788:ONJ720790 OXF720788:OXF720790 PHB720788:PHB720790 PQX720788:PQX720790 QAT720788:QAT720790 QKP720788:QKP720790 QUL720788:QUL720790 REH720788:REH720790 ROD720788:ROD720790 RXZ720788:RXZ720790 SHV720788:SHV720790 SRR720788:SRR720790 TBN720788:TBN720790 TLJ720788:TLJ720790 TVF720788:TVF720790 UFB720788:UFB720790 UOX720788:UOX720790 UYT720788:UYT720790 VIP720788:VIP720790 VSL720788:VSL720790 WCH720788:WCH720790 WMD720788:WMD720790 WVZ720788:WVZ720790 O786324:O786326 JN786324:JN786326 TJ786324:TJ786326 ADF786324:ADF786326 ANB786324:ANB786326 AWX786324:AWX786326 BGT786324:BGT786326 BQP786324:BQP786326 CAL786324:CAL786326 CKH786324:CKH786326 CUD786324:CUD786326 DDZ786324:DDZ786326 DNV786324:DNV786326 DXR786324:DXR786326 EHN786324:EHN786326 ERJ786324:ERJ786326 FBF786324:FBF786326 FLB786324:FLB786326 FUX786324:FUX786326 GET786324:GET786326 GOP786324:GOP786326 GYL786324:GYL786326 HIH786324:HIH786326 HSD786324:HSD786326 IBZ786324:IBZ786326 ILV786324:ILV786326 IVR786324:IVR786326 JFN786324:JFN786326 JPJ786324:JPJ786326 JZF786324:JZF786326 KJB786324:KJB786326 KSX786324:KSX786326 LCT786324:LCT786326 LMP786324:LMP786326 LWL786324:LWL786326 MGH786324:MGH786326 MQD786324:MQD786326 MZZ786324:MZZ786326 NJV786324:NJV786326 NTR786324:NTR786326 ODN786324:ODN786326 ONJ786324:ONJ786326 OXF786324:OXF786326 PHB786324:PHB786326 PQX786324:PQX786326 QAT786324:QAT786326 QKP786324:QKP786326 QUL786324:QUL786326 REH786324:REH786326 ROD786324:ROD786326 RXZ786324:RXZ786326 SHV786324:SHV786326 SRR786324:SRR786326 TBN786324:TBN786326 TLJ786324:TLJ786326 TVF786324:TVF786326 UFB786324:UFB786326 UOX786324:UOX786326 UYT786324:UYT786326 VIP786324:VIP786326 VSL786324:VSL786326 WCH786324:WCH786326 WMD786324:WMD786326 WVZ786324:WVZ786326 O851860:O851862 JN851860:JN851862 TJ851860:TJ851862 ADF851860:ADF851862 ANB851860:ANB851862 AWX851860:AWX851862 BGT851860:BGT851862 BQP851860:BQP851862 CAL851860:CAL851862 CKH851860:CKH851862 CUD851860:CUD851862 DDZ851860:DDZ851862 DNV851860:DNV851862 DXR851860:DXR851862 EHN851860:EHN851862 ERJ851860:ERJ851862 FBF851860:FBF851862 FLB851860:FLB851862 FUX851860:FUX851862 GET851860:GET851862 GOP851860:GOP851862 GYL851860:GYL851862 HIH851860:HIH851862 HSD851860:HSD851862 IBZ851860:IBZ851862 ILV851860:ILV851862 IVR851860:IVR851862 JFN851860:JFN851862 JPJ851860:JPJ851862 JZF851860:JZF851862 KJB851860:KJB851862 KSX851860:KSX851862 LCT851860:LCT851862 LMP851860:LMP851862 LWL851860:LWL851862 MGH851860:MGH851862 MQD851860:MQD851862 MZZ851860:MZZ851862 NJV851860:NJV851862 NTR851860:NTR851862 ODN851860:ODN851862 ONJ851860:ONJ851862 OXF851860:OXF851862 PHB851860:PHB851862 PQX851860:PQX851862 QAT851860:QAT851862 QKP851860:QKP851862 QUL851860:QUL851862 REH851860:REH851862 ROD851860:ROD851862 RXZ851860:RXZ851862 SHV851860:SHV851862 SRR851860:SRR851862 TBN851860:TBN851862 TLJ851860:TLJ851862 TVF851860:TVF851862 UFB851860:UFB851862 UOX851860:UOX851862 UYT851860:UYT851862 VIP851860:VIP851862 VSL851860:VSL851862 WCH851860:WCH851862 WMD851860:WMD851862 WVZ851860:WVZ851862 O917396:O917398 JN917396:JN917398 TJ917396:TJ917398 ADF917396:ADF917398 ANB917396:ANB917398 AWX917396:AWX917398 BGT917396:BGT917398 BQP917396:BQP917398 CAL917396:CAL917398 CKH917396:CKH917398 CUD917396:CUD917398 DDZ917396:DDZ917398 DNV917396:DNV917398 DXR917396:DXR917398 EHN917396:EHN917398 ERJ917396:ERJ917398 FBF917396:FBF917398 FLB917396:FLB917398 FUX917396:FUX917398 GET917396:GET917398 GOP917396:GOP917398 GYL917396:GYL917398 HIH917396:HIH917398 HSD917396:HSD917398 IBZ917396:IBZ917398 ILV917396:ILV917398 IVR917396:IVR917398 JFN917396:JFN917398 JPJ917396:JPJ917398 JZF917396:JZF917398 KJB917396:KJB917398 KSX917396:KSX917398 LCT917396:LCT917398 LMP917396:LMP917398 LWL917396:LWL917398 MGH917396:MGH917398 MQD917396:MQD917398 MZZ917396:MZZ917398 NJV917396:NJV917398 NTR917396:NTR917398 ODN917396:ODN917398 ONJ917396:ONJ917398 OXF917396:OXF917398 PHB917396:PHB917398 PQX917396:PQX917398 QAT917396:QAT917398 QKP917396:QKP917398 QUL917396:QUL917398 REH917396:REH917398 ROD917396:ROD917398 RXZ917396:RXZ917398 SHV917396:SHV917398 SRR917396:SRR917398 TBN917396:TBN917398 TLJ917396:TLJ917398 TVF917396:TVF917398 UFB917396:UFB917398 UOX917396:UOX917398 UYT917396:UYT917398 VIP917396:VIP917398 VSL917396:VSL917398 WCH917396:WCH917398 WMD917396:WMD917398 WVZ917396:WVZ917398 O982932:O982934 JN982932:JN982934 TJ982932:TJ982934 ADF982932:ADF982934 ANB982932:ANB982934 AWX982932:AWX982934 BGT982932:BGT982934 BQP982932:BQP982934 CAL982932:CAL982934 CKH982932:CKH982934 CUD982932:CUD982934 DDZ982932:DDZ982934 DNV982932:DNV982934 DXR982932:DXR982934 EHN982932:EHN982934 ERJ982932:ERJ982934 FBF982932:FBF982934 FLB982932:FLB982934 FUX982932:FUX982934 GET982932:GET982934 GOP982932:GOP982934 GYL982932:GYL982934 HIH982932:HIH982934 HSD982932:HSD982934 IBZ982932:IBZ982934 ILV982932:ILV982934 IVR982932:IVR982934 JFN982932:JFN982934 JPJ982932:JPJ982934 JZF982932:JZF982934 KJB982932:KJB982934 KSX982932:KSX982934 LCT982932:LCT982934 LMP982932:LMP982934 LWL982932:LWL982934 MGH982932:MGH982934 MQD982932:MQD982934 MZZ982932:MZZ982934 NJV982932:NJV982934 NTR982932:NTR982934 ODN982932:ODN982934 ONJ982932:ONJ982934 OXF982932:OXF982934 PHB982932:PHB982934 PQX982932:PQX982934 QAT982932:QAT982934 QKP982932:QKP982934 QUL982932:QUL982934 REH982932:REH982934 ROD982932:ROD982934 RXZ982932:RXZ982934 SHV982932:SHV982934 SRR982932:SRR982934 TBN982932:TBN982934 TLJ982932:TLJ982934 TVF982932:TVF982934 UFB982932:UFB982934 UOX982932:UOX982934 UYT982932:UYT982934 VIP982932:VIP982934 VSL982932:VSL982934 WCH982932:WCH982934 WMD982932:WMD982934 WVZ982932:WVZ982934 D65428:D65431 JC65428:JC65431 SY65428:SY65431 ACU65428:ACU65431 AMQ65428:AMQ65431 AWM65428:AWM65431 BGI65428:BGI65431 BQE65428:BQE65431 CAA65428:CAA65431 CJW65428:CJW65431 CTS65428:CTS65431 DDO65428:DDO65431 DNK65428:DNK65431 DXG65428:DXG65431 EHC65428:EHC65431 EQY65428:EQY65431 FAU65428:FAU65431 FKQ65428:FKQ65431 FUM65428:FUM65431 GEI65428:GEI65431 GOE65428:GOE65431 GYA65428:GYA65431 HHW65428:HHW65431 HRS65428:HRS65431 IBO65428:IBO65431 ILK65428:ILK65431 IVG65428:IVG65431 JFC65428:JFC65431 JOY65428:JOY65431 JYU65428:JYU65431 KIQ65428:KIQ65431 KSM65428:KSM65431 LCI65428:LCI65431 LME65428:LME65431 LWA65428:LWA65431 MFW65428:MFW65431 MPS65428:MPS65431 MZO65428:MZO65431 NJK65428:NJK65431 NTG65428:NTG65431 ODC65428:ODC65431 OMY65428:OMY65431 OWU65428:OWU65431 PGQ65428:PGQ65431 PQM65428:PQM65431 QAI65428:QAI65431 QKE65428:QKE65431 QUA65428:QUA65431 RDW65428:RDW65431 RNS65428:RNS65431 RXO65428:RXO65431 SHK65428:SHK65431 SRG65428:SRG65431 TBC65428:TBC65431 TKY65428:TKY65431 TUU65428:TUU65431 UEQ65428:UEQ65431 UOM65428:UOM65431 UYI65428:UYI65431 VIE65428:VIE65431 VSA65428:VSA65431 WBW65428:WBW65431 WLS65428:WLS65431 WVO65428:WVO65431 D130964:D130967 JC130964:JC130967 SY130964:SY130967 ACU130964:ACU130967 AMQ130964:AMQ130967 AWM130964:AWM130967 BGI130964:BGI130967 BQE130964:BQE130967 CAA130964:CAA130967 CJW130964:CJW130967 CTS130964:CTS130967 DDO130964:DDO130967 DNK130964:DNK130967 DXG130964:DXG130967 EHC130964:EHC130967 EQY130964:EQY130967 FAU130964:FAU130967 FKQ130964:FKQ130967 FUM130964:FUM130967 GEI130964:GEI130967 GOE130964:GOE130967 GYA130964:GYA130967 HHW130964:HHW130967 HRS130964:HRS130967 IBO130964:IBO130967 ILK130964:ILK130967 IVG130964:IVG130967 JFC130964:JFC130967 JOY130964:JOY130967 JYU130964:JYU130967 KIQ130964:KIQ130967 KSM130964:KSM130967 LCI130964:LCI130967 LME130964:LME130967 LWA130964:LWA130967 MFW130964:MFW130967 MPS130964:MPS130967 MZO130964:MZO130967 NJK130964:NJK130967 NTG130964:NTG130967 ODC130964:ODC130967 OMY130964:OMY130967 OWU130964:OWU130967 PGQ130964:PGQ130967 PQM130964:PQM130967 QAI130964:QAI130967 QKE130964:QKE130967 QUA130964:QUA130967 RDW130964:RDW130967 RNS130964:RNS130967 RXO130964:RXO130967 SHK130964:SHK130967 SRG130964:SRG130967 TBC130964:TBC130967 TKY130964:TKY130967 TUU130964:TUU130967 UEQ130964:UEQ130967 UOM130964:UOM130967 UYI130964:UYI130967 VIE130964:VIE130967 VSA130964:VSA130967 WBW130964:WBW130967 WLS130964:WLS130967 WVO130964:WVO130967 D196500:D196503 JC196500:JC196503 SY196500:SY196503 ACU196500:ACU196503 AMQ196500:AMQ196503 AWM196500:AWM196503 BGI196500:BGI196503 BQE196500:BQE196503 CAA196500:CAA196503 CJW196500:CJW196503 CTS196500:CTS196503 DDO196500:DDO196503 DNK196500:DNK196503 DXG196500:DXG196503 EHC196500:EHC196503 EQY196500:EQY196503 FAU196500:FAU196503 FKQ196500:FKQ196503 FUM196500:FUM196503 GEI196500:GEI196503 GOE196500:GOE196503 GYA196500:GYA196503 HHW196500:HHW196503 HRS196500:HRS196503 IBO196500:IBO196503 ILK196500:ILK196503 IVG196500:IVG196503 JFC196500:JFC196503 JOY196500:JOY196503 JYU196500:JYU196503 KIQ196500:KIQ196503 KSM196500:KSM196503 LCI196500:LCI196503 LME196500:LME196503 LWA196500:LWA196503 MFW196500:MFW196503 MPS196500:MPS196503 MZO196500:MZO196503 NJK196500:NJK196503 NTG196500:NTG196503 ODC196500:ODC196503 OMY196500:OMY196503 OWU196500:OWU196503 PGQ196500:PGQ196503 PQM196500:PQM196503 QAI196500:QAI196503 QKE196500:QKE196503 QUA196500:QUA196503 RDW196500:RDW196503 RNS196500:RNS196503 RXO196500:RXO196503 SHK196500:SHK196503 SRG196500:SRG196503 TBC196500:TBC196503 TKY196500:TKY196503 TUU196500:TUU196503 UEQ196500:UEQ196503 UOM196500:UOM196503 UYI196500:UYI196503 VIE196500:VIE196503 VSA196500:VSA196503 WBW196500:WBW196503 WLS196500:WLS196503 WVO196500:WVO196503 D262036:D262039 JC262036:JC262039 SY262036:SY262039 ACU262036:ACU262039 AMQ262036:AMQ262039 AWM262036:AWM262039 BGI262036:BGI262039 BQE262036:BQE262039 CAA262036:CAA262039 CJW262036:CJW262039 CTS262036:CTS262039 DDO262036:DDO262039 DNK262036:DNK262039 DXG262036:DXG262039 EHC262036:EHC262039 EQY262036:EQY262039 FAU262036:FAU262039 FKQ262036:FKQ262039 FUM262036:FUM262039 GEI262036:GEI262039 GOE262036:GOE262039 GYA262036:GYA262039 HHW262036:HHW262039 HRS262036:HRS262039 IBO262036:IBO262039 ILK262036:ILK262039 IVG262036:IVG262039 JFC262036:JFC262039 JOY262036:JOY262039 JYU262036:JYU262039 KIQ262036:KIQ262039 KSM262036:KSM262039 LCI262036:LCI262039 LME262036:LME262039 LWA262036:LWA262039 MFW262036:MFW262039 MPS262036:MPS262039 MZO262036:MZO262039 NJK262036:NJK262039 NTG262036:NTG262039 ODC262036:ODC262039 OMY262036:OMY262039 OWU262036:OWU262039 PGQ262036:PGQ262039 PQM262036:PQM262039 QAI262036:QAI262039 QKE262036:QKE262039 QUA262036:QUA262039 RDW262036:RDW262039 RNS262036:RNS262039 RXO262036:RXO262039 SHK262036:SHK262039 SRG262036:SRG262039 TBC262036:TBC262039 TKY262036:TKY262039 TUU262036:TUU262039 UEQ262036:UEQ262039 UOM262036:UOM262039 UYI262036:UYI262039 VIE262036:VIE262039 VSA262036:VSA262039 WBW262036:WBW262039 WLS262036:WLS262039 WVO262036:WVO262039 D327572:D327575 JC327572:JC327575 SY327572:SY327575 ACU327572:ACU327575 AMQ327572:AMQ327575 AWM327572:AWM327575 BGI327572:BGI327575 BQE327572:BQE327575 CAA327572:CAA327575 CJW327572:CJW327575 CTS327572:CTS327575 DDO327572:DDO327575 DNK327572:DNK327575 DXG327572:DXG327575 EHC327572:EHC327575 EQY327572:EQY327575 FAU327572:FAU327575 FKQ327572:FKQ327575 FUM327572:FUM327575 GEI327572:GEI327575 GOE327572:GOE327575 GYA327572:GYA327575 HHW327572:HHW327575 HRS327572:HRS327575 IBO327572:IBO327575 ILK327572:ILK327575 IVG327572:IVG327575 JFC327572:JFC327575 JOY327572:JOY327575 JYU327572:JYU327575 KIQ327572:KIQ327575 KSM327572:KSM327575 LCI327572:LCI327575 LME327572:LME327575 LWA327572:LWA327575 MFW327572:MFW327575 MPS327572:MPS327575 MZO327572:MZO327575 NJK327572:NJK327575 NTG327572:NTG327575 ODC327572:ODC327575 OMY327572:OMY327575 OWU327572:OWU327575 PGQ327572:PGQ327575 PQM327572:PQM327575 QAI327572:QAI327575 QKE327572:QKE327575 QUA327572:QUA327575 RDW327572:RDW327575 RNS327572:RNS327575 RXO327572:RXO327575 SHK327572:SHK327575 SRG327572:SRG327575 TBC327572:TBC327575 TKY327572:TKY327575 TUU327572:TUU327575 UEQ327572:UEQ327575 UOM327572:UOM327575 UYI327572:UYI327575 VIE327572:VIE327575 VSA327572:VSA327575 WBW327572:WBW327575 WLS327572:WLS327575 WVO327572:WVO327575 D393108:D393111 JC393108:JC393111 SY393108:SY393111 ACU393108:ACU393111 AMQ393108:AMQ393111 AWM393108:AWM393111 BGI393108:BGI393111 BQE393108:BQE393111 CAA393108:CAA393111 CJW393108:CJW393111 CTS393108:CTS393111 DDO393108:DDO393111 DNK393108:DNK393111 DXG393108:DXG393111 EHC393108:EHC393111 EQY393108:EQY393111 FAU393108:FAU393111 FKQ393108:FKQ393111 FUM393108:FUM393111 GEI393108:GEI393111 GOE393108:GOE393111 GYA393108:GYA393111 HHW393108:HHW393111 HRS393108:HRS393111 IBO393108:IBO393111 ILK393108:ILK393111 IVG393108:IVG393111 JFC393108:JFC393111 JOY393108:JOY393111 JYU393108:JYU393111 KIQ393108:KIQ393111 KSM393108:KSM393111 LCI393108:LCI393111 LME393108:LME393111 LWA393108:LWA393111 MFW393108:MFW393111 MPS393108:MPS393111 MZO393108:MZO393111 NJK393108:NJK393111 NTG393108:NTG393111 ODC393108:ODC393111 OMY393108:OMY393111 OWU393108:OWU393111 PGQ393108:PGQ393111 PQM393108:PQM393111 QAI393108:QAI393111 QKE393108:QKE393111 QUA393108:QUA393111 RDW393108:RDW393111 RNS393108:RNS393111 RXO393108:RXO393111 SHK393108:SHK393111 SRG393108:SRG393111 TBC393108:TBC393111 TKY393108:TKY393111 TUU393108:TUU393111 UEQ393108:UEQ393111 UOM393108:UOM393111 UYI393108:UYI393111 VIE393108:VIE393111 VSA393108:VSA393111 WBW393108:WBW393111 WLS393108:WLS393111 WVO393108:WVO393111 D458644:D458647 JC458644:JC458647 SY458644:SY458647 ACU458644:ACU458647 AMQ458644:AMQ458647 AWM458644:AWM458647 BGI458644:BGI458647 BQE458644:BQE458647 CAA458644:CAA458647 CJW458644:CJW458647 CTS458644:CTS458647 DDO458644:DDO458647 DNK458644:DNK458647 DXG458644:DXG458647 EHC458644:EHC458647 EQY458644:EQY458647 FAU458644:FAU458647 FKQ458644:FKQ458647 FUM458644:FUM458647 GEI458644:GEI458647 GOE458644:GOE458647 GYA458644:GYA458647 HHW458644:HHW458647 HRS458644:HRS458647 IBO458644:IBO458647 ILK458644:ILK458647 IVG458644:IVG458647 JFC458644:JFC458647 JOY458644:JOY458647 JYU458644:JYU458647 KIQ458644:KIQ458647 KSM458644:KSM458647 LCI458644:LCI458647 LME458644:LME458647 LWA458644:LWA458647 MFW458644:MFW458647 MPS458644:MPS458647 MZO458644:MZO458647 NJK458644:NJK458647 NTG458644:NTG458647 ODC458644:ODC458647 OMY458644:OMY458647 OWU458644:OWU458647 PGQ458644:PGQ458647 PQM458644:PQM458647 QAI458644:QAI458647 QKE458644:QKE458647 QUA458644:QUA458647 RDW458644:RDW458647 RNS458644:RNS458647 RXO458644:RXO458647 SHK458644:SHK458647 SRG458644:SRG458647 TBC458644:TBC458647 TKY458644:TKY458647 TUU458644:TUU458647 UEQ458644:UEQ458647 UOM458644:UOM458647 UYI458644:UYI458647 VIE458644:VIE458647 VSA458644:VSA458647 WBW458644:WBW458647 WLS458644:WLS458647 WVO458644:WVO458647 D524180:D524183 JC524180:JC524183 SY524180:SY524183 ACU524180:ACU524183 AMQ524180:AMQ524183 AWM524180:AWM524183 BGI524180:BGI524183 BQE524180:BQE524183 CAA524180:CAA524183 CJW524180:CJW524183 CTS524180:CTS524183 DDO524180:DDO524183 DNK524180:DNK524183 DXG524180:DXG524183 EHC524180:EHC524183 EQY524180:EQY524183 FAU524180:FAU524183 FKQ524180:FKQ524183 FUM524180:FUM524183 GEI524180:GEI524183 GOE524180:GOE524183 GYA524180:GYA524183 HHW524180:HHW524183 HRS524180:HRS524183 IBO524180:IBO524183 ILK524180:ILK524183 IVG524180:IVG524183 JFC524180:JFC524183 JOY524180:JOY524183 JYU524180:JYU524183 KIQ524180:KIQ524183 KSM524180:KSM524183 LCI524180:LCI524183 LME524180:LME524183 LWA524180:LWA524183 MFW524180:MFW524183 MPS524180:MPS524183 MZO524180:MZO524183 NJK524180:NJK524183 NTG524180:NTG524183 ODC524180:ODC524183 OMY524180:OMY524183 OWU524180:OWU524183 PGQ524180:PGQ524183 PQM524180:PQM524183 QAI524180:QAI524183 QKE524180:QKE524183 QUA524180:QUA524183 RDW524180:RDW524183 RNS524180:RNS524183 RXO524180:RXO524183 SHK524180:SHK524183 SRG524180:SRG524183 TBC524180:TBC524183 TKY524180:TKY524183 TUU524180:TUU524183 UEQ524180:UEQ524183 UOM524180:UOM524183 UYI524180:UYI524183 VIE524180:VIE524183 VSA524180:VSA524183 WBW524180:WBW524183 WLS524180:WLS524183 WVO524180:WVO524183 D589716:D589719 JC589716:JC589719 SY589716:SY589719 ACU589716:ACU589719 AMQ589716:AMQ589719 AWM589716:AWM589719 BGI589716:BGI589719 BQE589716:BQE589719 CAA589716:CAA589719 CJW589716:CJW589719 CTS589716:CTS589719 DDO589716:DDO589719 DNK589716:DNK589719 DXG589716:DXG589719 EHC589716:EHC589719 EQY589716:EQY589719 FAU589716:FAU589719 FKQ589716:FKQ589719 FUM589716:FUM589719 GEI589716:GEI589719 GOE589716:GOE589719 GYA589716:GYA589719 HHW589716:HHW589719 HRS589716:HRS589719 IBO589716:IBO589719 ILK589716:ILK589719 IVG589716:IVG589719 JFC589716:JFC589719 JOY589716:JOY589719 JYU589716:JYU589719 KIQ589716:KIQ589719 KSM589716:KSM589719 LCI589716:LCI589719 LME589716:LME589719 LWA589716:LWA589719 MFW589716:MFW589719 MPS589716:MPS589719 MZO589716:MZO589719 NJK589716:NJK589719 NTG589716:NTG589719 ODC589716:ODC589719 OMY589716:OMY589719 OWU589716:OWU589719 PGQ589716:PGQ589719 PQM589716:PQM589719 QAI589716:QAI589719 QKE589716:QKE589719 QUA589716:QUA589719 RDW589716:RDW589719 RNS589716:RNS589719 RXO589716:RXO589719 SHK589716:SHK589719 SRG589716:SRG589719 TBC589716:TBC589719 TKY589716:TKY589719 TUU589716:TUU589719 UEQ589716:UEQ589719 UOM589716:UOM589719 UYI589716:UYI589719 VIE589716:VIE589719 VSA589716:VSA589719 WBW589716:WBW589719 WLS589716:WLS589719 WVO589716:WVO589719 D655252:D655255 JC655252:JC655255 SY655252:SY655255 ACU655252:ACU655255 AMQ655252:AMQ655255 AWM655252:AWM655255 BGI655252:BGI655255 BQE655252:BQE655255 CAA655252:CAA655255 CJW655252:CJW655255 CTS655252:CTS655255 DDO655252:DDO655255 DNK655252:DNK655255 DXG655252:DXG655255 EHC655252:EHC655255 EQY655252:EQY655255 FAU655252:FAU655255 FKQ655252:FKQ655255 FUM655252:FUM655255 GEI655252:GEI655255 GOE655252:GOE655255 GYA655252:GYA655255 HHW655252:HHW655255 HRS655252:HRS655255 IBO655252:IBO655255 ILK655252:ILK655255 IVG655252:IVG655255 JFC655252:JFC655255 JOY655252:JOY655255 JYU655252:JYU655255 KIQ655252:KIQ655255 KSM655252:KSM655255 LCI655252:LCI655255 LME655252:LME655255 LWA655252:LWA655255 MFW655252:MFW655255 MPS655252:MPS655255 MZO655252:MZO655255 NJK655252:NJK655255 NTG655252:NTG655255 ODC655252:ODC655255 OMY655252:OMY655255 OWU655252:OWU655255 PGQ655252:PGQ655255 PQM655252:PQM655255 QAI655252:QAI655255 QKE655252:QKE655255 QUA655252:QUA655255 RDW655252:RDW655255 RNS655252:RNS655255 RXO655252:RXO655255 SHK655252:SHK655255 SRG655252:SRG655255 TBC655252:TBC655255 TKY655252:TKY655255 TUU655252:TUU655255 UEQ655252:UEQ655255 UOM655252:UOM655255 UYI655252:UYI655255 VIE655252:VIE655255 VSA655252:VSA655255 WBW655252:WBW655255 WLS655252:WLS655255 WVO655252:WVO655255 D720788:D720791 JC720788:JC720791 SY720788:SY720791 ACU720788:ACU720791 AMQ720788:AMQ720791 AWM720788:AWM720791 BGI720788:BGI720791 BQE720788:BQE720791 CAA720788:CAA720791 CJW720788:CJW720791 CTS720788:CTS720791 DDO720788:DDO720791 DNK720788:DNK720791 DXG720788:DXG720791 EHC720788:EHC720791 EQY720788:EQY720791 FAU720788:FAU720791 FKQ720788:FKQ720791 FUM720788:FUM720791 GEI720788:GEI720791 GOE720788:GOE720791 GYA720788:GYA720791 HHW720788:HHW720791 HRS720788:HRS720791 IBO720788:IBO720791 ILK720788:ILK720791 IVG720788:IVG720791 JFC720788:JFC720791 JOY720788:JOY720791 JYU720788:JYU720791 KIQ720788:KIQ720791 KSM720788:KSM720791 LCI720788:LCI720791 LME720788:LME720791 LWA720788:LWA720791 MFW720788:MFW720791 MPS720788:MPS720791 MZO720788:MZO720791 NJK720788:NJK720791 NTG720788:NTG720791 ODC720788:ODC720791 OMY720788:OMY720791 OWU720788:OWU720791 PGQ720788:PGQ720791 PQM720788:PQM720791 QAI720788:QAI720791 QKE720788:QKE720791 QUA720788:QUA720791 RDW720788:RDW720791 RNS720788:RNS720791 RXO720788:RXO720791 SHK720788:SHK720791 SRG720788:SRG720791 TBC720788:TBC720791 TKY720788:TKY720791 TUU720788:TUU720791 UEQ720788:UEQ720791 UOM720788:UOM720791 UYI720788:UYI720791 VIE720788:VIE720791 VSA720788:VSA720791 WBW720788:WBW720791 WLS720788:WLS720791 WVO720788:WVO720791 D786324:D786327 JC786324:JC786327 SY786324:SY786327 ACU786324:ACU786327 AMQ786324:AMQ786327 AWM786324:AWM786327 BGI786324:BGI786327 BQE786324:BQE786327 CAA786324:CAA786327 CJW786324:CJW786327 CTS786324:CTS786327 DDO786324:DDO786327 DNK786324:DNK786327 DXG786324:DXG786327 EHC786324:EHC786327 EQY786324:EQY786327 FAU786324:FAU786327 FKQ786324:FKQ786327 FUM786324:FUM786327 GEI786324:GEI786327 GOE786324:GOE786327 GYA786324:GYA786327 HHW786324:HHW786327 HRS786324:HRS786327 IBO786324:IBO786327 ILK786324:ILK786327 IVG786324:IVG786327 JFC786324:JFC786327 JOY786324:JOY786327 JYU786324:JYU786327 KIQ786324:KIQ786327 KSM786324:KSM786327 LCI786324:LCI786327 LME786324:LME786327 LWA786324:LWA786327 MFW786324:MFW786327 MPS786324:MPS786327 MZO786324:MZO786327 NJK786324:NJK786327 NTG786324:NTG786327 ODC786324:ODC786327 OMY786324:OMY786327 OWU786324:OWU786327 PGQ786324:PGQ786327 PQM786324:PQM786327 QAI786324:QAI786327 QKE786324:QKE786327 QUA786324:QUA786327 RDW786324:RDW786327 RNS786324:RNS786327 RXO786324:RXO786327 SHK786324:SHK786327 SRG786324:SRG786327 TBC786324:TBC786327 TKY786324:TKY786327 TUU786324:TUU786327 UEQ786324:UEQ786327 UOM786324:UOM786327 UYI786324:UYI786327 VIE786324:VIE786327 VSA786324:VSA786327 WBW786324:WBW786327 WLS786324:WLS786327 WVO786324:WVO786327 D851860:D851863 JC851860:JC851863 SY851860:SY851863 ACU851860:ACU851863 AMQ851860:AMQ851863 AWM851860:AWM851863 BGI851860:BGI851863 BQE851860:BQE851863 CAA851860:CAA851863 CJW851860:CJW851863 CTS851860:CTS851863 DDO851860:DDO851863 DNK851860:DNK851863 DXG851860:DXG851863 EHC851860:EHC851863 EQY851860:EQY851863 FAU851860:FAU851863 FKQ851860:FKQ851863 FUM851860:FUM851863 GEI851860:GEI851863 GOE851860:GOE851863 GYA851860:GYA851863 HHW851860:HHW851863 HRS851860:HRS851863 IBO851860:IBO851863 ILK851860:ILK851863 IVG851860:IVG851863 JFC851860:JFC851863 JOY851860:JOY851863 JYU851860:JYU851863 KIQ851860:KIQ851863 KSM851860:KSM851863 LCI851860:LCI851863 LME851860:LME851863 LWA851860:LWA851863 MFW851860:MFW851863 MPS851860:MPS851863 MZO851860:MZO851863 NJK851860:NJK851863 NTG851860:NTG851863 ODC851860:ODC851863 OMY851860:OMY851863 OWU851860:OWU851863 PGQ851860:PGQ851863 PQM851860:PQM851863 QAI851860:QAI851863 QKE851860:QKE851863 QUA851860:QUA851863 RDW851860:RDW851863 RNS851860:RNS851863 RXO851860:RXO851863 SHK851860:SHK851863 SRG851860:SRG851863 TBC851860:TBC851863 TKY851860:TKY851863 TUU851860:TUU851863 UEQ851860:UEQ851863 UOM851860:UOM851863 UYI851860:UYI851863 VIE851860:VIE851863 VSA851860:VSA851863 WBW851860:WBW851863 WLS851860:WLS851863 WVO851860:WVO851863 D917396:D917399 JC917396:JC917399 SY917396:SY917399 ACU917396:ACU917399 AMQ917396:AMQ917399 AWM917396:AWM917399 BGI917396:BGI917399 BQE917396:BQE917399 CAA917396:CAA917399 CJW917396:CJW917399 CTS917396:CTS917399 DDO917396:DDO917399 DNK917396:DNK917399 DXG917396:DXG917399 EHC917396:EHC917399 EQY917396:EQY917399 FAU917396:FAU917399 FKQ917396:FKQ917399 FUM917396:FUM917399 GEI917396:GEI917399 GOE917396:GOE917399 GYA917396:GYA917399 HHW917396:HHW917399 HRS917396:HRS917399 IBO917396:IBO917399 ILK917396:ILK917399 IVG917396:IVG917399 JFC917396:JFC917399 JOY917396:JOY917399 JYU917396:JYU917399 KIQ917396:KIQ917399 KSM917396:KSM917399 LCI917396:LCI917399 LME917396:LME917399 LWA917396:LWA917399 MFW917396:MFW917399 MPS917396:MPS917399 MZO917396:MZO917399 NJK917396:NJK917399 NTG917396:NTG917399 ODC917396:ODC917399 OMY917396:OMY917399 OWU917396:OWU917399 PGQ917396:PGQ917399 PQM917396:PQM917399 QAI917396:QAI917399 QKE917396:QKE917399 QUA917396:QUA917399 RDW917396:RDW917399 RNS917396:RNS917399 RXO917396:RXO917399 SHK917396:SHK917399 SRG917396:SRG917399 TBC917396:TBC917399 TKY917396:TKY917399 TUU917396:TUU917399 UEQ917396:UEQ917399 UOM917396:UOM917399 UYI917396:UYI917399 VIE917396:VIE917399 VSA917396:VSA917399 WBW917396:WBW917399 WLS917396:WLS917399 WVO917396:WVO917399 D982932:D982935 JC982932:JC982935 SY982932:SY982935 ACU982932:ACU982935 AMQ982932:AMQ982935 AWM982932:AWM982935 BGI982932:BGI982935 BQE982932:BQE982935 CAA982932:CAA982935 CJW982932:CJW982935 CTS982932:CTS982935 DDO982932:DDO982935 DNK982932:DNK982935 DXG982932:DXG982935 EHC982932:EHC982935 EQY982932:EQY982935 FAU982932:FAU982935 FKQ982932:FKQ982935 FUM982932:FUM982935 GEI982932:GEI982935 GOE982932:GOE982935 GYA982932:GYA982935 HHW982932:HHW982935 HRS982932:HRS982935 IBO982932:IBO982935 ILK982932:ILK982935 IVG982932:IVG982935 JFC982932:JFC982935 JOY982932:JOY982935 JYU982932:JYU982935 KIQ982932:KIQ982935 KSM982932:KSM982935 LCI982932:LCI982935 LME982932:LME982935 LWA982932:LWA982935 MFW982932:MFW982935 MPS982932:MPS982935 MZO982932:MZO982935 NJK982932:NJK982935 NTG982932:NTG982935 ODC982932:ODC982935 OMY982932:OMY982935 OWU982932:OWU982935 PGQ982932:PGQ982935 PQM982932:PQM982935 QAI982932:QAI982935 QKE982932:QKE982935 QUA982932:QUA982935 RDW982932:RDW982935 RNS982932:RNS982935 RXO982932:RXO982935 SHK982932:SHK982935 SRG982932:SRG982935 TBC982932:TBC982935 TKY982932:TKY982935 TUU982932:TUU982935 UEQ982932:UEQ982935 UOM982932:UOM982935 UYI982932:UYI982935 VIE982932:VIE982935 VSA982932:VSA982935 WBW982932:WBW982935 WLS982932:WLS982935 WVO982932:WVO982935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D65443:G65443 JC65443:JF65443 SY65443:TB65443 ACU65443:ACX65443 AMQ65443:AMT65443 AWM65443:AWP65443 BGI65443:BGL65443 BQE65443:BQH65443 CAA65443:CAD65443 CJW65443:CJZ65443 CTS65443:CTV65443 DDO65443:DDR65443 DNK65443:DNN65443 DXG65443:DXJ65443 EHC65443:EHF65443 EQY65443:ERB65443 FAU65443:FAX65443 FKQ65443:FKT65443 FUM65443:FUP65443 GEI65443:GEL65443 GOE65443:GOH65443 GYA65443:GYD65443 HHW65443:HHZ65443 HRS65443:HRV65443 IBO65443:IBR65443 ILK65443:ILN65443 IVG65443:IVJ65443 JFC65443:JFF65443 JOY65443:JPB65443 JYU65443:JYX65443 KIQ65443:KIT65443 KSM65443:KSP65443 LCI65443:LCL65443 LME65443:LMH65443 LWA65443:LWD65443 MFW65443:MFZ65443 MPS65443:MPV65443 MZO65443:MZR65443 NJK65443:NJN65443 NTG65443:NTJ65443 ODC65443:ODF65443 OMY65443:ONB65443 OWU65443:OWX65443 PGQ65443:PGT65443 PQM65443:PQP65443 QAI65443:QAL65443 QKE65443:QKH65443 QUA65443:QUD65443 RDW65443:RDZ65443 RNS65443:RNV65443 RXO65443:RXR65443 SHK65443:SHN65443 SRG65443:SRJ65443 TBC65443:TBF65443 TKY65443:TLB65443 TUU65443:TUX65443 UEQ65443:UET65443 UOM65443:UOP65443 UYI65443:UYL65443 VIE65443:VIH65443 VSA65443:VSD65443 WBW65443:WBZ65443 WLS65443:WLV65443 WVO65443:WVR65443 D130979:G130979 JC130979:JF130979 SY130979:TB130979 ACU130979:ACX130979 AMQ130979:AMT130979 AWM130979:AWP130979 BGI130979:BGL130979 BQE130979:BQH130979 CAA130979:CAD130979 CJW130979:CJZ130979 CTS130979:CTV130979 DDO130979:DDR130979 DNK130979:DNN130979 DXG130979:DXJ130979 EHC130979:EHF130979 EQY130979:ERB130979 FAU130979:FAX130979 FKQ130979:FKT130979 FUM130979:FUP130979 GEI130979:GEL130979 GOE130979:GOH130979 GYA130979:GYD130979 HHW130979:HHZ130979 HRS130979:HRV130979 IBO130979:IBR130979 ILK130979:ILN130979 IVG130979:IVJ130979 JFC130979:JFF130979 JOY130979:JPB130979 JYU130979:JYX130979 KIQ130979:KIT130979 KSM130979:KSP130979 LCI130979:LCL130979 LME130979:LMH130979 LWA130979:LWD130979 MFW130979:MFZ130979 MPS130979:MPV130979 MZO130979:MZR130979 NJK130979:NJN130979 NTG130979:NTJ130979 ODC130979:ODF130979 OMY130979:ONB130979 OWU130979:OWX130979 PGQ130979:PGT130979 PQM130979:PQP130979 QAI130979:QAL130979 QKE130979:QKH130979 QUA130979:QUD130979 RDW130979:RDZ130979 RNS130979:RNV130979 RXO130979:RXR130979 SHK130979:SHN130979 SRG130979:SRJ130979 TBC130979:TBF130979 TKY130979:TLB130979 TUU130979:TUX130979 UEQ130979:UET130979 UOM130979:UOP130979 UYI130979:UYL130979 VIE130979:VIH130979 VSA130979:VSD130979 WBW130979:WBZ130979 WLS130979:WLV130979 WVO130979:WVR130979 D196515:G196515 JC196515:JF196515 SY196515:TB196515 ACU196515:ACX196515 AMQ196515:AMT196515 AWM196515:AWP196515 BGI196515:BGL196515 BQE196515:BQH196515 CAA196515:CAD196515 CJW196515:CJZ196515 CTS196515:CTV196515 DDO196515:DDR196515 DNK196515:DNN196515 DXG196515:DXJ196515 EHC196515:EHF196515 EQY196515:ERB196515 FAU196515:FAX196515 FKQ196515:FKT196515 FUM196515:FUP196515 GEI196515:GEL196515 GOE196515:GOH196515 GYA196515:GYD196515 HHW196515:HHZ196515 HRS196515:HRV196515 IBO196515:IBR196515 ILK196515:ILN196515 IVG196515:IVJ196515 JFC196515:JFF196515 JOY196515:JPB196515 JYU196515:JYX196515 KIQ196515:KIT196515 KSM196515:KSP196515 LCI196515:LCL196515 LME196515:LMH196515 LWA196515:LWD196515 MFW196515:MFZ196515 MPS196515:MPV196515 MZO196515:MZR196515 NJK196515:NJN196515 NTG196515:NTJ196515 ODC196515:ODF196515 OMY196515:ONB196515 OWU196515:OWX196515 PGQ196515:PGT196515 PQM196515:PQP196515 QAI196515:QAL196515 QKE196515:QKH196515 QUA196515:QUD196515 RDW196515:RDZ196515 RNS196515:RNV196515 RXO196515:RXR196515 SHK196515:SHN196515 SRG196515:SRJ196515 TBC196515:TBF196515 TKY196515:TLB196515 TUU196515:TUX196515 UEQ196515:UET196515 UOM196515:UOP196515 UYI196515:UYL196515 VIE196515:VIH196515 VSA196515:VSD196515 WBW196515:WBZ196515 WLS196515:WLV196515 WVO196515:WVR196515 D262051:G262051 JC262051:JF262051 SY262051:TB262051 ACU262051:ACX262051 AMQ262051:AMT262051 AWM262051:AWP262051 BGI262051:BGL262051 BQE262051:BQH262051 CAA262051:CAD262051 CJW262051:CJZ262051 CTS262051:CTV262051 DDO262051:DDR262051 DNK262051:DNN262051 DXG262051:DXJ262051 EHC262051:EHF262051 EQY262051:ERB262051 FAU262051:FAX262051 FKQ262051:FKT262051 FUM262051:FUP262051 GEI262051:GEL262051 GOE262051:GOH262051 GYA262051:GYD262051 HHW262051:HHZ262051 HRS262051:HRV262051 IBO262051:IBR262051 ILK262051:ILN262051 IVG262051:IVJ262051 JFC262051:JFF262051 JOY262051:JPB262051 JYU262051:JYX262051 KIQ262051:KIT262051 KSM262051:KSP262051 LCI262051:LCL262051 LME262051:LMH262051 LWA262051:LWD262051 MFW262051:MFZ262051 MPS262051:MPV262051 MZO262051:MZR262051 NJK262051:NJN262051 NTG262051:NTJ262051 ODC262051:ODF262051 OMY262051:ONB262051 OWU262051:OWX262051 PGQ262051:PGT262051 PQM262051:PQP262051 QAI262051:QAL262051 QKE262051:QKH262051 QUA262051:QUD262051 RDW262051:RDZ262051 RNS262051:RNV262051 RXO262051:RXR262051 SHK262051:SHN262051 SRG262051:SRJ262051 TBC262051:TBF262051 TKY262051:TLB262051 TUU262051:TUX262051 UEQ262051:UET262051 UOM262051:UOP262051 UYI262051:UYL262051 VIE262051:VIH262051 VSA262051:VSD262051 WBW262051:WBZ262051 WLS262051:WLV262051 WVO262051:WVR262051 D327587:G327587 JC327587:JF327587 SY327587:TB327587 ACU327587:ACX327587 AMQ327587:AMT327587 AWM327587:AWP327587 BGI327587:BGL327587 BQE327587:BQH327587 CAA327587:CAD327587 CJW327587:CJZ327587 CTS327587:CTV327587 DDO327587:DDR327587 DNK327587:DNN327587 DXG327587:DXJ327587 EHC327587:EHF327587 EQY327587:ERB327587 FAU327587:FAX327587 FKQ327587:FKT327587 FUM327587:FUP327587 GEI327587:GEL327587 GOE327587:GOH327587 GYA327587:GYD327587 HHW327587:HHZ327587 HRS327587:HRV327587 IBO327587:IBR327587 ILK327587:ILN327587 IVG327587:IVJ327587 JFC327587:JFF327587 JOY327587:JPB327587 JYU327587:JYX327587 KIQ327587:KIT327587 KSM327587:KSP327587 LCI327587:LCL327587 LME327587:LMH327587 LWA327587:LWD327587 MFW327587:MFZ327587 MPS327587:MPV327587 MZO327587:MZR327587 NJK327587:NJN327587 NTG327587:NTJ327587 ODC327587:ODF327587 OMY327587:ONB327587 OWU327587:OWX327587 PGQ327587:PGT327587 PQM327587:PQP327587 QAI327587:QAL327587 QKE327587:QKH327587 QUA327587:QUD327587 RDW327587:RDZ327587 RNS327587:RNV327587 RXO327587:RXR327587 SHK327587:SHN327587 SRG327587:SRJ327587 TBC327587:TBF327587 TKY327587:TLB327587 TUU327587:TUX327587 UEQ327587:UET327587 UOM327587:UOP327587 UYI327587:UYL327587 VIE327587:VIH327587 VSA327587:VSD327587 WBW327587:WBZ327587 WLS327587:WLV327587 WVO327587:WVR327587 D393123:G393123 JC393123:JF393123 SY393123:TB393123 ACU393123:ACX393123 AMQ393123:AMT393123 AWM393123:AWP393123 BGI393123:BGL393123 BQE393123:BQH393123 CAA393123:CAD393123 CJW393123:CJZ393123 CTS393123:CTV393123 DDO393123:DDR393123 DNK393123:DNN393123 DXG393123:DXJ393123 EHC393123:EHF393123 EQY393123:ERB393123 FAU393123:FAX393123 FKQ393123:FKT393123 FUM393123:FUP393123 GEI393123:GEL393123 GOE393123:GOH393123 GYA393123:GYD393123 HHW393123:HHZ393123 HRS393123:HRV393123 IBO393123:IBR393123 ILK393123:ILN393123 IVG393123:IVJ393123 JFC393123:JFF393123 JOY393123:JPB393123 JYU393123:JYX393123 KIQ393123:KIT393123 KSM393123:KSP393123 LCI393123:LCL393123 LME393123:LMH393123 LWA393123:LWD393123 MFW393123:MFZ393123 MPS393123:MPV393123 MZO393123:MZR393123 NJK393123:NJN393123 NTG393123:NTJ393123 ODC393123:ODF393123 OMY393123:ONB393123 OWU393123:OWX393123 PGQ393123:PGT393123 PQM393123:PQP393123 QAI393123:QAL393123 QKE393123:QKH393123 QUA393123:QUD393123 RDW393123:RDZ393123 RNS393123:RNV393123 RXO393123:RXR393123 SHK393123:SHN393123 SRG393123:SRJ393123 TBC393123:TBF393123 TKY393123:TLB393123 TUU393123:TUX393123 UEQ393123:UET393123 UOM393123:UOP393123 UYI393123:UYL393123 VIE393123:VIH393123 VSA393123:VSD393123 WBW393123:WBZ393123 WLS393123:WLV393123 WVO393123:WVR393123 D458659:G458659 JC458659:JF458659 SY458659:TB458659 ACU458659:ACX458659 AMQ458659:AMT458659 AWM458659:AWP458659 BGI458659:BGL458659 BQE458659:BQH458659 CAA458659:CAD458659 CJW458659:CJZ458659 CTS458659:CTV458659 DDO458659:DDR458659 DNK458659:DNN458659 DXG458659:DXJ458659 EHC458659:EHF458659 EQY458659:ERB458659 FAU458659:FAX458659 FKQ458659:FKT458659 FUM458659:FUP458659 GEI458659:GEL458659 GOE458659:GOH458659 GYA458659:GYD458659 HHW458659:HHZ458659 HRS458659:HRV458659 IBO458659:IBR458659 ILK458659:ILN458659 IVG458659:IVJ458659 JFC458659:JFF458659 JOY458659:JPB458659 JYU458659:JYX458659 KIQ458659:KIT458659 KSM458659:KSP458659 LCI458659:LCL458659 LME458659:LMH458659 LWA458659:LWD458659 MFW458659:MFZ458659 MPS458659:MPV458659 MZO458659:MZR458659 NJK458659:NJN458659 NTG458659:NTJ458659 ODC458659:ODF458659 OMY458659:ONB458659 OWU458659:OWX458659 PGQ458659:PGT458659 PQM458659:PQP458659 QAI458659:QAL458659 QKE458659:QKH458659 QUA458659:QUD458659 RDW458659:RDZ458659 RNS458659:RNV458659 RXO458659:RXR458659 SHK458659:SHN458659 SRG458659:SRJ458659 TBC458659:TBF458659 TKY458659:TLB458659 TUU458659:TUX458659 UEQ458659:UET458659 UOM458659:UOP458659 UYI458659:UYL458659 VIE458659:VIH458659 VSA458659:VSD458659 WBW458659:WBZ458659 WLS458659:WLV458659 WVO458659:WVR458659 D524195:G524195 JC524195:JF524195 SY524195:TB524195 ACU524195:ACX524195 AMQ524195:AMT524195 AWM524195:AWP524195 BGI524195:BGL524195 BQE524195:BQH524195 CAA524195:CAD524195 CJW524195:CJZ524195 CTS524195:CTV524195 DDO524195:DDR524195 DNK524195:DNN524195 DXG524195:DXJ524195 EHC524195:EHF524195 EQY524195:ERB524195 FAU524195:FAX524195 FKQ524195:FKT524195 FUM524195:FUP524195 GEI524195:GEL524195 GOE524195:GOH524195 GYA524195:GYD524195 HHW524195:HHZ524195 HRS524195:HRV524195 IBO524195:IBR524195 ILK524195:ILN524195 IVG524195:IVJ524195 JFC524195:JFF524195 JOY524195:JPB524195 JYU524195:JYX524195 KIQ524195:KIT524195 KSM524195:KSP524195 LCI524195:LCL524195 LME524195:LMH524195 LWA524195:LWD524195 MFW524195:MFZ524195 MPS524195:MPV524195 MZO524195:MZR524195 NJK524195:NJN524195 NTG524195:NTJ524195 ODC524195:ODF524195 OMY524195:ONB524195 OWU524195:OWX524195 PGQ524195:PGT524195 PQM524195:PQP524195 QAI524195:QAL524195 QKE524195:QKH524195 QUA524195:QUD524195 RDW524195:RDZ524195 RNS524195:RNV524195 RXO524195:RXR524195 SHK524195:SHN524195 SRG524195:SRJ524195 TBC524195:TBF524195 TKY524195:TLB524195 TUU524195:TUX524195 UEQ524195:UET524195 UOM524195:UOP524195 UYI524195:UYL524195 VIE524195:VIH524195 VSA524195:VSD524195 WBW524195:WBZ524195 WLS524195:WLV524195 WVO524195:WVR524195 D589731:G589731 JC589731:JF589731 SY589731:TB589731 ACU589731:ACX589731 AMQ589731:AMT589731 AWM589731:AWP589731 BGI589731:BGL589731 BQE589731:BQH589731 CAA589731:CAD589731 CJW589731:CJZ589731 CTS589731:CTV589731 DDO589731:DDR589731 DNK589731:DNN589731 DXG589731:DXJ589731 EHC589731:EHF589731 EQY589731:ERB589731 FAU589731:FAX589731 FKQ589731:FKT589731 FUM589731:FUP589731 GEI589731:GEL589731 GOE589731:GOH589731 GYA589731:GYD589731 HHW589731:HHZ589731 HRS589731:HRV589731 IBO589731:IBR589731 ILK589731:ILN589731 IVG589731:IVJ589731 JFC589731:JFF589731 JOY589731:JPB589731 JYU589731:JYX589731 KIQ589731:KIT589731 KSM589731:KSP589731 LCI589731:LCL589731 LME589731:LMH589731 LWA589731:LWD589731 MFW589731:MFZ589731 MPS589731:MPV589731 MZO589731:MZR589731 NJK589731:NJN589731 NTG589731:NTJ589731 ODC589731:ODF589731 OMY589731:ONB589731 OWU589731:OWX589731 PGQ589731:PGT589731 PQM589731:PQP589731 QAI589731:QAL589731 QKE589731:QKH589731 QUA589731:QUD589731 RDW589731:RDZ589731 RNS589731:RNV589731 RXO589731:RXR589731 SHK589731:SHN589731 SRG589731:SRJ589731 TBC589731:TBF589731 TKY589731:TLB589731 TUU589731:TUX589731 UEQ589731:UET589731 UOM589731:UOP589731 UYI589731:UYL589731 VIE589731:VIH589731 VSA589731:VSD589731 WBW589731:WBZ589731 WLS589731:WLV589731 WVO589731:WVR589731 D655267:G655267 JC655267:JF655267 SY655267:TB655267 ACU655267:ACX655267 AMQ655267:AMT655267 AWM655267:AWP655267 BGI655267:BGL655267 BQE655267:BQH655267 CAA655267:CAD655267 CJW655267:CJZ655267 CTS655267:CTV655267 DDO655267:DDR655267 DNK655267:DNN655267 DXG655267:DXJ655267 EHC655267:EHF655267 EQY655267:ERB655267 FAU655267:FAX655267 FKQ655267:FKT655267 FUM655267:FUP655267 GEI655267:GEL655267 GOE655267:GOH655267 GYA655267:GYD655267 HHW655267:HHZ655267 HRS655267:HRV655267 IBO655267:IBR655267 ILK655267:ILN655267 IVG655267:IVJ655267 JFC655267:JFF655267 JOY655267:JPB655267 JYU655267:JYX655267 KIQ655267:KIT655267 KSM655267:KSP655267 LCI655267:LCL655267 LME655267:LMH655267 LWA655267:LWD655267 MFW655267:MFZ655267 MPS655267:MPV655267 MZO655267:MZR655267 NJK655267:NJN655267 NTG655267:NTJ655267 ODC655267:ODF655267 OMY655267:ONB655267 OWU655267:OWX655267 PGQ655267:PGT655267 PQM655267:PQP655267 QAI655267:QAL655267 QKE655267:QKH655267 QUA655267:QUD655267 RDW655267:RDZ655267 RNS655267:RNV655267 RXO655267:RXR655267 SHK655267:SHN655267 SRG655267:SRJ655267 TBC655267:TBF655267 TKY655267:TLB655267 TUU655267:TUX655267 UEQ655267:UET655267 UOM655267:UOP655267 UYI655267:UYL655267 VIE655267:VIH655267 VSA655267:VSD655267 WBW655267:WBZ655267 WLS655267:WLV655267 WVO655267:WVR655267 D720803:G720803 JC720803:JF720803 SY720803:TB720803 ACU720803:ACX720803 AMQ720803:AMT720803 AWM720803:AWP720803 BGI720803:BGL720803 BQE720803:BQH720803 CAA720803:CAD720803 CJW720803:CJZ720803 CTS720803:CTV720803 DDO720803:DDR720803 DNK720803:DNN720803 DXG720803:DXJ720803 EHC720803:EHF720803 EQY720803:ERB720803 FAU720803:FAX720803 FKQ720803:FKT720803 FUM720803:FUP720803 GEI720803:GEL720803 GOE720803:GOH720803 GYA720803:GYD720803 HHW720803:HHZ720803 HRS720803:HRV720803 IBO720803:IBR720803 ILK720803:ILN720803 IVG720803:IVJ720803 JFC720803:JFF720803 JOY720803:JPB720803 JYU720803:JYX720803 KIQ720803:KIT720803 KSM720803:KSP720803 LCI720803:LCL720803 LME720803:LMH720803 LWA720803:LWD720803 MFW720803:MFZ720803 MPS720803:MPV720803 MZO720803:MZR720803 NJK720803:NJN720803 NTG720803:NTJ720803 ODC720803:ODF720803 OMY720803:ONB720803 OWU720803:OWX720803 PGQ720803:PGT720803 PQM720803:PQP720803 QAI720803:QAL720803 QKE720803:QKH720803 QUA720803:QUD720803 RDW720803:RDZ720803 RNS720803:RNV720803 RXO720803:RXR720803 SHK720803:SHN720803 SRG720803:SRJ720803 TBC720803:TBF720803 TKY720803:TLB720803 TUU720803:TUX720803 UEQ720803:UET720803 UOM720803:UOP720803 UYI720803:UYL720803 VIE720803:VIH720803 VSA720803:VSD720803 WBW720803:WBZ720803 WLS720803:WLV720803 WVO720803:WVR720803 D786339:G786339 JC786339:JF786339 SY786339:TB786339 ACU786339:ACX786339 AMQ786339:AMT786339 AWM786339:AWP786339 BGI786339:BGL786339 BQE786339:BQH786339 CAA786339:CAD786339 CJW786339:CJZ786339 CTS786339:CTV786339 DDO786339:DDR786339 DNK786339:DNN786339 DXG786339:DXJ786339 EHC786339:EHF786339 EQY786339:ERB786339 FAU786339:FAX786339 FKQ786339:FKT786339 FUM786339:FUP786339 GEI786339:GEL786339 GOE786339:GOH786339 GYA786339:GYD786339 HHW786339:HHZ786339 HRS786339:HRV786339 IBO786339:IBR786339 ILK786339:ILN786339 IVG786339:IVJ786339 JFC786339:JFF786339 JOY786339:JPB786339 JYU786339:JYX786339 KIQ786339:KIT786339 KSM786339:KSP786339 LCI786339:LCL786339 LME786339:LMH786339 LWA786339:LWD786339 MFW786339:MFZ786339 MPS786339:MPV786339 MZO786339:MZR786339 NJK786339:NJN786339 NTG786339:NTJ786339 ODC786339:ODF786339 OMY786339:ONB786339 OWU786339:OWX786339 PGQ786339:PGT786339 PQM786339:PQP786339 QAI786339:QAL786339 QKE786339:QKH786339 QUA786339:QUD786339 RDW786339:RDZ786339 RNS786339:RNV786339 RXO786339:RXR786339 SHK786339:SHN786339 SRG786339:SRJ786339 TBC786339:TBF786339 TKY786339:TLB786339 TUU786339:TUX786339 UEQ786339:UET786339 UOM786339:UOP786339 UYI786339:UYL786339 VIE786339:VIH786339 VSA786339:VSD786339 WBW786339:WBZ786339 WLS786339:WLV786339 WVO786339:WVR786339 D851875:G851875 JC851875:JF851875 SY851875:TB851875 ACU851875:ACX851875 AMQ851875:AMT851875 AWM851875:AWP851875 BGI851875:BGL851875 BQE851875:BQH851875 CAA851875:CAD851875 CJW851875:CJZ851875 CTS851875:CTV851875 DDO851875:DDR851875 DNK851875:DNN851875 DXG851875:DXJ851875 EHC851875:EHF851875 EQY851875:ERB851875 FAU851875:FAX851875 FKQ851875:FKT851875 FUM851875:FUP851875 GEI851875:GEL851875 GOE851875:GOH851875 GYA851875:GYD851875 HHW851875:HHZ851875 HRS851875:HRV851875 IBO851875:IBR851875 ILK851875:ILN851875 IVG851875:IVJ851875 JFC851875:JFF851875 JOY851875:JPB851875 JYU851875:JYX851875 KIQ851875:KIT851875 KSM851875:KSP851875 LCI851875:LCL851875 LME851875:LMH851875 LWA851875:LWD851875 MFW851875:MFZ851875 MPS851875:MPV851875 MZO851875:MZR851875 NJK851875:NJN851875 NTG851875:NTJ851875 ODC851875:ODF851875 OMY851875:ONB851875 OWU851875:OWX851875 PGQ851875:PGT851875 PQM851875:PQP851875 QAI851875:QAL851875 QKE851875:QKH851875 QUA851875:QUD851875 RDW851875:RDZ851875 RNS851875:RNV851875 RXO851875:RXR851875 SHK851875:SHN851875 SRG851875:SRJ851875 TBC851875:TBF851875 TKY851875:TLB851875 TUU851875:TUX851875 UEQ851875:UET851875 UOM851875:UOP851875 UYI851875:UYL851875 VIE851875:VIH851875 VSA851875:VSD851875 WBW851875:WBZ851875 WLS851875:WLV851875 WVO851875:WVR851875 D917411:G917411 JC917411:JF917411 SY917411:TB917411 ACU917411:ACX917411 AMQ917411:AMT917411 AWM917411:AWP917411 BGI917411:BGL917411 BQE917411:BQH917411 CAA917411:CAD917411 CJW917411:CJZ917411 CTS917411:CTV917411 DDO917411:DDR917411 DNK917411:DNN917411 DXG917411:DXJ917411 EHC917411:EHF917411 EQY917411:ERB917411 FAU917411:FAX917411 FKQ917411:FKT917411 FUM917411:FUP917411 GEI917411:GEL917411 GOE917411:GOH917411 GYA917411:GYD917411 HHW917411:HHZ917411 HRS917411:HRV917411 IBO917411:IBR917411 ILK917411:ILN917411 IVG917411:IVJ917411 JFC917411:JFF917411 JOY917411:JPB917411 JYU917411:JYX917411 KIQ917411:KIT917411 KSM917411:KSP917411 LCI917411:LCL917411 LME917411:LMH917411 LWA917411:LWD917411 MFW917411:MFZ917411 MPS917411:MPV917411 MZO917411:MZR917411 NJK917411:NJN917411 NTG917411:NTJ917411 ODC917411:ODF917411 OMY917411:ONB917411 OWU917411:OWX917411 PGQ917411:PGT917411 PQM917411:PQP917411 QAI917411:QAL917411 QKE917411:QKH917411 QUA917411:QUD917411 RDW917411:RDZ917411 RNS917411:RNV917411 RXO917411:RXR917411 SHK917411:SHN917411 SRG917411:SRJ917411 TBC917411:TBF917411 TKY917411:TLB917411 TUU917411:TUX917411 UEQ917411:UET917411 UOM917411:UOP917411 UYI917411:UYL917411 VIE917411:VIH917411 VSA917411:VSD917411 WBW917411:WBZ917411 WLS917411:WLV917411 WVO917411:WVR917411 D982947:G982947 JC982947:JF982947 SY982947:TB982947 ACU982947:ACX982947 AMQ982947:AMT982947 AWM982947:AWP982947 BGI982947:BGL982947 BQE982947:BQH982947 CAA982947:CAD982947 CJW982947:CJZ982947 CTS982947:CTV982947 DDO982947:DDR982947 DNK982947:DNN982947 DXG982947:DXJ982947 EHC982947:EHF982947 EQY982947:ERB982947 FAU982947:FAX982947 FKQ982947:FKT982947 FUM982947:FUP982947 GEI982947:GEL982947 GOE982947:GOH982947 GYA982947:GYD982947 HHW982947:HHZ982947 HRS982947:HRV982947 IBO982947:IBR982947 ILK982947:ILN982947 IVG982947:IVJ982947 JFC982947:JFF982947 JOY982947:JPB982947 JYU982947:JYX982947 KIQ982947:KIT982947 KSM982947:KSP982947 LCI982947:LCL982947 LME982947:LMH982947 LWA982947:LWD982947 MFW982947:MFZ982947 MPS982947:MPV982947 MZO982947:MZR982947 NJK982947:NJN982947 NTG982947:NTJ982947 ODC982947:ODF982947 OMY982947:ONB982947 OWU982947:OWX982947 PGQ982947:PGT982947 PQM982947:PQP982947 QAI982947:QAL982947 QKE982947:QKH982947 QUA982947:QUD982947 RDW982947:RDZ982947 RNS982947:RNV982947 RXO982947:RXR982947 SHK982947:SHN982947 SRG982947:SRJ982947 TBC982947:TBF982947 TKY982947:TLB982947 TUU982947:TUX982947 UEQ982947:UET982947 UOM982947:UOP982947 UYI982947:UYL982947 VIE982947:VIH982947 VSA982947:VSD982947 WBW982947:WBZ982947 WLS982947:WLV982947 WVO982947:WVR982947 D65433:D65434 JC65433:JC65434 SY65433:SY65434 ACU65433:ACU65434 AMQ65433:AMQ65434 AWM65433:AWM65434 BGI65433:BGI65434 BQE65433:BQE65434 CAA65433:CAA65434 CJW65433:CJW65434 CTS65433:CTS65434 DDO65433:DDO65434 DNK65433:DNK65434 DXG65433:DXG65434 EHC65433:EHC65434 EQY65433:EQY65434 FAU65433:FAU65434 FKQ65433:FKQ65434 FUM65433:FUM65434 GEI65433:GEI65434 GOE65433:GOE65434 GYA65433:GYA65434 HHW65433:HHW65434 HRS65433:HRS65434 IBO65433:IBO65434 ILK65433:ILK65434 IVG65433:IVG65434 JFC65433:JFC65434 JOY65433:JOY65434 JYU65433:JYU65434 KIQ65433:KIQ65434 KSM65433:KSM65434 LCI65433:LCI65434 LME65433:LME65434 LWA65433:LWA65434 MFW65433:MFW65434 MPS65433:MPS65434 MZO65433:MZO65434 NJK65433:NJK65434 NTG65433:NTG65434 ODC65433:ODC65434 OMY65433:OMY65434 OWU65433:OWU65434 PGQ65433:PGQ65434 PQM65433:PQM65434 QAI65433:QAI65434 QKE65433:QKE65434 QUA65433:QUA65434 RDW65433:RDW65434 RNS65433:RNS65434 RXO65433:RXO65434 SHK65433:SHK65434 SRG65433:SRG65434 TBC65433:TBC65434 TKY65433:TKY65434 TUU65433:TUU65434 UEQ65433:UEQ65434 UOM65433:UOM65434 UYI65433:UYI65434 VIE65433:VIE65434 VSA65433:VSA65434 WBW65433:WBW65434 WLS65433:WLS65434 WVO65433:WVO65434 D130969:D130970 JC130969:JC130970 SY130969:SY130970 ACU130969:ACU130970 AMQ130969:AMQ130970 AWM130969:AWM130970 BGI130969:BGI130970 BQE130969:BQE130970 CAA130969:CAA130970 CJW130969:CJW130970 CTS130969:CTS130970 DDO130969:DDO130970 DNK130969:DNK130970 DXG130969:DXG130970 EHC130969:EHC130970 EQY130969:EQY130970 FAU130969:FAU130970 FKQ130969:FKQ130970 FUM130969:FUM130970 GEI130969:GEI130970 GOE130969:GOE130970 GYA130969:GYA130970 HHW130969:HHW130970 HRS130969:HRS130970 IBO130969:IBO130970 ILK130969:ILK130970 IVG130969:IVG130970 JFC130969:JFC130970 JOY130969:JOY130970 JYU130969:JYU130970 KIQ130969:KIQ130970 KSM130969:KSM130970 LCI130969:LCI130970 LME130969:LME130970 LWA130969:LWA130970 MFW130969:MFW130970 MPS130969:MPS130970 MZO130969:MZO130970 NJK130969:NJK130970 NTG130969:NTG130970 ODC130969:ODC130970 OMY130969:OMY130970 OWU130969:OWU130970 PGQ130969:PGQ130970 PQM130969:PQM130970 QAI130969:QAI130970 QKE130969:QKE130970 QUA130969:QUA130970 RDW130969:RDW130970 RNS130969:RNS130970 RXO130969:RXO130970 SHK130969:SHK130970 SRG130969:SRG130970 TBC130969:TBC130970 TKY130969:TKY130970 TUU130969:TUU130970 UEQ130969:UEQ130970 UOM130969:UOM130970 UYI130969:UYI130970 VIE130969:VIE130970 VSA130969:VSA130970 WBW130969:WBW130970 WLS130969:WLS130970 WVO130969:WVO130970 D196505:D196506 JC196505:JC196506 SY196505:SY196506 ACU196505:ACU196506 AMQ196505:AMQ196506 AWM196505:AWM196506 BGI196505:BGI196506 BQE196505:BQE196506 CAA196505:CAA196506 CJW196505:CJW196506 CTS196505:CTS196506 DDO196505:DDO196506 DNK196505:DNK196506 DXG196505:DXG196506 EHC196505:EHC196506 EQY196505:EQY196506 FAU196505:FAU196506 FKQ196505:FKQ196506 FUM196505:FUM196506 GEI196505:GEI196506 GOE196505:GOE196506 GYA196505:GYA196506 HHW196505:HHW196506 HRS196505:HRS196506 IBO196505:IBO196506 ILK196505:ILK196506 IVG196505:IVG196506 JFC196505:JFC196506 JOY196505:JOY196506 JYU196505:JYU196506 KIQ196505:KIQ196506 KSM196505:KSM196506 LCI196505:LCI196506 LME196505:LME196506 LWA196505:LWA196506 MFW196505:MFW196506 MPS196505:MPS196506 MZO196505:MZO196506 NJK196505:NJK196506 NTG196505:NTG196506 ODC196505:ODC196506 OMY196505:OMY196506 OWU196505:OWU196506 PGQ196505:PGQ196506 PQM196505:PQM196506 QAI196505:QAI196506 QKE196505:QKE196506 QUA196505:QUA196506 RDW196505:RDW196506 RNS196505:RNS196506 RXO196505:RXO196506 SHK196505:SHK196506 SRG196505:SRG196506 TBC196505:TBC196506 TKY196505:TKY196506 TUU196505:TUU196506 UEQ196505:UEQ196506 UOM196505:UOM196506 UYI196505:UYI196506 VIE196505:VIE196506 VSA196505:VSA196506 WBW196505:WBW196506 WLS196505:WLS196506 WVO196505:WVO196506 D262041:D262042 JC262041:JC262042 SY262041:SY262042 ACU262041:ACU262042 AMQ262041:AMQ262042 AWM262041:AWM262042 BGI262041:BGI262042 BQE262041:BQE262042 CAA262041:CAA262042 CJW262041:CJW262042 CTS262041:CTS262042 DDO262041:DDO262042 DNK262041:DNK262042 DXG262041:DXG262042 EHC262041:EHC262042 EQY262041:EQY262042 FAU262041:FAU262042 FKQ262041:FKQ262042 FUM262041:FUM262042 GEI262041:GEI262042 GOE262041:GOE262042 GYA262041:GYA262042 HHW262041:HHW262042 HRS262041:HRS262042 IBO262041:IBO262042 ILK262041:ILK262042 IVG262041:IVG262042 JFC262041:JFC262042 JOY262041:JOY262042 JYU262041:JYU262042 KIQ262041:KIQ262042 KSM262041:KSM262042 LCI262041:LCI262042 LME262041:LME262042 LWA262041:LWA262042 MFW262041:MFW262042 MPS262041:MPS262042 MZO262041:MZO262042 NJK262041:NJK262042 NTG262041:NTG262042 ODC262041:ODC262042 OMY262041:OMY262042 OWU262041:OWU262042 PGQ262041:PGQ262042 PQM262041:PQM262042 QAI262041:QAI262042 QKE262041:QKE262042 QUA262041:QUA262042 RDW262041:RDW262042 RNS262041:RNS262042 RXO262041:RXO262042 SHK262041:SHK262042 SRG262041:SRG262042 TBC262041:TBC262042 TKY262041:TKY262042 TUU262041:TUU262042 UEQ262041:UEQ262042 UOM262041:UOM262042 UYI262041:UYI262042 VIE262041:VIE262042 VSA262041:VSA262042 WBW262041:WBW262042 WLS262041:WLS262042 WVO262041:WVO262042 D327577:D327578 JC327577:JC327578 SY327577:SY327578 ACU327577:ACU327578 AMQ327577:AMQ327578 AWM327577:AWM327578 BGI327577:BGI327578 BQE327577:BQE327578 CAA327577:CAA327578 CJW327577:CJW327578 CTS327577:CTS327578 DDO327577:DDO327578 DNK327577:DNK327578 DXG327577:DXG327578 EHC327577:EHC327578 EQY327577:EQY327578 FAU327577:FAU327578 FKQ327577:FKQ327578 FUM327577:FUM327578 GEI327577:GEI327578 GOE327577:GOE327578 GYA327577:GYA327578 HHW327577:HHW327578 HRS327577:HRS327578 IBO327577:IBO327578 ILK327577:ILK327578 IVG327577:IVG327578 JFC327577:JFC327578 JOY327577:JOY327578 JYU327577:JYU327578 KIQ327577:KIQ327578 KSM327577:KSM327578 LCI327577:LCI327578 LME327577:LME327578 LWA327577:LWA327578 MFW327577:MFW327578 MPS327577:MPS327578 MZO327577:MZO327578 NJK327577:NJK327578 NTG327577:NTG327578 ODC327577:ODC327578 OMY327577:OMY327578 OWU327577:OWU327578 PGQ327577:PGQ327578 PQM327577:PQM327578 QAI327577:QAI327578 QKE327577:QKE327578 QUA327577:QUA327578 RDW327577:RDW327578 RNS327577:RNS327578 RXO327577:RXO327578 SHK327577:SHK327578 SRG327577:SRG327578 TBC327577:TBC327578 TKY327577:TKY327578 TUU327577:TUU327578 UEQ327577:UEQ327578 UOM327577:UOM327578 UYI327577:UYI327578 VIE327577:VIE327578 VSA327577:VSA327578 WBW327577:WBW327578 WLS327577:WLS327578 WVO327577:WVO327578 D393113:D393114 JC393113:JC393114 SY393113:SY393114 ACU393113:ACU393114 AMQ393113:AMQ393114 AWM393113:AWM393114 BGI393113:BGI393114 BQE393113:BQE393114 CAA393113:CAA393114 CJW393113:CJW393114 CTS393113:CTS393114 DDO393113:DDO393114 DNK393113:DNK393114 DXG393113:DXG393114 EHC393113:EHC393114 EQY393113:EQY393114 FAU393113:FAU393114 FKQ393113:FKQ393114 FUM393113:FUM393114 GEI393113:GEI393114 GOE393113:GOE393114 GYA393113:GYA393114 HHW393113:HHW393114 HRS393113:HRS393114 IBO393113:IBO393114 ILK393113:ILK393114 IVG393113:IVG393114 JFC393113:JFC393114 JOY393113:JOY393114 JYU393113:JYU393114 KIQ393113:KIQ393114 KSM393113:KSM393114 LCI393113:LCI393114 LME393113:LME393114 LWA393113:LWA393114 MFW393113:MFW393114 MPS393113:MPS393114 MZO393113:MZO393114 NJK393113:NJK393114 NTG393113:NTG393114 ODC393113:ODC393114 OMY393113:OMY393114 OWU393113:OWU393114 PGQ393113:PGQ393114 PQM393113:PQM393114 QAI393113:QAI393114 QKE393113:QKE393114 QUA393113:QUA393114 RDW393113:RDW393114 RNS393113:RNS393114 RXO393113:RXO393114 SHK393113:SHK393114 SRG393113:SRG393114 TBC393113:TBC393114 TKY393113:TKY393114 TUU393113:TUU393114 UEQ393113:UEQ393114 UOM393113:UOM393114 UYI393113:UYI393114 VIE393113:VIE393114 VSA393113:VSA393114 WBW393113:WBW393114 WLS393113:WLS393114 WVO393113:WVO393114 D458649:D458650 JC458649:JC458650 SY458649:SY458650 ACU458649:ACU458650 AMQ458649:AMQ458650 AWM458649:AWM458650 BGI458649:BGI458650 BQE458649:BQE458650 CAA458649:CAA458650 CJW458649:CJW458650 CTS458649:CTS458650 DDO458649:DDO458650 DNK458649:DNK458650 DXG458649:DXG458650 EHC458649:EHC458650 EQY458649:EQY458650 FAU458649:FAU458650 FKQ458649:FKQ458650 FUM458649:FUM458650 GEI458649:GEI458650 GOE458649:GOE458650 GYA458649:GYA458650 HHW458649:HHW458650 HRS458649:HRS458650 IBO458649:IBO458650 ILK458649:ILK458650 IVG458649:IVG458650 JFC458649:JFC458650 JOY458649:JOY458650 JYU458649:JYU458650 KIQ458649:KIQ458650 KSM458649:KSM458650 LCI458649:LCI458650 LME458649:LME458650 LWA458649:LWA458650 MFW458649:MFW458650 MPS458649:MPS458650 MZO458649:MZO458650 NJK458649:NJK458650 NTG458649:NTG458650 ODC458649:ODC458650 OMY458649:OMY458650 OWU458649:OWU458650 PGQ458649:PGQ458650 PQM458649:PQM458650 QAI458649:QAI458650 QKE458649:QKE458650 QUA458649:QUA458650 RDW458649:RDW458650 RNS458649:RNS458650 RXO458649:RXO458650 SHK458649:SHK458650 SRG458649:SRG458650 TBC458649:TBC458650 TKY458649:TKY458650 TUU458649:TUU458650 UEQ458649:UEQ458650 UOM458649:UOM458650 UYI458649:UYI458650 VIE458649:VIE458650 VSA458649:VSA458650 WBW458649:WBW458650 WLS458649:WLS458650 WVO458649:WVO458650 D524185:D524186 JC524185:JC524186 SY524185:SY524186 ACU524185:ACU524186 AMQ524185:AMQ524186 AWM524185:AWM524186 BGI524185:BGI524186 BQE524185:BQE524186 CAA524185:CAA524186 CJW524185:CJW524186 CTS524185:CTS524186 DDO524185:DDO524186 DNK524185:DNK524186 DXG524185:DXG524186 EHC524185:EHC524186 EQY524185:EQY524186 FAU524185:FAU524186 FKQ524185:FKQ524186 FUM524185:FUM524186 GEI524185:GEI524186 GOE524185:GOE524186 GYA524185:GYA524186 HHW524185:HHW524186 HRS524185:HRS524186 IBO524185:IBO524186 ILK524185:ILK524186 IVG524185:IVG524186 JFC524185:JFC524186 JOY524185:JOY524186 JYU524185:JYU524186 KIQ524185:KIQ524186 KSM524185:KSM524186 LCI524185:LCI524186 LME524185:LME524186 LWA524185:LWA524186 MFW524185:MFW524186 MPS524185:MPS524186 MZO524185:MZO524186 NJK524185:NJK524186 NTG524185:NTG524186 ODC524185:ODC524186 OMY524185:OMY524186 OWU524185:OWU524186 PGQ524185:PGQ524186 PQM524185:PQM524186 QAI524185:QAI524186 QKE524185:QKE524186 QUA524185:QUA524186 RDW524185:RDW524186 RNS524185:RNS524186 RXO524185:RXO524186 SHK524185:SHK524186 SRG524185:SRG524186 TBC524185:TBC524186 TKY524185:TKY524186 TUU524185:TUU524186 UEQ524185:UEQ524186 UOM524185:UOM524186 UYI524185:UYI524186 VIE524185:VIE524186 VSA524185:VSA524186 WBW524185:WBW524186 WLS524185:WLS524186 WVO524185:WVO524186 D589721:D589722 JC589721:JC589722 SY589721:SY589722 ACU589721:ACU589722 AMQ589721:AMQ589722 AWM589721:AWM589722 BGI589721:BGI589722 BQE589721:BQE589722 CAA589721:CAA589722 CJW589721:CJW589722 CTS589721:CTS589722 DDO589721:DDO589722 DNK589721:DNK589722 DXG589721:DXG589722 EHC589721:EHC589722 EQY589721:EQY589722 FAU589721:FAU589722 FKQ589721:FKQ589722 FUM589721:FUM589722 GEI589721:GEI589722 GOE589721:GOE589722 GYA589721:GYA589722 HHW589721:HHW589722 HRS589721:HRS589722 IBO589721:IBO589722 ILK589721:ILK589722 IVG589721:IVG589722 JFC589721:JFC589722 JOY589721:JOY589722 JYU589721:JYU589722 KIQ589721:KIQ589722 KSM589721:KSM589722 LCI589721:LCI589722 LME589721:LME589722 LWA589721:LWA589722 MFW589721:MFW589722 MPS589721:MPS589722 MZO589721:MZO589722 NJK589721:NJK589722 NTG589721:NTG589722 ODC589721:ODC589722 OMY589721:OMY589722 OWU589721:OWU589722 PGQ589721:PGQ589722 PQM589721:PQM589722 QAI589721:QAI589722 QKE589721:QKE589722 QUA589721:QUA589722 RDW589721:RDW589722 RNS589721:RNS589722 RXO589721:RXO589722 SHK589721:SHK589722 SRG589721:SRG589722 TBC589721:TBC589722 TKY589721:TKY589722 TUU589721:TUU589722 UEQ589721:UEQ589722 UOM589721:UOM589722 UYI589721:UYI589722 VIE589721:VIE589722 VSA589721:VSA589722 WBW589721:WBW589722 WLS589721:WLS589722 WVO589721:WVO589722 D655257:D655258 JC655257:JC655258 SY655257:SY655258 ACU655257:ACU655258 AMQ655257:AMQ655258 AWM655257:AWM655258 BGI655257:BGI655258 BQE655257:BQE655258 CAA655257:CAA655258 CJW655257:CJW655258 CTS655257:CTS655258 DDO655257:DDO655258 DNK655257:DNK655258 DXG655257:DXG655258 EHC655257:EHC655258 EQY655257:EQY655258 FAU655257:FAU655258 FKQ655257:FKQ655258 FUM655257:FUM655258 GEI655257:GEI655258 GOE655257:GOE655258 GYA655257:GYA655258 HHW655257:HHW655258 HRS655257:HRS655258 IBO655257:IBO655258 ILK655257:ILK655258 IVG655257:IVG655258 JFC655257:JFC655258 JOY655257:JOY655258 JYU655257:JYU655258 KIQ655257:KIQ655258 KSM655257:KSM655258 LCI655257:LCI655258 LME655257:LME655258 LWA655257:LWA655258 MFW655257:MFW655258 MPS655257:MPS655258 MZO655257:MZO655258 NJK655257:NJK655258 NTG655257:NTG655258 ODC655257:ODC655258 OMY655257:OMY655258 OWU655257:OWU655258 PGQ655257:PGQ655258 PQM655257:PQM655258 QAI655257:QAI655258 QKE655257:QKE655258 QUA655257:QUA655258 RDW655257:RDW655258 RNS655257:RNS655258 RXO655257:RXO655258 SHK655257:SHK655258 SRG655257:SRG655258 TBC655257:TBC655258 TKY655257:TKY655258 TUU655257:TUU655258 UEQ655257:UEQ655258 UOM655257:UOM655258 UYI655257:UYI655258 VIE655257:VIE655258 VSA655257:VSA655258 WBW655257:WBW655258 WLS655257:WLS655258 WVO655257:WVO655258 D720793:D720794 JC720793:JC720794 SY720793:SY720794 ACU720793:ACU720794 AMQ720793:AMQ720794 AWM720793:AWM720794 BGI720793:BGI720794 BQE720793:BQE720794 CAA720793:CAA720794 CJW720793:CJW720794 CTS720793:CTS720794 DDO720793:DDO720794 DNK720793:DNK720794 DXG720793:DXG720794 EHC720793:EHC720794 EQY720793:EQY720794 FAU720793:FAU720794 FKQ720793:FKQ720794 FUM720793:FUM720794 GEI720793:GEI720794 GOE720793:GOE720794 GYA720793:GYA720794 HHW720793:HHW720794 HRS720793:HRS720794 IBO720793:IBO720794 ILK720793:ILK720794 IVG720793:IVG720794 JFC720793:JFC720794 JOY720793:JOY720794 JYU720793:JYU720794 KIQ720793:KIQ720794 KSM720793:KSM720794 LCI720793:LCI720794 LME720793:LME720794 LWA720793:LWA720794 MFW720793:MFW720794 MPS720793:MPS720794 MZO720793:MZO720794 NJK720793:NJK720794 NTG720793:NTG720794 ODC720793:ODC720794 OMY720793:OMY720794 OWU720793:OWU720794 PGQ720793:PGQ720794 PQM720793:PQM720794 QAI720793:QAI720794 QKE720793:QKE720794 QUA720793:QUA720794 RDW720793:RDW720794 RNS720793:RNS720794 RXO720793:RXO720794 SHK720793:SHK720794 SRG720793:SRG720794 TBC720793:TBC720794 TKY720793:TKY720794 TUU720793:TUU720794 UEQ720793:UEQ720794 UOM720793:UOM720794 UYI720793:UYI720794 VIE720793:VIE720794 VSA720793:VSA720794 WBW720793:WBW720794 WLS720793:WLS720794 WVO720793:WVO720794 D786329:D786330 JC786329:JC786330 SY786329:SY786330 ACU786329:ACU786330 AMQ786329:AMQ786330 AWM786329:AWM786330 BGI786329:BGI786330 BQE786329:BQE786330 CAA786329:CAA786330 CJW786329:CJW786330 CTS786329:CTS786330 DDO786329:DDO786330 DNK786329:DNK786330 DXG786329:DXG786330 EHC786329:EHC786330 EQY786329:EQY786330 FAU786329:FAU786330 FKQ786329:FKQ786330 FUM786329:FUM786330 GEI786329:GEI786330 GOE786329:GOE786330 GYA786329:GYA786330 HHW786329:HHW786330 HRS786329:HRS786330 IBO786329:IBO786330 ILK786329:ILK786330 IVG786329:IVG786330 JFC786329:JFC786330 JOY786329:JOY786330 JYU786329:JYU786330 KIQ786329:KIQ786330 KSM786329:KSM786330 LCI786329:LCI786330 LME786329:LME786330 LWA786329:LWA786330 MFW786329:MFW786330 MPS786329:MPS786330 MZO786329:MZO786330 NJK786329:NJK786330 NTG786329:NTG786330 ODC786329:ODC786330 OMY786329:OMY786330 OWU786329:OWU786330 PGQ786329:PGQ786330 PQM786329:PQM786330 QAI786329:QAI786330 QKE786329:QKE786330 QUA786329:QUA786330 RDW786329:RDW786330 RNS786329:RNS786330 RXO786329:RXO786330 SHK786329:SHK786330 SRG786329:SRG786330 TBC786329:TBC786330 TKY786329:TKY786330 TUU786329:TUU786330 UEQ786329:UEQ786330 UOM786329:UOM786330 UYI786329:UYI786330 VIE786329:VIE786330 VSA786329:VSA786330 WBW786329:WBW786330 WLS786329:WLS786330 WVO786329:WVO786330 D851865:D851866 JC851865:JC851866 SY851865:SY851866 ACU851865:ACU851866 AMQ851865:AMQ851866 AWM851865:AWM851866 BGI851865:BGI851866 BQE851865:BQE851866 CAA851865:CAA851866 CJW851865:CJW851866 CTS851865:CTS851866 DDO851865:DDO851866 DNK851865:DNK851866 DXG851865:DXG851866 EHC851865:EHC851866 EQY851865:EQY851866 FAU851865:FAU851866 FKQ851865:FKQ851866 FUM851865:FUM851866 GEI851865:GEI851866 GOE851865:GOE851866 GYA851865:GYA851866 HHW851865:HHW851866 HRS851865:HRS851866 IBO851865:IBO851866 ILK851865:ILK851866 IVG851865:IVG851866 JFC851865:JFC851866 JOY851865:JOY851866 JYU851865:JYU851866 KIQ851865:KIQ851866 KSM851865:KSM851866 LCI851865:LCI851866 LME851865:LME851866 LWA851865:LWA851866 MFW851865:MFW851866 MPS851865:MPS851866 MZO851865:MZO851866 NJK851865:NJK851866 NTG851865:NTG851866 ODC851865:ODC851866 OMY851865:OMY851866 OWU851865:OWU851866 PGQ851865:PGQ851866 PQM851865:PQM851866 QAI851865:QAI851866 QKE851865:QKE851866 QUA851865:QUA851866 RDW851865:RDW851866 RNS851865:RNS851866 RXO851865:RXO851866 SHK851865:SHK851866 SRG851865:SRG851866 TBC851865:TBC851866 TKY851865:TKY851866 TUU851865:TUU851866 UEQ851865:UEQ851866 UOM851865:UOM851866 UYI851865:UYI851866 VIE851865:VIE851866 VSA851865:VSA851866 WBW851865:WBW851866 WLS851865:WLS851866 WVO851865:WVO851866 D917401:D917402 JC917401:JC917402 SY917401:SY917402 ACU917401:ACU917402 AMQ917401:AMQ917402 AWM917401:AWM917402 BGI917401:BGI917402 BQE917401:BQE917402 CAA917401:CAA917402 CJW917401:CJW917402 CTS917401:CTS917402 DDO917401:DDO917402 DNK917401:DNK917402 DXG917401:DXG917402 EHC917401:EHC917402 EQY917401:EQY917402 FAU917401:FAU917402 FKQ917401:FKQ917402 FUM917401:FUM917402 GEI917401:GEI917402 GOE917401:GOE917402 GYA917401:GYA917402 HHW917401:HHW917402 HRS917401:HRS917402 IBO917401:IBO917402 ILK917401:ILK917402 IVG917401:IVG917402 JFC917401:JFC917402 JOY917401:JOY917402 JYU917401:JYU917402 KIQ917401:KIQ917402 KSM917401:KSM917402 LCI917401:LCI917402 LME917401:LME917402 LWA917401:LWA917402 MFW917401:MFW917402 MPS917401:MPS917402 MZO917401:MZO917402 NJK917401:NJK917402 NTG917401:NTG917402 ODC917401:ODC917402 OMY917401:OMY917402 OWU917401:OWU917402 PGQ917401:PGQ917402 PQM917401:PQM917402 QAI917401:QAI917402 QKE917401:QKE917402 QUA917401:QUA917402 RDW917401:RDW917402 RNS917401:RNS917402 RXO917401:RXO917402 SHK917401:SHK917402 SRG917401:SRG917402 TBC917401:TBC917402 TKY917401:TKY917402 TUU917401:TUU917402 UEQ917401:UEQ917402 UOM917401:UOM917402 UYI917401:UYI917402 VIE917401:VIE917402 VSA917401:VSA917402 WBW917401:WBW917402 WLS917401:WLS917402 WVO917401:WVO917402 D982937:D982938 JC982937:JC982938 SY982937:SY982938 ACU982937:ACU982938 AMQ982937:AMQ982938 AWM982937:AWM982938 BGI982937:BGI982938 BQE982937:BQE982938 CAA982937:CAA982938 CJW982937:CJW982938 CTS982937:CTS982938 DDO982937:DDO982938 DNK982937:DNK982938 DXG982937:DXG982938 EHC982937:EHC982938 EQY982937:EQY982938 FAU982937:FAU982938 FKQ982937:FKQ982938 FUM982937:FUM982938 GEI982937:GEI982938 GOE982937:GOE982938 GYA982937:GYA982938 HHW982937:HHW982938 HRS982937:HRS982938 IBO982937:IBO982938 ILK982937:ILK982938 IVG982937:IVG982938 JFC982937:JFC982938 JOY982937:JOY982938 JYU982937:JYU982938 KIQ982937:KIQ982938 KSM982937:KSM982938 LCI982937:LCI982938 LME982937:LME982938 LWA982937:LWA982938 MFW982937:MFW982938 MPS982937:MPS982938 MZO982937:MZO982938 NJK982937:NJK982938 NTG982937:NTG982938 ODC982937:ODC982938 OMY982937:OMY982938 OWU982937:OWU982938 PGQ982937:PGQ982938 PQM982937:PQM982938 QAI982937:QAI982938 QKE982937:QKE982938 QUA982937:QUA982938 RDW982937:RDW982938 RNS982937:RNS982938 RXO982937:RXO982938 SHK982937:SHK982938 SRG982937:SRG982938 TBC982937:TBC982938 TKY982937:TKY982938 TUU982937:TUU982938 UEQ982937:UEQ982938 UOM982937:UOM982938 UYI982937:UYI982938 VIE982937:VIE982938 VSA982937:VSA982938 WBW982937:WBW982938 WLS982937:WLS982938 WVO982937:WVO982938 D65444:D65446 JC65444:JC65446 SY65444:SY65446 ACU65444:ACU65446 AMQ65444:AMQ65446 AWM65444:AWM65446 BGI65444:BGI65446 BQE65444:BQE65446 CAA65444:CAA65446 CJW65444:CJW65446 CTS65444:CTS65446 DDO65444:DDO65446 DNK65444:DNK65446 DXG65444:DXG65446 EHC65444:EHC65446 EQY65444:EQY65446 FAU65444:FAU65446 FKQ65444:FKQ65446 FUM65444:FUM65446 GEI65444:GEI65446 GOE65444:GOE65446 GYA65444:GYA65446 HHW65444:HHW65446 HRS65444:HRS65446 IBO65444:IBO65446 ILK65444:ILK65446 IVG65444:IVG65446 JFC65444:JFC65446 JOY65444:JOY65446 JYU65444:JYU65446 KIQ65444:KIQ65446 KSM65444:KSM65446 LCI65444:LCI65446 LME65444:LME65446 LWA65444:LWA65446 MFW65444:MFW65446 MPS65444:MPS65446 MZO65444:MZO65446 NJK65444:NJK65446 NTG65444:NTG65446 ODC65444:ODC65446 OMY65444:OMY65446 OWU65444:OWU65446 PGQ65444:PGQ65446 PQM65444:PQM65446 QAI65444:QAI65446 QKE65444:QKE65446 QUA65444:QUA65446 RDW65444:RDW65446 RNS65444:RNS65446 RXO65444:RXO65446 SHK65444:SHK65446 SRG65444:SRG65446 TBC65444:TBC65446 TKY65444:TKY65446 TUU65444:TUU65446 UEQ65444:UEQ65446 UOM65444:UOM65446 UYI65444:UYI65446 VIE65444:VIE65446 VSA65444:VSA65446 WBW65444:WBW65446 WLS65444:WLS65446 WVO65444:WVO65446 D130980:D130982 JC130980:JC130982 SY130980:SY130982 ACU130980:ACU130982 AMQ130980:AMQ130982 AWM130980:AWM130982 BGI130980:BGI130982 BQE130980:BQE130982 CAA130980:CAA130982 CJW130980:CJW130982 CTS130980:CTS130982 DDO130980:DDO130982 DNK130980:DNK130982 DXG130980:DXG130982 EHC130980:EHC130982 EQY130980:EQY130982 FAU130980:FAU130982 FKQ130980:FKQ130982 FUM130980:FUM130982 GEI130980:GEI130982 GOE130980:GOE130982 GYA130980:GYA130982 HHW130980:HHW130982 HRS130980:HRS130982 IBO130980:IBO130982 ILK130980:ILK130982 IVG130980:IVG130982 JFC130980:JFC130982 JOY130980:JOY130982 JYU130980:JYU130982 KIQ130980:KIQ130982 KSM130980:KSM130982 LCI130980:LCI130982 LME130980:LME130982 LWA130980:LWA130982 MFW130980:MFW130982 MPS130980:MPS130982 MZO130980:MZO130982 NJK130980:NJK130982 NTG130980:NTG130982 ODC130980:ODC130982 OMY130980:OMY130982 OWU130980:OWU130982 PGQ130980:PGQ130982 PQM130980:PQM130982 QAI130980:QAI130982 QKE130980:QKE130982 QUA130980:QUA130982 RDW130980:RDW130982 RNS130980:RNS130982 RXO130980:RXO130982 SHK130980:SHK130982 SRG130980:SRG130982 TBC130980:TBC130982 TKY130980:TKY130982 TUU130980:TUU130982 UEQ130980:UEQ130982 UOM130980:UOM130982 UYI130980:UYI130982 VIE130980:VIE130982 VSA130980:VSA130982 WBW130980:WBW130982 WLS130980:WLS130982 WVO130980:WVO130982 D196516:D196518 JC196516:JC196518 SY196516:SY196518 ACU196516:ACU196518 AMQ196516:AMQ196518 AWM196516:AWM196518 BGI196516:BGI196518 BQE196516:BQE196518 CAA196516:CAA196518 CJW196516:CJW196518 CTS196516:CTS196518 DDO196516:DDO196518 DNK196516:DNK196518 DXG196516:DXG196518 EHC196516:EHC196518 EQY196516:EQY196518 FAU196516:FAU196518 FKQ196516:FKQ196518 FUM196516:FUM196518 GEI196516:GEI196518 GOE196516:GOE196518 GYA196516:GYA196518 HHW196516:HHW196518 HRS196516:HRS196518 IBO196516:IBO196518 ILK196516:ILK196518 IVG196516:IVG196518 JFC196516:JFC196518 JOY196516:JOY196518 JYU196516:JYU196518 KIQ196516:KIQ196518 KSM196516:KSM196518 LCI196516:LCI196518 LME196516:LME196518 LWA196516:LWA196518 MFW196516:MFW196518 MPS196516:MPS196518 MZO196516:MZO196518 NJK196516:NJK196518 NTG196516:NTG196518 ODC196516:ODC196518 OMY196516:OMY196518 OWU196516:OWU196518 PGQ196516:PGQ196518 PQM196516:PQM196518 QAI196516:QAI196518 QKE196516:QKE196518 QUA196516:QUA196518 RDW196516:RDW196518 RNS196516:RNS196518 RXO196516:RXO196518 SHK196516:SHK196518 SRG196516:SRG196518 TBC196516:TBC196518 TKY196516:TKY196518 TUU196516:TUU196518 UEQ196516:UEQ196518 UOM196516:UOM196518 UYI196516:UYI196518 VIE196516:VIE196518 VSA196516:VSA196518 WBW196516:WBW196518 WLS196516:WLS196518 WVO196516:WVO196518 D262052:D262054 JC262052:JC262054 SY262052:SY262054 ACU262052:ACU262054 AMQ262052:AMQ262054 AWM262052:AWM262054 BGI262052:BGI262054 BQE262052:BQE262054 CAA262052:CAA262054 CJW262052:CJW262054 CTS262052:CTS262054 DDO262052:DDO262054 DNK262052:DNK262054 DXG262052:DXG262054 EHC262052:EHC262054 EQY262052:EQY262054 FAU262052:FAU262054 FKQ262052:FKQ262054 FUM262052:FUM262054 GEI262052:GEI262054 GOE262052:GOE262054 GYA262052:GYA262054 HHW262052:HHW262054 HRS262052:HRS262054 IBO262052:IBO262054 ILK262052:ILK262054 IVG262052:IVG262054 JFC262052:JFC262054 JOY262052:JOY262054 JYU262052:JYU262054 KIQ262052:KIQ262054 KSM262052:KSM262054 LCI262052:LCI262054 LME262052:LME262054 LWA262052:LWA262054 MFW262052:MFW262054 MPS262052:MPS262054 MZO262052:MZO262054 NJK262052:NJK262054 NTG262052:NTG262054 ODC262052:ODC262054 OMY262052:OMY262054 OWU262052:OWU262054 PGQ262052:PGQ262054 PQM262052:PQM262054 QAI262052:QAI262054 QKE262052:QKE262054 QUA262052:QUA262054 RDW262052:RDW262054 RNS262052:RNS262054 RXO262052:RXO262054 SHK262052:SHK262054 SRG262052:SRG262054 TBC262052:TBC262054 TKY262052:TKY262054 TUU262052:TUU262054 UEQ262052:UEQ262054 UOM262052:UOM262054 UYI262052:UYI262054 VIE262052:VIE262054 VSA262052:VSA262054 WBW262052:WBW262054 WLS262052:WLS262054 WVO262052:WVO262054 D327588:D327590 JC327588:JC327590 SY327588:SY327590 ACU327588:ACU327590 AMQ327588:AMQ327590 AWM327588:AWM327590 BGI327588:BGI327590 BQE327588:BQE327590 CAA327588:CAA327590 CJW327588:CJW327590 CTS327588:CTS327590 DDO327588:DDO327590 DNK327588:DNK327590 DXG327588:DXG327590 EHC327588:EHC327590 EQY327588:EQY327590 FAU327588:FAU327590 FKQ327588:FKQ327590 FUM327588:FUM327590 GEI327588:GEI327590 GOE327588:GOE327590 GYA327588:GYA327590 HHW327588:HHW327590 HRS327588:HRS327590 IBO327588:IBO327590 ILK327588:ILK327590 IVG327588:IVG327590 JFC327588:JFC327590 JOY327588:JOY327590 JYU327588:JYU327590 KIQ327588:KIQ327590 KSM327588:KSM327590 LCI327588:LCI327590 LME327588:LME327590 LWA327588:LWA327590 MFW327588:MFW327590 MPS327588:MPS327590 MZO327588:MZO327590 NJK327588:NJK327590 NTG327588:NTG327590 ODC327588:ODC327590 OMY327588:OMY327590 OWU327588:OWU327590 PGQ327588:PGQ327590 PQM327588:PQM327590 QAI327588:QAI327590 QKE327588:QKE327590 QUA327588:QUA327590 RDW327588:RDW327590 RNS327588:RNS327590 RXO327588:RXO327590 SHK327588:SHK327590 SRG327588:SRG327590 TBC327588:TBC327590 TKY327588:TKY327590 TUU327588:TUU327590 UEQ327588:UEQ327590 UOM327588:UOM327590 UYI327588:UYI327590 VIE327588:VIE327590 VSA327588:VSA327590 WBW327588:WBW327590 WLS327588:WLS327590 WVO327588:WVO327590 D393124:D393126 JC393124:JC393126 SY393124:SY393126 ACU393124:ACU393126 AMQ393124:AMQ393126 AWM393124:AWM393126 BGI393124:BGI393126 BQE393124:BQE393126 CAA393124:CAA393126 CJW393124:CJW393126 CTS393124:CTS393126 DDO393124:DDO393126 DNK393124:DNK393126 DXG393124:DXG393126 EHC393124:EHC393126 EQY393124:EQY393126 FAU393124:FAU393126 FKQ393124:FKQ393126 FUM393124:FUM393126 GEI393124:GEI393126 GOE393124:GOE393126 GYA393124:GYA393126 HHW393124:HHW393126 HRS393124:HRS393126 IBO393124:IBO393126 ILK393124:ILK393126 IVG393124:IVG393126 JFC393124:JFC393126 JOY393124:JOY393126 JYU393124:JYU393126 KIQ393124:KIQ393126 KSM393124:KSM393126 LCI393124:LCI393126 LME393124:LME393126 LWA393124:LWA393126 MFW393124:MFW393126 MPS393124:MPS393126 MZO393124:MZO393126 NJK393124:NJK393126 NTG393124:NTG393126 ODC393124:ODC393126 OMY393124:OMY393126 OWU393124:OWU393126 PGQ393124:PGQ393126 PQM393124:PQM393126 QAI393124:QAI393126 QKE393124:QKE393126 QUA393124:QUA393126 RDW393124:RDW393126 RNS393124:RNS393126 RXO393124:RXO393126 SHK393124:SHK393126 SRG393124:SRG393126 TBC393124:TBC393126 TKY393124:TKY393126 TUU393124:TUU393126 UEQ393124:UEQ393126 UOM393124:UOM393126 UYI393124:UYI393126 VIE393124:VIE393126 VSA393124:VSA393126 WBW393124:WBW393126 WLS393124:WLS393126 WVO393124:WVO393126 D458660:D458662 JC458660:JC458662 SY458660:SY458662 ACU458660:ACU458662 AMQ458660:AMQ458662 AWM458660:AWM458662 BGI458660:BGI458662 BQE458660:BQE458662 CAA458660:CAA458662 CJW458660:CJW458662 CTS458660:CTS458662 DDO458660:DDO458662 DNK458660:DNK458662 DXG458660:DXG458662 EHC458660:EHC458662 EQY458660:EQY458662 FAU458660:FAU458662 FKQ458660:FKQ458662 FUM458660:FUM458662 GEI458660:GEI458662 GOE458660:GOE458662 GYA458660:GYA458662 HHW458660:HHW458662 HRS458660:HRS458662 IBO458660:IBO458662 ILK458660:ILK458662 IVG458660:IVG458662 JFC458660:JFC458662 JOY458660:JOY458662 JYU458660:JYU458662 KIQ458660:KIQ458662 KSM458660:KSM458662 LCI458660:LCI458662 LME458660:LME458662 LWA458660:LWA458662 MFW458660:MFW458662 MPS458660:MPS458662 MZO458660:MZO458662 NJK458660:NJK458662 NTG458660:NTG458662 ODC458660:ODC458662 OMY458660:OMY458662 OWU458660:OWU458662 PGQ458660:PGQ458662 PQM458660:PQM458662 QAI458660:QAI458662 QKE458660:QKE458662 QUA458660:QUA458662 RDW458660:RDW458662 RNS458660:RNS458662 RXO458660:RXO458662 SHK458660:SHK458662 SRG458660:SRG458662 TBC458660:TBC458662 TKY458660:TKY458662 TUU458660:TUU458662 UEQ458660:UEQ458662 UOM458660:UOM458662 UYI458660:UYI458662 VIE458660:VIE458662 VSA458660:VSA458662 WBW458660:WBW458662 WLS458660:WLS458662 WVO458660:WVO458662 D524196:D524198 JC524196:JC524198 SY524196:SY524198 ACU524196:ACU524198 AMQ524196:AMQ524198 AWM524196:AWM524198 BGI524196:BGI524198 BQE524196:BQE524198 CAA524196:CAA524198 CJW524196:CJW524198 CTS524196:CTS524198 DDO524196:DDO524198 DNK524196:DNK524198 DXG524196:DXG524198 EHC524196:EHC524198 EQY524196:EQY524198 FAU524196:FAU524198 FKQ524196:FKQ524198 FUM524196:FUM524198 GEI524196:GEI524198 GOE524196:GOE524198 GYA524196:GYA524198 HHW524196:HHW524198 HRS524196:HRS524198 IBO524196:IBO524198 ILK524196:ILK524198 IVG524196:IVG524198 JFC524196:JFC524198 JOY524196:JOY524198 JYU524196:JYU524198 KIQ524196:KIQ524198 KSM524196:KSM524198 LCI524196:LCI524198 LME524196:LME524198 LWA524196:LWA524198 MFW524196:MFW524198 MPS524196:MPS524198 MZO524196:MZO524198 NJK524196:NJK524198 NTG524196:NTG524198 ODC524196:ODC524198 OMY524196:OMY524198 OWU524196:OWU524198 PGQ524196:PGQ524198 PQM524196:PQM524198 QAI524196:QAI524198 QKE524196:QKE524198 QUA524196:QUA524198 RDW524196:RDW524198 RNS524196:RNS524198 RXO524196:RXO524198 SHK524196:SHK524198 SRG524196:SRG524198 TBC524196:TBC524198 TKY524196:TKY524198 TUU524196:TUU524198 UEQ524196:UEQ524198 UOM524196:UOM524198 UYI524196:UYI524198 VIE524196:VIE524198 VSA524196:VSA524198 WBW524196:WBW524198 WLS524196:WLS524198 WVO524196:WVO524198 D589732:D589734 JC589732:JC589734 SY589732:SY589734 ACU589732:ACU589734 AMQ589732:AMQ589734 AWM589732:AWM589734 BGI589732:BGI589734 BQE589732:BQE589734 CAA589732:CAA589734 CJW589732:CJW589734 CTS589732:CTS589734 DDO589732:DDO589734 DNK589732:DNK589734 DXG589732:DXG589734 EHC589732:EHC589734 EQY589732:EQY589734 FAU589732:FAU589734 FKQ589732:FKQ589734 FUM589732:FUM589734 GEI589732:GEI589734 GOE589732:GOE589734 GYA589732:GYA589734 HHW589732:HHW589734 HRS589732:HRS589734 IBO589732:IBO589734 ILK589732:ILK589734 IVG589732:IVG589734 JFC589732:JFC589734 JOY589732:JOY589734 JYU589732:JYU589734 KIQ589732:KIQ589734 KSM589732:KSM589734 LCI589732:LCI589734 LME589732:LME589734 LWA589732:LWA589734 MFW589732:MFW589734 MPS589732:MPS589734 MZO589732:MZO589734 NJK589732:NJK589734 NTG589732:NTG589734 ODC589732:ODC589734 OMY589732:OMY589734 OWU589732:OWU589734 PGQ589732:PGQ589734 PQM589732:PQM589734 QAI589732:QAI589734 QKE589732:QKE589734 QUA589732:QUA589734 RDW589732:RDW589734 RNS589732:RNS589734 RXO589732:RXO589734 SHK589732:SHK589734 SRG589732:SRG589734 TBC589732:TBC589734 TKY589732:TKY589734 TUU589732:TUU589734 UEQ589732:UEQ589734 UOM589732:UOM589734 UYI589732:UYI589734 VIE589732:VIE589734 VSA589732:VSA589734 WBW589732:WBW589734 WLS589732:WLS589734 WVO589732:WVO589734 D655268:D655270 JC655268:JC655270 SY655268:SY655270 ACU655268:ACU655270 AMQ655268:AMQ655270 AWM655268:AWM655270 BGI655268:BGI655270 BQE655268:BQE655270 CAA655268:CAA655270 CJW655268:CJW655270 CTS655268:CTS655270 DDO655268:DDO655270 DNK655268:DNK655270 DXG655268:DXG655270 EHC655268:EHC655270 EQY655268:EQY655270 FAU655268:FAU655270 FKQ655268:FKQ655270 FUM655268:FUM655270 GEI655268:GEI655270 GOE655268:GOE655270 GYA655268:GYA655270 HHW655268:HHW655270 HRS655268:HRS655270 IBO655268:IBO655270 ILK655268:ILK655270 IVG655268:IVG655270 JFC655268:JFC655270 JOY655268:JOY655270 JYU655268:JYU655270 KIQ655268:KIQ655270 KSM655268:KSM655270 LCI655268:LCI655270 LME655268:LME655270 LWA655268:LWA655270 MFW655268:MFW655270 MPS655268:MPS655270 MZO655268:MZO655270 NJK655268:NJK655270 NTG655268:NTG655270 ODC655268:ODC655270 OMY655268:OMY655270 OWU655268:OWU655270 PGQ655268:PGQ655270 PQM655268:PQM655270 QAI655268:QAI655270 QKE655268:QKE655270 QUA655268:QUA655270 RDW655268:RDW655270 RNS655268:RNS655270 RXO655268:RXO655270 SHK655268:SHK655270 SRG655268:SRG655270 TBC655268:TBC655270 TKY655268:TKY655270 TUU655268:TUU655270 UEQ655268:UEQ655270 UOM655268:UOM655270 UYI655268:UYI655270 VIE655268:VIE655270 VSA655268:VSA655270 WBW655268:WBW655270 WLS655268:WLS655270 WVO655268:WVO655270 D720804:D720806 JC720804:JC720806 SY720804:SY720806 ACU720804:ACU720806 AMQ720804:AMQ720806 AWM720804:AWM720806 BGI720804:BGI720806 BQE720804:BQE720806 CAA720804:CAA720806 CJW720804:CJW720806 CTS720804:CTS720806 DDO720804:DDO720806 DNK720804:DNK720806 DXG720804:DXG720806 EHC720804:EHC720806 EQY720804:EQY720806 FAU720804:FAU720806 FKQ720804:FKQ720806 FUM720804:FUM720806 GEI720804:GEI720806 GOE720804:GOE720806 GYA720804:GYA720806 HHW720804:HHW720806 HRS720804:HRS720806 IBO720804:IBO720806 ILK720804:ILK720806 IVG720804:IVG720806 JFC720804:JFC720806 JOY720804:JOY720806 JYU720804:JYU720806 KIQ720804:KIQ720806 KSM720804:KSM720806 LCI720804:LCI720806 LME720804:LME720806 LWA720804:LWA720806 MFW720804:MFW720806 MPS720804:MPS720806 MZO720804:MZO720806 NJK720804:NJK720806 NTG720804:NTG720806 ODC720804:ODC720806 OMY720804:OMY720806 OWU720804:OWU720806 PGQ720804:PGQ720806 PQM720804:PQM720806 QAI720804:QAI720806 QKE720804:QKE720806 QUA720804:QUA720806 RDW720804:RDW720806 RNS720804:RNS720806 RXO720804:RXO720806 SHK720804:SHK720806 SRG720804:SRG720806 TBC720804:TBC720806 TKY720804:TKY720806 TUU720804:TUU720806 UEQ720804:UEQ720806 UOM720804:UOM720806 UYI720804:UYI720806 VIE720804:VIE720806 VSA720804:VSA720806 WBW720804:WBW720806 WLS720804:WLS720806 WVO720804:WVO720806 D786340:D786342 JC786340:JC786342 SY786340:SY786342 ACU786340:ACU786342 AMQ786340:AMQ786342 AWM786340:AWM786342 BGI786340:BGI786342 BQE786340:BQE786342 CAA786340:CAA786342 CJW786340:CJW786342 CTS786340:CTS786342 DDO786340:DDO786342 DNK786340:DNK786342 DXG786340:DXG786342 EHC786340:EHC786342 EQY786340:EQY786342 FAU786340:FAU786342 FKQ786340:FKQ786342 FUM786340:FUM786342 GEI786340:GEI786342 GOE786340:GOE786342 GYA786340:GYA786342 HHW786340:HHW786342 HRS786340:HRS786342 IBO786340:IBO786342 ILK786340:ILK786342 IVG786340:IVG786342 JFC786340:JFC786342 JOY786340:JOY786342 JYU786340:JYU786342 KIQ786340:KIQ786342 KSM786340:KSM786342 LCI786340:LCI786342 LME786340:LME786342 LWA786340:LWA786342 MFW786340:MFW786342 MPS786340:MPS786342 MZO786340:MZO786342 NJK786340:NJK786342 NTG786340:NTG786342 ODC786340:ODC786342 OMY786340:OMY786342 OWU786340:OWU786342 PGQ786340:PGQ786342 PQM786340:PQM786342 QAI786340:QAI786342 QKE786340:QKE786342 QUA786340:QUA786342 RDW786340:RDW786342 RNS786340:RNS786342 RXO786340:RXO786342 SHK786340:SHK786342 SRG786340:SRG786342 TBC786340:TBC786342 TKY786340:TKY786342 TUU786340:TUU786342 UEQ786340:UEQ786342 UOM786340:UOM786342 UYI786340:UYI786342 VIE786340:VIE786342 VSA786340:VSA786342 WBW786340:WBW786342 WLS786340:WLS786342 WVO786340:WVO786342 D851876:D851878 JC851876:JC851878 SY851876:SY851878 ACU851876:ACU851878 AMQ851876:AMQ851878 AWM851876:AWM851878 BGI851876:BGI851878 BQE851876:BQE851878 CAA851876:CAA851878 CJW851876:CJW851878 CTS851876:CTS851878 DDO851876:DDO851878 DNK851876:DNK851878 DXG851876:DXG851878 EHC851876:EHC851878 EQY851876:EQY851878 FAU851876:FAU851878 FKQ851876:FKQ851878 FUM851876:FUM851878 GEI851876:GEI851878 GOE851876:GOE851878 GYA851876:GYA851878 HHW851876:HHW851878 HRS851876:HRS851878 IBO851876:IBO851878 ILK851876:ILK851878 IVG851876:IVG851878 JFC851876:JFC851878 JOY851876:JOY851878 JYU851876:JYU851878 KIQ851876:KIQ851878 KSM851876:KSM851878 LCI851876:LCI851878 LME851876:LME851878 LWA851876:LWA851878 MFW851876:MFW851878 MPS851876:MPS851878 MZO851876:MZO851878 NJK851876:NJK851878 NTG851876:NTG851878 ODC851876:ODC851878 OMY851876:OMY851878 OWU851876:OWU851878 PGQ851876:PGQ851878 PQM851876:PQM851878 QAI851876:QAI851878 QKE851876:QKE851878 QUA851876:QUA851878 RDW851876:RDW851878 RNS851876:RNS851878 RXO851876:RXO851878 SHK851876:SHK851878 SRG851876:SRG851878 TBC851876:TBC851878 TKY851876:TKY851878 TUU851876:TUU851878 UEQ851876:UEQ851878 UOM851876:UOM851878 UYI851876:UYI851878 VIE851876:VIE851878 VSA851876:VSA851878 WBW851876:WBW851878 WLS851876:WLS851878 WVO851876:WVO851878 D917412:D917414 JC917412:JC917414 SY917412:SY917414 ACU917412:ACU917414 AMQ917412:AMQ917414 AWM917412:AWM917414 BGI917412:BGI917414 BQE917412:BQE917414 CAA917412:CAA917414 CJW917412:CJW917414 CTS917412:CTS917414 DDO917412:DDO917414 DNK917412:DNK917414 DXG917412:DXG917414 EHC917412:EHC917414 EQY917412:EQY917414 FAU917412:FAU917414 FKQ917412:FKQ917414 FUM917412:FUM917414 GEI917412:GEI917414 GOE917412:GOE917414 GYA917412:GYA917414 HHW917412:HHW917414 HRS917412:HRS917414 IBO917412:IBO917414 ILK917412:ILK917414 IVG917412:IVG917414 JFC917412:JFC917414 JOY917412:JOY917414 JYU917412:JYU917414 KIQ917412:KIQ917414 KSM917412:KSM917414 LCI917412:LCI917414 LME917412:LME917414 LWA917412:LWA917414 MFW917412:MFW917414 MPS917412:MPS917414 MZO917412:MZO917414 NJK917412:NJK917414 NTG917412:NTG917414 ODC917412:ODC917414 OMY917412:OMY917414 OWU917412:OWU917414 PGQ917412:PGQ917414 PQM917412:PQM917414 QAI917412:QAI917414 QKE917412:QKE917414 QUA917412:QUA917414 RDW917412:RDW917414 RNS917412:RNS917414 RXO917412:RXO917414 SHK917412:SHK917414 SRG917412:SRG917414 TBC917412:TBC917414 TKY917412:TKY917414 TUU917412:TUU917414 UEQ917412:UEQ917414 UOM917412:UOM917414 UYI917412:UYI917414 VIE917412:VIE917414 VSA917412:VSA917414 WBW917412:WBW917414 WLS917412:WLS917414 WVO917412:WVO917414 D982948:D982950 JC982948:JC982950 SY982948:SY982950 ACU982948:ACU982950 AMQ982948:AMQ982950 AWM982948:AWM982950 BGI982948:BGI982950 BQE982948:BQE982950 CAA982948:CAA982950 CJW982948:CJW982950 CTS982948:CTS982950 DDO982948:DDO982950 DNK982948:DNK982950 DXG982948:DXG982950 EHC982948:EHC982950 EQY982948:EQY982950 FAU982948:FAU982950 FKQ982948:FKQ982950 FUM982948:FUM982950 GEI982948:GEI982950 GOE982948:GOE982950 GYA982948:GYA982950 HHW982948:HHW982950 HRS982948:HRS982950 IBO982948:IBO982950 ILK982948:ILK982950 IVG982948:IVG982950 JFC982948:JFC982950 JOY982948:JOY982950 JYU982948:JYU982950 KIQ982948:KIQ982950 KSM982948:KSM982950 LCI982948:LCI982950 LME982948:LME982950 LWA982948:LWA982950 MFW982948:MFW982950 MPS982948:MPS982950 MZO982948:MZO982950 NJK982948:NJK982950 NTG982948:NTG982950 ODC982948:ODC982950 OMY982948:OMY982950 OWU982948:OWU982950 PGQ982948:PGQ982950 PQM982948:PQM982950 QAI982948:QAI982950 QKE982948:QKE982950 QUA982948:QUA982950 RDW982948:RDW982950 RNS982948:RNS982950 RXO982948:RXO982950 SHK982948:SHK982950 SRG982948:SRG982950 TBC982948:TBC982950 TKY982948:TKY982950 TUU982948:TUU982950 UEQ982948:UEQ982950 UOM982948:UOM982950 UYI982948:UYI982950 VIE982948:VIE982950 VSA982948:VSA982950 WBW982948:WBW982950 WLS982948:WLS982950 WVO982948:WVO982950 O65432:O65447 JN65432:JN65447 TJ65432:TJ65447 ADF65432:ADF65447 ANB65432:ANB65447 AWX65432:AWX65447 BGT65432:BGT65447 BQP65432:BQP65447 CAL65432:CAL65447 CKH65432:CKH65447 CUD65432:CUD65447 DDZ65432:DDZ65447 DNV65432:DNV65447 DXR65432:DXR65447 EHN65432:EHN65447 ERJ65432:ERJ65447 FBF65432:FBF65447 FLB65432:FLB65447 FUX65432:FUX65447 GET65432:GET65447 GOP65432:GOP65447 GYL65432:GYL65447 HIH65432:HIH65447 HSD65432:HSD65447 IBZ65432:IBZ65447 ILV65432:ILV65447 IVR65432:IVR65447 JFN65432:JFN65447 JPJ65432:JPJ65447 JZF65432:JZF65447 KJB65432:KJB65447 KSX65432:KSX65447 LCT65432:LCT65447 LMP65432:LMP65447 LWL65432:LWL65447 MGH65432:MGH65447 MQD65432:MQD65447 MZZ65432:MZZ65447 NJV65432:NJV65447 NTR65432:NTR65447 ODN65432:ODN65447 ONJ65432:ONJ65447 OXF65432:OXF65447 PHB65432:PHB65447 PQX65432:PQX65447 QAT65432:QAT65447 QKP65432:QKP65447 QUL65432:QUL65447 REH65432:REH65447 ROD65432:ROD65447 RXZ65432:RXZ65447 SHV65432:SHV65447 SRR65432:SRR65447 TBN65432:TBN65447 TLJ65432:TLJ65447 TVF65432:TVF65447 UFB65432:UFB65447 UOX65432:UOX65447 UYT65432:UYT65447 VIP65432:VIP65447 VSL65432:VSL65447 WCH65432:WCH65447 WMD65432:WMD65447 WVZ65432:WVZ65447 O130968:O130983 JN130968:JN130983 TJ130968:TJ130983 ADF130968:ADF130983 ANB130968:ANB130983 AWX130968:AWX130983 BGT130968:BGT130983 BQP130968:BQP130983 CAL130968:CAL130983 CKH130968:CKH130983 CUD130968:CUD130983 DDZ130968:DDZ130983 DNV130968:DNV130983 DXR130968:DXR130983 EHN130968:EHN130983 ERJ130968:ERJ130983 FBF130968:FBF130983 FLB130968:FLB130983 FUX130968:FUX130983 GET130968:GET130983 GOP130968:GOP130983 GYL130968:GYL130983 HIH130968:HIH130983 HSD130968:HSD130983 IBZ130968:IBZ130983 ILV130968:ILV130983 IVR130968:IVR130983 JFN130968:JFN130983 JPJ130968:JPJ130983 JZF130968:JZF130983 KJB130968:KJB130983 KSX130968:KSX130983 LCT130968:LCT130983 LMP130968:LMP130983 LWL130968:LWL130983 MGH130968:MGH130983 MQD130968:MQD130983 MZZ130968:MZZ130983 NJV130968:NJV130983 NTR130968:NTR130983 ODN130968:ODN130983 ONJ130968:ONJ130983 OXF130968:OXF130983 PHB130968:PHB130983 PQX130968:PQX130983 QAT130968:QAT130983 QKP130968:QKP130983 QUL130968:QUL130983 REH130968:REH130983 ROD130968:ROD130983 RXZ130968:RXZ130983 SHV130968:SHV130983 SRR130968:SRR130983 TBN130968:TBN130983 TLJ130968:TLJ130983 TVF130968:TVF130983 UFB130968:UFB130983 UOX130968:UOX130983 UYT130968:UYT130983 VIP130968:VIP130983 VSL130968:VSL130983 WCH130968:WCH130983 WMD130968:WMD130983 WVZ130968:WVZ130983 O196504:O196519 JN196504:JN196519 TJ196504:TJ196519 ADF196504:ADF196519 ANB196504:ANB196519 AWX196504:AWX196519 BGT196504:BGT196519 BQP196504:BQP196519 CAL196504:CAL196519 CKH196504:CKH196519 CUD196504:CUD196519 DDZ196504:DDZ196519 DNV196504:DNV196519 DXR196504:DXR196519 EHN196504:EHN196519 ERJ196504:ERJ196519 FBF196504:FBF196519 FLB196504:FLB196519 FUX196504:FUX196519 GET196504:GET196519 GOP196504:GOP196519 GYL196504:GYL196519 HIH196504:HIH196519 HSD196504:HSD196519 IBZ196504:IBZ196519 ILV196504:ILV196519 IVR196504:IVR196519 JFN196504:JFN196519 JPJ196504:JPJ196519 JZF196504:JZF196519 KJB196504:KJB196519 KSX196504:KSX196519 LCT196504:LCT196519 LMP196504:LMP196519 LWL196504:LWL196519 MGH196504:MGH196519 MQD196504:MQD196519 MZZ196504:MZZ196519 NJV196504:NJV196519 NTR196504:NTR196519 ODN196504:ODN196519 ONJ196504:ONJ196519 OXF196504:OXF196519 PHB196504:PHB196519 PQX196504:PQX196519 QAT196504:QAT196519 QKP196504:QKP196519 QUL196504:QUL196519 REH196504:REH196519 ROD196504:ROD196519 RXZ196504:RXZ196519 SHV196504:SHV196519 SRR196504:SRR196519 TBN196504:TBN196519 TLJ196504:TLJ196519 TVF196504:TVF196519 UFB196504:UFB196519 UOX196504:UOX196519 UYT196504:UYT196519 VIP196504:VIP196519 VSL196504:VSL196519 WCH196504:WCH196519 WMD196504:WMD196519 WVZ196504:WVZ196519 O262040:O262055 JN262040:JN262055 TJ262040:TJ262055 ADF262040:ADF262055 ANB262040:ANB262055 AWX262040:AWX262055 BGT262040:BGT262055 BQP262040:BQP262055 CAL262040:CAL262055 CKH262040:CKH262055 CUD262040:CUD262055 DDZ262040:DDZ262055 DNV262040:DNV262055 DXR262040:DXR262055 EHN262040:EHN262055 ERJ262040:ERJ262055 FBF262040:FBF262055 FLB262040:FLB262055 FUX262040:FUX262055 GET262040:GET262055 GOP262040:GOP262055 GYL262040:GYL262055 HIH262040:HIH262055 HSD262040:HSD262055 IBZ262040:IBZ262055 ILV262040:ILV262055 IVR262040:IVR262055 JFN262040:JFN262055 JPJ262040:JPJ262055 JZF262040:JZF262055 KJB262040:KJB262055 KSX262040:KSX262055 LCT262040:LCT262055 LMP262040:LMP262055 LWL262040:LWL262055 MGH262040:MGH262055 MQD262040:MQD262055 MZZ262040:MZZ262055 NJV262040:NJV262055 NTR262040:NTR262055 ODN262040:ODN262055 ONJ262040:ONJ262055 OXF262040:OXF262055 PHB262040:PHB262055 PQX262040:PQX262055 QAT262040:QAT262055 QKP262040:QKP262055 QUL262040:QUL262055 REH262040:REH262055 ROD262040:ROD262055 RXZ262040:RXZ262055 SHV262040:SHV262055 SRR262040:SRR262055 TBN262040:TBN262055 TLJ262040:TLJ262055 TVF262040:TVF262055 UFB262040:UFB262055 UOX262040:UOX262055 UYT262040:UYT262055 VIP262040:VIP262055 VSL262040:VSL262055 WCH262040:WCH262055 WMD262040:WMD262055 WVZ262040:WVZ262055 O327576:O327591 JN327576:JN327591 TJ327576:TJ327591 ADF327576:ADF327591 ANB327576:ANB327591 AWX327576:AWX327591 BGT327576:BGT327591 BQP327576:BQP327591 CAL327576:CAL327591 CKH327576:CKH327591 CUD327576:CUD327591 DDZ327576:DDZ327591 DNV327576:DNV327591 DXR327576:DXR327591 EHN327576:EHN327591 ERJ327576:ERJ327591 FBF327576:FBF327591 FLB327576:FLB327591 FUX327576:FUX327591 GET327576:GET327591 GOP327576:GOP327591 GYL327576:GYL327591 HIH327576:HIH327591 HSD327576:HSD327591 IBZ327576:IBZ327591 ILV327576:ILV327591 IVR327576:IVR327591 JFN327576:JFN327591 JPJ327576:JPJ327591 JZF327576:JZF327591 KJB327576:KJB327591 KSX327576:KSX327591 LCT327576:LCT327591 LMP327576:LMP327591 LWL327576:LWL327591 MGH327576:MGH327591 MQD327576:MQD327591 MZZ327576:MZZ327591 NJV327576:NJV327591 NTR327576:NTR327591 ODN327576:ODN327591 ONJ327576:ONJ327591 OXF327576:OXF327591 PHB327576:PHB327591 PQX327576:PQX327591 QAT327576:QAT327591 QKP327576:QKP327591 QUL327576:QUL327591 REH327576:REH327591 ROD327576:ROD327591 RXZ327576:RXZ327591 SHV327576:SHV327591 SRR327576:SRR327591 TBN327576:TBN327591 TLJ327576:TLJ327591 TVF327576:TVF327591 UFB327576:UFB327591 UOX327576:UOX327591 UYT327576:UYT327591 VIP327576:VIP327591 VSL327576:VSL327591 WCH327576:WCH327591 WMD327576:WMD327591 WVZ327576:WVZ327591 O393112:O393127 JN393112:JN393127 TJ393112:TJ393127 ADF393112:ADF393127 ANB393112:ANB393127 AWX393112:AWX393127 BGT393112:BGT393127 BQP393112:BQP393127 CAL393112:CAL393127 CKH393112:CKH393127 CUD393112:CUD393127 DDZ393112:DDZ393127 DNV393112:DNV393127 DXR393112:DXR393127 EHN393112:EHN393127 ERJ393112:ERJ393127 FBF393112:FBF393127 FLB393112:FLB393127 FUX393112:FUX393127 GET393112:GET393127 GOP393112:GOP393127 GYL393112:GYL393127 HIH393112:HIH393127 HSD393112:HSD393127 IBZ393112:IBZ393127 ILV393112:ILV393127 IVR393112:IVR393127 JFN393112:JFN393127 JPJ393112:JPJ393127 JZF393112:JZF393127 KJB393112:KJB393127 KSX393112:KSX393127 LCT393112:LCT393127 LMP393112:LMP393127 LWL393112:LWL393127 MGH393112:MGH393127 MQD393112:MQD393127 MZZ393112:MZZ393127 NJV393112:NJV393127 NTR393112:NTR393127 ODN393112:ODN393127 ONJ393112:ONJ393127 OXF393112:OXF393127 PHB393112:PHB393127 PQX393112:PQX393127 QAT393112:QAT393127 QKP393112:QKP393127 QUL393112:QUL393127 REH393112:REH393127 ROD393112:ROD393127 RXZ393112:RXZ393127 SHV393112:SHV393127 SRR393112:SRR393127 TBN393112:TBN393127 TLJ393112:TLJ393127 TVF393112:TVF393127 UFB393112:UFB393127 UOX393112:UOX393127 UYT393112:UYT393127 VIP393112:VIP393127 VSL393112:VSL393127 WCH393112:WCH393127 WMD393112:WMD393127 WVZ393112:WVZ393127 O458648:O458663 JN458648:JN458663 TJ458648:TJ458663 ADF458648:ADF458663 ANB458648:ANB458663 AWX458648:AWX458663 BGT458648:BGT458663 BQP458648:BQP458663 CAL458648:CAL458663 CKH458648:CKH458663 CUD458648:CUD458663 DDZ458648:DDZ458663 DNV458648:DNV458663 DXR458648:DXR458663 EHN458648:EHN458663 ERJ458648:ERJ458663 FBF458648:FBF458663 FLB458648:FLB458663 FUX458648:FUX458663 GET458648:GET458663 GOP458648:GOP458663 GYL458648:GYL458663 HIH458648:HIH458663 HSD458648:HSD458663 IBZ458648:IBZ458663 ILV458648:ILV458663 IVR458648:IVR458663 JFN458648:JFN458663 JPJ458648:JPJ458663 JZF458648:JZF458663 KJB458648:KJB458663 KSX458648:KSX458663 LCT458648:LCT458663 LMP458648:LMP458663 LWL458648:LWL458663 MGH458648:MGH458663 MQD458648:MQD458663 MZZ458648:MZZ458663 NJV458648:NJV458663 NTR458648:NTR458663 ODN458648:ODN458663 ONJ458648:ONJ458663 OXF458648:OXF458663 PHB458648:PHB458663 PQX458648:PQX458663 QAT458648:QAT458663 QKP458648:QKP458663 QUL458648:QUL458663 REH458648:REH458663 ROD458648:ROD458663 RXZ458648:RXZ458663 SHV458648:SHV458663 SRR458648:SRR458663 TBN458648:TBN458663 TLJ458648:TLJ458663 TVF458648:TVF458663 UFB458648:UFB458663 UOX458648:UOX458663 UYT458648:UYT458663 VIP458648:VIP458663 VSL458648:VSL458663 WCH458648:WCH458663 WMD458648:WMD458663 WVZ458648:WVZ458663 O524184:O524199 JN524184:JN524199 TJ524184:TJ524199 ADF524184:ADF524199 ANB524184:ANB524199 AWX524184:AWX524199 BGT524184:BGT524199 BQP524184:BQP524199 CAL524184:CAL524199 CKH524184:CKH524199 CUD524184:CUD524199 DDZ524184:DDZ524199 DNV524184:DNV524199 DXR524184:DXR524199 EHN524184:EHN524199 ERJ524184:ERJ524199 FBF524184:FBF524199 FLB524184:FLB524199 FUX524184:FUX524199 GET524184:GET524199 GOP524184:GOP524199 GYL524184:GYL524199 HIH524184:HIH524199 HSD524184:HSD524199 IBZ524184:IBZ524199 ILV524184:ILV524199 IVR524184:IVR524199 JFN524184:JFN524199 JPJ524184:JPJ524199 JZF524184:JZF524199 KJB524184:KJB524199 KSX524184:KSX524199 LCT524184:LCT524199 LMP524184:LMP524199 LWL524184:LWL524199 MGH524184:MGH524199 MQD524184:MQD524199 MZZ524184:MZZ524199 NJV524184:NJV524199 NTR524184:NTR524199 ODN524184:ODN524199 ONJ524184:ONJ524199 OXF524184:OXF524199 PHB524184:PHB524199 PQX524184:PQX524199 QAT524184:QAT524199 QKP524184:QKP524199 QUL524184:QUL524199 REH524184:REH524199 ROD524184:ROD524199 RXZ524184:RXZ524199 SHV524184:SHV524199 SRR524184:SRR524199 TBN524184:TBN524199 TLJ524184:TLJ524199 TVF524184:TVF524199 UFB524184:UFB524199 UOX524184:UOX524199 UYT524184:UYT524199 VIP524184:VIP524199 VSL524184:VSL524199 WCH524184:WCH524199 WMD524184:WMD524199 WVZ524184:WVZ524199 O589720:O589735 JN589720:JN589735 TJ589720:TJ589735 ADF589720:ADF589735 ANB589720:ANB589735 AWX589720:AWX589735 BGT589720:BGT589735 BQP589720:BQP589735 CAL589720:CAL589735 CKH589720:CKH589735 CUD589720:CUD589735 DDZ589720:DDZ589735 DNV589720:DNV589735 DXR589720:DXR589735 EHN589720:EHN589735 ERJ589720:ERJ589735 FBF589720:FBF589735 FLB589720:FLB589735 FUX589720:FUX589735 GET589720:GET589735 GOP589720:GOP589735 GYL589720:GYL589735 HIH589720:HIH589735 HSD589720:HSD589735 IBZ589720:IBZ589735 ILV589720:ILV589735 IVR589720:IVR589735 JFN589720:JFN589735 JPJ589720:JPJ589735 JZF589720:JZF589735 KJB589720:KJB589735 KSX589720:KSX589735 LCT589720:LCT589735 LMP589720:LMP589735 LWL589720:LWL589735 MGH589720:MGH589735 MQD589720:MQD589735 MZZ589720:MZZ589735 NJV589720:NJV589735 NTR589720:NTR589735 ODN589720:ODN589735 ONJ589720:ONJ589735 OXF589720:OXF589735 PHB589720:PHB589735 PQX589720:PQX589735 QAT589720:QAT589735 QKP589720:QKP589735 QUL589720:QUL589735 REH589720:REH589735 ROD589720:ROD589735 RXZ589720:RXZ589735 SHV589720:SHV589735 SRR589720:SRR589735 TBN589720:TBN589735 TLJ589720:TLJ589735 TVF589720:TVF589735 UFB589720:UFB589735 UOX589720:UOX589735 UYT589720:UYT589735 VIP589720:VIP589735 VSL589720:VSL589735 WCH589720:WCH589735 WMD589720:WMD589735 WVZ589720:WVZ589735 O655256:O655271 JN655256:JN655271 TJ655256:TJ655271 ADF655256:ADF655271 ANB655256:ANB655271 AWX655256:AWX655271 BGT655256:BGT655271 BQP655256:BQP655271 CAL655256:CAL655271 CKH655256:CKH655271 CUD655256:CUD655271 DDZ655256:DDZ655271 DNV655256:DNV655271 DXR655256:DXR655271 EHN655256:EHN655271 ERJ655256:ERJ655271 FBF655256:FBF655271 FLB655256:FLB655271 FUX655256:FUX655271 GET655256:GET655271 GOP655256:GOP655271 GYL655256:GYL655271 HIH655256:HIH655271 HSD655256:HSD655271 IBZ655256:IBZ655271 ILV655256:ILV655271 IVR655256:IVR655271 JFN655256:JFN655271 JPJ655256:JPJ655271 JZF655256:JZF655271 KJB655256:KJB655271 KSX655256:KSX655271 LCT655256:LCT655271 LMP655256:LMP655271 LWL655256:LWL655271 MGH655256:MGH655271 MQD655256:MQD655271 MZZ655256:MZZ655271 NJV655256:NJV655271 NTR655256:NTR655271 ODN655256:ODN655271 ONJ655256:ONJ655271 OXF655256:OXF655271 PHB655256:PHB655271 PQX655256:PQX655271 QAT655256:QAT655271 QKP655256:QKP655271 QUL655256:QUL655271 REH655256:REH655271 ROD655256:ROD655271 RXZ655256:RXZ655271 SHV655256:SHV655271 SRR655256:SRR655271 TBN655256:TBN655271 TLJ655256:TLJ655271 TVF655256:TVF655271 UFB655256:UFB655271 UOX655256:UOX655271 UYT655256:UYT655271 VIP655256:VIP655271 VSL655256:VSL655271 WCH655256:WCH655271 WMD655256:WMD655271 WVZ655256:WVZ655271 O720792:O720807 JN720792:JN720807 TJ720792:TJ720807 ADF720792:ADF720807 ANB720792:ANB720807 AWX720792:AWX720807 BGT720792:BGT720807 BQP720792:BQP720807 CAL720792:CAL720807 CKH720792:CKH720807 CUD720792:CUD720807 DDZ720792:DDZ720807 DNV720792:DNV720807 DXR720792:DXR720807 EHN720792:EHN720807 ERJ720792:ERJ720807 FBF720792:FBF720807 FLB720792:FLB720807 FUX720792:FUX720807 GET720792:GET720807 GOP720792:GOP720807 GYL720792:GYL720807 HIH720792:HIH720807 HSD720792:HSD720807 IBZ720792:IBZ720807 ILV720792:ILV720807 IVR720792:IVR720807 JFN720792:JFN720807 JPJ720792:JPJ720807 JZF720792:JZF720807 KJB720792:KJB720807 KSX720792:KSX720807 LCT720792:LCT720807 LMP720792:LMP720807 LWL720792:LWL720807 MGH720792:MGH720807 MQD720792:MQD720807 MZZ720792:MZZ720807 NJV720792:NJV720807 NTR720792:NTR720807 ODN720792:ODN720807 ONJ720792:ONJ720807 OXF720792:OXF720807 PHB720792:PHB720807 PQX720792:PQX720807 QAT720792:QAT720807 QKP720792:QKP720807 QUL720792:QUL720807 REH720792:REH720807 ROD720792:ROD720807 RXZ720792:RXZ720807 SHV720792:SHV720807 SRR720792:SRR720807 TBN720792:TBN720807 TLJ720792:TLJ720807 TVF720792:TVF720807 UFB720792:UFB720807 UOX720792:UOX720807 UYT720792:UYT720807 VIP720792:VIP720807 VSL720792:VSL720807 WCH720792:WCH720807 WMD720792:WMD720807 WVZ720792:WVZ720807 O786328:O786343 JN786328:JN786343 TJ786328:TJ786343 ADF786328:ADF786343 ANB786328:ANB786343 AWX786328:AWX786343 BGT786328:BGT786343 BQP786328:BQP786343 CAL786328:CAL786343 CKH786328:CKH786343 CUD786328:CUD786343 DDZ786328:DDZ786343 DNV786328:DNV786343 DXR786328:DXR786343 EHN786328:EHN786343 ERJ786328:ERJ786343 FBF786328:FBF786343 FLB786328:FLB786343 FUX786328:FUX786343 GET786328:GET786343 GOP786328:GOP786343 GYL786328:GYL786343 HIH786328:HIH786343 HSD786328:HSD786343 IBZ786328:IBZ786343 ILV786328:ILV786343 IVR786328:IVR786343 JFN786328:JFN786343 JPJ786328:JPJ786343 JZF786328:JZF786343 KJB786328:KJB786343 KSX786328:KSX786343 LCT786328:LCT786343 LMP786328:LMP786343 LWL786328:LWL786343 MGH786328:MGH786343 MQD786328:MQD786343 MZZ786328:MZZ786343 NJV786328:NJV786343 NTR786328:NTR786343 ODN786328:ODN786343 ONJ786328:ONJ786343 OXF786328:OXF786343 PHB786328:PHB786343 PQX786328:PQX786343 QAT786328:QAT786343 QKP786328:QKP786343 QUL786328:QUL786343 REH786328:REH786343 ROD786328:ROD786343 RXZ786328:RXZ786343 SHV786328:SHV786343 SRR786328:SRR786343 TBN786328:TBN786343 TLJ786328:TLJ786343 TVF786328:TVF786343 UFB786328:UFB786343 UOX786328:UOX786343 UYT786328:UYT786343 VIP786328:VIP786343 VSL786328:VSL786343 WCH786328:WCH786343 WMD786328:WMD786343 WVZ786328:WVZ786343 O851864:O851879 JN851864:JN851879 TJ851864:TJ851879 ADF851864:ADF851879 ANB851864:ANB851879 AWX851864:AWX851879 BGT851864:BGT851879 BQP851864:BQP851879 CAL851864:CAL851879 CKH851864:CKH851879 CUD851864:CUD851879 DDZ851864:DDZ851879 DNV851864:DNV851879 DXR851864:DXR851879 EHN851864:EHN851879 ERJ851864:ERJ851879 FBF851864:FBF851879 FLB851864:FLB851879 FUX851864:FUX851879 GET851864:GET851879 GOP851864:GOP851879 GYL851864:GYL851879 HIH851864:HIH851879 HSD851864:HSD851879 IBZ851864:IBZ851879 ILV851864:ILV851879 IVR851864:IVR851879 JFN851864:JFN851879 JPJ851864:JPJ851879 JZF851864:JZF851879 KJB851864:KJB851879 KSX851864:KSX851879 LCT851864:LCT851879 LMP851864:LMP851879 LWL851864:LWL851879 MGH851864:MGH851879 MQD851864:MQD851879 MZZ851864:MZZ851879 NJV851864:NJV851879 NTR851864:NTR851879 ODN851864:ODN851879 ONJ851864:ONJ851879 OXF851864:OXF851879 PHB851864:PHB851879 PQX851864:PQX851879 QAT851864:QAT851879 QKP851864:QKP851879 QUL851864:QUL851879 REH851864:REH851879 ROD851864:ROD851879 RXZ851864:RXZ851879 SHV851864:SHV851879 SRR851864:SRR851879 TBN851864:TBN851879 TLJ851864:TLJ851879 TVF851864:TVF851879 UFB851864:UFB851879 UOX851864:UOX851879 UYT851864:UYT851879 VIP851864:VIP851879 VSL851864:VSL851879 WCH851864:WCH851879 WMD851864:WMD851879 WVZ851864:WVZ851879 O917400:O917415 JN917400:JN917415 TJ917400:TJ917415 ADF917400:ADF917415 ANB917400:ANB917415 AWX917400:AWX917415 BGT917400:BGT917415 BQP917400:BQP917415 CAL917400:CAL917415 CKH917400:CKH917415 CUD917400:CUD917415 DDZ917400:DDZ917415 DNV917400:DNV917415 DXR917400:DXR917415 EHN917400:EHN917415 ERJ917400:ERJ917415 FBF917400:FBF917415 FLB917400:FLB917415 FUX917400:FUX917415 GET917400:GET917415 GOP917400:GOP917415 GYL917400:GYL917415 HIH917400:HIH917415 HSD917400:HSD917415 IBZ917400:IBZ917415 ILV917400:ILV917415 IVR917400:IVR917415 JFN917400:JFN917415 JPJ917400:JPJ917415 JZF917400:JZF917415 KJB917400:KJB917415 KSX917400:KSX917415 LCT917400:LCT917415 LMP917400:LMP917415 LWL917400:LWL917415 MGH917400:MGH917415 MQD917400:MQD917415 MZZ917400:MZZ917415 NJV917400:NJV917415 NTR917400:NTR917415 ODN917400:ODN917415 ONJ917400:ONJ917415 OXF917400:OXF917415 PHB917400:PHB917415 PQX917400:PQX917415 QAT917400:QAT917415 QKP917400:QKP917415 QUL917400:QUL917415 REH917400:REH917415 ROD917400:ROD917415 RXZ917400:RXZ917415 SHV917400:SHV917415 SRR917400:SRR917415 TBN917400:TBN917415 TLJ917400:TLJ917415 TVF917400:TVF917415 UFB917400:UFB917415 UOX917400:UOX917415 UYT917400:UYT917415 VIP917400:VIP917415 VSL917400:VSL917415 WCH917400:WCH917415 WMD917400:WMD917415 WVZ917400:WVZ917415 O982936:O982951 JN982936:JN982951 TJ982936:TJ982951 ADF982936:ADF982951 ANB982936:ANB982951 AWX982936:AWX982951 BGT982936:BGT982951 BQP982936:BQP982951 CAL982936:CAL982951 CKH982936:CKH982951 CUD982936:CUD982951 DDZ982936:DDZ982951 DNV982936:DNV982951 DXR982936:DXR982951 EHN982936:EHN982951 ERJ982936:ERJ982951 FBF982936:FBF982951 FLB982936:FLB982951 FUX982936:FUX982951 GET982936:GET982951 GOP982936:GOP982951 GYL982936:GYL982951 HIH982936:HIH982951 HSD982936:HSD982951 IBZ982936:IBZ982951 ILV982936:ILV982951 IVR982936:IVR982951 JFN982936:JFN982951 JPJ982936:JPJ982951 JZF982936:JZF982951 KJB982936:KJB982951 KSX982936:KSX982951 LCT982936:LCT982951 LMP982936:LMP982951 LWL982936:LWL982951 MGH982936:MGH982951 MQD982936:MQD982951 MZZ982936:MZZ982951 NJV982936:NJV982951 NTR982936:NTR982951 ODN982936:ODN982951 ONJ982936:ONJ982951 OXF982936:OXF982951 PHB982936:PHB982951 PQX982936:PQX982951 QAT982936:QAT982951 QKP982936:QKP982951 QUL982936:QUL982951 REH982936:REH982951 ROD982936:ROD982951 RXZ982936:RXZ982951 SHV982936:SHV982951 SRR982936:SRR982951 TBN982936:TBN982951 TLJ982936:TLJ982951 TVF982936:TVF982951 UFB982936:UFB982951 UOX982936:UOX982951 UYT982936:UYT982951 VIP982936:VIP982951 VSL982936:VSL982951 WCH982936:WCH982951 WMD982936:WMD982951 WVZ982936:WVZ982951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B11-EEC6-4C37-B634-039F025C9B00}">
  <sheetPr>
    <tabColor rgb="FFFF0000"/>
  </sheetPr>
  <dimension ref="B1:CM904"/>
  <sheetViews>
    <sheetView showGridLines="0" showOutlineSymbols="0" view="pageBreakPreview" topLeftCell="A93" zoomScale="89" zoomScaleNormal="89" zoomScaleSheetLayoutView="89" workbookViewId="0">
      <selection activeCell="B95" sqref="B95:BA97"/>
    </sheetView>
  </sheetViews>
  <sheetFormatPr defaultRowHeight="13.5" x14ac:dyDescent="0.15"/>
  <cols>
    <col min="1" max="1" width="2.625" style="40" customWidth="1"/>
    <col min="2" max="15" width="3.125" style="40" customWidth="1"/>
    <col min="16" max="16" width="4.25" style="40" customWidth="1"/>
    <col min="17" max="37" width="3.125" style="40" customWidth="1"/>
    <col min="38" max="38" width="4.625" style="40" customWidth="1"/>
    <col min="39" max="42" width="3.125" style="40" customWidth="1"/>
    <col min="43" max="43" width="3.5" style="40" customWidth="1"/>
    <col min="44" max="53" width="3.125" style="40" customWidth="1"/>
    <col min="54" max="54" width="5.625" style="40" customWidth="1"/>
    <col min="55" max="55" width="15.25" style="40" customWidth="1"/>
    <col min="56" max="58" width="2.625" style="40" customWidth="1"/>
    <col min="59" max="59" width="11.625" style="40" bestFit="1" customWidth="1"/>
    <col min="60" max="100" width="2.625" style="40" customWidth="1"/>
    <col min="101" max="260" width="9" style="40"/>
    <col min="261" max="275" width="3.125" style="40" customWidth="1"/>
    <col min="276" max="276" width="5.5" style="40" customWidth="1"/>
    <col min="277" max="277" width="5.625" style="40" customWidth="1"/>
    <col min="278" max="293" width="3.125" style="40" customWidth="1"/>
    <col min="294" max="294" width="5.375" style="40" customWidth="1"/>
    <col min="295" max="296" width="3.125" style="40" customWidth="1"/>
    <col min="297" max="297" width="4.625" style="40" customWidth="1"/>
    <col min="298" max="298" width="3.5" style="40" customWidth="1"/>
    <col min="299" max="309" width="3.125" style="40" customWidth="1"/>
    <col min="310" max="311" width="5.625" style="40" customWidth="1"/>
    <col min="312" max="356" width="2.625" style="40" customWidth="1"/>
    <col min="357" max="516" width="9" style="40"/>
    <col min="517" max="531" width="3.125" style="40" customWidth="1"/>
    <col min="532" max="532" width="5.5" style="40" customWidth="1"/>
    <col min="533" max="533" width="5.625" style="40" customWidth="1"/>
    <col min="534" max="549" width="3.125" style="40" customWidth="1"/>
    <col min="550" max="550" width="5.375" style="40" customWidth="1"/>
    <col min="551" max="552" width="3.125" style="40" customWidth="1"/>
    <col min="553" max="553" width="4.625" style="40" customWidth="1"/>
    <col min="554" max="554" width="3.5" style="40" customWidth="1"/>
    <col min="555" max="565" width="3.125" style="40" customWidth="1"/>
    <col min="566" max="567" width="5.625" style="40" customWidth="1"/>
    <col min="568" max="612" width="2.625" style="40" customWidth="1"/>
    <col min="613" max="772" width="9" style="40"/>
    <col min="773" max="787" width="3.125" style="40" customWidth="1"/>
    <col min="788" max="788" width="5.5" style="40" customWidth="1"/>
    <col min="789" max="789" width="5.625" style="40" customWidth="1"/>
    <col min="790" max="805" width="3.125" style="40" customWidth="1"/>
    <col min="806" max="806" width="5.375" style="40" customWidth="1"/>
    <col min="807" max="808" width="3.125" style="40" customWidth="1"/>
    <col min="809" max="809" width="4.625" style="40" customWidth="1"/>
    <col min="810" max="810" width="3.5" style="40" customWidth="1"/>
    <col min="811" max="821" width="3.125" style="40" customWidth="1"/>
    <col min="822" max="823" width="5.625" style="40" customWidth="1"/>
    <col min="824" max="868" width="2.625" style="40" customWidth="1"/>
    <col min="869" max="1028" width="9" style="40"/>
    <col min="1029" max="1043" width="3.125" style="40" customWidth="1"/>
    <col min="1044" max="1044" width="5.5" style="40" customWidth="1"/>
    <col min="1045" max="1045" width="5.625" style="40" customWidth="1"/>
    <col min="1046" max="1061" width="3.125" style="40" customWidth="1"/>
    <col min="1062" max="1062" width="5.375" style="40" customWidth="1"/>
    <col min="1063" max="1064" width="3.125" style="40" customWidth="1"/>
    <col min="1065" max="1065" width="4.625" style="40" customWidth="1"/>
    <col min="1066" max="1066" width="3.5" style="40" customWidth="1"/>
    <col min="1067" max="1077" width="3.125" style="40" customWidth="1"/>
    <col min="1078" max="1079" width="5.625" style="40" customWidth="1"/>
    <col min="1080" max="1124" width="2.625" style="40" customWidth="1"/>
    <col min="1125" max="1284" width="9" style="40"/>
    <col min="1285" max="1299" width="3.125" style="40" customWidth="1"/>
    <col min="1300" max="1300" width="5.5" style="40" customWidth="1"/>
    <col min="1301" max="1301" width="5.625" style="40" customWidth="1"/>
    <col min="1302" max="1317" width="3.125" style="40" customWidth="1"/>
    <col min="1318" max="1318" width="5.375" style="40" customWidth="1"/>
    <col min="1319" max="1320" width="3.125" style="40" customWidth="1"/>
    <col min="1321" max="1321" width="4.625" style="40" customWidth="1"/>
    <col min="1322" max="1322" width="3.5" style="40" customWidth="1"/>
    <col min="1323" max="1333" width="3.125" style="40" customWidth="1"/>
    <col min="1334" max="1335" width="5.625" style="40" customWidth="1"/>
    <col min="1336" max="1380" width="2.625" style="40" customWidth="1"/>
    <col min="1381" max="1540" width="9" style="40"/>
    <col min="1541" max="1555" width="3.125" style="40" customWidth="1"/>
    <col min="1556" max="1556" width="5.5" style="40" customWidth="1"/>
    <col min="1557" max="1557" width="5.625" style="40" customWidth="1"/>
    <col min="1558" max="1573" width="3.125" style="40" customWidth="1"/>
    <col min="1574" max="1574" width="5.375" style="40" customWidth="1"/>
    <col min="1575" max="1576" width="3.125" style="40" customWidth="1"/>
    <col min="1577" max="1577" width="4.625" style="40" customWidth="1"/>
    <col min="1578" max="1578" width="3.5" style="40" customWidth="1"/>
    <col min="1579" max="1589" width="3.125" style="40" customWidth="1"/>
    <col min="1590" max="1591" width="5.625" style="40" customWidth="1"/>
    <col min="1592" max="1636" width="2.625" style="40" customWidth="1"/>
    <col min="1637" max="1796" width="9" style="40"/>
    <col min="1797" max="1811" width="3.125" style="40" customWidth="1"/>
    <col min="1812" max="1812" width="5.5" style="40" customWidth="1"/>
    <col min="1813" max="1813" width="5.625" style="40" customWidth="1"/>
    <col min="1814" max="1829" width="3.125" style="40" customWidth="1"/>
    <col min="1830" max="1830" width="5.375" style="40" customWidth="1"/>
    <col min="1831" max="1832" width="3.125" style="40" customWidth="1"/>
    <col min="1833" max="1833" width="4.625" style="40" customWidth="1"/>
    <col min="1834" max="1834" width="3.5" style="40" customWidth="1"/>
    <col min="1835" max="1845" width="3.125" style="40" customWidth="1"/>
    <col min="1846" max="1847" width="5.625" style="40" customWidth="1"/>
    <col min="1848" max="1892" width="2.625" style="40" customWidth="1"/>
    <col min="1893" max="2052" width="9" style="40"/>
    <col min="2053" max="2067" width="3.125" style="40" customWidth="1"/>
    <col min="2068" max="2068" width="5.5" style="40" customWidth="1"/>
    <col min="2069" max="2069" width="5.625" style="40" customWidth="1"/>
    <col min="2070" max="2085" width="3.125" style="40" customWidth="1"/>
    <col min="2086" max="2086" width="5.375" style="40" customWidth="1"/>
    <col min="2087" max="2088" width="3.125" style="40" customWidth="1"/>
    <col min="2089" max="2089" width="4.625" style="40" customWidth="1"/>
    <col min="2090" max="2090" width="3.5" style="40" customWidth="1"/>
    <col min="2091" max="2101" width="3.125" style="40" customWidth="1"/>
    <col min="2102" max="2103" width="5.625" style="40" customWidth="1"/>
    <col min="2104" max="2148" width="2.625" style="40" customWidth="1"/>
    <col min="2149" max="2308" width="9" style="40"/>
    <col min="2309" max="2323" width="3.125" style="40" customWidth="1"/>
    <col min="2324" max="2324" width="5.5" style="40" customWidth="1"/>
    <col min="2325" max="2325" width="5.625" style="40" customWidth="1"/>
    <col min="2326" max="2341" width="3.125" style="40" customWidth="1"/>
    <col min="2342" max="2342" width="5.375" style="40" customWidth="1"/>
    <col min="2343" max="2344" width="3.125" style="40" customWidth="1"/>
    <col min="2345" max="2345" width="4.625" style="40" customWidth="1"/>
    <col min="2346" max="2346" width="3.5" style="40" customWidth="1"/>
    <col min="2347" max="2357" width="3.125" style="40" customWidth="1"/>
    <col min="2358" max="2359" width="5.625" style="40" customWidth="1"/>
    <col min="2360" max="2404" width="2.625" style="40" customWidth="1"/>
    <col min="2405" max="2564" width="9" style="40"/>
    <col min="2565" max="2579" width="3.125" style="40" customWidth="1"/>
    <col min="2580" max="2580" width="5.5" style="40" customWidth="1"/>
    <col min="2581" max="2581" width="5.625" style="40" customWidth="1"/>
    <col min="2582" max="2597" width="3.125" style="40" customWidth="1"/>
    <col min="2598" max="2598" width="5.375" style="40" customWidth="1"/>
    <col min="2599" max="2600" width="3.125" style="40" customWidth="1"/>
    <col min="2601" max="2601" width="4.625" style="40" customWidth="1"/>
    <col min="2602" max="2602" width="3.5" style="40" customWidth="1"/>
    <col min="2603" max="2613" width="3.125" style="40" customWidth="1"/>
    <col min="2614" max="2615" width="5.625" style="40" customWidth="1"/>
    <col min="2616" max="2660" width="2.625" style="40" customWidth="1"/>
    <col min="2661" max="2820" width="9" style="40"/>
    <col min="2821" max="2835" width="3.125" style="40" customWidth="1"/>
    <col min="2836" max="2836" width="5.5" style="40" customWidth="1"/>
    <col min="2837" max="2837" width="5.625" style="40" customWidth="1"/>
    <col min="2838" max="2853" width="3.125" style="40" customWidth="1"/>
    <col min="2854" max="2854" width="5.375" style="40" customWidth="1"/>
    <col min="2855" max="2856" width="3.125" style="40" customWidth="1"/>
    <col min="2857" max="2857" width="4.625" style="40" customWidth="1"/>
    <col min="2858" max="2858" width="3.5" style="40" customWidth="1"/>
    <col min="2859" max="2869" width="3.125" style="40" customWidth="1"/>
    <col min="2870" max="2871" width="5.625" style="40" customWidth="1"/>
    <col min="2872" max="2916" width="2.625" style="40" customWidth="1"/>
    <col min="2917" max="3076" width="9" style="40"/>
    <col min="3077" max="3091" width="3.125" style="40" customWidth="1"/>
    <col min="3092" max="3092" width="5.5" style="40" customWidth="1"/>
    <col min="3093" max="3093" width="5.625" style="40" customWidth="1"/>
    <col min="3094" max="3109" width="3.125" style="40" customWidth="1"/>
    <col min="3110" max="3110" width="5.375" style="40" customWidth="1"/>
    <col min="3111" max="3112" width="3.125" style="40" customWidth="1"/>
    <col min="3113" max="3113" width="4.625" style="40" customWidth="1"/>
    <col min="3114" max="3114" width="3.5" style="40" customWidth="1"/>
    <col min="3115" max="3125" width="3.125" style="40" customWidth="1"/>
    <col min="3126" max="3127" width="5.625" style="40" customWidth="1"/>
    <col min="3128" max="3172" width="2.625" style="40" customWidth="1"/>
    <col min="3173" max="3332" width="9" style="40"/>
    <col min="3333" max="3347" width="3.125" style="40" customWidth="1"/>
    <col min="3348" max="3348" width="5.5" style="40" customWidth="1"/>
    <col min="3349" max="3349" width="5.625" style="40" customWidth="1"/>
    <col min="3350" max="3365" width="3.125" style="40" customWidth="1"/>
    <col min="3366" max="3366" width="5.375" style="40" customWidth="1"/>
    <col min="3367" max="3368" width="3.125" style="40" customWidth="1"/>
    <col min="3369" max="3369" width="4.625" style="40" customWidth="1"/>
    <col min="3370" max="3370" width="3.5" style="40" customWidth="1"/>
    <col min="3371" max="3381" width="3.125" style="40" customWidth="1"/>
    <col min="3382" max="3383" width="5.625" style="40" customWidth="1"/>
    <col min="3384" max="3428" width="2.625" style="40" customWidth="1"/>
    <col min="3429" max="3588" width="9" style="40"/>
    <col min="3589" max="3603" width="3.125" style="40" customWidth="1"/>
    <col min="3604" max="3604" width="5.5" style="40" customWidth="1"/>
    <col min="3605" max="3605" width="5.625" style="40" customWidth="1"/>
    <col min="3606" max="3621" width="3.125" style="40" customWidth="1"/>
    <col min="3622" max="3622" width="5.375" style="40" customWidth="1"/>
    <col min="3623" max="3624" width="3.125" style="40" customWidth="1"/>
    <col min="3625" max="3625" width="4.625" style="40" customWidth="1"/>
    <col min="3626" max="3626" width="3.5" style="40" customWidth="1"/>
    <col min="3627" max="3637" width="3.125" style="40" customWidth="1"/>
    <col min="3638" max="3639" width="5.625" style="40" customWidth="1"/>
    <col min="3640" max="3684" width="2.625" style="40" customWidth="1"/>
    <col min="3685" max="3844" width="9" style="40"/>
    <col min="3845" max="3859" width="3.125" style="40" customWidth="1"/>
    <col min="3860" max="3860" width="5.5" style="40" customWidth="1"/>
    <col min="3861" max="3861" width="5.625" style="40" customWidth="1"/>
    <col min="3862" max="3877" width="3.125" style="40" customWidth="1"/>
    <col min="3878" max="3878" width="5.375" style="40" customWidth="1"/>
    <col min="3879" max="3880" width="3.125" style="40" customWidth="1"/>
    <col min="3881" max="3881" width="4.625" style="40" customWidth="1"/>
    <col min="3882" max="3882" width="3.5" style="40" customWidth="1"/>
    <col min="3883" max="3893" width="3.125" style="40" customWidth="1"/>
    <col min="3894" max="3895" width="5.625" style="40" customWidth="1"/>
    <col min="3896" max="3940" width="2.625" style="40" customWidth="1"/>
    <col min="3941" max="4100" width="9" style="40"/>
    <col min="4101" max="4115" width="3.125" style="40" customWidth="1"/>
    <col min="4116" max="4116" width="5.5" style="40" customWidth="1"/>
    <col min="4117" max="4117" width="5.625" style="40" customWidth="1"/>
    <col min="4118" max="4133" width="3.125" style="40" customWidth="1"/>
    <col min="4134" max="4134" width="5.375" style="40" customWidth="1"/>
    <col min="4135" max="4136" width="3.125" style="40" customWidth="1"/>
    <col min="4137" max="4137" width="4.625" style="40" customWidth="1"/>
    <col min="4138" max="4138" width="3.5" style="40" customWidth="1"/>
    <col min="4139" max="4149" width="3.125" style="40" customWidth="1"/>
    <col min="4150" max="4151" width="5.625" style="40" customWidth="1"/>
    <col min="4152" max="4196" width="2.625" style="40" customWidth="1"/>
    <col min="4197" max="4356" width="9" style="40"/>
    <col min="4357" max="4371" width="3.125" style="40" customWidth="1"/>
    <col min="4372" max="4372" width="5.5" style="40" customWidth="1"/>
    <col min="4373" max="4373" width="5.625" style="40" customWidth="1"/>
    <col min="4374" max="4389" width="3.125" style="40" customWidth="1"/>
    <col min="4390" max="4390" width="5.375" style="40" customWidth="1"/>
    <col min="4391" max="4392" width="3.125" style="40" customWidth="1"/>
    <col min="4393" max="4393" width="4.625" style="40" customWidth="1"/>
    <col min="4394" max="4394" width="3.5" style="40" customWidth="1"/>
    <col min="4395" max="4405" width="3.125" style="40" customWidth="1"/>
    <col min="4406" max="4407" width="5.625" style="40" customWidth="1"/>
    <col min="4408" max="4452" width="2.625" style="40" customWidth="1"/>
    <col min="4453" max="4612" width="9" style="40"/>
    <col min="4613" max="4627" width="3.125" style="40" customWidth="1"/>
    <col min="4628" max="4628" width="5.5" style="40" customWidth="1"/>
    <col min="4629" max="4629" width="5.625" style="40" customWidth="1"/>
    <col min="4630" max="4645" width="3.125" style="40" customWidth="1"/>
    <col min="4646" max="4646" width="5.375" style="40" customWidth="1"/>
    <col min="4647" max="4648" width="3.125" style="40" customWidth="1"/>
    <col min="4649" max="4649" width="4.625" style="40" customWidth="1"/>
    <col min="4650" max="4650" width="3.5" style="40" customWidth="1"/>
    <col min="4651" max="4661" width="3.125" style="40" customWidth="1"/>
    <col min="4662" max="4663" width="5.625" style="40" customWidth="1"/>
    <col min="4664" max="4708" width="2.625" style="40" customWidth="1"/>
    <col min="4709" max="4868" width="9" style="40"/>
    <col min="4869" max="4883" width="3.125" style="40" customWidth="1"/>
    <col min="4884" max="4884" width="5.5" style="40" customWidth="1"/>
    <col min="4885" max="4885" width="5.625" style="40" customWidth="1"/>
    <col min="4886" max="4901" width="3.125" style="40" customWidth="1"/>
    <col min="4902" max="4902" width="5.375" style="40" customWidth="1"/>
    <col min="4903" max="4904" width="3.125" style="40" customWidth="1"/>
    <col min="4905" max="4905" width="4.625" style="40" customWidth="1"/>
    <col min="4906" max="4906" width="3.5" style="40" customWidth="1"/>
    <col min="4907" max="4917" width="3.125" style="40" customWidth="1"/>
    <col min="4918" max="4919" width="5.625" style="40" customWidth="1"/>
    <col min="4920" max="4964" width="2.625" style="40" customWidth="1"/>
    <col min="4965" max="5124" width="9" style="40"/>
    <col min="5125" max="5139" width="3.125" style="40" customWidth="1"/>
    <col min="5140" max="5140" width="5.5" style="40" customWidth="1"/>
    <col min="5141" max="5141" width="5.625" style="40" customWidth="1"/>
    <col min="5142" max="5157" width="3.125" style="40" customWidth="1"/>
    <col min="5158" max="5158" width="5.375" style="40" customWidth="1"/>
    <col min="5159" max="5160" width="3.125" style="40" customWidth="1"/>
    <col min="5161" max="5161" width="4.625" style="40" customWidth="1"/>
    <col min="5162" max="5162" width="3.5" style="40" customWidth="1"/>
    <col min="5163" max="5173" width="3.125" style="40" customWidth="1"/>
    <col min="5174" max="5175" width="5.625" style="40" customWidth="1"/>
    <col min="5176" max="5220" width="2.625" style="40" customWidth="1"/>
    <col min="5221" max="5380" width="9" style="40"/>
    <col min="5381" max="5395" width="3.125" style="40" customWidth="1"/>
    <col min="5396" max="5396" width="5.5" style="40" customWidth="1"/>
    <col min="5397" max="5397" width="5.625" style="40" customWidth="1"/>
    <col min="5398" max="5413" width="3.125" style="40" customWidth="1"/>
    <col min="5414" max="5414" width="5.375" style="40" customWidth="1"/>
    <col min="5415" max="5416" width="3.125" style="40" customWidth="1"/>
    <col min="5417" max="5417" width="4.625" style="40" customWidth="1"/>
    <col min="5418" max="5418" width="3.5" style="40" customWidth="1"/>
    <col min="5419" max="5429" width="3.125" style="40" customWidth="1"/>
    <col min="5430" max="5431" width="5.625" style="40" customWidth="1"/>
    <col min="5432" max="5476" width="2.625" style="40" customWidth="1"/>
    <col min="5477" max="5636" width="9" style="40"/>
    <col min="5637" max="5651" width="3.125" style="40" customWidth="1"/>
    <col min="5652" max="5652" width="5.5" style="40" customWidth="1"/>
    <col min="5653" max="5653" width="5.625" style="40" customWidth="1"/>
    <col min="5654" max="5669" width="3.125" style="40" customWidth="1"/>
    <col min="5670" max="5670" width="5.375" style="40" customWidth="1"/>
    <col min="5671" max="5672" width="3.125" style="40" customWidth="1"/>
    <col min="5673" max="5673" width="4.625" style="40" customWidth="1"/>
    <col min="5674" max="5674" width="3.5" style="40" customWidth="1"/>
    <col min="5675" max="5685" width="3.125" style="40" customWidth="1"/>
    <col min="5686" max="5687" width="5.625" style="40" customWidth="1"/>
    <col min="5688" max="5732" width="2.625" style="40" customWidth="1"/>
    <col min="5733" max="5892" width="9" style="40"/>
    <col min="5893" max="5907" width="3.125" style="40" customWidth="1"/>
    <col min="5908" max="5908" width="5.5" style="40" customWidth="1"/>
    <col min="5909" max="5909" width="5.625" style="40" customWidth="1"/>
    <col min="5910" max="5925" width="3.125" style="40" customWidth="1"/>
    <col min="5926" max="5926" width="5.375" style="40" customWidth="1"/>
    <col min="5927" max="5928" width="3.125" style="40" customWidth="1"/>
    <col min="5929" max="5929" width="4.625" style="40" customWidth="1"/>
    <col min="5930" max="5930" width="3.5" style="40" customWidth="1"/>
    <col min="5931" max="5941" width="3.125" style="40" customWidth="1"/>
    <col min="5942" max="5943" width="5.625" style="40" customWidth="1"/>
    <col min="5944" max="5988" width="2.625" style="40" customWidth="1"/>
    <col min="5989" max="6148" width="9" style="40"/>
    <col min="6149" max="6163" width="3.125" style="40" customWidth="1"/>
    <col min="6164" max="6164" width="5.5" style="40" customWidth="1"/>
    <col min="6165" max="6165" width="5.625" style="40" customWidth="1"/>
    <col min="6166" max="6181" width="3.125" style="40" customWidth="1"/>
    <col min="6182" max="6182" width="5.375" style="40" customWidth="1"/>
    <col min="6183" max="6184" width="3.125" style="40" customWidth="1"/>
    <col min="6185" max="6185" width="4.625" style="40" customWidth="1"/>
    <col min="6186" max="6186" width="3.5" style="40" customWidth="1"/>
    <col min="6187" max="6197" width="3.125" style="40" customWidth="1"/>
    <col min="6198" max="6199" width="5.625" style="40" customWidth="1"/>
    <col min="6200" max="6244" width="2.625" style="40" customWidth="1"/>
    <col min="6245" max="6404" width="9" style="40"/>
    <col min="6405" max="6419" width="3.125" style="40" customWidth="1"/>
    <col min="6420" max="6420" width="5.5" style="40" customWidth="1"/>
    <col min="6421" max="6421" width="5.625" style="40" customWidth="1"/>
    <col min="6422" max="6437" width="3.125" style="40" customWidth="1"/>
    <col min="6438" max="6438" width="5.375" style="40" customWidth="1"/>
    <col min="6439" max="6440" width="3.125" style="40" customWidth="1"/>
    <col min="6441" max="6441" width="4.625" style="40" customWidth="1"/>
    <col min="6442" max="6442" width="3.5" style="40" customWidth="1"/>
    <col min="6443" max="6453" width="3.125" style="40" customWidth="1"/>
    <col min="6454" max="6455" width="5.625" style="40" customWidth="1"/>
    <col min="6456" max="6500" width="2.625" style="40" customWidth="1"/>
    <col min="6501" max="6660" width="9" style="40"/>
    <col min="6661" max="6675" width="3.125" style="40" customWidth="1"/>
    <col min="6676" max="6676" width="5.5" style="40" customWidth="1"/>
    <col min="6677" max="6677" width="5.625" style="40" customWidth="1"/>
    <col min="6678" max="6693" width="3.125" style="40" customWidth="1"/>
    <col min="6694" max="6694" width="5.375" style="40" customWidth="1"/>
    <col min="6695" max="6696" width="3.125" style="40" customWidth="1"/>
    <col min="6697" max="6697" width="4.625" style="40" customWidth="1"/>
    <col min="6698" max="6698" width="3.5" style="40" customWidth="1"/>
    <col min="6699" max="6709" width="3.125" style="40" customWidth="1"/>
    <col min="6710" max="6711" width="5.625" style="40" customWidth="1"/>
    <col min="6712" max="6756" width="2.625" style="40" customWidth="1"/>
    <col min="6757" max="6916" width="9" style="40"/>
    <col min="6917" max="6931" width="3.125" style="40" customWidth="1"/>
    <col min="6932" max="6932" width="5.5" style="40" customWidth="1"/>
    <col min="6933" max="6933" width="5.625" style="40" customWidth="1"/>
    <col min="6934" max="6949" width="3.125" style="40" customWidth="1"/>
    <col min="6950" max="6950" width="5.375" style="40" customWidth="1"/>
    <col min="6951" max="6952" width="3.125" style="40" customWidth="1"/>
    <col min="6953" max="6953" width="4.625" style="40" customWidth="1"/>
    <col min="6954" max="6954" width="3.5" style="40" customWidth="1"/>
    <col min="6955" max="6965" width="3.125" style="40" customWidth="1"/>
    <col min="6966" max="6967" width="5.625" style="40" customWidth="1"/>
    <col min="6968" max="7012" width="2.625" style="40" customWidth="1"/>
    <col min="7013" max="7172" width="9" style="40"/>
    <col min="7173" max="7187" width="3.125" style="40" customWidth="1"/>
    <col min="7188" max="7188" width="5.5" style="40" customWidth="1"/>
    <col min="7189" max="7189" width="5.625" style="40" customWidth="1"/>
    <col min="7190" max="7205" width="3.125" style="40" customWidth="1"/>
    <col min="7206" max="7206" width="5.375" style="40" customWidth="1"/>
    <col min="7207" max="7208" width="3.125" style="40" customWidth="1"/>
    <col min="7209" max="7209" width="4.625" style="40" customWidth="1"/>
    <col min="7210" max="7210" width="3.5" style="40" customWidth="1"/>
    <col min="7211" max="7221" width="3.125" style="40" customWidth="1"/>
    <col min="7222" max="7223" width="5.625" style="40" customWidth="1"/>
    <col min="7224" max="7268" width="2.625" style="40" customWidth="1"/>
    <col min="7269" max="7428" width="9" style="40"/>
    <col min="7429" max="7443" width="3.125" style="40" customWidth="1"/>
    <col min="7444" max="7444" width="5.5" style="40" customWidth="1"/>
    <col min="7445" max="7445" width="5.625" style="40" customWidth="1"/>
    <col min="7446" max="7461" width="3.125" style="40" customWidth="1"/>
    <col min="7462" max="7462" width="5.375" style="40" customWidth="1"/>
    <col min="7463" max="7464" width="3.125" style="40" customWidth="1"/>
    <col min="7465" max="7465" width="4.625" style="40" customWidth="1"/>
    <col min="7466" max="7466" width="3.5" style="40" customWidth="1"/>
    <col min="7467" max="7477" width="3.125" style="40" customWidth="1"/>
    <col min="7478" max="7479" width="5.625" style="40" customWidth="1"/>
    <col min="7480" max="7524" width="2.625" style="40" customWidth="1"/>
    <col min="7525" max="7684" width="9" style="40"/>
    <col min="7685" max="7699" width="3.125" style="40" customWidth="1"/>
    <col min="7700" max="7700" width="5.5" style="40" customWidth="1"/>
    <col min="7701" max="7701" width="5.625" style="40" customWidth="1"/>
    <col min="7702" max="7717" width="3.125" style="40" customWidth="1"/>
    <col min="7718" max="7718" width="5.375" style="40" customWidth="1"/>
    <col min="7719" max="7720" width="3.125" style="40" customWidth="1"/>
    <col min="7721" max="7721" width="4.625" style="40" customWidth="1"/>
    <col min="7722" max="7722" width="3.5" style="40" customWidth="1"/>
    <col min="7723" max="7733" width="3.125" style="40" customWidth="1"/>
    <col min="7734" max="7735" width="5.625" style="40" customWidth="1"/>
    <col min="7736" max="7780" width="2.625" style="40" customWidth="1"/>
    <col min="7781" max="7940" width="9" style="40"/>
    <col min="7941" max="7955" width="3.125" style="40" customWidth="1"/>
    <col min="7956" max="7956" width="5.5" style="40" customWidth="1"/>
    <col min="7957" max="7957" width="5.625" style="40" customWidth="1"/>
    <col min="7958" max="7973" width="3.125" style="40" customWidth="1"/>
    <col min="7974" max="7974" width="5.375" style="40" customWidth="1"/>
    <col min="7975" max="7976" width="3.125" style="40" customWidth="1"/>
    <col min="7977" max="7977" width="4.625" style="40" customWidth="1"/>
    <col min="7978" max="7978" width="3.5" style="40" customWidth="1"/>
    <col min="7979" max="7989" width="3.125" style="40" customWidth="1"/>
    <col min="7990" max="7991" width="5.625" style="40" customWidth="1"/>
    <col min="7992" max="8036" width="2.625" style="40" customWidth="1"/>
    <col min="8037" max="8196" width="9" style="40"/>
    <col min="8197" max="8211" width="3.125" style="40" customWidth="1"/>
    <col min="8212" max="8212" width="5.5" style="40" customWidth="1"/>
    <col min="8213" max="8213" width="5.625" style="40" customWidth="1"/>
    <col min="8214" max="8229" width="3.125" style="40" customWidth="1"/>
    <col min="8230" max="8230" width="5.375" style="40" customWidth="1"/>
    <col min="8231" max="8232" width="3.125" style="40" customWidth="1"/>
    <col min="8233" max="8233" width="4.625" style="40" customWidth="1"/>
    <col min="8234" max="8234" width="3.5" style="40" customWidth="1"/>
    <col min="8235" max="8245" width="3.125" style="40" customWidth="1"/>
    <col min="8246" max="8247" width="5.625" style="40" customWidth="1"/>
    <col min="8248" max="8292" width="2.625" style="40" customWidth="1"/>
    <col min="8293" max="8452" width="9" style="40"/>
    <col min="8453" max="8467" width="3.125" style="40" customWidth="1"/>
    <col min="8468" max="8468" width="5.5" style="40" customWidth="1"/>
    <col min="8469" max="8469" width="5.625" style="40" customWidth="1"/>
    <col min="8470" max="8485" width="3.125" style="40" customWidth="1"/>
    <col min="8486" max="8486" width="5.375" style="40" customWidth="1"/>
    <col min="8487" max="8488" width="3.125" style="40" customWidth="1"/>
    <col min="8489" max="8489" width="4.625" style="40" customWidth="1"/>
    <col min="8490" max="8490" width="3.5" style="40" customWidth="1"/>
    <col min="8491" max="8501" width="3.125" style="40" customWidth="1"/>
    <col min="8502" max="8503" width="5.625" style="40" customWidth="1"/>
    <col min="8504" max="8548" width="2.625" style="40" customWidth="1"/>
    <col min="8549" max="8708" width="9" style="40"/>
    <col min="8709" max="8723" width="3.125" style="40" customWidth="1"/>
    <col min="8724" max="8724" width="5.5" style="40" customWidth="1"/>
    <col min="8725" max="8725" width="5.625" style="40" customWidth="1"/>
    <col min="8726" max="8741" width="3.125" style="40" customWidth="1"/>
    <col min="8742" max="8742" width="5.375" style="40" customWidth="1"/>
    <col min="8743" max="8744" width="3.125" style="40" customWidth="1"/>
    <col min="8745" max="8745" width="4.625" style="40" customWidth="1"/>
    <col min="8746" max="8746" width="3.5" style="40" customWidth="1"/>
    <col min="8747" max="8757" width="3.125" style="40" customWidth="1"/>
    <col min="8758" max="8759" width="5.625" style="40" customWidth="1"/>
    <col min="8760" max="8804" width="2.625" style="40" customWidth="1"/>
    <col min="8805" max="8964" width="9" style="40"/>
    <col min="8965" max="8979" width="3.125" style="40" customWidth="1"/>
    <col min="8980" max="8980" width="5.5" style="40" customWidth="1"/>
    <col min="8981" max="8981" width="5.625" style="40" customWidth="1"/>
    <col min="8982" max="8997" width="3.125" style="40" customWidth="1"/>
    <col min="8998" max="8998" width="5.375" style="40" customWidth="1"/>
    <col min="8999" max="9000" width="3.125" style="40" customWidth="1"/>
    <col min="9001" max="9001" width="4.625" style="40" customWidth="1"/>
    <col min="9002" max="9002" width="3.5" style="40" customWidth="1"/>
    <col min="9003" max="9013" width="3.125" style="40" customWidth="1"/>
    <col min="9014" max="9015" width="5.625" style="40" customWidth="1"/>
    <col min="9016" max="9060" width="2.625" style="40" customWidth="1"/>
    <col min="9061" max="9220" width="9" style="40"/>
    <col min="9221" max="9235" width="3.125" style="40" customWidth="1"/>
    <col min="9236" max="9236" width="5.5" style="40" customWidth="1"/>
    <col min="9237" max="9237" width="5.625" style="40" customWidth="1"/>
    <col min="9238" max="9253" width="3.125" style="40" customWidth="1"/>
    <col min="9254" max="9254" width="5.375" style="40" customWidth="1"/>
    <col min="9255" max="9256" width="3.125" style="40" customWidth="1"/>
    <col min="9257" max="9257" width="4.625" style="40" customWidth="1"/>
    <col min="9258" max="9258" width="3.5" style="40" customWidth="1"/>
    <col min="9259" max="9269" width="3.125" style="40" customWidth="1"/>
    <col min="9270" max="9271" width="5.625" style="40" customWidth="1"/>
    <col min="9272" max="9316" width="2.625" style="40" customWidth="1"/>
    <col min="9317" max="9476" width="9" style="40"/>
    <col min="9477" max="9491" width="3.125" style="40" customWidth="1"/>
    <col min="9492" max="9492" width="5.5" style="40" customWidth="1"/>
    <col min="9493" max="9493" width="5.625" style="40" customWidth="1"/>
    <col min="9494" max="9509" width="3.125" style="40" customWidth="1"/>
    <col min="9510" max="9510" width="5.375" style="40" customWidth="1"/>
    <col min="9511" max="9512" width="3.125" style="40" customWidth="1"/>
    <col min="9513" max="9513" width="4.625" style="40" customWidth="1"/>
    <col min="9514" max="9514" width="3.5" style="40" customWidth="1"/>
    <col min="9515" max="9525" width="3.125" style="40" customWidth="1"/>
    <col min="9526" max="9527" width="5.625" style="40" customWidth="1"/>
    <col min="9528" max="9572" width="2.625" style="40" customWidth="1"/>
    <col min="9573" max="9732" width="9" style="40"/>
    <col min="9733" max="9747" width="3.125" style="40" customWidth="1"/>
    <col min="9748" max="9748" width="5.5" style="40" customWidth="1"/>
    <col min="9749" max="9749" width="5.625" style="40" customWidth="1"/>
    <col min="9750" max="9765" width="3.125" style="40" customWidth="1"/>
    <col min="9766" max="9766" width="5.375" style="40" customWidth="1"/>
    <col min="9767" max="9768" width="3.125" style="40" customWidth="1"/>
    <col min="9769" max="9769" width="4.625" style="40" customWidth="1"/>
    <col min="9770" max="9770" width="3.5" style="40" customWidth="1"/>
    <col min="9771" max="9781" width="3.125" style="40" customWidth="1"/>
    <col min="9782" max="9783" width="5.625" style="40" customWidth="1"/>
    <col min="9784" max="9828" width="2.625" style="40" customWidth="1"/>
    <col min="9829" max="9988" width="9" style="40"/>
    <col min="9989" max="10003" width="3.125" style="40" customWidth="1"/>
    <col min="10004" max="10004" width="5.5" style="40" customWidth="1"/>
    <col min="10005" max="10005" width="5.625" style="40" customWidth="1"/>
    <col min="10006" max="10021" width="3.125" style="40" customWidth="1"/>
    <col min="10022" max="10022" width="5.375" style="40" customWidth="1"/>
    <col min="10023" max="10024" width="3.125" style="40" customWidth="1"/>
    <col min="10025" max="10025" width="4.625" style="40" customWidth="1"/>
    <col min="10026" max="10026" width="3.5" style="40" customWidth="1"/>
    <col min="10027" max="10037" width="3.125" style="40" customWidth="1"/>
    <col min="10038" max="10039" width="5.625" style="40" customWidth="1"/>
    <col min="10040" max="10084" width="2.625" style="40" customWidth="1"/>
    <col min="10085" max="10244" width="9" style="40"/>
    <col min="10245" max="10259" width="3.125" style="40" customWidth="1"/>
    <col min="10260" max="10260" width="5.5" style="40" customWidth="1"/>
    <col min="10261" max="10261" width="5.625" style="40" customWidth="1"/>
    <col min="10262" max="10277" width="3.125" style="40" customWidth="1"/>
    <col min="10278" max="10278" width="5.375" style="40" customWidth="1"/>
    <col min="10279" max="10280" width="3.125" style="40" customWidth="1"/>
    <col min="10281" max="10281" width="4.625" style="40" customWidth="1"/>
    <col min="10282" max="10282" width="3.5" style="40" customWidth="1"/>
    <col min="10283" max="10293" width="3.125" style="40" customWidth="1"/>
    <col min="10294" max="10295" width="5.625" style="40" customWidth="1"/>
    <col min="10296" max="10340" width="2.625" style="40" customWidth="1"/>
    <col min="10341" max="10500" width="9" style="40"/>
    <col min="10501" max="10515" width="3.125" style="40" customWidth="1"/>
    <col min="10516" max="10516" width="5.5" style="40" customWidth="1"/>
    <col min="10517" max="10517" width="5.625" style="40" customWidth="1"/>
    <col min="10518" max="10533" width="3.125" style="40" customWidth="1"/>
    <col min="10534" max="10534" width="5.375" style="40" customWidth="1"/>
    <col min="10535" max="10536" width="3.125" style="40" customWidth="1"/>
    <col min="10537" max="10537" width="4.625" style="40" customWidth="1"/>
    <col min="10538" max="10538" width="3.5" style="40" customWidth="1"/>
    <col min="10539" max="10549" width="3.125" style="40" customWidth="1"/>
    <col min="10550" max="10551" width="5.625" style="40" customWidth="1"/>
    <col min="10552" max="10596" width="2.625" style="40" customWidth="1"/>
    <col min="10597" max="10756" width="9" style="40"/>
    <col min="10757" max="10771" width="3.125" style="40" customWidth="1"/>
    <col min="10772" max="10772" width="5.5" style="40" customWidth="1"/>
    <col min="10773" max="10773" width="5.625" style="40" customWidth="1"/>
    <col min="10774" max="10789" width="3.125" style="40" customWidth="1"/>
    <col min="10790" max="10790" width="5.375" style="40" customWidth="1"/>
    <col min="10791" max="10792" width="3.125" style="40" customWidth="1"/>
    <col min="10793" max="10793" width="4.625" style="40" customWidth="1"/>
    <col min="10794" max="10794" width="3.5" style="40" customWidth="1"/>
    <col min="10795" max="10805" width="3.125" style="40" customWidth="1"/>
    <col min="10806" max="10807" width="5.625" style="40" customWidth="1"/>
    <col min="10808" max="10852" width="2.625" style="40" customWidth="1"/>
    <col min="10853" max="11012" width="9" style="40"/>
    <col min="11013" max="11027" width="3.125" style="40" customWidth="1"/>
    <col min="11028" max="11028" width="5.5" style="40" customWidth="1"/>
    <col min="11029" max="11029" width="5.625" style="40" customWidth="1"/>
    <col min="11030" max="11045" width="3.125" style="40" customWidth="1"/>
    <col min="11046" max="11046" width="5.375" style="40" customWidth="1"/>
    <col min="11047" max="11048" width="3.125" style="40" customWidth="1"/>
    <col min="11049" max="11049" width="4.625" style="40" customWidth="1"/>
    <col min="11050" max="11050" width="3.5" style="40" customWidth="1"/>
    <col min="11051" max="11061" width="3.125" style="40" customWidth="1"/>
    <col min="11062" max="11063" width="5.625" style="40" customWidth="1"/>
    <col min="11064" max="11108" width="2.625" style="40" customWidth="1"/>
    <col min="11109" max="11268" width="9" style="40"/>
    <col min="11269" max="11283" width="3.125" style="40" customWidth="1"/>
    <col min="11284" max="11284" width="5.5" style="40" customWidth="1"/>
    <col min="11285" max="11285" width="5.625" style="40" customWidth="1"/>
    <col min="11286" max="11301" width="3.125" style="40" customWidth="1"/>
    <col min="11302" max="11302" width="5.375" style="40" customWidth="1"/>
    <col min="11303" max="11304" width="3.125" style="40" customWidth="1"/>
    <col min="11305" max="11305" width="4.625" style="40" customWidth="1"/>
    <col min="11306" max="11306" width="3.5" style="40" customWidth="1"/>
    <col min="11307" max="11317" width="3.125" style="40" customWidth="1"/>
    <col min="11318" max="11319" width="5.625" style="40" customWidth="1"/>
    <col min="11320" max="11364" width="2.625" style="40" customWidth="1"/>
    <col min="11365" max="11524" width="9" style="40"/>
    <col min="11525" max="11539" width="3.125" style="40" customWidth="1"/>
    <col min="11540" max="11540" width="5.5" style="40" customWidth="1"/>
    <col min="11541" max="11541" width="5.625" style="40" customWidth="1"/>
    <col min="11542" max="11557" width="3.125" style="40" customWidth="1"/>
    <col min="11558" max="11558" width="5.375" style="40" customWidth="1"/>
    <col min="11559" max="11560" width="3.125" style="40" customWidth="1"/>
    <col min="11561" max="11561" width="4.625" style="40" customWidth="1"/>
    <col min="11562" max="11562" width="3.5" style="40" customWidth="1"/>
    <col min="11563" max="11573" width="3.125" style="40" customWidth="1"/>
    <col min="11574" max="11575" width="5.625" style="40" customWidth="1"/>
    <col min="11576" max="11620" width="2.625" style="40" customWidth="1"/>
    <col min="11621" max="11780" width="9" style="40"/>
    <col min="11781" max="11795" width="3.125" style="40" customWidth="1"/>
    <col min="11796" max="11796" width="5.5" style="40" customWidth="1"/>
    <col min="11797" max="11797" width="5.625" style="40" customWidth="1"/>
    <col min="11798" max="11813" width="3.125" style="40" customWidth="1"/>
    <col min="11814" max="11814" width="5.375" style="40" customWidth="1"/>
    <col min="11815" max="11816" width="3.125" style="40" customWidth="1"/>
    <col min="11817" max="11817" width="4.625" style="40" customWidth="1"/>
    <col min="11818" max="11818" width="3.5" style="40" customWidth="1"/>
    <col min="11819" max="11829" width="3.125" style="40" customWidth="1"/>
    <col min="11830" max="11831" width="5.625" style="40" customWidth="1"/>
    <col min="11832" max="11876" width="2.625" style="40" customWidth="1"/>
    <col min="11877" max="12036" width="9" style="40"/>
    <col min="12037" max="12051" width="3.125" style="40" customWidth="1"/>
    <col min="12052" max="12052" width="5.5" style="40" customWidth="1"/>
    <col min="12053" max="12053" width="5.625" style="40" customWidth="1"/>
    <col min="12054" max="12069" width="3.125" style="40" customWidth="1"/>
    <col min="12070" max="12070" width="5.375" style="40" customWidth="1"/>
    <col min="12071" max="12072" width="3.125" style="40" customWidth="1"/>
    <col min="12073" max="12073" width="4.625" style="40" customWidth="1"/>
    <col min="12074" max="12074" width="3.5" style="40" customWidth="1"/>
    <col min="12075" max="12085" width="3.125" style="40" customWidth="1"/>
    <col min="12086" max="12087" width="5.625" style="40" customWidth="1"/>
    <col min="12088" max="12132" width="2.625" style="40" customWidth="1"/>
    <col min="12133" max="12292" width="9" style="40"/>
    <col min="12293" max="12307" width="3.125" style="40" customWidth="1"/>
    <col min="12308" max="12308" width="5.5" style="40" customWidth="1"/>
    <col min="12309" max="12309" width="5.625" style="40" customWidth="1"/>
    <col min="12310" max="12325" width="3.125" style="40" customWidth="1"/>
    <col min="12326" max="12326" width="5.375" style="40" customWidth="1"/>
    <col min="12327" max="12328" width="3.125" style="40" customWidth="1"/>
    <col min="12329" max="12329" width="4.625" style="40" customWidth="1"/>
    <col min="12330" max="12330" width="3.5" style="40" customWidth="1"/>
    <col min="12331" max="12341" width="3.125" style="40" customWidth="1"/>
    <col min="12342" max="12343" width="5.625" style="40" customWidth="1"/>
    <col min="12344" max="12388" width="2.625" style="40" customWidth="1"/>
    <col min="12389" max="12548" width="9" style="40"/>
    <col min="12549" max="12563" width="3.125" style="40" customWidth="1"/>
    <col min="12564" max="12564" width="5.5" style="40" customWidth="1"/>
    <col min="12565" max="12565" width="5.625" style="40" customWidth="1"/>
    <col min="12566" max="12581" width="3.125" style="40" customWidth="1"/>
    <col min="12582" max="12582" width="5.375" style="40" customWidth="1"/>
    <col min="12583" max="12584" width="3.125" style="40" customWidth="1"/>
    <col min="12585" max="12585" width="4.625" style="40" customWidth="1"/>
    <col min="12586" max="12586" width="3.5" style="40" customWidth="1"/>
    <col min="12587" max="12597" width="3.125" style="40" customWidth="1"/>
    <col min="12598" max="12599" width="5.625" style="40" customWidth="1"/>
    <col min="12600" max="12644" width="2.625" style="40" customWidth="1"/>
    <col min="12645" max="12804" width="9" style="40"/>
    <col min="12805" max="12819" width="3.125" style="40" customWidth="1"/>
    <col min="12820" max="12820" width="5.5" style="40" customWidth="1"/>
    <col min="12821" max="12821" width="5.625" style="40" customWidth="1"/>
    <col min="12822" max="12837" width="3.125" style="40" customWidth="1"/>
    <col min="12838" max="12838" width="5.375" style="40" customWidth="1"/>
    <col min="12839" max="12840" width="3.125" style="40" customWidth="1"/>
    <col min="12841" max="12841" width="4.625" style="40" customWidth="1"/>
    <col min="12842" max="12842" width="3.5" style="40" customWidth="1"/>
    <col min="12843" max="12853" width="3.125" style="40" customWidth="1"/>
    <col min="12854" max="12855" width="5.625" style="40" customWidth="1"/>
    <col min="12856" max="12900" width="2.625" style="40" customWidth="1"/>
    <col min="12901" max="13060" width="9" style="40"/>
    <col min="13061" max="13075" width="3.125" style="40" customWidth="1"/>
    <col min="13076" max="13076" width="5.5" style="40" customWidth="1"/>
    <col min="13077" max="13077" width="5.625" style="40" customWidth="1"/>
    <col min="13078" max="13093" width="3.125" style="40" customWidth="1"/>
    <col min="13094" max="13094" width="5.375" style="40" customWidth="1"/>
    <col min="13095" max="13096" width="3.125" style="40" customWidth="1"/>
    <col min="13097" max="13097" width="4.625" style="40" customWidth="1"/>
    <col min="13098" max="13098" width="3.5" style="40" customWidth="1"/>
    <col min="13099" max="13109" width="3.125" style="40" customWidth="1"/>
    <col min="13110" max="13111" width="5.625" style="40" customWidth="1"/>
    <col min="13112" max="13156" width="2.625" style="40" customWidth="1"/>
    <col min="13157" max="13316" width="9" style="40"/>
    <col min="13317" max="13331" width="3.125" style="40" customWidth="1"/>
    <col min="13332" max="13332" width="5.5" style="40" customWidth="1"/>
    <col min="13333" max="13333" width="5.625" style="40" customWidth="1"/>
    <col min="13334" max="13349" width="3.125" style="40" customWidth="1"/>
    <col min="13350" max="13350" width="5.375" style="40" customWidth="1"/>
    <col min="13351" max="13352" width="3.125" style="40" customWidth="1"/>
    <col min="13353" max="13353" width="4.625" style="40" customWidth="1"/>
    <col min="13354" max="13354" width="3.5" style="40" customWidth="1"/>
    <col min="13355" max="13365" width="3.125" style="40" customWidth="1"/>
    <col min="13366" max="13367" width="5.625" style="40" customWidth="1"/>
    <col min="13368" max="13412" width="2.625" style="40" customWidth="1"/>
    <col min="13413" max="13572" width="9" style="40"/>
    <col min="13573" max="13587" width="3.125" style="40" customWidth="1"/>
    <col min="13588" max="13588" width="5.5" style="40" customWidth="1"/>
    <col min="13589" max="13589" width="5.625" style="40" customWidth="1"/>
    <col min="13590" max="13605" width="3.125" style="40" customWidth="1"/>
    <col min="13606" max="13606" width="5.375" style="40" customWidth="1"/>
    <col min="13607" max="13608" width="3.125" style="40" customWidth="1"/>
    <col min="13609" max="13609" width="4.625" style="40" customWidth="1"/>
    <col min="13610" max="13610" width="3.5" style="40" customWidth="1"/>
    <col min="13611" max="13621" width="3.125" style="40" customWidth="1"/>
    <col min="13622" max="13623" width="5.625" style="40" customWidth="1"/>
    <col min="13624" max="13668" width="2.625" style="40" customWidth="1"/>
    <col min="13669" max="13828" width="9" style="40"/>
    <col min="13829" max="13843" width="3.125" style="40" customWidth="1"/>
    <col min="13844" max="13844" width="5.5" style="40" customWidth="1"/>
    <col min="13845" max="13845" width="5.625" style="40" customWidth="1"/>
    <col min="13846" max="13861" width="3.125" style="40" customWidth="1"/>
    <col min="13862" max="13862" width="5.375" style="40" customWidth="1"/>
    <col min="13863" max="13864" width="3.125" style="40" customWidth="1"/>
    <col min="13865" max="13865" width="4.625" style="40" customWidth="1"/>
    <col min="13866" max="13866" width="3.5" style="40" customWidth="1"/>
    <col min="13867" max="13877" width="3.125" style="40" customWidth="1"/>
    <col min="13878" max="13879" width="5.625" style="40" customWidth="1"/>
    <col min="13880" max="13924" width="2.625" style="40" customWidth="1"/>
    <col min="13925" max="14084" width="9" style="40"/>
    <col min="14085" max="14099" width="3.125" style="40" customWidth="1"/>
    <col min="14100" max="14100" width="5.5" style="40" customWidth="1"/>
    <col min="14101" max="14101" width="5.625" style="40" customWidth="1"/>
    <col min="14102" max="14117" width="3.125" style="40" customWidth="1"/>
    <col min="14118" max="14118" width="5.375" style="40" customWidth="1"/>
    <col min="14119" max="14120" width="3.125" style="40" customWidth="1"/>
    <col min="14121" max="14121" width="4.625" style="40" customWidth="1"/>
    <col min="14122" max="14122" width="3.5" style="40" customWidth="1"/>
    <col min="14123" max="14133" width="3.125" style="40" customWidth="1"/>
    <col min="14134" max="14135" width="5.625" style="40" customWidth="1"/>
    <col min="14136" max="14180" width="2.625" style="40" customWidth="1"/>
    <col min="14181" max="14340" width="9" style="40"/>
    <col min="14341" max="14355" width="3.125" style="40" customWidth="1"/>
    <col min="14356" max="14356" width="5.5" style="40" customWidth="1"/>
    <col min="14357" max="14357" width="5.625" style="40" customWidth="1"/>
    <col min="14358" max="14373" width="3.125" style="40" customWidth="1"/>
    <col min="14374" max="14374" width="5.375" style="40" customWidth="1"/>
    <col min="14375" max="14376" width="3.125" style="40" customWidth="1"/>
    <col min="14377" max="14377" width="4.625" style="40" customWidth="1"/>
    <col min="14378" max="14378" width="3.5" style="40" customWidth="1"/>
    <col min="14379" max="14389" width="3.125" style="40" customWidth="1"/>
    <col min="14390" max="14391" width="5.625" style="40" customWidth="1"/>
    <col min="14392" max="14436" width="2.625" style="40" customWidth="1"/>
    <col min="14437" max="14596" width="9" style="40"/>
    <col min="14597" max="14611" width="3.125" style="40" customWidth="1"/>
    <col min="14612" max="14612" width="5.5" style="40" customWidth="1"/>
    <col min="14613" max="14613" width="5.625" style="40" customWidth="1"/>
    <col min="14614" max="14629" width="3.125" style="40" customWidth="1"/>
    <col min="14630" max="14630" width="5.375" style="40" customWidth="1"/>
    <col min="14631" max="14632" width="3.125" style="40" customWidth="1"/>
    <col min="14633" max="14633" width="4.625" style="40" customWidth="1"/>
    <col min="14634" max="14634" width="3.5" style="40" customWidth="1"/>
    <col min="14635" max="14645" width="3.125" style="40" customWidth="1"/>
    <col min="14646" max="14647" width="5.625" style="40" customWidth="1"/>
    <col min="14648" max="14692" width="2.625" style="40" customWidth="1"/>
    <col min="14693" max="14852" width="9" style="40"/>
    <col min="14853" max="14867" width="3.125" style="40" customWidth="1"/>
    <col min="14868" max="14868" width="5.5" style="40" customWidth="1"/>
    <col min="14869" max="14869" width="5.625" style="40" customWidth="1"/>
    <col min="14870" max="14885" width="3.125" style="40" customWidth="1"/>
    <col min="14886" max="14886" width="5.375" style="40" customWidth="1"/>
    <col min="14887" max="14888" width="3.125" style="40" customWidth="1"/>
    <col min="14889" max="14889" width="4.625" style="40" customWidth="1"/>
    <col min="14890" max="14890" width="3.5" style="40" customWidth="1"/>
    <col min="14891" max="14901" width="3.125" style="40" customWidth="1"/>
    <col min="14902" max="14903" width="5.625" style="40" customWidth="1"/>
    <col min="14904" max="14948" width="2.625" style="40" customWidth="1"/>
    <col min="14949" max="15108" width="9" style="40"/>
    <col min="15109" max="15123" width="3.125" style="40" customWidth="1"/>
    <col min="15124" max="15124" width="5.5" style="40" customWidth="1"/>
    <col min="15125" max="15125" width="5.625" style="40" customWidth="1"/>
    <col min="15126" max="15141" width="3.125" style="40" customWidth="1"/>
    <col min="15142" max="15142" width="5.375" style="40" customWidth="1"/>
    <col min="15143" max="15144" width="3.125" style="40" customWidth="1"/>
    <col min="15145" max="15145" width="4.625" style="40" customWidth="1"/>
    <col min="15146" max="15146" width="3.5" style="40" customWidth="1"/>
    <col min="15147" max="15157" width="3.125" style="40" customWidth="1"/>
    <col min="15158" max="15159" width="5.625" style="40" customWidth="1"/>
    <col min="15160" max="15204" width="2.625" style="40" customWidth="1"/>
    <col min="15205" max="15364" width="9" style="40"/>
    <col min="15365" max="15379" width="3.125" style="40" customWidth="1"/>
    <col min="15380" max="15380" width="5.5" style="40" customWidth="1"/>
    <col min="15381" max="15381" width="5.625" style="40" customWidth="1"/>
    <col min="15382" max="15397" width="3.125" style="40" customWidth="1"/>
    <col min="15398" max="15398" width="5.375" style="40" customWidth="1"/>
    <col min="15399" max="15400" width="3.125" style="40" customWidth="1"/>
    <col min="15401" max="15401" width="4.625" style="40" customWidth="1"/>
    <col min="15402" max="15402" width="3.5" style="40" customWidth="1"/>
    <col min="15403" max="15413" width="3.125" style="40" customWidth="1"/>
    <col min="15414" max="15415" width="5.625" style="40" customWidth="1"/>
    <col min="15416" max="15460" width="2.625" style="40" customWidth="1"/>
    <col min="15461" max="15620" width="9" style="40"/>
    <col min="15621" max="15635" width="3.125" style="40" customWidth="1"/>
    <col min="15636" max="15636" width="5.5" style="40" customWidth="1"/>
    <col min="15637" max="15637" width="5.625" style="40" customWidth="1"/>
    <col min="15638" max="15653" width="3.125" style="40" customWidth="1"/>
    <col min="15654" max="15654" width="5.375" style="40" customWidth="1"/>
    <col min="15655" max="15656" width="3.125" style="40" customWidth="1"/>
    <col min="15657" max="15657" width="4.625" style="40" customWidth="1"/>
    <col min="15658" max="15658" width="3.5" style="40" customWidth="1"/>
    <col min="15659" max="15669" width="3.125" style="40" customWidth="1"/>
    <col min="15670" max="15671" width="5.625" style="40" customWidth="1"/>
    <col min="15672" max="15716" width="2.625" style="40" customWidth="1"/>
    <col min="15717" max="15876" width="9" style="40"/>
    <col min="15877" max="15891" width="3.125" style="40" customWidth="1"/>
    <col min="15892" max="15892" width="5.5" style="40" customWidth="1"/>
    <col min="15893" max="15893" width="5.625" style="40" customWidth="1"/>
    <col min="15894" max="15909" width="3.125" style="40" customWidth="1"/>
    <col min="15910" max="15910" width="5.375" style="40" customWidth="1"/>
    <col min="15911" max="15912" width="3.125" style="40" customWidth="1"/>
    <col min="15913" max="15913" width="4.625" style="40" customWidth="1"/>
    <col min="15914" max="15914" width="3.5" style="40" customWidth="1"/>
    <col min="15915" max="15925" width="3.125" style="40" customWidth="1"/>
    <col min="15926" max="15927" width="5.625" style="40" customWidth="1"/>
    <col min="15928" max="15972" width="2.625" style="40" customWidth="1"/>
    <col min="15973" max="16132" width="9" style="40"/>
    <col min="16133" max="16147" width="3.125" style="40" customWidth="1"/>
    <col min="16148" max="16148" width="5.5" style="40" customWidth="1"/>
    <col min="16149" max="16149" width="5.625" style="40" customWidth="1"/>
    <col min="16150" max="16165" width="3.125" style="40" customWidth="1"/>
    <col min="16166" max="16166" width="5.375" style="40" customWidth="1"/>
    <col min="16167" max="16168" width="3.125" style="40" customWidth="1"/>
    <col min="16169" max="16169" width="4.625" style="40" customWidth="1"/>
    <col min="16170" max="16170" width="3.5" style="40" customWidth="1"/>
    <col min="16171" max="16181" width="3.125" style="40" customWidth="1"/>
    <col min="16182" max="16183" width="5.625" style="40" customWidth="1"/>
    <col min="16184" max="16228" width="2.625" style="40" customWidth="1"/>
    <col min="16229" max="16384" width="9" style="40"/>
  </cols>
  <sheetData>
    <row r="1" spans="2:54"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4"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4"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4"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4"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4"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4"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4"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4"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4"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4"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4"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4" ht="13.5" customHeight="1" x14ac:dyDescent="0.15">
      <c r="B13" s="174" t="s">
        <v>87</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4"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4" ht="13.5" customHeight="1" x14ac:dyDescent="0.15">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row>
    <row r="16" spans="2:54"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43"/>
      <c r="AK16" s="43"/>
      <c r="AL16" s="43"/>
      <c r="AM16" s="2"/>
      <c r="AN16" s="2"/>
      <c r="AO16" s="2"/>
      <c r="AP16" s="2"/>
      <c r="AQ16" s="2"/>
      <c r="AR16" s="2"/>
      <c r="AS16" s="2"/>
      <c r="AT16" s="2"/>
      <c r="AU16" s="2"/>
      <c r="AV16" s="2"/>
      <c r="AW16" s="2"/>
      <c r="AX16" s="2"/>
      <c r="AY16" s="2"/>
      <c r="AZ16" s="2"/>
      <c r="BA16" s="2"/>
      <c r="BB16" s="40" t="s">
        <v>89</v>
      </c>
    </row>
    <row r="17" spans="2:54" ht="13.5" customHeight="1" x14ac:dyDescent="0.15">
      <c r="B17" s="175"/>
      <c r="C17" s="175"/>
      <c r="D17" s="175"/>
      <c r="E17" s="175"/>
      <c r="F17" s="175"/>
      <c r="G17" s="175"/>
      <c r="H17" s="175"/>
      <c r="I17" s="175"/>
      <c r="J17" s="175"/>
      <c r="K17" s="175"/>
      <c r="L17" s="175"/>
      <c r="M17" s="175"/>
      <c r="N17" s="175"/>
      <c r="O17" s="43"/>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176"/>
      <c r="AS17" s="176"/>
      <c r="AT17" s="176"/>
      <c r="AU17" s="176"/>
      <c r="AV17" s="176"/>
      <c r="AW17" s="176"/>
      <c r="AX17" s="176"/>
      <c r="AY17" s="176"/>
      <c r="AZ17" s="176"/>
      <c r="BA17" s="176"/>
      <c r="BB17" s="40" t="s">
        <v>88</v>
      </c>
    </row>
    <row r="18" spans="2:54" ht="13.5" customHeight="1" x14ac:dyDescent="0.15">
      <c r="B18" s="130" t="s">
        <v>1</v>
      </c>
      <c r="C18" s="130"/>
      <c r="D18" s="130"/>
      <c r="E18" s="130"/>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4" ht="13.5" customHeight="1" x14ac:dyDescent="0.15">
      <c r="B19" s="131"/>
      <c r="C19" s="131"/>
      <c r="D19" s="131"/>
      <c r="E19" s="131"/>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1" t="s">
        <v>47</v>
      </c>
      <c r="AV19" s="151"/>
      <c r="AW19" s="151"/>
      <c r="AX19" s="151"/>
      <c r="AY19" s="151"/>
      <c r="AZ19" s="151"/>
      <c r="BA19" s="151"/>
    </row>
    <row r="20" spans="2:54" s="21" customFormat="1" ht="13.5" customHeight="1" x14ac:dyDescent="0.15">
      <c r="B20" s="113" t="s">
        <v>2</v>
      </c>
      <c r="C20" s="114"/>
      <c r="D20" s="114"/>
      <c r="E20" s="114"/>
      <c r="F20" s="114"/>
      <c r="G20" s="114"/>
      <c r="H20" s="114"/>
      <c r="I20" s="113" t="s">
        <v>3</v>
      </c>
      <c r="J20" s="114"/>
      <c r="K20" s="114"/>
      <c r="L20" s="114"/>
      <c r="M20" s="114"/>
      <c r="N20" s="114"/>
      <c r="O20" s="114"/>
      <c r="P20" s="114"/>
      <c r="Q20" s="114"/>
      <c r="R20" s="114"/>
      <c r="S20" s="114"/>
      <c r="T20" s="114"/>
      <c r="U20" s="114"/>
      <c r="V20" s="114"/>
      <c r="W20" s="114"/>
      <c r="X20" s="114"/>
      <c r="Y20" s="97" t="s">
        <v>4</v>
      </c>
      <c r="Z20" s="97"/>
      <c r="AA20" s="97"/>
      <c r="AB20" s="97"/>
      <c r="AC20" s="167" t="s">
        <v>5</v>
      </c>
      <c r="AD20" s="167"/>
      <c r="AE20" s="167"/>
      <c r="AF20" s="167"/>
      <c r="AG20" s="97" t="s">
        <v>6</v>
      </c>
      <c r="AH20" s="97"/>
      <c r="AI20" s="97"/>
      <c r="AJ20" s="97"/>
      <c r="AK20" s="97"/>
      <c r="AL20" s="97"/>
      <c r="AM20" s="97"/>
      <c r="AN20" s="97"/>
      <c r="AO20" s="97"/>
      <c r="AP20" s="97"/>
      <c r="AQ20" s="97"/>
      <c r="AR20" s="97"/>
      <c r="AS20" s="97"/>
      <c r="AT20" s="97"/>
      <c r="AU20" s="97"/>
      <c r="AV20" s="97"/>
      <c r="AW20" s="97"/>
      <c r="AX20" s="97"/>
      <c r="AY20" s="97"/>
      <c r="AZ20" s="97"/>
      <c r="BA20" s="97"/>
    </row>
    <row r="21" spans="2:54" s="21" customFormat="1" ht="13.5" customHeight="1" x14ac:dyDescent="0.15">
      <c r="B21" s="116"/>
      <c r="C21" s="117"/>
      <c r="D21" s="117"/>
      <c r="E21" s="117"/>
      <c r="F21" s="117"/>
      <c r="G21" s="117"/>
      <c r="H21" s="117"/>
      <c r="I21" s="119"/>
      <c r="J21" s="120"/>
      <c r="K21" s="120"/>
      <c r="L21" s="120"/>
      <c r="M21" s="120"/>
      <c r="N21" s="120"/>
      <c r="O21" s="120"/>
      <c r="P21" s="120"/>
      <c r="Q21" s="120"/>
      <c r="R21" s="120"/>
      <c r="S21" s="120"/>
      <c r="T21" s="120"/>
      <c r="U21" s="120"/>
      <c r="V21" s="120"/>
      <c r="W21" s="120"/>
      <c r="X21" s="120"/>
      <c r="Y21" s="97"/>
      <c r="Z21" s="97"/>
      <c r="AA21" s="97"/>
      <c r="AB21" s="97"/>
      <c r="AC21" s="167"/>
      <c r="AD21" s="167"/>
      <c r="AE21" s="167"/>
      <c r="AF21" s="167"/>
      <c r="AG21" s="97"/>
      <c r="AH21" s="97"/>
      <c r="AI21" s="97"/>
      <c r="AJ21" s="97"/>
      <c r="AK21" s="97"/>
      <c r="AL21" s="97"/>
      <c r="AM21" s="97"/>
      <c r="AN21" s="97"/>
      <c r="AO21" s="97"/>
      <c r="AP21" s="97"/>
      <c r="AQ21" s="97"/>
      <c r="AR21" s="97"/>
      <c r="AS21" s="97"/>
      <c r="AT21" s="97"/>
      <c r="AU21" s="97"/>
      <c r="AV21" s="97"/>
      <c r="AW21" s="97"/>
      <c r="AX21" s="97"/>
      <c r="AY21" s="97"/>
      <c r="AZ21" s="97"/>
      <c r="BA21" s="97"/>
    </row>
    <row r="22" spans="2:54" s="21" customFormat="1" ht="13.5" customHeight="1" x14ac:dyDescent="0.15">
      <c r="B22" s="116"/>
      <c r="C22" s="117"/>
      <c r="D22" s="117"/>
      <c r="E22" s="117"/>
      <c r="F22" s="117"/>
      <c r="G22" s="117"/>
      <c r="H22" s="117"/>
      <c r="I22" s="113" t="s">
        <v>7</v>
      </c>
      <c r="J22" s="114"/>
      <c r="K22" s="114"/>
      <c r="L22" s="114"/>
      <c r="M22" s="113" t="s">
        <v>8</v>
      </c>
      <c r="N22" s="114"/>
      <c r="O22" s="114"/>
      <c r="P22" s="115"/>
      <c r="Q22" s="86" t="s">
        <v>49</v>
      </c>
      <c r="R22" s="87"/>
      <c r="S22" s="87"/>
      <c r="T22" s="87"/>
      <c r="U22" s="113" t="s">
        <v>9</v>
      </c>
      <c r="V22" s="114"/>
      <c r="W22" s="114"/>
      <c r="X22" s="114"/>
      <c r="Y22" s="97"/>
      <c r="Z22" s="97"/>
      <c r="AA22" s="97"/>
      <c r="AB22" s="97"/>
      <c r="AC22" s="167"/>
      <c r="AD22" s="167"/>
      <c r="AE22" s="167"/>
      <c r="AF22" s="167"/>
      <c r="AG22" s="97"/>
      <c r="AH22" s="97"/>
      <c r="AI22" s="97"/>
      <c r="AJ22" s="97"/>
      <c r="AK22" s="97"/>
      <c r="AL22" s="97"/>
      <c r="AM22" s="97"/>
      <c r="AN22" s="97"/>
      <c r="AO22" s="97"/>
      <c r="AP22" s="97"/>
      <c r="AQ22" s="97"/>
      <c r="AR22" s="97"/>
      <c r="AS22" s="97"/>
      <c r="AT22" s="97"/>
      <c r="AU22" s="97"/>
      <c r="AV22" s="97"/>
      <c r="AW22" s="97"/>
      <c r="AX22" s="97"/>
      <c r="AY22" s="97"/>
      <c r="AZ22" s="97"/>
      <c r="BA22" s="97"/>
    </row>
    <row r="23" spans="2:54" s="21" customFormat="1" ht="13.5" customHeight="1" x14ac:dyDescent="0.15">
      <c r="B23" s="116"/>
      <c r="C23" s="117"/>
      <c r="D23" s="117"/>
      <c r="E23" s="117"/>
      <c r="F23" s="117"/>
      <c r="G23" s="117"/>
      <c r="H23" s="117"/>
      <c r="I23" s="116"/>
      <c r="J23" s="117"/>
      <c r="K23" s="117"/>
      <c r="L23" s="117"/>
      <c r="M23" s="116"/>
      <c r="N23" s="117"/>
      <c r="O23" s="117"/>
      <c r="P23" s="118"/>
      <c r="Q23" s="89"/>
      <c r="R23" s="90"/>
      <c r="S23" s="90"/>
      <c r="T23" s="90"/>
      <c r="U23" s="116"/>
      <c r="V23" s="117"/>
      <c r="W23" s="117"/>
      <c r="X23" s="117"/>
      <c r="Y23" s="97"/>
      <c r="Z23" s="97"/>
      <c r="AA23" s="97"/>
      <c r="AB23" s="97"/>
      <c r="AC23" s="167"/>
      <c r="AD23" s="167"/>
      <c r="AE23" s="167"/>
      <c r="AF23" s="167"/>
      <c r="AG23" s="97"/>
      <c r="AH23" s="97"/>
      <c r="AI23" s="97"/>
      <c r="AJ23" s="97"/>
      <c r="AK23" s="97"/>
      <c r="AL23" s="97"/>
      <c r="AM23" s="97"/>
      <c r="AN23" s="97"/>
      <c r="AO23" s="97"/>
      <c r="AP23" s="97"/>
      <c r="AQ23" s="97"/>
      <c r="AR23" s="97"/>
      <c r="AS23" s="97"/>
      <c r="AT23" s="97"/>
      <c r="AU23" s="97"/>
      <c r="AV23" s="97"/>
      <c r="AW23" s="97"/>
      <c r="AX23" s="97"/>
      <c r="AY23" s="97"/>
      <c r="AZ23" s="97"/>
      <c r="BA23" s="97"/>
    </row>
    <row r="24" spans="2:54" s="21" customFormat="1" ht="13.5" customHeight="1" x14ac:dyDescent="0.15">
      <c r="B24" s="116"/>
      <c r="C24" s="117"/>
      <c r="D24" s="117"/>
      <c r="E24" s="117"/>
      <c r="F24" s="117"/>
      <c r="G24" s="117"/>
      <c r="H24" s="117"/>
      <c r="I24" s="116"/>
      <c r="J24" s="117"/>
      <c r="K24" s="117"/>
      <c r="L24" s="117"/>
      <c r="M24" s="116"/>
      <c r="N24" s="117"/>
      <c r="O24" s="117"/>
      <c r="P24" s="118"/>
      <c r="Q24" s="89"/>
      <c r="R24" s="90"/>
      <c r="S24" s="90"/>
      <c r="T24" s="90"/>
      <c r="U24" s="116"/>
      <c r="V24" s="117"/>
      <c r="W24" s="117"/>
      <c r="X24" s="117"/>
      <c r="Y24" s="97"/>
      <c r="Z24" s="97"/>
      <c r="AA24" s="97"/>
      <c r="AB24" s="97"/>
      <c r="AC24" s="167"/>
      <c r="AD24" s="167"/>
      <c r="AE24" s="167"/>
      <c r="AF24" s="167"/>
      <c r="AG24" s="97"/>
      <c r="AH24" s="97"/>
      <c r="AI24" s="97"/>
      <c r="AJ24" s="97"/>
      <c r="AK24" s="97"/>
      <c r="AL24" s="97"/>
      <c r="AM24" s="97"/>
      <c r="AN24" s="97"/>
      <c r="AO24" s="97"/>
      <c r="AP24" s="97"/>
      <c r="AQ24" s="97"/>
      <c r="AR24" s="97"/>
      <c r="AS24" s="97"/>
      <c r="AT24" s="97"/>
      <c r="AU24" s="97"/>
      <c r="AV24" s="97"/>
      <c r="AW24" s="97"/>
      <c r="AX24" s="97"/>
      <c r="AY24" s="97"/>
      <c r="AZ24" s="97"/>
      <c r="BA24" s="97"/>
    </row>
    <row r="25" spans="2:54" s="21" customFormat="1" ht="13.5" customHeight="1" x14ac:dyDescent="0.15">
      <c r="B25" s="119"/>
      <c r="C25" s="120"/>
      <c r="D25" s="120"/>
      <c r="E25" s="120"/>
      <c r="F25" s="120"/>
      <c r="G25" s="120"/>
      <c r="H25" s="120"/>
      <c r="I25" s="119"/>
      <c r="J25" s="120"/>
      <c r="K25" s="120"/>
      <c r="L25" s="120"/>
      <c r="M25" s="119"/>
      <c r="N25" s="120"/>
      <c r="O25" s="120"/>
      <c r="P25" s="121"/>
      <c r="Q25" s="92"/>
      <c r="R25" s="93"/>
      <c r="S25" s="93"/>
      <c r="T25" s="93"/>
      <c r="U25" s="119"/>
      <c r="V25" s="120"/>
      <c r="W25" s="120"/>
      <c r="X25" s="120"/>
      <c r="Y25" s="97"/>
      <c r="Z25" s="97"/>
      <c r="AA25" s="97"/>
      <c r="AB25" s="97"/>
      <c r="AC25" s="167"/>
      <c r="AD25" s="167"/>
      <c r="AE25" s="167"/>
      <c r="AF25" s="167"/>
      <c r="AG25" s="97"/>
      <c r="AH25" s="97"/>
      <c r="AI25" s="97"/>
      <c r="AJ25" s="97"/>
      <c r="AK25" s="97"/>
      <c r="AL25" s="97"/>
      <c r="AM25" s="97"/>
      <c r="AN25" s="97"/>
      <c r="AO25" s="97"/>
      <c r="AP25" s="97"/>
      <c r="AQ25" s="97"/>
      <c r="AR25" s="97"/>
      <c r="AS25" s="97"/>
      <c r="AT25" s="97"/>
      <c r="AU25" s="97"/>
      <c r="AV25" s="97"/>
      <c r="AW25" s="97"/>
      <c r="AX25" s="97"/>
      <c r="AY25" s="97"/>
      <c r="AZ25" s="97"/>
      <c r="BA25" s="97"/>
    </row>
    <row r="26" spans="2:54" s="21" customFormat="1" ht="18" customHeight="1" x14ac:dyDescent="0.15">
      <c r="B26" s="73" t="s">
        <v>10</v>
      </c>
      <c r="C26" s="74"/>
      <c r="D26" s="74"/>
      <c r="E26" s="74"/>
      <c r="F26" s="74"/>
      <c r="G26" s="74"/>
      <c r="H26" s="74"/>
      <c r="I26" s="73">
        <f>SUM(I28:L31)</f>
        <v>168650000</v>
      </c>
      <c r="J26" s="74"/>
      <c r="K26" s="74"/>
      <c r="L26" s="74"/>
      <c r="M26" s="73">
        <f>SUM(M28:P31)</f>
        <v>-3515000</v>
      </c>
      <c r="N26" s="74"/>
      <c r="O26" s="74"/>
      <c r="P26" s="75"/>
      <c r="Q26" s="73">
        <f t="shared" ref="Q26" si="0">SUM(Q28:T31)</f>
        <v>0</v>
      </c>
      <c r="R26" s="74"/>
      <c r="S26" s="74"/>
      <c r="T26" s="75"/>
      <c r="U26" s="73">
        <f t="shared" ref="U26" si="1">SUM(U28:X31)</f>
        <v>165135000</v>
      </c>
      <c r="V26" s="74"/>
      <c r="W26" s="74"/>
      <c r="X26" s="74"/>
      <c r="Y26" s="85">
        <f t="shared" ref="Y26" si="2">SUM(Y28:AB31)</f>
        <v>163064384</v>
      </c>
      <c r="Z26" s="85"/>
      <c r="AA26" s="85"/>
      <c r="AB26" s="85"/>
      <c r="AC26" s="74">
        <f>Y26-U26</f>
        <v>-2070616</v>
      </c>
      <c r="AD26" s="74"/>
      <c r="AE26" s="74"/>
      <c r="AF26" s="74"/>
      <c r="AG26" s="97"/>
      <c r="AH26" s="97"/>
      <c r="AI26" s="97"/>
      <c r="AJ26" s="97"/>
      <c r="AK26" s="97"/>
      <c r="AL26" s="97"/>
      <c r="AM26" s="97"/>
      <c r="AN26" s="97"/>
      <c r="AO26" s="97"/>
      <c r="AP26" s="97"/>
      <c r="AQ26" s="97"/>
      <c r="AR26" s="97"/>
      <c r="AS26" s="97"/>
      <c r="AT26" s="97"/>
      <c r="AU26" s="97"/>
      <c r="AV26" s="97"/>
      <c r="AW26" s="97"/>
      <c r="AX26" s="97"/>
      <c r="AY26" s="97"/>
      <c r="AZ26" s="97"/>
      <c r="BA26" s="97"/>
    </row>
    <row r="27" spans="2:54" s="21" customFormat="1" ht="18" customHeight="1" x14ac:dyDescent="0.15">
      <c r="B27" s="76"/>
      <c r="C27" s="77"/>
      <c r="D27" s="77"/>
      <c r="E27" s="77"/>
      <c r="F27" s="77"/>
      <c r="G27" s="77"/>
      <c r="H27" s="77"/>
      <c r="I27" s="76"/>
      <c r="J27" s="77"/>
      <c r="K27" s="77"/>
      <c r="L27" s="77"/>
      <c r="M27" s="76"/>
      <c r="N27" s="77"/>
      <c r="O27" s="77"/>
      <c r="P27" s="78"/>
      <c r="Q27" s="76"/>
      <c r="R27" s="77"/>
      <c r="S27" s="77"/>
      <c r="T27" s="78"/>
      <c r="U27" s="76"/>
      <c r="V27" s="77"/>
      <c r="W27" s="77"/>
      <c r="X27" s="77"/>
      <c r="Y27" s="85"/>
      <c r="Z27" s="85"/>
      <c r="AA27" s="85"/>
      <c r="AB27" s="85"/>
      <c r="AC27" s="77"/>
      <c r="AD27" s="77"/>
      <c r="AE27" s="77"/>
      <c r="AF27" s="77"/>
      <c r="AG27" s="97"/>
      <c r="AH27" s="97"/>
      <c r="AI27" s="97"/>
      <c r="AJ27" s="97"/>
      <c r="AK27" s="97"/>
      <c r="AL27" s="97"/>
      <c r="AM27" s="97"/>
      <c r="AN27" s="97"/>
      <c r="AO27" s="97"/>
      <c r="AP27" s="97"/>
      <c r="AQ27" s="97"/>
      <c r="AR27" s="97"/>
      <c r="AS27" s="97"/>
      <c r="AT27" s="97"/>
      <c r="AU27" s="97"/>
      <c r="AV27" s="97"/>
      <c r="AW27" s="97"/>
      <c r="AX27" s="97"/>
      <c r="AY27" s="97"/>
      <c r="AZ27" s="97"/>
      <c r="BA27" s="97"/>
    </row>
    <row r="28" spans="2:54" s="21" customFormat="1" ht="18" customHeight="1" x14ac:dyDescent="0.15">
      <c r="B28" s="73" t="s">
        <v>11</v>
      </c>
      <c r="C28" s="74"/>
      <c r="D28" s="74"/>
      <c r="E28" s="74"/>
      <c r="F28" s="74"/>
      <c r="G28" s="74"/>
      <c r="H28" s="74"/>
      <c r="I28" s="188">
        <v>122909000</v>
      </c>
      <c r="J28" s="189"/>
      <c r="K28" s="189"/>
      <c r="L28" s="189"/>
      <c r="M28" s="188">
        <v>-2479000</v>
      </c>
      <c r="N28" s="189"/>
      <c r="O28" s="189"/>
      <c r="P28" s="190"/>
      <c r="Q28" s="73">
        <v>0</v>
      </c>
      <c r="R28" s="74"/>
      <c r="S28" s="74"/>
      <c r="T28" s="75"/>
      <c r="U28" s="73">
        <f>SUM(I28:T29)</f>
        <v>120430000</v>
      </c>
      <c r="V28" s="74"/>
      <c r="W28" s="74"/>
      <c r="X28" s="74"/>
      <c r="Y28" s="187">
        <v>118680993</v>
      </c>
      <c r="Z28" s="187"/>
      <c r="AA28" s="187"/>
      <c r="AB28" s="187"/>
      <c r="AC28" s="169">
        <f>Y28-U28</f>
        <v>-1749007</v>
      </c>
      <c r="AD28" s="170"/>
      <c r="AE28" s="170"/>
      <c r="AF28" s="170"/>
      <c r="AG28" s="198" t="s">
        <v>94</v>
      </c>
      <c r="AH28" s="199"/>
      <c r="AI28" s="199"/>
      <c r="AJ28" s="199"/>
      <c r="AK28" s="199"/>
      <c r="AL28" s="199"/>
      <c r="AM28" s="199"/>
      <c r="AN28" s="199"/>
      <c r="AO28" s="199"/>
      <c r="AP28" s="199"/>
      <c r="AQ28" s="199"/>
      <c r="AR28" s="199"/>
      <c r="AS28" s="199"/>
      <c r="AT28" s="199"/>
      <c r="AU28" s="199"/>
      <c r="AV28" s="199"/>
      <c r="AW28" s="199"/>
      <c r="AX28" s="199"/>
      <c r="AY28" s="199"/>
      <c r="AZ28" s="199"/>
      <c r="BA28" s="200"/>
    </row>
    <row r="29" spans="2:54" s="21" customFormat="1" ht="18" customHeight="1" x14ac:dyDescent="0.15">
      <c r="B29" s="76"/>
      <c r="C29" s="77"/>
      <c r="D29" s="77"/>
      <c r="E29" s="77"/>
      <c r="F29" s="77"/>
      <c r="G29" s="77"/>
      <c r="H29" s="77"/>
      <c r="I29" s="191"/>
      <c r="J29" s="192"/>
      <c r="K29" s="192"/>
      <c r="L29" s="192"/>
      <c r="M29" s="191"/>
      <c r="N29" s="192"/>
      <c r="O29" s="192"/>
      <c r="P29" s="193"/>
      <c r="Q29" s="76"/>
      <c r="R29" s="77"/>
      <c r="S29" s="77"/>
      <c r="T29" s="78"/>
      <c r="U29" s="76"/>
      <c r="V29" s="77"/>
      <c r="W29" s="77"/>
      <c r="X29" s="77"/>
      <c r="Y29" s="187"/>
      <c r="Z29" s="187"/>
      <c r="AA29" s="187"/>
      <c r="AB29" s="187"/>
      <c r="AC29" s="171"/>
      <c r="AD29" s="172"/>
      <c r="AE29" s="172"/>
      <c r="AF29" s="172"/>
      <c r="AG29" s="201"/>
      <c r="AH29" s="202"/>
      <c r="AI29" s="202"/>
      <c r="AJ29" s="202"/>
      <c r="AK29" s="202"/>
      <c r="AL29" s="202"/>
      <c r="AM29" s="202"/>
      <c r="AN29" s="202"/>
      <c r="AO29" s="202"/>
      <c r="AP29" s="202"/>
      <c r="AQ29" s="202"/>
      <c r="AR29" s="202"/>
      <c r="AS29" s="202"/>
      <c r="AT29" s="202"/>
      <c r="AU29" s="202"/>
      <c r="AV29" s="202"/>
      <c r="AW29" s="202"/>
      <c r="AX29" s="202"/>
      <c r="AY29" s="202"/>
      <c r="AZ29" s="202"/>
      <c r="BA29" s="203"/>
    </row>
    <row r="30" spans="2:54" s="21" customFormat="1" ht="18" customHeight="1" x14ac:dyDescent="0.15">
      <c r="B30" s="73" t="s">
        <v>12</v>
      </c>
      <c r="C30" s="74"/>
      <c r="D30" s="74"/>
      <c r="E30" s="74"/>
      <c r="F30" s="74"/>
      <c r="G30" s="74"/>
      <c r="H30" s="75"/>
      <c r="I30" s="188">
        <v>45741000</v>
      </c>
      <c r="J30" s="189"/>
      <c r="K30" s="189"/>
      <c r="L30" s="190"/>
      <c r="M30" s="188">
        <v>-1036000</v>
      </c>
      <c r="N30" s="189"/>
      <c r="O30" s="189"/>
      <c r="P30" s="190"/>
      <c r="Q30" s="73">
        <v>0</v>
      </c>
      <c r="R30" s="74"/>
      <c r="S30" s="74"/>
      <c r="T30" s="75"/>
      <c r="U30" s="73">
        <f>SUM(I30:T31)</f>
        <v>44705000</v>
      </c>
      <c r="V30" s="74"/>
      <c r="W30" s="74"/>
      <c r="X30" s="74"/>
      <c r="Y30" s="187">
        <v>44383391</v>
      </c>
      <c r="Z30" s="187"/>
      <c r="AA30" s="187"/>
      <c r="AB30" s="187"/>
      <c r="AC30" s="73">
        <f>Y30-U30</f>
        <v>-321609</v>
      </c>
      <c r="AD30" s="74"/>
      <c r="AE30" s="74"/>
      <c r="AF30" s="74"/>
      <c r="AG30" s="133"/>
      <c r="AH30" s="133"/>
      <c r="AI30" s="133"/>
      <c r="AJ30" s="133"/>
      <c r="AK30" s="133"/>
      <c r="AL30" s="133"/>
      <c r="AM30" s="133"/>
      <c r="AN30" s="133"/>
      <c r="AO30" s="133"/>
      <c r="AP30" s="133"/>
      <c r="AQ30" s="133"/>
      <c r="AR30" s="133"/>
      <c r="AS30" s="133"/>
      <c r="AT30" s="133"/>
      <c r="AU30" s="133"/>
      <c r="AV30" s="133"/>
      <c r="AW30" s="133"/>
      <c r="AX30" s="133"/>
      <c r="AY30" s="133"/>
      <c r="AZ30" s="133"/>
      <c r="BA30" s="133"/>
    </row>
    <row r="31" spans="2:54" s="21" customFormat="1" ht="18" customHeight="1" x14ac:dyDescent="0.15">
      <c r="B31" s="76"/>
      <c r="C31" s="77"/>
      <c r="D31" s="77"/>
      <c r="E31" s="77"/>
      <c r="F31" s="77"/>
      <c r="G31" s="77"/>
      <c r="H31" s="78"/>
      <c r="I31" s="191"/>
      <c r="J31" s="192"/>
      <c r="K31" s="192"/>
      <c r="L31" s="193"/>
      <c r="M31" s="191"/>
      <c r="N31" s="192"/>
      <c r="O31" s="192"/>
      <c r="P31" s="193"/>
      <c r="Q31" s="76"/>
      <c r="R31" s="77"/>
      <c r="S31" s="77"/>
      <c r="T31" s="78"/>
      <c r="U31" s="76"/>
      <c r="V31" s="77"/>
      <c r="W31" s="77"/>
      <c r="X31" s="77"/>
      <c r="Y31" s="187"/>
      <c r="Z31" s="187"/>
      <c r="AA31" s="187"/>
      <c r="AB31" s="187"/>
      <c r="AC31" s="76"/>
      <c r="AD31" s="77"/>
      <c r="AE31" s="77"/>
      <c r="AF31" s="77"/>
      <c r="AG31" s="133"/>
      <c r="AH31" s="133"/>
      <c r="AI31" s="133"/>
      <c r="AJ31" s="133"/>
      <c r="AK31" s="133"/>
      <c r="AL31" s="133"/>
      <c r="AM31" s="133"/>
      <c r="AN31" s="133"/>
      <c r="AO31" s="133"/>
      <c r="AP31" s="133"/>
      <c r="AQ31" s="133"/>
      <c r="AR31" s="133"/>
      <c r="AS31" s="133"/>
      <c r="AT31" s="133"/>
      <c r="AU31" s="133"/>
      <c r="AV31" s="133"/>
      <c r="AW31" s="133"/>
      <c r="AX31" s="133"/>
      <c r="AY31" s="133"/>
      <c r="AZ31" s="133"/>
      <c r="BA31" s="133"/>
    </row>
    <row r="32" spans="2:54"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1"/>
      <c r="C34" s="131"/>
      <c r="D34" s="131"/>
      <c r="E34" s="131"/>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1" t="s">
        <v>47</v>
      </c>
      <c r="AV34" s="151"/>
      <c r="AW34" s="151"/>
      <c r="AX34" s="151"/>
      <c r="AY34" s="151"/>
      <c r="AZ34" s="151"/>
      <c r="BA34" s="151"/>
    </row>
    <row r="35" spans="2:53" s="21" customFormat="1" ht="13.5" customHeight="1" x14ac:dyDescent="0.15">
      <c r="B35" s="97" t="s">
        <v>2</v>
      </c>
      <c r="C35" s="97"/>
      <c r="D35" s="97"/>
      <c r="E35" s="97"/>
      <c r="F35" s="97"/>
      <c r="G35" s="97"/>
      <c r="H35" s="97"/>
      <c r="I35" s="113" t="s">
        <v>14</v>
      </c>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5"/>
      <c r="AH35" s="113" t="s">
        <v>15</v>
      </c>
      <c r="AI35" s="114"/>
      <c r="AJ35" s="114"/>
      <c r="AK35" s="115"/>
      <c r="AL35" s="95" t="s">
        <v>16</v>
      </c>
      <c r="AM35" s="95"/>
      <c r="AN35" s="97" t="s">
        <v>17</v>
      </c>
      <c r="AO35" s="97"/>
      <c r="AP35" s="97"/>
      <c r="AQ35" s="97"/>
      <c r="AR35" s="113" t="s">
        <v>18</v>
      </c>
      <c r="AS35" s="114"/>
      <c r="AT35" s="114"/>
      <c r="AU35" s="114"/>
      <c r="AV35" s="114"/>
      <c r="AW35" s="114"/>
      <c r="AX35" s="114"/>
      <c r="AY35" s="114"/>
      <c r="AZ35" s="114"/>
      <c r="BA35" s="115"/>
    </row>
    <row r="36" spans="2:53" s="21" customFormat="1" ht="13.5" customHeight="1" x14ac:dyDescent="0.15">
      <c r="B36" s="97"/>
      <c r="C36" s="97"/>
      <c r="D36" s="97"/>
      <c r="E36" s="97"/>
      <c r="F36" s="97"/>
      <c r="G36" s="97"/>
      <c r="H36" s="97"/>
      <c r="I36" s="119"/>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1"/>
      <c r="AH36" s="116"/>
      <c r="AI36" s="117"/>
      <c r="AJ36" s="117"/>
      <c r="AK36" s="118"/>
      <c r="AL36" s="95"/>
      <c r="AM36" s="95"/>
      <c r="AN36" s="97"/>
      <c r="AO36" s="97"/>
      <c r="AP36" s="97"/>
      <c r="AQ36" s="97"/>
      <c r="AR36" s="116"/>
      <c r="AS36" s="117"/>
      <c r="AT36" s="117"/>
      <c r="AU36" s="117"/>
      <c r="AV36" s="117"/>
      <c r="AW36" s="117"/>
      <c r="AX36" s="117"/>
      <c r="AY36" s="117"/>
      <c r="AZ36" s="117"/>
      <c r="BA36" s="118"/>
    </row>
    <row r="37" spans="2:53" s="21" customFormat="1" ht="13.5" customHeight="1" x14ac:dyDescent="0.15">
      <c r="B37" s="97"/>
      <c r="C37" s="97"/>
      <c r="D37" s="97"/>
      <c r="E37" s="97"/>
      <c r="F37" s="97"/>
      <c r="G37" s="97"/>
      <c r="H37" s="97"/>
      <c r="I37" s="97" t="s">
        <v>19</v>
      </c>
      <c r="J37" s="97"/>
      <c r="K37" s="97"/>
      <c r="L37" s="97"/>
      <c r="M37" s="97" t="s">
        <v>20</v>
      </c>
      <c r="N37" s="97"/>
      <c r="O37" s="97"/>
      <c r="P37" s="97"/>
      <c r="Q37" s="167" t="s">
        <v>21</v>
      </c>
      <c r="R37" s="167"/>
      <c r="S37" s="167" t="s">
        <v>22</v>
      </c>
      <c r="T37" s="167"/>
      <c r="U37" s="167"/>
      <c r="V37" s="95" t="s">
        <v>23</v>
      </c>
      <c r="W37" s="95"/>
      <c r="X37" s="97" t="s">
        <v>24</v>
      </c>
      <c r="Y37" s="97"/>
      <c r="Z37" s="97"/>
      <c r="AA37" s="97"/>
      <c r="AB37" s="95" t="s">
        <v>16</v>
      </c>
      <c r="AC37" s="95"/>
      <c r="AD37" s="97" t="s">
        <v>25</v>
      </c>
      <c r="AE37" s="97"/>
      <c r="AF37" s="97"/>
      <c r="AG37" s="97"/>
      <c r="AH37" s="116"/>
      <c r="AI37" s="117"/>
      <c r="AJ37" s="117"/>
      <c r="AK37" s="118"/>
      <c r="AL37" s="95"/>
      <c r="AM37" s="95"/>
      <c r="AN37" s="97"/>
      <c r="AO37" s="97"/>
      <c r="AP37" s="97"/>
      <c r="AQ37" s="97"/>
      <c r="AR37" s="116"/>
      <c r="AS37" s="117"/>
      <c r="AT37" s="117"/>
      <c r="AU37" s="117"/>
      <c r="AV37" s="117"/>
      <c r="AW37" s="117"/>
      <c r="AX37" s="117"/>
      <c r="AY37" s="117"/>
      <c r="AZ37" s="117"/>
      <c r="BA37" s="118"/>
    </row>
    <row r="38" spans="2:53" s="21" customFormat="1" ht="13.5" customHeight="1" x14ac:dyDescent="0.15">
      <c r="B38" s="97"/>
      <c r="C38" s="97"/>
      <c r="D38" s="97"/>
      <c r="E38" s="97"/>
      <c r="F38" s="97"/>
      <c r="G38" s="97"/>
      <c r="H38" s="97"/>
      <c r="I38" s="97"/>
      <c r="J38" s="97"/>
      <c r="K38" s="97"/>
      <c r="L38" s="97"/>
      <c r="M38" s="97"/>
      <c r="N38" s="97"/>
      <c r="O38" s="97"/>
      <c r="P38" s="97"/>
      <c r="Q38" s="167"/>
      <c r="R38" s="167"/>
      <c r="S38" s="167"/>
      <c r="T38" s="167"/>
      <c r="U38" s="167"/>
      <c r="V38" s="95"/>
      <c r="W38" s="95"/>
      <c r="X38" s="97"/>
      <c r="Y38" s="97"/>
      <c r="Z38" s="97"/>
      <c r="AA38" s="97"/>
      <c r="AB38" s="95"/>
      <c r="AC38" s="95"/>
      <c r="AD38" s="97"/>
      <c r="AE38" s="97"/>
      <c r="AF38" s="97"/>
      <c r="AG38" s="97"/>
      <c r="AH38" s="116"/>
      <c r="AI38" s="117"/>
      <c r="AJ38" s="117"/>
      <c r="AK38" s="118"/>
      <c r="AL38" s="95"/>
      <c r="AM38" s="95"/>
      <c r="AN38" s="97"/>
      <c r="AO38" s="97"/>
      <c r="AP38" s="97"/>
      <c r="AQ38" s="97"/>
      <c r="AR38" s="116"/>
      <c r="AS38" s="117"/>
      <c r="AT38" s="117"/>
      <c r="AU38" s="117"/>
      <c r="AV38" s="117"/>
      <c r="AW38" s="117"/>
      <c r="AX38" s="117"/>
      <c r="AY38" s="117"/>
      <c r="AZ38" s="117"/>
      <c r="BA38" s="118"/>
    </row>
    <row r="39" spans="2:53" s="21" customFormat="1" ht="13.5" customHeight="1" x14ac:dyDescent="0.15">
      <c r="B39" s="97"/>
      <c r="C39" s="97"/>
      <c r="D39" s="97"/>
      <c r="E39" s="97"/>
      <c r="F39" s="97"/>
      <c r="G39" s="97"/>
      <c r="H39" s="97"/>
      <c r="I39" s="97"/>
      <c r="J39" s="97"/>
      <c r="K39" s="97"/>
      <c r="L39" s="97"/>
      <c r="M39" s="97"/>
      <c r="N39" s="97"/>
      <c r="O39" s="97"/>
      <c r="P39" s="97"/>
      <c r="Q39" s="167"/>
      <c r="R39" s="167"/>
      <c r="S39" s="167"/>
      <c r="T39" s="167"/>
      <c r="U39" s="167"/>
      <c r="V39" s="95"/>
      <c r="W39" s="95"/>
      <c r="X39" s="97"/>
      <c r="Y39" s="97"/>
      <c r="Z39" s="97"/>
      <c r="AA39" s="97"/>
      <c r="AB39" s="95"/>
      <c r="AC39" s="95"/>
      <c r="AD39" s="97"/>
      <c r="AE39" s="97"/>
      <c r="AF39" s="97"/>
      <c r="AG39" s="97"/>
      <c r="AH39" s="116"/>
      <c r="AI39" s="117"/>
      <c r="AJ39" s="117"/>
      <c r="AK39" s="118"/>
      <c r="AL39" s="95"/>
      <c r="AM39" s="95"/>
      <c r="AN39" s="97"/>
      <c r="AO39" s="97"/>
      <c r="AP39" s="97"/>
      <c r="AQ39" s="97"/>
      <c r="AR39" s="116"/>
      <c r="AS39" s="117"/>
      <c r="AT39" s="117"/>
      <c r="AU39" s="117"/>
      <c r="AV39" s="117"/>
      <c r="AW39" s="117"/>
      <c r="AX39" s="117"/>
      <c r="AY39" s="117"/>
      <c r="AZ39" s="117"/>
      <c r="BA39" s="118"/>
    </row>
    <row r="40" spans="2:53" s="21" customFormat="1" ht="13.5" customHeight="1" x14ac:dyDescent="0.15">
      <c r="B40" s="97"/>
      <c r="C40" s="97"/>
      <c r="D40" s="97"/>
      <c r="E40" s="97"/>
      <c r="F40" s="97"/>
      <c r="G40" s="97"/>
      <c r="H40" s="97"/>
      <c r="I40" s="97"/>
      <c r="J40" s="97"/>
      <c r="K40" s="97"/>
      <c r="L40" s="97"/>
      <c r="M40" s="97"/>
      <c r="N40" s="97"/>
      <c r="O40" s="97"/>
      <c r="P40" s="97"/>
      <c r="Q40" s="167"/>
      <c r="R40" s="167"/>
      <c r="S40" s="167"/>
      <c r="T40" s="167"/>
      <c r="U40" s="167"/>
      <c r="V40" s="95"/>
      <c r="W40" s="95"/>
      <c r="X40" s="97"/>
      <c r="Y40" s="97"/>
      <c r="Z40" s="97"/>
      <c r="AA40" s="97"/>
      <c r="AB40" s="95"/>
      <c r="AC40" s="95"/>
      <c r="AD40" s="97"/>
      <c r="AE40" s="97"/>
      <c r="AF40" s="97"/>
      <c r="AG40" s="97"/>
      <c r="AH40" s="119"/>
      <c r="AI40" s="120"/>
      <c r="AJ40" s="120"/>
      <c r="AK40" s="121"/>
      <c r="AL40" s="95"/>
      <c r="AM40" s="95"/>
      <c r="AN40" s="97"/>
      <c r="AO40" s="97"/>
      <c r="AP40" s="97"/>
      <c r="AQ40" s="97"/>
      <c r="AR40" s="119"/>
      <c r="AS40" s="120"/>
      <c r="AT40" s="120"/>
      <c r="AU40" s="120"/>
      <c r="AV40" s="120"/>
      <c r="AW40" s="120"/>
      <c r="AX40" s="120"/>
      <c r="AY40" s="120"/>
      <c r="AZ40" s="120"/>
      <c r="BA40" s="121"/>
    </row>
    <row r="41" spans="2:53" s="21" customFormat="1" ht="18" customHeight="1" x14ac:dyDescent="0.15">
      <c r="B41" s="85" t="s">
        <v>26</v>
      </c>
      <c r="C41" s="85"/>
      <c r="D41" s="85"/>
      <c r="E41" s="85"/>
      <c r="F41" s="85"/>
      <c r="G41" s="85"/>
      <c r="H41" s="85"/>
      <c r="I41" s="161">
        <f>SUM(I43:L48)</f>
        <v>154878000</v>
      </c>
      <c r="J41" s="162"/>
      <c r="K41" s="162"/>
      <c r="L41" s="163"/>
      <c r="M41" s="161">
        <f>SUM(M43:P48)</f>
        <v>733000</v>
      </c>
      <c r="N41" s="162"/>
      <c r="O41" s="162"/>
      <c r="P41" s="163"/>
      <c r="Q41" s="85">
        <f>SUM(Q43:R48)</f>
        <v>0</v>
      </c>
      <c r="R41" s="85"/>
      <c r="S41" s="85">
        <f>SUM(S43:U48)</f>
        <v>0</v>
      </c>
      <c r="T41" s="85"/>
      <c r="U41" s="85"/>
      <c r="V41" s="161">
        <f>SUM(V43:W48)</f>
        <v>0</v>
      </c>
      <c r="W41" s="163"/>
      <c r="X41" s="161">
        <f>SUM(X43:AA48)</f>
        <v>155611000</v>
      </c>
      <c r="Y41" s="162"/>
      <c r="Z41" s="162"/>
      <c r="AA41" s="163"/>
      <c r="AB41" s="73">
        <f>SUM(AB43:AC48)</f>
        <v>0</v>
      </c>
      <c r="AC41" s="74"/>
      <c r="AD41" s="161">
        <f>SUM(AD43:AG48)</f>
        <v>155611000</v>
      </c>
      <c r="AE41" s="162"/>
      <c r="AF41" s="162"/>
      <c r="AG41" s="163"/>
      <c r="AH41" s="73">
        <f>SUM(AH43:AK48)</f>
        <v>146976980</v>
      </c>
      <c r="AI41" s="74"/>
      <c r="AJ41" s="74"/>
      <c r="AK41" s="74"/>
      <c r="AL41" s="62">
        <f>SUM(AL43:AM48)</f>
        <v>0</v>
      </c>
      <c r="AM41" s="62"/>
      <c r="AN41" s="62">
        <f>SUM(AN43:AQ48)</f>
        <v>8634020</v>
      </c>
      <c r="AO41" s="62"/>
      <c r="AP41" s="62"/>
      <c r="AQ41" s="62"/>
      <c r="AR41" s="122"/>
      <c r="AS41" s="123"/>
      <c r="AT41" s="123"/>
      <c r="AU41" s="123"/>
      <c r="AV41" s="123"/>
      <c r="AW41" s="123"/>
      <c r="AX41" s="123"/>
      <c r="AY41" s="123"/>
      <c r="AZ41" s="123"/>
      <c r="BA41" s="124"/>
    </row>
    <row r="42" spans="2:53" s="21" customFormat="1" ht="18" customHeight="1" x14ac:dyDescent="0.15">
      <c r="B42" s="85"/>
      <c r="C42" s="85"/>
      <c r="D42" s="85"/>
      <c r="E42" s="85"/>
      <c r="F42" s="85"/>
      <c r="G42" s="85"/>
      <c r="H42" s="85"/>
      <c r="I42" s="164"/>
      <c r="J42" s="165"/>
      <c r="K42" s="165"/>
      <c r="L42" s="166"/>
      <c r="M42" s="164"/>
      <c r="N42" s="165"/>
      <c r="O42" s="165"/>
      <c r="P42" s="166"/>
      <c r="Q42" s="85"/>
      <c r="R42" s="85"/>
      <c r="S42" s="85"/>
      <c r="T42" s="85"/>
      <c r="U42" s="85"/>
      <c r="V42" s="164"/>
      <c r="W42" s="166"/>
      <c r="X42" s="164"/>
      <c r="Y42" s="165"/>
      <c r="Z42" s="165"/>
      <c r="AA42" s="166"/>
      <c r="AB42" s="76"/>
      <c r="AC42" s="77"/>
      <c r="AD42" s="164"/>
      <c r="AE42" s="165"/>
      <c r="AF42" s="165"/>
      <c r="AG42" s="166"/>
      <c r="AH42" s="76"/>
      <c r="AI42" s="77"/>
      <c r="AJ42" s="77"/>
      <c r="AK42" s="77"/>
      <c r="AL42" s="62"/>
      <c r="AM42" s="62"/>
      <c r="AN42" s="62"/>
      <c r="AO42" s="62"/>
      <c r="AP42" s="62"/>
      <c r="AQ42" s="62"/>
      <c r="AR42" s="125"/>
      <c r="AS42" s="126"/>
      <c r="AT42" s="126"/>
      <c r="AU42" s="126"/>
      <c r="AV42" s="126"/>
      <c r="AW42" s="126"/>
      <c r="AX42" s="126"/>
      <c r="AY42" s="126"/>
      <c r="AZ42" s="126"/>
      <c r="BA42" s="127"/>
    </row>
    <row r="43" spans="2:53" s="21" customFormat="1" ht="18" customHeight="1" x14ac:dyDescent="0.15">
      <c r="B43" s="85" t="s">
        <v>27</v>
      </c>
      <c r="C43" s="85"/>
      <c r="D43" s="85"/>
      <c r="E43" s="85"/>
      <c r="F43" s="85"/>
      <c r="G43" s="85"/>
      <c r="H43" s="85"/>
      <c r="I43" s="187">
        <v>146554000</v>
      </c>
      <c r="J43" s="187"/>
      <c r="K43" s="187"/>
      <c r="L43" s="187"/>
      <c r="M43" s="187">
        <v>705000</v>
      </c>
      <c r="N43" s="187"/>
      <c r="O43" s="187"/>
      <c r="P43" s="187"/>
      <c r="Q43" s="85">
        <v>0</v>
      </c>
      <c r="R43" s="85"/>
      <c r="S43" s="62">
        <v>0</v>
      </c>
      <c r="T43" s="62"/>
      <c r="U43" s="62"/>
      <c r="V43" s="85">
        <v>0</v>
      </c>
      <c r="W43" s="85"/>
      <c r="X43" s="85">
        <f>SUM(I43:T44)</f>
        <v>147259000</v>
      </c>
      <c r="Y43" s="85"/>
      <c r="Z43" s="85"/>
      <c r="AA43" s="85"/>
      <c r="AB43" s="73">
        <v>0</v>
      </c>
      <c r="AC43" s="75"/>
      <c r="AD43" s="85">
        <f>SUM(X43:AC44)</f>
        <v>147259000</v>
      </c>
      <c r="AE43" s="85"/>
      <c r="AF43" s="85"/>
      <c r="AG43" s="85"/>
      <c r="AH43" s="188">
        <v>141651617</v>
      </c>
      <c r="AI43" s="189"/>
      <c r="AJ43" s="189"/>
      <c r="AK43" s="190"/>
      <c r="AL43" s="62">
        <v>0</v>
      </c>
      <c r="AM43" s="62"/>
      <c r="AN43" s="62">
        <f>AD43-AH43-AL43</f>
        <v>5607383</v>
      </c>
      <c r="AO43" s="62"/>
      <c r="AP43" s="62"/>
      <c r="AQ43" s="62"/>
      <c r="AR43" s="99" t="s">
        <v>59</v>
      </c>
      <c r="AS43" s="100"/>
      <c r="AT43" s="100"/>
      <c r="AU43" s="100"/>
      <c r="AV43" s="100"/>
      <c r="AW43" s="100"/>
      <c r="AX43" s="100"/>
      <c r="AY43" s="100"/>
      <c r="AZ43" s="100"/>
      <c r="BA43" s="101"/>
    </row>
    <row r="44" spans="2:53" s="21" customFormat="1" ht="18" customHeight="1" x14ac:dyDescent="0.15">
      <c r="B44" s="85"/>
      <c r="C44" s="85"/>
      <c r="D44" s="85"/>
      <c r="E44" s="85"/>
      <c r="F44" s="85"/>
      <c r="G44" s="85"/>
      <c r="H44" s="85"/>
      <c r="I44" s="187"/>
      <c r="J44" s="187"/>
      <c r="K44" s="187"/>
      <c r="L44" s="187"/>
      <c r="M44" s="187"/>
      <c r="N44" s="187"/>
      <c r="O44" s="187"/>
      <c r="P44" s="187"/>
      <c r="Q44" s="85"/>
      <c r="R44" s="85"/>
      <c r="S44" s="62"/>
      <c r="T44" s="62"/>
      <c r="U44" s="62"/>
      <c r="V44" s="85"/>
      <c r="W44" s="85"/>
      <c r="X44" s="85"/>
      <c r="Y44" s="85"/>
      <c r="Z44" s="85"/>
      <c r="AA44" s="85"/>
      <c r="AB44" s="76"/>
      <c r="AC44" s="78"/>
      <c r="AD44" s="85"/>
      <c r="AE44" s="85"/>
      <c r="AF44" s="85"/>
      <c r="AG44" s="85"/>
      <c r="AH44" s="191"/>
      <c r="AI44" s="192"/>
      <c r="AJ44" s="192"/>
      <c r="AK44" s="193"/>
      <c r="AL44" s="62"/>
      <c r="AM44" s="62"/>
      <c r="AN44" s="62"/>
      <c r="AO44" s="62"/>
      <c r="AP44" s="62"/>
      <c r="AQ44" s="62"/>
      <c r="AR44" s="195" t="s">
        <v>95</v>
      </c>
      <c r="AS44" s="196"/>
      <c r="AT44" s="196"/>
      <c r="AU44" s="196"/>
      <c r="AV44" s="196"/>
      <c r="AW44" s="196"/>
      <c r="AX44" s="196"/>
      <c r="AY44" s="196"/>
      <c r="AZ44" s="196"/>
      <c r="BA44" s="197"/>
    </row>
    <row r="45" spans="2:53" s="21" customFormat="1" ht="18" customHeight="1" x14ac:dyDescent="0.15">
      <c r="B45" s="85" t="s">
        <v>28</v>
      </c>
      <c r="C45" s="85"/>
      <c r="D45" s="85"/>
      <c r="E45" s="85"/>
      <c r="F45" s="85"/>
      <c r="G45" s="85"/>
      <c r="H45" s="85"/>
      <c r="I45" s="187">
        <v>7824000</v>
      </c>
      <c r="J45" s="187"/>
      <c r="K45" s="187"/>
      <c r="L45" s="187"/>
      <c r="M45" s="187">
        <v>28000</v>
      </c>
      <c r="N45" s="187"/>
      <c r="O45" s="187"/>
      <c r="P45" s="187"/>
      <c r="Q45" s="85">
        <v>0</v>
      </c>
      <c r="R45" s="85"/>
      <c r="S45" s="62">
        <v>0</v>
      </c>
      <c r="T45" s="62"/>
      <c r="U45" s="62"/>
      <c r="V45" s="85">
        <v>0</v>
      </c>
      <c r="W45" s="85"/>
      <c r="X45" s="85">
        <f>SUM(I45:T46)</f>
        <v>7852000</v>
      </c>
      <c r="Y45" s="85"/>
      <c r="Z45" s="85"/>
      <c r="AA45" s="85"/>
      <c r="AB45" s="73">
        <v>0</v>
      </c>
      <c r="AC45" s="75"/>
      <c r="AD45" s="85">
        <f>SUM(X45:AC46)</f>
        <v>7852000</v>
      </c>
      <c r="AE45" s="85"/>
      <c r="AF45" s="85"/>
      <c r="AG45" s="85"/>
      <c r="AH45" s="188">
        <v>5325363</v>
      </c>
      <c r="AI45" s="189"/>
      <c r="AJ45" s="189"/>
      <c r="AK45" s="190"/>
      <c r="AL45" s="73">
        <v>0</v>
      </c>
      <c r="AM45" s="75"/>
      <c r="AN45" s="48">
        <f>AD45-AH45-AL45</f>
        <v>2526637</v>
      </c>
      <c r="AO45" s="49"/>
      <c r="AP45" s="49"/>
      <c r="AQ45" s="64"/>
      <c r="AR45" s="99" t="s">
        <v>60</v>
      </c>
      <c r="AS45" s="100"/>
      <c r="AT45" s="100"/>
      <c r="AU45" s="100"/>
      <c r="AV45" s="100"/>
      <c r="AW45" s="100"/>
      <c r="AX45" s="100"/>
      <c r="AY45" s="100"/>
      <c r="AZ45" s="100"/>
      <c r="BA45" s="101"/>
    </row>
    <row r="46" spans="2:53" s="21" customFormat="1" ht="18" customHeight="1" x14ac:dyDescent="0.15">
      <c r="B46" s="85"/>
      <c r="C46" s="85"/>
      <c r="D46" s="85"/>
      <c r="E46" s="85"/>
      <c r="F46" s="85"/>
      <c r="G46" s="85"/>
      <c r="H46" s="85"/>
      <c r="I46" s="187"/>
      <c r="J46" s="187"/>
      <c r="K46" s="187"/>
      <c r="L46" s="187"/>
      <c r="M46" s="187"/>
      <c r="N46" s="187"/>
      <c r="O46" s="187"/>
      <c r="P46" s="187"/>
      <c r="Q46" s="85"/>
      <c r="R46" s="85"/>
      <c r="S46" s="62"/>
      <c r="T46" s="62"/>
      <c r="U46" s="62"/>
      <c r="V46" s="85"/>
      <c r="W46" s="85"/>
      <c r="X46" s="85"/>
      <c r="Y46" s="85"/>
      <c r="Z46" s="85"/>
      <c r="AA46" s="85"/>
      <c r="AB46" s="76"/>
      <c r="AC46" s="78"/>
      <c r="AD46" s="85"/>
      <c r="AE46" s="85"/>
      <c r="AF46" s="85"/>
      <c r="AG46" s="85"/>
      <c r="AH46" s="191"/>
      <c r="AI46" s="192"/>
      <c r="AJ46" s="192"/>
      <c r="AK46" s="193"/>
      <c r="AL46" s="76"/>
      <c r="AM46" s="78"/>
      <c r="AN46" s="50"/>
      <c r="AO46" s="51"/>
      <c r="AP46" s="51"/>
      <c r="AQ46" s="65"/>
      <c r="AR46" s="195" t="s">
        <v>96</v>
      </c>
      <c r="AS46" s="196"/>
      <c r="AT46" s="196"/>
      <c r="AU46" s="196"/>
      <c r="AV46" s="196"/>
      <c r="AW46" s="196"/>
      <c r="AX46" s="196"/>
      <c r="AY46" s="196"/>
      <c r="AZ46" s="196"/>
      <c r="BA46" s="197"/>
    </row>
    <row r="47" spans="2:53" s="21" customFormat="1" ht="18" customHeight="1" x14ac:dyDescent="0.15">
      <c r="B47" s="85" t="s">
        <v>29</v>
      </c>
      <c r="C47" s="85"/>
      <c r="D47" s="85"/>
      <c r="E47" s="85"/>
      <c r="F47" s="85"/>
      <c r="G47" s="85"/>
      <c r="H47" s="85"/>
      <c r="I47" s="187">
        <v>500000</v>
      </c>
      <c r="J47" s="187"/>
      <c r="K47" s="187"/>
      <c r="L47" s="187"/>
      <c r="M47" s="187">
        <v>0</v>
      </c>
      <c r="N47" s="187"/>
      <c r="O47" s="187"/>
      <c r="P47" s="187"/>
      <c r="Q47" s="85">
        <v>0</v>
      </c>
      <c r="R47" s="85"/>
      <c r="S47" s="62">
        <v>0</v>
      </c>
      <c r="T47" s="62"/>
      <c r="U47" s="62"/>
      <c r="V47" s="85">
        <v>0</v>
      </c>
      <c r="W47" s="85"/>
      <c r="X47" s="85">
        <f>SUM(I47:T48)</f>
        <v>500000</v>
      </c>
      <c r="Y47" s="85"/>
      <c r="Z47" s="85"/>
      <c r="AA47" s="85"/>
      <c r="AB47" s="73">
        <v>0</v>
      </c>
      <c r="AC47" s="75"/>
      <c r="AD47" s="85">
        <f>SUM(X47:AC48)</f>
        <v>500000</v>
      </c>
      <c r="AE47" s="85"/>
      <c r="AF47" s="85"/>
      <c r="AG47" s="85"/>
      <c r="AH47" s="188">
        <v>0</v>
      </c>
      <c r="AI47" s="189"/>
      <c r="AJ47" s="189"/>
      <c r="AK47" s="190"/>
      <c r="AL47" s="73">
        <v>0</v>
      </c>
      <c r="AM47" s="75"/>
      <c r="AN47" s="48">
        <f>AD47-AH47-AL47</f>
        <v>500000</v>
      </c>
      <c r="AO47" s="49"/>
      <c r="AP47" s="49"/>
      <c r="AQ47" s="64"/>
      <c r="AR47" s="52"/>
      <c r="AS47" s="53"/>
      <c r="AT47" s="53"/>
      <c r="AU47" s="53"/>
      <c r="AV47" s="53"/>
      <c r="AW47" s="53"/>
      <c r="AX47" s="53"/>
      <c r="AY47" s="53"/>
      <c r="AZ47" s="53"/>
      <c r="BA47" s="54"/>
    </row>
    <row r="48" spans="2:53" s="21" customFormat="1" ht="18" customHeight="1" x14ac:dyDescent="0.15">
      <c r="B48" s="85"/>
      <c r="C48" s="85"/>
      <c r="D48" s="85"/>
      <c r="E48" s="85"/>
      <c r="F48" s="85"/>
      <c r="G48" s="85"/>
      <c r="H48" s="85"/>
      <c r="I48" s="187"/>
      <c r="J48" s="187"/>
      <c r="K48" s="187"/>
      <c r="L48" s="187"/>
      <c r="M48" s="187"/>
      <c r="N48" s="187"/>
      <c r="O48" s="187"/>
      <c r="P48" s="187"/>
      <c r="Q48" s="85"/>
      <c r="R48" s="85"/>
      <c r="S48" s="62"/>
      <c r="T48" s="62"/>
      <c r="U48" s="62"/>
      <c r="V48" s="85"/>
      <c r="W48" s="85"/>
      <c r="X48" s="85"/>
      <c r="Y48" s="85"/>
      <c r="Z48" s="85"/>
      <c r="AA48" s="85"/>
      <c r="AB48" s="76"/>
      <c r="AC48" s="78"/>
      <c r="AD48" s="85"/>
      <c r="AE48" s="85"/>
      <c r="AF48" s="85"/>
      <c r="AG48" s="85"/>
      <c r="AH48" s="191"/>
      <c r="AI48" s="192"/>
      <c r="AJ48" s="192"/>
      <c r="AK48" s="193"/>
      <c r="AL48" s="76"/>
      <c r="AM48" s="78"/>
      <c r="AN48" s="50"/>
      <c r="AO48" s="51"/>
      <c r="AP48" s="51"/>
      <c r="AQ48" s="65"/>
      <c r="AR48" s="55"/>
      <c r="AS48" s="56"/>
      <c r="AT48" s="56"/>
      <c r="AU48" s="56"/>
      <c r="AV48" s="56"/>
      <c r="AW48" s="56"/>
      <c r="AX48" s="56"/>
      <c r="AY48" s="56"/>
      <c r="AZ48" s="56"/>
      <c r="BA48" s="57"/>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row>
    <row r="52" spans="2:83" s="25" customFormat="1" ht="13.5" customHeight="1" x14ac:dyDescent="0.15">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row>
    <row r="53" spans="2:83" s="25" customFormat="1" ht="13.5" customHeight="1" x14ac:dyDescent="0.15">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row>
    <row r="54" spans="2:83" s="25" customFormat="1" ht="13.5" customHeight="1" x14ac:dyDescent="0.15">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row>
    <row r="55" spans="2:83" s="25" customFormat="1" ht="13.5" customHeight="1" x14ac:dyDescent="0.15">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row>
    <row r="56" spans="2:83" s="25" customFormat="1" ht="13.5" customHeight="1" x14ac:dyDescent="0.15">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row>
    <row r="57" spans="2:83" s="25" customFormat="1" ht="12" customHeight="1" x14ac:dyDescent="0.15">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row>
    <row r="58" spans="2:83" s="25" customFormat="1" ht="13.5" hidden="1" customHeight="1" x14ac:dyDescent="0.15">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row>
    <row r="59" spans="2:83" s="25" customFormat="1" ht="13.5" hidden="1" customHeight="1" x14ac:dyDescent="0.15">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row>
    <row r="60" spans="2:83" s="25" customFormat="1" ht="13.5" customHeight="1" x14ac:dyDescent="0.15">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row>
    <row r="61" spans="2:83" s="25" customFormat="1" ht="13.5" customHeight="1" x14ac:dyDescent="0.15">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row>
    <row r="62" spans="2:83" s="25" customFormat="1" ht="13.5" customHeight="1" x14ac:dyDescent="0.15">
      <c r="B62" s="150" t="s">
        <v>30</v>
      </c>
      <c r="C62" s="150"/>
      <c r="D62" s="150"/>
      <c r="E62" s="150"/>
      <c r="F62" s="150"/>
      <c r="G62" s="150"/>
      <c r="H62" s="150"/>
      <c r="I62" s="150"/>
      <c r="J62" s="150"/>
      <c r="K62" s="150"/>
      <c r="L62" s="150"/>
      <c r="M62" s="150"/>
      <c r="N62" s="150"/>
      <c r="O62" s="40"/>
      <c r="P62" s="40"/>
      <c r="Q62" s="40"/>
      <c r="R62" s="40"/>
      <c r="S62" s="40"/>
      <c r="T62" s="40"/>
      <c r="U62" s="40"/>
      <c r="V62" s="40"/>
      <c r="W62" s="40"/>
      <c r="X62" s="40"/>
      <c r="Y62" s="40"/>
      <c r="Z62" s="40"/>
      <c r="AA62" s="40"/>
      <c r="AB62" s="40"/>
      <c r="AC62" s="40"/>
      <c r="AD62" s="40"/>
      <c r="AE62" s="40"/>
      <c r="AF62" s="40"/>
      <c r="AG62" s="40"/>
      <c r="AH62" s="40"/>
      <c r="AI62" s="40"/>
      <c r="AJ62" s="40"/>
      <c r="AK62" s="20"/>
      <c r="AL62" s="20"/>
      <c r="AM62" s="2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row>
    <row r="63" spans="2:83" s="25" customFormat="1" ht="13.5" customHeight="1" x14ac:dyDescent="0.15">
      <c r="B63" s="150"/>
      <c r="C63" s="150"/>
      <c r="D63" s="150"/>
      <c r="E63" s="150"/>
      <c r="F63" s="150"/>
      <c r="G63" s="150"/>
      <c r="H63" s="150"/>
      <c r="I63" s="150"/>
      <c r="J63" s="150"/>
      <c r="K63" s="150"/>
      <c r="L63" s="150"/>
      <c r="M63" s="150"/>
      <c r="N63" s="150"/>
      <c r="O63" s="2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20"/>
      <c r="AP63" s="20"/>
      <c r="AQ63" s="20"/>
      <c r="AR63" s="26"/>
      <c r="AS63" s="26"/>
      <c r="AT63" s="26"/>
      <c r="AU63" s="26"/>
      <c r="AV63" s="26"/>
      <c r="AW63" s="26"/>
      <c r="AX63" s="26"/>
      <c r="AY63" s="26"/>
      <c r="AZ63" s="26"/>
      <c r="BA63" s="26"/>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row>
    <row r="64" spans="2:83" s="25" customFormat="1" ht="13.5" customHeight="1" x14ac:dyDescent="0.15">
      <c r="B64" s="130" t="s">
        <v>1</v>
      </c>
      <c r="C64" s="130"/>
      <c r="D64" s="130"/>
      <c r="E64" s="130"/>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row>
    <row r="65" spans="2:82" s="25" customFormat="1" ht="13.5" customHeight="1" x14ac:dyDescent="0.15">
      <c r="B65" s="131"/>
      <c r="C65" s="131"/>
      <c r="D65" s="131"/>
      <c r="E65" s="131"/>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1" t="s">
        <v>47</v>
      </c>
      <c r="AV65" s="151"/>
      <c r="AW65" s="151"/>
      <c r="AX65" s="151"/>
      <c r="AY65" s="151"/>
      <c r="AZ65" s="151"/>
      <c r="BA65" s="151"/>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row>
    <row r="66" spans="2:82" s="21" customFormat="1" ht="13.5" customHeight="1" x14ac:dyDescent="0.15">
      <c r="B66" s="113" t="s">
        <v>2</v>
      </c>
      <c r="C66" s="114"/>
      <c r="D66" s="114"/>
      <c r="E66" s="114"/>
      <c r="F66" s="114"/>
      <c r="G66" s="114"/>
      <c r="H66" s="114"/>
      <c r="I66" s="113" t="s">
        <v>14</v>
      </c>
      <c r="J66" s="114"/>
      <c r="K66" s="114"/>
      <c r="L66" s="114"/>
      <c r="M66" s="114"/>
      <c r="N66" s="114"/>
      <c r="O66" s="114"/>
      <c r="P66" s="114"/>
      <c r="Q66" s="114"/>
      <c r="R66" s="114"/>
      <c r="S66" s="114"/>
      <c r="T66" s="114"/>
      <c r="U66" s="114"/>
      <c r="V66" s="114"/>
      <c r="W66" s="114"/>
      <c r="X66" s="114"/>
      <c r="Y66" s="114"/>
      <c r="Z66" s="114"/>
      <c r="AA66" s="114"/>
      <c r="AB66" s="114"/>
      <c r="AC66" s="114"/>
      <c r="AD66" s="114"/>
      <c r="AE66" s="97" t="s">
        <v>4</v>
      </c>
      <c r="AF66" s="97"/>
      <c r="AG66" s="97"/>
      <c r="AH66" s="97"/>
      <c r="AI66" s="122" t="s">
        <v>48</v>
      </c>
      <c r="AJ66" s="123"/>
      <c r="AK66" s="123"/>
      <c r="AL66" s="123"/>
      <c r="AM66" s="97" t="s">
        <v>6</v>
      </c>
      <c r="AN66" s="97"/>
      <c r="AO66" s="97"/>
      <c r="AP66" s="97"/>
      <c r="AQ66" s="97"/>
      <c r="AR66" s="97"/>
      <c r="AS66" s="97"/>
      <c r="AT66" s="97"/>
      <c r="AU66" s="97"/>
      <c r="AV66" s="97"/>
      <c r="AW66" s="97"/>
      <c r="AX66" s="97"/>
      <c r="AY66" s="97"/>
      <c r="AZ66" s="97"/>
      <c r="BA66" s="97"/>
    </row>
    <row r="67" spans="2:82" s="21" customFormat="1" ht="13.5" customHeight="1" x14ac:dyDescent="0.15">
      <c r="B67" s="116"/>
      <c r="C67" s="117"/>
      <c r="D67" s="117"/>
      <c r="E67" s="117"/>
      <c r="F67" s="117"/>
      <c r="G67" s="117"/>
      <c r="H67" s="117"/>
      <c r="I67" s="119"/>
      <c r="J67" s="120"/>
      <c r="K67" s="120"/>
      <c r="L67" s="120"/>
      <c r="M67" s="120"/>
      <c r="N67" s="120"/>
      <c r="O67" s="120"/>
      <c r="P67" s="120"/>
      <c r="Q67" s="120"/>
      <c r="R67" s="120"/>
      <c r="S67" s="120"/>
      <c r="T67" s="120"/>
      <c r="U67" s="120"/>
      <c r="V67" s="120"/>
      <c r="W67" s="120"/>
      <c r="X67" s="120"/>
      <c r="Y67" s="120"/>
      <c r="Z67" s="120"/>
      <c r="AA67" s="120"/>
      <c r="AB67" s="120"/>
      <c r="AC67" s="120"/>
      <c r="AD67" s="120"/>
      <c r="AE67" s="97"/>
      <c r="AF67" s="97"/>
      <c r="AG67" s="97"/>
      <c r="AH67" s="97"/>
      <c r="AI67" s="128"/>
      <c r="AJ67" s="129"/>
      <c r="AK67" s="129"/>
      <c r="AL67" s="129"/>
      <c r="AM67" s="97"/>
      <c r="AN67" s="97"/>
      <c r="AO67" s="97"/>
      <c r="AP67" s="97"/>
      <c r="AQ67" s="97"/>
      <c r="AR67" s="97"/>
      <c r="AS67" s="97"/>
      <c r="AT67" s="97"/>
      <c r="AU67" s="97"/>
      <c r="AV67" s="97"/>
      <c r="AW67" s="97"/>
      <c r="AX67" s="97"/>
      <c r="AY67" s="97"/>
      <c r="AZ67" s="97"/>
      <c r="BA67" s="97"/>
    </row>
    <row r="68" spans="2:82" s="21" customFormat="1" ht="13.5" customHeight="1" x14ac:dyDescent="0.15">
      <c r="B68" s="116"/>
      <c r="C68" s="117"/>
      <c r="D68" s="117"/>
      <c r="E68" s="117"/>
      <c r="F68" s="117"/>
      <c r="G68" s="117"/>
      <c r="H68" s="117"/>
      <c r="I68" s="113" t="s">
        <v>7</v>
      </c>
      <c r="J68" s="114"/>
      <c r="K68" s="114"/>
      <c r="L68" s="115"/>
      <c r="M68" s="113" t="s">
        <v>8</v>
      </c>
      <c r="N68" s="114"/>
      <c r="O68" s="114"/>
      <c r="P68" s="115"/>
      <c r="Q68" s="113" t="s">
        <v>31</v>
      </c>
      <c r="R68" s="114"/>
      <c r="S68" s="114"/>
      <c r="T68" s="115"/>
      <c r="U68" s="135" t="s">
        <v>32</v>
      </c>
      <c r="V68" s="136"/>
      <c r="W68" s="137"/>
      <c r="X68" s="135" t="s">
        <v>33</v>
      </c>
      <c r="Y68" s="136"/>
      <c r="Z68" s="137"/>
      <c r="AA68" s="144" t="s">
        <v>9</v>
      </c>
      <c r="AB68" s="145"/>
      <c r="AC68" s="145"/>
      <c r="AD68" s="145"/>
      <c r="AE68" s="97"/>
      <c r="AF68" s="97"/>
      <c r="AG68" s="97"/>
      <c r="AH68" s="97"/>
      <c r="AI68" s="128"/>
      <c r="AJ68" s="129"/>
      <c r="AK68" s="129"/>
      <c r="AL68" s="129"/>
      <c r="AM68" s="97"/>
      <c r="AN68" s="97"/>
      <c r="AO68" s="97"/>
      <c r="AP68" s="97"/>
      <c r="AQ68" s="97"/>
      <c r="AR68" s="97"/>
      <c r="AS68" s="97"/>
      <c r="AT68" s="97"/>
      <c r="AU68" s="97"/>
      <c r="AV68" s="97"/>
      <c r="AW68" s="97"/>
      <c r="AX68" s="97"/>
      <c r="AY68" s="97"/>
      <c r="AZ68" s="97"/>
      <c r="BA68" s="97"/>
    </row>
    <row r="69" spans="2:82" s="21" customFormat="1" ht="13.5" customHeight="1" x14ac:dyDescent="0.15">
      <c r="B69" s="116"/>
      <c r="C69" s="117"/>
      <c r="D69" s="117"/>
      <c r="E69" s="117"/>
      <c r="F69" s="117"/>
      <c r="G69" s="117"/>
      <c r="H69" s="117"/>
      <c r="I69" s="116"/>
      <c r="J69" s="117"/>
      <c r="K69" s="117"/>
      <c r="L69" s="118"/>
      <c r="M69" s="116"/>
      <c r="N69" s="117"/>
      <c r="O69" s="117"/>
      <c r="P69" s="118"/>
      <c r="Q69" s="116"/>
      <c r="R69" s="117"/>
      <c r="S69" s="117"/>
      <c r="T69" s="118"/>
      <c r="U69" s="138"/>
      <c r="V69" s="139"/>
      <c r="W69" s="140"/>
      <c r="X69" s="138"/>
      <c r="Y69" s="139"/>
      <c r="Z69" s="140"/>
      <c r="AA69" s="146"/>
      <c r="AB69" s="147"/>
      <c r="AC69" s="147"/>
      <c r="AD69" s="147"/>
      <c r="AE69" s="97"/>
      <c r="AF69" s="97"/>
      <c r="AG69" s="97"/>
      <c r="AH69" s="97"/>
      <c r="AI69" s="128"/>
      <c r="AJ69" s="129"/>
      <c r="AK69" s="129"/>
      <c r="AL69" s="129"/>
      <c r="AM69" s="97"/>
      <c r="AN69" s="97"/>
      <c r="AO69" s="97"/>
      <c r="AP69" s="97"/>
      <c r="AQ69" s="97"/>
      <c r="AR69" s="97"/>
      <c r="AS69" s="97"/>
      <c r="AT69" s="97"/>
      <c r="AU69" s="97"/>
      <c r="AV69" s="97"/>
      <c r="AW69" s="97"/>
      <c r="AX69" s="97"/>
      <c r="AY69" s="97"/>
      <c r="AZ69" s="97"/>
      <c r="BA69" s="97"/>
    </row>
    <row r="70" spans="2:82" s="21" customFormat="1" ht="13.5" customHeight="1" x14ac:dyDescent="0.15">
      <c r="B70" s="116"/>
      <c r="C70" s="117"/>
      <c r="D70" s="117"/>
      <c r="E70" s="117"/>
      <c r="F70" s="117"/>
      <c r="G70" s="117"/>
      <c r="H70" s="117"/>
      <c r="I70" s="116"/>
      <c r="J70" s="117"/>
      <c r="K70" s="117"/>
      <c r="L70" s="118"/>
      <c r="M70" s="116"/>
      <c r="N70" s="117"/>
      <c r="O70" s="117"/>
      <c r="P70" s="118"/>
      <c r="Q70" s="116"/>
      <c r="R70" s="117"/>
      <c r="S70" s="117"/>
      <c r="T70" s="118"/>
      <c r="U70" s="138"/>
      <c r="V70" s="139"/>
      <c r="W70" s="140"/>
      <c r="X70" s="138"/>
      <c r="Y70" s="139"/>
      <c r="Z70" s="140"/>
      <c r="AA70" s="146"/>
      <c r="AB70" s="147"/>
      <c r="AC70" s="147"/>
      <c r="AD70" s="147"/>
      <c r="AE70" s="97"/>
      <c r="AF70" s="97"/>
      <c r="AG70" s="97"/>
      <c r="AH70" s="97"/>
      <c r="AI70" s="128"/>
      <c r="AJ70" s="129"/>
      <c r="AK70" s="129"/>
      <c r="AL70" s="129"/>
      <c r="AM70" s="97"/>
      <c r="AN70" s="97"/>
      <c r="AO70" s="97"/>
      <c r="AP70" s="97"/>
      <c r="AQ70" s="97"/>
      <c r="AR70" s="97"/>
      <c r="AS70" s="97"/>
      <c r="AT70" s="97"/>
      <c r="AU70" s="97"/>
      <c r="AV70" s="97"/>
      <c r="AW70" s="97"/>
      <c r="AX70" s="97"/>
      <c r="AY70" s="97"/>
      <c r="AZ70" s="97"/>
      <c r="BA70" s="97"/>
    </row>
    <row r="71" spans="2:82" s="21" customFormat="1" ht="13.5" customHeight="1" x14ac:dyDescent="0.15">
      <c r="B71" s="119"/>
      <c r="C71" s="120"/>
      <c r="D71" s="120"/>
      <c r="E71" s="120"/>
      <c r="F71" s="120"/>
      <c r="G71" s="120"/>
      <c r="H71" s="120"/>
      <c r="I71" s="119"/>
      <c r="J71" s="120"/>
      <c r="K71" s="120"/>
      <c r="L71" s="121"/>
      <c r="M71" s="119"/>
      <c r="N71" s="120"/>
      <c r="O71" s="120"/>
      <c r="P71" s="121"/>
      <c r="Q71" s="119"/>
      <c r="R71" s="120"/>
      <c r="S71" s="120"/>
      <c r="T71" s="121"/>
      <c r="U71" s="141"/>
      <c r="V71" s="142"/>
      <c r="W71" s="143"/>
      <c r="X71" s="141"/>
      <c r="Y71" s="142"/>
      <c r="Z71" s="143"/>
      <c r="AA71" s="148"/>
      <c r="AB71" s="149"/>
      <c r="AC71" s="149"/>
      <c r="AD71" s="149"/>
      <c r="AE71" s="97"/>
      <c r="AF71" s="97"/>
      <c r="AG71" s="97"/>
      <c r="AH71" s="97"/>
      <c r="AI71" s="125"/>
      <c r="AJ71" s="126"/>
      <c r="AK71" s="126"/>
      <c r="AL71" s="126"/>
      <c r="AM71" s="97"/>
      <c r="AN71" s="97"/>
      <c r="AO71" s="97"/>
      <c r="AP71" s="97"/>
      <c r="AQ71" s="97"/>
      <c r="AR71" s="97"/>
      <c r="AS71" s="97"/>
      <c r="AT71" s="97"/>
      <c r="AU71" s="97"/>
      <c r="AV71" s="97"/>
      <c r="AW71" s="97"/>
      <c r="AX71" s="97"/>
      <c r="AY71" s="97"/>
      <c r="AZ71" s="97"/>
      <c r="BA71" s="97"/>
    </row>
    <row r="72" spans="2:82" s="21" customFormat="1" ht="18" customHeight="1" x14ac:dyDescent="0.15">
      <c r="B72" s="73" t="s">
        <v>34</v>
      </c>
      <c r="C72" s="74"/>
      <c r="D72" s="74"/>
      <c r="E72" s="74"/>
      <c r="F72" s="74"/>
      <c r="G72" s="74"/>
      <c r="H72" s="74"/>
      <c r="I72" s="73">
        <f>SUM(I74:L79)</f>
        <v>67200000</v>
      </c>
      <c r="J72" s="74"/>
      <c r="K72" s="74"/>
      <c r="L72" s="75"/>
      <c r="M72" s="48">
        <f>SUM(M74:P79)</f>
        <v>-1407000</v>
      </c>
      <c r="N72" s="49"/>
      <c r="O72" s="49"/>
      <c r="P72" s="64"/>
      <c r="Q72" s="48">
        <f>SUM(Q74:T79)</f>
        <v>65793000</v>
      </c>
      <c r="R72" s="49"/>
      <c r="S72" s="49"/>
      <c r="T72" s="64"/>
      <c r="U72" s="73">
        <f>SUM(U74:W79)</f>
        <v>0</v>
      </c>
      <c r="V72" s="74"/>
      <c r="W72" s="75"/>
      <c r="X72" s="73">
        <f>SUM(X74:Z79)</f>
        <v>0</v>
      </c>
      <c r="Y72" s="74"/>
      <c r="Z72" s="75"/>
      <c r="AA72" s="73">
        <f>SUM(AA74:AD79)</f>
        <v>65793000</v>
      </c>
      <c r="AB72" s="74"/>
      <c r="AC72" s="74"/>
      <c r="AD72" s="74"/>
      <c r="AE72" s="85">
        <f>SUM(AE74:AH79)</f>
        <v>62889100</v>
      </c>
      <c r="AF72" s="85"/>
      <c r="AG72" s="85"/>
      <c r="AH72" s="85"/>
      <c r="AI72" s="85">
        <f>SUM(AI74:AL79)</f>
        <v>-2903900</v>
      </c>
      <c r="AJ72" s="85"/>
      <c r="AK72" s="85"/>
      <c r="AL72" s="85"/>
      <c r="AM72" s="133"/>
      <c r="AN72" s="133"/>
      <c r="AO72" s="133"/>
      <c r="AP72" s="133"/>
      <c r="AQ72" s="133"/>
      <c r="AR72" s="133"/>
      <c r="AS72" s="133"/>
      <c r="AT72" s="133"/>
      <c r="AU72" s="133"/>
      <c r="AV72" s="133"/>
      <c r="AW72" s="133"/>
      <c r="AX72" s="133"/>
      <c r="AY72" s="133"/>
      <c r="AZ72" s="133"/>
      <c r="BA72" s="133"/>
    </row>
    <row r="73" spans="2:82" s="21" customFormat="1" ht="18" customHeight="1" x14ac:dyDescent="0.15">
      <c r="B73" s="76"/>
      <c r="C73" s="77"/>
      <c r="D73" s="77"/>
      <c r="E73" s="77"/>
      <c r="F73" s="77"/>
      <c r="G73" s="77"/>
      <c r="H73" s="77"/>
      <c r="I73" s="76"/>
      <c r="J73" s="77"/>
      <c r="K73" s="77"/>
      <c r="L73" s="78"/>
      <c r="M73" s="50"/>
      <c r="N73" s="51"/>
      <c r="O73" s="51"/>
      <c r="P73" s="65"/>
      <c r="Q73" s="50"/>
      <c r="R73" s="51"/>
      <c r="S73" s="51"/>
      <c r="T73" s="65"/>
      <c r="U73" s="76"/>
      <c r="V73" s="77"/>
      <c r="W73" s="78"/>
      <c r="X73" s="76"/>
      <c r="Y73" s="77"/>
      <c r="Z73" s="78"/>
      <c r="AA73" s="76"/>
      <c r="AB73" s="77"/>
      <c r="AC73" s="77"/>
      <c r="AD73" s="77"/>
      <c r="AE73" s="85"/>
      <c r="AF73" s="85"/>
      <c r="AG73" s="85"/>
      <c r="AH73" s="85"/>
      <c r="AI73" s="85"/>
      <c r="AJ73" s="85"/>
      <c r="AK73" s="85"/>
      <c r="AL73" s="85"/>
      <c r="AM73" s="133"/>
      <c r="AN73" s="133"/>
      <c r="AO73" s="133"/>
      <c r="AP73" s="133"/>
      <c r="AQ73" s="133"/>
      <c r="AR73" s="133"/>
      <c r="AS73" s="133"/>
      <c r="AT73" s="133"/>
      <c r="AU73" s="133"/>
      <c r="AV73" s="133"/>
      <c r="AW73" s="133"/>
      <c r="AX73" s="133"/>
      <c r="AY73" s="133"/>
      <c r="AZ73" s="133"/>
      <c r="BA73" s="133"/>
    </row>
    <row r="74" spans="2:82" s="21" customFormat="1" ht="18" customHeight="1" x14ac:dyDescent="0.15">
      <c r="B74" s="73" t="s">
        <v>35</v>
      </c>
      <c r="C74" s="74"/>
      <c r="D74" s="74"/>
      <c r="E74" s="74"/>
      <c r="F74" s="74"/>
      <c r="G74" s="74"/>
      <c r="H74" s="74"/>
      <c r="I74" s="188">
        <v>2800000</v>
      </c>
      <c r="J74" s="189"/>
      <c r="K74" s="189"/>
      <c r="L74" s="190"/>
      <c r="M74" s="188">
        <v>793000</v>
      </c>
      <c r="N74" s="189"/>
      <c r="O74" s="189"/>
      <c r="P74" s="190"/>
      <c r="Q74" s="48">
        <f>SUM(I74:P75)</f>
        <v>3593000</v>
      </c>
      <c r="R74" s="49"/>
      <c r="S74" s="49"/>
      <c r="T74" s="64"/>
      <c r="U74" s="73">
        <f>SUM(X80:Z81)</f>
        <v>0</v>
      </c>
      <c r="V74" s="74"/>
      <c r="W74" s="75"/>
      <c r="X74" s="73">
        <v>0</v>
      </c>
      <c r="Y74" s="74"/>
      <c r="Z74" s="75"/>
      <c r="AA74" s="73">
        <f>SUM(Q74:Z75)</f>
        <v>3593000</v>
      </c>
      <c r="AB74" s="74"/>
      <c r="AC74" s="74"/>
      <c r="AD74" s="74"/>
      <c r="AE74" s="187">
        <v>3389100</v>
      </c>
      <c r="AF74" s="187"/>
      <c r="AG74" s="187"/>
      <c r="AH74" s="187"/>
      <c r="AI74" s="73">
        <f>AE74-AA74</f>
        <v>-203900</v>
      </c>
      <c r="AJ74" s="74"/>
      <c r="AK74" s="74"/>
      <c r="AL74" s="74"/>
      <c r="AM74" s="194" t="s">
        <v>93</v>
      </c>
      <c r="AN74" s="194"/>
      <c r="AO74" s="194"/>
      <c r="AP74" s="194"/>
      <c r="AQ74" s="194"/>
      <c r="AR74" s="194"/>
      <c r="AS74" s="194"/>
      <c r="AT74" s="194"/>
      <c r="AU74" s="194"/>
      <c r="AV74" s="194"/>
      <c r="AW74" s="194"/>
      <c r="AX74" s="194"/>
      <c r="AY74" s="194"/>
      <c r="AZ74" s="194"/>
      <c r="BA74" s="194"/>
    </row>
    <row r="75" spans="2:82" s="21" customFormat="1" ht="18" customHeight="1" x14ac:dyDescent="0.15">
      <c r="B75" s="76"/>
      <c r="C75" s="77"/>
      <c r="D75" s="77"/>
      <c r="E75" s="77"/>
      <c r="F75" s="77"/>
      <c r="G75" s="77"/>
      <c r="H75" s="77"/>
      <c r="I75" s="191"/>
      <c r="J75" s="192"/>
      <c r="K75" s="192"/>
      <c r="L75" s="193"/>
      <c r="M75" s="191"/>
      <c r="N75" s="192"/>
      <c r="O75" s="192"/>
      <c r="P75" s="193"/>
      <c r="Q75" s="50"/>
      <c r="R75" s="51"/>
      <c r="S75" s="51"/>
      <c r="T75" s="65"/>
      <c r="U75" s="76"/>
      <c r="V75" s="77"/>
      <c r="W75" s="78"/>
      <c r="X75" s="76"/>
      <c r="Y75" s="77"/>
      <c r="Z75" s="78"/>
      <c r="AA75" s="76"/>
      <c r="AB75" s="77"/>
      <c r="AC75" s="77"/>
      <c r="AD75" s="77"/>
      <c r="AE75" s="187"/>
      <c r="AF75" s="187"/>
      <c r="AG75" s="187"/>
      <c r="AH75" s="187"/>
      <c r="AI75" s="76"/>
      <c r="AJ75" s="77"/>
      <c r="AK75" s="77"/>
      <c r="AL75" s="77"/>
      <c r="AM75" s="194"/>
      <c r="AN75" s="194"/>
      <c r="AO75" s="194"/>
      <c r="AP75" s="194"/>
      <c r="AQ75" s="194"/>
      <c r="AR75" s="194"/>
      <c r="AS75" s="194"/>
      <c r="AT75" s="194"/>
      <c r="AU75" s="194"/>
      <c r="AV75" s="194"/>
      <c r="AW75" s="194"/>
      <c r="AX75" s="194"/>
      <c r="AY75" s="194"/>
      <c r="AZ75" s="194"/>
      <c r="BA75" s="194"/>
    </row>
    <row r="76" spans="2:82" s="21" customFormat="1" ht="18" customHeight="1" x14ac:dyDescent="0.15">
      <c r="B76" s="73" t="s">
        <v>51</v>
      </c>
      <c r="C76" s="74"/>
      <c r="D76" s="74"/>
      <c r="E76" s="74"/>
      <c r="F76" s="74"/>
      <c r="G76" s="74"/>
      <c r="H76" s="75"/>
      <c r="I76" s="188">
        <v>27400000</v>
      </c>
      <c r="J76" s="189"/>
      <c r="K76" s="189"/>
      <c r="L76" s="190"/>
      <c r="M76" s="177">
        <v>0</v>
      </c>
      <c r="N76" s="178"/>
      <c r="O76" s="178"/>
      <c r="P76" s="179"/>
      <c r="Q76" s="48">
        <f>SUM(I76:P77)</f>
        <v>27400000</v>
      </c>
      <c r="R76" s="49"/>
      <c r="S76" s="49"/>
      <c r="T76" s="64"/>
      <c r="U76" s="73">
        <v>0</v>
      </c>
      <c r="V76" s="74"/>
      <c r="W76" s="75"/>
      <c r="X76" s="73">
        <v>0</v>
      </c>
      <c r="Y76" s="74"/>
      <c r="Z76" s="75"/>
      <c r="AA76" s="73">
        <f>SUM(Q76:Z77)</f>
        <v>27400000</v>
      </c>
      <c r="AB76" s="74"/>
      <c r="AC76" s="74"/>
      <c r="AD76" s="74"/>
      <c r="AE76" s="187">
        <v>25300000</v>
      </c>
      <c r="AF76" s="187"/>
      <c r="AG76" s="187"/>
      <c r="AH76" s="187"/>
      <c r="AI76" s="73">
        <f>AE76-AA76</f>
        <v>-2100000</v>
      </c>
      <c r="AJ76" s="74"/>
      <c r="AK76" s="74"/>
      <c r="AL76" s="74"/>
      <c r="AM76" s="97"/>
      <c r="AN76" s="97"/>
      <c r="AO76" s="97"/>
      <c r="AP76" s="97"/>
      <c r="AQ76" s="97"/>
      <c r="AR76" s="97"/>
      <c r="AS76" s="97"/>
      <c r="AT76" s="97"/>
      <c r="AU76" s="97"/>
      <c r="AV76" s="97"/>
      <c r="AW76" s="97"/>
      <c r="AX76" s="97"/>
      <c r="AY76" s="97"/>
      <c r="AZ76" s="97"/>
      <c r="BA76" s="97"/>
    </row>
    <row r="77" spans="2:82" s="21" customFormat="1" ht="18" customHeight="1" x14ac:dyDescent="0.15">
      <c r="B77" s="76"/>
      <c r="C77" s="77"/>
      <c r="D77" s="77"/>
      <c r="E77" s="77"/>
      <c r="F77" s="77"/>
      <c r="G77" s="77"/>
      <c r="H77" s="78"/>
      <c r="I77" s="191"/>
      <c r="J77" s="192"/>
      <c r="K77" s="192"/>
      <c r="L77" s="193"/>
      <c r="M77" s="180"/>
      <c r="N77" s="181"/>
      <c r="O77" s="181"/>
      <c r="P77" s="182"/>
      <c r="Q77" s="50"/>
      <c r="R77" s="51"/>
      <c r="S77" s="51"/>
      <c r="T77" s="65"/>
      <c r="U77" s="76"/>
      <c r="V77" s="77"/>
      <c r="W77" s="78"/>
      <c r="X77" s="76"/>
      <c r="Y77" s="77"/>
      <c r="Z77" s="78"/>
      <c r="AA77" s="76"/>
      <c r="AB77" s="77"/>
      <c r="AC77" s="77"/>
      <c r="AD77" s="77"/>
      <c r="AE77" s="187"/>
      <c r="AF77" s="187"/>
      <c r="AG77" s="187"/>
      <c r="AH77" s="187"/>
      <c r="AI77" s="76"/>
      <c r="AJ77" s="77"/>
      <c r="AK77" s="77"/>
      <c r="AL77" s="77"/>
      <c r="AM77" s="97"/>
      <c r="AN77" s="97"/>
      <c r="AO77" s="97"/>
      <c r="AP77" s="97"/>
      <c r="AQ77" s="97"/>
      <c r="AR77" s="97"/>
      <c r="AS77" s="97"/>
      <c r="AT77" s="97"/>
      <c r="AU77" s="97"/>
      <c r="AV77" s="97"/>
      <c r="AW77" s="97"/>
      <c r="AX77" s="97"/>
      <c r="AY77" s="97"/>
      <c r="AZ77" s="97"/>
      <c r="BA77" s="97"/>
    </row>
    <row r="78" spans="2:82" s="21" customFormat="1" ht="18" customHeight="1" x14ac:dyDescent="0.15">
      <c r="B78" s="73" t="s">
        <v>52</v>
      </c>
      <c r="C78" s="74"/>
      <c r="D78" s="74"/>
      <c r="E78" s="74"/>
      <c r="F78" s="74"/>
      <c r="G78" s="74"/>
      <c r="H78" s="74"/>
      <c r="I78" s="188">
        <v>37000000</v>
      </c>
      <c r="J78" s="189"/>
      <c r="K78" s="189"/>
      <c r="L78" s="190"/>
      <c r="M78" s="188">
        <v>-2200000</v>
      </c>
      <c r="N78" s="189"/>
      <c r="O78" s="189"/>
      <c r="P78" s="190"/>
      <c r="Q78" s="48">
        <f>SUM(I78:P79)</f>
        <v>34800000</v>
      </c>
      <c r="R78" s="49"/>
      <c r="S78" s="49"/>
      <c r="T78" s="64"/>
      <c r="U78" s="73">
        <v>0</v>
      </c>
      <c r="V78" s="74"/>
      <c r="W78" s="75"/>
      <c r="X78" s="73">
        <v>0</v>
      </c>
      <c r="Y78" s="74"/>
      <c r="Z78" s="75"/>
      <c r="AA78" s="73">
        <f>SUM(Q78:Z79)</f>
        <v>34800000</v>
      </c>
      <c r="AB78" s="74"/>
      <c r="AC78" s="74"/>
      <c r="AD78" s="74"/>
      <c r="AE78" s="187">
        <v>34200000</v>
      </c>
      <c r="AF78" s="187"/>
      <c r="AG78" s="187"/>
      <c r="AH78" s="187"/>
      <c r="AI78" s="73">
        <f>AE78-AA78</f>
        <v>-600000</v>
      </c>
      <c r="AJ78" s="74"/>
      <c r="AK78" s="74"/>
      <c r="AL78" s="74"/>
      <c r="AM78" s="97"/>
      <c r="AN78" s="97"/>
      <c r="AO78" s="97"/>
      <c r="AP78" s="97"/>
      <c r="AQ78" s="97"/>
      <c r="AR78" s="97"/>
      <c r="AS78" s="97"/>
      <c r="AT78" s="97"/>
      <c r="AU78" s="97"/>
      <c r="AV78" s="97"/>
      <c r="AW78" s="97"/>
      <c r="AX78" s="97"/>
      <c r="AY78" s="97"/>
      <c r="AZ78" s="97"/>
      <c r="BA78" s="97"/>
    </row>
    <row r="79" spans="2:82" s="21" customFormat="1" ht="18" customHeight="1" x14ac:dyDescent="0.15">
      <c r="B79" s="76"/>
      <c r="C79" s="77"/>
      <c r="D79" s="77"/>
      <c r="E79" s="77"/>
      <c r="F79" s="77"/>
      <c r="G79" s="77"/>
      <c r="H79" s="77"/>
      <c r="I79" s="191"/>
      <c r="J79" s="192"/>
      <c r="K79" s="192"/>
      <c r="L79" s="193"/>
      <c r="M79" s="191"/>
      <c r="N79" s="192"/>
      <c r="O79" s="192"/>
      <c r="P79" s="193"/>
      <c r="Q79" s="50"/>
      <c r="R79" s="51"/>
      <c r="S79" s="51"/>
      <c r="T79" s="65"/>
      <c r="U79" s="76"/>
      <c r="V79" s="77"/>
      <c r="W79" s="78"/>
      <c r="X79" s="76"/>
      <c r="Y79" s="77"/>
      <c r="Z79" s="78"/>
      <c r="AA79" s="76"/>
      <c r="AB79" s="77"/>
      <c r="AC79" s="77"/>
      <c r="AD79" s="77"/>
      <c r="AE79" s="187"/>
      <c r="AF79" s="187"/>
      <c r="AG79" s="187"/>
      <c r="AH79" s="187"/>
      <c r="AI79" s="76"/>
      <c r="AJ79" s="77"/>
      <c r="AK79" s="77"/>
      <c r="AL79" s="77"/>
      <c r="AM79" s="97"/>
      <c r="AN79" s="97"/>
      <c r="AO79" s="97"/>
      <c r="AP79" s="97"/>
      <c r="AQ79" s="97"/>
      <c r="AR79" s="97"/>
      <c r="AS79" s="97"/>
      <c r="AT79" s="97"/>
      <c r="AU79" s="97"/>
      <c r="AV79" s="97"/>
      <c r="AW79" s="97"/>
      <c r="AX79" s="97"/>
      <c r="AY79" s="97"/>
      <c r="AZ79" s="97"/>
      <c r="BA79" s="97"/>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0" t="s">
        <v>13</v>
      </c>
      <c r="C81" s="130"/>
      <c r="D81" s="130"/>
      <c r="E81" s="130"/>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1"/>
      <c r="C82" s="131"/>
      <c r="D82" s="131"/>
      <c r="E82" s="131"/>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41"/>
      <c r="AU82" s="132" t="s">
        <v>47</v>
      </c>
      <c r="AV82" s="132"/>
      <c r="AW82" s="132"/>
      <c r="AX82" s="132"/>
      <c r="AY82" s="132"/>
      <c r="AZ82" s="132"/>
      <c r="BA82" s="132"/>
      <c r="CM82" s="21"/>
    </row>
    <row r="83" spans="2:91" s="21" customFormat="1" ht="13.5" customHeight="1" x14ac:dyDescent="0.15">
      <c r="B83" s="113" t="s">
        <v>2</v>
      </c>
      <c r="C83" s="114"/>
      <c r="D83" s="114"/>
      <c r="E83" s="114"/>
      <c r="F83" s="114"/>
      <c r="G83" s="114"/>
      <c r="H83" s="115"/>
      <c r="I83" s="113" t="s">
        <v>36</v>
      </c>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3" t="s">
        <v>4</v>
      </c>
      <c r="AG83" s="114"/>
      <c r="AH83" s="114"/>
      <c r="AI83" s="115"/>
      <c r="AJ83" s="122" t="s">
        <v>37</v>
      </c>
      <c r="AK83" s="123"/>
      <c r="AL83" s="123"/>
      <c r="AM83" s="123"/>
      <c r="AN83" s="123"/>
      <c r="AO83" s="124"/>
      <c r="AP83" s="113" t="s">
        <v>17</v>
      </c>
      <c r="AQ83" s="114"/>
      <c r="AR83" s="115"/>
      <c r="AS83" s="113" t="s">
        <v>38</v>
      </c>
      <c r="AT83" s="114"/>
      <c r="AU83" s="114"/>
      <c r="AV83" s="114"/>
      <c r="AW83" s="114"/>
      <c r="AX83" s="114"/>
      <c r="AY83" s="114"/>
      <c r="AZ83" s="114"/>
      <c r="BA83" s="115"/>
    </row>
    <row r="84" spans="2:91" s="21" customFormat="1" ht="13.5" customHeight="1" x14ac:dyDescent="0.15">
      <c r="B84" s="116"/>
      <c r="C84" s="117"/>
      <c r="D84" s="117"/>
      <c r="E84" s="117"/>
      <c r="F84" s="117"/>
      <c r="G84" s="117"/>
      <c r="H84" s="118"/>
      <c r="I84" s="119"/>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16"/>
      <c r="AG84" s="117"/>
      <c r="AH84" s="117"/>
      <c r="AI84" s="118"/>
      <c r="AJ84" s="125"/>
      <c r="AK84" s="126"/>
      <c r="AL84" s="126"/>
      <c r="AM84" s="126"/>
      <c r="AN84" s="126"/>
      <c r="AO84" s="127"/>
      <c r="AP84" s="116"/>
      <c r="AQ84" s="117"/>
      <c r="AR84" s="118"/>
      <c r="AS84" s="116"/>
      <c r="AT84" s="117"/>
      <c r="AU84" s="117"/>
      <c r="AV84" s="117"/>
      <c r="AW84" s="117"/>
      <c r="AX84" s="117"/>
      <c r="AY84" s="117"/>
      <c r="AZ84" s="117"/>
      <c r="BA84" s="118"/>
    </row>
    <row r="85" spans="2:91" s="21" customFormat="1" ht="13.5" customHeight="1" x14ac:dyDescent="0.15">
      <c r="B85" s="116"/>
      <c r="C85" s="117"/>
      <c r="D85" s="117"/>
      <c r="E85" s="117"/>
      <c r="F85" s="117"/>
      <c r="G85" s="117"/>
      <c r="H85" s="118"/>
      <c r="I85" s="113" t="s">
        <v>19</v>
      </c>
      <c r="J85" s="114"/>
      <c r="K85" s="114"/>
      <c r="L85" s="115"/>
      <c r="M85" s="113" t="s">
        <v>20</v>
      </c>
      <c r="N85" s="114"/>
      <c r="O85" s="114"/>
      <c r="P85" s="115"/>
      <c r="Q85" s="122" t="s">
        <v>39</v>
      </c>
      <c r="R85" s="123"/>
      <c r="S85" s="97" t="s">
        <v>24</v>
      </c>
      <c r="T85" s="97"/>
      <c r="U85" s="97"/>
      <c r="V85" s="97"/>
      <c r="W85" s="86" t="s">
        <v>40</v>
      </c>
      <c r="X85" s="87"/>
      <c r="Y85" s="88"/>
      <c r="Z85" s="95" t="s">
        <v>41</v>
      </c>
      <c r="AA85" s="96"/>
      <c r="AB85" s="97" t="s">
        <v>25</v>
      </c>
      <c r="AC85" s="97"/>
      <c r="AD85" s="97"/>
      <c r="AE85" s="98"/>
      <c r="AF85" s="116"/>
      <c r="AG85" s="117"/>
      <c r="AH85" s="117"/>
      <c r="AI85" s="118"/>
      <c r="AJ85" s="89" t="s">
        <v>42</v>
      </c>
      <c r="AK85" s="91"/>
      <c r="AL85" s="105" t="s">
        <v>50</v>
      </c>
      <c r="AM85" s="106"/>
      <c r="AN85" s="109" t="s">
        <v>43</v>
      </c>
      <c r="AO85" s="110"/>
      <c r="AP85" s="116"/>
      <c r="AQ85" s="117"/>
      <c r="AR85" s="118"/>
      <c r="AS85" s="116"/>
      <c r="AT85" s="117"/>
      <c r="AU85" s="117"/>
      <c r="AV85" s="117"/>
      <c r="AW85" s="117"/>
      <c r="AX85" s="117"/>
      <c r="AY85" s="117"/>
      <c r="AZ85" s="117"/>
      <c r="BA85" s="118"/>
    </row>
    <row r="86" spans="2:91" s="21" customFormat="1" ht="13.5" customHeight="1" x14ac:dyDescent="0.15">
      <c r="B86" s="116"/>
      <c r="C86" s="117"/>
      <c r="D86" s="117"/>
      <c r="E86" s="117"/>
      <c r="F86" s="117"/>
      <c r="G86" s="117"/>
      <c r="H86" s="118"/>
      <c r="I86" s="116"/>
      <c r="J86" s="117"/>
      <c r="K86" s="117"/>
      <c r="L86" s="118"/>
      <c r="M86" s="116"/>
      <c r="N86" s="117"/>
      <c r="O86" s="117"/>
      <c r="P86" s="118"/>
      <c r="Q86" s="128"/>
      <c r="R86" s="129"/>
      <c r="S86" s="97"/>
      <c r="T86" s="97"/>
      <c r="U86" s="97"/>
      <c r="V86" s="97"/>
      <c r="W86" s="89"/>
      <c r="X86" s="90"/>
      <c r="Y86" s="91"/>
      <c r="Z86" s="95"/>
      <c r="AA86" s="96"/>
      <c r="AB86" s="97"/>
      <c r="AC86" s="97"/>
      <c r="AD86" s="97"/>
      <c r="AE86" s="98"/>
      <c r="AF86" s="116"/>
      <c r="AG86" s="117"/>
      <c r="AH86" s="117"/>
      <c r="AI86" s="118"/>
      <c r="AJ86" s="89"/>
      <c r="AK86" s="91"/>
      <c r="AL86" s="105"/>
      <c r="AM86" s="106"/>
      <c r="AN86" s="109"/>
      <c r="AO86" s="110"/>
      <c r="AP86" s="116"/>
      <c r="AQ86" s="117"/>
      <c r="AR86" s="118"/>
      <c r="AS86" s="116"/>
      <c r="AT86" s="117"/>
      <c r="AU86" s="117"/>
      <c r="AV86" s="117"/>
      <c r="AW86" s="117"/>
      <c r="AX86" s="117"/>
      <c r="AY86" s="117"/>
      <c r="AZ86" s="117"/>
      <c r="BA86" s="118"/>
    </row>
    <row r="87" spans="2:91" s="21" customFormat="1" ht="13.5" customHeight="1" x14ac:dyDescent="0.15">
      <c r="B87" s="116"/>
      <c r="C87" s="117"/>
      <c r="D87" s="117"/>
      <c r="E87" s="117"/>
      <c r="F87" s="117"/>
      <c r="G87" s="117"/>
      <c r="H87" s="118"/>
      <c r="I87" s="116"/>
      <c r="J87" s="117"/>
      <c r="K87" s="117"/>
      <c r="L87" s="118"/>
      <c r="M87" s="116"/>
      <c r="N87" s="117"/>
      <c r="O87" s="117"/>
      <c r="P87" s="118"/>
      <c r="Q87" s="128"/>
      <c r="R87" s="129"/>
      <c r="S87" s="97"/>
      <c r="T87" s="97"/>
      <c r="U87" s="97"/>
      <c r="V87" s="97"/>
      <c r="W87" s="89"/>
      <c r="X87" s="90"/>
      <c r="Y87" s="91"/>
      <c r="Z87" s="95"/>
      <c r="AA87" s="96"/>
      <c r="AB87" s="97"/>
      <c r="AC87" s="97"/>
      <c r="AD87" s="97"/>
      <c r="AE87" s="98"/>
      <c r="AF87" s="116"/>
      <c r="AG87" s="117"/>
      <c r="AH87" s="117"/>
      <c r="AI87" s="118"/>
      <c r="AJ87" s="89"/>
      <c r="AK87" s="91"/>
      <c r="AL87" s="105"/>
      <c r="AM87" s="106"/>
      <c r="AN87" s="109"/>
      <c r="AO87" s="110"/>
      <c r="AP87" s="116"/>
      <c r="AQ87" s="117"/>
      <c r="AR87" s="118"/>
      <c r="AS87" s="116"/>
      <c r="AT87" s="117"/>
      <c r="AU87" s="117"/>
      <c r="AV87" s="117"/>
      <c r="AW87" s="117"/>
      <c r="AX87" s="117"/>
      <c r="AY87" s="117"/>
      <c r="AZ87" s="117"/>
      <c r="BA87" s="118"/>
    </row>
    <row r="88" spans="2:91" s="21" customFormat="1" ht="13.5" customHeight="1" x14ac:dyDescent="0.15">
      <c r="B88" s="119"/>
      <c r="C88" s="120"/>
      <c r="D88" s="120"/>
      <c r="E88" s="120"/>
      <c r="F88" s="120"/>
      <c r="G88" s="120"/>
      <c r="H88" s="121"/>
      <c r="I88" s="119"/>
      <c r="J88" s="120"/>
      <c r="K88" s="120"/>
      <c r="L88" s="121"/>
      <c r="M88" s="119"/>
      <c r="N88" s="120"/>
      <c r="O88" s="120"/>
      <c r="P88" s="121"/>
      <c r="Q88" s="125"/>
      <c r="R88" s="126"/>
      <c r="S88" s="97"/>
      <c r="T88" s="97"/>
      <c r="U88" s="97"/>
      <c r="V88" s="97"/>
      <c r="W88" s="92"/>
      <c r="X88" s="93"/>
      <c r="Y88" s="94"/>
      <c r="Z88" s="95"/>
      <c r="AA88" s="96"/>
      <c r="AB88" s="97"/>
      <c r="AC88" s="97"/>
      <c r="AD88" s="97"/>
      <c r="AE88" s="98"/>
      <c r="AF88" s="119"/>
      <c r="AG88" s="120"/>
      <c r="AH88" s="120"/>
      <c r="AI88" s="121"/>
      <c r="AJ88" s="92"/>
      <c r="AK88" s="94"/>
      <c r="AL88" s="107"/>
      <c r="AM88" s="108"/>
      <c r="AN88" s="111"/>
      <c r="AO88" s="112"/>
      <c r="AP88" s="119"/>
      <c r="AQ88" s="120"/>
      <c r="AR88" s="121"/>
      <c r="AS88" s="119"/>
      <c r="AT88" s="120"/>
      <c r="AU88" s="120"/>
      <c r="AV88" s="120"/>
      <c r="AW88" s="120"/>
      <c r="AX88" s="120"/>
      <c r="AY88" s="120"/>
      <c r="AZ88" s="120"/>
      <c r="BA88" s="121"/>
      <c r="BC88" s="21" t="s">
        <v>64</v>
      </c>
      <c r="BK88" s="21" t="s">
        <v>90</v>
      </c>
    </row>
    <row r="89" spans="2:91" s="21" customFormat="1" ht="18" customHeight="1" x14ac:dyDescent="0.15">
      <c r="B89" s="73" t="s">
        <v>44</v>
      </c>
      <c r="C89" s="74"/>
      <c r="D89" s="74"/>
      <c r="E89" s="74"/>
      <c r="F89" s="74"/>
      <c r="G89" s="74"/>
      <c r="H89" s="75"/>
      <c r="I89" s="79">
        <f>SUM(I91:L94)</f>
        <v>131939000</v>
      </c>
      <c r="J89" s="80"/>
      <c r="K89" s="80"/>
      <c r="L89" s="81"/>
      <c r="M89" s="79">
        <f>SUM(M91:P94)</f>
        <v>-8437000</v>
      </c>
      <c r="N89" s="80"/>
      <c r="O89" s="80"/>
      <c r="P89" s="81"/>
      <c r="Q89" s="79">
        <f>SUM(Q91:R94)</f>
        <v>0</v>
      </c>
      <c r="R89" s="80"/>
      <c r="S89" s="66">
        <f>SUM(S91:V94)</f>
        <v>123502000</v>
      </c>
      <c r="T89" s="66"/>
      <c r="U89" s="66"/>
      <c r="V89" s="66"/>
      <c r="W89" s="79">
        <f>SUM(W91:Y94)</f>
        <v>0</v>
      </c>
      <c r="X89" s="80"/>
      <c r="Y89" s="81"/>
      <c r="Z89" s="79">
        <f>SUM(Z91:AA94)</f>
        <v>0</v>
      </c>
      <c r="AA89" s="80"/>
      <c r="AB89" s="66">
        <f>SUM(AB91:AE94)</f>
        <v>123502000</v>
      </c>
      <c r="AC89" s="66"/>
      <c r="AD89" s="66"/>
      <c r="AE89" s="66"/>
      <c r="AF89" s="79">
        <f>SUM(AF91:AI94)</f>
        <v>117045499</v>
      </c>
      <c r="AG89" s="80"/>
      <c r="AH89" s="80"/>
      <c r="AI89" s="80"/>
      <c r="AJ89" s="79">
        <f>SUM(AJ91:AK94)</f>
        <v>0</v>
      </c>
      <c r="AK89" s="81"/>
      <c r="AL89" s="48">
        <f>SUM(AL91:AM94)</f>
        <v>0</v>
      </c>
      <c r="AM89" s="64"/>
      <c r="AN89" s="66">
        <f>SUM(AN91:AO94)</f>
        <v>0</v>
      </c>
      <c r="AO89" s="66"/>
      <c r="AP89" s="79">
        <f>SUM(AP91:AR94)</f>
        <v>6456501</v>
      </c>
      <c r="AQ89" s="80"/>
      <c r="AR89" s="80"/>
      <c r="AS89" s="52"/>
      <c r="AT89" s="53"/>
      <c r="AU89" s="53"/>
      <c r="AV89" s="53"/>
      <c r="AW89" s="53"/>
      <c r="AX89" s="53"/>
      <c r="AY89" s="53"/>
      <c r="AZ89" s="53"/>
      <c r="BA89" s="54"/>
    </row>
    <row r="90" spans="2:91" s="21" customFormat="1" ht="18" customHeight="1" x14ac:dyDescent="0.15">
      <c r="B90" s="76"/>
      <c r="C90" s="77"/>
      <c r="D90" s="77"/>
      <c r="E90" s="77"/>
      <c r="F90" s="77"/>
      <c r="G90" s="77"/>
      <c r="H90" s="78"/>
      <c r="I90" s="82"/>
      <c r="J90" s="83"/>
      <c r="K90" s="83"/>
      <c r="L90" s="84"/>
      <c r="M90" s="82"/>
      <c r="N90" s="83"/>
      <c r="O90" s="83"/>
      <c r="P90" s="84"/>
      <c r="Q90" s="82"/>
      <c r="R90" s="83"/>
      <c r="S90" s="66"/>
      <c r="T90" s="66"/>
      <c r="U90" s="66"/>
      <c r="V90" s="66"/>
      <c r="W90" s="82"/>
      <c r="X90" s="83"/>
      <c r="Y90" s="84"/>
      <c r="Z90" s="82"/>
      <c r="AA90" s="83"/>
      <c r="AB90" s="66"/>
      <c r="AC90" s="66"/>
      <c r="AD90" s="66"/>
      <c r="AE90" s="66"/>
      <c r="AF90" s="82"/>
      <c r="AG90" s="83"/>
      <c r="AH90" s="83"/>
      <c r="AI90" s="83"/>
      <c r="AJ90" s="82"/>
      <c r="AK90" s="84"/>
      <c r="AL90" s="50"/>
      <c r="AM90" s="65"/>
      <c r="AN90" s="66"/>
      <c r="AO90" s="66"/>
      <c r="AP90" s="82"/>
      <c r="AQ90" s="83"/>
      <c r="AR90" s="83"/>
      <c r="AS90" s="55"/>
      <c r="AT90" s="56"/>
      <c r="AU90" s="56"/>
      <c r="AV90" s="56"/>
      <c r="AW90" s="56"/>
      <c r="AX90" s="56"/>
      <c r="AY90" s="56"/>
      <c r="AZ90" s="56"/>
      <c r="BA90" s="57"/>
      <c r="BC90" s="21" t="s">
        <v>76</v>
      </c>
      <c r="BG90" s="21" t="s">
        <v>77</v>
      </c>
    </row>
    <row r="91" spans="2:91" s="21" customFormat="1" ht="18" customHeight="1" x14ac:dyDescent="0.15">
      <c r="B91" s="73" t="s">
        <v>45</v>
      </c>
      <c r="C91" s="74"/>
      <c r="D91" s="74"/>
      <c r="E91" s="74"/>
      <c r="F91" s="74"/>
      <c r="G91" s="74"/>
      <c r="H91" s="75"/>
      <c r="I91" s="177">
        <v>93690000</v>
      </c>
      <c r="J91" s="178"/>
      <c r="K91" s="178"/>
      <c r="L91" s="179"/>
      <c r="M91" s="177">
        <v>-8437000</v>
      </c>
      <c r="N91" s="178"/>
      <c r="O91" s="178"/>
      <c r="P91" s="179"/>
      <c r="Q91" s="79">
        <f>SUM(Q95:R96)</f>
        <v>0</v>
      </c>
      <c r="R91" s="80"/>
      <c r="S91" s="62">
        <f>SUM(I91:R92)</f>
        <v>85253000</v>
      </c>
      <c r="T91" s="62"/>
      <c r="U91" s="62"/>
      <c r="V91" s="62"/>
      <c r="W91" s="62">
        <v>0</v>
      </c>
      <c r="X91" s="62"/>
      <c r="Y91" s="62"/>
      <c r="Z91" s="48">
        <v>0</v>
      </c>
      <c r="AA91" s="49"/>
      <c r="AB91" s="62">
        <f>SUM(S91:AA92)</f>
        <v>85253000</v>
      </c>
      <c r="AC91" s="62"/>
      <c r="AD91" s="62"/>
      <c r="AE91" s="62"/>
      <c r="AF91" s="177">
        <v>78797655</v>
      </c>
      <c r="AG91" s="178"/>
      <c r="AH91" s="178"/>
      <c r="AI91" s="179"/>
      <c r="AJ91" s="183">
        <v>0</v>
      </c>
      <c r="AK91" s="183"/>
      <c r="AL91" s="48">
        <v>0</v>
      </c>
      <c r="AM91" s="64"/>
      <c r="AN91" s="66">
        <f>SUM(AJ91:AM92)</f>
        <v>0</v>
      </c>
      <c r="AO91" s="66"/>
      <c r="AP91" s="48">
        <f>AB91-AF91-AN91</f>
        <v>6455345</v>
      </c>
      <c r="AQ91" s="49"/>
      <c r="AR91" s="49"/>
      <c r="AS91" s="99" t="s">
        <v>62</v>
      </c>
      <c r="AT91" s="100"/>
      <c r="AU91" s="100"/>
      <c r="AV91" s="100"/>
      <c r="AW91" s="100"/>
      <c r="AX91" s="100"/>
      <c r="AY91" s="100"/>
      <c r="AZ91" s="100"/>
      <c r="BA91" s="101"/>
      <c r="BC91" s="21">
        <v>15372000</v>
      </c>
    </row>
    <row r="92" spans="2:91" s="21" customFormat="1" ht="18" customHeight="1" x14ac:dyDescent="0.15">
      <c r="B92" s="76"/>
      <c r="C92" s="77"/>
      <c r="D92" s="77"/>
      <c r="E92" s="77"/>
      <c r="F92" s="77"/>
      <c r="G92" s="77"/>
      <c r="H92" s="78"/>
      <c r="I92" s="180"/>
      <c r="J92" s="181"/>
      <c r="K92" s="181"/>
      <c r="L92" s="182"/>
      <c r="M92" s="180"/>
      <c r="N92" s="181"/>
      <c r="O92" s="181"/>
      <c r="P92" s="182"/>
      <c r="Q92" s="82"/>
      <c r="R92" s="83"/>
      <c r="S92" s="62"/>
      <c r="T92" s="62"/>
      <c r="U92" s="62"/>
      <c r="V92" s="62"/>
      <c r="W92" s="62"/>
      <c r="X92" s="62"/>
      <c r="Y92" s="62"/>
      <c r="Z92" s="50"/>
      <c r="AA92" s="51"/>
      <c r="AB92" s="62"/>
      <c r="AC92" s="62"/>
      <c r="AD92" s="62"/>
      <c r="AE92" s="62"/>
      <c r="AF92" s="180"/>
      <c r="AG92" s="181"/>
      <c r="AH92" s="181"/>
      <c r="AI92" s="182"/>
      <c r="AJ92" s="183"/>
      <c r="AK92" s="183"/>
      <c r="AL92" s="50"/>
      <c r="AM92" s="65"/>
      <c r="AN92" s="66"/>
      <c r="AO92" s="66"/>
      <c r="AP92" s="50"/>
      <c r="AQ92" s="51"/>
      <c r="AR92" s="51"/>
      <c r="AS92" s="184" t="s">
        <v>92</v>
      </c>
      <c r="AT92" s="185"/>
      <c r="AU92" s="185"/>
      <c r="AV92" s="185"/>
      <c r="AW92" s="185"/>
      <c r="AX92" s="185"/>
      <c r="AY92" s="185"/>
      <c r="AZ92" s="185"/>
      <c r="BA92" s="186"/>
      <c r="BC92" s="21">
        <v>7750000</v>
      </c>
    </row>
    <row r="93" spans="2:91" s="21" customFormat="1" ht="18" customHeight="1" x14ac:dyDescent="0.15">
      <c r="B93" s="67" t="s">
        <v>46</v>
      </c>
      <c r="C93" s="68"/>
      <c r="D93" s="68"/>
      <c r="E93" s="68"/>
      <c r="F93" s="68"/>
      <c r="G93" s="68"/>
      <c r="H93" s="69"/>
      <c r="I93" s="177">
        <v>38249000</v>
      </c>
      <c r="J93" s="178"/>
      <c r="K93" s="178"/>
      <c r="L93" s="179"/>
      <c r="M93" s="48">
        <v>0</v>
      </c>
      <c r="N93" s="49"/>
      <c r="O93" s="49"/>
      <c r="P93" s="64"/>
      <c r="Q93" s="79">
        <f>SUM(Q95:R95)</f>
        <v>0</v>
      </c>
      <c r="R93" s="80"/>
      <c r="S93" s="48">
        <f>SUM(I93:R94)</f>
        <v>38249000</v>
      </c>
      <c r="T93" s="49"/>
      <c r="U93" s="49"/>
      <c r="V93" s="64"/>
      <c r="W93" s="62">
        <v>0</v>
      </c>
      <c r="X93" s="62"/>
      <c r="Y93" s="62"/>
      <c r="Z93" s="62">
        <v>0</v>
      </c>
      <c r="AA93" s="63"/>
      <c r="AB93" s="62">
        <f>SUM(S93:AA94)</f>
        <v>38249000</v>
      </c>
      <c r="AC93" s="62"/>
      <c r="AD93" s="62"/>
      <c r="AE93" s="62"/>
      <c r="AF93" s="177">
        <v>38247844</v>
      </c>
      <c r="AG93" s="178"/>
      <c r="AH93" s="178"/>
      <c r="AI93" s="179"/>
      <c r="AJ93" s="183">
        <v>0</v>
      </c>
      <c r="AK93" s="183"/>
      <c r="AL93" s="48">
        <v>0</v>
      </c>
      <c r="AM93" s="64"/>
      <c r="AN93" s="66">
        <f>SUM(AJ93:AM94)</f>
        <v>0</v>
      </c>
      <c r="AO93" s="66"/>
      <c r="AP93" s="48">
        <f>AB93-AF93-AN93</f>
        <v>1156</v>
      </c>
      <c r="AQ93" s="49"/>
      <c r="AR93" s="49"/>
      <c r="AS93" s="52"/>
      <c r="AT93" s="53"/>
      <c r="AU93" s="53"/>
      <c r="AV93" s="53"/>
      <c r="AW93" s="53"/>
      <c r="AX93" s="53"/>
      <c r="AY93" s="53"/>
      <c r="AZ93" s="53"/>
      <c r="BA93" s="54"/>
      <c r="BC93" s="21">
        <v>2475000</v>
      </c>
    </row>
    <row r="94" spans="2:91" s="21" customFormat="1" ht="18" customHeight="1" x14ac:dyDescent="0.15">
      <c r="B94" s="70"/>
      <c r="C94" s="71"/>
      <c r="D94" s="71"/>
      <c r="E94" s="71"/>
      <c r="F94" s="71"/>
      <c r="G94" s="71"/>
      <c r="H94" s="72"/>
      <c r="I94" s="180"/>
      <c r="J94" s="181"/>
      <c r="K94" s="181"/>
      <c r="L94" s="182"/>
      <c r="M94" s="50"/>
      <c r="N94" s="51"/>
      <c r="O94" s="51"/>
      <c r="P94" s="65"/>
      <c r="Q94" s="82"/>
      <c r="R94" s="83"/>
      <c r="S94" s="50"/>
      <c r="T94" s="51"/>
      <c r="U94" s="51"/>
      <c r="V94" s="65"/>
      <c r="W94" s="62"/>
      <c r="X94" s="62"/>
      <c r="Y94" s="62"/>
      <c r="Z94" s="62"/>
      <c r="AA94" s="63"/>
      <c r="AB94" s="62"/>
      <c r="AC94" s="62"/>
      <c r="AD94" s="62"/>
      <c r="AE94" s="62"/>
      <c r="AF94" s="180"/>
      <c r="AG94" s="181"/>
      <c r="AH94" s="181"/>
      <c r="AI94" s="182"/>
      <c r="AJ94" s="183"/>
      <c r="AK94" s="183"/>
      <c r="AL94" s="50"/>
      <c r="AM94" s="65"/>
      <c r="AN94" s="66"/>
      <c r="AO94" s="66"/>
      <c r="AP94" s="50"/>
      <c r="AQ94" s="51"/>
      <c r="AR94" s="51"/>
      <c r="AS94" s="55"/>
      <c r="AT94" s="56"/>
      <c r="AU94" s="56"/>
      <c r="AV94" s="56"/>
      <c r="AW94" s="56"/>
      <c r="AX94" s="56"/>
      <c r="AY94" s="56"/>
      <c r="AZ94" s="56"/>
      <c r="BA94" s="57"/>
      <c r="BC94" s="21">
        <v>1754500</v>
      </c>
    </row>
    <row r="95" spans="2:91" ht="15" customHeight="1" x14ac:dyDescent="0.15">
      <c r="B95" s="58" t="s">
        <v>97</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C95" s="21">
        <v>4840000</v>
      </c>
      <c r="BG95" s="40">
        <v>81194421</v>
      </c>
    </row>
    <row r="96" spans="2:91" ht="15" customHeight="1" x14ac:dyDescent="0.1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row>
    <row r="97" spans="2:55" ht="15" customHeight="1" x14ac:dyDescent="0.15">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C97" s="40"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40">
        <f>AE72-AF89</f>
        <v>-54156399</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c r="AF102" s="18" t="s">
        <v>91</v>
      </c>
    </row>
    <row r="103" spans="2:55" s="18" customFormat="1" ht="13.5" customHeight="1" x14ac:dyDescent="0.15">
      <c r="AF103" s="60"/>
      <c r="AG103" s="60"/>
      <c r="AH103" s="60"/>
      <c r="AI103" s="60"/>
      <c r="AJ103" s="60"/>
    </row>
    <row r="104" spans="2:55" ht="18" customHeight="1" x14ac:dyDescent="0.15">
      <c r="D104" s="60"/>
      <c r="E104" s="60"/>
      <c r="F104" s="60"/>
      <c r="AF104" s="61"/>
      <c r="AG104" s="61"/>
      <c r="AH104" s="61"/>
      <c r="AI104" s="61"/>
      <c r="AJ104" s="61"/>
    </row>
    <row r="105" spans="2:55" ht="18" customHeight="1" x14ac:dyDescent="0.15">
      <c r="AF105" s="61"/>
      <c r="AG105" s="61"/>
      <c r="AH105" s="61"/>
      <c r="AI105" s="61"/>
      <c r="AJ105" s="61"/>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AF103:AJ103"/>
    <mergeCell ref="D104:F104"/>
    <mergeCell ref="AF104:AJ10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64BDB428-2BF5-41A6-B54F-DB8BC4B39048}">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CA3D-2546-428F-BC9C-04A37C003E33}">
  <sheetPr>
    <tabColor rgb="FFFF0000"/>
  </sheetPr>
  <dimension ref="B1:CM904"/>
  <sheetViews>
    <sheetView showGridLines="0" showOutlineSymbols="0" view="pageBreakPreview" topLeftCell="A87" zoomScale="89" zoomScaleNormal="89" zoomScaleSheetLayoutView="89" workbookViewId="0">
      <selection activeCell="B95" sqref="B95:BA98"/>
    </sheetView>
  </sheetViews>
  <sheetFormatPr defaultRowHeight="13.5" x14ac:dyDescent="0.15"/>
  <cols>
    <col min="1" max="1" width="2.625" style="36" customWidth="1"/>
    <col min="2" max="15" width="3.125" style="36" customWidth="1"/>
    <col min="16" max="16" width="4.25" style="36" customWidth="1"/>
    <col min="17" max="37" width="3.125" style="36" customWidth="1"/>
    <col min="38" max="38" width="4.625" style="36" customWidth="1"/>
    <col min="39" max="42" width="3.125" style="36" customWidth="1"/>
    <col min="43" max="43" width="3.5" style="36" customWidth="1"/>
    <col min="44" max="53" width="3.125" style="36" customWidth="1"/>
    <col min="54" max="54" width="5.625" style="36" customWidth="1"/>
    <col min="55" max="55" width="15.25" style="36" customWidth="1"/>
    <col min="56" max="58" width="2.625" style="36" customWidth="1"/>
    <col min="59" max="59" width="11.625" style="36" bestFit="1" customWidth="1"/>
    <col min="60" max="100" width="2.625" style="36" customWidth="1"/>
    <col min="101" max="260" width="9" style="36"/>
    <col min="261" max="275" width="3.125" style="36" customWidth="1"/>
    <col min="276" max="276" width="5.5" style="36" customWidth="1"/>
    <col min="277" max="277" width="5.625" style="36" customWidth="1"/>
    <col min="278" max="293" width="3.125" style="36" customWidth="1"/>
    <col min="294" max="294" width="5.375" style="36" customWidth="1"/>
    <col min="295" max="296" width="3.125" style="36" customWidth="1"/>
    <col min="297" max="297" width="4.625" style="36" customWidth="1"/>
    <col min="298" max="298" width="3.5" style="36" customWidth="1"/>
    <col min="299" max="309" width="3.125" style="36" customWidth="1"/>
    <col min="310" max="311" width="5.625" style="36" customWidth="1"/>
    <col min="312" max="356" width="2.625" style="36" customWidth="1"/>
    <col min="357" max="516" width="9" style="36"/>
    <col min="517" max="531" width="3.125" style="36" customWidth="1"/>
    <col min="532" max="532" width="5.5" style="36" customWidth="1"/>
    <col min="533" max="533" width="5.625" style="36" customWidth="1"/>
    <col min="534" max="549" width="3.125" style="36" customWidth="1"/>
    <col min="550" max="550" width="5.375" style="36" customWidth="1"/>
    <col min="551" max="552" width="3.125" style="36" customWidth="1"/>
    <col min="553" max="553" width="4.625" style="36" customWidth="1"/>
    <col min="554" max="554" width="3.5" style="36" customWidth="1"/>
    <col min="555" max="565" width="3.125" style="36" customWidth="1"/>
    <col min="566" max="567" width="5.625" style="36" customWidth="1"/>
    <col min="568" max="612" width="2.625" style="36" customWidth="1"/>
    <col min="613" max="772" width="9" style="36"/>
    <col min="773" max="787" width="3.125" style="36" customWidth="1"/>
    <col min="788" max="788" width="5.5" style="36" customWidth="1"/>
    <col min="789" max="789" width="5.625" style="36" customWidth="1"/>
    <col min="790" max="805" width="3.125" style="36" customWidth="1"/>
    <col min="806" max="806" width="5.375" style="36" customWidth="1"/>
    <col min="807" max="808" width="3.125" style="36" customWidth="1"/>
    <col min="809" max="809" width="4.625" style="36" customWidth="1"/>
    <col min="810" max="810" width="3.5" style="36" customWidth="1"/>
    <col min="811" max="821" width="3.125" style="36" customWidth="1"/>
    <col min="822" max="823" width="5.625" style="36" customWidth="1"/>
    <col min="824" max="868" width="2.625" style="36" customWidth="1"/>
    <col min="869" max="1028" width="9" style="36"/>
    <col min="1029" max="1043" width="3.125" style="36" customWidth="1"/>
    <col min="1044" max="1044" width="5.5" style="36" customWidth="1"/>
    <col min="1045" max="1045" width="5.625" style="36" customWidth="1"/>
    <col min="1046" max="1061" width="3.125" style="36" customWidth="1"/>
    <col min="1062" max="1062" width="5.375" style="36" customWidth="1"/>
    <col min="1063" max="1064" width="3.125" style="36" customWidth="1"/>
    <col min="1065" max="1065" width="4.625" style="36" customWidth="1"/>
    <col min="1066" max="1066" width="3.5" style="36" customWidth="1"/>
    <col min="1067" max="1077" width="3.125" style="36" customWidth="1"/>
    <col min="1078" max="1079" width="5.625" style="36" customWidth="1"/>
    <col min="1080" max="1124" width="2.625" style="36" customWidth="1"/>
    <col min="1125" max="1284" width="9" style="36"/>
    <col min="1285" max="1299" width="3.125" style="36" customWidth="1"/>
    <col min="1300" max="1300" width="5.5" style="36" customWidth="1"/>
    <col min="1301" max="1301" width="5.625" style="36" customWidth="1"/>
    <col min="1302" max="1317" width="3.125" style="36" customWidth="1"/>
    <col min="1318" max="1318" width="5.375" style="36" customWidth="1"/>
    <col min="1319" max="1320" width="3.125" style="36" customWidth="1"/>
    <col min="1321" max="1321" width="4.625" style="36" customWidth="1"/>
    <col min="1322" max="1322" width="3.5" style="36" customWidth="1"/>
    <col min="1323" max="1333" width="3.125" style="36" customWidth="1"/>
    <col min="1334" max="1335" width="5.625" style="36" customWidth="1"/>
    <col min="1336" max="1380" width="2.625" style="36" customWidth="1"/>
    <col min="1381" max="1540" width="9" style="36"/>
    <col min="1541" max="1555" width="3.125" style="36" customWidth="1"/>
    <col min="1556" max="1556" width="5.5" style="36" customWidth="1"/>
    <col min="1557" max="1557" width="5.625" style="36" customWidth="1"/>
    <col min="1558" max="1573" width="3.125" style="36" customWidth="1"/>
    <col min="1574" max="1574" width="5.375" style="36" customWidth="1"/>
    <col min="1575" max="1576" width="3.125" style="36" customWidth="1"/>
    <col min="1577" max="1577" width="4.625" style="36" customWidth="1"/>
    <col min="1578" max="1578" width="3.5" style="36" customWidth="1"/>
    <col min="1579" max="1589" width="3.125" style="36" customWidth="1"/>
    <col min="1590" max="1591" width="5.625" style="36" customWidth="1"/>
    <col min="1592" max="1636" width="2.625" style="36" customWidth="1"/>
    <col min="1637" max="1796" width="9" style="36"/>
    <col min="1797" max="1811" width="3.125" style="36" customWidth="1"/>
    <col min="1812" max="1812" width="5.5" style="36" customWidth="1"/>
    <col min="1813" max="1813" width="5.625" style="36" customWidth="1"/>
    <col min="1814" max="1829" width="3.125" style="36" customWidth="1"/>
    <col min="1830" max="1830" width="5.375" style="36" customWidth="1"/>
    <col min="1831" max="1832" width="3.125" style="36" customWidth="1"/>
    <col min="1833" max="1833" width="4.625" style="36" customWidth="1"/>
    <col min="1834" max="1834" width="3.5" style="36" customWidth="1"/>
    <col min="1835" max="1845" width="3.125" style="36" customWidth="1"/>
    <col min="1846" max="1847" width="5.625" style="36" customWidth="1"/>
    <col min="1848" max="1892" width="2.625" style="36" customWidth="1"/>
    <col min="1893" max="2052" width="9" style="36"/>
    <col min="2053" max="2067" width="3.125" style="36" customWidth="1"/>
    <col min="2068" max="2068" width="5.5" style="36" customWidth="1"/>
    <col min="2069" max="2069" width="5.625" style="36" customWidth="1"/>
    <col min="2070" max="2085" width="3.125" style="36" customWidth="1"/>
    <col min="2086" max="2086" width="5.375" style="36" customWidth="1"/>
    <col min="2087" max="2088" width="3.125" style="36" customWidth="1"/>
    <col min="2089" max="2089" width="4.625" style="36" customWidth="1"/>
    <col min="2090" max="2090" width="3.5" style="36" customWidth="1"/>
    <col min="2091" max="2101" width="3.125" style="36" customWidth="1"/>
    <col min="2102" max="2103" width="5.625" style="36" customWidth="1"/>
    <col min="2104" max="2148" width="2.625" style="36" customWidth="1"/>
    <col min="2149" max="2308" width="9" style="36"/>
    <col min="2309" max="2323" width="3.125" style="36" customWidth="1"/>
    <col min="2324" max="2324" width="5.5" style="36" customWidth="1"/>
    <col min="2325" max="2325" width="5.625" style="36" customWidth="1"/>
    <col min="2326" max="2341" width="3.125" style="36" customWidth="1"/>
    <col min="2342" max="2342" width="5.375" style="36" customWidth="1"/>
    <col min="2343" max="2344" width="3.125" style="36" customWidth="1"/>
    <col min="2345" max="2345" width="4.625" style="36" customWidth="1"/>
    <col min="2346" max="2346" width="3.5" style="36" customWidth="1"/>
    <col min="2347" max="2357" width="3.125" style="36" customWidth="1"/>
    <col min="2358" max="2359" width="5.625" style="36" customWidth="1"/>
    <col min="2360" max="2404" width="2.625" style="36" customWidth="1"/>
    <col min="2405" max="2564" width="9" style="36"/>
    <col min="2565" max="2579" width="3.125" style="36" customWidth="1"/>
    <col min="2580" max="2580" width="5.5" style="36" customWidth="1"/>
    <col min="2581" max="2581" width="5.625" style="36" customWidth="1"/>
    <col min="2582" max="2597" width="3.125" style="36" customWidth="1"/>
    <col min="2598" max="2598" width="5.375" style="36" customWidth="1"/>
    <col min="2599" max="2600" width="3.125" style="36" customWidth="1"/>
    <col min="2601" max="2601" width="4.625" style="36" customWidth="1"/>
    <col min="2602" max="2602" width="3.5" style="36" customWidth="1"/>
    <col min="2603" max="2613" width="3.125" style="36" customWidth="1"/>
    <col min="2614" max="2615" width="5.625" style="36" customWidth="1"/>
    <col min="2616" max="2660" width="2.625" style="36" customWidth="1"/>
    <col min="2661" max="2820" width="9" style="36"/>
    <col min="2821" max="2835" width="3.125" style="36" customWidth="1"/>
    <col min="2836" max="2836" width="5.5" style="36" customWidth="1"/>
    <col min="2837" max="2837" width="5.625" style="36" customWidth="1"/>
    <col min="2838" max="2853" width="3.125" style="36" customWidth="1"/>
    <col min="2854" max="2854" width="5.375" style="36" customWidth="1"/>
    <col min="2855" max="2856" width="3.125" style="36" customWidth="1"/>
    <col min="2857" max="2857" width="4.625" style="36" customWidth="1"/>
    <col min="2858" max="2858" width="3.5" style="36" customWidth="1"/>
    <col min="2859" max="2869" width="3.125" style="36" customWidth="1"/>
    <col min="2870" max="2871" width="5.625" style="36" customWidth="1"/>
    <col min="2872" max="2916" width="2.625" style="36" customWidth="1"/>
    <col min="2917" max="3076" width="9" style="36"/>
    <col min="3077" max="3091" width="3.125" style="36" customWidth="1"/>
    <col min="3092" max="3092" width="5.5" style="36" customWidth="1"/>
    <col min="3093" max="3093" width="5.625" style="36" customWidth="1"/>
    <col min="3094" max="3109" width="3.125" style="36" customWidth="1"/>
    <col min="3110" max="3110" width="5.375" style="36" customWidth="1"/>
    <col min="3111" max="3112" width="3.125" style="36" customWidth="1"/>
    <col min="3113" max="3113" width="4.625" style="36" customWidth="1"/>
    <col min="3114" max="3114" width="3.5" style="36" customWidth="1"/>
    <col min="3115" max="3125" width="3.125" style="36" customWidth="1"/>
    <col min="3126" max="3127" width="5.625" style="36" customWidth="1"/>
    <col min="3128" max="3172" width="2.625" style="36" customWidth="1"/>
    <col min="3173" max="3332" width="9" style="36"/>
    <col min="3333" max="3347" width="3.125" style="36" customWidth="1"/>
    <col min="3348" max="3348" width="5.5" style="36" customWidth="1"/>
    <col min="3349" max="3349" width="5.625" style="36" customWidth="1"/>
    <col min="3350" max="3365" width="3.125" style="36" customWidth="1"/>
    <col min="3366" max="3366" width="5.375" style="36" customWidth="1"/>
    <col min="3367" max="3368" width="3.125" style="36" customWidth="1"/>
    <col min="3369" max="3369" width="4.625" style="36" customWidth="1"/>
    <col min="3370" max="3370" width="3.5" style="36" customWidth="1"/>
    <col min="3371" max="3381" width="3.125" style="36" customWidth="1"/>
    <col min="3382" max="3383" width="5.625" style="36" customWidth="1"/>
    <col min="3384" max="3428" width="2.625" style="36" customWidth="1"/>
    <col min="3429" max="3588" width="9" style="36"/>
    <col min="3589" max="3603" width="3.125" style="36" customWidth="1"/>
    <col min="3604" max="3604" width="5.5" style="36" customWidth="1"/>
    <col min="3605" max="3605" width="5.625" style="36" customWidth="1"/>
    <col min="3606" max="3621" width="3.125" style="36" customWidth="1"/>
    <col min="3622" max="3622" width="5.375" style="36" customWidth="1"/>
    <col min="3623" max="3624" width="3.125" style="36" customWidth="1"/>
    <col min="3625" max="3625" width="4.625" style="36" customWidth="1"/>
    <col min="3626" max="3626" width="3.5" style="36" customWidth="1"/>
    <col min="3627" max="3637" width="3.125" style="36" customWidth="1"/>
    <col min="3638" max="3639" width="5.625" style="36" customWidth="1"/>
    <col min="3640" max="3684" width="2.625" style="36" customWidth="1"/>
    <col min="3685" max="3844" width="9" style="36"/>
    <col min="3845" max="3859" width="3.125" style="36" customWidth="1"/>
    <col min="3860" max="3860" width="5.5" style="36" customWidth="1"/>
    <col min="3861" max="3861" width="5.625" style="36" customWidth="1"/>
    <col min="3862" max="3877" width="3.125" style="36" customWidth="1"/>
    <col min="3878" max="3878" width="5.375" style="36" customWidth="1"/>
    <col min="3879" max="3880" width="3.125" style="36" customWidth="1"/>
    <col min="3881" max="3881" width="4.625" style="36" customWidth="1"/>
    <col min="3882" max="3882" width="3.5" style="36" customWidth="1"/>
    <col min="3883" max="3893" width="3.125" style="36" customWidth="1"/>
    <col min="3894" max="3895" width="5.625" style="36" customWidth="1"/>
    <col min="3896" max="3940" width="2.625" style="36" customWidth="1"/>
    <col min="3941" max="4100" width="9" style="36"/>
    <col min="4101" max="4115" width="3.125" style="36" customWidth="1"/>
    <col min="4116" max="4116" width="5.5" style="36" customWidth="1"/>
    <col min="4117" max="4117" width="5.625" style="36" customWidth="1"/>
    <col min="4118" max="4133" width="3.125" style="36" customWidth="1"/>
    <col min="4134" max="4134" width="5.375" style="36" customWidth="1"/>
    <col min="4135" max="4136" width="3.125" style="36" customWidth="1"/>
    <col min="4137" max="4137" width="4.625" style="36" customWidth="1"/>
    <col min="4138" max="4138" width="3.5" style="36" customWidth="1"/>
    <col min="4139" max="4149" width="3.125" style="36" customWidth="1"/>
    <col min="4150" max="4151" width="5.625" style="36" customWidth="1"/>
    <col min="4152" max="4196" width="2.625" style="36" customWidth="1"/>
    <col min="4197" max="4356" width="9" style="36"/>
    <col min="4357" max="4371" width="3.125" style="36" customWidth="1"/>
    <col min="4372" max="4372" width="5.5" style="36" customWidth="1"/>
    <col min="4373" max="4373" width="5.625" style="36" customWidth="1"/>
    <col min="4374" max="4389" width="3.125" style="36" customWidth="1"/>
    <col min="4390" max="4390" width="5.375" style="36" customWidth="1"/>
    <col min="4391" max="4392" width="3.125" style="36" customWidth="1"/>
    <col min="4393" max="4393" width="4.625" style="36" customWidth="1"/>
    <col min="4394" max="4394" width="3.5" style="36" customWidth="1"/>
    <col min="4395" max="4405" width="3.125" style="36" customWidth="1"/>
    <col min="4406" max="4407" width="5.625" style="36" customWidth="1"/>
    <col min="4408" max="4452" width="2.625" style="36" customWidth="1"/>
    <col min="4453" max="4612" width="9" style="36"/>
    <col min="4613" max="4627" width="3.125" style="36" customWidth="1"/>
    <col min="4628" max="4628" width="5.5" style="36" customWidth="1"/>
    <col min="4629" max="4629" width="5.625" style="36" customWidth="1"/>
    <col min="4630" max="4645" width="3.125" style="36" customWidth="1"/>
    <col min="4646" max="4646" width="5.375" style="36" customWidth="1"/>
    <col min="4647" max="4648" width="3.125" style="36" customWidth="1"/>
    <col min="4649" max="4649" width="4.625" style="36" customWidth="1"/>
    <col min="4650" max="4650" width="3.5" style="36" customWidth="1"/>
    <col min="4651" max="4661" width="3.125" style="36" customWidth="1"/>
    <col min="4662" max="4663" width="5.625" style="36" customWidth="1"/>
    <col min="4664" max="4708" width="2.625" style="36" customWidth="1"/>
    <col min="4709" max="4868" width="9" style="36"/>
    <col min="4869" max="4883" width="3.125" style="36" customWidth="1"/>
    <col min="4884" max="4884" width="5.5" style="36" customWidth="1"/>
    <col min="4885" max="4885" width="5.625" style="36" customWidth="1"/>
    <col min="4886" max="4901" width="3.125" style="36" customWidth="1"/>
    <col min="4902" max="4902" width="5.375" style="36" customWidth="1"/>
    <col min="4903" max="4904" width="3.125" style="36" customWidth="1"/>
    <col min="4905" max="4905" width="4.625" style="36" customWidth="1"/>
    <col min="4906" max="4906" width="3.5" style="36" customWidth="1"/>
    <col min="4907" max="4917" width="3.125" style="36" customWidth="1"/>
    <col min="4918" max="4919" width="5.625" style="36" customWidth="1"/>
    <col min="4920" max="4964" width="2.625" style="36" customWidth="1"/>
    <col min="4965" max="5124" width="9" style="36"/>
    <col min="5125" max="5139" width="3.125" style="36" customWidth="1"/>
    <col min="5140" max="5140" width="5.5" style="36" customWidth="1"/>
    <col min="5141" max="5141" width="5.625" style="36" customWidth="1"/>
    <col min="5142" max="5157" width="3.125" style="36" customWidth="1"/>
    <col min="5158" max="5158" width="5.375" style="36" customWidth="1"/>
    <col min="5159" max="5160" width="3.125" style="36" customWidth="1"/>
    <col min="5161" max="5161" width="4.625" style="36" customWidth="1"/>
    <col min="5162" max="5162" width="3.5" style="36" customWidth="1"/>
    <col min="5163" max="5173" width="3.125" style="36" customWidth="1"/>
    <col min="5174" max="5175" width="5.625" style="36" customWidth="1"/>
    <col min="5176" max="5220" width="2.625" style="36" customWidth="1"/>
    <col min="5221" max="5380" width="9" style="36"/>
    <col min="5381" max="5395" width="3.125" style="36" customWidth="1"/>
    <col min="5396" max="5396" width="5.5" style="36" customWidth="1"/>
    <col min="5397" max="5397" width="5.625" style="36" customWidth="1"/>
    <col min="5398" max="5413" width="3.125" style="36" customWidth="1"/>
    <col min="5414" max="5414" width="5.375" style="36" customWidth="1"/>
    <col min="5415" max="5416" width="3.125" style="36" customWidth="1"/>
    <col min="5417" max="5417" width="4.625" style="36" customWidth="1"/>
    <col min="5418" max="5418" width="3.5" style="36" customWidth="1"/>
    <col min="5419" max="5429" width="3.125" style="36" customWidth="1"/>
    <col min="5430" max="5431" width="5.625" style="36" customWidth="1"/>
    <col min="5432" max="5476" width="2.625" style="36" customWidth="1"/>
    <col min="5477" max="5636" width="9" style="36"/>
    <col min="5637" max="5651" width="3.125" style="36" customWidth="1"/>
    <col min="5652" max="5652" width="5.5" style="36" customWidth="1"/>
    <col min="5653" max="5653" width="5.625" style="36" customWidth="1"/>
    <col min="5654" max="5669" width="3.125" style="36" customWidth="1"/>
    <col min="5670" max="5670" width="5.375" style="36" customWidth="1"/>
    <col min="5671" max="5672" width="3.125" style="36" customWidth="1"/>
    <col min="5673" max="5673" width="4.625" style="36" customWidth="1"/>
    <col min="5674" max="5674" width="3.5" style="36" customWidth="1"/>
    <col min="5675" max="5685" width="3.125" style="36" customWidth="1"/>
    <col min="5686" max="5687" width="5.625" style="36" customWidth="1"/>
    <col min="5688" max="5732" width="2.625" style="36" customWidth="1"/>
    <col min="5733" max="5892" width="9" style="36"/>
    <col min="5893" max="5907" width="3.125" style="36" customWidth="1"/>
    <col min="5908" max="5908" width="5.5" style="36" customWidth="1"/>
    <col min="5909" max="5909" width="5.625" style="36" customWidth="1"/>
    <col min="5910" max="5925" width="3.125" style="36" customWidth="1"/>
    <col min="5926" max="5926" width="5.375" style="36" customWidth="1"/>
    <col min="5927" max="5928" width="3.125" style="36" customWidth="1"/>
    <col min="5929" max="5929" width="4.625" style="36" customWidth="1"/>
    <col min="5930" max="5930" width="3.5" style="36" customWidth="1"/>
    <col min="5931" max="5941" width="3.125" style="36" customWidth="1"/>
    <col min="5942" max="5943" width="5.625" style="36" customWidth="1"/>
    <col min="5944" max="5988" width="2.625" style="36" customWidth="1"/>
    <col min="5989" max="6148" width="9" style="36"/>
    <col min="6149" max="6163" width="3.125" style="36" customWidth="1"/>
    <col min="6164" max="6164" width="5.5" style="36" customWidth="1"/>
    <col min="6165" max="6165" width="5.625" style="36" customWidth="1"/>
    <col min="6166" max="6181" width="3.125" style="36" customWidth="1"/>
    <col min="6182" max="6182" width="5.375" style="36" customWidth="1"/>
    <col min="6183" max="6184" width="3.125" style="36" customWidth="1"/>
    <col min="6185" max="6185" width="4.625" style="36" customWidth="1"/>
    <col min="6186" max="6186" width="3.5" style="36" customWidth="1"/>
    <col min="6187" max="6197" width="3.125" style="36" customWidth="1"/>
    <col min="6198" max="6199" width="5.625" style="36" customWidth="1"/>
    <col min="6200" max="6244" width="2.625" style="36" customWidth="1"/>
    <col min="6245" max="6404" width="9" style="36"/>
    <col min="6405" max="6419" width="3.125" style="36" customWidth="1"/>
    <col min="6420" max="6420" width="5.5" style="36" customWidth="1"/>
    <col min="6421" max="6421" width="5.625" style="36" customWidth="1"/>
    <col min="6422" max="6437" width="3.125" style="36" customWidth="1"/>
    <col min="6438" max="6438" width="5.375" style="36" customWidth="1"/>
    <col min="6439" max="6440" width="3.125" style="36" customWidth="1"/>
    <col min="6441" max="6441" width="4.625" style="36" customWidth="1"/>
    <col min="6442" max="6442" width="3.5" style="36" customWidth="1"/>
    <col min="6443" max="6453" width="3.125" style="36" customWidth="1"/>
    <col min="6454" max="6455" width="5.625" style="36" customWidth="1"/>
    <col min="6456" max="6500" width="2.625" style="36" customWidth="1"/>
    <col min="6501" max="6660" width="9" style="36"/>
    <col min="6661" max="6675" width="3.125" style="36" customWidth="1"/>
    <col min="6676" max="6676" width="5.5" style="36" customWidth="1"/>
    <col min="6677" max="6677" width="5.625" style="36" customWidth="1"/>
    <col min="6678" max="6693" width="3.125" style="36" customWidth="1"/>
    <col min="6694" max="6694" width="5.375" style="36" customWidth="1"/>
    <col min="6695" max="6696" width="3.125" style="36" customWidth="1"/>
    <col min="6697" max="6697" width="4.625" style="36" customWidth="1"/>
    <col min="6698" max="6698" width="3.5" style="36" customWidth="1"/>
    <col min="6699" max="6709" width="3.125" style="36" customWidth="1"/>
    <col min="6710" max="6711" width="5.625" style="36" customWidth="1"/>
    <col min="6712" max="6756" width="2.625" style="36" customWidth="1"/>
    <col min="6757" max="6916" width="9" style="36"/>
    <col min="6917" max="6931" width="3.125" style="36" customWidth="1"/>
    <col min="6932" max="6932" width="5.5" style="36" customWidth="1"/>
    <col min="6933" max="6933" width="5.625" style="36" customWidth="1"/>
    <col min="6934" max="6949" width="3.125" style="36" customWidth="1"/>
    <col min="6950" max="6950" width="5.375" style="36" customWidth="1"/>
    <col min="6951" max="6952" width="3.125" style="36" customWidth="1"/>
    <col min="6953" max="6953" width="4.625" style="36" customWidth="1"/>
    <col min="6954" max="6954" width="3.5" style="36" customWidth="1"/>
    <col min="6955" max="6965" width="3.125" style="36" customWidth="1"/>
    <col min="6966" max="6967" width="5.625" style="36" customWidth="1"/>
    <col min="6968" max="7012" width="2.625" style="36" customWidth="1"/>
    <col min="7013" max="7172" width="9" style="36"/>
    <col min="7173" max="7187" width="3.125" style="36" customWidth="1"/>
    <col min="7188" max="7188" width="5.5" style="36" customWidth="1"/>
    <col min="7189" max="7189" width="5.625" style="36" customWidth="1"/>
    <col min="7190" max="7205" width="3.125" style="36" customWidth="1"/>
    <col min="7206" max="7206" width="5.375" style="36" customWidth="1"/>
    <col min="7207" max="7208" width="3.125" style="36" customWidth="1"/>
    <col min="7209" max="7209" width="4.625" style="36" customWidth="1"/>
    <col min="7210" max="7210" width="3.5" style="36" customWidth="1"/>
    <col min="7211" max="7221" width="3.125" style="36" customWidth="1"/>
    <col min="7222" max="7223" width="5.625" style="36" customWidth="1"/>
    <col min="7224" max="7268" width="2.625" style="36" customWidth="1"/>
    <col min="7269" max="7428" width="9" style="36"/>
    <col min="7429" max="7443" width="3.125" style="36" customWidth="1"/>
    <col min="7444" max="7444" width="5.5" style="36" customWidth="1"/>
    <col min="7445" max="7445" width="5.625" style="36" customWidth="1"/>
    <col min="7446" max="7461" width="3.125" style="36" customWidth="1"/>
    <col min="7462" max="7462" width="5.375" style="36" customWidth="1"/>
    <col min="7463" max="7464" width="3.125" style="36" customWidth="1"/>
    <col min="7465" max="7465" width="4.625" style="36" customWidth="1"/>
    <col min="7466" max="7466" width="3.5" style="36" customWidth="1"/>
    <col min="7467" max="7477" width="3.125" style="36" customWidth="1"/>
    <col min="7478" max="7479" width="5.625" style="36" customWidth="1"/>
    <col min="7480" max="7524" width="2.625" style="36" customWidth="1"/>
    <col min="7525" max="7684" width="9" style="36"/>
    <col min="7685" max="7699" width="3.125" style="36" customWidth="1"/>
    <col min="7700" max="7700" width="5.5" style="36" customWidth="1"/>
    <col min="7701" max="7701" width="5.625" style="36" customWidth="1"/>
    <col min="7702" max="7717" width="3.125" style="36" customWidth="1"/>
    <col min="7718" max="7718" width="5.375" style="36" customWidth="1"/>
    <col min="7719" max="7720" width="3.125" style="36" customWidth="1"/>
    <col min="7721" max="7721" width="4.625" style="36" customWidth="1"/>
    <col min="7722" max="7722" width="3.5" style="36" customWidth="1"/>
    <col min="7723" max="7733" width="3.125" style="36" customWidth="1"/>
    <col min="7734" max="7735" width="5.625" style="36" customWidth="1"/>
    <col min="7736" max="7780" width="2.625" style="36" customWidth="1"/>
    <col min="7781" max="7940" width="9" style="36"/>
    <col min="7941" max="7955" width="3.125" style="36" customWidth="1"/>
    <col min="7956" max="7956" width="5.5" style="36" customWidth="1"/>
    <col min="7957" max="7957" width="5.625" style="36" customWidth="1"/>
    <col min="7958" max="7973" width="3.125" style="36" customWidth="1"/>
    <col min="7974" max="7974" width="5.375" style="36" customWidth="1"/>
    <col min="7975" max="7976" width="3.125" style="36" customWidth="1"/>
    <col min="7977" max="7977" width="4.625" style="36" customWidth="1"/>
    <col min="7978" max="7978" width="3.5" style="36" customWidth="1"/>
    <col min="7979" max="7989" width="3.125" style="36" customWidth="1"/>
    <col min="7990" max="7991" width="5.625" style="36" customWidth="1"/>
    <col min="7992" max="8036" width="2.625" style="36" customWidth="1"/>
    <col min="8037" max="8196" width="9" style="36"/>
    <col min="8197" max="8211" width="3.125" style="36" customWidth="1"/>
    <col min="8212" max="8212" width="5.5" style="36" customWidth="1"/>
    <col min="8213" max="8213" width="5.625" style="36" customWidth="1"/>
    <col min="8214" max="8229" width="3.125" style="36" customWidth="1"/>
    <col min="8230" max="8230" width="5.375" style="36" customWidth="1"/>
    <col min="8231" max="8232" width="3.125" style="36" customWidth="1"/>
    <col min="8233" max="8233" width="4.625" style="36" customWidth="1"/>
    <col min="8234" max="8234" width="3.5" style="36" customWidth="1"/>
    <col min="8235" max="8245" width="3.125" style="36" customWidth="1"/>
    <col min="8246" max="8247" width="5.625" style="36" customWidth="1"/>
    <col min="8248" max="8292" width="2.625" style="36" customWidth="1"/>
    <col min="8293" max="8452" width="9" style="36"/>
    <col min="8453" max="8467" width="3.125" style="36" customWidth="1"/>
    <col min="8468" max="8468" width="5.5" style="36" customWidth="1"/>
    <col min="8469" max="8469" width="5.625" style="36" customWidth="1"/>
    <col min="8470" max="8485" width="3.125" style="36" customWidth="1"/>
    <col min="8486" max="8486" width="5.375" style="36" customWidth="1"/>
    <col min="8487" max="8488" width="3.125" style="36" customWidth="1"/>
    <col min="8489" max="8489" width="4.625" style="36" customWidth="1"/>
    <col min="8490" max="8490" width="3.5" style="36" customWidth="1"/>
    <col min="8491" max="8501" width="3.125" style="36" customWidth="1"/>
    <col min="8502" max="8503" width="5.625" style="36" customWidth="1"/>
    <col min="8504" max="8548" width="2.625" style="36" customWidth="1"/>
    <col min="8549" max="8708" width="9" style="36"/>
    <col min="8709" max="8723" width="3.125" style="36" customWidth="1"/>
    <col min="8724" max="8724" width="5.5" style="36" customWidth="1"/>
    <col min="8725" max="8725" width="5.625" style="36" customWidth="1"/>
    <col min="8726" max="8741" width="3.125" style="36" customWidth="1"/>
    <col min="8742" max="8742" width="5.375" style="36" customWidth="1"/>
    <col min="8743" max="8744" width="3.125" style="36" customWidth="1"/>
    <col min="8745" max="8745" width="4.625" style="36" customWidth="1"/>
    <col min="8746" max="8746" width="3.5" style="36" customWidth="1"/>
    <col min="8747" max="8757" width="3.125" style="36" customWidth="1"/>
    <col min="8758" max="8759" width="5.625" style="36" customWidth="1"/>
    <col min="8760" max="8804" width="2.625" style="36" customWidth="1"/>
    <col min="8805" max="8964" width="9" style="36"/>
    <col min="8965" max="8979" width="3.125" style="36" customWidth="1"/>
    <col min="8980" max="8980" width="5.5" style="36" customWidth="1"/>
    <col min="8981" max="8981" width="5.625" style="36" customWidth="1"/>
    <col min="8982" max="8997" width="3.125" style="36" customWidth="1"/>
    <col min="8998" max="8998" width="5.375" style="36" customWidth="1"/>
    <col min="8999" max="9000" width="3.125" style="36" customWidth="1"/>
    <col min="9001" max="9001" width="4.625" style="36" customWidth="1"/>
    <col min="9002" max="9002" width="3.5" style="36" customWidth="1"/>
    <col min="9003" max="9013" width="3.125" style="36" customWidth="1"/>
    <col min="9014" max="9015" width="5.625" style="36" customWidth="1"/>
    <col min="9016" max="9060" width="2.625" style="36" customWidth="1"/>
    <col min="9061" max="9220" width="9" style="36"/>
    <col min="9221" max="9235" width="3.125" style="36" customWidth="1"/>
    <col min="9236" max="9236" width="5.5" style="36" customWidth="1"/>
    <col min="9237" max="9237" width="5.625" style="36" customWidth="1"/>
    <col min="9238" max="9253" width="3.125" style="36" customWidth="1"/>
    <col min="9254" max="9254" width="5.375" style="36" customWidth="1"/>
    <col min="9255" max="9256" width="3.125" style="36" customWidth="1"/>
    <col min="9257" max="9257" width="4.625" style="36" customWidth="1"/>
    <col min="9258" max="9258" width="3.5" style="36" customWidth="1"/>
    <col min="9259" max="9269" width="3.125" style="36" customWidth="1"/>
    <col min="9270" max="9271" width="5.625" style="36" customWidth="1"/>
    <col min="9272" max="9316" width="2.625" style="36" customWidth="1"/>
    <col min="9317" max="9476" width="9" style="36"/>
    <col min="9477" max="9491" width="3.125" style="36" customWidth="1"/>
    <col min="9492" max="9492" width="5.5" style="36" customWidth="1"/>
    <col min="9493" max="9493" width="5.625" style="36" customWidth="1"/>
    <col min="9494" max="9509" width="3.125" style="36" customWidth="1"/>
    <col min="9510" max="9510" width="5.375" style="36" customWidth="1"/>
    <col min="9511" max="9512" width="3.125" style="36" customWidth="1"/>
    <col min="9513" max="9513" width="4.625" style="36" customWidth="1"/>
    <col min="9514" max="9514" width="3.5" style="36" customWidth="1"/>
    <col min="9515" max="9525" width="3.125" style="36" customWidth="1"/>
    <col min="9526" max="9527" width="5.625" style="36" customWidth="1"/>
    <col min="9528" max="9572" width="2.625" style="36" customWidth="1"/>
    <col min="9573" max="9732" width="9" style="36"/>
    <col min="9733" max="9747" width="3.125" style="36" customWidth="1"/>
    <col min="9748" max="9748" width="5.5" style="36" customWidth="1"/>
    <col min="9749" max="9749" width="5.625" style="36" customWidth="1"/>
    <col min="9750" max="9765" width="3.125" style="36" customWidth="1"/>
    <col min="9766" max="9766" width="5.375" style="36" customWidth="1"/>
    <col min="9767" max="9768" width="3.125" style="36" customWidth="1"/>
    <col min="9769" max="9769" width="4.625" style="36" customWidth="1"/>
    <col min="9770" max="9770" width="3.5" style="36" customWidth="1"/>
    <col min="9771" max="9781" width="3.125" style="36" customWidth="1"/>
    <col min="9782" max="9783" width="5.625" style="36" customWidth="1"/>
    <col min="9784" max="9828" width="2.625" style="36" customWidth="1"/>
    <col min="9829" max="9988" width="9" style="36"/>
    <col min="9989" max="10003" width="3.125" style="36" customWidth="1"/>
    <col min="10004" max="10004" width="5.5" style="36" customWidth="1"/>
    <col min="10005" max="10005" width="5.625" style="36" customWidth="1"/>
    <col min="10006" max="10021" width="3.125" style="36" customWidth="1"/>
    <col min="10022" max="10022" width="5.375" style="36" customWidth="1"/>
    <col min="10023" max="10024" width="3.125" style="36" customWidth="1"/>
    <col min="10025" max="10025" width="4.625" style="36" customWidth="1"/>
    <col min="10026" max="10026" width="3.5" style="36" customWidth="1"/>
    <col min="10027" max="10037" width="3.125" style="36" customWidth="1"/>
    <col min="10038" max="10039" width="5.625" style="36" customWidth="1"/>
    <col min="10040" max="10084" width="2.625" style="36" customWidth="1"/>
    <col min="10085" max="10244" width="9" style="36"/>
    <col min="10245" max="10259" width="3.125" style="36" customWidth="1"/>
    <col min="10260" max="10260" width="5.5" style="36" customWidth="1"/>
    <col min="10261" max="10261" width="5.625" style="36" customWidth="1"/>
    <col min="10262" max="10277" width="3.125" style="36" customWidth="1"/>
    <col min="10278" max="10278" width="5.375" style="36" customWidth="1"/>
    <col min="10279" max="10280" width="3.125" style="36" customWidth="1"/>
    <col min="10281" max="10281" width="4.625" style="36" customWidth="1"/>
    <col min="10282" max="10282" width="3.5" style="36" customWidth="1"/>
    <col min="10283" max="10293" width="3.125" style="36" customWidth="1"/>
    <col min="10294" max="10295" width="5.625" style="36" customWidth="1"/>
    <col min="10296" max="10340" width="2.625" style="36" customWidth="1"/>
    <col min="10341" max="10500" width="9" style="36"/>
    <col min="10501" max="10515" width="3.125" style="36" customWidth="1"/>
    <col min="10516" max="10516" width="5.5" style="36" customWidth="1"/>
    <col min="10517" max="10517" width="5.625" style="36" customWidth="1"/>
    <col min="10518" max="10533" width="3.125" style="36" customWidth="1"/>
    <col min="10534" max="10534" width="5.375" style="36" customWidth="1"/>
    <col min="10535" max="10536" width="3.125" style="36" customWidth="1"/>
    <col min="10537" max="10537" width="4.625" style="36" customWidth="1"/>
    <col min="10538" max="10538" width="3.5" style="36" customWidth="1"/>
    <col min="10539" max="10549" width="3.125" style="36" customWidth="1"/>
    <col min="10550" max="10551" width="5.625" style="36" customWidth="1"/>
    <col min="10552" max="10596" width="2.625" style="36" customWidth="1"/>
    <col min="10597" max="10756" width="9" style="36"/>
    <col min="10757" max="10771" width="3.125" style="36" customWidth="1"/>
    <col min="10772" max="10772" width="5.5" style="36" customWidth="1"/>
    <col min="10773" max="10773" width="5.625" style="36" customWidth="1"/>
    <col min="10774" max="10789" width="3.125" style="36" customWidth="1"/>
    <col min="10790" max="10790" width="5.375" style="36" customWidth="1"/>
    <col min="10791" max="10792" width="3.125" style="36" customWidth="1"/>
    <col min="10793" max="10793" width="4.625" style="36" customWidth="1"/>
    <col min="10794" max="10794" width="3.5" style="36" customWidth="1"/>
    <col min="10795" max="10805" width="3.125" style="36" customWidth="1"/>
    <col min="10806" max="10807" width="5.625" style="36" customWidth="1"/>
    <col min="10808" max="10852" width="2.625" style="36" customWidth="1"/>
    <col min="10853" max="11012" width="9" style="36"/>
    <col min="11013" max="11027" width="3.125" style="36" customWidth="1"/>
    <col min="11028" max="11028" width="5.5" style="36" customWidth="1"/>
    <col min="11029" max="11029" width="5.625" style="36" customWidth="1"/>
    <col min="11030" max="11045" width="3.125" style="36" customWidth="1"/>
    <col min="11046" max="11046" width="5.375" style="36" customWidth="1"/>
    <col min="11047" max="11048" width="3.125" style="36" customWidth="1"/>
    <col min="11049" max="11049" width="4.625" style="36" customWidth="1"/>
    <col min="11050" max="11050" width="3.5" style="36" customWidth="1"/>
    <col min="11051" max="11061" width="3.125" style="36" customWidth="1"/>
    <col min="11062" max="11063" width="5.625" style="36" customWidth="1"/>
    <col min="11064" max="11108" width="2.625" style="36" customWidth="1"/>
    <col min="11109" max="11268" width="9" style="36"/>
    <col min="11269" max="11283" width="3.125" style="36" customWidth="1"/>
    <col min="11284" max="11284" width="5.5" style="36" customWidth="1"/>
    <col min="11285" max="11285" width="5.625" style="36" customWidth="1"/>
    <col min="11286" max="11301" width="3.125" style="36" customWidth="1"/>
    <col min="11302" max="11302" width="5.375" style="36" customWidth="1"/>
    <col min="11303" max="11304" width="3.125" style="36" customWidth="1"/>
    <col min="11305" max="11305" width="4.625" style="36" customWidth="1"/>
    <col min="11306" max="11306" width="3.5" style="36" customWidth="1"/>
    <col min="11307" max="11317" width="3.125" style="36" customWidth="1"/>
    <col min="11318" max="11319" width="5.625" style="36" customWidth="1"/>
    <col min="11320" max="11364" width="2.625" style="36" customWidth="1"/>
    <col min="11365" max="11524" width="9" style="36"/>
    <col min="11525" max="11539" width="3.125" style="36" customWidth="1"/>
    <col min="11540" max="11540" width="5.5" style="36" customWidth="1"/>
    <col min="11541" max="11541" width="5.625" style="36" customWidth="1"/>
    <col min="11542" max="11557" width="3.125" style="36" customWidth="1"/>
    <col min="11558" max="11558" width="5.375" style="36" customWidth="1"/>
    <col min="11559" max="11560" width="3.125" style="36" customWidth="1"/>
    <col min="11561" max="11561" width="4.625" style="36" customWidth="1"/>
    <col min="11562" max="11562" width="3.5" style="36" customWidth="1"/>
    <col min="11563" max="11573" width="3.125" style="36" customWidth="1"/>
    <col min="11574" max="11575" width="5.625" style="36" customWidth="1"/>
    <col min="11576" max="11620" width="2.625" style="36" customWidth="1"/>
    <col min="11621" max="11780" width="9" style="36"/>
    <col min="11781" max="11795" width="3.125" style="36" customWidth="1"/>
    <col min="11796" max="11796" width="5.5" style="36" customWidth="1"/>
    <col min="11797" max="11797" width="5.625" style="36" customWidth="1"/>
    <col min="11798" max="11813" width="3.125" style="36" customWidth="1"/>
    <col min="11814" max="11814" width="5.375" style="36" customWidth="1"/>
    <col min="11815" max="11816" width="3.125" style="36" customWidth="1"/>
    <col min="11817" max="11817" width="4.625" style="36" customWidth="1"/>
    <col min="11818" max="11818" width="3.5" style="36" customWidth="1"/>
    <col min="11819" max="11829" width="3.125" style="36" customWidth="1"/>
    <col min="11830" max="11831" width="5.625" style="36" customWidth="1"/>
    <col min="11832" max="11876" width="2.625" style="36" customWidth="1"/>
    <col min="11877" max="12036" width="9" style="36"/>
    <col min="12037" max="12051" width="3.125" style="36" customWidth="1"/>
    <col min="12052" max="12052" width="5.5" style="36" customWidth="1"/>
    <col min="12053" max="12053" width="5.625" style="36" customWidth="1"/>
    <col min="12054" max="12069" width="3.125" style="36" customWidth="1"/>
    <col min="12070" max="12070" width="5.375" style="36" customWidth="1"/>
    <col min="12071" max="12072" width="3.125" style="36" customWidth="1"/>
    <col min="12073" max="12073" width="4.625" style="36" customWidth="1"/>
    <col min="12074" max="12074" width="3.5" style="36" customWidth="1"/>
    <col min="12075" max="12085" width="3.125" style="36" customWidth="1"/>
    <col min="12086" max="12087" width="5.625" style="36" customWidth="1"/>
    <col min="12088" max="12132" width="2.625" style="36" customWidth="1"/>
    <col min="12133" max="12292" width="9" style="36"/>
    <col min="12293" max="12307" width="3.125" style="36" customWidth="1"/>
    <col min="12308" max="12308" width="5.5" style="36" customWidth="1"/>
    <col min="12309" max="12309" width="5.625" style="36" customWidth="1"/>
    <col min="12310" max="12325" width="3.125" style="36" customWidth="1"/>
    <col min="12326" max="12326" width="5.375" style="36" customWidth="1"/>
    <col min="12327" max="12328" width="3.125" style="36" customWidth="1"/>
    <col min="12329" max="12329" width="4.625" style="36" customWidth="1"/>
    <col min="12330" max="12330" width="3.5" style="36" customWidth="1"/>
    <col min="12331" max="12341" width="3.125" style="36" customWidth="1"/>
    <col min="12342" max="12343" width="5.625" style="36" customWidth="1"/>
    <col min="12344" max="12388" width="2.625" style="36" customWidth="1"/>
    <col min="12389" max="12548" width="9" style="36"/>
    <col min="12549" max="12563" width="3.125" style="36" customWidth="1"/>
    <col min="12564" max="12564" width="5.5" style="36" customWidth="1"/>
    <col min="12565" max="12565" width="5.625" style="36" customWidth="1"/>
    <col min="12566" max="12581" width="3.125" style="36" customWidth="1"/>
    <col min="12582" max="12582" width="5.375" style="36" customWidth="1"/>
    <col min="12583" max="12584" width="3.125" style="36" customWidth="1"/>
    <col min="12585" max="12585" width="4.625" style="36" customWidth="1"/>
    <col min="12586" max="12586" width="3.5" style="36" customWidth="1"/>
    <col min="12587" max="12597" width="3.125" style="36" customWidth="1"/>
    <col min="12598" max="12599" width="5.625" style="36" customWidth="1"/>
    <col min="12600" max="12644" width="2.625" style="36" customWidth="1"/>
    <col min="12645" max="12804" width="9" style="36"/>
    <col min="12805" max="12819" width="3.125" style="36" customWidth="1"/>
    <col min="12820" max="12820" width="5.5" style="36" customWidth="1"/>
    <col min="12821" max="12821" width="5.625" style="36" customWidth="1"/>
    <col min="12822" max="12837" width="3.125" style="36" customWidth="1"/>
    <col min="12838" max="12838" width="5.375" style="36" customWidth="1"/>
    <col min="12839" max="12840" width="3.125" style="36" customWidth="1"/>
    <col min="12841" max="12841" width="4.625" style="36" customWidth="1"/>
    <col min="12842" max="12842" width="3.5" style="36" customWidth="1"/>
    <col min="12843" max="12853" width="3.125" style="36" customWidth="1"/>
    <col min="12854" max="12855" width="5.625" style="36" customWidth="1"/>
    <col min="12856" max="12900" width="2.625" style="36" customWidth="1"/>
    <col min="12901" max="13060" width="9" style="36"/>
    <col min="13061" max="13075" width="3.125" style="36" customWidth="1"/>
    <col min="13076" max="13076" width="5.5" style="36" customWidth="1"/>
    <col min="13077" max="13077" width="5.625" style="36" customWidth="1"/>
    <col min="13078" max="13093" width="3.125" style="36" customWidth="1"/>
    <col min="13094" max="13094" width="5.375" style="36" customWidth="1"/>
    <col min="13095" max="13096" width="3.125" style="36" customWidth="1"/>
    <col min="13097" max="13097" width="4.625" style="36" customWidth="1"/>
    <col min="13098" max="13098" width="3.5" style="36" customWidth="1"/>
    <col min="13099" max="13109" width="3.125" style="36" customWidth="1"/>
    <col min="13110" max="13111" width="5.625" style="36" customWidth="1"/>
    <col min="13112" max="13156" width="2.625" style="36" customWidth="1"/>
    <col min="13157" max="13316" width="9" style="36"/>
    <col min="13317" max="13331" width="3.125" style="36" customWidth="1"/>
    <col min="13332" max="13332" width="5.5" style="36" customWidth="1"/>
    <col min="13333" max="13333" width="5.625" style="36" customWidth="1"/>
    <col min="13334" max="13349" width="3.125" style="36" customWidth="1"/>
    <col min="13350" max="13350" width="5.375" style="36" customWidth="1"/>
    <col min="13351" max="13352" width="3.125" style="36" customWidth="1"/>
    <col min="13353" max="13353" width="4.625" style="36" customWidth="1"/>
    <col min="13354" max="13354" width="3.5" style="36" customWidth="1"/>
    <col min="13355" max="13365" width="3.125" style="36" customWidth="1"/>
    <col min="13366" max="13367" width="5.625" style="36" customWidth="1"/>
    <col min="13368" max="13412" width="2.625" style="36" customWidth="1"/>
    <col min="13413" max="13572" width="9" style="36"/>
    <col min="13573" max="13587" width="3.125" style="36" customWidth="1"/>
    <col min="13588" max="13588" width="5.5" style="36" customWidth="1"/>
    <col min="13589" max="13589" width="5.625" style="36" customWidth="1"/>
    <col min="13590" max="13605" width="3.125" style="36" customWidth="1"/>
    <col min="13606" max="13606" width="5.375" style="36" customWidth="1"/>
    <col min="13607" max="13608" width="3.125" style="36" customWidth="1"/>
    <col min="13609" max="13609" width="4.625" style="36" customWidth="1"/>
    <col min="13610" max="13610" width="3.5" style="36" customWidth="1"/>
    <col min="13611" max="13621" width="3.125" style="36" customWidth="1"/>
    <col min="13622" max="13623" width="5.625" style="36" customWidth="1"/>
    <col min="13624" max="13668" width="2.625" style="36" customWidth="1"/>
    <col min="13669" max="13828" width="9" style="36"/>
    <col min="13829" max="13843" width="3.125" style="36" customWidth="1"/>
    <col min="13844" max="13844" width="5.5" style="36" customWidth="1"/>
    <col min="13845" max="13845" width="5.625" style="36" customWidth="1"/>
    <col min="13846" max="13861" width="3.125" style="36" customWidth="1"/>
    <col min="13862" max="13862" width="5.375" style="36" customWidth="1"/>
    <col min="13863" max="13864" width="3.125" style="36" customWidth="1"/>
    <col min="13865" max="13865" width="4.625" style="36" customWidth="1"/>
    <col min="13866" max="13866" width="3.5" style="36" customWidth="1"/>
    <col min="13867" max="13877" width="3.125" style="36" customWidth="1"/>
    <col min="13878" max="13879" width="5.625" style="36" customWidth="1"/>
    <col min="13880" max="13924" width="2.625" style="36" customWidth="1"/>
    <col min="13925" max="14084" width="9" style="36"/>
    <col min="14085" max="14099" width="3.125" style="36" customWidth="1"/>
    <col min="14100" max="14100" width="5.5" style="36" customWidth="1"/>
    <col min="14101" max="14101" width="5.625" style="36" customWidth="1"/>
    <col min="14102" max="14117" width="3.125" style="36" customWidth="1"/>
    <col min="14118" max="14118" width="5.375" style="36" customWidth="1"/>
    <col min="14119" max="14120" width="3.125" style="36" customWidth="1"/>
    <col min="14121" max="14121" width="4.625" style="36" customWidth="1"/>
    <col min="14122" max="14122" width="3.5" style="36" customWidth="1"/>
    <col min="14123" max="14133" width="3.125" style="36" customWidth="1"/>
    <col min="14134" max="14135" width="5.625" style="36" customWidth="1"/>
    <col min="14136" max="14180" width="2.625" style="36" customWidth="1"/>
    <col min="14181" max="14340" width="9" style="36"/>
    <col min="14341" max="14355" width="3.125" style="36" customWidth="1"/>
    <col min="14356" max="14356" width="5.5" style="36" customWidth="1"/>
    <col min="14357" max="14357" width="5.625" style="36" customWidth="1"/>
    <col min="14358" max="14373" width="3.125" style="36" customWidth="1"/>
    <col min="14374" max="14374" width="5.375" style="36" customWidth="1"/>
    <col min="14375" max="14376" width="3.125" style="36" customWidth="1"/>
    <col min="14377" max="14377" width="4.625" style="36" customWidth="1"/>
    <col min="14378" max="14378" width="3.5" style="36" customWidth="1"/>
    <col min="14379" max="14389" width="3.125" style="36" customWidth="1"/>
    <col min="14390" max="14391" width="5.625" style="36" customWidth="1"/>
    <col min="14392" max="14436" width="2.625" style="36" customWidth="1"/>
    <col min="14437" max="14596" width="9" style="36"/>
    <col min="14597" max="14611" width="3.125" style="36" customWidth="1"/>
    <col min="14612" max="14612" width="5.5" style="36" customWidth="1"/>
    <col min="14613" max="14613" width="5.625" style="36" customWidth="1"/>
    <col min="14614" max="14629" width="3.125" style="36" customWidth="1"/>
    <col min="14630" max="14630" width="5.375" style="36" customWidth="1"/>
    <col min="14631" max="14632" width="3.125" style="36" customWidth="1"/>
    <col min="14633" max="14633" width="4.625" style="36" customWidth="1"/>
    <col min="14634" max="14634" width="3.5" style="36" customWidth="1"/>
    <col min="14635" max="14645" width="3.125" style="36" customWidth="1"/>
    <col min="14646" max="14647" width="5.625" style="36" customWidth="1"/>
    <col min="14648" max="14692" width="2.625" style="36" customWidth="1"/>
    <col min="14693" max="14852" width="9" style="36"/>
    <col min="14853" max="14867" width="3.125" style="36" customWidth="1"/>
    <col min="14868" max="14868" width="5.5" style="36" customWidth="1"/>
    <col min="14869" max="14869" width="5.625" style="36" customWidth="1"/>
    <col min="14870" max="14885" width="3.125" style="36" customWidth="1"/>
    <col min="14886" max="14886" width="5.375" style="36" customWidth="1"/>
    <col min="14887" max="14888" width="3.125" style="36" customWidth="1"/>
    <col min="14889" max="14889" width="4.625" style="36" customWidth="1"/>
    <col min="14890" max="14890" width="3.5" style="36" customWidth="1"/>
    <col min="14891" max="14901" width="3.125" style="36" customWidth="1"/>
    <col min="14902" max="14903" width="5.625" style="36" customWidth="1"/>
    <col min="14904" max="14948" width="2.625" style="36" customWidth="1"/>
    <col min="14949" max="15108" width="9" style="36"/>
    <col min="15109" max="15123" width="3.125" style="36" customWidth="1"/>
    <col min="15124" max="15124" width="5.5" style="36" customWidth="1"/>
    <col min="15125" max="15125" width="5.625" style="36" customWidth="1"/>
    <col min="15126" max="15141" width="3.125" style="36" customWidth="1"/>
    <col min="15142" max="15142" width="5.375" style="36" customWidth="1"/>
    <col min="15143" max="15144" width="3.125" style="36" customWidth="1"/>
    <col min="15145" max="15145" width="4.625" style="36" customWidth="1"/>
    <col min="15146" max="15146" width="3.5" style="36" customWidth="1"/>
    <col min="15147" max="15157" width="3.125" style="36" customWidth="1"/>
    <col min="15158" max="15159" width="5.625" style="36" customWidth="1"/>
    <col min="15160" max="15204" width="2.625" style="36" customWidth="1"/>
    <col min="15205" max="15364" width="9" style="36"/>
    <col min="15365" max="15379" width="3.125" style="36" customWidth="1"/>
    <col min="15380" max="15380" width="5.5" style="36" customWidth="1"/>
    <col min="15381" max="15381" width="5.625" style="36" customWidth="1"/>
    <col min="15382" max="15397" width="3.125" style="36" customWidth="1"/>
    <col min="15398" max="15398" width="5.375" style="36" customWidth="1"/>
    <col min="15399" max="15400" width="3.125" style="36" customWidth="1"/>
    <col min="15401" max="15401" width="4.625" style="36" customWidth="1"/>
    <col min="15402" max="15402" width="3.5" style="36" customWidth="1"/>
    <col min="15403" max="15413" width="3.125" style="36" customWidth="1"/>
    <col min="15414" max="15415" width="5.625" style="36" customWidth="1"/>
    <col min="15416" max="15460" width="2.625" style="36" customWidth="1"/>
    <col min="15461" max="15620" width="9" style="36"/>
    <col min="15621" max="15635" width="3.125" style="36" customWidth="1"/>
    <col min="15636" max="15636" width="5.5" style="36" customWidth="1"/>
    <col min="15637" max="15637" width="5.625" style="36" customWidth="1"/>
    <col min="15638" max="15653" width="3.125" style="36" customWidth="1"/>
    <col min="15654" max="15654" width="5.375" style="36" customWidth="1"/>
    <col min="15655" max="15656" width="3.125" style="36" customWidth="1"/>
    <col min="15657" max="15657" width="4.625" style="36" customWidth="1"/>
    <col min="15658" max="15658" width="3.5" style="36" customWidth="1"/>
    <col min="15659" max="15669" width="3.125" style="36" customWidth="1"/>
    <col min="15670" max="15671" width="5.625" style="36" customWidth="1"/>
    <col min="15672" max="15716" width="2.625" style="36" customWidth="1"/>
    <col min="15717" max="15876" width="9" style="36"/>
    <col min="15877" max="15891" width="3.125" style="36" customWidth="1"/>
    <col min="15892" max="15892" width="5.5" style="36" customWidth="1"/>
    <col min="15893" max="15893" width="5.625" style="36" customWidth="1"/>
    <col min="15894" max="15909" width="3.125" style="36" customWidth="1"/>
    <col min="15910" max="15910" width="5.375" style="36" customWidth="1"/>
    <col min="15911" max="15912" width="3.125" style="36" customWidth="1"/>
    <col min="15913" max="15913" width="4.625" style="36" customWidth="1"/>
    <col min="15914" max="15914" width="3.5" style="36" customWidth="1"/>
    <col min="15915" max="15925" width="3.125" style="36" customWidth="1"/>
    <col min="15926" max="15927" width="5.625" style="36" customWidth="1"/>
    <col min="15928" max="15972" width="2.625" style="36" customWidth="1"/>
    <col min="15973" max="16132" width="9" style="36"/>
    <col min="16133" max="16147" width="3.125" style="36" customWidth="1"/>
    <col min="16148" max="16148" width="5.5" style="36" customWidth="1"/>
    <col min="16149" max="16149" width="5.625" style="36" customWidth="1"/>
    <col min="16150" max="16165" width="3.125" style="36" customWidth="1"/>
    <col min="16166" max="16166" width="5.375" style="36" customWidth="1"/>
    <col min="16167" max="16168" width="3.125" style="36" customWidth="1"/>
    <col min="16169" max="16169" width="4.625" style="36" customWidth="1"/>
    <col min="16170" max="16170" width="3.5" style="36" customWidth="1"/>
    <col min="16171" max="16181" width="3.125" style="36" customWidth="1"/>
    <col min="16182" max="16183" width="5.625" style="36" customWidth="1"/>
    <col min="16184" max="16228" width="2.625" style="36" customWidth="1"/>
    <col min="16229" max="16384" width="9" style="36"/>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80</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39"/>
      <c r="AK16" s="39"/>
      <c r="AL16" s="39"/>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39"/>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08"/>
      <c r="AS17" s="208"/>
      <c r="AT17" s="208"/>
      <c r="AU17" s="208"/>
      <c r="AV17" s="208"/>
      <c r="AW17" s="208"/>
      <c r="AX17" s="208"/>
      <c r="AY17" s="208"/>
      <c r="AZ17" s="208"/>
      <c r="BA17" s="208"/>
    </row>
    <row r="18" spans="2:53" ht="13.5" customHeight="1" x14ac:dyDescent="0.15">
      <c r="B18" s="130" t="s">
        <v>1</v>
      </c>
      <c r="C18" s="130"/>
      <c r="D18" s="130"/>
      <c r="E18" s="130"/>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1"/>
      <c r="C19" s="131"/>
      <c r="D19" s="131"/>
      <c r="E19" s="131"/>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1" t="s">
        <v>47</v>
      </c>
      <c r="AV19" s="151"/>
      <c r="AW19" s="151"/>
      <c r="AX19" s="151"/>
      <c r="AY19" s="151"/>
      <c r="AZ19" s="151"/>
      <c r="BA19" s="151"/>
    </row>
    <row r="20" spans="2:53" s="21" customFormat="1" ht="13.5" customHeight="1" x14ac:dyDescent="0.15">
      <c r="B20" s="113" t="s">
        <v>2</v>
      </c>
      <c r="C20" s="114"/>
      <c r="D20" s="114"/>
      <c r="E20" s="114"/>
      <c r="F20" s="114"/>
      <c r="G20" s="114"/>
      <c r="H20" s="114"/>
      <c r="I20" s="113" t="s">
        <v>3</v>
      </c>
      <c r="J20" s="114"/>
      <c r="K20" s="114"/>
      <c r="L20" s="114"/>
      <c r="M20" s="114"/>
      <c r="N20" s="114"/>
      <c r="O20" s="114"/>
      <c r="P20" s="114"/>
      <c r="Q20" s="114"/>
      <c r="R20" s="114"/>
      <c r="S20" s="114"/>
      <c r="T20" s="114"/>
      <c r="U20" s="114"/>
      <c r="V20" s="114"/>
      <c r="W20" s="114"/>
      <c r="X20" s="114"/>
      <c r="Y20" s="97" t="s">
        <v>4</v>
      </c>
      <c r="Z20" s="97"/>
      <c r="AA20" s="97"/>
      <c r="AB20" s="97"/>
      <c r="AC20" s="167" t="s">
        <v>5</v>
      </c>
      <c r="AD20" s="167"/>
      <c r="AE20" s="167"/>
      <c r="AF20" s="167"/>
      <c r="AG20" s="97" t="s">
        <v>6</v>
      </c>
      <c r="AH20" s="97"/>
      <c r="AI20" s="97"/>
      <c r="AJ20" s="97"/>
      <c r="AK20" s="97"/>
      <c r="AL20" s="97"/>
      <c r="AM20" s="97"/>
      <c r="AN20" s="97"/>
      <c r="AO20" s="97"/>
      <c r="AP20" s="97"/>
      <c r="AQ20" s="97"/>
      <c r="AR20" s="97"/>
      <c r="AS20" s="97"/>
      <c r="AT20" s="97"/>
      <c r="AU20" s="97"/>
      <c r="AV20" s="97"/>
      <c r="AW20" s="97"/>
      <c r="AX20" s="97"/>
      <c r="AY20" s="97"/>
      <c r="AZ20" s="97"/>
      <c r="BA20" s="97"/>
    </row>
    <row r="21" spans="2:53" s="21" customFormat="1" ht="13.5" customHeight="1" x14ac:dyDescent="0.15">
      <c r="B21" s="116"/>
      <c r="C21" s="117"/>
      <c r="D21" s="117"/>
      <c r="E21" s="117"/>
      <c r="F21" s="117"/>
      <c r="G21" s="117"/>
      <c r="H21" s="117"/>
      <c r="I21" s="119"/>
      <c r="J21" s="120"/>
      <c r="K21" s="120"/>
      <c r="L21" s="120"/>
      <c r="M21" s="120"/>
      <c r="N21" s="120"/>
      <c r="O21" s="120"/>
      <c r="P21" s="120"/>
      <c r="Q21" s="120"/>
      <c r="R21" s="120"/>
      <c r="S21" s="120"/>
      <c r="T21" s="120"/>
      <c r="U21" s="120"/>
      <c r="V21" s="120"/>
      <c r="W21" s="120"/>
      <c r="X21" s="120"/>
      <c r="Y21" s="97"/>
      <c r="Z21" s="97"/>
      <c r="AA21" s="97"/>
      <c r="AB21" s="97"/>
      <c r="AC21" s="167"/>
      <c r="AD21" s="167"/>
      <c r="AE21" s="167"/>
      <c r="AF21" s="167"/>
      <c r="AG21" s="97"/>
      <c r="AH21" s="97"/>
      <c r="AI21" s="97"/>
      <c r="AJ21" s="97"/>
      <c r="AK21" s="97"/>
      <c r="AL21" s="97"/>
      <c r="AM21" s="97"/>
      <c r="AN21" s="97"/>
      <c r="AO21" s="97"/>
      <c r="AP21" s="97"/>
      <c r="AQ21" s="97"/>
      <c r="AR21" s="97"/>
      <c r="AS21" s="97"/>
      <c r="AT21" s="97"/>
      <c r="AU21" s="97"/>
      <c r="AV21" s="97"/>
      <c r="AW21" s="97"/>
      <c r="AX21" s="97"/>
      <c r="AY21" s="97"/>
      <c r="AZ21" s="97"/>
      <c r="BA21" s="97"/>
    </row>
    <row r="22" spans="2:53" s="21" customFormat="1" ht="13.5" customHeight="1" x14ac:dyDescent="0.15">
      <c r="B22" s="116"/>
      <c r="C22" s="117"/>
      <c r="D22" s="117"/>
      <c r="E22" s="117"/>
      <c r="F22" s="117"/>
      <c r="G22" s="117"/>
      <c r="H22" s="117"/>
      <c r="I22" s="113" t="s">
        <v>7</v>
      </c>
      <c r="J22" s="114"/>
      <c r="K22" s="114"/>
      <c r="L22" s="114"/>
      <c r="M22" s="113" t="s">
        <v>8</v>
      </c>
      <c r="N22" s="114"/>
      <c r="O22" s="114"/>
      <c r="P22" s="115"/>
      <c r="Q22" s="86" t="s">
        <v>49</v>
      </c>
      <c r="R22" s="87"/>
      <c r="S22" s="87"/>
      <c r="T22" s="87"/>
      <c r="U22" s="113" t="s">
        <v>9</v>
      </c>
      <c r="V22" s="114"/>
      <c r="W22" s="114"/>
      <c r="X22" s="114"/>
      <c r="Y22" s="97"/>
      <c r="Z22" s="97"/>
      <c r="AA22" s="97"/>
      <c r="AB22" s="97"/>
      <c r="AC22" s="167"/>
      <c r="AD22" s="167"/>
      <c r="AE22" s="167"/>
      <c r="AF22" s="167"/>
      <c r="AG22" s="97"/>
      <c r="AH22" s="97"/>
      <c r="AI22" s="97"/>
      <c r="AJ22" s="97"/>
      <c r="AK22" s="97"/>
      <c r="AL22" s="97"/>
      <c r="AM22" s="97"/>
      <c r="AN22" s="97"/>
      <c r="AO22" s="97"/>
      <c r="AP22" s="97"/>
      <c r="AQ22" s="97"/>
      <c r="AR22" s="97"/>
      <c r="AS22" s="97"/>
      <c r="AT22" s="97"/>
      <c r="AU22" s="97"/>
      <c r="AV22" s="97"/>
      <c r="AW22" s="97"/>
      <c r="AX22" s="97"/>
      <c r="AY22" s="97"/>
      <c r="AZ22" s="97"/>
      <c r="BA22" s="97"/>
    </row>
    <row r="23" spans="2:53" s="21" customFormat="1" ht="13.5" customHeight="1" x14ac:dyDescent="0.15">
      <c r="B23" s="116"/>
      <c r="C23" s="117"/>
      <c r="D23" s="117"/>
      <c r="E23" s="117"/>
      <c r="F23" s="117"/>
      <c r="G23" s="117"/>
      <c r="H23" s="117"/>
      <c r="I23" s="116"/>
      <c r="J23" s="117"/>
      <c r="K23" s="117"/>
      <c r="L23" s="117"/>
      <c r="M23" s="116"/>
      <c r="N23" s="117"/>
      <c r="O23" s="117"/>
      <c r="P23" s="118"/>
      <c r="Q23" s="89"/>
      <c r="R23" s="90"/>
      <c r="S23" s="90"/>
      <c r="T23" s="90"/>
      <c r="U23" s="116"/>
      <c r="V23" s="117"/>
      <c r="W23" s="117"/>
      <c r="X23" s="117"/>
      <c r="Y23" s="97"/>
      <c r="Z23" s="97"/>
      <c r="AA23" s="97"/>
      <c r="AB23" s="97"/>
      <c r="AC23" s="167"/>
      <c r="AD23" s="167"/>
      <c r="AE23" s="167"/>
      <c r="AF23" s="167"/>
      <c r="AG23" s="97"/>
      <c r="AH23" s="97"/>
      <c r="AI23" s="97"/>
      <c r="AJ23" s="97"/>
      <c r="AK23" s="97"/>
      <c r="AL23" s="97"/>
      <c r="AM23" s="97"/>
      <c r="AN23" s="97"/>
      <c r="AO23" s="97"/>
      <c r="AP23" s="97"/>
      <c r="AQ23" s="97"/>
      <c r="AR23" s="97"/>
      <c r="AS23" s="97"/>
      <c r="AT23" s="97"/>
      <c r="AU23" s="97"/>
      <c r="AV23" s="97"/>
      <c r="AW23" s="97"/>
      <c r="AX23" s="97"/>
      <c r="AY23" s="97"/>
      <c r="AZ23" s="97"/>
      <c r="BA23" s="97"/>
    </row>
    <row r="24" spans="2:53" s="21" customFormat="1" ht="13.5" customHeight="1" x14ac:dyDescent="0.15">
      <c r="B24" s="116"/>
      <c r="C24" s="117"/>
      <c r="D24" s="117"/>
      <c r="E24" s="117"/>
      <c r="F24" s="117"/>
      <c r="G24" s="117"/>
      <c r="H24" s="117"/>
      <c r="I24" s="116"/>
      <c r="J24" s="117"/>
      <c r="K24" s="117"/>
      <c r="L24" s="117"/>
      <c r="M24" s="116"/>
      <c r="N24" s="117"/>
      <c r="O24" s="117"/>
      <c r="P24" s="118"/>
      <c r="Q24" s="89"/>
      <c r="R24" s="90"/>
      <c r="S24" s="90"/>
      <c r="T24" s="90"/>
      <c r="U24" s="116"/>
      <c r="V24" s="117"/>
      <c r="W24" s="117"/>
      <c r="X24" s="117"/>
      <c r="Y24" s="97"/>
      <c r="Z24" s="97"/>
      <c r="AA24" s="97"/>
      <c r="AB24" s="97"/>
      <c r="AC24" s="167"/>
      <c r="AD24" s="167"/>
      <c r="AE24" s="167"/>
      <c r="AF24" s="167"/>
      <c r="AG24" s="97"/>
      <c r="AH24" s="97"/>
      <c r="AI24" s="97"/>
      <c r="AJ24" s="97"/>
      <c r="AK24" s="97"/>
      <c r="AL24" s="97"/>
      <c r="AM24" s="97"/>
      <c r="AN24" s="97"/>
      <c r="AO24" s="97"/>
      <c r="AP24" s="97"/>
      <c r="AQ24" s="97"/>
      <c r="AR24" s="97"/>
      <c r="AS24" s="97"/>
      <c r="AT24" s="97"/>
      <c r="AU24" s="97"/>
      <c r="AV24" s="97"/>
      <c r="AW24" s="97"/>
      <c r="AX24" s="97"/>
      <c r="AY24" s="97"/>
      <c r="AZ24" s="97"/>
      <c r="BA24" s="97"/>
    </row>
    <row r="25" spans="2:53" s="21" customFormat="1" ht="13.5" customHeight="1" x14ac:dyDescent="0.15">
      <c r="B25" s="119"/>
      <c r="C25" s="120"/>
      <c r="D25" s="120"/>
      <c r="E25" s="120"/>
      <c r="F25" s="120"/>
      <c r="G25" s="120"/>
      <c r="H25" s="120"/>
      <c r="I25" s="119"/>
      <c r="J25" s="120"/>
      <c r="K25" s="120"/>
      <c r="L25" s="120"/>
      <c r="M25" s="119"/>
      <c r="N25" s="120"/>
      <c r="O25" s="120"/>
      <c r="P25" s="121"/>
      <c r="Q25" s="92"/>
      <c r="R25" s="93"/>
      <c r="S25" s="93"/>
      <c r="T25" s="93"/>
      <c r="U25" s="119"/>
      <c r="V25" s="120"/>
      <c r="W25" s="120"/>
      <c r="X25" s="120"/>
      <c r="Y25" s="97"/>
      <c r="Z25" s="97"/>
      <c r="AA25" s="97"/>
      <c r="AB25" s="97"/>
      <c r="AC25" s="167"/>
      <c r="AD25" s="167"/>
      <c r="AE25" s="167"/>
      <c r="AF25" s="167"/>
      <c r="AG25" s="97"/>
      <c r="AH25" s="97"/>
      <c r="AI25" s="97"/>
      <c r="AJ25" s="97"/>
      <c r="AK25" s="97"/>
      <c r="AL25" s="97"/>
      <c r="AM25" s="97"/>
      <c r="AN25" s="97"/>
      <c r="AO25" s="97"/>
      <c r="AP25" s="97"/>
      <c r="AQ25" s="97"/>
      <c r="AR25" s="97"/>
      <c r="AS25" s="97"/>
      <c r="AT25" s="97"/>
      <c r="AU25" s="97"/>
      <c r="AV25" s="97"/>
      <c r="AW25" s="97"/>
      <c r="AX25" s="97"/>
      <c r="AY25" s="97"/>
      <c r="AZ25" s="97"/>
      <c r="BA25" s="97"/>
    </row>
    <row r="26" spans="2:53" s="21" customFormat="1" ht="18" customHeight="1" x14ac:dyDescent="0.15">
      <c r="B26" s="73" t="s">
        <v>10</v>
      </c>
      <c r="C26" s="74"/>
      <c r="D26" s="74"/>
      <c r="E26" s="74"/>
      <c r="F26" s="74"/>
      <c r="G26" s="74"/>
      <c r="H26" s="74"/>
      <c r="I26" s="73">
        <f>SUM(I28:L31)</f>
        <v>166572000</v>
      </c>
      <c r="J26" s="74"/>
      <c r="K26" s="74"/>
      <c r="L26" s="74"/>
      <c r="M26" s="73">
        <f>SUM(M28:P31)</f>
        <v>613000</v>
      </c>
      <c r="N26" s="74"/>
      <c r="O26" s="74"/>
      <c r="P26" s="75"/>
      <c r="Q26" s="73">
        <f t="shared" ref="Q26" si="0">SUM(Q28:T31)</f>
        <v>0</v>
      </c>
      <c r="R26" s="74"/>
      <c r="S26" s="74"/>
      <c r="T26" s="75"/>
      <c r="U26" s="73">
        <f t="shared" ref="U26" si="1">SUM(U28:X31)</f>
        <v>167185000</v>
      </c>
      <c r="V26" s="74"/>
      <c r="W26" s="74"/>
      <c r="X26" s="74"/>
      <c r="Y26" s="85">
        <f t="shared" ref="Y26" si="2">SUM(Y28:AB31)</f>
        <v>167259968</v>
      </c>
      <c r="Z26" s="85"/>
      <c r="AA26" s="85"/>
      <c r="AB26" s="85"/>
      <c r="AC26" s="74">
        <f>Y26-U26</f>
        <v>74968</v>
      </c>
      <c r="AD26" s="74"/>
      <c r="AE26" s="74"/>
      <c r="AF26" s="74"/>
      <c r="AG26" s="97"/>
      <c r="AH26" s="97"/>
      <c r="AI26" s="97"/>
      <c r="AJ26" s="97"/>
      <c r="AK26" s="97"/>
      <c r="AL26" s="97"/>
      <c r="AM26" s="97"/>
      <c r="AN26" s="97"/>
      <c r="AO26" s="97"/>
      <c r="AP26" s="97"/>
      <c r="AQ26" s="97"/>
      <c r="AR26" s="97"/>
      <c r="AS26" s="97"/>
      <c r="AT26" s="97"/>
      <c r="AU26" s="97"/>
      <c r="AV26" s="97"/>
      <c r="AW26" s="97"/>
      <c r="AX26" s="97"/>
      <c r="AY26" s="97"/>
      <c r="AZ26" s="97"/>
      <c r="BA26" s="97"/>
    </row>
    <row r="27" spans="2:53" s="21" customFormat="1" ht="18" customHeight="1" x14ac:dyDescent="0.15">
      <c r="B27" s="76"/>
      <c r="C27" s="77"/>
      <c r="D27" s="77"/>
      <c r="E27" s="77"/>
      <c r="F27" s="77"/>
      <c r="G27" s="77"/>
      <c r="H27" s="77"/>
      <c r="I27" s="76"/>
      <c r="J27" s="77"/>
      <c r="K27" s="77"/>
      <c r="L27" s="77"/>
      <c r="M27" s="76"/>
      <c r="N27" s="77"/>
      <c r="O27" s="77"/>
      <c r="P27" s="78"/>
      <c r="Q27" s="76"/>
      <c r="R27" s="77"/>
      <c r="S27" s="77"/>
      <c r="T27" s="78"/>
      <c r="U27" s="76"/>
      <c r="V27" s="77"/>
      <c r="W27" s="77"/>
      <c r="X27" s="77"/>
      <c r="Y27" s="85"/>
      <c r="Z27" s="85"/>
      <c r="AA27" s="85"/>
      <c r="AB27" s="85"/>
      <c r="AC27" s="77"/>
      <c r="AD27" s="77"/>
      <c r="AE27" s="77"/>
      <c r="AF27" s="77"/>
      <c r="AG27" s="97"/>
      <c r="AH27" s="97"/>
      <c r="AI27" s="97"/>
      <c r="AJ27" s="97"/>
      <c r="AK27" s="97"/>
      <c r="AL27" s="97"/>
      <c r="AM27" s="97"/>
      <c r="AN27" s="97"/>
      <c r="AO27" s="97"/>
      <c r="AP27" s="97"/>
      <c r="AQ27" s="97"/>
      <c r="AR27" s="97"/>
      <c r="AS27" s="97"/>
      <c r="AT27" s="97"/>
      <c r="AU27" s="97"/>
      <c r="AV27" s="97"/>
      <c r="AW27" s="97"/>
      <c r="AX27" s="97"/>
      <c r="AY27" s="97"/>
      <c r="AZ27" s="97"/>
      <c r="BA27" s="97"/>
    </row>
    <row r="28" spans="2:53" s="21" customFormat="1" ht="18" customHeight="1" x14ac:dyDescent="0.15">
      <c r="B28" s="73" t="s">
        <v>11</v>
      </c>
      <c r="C28" s="74"/>
      <c r="D28" s="74"/>
      <c r="E28" s="74"/>
      <c r="F28" s="74"/>
      <c r="G28" s="74"/>
      <c r="H28" s="74"/>
      <c r="I28" s="73">
        <v>123169000</v>
      </c>
      <c r="J28" s="74"/>
      <c r="K28" s="74"/>
      <c r="L28" s="74"/>
      <c r="M28" s="73">
        <v>-210000</v>
      </c>
      <c r="N28" s="74"/>
      <c r="O28" s="74"/>
      <c r="P28" s="75"/>
      <c r="Q28" s="73">
        <v>0</v>
      </c>
      <c r="R28" s="74"/>
      <c r="S28" s="74"/>
      <c r="T28" s="75"/>
      <c r="U28" s="73">
        <f>SUM(I28:T29)</f>
        <v>122959000</v>
      </c>
      <c r="V28" s="74"/>
      <c r="W28" s="74"/>
      <c r="X28" s="74"/>
      <c r="Y28" s="85">
        <v>123163812</v>
      </c>
      <c r="Z28" s="85"/>
      <c r="AA28" s="85"/>
      <c r="AB28" s="85"/>
      <c r="AC28" s="169">
        <f>Y28-U28</f>
        <v>204812</v>
      </c>
      <c r="AD28" s="170"/>
      <c r="AE28" s="170"/>
      <c r="AF28" s="170"/>
      <c r="AG28" s="67" t="s">
        <v>81</v>
      </c>
      <c r="AH28" s="68"/>
      <c r="AI28" s="68"/>
      <c r="AJ28" s="68"/>
      <c r="AK28" s="68"/>
      <c r="AL28" s="68"/>
      <c r="AM28" s="68"/>
      <c r="AN28" s="68"/>
      <c r="AO28" s="68"/>
      <c r="AP28" s="68"/>
      <c r="AQ28" s="68"/>
      <c r="AR28" s="68"/>
      <c r="AS28" s="68"/>
      <c r="AT28" s="68"/>
      <c r="AU28" s="68"/>
      <c r="AV28" s="68"/>
      <c r="AW28" s="68"/>
      <c r="AX28" s="68"/>
      <c r="AY28" s="68"/>
      <c r="AZ28" s="68"/>
      <c r="BA28" s="69"/>
    </row>
    <row r="29" spans="2:53" s="21" customFormat="1" ht="18" customHeight="1" x14ac:dyDescent="0.15">
      <c r="B29" s="76"/>
      <c r="C29" s="77"/>
      <c r="D29" s="77"/>
      <c r="E29" s="77"/>
      <c r="F29" s="77"/>
      <c r="G29" s="77"/>
      <c r="H29" s="77"/>
      <c r="I29" s="76"/>
      <c r="J29" s="77"/>
      <c r="K29" s="77"/>
      <c r="L29" s="77"/>
      <c r="M29" s="76"/>
      <c r="N29" s="77"/>
      <c r="O29" s="77"/>
      <c r="P29" s="78"/>
      <c r="Q29" s="76"/>
      <c r="R29" s="77"/>
      <c r="S29" s="77"/>
      <c r="T29" s="78"/>
      <c r="U29" s="76"/>
      <c r="V29" s="77"/>
      <c r="W29" s="77"/>
      <c r="X29" s="77"/>
      <c r="Y29" s="85"/>
      <c r="Z29" s="85"/>
      <c r="AA29" s="85"/>
      <c r="AB29" s="85"/>
      <c r="AC29" s="171"/>
      <c r="AD29" s="172"/>
      <c r="AE29" s="172"/>
      <c r="AF29" s="172"/>
      <c r="AG29" s="70"/>
      <c r="AH29" s="71"/>
      <c r="AI29" s="71"/>
      <c r="AJ29" s="71"/>
      <c r="AK29" s="71"/>
      <c r="AL29" s="71"/>
      <c r="AM29" s="71"/>
      <c r="AN29" s="71"/>
      <c r="AO29" s="71"/>
      <c r="AP29" s="71"/>
      <c r="AQ29" s="71"/>
      <c r="AR29" s="71"/>
      <c r="AS29" s="71"/>
      <c r="AT29" s="71"/>
      <c r="AU29" s="71"/>
      <c r="AV29" s="71"/>
      <c r="AW29" s="71"/>
      <c r="AX29" s="71"/>
      <c r="AY29" s="71"/>
      <c r="AZ29" s="71"/>
      <c r="BA29" s="72"/>
    </row>
    <row r="30" spans="2:53" s="21" customFormat="1" ht="18" customHeight="1" x14ac:dyDescent="0.15">
      <c r="B30" s="73" t="s">
        <v>12</v>
      </c>
      <c r="C30" s="74"/>
      <c r="D30" s="74"/>
      <c r="E30" s="74"/>
      <c r="F30" s="74"/>
      <c r="G30" s="74"/>
      <c r="H30" s="75"/>
      <c r="I30" s="73">
        <v>43403000</v>
      </c>
      <c r="J30" s="74"/>
      <c r="K30" s="74"/>
      <c r="L30" s="75"/>
      <c r="M30" s="73">
        <v>823000</v>
      </c>
      <c r="N30" s="74"/>
      <c r="O30" s="74"/>
      <c r="P30" s="75"/>
      <c r="Q30" s="73">
        <v>0</v>
      </c>
      <c r="R30" s="74"/>
      <c r="S30" s="74"/>
      <c r="T30" s="75"/>
      <c r="U30" s="73">
        <f>SUM(I30:T31)</f>
        <v>44226000</v>
      </c>
      <c r="V30" s="74"/>
      <c r="W30" s="74"/>
      <c r="X30" s="74"/>
      <c r="Y30" s="85">
        <v>44096156</v>
      </c>
      <c r="Z30" s="85"/>
      <c r="AA30" s="85"/>
      <c r="AB30" s="85"/>
      <c r="AC30" s="73">
        <f>Y30-U30</f>
        <v>-129844</v>
      </c>
      <c r="AD30" s="74"/>
      <c r="AE30" s="74"/>
      <c r="AF30" s="74"/>
      <c r="AG30" s="133"/>
      <c r="AH30" s="133"/>
      <c r="AI30" s="133"/>
      <c r="AJ30" s="133"/>
      <c r="AK30" s="133"/>
      <c r="AL30" s="133"/>
      <c r="AM30" s="133"/>
      <c r="AN30" s="133"/>
      <c r="AO30" s="133"/>
      <c r="AP30" s="133"/>
      <c r="AQ30" s="133"/>
      <c r="AR30" s="133"/>
      <c r="AS30" s="133"/>
      <c r="AT30" s="133"/>
      <c r="AU30" s="133"/>
      <c r="AV30" s="133"/>
      <c r="AW30" s="133"/>
      <c r="AX30" s="133"/>
      <c r="AY30" s="133"/>
      <c r="AZ30" s="133"/>
      <c r="BA30" s="133"/>
    </row>
    <row r="31" spans="2:53" s="21" customFormat="1" ht="18" customHeight="1" x14ac:dyDescent="0.15">
      <c r="B31" s="76"/>
      <c r="C31" s="77"/>
      <c r="D31" s="77"/>
      <c r="E31" s="77"/>
      <c r="F31" s="77"/>
      <c r="G31" s="77"/>
      <c r="H31" s="78"/>
      <c r="I31" s="76"/>
      <c r="J31" s="77"/>
      <c r="K31" s="77"/>
      <c r="L31" s="78"/>
      <c r="M31" s="76"/>
      <c r="N31" s="77"/>
      <c r="O31" s="77"/>
      <c r="P31" s="78"/>
      <c r="Q31" s="76"/>
      <c r="R31" s="77"/>
      <c r="S31" s="77"/>
      <c r="T31" s="78"/>
      <c r="U31" s="76"/>
      <c r="V31" s="77"/>
      <c r="W31" s="77"/>
      <c r="X31" s="77"/>
      <c r="Y31" s="85"/>
      <c r="Z31" s="85"/>
      <c r="AA31" s="85"/>
      <c r="AB31" s="85"/>
      <c r="AC31" s="76"/>
      <c r="AD31" s="77"/>
      <c r="AE31" s="77"/>
      <c r="AF31" s="77"/>
      <c r="AG31" s="133"/>
      <c r="AH31" s="133"/>
      <c r="AI31" s="133"/>
      <c r="AJ31" s="133"/>
      <c r="AK31" s="133"/>
      <c r="AL31" s="133"/>
      <c r="AM31" s="133"/>
      <c r="AN31" s="133"/>
      <c r="AO31" s="133"/>
      <c r="AP31" s="133"/>
      <c r="AQ31" s="133"/>
      <c r="AR31" s="133"/>
      <c r="AS31" s="133"/>
      <c r="AT31" s="133"/>
      <c r="AU31" s="133"/>
      <c r="AV31" s="133"/>
      <c r="AW31" s="133"/>
      <c r="AX31" s="133"/>
      <c r="AY31" s="133"/>
      <c r="AZ31" s="133"/>
      <c r="BA31" s="133"/>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1"/>
      <c r="C34" s="131"/>
      <c r="D34" s="131"/>
      <c r="E34" s="131"/>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1" t="s">
        <v>47</v>
      </c>
      <c r="AV34" s="151"/>
      <c r="AW34" s="151"/>
      <c r="AX34" s="151"/>
      <c r="AY34" s="151"/>
      <c r="AZ34" s="151"/>
      <c r="BA34" s="151"/>
    </row>
    <row r="35" spans="2:53" s="21" customFormat="1" ht="13.5" customHeight="1" x14ac:dyDescent="0.15">
      <c r="B35" s="97" t="s">
        <v>2</v>
      </c>
      <c r="C35" s="97"/>
      <c r="D35" s="97"/>
      <c r="E35" s="97"/>
      <c r="F35" s="97"/>
      <c r="G35" s="97"/>
      <c r="H35" s="97"/>
      <c r="I35" s="113" t="s">
        <v>14</v>
      </c>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5"/>
      <c r="AH35" s="113" t="s">
        <v>15</v>
      </c>
      <c r="AI35" s="114"/>
      <c r="AJ35" s="114"/>
      <c r="AK35" s="115"/>
      <c r="AL35" s="95" t="s">
        <v>16</v>
      </c>
      <c r="AM35" s="95"/>
      <c r="AN35" s="97" t="s">
        <v>17</v>
      </c>
      <c r="AO35" s="97"/>
      <c r="AP35" s="97"/>
      <c r="AQ35" s="97"/>
      <c r="AR35" s="113" t="s">
        <v>18</v>
      </c>
      <c r="AS35" s="114"/>
      <c r="AT35" s="114"/>
      <c r="AU35" s="114"/>
      <c r="AV35" s="114"/>
      <c r="AW35" s="114"/>
      <c r="AX35" s="114"/>
      <c r="AY35" s="114"/>
      <c r="AZ35" s="114"/>
      <c r="BA35" s="115"/>
    </row>
    <row r="36" spans="2:53" s="21" customFormat="1" ht="13.5" customHeight="1" x14ac:dyDescent="0.15">
      <c r="B36" s="97"/>
      <c r="C36" s="97"/>
      <c r="D36" s="97"/>
      <c r="E36" s="97"/>
      <c r="F36" s="97"/>
      <c r="G36" s="97"/>
      <c r="H36" s="97"/>
      <c r="I36" s="119"/>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1"/>
      <c r="AH36" s="116"/>
      <c r="AI36" s="117"/>
      <c r="AJ36" s="117"/>
      <c r="AK36" s="118"/>
      <c r="AL36" s="95"/>
      <c r="AM36" s="95"/>
      <c r="AN36" s="97"/>
      <c r="AO36" s="97"/>
      <c r="AP36" s="97"/>
      <c r="AQ36" s="97"/>
      <c r="AR36" s="116"/>
      <c r="AS36" s="117"/>
      <c r="AT36" s="117"/>
      <c r="AU36" s="117"/>
      <c r="AV36" s="117"/>
      <c r="AW36" s="117"/>
      <c r="AX36" s="117"/>
      <c r="AY36" s="117"/>
      <c r="AZ36" s="117"/>
      <c r="BA36" s="118"/>
    </row>
    <row r="37" spans="2:53" s="21" customFormat="1" ht="13.5" customHeight="1" x14ac:dyDescent="0.15">
      <c r="B37" s="97"/>
      <c r="C37" s="97"/>
      <c r="D37" s="97"/>
      <c r="E37" s="97"/>
      <c r="F37" s="97"/>
      <c r="G37" s="97"/>
      <c r="H37" s="97"/>
      <c r="I37" s="97" t="s">
        <v>19</v>
      </c>
      <c r="J37" s="97"/>
      <c r="K37" s="97"/>
      <c r="L37" s="97"/>
      <c r="M37" s="97" t="s">
        <v>20</v>
      </c>
      <c r="N37" s="97"/>
      <c r="O37" s="97"/>
      <c r="P37" s="97"/>
      <c r="Q37" s="167" t="s">
        <v>21</v>
      </c>
      <c r="R37" s="167"/>
      <c r="S37" s="167" t="s">
        <v>22</v>
      </c>
      <c r="T37" s="167"/>
      <c r="U37" s="167"/>
      <c r="V37" s="95" t="s">
        <v>23</v>
      </c>
      <c r="W37" s="95"/>
      <c r="X37" s="97" t="s">
        <v>24</v>
      </c>
      <c r="Y37" s="97"/>
      <c r="Z37" s="97"/>
      <c r="AA37" s="97"/>
      <c r="AB37" s="95" t="s">
        <v>16</v>
      </c>
      <c r="AC37" s="95"/>
      <c r="AD37" s="97" t="s">
        <v>25</v>
      </c>
      <c r="AE37" s="97"/>
      <c r="AF37" s="97"/>
      <c r="AG37" s="97"/>
      <c r="AH37" s="116"/>
      <c r="AI37" s="117"/>
      <c r="AJ37" s="117"/>
      <c r="AK37" s="118"/>
      <c r="AL37" s="95"/>
      <c r="AM37" s="95"/>
      <c r="AN37" s="97"/>
      <c r="AO37" s="97"/>
      <c r="AP37" s="97"/>
      <c r="AQ37" s="97"/>
      <c r="AR37" s="116"/>
      <c r="AS37" s="117"/>
      <c r="AT37" s="117"/>
      <c r="AU37" s="117"/>
      <c r="AV37" s="117"/>
      <c r="AW37" s="117"/>
      <c r="AX37" s="117"/>
      <c r="AY37" s="117"/>
      <c r="AZ37" s="117"/>
      <c r="BA37" s="118"/>
    </row>
    <row r="38" spans="2:53" s="21" customFormat="1" ht="13.5" customHeight="1" x14ac:dyDescent="0.15">
      <c r="B38" s="97"/>
      <c r="C38" s="97"/>
      <c r="D38" s="97"/>
      <c r="E38" s="97"/>
      <c r="F38" s="97"/>
      <c r="G38" s="97"/>
      <c r="H38" s="97"/>
      <c r="I38" s="97"/>
      <c r="J38" s="97"/>
      <c r="K38" s="97"/>
      <c r="L38" s="97"/>
      <c r="M38" s="97"/>
      <c r="N38" s="97"/>
      <c r="O38" s="97"/>
      <c r="P38" s="97"/>
      <c r="Q38" s="167"/>
      <c r="R38" s="167"/>
      <c r="S38" s="167"/>
      <c r="T38" s="167"/>
      <c r="U38" s="167"/>
      <c r="V38" s="95"/>
      <c r="W38" s="95"/>
      <c r="X38" s="97"/>
      <c r="Y38" s="97"/>
      <c r="Z38" s="97"/>
      <c r="AA38" s="97"/>
      <c r="AB38" s="95"/>
      <c r="AC38" s="95"/>
      <c r="AD38" s="97"/>
      <c r="AE38" s="97"/>
      <c r="AF38" s="97"/>
      <c r="AG38" s="97"/>
      <c r="AH38" s="116"/>
      <c r="AI38" s="117"/>
      <c r="AJ38" s="117"/>
      <c r="AK38" s="118"/>
      <c r="AL38" s="95"/>
      <c r="AM38" s="95"/>
      <c r="AN38" s="97"/>
      <c r="AO38" s="97"/>
      <c r="AP38" s="97"/>
      <c r="AQ38" s="97"/>
      <c r="AR38" s="116"/>
      <c r="AS38" s="117"/>
      <c r="AT38" s="117"/>
      <c r="AU38" s="117"/>
      <c r="AV38" s="117"/>
      <c r="AW38" s="117"/>
      <c r="AX38" s="117"/>
      <c r="AY38" s="117"/>
      <c r="AZ38" s="117"/>
      <c r="BA38" s="118"/>
    </row>
    <row r="39" spans="2:53" s="21" customFormat="1" ht="13.5" customHeight="1" x14ac:dyDescent="0.15">
      <c r="B39" s="97"/>
      <c r="C39" s="97"/>
      <c r="D39" s="97"/>
      <c r="E39" s="97"/>
      <c r="F39" s="97"/>
      <c r="G39" s="97"/>
      <c r="H39" s="97"/>
      <c r="I39" s="97"/>
      <c r="J39" s="97"/>
      <c r="K39" s="97"/>
      <c r="L39" s="97"/>
      <c r="M39" s="97"/>
      <c r="N39" s="97"/>
      <c r="O39" s="97"/>
      <c r="P39" s="97"/>
      <c r="Q39" s="167"/>
      <c r="R39" s="167"/>
      <c r="S39" s="167"/>
      <c r="T39" s="167"/>
      <c r="U39" s="167"/>
      <c r="V39" s="95"/>
      <c r="W39" s="95"/>
      <c r="X39" s="97"/>
      <c r="Y39" s="97"/>
      <c r="Z39" s="97"/>
      <c r="AA39" s="97"/>
      <c r="AB39" s="95"/>
      <c r="AC39" s="95"/>
      <c r="AD39" s="97"/>
      <c r="AE39" s="97"/>
      <c r="AF39" s="97"/>
      <c r="AG39" s="97"/>
      <c r="AH39" s="116"/>
      <c r="AI39" s="117"/>
      <c r="AJ39" s="117"/>
      <c r="AK39" s="118"/>
      <c r="AL39" s="95"/>
      <c r="AM39" s="95"/>
      <c r="AN39" s="97"/>
      <c r="AO39" s="97"/>
      <c r="AP39" s="97"/>
      <c r="AQ39" s="97"/>
      <c r="AR39" s="116"/>
      <c r="AS39" s="117"/>
      <c r="AT39" s="117"/>
      <c r="AU39" s="117"/>
      <c r="AV39" s="117"/>
      <c r="AW39" s="117"/>
      <c r="AX39" s="117"/>
      <c r="AY39" s="117"/>
      <c r="AZ39" s="117"/>
      <c r="BA39" s="118"/>
    </row>
    <row r="40" spans="2:53" s="21" customFormat="1" ht="13.5" customHeight="1" x14ac:dyDescent="0.15">
      <c r="B40" s="97"/>
      <c r="C40" s="97"/>
      <c r="D40" s="97"/>
      <c r="E40" s="97"/>
      <c r="F40" s="97"/>
      <c r="G40" s="97"/>
      <c r="H40" s="97"/>
      <c r="I40" s="97"/>
      <c r="J40" s="97"/>
      <c r="K40" s="97"/>
      <c r="L40" s="97"/>
      <c r="M40" s="97"/>
      <c r="N40" s="97"/>
      <c r="O40" s="97"/>
      <c r="P40" s="97"/>
      <c r="Q40" s="167"/>
      <c r="R40" s="167"/>
      <c r="S40" s="167"/>
      <c r="T40" s="167"/>
      <c r="U40" s="167"/>
      <c r="V40" s="95"/>
      <c r="W40" s="95"/>
      <c r="X40" s="97"/>
      <c r="Y40" s="97"/>
      <c r="Z40" s="97"/>
      <c r="AA40" s="97"/>
      <c r="AB40" s="95"/>
      <c r="AC40" s="95"/>
      <c r="AD40" s="97"/>
      <c r="AE40" s="97"/>
      <c r="AF40" s="97"/>
      <c r="AG40" s="97"/>
      <c r="AH40" s="119"/>
      <c r="AI40" s="120"/>
      <c r="AJ40" s="120"/>
      <c r="AK40" s="121"/>
      <c r="AL40" s="95"/>
      <c r="AM40" s="95"/>
      <c r="AN40" s="97"/>
      <c r="AO40" s="97"/>
      <c r="AP40" s="97"/>
      <c r="AQ40" s="97"/>
      <c r="AR40" s="119"/>
      <c r="AS40" s="120"/>
      <c r="AT40" s="120"/>
      <c r="AU40" s="120"/>
      <c r="AV40" s="120"/>
      <c r="AW40" s="120"/>
      <c r="AX40" s="120"/>
      <c r="AY40" s="120"/>
      <c r="AZ40" s="120"/>
      <c r="BA40" s="121"/>
    </row>
    <row r="41" spans="2:53" s="21" customFormat="1" ht="18" customHeight="1" x14ac:dyDescent="0.15">
      <c r="B41" s="85" t="s">
        <v>26</v>
      </c>
      <c r="C41" s="85"/>
      <c r="D41" s="85"/>
      <c r="E41" s="85"/>
      <c r="F41" s="85"/>
      <c r="G41" s="85"/>
      <c r="H41" s="85"/>
      <c r="I41" s="161">
        <f>SUM(I43:L48)</f>
        <v>160981000</v>
      </c>
      <c r="J41" s="162"/>
      <c r="K41" s="162"/>
      <c r="L41" s="163"/>
      <c r="M41" s="161">
        <f>SUM(M43:P48)</f>
        <v>2193000</v>
      </c>
      <c r="N41" s="162"/>
      <c r="O41" s="162"/>
      <c r="P41" s="163"/>
      <c r="Q41" s="85">
        <f>SUM(Q43:R48)</f>
        <v>0</v>
      </c>
      <c r="R41" s="85"/>
      <c r="S41" s="85">
        <f>SUM(S43:U48)</f>
        <v>0</v>
      </c>
      <c r="T41" s="85"/>
      <c r="U41" s="85"/>
      <c r="V41" s="161">
        <f>SUM(V43:W48)</f>
        <v>0</v>
      </c>
      <c r="W41" s="163"/>
      <c r="X41" s="161">
        <f>SUM(X43:AA48)</f>
        <v>163174000</v>
      </c>
      <c r="Y41" s="162"/>
      <c r="Z41" s="162"/>
      <c r="AA41" s="163"/>
      <c r="AB41" s="73">
        <f>SUM(AB43:AC48)</f>
        <v>0</v>
      </c>
      <c r="AC41" s="74"/>
      <c r="AD41" s="161">
        <f>SUM(AD43:AG48)</f>
        <v>163174000</v>
      </c>
      <c r="AE41" s="162"/>
      <c r="AF41" s="162"/>
      <c r="AG41" s="163"/>
      <c r="AH41" s="73">
        <f>SUM(AH43:AK48)</f>
        <v>159139102</v>
      </c>
      <c r="AI41" s="74"/>
      <c r="AJ41" s="74"/>
      <c r="AK41" s="74"/>
      <c r="AL41" s="62">
        <f>SUM(AL43:AM48)</f>
        <v>0</v>
      </c>
      <c r="AM41" s="62"/>
      <c r="AN41" s="62">
        <f>SUM(AN43:AQ48)</f>
        <v>4034898</v>
      </c>
      <c r="AO41" s="62"/>
      <c r="AP41" s="62"/>
      <c r="AQ41" s="62"/>
      <c r="AR41" s="122"/>
      <c r="AS41" s="123"/>
      <c r="AT41" s="123"/>
      <c r="AU41" s="123"/>
      <c r="AV41" s="123"/>
      <c r="AW41" s="123"/>
      <c r="AX41" s="123"/>
      <c r="AY41" s="123"/>
      <c r="AZ41" s="123"/>
      <c r="BA41" s="124"/>
    </row>
    <row r="42" spans="2:53" s="21" customFormat="1" ht="18" customHeight="1" x14ac:dyDescent="0.15">
      <c r="B42" s="85"/>
      <c r="C42" s="85"/>
      <c r="D42" s="85"/>
      <c r="E42" s="85"/>
      <c r="F42" s="85"/>
      <c r="G42" s="85"/>
      <c r="H42" s="85"/>
      <c r="I42" s="164"/>
      <c r="J42" s="165"/>
      <c r="K42" s="165"/>
      <c r="L42" s="166"/>
      <c r="M42" s="164"/>
      <c r="N42" s="165"/>
      <c r="O42" s="165"/>
      <c r="P42" s="166"/>
      <c r="Q42" s="85"/>
      <c r="R42" s="85"/>
      <c r="S42" s="85"/>
      <c r="T42" s="85"/>
      <c r="U42" s="85"/>
      <c r="V42" s="164"/>
      <c r="W42" s="166"/>
      <c r="X42" s="164"/>
      <c r="Y42" s="165"/>
      <c r="Z42" s="165"/>
      <c r="AA42" s="166"/>
      <c r="AB42" s="76"/>
      <c r="AC42" s="77"/>
      <c r="AD42" s="164"/>
      <c r="AE42" s="165"/>
      <c r="AF42" s="165"/>
      <c r="AG42" s="166"/>
      <c r="AH42" s="76"/>
      <c r="AI42" s="77"/>
      <c r="AJ42" s="77"/>
      <c r="AK42" s="77"/>
      <c r="AL42" s="62"/>
      <c r="AM42" s="62"/>
      <c r="AN42" s="62"/>
      <c r="AO42" s="62"/>
      <c r="AP42" s="62"/>
      <c r="AQ42" s="62"/>
      <c r="AR42" s="125"/>
      <c r="AS42" s="126"/>
      <c r="AT42" s="126"/>
      <c r="AU42" s="126"/>
      <c r="AV42" s="126"/>
      <c r="AW42" s="126"/>
      <c r="AX42" s="126"/>
      <c r="AY42" s="126"/>
      <c r="AZ42" s="126"/>
      <c r="BA42" s="127"/>
    </row>
    <row r="43" spans="2:53" s="21" customFormat="1" ht="18" customHeight="1" x14ac:dyDescent="0.15">
      <c r="B43" s="85" t="s">
        <v>27</v>
      </c>
      <c r="C43" s="85"/>
      <c r="D43" s="85"/>
      <c r="E43" s="85"/>
      <c r="F43" s="85"/>
      <c r="G43" s="85"/>
      <c r="H43" s="85"/>
      <c r="I43" s="85">
        <v>153086000</v>
      </c>
      <c r="J43" s="85"/>
      <c r="K43" s="85"/>
      <c r="L43" s="85"/>
      <c r="M43" s="85">
        <v>1082000</v>
      </c>
      <c r="N43" s="85"/>
      <c r="O43" s="85"/>
      <c r="P43" s="85"/>
      <c r="Q43" s="85">
        <v>0</v>
      </c>
      <c r="R43" s="85"/>
      <c r="S43" s="62">
        <v>0</v>
      </c>
      <c r="T43" s="62"/>
      <c r="U43" s="62"/>
      <c r="V43" s="85">
        <v>0</v>
      </c>
      <c r="W43" s="85"/>
      <c r="X43" s="85">
        <f>SUM(I43:T44)</f>
        <v>154168000</v>
      </c>
      <c r="Y43" s="85"/>
      <c r="Z43" s="85"/>
      <c r="AA43" s="85"/>
      <c r="AB43" s="73">
        <v>0</v>
      </c>
      <c r="AC43" s="75"/>
      <c r="AD43" s="85">
        <f>SUM(X43:AC44)</f>
        <v>154168000</v>
      </c>
      <c r="AE43" s="85"/>
      <c r="AF43" s="85"/>
      <c r="AG43" s="85"/>
      <c r="AH43" s="73">
        <v>150634126</v>
      </c>
      <c r="AI43" s="74"/>
      <c r="AJ43" s="74"/>
      <c r="AK43" s="75"/>
      <c r="AL43" s="62">
        <v>0</v>
      </c>
      <c r="AM43" s="62"/>
      <c r="AN43" s="62">
        <f>AD43-AH43-AL43</f>
        <v>3533874</v>
      </c>
      <c r="AO43" s="62"/>
      <c r="AP43" s="62"/>
      <c r="AQ43" s="62"/>
      <c r="AR43" s="99" t="s">
        <v>59</v>
      </c>
      <c r="AS43" s="100"/>
      <c r="AT43" s="100"/>
      <c r="AU43" s="100"/>
      <c r="AV43" s="100"/>
      <c r="AW43" s="100"/>
      <c r="AX43" s="100"/>
      <c r="AY43" s="100"/>
      <c r="AZ43" s="100"/>
      <c r="BA43" s="101"/>
    </row>
    <row r="44" spans="2:53" s="21" customFormat="1" ht="18" customHeight="1" x14ac:dyDescent="0.15">
      <c r="B44" s="85"/>
      <c r="C44" s="85"/>
      <c r="D44" s="85"/>
      <c r="E44" s="85"/>
      <c r="F44" s="85"/>
      <c r="G44" s="85"/>
      <c r="H44" s="85"/>
      <c r="I44" s="85"/>
      <c r="J44" s="85"/>
      <c r="K44" s="85"/>
      <c r="L44" s="85"/>
      <c r="M44" s="85"/>
      <c r="N44" s="85"/>
      <c r="O44" s="85"/>
      <c r="P44" s="85"/>
      <c r="Q44" s="85"/>
      <c r="R44" s="85"/>
      <c r="S44" s="62"/>
      <c r="T44" s="62"/>
      <c r="U44" s="62"/>
      <c r="V44" s="85"/>
      <c r="W44" s="85"/>
      <c r="X44" s="85"/>
      <c r="Y44" s="85"/>
      <c r="Z44" s="85"/>
      <c r="AA44" s="85"/>
      <c r="AB44" s="76"/>
      <c r="AC44" s="78"/>
      <c r="AD44" s="85"/>
      <c r="AE44" s="85"/>
      <c r="AF44" s="85"/>
      <c r="AG44" s="85"/>
      <c r="AH44" s="76"/>
      <c r="AI44" s="77"/>
      <c r="AJ44" s="77"/>
      <c r="AK44" s="78"/>
      <c r="AL44" s="62"/>
      <c r="AM44" s="62"/>
      <c r="AN44" s="62"/>
      <c r="AO44" s="62"/>
      <c r="AP44" s="62"/>
      <c r="AQ44" s="62"/>
      <c r="AR44" s="152" t="s">
        <v>82</v>
      </c>
      <c r="AS44" s="153"/>
      <c r="AT44" s="153"/>
      <c r="AU44" s="153"/>
      <c r="AV44" s="153"/>
      <c r="AW44" s="153"/>
      <c r="AX44" s="153"/>
      <c r="AY44" s="153"/>
      <c r="AZ44" s="153"/>
      <c r="BA44" s="154"/>
    </row>
    <row r="45" spans="2:53" s="21" customFormat="1" ht="18" customHeight="1" x14ac:dyDescent="0.15">
      <c r="B45" s="85" t="s">
        <v>28</v>
      </c>
      <c r="C45" s="85"/>
      <c r="D45" s="85"/>
      <c r="E45" s="85"/>
      <c r="F45" s="85"/>
      <c r="G45" s="85"/>
      <c r="H45" s="85"/>
      <c r="I45" s="85">
        <v>7395000</v>
      </c>
      <c r="J45" s="85"/>
      <c r="K45" s="85"/>
      <c r="L45" s="85"/>
      <c r="M45" s="85">
        <v>1111000</v>
      </c>
      <c r="N45" s="85"/>
      <c r="O45" s="85"/>
      <c r="P45" s="85"/>
      <c r="Q45" s="85">
        <v>0</v>
      </c>
      <c r="R45" s="85"/>
      <c r="S45" s="62">
        <v>0</v>
      </c>
      <c r="T45" s="62"/>
      <c r="U45" s="62"/>
      <c r="V45" s="85">
        <v>0</v>
      </c>
      <c r="W45" s="85"/>
      <c r="X45" s="85">
        <f>SUM(I45:T46)</f>
        <v>8506000</v>
      </c>
      <c r="Y45" s="85"/>
      <c r="Z45" s="85"/>
      <c r="AA45" s="85"/>
      <c r="AB45" s="73">
        <v>0</v>
      </c>
      <c r="AC45" s="75"/>
      <c r="AD45" s="85">
        <f>SUM(X45:AC46)</f>
        <v>8506000</v>
      </c>
      <c r="AE45" s="85"/>
      <c r="AF45" s="85"/>
      <c r="AG45" s="85"/>
      <c r="AH45" s="73">
        <v>8504976</v>
      </c>
      <c r="AI45" s="74"/>
      <c r="AJ45" s="74"/>
      <c r="AK45" s="75"/>
      <c r="AL45" s="73">
        <v>0</v>
      </c>
      <c r="AM45" s="75"/>
      <c r="AN45" s="48">
        <f>AD45-AH45-AL45</f>
        <v>1024</v>
      </c>
      <c r="AO45" s="49"/>
      <c r="AP45" s="49"/>
      <c r="AQ45" s="64"/>
      <c r="AR45" s="99" t="s">
        <v>60</v>
      </c>
      <c r="AS45" s="100"/>
      <c r="AT45" s="100"/>
      <c r="AU45" s="100"/>
      <c r="AV45" s="100"/>
      <c r="AW45" s="100"/>
      <c r="AX45" s="100"/>
      <c r="AY45" s="100"/>
      <c r="AZ45" s="100"/>
      <c r="BA45" s="101"/>
    </row>
    <row r="46" spans="2:53" s="21" customFormat="1" ht="18" customHeight="1" x14ac:dyDescent="0.15">
      <c r="B46" s="85"/>
      <c r="C46" s="85"/>
      <c r="D46" s="85"/>
      <c r="E46" s="85"/>
      <c r="F46" s="85"/>
      <c r="G46" s="85"/>
      <c r="H46" s="85"/>
      <c r="I46" s="85"/>
      <c r="J46" s="85"/>
      <c r="K46" s="85"/>
      <c r="L46" s="85"/>
      <c r="M46" s="85"/>
      <c r="N46" s="85"/>
      <c r="O46" s="85"/>
      <c r="P46" s="85"/>
      <c r="Q46" s="85"/>
      <c r="R46" s="85"/>
      <c r="S46" s="62"/>
      <c r="T46" s="62"/>
      <c r="U46" s="62"/>
      <c r="V46" s="85"/>
      <c r="W46" s="85"/>
      <c r="X46" s="85"/>
      <c r="Y46" s="85"/>
      <c r="Z46" s="85"/>
      <c r="AA46" s="85"/>
      <c r="AB46" s="76"/>
      <c r="AC46" s="78"/>
      <c r="AD46" s="85"/>
      <c r="AE46" s="85"/>
      <c r="AF46" s="85"/>
      <c r="AG46" s="85"/>
      <c r="AH46" s="76"/>
      <c r="AI46" s="77"/>
      <c r="AJ46" s="77"/>
      <c r="AK46" s="78"/>
      <c r="AL46" s="76"/>
      <c r="AM46" s="78"/>
      <c r="AN46" s="50"/>
      <c r="AO46" s="51"/>
      <c r="AP46" s="51"/>
      <c r="AQ46" s="65"/>
      <c r="AR46" s="152" t="s">
        <v>86</v>
      </c>
      <c r="AS46" s="153"/>
      <c r="AT46" s="153"/>
      <c r="AU46" s="153"/>
      <c r="AV46" s="153"/>
      <c r="AW46" s="153"/>
      <c r="AX46" s="153"/>
      <c r="AY46" s="153"/>
      <c r="AZ46" s="153"/>
      <c r="BA46" s="154"/>
    </row>
    <row r="47" spans="2:53" s="21" customFormat="1" ht="18" customHeight="1" x14ac:dyDescent="0.15">
      <c r="B47" s="85" t="s">
        <v>29</v>
      </c>
      <c r="C47" s="85"/>
      <c r="D47" s="85"/>
      <c r="E47" s="85"/>
      <c r="F47" s="85"/>
      <c r="G47" s="85"/>
      <c r="H47" s="85"/>
      <c r="I47" s="85">
        <v>500000</v>
      </c>
      <c r="J47" s="85"/>
      <c r="K47" s="85"/>
      <c r="L47" s="85"/>
      <c r="M47" s="207"/>
      <c r="N47" s="207"/>
      <c r="O47" s="207"/>
      <c r="P47" s="207"/>
      <c r="Q47" s="85">
        <v>0</v>
      </c>
      <c r="R47" s="85"/>
      <c r="S47" s="62">
        <v>0</v>
      </c>
      <c r="T47" s="62"/>
      <c r="U47" s="62"/>
      <c r="V47" s="85">
        <v>0</v>
      </c>
      <c r="W47" s="85"/>
      <c r="X47" s="85">
        <f>SUM(I47:T48)</f>
        <v>500000</v>
      </c>
      <c r="Y47" s="85"/>
      <c r="Z47" s="85"/>
      <c r="AA47" s="85"/>
      <c r="AB47" s="73">
        <v>0</v>
      </c>
      <c r="AC47" s="75"/>
      <c r="AD47" s="85">
        <f>SUM(X47:AC48)</f>
        <v>500000</v>
      </c>
      <c r="AE47" s="85"/>
      <c r="AF47" s="85"/>
      <c r="AG47" s="85"/>
      <c r="AH47" s="73">
        <v>0</v>
      </c>
      <c r="AI47" s="74"/>
      <c r="AJ47" s="74"/>
      <c r="AK47" s="75"/>
      <c r="AL47" s="73">
        <v>0</v>
      </c>
      <c r="AM47" s="75"/>
      <c r="AN47" s="48">
        <f>AD47-AH47-AL47</f>
        <v>500000</v>
      </c>
      <c r="AO47" s="49"/>
      <c r="AP47" s="49"/>
      <c r="AQ47" s="64"/>
      <c r="AR47" s="52"/>
      <c r="AS47" s="53"/>
      <c r="AT47" s="53"/>
      <c r="AU47" s="53"/>
      <c r="AV47" s="53"/>
      <c r="AW47" s="53"/>
      <c r="AX47" s="53"/>
      <c r="AY47" s="53"/>
      <c r="AZ47" s="53"/>
      <c r="BA47" s="54"/>
    </row>
    <row r="48" spans="2:53" s="21" customFormat="1" ht="18" customHeight="1" x14ac:dyDescent="0.15">
      <c r="B48" s="85"/>
      <c r="C48" s="85"/>
      <c r="D48" s="85"/>
      <c r="E48" s="85"/>
      <c r="F48" s="85"/>
      <c r="G48" s="85"/>
      <c r="H48" s="85"/>
      <c r="I48" s="85"/>
      <c r="J48" s="85"/>
      <c r="K48" s="85"/>
      <c r="L48" s="85"/>
      <c r="M48" s="207"/>
      <c r="N48" s="207"/>
      <c r="O48" s="207"/>
      <c r="P48" s="207"/>
      <c r="Q48" s="85"/>
      <c r="R48" s="85"/>
      <c r="S48" s="62"/>
      <c r="T48" s="62"/>
      <c r="U48" s="62"/>
      <c r="V48" s="85"/>
      <c r="W48" s="85"/>
      <c r="X48" s="85"/>
      <c r="Y48" s="85"/>
      <c r="Z48" s="85"/>
      <c r="AA48" s="85"/>
      <c r="AB48" s="76"/>
      <c r="AC48" s="78"/>
      <c r="AD48" s="85"/>
      <c r="AE48" s="85"/>
      <c r="AF48" s="85"/>
      <c r="AG48" s="85"/>
      <c r="AH48" s="76"/>
      <c r="AI48" s="77"/>
      <c r="AJ48" s="77"/>
      <c r="AK48" s="78"/>
      <c r="AL48" s="76"/>
      <c r="AM48" s="78"/>
      <c r="AN48" s="50"/>
      <c r="AO48" s="51"/>
      <c r="AP48" s="51"/>
      <c r="AQ48" s="65"/>
      <c r="AR48" s="55"/>
      <c r="AS48" s="56"/>
      <c r="AT48" s="56"/>
      <c r="AU48" s="56"/>
      <c r="AV48" s="56"/>
      <c r="AW48" s="56"/>
      <c r="AX48" s="56"/>
      <c r="AY48" s="56"/>
      <c r="AZ48" s="56"/>
      <c r="BA48" s="57"/>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row>
    <row r="52" spans="2:83" s="25" customFormat="1" ht="13.5" customHeight="1" x14ac:dyDescent="0.15">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row>
    <row r="53" spans="2:83" s="25" customFormat="1" ht="13.5" customHeight="1" x14ac:dyDescent="0.15">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row>
    <row r="54" spans="2:83" s="25" customFormat="1" ht="13.5" customHeight="1" x14ac:dyDescent="0.15">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row>
    <row r="55" spans="2:83" s="25" customFormat="1" ht="13.5" customHeight="1" x14ac:dyDescent="0.15">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row>
    <row r="56" spans="2:83" s="25" customFormat="1" ht="13.5" customHeight="1" x14ac:dyDescent="0.15">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row>
    <row r="57" spans="2:83" s="25" customFormat="1" ht="12" customHeight="1" x14ac:dyDescent="0.15">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row>
    <row r="58" spans="2:83" s="25" customFormat="1" ht="13.5" hidden="1" customHeight="1" x14ac:dyDescent="0.15">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row>
    <row r="59" spans="2:83" s="25" customFormat="1" ht="13.5" hidden="1" customHeight="1" x14ac:dyDescent="0.15">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row>
    <row r="60" spans="2:83" s="25" customFormat="1" ht="13.5" customHeight="1" x14ac:dyDescent="0.15">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row>
    <row r="61" spans="2:83" s="25" customFormat="1" ht="13.5" customHeight="1" x14ac:dyDescent="0.15">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row>
    <row r="62" spans="2:83" s="25" customFormat="1" ht="13.5" customHeight="1" x14ac:dyDescent="0.15">
      <c r="B62" s="150" t="s">
        <v>30</v>
      </c>
      <c r="C62" s="150"/>
      <c r="D62" s="150"/>
      <c r="E62" s="150"/>
      <c r="F62" s="150"/>
      <c r="G62" s="150"/>
      <c r="H62" s="150"/>
      <c r="I62" s="150"/>
      <c r="J62" s="150"/>
      <c r="K62" s="150"/>
      <c r="L62" s="150"/>
      <c r="M62" s="150"/>
      <c r="N62" s="150"/>
      <c r="O62" s="36"/>
      <c r="P62" s="36"/>
      <c r="Q62" s="36"/>
      <c r="R62" s="36"/>
      <c r="S62" s="36"/>
      <c r="T62" s="36"/>
      <c r="U62" s="36"/>
      <c r="V62" s="36"/>
      <c r="W62" s="36"/>
      <c r="X62" s="36"/>
      <c r="Y62" s="36"/>
      <c r="Z62" s="36"/>
      <c r="AA62" s="36"/>
      <c r="AB62" s="36"/>
      <c r="AC62" s="36"/>
      <c r="AD62" s="36"/>
      <c r="AE62" s="36"/>
      <c r="AF62" s="36"/>
      <c r="AG62" s="36"/>
      <c r="AH62" s="36"/>
      <c r="AI62" s="36"/>
      <c r="AJ62" s="36"/>
      <c r="AK62" s="20"/>
      <c r="AL62" s="20"/>
      <c r="AM62" s="20"/>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row>
    <row r="63" spans="2:83" s="25" customFormat="1" ht="13.5" customHeight="1" x14ac:dyDescent="0.15">
      <c r="B63" s="150"/>
      <c r="C63" s="150"/>
      <c r="D63" s="150"/>
      <c r="E63" s="150"/>
      <c r="F63" s="150"/>
      <c r="G63" s="150"/>
      <c r="H63" s="150"/>
      <c r="I63" s="150"/>
      <c r="J63" s="150"/>
      <c r="K63" s="150"/>
      <c r="L63" s="150"/>
      <c r="M63" s="150"/>
      <c r="N63" s="150"/>
      <c r="O63" s="20"/>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20"/>
      <c r="AP63" s="20"/>
      <c r="AQ63" s="20"/>
      <c r="AR63" s="26"/>
      <c r="AS63" s="26"/>
      <c r="AT63" s="26"/>
      <c r="AU63" s="26"/>
      <c r="AV63" s="26"/>
      <c r="AW63" s="26"/>
      <c r="AX63" s="26"/>
      <c r="AY63" s="26"/>
      <c r="AZ63" s="26"/>
      <c r="BA63" s="2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row>
    <row r="64" spans="2:83" s="25" customFormat="1" ht="13.5" customHeight="1" x14ac:dyDescent="0.15">
      <c r="B64" s="130" t="s">
        <v>1</v>
      </c>
      <c r="C64" s="130"/>
      <c r="D64" s="130"/>
      <c r="E64" s="130"/>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row>
    <row r="65" spans="2:82" s="25" customFormat="1" ht="13.5" customHeight="1" x14ac:dyDescent="0.15">
      <c r="B65" s="131"/>
      <c r="C65" s="131"/>
      <c r="D65" s="131"/>
      <c r="E65" s="131"/>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1" t="s">
        <v>47</v>
      </c>
      <c r="AV65" s="151"/>
      <c r="AW65" s="151"/>
      <c r="AX65" s="151"/>
      <c r="AY65" s="151"/>
      <c r="AZ65" s="151"/>
      <c r="BA65" s="151"/>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row>
    <row r="66" spans="2:82" s="21" customFormat="1" ht="13.5" customHeight="1" x14ac:dyDescent="0.15">
      <c r="B66" s="113" t="s">
        <v>2</v>
      </c>
      <c r="C66" s="114"/>
      <c r="D66" s="114"/>
      <c r="E66" s="114"/>
      <c r="F66" s="114"/>
      <c r="G66" s="114"/>
      <c r="H66" s="114"/>
      <c r="I66" s="113" t="s">
        <v>14</v>
      </c>
      <c r="J66" s="114"/>
      <c r="K66" s="114"/>
      <c r="L66" s="114"/>
      <c r="M66" s="114"/>
      <c r="N66" s="114"/>
      <c r="O66" s="114"/>
      <c r="P66" s="114"/>
      <c r="Q66" s="114"/>
      <c r="R66" s="114"/>
      <c r="S66" s="114"/>
      <c r="T66" s="114"/>
      <c r="U66" s="114"/>
      <c r="V66" s="114"/>
      <c r="W66" s="114"/>
      <c r="X66" s="114"/>
      <c r="Y66" s="114"/>
      <c r="Z66" s="114"/>
      <c r="AA66" s="114"/>
      <c r="AB66" s="114"/>
      <c r="AC66" s="114"/>
      <c r="AD66" s="114"/>
      <c r="AE66" s="97" t="s">
        <v>4</v>
      </c>
      <c r="AF66" s="97"/>
      <c r="AG66" s="97"/>
      <c r="AH66" s="97"/>
      <c r="AI66" s="122" t="s">
        <v>48</v>
      </c>
      <c r="AJ66" s="123"/>
      <c r="AK66" s="123"/>
      <c r="AL66" s="123"/>
      <c r="AM66" s="97" t="s">
        <v>6</v>
      </c>
      <c r="AN66" s="97"/>
      <c r="AO66" s="97"/>
      <c r="AP66" s="97"/>
      <c r="AQ66" s="97"/>
      <c r="AR66" s="97"/>
      <c r="AS66" s="97"/>
      <c r="AT66" s="97"/>
      <c r="AU66" s="97"/>
      <c r="AV66" s="97"/>
      <c r="AW66" s="97"/>
      <c r="AX66" s="97"/>
      <c r="AY66" s="97"/>
      <c r="AZ66" s="97"/>
      <c r="BA66" s="97"/>
    </row>
    <row r="67" spans="2:82" s="21" customFormat="1" ht="13.5" customHeight="1" x14ac:dyDescent="0.15">
      <c r="B67" s="116"/>
      <c r="C67" s="117"/>
      <c r="D67" s="117"/>
      <c r="E67" s="117"/>
      <c r="F67" s="117"/>
      <c r="G67" s="117"/>
      <c r="H67" s="117"/>
      <c r="I67" s="119"/>
      <c r="J67" s="120"/>
      <c r="K67" s="120"/>
      <c r="L67" s="120"/>
      <c r="M67" s="120"/>
      <c r="N67" s="120"/>
      <c r="O67" s="120"/>
      <c r="P67" s="120"/>
      <c r="Q67" s="120"/>
      <c r="R67" s="120"/>
      <c r="S67" s="120"/>
      <c r="T67" s="120"/>
      <c r="U67" s="120"/>
      <c r="V67" s="120"/>
      <c r="W67" s="120"/>
      <c r="X67" s="120"/>
      <c r="Y67" s="120"/>
      <c r="Z67" s="120"/>
      <c r="AA67" s="120"/>
      <c r="AB67" s="120"/>
      <c r="AC67" s="120"/>
      <c r="AD67" s="120"/>
      <c r="AE67" s="97"/>
      <c r="AF67" s="97"/>
      <c r="AG67" s="97"/>
      <c r="AH67" s="97"/>
      <c r="AI67" s="128"/>
      <c r="AJ67" s="129"/>
      <c r="AK67" s="129"/>
      <c r="AL67" s="129"/>
      <c r="AM67" s="97"/>
      <c r="AN67" s="97"/>
      <c r="AO67" s="97"/>
      <c r="AP67" s="97"/>
      <c r="AQ67" s="97"/>
      <c r="AR67" s="97"/>
      <c r="AS67" s="97"/>
      <c r="AT67" s="97"/>
      <c r="AU67" s="97"/>
      <c r="AV67" s="97"/>
      <c r="AW67" s="97"/>
      <c r="AX67" s="97"/>
      <c r="AY67" s="97"/>
      <c r="AZ67" s="97"/>
      <c r="BA67" s="97"/>
    </row>
    <row r="68" spans="2:82" s="21" customFormat="1" ht="13.5" customHeight="1" x14ac:dyDescent="0.15">
      <c r="B68" s="116"/>
      <c r="C68" s="117"/>
      <c r="D68" s="117"/>
      <c r="E68" s="117"/>
      <c r="F68" s="117"/>
      <c r="G68" s="117"/>
      <c r="H68" s="117"/>
      <c r="I68" s="113" t="s">
        <v>7</v>
      </c>
      <c r="J68" s="114"/>
      <c r="K68" s="114"/>
      <c r="L68" s="115"/>
      <c r="M68" s="113" t="s">
        <v>8</v>
      </c>
      <c r="N68" s="114"/>
      <c r="O68" s="114"/>
      <c r="P68" s="115"/>
      <c r="Q68" s="113" t="s">
        <v>31</v>
      </c>
      <c r="R68" s="114"/>
      <c r="S68" s="114"/>
      <c r="T68" s="115"/>
      <c r="U68" s="135" t="s">
        <v>32</v>
      </c>
      <c r="V68" s="136"/>
      <c r="W68" s="137"/>
      <c r="X68" s="135" t="s">
        <v>33</v>
      </c>
      <c r="Y68" s="136"/>
      <c r="Z68" s="137"/>
      <c r="AA68" s="144" t="s">
        <v>9</v>
      </c>
      <c r="AB68" s="145"/>
      <c r="AC68" s="145"/>
      <c r="AD68" s="145"/>
      <c r="AE68" s="97"/>
      <c r="AF68" s="97"/>
      <c r="AG68" s="97"/>
      <c r="AH68" s="97"/>
      <c r="AI68" s="128"/>
      <c r="AJ68" s="129"/>
      <c r="AK68" s="129"/>
      <c r="AL68" s="129"/>
      <c r="AM68" s="97"/>
      <c r="AN68" s="97"/>
      <c r="AO68" s="97"/>
      <c r="AP68" s="97"/>
      <c r="AQ68" s="97"/>
      <c r="AR68" s="97"/>
      <c r="AS68" s="97"/>
      <c r="AT68" s="97"/>
      <c r="AU68" s="97"/>
      <c r="AV68" s="97"/>
      <c r="AW68" s="97"/>
      <c r="AX68" s="97"/>
      <c r="AY68" s="97"/>
      <c r="AZ68" s="97"/>
      <c r="BA68" s="97"/>
    </row>
    <row r="69" spans="2:82" s="21" customFormat="1" ht="13.5" customHeight="1" x14ac:dyDescent="0.15">
      <c r="B69" s="116"/>
      <c r="C69" s="117"/>
      <c r="D69" s="117"/>
      <c r="E69" s="117"/>
      <c r="F69" s="117"/>
      <c r="G69" s="117"/>
      <c r="H69" s="117"/>
      <c r="I69" s="116"/>
      <c r="J69" s="117"/>
      <c r="K69" s="117"/>
      <c r="L69" s="118"/>
      <c r="M69" s="116"/>
      <c r="N69" s="117"/>
      <c r="O69" s="117"/>
      <c r="P69" s="118"/>
      <c r="Q69" s="116"/>
      <c r="R69" s="117"/>
      <c r="S69" s="117"/>
      <c r="T69" s="118"/>
      <c r="U69" s="138"/>
      <c r="V69" s="139"/>
      <c r="W69" s="140"/>
      <c r="X69" s="138"/>
      <c r="Y69" s="139"/>
      <c r="Z69" s="140"/>
      <c r="AA69" s="146"/>
      <c r="AB69" s="147"/>
      <c r="AC69" s="147"/>
      <c r="AD69" s="147"/>
      <c r="AE69" s="97"/>
      <c r="AF69" s="97"/>
      <c r="AG69" s="97"/>
      <c r="AH69" s="97"/>
      <c r="AI69" s="128"/>
      <c r="AJ69" s="129"/>
      <c r="AK69" s="129"/>
      <c r="AL69" s="129"/>
      <c r="AM69" s="97"/>
      <c r="AN69" s="97"/>
      <c r="AO69" s="97"/>
      <c r="AP69" s="97"/>
      <c r="AQ69" s="97"/>
      <c r="AR69" s="97"/>
      <c r="AS69" s="97"/>
      <c r="AT69" s="97"/>
      <c r="AU69" s="97"/>
      <c r="AV69" s="97"/>
      <c r="AW69" s="97"/>
      <c r="AX69" s="97"/>
      <c r="AY69" s="97"/>
      <c r="AZ69" s="97"/>
      <c r="BA69" s="97"/>
    </row>
    <row r="70" spans="2:82" s="21" customFormat="1" ht="13.5" customHeight="1" x14ac:dyDescent="0.15">
      <c r="B70" s="116"/>
      <c r="C70" s="117"/>
      <c r="D70" s="117"/>
      <c r="E70" s="117"/>
      <c r="F70" s="117"/>
      <c r="G70" s="117"/>
      <c r="H70" s="117"/>
      <c r="I70" s="116"/>
      <c r="J70" s="117"/>
      <c r="K70" s="117"/>
      <c r="L70" s="118"/>
      <c r="M70" s="116"/>
      <c r="N70" s="117"/>
      <c r="O70" s="117"/>
      <c r="P70" s="118"/>
      <c r="Q70" s="116"/>
      <c r="R70" s="117"/>
      <c r="S70" s="117"/>
      <c r="T70" s="118"/>
      <c r="U70" s="138"/>
      <c r="V70" s="139"/>
      <c r="W70" s="140"/>
      <c r="X70" s="138"/>
      <c r="Y70" s="139"/>
      <c r="Z70" s="140"/>
      <c r="AA70" s="146"/>
      <c r="AB70" s="147"/>
      <c r="AC70" s="147"/>
      <c r="AD70" s="147"/>
      <c r="AE70" s="97"/>
      <c r="AF70" s="97"/>
      <c r="AG70" s="97"/>
      <c r="AH70" s="97"/>
      <c r="AI70" s="128"/>
      <c r="AJ70" s="129"/>
      <c r="AK70" s="129"/>
      <c r="AL70" s="129"/>
      <c r="AM70" s="97"/>
      <c r="AN70" s="97"/>
      <c r="AO70" s="97"/>
      <c r="AP70" s="97"/>
      <c r="AQ70" s="97"/>
      <c r="AR70" s="97"/>
      <c r="AS70" s="97"/>
      <c r="AT70" s="97"/>
      <c r="AU70" s="97"/>
      <c r="AV70" s="97"/>
      <c r="AW70" s="97"/>
      <c r="AX70" s="97"/>
      <c r="AY70" s="97"/>
      <c r="AZ70" s="97"/>
      <c r="BA70" s="97"/>
    </row>
    <row r="71" spans="2:82" s="21" customFormat="1" ht="13.5" customHeight="1" x14ac:dyDescent="0.15">
      <c r="B71" s="119"/>
      <c r="C71" s="120"/>
      <c r="D71" s="120"/>
      <c r="E71" s="120"/>
      <c r="F71" s="120"/>
      <c r="G71" s="120"/>
      <c r="H71" s="120"/>
      <c r="I71" s="119"/>
      <c r="J71" s="120"/>
      <c r="K71" s="120"/>
      <c r="L71" s="121"/>
      <c r="M71" s="119"/>
      <c r="N71" s="120"/>
      <c r="O71" s="120"/>
      <c r="P71" s="121"/>
      <c r="Q71" s="119"/>
      <c r="R71" s="120"/>
      <c r="S71" s="120"/>
      <c r="T71" s="121"/>
      <c r="U71" s="141"/>
      <c r="V71" s="142"/>
      <c r="W71" s="143"/>
      <c r="X71" s="141"/>
      <c r="Y71" s="142"/>
      <c r="Z71" s="143"/>
      <c r="AA71" s="148"/>
      <c r="AB71" s="149"/>
      <c r="AC71" s="149"/>
      <c r="AD71" s="149"/>
      <c r="AE71" s="97"/>
      <c r="AF71" s="97"/>
      <c r="AG71" s="97"/>
      <c r="AH71" s="97"/>
      <c r="AI71" s="125"/>
      <c r="AJ71" s="126"/>
      <c r="AK71" s="126"/>
      <c r="AL71" s="126"/>
      <c r="AM71" s="97"/>
      <c r="AN71" s="97"/>
      <c r="AO71" s="97"/>
      <c r="AP71" s="97"/>
      <c r="AQ71" s="97"/>
      <c r="AR71" s="97"/>
      <c r="AS71" s="97"/>
      <c r="AT71" s="97"/>
      <c r="AU71" s="97"/>
      <c r="AV71" s="97"/>
      <c r="AW71" s="97"/>
      <c r="AX71" s="97"/>
      <c r="AY71" s="97"/>
      <c r="AZ71" s="97"/>
      <c r="BA71" s="97"/>
    </row>
    <row r="72" spans="2:82" s="21" customFormat="1" ht="18" customHeight="1" x14ac:dyDescent="0.15">
      <c r="B72" s="73" t="s">
        <v>34</v>
      </c>
      <c r="C72" s="74"/>
      <c r="D72" s="74"/>
      <c r="E72" s="74"/>
      <c r="F72" s="74"/>
      <c r="G72" s="74"/>
      <c r="H72" s="74"/>
      <c r="I72" s="73">
        <f>SUM(I74:L79)</f>
        <v>57001000</v>
      </c>
      <c r="J72" s="74"/>
      <c r="K72" s="74"/>
      <c r="L72" s="75"/>
      <c r="M72" s="48">
        <f>SUM(M74:P79)</f>
        <v>-17800000</v>
      </c>
      <c r="N72" s="49"/>
      <c r="O72" s="49"/>
      <c r="P72" s="64"/>
      <c r="Q72" s="48">
        <f>SUM(Q74:T79)</f>
        <v>39201000</v>
      </c>
      <c r="R72" s="49"/>
      <c r="S72" s="49"/>
      <c r="T72" s="64"/>
      <c r="U72" s="73">
        <f>SUM(U74:W79)</f>
        <v>0</v>
      </c>
      <c r="V72" s="74"/>
      <c r="W72" s="75"/>
      <c r="X72" s="73">
        <f>SUM(X74:Z79)</f>
        <v>0</v>
      </c>
      <c r="Y72" s="74"/>
      <c r="Z72" s="75"/>
      <c r="AA72" s="73">
        <f>SUM(AA74:AD79)</f>
        <v>39201000</v>
      </c>
      <c r="AB72" s="74"/>
      <c r="AC72" s="74"/>
      <c r="AD72" s="74"/>
      <c r="AE72" s="85">
        <f>SUM(AE74:AH79)</f>
        <v>38560000</v>
      </c>
      <c r="AF72" s="85"/>
      <c r="AG72" s="85"/>
      <c r="AH72" s="85"/>
      <c r="AI72" s="85">
        <f>SUM(AI74:AL79)</f>
        <v>-641000</v>
      </c>
      <c r="AJ72" s="85"/>
      <c r="AK72" s="85"/>
      <c r="AL72" s="85"/>
      <c r="AM72" s="133"/>
      <c r="AN72" s="133"/>
      <c r="AO72" s="133"/>
      <c r="AP72" s="133"/>
      <c r="AQ72" s="133"/>
      <c r="AR72" s="133"/>
      <c r="AS72" s="133"/>
      <c r="AT72" s="133"/>
      <c r="AU72" s="133"/>
      <c r="AV72" s="133"/>
      <c r="AW72" s="133"/>
      <c r="AX72" s="133"/>
      <c r="AY72" s="133"/>
      <c r="AZ72" s="133"/>
      <c r="BA72" s="133"/>
    </row>
    <row r="73" spans="2:82" s="21" customFormat="1" ht="18" customHeight="1" x14ac:dyDescent="0.15">
      <c r="B73" s="76"/>
      <c r="C73" s="77"/>
      <c r="D73" s="77"/>
      <c r="E73" s="77"/>
      <c r="F73" s="77"/>
      <c r="G73" s="77"/>
      <c r="H73" s="77"/>
      <c r="I73" s="76"/>
      <c r="J73" s="77"/>
      <c r="K73" s="77"/>
      <c r="L73" s="78"/>
      <c r="M73" s="50"/>
      <c r="N73" s="51"/>
      <c r="O73" s="51"/>
      <c r="P73" s="65"/>
      <c r="Q73" s="50"/>
      <c r="R73" s="51"/>
      <c r="S73" s="51"/>
      <c r="T73" s="65"/>
      <c r="U73" s="76"/>
      <c r="V73" s="77"/>
      <c r="W73" s="78"/>
      <c r="X73" s="76"/>
      <c r="Y73" s="77"/>
      <c r="Z73" s="78"/>
      <c r="AA73" s="76"/>
      <c r="AB73" s="77"/>
      <c r="AC73" s="77"/>
      <c r="AD73" s="77"/>
      <c r="AE73" s="85"/>
      <c r="AF73" s="85"/>
      <c r="AG73" s="85"/>
      <c r="AH73" s="85"/>
      <c r="AI73" s="85"/>
      <c r="AJ73" s="85"/>
      <c r="AK73" s="85"/>
      <c r="AL73" s="85"/>
      <c r="AM73" s="133"/>
      <c r="AN73" s="133"/>
      <c r="AO73" s="133"/>
      <c r="AP73" s="133"/>
      <c r="AQ73" s="133"/>
      <c r="AR73" s="133"/>
      <c r="AS73" s="133"/>
      <c r="AT73" s="133"/>
      <c r="AU73" s="133"/>
      <c r="AV73" s="133"/>
      <c r="AW73" s="133"/>
      <c r="AX73" s="133"/>
      <c r="AY73" s="133"/>
      <c r="AZ73" s="133"/>
      <c r="BA73" s="133"/>
    </row>
    <row r="74" spans="2:82" s="21" customFormat="1" ht="18" customHeight="1" x14ac:dyDescent="0.15">
      <c r="B74" s="73" t="s">
        <v>35</v>
      </c>
      <c r="C74" s="74"/>
      <c r="D74" s="74"/>
      <c r="E74" s="74"/>
      <c r="F74" s="74"/>
      <c r="G74" s="74"/>
      <c r="H74" s="74"/>
      <c r="I74" s="73">
        <v>1401000</v>
      </c>
      <c r="J74" s="74"/>
      <c r="K74" s="74"/>
      <c r="L74" s="75"/>
      <c r="M74" s="73">
        <v>-300000</v>
      </c>
      <c r="N74" s="74"/>
      <c r="O74" s="74"/>
      <c r="P74" s="75"/>
      <c r="Q74" s="48">
        <f>SUM(I74:P75)</f>
        <v>1101000</v>
      </c>
      <c r="R74" s="49"/>
      <c r="S74" s="49"/>
      <c r="T74" s="64"/>
      <c r="U74" s="73">
        <f>SUM(X80:Z81)</f>
        <v>0</v>
      </c>
      <c r="V74" s="74"/>
      <c r="W74" s="75"/>
      <c r="X74" s="73">
        <v>0</v>
      </c>
      <c r="Y74" s="74"/>
      <c r="Z74" s="75"/>
      <c r="AA74" s="73">
        <f>SUM(Q74:Z75)</f>
        <v>1101000</v>
      </c>
      <c r="AB74" s="74"/>
      <c r="AC74" s="74"/>
      <c r="AD74" s="74"/>
      <c r="AE74" s="85">
        <v>660000</v>
      </c>
      <c r="AF74" s="85"/>
      <c r="AG74" s="85"/>
      <c r="AH74" s="85"/>
      <c r="AI74" s="73">
        <f>AE74-AA74</f>
        <v>-441000</v>
      </c>
      <c r="AJ74" s="74"/>
      <c r="AK74" s="74"/>
      <c r="AL74" s="74"/>
      <c r="AM74" s="134" t="s">
        <v>83</v>
      </c>
      <c r="AN74" s="134"/>
      <c r="AO74" s="134"/>
      <c r="AP74" s="134"/>
      <c r="AQ74" s="134"/>
      <c r="AR74" s="134"/>
      <c r="AS74" s="134"/>
      <c r="AT74" s="134"/>
      <c r="AU74" s="134"/>
      <c r="AV74" s="134"/>
      <c r="AW74" s="134"/>
      <c r="AX74" s="134"/>
      <c r="AY74" s="134"/>
      <c r="AZ74" s="134"/>
      <c r="BA74" s="134"/>
    </row>
    <row r="75" spans="2:82" s="21" customFormat="1" ht="18" customHeight="1" x14ac:dyDescent="0.15">
      <c r="B75" s="76"/>
      <c r="C75" s="77"/>
      <c r="D75" s="77"/>
      <c r="E75" s="77"/>
      <c r="F75" s="77"/>
      <c r="G75" s="77"/>
      <c r="H75" s="77"/>
      <c r="I75" s="76"/>
      <c r="J75" s="77"/>
      <c r="K75" s="77"/>
      <c r="L75" s="78"/>
      <c r="M75" s="76"/>
      <c r="N75" s="77"/>
      <c r="O75" s="77"/>
      <c r="P75" s="78"/>
      <c r="Q75" s="50"/>
      <c r="R75" s="51"/>
      <c r="S75" s="51"/>
      <c r="T75" s="65"/>
      <c r="U75" s="76"/>
      <c r="V75" s="77"/>
      <c r="W75" s="78"/>
      <c r="X75" s="76"/>
      <c r="Y75" s="77"/>
      <c r="Z75" s="78"/>
      <c r="AA75" s="76"/>
      <c r="AB75" s="77"/>
      <c r="AC75" s="77"/>
      <c r="AD75" s="77"/>
      <c r="AE75" s="85"/>
      <c r="AF75" s="85"/>
      <c r="AG75" s="85"/>
      <c r="AH75" s="85"/>
      <c r="AI75" s="76"/>
      <c r="AJ75" s="77"/>
      <c r="AK75" s="77"/>
      <c r="AL75" s="77"/>
      <c r="AM75" s="134"/>
      <c r="AN75" s="134"/>
      <c r="AO75" s="134"/>
      <c r="AP75" s="134"/>
      <c r="AQ75" s="134"/>
      <c r="AR75" s="134"/>
      <c r="AS75" s="134"/>
      <c r="AT75" s="134"/>
      <c r="AU75" s="134"/>
      <c r="AV75" s="134"/>
      <c r="AW75" s="134"/>
      <c r="AX75" s="134"/>
      <c r="AY75" s="134"/>
      <c r="AZ75" s="134"/>
      <c r="BA75" s="134"/>
    </row>
    <row r="76" spans="2:82" s="21" customFormat="1" ht="18" customHeight="1" x14ac:dyDescent="0.15">
      <c r="B76" s="73" t="s">
        <v>51</v>
      </c>
      <c r="C76" s="74"/>
      <c r="D76" s="74"/>
      <c r="E76" s="74"/>
      <c r="F76" s="74"/>
      <c r="G76" s="74"/>
      <c r="H76" s="75"/>
      <c r="I76" s="73">
        <v>18000000</v>
      </c>
      <c r="J76" s="74"/>
      <c r="K76" s="74"/>
      <c r="L76" s="75"/>
      <c r="M76" s="48">
        <v>-4600000</v>
      </c>
      <c r="N76" s="49"/>
      <c r="O76" s="49"/>
      <c r="P76" s="64"/>
      <c r="Q76" s="48">
        <f>SUM(I76:P77)</f>
        <v>13400000</v>
      </c>
      <c r="R76" s="49"/>
      <c r="S76" s="49"/>
      <c r="T76" s="64"/>
      <c r="U76" s="73">
        <v>0</v>
      </c>
      <c r="V76" s="74"/>
      <c r="W76" s="75"/>
      <c r="X76" s="73">
        <v>0</v>
      </c>
      <c r="Y76" s="74"/>
      <c r="Z76" s="75"/>
      <c r="AA76" s="73">
        <f>SUM(Q76:Z77)</f>
        <v>13400000</v>
      </c>
      <c r="AB76" s="74"/>
      <c r="AC76" s="74"/>
      <c r="AD76" s="74"/>
      <c r="AE76" s="85">
        <v>13300000</v>
      </c>
      <c r="AF76" s="85"/>
      <c r="AG76" s="85"/>
      <c r="AH76" s="85"/>
      <c r="AI76" s="73">
        <f>AE76-AA76</f>
        <v>-100000</v>
      </c>
      <c r="AJ76" s="74"/>
      <c r="AK76" s="74"/>
      <c r="AL76" s="74"/>
      <c r="AM76" s="97"/>
      <c r="AN76" s="97"/>
      <c r="AO76" s="97"/>
      <c r="AP76" s="97"/>
      <c r="AQ76" s="97"/>
      <c r="AR76" s="97"/>
      <c r="AS76" s="97"/>
      <c r="AT76" s="97"/>
      <c r="AU76" s="97"/>
      <c r="AV76" s="97"/>
      <c r="AW76" s="97"/>
      <c r="AX76" s="97"/>
      <c r="AY76" s="97"/>
      <c r="AZ76" s="97"/>
      <c r="BA76" s="97"/>
    </row>
    <row r="77" spans="2:82" s="21" customFormat="1" ht="18" customHeight="1" x14ac:dyDescent="0.15">
      <c r="B77" s="76"/>
      <c r="C77" s="77"/>
      <c r="D77" s="77"/>
      <c r="E77" s="77"/>
      <c r="F77" s="77"/>
      <c r="G77" s="77"/>
      <c r="H77" s="78"/>
      <c r="I77" s="76"/>
      <c r="J77" s="77"/>
      <c r="K77" s="77"/>
      <c r="L77" s="78"/>
      <c r="M77" s="50"/>
      <c r="N77" s="51"/>
      <c r="O77" s="51"/>
      <c r="P77" s="65"/>
      <c r="Q77" s="50"/>
      <c r="R77" s="51"/>
      <c r="S77" s="51"/>
      <c r="T77" s="65"/>
      <c r="U77" s="76"/>
      <c r="V77" s="77"/>
      <c r="W77" s="78"/>
      <c r="X77" s="76"/>
      <c r="Y77" s="77"/>
      <c r="Z77" s="78"/>
      <c r="AA77" s="76"/>
      <c r="AB77" s="77"/>
      <c r="AC77" s="77"/>
      <c r="AD77" s="77"/>
      <c r="AE77" s="85"/>
      <c r="AF77" s="85"/>
      <c r="AG77" s="85"/>
      <c r="AH77" s="85"/>
      <c r="AI77" s="76"/>
      <c r="AJ77" s="77"/>
      <c r="AK77" s="77"/>
      <c r="AL77" s="77"/>
      <c r="AM77" s="97"/>
      <c r="AN77" s="97"/>
      <c r="AO77" s="97"/>
      <c r="AP77" s="97"/>
      <c r="AQ77" s="97"/>
      <c r="AR77" s="97"/>
      <c r="AS77" s="97"/>
      <c r="AT77" s="97"/>
      <c r="AU77" s="97"/>
      <c r="AV77" s="97"/>
      <c r="AW77" s="97"/>
      <c r="AX77" s="97"/>
      <c r="AY77" s="97"/>
      <c r="AZ77" s="97"/>
      <c r="BA77" s="97"/>
    </row>
    <row r="78" spans="2:82" s="21" customFormat="1" ht="18" customHeight="1" x14ac:dyDescent="0.15">
      <c r="B78" s="73" t="s">
        <v>52</v>
      </c>
      <c r="C78" s="74"/>
      <c r="D78" s="74"/>
      <c r="E78" s="74"/>
      <c r="F78" s="74"/>
      <c r="G78" s="74"/>
      <c r="H78" s="74"/>
      <c r="I78" s="73">
        <v>37600000</v>
      </c>
      <c r="J78" s="74"/>
      <c r="K78" s="74"/>
      <c r="L78" s="75"/>
      <c r="M78" s="73">
        <v>-12900000</v>
      </c>
      <c r="N78" s="74"/>
      <c r="O78" s="74"/>
      <c r="P78" s="75"/>
      <c r="Q78" s="48">
        <f>SUM(I78:P79)</f>
        <v>24700000</v>
      </c>
      <c r="R78" s="49"/>
      <c r="S78" s="49"/>
      <c r="T78" s="64"/>
      <c r="U78" s="73">
        <v>0</v>
      </c>
      <c r="V78" s="74"/>
      <c r="W78" s="75"/>
      <c r="X78" s="73">
        <v>0</v>
      </c>
      <c r="Y78" s="74"/>
      <c r="Z78" s="75"/>
      <c r="AA78" s="73">
        <f>SUM(Q78:Z79)</f>
        <v>24700000</v>
      </c>
      <c r="AB78" s="74"/>
      <c r="AC78" s="74"/>
      <c r="AD78" s="74"/>
      <c r="AE78" s="85">
        <v>24600000</v>
      </c>
      <c r="AF78" s="85"/>
      <c r="AG78" s="85"/>
      <c r="AH78" s="85"/>
      <c r="AI78" s="73">
        <f>AE78-AA78</f>
        <v>-100000</v>
      </c>
      <c r="AJ78" s="74"/>
      <c r="AK78" s="74"/>
      <c r="AL78" s="74"/>
      <c r="AM78" s="97"/>
      <c r="AN78" s="97"/>
      <c r="AO78" s="97"/>
      <c r="AP78" s="97"/>
      <c r="AQ78" s="97"/>
      <c r="AR78" s="97"/>
      <c r="AS78" s="97"/>
      <c r="AT78" s="97"/>
      <c r="AU78" s="97"/>
      <c r="AV78" s="97"/>
      <c r="AW78" s="97"/>
      <c r="AX78" s="97"/>
      <c r="AY78" s="97"/>
      <c r="AZ78" s="97"/>
      <c r="BA78" s="97"/>
    </row>
    <row r="79" spans="2:82" s="21" customFormat="1" ht="18" customHeight="1" x14ac:dyDescent="0.15">
      <c r="B79" s="76"/>
      <c r="C79" s="77"/>
      <c r="D79" s="77"/>
      <c r="E79" s="77"/>
      <c r="F79" s="77"/>
      <c r="G79" s="77"/>
      <c r="H79" s="77"/>
      <c r="I79" s="76"/>
      <c r="J79" s="77"/>
      <c r="K79" s="77"/>
      <c r="L79" s="78"/>
      <c r="M79" s="76"/>
      <c r="N79" s="77"/>
      <c r="O79" s="77"/>
      <c r="P79" s="78"/>
      <c r="Q79" s="50"/>
      <c r="R79" s="51"/>
      <c r="S79" s="51"/>
      <c r="T79" s="65"/>
      <c r="U79" s="76"/>
      <c r="V79" s="77"/>
      <c r="W79" s="78"/>
      <c r="X79" s="76"/>
      <c r="Y79" s="77"/>
      <c r="Z79" s="78"/>
      <c r="AA79" s="76"/>
      <c r="AB79" s="77"/>
      <c r="AC79" s="77"/>
      <c r="AD79" s="77"/>
      <c r="AE79" s="85"/>
      <c r="AF79" s="85"/>
      <c r="AG79" s="85"/>
      <c r="AH79" s="85"/>
      <c r="AI79" s="76"/>
      <c r="AJ79" s="77"/>
      <c r="AK79" s="77"/>
      <c r="AL79" s="77"/>
      <c r="AM79" s="97"/>
      <c r="AN79" s="97"/>
      <c r="AO79" s="97"/>
      <c r="AP79" s="97"/>
      <c r="AQ79" s="97"/>
      <c r="AR79" s="97"/>
      <c r="AS79" s="97"/>
      <c r="AT79" s="97"/>
      <c r="AU79" s="97"/>
      <c r="AV79" s="97"/>
      <c r="AW79" s="97"/>
      <c r="AX79" s="97"/>
      <c r="AY79" s="97"/>
      <c r="AZ79" s="97"/>
      <c r="BA79" s="97"/>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0" t="s">
        <v>13</v>
      </c>
      <c r="C81" s="130"/>
      <c r="D81" s="130"/>
      <c r="E81" s="130"/>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1"/>
      <c r="C82" s="131"/>
      <c r="D82" s="131"/>
      <c r="E82" s="131"/>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37"/>
      <c r="AU82" s="132" t="s">
        <v>47</v>
      </c>
      <c r="AV82" s="132"/>
      <c r="AW82" s="132"/>
      <c r="AX82" s="132"/>
      <c r="AY82" s="132"/>
      <c r="AZ82" s="132"/>
      <c r="BA82" s="132"/>
      <c r="CM82" s="21"/>
    </row>
    <row r="83" spans="2:91" s="21" customFormat="1" ht="13.5" customHeight="1" x14ac:dyDescent="0.15">
      <c r="B83" s="113" t="s">
        <v>2</v>
      </c>
      <c r="C83" s="114"/>
      <c r="D83" s="114"/>
      <c r="E83" s="114"/>
      <c r="F83" s="114"/>
      <c r="G83" s="114"/>
      <c r="H83" s="115"/>
      <c r="I83" s="113" t="s">
        <v>36</v>
      </c>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3" t="s">
        <v>4</v>
      </c>
      <c r="AG83" s="114"/>
      <c r="AH83" s="114"/>
      <c r="AI83" s="115"/>
      <c r="AJ83" s="122" t="s">
        <v>37</v>
      </c>
      <c r="AK83" s="123"/>
      <c r="AL83" s="123"/>
      <c r="AM83" s="123"/>
      <c r="AN83" s="123"/>
      <c r="AO83" s="124"/>
      <c r="AP83" s="113" t="s">
        <v>17</v>
      </c>
      <c r="AQ83" s="114"/>
      <c r="AR83" s="115"/>
      <c r="AS83" s="113" t="s">
        <v>38</v>
      </c>
      <c r="AT83" s="114"/>
      <c r="AU83" s="114"/>
      <c r="AV83" s="114"/>
      <c r="AW83" s="114"/>
      <c r="AX83" s="114"/>
      <c r="AY83" s="114"/>
      <c r="AZ83" s="114"/>
      <c r="BA83" s="115"/>
    </row>
    <row r="84" spans="2:91" s="21" customFormat="1" ht="13.5" customHeight="1" x14ac:dyDescent="0.15">
      <c r="B84" s="116"/>
      <c r="C84" s="117"/>
      <c r="D84" s="117"/>
      <c r="E84" s="117"/>
      <c r="F84" s="117"/>
      <c r="G84" s="117"/>
      <c r="H84" s="118"/>
      <c r="I84" s="119"/>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16"/>
      <c r="AG84" s="117"/>
      <c r="AH84" s="117"/>
      <c r="AI84" s="118"/>
      <c r="AJ84" s="125"/>
      <c r="AK84" s="126"/>
      <c r="AL84" s="126"/>
      <c r="AM84" s="126"/>
      <c r="AN84" s="126"/>
      <c r="AO84" s="127"/>
      <c r="AP84" s="116"/>
      <c r="AQ84" s="117"/>
      <c r="AR84" s="118"/>
      <c r="AS84" s="116"/>
      <c r="AT84" s="117"/>
      <c r="AU84" s="117"/>
      <c r="AV84" s="117"/>
      <c r="AW84" s="117"/>
      <c r="AX84" s="117"/>
      <c r="AY84" s="117"/>
      <c r="AZ84" s="117"/>
      <c r="BA84" s="118"/>
    </row>
    <row r="85" spans="2:91" s="21" customFormat="1" ht="13.5" customHeight="1" x14ac:dyDescent="0.15">
      <c r="B85" s="116"/>
      <c r="C85" s="117"/>
      <c r="D85" s="117"/>
      <c r="E85" s="117"/>
      <c r="F85" s="117"/>
      <c r="G85" s="117"/>
      <c r="H85" s="118"/>
      <c r="I85" s="113" t="s">
        <v>19</v>
      </c>
      <c r="J85" s="114"/>
      <c r="K85" s="114"/>
      <c r="L85" s="115"/>
      <c r="M85" s="113" t="s">
        <v>20</v>
      </c>
      <c r="N85" s="114"/>
      <c r="O85" s="114"/>
      <c r="P85" s="115"/>
      <c r="Q85" s="122" t="s">
        <v>39</v>
      </c>
      <c r="R85" s="123"/>
      <c r="S85" s="97" t="s">
        <v>24</v>
      </c>
      <c r="T85" s="97"/>
      <c r="U85" s="97"/>
      <c r="V85" s="97"/>
      <c r="W85" s="86" t="s">
        <v>40</v>
      </c>
      <c r="X85" s="87"/>
      <c r="Y85" s="88"/>
      <c r="Z85" s="95" t="s">
        <v>41</v>
      </c>
      <c r="AA85" s="96"/>
      <c r="AB85" s="97" t="s">
        <v>25</v>
      </c>
      <c r="AC85" s="97"/>
      <c r="AD85" s="97"/>
      <c r="AE85" s="98"/>
      <c r="AF85" s="116"/>
      <c r="AG85" s="117"/>
      <c r="AH85" s="117"/>
      <c r="AI85" s="118"/>
      <c r="AJ85" s="89" t="s">
        <v>42</v>
      </c>
      <c r="AK85" s="91"/>
      <c r="AL85" s="105" t="s">
        <v>50</v>
      </c>
      <c r="AM85" s="106"/>
      <c r="AN85" s="109" t="s">
        <v>43</v>
      </c>
      <c r="AO85" s="110"/>
      <c r="AP85" s="116"/>
      <c r="AQ85" s="117"/>
      <c r="AR85" s="118"/>
      <c r="AS85" s="116"/>
      <c r="AT85" s="117"/>
      <c r="AU85" s="117"/>
      <c r="AV85" s="117"/>
      <c r="AW85" s="117"/>
      <c r="AX85" s="117"/>
      <c r="AY85" s="117"/>
      <c r="AZ85" s="117"/>
      <c r="BA85" s="118"/>
    </row>
    <row r="86" spans="2:91" s="21" customFormat="1" ht="13.5" customHeight="1" x14ac:dyDescent="0.15">
      <c r="B86" s="116"/>
      <c r="C86" s="117"/>
      <c r="D86" s="117"/>
      <c r="E86" s="117"/>
      <c r="F86" s="117"/>
      <c r="G86" s="117"/>
      <c r="H86" s="118"/>
      <c r="I86" s="116"/>
      <c r="J86" s="117"/>
      <c r="K86" s="117"/>
      <c r="L86" s="118"/>
      <c r="M86" s="116"/>
      <c r="N86" s="117"/>
      <c r="O86" s="117"/>
      <c r="P86" s="118"/>
      <c r="Q86" s="128"/>
      <c r="R86" s="129"/>
      <c r="S86" s="97"/>
      <c r="T86" s="97"/>
      <c r="U86" s="97"/>
      <c r="V86" s="97"/>
      <c r="W86" s="89"/>
      <c r="X86" s="90"/>
      <c r="Y86" s="91"/>
      <c r="Z86" s="95"/>
      <c r="AA86" s="96"/>
      <c r="AB86" s="97"/>
      <c r="AC86" s="97"/>
      <c r="AD86" s="97"/>
      <c r="AE86" s="98"/>
      <c r="AF86" s="116"/>
      <c r="AG86" s="117"/>
      <c r="AH86" s="117"/>
      <c r="AI86" s="118"/>
      <c r="AJ86" s="89"/>
      <c r="AK86" s="91"/>
      <c r="AL86" s="105"/>
      <c r="AM86" s="106"/>
      <c r="AN86" s="109"/>
      <c r="AO86" s="110"/>
      <c r="AP86" s="116"/>
      <c r="AQ86" s="117"/>
      <c r="AR86" s="118"/>
      <c r="AS86" s="116"/>
      <c r="AT86" s="117"/>
      <c r="AU86" s="117"/>
      <c r="AV86" s="117"/>
      <c r="AW86" s="117"/>
      <c r="AX86" s="117"/>
      <c r="AY86" s="117"/>
      <c r="AZ86" s="117"/>
      <c r="BA86" s="118"/>
    </row>
    <row r="87" spans="2:91" s="21" customFormat="1" ht="13.5" customHeight="1" x14ac:dyDescent="0.15">
      <c r="B87" s="116"/>
      <c r="C87" s="117"/>
      <c r="D87" s="117"/>
      <c r="E87" s="117"/>
      <c r="F87" s="117"/>
      <c r="G87" s="117"/>
      <c r="H87" s="118"/>
      <c r="I87" s="116"/>
      <c r="J87" s="117"/>
      <c r="K87" s="117"/>
      <c r="L87" s="118"/>
      <c r="M87" s="116"/>
      <c r="N87" s="117"/>
      <c r="O87" s="117"/>
      <c r="P87" s="118"/>
      <c r="Q87" s="128"/>
      <c r="R87" s="129"/>
      <c r="S87" s="97"/>
      <c r="T87" s="97"/>
      <c r="U87" s="97"/>
      <c r="V87" s="97"/>
      <c r="W87" s="89"/>
      <c r="X87" s="90"/>
      <c r="Y87" s="91"/>
      <c r="Z87" s="95"/>
      <c r="AA87" s="96"/>
      <c r="AB87" s="97"/>
      <c r="AC87" s="97"/>
      <c r="AD87" s="97"/>
      <c r="AE87" s="98"/>
      <c r="AF87" s="116"/>
      <c r="AG87" s="117"/>
      <c r="AH87" s="117"/>
      <c r="AI87" s="118"/>
      <c r="AJ87" s="89"/>
      <c r="AK87" s="91"/>
      <c r="AL87" s="105"/>
      <c r="AM87" s="106"/>
      <c r="AN87" s="109"/>
      <c r="AO87" s="110"/>
      <c r="AP87" s="116"/>
      <c r="AQ87" s="117"/>
      <c r="AR87" s="118"/>
      <c r="AS87" s="116"/>
      <c r="AT87" s="117"/>
      <c r="AU87" s="117"/>
      <c r="AV87" s="117"/>
      <c r="AW87" s="117"/>
      <c r="AX87" s="117"/>
      <c r="AY87" s="117"/>
      <c r="AZ87" s="117"/>
      <c r="BA87" s="118"/>
    </row>
    <row r="88" spans="2:91" s="21" customFormat="1" ht="13.5" customHeight="1" x14ac:dyDescent="0.15">
      <c r="B88" s="119"/>
      <c r="C88" s="120"/>
      <c r="D88" s="120"/>
      <c r="E88" s="120"/>
      <c r="F88" s="120"/>
      <c r="G88" s="120"/>
      <c r="H88" s="121"/>
      <c r="I88" s="119"/>
      <c r="J88" s="120"/>
      <c r="K88" s="120"/>
      <c r="L88" s="121"/>
      <c r="M88" s="119"/>
      <c r="N88" s="120"/>
      <c r="O88" s="120"/>
      <c r="P88" s="121"/>
      <c r="Q88" s="125"/>
      <c r="R88" s="126"/>
      <c r="S88" s="97"/>
      <c r="T88" s="97"/>
      <c r="U88" s="97"/>
      <c r="V88" s="97"/>
      <c r="W88" s="92"/>
      <c r="X88" s="93"/>
      <c r="Y88" s="94"/>
      <c r="Z88" s="95"/>
      <c r="AA88" s="96"/>
      <c r="AB88" s="97"/>
      <c r="AC88" s="97"/>
      <c r="AD88" s="97"/>
      <c r="AE88" s="98"/>
      <c r="AF88" s="119"/>
      <c r="AG88" s="120"/>
      <c r="AH88" s="120"/>
      <c r="AI88" s="121"/>
      <c r="AJ88" s="92"/>
      <c r="AK88" s="94"/>
      <c r="AL88" s="107"/>
      <c r="AM88" s="108"/>
      <c r="AN88" s="111"/>
      <c r="AO88" s="112"/>
      <c r="AP88" s="119"/>
      <c r="AQ88" s="120"/>
      <c r="AR88" s="121"/>
      <c r="AS88" s="119"/>
      <c r="AT88" s="120"/>
      <c r="AU88" s="120"/>
      <c r="AV88" s="120"/>
      <c r="AW88" s="120"/>
      <c r="AX88" s="120"/>
      <c r="AY88" s="120"/>
      <c r="AZ88" s="120"/>
      <c r="BA88" s="121"/>
      <c r="BC88" s="21" t="s">
        <v>64</v>
      </c>
    </row>
    <row r="89" spans="2:91" s="21" customFormat="1" ht="18" customHeight="1" x14ac:dyDescent="0.15">
      <c r="B89" s="73" t="s">
        <v>44</v>
      </c>
      <c r="C89" s="74"/>
      <c r="D89" s="74"/>
      <c r="E89" s="74"/>
      <c r="F89" s="74"/>
      <c r="G89" s="74"/>
      <c r="H89" s="75"/>
      <c r="I89" s="79">
        <f>SUM(I91:L94)</f>
        <v>143831000</v>
      </c>
      <c r="J89" s="80"/>
      <c r="K89" s="80"/>
      <c r="L89" s="81"/>
      <c r="M89" s="79">
        <f>SUM(M91:P94)</f>
        <v>-17701000</v>
      </c>
      <c r="N89" s="80"/>
      <c r="O89" s="80"/>
      <c r="P89" s="81"/>
      <c r="Q89" s="79">
        <f>SUM(Q91:R94)</f>
        <v>0</v>
      </c>
      <c r="R89" s="80"/>
      <c r="S89" s="66">
        <f>SUM(S91:V94)</f>
        <v>126130000</v>
      </c>
      <c r="T89" s="66"/>
      <c r="U89" s="66"/>
      <c r="V89" s="66"/>
      <c r="W89" s="79">
        <f>SUM(W91:Y94)</f>
        <v>0</v>
      </c>
      <c r="X89" s="80"/>
      <c r="Y89" s="81"/>
      <c r="Z89" s="79">
        <f>SUM(Z91:AA94)</f>
        <v>0</v>
      </c>
      <c r="AA89" s="80"/>
      <c r="AB89" s="66">
        <f>SUM(AB91:AE94)</f>
        <v>126130000</v>
      </c>
      <c r="AC89" s="66"/>
      <c r="AD89" s="66"/>
      <c r="AE89" s="66"/>
      <c r="AF89" s="79">
        <f>SUM(AF91:AI94)</f>
        <v>118081536</v>
      </c>
      <c r="AG89" s="80"/>
      <c r="AH89" s="80"/>
      <c r="AI89" s="80"/>
      <c r="AJ89" s="79">
        <f>SUM(AJ91:AK94)</f>
        <v>7590000</v>
      </c>
      <c r="AK89" s="81"/>
      <c r="AL89" s="48">
        <f>SUM(AL91:AM94)</f>
        <v>0</v>
      </c>
      <c r="AM89" s="64"/>
      <c r="AN89" s="66">
        <f>SUM(AN91:AO94)</f>
        <v>7590000</v>
      </c>
      <c r="AO89" s="66"/>
      <c r="AP89" s="79">
        <f>SUM(AP91:AR94)</f>
        <v>458464</v>
      </c>
      <c r="AQ89" s="80"/>
      <c r="AR89" s="80"/>
      <c r="AS89" s="52"/>
      <c r="AT89" s="53"/>
      <c r="AU89" s="53"/>
      <c r="AV89" s="53"/>
      <c r="AW89" s="53"/>
      <c r="AX89" s="53"/>
      <c r="AY89" s="53"/>
      <c r="AZ89" s="53"/>
      <c r="BA89" s="54"/>
    </row>
    <row r="90" spans="2:91" s="21" customFormat="1" ht="18" customHeight="1" x14ac:dyDescent="0.15">
      <c r="B90" s="76"/>
      <c r="C90" s="77"/>
      <c r="D90" s="77"/>
      <c r="E90" s="77"/>
      <c r="F90" s="77"/>
      <c r="G90" s="77"/>
      <c r="H90" s="78"/>
      <c r="I90" s="82"/>
      <c r="J90" s="83"/>
      <c r="K90" s="83"/>
      <c r="L90" s="84"/>
      <c r="M90" s="82"/>
      <c r="N90" s="83"/>
      <c r="O90" s="83"/>
      <c r="P90" s="84"/>
      <c r="Q90" s="82"/>
      <c r="R90" s="83"/>
      <c r="S90" s="66"/>
      <c r="T90" s="66"/>
      <c r="U90" s="66"/>
      <c r="V90" s="66"/>
      <c r="W90" s="82"/>
      <c r="X90" s="83"/>
      <c r="Y90" s="84"/>
      <c r="Z90" s="82"/>
      <c r="AA90" s="83"/>
      <c r="AB90" s="66"/>
      <c r="AC90" s="66"/>
      <c r="AD90" s="66"/>
      <c r="AE90" s="66"/>
      <c r="AF90" s="82"/>
      <c r="AG90" s="83"/>
      <c r="AH90" s="83"/>
      <c r="AI90" s="83"/>
      <c r="AJ90" s="82"/>
      <c r="AK90" s="84"/>
      <c r="AL90" s="50"/>
      <c r="AM90" s="65"/>
      <c r="AN90" s="66"/>
      <c r="AO90" s="66"/>
      <c r="AP90" s="82"/>
      <c r="AQ90" s="83"/>
      <c r="AR90" s="83"/>
      <c r="AS90" s="55"/>
      <c r="AT90" s="56"/>
      <c r="AU90" s="56"/>
      <c r="AV90" s="56"/>
      <c r="AW90" s="56"/>
      <c r="AX90" s="56"/>
      <c r="AY90" s="56"/>
      <c r="AZ90" s="56"/>
      <c r="BA90" s="57"/>
      <c r="BC90" s="21" t="s">
        <v>76</v>
      </c>
      <c r="BG90" s="21" t="s">
        <v>77</v>
      </c>
    </row>
    <row r="91" spans="2:91" s="21" customFormat="1" ht="18" customHeight="1" x14ac:dyDescent="0.15">
      <c r="B91" s="73" t="s">
        <v>45</v>
      </c>
      <c r="C91" s="74"/>
      <c r="D91" s="74"/>
      <c r="E91" s="74"/>
      <c r="F91" s="74"/>
      <c r="G91" s="74"/>
      <c r="H91" s="75"/>
      <c r="I91" s="48">
        <v>106943000</v>
      </c>
      <c r="J91" s="49"/>
      <c r="K91" s="49"/>
      <c r="L91" s="64"/>
      <c r="M91" s="48">
        <v>-17701000</v>
      </c>
      <c r="N91" s="49"/>
      <c r="O91" s="49"/>
      <c r="P91" s="64"/>
      <c r="Q91" s="79">
        <f>SUM(Q95:R96)</f>
        <v>0</v>
      </c>
      <c r="R91" s="80"/>
      <c r="S91" s="62">
        <f>SUM(I91:R92)</f>
        <v>89242000</v>
      </c>
      <c r="T91" s="62"/>
      <c r="U91" s="62"/>
      <c r="V91" s="62"/>
      <c r="W91" s="62">
        <v>0</v>
      </c>
      <c r="X91" s="62"/>
      <c r="Y91" s="62"/>
      <c r="Z91" s="48">
        <v>0</v>
      </c>
      <c r="AA91" s="49"/>
      <c r="AB91" s="62">
        <f>SUM(S91:AA92)</f>
        <v>89242000</v>
      </c>
      <c r="AC91" s="62"/>
      <c r="AD91" s="62"/>
      <c r="AE91" s="62"/>
      <c r="AF91" s="48">
        <f>BG95</f>
        <v>81194421</v>
      </c>
      <c r="AG91" s="49"/>
      <c r="AH91" s="49"/>
      <c r="AI91" s="64"/>
      <c r="AJ91" s="62">
        <v>7590000</v>
      </c>
      <c r="AK91" s="62"/>
      <c r="AL91" s="48">
        <v>0</v>
      </c>
      <c r="AM91" s="64"/>
      <c r="AN91" s="66">
        <f>SUM(AJ91:AM92)</f>
        <v>7590000</v>
      </c>
      <c r="AO91" s="66"/>
      <c r="AP91" s="48">
        <f>AB91-AF91-AN91</f>
        <v>457579</v>
      </c>
      <c r="AQ91" s="49"/>
      <c r="AR91" s="49"/>
      <c r="AS91" s="99" t="s">
        <v>62</v>
      </c>
      <c r="AT91" s="100"/>
      <c r="AU91" s="100"/>
      <c r="AV91" s="100"/>
      <c r="AW91" s="100"/>
      <c r="AX91" s="100"/>
      <c r="AY91" s="100"/>
      <c r="AZ91" s="100"/>
      <c r="BA91" s="101"/>
      <c r="BC91" s="21">
        <v>15372000</v>
      </c>
    </row>
    <row r="92" spans="2:91" s="21" customFormat="1" ht="18" customHeight="1" x14ac:dyDescent="0.15">
      <c r="B92" s="76"/>
      <c r="C92" s="77"/>
      <c r="D92" s="77"/>
      <c r="E92" s="77"/>
      <c r="F92" s="77"/>
      <c r="G92" s="77"/>
      <c r="H92" s="78"/>
      <c r="I92" s="50"/>
      <c r="J92" s="51"/>
      <c r="K92" s="51"/>
      <c r="L92" s="65"/>
      <c r="M92" s="50"/>
      <c r="N92" s="51"/>
      <c r="O92" s="51"/>
      <c r="P92" s="65"/>
      <c r="Q92" s="82"/>
      <c r="R92" s="83"/>
      <c r="S92" s="62"/>
      <c r="T92" s="62"/>
      <c r="U92" s="62"/>
      <c r="V92" s="62"/>
      <c r="W92" s="62"/>
      <c r="X92" s="62"/>
      <c r="Y92" s="62"/>
      <c r="Z92" s="50"/>
      <c r="AA92" s="51"/>
      <c r="AB92" s="62"/>
      <c r="AC92" s="62"/>
      <c r="AD92" s="62"/>
      <c r="AE92" s="62"/>
      <c r="AF92" s="50"/>
      <c r="AG92" s="51"/>
      <c r="AH92" s="51"/>
      <c r="AI92" s="65"/>
      <c r="AJ92" s="62"/>
      <c r="AK92" s="62"/>
      <c r="AL92" s="50"/>
      <c r="AM92" s="65"/>
      <c r="AN92" s="66"/>
      <c r="AO92" s="66"/>
      <c r="AP92" s="50"/>
      <c r="AQ92" s="51"/>
      <c r="AR92" s="51"/>
      <c r="AS92" s="204" t="s">
        <v>84</v>
      </c>
      <c r="AT92" s="205"/>
      <c r="AU92" s="205"/>
      <c r="AV92" s="205"/>
      <c r="AW92" s="205"/>
      <c r="AX92" s="205"/>
      <c r="AY92" s="205"/>
      <c r="AZ92" s="205"/>
      <c r="BA92" s="206"/>
      <c r="BC92" s="21">
        <v>7750000</v>
      </c>
    </row>
    <row r="93" spans="2:91" s="21" customFormat="1" ht="18" customHeight="1" x14ac:dyDescent="0.15">
      <c r="B93" s="67" t="s">
        <v>46</v>
      </c>
      <c r="C93" s="68"/>
      <c r="D93" s="68"/>
      <c r="E93" s="68"/>
      <c r="F93" s="68"/>
      <c r="G93" s="68"/>
      <c r="H93" s="69"/>
      <c r="I93" s="48">
        <v>36888000</v>
      </c>
      <c r="J93" s="49"/>
      <c r="K93" s="49"/>
      <c r="L93" s="64"/>
      <c r="M93" s="48">
        <v>0</v>
      </c>
      <c r="N93" s="49"/>
      <c r="O93" s="49"/>
      <c r="P93" s="64"/>
      <c r="Q93" s="79">
        <f>SUM(Q95:R95)</f>
        <v>0</v>
      </c>
      <c r="R93" s="80"/>
      <c r="S93" s="48">
        <f>SUM(I93:R94)</f>
        <v>36888000</v>
      </c>
      <c r="T93" s="49"/>
      <c r="U93" s="49"/>
      <c r="V93" s="64"/>
      <c r="W93" s="62">
        <v>0</v>
      </c>
      <c r="X93" s="62"/>
      <c r="Y93" s="62"/>
      <c r="Z93" s="62">
        <v>0</v>
      </c>
      <c r="AA93" s="63"/>
      <c r="AB93" s="62">
        <f>SUM(S93:AA94)</f>
        <v>36888000</v>
      </c>
      <c r="AC93" s="62"/>
      <c r="AD93" s="62"/>
      <c r="AE93" s="62"/>
      <c r="AF93" s="48">
        <v>36887115</v>
      </c>
      <c r="AG93" s="49"/>
      <c r="AH93" s="49"/>
      <c r="AI93" s="64"/>
      <c r="AJ93" s="62">
        <v>0</v>
      </c>
      <c r="AK93" s="62"/>
      <c r="AL93" s="48">
        <v>0</v>
      </c>
      <c r="AM93" s="64"/>
      <c r="AN93" s="66">
        <f>SUM(AJ93:AM94)</f>
        <v>0</v>
      </c>
      <c r="AO93" s="66"/>
      <c r="AP93" s="48">
        <f>AB93-AF93-AN93</f>
        <v>885</v>
      </c>
      <c r="AQ93" s="49"/>
      <c r="AR93" s="49"/>
      <c r="AS93" s="52"/>
      <c r="AT93" s="53"/>
      <c r="AU93" s="53"/>
      <c r="AV93" s="53"/>
      <c r="AW93" s="53"/>
      <c r="AX93" s="53"/>
      <c r="AY93" s="53"/>
      <c r="AZ93" s="53"/>
      <c r="BA93" s="54"/>
      <c r="BC93" s="21">
        <v>2475000</v>
      </c>
    </row>
    <row r="94" spans="2:91" s="21" customFormat="1" ht="18" customHeight="1" x14ac:dyDescent="0.15">
      <c r="B94" s="70"/>
      <c r="C94" s="71"/>
      <c r="D94" s="71"/>
      <c r="E94" s="71"/>
      <c r="F94" s="71"/>
      <c r="G94" s="71"/>
      <c r="H94" s="72"/>
      <c r="I94" s="50"/>
      <c r="J94" s="51"/>
      <c r="K94" s="51"/>
      <c r="L94" s="65"/>
      <c r="M94" s="50"/>
      <c r="N94" s="51"/>
      <c r="O94" s="51"/>
      <c r="P94" s="65"/>
      <c r="Q94" s="82"/>
      <c r="R94" s="83"/>
      <c r="S94" s="50"/>
      <c r="T94" s="51"/>
      <c r="U94" s="51"/>
      <c r="V94" s="65"/>
      <c r="W94" s="62"/>
      <c r="X94" s="62"/>
      <c r="Y94" s="62"/>
      <c r="Z94" s="62"/>
      <c r="AA94" s="63"/>
      <c r="AB94" s="62"/>
      <c r="AC94" s="62"/>
      <c r="AD94" s="62"/>
      <c r="AE94" s="62"/>
      <c r="AF94" s="50"/>
      <c r="AG94" s="51"/>
      <c r="AH94" s="51"/>
      <c r="AI94" s="65"/>
      <c r="AJ94" s="62"/>
      <c r="AK94" s="62"/>
      <c r="AL94" s="50"/>
      <c r="AM94" s="65"/>
      <c r="AN94" s="66"/>
      <c r="AO94" s="66"/>
      <c r="AP94" s="50"/>
      <c r="AQ94" s="51"/>
      <c r="AR94" s="51"/>
      <c r="AS94" s="55"/>
      <c r="AT94" s="56"/>
      <c r="AU94" s="56"/>
      <c r="AV94" s="56"/>
      <c r="AW94" s="56"/>
      <c r="AX94" s="56"/>
      <c r="AY94" s="56"/>
      <c r="AZ94" s="56"/>
      <c r="BA94" s="57"/>
      <c r="BC94" s="21">
        <v>1754500</v>
      </c>
    </row>
    <row r="95" spans="2:91" ht="15" customHeight="1" x14ac:dyDescent="0.15">
      <c r="B95" s="58" t="s">
        <v>85</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C95" s="21">
        <v>4840000</v>
      </c>
      <c r="BG95" s="36">
        <v>81194421</v>
      </c>
    </row>
    <row r="96" spans="2:91" ht="15" customHeight="1" x14ac:dyDescent="0.1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row>
    <row r="97" spans="2:55" ht="15" customHeight="1" x14ac:dyDescent="0.15">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C97" s="36"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36">
        <f>AE72-AF89</f>
        <v>-79521536</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row r="103" spans="2:55" s="18" customFormat="1" ht="13.5" customHeight="1" x14ac:dyDescent="0.15">
      <c r="AF103" s="60"/>
      <c r="AG103" s="60"/>
      <c r="AH103" s="60"/>
      <c r="AI103" s="60"/>
      <c r="AJ103" s="60"/>
    </row>
    <row r="104" spans="2:55" ht="18" customHeight="1" x14ac:dyDescent="0.15">
      <c r="D104" s="60"/>
      <c r="E104" s="60"/>
      <c r="F104" s="60"/>
      <c r="AF104" s="61"/>
      <c r="AG104" s="61"/>
      <c r="AH104" s="61"/>
      <c r="AI104" s="61"/>
      <c r="AJ104" s="61"/>
    </row>
    <row r="105" spans="2:55" ht="18" customHeight="1" x14ac:dyDescent="0.15">
      <c r="AF105" s="61"/>
      <c r="AG105" s="61"/>
      <c r="AH105" s="61"/>
      <c r="AI105" s="61"/>
      <c r="AJ105" s="61"/>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AF103:AJ103"/>
    <mergeCell ref="D104:F104"/>
    <mergeCell ref="AF104:AJ10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93BD9F50-A5FF-4218-BE01-E10616ACA222}">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2228-F346-4A11-96B3-296DC10AF6B6}">
  <sheetPr>
    <tabColor rgb="FFFF0000"/>
  </sheetPr>
  <dimension ref="B1:CM904"/>
  <sheetViews>
    <sheetView showGridLines="0" showOutlineSymbols="0" view="pageBreakPreview" topLeftCell="B81" zoomScale="89" zoomScaleNormal="89" zoomScaleSheetLayoutView="89" workbookViewId="0">
      <selection activeCell="AF91" sqref="AF91:AI92"/>
    </sheetView>
  </sheetViews>
  <sheetFormatPr defaultRowHeight="13.5" x14ac:dyDescent="0.15"/>
  <cols>
    <col min="1" max="1" width="2.625" style="19" customWidth="1"/>
    <col min="2" max="15" width="3.125" style="19" customWidth="1"/>
    <col min="16" max="16" width="4.25" style="19" customWidth="1"/>
    <col min="17" max="37" width="3.125" style="19" customWidth="1"/>
    <col min="38" max="38" width="4.625" style="19" customWidth="1"/>
    <col min="39" max="42" width="3.125" style="19" customWidth="1"/>
    <col min="43" max="43" width="3.5" style="19" customWidth="1"/>
    <col min="44" max="53" width="3.125" style="19" customWidth="1"/>
    <col min="54" max="54" width="5.625" style="19" customWidth="1"/>
    <col min="55" max="55" width="15.25" style="19" customWidth="1"/>
    <col min="56" max="58" width="2.625" style="19" customWidth="1"/>
    <col min="59" max="59" width="10.25" style="19" bestFit="1" customWidth="1"/>
    <col min="60" max="100" width="2.625" style="19" customWidth="1"/>
    <col min="101" max="260" width="9" style="19"/>
    <col min="261" max="275" width="3.125" style="19" customWidth="1"/>
    <col min="276" max="276" width="5.5" style="19" customWidth="1"/>
    <col min="277" max="277" width="5.625" style="19" customWidth="1"/>
    <col min="278" max="293" width="3.125" style="19" customWidth="1"/>
    <col min="294" max="294" width="5.375" style="19" customWidth="1"/>
    <col min="295" max="296" width="3.125" style="19" customWidth="1"/>
    <col min="297" max="297" width="4.625" style="19" customWidth="1"/>
    <col min="298" max="298" width="3.5" style="19" customWidth="1"/>
    <col min="299" max="309" width="3.125" style="19" customWidth="1"/>
    <col min="310" max="311" width="5.625" style="19" customWidth="1"/>
    <col min="312" max="356" width="2.625" style="19" customWidth="1"/>
    <col min="357" max="516" width="9" style="19"/>
    <col min="517" max="531" width="3.125" style="19" customWidth="1"/>
    <col min="532" max="532" width="5.5" style="19" customWidth="1"/>
    <col min="533" max="533" width="5.625" style="19" customWidth="1"/>
    <col min="534" max="549" width="3.125" style="19" customWidth="1"/>
    <col min="550" max="550" width="5.375" style="19" customWidth="1"/>
    <col min="551" max="552" width="3.125" style="19" customWidth="1"/>
    <col min="553" max="553" width="4.625" style="19" customWidth="1"/>
    <col min="554" max="554" width="3.5" style="19" customWidth="1"/>
    <col min="555" max="565" width="3.125" style="19" customWidth="1"/>
    <col min="566" max="567" width="5.625" style="19" customWidth="1"/>
    <col min="568" max="612" width="2.625" style="19" customWidth="1"/>
    <col min="613" max="772" width="9" style="19"/>
    <col min="773" max="787" width="3.125" style="19" customWidth="1"/>
    <col min="788" max="788" width="5.5" style="19" customWidth="1"/>
    <col min="789" max="789" width="5.625" style="19" customWidth="1"/>
    <col min="790" max="805" width="3.125" style="19" customWidth="1"/>
    <col min="806" max="806" width="5.375" style="19" customWidth="1"/>
    <col min="807" max="808" width="3.125" style="19" customWidth="1"/>
    <col min="809" max="809" width="4.625" style="19" customWidth="1"/>
    <col min="810" max="810" width="3.5" style="19" customWidth="1"/>
    <col min="811" max="821" width="3.125" style="19" customWidth="1"/>
    <col min="822" max="823" width="5.625" style="19" customWidth="1"/>
    <col min="824" max="868" width="2.625" style="19" customWidth="1"/>
    <col min="869" max="1028" width="9" style="19"/>
    <col min="1029" max="1043" width="3.125" style="19" customWidth="1"/>
    <col min="1044" max="1044" width="5.5" style="19" customWidth="1"/>
    <col min="1045" max="1045" width="5.625" style="19" customWidth="1"/>
    <col min="1046" max="1061" width="3.125" style="19" customWidth="1"/>
    <col min="1062" max="1062" width="5.375" style="19" customWidth="1"/>
    <col min="1063" max="1064" width="3.125" style="19" customWidth="1"/>
    <col min="1065" max="1065" width="4.625" style="19" customWidth="1"/>
    <col min="1066" max="1066" width="3.5" style="19" customWidth="1"/>
    <col min="1067" max="1077" width="3.125" style="19" customWidth="1"/>
    <col min="1078" max="1079" width="5.625" style="19" customWidth="1"/>
    <col min="1080" max="1124" width="2.625" style="19" customWidth="1"/>
    <col min="1125" max="1284" width="9" style="19"/>
    <col min="1285" max="1299" width="3.125" style="19" customWidth="1"/>
    <col min="1300" max="1300" width="5.5" style="19" customWidth="1"/>
    <col min="1301" max="1301" width="5.625" style="19" customWidth="1"/>
    <col min="1302" max="1317" width="3.125" style="19" customWidth="1"/>
    <col min="1318" max="1318" width="5.375" style="19" customWidth="1"/>
    <col min="1319" max="1320" width="3.125" style="19" customWidth="1"/>
    <col min="1321" max="1321" width="4.625" style="19" customWidth="1"/>
    <col min="1322" max="1322" width="3.5" style="19" customWidth="1"/>
    <col min="1323" max="1333" width="3.125" style="19" customWidth="1"/>
    <col min="1334" max="1335" width="5.625" style="19" customWidth="1"/>
    <col min="1336" max="1380" width="2.625" style="19" customWidth="1"/>
    <col min="1381" max="1540" width="9" style="19"/>
    <col min="1541" max="1555" width="3.125" style="19" customWidth="1"/>
    <col min="1556" max="1556" width="5.5" style="19" customWidth="1"/>
    <col min="1557" max="1557" width="5.625" style="19" customWidth="1"/>
    <col min="1558" max="1573" width="3.125" style="19" customWidth="1"/>
    <col min="1574" max="1574" width="5.375" style="19" customWidth="1"/>
    <col min="1575" max="1576" width="3.125" style="19" customWidth="1"/>
    <col min="1577" max="1577" width="4.625" style="19" customWidth="1"/>
    <col min="1578" max="1578" width="3.5" style="19" customWidth="1"/>
    <col min="1579" max="1589" width="3.125" style="19" customWidth="1"/>
    <col min="1590" max="1591" width="5.625" style="19" customWidth="1"/>
    <col min="1592" max="1636" width="2.625" style="19" customWidth="1"/>
    <col min="1637" max="1796" width="9" style="19"/>
    <col min="1797" max="1811" width="3.125" style="19" customWidth="1"/>
    <col min="1812" max="1812" width="5.5" style="19" customWidth="1"/>
    <col min="1813" max="1813" width="5.625" style="19" customWidth="1"/>
    <col min="1814" max="1829" width="3.125" style="19" customWidth="1"/>
    <col min="1830" max="1830" width="5.375" style="19" customWidth="1"/>
    <col min="1831" max="1832" width="3.125" style="19" customWidth="1"/>
    <col min="1833" max="1833" width="4.625" style="19" customWidth="1"/>
    <col min="1834" max="1834" width="3.5" style="19" customWidth="1"/>
    <col min="1835" max="1845" width="3.125" style="19" customWidth="1"/>
    <col min="1846" max="1847" width="5.625" style="19" customWidth="1"/>
    <col min="1848" max="1892" width="2.625" style="19" customWidth="1"/>
    <col min="1893" max="2052" width="9" style="19"/>
    <col min="2053" max="2067" width="3.125" style="19" customWidth="1"/>
    <col min="2068" max="2068" width="5.5" style="19" customWidth="1"/>
    <col min="2069" max="2069" width="5.625" style="19" customWidth="1"/>
    <col min="2070" max="2085" width="3.125" style="19" customWidth="1"/>
    <col min="2086" max="2086" width="5.375" style="19" customWidth="1"/>
    <col min="2087" max="2088" width="3.125" style="19" customWidth="1"/>
    <col min="2089" max="2089" width="4.625" style="19" customWidth="1"/>
    <col min="2090" max="2090" width="3.5" style="19" customWidth="1"/>
    <col min="2091" max="2101" width="3.125" style="19" customWidth="1"/>
    <col min="2102" max="2103" width="5.625" style="19" customWidth="1"/>
    <col min="2104" max="2148" width="2.625" style="19" customWidth="1"/>
    <col min="2149" max="2308" width="9" style="19"/>
    <col min="2309" max="2323" width="3.125" style="19" customWidth="1"/>
    <col min="2324" max="2324" width="5.5" style="19" customWidth="1"/>
    <col min="2325" max="2325" width="5.625" style="19" customWidth="1"/>
    <col min="2326" max="2341" width="3.125" style="19" customWidth="1"/>
    <col min="2342" max="2342" width="5.375" style="19" customWidth="1"/>
    <col min="2343" max="2344" width="3.125" style="19" customWidth="1"/>
    <col min="2345" max="2345" width="4.625" style="19" customWidth="1"/>
    <col min="2346" max="2346" width="3.5" style="19" customWidth="1"/>
    <col min="2347" max="2357" width="3.125" style="19" customWidth="1"/>
    <col min="2358" max="2359" width="5.625" style="19" customWidth="1"/>
    <col min="2360" max="2404" width="2.625" style="19" customWidth="1"/>
    <col min="2405" max="2564" width="9" style="19"/>
    <col min="2565" max="2579" width="3.125" style="19" customWidth="1"/>
    <col min="2580" max="2580" width="5.5" style="19" customWidth="1"/>
    <col min="2581" max="2581" width="5.625" style="19" customWidth="1"/>
    <col min="2582" max="2597" width="3.125" style="19" customWidth="1"/>
    <col min="2598" max="2598" width="5.375" style="19" customWidth="1"/>
    <col min="2599" max="2600" width="3.125" style="19" customWidth="1"/>
    <col min="2601" max="2601" width="4.625" style="19" customWidth="1"/>
    <col min="2602" max="2602" width="3.5" style="19" customWidth="1"/>
    <col min="2603" max="2613" width="3.125" style="19" customWidth="1"/>
    <col min="2614" max="2615" width="5.625" style="19" customWidth="1"/>
    <col min="2616" max="2660" width="2.625" style="19" customWidth="1"/>
    <col min="2661" max="2820" width="9" style="19"/>
    <col min="2821" max="2835" width="3.125" style="19" customWidth="1"/>
    <col min="2836" max="2836" width="5.5" style="19" customWidth="1"/>
    <col min="2837" max="2837" width="5.625" style="19" customWidth="1"/>
    <col min="2838" max="2853" width="3.125" style="19" customWidth="1"/>
    <col min="2854" max="2854" width="5.375" style="19" customWidth="1"/>
    <col min="2855" max="2856" width="3.125" style="19" customWidth="1"/>
    <col min="2857" max="2857" width="4.625" style="19" customWidth="1"/>
    <col min="2858" max="2858" width="3.5" style="19" customWidth="1"/>
    <col min="2859" max="2869" width="3.125" style="19" customWidth="1"/>
    <col min="2870" max="2871" width="5.625" style="19" customWidth="1"/>
    <col min="2872" max="2916" width="2.625" style="19" customWidth="1"/>
    <col min="2917" max="3076" width="9" style="19"/>
    <col min="3077" max="3091" width="3.125" style="19" customWidth="1"/>
    <col min="3092" max="3092" width="5.5" style="19" customWidth="1"/>
    <col min="3093" max="3093" width="5.625" style="19" customWidth="1"/>
    <col min="3094" max="3109" width="3.125" style="19" customWidth="1"/>
    <col min="3110" max="3110" width="5.375" style="19" customWidth="1"/>
    <col min="3111" max="3112" width="3.125" style="19" customWidth="1"/>
    <col min="3113" max="3113" width="4.625" style="19" customWidth="1"/>
    <col min="3114" max="3114" width="3.5" style="19" customWidth="1"/>
    <col min="3115" max="3125" width="3.125" style="19" customWidth="1"/>
    <col min="3126" max="3127" width="5.625" style="19" customWidth="1"/>
    <col min="3128" max="3172" width="2.625" style="19" customWidth="1"/>
    <col min="3173" max="3332" width="9" style="19"/>
    <col min="3333" max="3347" width="3.125" style="19" customWidth="1"/>
    <col min="3348" max="3348" width="5.5" style="19" customWidth="1"/>
    <col min="3349" max="3349" width="5.625" style="19" customWidth="1"/>
    <col min="3350" max="3365" width="3.125" style="19" customWidth="1"/>
    <col min="3366" max="3366" width="5.375" style="19" customWidth="1"/>
    <col min="3367" max="3368" width="3.125" style="19" customWidth="1"/>
    <col min="3369" max="3369" width="4.625" style="19" customWidth="1"/>
    <col min="3370" max="3370" width="3.5" style="19" customWidth="1"/>
    <col min="3371" max="3381" width="3.125" style="19" customWidth="1"/>
    <col min="3382" max="3383" width="5.625" style="19" customWidth="1"/>
    <col min="3384" max="3428" width="2.625" style="19" customWidth="1"/>
    <col min="3429" max="3588" width="9" style="19"/>
    <col min="3589" max="3603" width="3.125" style="19" customWidth="1"/>
    <col min="3604" max="3604" width="5.5" style="19" customWidth="1"/>
    <col min="3605" max="3605" width="5.625" style="19" customWidth="1"/>
    <col min="3606" max="3621" width="3.125" style="19" customWidth="1"/>
    <col min="3622" max="3622" width="5.375" style="19" customWidth="1"/>
    <col min="3623" max="3624" width="3.125" style="19" customWidth="1"/>
    <col min="3625" max="3625" width="4.625" style="19" customWidth="1"/>
    <col min="3626" max="3626" width="3.5" style="19" customWidth="1"/>
    <col min="3627" max="3637" width="3.125" style="19" customWidth="1"/>
    <col min="3638" max="3639" width="5.625" style="19" customWidth="1"/>
    <col min="3640" max="3684" width="2.625" style="19" customWidth="1"/>
    <col min="3685" max="3844" width="9" style="19"/>
    <col min="3845" max="3859" width="3.125" style="19" customWidth="1"/>
    <col min="3860" max="3860" width="5.5" style="19" customWidth="1"/>
    <col min="3861" max="3861" width="5.625" style="19" customWidth="1"/>
    <col min="3862" max="3877" width="3.125" style="19" customWidth="1"/>
    <col min="3878" max="3878" width="5.375" style="19" customWidth="1"/>
    <col min="3879" max="3880" width="3.125" style="19" customWidth="1"/>
    <col min="3881" max="3881" width="4.625" style="19" customWidth="1"/>
    <col min="3882" max="3882" width="3.5" style="19" customWidth="1"/>
    <col min="3883" max="3893" width="3.125" style="19" customWidth="1"/>
    <col min="3894" max="3895" width="5.625" style="19" customWidth="1"/>
    <col min="3896" max="3940" width="2.625" style="19" customWidth="1"/>
    <col min="3941" max="4100" width="9" style="19"/>
    <col min="4101" max="4115" width="3.125" style="19" customWidth="1"/>
    <col min="4116" max="4116" width="5.5" style="19" customWidth="1"/>
    <col min="4117" max="4117" width="5.625" style="19" customWidth="1"/>
    <col min="4118" max="4133" width="3.125" style="19" customWidth="1"/>
    <col min="4134" max="4134" width="5.375" style="19" customWidth="1"/>
    <col min="4135" max="4136" width="3.125" style="19" customWidth="1"/>
    <col min="4137" max="4137" width="4.625" style="19" customWidth="1"/>
    <col min="4138" max="4138" width="3.5" style="19" customWidth="1"/>
    <col min="4139" max="4149" width="3.125" style="19" customWidth="1"/>
    <col min="4150" max="4151" width="5.625" style="19" customWidth="1"/>
    <col min="4152" max="4196" width="2.625" style="19" customWidth="1"/>
    <col min="4197" max="4356" width="9" style="19"/>
    <col min="4357" max="4371" width="3.125" style="19" customWidth="1"/>
    <col min="4372" max="4372" width="5.5" style="19" customWidth="1"/>
    <col min="4373" max="4373" width="5.625" style="19" customWidth="1"/>
    <col min="4374" max="4389" width="3.125" style="19" customWidth="1"/>
    <col min="4390" max="4390" width="5.375" style="19" customWidth="1"/>
    <col min="4391" max="4392" width="3.125" style="19" customWidth="1"/>
    <col min="4393" max="4393" width="4.625" style="19" customWidth="1"/>
    <col min="4394" max="4394" width="3.5" style="19" customWidth="1"/>
    <col min="4395" max="4405" width="3.125" style="19" customWidth="1"/>
    <col min="4406" max="4407" width="5.625" style="19" customWidth="1"/>
    <col min="4408" max="4452" width="2.625" style="19" customWidth="1"/>
    <col min="4453" max="4612" width="9" style="19"/>
    <col min="4613" max="4627" width="3.125" style="19" customWidth="1"/>
    <col min="4628" max="4628" width="5.5" style="19" customWidth="1"/>
    <col min="4629" max="4629" width="5.625" style="19" customWidth="1"/>
    <col min="4630" max="4645" width="3.125" style="19" customWidth="1"/>
    <col min="4646" max="4646" width="5.375" style="19" customWidth="1"/>
    <col min="4647" max="4648" width="3.125" style="19" customWidth="1"/>
    <col min="4649" max="4649" width="4.625" style="19" customWidth="1"/>
    <col min="4650" max="4650" width="3.5" style="19" customWidth="1"/>
    <col min="4651" max="4661" width="3.125" style="19" customWidth="1"/>
    <col min="4662" max="4663" width="5.625" style="19" customWidth="1"/>
    <col min="4664" max="4708" width="2.625" style="19" customWidth="1"/>
    <col min="4709" max="4868" width="9" style="19"/>
    <col min="4869" max="4883" width="3.125" style="19" customWidth="1"/>
    <col min="4884" max="4884" width="5.5" style="19" customWidth="1"/>
    <col min="4885" max="4885" width="5.625" style="19" customWidth="1"/>
    <col min="4886" max="4901" width="3.125" style="19" customWidth="1"/>
    <col min="4902" max="4902" width="5.375" style="19" customWidth="1"/>
    <col min="4903" max="4904" width="3.125" style="19" customWidth="1"/>
    <col min="4905" max="4905" width="4.625" style="19" customWidth="1"/>
    <col min="4906" max="4906" width="3.5" style="19" customWidth="1"/>
    <col min="4907" max="4917" width="3.125" style="19" customWidth="1"/>
    <col min="4918" max="4919" width="5.625" style="19" customWidth="1"/>
    <col min="4920" max="4964" width="2.625" style="19" customWidth="1"/>
    <col min="4965" max="5124" width="9" style="19"/>
    <col min="5125" max="5139" width="3.125" style="19" customWidth="1"/>
    <col min="5140" max="5140" width="5.5" style="19" customWidth="1"/>
    <col min="5141" max="5141" width="5.625" style="19" customWidth="1"/>
    <col min="5142" max="5157" width="3.125" style="19" customWidth="1"/>
    <col min="5158" max="5158" width="5.375" style="19" customWidth="1"/>
    <col min="5159" max="5160" width="3.125" style="19" customWidth="1"/>
    <col min="5161" max="5161" width="4.625" style="19" customWidth="1"/>
    <col min="5162" max="5162" width="3.5" style="19" customWidth="1"/>
    <col min="5163" max="5173" width="3.125" style="19" customWidth="1"/>
    <col min="5174" max="5175" width="5.625" style="19" customWidth="1"/>
    <col min="5176" max="5220" width="2.625" style="19" customWidth="1"/>
    <col min="5221" max="5380" width="9" style="19"/>
    <col min="5381" max="5395" width="3.125" style="19" customWidth="1"/>
    <col min="5396" max="5396" width="5.5" style="19" customWidth="1"/>
    <col min="5397" max="5397" width="5.625" style="19" customWidth="1"/>
    <col min="5398" max="5413" width="3.125" style="19" customWidth="1"/>
    <col min="5414" max="5414" width="5.375" style="19" customWidth="1"/>
    <col min="5415" max="5416" width="3.125" style="19" customWidth="1"/>
    <col min="5417" max="5417" width="4.625" style="19" customWidth="1"/>
    <col min="5418" max="5418" width="3.5" style="19" customWidth="1"/>
    <col min="5419" max="5429" width="3.125" style="19" customWidth="1"/>
    <col min="5430" max="5431" width="5.625" style="19" customWidth="1"/>
    <col min="5432" max="5476" width="2.625" style="19" customWidth="1"/>
    <col min="5477" max="5636" width="9" style="19"/>
    <col min="5637" max="5651" width="3.125" style="19" customWidth="1"/>
    <col min="5652" max="5652" width="5.5" style="19" customWidth="1"/>
    <col min="5653" max="5653" width="5.625" style="19" customWidth="1"/>
    <col min="5654" max="5669" width="3.125" style="19" customWidth="1"/>
    <col min="5670" max="5670" width="5.375" style="19" customWidth="1"/>
    <col min="5671" max="5672" width="3.125" style="19" customWidth="1"/>
    <col min="5673" max="5673" width="4.625" style="19" customWidth="1"/>
    <col min="5674" max="5674" width="3.5" style="19" customWidth="1"/>
    <col min="5675" max="5685" width="3.125" style="19" customWidth="1"/>
    <col min="5686" max="5687" width="5.625" style="19" customWidth="1"/>
    <col min="5688" max="5732" width="2.625" style="19" customWidth="1"/>
    <col min="5733" max="5892" width="9" style="19"/>
    <col min="5893" max="5907" width="3.125" style="19" customWidth="1"/>
    <col min="5908" max="5908" width="5.5" style="19" customWidth="1"/>
    <col min="5909" max="5909" width="5.625" style="19" customWidth="1"/>
    <col min="5910" max="5925" width="3.125" style="19" customWidth="1"/>
    <col min="5926" max="5926" width="5.375" style="19" customWidth="1"/>
    <col min="5927" max="5928" width="3.125" style="19" customWidth="1"/>
    <col min="5929" max="5929" width="4.625" style="19" customWidth="1"/>
    <col min="5930" max="5930" width="3.5" style="19" customWidth="1"/>
    <col min="5931" max="5941" width="3.125" style="19" customWidth="1"/>
    <col min="5942" max="5943" width="5.625" style="19" customWidth="1"/>
    <col min="5944" max="5988" width="2.625" style="19" customWidth="1"/>
    <col min="5989" max="6148" width="9" style="19"/>
    <col min="6149" max="6163" width="3.125" style="19" customWidth="1"/>
    <col min="6164" max="6164" width="5.5" style="19" customWidth="1"/>
    <col min="6165" max="6165" width="5.625" style="19" customWidth="1"/>
    <col min="6166" max="6181" width="3.125" style="19" customWidth="1"/>
    <col min="6182" max="6182" width="5.375" style="19" customWidth="1"/>
    <col min="6183" max="6184" width="3.125" style="19" customWidth="1"/>
    <col min="6185" max="6185" width="4.625" style="19" customWidth="1"/>
    <col min="6186" max="6186" width="3.5" style="19" customWidth="1"/>
    <col min="6187" max="6197" width="3.125" style="19" customWidth="1"/>
    <col min="6198" max="6199" width="5.625" style="19" customWidth="1"/>
    <col min="6200" max="6244" width="2.625" style="19" customWidth="1"/>
    <col min="6245" max="6404" width="9" style="19"/>
    <col min="6405" max="6419" width="3.125" style="19" customWidth="1"/>
    <col min="6420" max="6420" width="5.5" style="19" customWidth="1"/>
    <col min="6421" max="6421" width="5.625" style="19" customWidth="1"/>
    <col min="6422" max="6437" width="3.125" style="19" customWidth="1"/>
    <col min="6438" max="6438" width="5.375" style="19" customWidth="1"/>
    <col min="6439" max="6440" width="3.125" style="19" customWidth="1"/>
    <col min="6441" max="6441" width="4.625" style="19" customWidth="1"/>
    <col min="6442" max="6442" width="3.5" style="19" customWidth="1"/>
    <col min="6443" max="6453" width="3.125" style="19" customWidth="1"/>
    <col min="6454" max="6455" width="5.625" style="19" customWidth="1"/>
    <col min="6456" max="6500" width="2.625" style="19" customWidth="1"/>
    <col min="6501" max="6660" width="9" style="19"/>
    <col min="6661" max="6675" width="3.125" style="19" customWidth="1"/>
    <col min="6676" max="6676" width="5.5" style="19" customWidth="1"/>
    <col min="6677" max="6677" width="5.625" style="19" customWidth="1"/>
    <col min="6678" max="6693" width="3.125" style="19" customWidth="1"/>
    <col min="6694" max="6694" width="5.375" style="19" customWidth="1"/>
    <col min="6695" max="6696" width="3.125" style="19" customWidth="1"/>
    <col min="6697" max="6697" width="4.625" style="19" customWidth="1"/>
    <col min="6698" max="6698" width="3.5" style="19" customWidth="1"/>
    <col min="6699" max="6709" width="3.125" style="19" customWidth="1"/>
    <col min="6710" max="6711" width="5.625" style="19" customWidth="1"/>
    <col min="6712" max="6756" width="2.625" style="19" customWidth="1"/>
    <col min="6757" max="6916" width="9" style="19"/>
    <col min="6917" max="6931" width="3.125" style="19" customWidth="1"/>
    <col min="6932" max="6932" width="5.5" style="19" customWidth="1"/>
    <col min="6933" max="6933" width="5.625" style="19" customWidth="1"/>
    <col min="6934" max="6949" width="3.125" style="19" customWidth="1"/>
    <col min="6950" max="6950" width="5.375" style="19" customWidth="1"/>
    <col min="6951" max="6952" width="3.125" style="19" customWidth="1"/>
    <col min="6953" max="6953" width="4.625" style="19" customWidth="1"/>
    <col min="6954" max="6954" width="3.5" style="19" customWidth="1"/>
    <col min="6955" max="6965" width="3.125" style="19" customWidth="1"/>
    <col min="6966" max="6967" width="5.625" style="19" customWidth="1"/>
    <col min="6968" max="7012" width="2.625" style="19" customWidth="1"/>
    <col min="7013" max="7172" width="9" style="19"/>
    <col min="7173" max="7187" width="3.125" style="19" customWidth="1"/>
    <col min="7188" max="7188" width="5.5" style="19" customWidth="1"/>
    <col min="7189" max="7189" width="5.625" style="19" customWidth="1"/>
    <col min="7190" max="7205" width="3.125" style="19" customWidth="1"/>
    <col min="7206" max="7206" width="5.375" style="19" customWidth="1"/>
    <col min="7207" max="7208" width="3.125" style="19" customWidth="1"/>
    <col min="7209" max="7209" width="4.625" style="19" customWidth="1"/>
    <col min="7210" max="7210" width="3.5" style="19" customWidth="1"/>
    <col min="7211" max="7221" width="3.125" style="19" customWidth="1"/>
    <col min="7222" max="7223" width="5.625" style="19" customWidth="1"/>
    <col min="7224" max="7268" width="2.625" style="19" customWidth="1"/>
    <col min="7269" max="7428" width="9" style="19"/>
    <col min="7429" max="7443" width="3.125" style="19" customWidth="1"/>
    <col min="7444" max="7444" width="5.5" style="19" customWidth="1"/>
    <col min="7445" max="7445" width="5.625" style="19" customWidth="1"/>
    <col min="7446" max="7461" width="3.125" style="19" customWidth="1"/>
    <col min="7462" max="7462" width="5.375" style="19" customWidth="1"/>
    <col min="7463" max="7464" width="3.125" style="19" customWidth="1"/>
    <col min="7465" max="7465" width="4.625" style="19" customWidth="1"/>
    <col min="7466" max="7466" width="3.5" style="19" customWidth="1"/>
    <col min="7467" max="7477" width="3.125" style="19" customWidth="1"/>
    <col min="7478" max="7479" width="5.625" style="19" customWidth="1"/>
    <col min="7480" max="7524" width="2.625" style="19" customWidth="1"/>
    <col min="7525" max="7684" width="9" style="19"/>
    <col min="7685" max="7699" width="3.125" style="19" customWidth="1"/>
    <col min="7700" max="7700" width="5.5" style="19" customWidth="1"/>
    <col min="7701" max="7701" width="5.625" style="19" customWidth="1"/>
    <col min="7702" max="7717" width="3.125" style="19" customWidth="1"/>
    <col min="7718" max="7718" width="5.375" style="19" customWidth="1"/>
    <col min="7719" max="7720" width="3.125" style="19" customWidth="1"/>
    <col min="7721" max="7721" width="4.625" style="19" customWidth="1"/>
    <col min="7722" max="7722" width="3.5" style="19" customWidth="1"/>
    <col min="7723" max="7733" width="3.125" style="19" customWidth="1"/>
    <col min="7734" max="7735" width="5.625" style="19" customWidth="1"/>
    <col min="7736" max="7780" width="2.625" style="19" customWidth="1"/>
    <col min="7781" max="7940" width="9" style="19"/>
    <col min="7941" max="7955" width="3.125" style="19" customWidth="1"/>
    <col min="7956" max="7956" width="5.5" style="19" customWidth="1"/>
    <col min="7957" max="7957" width="5.625" style="19" customWidth="1"/>
    <col min="7958" max="7973" width="3.125" style="19" customWidth="1"/>
    <col min="7974" max="7974" width="5.375" style="19" customWidth="1"/>
    <col min="7975" max="7976" width="3.125" style="19" customWidth="1"/>
    <col min="7977" max="7977" width="4.625" style="19" customWidth="1"/>
    <col min="7978" max="7978" width="3.5" style="19" customWidth="1"/>
    <col min="7979" max="7989" width="3.125" style="19" customWidth="1"/>
    <col min="7990" max="7991" width="5.625" style="19" customWidth="1"/>
    <col min="7992" max="8036" width="2.625" style="19" customWidth="1"/>
    <col min="8037" max="8196" width="9" style="19"/>
    <col min="8197" max="8211" width="3.125" style="19" customWidth="1"/>
    <col min="8212" max="8212" width="5.5" style="19" customWidth="1"/>
    <col min="8213" max="8213" width="5.625" style="19" customWidth="1"/>
    <col min="8214" max="8229" width="3.125" style="19" customWidth="1"/>
    <col min="8230" max="8230" width="5.375" style="19" customWidth="1"/>
    <col min="8231" max="8232" width="3.125" style="19" customWidth="1"/>
    <col min="8233" max="8233" width="4.625" style="19" customWidth="1"/>
    <col min="8234" max="8234" width="3.5" style="19" customWidth="1"/>
    <col min="8235" max="8245" width="3.125" style="19" customWidth="1"/>
    <col min="8246" max="8247" width="5.625" style="19" customWidth="1"/>
    <col min="8248" max="8292" width="2.625" style="19" customWidth="1"/>
    <col min="8293" max="8452" width="9" style="19"/>
    <col min="8453" max="8467" width="3.125" style="19" customWidth="1"/>
    <col min="8468" max="8468" width="5.5" style="19" customWidth="1"/>
    <col min="8469" max="8469" width="5.625" style="19" customWidth="1"/>
    <col min="8470" max="8485" width="3.125" style="19" customWidth="1"/>
    <col min="8486" max="8486" width="5.375" style="19" customWidth="1"/>
    <col min="8487" max="8488" width="3.125" style="19" customWidth="1"/>
    <col min="8489" max="8489" width="4.625" style="19" customWidth="1"/>
    <col min="8490" max="8490" width="3.5" style="19" customWidth="1"/>
    <col min="8491" max="8501" width="3.125" style="19" customWidth="1"/>
    <col min="8502" max="8503" width="5.625" style="19" customWidth="1"/>
    <col min="8504" max="8548" width="2.625" style="19" customWidth="1"/>
    <col min="8549" max="8708" width="9" style="19"/>
    <col min="8709" max="8723" width="3.125" style="19" customWidth="1"/>
    <col min="8724" max="8724" width="5.5" style="19" customWidth="1"/>
    <col min="8725" max="8725" width="5.625" style="19" customWidth="1"/>
    <col min="8726" max="8741" width="3.125" style="19" customWidth="1"/>
    <col min="8742" max="8742" width="5.375" style="19" customWidth="1"/>
    <col min="8743" max="8744" width="3.125" style="19" customWidth="1"/>
    <col min="8745" max="8745" width="4.625" style="19" customWidth="1"/>
    <col min="8746" max="8746" width="3.5" style="19" customWidth="1"/>
    <col min="8747" max="8757" width="3.125" style="19" customWidth="1"/>
    <col min="8758" max="8759" width="5.625" style="19" customWidth="1"/>
    <col min="8760" max="8804" width="2.625" style="19" customWidth="1"/>
    <col min="8805" max="8964" width="9" style="19"/>
    <col min="8965" max="8979" width="3.125" style="19" customWidth="1"/>
    <col min="8980" max="8980" width="5.5" style="19" customWidth="1"/>
    <col min="8981" max="8981" width="5.625" style="19" customWidth="1"/>
    <col min="8982" max="8997" width="3.125" style="19" customWidth="1"/>
    <col min="8998" max="8998" width="5.375" style="19" customWidth="1"/>
    <col min="8999" max="9000" width="3.125" style="19" customWidth="1"/>
    <col min="9001" max="9001" width="4.625" style="19" customWidth="1"/>
    <col min="9002" max="9002" width="3.5" style="19" customWidth="1"/>
    <col min="9003" max="9013" width="3.125" style="19" customWidth="1"/>
    <col min="9014" max="9015" width="5.625" style="19" customWidth="1"/>
    <col min="9016" max="9060" width="2.625" style="19" customWidth="1"/>
    <col min="9061" max="9220" width="9" style="19"/>
    <col min="9221" max="9235" width="3.125" style="19" customWidth="1"/>
    <col min="9236" max="9236" width="5.5" style="19" customWidth="1"/>
    <col min="9237" max="9237" width="5.625" style="19" customWidth="1"/>
    <col min="9238" max="9253" width="3.125" style="19" customWidth="1"/>
    <col min="9254" max="9254" width="5.375" style="19" customWidth="1"/>
    <col min="9255" max="9256" width="3.125" style="19" customWidth="1"/>
    <col min="9257" max="9257" width="4.625" style="19" customWidth="1"/>
    <col min="9258" max="9258" width="3.5" style="19" customWidth="1"/>
    <col min="9259" max="9269" width="3.125" style="19" customWidth="1"/>
    <col min="9270" max="9271" width="5.625" style="19" customWidth="1"/>
    <col min="9272" max="9316" width="2.625" style="19" customWidth="1"/>
    <col min="9317" max="9476" width="9" style="19"/>
    <col min="9477" max="9491" width="3.125" style="19" customWidth="1"/>
    <col min="9492" max="9492" width="5.5" style="19" customWidth="1"/>
    <col min="9493" max="9493" width="5.625" style="19" customWidth="1"/>
    <col min="9494" max="9509" width="3.125" style="19" customWidth="1"/>
    <col min="9510" max="9510" width="5.375" style="19" customWidth="1"/>
    <col min="9511" max="9512" width="3.125" style="19" customWidth="1"/>
    <col min="9513" max="9513" width="4.625" style="19" customWidth="1"/>
    <col min="9514" max="9514" width="3.5" style="19" customWidth="1"/>
    <col min="9515" max="9525" width="3.125" style="19" customWidth="1"/>
    <col min="9526" max="9527" width="5.625" style="19" customWidth="1"/>
    <col min="9528" max="9572" width="2.625" style="19" customWidth="1"/>
    <col min="9573" max="9732" width="9" style="19"/>
    <col min="9733" max="9747" width="3.125" style="19" customWidth="1"/>
    <col min="9748" max="9748" width="5.5" style="19" customWidth="1"/>
    <col min="9749" max="9749" width="5.625" style="19" customWidth="1"/>
    <col min="9750" max="9765" width="3.125" style="19" customWidth="1"/>
    <col min="9766" max="9766" width="5.375" style="19" customWidth="1"/>
    <col min="9767" max="9768" width="3.125" style="19" customWidth="1"/>
    <col min="9769" max="9769" width="4.625" style="19" customWidth="1"/>
    <col min="9770" max="9770" width="3.5" style="19" customWidth="1"/>
    <col min="9771" max="9781" width="3.125" style="19" customWidth="1"/>
    <col min="9782" max="9783" width="5.625" style="19" customWidth="1"/>
    <col min="9784" max="9828" width="2.625" style="19" customWidth="1"/>
    <col min="9829" max="9988" width="9" style="19"/>
    <col min="9989" max="10003" width="3.125" style="19" customWidth="1"/>
    <col min="10004" max="10004" width="5.5" style="19" customWidth="1"/>
    <col min="10005" max="10005" width="5.625" style="19" customWidth="1"/>
    <col min="10006" max="10021" width="3.125" style="19" customWidth="1"/>
    <col min="10022" max="10022" width="5.375" style="19" customWidth="1"/>
    <col min="10023" max="10024" width="3.125" style="19" customWidth="1"/>
    <col min="10025" max="10025" width="4.625" style="19" customWidth="1"/>
    <col min="10026" max="10026" width="3.5" style="19" customWidth="1"/>
    <col min="10027" max="10037" width="3.125" style="19" customWidth="1"/>
    <col min="10038" max="10039" width="5.625" style="19" customWidth="1"/>
    <col min="10040" max="10084" width="2.625" style="19" customWidth="1"/>
    <col min="10085" max="10244" width="9" style="19"/>
    <col min="10245" max="10259" width="3.125" style="19" customWidth="1"/>
    <col min="10260" max="10260" width="5.5" style="19" customWidth="1"/>
    <col min="10261" max="10261" width="5.625" style="19" customWidth="1"/>
    <col min="10262" max="10277" width="3.125" style="19" customWidth="1"/>
    <col min="10278" max="10278" width="5.375" style="19" customWidth="1"/>
    <col min="10279" max="10280" width="3.125" style="19" customWidth="1"/>
    <col min="10281" max="10281" width="4.625" style="19" customWidth="1"/>
    <col min="10282" max="10282" width="3.5" style="19" customWidth="1"/>
    <col min="10283" max="10293" width="3.125" style="19" customWidth="1"/>
    <col min="10294" max="10295" width="5.625" style="19" customWidth="1"/>
    <col min="10296" max="10340" width="2.625" style="19" customWidth="1"/>
    <col min="10341" max="10500" width="9" style="19"/>
    <col min="10501" max="10515" width="3.125" style="19" customWidth="1"/>
    <col min="10516" max="10516" width="5.5" style="19" customWidth="1"/>
    <col min="10517" max="10517" width="5.625" style="19" customWidth="1"/>
    <col min="10518" max="10533" width="3.125" style="19" customWidth="1"/>
    <col min="10534" max="10534" width="5.375" style="19" customWidth="1"/>
    <col min="10535" max="10536" width="3.125" style="19" customWidth="1"/>
    <col min="10537" max="10537" width="4.625" style="19" customWidth="1"/>
    <col min="10538" max="10538" width="3.5" style="19" customWidth="1"/>
    <col min="10539" max="10549" width="3.125" style="19" customWidth="1"/>
    <col min="10550" max="10551" width="5.625" style="19" customWidth="1"/>
    <col min="10552" max="10596" width="2.625" style="19" customWidth="1"/>
    <col min="10597" max="10756" width="9" style="19"/>
    <col min="10757" max="10771" width="3.125" style="19" customWidth="1"/>
    <col min="10772" max="10772" width="5.5" style="19" customWidth="1"/>
    <col min="10773" max="10773" width="5.625" style="19" customWidth="1"/>
    <col min="10774" max="10789" width="3.125" style="19" customWidth="1"/>
    <col min="10790" max="10790" width="5.375" style="19" customWidth="1"/>
    <col min="10791" max="10792" width="3.125" style="19" customWidth="1"/>
    <col min="10793" max="10793" width="4.625" style="19" customWidth="1"/>
    <col min="10794" max="10794" width="3.5" style="19" customWidth="1"/>
    <col min="10795" max="10805" width="3.125" style="19" customWidth="1"/>
    <col min="10806" max="10807" width="5.625" style="19" customWidth="1"/>
    <col min="10808" max="10852" width="2.625" style="19" customWidth="1"/>
    <col min="10853" max="11012" width="9" style="19"/>
    <col min="11013" max="11027" width="3.125" style="19" customWidth="1"/>
    <col min="11028" max="11028" width="5.5" style="19" customWidth="1"/>
    <col min="11029" max="11029" width="5.625" style="19" customWidth="1"/>
    <col min="11030" max="11045" width="3.125" style="19" customWidth="1"/>
    <col min="11046" max="11046" width="5.375" style="19" customWidth="1"/>
    <col min="11047" max="11048" width="3.125" style="19" customWidth="1"/>
    <col min="11049" max="11049" width="4.625" style="19" customWidth="1"/>
    <col min="11050" max="11050" width="3.5" style="19" customWidth="1"/>
    <col min="11051" max="11061" width="3.125" style="19" customWidth="1"/>
    <col min="11062" max="11063" width="5.625" style="19" customWidth="1"/>
    <col min="11064" max="11108" width="2.625" style="19" customWidth="1"/>
    <col min="11109" max="11268" width="9" style="19"/>
    <col min="11269" max="11283" width="3.125" style="19" customWidth="1"/>
    <col min="11284" max="11284" width="5.5" style="19" customWidth="1"/>
    <col min="11285" max="11285" width="5.625" style="19" customWidth="1"/>
    <col min="11286" max="11301" width="3.125" style="19" customWidth="1"/>
    <col min="11302" max="11302" width="5.375" style="19" customWidth="1"/>
    <col min="11303" max="11304" width="3.125" style="19" customWidth="1"/>
    <col min="11305" max="11305" width="4.625" style="19" customWidth="1"/>
    <col min="11306" max="11306" width="3.5" style="19" customWidth="1"/>
    <col min="11307" max="11317" width="3.125" style="19" customWidth="1"/>
    <col min="11318" max="11319" width="5.625" style="19" customWidth="1"/>
    <col min="11320" max="11364" width="2.625" style="19" customWidth="1"/>
    <col min="11365" max="11524" width="9" style="19"/>
    <col min="11525" max="11539" width="3.125" style="19" customWidth="1"/>
    <col min="11540" max="11540" width="5.5" style="19" customWidth="1"/>
    <col min="11541" max="11541" width="5.625" style="19" customWidth="1"/>
    <col min="11542" max="11557" width="3.125" style="19" customWidth="1"/>
    <col min="11558" max="11558" width="5.375" style="19" customWidth="1"/>
    <col min="11559" max="11560" width="3.125" style="19" customWidth="1"/>
    <col min="11561" max="11561" width="4.625" style="19" customWidth="1"/>
    <col min="11562" max="11562" width="3.5" style="19" customWidth="1"/>
    <col min="11563" max="11573" width="3.125" style="19" customWidth="1"/>
    <col min="11574" max="11575" width="5.625" style="19" customWidth="1"/>
    <col min="11576" max="11620" width="2.625" style="19" customWidth="1"/>
    <col min="11621" max="11780" width="9" style="19"/>
    <col min="11781" max="11795" width="3.125" style="19" customWidth="1"/>
    <col min="11796" max="11796" width="5.5" style="19" customWidth="1"/>
    <col min="11797" max="11797" width="5.625" style="19" customWidth="1"/>
    <col min="11798" max="11813" width="3.125" style="19" customWidth="1"/>
    <col min="11814" max="11814" width="5.375" style="19" customWidth="1"/>
    <col min="11815" max="11816" width="3.125" style="19" customWidth="1"/>
    <col min="11817" max="11817" width="4.625" style="19" customWidth="1"/>
    <col min="11818" max="11818" width="3.5" style="19" customWidth="1"/>
    <col min="11819" max="11829" width="3.125" style="19" customWidth="1"/>
    <col min="11830" max="11831" width="5.625" style="19" customWidth="1"/>
    <col min="11832" max="11876" width="2.625" style="19" customWidth="1"/>
    <col min="11877" max="12036" width="9" style="19"/>
    <col min="12037" max="12051" width="3.125" style="19" customWidth="1"/>
    <col min="12052" max="12052" width="5.5" style="19" customWidth="1"/>
    <col min="12053" max="12053" width="5.625" style="19" customWidth="1"/>
    <col min="12054" max="12069" width="3.125" style="19" customWidth="1"/>
    <col min="12070" max="12070" width="5.375" style="19" customWidth="1"/>
    <col min="12071" max="12072" width="3.125" style="19" customWidth="1"/>
    <col min="12073" max="12073" width="4.625" style="19" customWidth="1"/>
    <col min="12074" max="12074" width="3.5" style="19" customWidth="1"/>
    <col min="12075" max="12085" width="3.125" style="19" customWidth="1"/>
    <col min="12086" max="12087" width="5.625" style="19" customWidth="1"/>
    <col min="12088" max="12132" width="2.625" style="19" customWidth="1"/>
    <col min="12133" max="12292" width="9" style="19"/>
    <col min="12293" max="12307" width="3.125" style="19" customWidth="1"/>
    <col min="12308" max="12308" width="5.5" style="19" customWidth="1"/>
    <col min="12309" max="12309" width="5.625" style="19" customWidth="1"/>
    <col min="12310" max="12325" width="3.125" style="19" customWidth="1"/>
    <col min="12326" max="12326" width="5.375" style="19" customWidth="1"/>
    <col min="12327" max="12328" width="3.125" style="19" customWidth="1"/>
    <col min="12329" max="12329" width="4.625" style="19" customWidth="1"/>
    <col min="12330" max="12330" width="3.5" style="19" customWidth="1"/>
    <col min="12331" max="12341" width="3.125" style="19" customWidth="1"/>
    <col min="12342" max="12343" width="5.625" style="19" customWidth="1"/>
    <col min="12344" max="12388" width="2.625" style="19" customWidth="1"/>
    <col min="12389" max="12548" width="9" style="19"/>
    <col min="12549" max="12563" width="3.125" style="19" customWidth="1"/>
    <col min="12564" max="12564" width="5.5" style="19" customWidth="1"/>
    <col min="12565" max="12565" width="5.625" style="19" customWidth="1"/>
    <col min="12566" max="12581" width="3.125" style="19" customWidth="1"/>
    <col min="12582" max="12582" width="5.375" style="19" customWidth="1"/>
    <col min="12583" max="12584" width="3.125" style="19" customWidth="1"/>
    <col min="12585" max="12585" width="4.625" style="19" customWidth="1"/>
    <col min="12586" max="12586" width="3.5" style="19" customWidth="1"/>
    <col min="12587" max="12597" width="3.125" style="19" customWidth="1"/>
    <col min="12598" max="12599" width="5.625" style="19" customWidth="1"/>
    <col min="12600" max="12644" width="2.625" style="19" customWidth="1"/>
    <col min="12645" max="12804" width="9" style="19"/>
    <col min="12805" max="12819" width="3.125" style="19" customWidth="1"/>
    <col min="12820" max="12820" width="5.5" style="19" customWidth="1"/>
    <col min="12821" max="12821" width="5.625" style="19" customWidth="1"/>
    <col min="12822" max="12837" width="3.125" style="19" customWidth="1"/>
    <col min="12838" max="12838" width="5.375" style="19" customWidth="1"/>
    <col min="12839" max="12840" width="3.125" style="19" customWidth="1"/>
    <col min="12841" max="12841" width="4.625" style="19" customWidth="1"/>
    <col min="12842" max="12842" width="3.5" style="19" customWidth="1"/>
    <col min="12843" max="12853" width="3.125" style="19" customWidth="1"/>
    <col min="12854" max="12855" width="5.625" style="19" customWidth="1"/>
    <col min="12856" max="12900" width="2.625" style="19" customWidth="1"/>
    <col min="12901" max="13060" width="9" style="19"/>
    <col min="13061" max="13075" width="3.125" style="19" customWidth="1"/>
    <col min="13076" max="13076" width="5.5" style="19" customWidth="1"/>
    <col min="13077" max="13077" width="5.625" style="19" customWidth="1"/>
    <col min="13078" max="13093" width="3.125" style="19" customWidth="1"/>
    <col min="13094" max="13094" width="5.375" style="19" customWidth="1"/>
    <col min="13095" max="13096" width="3.125" style="19" customWidth="1"/>
    <col min="13097" max="13097" width="4.625" style="19" customWidth="1"/>
    <col min="13098" max="13098" width="3.5" style="19" customWidth="1"/>
    <col min="13099" max="13109" width="3.125" style="19" customWidth="1"/>
    <col min="13110" max="13111" width="5.625" style="19" customWidth="1"/>
    <col min="13112" max="13156" width="2.625" style="19" customWidth="1"/>
    <col min="13157" max="13316" width="9" style="19"/>
    <col min="13317" max="13331" width="3.125" style="19" customWidth="1"/>
    <col min="13332" max="13332" width="5.5" style="19" customWidth="1"/>
    <col min="13333" max="13333" width="5.625" style="19" customWidth="1"/>
    <col min="13334" max="13349" width="3.125" style="19" customWidth="1"/>
    <col min="13350" max="13350" width="5.375" style="19" customWidth="1"/>
    <col min="13351" max="13352" width="3.125" style="19" customWidth="1"/>
    <col min="13353" max="13353" width="4.625" style="19" customWidth="1"/>
    <col min="13354" max="13354" width="3.5" style="19" customWidth="1"/>
    <col min="13355" max="13365" width="3.125" style="19" customWidth="1"/>
    <col min="13366" max="13367" width="5.625" style="19" customWidth="1"/>
    <col min="13368" max="13412" width="2.625" style="19" customWidth="1"/>
    <col min="13413" max="13572" width="9" style="19"/>
    <col min="13573" max="13587" width="3.125" style="19" customWidth="1"/>
    <col min="13588" max="13588" width="5.5" style="19" customWidth="1"/>
    <col min="13589" max="13589" width="5.625" style="19" customWidth="1"/>
    <col min="13590" max="13605" width="3.125" style="19" customWidth="1"/>
    <col min="13606" max="13606" width="5.375" style="19" customWidth="1"/>
    <col min="13607" max="13608" width="3.125" style="19" customWidth="1"/>
    <col min="13609" max="13609" width="4.625" style="19" customWidth="1"/>
    <col min="13610" max="13610" width="3.5" style="19" customWidth="1"/>
    <col min="13611" max="13621" width="3.125" style="19" customWidth="1"/>
    <col min="13622" max="13623" width="5.625" style="19" customWidth="1"/>
    <col min="13624" max="13668" width="2.625" style="19" customWidth="1"/>
    <col min="13669" max="13828" width="9" style="19"/>
    <col min="13829" max="13843" width="3.125" style="19" customWidth="1"/>
    <col min="13844" max="13844" width="5.5" style="19" customWidth="1"/>
    <col min="13845" max="13845" width="5.625" style="19" customWidth="1"/>
    <col min="13846" max="13861" width="3.125" style="19" customWidth="1"/>
    <col min="13862" max="13862" width="5.375" style="19" customWidth="1"/>
    <col min="13863" max="13864" width="3.125" style="19" customWidth="1"/>
    <col min="13865" max="13865" width="4.625" style="19" customWidth="1"/>
    <col min="13866" max="13866" width="3.5" style="19" customWidth="1"/>
    <col min="13867" max="13877" width="3.125" style="19" customWidth="1"/>
    <col min="13878" max="13879" width="5.625" style="19" customWidth="1"/>
    <col min="13880" max="13924" width="2.625" style="19" customWidth="1"/>
    <col min="13925" max="14084" width="9" style="19"/>
    <col min="14085" max="14099" width="3.125" style="19" customWidth="1"/>
    <col min="14100" max="14100" width="5.5" style="19" customWidth="1"/>
    <col min="14101" max="14101" width="5.625" style="19" customWidth="1"/>
    <col min="14102" max="14117" width="3.125" style="19" customWidth="1"/>
    <col min="14118" max="14118" width="5.375" style="19" customWidth="1"/>
    <col min="14119" max="14120" width="3.125" style="19" customWidth="1"/>
    <col min="14121" max="14121" width="4.625" style="19" customWidth="1"/>
    <col min="14122" max="14122" width="3.5" style="19" customWidth="1"/>
    <col min="14123" max="14133" width="3.125" style="19" customWidth="1"/>
    <col min="14134" max="14135" width="5.625" style="19" customWidth="1"/>
    <col min="14136" max="14180" width="2.625" style="19" customWidth="1"/>
    <col min="14181" max="14340" width="9" style="19"/>
    <col min="14341" max="14355" width="3.125" style="19" customWidth="1"/>
    <col min="14356" max="14356" width="5.5" style="19" customWidth="1"/>
    <col min="14357" max="14357" width="5.625" style="19" customWidth="1"/>
    <col min="14358" max="14373" width="3.125" style="19" customWidth="1"/>
    <col min="14374" max="14374" width="5.375" style="19" customWidth="1"/>
    <col min="14375" max="14376" width="3.125" style="19" customWidth="1"/>
    <col min="14377" max="14377" width="4.625" style="19" customWidth="1"/>
    <col min="14378" max="14378" width="3.5" style="19" customWidth="1"/>
    <col min="14379" max="14389" width="3.125" style="19" customWidth="1"/>
    <col min="14390" max="14391" width="5.625" style="19" customWidth="1"/>
    <col min="14392" max="14436" width="2.625" style="19" customWidth="1"/>
    <col min="14437" max="14596" width="9" style="19"/>
    <col min="14597" max="14611" width="3.125" style="19" customWidth="1"/>
    <col min="14612" max="14612" width="5.5" style="19" customWidth="1"/>
    <col min="14613" max="14613" width="5.625" style="19" customWidth="1"/>
    <col min="14614" max="14629" width="3.125" style="19" customWidth="1"/>
    <col min="14630" max="14630" width="5.375" style="19" customWidth="1"/>
    <col min="14631" max="14632" width="3.125" style="19" customWidth="1"/>
    <col min="14633" max="14633" width="4.625" style="19" customWidth="1"/>
    <col min="14634" max="14634" width="3.5" style="19" customWidth="1"/>
    <col min="14635" max="14645" width="3.125" style="19" customWidth="1"/>
    <col min="14646" max="14647" width="5.625" style="19" customWidth="1"/>
    <col min="14648" max="14692" width="2.625" style="19" customWidth="1"/>
    <col min="14693" max="14852" width="9" style="19"/>
    <col min="14853" max="14867" width="3.125" style="19" customWidth="1"/>
    <col min="14868" max="14868" width="5.5" style="19" customWidth="1"/>
    <col min="14869" max="14869" width="5.625" style="19" customWidth="1"/>
    <col min="14870" max="14885" width="3.125" style="19" customWidth="1"/>
    <col min="14886" max="14886" width="5.375" style="19" customWidth="1"/>
    <col min="14887" max="14888" width="3.125" style="19" customWidth="1"/>
    <col min="14889" max="14889" width="4.625" style="19" customWidth="1"/>
    <col min="14890" max="14890" width="3.5" style="19" customWidth="1"/>
    <col min="14891" max="14901" width="3.125" style="19" customWidth="1"/>
    <col min="14902" max="14903" width="5.625" style="19" customWidth="1"/>
    <col min="14904" max="14948" width="2.625" style="19" customWidth="1"/>
    <col min="14949" max="15108" width="9" style="19"/>
    <col min="15109" max="15123" width="3.125" style="19" customWidth="1"/>
    <col min="15124" max="15124" width="5.5" style="19" customWidth="1"/>
    <col min="15125" max="15125" width="5.625" style="19" customWidth="1"/>
    <col min="15126" max="15141" width="3.125" style="19" customWidth="1"/>
    <col min="15142" max="15142" width="5.375" style="19" customWidth="1"/>
    <col min="15143" max="15144" width="3.125" style="19" customWidth="1"/>
    <col min="15145" max="15145" width="4.625" style="19" customWidth="1"/>
    <col min="15146" max="15146" width="3.5" style="19" customWidth="1"/>
    <col min="15147" max="15157" width="3.125" style="19" customWidth="1"/>
    <col min="15158" max="15159" width="5.625" style="19" customWidth="1"/>
    <col min="15160" max="15204" width="2.625" style="19" customWidth="1"/>
    <col min="15205" max="15364" width="9" style="19"/>
    <col min="15365" max="15379" width="3.125" style="19" customWidth="1"/>
    <col min="15380" max="15380" width="5.5" style="19" customWidth="1"/>
    <col min="15381" max="15381" width="5.625" style="19" customWidth="1"/>
    <col min="15382" max="15397" width="3.125" style="19" customWidth="1"/>
    <col min="15398" max="15398" width="5.375" style="19" customWidth="1"/>
    <col min="15399" max="15400" width="3.125" style="19" customWidth="1"/>
    <col min="15401" max="15401" width="4.625" style="19" customWidth="1"/>
    <col min="15402" max="15402" width="3.5" style="19" customWidth="1"/>
    <col min="15403" max="15413" width="3.125" style="19" customWidth="1"/>
    <col min="15414" max="15415" width="5.625" style="19" customWidth="1"/>
    <col min="15416" max="15460" width="2.625" style="19" customWidth="1"/>
    <col min="15461" max="15620" width="9" style="19"/>
    <col min="15621" max="15635" width="3.125" style="19" customWidth="1"/>
    <col min="15636" max="15636" width="5.5" style="19" customWidth="1"/>
    <col min="15637" max="15637" width="5.625" style="19" customWidth="1"/>
    <col min="15638" max="15653" width="3.125" style="19" customWidth="1"/>
    <col min="15654" max="15654" width="5.375" style="19" customWidth="1"/>
    <col min="15655" max="15656" width="3.125" style="19" customWidth="1"/>
    <col min="15657" max="15657" width="4.625" style="19" customWidth="1"/>
    <col min="15658" max="15658" width="3.5" style="19" customWidth="1"/>
    <col min="15659" max="15669" width="3.125" style="19" customWidth="1"/>
    <col min="15670" max="15671" width="5.625" style="19" customWidth="1"/>
    <col min="15672" max="15716" width="2.625" style="19" customWidth="1"/>
    <col min="15717" max="15876" width="9" style="19"/>
    <col min="15877" max="15891" width="3.125" style="19" customWidth="1"/>
    <col min="15892" max="15892" width="5.5" style="19" customWidth="1"/>
    <col min="15893" max="15893" width="5.625" style="19" customWidth="1"/>
    <col min="15894" max="15909" width="3.125" style="19" customWidth="1"/>
    <col min="15910" max="15910" width="5.375" style="19" customWidth="1"/>
    <col min="15911" max="15912" width="3.125" style="19" customWidth="1"/>
    <col min="15913" max="15913" width="4.625" style="19" customWidth="1"/>
    <col min="15914" max="15914" width="3.5" style="19" customWidth="1"/>
    <col min="15915" max="15925" width="3.125" style="19" customWidth="1"/>
    <col min="15926" max="15927" width="5.625" style="19" customWidth="1"/>
    <col min="15928" max="15972" width="2.625" style="19" customWidth="1"/>
    <col min="15973" max="16132" width="9" style="19"/>
    <col min="16133" max="16147" width="3.125" style="19" customWidth="1"/>
    <col min="16148" max="16148" width="5.5" style="19" customWidth="1"/>
    <col min="16149" max="16149" width="5.625" style="19" customWidth="1"/>
    <col min="16150" max="16165" width="3.125" style="19" customWidth="1"/>
    <col min="16166" max="16166" width="5.375" style="19" customWidth="1"/>
    <col min="16167" max="16168" width="3.125" style="19" customWidth="1"/>
    <col min="16169" max="16169" width="4.625" style="19" customWidth="1"/>
    <col min="16170" max="16170" width="3.5" style="19" customWidth="1"/>
    <col min="16171" max="16181" width="3.125" style="19" customWidth="1"/>
    <col min="16182" max="16183" width="5.625" style="19" customWidth="1"/>
    <col min="16184" max="16228" width="2.625" style="19" customWidth="1"/>
    <col min="16229" max="16384" width="9" style="19"/>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71</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35"/>
      <c r="AK16" s="35"/>
      <c r="AL16" s="35"/>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35"/>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08"/>
      <c r="AS17" s="208"/>
      <c r="AT17" s="208"/>
      <c r="AU17" s="208"/>
      <c r="AV17" s="208"/>
      <c r="AW17" s="208"/>
      <c r="AX17" s="208"/>
      <c r="AY17" s="208"/>
      <c r="AZ17" s="208"/>
      <c r="BA17" s="208"/>
    </row>
    <row r="18" spans="2:53" ht="13.5" customHeight="1" x14ac:dyDescent="0.15">
      <c r="B18" s="130" t="s">
        <v>1</v>
      </c>
      <c r="C18" s="130"/>
      <c r="D18" s="130"/>
      <c r="E18" s="130"/>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1"/>
      <c r="C19" s="131"/>
      <c r="D19" s="131"/>
      <c r="E19" s="131"/>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1" t="s">
        <v>47</v>
      </c>
      <c r="AV19" s="151"/>
      <c r="AW19" s="151"/>
      <c r="AX19" s="151"/>
      <c r="AY19" s="151"/>
      <c r="AZ19" s="151"/>
      <c r="BA19" s="151"/>
    </row>
    <row r="20" spans="2:53" s="21" customFormat="1" ht="13.5" customHeight="1" x14ac:dyDescent="0.15">
      <c r="B20" s="113" t="s">
        <v>2</v>
      </c>
      <c r="C20" s="114"/>
      <c r="D20" s="114"/>
      <c r="E20" s="114"/>
      <c r="F20" s="114"/>
      <c r="G20" s="114"/>
      <c r="H20" s="114"/>
      <c r="I20" s="113" t="s">
        <v>3</v>
      </c>
      <c r="J20" s="114"/>
      <c r="K20" s="114"/>
      <c r="L20" s="114"/>
      <c r="M20" s="114"/>
      <c r="N20" s="114"/>
      <c r="O20" s="114"/>
      <c r="P20" s="114"/>
      <c r="Q20" s="114"/>
      <c r="R20" s="114"/>
      <c r="S20" s="114"/>
      <c r="T20" s="114"/>
      <c r="U20" s="114"/>
      <c r="V20" s="114"/>
      <c r="W20" s="114"/>
      <c r="X20" s="114"/>
      <c r="Y20" s="97" t="s">
        <v>4</v>
      </c>
      <c r="Z20" s="97"/>
      <c r="AA20" s="97"/>
      <c r="AB20" s="97"/>
      <c r="AC20" s="167" t="s">
        <v>5</v>
      </c>
      <c r="AD20" s="167"/>
      <c r="AE20" s="167"/>
      <c r="AF20" s="167"/>
      <c r="AG20" s="97" t="s">
        <v>6</v>
      </c>
      <c r="AH20" s="97"/>
      <c r="AI20" s="97"/>
      <c r="AJ20" s="97"/>
      <c r="AK20" s="97"/>
      <c r="AL20" s="97"/>
      <c r="AM20" s="97"/>
      <c r="AN20" s="97"/>
      <c r="AO20" s="97"/>
      <c r="AP20" s="97"/>
      <c r="AQ20" s="97"/>
      <c r="AR20" s="97"/>
      <c r="AS20" s="97"/>
      <c r="AT20" s="97"/>
      <c r="AU20" s="97"/>
      <c r="AV20" s="97"/>
      <c r="AW20" s="97"/>
      <c r="AX20" s="97"/>
      <c r="AY20" s="97"/>
      <c r="AZ20" s="97"/>
      <c r="BA20" s="97"/>
    </row>
    <row r="21" spans="2:53" s="21" customFormat="1" ht="13.5" customHeight="1" x14ac:dyDescent="0.15">
      <c r="B21" s="116"/>
      <c r="C21" s="117"/>
      <c r="D21" s="117"/>
      <c r="E21" s="117"/>
      <c r="F21" s="117"/>
      <c r="G21" s="117"/>
      <c r="H21" s="117"/>
      <c r="I21" s="119"/>
      <c r="J21" s="120"/>
      <c r="K21" s="120"/>
      <c r="L21" s="120"/>
      <c r="M21" s="120"/>
      <c r="N21" s="120"/>
      <c r="O21" s="120"/>
      <c r="P21" s="120"/>
      <c r="Q21" s="120"/>
      <c r="R21" s="120"/>
      <c r="S21" s="120"/>
      <c r="T21" s="120"/>
      <c r="U21" s="120"/>
      <c r="V21" s="120"/>
      <c r="W21" s="120"/>
      <c r="X21" s="120"/>
      <c r="Y21" s="97"/>
      <c r="Z21" s="97"/>
      <c r="AA21" s="97"/>
      <c r="AB21" s="97"/>
      <c r="AC21" s="167"/>
      <c r="AD21" s="167"/>
      <c r="AE21" s="167"/>
      <c r="AF21" s="167"/>
      <c r="AG21" s="97"/>
      <c r="AH21" s="97"/>
      <c r="AI21" s="97"/>
      <c r="AJ21" s="97"/>
      <c r="AK21" s="97"/>
      <c r="AL21" s="97"/>
      <c r="AM21" s="97"/>
      <c r="AN21" s="97"/>
      <c r="AO21" s="97"/>
      <c r="AP21" s="97"/>
      <c r="AQ21" s="97"/>
      <c r="AR21" s="97"/>
      <c r="AS21" s="97"/>
      <c r="AT21" s="97"/>
      <c r="AU21" s="97"/>
      <c r="AV21" s="97"/>
      <c r="AW21" s="97"/>
      <c r="AX21" s="97"/>
      <c r="AY21" s="97"/>
      <c r="AZ21" s="97"/>
      <c r="BA21" s="97"/>
    </row>
    <row r="22" spans="2:53" s="21" customFormat="1" ht="13.5" customHeight="1" x14ac:dyDescent="0.15">
      <c r="B22" s="116"/>
      <c r="C22" s="117"/>
      <c r="D22" s="117"/>
      <c r="E22" s="117"/>
      <c r="F22" s="117"/>
      <c r="G22" s="117"/>
      <c r="H22" s="117"/>
      <c r="I22" s="113" t="s">
        <v>7</v>
      </c>
      <c r="J22" s="114"/>
      <c r="K22" s="114"/>
      <c r="L22" s="114"/>
      <c r="M22" s="113" t="s">
        <v>8</v>
      </c>
      <c r="N22" s="114"/>
      <c r="O22" s="114"/>
      <c r="P22" s="115"/>
      <c r="Q22" s="86" t="s">
        <v>49</v>
      </c>
      <c r="R22" s="87"/>
      <c r="S22" s="87"/>
      <c r="T22" s="87"/>
      <c r="U22" s="113" t="s">
        <v>9</v>
      </c>
      <c r="V22" s="114"/>
      <c r="W22" s="114"/>
      <c r="X22" s="114"/>
      <c r="Y22" s="97"/>
      <c r="Z22" s="97"/>
      <c r="AA22" s="97"/>
      <c r="AB22" s="97"/>
      <c r="AC22" s="167"/>
      <c r="AD22" s="167"/>
      <c r="AE22" s="167"/>
      <c r="AF22" s="167"/>
      <c r="AG22" s="97"/>
      <c r="AH22" s="97"/>
      <c r="AI22" s="97"/>
      <c r="AJ22" s="97"/>
      <c r="AK22" s="97"/>
      <c r="AL22" s="97"/>
      <c r="AM22" s="97"/>
      <c r="AN22" s="97"/>
      <c r="AO22" s="97"/>
      <c r="AP22" s="97"/>
      <c r="AQ22" s="97"/>
      <c r="AR22" s="97"/>
      <c r="AS22" s="97"/>
      <c r="AT22" s="97"/>
      <c r="AU22" s="97"/>
      <c r="AV22" s="97"/>
      <c r="AW22" s="97"/>
      <c r="AX22" s="97"/>
      <c r="AY22" s="97"/>
      <c r="AZ22" s="97"/>
      <c r="BA22" s="97"/>
    </row>
    <row r="23" spans="2:53" s="21" customFormat="1" ht="13.5" customHeight="1" x14ac:dyDescent="0.15">
      <c r="B23" s="116"/>
      <c r="C23" s="117"/>
      <c r="D23" s="117"/>
      <c r="E23" s="117"/>
      <c r="F23" s="117"/>
      <c r="G23" s="117"/>
      <c r="H23" s="117"/>
      <c r="I23" s="116"/>
      <c r="J23" s="117"/>
      <c r="K23" s="117"/>
      <c r="L23" s="117"/>
      <c r="M23" s="116"/>
      <c r="N23" s="117"/>
      <c r="O23" s="117"/>
      <c r="P23" s="118"/>
      <c r="Q23" s="89"/>
      <c r="R23" s="90"/>
      <c r="S23" s="90"/>
      <c r="T23" s="90"/>
      <c r="U23" s="116"/>
      <c r="V23" s="117"/>
      <c r="W23" s="117"/>
      <c r="X23" s="117"/>
      <c r="Y23" s="97"/>
      <c r="Z23" s="97"/>
      <c r="AA23" s="97"/>
      <c r="AB23" s="97"/>
      <c r="AC23" s="167"/>
      <c r="AD23" s="167"/>
      <c r="AE23" s="167"/>
      <c r="AF23" s="167"/>
      <c r="AG23" s="97"/>
      <c r="AH23" s="97"/>
      <c r="AI23" s="97"/>
      <c r="AJ23" s="97"/>
      <c r="AK23" s="97"/>
      <c r="AL23" s="97"/>
      <c r="AM23" s="97"/>
      <c r="AN23" s="97"/>
      <c r="AO23" s="97"/>
      <c r="AP23" s="97"/>
      <c r="AQ23" s="97"/>
      <c r="AR23" s="97"/>
      <c r="AS23" s="97"/>
      <c r="AT23" s="97"/>
      <c r="AU23" s="97"/>
      <c r="AV23" s="97"/>
      <c r="AW23" s="97"/>
      <c r="AX23" s="97"/>
      <c r="AY23" s="97"/>
      <c r="AZ23" s="97"/>
      <c r="BA23" s="97"/>
    </row>
    <row r="24" spans="2:53" s="21" customFormat="1" ht="13.5" customHeight="1" x14ac:dyDescent="0.15">
      <c r="B24" s="116"/>
      <c r="C24" s="117"/>
      <c r="D24" s="117"/>
      <c r="E24" s="117"/>
      <c r="F24" s="117"/>
      <c r="G24" s="117"/>
      <c r="H24" s="117"/>
      <c r="I24" s="116"/>
      <c r="J24" s="117"/>
      <c r="K24" s="117"/>
      <c r="L24" s="117"/>
      <c r="M24" s="116"/>
      <c r="N24" s="117"/>
      <c r="O24" s="117"/>
      <c r="P24" s="118"/>
      <c r="Q24" s="89"/>
      <c r="R24" s="90"/>
      <c r="S24" s="90"/>
      <c r="T24" s="90"/>
      <c r="U24" s="116"/>
      <c r="V24" s="117"/>
      <c r="W24" s="117"/>
      <c r="X24" s="117"/>
      <c r="Y24" s="97"/>
      <c r="Z24" s="97"/>
      <c r="AA24" s="97"/>
      <c r="AB24" s="97"/>
      <c r="AC24" s="167"/>
      <c r="AD24" s="167"/>
      <c r="AE24" s="167"/>
      <c r="AF24" s="167"/>
      <c r="AG24" s="97"/>
      <c r="AH24" s="97"/>
      <c r="AI24" s="97"/>
      <c r="AJ24" s="97"/>
      <c r="AK24" s="97"/>
      <c r="AL24" s="97"/>
      <c r="AM24" s="97"/>
      <c r="AN24" s="97"/>
      <c r="AO24" s="97"/>
      <c r="AP24" s="97"/>
      <c r="AQ24" s="97"/>
      <c r="AR24" s="97"/>
      <c r="AS24" s="97"/>
      <c r="AT24" s="97"/>
      <c r="AU24" s="97"/>
      <c r="AV24" s="97"/>
      <c r="AW24" s="97"/>
      <c r="AX24" s="97"/>
      <c r="AY24" s="97"/>
      <c r="AZ24" s="97"/>
      <c r="BA24" s="97"/>
    </row>
    <row r="25" spans="2:53" s="21" customFormat="1" ht="13.5" customHeight="1" x14ac:dyDescent="0.15">
      <c r="B25" s="119"/>
      <c r="C25" s="120"/>
      <c r="D25" s="120"/>
      <c r="E25" s="120"/>
      <c r="F25" s="120"/>
      <c r="G25" s="120"/>
      <c r="H25" s="120"/>
      <c r="I25" s="119"/>
      <c r="J25" s="120"/>
      <c r="K25" s="120"/>
      <c r="L25" s="120"/>
      <c r="M25" s="119"/>
      <c r="N25" s="120"/>
      <c r="O25" s="120"/>
      <c r="P25" s="121"/>
      <c r="Q25" s="92"/>
      <c r="R25" s="93"/>
      <c r="S25" s="93"/>
      <c r="T25" s="93"/>
      <c r="U25" s="119"/>
      <c r="V25" s="120"/>
      <c r="W25" s="120"/>
      <c r="X25" s="120"/>
      <c r="Y25" s="97"/>
      <c r="Z25" s="97"/>
      <c r="AA25" s="97"/>
      <c r="AB25" s="97"/>
      <c r="AC25" s="167"/>
      <c r="AD25" s="167"/>
      <c r="AE25" s="167"/>
      <c r="AF25" s="167"/>
      <c r="AG25" s="97"/>
      <c r="AH25" s="97"/>
      <c r="AI25" s="97"/>
      <c r="AJ25" s="97"/>
      <c r="AK25" s="97"/>
      <c r="AL25" s="97"/>
      <c r="AM25" s="97"/>
      <c r="AN25" s="97"/>
      <c r="AO25" s="97"/>
      <c r="AP25" s="97"/>
      <c r="AQ25" s="97"/>
      <c r="AR25" s="97"/>
      <c r="AS25" s="97"/>
      <c r="AT25" s="97"/>
      <c r="AU25" s="97"/>
      <c r="AV25" s="97"/>
      <c r="AW25" s="97"/>
      <c r="AX25" s="97"/>
      <c r="AY25" s="97"/>
      <c r="AZ25" s="97"/>
      <c r="BA25" s="97"/>
    </row>
    <row r="26" spans="2:53" s="21" customFormat="1" ht="18" customHeight="1" x14ac:dyDescent="0.15">
      <c r="B26" s="73" t="s">
        <v>10</v>
      </c>
      <c r="C26" s="74"/>
      <c r="D26" s="74"/>
      <c r="E26" s="74"/>
      <c r="F26" s="74"/>
      <c r="G26" s="74"/>
      <c r="H26" s="74"/>
      <c r="I26" s="73">
        <f>SUM(I28:L31)</f>
        <v>165454000</v>
      </c>
      <c r="J26" s="74"/>
      <c r="K26" s="74"/>
      <c r="L26" s="74"/>
      <c r="M26" s="73">
        <f>SUM(M28:P31)</f>
        <v>5893000</v>
      </c>
      <c r="N26" s="74"/>
      <c r="O26" s="74"/>
      <c r="P26" s="75"/>
      <c r="Q26" s="73">
        <f t="shared" ref="Q26" si="0">SUM(Q28:T31)</f>
        <v>0</v>
      </c>
      <c r="R26" s="74"/>
      <c r="S26" s="74"/>
      <c r="T26" s="75"/>
      <c r="U26" s="73">
        <f t="shared" ref="U26" si="1">SUM(U28:X31)</f>
        <v>171347000</v>
      </c>
      <c r="V26" s="74"/>
      <c r="W26" s="74"/>
      <c r="X26" s="74"/>
      <c r="Y26" s="85">
        <f t="shared" ref="Y26" si="2">SUM(Y28:AB31)</f>
        <v>171274607</v>
      </c>
      <c r="Z26" s="85"/>
      <c r="AA26" s="85"/>
      <c r="AB26" s="85"/>
      <c r="AC26" s="74">
        <f>Y26-U26</f>
        <v>-72393</v>
      </c>
      <c r="AD26" s="74"/>
      <c r="AE26" s="74"/>
      <c r="AF26" s="74"/>
      <c r="AG26" s="97"/>
      <c r="AH26" s="97"/>
      <c r="AI26" s="97"/>
      <c r="AJ26" s="97"/>
      <c r="AK26" s="97"/>
      <c r="AL26" s="97"/>
      <c r="AM26" s="97"/>
      <c r="AN26" s="97"/>
      <c r="AO26" s="97"/>
      <c r="AP26" s="97"/>
      <c r="AQ26" s="97"/>
      <c r="AR26" s="97"/>
      <c r="AS26" s="97"/>
      <c r="AT26" s="97"/>
      <c r="AU26" s="97"/>
      <c r="AV26" s="97"/>
      <c r="AW26" s="97"/>
      <c r="AX26" s="97"/>
      <c r="AY26" s="97"/>
      <c r="AZ26" s="97"/>
      <c r="BA26" s="97"/>
    </row>
    <row r="27" spans="2:53" s="21" customFormat="1" ht="18" customHeight="1" x14ac:dyDescent="0.15">
      <c r="B27" s="76"/>
      <c r="C27" s="77"/>
      <c r="D27" s="77"/>
      <c r="E27" s="77"/>
      <c r="F27" s="77"/>
      <c r="G27" s="77"/>
      <c r="H27" s="77"/>
      <c r="I27" s="76"/>
      <c r="J27" s="77"/>
      <c r="K27" s="77"/>
      <c r="L27" s="77"/>
      <c r="M27" s="76"/>
      <c r="N27" s="77"/>
      <c r="O27" s="77"/>
      <c r="P27" s="78"/>
      <c r="Q27" s="76"/>
      <c r="R27" s="77"/>
      <c r="S27" s="77"/>
      <c r="T27" s="78"/>
      <c r="U27" s="76"/>
      <c r="V27" s="77"/>
      <c r="W27" s="77"/>
      <c r="X27" s="77"/>
      <c r="Y27" s="85"/>
      <c r="Z27" s="85"/>
      <c r="AA27" s="85"/>
      <c r="AB27" s="85"/>
      <c r="AC27" s="77"/>
      <c r="AD27" s="77"/>
      <c r="AE27" s="77"/>
      <c r="AF27" s="77"/>
      <c r="AG27" s="97"/>
      <c r="AH27" s="97"/>
      <c r="AI27" s="97"/>
      <c r="AJ27" s="97"/>
      <c r="AK27" s="97"/>
      <c r="AL27" s="97"/>
      <c r="AM27" s="97"/>
      <c r="AN27" s="97"/>
      <c r="AO27" s="97"/>
      <c r="AP27" s="97"/>
      <c r="AQ27" s="97"/>
      <c r="AR27" s="97"/>
      <c r="AS27" s="97"/>
      <c r="AT27" s="97"/>
      <c r="AU27" s="97"/>
      <c r="AV27" s="97"/>
      <c r="AW27" s="97"/>
      <c r="AX27" s="97"/>
      <c r="AY27" s="97"/>
      <c r="AZ27" s="97"/>
      <c r="BA27" s="97"/>
    </row>
    <row r="28" spans="2:53" s="21" customFormat="1" ht="18" customHeight="1" x14ac:dyDescent="0.15">
      <c r="B28" s="73" t="s">
        <v>11</v>
      </c>
      <c r="C28" s="74"/>
      <c r="D28" s="74"/>
      <c r="E28" s="74"/>
      <c r="F28" s="74"/>
      <c r="G28" s="74"/>
      <c r="H28" s="74"/>
      <c r="I28" s="73">
        <v>125523000</v>
      </c>
      <c r="J28" s="74"/>
      <c r="K28" s="74"/>
      <c r="L28" s="74"/>
      <c r="M28" s="73">
        <v>-2948000</v>
      </c>
      <c r="N28" s="74"/>
      <c r="O28" s="74"/>
      <c r="P28" s="75"/>
      <c r="Q28" s="73">
        <v>0</v>
      </c>
      <c r="R28" s="74"/>
      <c r="S28" s="74"/>
      <c r="T28" s="75"/>
      <c r="U28" s="73">
        <f>SUM(I28:T29)</f>
        <v>122575000</v>
      </c>
      <c r="V28" s="74"/>
      <c r="W28" s="74"/>
      <c r="X28" s="74"/>
      <c r="Y28" s="85">
        <v>122871869</v>
      </c>
      <c r="Z28" s="85"/>
      <c r="AA28" s="85"/>
      <c r="AB28" s="85"/>
      <c r="AC28" s="169">
        <f>Y28-U28</f>
        <v>296869</v>
      </c>
      <c r="AD28" s="170"/>
      <c r="AE28" s="170"/>
      <c r="AF28" s="170"/>
      <c r="AG28" s="67" t="s">
        <v>72</v>
      </c>
      <c r="AH28" s="68"/>
      <c r="AI28" s="68"/>
      <c r="AJ28" s="68"/>
      <c r="AK28" s="68"/>
      <c r="AL28" s="68"/>
      <c r="AM28" s="68"/>
      <c r="AN28" s="68"/>
      <c r="AO28" s="68"/>
      <c r="AP28" s="68"/>
      <c r="AQ28" s="68"/>
      <c r="AR28" s="68"/>
      <c r="AS28" s="68"/>
      <c r="AT28" s="68"/>
      <c r="AU28" s="68"/>
      <c r="AV28" s="68"/>
      <c r="AW28" s="68"/>
      <c r="AX28" s="68"/>
      <c r="AY28" s="68"/>
      <c r="AZ28" s="68"/>
      <c r="BA28" s="69"/>
    </row>
    <row r="29" spans="2:53" s="21" customFormat="1" ht="18" customHeight="1" x14ac:dyDescent="0.15">
      <c r="B29" s="76"/>
      <c r="C29" s="77"/>
      <c r="D29" s="77"/>
      <c r="E29" s="77"/>
      <c r="F29" s="77"/>
      <c r="G29" s="77"/>
      <c r="H29" s="77"/>
      <c r="I29" s="76"/>
      <c r="J29" s="77"/>
      <c r="K29" s="77"/>
      <c r="L29" s="77"/>
      <c r="M29" s="76"/>
      <c r="N29" s="77"/>
      <c r="O29" s="77"/>
      <c r="P29" s="78"/>
      <c r="Q29" s="76"/>
      <c r="R29" s="77"/>
      <c r="S29" s="77"/>
      <c r="T29" s="78"/>
      <c r="U29" s="76"/>
      <c r="V29" s="77"/>
      <c r="W29" s="77"/>
      <c r="X29" s="77"/>
      <c r="Y29" s="85"/>
      <c r="Z29" s="85"/>
      <c r="AA29" s="85"/>
      <c r="AB29" s="85"/>
      <c r="AC29" s="171"/>
      <c r="AD29" s="172"/>
      <c r="AE29" s="172"/>
      <c r="AF29" s="172"/>
      <c r="AG29" s="70"/>
      <c r="AH29" s="71"/>
      <c r="AI29" s="71"/>
      <c r="AJ29" s="71"/>
      <c r="AK29" s="71"/>
      <c r="AL29" s="71"/>
      <c r="AM29" s="71"/>
      <c r="AN29" s="71"/>
      <c r="AO29" s="71"/>
      <c r="AP29" s="71"/>
      <c r="AQ29" s="71"/>
      <c r="AR29" s="71"/>
      <c r="AS29" s="71"/>
      <c r="AT29" s="71"/>
      <c r="AU29" s="71"/>
      <c r="AV29" s="71"/>
      <c r="AW29" s="71"/>
      <c r="AX29" s="71"/>
      <c r="AY29" s="71"/>
      <c r="AZ29" s="71"/>
      <c r="BA29" s="72"/>
    </row>
    <row r="30" spans="2:53" s="21" customFormat="1" ht="18" customHeight="1" x14ac:dyDescent="0.15">
      <c r="B30" s="73" t="s">
        <v>12</v>
      </c>
      <c r="C30" s="74"/>
      <c r="D30" s="74"/>
      <c r="E30" s="74"/>
      <c r="F30" s="74"/>
      <c r="G30" s="74"/>
      <c r="H30" s="75"/>
      <c r="I30" s="73">
        <v>39931000</v>
      </c>
      <c r="J30" s="74"/>
      <c r="K30" s="74"/>
      <c r="L30" s="75"/>
      <c r="M30" s="73">
        <v>8841000</v>
      </c>
      <c r="N30" s="74"/>
      <c r="O30" s="74"/>
      <c r="P30" s="75"/>
      <c r="Q30" s="73">
        <v>0</v>
      </c>
      <c r="R30" s="74"/>
      <c r="S30" s="74"/>
      <c r="T30" s="75"/>
      <c r="U30" s="73">
        <f>SUM(I30:T31)</f>
        <v>48772000</v>
      </c>
      <c r="V30" s="74"/>
      <c r="W30" s="74"/>
      <c r="X30" s="74"/>
      <c r="Y30" s="85">
        <v>48402738</v>
      </c>
      <c r="Z30" s="85"/>
      <c r="AA30" s="85"/>
      <c r="AB30" s="85"/>
      <c r="AC30" s="73">
        <f>Y30-U30</f>
        <v>-369262</v>
      </c>
      <c r="AD30" s="74"/>
      <c r="AE30" s="74"/>
      <c r="AF30" s="74"/>
      <c r="AG30" s="133"/>
      <c r="AH30" s="133"/>
      <c r="AI30" s="133"/>
      <c r="AJ30" s="133"/>
      <c r="AK30" s="133"/>
      <c r="AL30" s="133"/>
      <c r="AM30" s="133"/>
      <c r="AN30" s="133"/>
      <c r="AO30" s="133"/>
      <c r="AP30" s="133"/>
      <c r="AQ30" s="133"/>
      <c r="AR30" s="133"/>
      <c r="AS30" s="133"/>
      <c r="AT30" s="133"/>
      <c r="AU30" s="133"/>
      <c r="AV30" s="133"/>
      <c r="AW30" s="133"/>
      <c r="AX30" s="133"/>
      <c r="AY30" s="133"/>
      <c r="AZ30" s="133"/>
      <c r="BA30" s="133"/>
    </row>
    <row r="31" spans="2:53" s="21" customFormat="1" ht="18" customHeight="1" x14ac:dyDescent="0.15">
      <c r="B31" s="76"/>
      <c r="C31" s="77"/>
      <c r="D31" s="77"/>
      <c r="E31" s="77"/>
      <c r="F31" s="77"/>
      <c r="G31" s="77"/>
      <c r="H31" s="78"/>
      <c r="I31" s="76"/>
      <c r="J31" s="77"/>
      <c r="K31" s="77"/>
      <c r="L31" s="78"/>
      <c r="M31" s="76"/>
      <c r="N31" s="77"/>
      <c r="O31" s="77"/>
      <c r="P31" s="78"/>
      <c r="Q31" s="76"/>
      <c r="R31" s="77"/>
      <c r="S31" s="77"/>
      <c r="T31" s="78"/>
      <c r="U31" s="76"/>
      <c r="V31" s="77"/>
      <c r="W31" s="77"/>
      <c r="X31" s="77"/>
      <c r="Y31" s="85"/>
      <c r="Z31" s="85"/>
      <c r="AA31" s="85"/>
      <c r="AB31" s="85"/>
      <c r="AC31" s="76"/>
      <c r="AD31" s="77"/>
      <c r="AE31" s="77"/>
      <c r="AF31" s="77"/>
      <c r="AG31" s="133"/>
      <c r="AH31" s="133"/>
      <c r="AI31" s="133"/>
      <c r="AJ31" s="133"/>
      <c r="AK31" s="133"/>
      <c r="AL31" s="133"/>
      <c r="AM31" s="133"/>
      <c r="AN31" s="133"/>
      <c r="AO31" s="133"/>
      <c r="AP31" s="133"/>
      <c r="AQ31" s="133"/>
      <c r="AR31" s="133"/>
      <c r="AS31" s="133"/>
      <c r="AT31" s="133"/>
      <c r="AU31" s="133"/>
      <c r="AV31" s="133"/>
      <c r="AW31" s="133"/>
      <c r="AX31" s="133"/>
      <c r="AY31" s="133"/>
      <c r="AZ31" s="133"/>
      <c r="BA31" s="133"/>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1"/>
      <c r="C34" s="131"/>
      <c r="D34" s="131"/>
      <c r="E34" s="131"/>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1" t="s">
        <v>47</v>
      </c>
      <c r="AV34" s="151"/>
      <c r="AW34" s="151"/>
      <c r="AX34" s="151"/>
      <c r="AY34" s="151"/>
      <c r="AZ34" s="151"/>
      <c r="BA34" s="151"/>
    </row>
    <row r="35" spans="2:53" s="21" customFormat="1" ht="13.5" customHeight="1" x14ac:dyDescent="0.15">
      <c r="B35" s="97" t="s">
        <v>2</v>
      </c>
      <c r="C35" s="97"/>
      <c r="D35" s="97"/>
      <c r="E35" s="97"/>
      <c r="F35" s="97"/>
      <c r="G35" s="97"/>
      <c r="H35" s="97"/>
      <c r="I35" s="113" t="s">
        <v>14</v>
      </c>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5"/>
      <c r="AH35" s="113" t="s">
        <v>15</v>
      </c>
      <c r="AI35" s="114"/>
      <c r="AJ35" s="114"/>
      <c r="AK35" s="115"/>
      <c r="AL35" s="95" t="s">
        <v>16</v>
      </c>
      <c r="AM35" s="95"/>
      <c r="AN35" s="97" t="s">
        <v>17</v>
      </c>
      <c r="AO35" s="97"/>
      <c r="AP35" s="97"/>
      <c r="AQ35" s="97"/>
      <c r="AR35" s="113" t="s">
        <v>18</v>
      </c>
      <c r="AS35" s="114"/>
      <c r="AT35" s="114"/>
      <c r="AU35" s="114"/>
      <c r="AV35" s="114"/>
      <c r="AW35" s="114"/>
      <c r="AX35" s="114"/>
      <c r="AY35" s="114"/>
      <c r="AZ35" s="114"/>
      <c r="BA35" s="115"/>
    </row>
    <row r="36" spans="2:53" s="21" customFormat="1" ht="13.5" customHeight="1" x14ac:dyDescent="0.15">
      <c r="B36" s="97"/>
      <c r="C36" s="97"/>
      <c r="D36" s="97"/>
      <c r="E36" s="97"/>
      <c r="F36" s="97"/>
      <c r="G36" s="97"/>
      <c r="H36" s="97"/>
      <c r="I36" s="119"/>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1"/>
      <c r="AH36" s="116"/>
      <c r="AI36" s="117"/>
      <c r="AJ36" s="117"/>
      <c r="AK36" s="118"/>
      <c r="AL36" s="95"/>
      <c r="AM36" s="95"/>
      <c r="AN36" s="97"/>
      <c r="AO36" s="97"/>
      <c r="AP36" s="97"/>
      <c r="AQ36" s="97"/>
      <c r="AR36" s="116"/>
      <c r="AS36" s="117"/>
      <c r="AT36" s="117"/>
      <c r="AU36" s="117"/>
      <c r="AV36" s="117"/>
      <c r="AW36" s="117"/>
      <c r="AX36" s="117"/>
      <c r="AY36" s="117"/>
      <c r="AZ36" s="117"/>
      <c r="BA36" s="118"/>
    </row>
    <row r="37" spans="2:53" s="21" customFormat="1" ht="13.5" customHeight="1" x14ac:dyDescent="0.15">
      <c r="B37" s="97"/>
      <c r="C37" s="97"/>
      <c r="D37" s="97"/>
      <c r="E37" s="97"/>
      <c r="F37" s="97"/>
      <c r="G37" s="97"/>
      <c r="H37" s="97"/>
      <c r="I37" s="97" t="s">
        <v>19</v>
      </c>
      <c r="J37" s="97"/>
      <c r="K37" s="97"/>
      <c r="L37" s="97"/>
      <c r="M37" s="97" t="s">
        <v>20</v>
      </c>
      <c r="N37" s="97"/>
      <c r="O37" s="97"/>
      <c r="P37" s="97"/>
      <c r="Q37" s="167" t="s">
        <v>21</v>
      </c>
      <c r="R37" s="167"/>
      <c r="S37" s="167" t="s">
        <v>22</v>
      </c>
      <c r="T37" s="167"/>
      <c r="U37" s="167"/>
      <c r="V37" s="95" t="s">
        <v>23</v>
      </c>
      <c r="W37" s="95"/>
      <c r="X37" s="97" t="s">
        <v>24</v>
      </c>
      <c r="Y37" s="97"/>
      <c r="Z37" s="97"/>
      <c r="AA37" s="97"/>
      <c r="AB37" s="95" t="s">
        <v>16</v>
      </c>
      <c r="AC37" s="95"/>
      <c r="AD37" s="97" t="s">
        <v>25</v>
      </c>
      <c r="AE37" s="97"/>
      <c r="AF37" s="97"/>
      <c r="AG37" s="97"/>
      <c r="AH37" s="116"/>
      <c r="AI37" s="117"/>
      <c r="AJ37" s="117"/>
      <c r="AK37" s="118"/>
      <c r="AL37" s="95"/>
      <c r="AM37" s="95"/>
      <c r="AN37" s="97"/>
      <c r="AO37" s="97"/>
      <c r="AP37" s="97"/>
      <c r="AQ37" s="97"/>
      <c r="AR37" s="116"/>
      <c r="AS37" s="117"/>
      <c r="AT37" s="117"/>
      <c r="AU37" s="117"/>
      <c r="AV37" s="117"/>
      <c r="AW37" s="117"/>
      <c r="AX37" s="117"/>
      <c r="AY37" s="117"/>
      <c r="AZ37" s="117"/>
      <c r="BA37" s="118"/>
    </row>
    <row r="38" spans="2:53" s="21" customFormat="1" ht="13.5" customHeight="1" x14ac:dyDescent="0.15">
      <c r="B38" s="97"/>
      <c r="C38" s="97"/>
      <c r="D38" s="97"/>
      <c r="E38" s="97"/>
      <c r="F38" s="97"/>
      <c r="G38" s="97"/>
      <c r="H38" s="97"/>
      <c r="I38" s="97"/>
      <c r="J38" s="97"/>
      <c r="K38" s="97"/>
      <c r="L38" s="97"/>
      <c r="M38" s="97"/>
      <c r="N38" s="97"/>
      <c r="O38" s="97"/>
      <c r="P38" s="97"/>
      <c r="Q38" s="167"/>
      <c r="R38" s="167"/>
      <c r="S38" s="167"/>
      <c r="T38" s="167"/>
      <c r="U38" s="167"/>
      <c r="V38" s="95"/>
      <c r="W38" s="95"/>
      <c r="X38" s="97"/>
      <c r="Y38" s="97"/>
      <c r="Z38" s="97"/>
      <c r="AA38" s="97"/>
      <c r="AB38" s="95"/>
      <c r="AC38" s="95"/>
      <c r="AD38" s="97"/>
      <c r="AE38" s="97"/>
      <c r="AF38" s="97"/>
      <c r="AG38" s="97"/>
      <c r="AH38" s="116"/>
      <c r="AI38" s="117"/>
      <c r="AJ38" s="117"/>
      <c r="AK38" s="118"/>
      <c r="AL38" s="95"/>
      <c r="AM38" s="95"/>
      <c r="AN38" s="97"/>
      <c r="AO38" s="97"/>
      <c r="AP38" s="97"/>
      <c r="AQ38" s="97"/>
      <c r="AR38" s="116"/>
      <c r="AS38" s="117"/>
      <c r="AT38" s="117"/>
      <c r="AU38" s="117"/>
      <c r="AV38" s="117"/>
      <c r="AW38" s="117"/>
      <c r="AX38" s="117"/>
      <c r="AY38" s="117"/>
      <c r="AZ38" s="117"/>
      <c r="BA38" s="118"/>
    </row>
    <row r="39" spans="2:53" s="21" customFormat="1" ht="13.5" customHeight="1" x14ac:dyDescent="0.15">
      <c r="B39" s="97"/>
      <c r="C39" s="97"/>
      <c r="D39" s="97"/>
      <c r="E39" s="97"/>
      <c r="F39" s="97"/>
      <c r="G39" s="97"/>
      <c r="H39" s="97"/>
      <c r="I39" s="97"/>
      <c r="J39" s="97"/>
      <c r="K39" s="97"/>
      <c r="L39" s="97"/>
      <c r="M39" s="97"/>
      <c r="N39" s="97"/>
      <c r="O39" s="97"/>
      <c r="P39" s="97"/>
      <c r="Q39" s="167"/>
      <c r="R39" s="167"/>
      <c r="S39" s="167"/>
      <c r="T39" s="167"/>
      <c r="U39" s="167"/>
      <c r="V39" s="95"/>
      <c r="W39" s="95"/>
      <c r="X39" s="97"/>
      <c r="Y39" s="97"/>
      <c r="Z39" s="97"/>
      <c r="AA39" s="97"/>
      <c r="AB39" s="95"/>
      <c r="AC39" s="95"/>
      <c r="AD39" s="97"/>
      <c r="AE39" s="97"/>
      <c r="AF39" s="97"/>
      <c r="AG39" s="97"/>
      <c r="AH39" s="116"/>
      <c r="AI39" s="117"/>
      <c r="AJ39" s="117"/>
      <c r="AK39" s="118"/>
      <c r="AL39" s="95"/>
      <c r="AM39" s="95"/>
      <c r="AN39" s="97"/>
      <c r="AO39" s="97"/>
      <c r="AP39" s="97"/>
      <c r="AQ39" s="97"/>
      <c r="AR39" s="116"/>
      <c r="AS39" s="117"/>
      <c r="AT39" s="117"/>
      <c r="AU39" s="117"/>
      <c r="AV39" s="117"/>
      <c r="AW39" s="117"/>
      <c r="AX39" s="117"/>
      <c r="AY39" s="117"/>
      <c r="AZ39" s="117"/>
      <c r="BA39" s="118"/>
    </row>
    <row r="40" spans="2:53" s="21" customFormat="1" ht="13.5" customHeight="1" x14ac:dyDescent="0.15">
      <c r="B40" s="97"/>
      <c r="C40" s="97"/>
      <c r="D40" s="97"/>
      <c r="E40" s="97"/>
      <c r="F40" s="97"/>
      <c r="G40" s="97"/>
      <c r="H40" s="97"/>
      <c r="I40" s="97"/>
      <c r="J40" s="97"/>
      <c r="K40" s="97"/>
      <c r="L40" s="97"/>
      <c r="M40" s="97"/>
      <c r="N40" s="97"/>
      <c r="O40" s="97"/>
      <c r="P40" s="97"/>
      <c r="Q40" s="167"/>
      <c r="R40" s="167"/>
      <c r="S40" s="167"/>
      <c r="T40" s="167"/>
      <c r="U40" s="167"/>
      <c r="V40" s="95"/>
      <c r="W40" s="95"/>
      <c r="X40" s="97"/>
      <c r="Y40" s="97"/>
      <c r="Z40" s="97"/>
      <c r="AA40" s="97"/>
      <c r="AB40" s="95"/>
      <c r="AC40" s="95"/>
      <c r="AD40" s="97"/>
      <c r="AE40" s="97"/>
      <c r="AF40" s="97"/>
      <c r="AG40" s="97"/>
      <c r="AH40" s="119"/>
      <c r="AI40" s="120"/>
      <c r="AJ40" s="120"/>
      <c r="AK40" s="121"/>
      <c r="AL40" s="95"/>
      <c r="AM40" s="95"/>
      <c r="AN40" s="97"/>
      <c r="AO40" s="97"/>
      <c r="AP40" s="97"/>
      <c r="AQ40" s="97"/>
      <c r="AR40" s="119"/>
      <c r="AS40" s="120"/>
      <c r="AT40" s="120"/>
      <c r="AU40" s="120"/>
      <c r="AV40" s="120"/>
      <c r="AW40" s="120"/>
      <c r="AX40" s="120"/>
      <c r="AY40" s="120"/>
      <c r="AZ40" s="120"/>
      <c r="BA40" s="121"/>
    </row>
    <row r="41" spans="2:53" s="21" customFormat="1" ht="18" customHeight="1" x14ac:dyDescent="0.15">
      <c r="B41" s="85" t="s">
        <v>26</v>
      </c>
      <c r="C41" s="85"/>
      <c r="D41" s="85"/>
      <c r="E41" s="85"/>
      <c r="F41" s="85"/>
      <c r="G41" s="85"/>
      <c r="H41" s="85"/>
      <c r="I41" s="161">
        <f>SUM(I43:L48)</f>
        <v>161383000</v>
      </c>
      <c r="J41" s="162"/>
      <c r="K41" s="162"/>
      <c r="L41" s="163"/>
      <c r="M41" s="161">
        <f>SUM(M43:P48)</f>
        <v>1890000</v>
      </c>
      <c r="N41" s="162"/>
      <c r="O41" s="162"/>
      <c r="P41" s="163"/>
      <c r="Q41" s="85">
        <f>SUM(Q43:R48)</f>
        <v>0</v>
      </c>
      <c r="R41" s="85"/>
      <c r="S41" s="85">
        <f>SUM(S43:U48)</f>
        <v>0</v>
      </c>
      <c r="T41" s="85"/>
      <c r="U41" s="85"/>
      <c r="V41" s="161">
        <f>SUM(V43:W48)</f>
        <v>0</v>
      </c>
      <c r="W41" s="163"/>
      <c r="X41" s="161">
        <f>SUM(X43:AA48)</f>
        <v>163273000</v>
      </c>
      <c r="Y41" s="162"/>
      <c r="Z41" s="162"/>
      <c r="AA41" s="163"/>
      <c r="AB41" s="73">
        <f>SUM(AB43:AC48)</f>
        <v>0</v>
      </c>
      <c r="AC41" s="74"/>
      <c r="AD41" s="161">
        <f>SUM(AD43:AG48)</f>
        <v>163273000</v>
      </c>
      <c r="AE41" s="162"/>
      <c r="AF41" s="162"/>
      <c r="AG41" s="163"/>
      <c r="AH41" s="73">
        <f>SUM(AH43:AK48)</f>
        <v>159770180</v>
      </c>
      <c r="AI41" s="74"/>
      <c r="AJ41" s="74"/>
      <c r="AK41" s="74"/>
      <c r="AL41" s="62">
        <f>SUM(AL43:AM48)</f>
        <v>0</v>
      </c>
      <c r="AM41" s="62"/>
      <c r="AN41" s="62">
        <f>SUM(AN43:AQ48)</f>
        <v>3502820</v>
      </c>
      <c r="AO41" s="62"/>
      <c r="AP41" s="62"/>
      <c r="AQ41" s="62"/>
      <c r="AR41" s="122"/>
      <c r="AS41" s="123"/>
      <c r="AT41" s="123"/>
      <c r="AU41" s="123"/>
      <c r="AV41" s="123"/>
      <c r="AW41" s="123"/>
      <c r="AX41" s="123"/>
      <c r="AY41" s="123"/>
      <c r="AZ41" s="123"/>
      <c r="BA41" s="124"/>
    </row>
    <row r="42" spans="2:53" s="21" customFormat="1" ht="18" customHeight="1" x14ac:dyDescent="0.15">
      <c r="B42" s="85"/>
      <c r="C42" s="85"/>
      <c r="D42" s="85"/>
      <c r="E42" s="85"/>
      <c r="F42" s="85"/>
      <c r="G42" s="85"/>
      <c r="H42" s="85"/>
      <c r="I42" s="164"/>
      <c r="J42" s="165"/>
      <c r="K42" s="165"/>
      <c r="L42" s="166"/>
      <c r="M42" s="164"/>
      <c r="N42" s="165"/>
      <c r="O42" s="165"/>
      <c r="P42" s="166"/>
      <c r="Q42" s="85"/>
      <c r="R42" s="85"/>
      <c r="S42" s="85"/>
      <c r="T42" s="85"/>
      <c r="U42" s="85"/>
      <c r="V42" s="164"/>
      <c r="W42" s="166"/>
      <c r="X42" s="164"/>
      <c r="Y42" s="165"/>
      <c r="Z42" s="165"/>
      <c r="AA42" s="166"/>
      <c r="AB42" s="76"/>
      <c r="AC42" s="77"/>
      <c r="AD42" s="164"/>
      <c r="AE42" s="165"/>
      <c r="AF42" s="165"/>
      <c r="AG42" s="166"/>
      <c r="AH42" s="76"/>
      <c r="AI42" s="77"/>
      <c r="AJ42" s="77"/>
      <c r="AK42" s="77"/>
      <c r="AL42" s="62"/>
      <c r="AM42" s="62"/>
      <c r="AN42" s="62"/>
      <c r="AO42" s="62"/>
      <c r="AP42" s="62"/>
      <c r="AQ42" s="62"/>
      <c r="AR42" s="125"/>
      <c r="AS42" s="126"/>
      <c r="AT42" s="126"/>
      <c r="AU42" s="126"/>
      <c r="AV42" s="126"/>
      <c r="AW42" s="126"/>
      <c r="AX42" s="126"/>
      <c r="AY42" s="126"/>
      <c r="AZ42" s="126"/>
      <c r="BA42" s="127"/>
    </row>
    <row r="43" spans="2:53" s="21" customFormat="1" ht="18" customHeight="1" x14ac:dyDescent="0.15">
      <c r="B43" s="85" t="s">
        <v>27</v>
      </c>
      <c r="C43" s="85"/>
      <c r="D43" s="85"/>
      <c r="E43" s="85"/>
      <c r="F43" s="85"/>
      <c r="G43" s="85"/>
      <c r="H43" s="85"/>
      <c r="I43" s="85">
        <v>152245000</v>
      </c>
      <c r="J43" s="85"/>
      <c r="K43" s="85"/>
      <c r="L43" s="85"/>
      <c r="M43" s="85">
        <v>4241000</v>
      </c>
      <c r="N43" s="85"/>
      <c r="O43" s="85"/>
      <c r="P43" s="85"/>
      <c r="Q43" s="85">
        <v>0</v>
      </c>
      <c r="R43" s="85"/>
      <c r="S43" s="62">
        <v>0</v>
      </c>
      <c r="T43" s="62"/>
      <c r="U43" s="62"/>
      <c r="V43" s="85">
        <v>0</v>
      </c>
      <c r="W43" s="85"/>
      <c r="X43" s="85">
        <f>SUM(I43:T44)</f>
        <v>156486000</v>
      </c>
      <c r="Y43" s="85"/>
      <c r="Z43" s="85"/>
      <c r="AA43" s="85"/>
      <c r="AB43" s="73">
        <v>0</v>
      </c>
      <c r="AC43" s="75"/>
      <c r="AD43" s="85">
        <f>SUM(X43:AC44)</f>
        <v>156486000</v>
      </c>
      <c r="AE43" s="85"/>
      <c r="AF43" s="85"/>
      <c r="AG43" s="85"/>
      <c r="AH43" s="73">
        <v>153493841</v>
      </c>
      <c r="AI43" s="74"/>
      <c r="AJ43" s="74"/>
      <c r="AK43" s="75"/>
      <c r="AL43" s="62">
        <v>0</v>
      </c>
      <c r="AM43" s="62"/>
      <c r="AN43" s="62">
        <f>AD43-AH43-AL43</f>
        <v>2992159</v>
      </c>
      <c r="AO43" s="62"/>
      <c r="AP43" s="62"/>
      <c r="AQ43" s="62"/>
      <c r="AR43" s="99" t="s">
        <v>59</v>
      </c>
      <c r="AS43" s="100"/>
      <c r="AT43" s="100"/>
      <c r="AU43" s="100"/>
      <c r="AV43" s="100"/>
      <c r="AW43" s="100"/>
      <c r="AX43" s="100"/>
      <c r="AY43" s="100"/>
      <c r="AZ43" s="100"/>
      <c r="BA43" s="101"/>
    </row>
    <row r="44" spans="2:53" s="21" customFormat="1" ht="18" customHeight="1" x14ac:dyDescent="0.15">
      <c r="B44" s="85"/>
      <c r="C44" s="85"/>
      <c r="D44" s="85"/>
      <c r="E44" s="85"/>
      <c r="F44" s="85"/>
      <c r="G44" s="85"/>
      <c r="H44" s="85"/>
      <c r="I44" s="85"/>
      <c r="J44" s="85"/>
      <c r="K44" s="85"/>
      <c r="L44" s="85"/>
      <c r="M44" s="85"/>
      <c r="N44" s="85"/>
      <c r="O44" s="85"/>
      <c r="P44" s="85"/>
      <c r="Q44" s="85"/>
      <c r="R44" s="85"/>
      <c r="S44" s="62"/>
      <c r="T44" s="62"/>
      <c r="U44" s="62"/>
      <c r="V44" s="85"/>
      <c r="W44" s="85"/>
      <c r="X44" s="85"/>
      <c r="Y44" s="85"/>
      <c r="Z44" s="85"/>
      <c r="AA44" s="85"/>
      <c r="AB44" s="76"/>
      <c r="AC44" s="78"/>
      <c r="AD44" s="85"/>
      <c r="AE44" s="85"/>
      <c r="AF44" s="85"/>
      <c r="AG44" s="85"/>
      <c r="AH44" s="76"/>
      <c r="AI44" s="77"/>
      <c r="AJ44" s="77"/>
      <c r="AK44" s="78"/>
      <c r="AL44" s="62"/>
      <c r="AM44" s="62"/>
      <c r="AN44" s="62"/>
      <c r="AO44" s="62"/>
      <c r="AP44" s="62"/>
      <c r="AQ44" s="62"/>
      <c r="AR44" s="152" t="s">
        <v>74</v>
      </c>
      <c r="AS44" s="153"/>
      <c r="AT44" s="153"/>
      <c r="AU44" s="153"/>
      <c r="AV44" s="153"/>
      <c r="AW44" s="153"/>
      <c r="AX44" s="153"/>
      <c r="AY44" s="153"/>
      <c r="AZ44" s="153"/>
      <c r="BA44" s="154"/>
    </row>
    <row r="45" spans="2:53" s="21" customFormat="1" ht="18" customHeight="1" x14ac:dyDescent="0.15">
      <c r="B45" s="85" t="s">
        <v>28</v>
      </c>
      <c r="C45" s="85"/>
      <c r="D45" s="85"/>
      <c r="E45" s="85"/>
      <c r="F45" s="85"/>
      <c r="G45" s="85"/>
      <c r="H45" s="85"/>
      <c r="I45" s="85">
        <v>8638000</v>
      </c>
      <c r="J45" s="85"/>
      <c r="K45" s="85"/>
      <c r="L45" s="85"/>
      <c r="M45" s="85">
        <v>-2351000</v>
      </c>
      <c r="N45" s="85"/>
      <c r="O45" s="85"/>
      <c r="P45" s="85"/>
      <c r="Q45" s="85">
        <v>0</v>
      </c>
      <c r="R45" s="85"/>
      <c r="S45" s="62">
        <v>0</v>
      </c>
      <c r="T45" s="62"/>
      <c r="U45" s="62"/>
      <c r="V45" s="85">
        <v>0</v>
      </c>
      <c r="W45" s="85"/>
      <c r="X45" s="85">
        <f>SUM(I45:T46)</f>
        <v>6287000</v>
      </c>
      <c r="Y45" s="85"/>
      <c r="Z45" s="85"/>
      <c r="AA45" s="85"/>
      <c r="AB45" s="73">
        <v>0</v>
      </c>
      <c r="AC45" s="75"/>
      <c r="AD45" s="85">
        <f>SUM(X45:AC46)</f>
        <v>6287000</v>
      </c>
      <c r="AE45" s="85"/>
      <c r="AF45" s="85"/>
      <c r="AG45" s="85"/>
      <c r="AH45" s="73">
        <v>6276339</v>
      </c>
      <c r="AI45" s="74"/>
      <c r="AJ45" s="74"/>
      <c r="AK45" s="75"/>
      <c r="AL45" s="73">
        <v>0</v>
      </c>
      <c r="AM45" s="75"/>
      <c r="AN45" s="48">
        <f>AD45-AH45-AL45</f>
        <v>10661</v>
      </c>
      <c r="AO45" s="49"/>
      <c r="AP45" s="49"/>
      <c r="AQ45" s="64"/>
      <c r="AR45" s="99" t="s">
        <v>60</v>
      </c>
      <c r="AS45" s="100"/>
      <c r="AT45" s="100"/>
      <c r="AU45" s="100"/>
      <c r="AV45" s="100"/>
      <c r="AW45" s="100"/>
      <c r="AX45" s="100"/>
      <c r="AY45" s="100"/>
      <c r="AZ45" s="100"/>
      <c r="BA45" s="101"/>
    </row>
    <row r="46" spans="2:53" s="21" customFormat="1" ht="18" customHeight="1" x14ac:dyDescent="0.15">
      <c r="B46" s="85"/>
      <c r="C46" s="85"/>
      <c r="D46" s="85"/>
      <c r="E46" s="85"/>
      <c r="F46" s="85"/>
      <c r="G46" s="85"/>
      <c r="H46" s="85"/>
      <c r="I46" s="85"/>
      <c r="J46" s="85"/>
      <c r="K46" s="85"/>
      <c r="L46" s="85"/>
      <c r="M46" s="85"/>
      <c r="N46" s="85"/>
      <c r="O46" s="85"/>
      <c r="P46" s="85"/>
      <c r="Q46" s="85"/>
      <c r="R46" s="85"/>
      <c r="S46" s="62"/>
      <c r="T46" s="62"/>
      <c r="U46" s="62"/>
      <c r="V46" s="85"/>
      <c r="W46" s="85"/>
      <c r="X46" s="85"/>
      <c r="Y46" s="85"/>
      <c r="Z46" s="85"/>
      <c r="AA46" s="85"/>
      <c r="AB46" s="76"/>
      <c r="AC46" s="78"/>
      <c r="AD46" s="85"/>
      <c r="AE46" s="85"/>
      <c r="AF46" s="85"/>
      <c r="AG46" s="85"/>
      <c r="AH46" s="76"/>
      <c r="AI46" s="77"/>
      <c r="AJ46" s="77"/>
      <c r="AK46" s="78"/>
      <c r="AL46" s="76"/>
      <c r="AM46" s="78"/>
      <c r="AN46" s="50"/>
      <c r="AO46" s="51"/>
      <c r="AP46" s="51"/>
      <c r="AQ46" s="65"/>
      <c r="AR46" s="152" t="s">
        <v>75</v>
      </c>
      <c r="AS46" s="153"/>
      <c r="AT46" s="153"/>
      <c r="AU46" s="153"/>
      <c r="AV46" s="153"/>
      <c r="AW46" s="153"/>
      <c r="AX46" s="153"/>
      <c r="AY46" s="153"/>
      <c r="AZ46" s="153"/>
      <c r="BA46" s="154"/>
    </row>
    <row r="47" spans="2:53" s="21" customFormat="1" ht="18" customHeight="1" x14ac:dyDescent="0.15">
      <c r="B47" s="85" t="s">
        <v>29</v>
      </c>
      <c r="C47" s="85"/>
      <c r="D47" s="85"/>
      <c r="E47" s="85"/>
      <c r="F47" s="85"/>
      <c r="G47" s="85"/>
      <c r="H47" s="85"/>
      <c r="I47" s="85">
        <v>500000</v>
      </c>
      <c r="J47" s="85"/>
      <c r="K47" s="85"/>
      <c r="L47" s="85"/>
      <c r="M47" s="85"/>
      <c r="N47" s="85"/>
      <c r="O47" s="85"/>
      <c r="P47" s="85"/>
      <c r="Q47" s="85">
        <v>0</v>
      </c>
      <c r="R47" s="85"/>
      <c r="S47" s="62">
        <v>0</v>
      </c>
      <c r="T47" s="62"/>
      <c r="U47" s="62"/>
      <c r="V47" s="85">
        <v>0</v>
      </c>
      <c r="W47" s="85"/>
      <c r="X47" s="85">
        <f>SUM(I47:T48)</f>
        <v>500000</v>
      </c>
      <c r="Y47" s="85"/>
      <c r="Z47" s="85"/>
      <c r="AA47" s="85"/>
      <c r="AB47" s="73">
        <v>0</v>
      </c>
      <c r="AC47" s="75"/>
      <c r="AD47" s="85">
        <f>SUM(X47:AC48)</f>
        <v>500000</v>
      </c>
      <c r="AE47" s="85"/>
      <c r="AF47" s="85"/>
      <c r="AG47" s="85"/>
      <c r="AH47" s="73">
        <v>0</v>
      </c>
      <c r="AI47" s="74"/>
      <c r="AJ47" s="74"/>
      <c r="AK47" s="75"/>
      <c r="AL47" s="73">
        <v>0</v>
      </c>
      <c r="AM47" s="75"/>
      <c r="AN47" s="48">
        <f>AD47-AH47-AL47</f>
        <v>500000</v>
      </c>
      <c r="AO47" s="49"/>
      <c r="AP47" s="49"/>
      <c r="AQ47" s="64"/>
      <c r="AR47" s="52"/>
      <c r="AS47" s="53"/>
      <c r="AT47" s="53"/>
      <c r="AU47" s="53"/>
      <c r="AV47" s="53"/>
      <c r="AW47" s="53"/>
      <c r="AX47" s="53"/>
      <c r="AY47" s="53"/>
      <c r="AZ47" s="53"/>
      <c r="BA47" s="54"/>
    </row>
    <row r="48" spans="2:53" s="21" customFormat="1" ht="18" customHeight="1" x14ac:dyDescent="0.15">
      <c r="B48" s="85"/>
      <c r="C48" s="85"/>
      <c r="D48" s="85"/>
      <c r="E48" s="85"/>
      <c r="F48" s="85"/>
      <c r="G48" s="85"/>
      <c r="H48" s="85"/>
      <c r="I48" s="85"/>
      <c r="J48" s="85"/>
      <c r="K48" s="85"/>
      <c r="L48" s="85"/>
      <c r="M48" s="85"/>
      <c r="N48" s="85"/>
      <c r="O48" s="85"/>
      <c r="P48" s="85"/>
      <c r="Q48" s="85"/>
      <c r="R48" s="85"/>
      <c r="S48" s="62"/>
      <c r="T48" s="62"/>
      <c r="U48" s="62"/>
      <c r="V48" s="85"/>
      <c r="W48" s="85"/>
      <c r="X48" s="85"/>
      <c r="Y48" s="85"/>
      <c r="Z48" s="85"/>
      <c r="AA48" s="85"/>
      <c r="AB48" s="76"/>
      <c r="AC48" s="78"/>
      <c r="AD48" s="85"/>
      <c r="AE48" s="85"/>
      <c r="AF48" s="85"/>
      <c r="AG48" s="85"/>
      <c r="AH48" s="76"/>
      <c r="AI48" s="77"/>
      <c r="AJ48" s="77"/>
      <c r="AK48" s="78"/>
      <c r="AL48" s="76"/>
      <c r="AM48" s="78"/>
      <c r="AN48" s="50"/>
      <c r="AO48" s="51"/>
      <c r="AP48" s="51"/>
      <c r="AQ48" s="65"/>
      <c r="AR48" s="55"/>
      <c r="AS48" s="56"/>
      <c r="AT48" s="56"/>
      <c r="AU48" s="56"/>
      <c r="AV48" s="56"/>
      <c r="AW48" s="56"/>
      <c r="AX48" s="56"/>
      <c r="AY48" s="56"/>
      <c r="AZ48" s="56"/>
      <c r="BA48" s="57"/>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row>
    <row r="52" spans="2:83" s="25" customFormat="1" ht="13.5" customHeight="1" x14ac:dyDescent="0.1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row>
    <row r="53" spans="2:83" s="25" customFormat="1" ht="13.5" customHeight="1" x14ac:dyDescent="0.1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row>
    <row r="54" spans="2:83" s="25" customFormat="1" ht="13.5" customHeight="1" x14ac:dyDescent="0.15">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row>
    <row r="55" spans="2:83" s="25" customFormat="1" ht="13.5" customHeight="1" x14ac:dyDescent="0.15">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row>
    <row r="56" spans="2:83" s="25" customFormat="1" ht="13.5" customHeight="1" x14ac:dyDescent="0.1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row>
    <row r="57" spans="2:83" s="25" customFormat="1" ht="12" customHeight="1" x14ac:dyDescent="0.15">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row>
    <row r="58" spans="2:83" s="25" customFormat="1" ht="13.5" hidden="1" customHeight="1" x14ac:dyDescent="0.15">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row>
    <row r="59" spans="2:83" s="25" customFormat="1" ht="13.5" hidden="1" customHeight="1" x14ac:dyDescent="0.15">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row>
    <row r="60" spans="2:83" s="25" customFormat="1" ht="13.5" customHeight="1" x14ac:dyDescent="0.15">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row>
    <row r="61" spans="2:83" s="25" customFormat="1" ht="13.5" customHeight="1" x14ac:dyDescent="0.1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row>
    <row r="62" spans="2:83" s="25" customFormat="1" ht="13.5" customHeight="1" x14ac:dyDescent="0.15">
      <c r="B62" s="150" t="s">
        <v>30</v>
      </c>
      <c r="C62" s="150"/>
      <c r="D62" s="150"/>
      <c r="E62" s="150"/>
      <c r="F62" s="150"/>
      <c r="G62" s="150"/>
      <c r="H62" s="150"/>
      <c r="I62" s="150"/>
      <c r="J62" s="150"/>
      <c r="K62" s="150"/>
      <c r="L62" s="150"/>
      <c r="M62" s="150"/>
      <c r="N62" s="150"/>
      <c r="O62" s="19"/>
      <c r="P62" s="19"/>
      <c r="Q62" s="19"/>
      <c r="R62" s="19"/>
      <c r="S62" s="19"/>
      <c r="T62" s="19"/>
      <c r="U62" s="19"/>
      <c r="V62" s="19"/>
      <c r="W62" s="19"/>
      <c r="X62" s="19"/>
      <c r="Y62" s="19"/>
      <c r="Z62" s="19"/>
      <c r="AA62" s="19"/>
      <c r="AB62" s="19"/>
      <c r="AC62" s="19"/>
      <c r="AD62" s="19"/>
      <c r="AE62" s="19"/>
      <c r="AF62" s="19"/>
      <c r="AG62" s="19"/>
      <c r="AH62" s="19"/>
      <c r="AI62" s="19"/>
      <c r="AJ62" s="19"/>
      <c r="AK62" s="20"/>
      <c r="AL62" s="20"/>
      <c r="AM62" s="20"/>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row>
    <row r="63" spans="2:83" s="25" customFormat="1" ht="13.5" customHeight="1" x14ac:dyDescent="0.15">
      <c r="B63" s="150"/>
      <c r="C63" s="150"/>
      <c r="D63" s="150"/>
      <c r="E63" s="150"/>
      <c r="F63" s="150"/>
      <c r="G63" s="150"/>
      <c r="H63" s="150"/>
      <c r="I63" s="150"/>
      <c r="J63" s="150"/>
      <c r="K63" s="150"/>
      <c r="L63" s="150"/>
      <c r="M63" s="150"/>
      <c r="N63" s="150"/>
      <c r="O63" s="20"/>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20"/>
      <c r="AP63" s="20"/>
      <c r="AQ63" s="20"/>
      <c r="AR63" s="26"/>
      <c r="AS63" s="26"/>
      <c r="AT63" s="26"/>
      <c r="AU63" s="26"/>
      <c r="AV63" s="26"/>
      <c r="AW63" s="26"/>
      <c r="AX63" s="26"/>
      <c r="AY63" s="26"/>
      <c r="AZ63" s="26"/>
      <c r="BA63" s="26"/>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row>
    <row r="64" spans="2:83" s="25" customFormat="1" ht="13.5" customHeight="1" x14ac:dyDescent="0.15">
      <c r="B64" s="130" t="s">
        <v>1</v>
      </c>
      <c r="C64" s="130"/>
      <c r="D64" s="130"/>
      <c r="E64" s="130"/>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row>
    <row r="65" spans="2:82" s="25" customFormat="1" ht="13.5" customHeight="1" x14ac:dyDescent="0.15">
      <c r="B65" s="131"/>
      <c r="C65" s="131"/>
      <c r="D65" s="131"/>
      <c r="E65" s="131"/>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1" t="s">
        <v>47</v>
      </c>
      <c r="AV65" s="151"/>
      <c r="AW65" s="151"/>
      <c r="AX65" s="151"/>
      <c r="AY65" s="151"/>
      <c r="AZ65" s="151"/>
      <c r="BA65" s="151"/>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row>
    <row r="66" spans="2:82" s="21" customFormat="1" ht="13.5" customHeight="1" x14ac:dyDescent="0.15">
      <c r="B66" s="113" t="s">
        <v>2</v>
      </c>
      <c r="C66" s="114"/>
      <c r="D66" s="114"/>
      <c r="E66" s="114"/>
      <c r="F66" s="114"/>
      <c r="G66" s="114"/>
      <c r="H66" s="114"/>
      <c r="I66" s="113" t="s">
        <v>14</v>
      </c>
      <c r="J66" s="114"/>
      <c r="K66" s="114"/>
      <c r="L66" s="114"/>
      <c r="M66" s="114"/>
      <c r="N66" s="114"/>
      <c r="O66" s="114"/>
      <c r="P66" s="114"/>
      <c r="Q66" s="114"/>
      <c r="R66" s="114"/>
      <c r="S66" s="114"/>
      <c r="T66" s="114"/>
      <c r="U66" s="114"/>
      <c r="V66" s="114"/>
      <c r="W66" s="114"/>
      <c r="X66" s="114"/>
      <c r="Y66" s="114"/>
      <c r="Z66" s="114"/>
      <c r="AA66" s="114"/>
      <c r="AB66" s="114"/>
      <c r="AC66" s="114"/>
      <c r="AD66" s="114"/>
      <c r="AE66" s="97" t="s">
        <v>4</v>
      </c>
      <c r="AF66" s="97"/>
      <c r="AG66" s="97"/>
      <c r="AH66" s="97"/>
      <c r="AI66" s="122" t="s">
        <v>48</v>
      </c>
      <c r="AJ66" s="123"/>
      <c r="AK66" s="123"/>
      <c r="AL66" s="123"/>
      <c r="AM66" s="97" t="s">
        <v>6</v>
      </c>
      <c r="AN66" s="97"/>
      <c r="AO66" s="97"/>
      <c r="AP66" s="97"/>
      <c r="AQ66" s="97"/>
      <c r="AR66" s="97"/>
      <c r="AS66" s="97"/>
      <c r="AT66" s="97"/>
      <c r="AU66" s="97"/>
      <c r="AV66" s="97"/>
      <c r="AW66" s="97"/>
      <c r="AX66" s="97"/>
      <c r="AY66" s="97"/>
      <c r="AZ66" s="97"/>
      <c r="BA66" s="97"/>
    </row>
    <row r="67" spans="2:82" s="21" customFormat="1" ht="13.5" customHeight="1" x14ac:dyDescent="0.15">
      <c r="B67" s="116"/>
      <c r="C67" s="117"/>
      <c r="D67" s="117"/>
      <c r="E67" s="117"/>
      <c r="F67" s="117"/>
      <c r="G67" s="117"/>
      <c r="H67" s="117"/>
      <c r="I67" s="119"/>
      <c r="J67" s="120"/>
      <c r="K67" s="120"/>
      <c r="L67" s="120"/>
      <c r="M67" s="120"/>
      <c r="N67" s="120"/>
      <c r="O67" s="120"/>
      <c r="P67" s="120"/>
      <c r="Q67" s="120"/>
      <c r="R67" s="120"/>
      <c r="S67" s="120"/>
      <c r="T67" s="120"/>
      <c r="U67" s="120"/>
      <c r="V67" s="120"/>
      <c r="W67" s="120"/>
      <c r="X67" s="120"/>
      <c r="Y67" s="120"/>
      <c r="Z67" s="120"/>
      <c r="AA67" s="120"/>
      <c r="AB67" s="120"/>
      <c r="AC67" s="120"/>
      <c r="AD67" s="120"/>
      <c r="AE67" s="97"/>
      <c r="AF67" s="97"/>
      <c r="AG67" s="97"/>
      <c r="AH67" s="97"/>
      <c r="AI67" s="128"/>
      <c r="AJ67" s="129"/>
      <c r="AK67" s="129"/>
      <c r="AL67" s="129"/>
      <c r="AM67" s="97"/>
      <c r="AN67" s="97"/>
      <c r="AO67" s="97"/>
      <c r="AP67" s="97"/>
      <c r="AQ67" s="97"/>
      <c r="AR67" s="97"/>
      <c r="AS67" s="97"/>
      <c r="AT67" s="97"/>
      <c r="AU67" s="97"/>
      <c r="AV67" s="97"/>
      <c r="AW67" s="97"/>
      <c r="AX67" s="97"/>
      <c r="AY67" s="97"/>
      <c r="AZ67" s="97"/>
      <c r="BA67" s="97"/>
    </row>
    <row r="68" spans="2:82" s="21" customFormat="1" ht="13.5" customHeight="1" x14ac:dyDescent="0.15">
      <c r="B68" s="116"/>
      <c r="C68" s="117"/>
      <c r="D68" s="117"/>
      <c r="E68" s="117"/>
      <c r="F68" s="117"/>
      <c r="G68" s="117"/>
      <c r="H68" s="117"/>
      <c r="I68" s="113" t="s">
        <v>7</v>
      </c>
      <c r="J68" s="114"/>
      <c r="K68" s="114"/>
      <c r="L68" s="115"/>
      <c r="M68" s="113" t="s">
        <v>8</v>
      </c>
      <c r="N68" s="114"/>
      <c r="O68" s="114"/>
      <c r="P68" s="115"/>
      <c r="Q68" s="113" t="s">
        <v>31</v>
      </c>
      <c r="R68" s="114"/>
      <c r="S68" s="114"/>
      <c r="T68" s="115"/>
      <c r="U68" s="135" t="s">
        <v>32</v>
      </c>
      <c r="V68" s="136"/>
      <c r="W68" s="137"/>
      <c r="X68" s="135" t="s">
        <v>33</v>
      </c>
      <c r="Y68" s="136"/>
      <c r="Z68" s="137"/>
      <c r="AA68" s="144" t="s">
        <v>9</v>
      </c>
      <c r="AB68" s="145"/>
      <c r="AC68" s="145"/>
      <c r="AD68" s="145"/>
      <c r="AE68" s="97"/>
      <c r="AF68" s="97"/>
      <c r="AG68" s="97"/>
      <c r="AH68" s="97"/>
      <c r="AI68" s="128"/>
      <c r="AJ68" s="129"/>
      <c r="AK68" s="129"/>
      <c r="AL68" s="129"/>
      <c r="AM68" s="97"/>
      <c r="AN68" s="97"/>
      <c r="AO68" s="97"/>
      <c r="AP68" s="97"/>
      <c r="AQ68" s="97"/>
      <c r="AR68" s="97"/>
      <c r="AS68" s="97"/>
      <c r="AT68" s="97"/>
      <c r="AU68" s="97"/>
      <c r="AV68" s="97"/>
      <c r="AW68" s="97"/>
      <c r="AX68" s="97"/>
      <c r="AY68" s="97"/>
      <c r="AZ68" s="97"/>
      <c r="BA68" s="97"/>
    </row>
    <row r="69" spans="2:82" s="21" customFormat="1" ht="13.5" customHeight="1" x14ac:dyDescent="0.15">
      <c r="B69" s="116"/>
      <c r="C69" s="117"/>
      <c r="D69" s="117"/>
      <c r="E69" s="117"/>
      <c r="F69" s="117"/>
      <c r="G69" s="117"/>
      <c r="H69" s="117"/>
      <c r="I69" s="116"/>
      <c r="J69" s="117"/>
      <c r="K69" s="117"/>
      <c r="L69" s="118"/>
      <c r="M69" s="116"/>
      <c r="N69" s="117"/>
      <c r="O69" s="117"/>
      <c r="P69" s="118"/>
      <c r="Q69" s="116"/>
      <c r="R69" s="117"/>
      <c r="S69" s="117"/>
      <c r="T69" s="118"/>
      <c r="U69" s="138"/>
      <c r="V69" s="139"/>
      <c r="W69" s="140"/>
      <c r="X69" s="138"/>
      <c r="Y69" s="139"/>
      <c r="Z69" s="140"/>
      <c r="AA69" s="146"/>
      <c r="AB69" s="147"/>
      <c r="AC69" s="147"/>
      <c r="AD69" s="147"/>
      <c r="AE69" s="97"/>
      <c r="AF69" s="97"/>
      <c r="AG69" s="97"/>
      <c r="AH69" s="97"/>
      <c r="AI69" s="128"/>
      <c r="AJ69" s="129"/>
      <c r="AK69" s="129"/>
      <c r="AL69" s="129"/>
      <c r="AM69" s="97"/>
      <c r="AN69" s="97"/>
      <c r="AO69" s="97"/>
      <c r="AP69" s="97"/>
      <c r="AQ69" s="97"/>
      <c r="AR69" s="97"/>
      <c r="AS69" s="97"/>
      <c r="AT69" s="97"/>
      <c r="AU69" s="97"/>
      <c r="AV69" s="97"/>
      <c r="AW69" s="97"/>
      <c r="AX69" s="97"/>
      <c r="AY69" s="97"/>
      <c r="AZ69" s="97"/>
      <c r="BA69" s="97"/>
    </row>
    <row r="70" spans="2:82" s="21" customFormat="1" ht="13.5" customHeight="1" x14ac:dyDescent="0.15">
      <c r="B70" s="116"/>
      <c r="C70" s="117"/>
      <c r="D70" s="117"/>
      <c r="E70" s="117"/>
      <c r="F70" s="117"/>
      <c r="G70" s="117"/>
      <c r="H70" s="117"/>
      <c r="I70" s="116"/>
      <c r="J70" s="117"/>
      <c r="K70" s="117"/>
      <c r="L70" s="118"/>
      <c r="M70" s="116"/>
      <c r="N70" s="117"/>
      <c r="O70" s="117"/>
      <c r="P70" s="118"/>
      <c r="Q70" s="116"/>
      <c r="R70" s="117"/>
      <c r="S70" s="117"/>
      <c r="T70" s="118"/>
      <c r="U70" s="138"/>
      <c r="V70" s="139"/>
      <c r="W70" s="140"/>
      <c r="X70" s="138"/>
      <c r="Y70" s="139"/>
      <c r="Z70" s="140"/>
      <c r="AA70" s="146"/>
      <c r="AB70" s="147"/>
      <c r="AC70" s="147"/>
      <c r="AD70" s="147"/>
      <c r="AE70" s="97"/>
      <c r="AF70" s="97"/>
      <c r="AG70" s="97"/>
      <c r="AH70" s="97"/>
      <c r="AI70" s="128"/>
      <c r="AJ70" s="129"/>
      <c r="AK70" s="129"/>
      <c r="AL70" s="129"/>
      <c r="AM70" s="97"/>
      <c r="AN70" s="97"/>
      <c r="AO70" s="97"/>
      <c r="AP70" s="97"/>
      <c r="AQ70" s="97"/>
      <c r="AR70" s="97"/>
      <c r="AS70" s="97"/>
      <c r="AT70" s="97"/>
      <c r="AU70" s="97"/>
      <c r="AV70" s="97"/>
      <c r="AW70" s="97"/>
      <c r="AX70" s="97"/>
      <c r="AY70" s="97"/>
      <c r="AZ70" s="97"/>
      <c r="BA70" s="97"/>
    </row>
    <row r="71" spans="2:82" s="21" customFormat="1" ht="13.5" customHeight="1" x14ac:dyDescent="0.15">
      <c r="B71" s="119"/>
      <c r="C71" s="120"/>
      <c r="D71" s="120"/>
      <c r="E71" s="120"/>
      <c r="F71" s="120"/>
      <c r="G71" s="120"/>
      <c r="H71" s="120"/>
      <c r="I71" s="119"/>
      <c r="J71" s="120"/>
      <c r="K71" s="120"/>
      <c r="L71" s="121"/>
      <c r="M71" s="119"/>
      <c r="N71" s="120"/>
      <c r="O71" s="120"/>
      <c r="P71" s="121"/>
      <c r="Q71" s="119"/>
      <c r="R71" s="120"/>
      <c r="S71" s="120"/>
      <c r="T71" s="121"/>
      <c r="U71" s="141"/>
      <c r="V71" s="142"/>
      <c r="W71" s="143"/>
      <c r="X71" s="141"/>
      <c r="Y71" s="142"/>
      <c r="Z71" s="143"/>
      <c r="AA71" s="148"/>
      <c r="AB71" s="149"/>
      <c r="AC71" s="149"/>
      <c r="AD71" s="149"/>
      <c r="AE71" s="97"/>
      <c r="AF71" s="97"/>
      <c r="AG71" s="97"/>
      <c r="AH71" s="97"/>
      <c r="AI71" s="125"/>
      <c r="AJ71" s="126"/>
      <c r="AK71" s="126"/>
      <c r="AL71" s="126"/>
      <c r="AM71" s="97"/>
      <c r="AN71" s="97"/>
      <c r="AO71" s="97"/>
      <c r="AP71" s="97"/>
      <c r="AQ71" s="97"/>
      <c r="AR71" s="97"/>
      <c r="AS71" s="97"/>
      <c r="AT71" s="97"/>
      <c r="AU71" s="97"/>
      <c r="AV71" s="97"/>
      <c r="AW71" s="97"/>
      <c r="AX71" s="97"/>
      <c r="AY71" s="97"/>
      <c r="AZ71" s="97"/>
      <c r="BA71" s="97"/>
    </row>
    <row r="72" spans="2:82" s="21" customFormat="1" ht="18" customHeight="1" x14ac:dyDescent="0.15">
      <c r="B72" s="73" t="s">
        <v>34</v>
      </c>
      <c r="C72" s="74"/>
      <c r="D72" s="74"/>
      <c r="E72" s="74"/>
      <c r="F72" s="74"/>
      <c r="G72" s="74"/>
      <c r="H72" s="74"/>
      <c r="I72" s="73">
        <f>SUM(I74:L79)</f>
        <v>63030000</v>
      </c>
      <c r="J72" s="74"/>
      <c r="K72" s="74"/>
      <c r="L72" s="75"/>
      <c r="M72" s="48">
        <f>SUM(M74:P79)</f>
        <v>-2425000</v>
      </c>
      <c r="N72" s="49"/>
      <c r="O72" s="49"/>
      <c r="P72" s="64"/>
      <c r="Q72" s="48">
        <f>SUM(Q74:T79)</f>
        <v>60605000</v>
      </c>
      <c r="R72" s="49"/>
      <c r="S72" s="49"/>
      <c r="T72" s="64"/>
      <c r="U72" s="73">
        <f>SUM(U74:W79)</f>
        <v>0</v>
      </c>
      <c r="V72" s="74"/>
      <c r="W72" s="75"/>
      <c r="X72" s="73">
        <f>SUM(X74:Z79)</f>
        <v>0</v>
      </c>
      <c r="Y72" s="74"/>
      <c r="Z72" s="75"/>
      <c r="AA72" s="73">
        <f>SUM(AA74:AD79)</f>
        <v>60605000</v>
      </c>
      <c r="AB72" s="74"/>
      <c r="AC72" s="74"/>
      <c r="AD72" s="74"/>
      <c r="AE72" s="85">
        <f>SUM(AE74:AH79)</f>
        <v>60671400</v>
      </c>
      <c r="AF72" s="85"/>
      <c r="AG72" s="85"/>
      <c r="AH72" s="85"/>
      <c r="AI72" s="85">
        <f>SUM(AI74:AL79)</f>
        <v>66400</v>
      </c>
      <c r="AJ72" s="85"/>
      <c r="AK72" s="85"/>
      <c r="AL72" s="85"/>
      <c r="AM72" s="133"/>
      <c r="AN72" s="133"/>
      <c r="AO72" s="133"/>
      <c r="AP72" s="133"/>
      <c r="AQ72" s="133"/>
      <c r="AR72" s="133"/>
      <c r="AS72" s="133"/>
      <c r="AT72" s="133"/>
      <c r="AU72" s="133"/>
      <c r="AV72" s="133"/>
      <c r="AW72" s="133"/>
      <c r="AX72" s="133"/>
      <c r="AY72" s="133"/>
      <c r="AZ72" s="133"/>
      <c r="BA72" s="133"/>
    </row>
    <row r="73" spans="2:82" s="21" customFormat="1" ht="18" customHeight="1" x14ac:dyDescent="0.15">
      <c r="B73" s="76"/>
      <c r="C73" s="77"/>
      <c r="D73" s="77"/>
      <c r="E73" s="77"/>
      <c r="F73" s="77"/>
      <c r="G73" s="77"/>
      <c r="H73" s="77"/>
      <c r="I73" s="76"/>
      <c r="J73" s="77"/>
      <c r="K73" s="77"/>
      <c r="L73" s="78"/>
      <c r="M73" s="50"/>
      <c r="N73" s="51"/>
      <c r="O73" s="51"/>
      <c r="P73" s="65"/>
      <c r="Q73" s="50"/>
      <c r="R73" s="51"/>
      <c r="S73" s="51"/>
      <c r="T73" s="65"/>
      <c r="U73" s="76"/>
      <c r="V73" s="77"/>
      <c r="W73" s="78"/>
      <c r="X73" s="76"/>
      <c r="Y73" s="77"/>
      <c r="Z73" s="78"/>
      <c r="AA73" s="76"/>
      <c r="AB73" s="77"/>
      <c r="AC73" s="77"/>
      <c r="AD73" s="77"/>
      <c r="AE73" s="85"/>
      <c r="AF73" s="85"/>
      <c r="AG73" s="85"/>
      <c r="AH73" s="85"/>
      <c r="AI73" s="85"/>
      <c r="AJ73" s="85"/>
      <c r="AK73" s="85"/>
      <c r="AL73" s="85"/>
      <c r="AM73" s="133"/>
      <c r="AN73" s="133"/>
      <c r="AO73" s="133"/>
      <c r="AP73" s="133"/>
      <c r="AQ73" s="133"/>
      <c r="AR73" s="133"/>
      <c r="AS73" s="133"/>
      <c r="AT73" s="133"/>
      <c r="AU73" s="133"/>
      <c r="AV73" s="133"/>
      <c r="AW73" s="133"/>
      <c r="AX73" s="133"/>
      <c r="AY73" s="133"/>
      <c r="AZ73" s="133"/>
      <c r="BA73" s="133"/>
    </row>
    <row r="74" spans="2:82" s="21" customFormat="1" ht="18" customHeight="1" x14ac:dyDescent="0.15">
      <c r="B74" s="73" t="s">
        <v>35</v>
      </c>
      <c r="C74" s="74"/>
      <c r="D74" s="74"/>
      <c r="E74" s="74"/>
      <c r="F74" s="74"/>
      <c r="G74" s="74"/>
      <c r="H74" s="74"/>
      <c r="I74" s="73">
        <v>1430000</v>
      </c>
      <c r="J74" s="74"/>
      <c r="K74" s="74"/>
      <c r="L74" s="75"/>
      <c r="M74" s="73">
        <v>1775000</v>
      </c>
      <c r="N74" s="74"/>
      <c r="O74" s="74"/>
      <c r="P74" s="75"/>
      <c r="Q74" s="48">
        <f>SUM(I74:P75)</f>
        <v>3205000</v>
      </c>
      <c r="R74" s="49"/>
      <c r="S74" s="49"/>
      <c r="T74" s="64"/>
      <c r="U74" s="73">
        <f>SUM(X80:Z81)</f>
        <v>0</v>
      </c>
      <c r="V74" s="74"/>
      <c r="W74" s="75"/>
      <c r="X74" s="73">
        <v>0</v>
      </c>
      <c r="Y74" s="74"/>
      <c r="Z74" s="75"/>
      <c r="AA74" s="73">
        <f>SUM(Q74:Z75)</f>
        <v>3205000</v>
      </c>
      <c r="AB74" s="74"/>
      <c r="AC74" s="74"/>
      <c r="AD74" s="74"/>
      <c r="AE74" s="85">
        <v>3271400</v>
      </c>
      <c r="AF74" s="85"/>
      <c r="AG74" s="85"/>
      <c r="AH74" s="85"/>
      <c r="AI74" s="73">
        <f>AE74-AA74</f>
        <v>66400</v>
      </c>
      <c r="AJ74" s="74"/>
      <c r="AK74" s="74"/>
      <c r="AL74" s="74"/>
      <c r="AM74" s="134" t="s">
        <v>73</v>
      </c>
      <c r="AN74" s="134"/>
      <c r="AO74" s="134"/>
      <c r="AP74" s="134"/>
      <c r="AQ74" s="134"/>
      <c r="AR74" s="134"/>
      <c r="AS74" s="134"/>
      <c r="AT74" s="134"/>
      <c r="AU74" s="134"/>
      <c r="AV74" s="134"/>
      <c r="AW74" s="134"/>
      <c r="AX74" s="134"/>
      <c r="AY74" s="134"/>
      <c r="AZ74" s="134"/>
      <c r="BA74" s="134"/>
    </row>
    <row r="75" spans="2:82" s="21" customFormat="1" ht="18" customHeight="1" x14ac:dyDescent="0.15">
      <c r="B75" s="76"/>
      <c r="C75" s="77"/>
      <c r="D75" s="77"/>
      <c r="E75" s="77"/>
      <c r="F75" s="77"/>
      <c r="G75" s="77"/>
      <c r="H75" s="77"/>
      <c r="I75" s="76"/>
      <c r="J75" s="77"/>
      <c r="K75" s="77"/>
      <c r="L75" s="78"/>
      <c r="M75" s="76"/>
      <c r="N75" s="77"/>
      <c r="O75" s="77"/>
      <c r="P75" s="78"/>
      <c r="Q75" s="50"/>
      <c r="R75" s="51"/>
      <c r="S75" s="51"/>
      <c r="T75" s="65"/>
      <c r="U75" s="76"/>
      <c r="V75" s="77"/>
      <c r="W75" s="78"/>
      <c r="X75" s="76"/>
      <c r="Y75" s="77"/>
      <c r="Z75" s="78"/>
      <c r="AA75" s="76"/>
      <c r="AB75" s="77"/>
      <c r="AC75" s="77"/>
      <c r="AD75" s="77"/>
      <c r="AE75" s="85"/>
      <c r="AF75" s="85"/>
      <c r="AG75" s="85"/>
      <c r="AH75" s="85"/>
      <c r="AI75" s="76"/>
      <c r="AJ75" s="77"/>
      <c r="AK75" s="77"/>
      <c r="AL75" s="77"/>
      <c r="AM75" s="134"/>
      <c r="AN75" s="134"/>
      <c r="AO75" s="134"/>
      <c r="AP75" s="134"/>
      <c r="AQ75" s="134"/>
      <c r="AR75" s="134"/>
      <c r="AS75" s="134"/>
      <c r="AT75" s="134"/>
      <c r="AU75" s="134"/>
      <c r="AV75" s="134"/>
      <c r="AW75" s="134"/>
      <c r="AX75" s="134"/>
      <c r="AY75" s="134"/>
      <c r="AZ75" s="134"/>
      <c r="BA75" s="134"/>
    </row>
    <row r="76" spans="2:82" s="21" customFormat="1" ht="18" customHeight="1" x14ac:dyDescent="0.15">
      <c r="B76" s="73" t="s">
        <v>51</v>
      </c>
      <c r="C76" s="74"/>
      <c r="D76" s="74"/>
      <c r="E76" s="74"/>
      <c r="F76" s="74"/>
      <c r="G76" s="74"/>
      <c r="H76" s="75"/>
      <c r="I76" s="73">
        <v>28300000</v>
      </c>
      <c r="J76" s="74"/>
      <c r="K76" s="74"/>
      <c r="L76" s="75"/>
      <c r="M76" s="48">
        <v>-400000</v>
      </c>
      <c r="N76" s="49"/>
      <c r="O76" s="49"/>
      <c r="P76" s="64"/>
      <c r="Q76" s="48">
        <f>SUM(I76:P77)</f>
        <v>27900000</v>
      </c>
      <c r="R76" s="49"/>
      <c r="S76" s="49"/>
      <c r="T76" s="64"/>
      <c r="U76" s="73">
        <v>0</v>
      </c>
      <c r="V76" s="74"/>
      <c r="W76" s="75"/>
      <c r="X76" s="73">
        <v>0</v>
      </c>
      <c r="Y76" s="74"/>
      <c r="Z76" s="75"/>
      <c r="AA76" s="73">
        <f>SUM(Q76:Z77)</f>
        <v>27900000</v>
      </c>
      <c r="AB76" s="74"/>
      <c r="AC76" s="74"/>
      <c r="AD76" s="74"/>
      <c r="AE76" s="85">
        <v>27900000</v>
      </c>
      <c r="AF76" s="85"/>
      <c r="AG76" s="85"/>
      <c r="AH76" s="85"/>
      <c r="AI76" s="73">
        <f>AE76-AA76</f>
        <v>0</v>
      </c>
      <c r="AJ76" s="74"/>
      <c r="AK76" s="74"/>
      <c r="AL76" s="74"/>
      <c r="AM76" s="97"/>
      <c r="AN76" s="97"/>
      <c r="AO76" s="97"/>
      <c r="AP76" s="97"/>
      <c r="AQ76" s="97"/>
      <c r="AR76" s="97"/>
      <c r="AS76" s="97"/>
      <c r="AT76" s="97"/>
      <c r="AU76" s="97"/>
      <c r="AV76" s="97"/>
      <c r="AW76" s="97"/>
      <c r="AX76" s="97"/>
      <c r="AY76" s="97"/>
      <c r="AZ76" s="97"/>
      <c r="BA76" s="97"/>
    </row>
    <row r="77" spans="2:82" s="21" customFormat="1" ht="18" customHeight="1" x14ac:dyDescent="0.15">
      <c r="B77" s="76"/>
      <c r="C77" s="77"/>
      <c r="D77" s="77"/>
      <c r="E77" s="77"/>
      <c r="F77" s="77"/>
      <c r="G77" s="77"/>
      <c r="H77" s="78"/>
      <c r="I77" s="76"/>
      <c r="J77" s="77"/>
      <c r="K77" s="77"/>
      <c r="L77" s="78"/>
      <c r="M77" s="50"/>
      <c r="N77" s="51"/>
      <c r="O77" s="51"/>
      <c r="P77" s="65"/>
      <c r="Q77" s="50"/>
      <c r="R77" s="51"/>
      <c r="S77" s="51"/>
      <c r="T77" s="65"/>
      <c r="U77" s="76"/>
      <c r="V77" s="77"/>
      <c r="W77" s="78"/>
      <c r="X77" s="76"/>
      <c r="Y77" s="77"/>
      <c r="Z77" s="78"/>
      <c r="AA77" s="76"/>
      <c r="AB77" s="77"/>
      <c r="AC77" s="77"/>
      <c r="AD77" s="77"/>
      <c r="AE77" s="85"/>
      <c r="AF77" s="85"/>
      <c r="AG77" s="85"/>
      <c r="AH77" s="85"/>
      <c r="AI77" s="76"/>
      <c r="AJ77" s="77"/>
      <c r="AK77" s="77"/>
      <c r="AL77" s="77"/>
      <c r="AM77" s="97"/>
      <c r="AN77" s="97"/>
      <c r="AO77" s="97"/>
      <c r="AP77" s="97"/>
      <c r="AQ77" s="97"/>
      <c r="AR77" s="97"/>
      <c r="AS77" s="97"/>
      <c r="AT77" s="97"/>
      <c r="AU77" s="97"/>
      <c r="AV77" s="97"/>
      <c r="AW77" s="97"/>
      <c r="AX77" s="97"/>
      <c r="AY77" s="97"/>
      <c r="AZ77" s="97"/>
      <c r="BA77" s="97"/>
    </row>
    <row r="78" spans="2:82" s="21" customFormat="1" ht="18" customHeight="1" x14ac:dyDescent="0.15">
      <c r="B78" s="73" t="s">
        <v>52</v>
      </c>
      <c r="C78" s="74"/>
      <c r="D78" s="74"/>
      <c r="E78" s="74"/>
      <c r="F78" s="74"/>
      <c r="G78" s="74"/>
      <c r="H78" s="74"/>
      <c r="I78" s="73">
        <v>33300000</v>
      </c>
      <c r="J78" s="74"/>
      <c r="K78" s="74"/>
      <c r="L78" s="75"/>
      <c r="M78" s="73">
        <v>-3800000</v>
      </c>
      <c r="N78" s="74"/>
      <c r="O78" s="74"/>
      <c r="P78" s="75"/>
      <c r="Q78" s="48">
        <f>SUM(I78:P79)</f>
        <v>29500000</v>
      </c>
      <c r="R78" s="49"/>
      <c r="S78" s="49"/>
      <c r="T78" s="64"/>
      <c r="U78" s="73">
        <v>0</v>
      </c>
      <c r="V78" s="74"/>
      <c r="W78" s="75"/>
      <c r="X78" s="73">
        <v>0</v>
      </c>
      <c r="Y78" s="74"/>
      <c r="Z78" s="75"/>
      <c r="AA78" s="73">
        <f>SUM(Q78:Z79)</f>
        <v>29500000</v>
      </c>
      <c r="AB78" s="74"/>
      <c r="AC78" s="74"/>
      <c r="AD78" s="74"/>
      <c r="AE78" s="85">
        <v>29500000</v>
      </c>
      <c r="AF78" s="85"/>
      <c r="AG78" s="85"/>
      <c r="AH78" s="85"/>
      <c r="AI78" s="73">
        <f>AE78-AA78</f>
        <v>0</v>
      </c>
      <c r="AJ78" s="74"/>
      <c r="AK78" s="74"/>
      <c r="AL78" s="74"/>
      <c r="AM78" s="97"/>
      <c r="AN78" s="97"/>
      <c r="AO78" s="97"/>
      <c r="AP78" s="97"/>
      <c r="AQ78" s="97"/>
      <c r="AR78" s="97"/>
      <c r="AS78" s="97"/>
      <c r="AT78" s="97"/>
      <c r="AU78" s="97"/>
      <c r="AV78" s="97"/>
      <c r="AW78" s="97"/>
      <c r="AX78" s="97"/>
      <c r="AY78" s="97"/>
      <c r="AZ78" s="97"/>
      <c r="BA78" s="97"/>
    </row>
    <row r="79" spans="2:82" s="21" customFormat="1" ht="18" customHeight="1" x14ac:dyDescent="0.15">
      <c r="B79" s="76"/>
      <c r="C79" s="77"/>
      <c r="D79" s="77"/>
      <c r="E79" s="77"/>
      <c r="F79" s="77"/>
      <c r="G79" s="77"/>
      <c r="H79" s="77"/>
      <c r="I79" s="76"/>
      <c r="J79" s="77"/>
      <c r="K79" s="77"/>
      <c r="L79" s="78"/>
      <c r="M79" s="76"/>
      <c r="N79" s="77"/>
      <c r="O79" s="77"/>
      <c r="P79" s="78"/>
      <c r="Q79" s="50"/>
      <c r="R79" s="51"/>
      <c r="S79" s="51"/>
      <c r="T79" s="65"/>
      <c r="U79" s="76"/>
      <c r="V79" s="77"/>
      <c r="W79" s="78"/>
      <c r="X79" s="76"/>
      <c r="Y79" s="77"/>
      <c r="Z79" s="78"/>
      <c r="AA79" s="76"/>
      <c r="AB79" s="77"/>
      <c r="AC79" s="77"/>
      <c r="AD79" s="77"/>
      <c r="AE79" s="85"/>
      <c r="AF79" s="85"/>
      <c r="AG79" s="85"/>
      <c r="AH79" s="85"/>
      <c r="AI79" s="76"/>
      <c r="AJ79" s="77"/>
      <c r="AK79" s="77"/>
      <c r="AL79" s="77"/>
      <c r="AM79" s="97"/>
      <c r="AN79" s="97"/>
      <c r="AO79" s="97"/>
      <c r="AP79" s="97"/>
      <c r="AQ79" s="97"/>
      <c r="AR79" s="97"/>
      <c r="AS79" s="97"/>
      <c r="AT79" s="97"/>
      <c r="AU79" s="97"/>
      <c r="AV79" s="97"/>
      <c r="AW79" s="97"/>
      <c r="AX79" s="97"/>
      <c r="AY79" s="97"/>
      <c r="AZ79" s="97"/>
      <c r="BA79" s="97"/>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0" t="s">
        <v>13</v>
      </c>
      <c r="C81" s="130"/>
      <c r="D81" s="130"/>
      <c r="E81" s="130"/>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1"/>
      <c r="C82" s="131"/>
      <c r="D82" s="131"/>
      <c r="E82" s="131"/>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33"/>
      <c r="AU82" s="132" t="s">
        <v>47</v>
      </c>
      <c r="AV82" s="132"/>
      <c r="AW82" s="132"/>
      <c r="AX82" s="132"/>
      <c r="AY82" s="132"/>
      <c r="AZ82" s="132"/>
      <c r="BA82" s="132"/>
      <c r="CM82" s="21"/>
    </row>
    <row r="83" spans="2:91" s="21" customFormat="1" ht="13.5" customHeight="1" x14ac:dyDescent="0.15">
      <c r="B83" s="113" t="s">
        <v>2</v>
      </c>
      <c r="C83" s="114"/>
      <c r="D83" s="114"/>
      <c r="E83" s="114"/>
      <c r="F83" s="114"/>
      <c r="G83" s="114"/>
      <c r="H83" s="115"/>
      <c r="I83" s="113" t="s">
        <v>36</v>
      </c>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3" t="s">
        <v>4</v>
      </c>
      <c r="AG83" s="114"/>
      <c r="AH83" s="114"/>
      <c r="AI83" s="115"/>
      <c r="AJ83" s="122" t="s">
        <v>37</v>
      </c>
      <c r="AK83" s="123"/>
      <c r="AL83" s="123"/>
      <c r="AM83" s="123"/>
      <c r="AN83" s="123"/>
      <c r="AO83" s="124"/>
      <c r="AP83" s="113" t="s">
        <v>17</v>
      </c>
      <c r="AQ83" s="114"/>
      <c r="AR83" s="115"/>
      <c r="AS83" s="113" t="s">
        <v>38</v>
      </c>
      <c r="AT83" s="114"/>
      <c r="AU83" s="114"/>
      <c r="AV83" s="114"/>
      <c r="AW83" s="114"/>
      <c r="AX83" s="114"/>
      <c r="AY83" s="114"/>
      <c r="AZ83" s="114"/>
      <c r="BA83" s="115"/>
    </row>
    <row r="84" spans="2:91" s="21" customFormat="1" ht="13.5" customHeight="1" x14ac:dyDescent="0.15">
      <c r="B84" s="116"/>
      <c r="C84" s="117"/>
      <c r="D84" s="117"/>
      <c r="E84" s="117"/>
      <c r="F84" s="117"/>
      <c r="G84" s="117"/>
      <c r="H84" s="118"/>
      <c r="I84" s="119"/>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16"/>
      <c r="AG84" s="117"/>
      <c r="AH84" s="117"/>
      <c r="AI84" s="118"/>
      <c r="AJ84" s="125"/>
      <c r="AK84" s="126"/>
      <c r="AL84" s="126"/>
      <c r="AM84" s="126"/>
      <c r="AN84" s="126"/>
      <c r="AO84" s="127"/>
      <c r="AP84" s="116"/>
      <c r="AQ84" s="117"/>
      <c r="AR84" s="118"/>
      <c r="AS84" s="116"/>
      <c r="AT84" s="117"/>
      <c r="AU84" s="117"/>
      <c r="AV84" s="117"/>
      <c r="AW84" s="117"/>
      <c r="AX84" s="117"/>
      <c r="AY84" s="117"/>
      <c r="AZ84" s="117"/>
      <c r="BA84" s="118"/>
    </row>
    <row r="85" spans="2:91" s="21" customFormat="1" ht="13.5" customHeight="1" x14ac:dyDescent="0.15">
      <c r="B85" s="116"/>
      <c r="C85" s="117"/>
      <c r="D85" s="117"/>
      <c r="E85" s="117"/>
      <c r="F85" s="117"/>
      <c r="G85" s="117"/>
      <c r="H85" s="118"/>
      <c r="I85" s="113" t="s">
        <v>19</v>
      </c>
      <c r="J85" s="114"/>
      <c r="K85" s="114"/>
      <c r="L85" s="115"/>
      <c r="M85" s="113" t="s">
        <v>20</v>
      </c>
      <c r="N85" s="114"/>
      <c r="O85" s="114"/>
      <c r="P85" s="115"/>
      <c r="Q85" s="122" t="s">
        <v>39</v>
      </c>
      <c r="R85" s="123"/>
      <c r="S85" s="97" t="s">
        <v>24</v>
      </c>
      <c r="T85" s="97"/>
      <c r="U85" s="97"/>
      <c r="V85" s="97"/>
      <c r="W85" s="86" t="s">
        <v>40</v>
      </c>
      <c r="X85" s="87"/>
      <c r="Y85" s="88"/>
      <c r="Z85" s="95" t="s">
        <v>41</v>
      </c>
      <c r="AA85" s="96"/>
      <c r="AB85" s="97" t="s">
        <v>25</v>
      </c>
      <c r="AC85" s="97"/>
      <c r="AD85" s="97"/>
      <c r="AE85" s="98"/>
      <c r="AF85" s="116"/>
      <c r="AG85" s="117"/>
      <c r="AH85" s="117"/>
      <c r="AI85" s="118"/>
      <c r="AJ85" s="89" t="s">
        <v>42</v>
      </c>
      <c r="AK85" s="91"/>
      <c r="AL85" s="105" t="s">
        <v>50</v>
      </c>
      <c r="AM85" s="106"/>
      <c r="AN85" s="109" t="s">
        <v>43</v>
      </c>
      <c r="AO85" s="110"/>
      <c r="AP85" s="116"/>
      <c r="AQ85" s="117"/>
      <c r="AR85" s="118"/>
      <c r="AS85" s="116"/>
      <c r="AT85" s="117"/>
      <c r="AU85" s="117"/>
      <c r="AV85" s="117"/>
      <c r="AW85" s="117"/>
      <c r="AX85" s="117"/>
      <c r="AY85" s="117"/>
      <c r="AZ85" s="117"/>
      <c r="BA85" s="118"/>
    </row>
    <row r="86" spans="2:91" s="21" customFormat="1" ht="13.5" customHeight="1" x14ac:dyDescent="0.15">
      <c r="B86" s="116"/>
      <c r="C86" s="117"/>
      <c r="D86" s="117"/>
      <c r="E86" s="117"/>
      <c r="F86" s="117"/>
      <c r="G86" s="117"/>
      <c r="H86" s="118"/>
      <c r="I86" s="116"/>
      <c r="J86" s="117"/>
      <c r="K86" s="117"/>
      <c r="L86" s="118"/>
      <c r="M86" s="116"/>
      <c r="N86" s="117"/>
      <c r="O86" s="117"/>
      <c r="P86" s="118"/>
      <c r="Q86" s="128"/>
      <c r="R86" s="129"/>
      <c r="S86" s="97"/>
      <c r="T86" s="97"/>
      <c r="U86" s="97"/>
      <c r="V86" s="97"/>
      <c r="W86" s="89"/>
      <c r="X86" s="90"/>
      <c r="Y86" s="91"/>
      <c r="Z86" s="95"/>
      <c r="AA86" s="96"/>
      <c r="AB86" s="97"/>
      <c r="AC86" s="97"/>
      <c r="AD86" s="97"/>
      <c r="AE86" s="98"/>
      <c r="AF86" s="116"/>
      <c r="AG86" s="117"/>
      <c r="AH86" s="117"/>
      <c r="AI86" s="118"/>
      <c r="AJ86" s="89"/>
      <c r="AK86" s="91"/>
      <c r="AL86" s="105"/>
      <c r="AM86" s="106"/>
      <c r="AN86" s="109"/>
      <c r="AO86" s="110"/>
      <c r="AP86" s="116"/>
      <c r="AQ86" s="117"/>
      <c r="AR86" s="118"/>
      <c r="AS86" s="116"/>
      <c r="AT86" s="117"/>
      <c r="AU86" s="117"/>
      <c r="AV86" s="117"/>
      <c r="AW86" s="117"/>
      <c r="AX86" s="117"/>
      <c r="AY86" s="117"/>
      <c r="AZ86" s="117"/>
      <c r="BA86" s="118"/>
    </row>
    <row r="87" spans="2:91" s="21" customFormat="1" ht="13.5" customHeight="1" x14ac:dyDescent="0.15">
      <c r="B87" s="116"/>
      <c r="C87" s="117"/>
      <c r="D87" s="117"/>
      <c r="E87" s="117"/>
      <c r="F87" s="117"/>
      <c r="G87" s="117"/>
      <c r="H87" s="118"/>
      <c r="I87" s="116"/>
      <c r="J87" s="117"/>
      <c r="K87" s="117"/>
      <c r="L87" s="118"/>
      <c r="M87" s="116"/>
      <c r="N87" s="117"/>
      <c r="O87" s="117"/>
      <c r="P87" s="118"/>
      <c r="Q87" s="128"/>
      <c r="R87" s="129"/>
      <c r="S87" s="97"/>
      <c r="T87" s="97"/>
      <c r="U87" s="97"/>
      <c r="V87" s="97"/>
      <c r="W87" s="89"/>
      <c r="X87" s="90"/>
      <c r="Y87" s="91"/>
      <c r="Z87" s="95"/>
      <c r="AA87" s="96"/>
      <c r="AB87" s="97"/>
      <c r="AC87" s="97"/>
      <c r="AD87" s="97"/>
      <c r="AE87" s="98"/>
      <c r="AF87" s="116"/>
      <c r="AG87" s="117"/>
      <c r="AH87" s="117"/>
      <c r="AI87" s="118"/>
      <c r="AJ87" s="89"/>
      <c r="AK87" s="91"/>
      <c r="AL87" s="105"/>
      <c r="AM87" s="106"/>
      <c r="AN87" s="109"/>
      <c r="AO87" s="110"/>
      <c r="AP87" s="116"/>
      <c r="AQ87" s="117"/>
      <c r="AR87" s="118"/>
      <c r="AS87" s="116"/>
      <c r="AT87" s="117"/>
      <c r="AU87" s="117"/>
      <c r="AV87" s="117"/>
      <c r="AW87" s="117"/>
      <c r="AX87" s="117"/>
      <c r="AY87" s="117"/>
      <c r="AZ87" s="117"/>
      <c r="BA87" s="118"/>
    </row>
    <row r="88" spans="2:91" s="21" customFormat="1" ht="13.5" customHeight="1" x14ac:dyDescent="0.15">
      <c r="B88" s="119"/>
      <c r="C88" s="120"/>
      <c r="D88" s="120"/>
      <c r="E88" s="120"/>
      <c r="F88" s="120"/>
      <c r="G88" s="120"/>
      <c r="H88" s="121"/>
      <c r="I88" s="119"/>
      <c r="J88" s="120"/>
      <c r="K88" s="120"/>
      <c r="L88" s="121"/>
      <c r="M88" s="119"/>
      <c r="N88" s="120"/>
      <c r="O88" s="120"/>
      <c r="P88" s="121"/>
      <c r="Q88" s="125"/>
      <c r="R88" s="126"/>
      <c r="S88" s="97"/>
      <c r="T88" s="97"/>
      <c r="U88" s="97"/>
      <c r="V88" s="97"/>
      <c r="W88" s="92"/>
      <c r="X88" s="93"/>
      <c r="Y88" s="94"/>
      <c r="Z88" s="95"/>
      <c r="AA88" s="96"/>
      <c r="AB88" s="97"/>
      <c r="AC88" s="97"/>
      <c r="AD88" s="97"/>
      <c r="AE88" s="98"/>
      <c r="AF88" s="119"/>
      <c r="AG88" s="120"/>
      <c r="AH88" s="120"/>
      <c r="AI88" s="121"/>
      <c r="AJ88" s="92"/>
      <c r="AK88" s="94"/>
      <c r="AL88" s="107"/>
      <c r="AM88" s="108"/>
      <c r="AN88" s="111"/>
      <c r="AO88" s="112"/>
      <c r="AP88" s="119"/>
      <c r="AQ88" s="120"/>
      <c r="AR88" s="121"/>
      <c r="AS88" s="119"/>
      <c r="AT88" s="120"/>
      <c r="AU88" s="120"/>
      <c r="AV88" s="120"/>
      <c r="AW88" s="120"/>
      <c r="AX88" s="120"/>
      <c r="AY88" s="120"/>
      <c r="AZ88" s="120"/>
      <c r="BA88" s="121"/>
      <c r="BC88" s="21" t="s">
        <v>64</v>
      </c>
    </row>
    <row r="89" spans="2:91" s="21" customFormat="1" ht="18" customHeight="1" x14ac:dyDescent="0.15">
      <c r="B89" s="73" t="s">
        <v>44</v>
      </c>
      <c r="C89" s="74"/>
      <c r="D89" s="74"/>
      <c r="E89" s="74"/>
      <c r="F89" s="74"/>
      <c r="G89" s="74"/>
      <c r="H89" s="75"/>
      <c r="I89" s="79">
        <f>SUM(I91:L94)</f>
        <v>136079000</v>
      </c>
      <c r="J89" s="80"/>
      <c r="K89" s="80"/>
      <c r="L89" s="81"/>
      <c r="M89" s="79">
        <f>SUM(M91:P94)</f>
        <v>-12603000</v>
      </c>
      <c r="N89" s="80"/>
      <c r="O89" s="80"/>
      <c r="P89" s="81"/>
      <c r="Q89" s="79">
        <f>SUM(Q91:R94)</f>
        <v>0</v>
      </c>
      <c r="R89" s="80"/>
      <c r="S89" s="66">
        <f>SUM(S91:V94)</f>
        <v>123476000</v>
      </c>
      <c r="T89" s="66"/>
      <c r="U89" s="66"/>
      <c r="V89" s="66"/>
      <c r="W89" s="79">
        <f>SUM(W91:Y94)</f>
        <v>30186700</v>
      </c>
      <c r="X89" s="80"/>
      <c r="Y89" s="81"/>
      <c r="Z89" s="79">
        <f>SUM(Z91:AA94)</f>
        <v>0</v>
      </c>
      <c r="AA89" s="80"/>
      <c r="AB89" s="66">
        <f>SUM(AB91:AE94)</f>
        <v>153662700</v>
      </c>
      <c r="AC89" s="66"/>
      <c r="AD89" s="66"/>
      <c r="AE89" s="66"/>
      <c r="AF89" s="79">
        <f>SUM(AF91:AI94)</f>
        <v>152966371</v>
      </c>
      <c r="AG89" s="80"/>
      <c r="AH89" s="80"/>
      <c r="AI89" s="80"/>
      <c r="AJ89" s="79">
        <f>SUM(AJ91:AK94)</f>
        <v>0</v>
      </c>
      <c r="AK89" s="81"/>
      <c r="AL89" s="48">
        <f>SUM(AL91:AM94)</f>
        <v>0</v>
      </c>
      <c r="AM89" s="64"/>
      <c r="AN89" s="66">
        <f>SUM(AN91:AO94)</f>
        <v>0</v>
      </c>
      <c r="AO89" s="66"/>
      <c r="AP89" s="79">
        <f>SUM(AP91:AR94)</f>
        <v>696329</v>
      </c>
      <c r="AQ89" s="80"/>
      <c r="AR89" s="80"/>
      <c r="AS89" s="52"/>
      <c r="AT89" s="53"/>
      <c r="AU89" s="53"/>
      <c r="AV89" s="53"/>
      <c r="AW89" s="53"/>
      <c r="AX89" s="53"/>
      <c r="AY89" s="53"/>
      <c r="AZ89" s="53"/>
      <c r="BA89" s="54"/>
    </row>
    <row r="90" spans="2:91" s="21" customFormat="1" ht="18" customHeight="1" x14ac:dyDescent="0.15">
      <c r="B90" s="76"/>
      <c r="C90" s="77"/>
      <c r="D90" s="77"/>
      <c r="E90" s="77"/>
      <c r="F90" s="77"/>
      <c r="G90" s="77"/>
      <c r="H90" s="78"/>
      <c r="I90" s="82"/>
      <c r="J90" s="83"/>
      <c r="K90" s="83"/>
      <c r="L90" s="84"/>
      <c r="M90" s="82"/>
      <c r="N90" s="83"/>
      <c r="O90" s="83"/>
      <c r="P90" s="84"/>
      <c r="Q90" s="82"/>
      <c r="R90" s="83"/>
      <c r="S90" s="66"/>
      <c r="T90" s="66"/>
      <c r="U90" s="66"/>
      <c r="V90" s="66"/>
      <c r="W90" s="82"/>
      <c r="X90" s="83"/>
      <c r="Y90" s="84"/>
      <c r="Z90" s="82"/>
      <c r="AA90" s="83"/>
      <c r="AB90" s="66"/>
      <c r="AC90" s="66"/>
      <c r="AD90" s="66"/>
      <c r="AE90" s="66"/>
      <c r="AF90" s="82"/>
      <c r="AG90" s="83"/>
      <c r="AH90" s="83"/>
      <c r="AI90" s="83"/>
      <c r="AJ90" s="82"/>
      <c r="AK90" s="84"/>
      <c r="AL90" s="50"/>
      <c r="AM90" s="65"/>
      <c r="AN90" s="66"/>
      <c r="AO90" s="66"/>
      <c r="AP90" s="82"/>
      <c r="AQ90" s="83"/>
      <c r="AR90" s="83"/>
      <c r="AS90" s="55"/>
      <c r="AT90" s="56"/>
      <c r="AU90" s="56"/>
      <c r="AV90" s="56"/>
      <c r="AW90" s="56"/>
      <c r="AX90" s="56"/>
      <c r="AY90" s="56"/>
      <c r="AZ90" s="56"/>
      <c r="BA90" s="57"/>
      <c r="BC90" s="21" t="s">
        <v>76</v>
      </c>
      <c r="BG90" s="21" t="s">
        <v>77</v>
      </c>
    </row>
    <row r="91" spans="2:91" s="21" customFormat="1" ht="18" customHeight="1" x14ac:dyDescent="0.15">
      <c r="B91" s="73" t="s">
        <v>45</v>
      </c>
      <c r="C91" s="74"/>
      <c r="D91" s="74"/>
      <c r="E91" s="74"/>
      <c r="F91" s="74"/>
      <c r="G91" s="74"/>
      <c r="H91" s="75"/>
      <c r="I91" s="48">
        <v>101773000</v>
      </c>
      <c r="J91" s="49"/>
      <c r="K91" s="49"/>
      <c r="L91" s="64"/>
      <c r="M91" s="48">
        <v>-12603000</v>
      </c>
      <c r="N91" s="49"/>
      <c r="O91" s="49"/>
      <c r="P91" s="64"/>
      <c r="Q91" s="79">
        <f>SUM(Q95:R96)</f>
        <v>0</v>
      </c>
      <c r="R91" s="80"/>
      <c r="S91" s="62">
        <f>SUM(I91:R92)</f>
        <v>89170000</v>
      </c>
      <c r="T91" s="62"/>
      <c r="U91" s="62"/>
      <c r="V91" s="62"/>
      <c r="W91" s="62">
        <f>BC92+BC93</f>
        <v>30186700</v>
      </c>
      <c r="X91" s="62"/>
      <c r="Y91" s="62"/>
      <c r="Z91" s="48">
        <v>0</v>
      </c>
      <c r="AA91" s="49"/>
      <c r="AB91" s="62">
        <f>SUM(S91:AA92)</f>
        <v>119356700</v>
      </c>
      <c r="AC91" s="62"/>
      <c r="AD91" s="62"/>
      <c r="AE91" s="62"/>
      <c r="AF91" s="48">
        <f>BC94</f>
        <v>118660756</v>
      </c>
      <c r="AG91" s="49"/>
      <c r="AH91" s="49"/>
      <c r="AI91" s="64"/>
      <c r="AJ91" s="62">
        <v>0</v>
      </c>
      <c r="AK91" s="62"/>
      <c r="AL91" s="48">
        <v>0</v>
      </c>
      <c r="AM91" s="64"/>
      <c r="AN91" s="66">
        <f>SUM(AJ91:AM92)</f>
        <v>0</v>
      </c>
      <c r="AO91" s="66"/>
      <c r="AP91" s="48">
        <f>AB91-AF91-AN91</f>
        <v>695944</v>
      </c>
      <c r="AQ91" s="49"/>
      <c r="AR91" s="49"/>
      <c r="AS91" s="99" t="s">
        <v>62</v>
      </c>
      <c r="AT91" s="100"/>
      <c r="AU91" s="100"/>
      <c r="AV91" s="100"/>
      <c r="AW91" s="100"/>
      <c r="AX91" s="100"/>
      <c r="AY91" s="100"/>
      <c r="AZ91" s="100"/>
      <c r="BA91" s="101"/>
      <c r="BC91" s="21">
        <v>88474056</v>
      </c>
      <c r="BG91" s="21">
        <v>8043096</v>
      </c>
    </row>
    <row r="92" spans="2:91" s="21" customFormat="1" ht="18" customHeight="1" x14ac:dyDescent="0.15">
      <c r="B92" s="76"/>
      <c r="C92" s="77"/>
      <c r="D92" s="77"/>
      <c r="E92" s="77"/>
      <c r="F92" s="77"/>
      <c r="G92" s="77"/>
      <c r="H92" s="78"/>
      <c r="I92" s="50"/>
      <c r="J92" s="51"/>
      <c r="K92" s="51"/>
      <c r="L92" s="65"/>
      <c r="M92" s="50"/>
      <c r="N92" s="51"/>
      <c r="O92" s="51"/>
      <c r="P92" s="65"/>
      <c r="Q92" s="82"/>
      <c r="R92" s="83"/>
      <c r="S92" s="62"/>
      <c r="T92" s="62"/>
      <c r="U92" s="62"/>
      <c r="V92" s="62"/>
      <c r="W92" s="62"/>
      <c r="X92" s="62"/>
      <c r="Y92" s="62"/>
      <c r="Z92" s="50"/>
      <c r="AA92" s="51"/>
      <c r="AB92" s="62"/>
      <c r="AC92" s="62"/>
      <c r="AD92" s="62"/>
      <c r="AE92" s="62"/>
      <c r="AF92" s="50"/>
      <c r="AG92" s="51"/>
      <c r="AH92" s="51"/>
      <c r="AI92" s="65"/>
      <c r="AJ92" s="62"/>
      <c r="AK92" s="62"/>
      <c r="AL92" s="50"/>
      <c r="AM92" s="65"/>
      <c r="AN92" s="66"/>
      <c r="AO92" s="66"/>
      <c r="AP92" s="50"/>
      <c r="AQ92" s="51"/>
      <c r="AR92" s="51"/>
      <c r="AS92" s="204" t="s">
        <v>78</v>
      </c>
      <c r="AT92" s="205"/>
      <c r="AU92" s="205"/>
      <c r="AV92" s="205"/>
      <c r="AW92" s="205"/>
      <c r="AX92" s="205"/>
      <c r="AY92" s="205"/>
      <c r="AZ92" s="205"/>
      <c r="BA92" s="206"/>
      <c r="BC92" s="21">
        <v>22289700</v>
      </c>
      <c r="BG92" s="21">
        <f>1250000+776336</f>
        <v>2026336</v>
      </c>
    </row>
    <row r="93" spans="2:91" s="21" customFormat="1" ht="18" customHeight="1" x14ac:dyDescent="0.15">
      <c r="B93" s="67" t="s">
        <v>46</v>
      </c>
      <c r="C93" s="68"/>
      <c r="D93" s="68"/>
      <c r="E93" s="68"/>
      <c r="F93" s="68"/>
      <c r="G93" s="68"/>
      <c r="H93" s="69"/>
      <c r="I93" s="48">
        <v>34306000</v>
      </c>
      <c r="J93" s="49"/>
      <c r="K93" s="49"/>
      <c r="L93" s="64"/>
      <c r="M93" s="48">
        <v>0</v>
      </c>
      <c r="N93" s="49"/>
      <c r="O93" s="49"/>
      <c r="P93" s="64"/>
      <c r="Q93" s="79">
        <f>SUM(Q95:R95)</f>
        <v>0</v>
      </c>
      <c r="R93" s="80"/>
      <c r="S93" s="48">
        <f>SUM(I93:R94)</f>
        <v>34306000</v>
      </c>
      <c r="T93" s="49"/>
      <c r="U93" s="49"/>
      <c r="V93" s="64"/>
      <c r="W93" s="62">
        <v>0</v>
      </c>
      <c r="X93" s="62"/>
      <c r="Y93" s="62"/>
      <c r="Z93" s="62">
        <v>0</v>
      </c>
      <c r="AA93" s="63"/>
      <c r="AB93" s="62">
        <f>SUM(S93:AA94)</f>
        <v>34306000</v>
      </c>
      <c r="AC93" s="62"/>
      <c r="AD93" s="62"/>
      <c r="AE93" s="62"/>
      <c r="AF93" s="48">
        <v>34305615</v>
      </c>
      <c r="AG93" s="49"/>
      <c r="AH93" s="49"/>
      <c r="AI93" s="64"/>
      <c r="AJ93" s="62">
        <v>0</v>
      </c>
      <c r="AK93" s="62"/>
      <c r="AL93" s="48">
        <v>0</v>
      </c>
      <c r="AM93" s="64"/>
      <c r="AN93" s="66">
        <f>SUM(AJ93:AM94)</f>
        <v>0</v>
      </c>
      <c r="AO93" s="66"/>
      <c r="AP93" s="48">
        <f>AB93-AF93-AN93</f>
        <v>385</v>
      </c>
      <c r="AQ93" s="49"/>
      <c r="AR93" s="49"/>
      <c r="AS93" s="52"/>
      <c r="AT93" s="53"/>
      <c r="AU93" s="53"/>
      <c r="AV93" s="53"/>
      <c r="AW93" s="53"/>
      <c r="AX93" s="53"/>
      <c r="AY93" s="53"/>
      <c r="AZ93" s="53"/>
      <c r="BA93" s="54"/>
      <c r="BC93" s="21">
        <v>7897000</v>
      </c>
      <c r="BG93" s="21">
        <v>717909</v>
      </c>
    </row>
    <row r="94" spans="2:91" s="21" customFormat="1" ht="18" customHeight="1" x14ac:dyDescent="0.15">
      <c r="B94" s="70"/>
      <c r="C94" s="71"/>
      <c r="D94" s="71"/>
      <c r="E94" s="71"/>
      <c r="F94" s="71"/>
      <c r="G94" s="71"/>
      <c r="H94" s="72"/>
      <c r="I94" s="50"/>
      <c r="J94" s="51"/>
      <c r="K94" s="51"/>
      <c r="L94" s="65"/>
      <c r="M94" s="50"/>
      <c r="N94" s="51"/>
      <c r="O94" s="51"/>
      <c r="P94" s="65"/>
      <c r="Q94" s="82"/>
      <c r="R94" s="83"/>
      <c r="S94" s="50"/>
      <c r="T94" s="51"/>
      <c r="U94" s="51"/>
      <c r="V94" s="65"/>
      <c r="W94" s="62"/>
      <c r="X94" s="62"/>
      <c r="Y94" s="62"/>
      <c r="Z94" s="62"/>
      <c r="AA94" s="63"/>
      <c r="AB94" s="62"/>
      <c r="AC94" s="62"/>
      <c r="AD94" s="62"/>
      <c r="AE94" s="62"/>
      <c r="AF94" s="50"/>
      <c r="AG94" s="51"/>
      <c r="AH94" s="51"/>
      <c r="AI94" s="65"/>
      <c r="AJ94" s="62"/>
      <c r="AK94" s="62"/>
      <c r="AL94" s="50"/>
      <c r="AM94" s="65"/>
      <c r="AN94" s="66"/>
      <c r="AO94" s="66"/>
      <c r="AP94" s="50"/>
      <c r="AQ94" s="51"/>
      <c r="AR94" s="51"/>
      <c r="AS94" s="55"/>
      <c r="AT94" s="56"/>
      <c r="AU94" s="56"/>
      <c r="AV94" s="56"/>
      <c r="AW94" s="56"/>
      <c r="AX94" s="56"/>
      <c r="AY94" s="56"/>
      <c r="AZ94" s="56"/>
      <c r="BA94" s="57"/>
      <c r="BC94" s="21">
        <f>SUM(BC91:BC93)</f>
        <v>118660756</v>
      </c>
      <c r="BG94" s="21">
        <f>SUM(BG91:BG93)</f>
        <v>10787341</v>
      </c>
    </row>
    <row r="95" spans="2:91" ht="15" customHeight="1" x14ac:dyDescent="0.15">
      <c r="B95" s="58" t="s">
        <v>79</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row>
    <row r="96" spans="2:91" ht="15" customHeight="1" x14ac:dyDescent="0.1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row>
    <row r="97" spans="2:55" ht="15" customHeight="1" x14ac:dyDescent="0.15">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C97" s="19" t="s">
        <v>66</v>
      </c>
    </row>
    <row r="98" spans="2:55"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C98" s="19">
        <f>AE72-AF89</f>
        <v>-92294971</v>
      </c>
    </row>
    <row r="99" spans="2:55" s="18" customFormat="1" ht="13.5" customHeight="1" x14ac:dyDescent="0.15"/>
    <row r="100" spans="2:55" s="18" customFormat="1" ht="13.5" customHeight="1" x14ac:dyDescent="0.15"/>
    <row r="101" spans="2:55" s="18" customFormat="1" ht="13.5" customHeight="1" x14ac:dyDescent="0.15"/>
    <row r="102" spans="2:55" s="18" customFormat="1" ht="13.5" customHeight="1" x14ac:dyDescent="0.15"/>
    <row r="103" spans="2:55" s="18" customFormat="1" ht="13.5" customHeight="1" x14ac:dyDescent="0.15">
      <c r="AF103" s="60"/>
      <c r="AG103" s="60"/>
      <c r="AH103" s="60"/>
      <c r="AI103" s="60"/>
      <c r="AJ103" s="60"/>
    </row>
    <row r="104" spans="2:55" ht="18" customHeight="1" x14ac:dyDescent="0.15">
      <c r="D104" s="60"/>
      <c r="E104" s="60"/>
      <c r="F104" s="60"/>
      <c r="AF104" s="61"/>
      <c r="AG104" s="61"/>
      <c r="AH104" s="61"/>
      <c r="AI104" s="61"/>
      <c r="AJ104" s="61"/>
    </row>
    <row r="105" spans="2:55" ht="18" customHeight="1" x14ac:dyDescent="0.15">
      <c r="AF105" s="61"/>
      <c r="AG105" s="61"/>
      <c r="AH105" s="61"/>
      <c r="AI105" s="61"/>
      <c r="AJ105" s="61"/>
    </row>
    <row r="106" spans="2:55" ht="18" customHeight="1" x14ac:dyDescent="0.15"/>
    <row r="107" spans="2:55" ht="18" customHeight="1" x14ac:dyDescent="0.15"/>
    <row r="108" spans="2:55" ht="18" customHeight="1" x14ac:dyDescent="0.15"/>
    <row r="109" spans="2:55" ht="18" customHeight="1" x14ac:dyDescent="0.15"/>
    <row r="110" spans="2:55" ht="18" customHeight="1" x14ac:dyDescent="0.15"/>
    <row r="111" spans="2:55" ht="18" customHeight="1" x14ac:dyDescent="0.15"/>
    <row r="112" spans="2:55"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9">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F105:AJ105"/>
    <mergeCell ref="AP93:AR94"/>
    <mergeCell ref="AS93:BA94"/>
    <mergeCell ref="B95:BA97"/>
    <mergeCell ref="D104:F104"/>
    <mergeCell ref="AF104:AJ104"/>
    <mergeCell ref="AF103:AJ103"/>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disablePrompts="1" count="1">
        <x14:dataValidation imeMode="on" allowBlank="1" showInputMessage="1" showErrorMessage="1" xr:uid="{D2218595-0B63-459C-9D8B-0AB70FE1AF65}">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E07B-1AC4-44A2-97EF-5792E07CA07A}">
  <sheetPr>
    <tabColor rgb="FFFF0000"/>
  </sheetPr>
  <dimension ref="B1:CM904"/>
  <sheetViews>
    <sheetView showGridLines="0" showOutlineSymbols="0" view="pageBreakPreview" topLeftCell="A75" zoomScale="80" zoomScaleNormal="89" zoomScaleSheetLayoutView="80" workbookViewId="0">
      <selection activeCell="BC96" sqref="BC96"/>
    </sheetView>
  </sheetViews>
  <sheetFormatPr defaultRowHeight="13.5" x14ac:dyDescent="0.15"/>
  <cols>
    <col min="1" max="1" width="2.625" style="19" customWidth="1"/>
    <col min="2" max="15" width="3.125" style="19" customWidth="1"/>
    <col min="16" max="16" width="4.25" style="19" customWidth="1"/>
    <col min="17" max="37" width="3.125" style="19" customWidth="1"/>
    <col min="38" max="38" width="4.625" style="19" customWidth="1"/>
    <col min="39" max="42" width="3.125" style="19" customWidth="1"/>
    <col min="43" max="43" width="3.5" style="19" customWidth="1"/>
    <col min="44" max="53" width="3.125" style="19" customWidth="1"/>
    <col min="54" max="54" width="5.625" style="19" customWidth="1"/>
    <col min="55" max="55" width="13" style="19" customWidth="1"/>
    <col min="56" max="100" width="2.625" style="19" customWidth="1"/>
    <col min="101" max="260" width="9" style="19"/>
    <col min="261" max="275" width="3.125" style="19" customWidth="1"/>
    <col min="276" max="276" width="5.5" style="19" customWidth="1"/>
    <col min="277" max="277" width="5.625" style="19" customWidth="1"/>
    <col min="278" max="293" width="3.125" style="19" customWidth="1"/>
    <col min="294" max="294" width="5.375" style="19" customWidth="1"/>
    <col min="295" max="296" width="3.125" style="19" customWidth="1"/>
    <col min="297" max="297" width="4.625" style="19" customWidth="1"/>
    <col min="298" max="298" width="3.5" style="19" customWidth="1"/>
    <col min="299" max="309" width="3.125" style="19" customWidth="1"/>
    <col min="310" max="311" width="5.625" style="19" customWidth="1"/>
    <col min="312" max="356" width="2.625" style="19" customWidth="1"/>
    <col min="357" max="516" width="9" style="19"/>
    <col min="517" max="531" width="3.125" style="19" customWidth="1"/>
    <col min="532" max="532" width="5.5" style="19" customWidth="1"/>
    <col min="533" max="533" width="5.625" style="19" customWidth="1"/>
    <col min="534" max="549" width="3.125" style="19" customWidth="1"/>
    <col min="550" max="550" width="5.375" style="19" customWidth="1"/>
    <col min="551" max="552" width="3.125" style="19" customWidth="1"/>
    <col min="553" max="553" width="4.625" style="19" customWidth="1"/>
    <col min="554" max="554" width="3.5" style="19" customWidth="1"/>
    <col min="555" max="565" width="3.125" style="19" customWidth="1"/>
    <col min="566" max="567" width="5.625" style="19" customWidth="1"/>
    <col min="568" max="612" width="2.625" style="19" customWidth="1"/>
    <col min="613" max="772" width="9" style="19"/>
    <col min="773" max="787" width="3.125" style="19" customWidth="1"/>
    <col min="788" max="788" width="5.5" style="19" customWidth="1"/>
    <col min="789" max="789" width="5.625" style="19" customWidth="1"/>
    <col min="790" max="805" width="3.125" style="19" customWidth="1"/>
    <col min="806" max="806" width="5.375" style="19" customWidth="1"/>
    <col min="807" max="808" width="3.125" style="19" customWidth="1"/>
    <col min="809" max="809" width="4.625" style="19" customWidth="1"/>
    <col min="810" max="810" width="3.5" style="19" customWidth="1"/>
    <col min="811" max="821" width="3.125" style="19" customWidth="1"/>
    <col min="822" max="823" width="5.625" style="19" customWidth="1"/>
    <col min="824" max="868" width="2.625" style="19" customWidth="1"/>
    <col min="869" max="1028" width="9" style="19"/>
    <col min="1029" max="1043" width="3.125" style="19" customWidth="1"/>
    <col min="1044" max="1044" width="5.5" style="19" customWidth="1"/>
    <col min="1045" max="1045" width="5.625" style="19" customWidth="1"/>
    <col min="1046" max="1061" width="3.125" style="19" customWidth="1"/>
    <col min="1062" max="1062" width="5.375" style="19" customWidth="1"/>
    <col min="1063" max="1064" width="3.125" style="19" customWidth="1"/>
    <col min="1065" max="1065" width="4.625" style="19" customWidth="1"/>
    <col min="1066" max="1066" width="3.5" style="19" customWidth="1"/>
    <col min="1067" max="1077" width="3.125" style="19" customWidth="1"/>
    <col min="1078" max="1079" width="5.625" style="19" customWidth="1"/>
    <col min="1080" max="1124" width="2.625" style="19" customWidth="1"/>
    <col min="1125" max="1284" width="9" style="19"/>
    <col min="1285" max="1299" width="3.125" style="19" customWidth="1"/>
    <col min="1300" max="1300" width="5.5" style="19" customWidth="1"/>
    <col min="1301" max="1301" width="5.625" style="19" customWidth="1"/>
    <col min="1302" max="1317" width="3.125" style="19" customWidth="1"/>
    <col min="1318" max="1318" width="5.375" style="19" customWidth="1"/>
    <col min="1319" max="1320" width="3.125" style="19" customWidth="1"/>
    <col min="1321" max="1321" width="4.625" style="19" customWidth="1"/>
    <col min="1322" max="1322" width="3.5" style="19" customWidth="1"/>
    <col min="1323" max="1333" width="3.125" style="19" customWidth="1"/>
    <col min="1334" max="1335" width="5.625" style="19" customWidth="1"/>
    <col min="1336" max="1380" width="2.625" style="19" customWidth="1"/>
    <col min="1381" max="1540" width="9" style="19"/>
    <col min="1541" max="1555" width="3.125" style="19" customWidth="1"/>
    <col min="1556" max="1556" width="5.5" style="19" customWidth="1"/>
    <col min="1557" max="1557" width="5.625" style="19" customWidth="1"/>
    <col min="1558" max="1573" width="3.125" style="19" customWidth="1"/>
    <col min="1574" max="1574" width="5.375" style="19" customWidth="1"/>
    <col min="1575" max="1576" width="3.125" style="19" customWidth="1"/>
    <col min="1577" max="1577" width="4.625" style="19" customWidth="1"/>
    <col min="1578" max="1578" width="3.5" style="19" customWidth="1"/>
    <col min="1579" max="1589" width="3.125" style="19" customWidth="1"/>
    <col min="1590" max="1591" width="5.625" style="19" customWidth="1"/>
    <col min="1592" max="1636" width="2.625" style="19" customWidth="1"/>
    <col min="1637" max="1796" width="9" style="19"/>
    <col min="1797" max="1811" width="3.125" style="19" customWidth="1"/>
    <col min="1812" max="1812" width="5.5" style="19" customWidth="1"/>
    <col min="1813" max="1813" width="5.625" style="19" customWidth="1"/>
    <col min="1814" max="1829" width="3.125" style="19" customWidth="1"/>
    <col min="1830" max="1830" width="5.375" style="19" customWidth="1"/>
    <col min="1831" max="1832" width="3.125" style="19" customWidth="1"/>
    <col min="1833" max="1833" width="4.625" style="19" customWidth="1"/>
    <col min="1834" max="1834" width="3.5" style="19" customWidth="1"/>
    <col min="1835" max="1845" width="3.125" style="19" customWidth="1"/>
    <col min="1846" max="1847" width="5.625" style="19" customWidth="1"/>
    <col min="1848" max="1892" width="2.625" style="19" customWidth="1"/>
    <col min="1893" max="2052" width="9" style="19"/>
    <col min="2053" max="2067" width="3.125" style="19" customWidth="1"/>
    <col min="2068" max="2068" width="5.5" style="19" customWidth="1"/>
    <col min="2069" max="2069" width="5.625" style="19" customWidth="1"/>
    <col min="2070" max="2085" width="3.125" style="19" customWidth="1"/>
    <col min="2086" max="2086" width="5.375" style="19" customWidth="1"/>
    <col min="2087" max="2088" width="3.125" style="19" customWidth="1"/>
    <col min="2089" max="2089" width="4.625" style="19" customWidth="1"/>
    <col min="2090" max="2090" width="3.5" style="19" customWidth="1"/>
    <col min="2091" max="2101" width="3.125" style="19" customWidth="1"/>
    <col min="2102" max="2103" width="5.625" style="19" customWidth="1"/>
    <col min="2104" max="2148" width="2.625" style="19" customWidth="1"/>
    <col min="2149" max="2308" width="9" style="19"/>
    <col min="2309" max="2323" width="3.125" style="19" customWidth="1"/>
    <col min="2324" max="2324" width="5.5" style="19" customWidth="1"/>
    <col min="2325" max="2325" width="5.625" style="19" customWidth="1"/>
    <col min="2326" max="2341" width="3.125" style="19" customWidth="1"/>
    <col min="2342" max="2342" width="5.375" style="19" customWidth="1"/>
    <col min="2343" max="2344" width="3.125" style="19" customWidth="1"/>
    <col min="2345" max="2345" width="4.625" style="19" customWidth="1"/>
    <col min="2346" max="2346" width="3.5" style="19" customWidth="1"/>
    <col min="2347" max="2357" width="3.125" style="19" customWidth="1"/>
    <col min="2358" max="2359" width="5.625" style="19" customWidth="1"/>
    <col min="2360" max="2404" width="2.625" style="19" customWidth="1"/>
    <col min="2405" max="2564" width="9" style="19"/>
    <col min="2565" max="2579" width="3.125" style="19" customWidth="1"/>
    <col min="2580" max="2580" width="5.5" style="19" customWidth="1"/>
    <col min="2581" max="2581" width="5.625" style="19" customWidth="1"/>
    <col min="2582" max="2597" width="3.125" style="19" customWidth="1"/>
    <col min="2598" max="2598" width="5.375" style="19" customWidth="1"/>
    <col min="2599" max="2600" width="3.125" style="19" customWidth="1"/>
    <col min="2601" max="2601" width="4.625" style="19" customWidth="1"/>
    <col min="2602" max="2602" width="3.5" style="19" customWidth="1"/>
    <col min="2603" max="2613" width="3.125" style="19" customWidth="1"/>
    <col min="2614" max="2615" width="5.625" style="19" customWidth="1"/>
    <col min="2616" max="2660" width="2.625" style="19" customWidth="1"/>
    <col min="2661" max="2820" width="9" style="19"/>
    <col min="2821" max="2835" width="3.125" style="19" customWidth="1"/>
    <col min="2836" max="2836" width="5.5" style="19" customWidth="1"/>
    <col min="2837" max="2837" width="5.625" style="19" customWidth="1"/>
    <col min="2838" max="2853" width="3.125" style="19" customWidth="1"/>
    <col min="2854" max="2854" width="5.375" style="19" customWidth="1"/>
    <col min="2855" max="2856" width="3.125" style="19" customWidth="1"/>
    <col min="2857" max="2857" width="4.625" style="19" customWidth="1"/>
    <col min="2858" max="2858" width="3.5" style="19" customWidth="1"/>
    <col min="2859" max="2869" width="3.125" style="19" customWidth="1"/>
    <col min="2870" max="2871" width="5.625" style="19" customWidth="1"/>
    <col min="2872" max="2916" width="2.625" style="19" customWidth="1"/>
    <col min="2917" max="3076" width="9" style="19"/>
    <col min="3077" max="3091" width="3.125" style="19" customWidth="1"/>
    <col min="3092" max="3092" width="5.5" style="19" customWidth="1"/>
    <col min="3093" max="3093" width="5.625" style="19" customWidth="1"/>
    <col min="3094" max="3109" width="3.125" style="19" customWidth="1"/>
    <col min="3110" max="3110" width="5.375" style="19" customWidth="1"/>
    <col min="3111" max="3112" width="3.125" style="19" customWidth="1"/>
    <col min="3113" max="3113" width="4.625" style="19" customWidth="1"/>
    <col min="3114" max="3114" width="3.5" style="19" customWidth="1"/>
    <col min="3115" max="3125" width="3.125" style="19" customWidth="1"/>
    <col min="3126" max="3127" width="5.625" style="19" customWidth="1"/>
    <col min="3128" max="3172" width="2.625" style="19" customWidth="1"/>
    <col min="3173" max="3332" width="9" style="19"/>
    <col min="3333" max="3347" width="3.125" style="19" customWidth="1"/>
    <col min="3348" max="3348" width="5.5" style="19" customWidth="1"/>
    <col min="3349" max="3349" width="5.625" style="19" customWidth="1"/>
    <col min="3350" max="3365" width="3.125" style="19" customWidth="1"/>
    <col min="3366" max="3366" width="5.375" style="19" customWidth="1"/>
    <col min="3367" max="3368" width="3.125" style="19" customWidth="1"/>
    <col min="3369" max="3369" width="4.625" style="19" customWidth="1"/>
    <col min="3370" max="3370" width="3.5" style="19" customWidth="1"/>
    <col min="3371" max="3381" width="3.125" style="19" customWidth="1"/>
    <col min="3382" max="3383" width="5.625" style="19" customWidth="1"/>
    <col min="3384" max="3428" width="2.625" style="19" customWidth="1"/>
    <col min="3429" max="3588" width="9" style="19"/>
    <col min="3589" max="3603" width="3.125" style="19" customWidth="1"/>
    <col min="3604" max="3604" width="5.5" style="19" customWidth="1"/>
    <col min="3605" max="3605" width="5.625" style="19" customWidth="1"/>
    <col min="3606" max="3621" width="3.125" style="19" customWidth="1"/>
    <col min="3622" max="3622" width="5.375" style="19" customWidth="1"/>
    <col min="3623" max="3624" width="3.125" style="19" customWidth="1"/>
    <col min="3625" max="3625" width="4.625" style="19" customWidth="1"/>
    <col min="3626" max="3626" width="3.5" style="19" customWidth="1"/>
    <col min="3627" max="3637" width="3.125" style="19" customWidth="1"/>
    <col min="3638" max="3639" width="5.625" style="19" customWidth="1"/>
    <col min="3640" max="3684" width="2.625" style="19" customWidth="1"/>
    <col min="3685" max="3844" width="9" style="19"/>
    <col min="3845" max="3859" width="3.125" style="19" customWidth="1"/>
    <col min="3860" max="3860" width="5.5" style="19" customWidth="1"/>
    <col min="3861" max="3861" width="5.625" style="19" customWidth="1"/>
    <col min="3862" max="3877" width="3.125" style="19" customWidth="1"/>
    <col min="3878" max="3878" width="5.375" style="19" customWidth="1"/>
    <col min="3879" max="3880" width="3.125" style="19" customWidth="1"/>
    <col min="3881" max="3881" width="4.625" style="19" customWidth="1"/>
    <col min="3882" max="3882" width="3.5" style="19" customWidth="1"/>
    <col min="3883" max="3893" width="3.125" style="19" customWidth="1"/>
    <col min="3894" max="3895" width="5.625" style="19" customWidth="1"/>
    <col min="3896" max="3940" width="2.625" style="19" customWidth="1"/>
    <col min="3941" max="4100" width="9" style="19"/>
    <col min="4101" max="4115" width="3.125" style="19" customWidth="1"/>
    <col min="4116" max="4116" width="5.5" style="19" customWidth="1"/>
    <col min="4117" max="4117" width="5.625" style="19" customWidth="1"/>
    <col min="4118" max="4133" width="3.125" style="19" customWidth="1"/>
    <col min="4134" max="4134" width="5.375" style="19" customWidth="1"/>
    <col min="4135" max="4136" width="3.125" style="19" customWidth="1"/>
    <col min="4137" max="4137" width="4.625" style="19" customWidth="1"/>
    <col min="4138" max="4138" width="3.5" style="19" customWidth="1"/>
    <col min="4139" max="4149" width="3.125" style="19" customWidth="1"/>
    <col min="4150" max="4151" width="5.625" style="19" customWidth="1"/>
    <col min="4152" max="4196" width="2.625" style="19" customWidth="1"/>
    <col min="4197" max="4356" width="9" style="19"/>
    <col min="4357" max="4371" width="3.125" style="19" customWidth="1"/>
    <col min="4372" max="4372" width="5.5" style="19" customWidth="1"/>
    <col min="4373" max="4373" width="5.625" style="19" customWidth="1"/>
    <col min="4374" max="4389" width="3.125" style="19" customWidth="1"/>
    <col min="4390" max="4390" width="5.375" style="19" customWidth="1"/>
    <col min="4391" max="4392" width="3.125" style="19" customWidth="1"/>
    <col min="4393" max="4393" width="4.625" style="19" customWidth="1"/>
    <col min="4394" max="4394" width="3.5" style="19" customWidth="1"/>
    <col min="4395" max="4405" width="3.125" style="19" customWidth="1"/>
    <col min="4406" max="4407" width="5.625" style="19" customWidth="1"/>
    <col min="4408" max="4452" width="2.625" style="19" customWidth="1"/>
    <col min="4453" max="4612" width="9" style="19"/>
    <col min="4613" max="4627" width="3.125" style="19" customWidth="1"/>
    <col min="4628" max="4628" width="5.5" style="19" customWidth="1"/>
    <col min="4629" max="4629" width="5.625" style="19" customWidth="1"/>
    <col min="4630" max="4645" width="3.125" style="19" customWidth="1"/>
    <col min="4646" max="4646" width="5.375" style="19" customWidth="1"/>
    <col min="4647" max="4648" width="3.125" style="19" customWidth="1"/>
    <col min="4649" max="4649" width="4.625" style="19" customWidth="1"/>
    <col min="4650" max="4650" width="3.5" style="19" customWidth="1"/>
    <col min="4651" max="4661" width="3.125" style="19" customWidth="1"/>
    <col min="4662" max="4663" width="5.625" style="19" customWidth="1"/>
    <col min="4664" max="4708" width="2.625" style="19" customWidth="1"/>
    <col min="4709" max="4868" width="9" style="19"/>
    <col min="4869" max="4883" width="3.125" style="19" customWidth="1"/>
    <col min="4884" max="4884" width="5.5" style="19" customWidth="1"/>
    <col min="4885" max="4885" width="5.625" style="19" customWidth="1"/>
    <col min="4886" max="4901" width="3.125" style="19" customWidth="1"/>
    <col min="4902" max="4902" width="5.375" style="19" customWidth="1"/>
    <col min="4903" max="4904" width="3.125" style="19" customWidth="1"/>
    <col min="4905" max="4905" width="4.625" style="19" customWidth="1"/>
    <col min="4906" max="4906" width="3.5" style="19" customWidth="1"/>
    <col min="4907" max="4917" width="3.125" style="19" customWidth="1"/>
    <col min="4918" max="4919" width="5.625" style="19" customWidth="1"/>
    <col min="4920" max="4964" width="2.625" style="19" customWidth="1"/>
    <col min="4965" max="5124" width="9" style="19"/>
    <col min="5125" max="5139" width="3.125" style="19" customWidth="1"/>
    <col min="5140" max="5140" width="5.5" style="19" customWidth="1"/>
    <col min="5141" max="5141" width="5.625" style="19" customWidth="1"/>
    <col min="5142" max="5157" width="3.125" style="19" customWidth="1"/>
    <col min="5158" max="5158" width="5.375" style="19" customWidth="1"/>
    <col min="5159" max="5160" width="3.125" style="19" customWidth="1"/>
    <col min="5161" max="5161" width="4.625" style="19" customWidth="1"/>
    <col min="5162" max="5162" width="3.5" style="19" customWidth="1"/>
    <col min="5163" max="5173" width="3.125" style="19" customWidth="1"/>
    <col min="5174" max="5175" width="5.625" style="19" customWidth="1"/>
    <col min="5176" max="5220" width="2.625" style="19" customWidth="1"/>
    <col min="5221" max="5380" width="9" style="19"/>
    <col min="5381" max="5395" width="3.125" style="19" customWidth="1"/>
    <col min="5396" max="5396" width="5.5" style="19" customWidth="1"/>
    <col min="5397" max="5397" width="5.625" style="19" customWidth="1"/>
    <col min="5398" max="5413" width="3.125" style="19" customWidth="1"/>
    <col min="5414" max="5414" width="5.375" style="19" customWidth="1"/>
    <col min="5415" max="5416" width="3.125" style="19" customWidth="1"/>
    <col min="5417" max="5417" width="4.625" style="19" customWidth="1"/>
    <col min="5418" max="5418" width="3.5" style="19" customWidth="1"/>
    <col min="5419" max="5429" width="3.125" style="19" customWidth="1"/>
    <col min="5430" max="5431" width="5.625" style="19" customWidth="1"/>
    <col min="5432" max="5476" width="2.625" style="19" customWidth="1"/>
    <col min="5477" max="5636" width="9" style="19"/>
    <col min="5637" max="5651" width="3.125" style="19" customWidth="1"/>
    <col min="5652" max="5652" width="5.5" style="19" customWidth="1"/>
    <col min="5653" max="5653" width="5.625" style="19" customWidth="1"/>
    <col min="5654" max="5669" width="3.125" style="19" customWidth="1"/>
    <col min="5670" max="5670" width="5.375" style="19" customWidth="1"/>
    <col min="5671" max="5672" width="3.125" style="19" customWidth="1"/>
    <col min="5673" max="5673" width="4.625" style="19" customWidth="1"/>
    <col min="5674" max="5674" width="3.5" style="19" customWidth="1"/>
    <col min="5675" max="5685" width="3.125" style="19" customWidth="1"/>
    <col min="5686" max="5687" width="5.625" style="19" customWidth="1"/>
    <col min="5688" max="5732" width="2.625" style="19" customWidth="1"/>
    <col min="5733" max="5892" width="9" style="19"/>
    <col min="5893" max="5907" width="3.125" style="19" customWidth="1"/>
    <col min="5908" max="5908" width="5.5" style="19" customWidth="1"/>
    <col min="5909" max="5909" width="5.625" style="19" customWidth="1"/>
    <col min="5910" max="5925" width="3.125" style="19" customWidth="1"/>
    <col min="5926" max="5926" width="5.375" style="19" customWidth="1"/>
    <col min="5927" max="5928" width="3.125" style="19" customWidth="1"/>
    <col min="5929" max="5929" width="4.625" style="19" customWidth="1"/>
    <col min="5930" max="5930" width="3.5" style="19" customWidth="1"/>
    <col min="5931" max="5941" width="3.125" style="19" customWidth="1"/>
    <col min="5942" max="5943" width="5.625" style="19" customWidth="1"/>
    <col min="5944" max="5988" width="2.625" style="19" customWidth="1"/>
    <col min="5989" max="6148" width="9" style="19"/>
    <col min="6149" max="6163" width="3.125" style="19" customWidth="1"/>
    <col min="6164" max="6164" width="5.5" style="19" customWidth="1"/>
    <col min="6165" max="6165" width="5.625" style="19" customWidth="1"/>
    <col min="6166" max="6181" width="3.125" style="19" customWidth="1"/>
    <col min="6182" max="6182" width="5.375" style="19" customWidth="1"/>
    <col min="6183" max="6184" width="3.125" style="19" customWidth="1"/>
    <col min="6185" max="6185" width="4.625" style="19" customWidth="1"/>
    <col min="6186" max="6186" width="3.5" style="19" customWidth="1"/>
    <col min="6187" max="6197" width="3.125" style="19" customWidth="1"/>
    <col min="6198" max="6199" width="5.625" style="19" customWidth="1"/>
    <col min="6200" max="6244" width="2.625" style="19" customWidth="1"/>
    <col min="6245" max="6404" width="9" style="19"/>
    <col min="6405" max="6419" width="3.125" style="19" customWidth="1"/>
    <col min="6420" max="6420" width="5.5" style="19" customWidth="1"/>
    <col min="6421" max="6421" width="5.625" style="19" customWidth="1"/>
    <col min="6422" max="6437" width="3.125" style="19" customWidth="1"/>
    <col min="6438" max="6438" width="5.375" style="19" customWidth="1"/>
    <col min="6439" max="6440" width="3.125" style="19" customWidth="1"/>
    <col min="6441" max="6441" width="4.625" style="19" customWidth="1"/>
    <col min="6442" max="6442" width="3.5" style="19" customWidth="1"/>
    <col min="6443" max="6453" width="3.125" style="19" customWidth="1"/>
    <col min="6454" max="6455" width="5.625" style="19" customWidth="1"/>
    <col min="6456" max="6500" width="2.625" style="19" customWidth="1"/>
    <col min="6501" max="6660" width="9" style="19"/>
    <col min="6661" max="6675" width="3.125" style="19" customWidth="1"/>
    <col min="6676" max="6676" width="5.5" style="19" customWidth="1"/>
    <col min="6677" max="6677" width="5.625" style="19" customWidth="1"/>
    <col min="6678" max="6693" width="3.125" style="19" customWidth="1"/>
    <col min="6694" max="6694" width="5.375" style="19" customWidth="1"/>
    <col min="6695" max="6696" width="3.125" style="19" customWidth="1"/>
    <col min="6697" max="6697" width="4.625" style="19" customWidth="1"/>
    <col min="6698" max="6698" width="3.5" style="19" customWidth="1"/>
    <col min="6699" max="6709" width="3.125" style="19" customWidth="1"/>
    <col min="6710" max="6711" width="5.625" style="19" customWidth="1"/>
    <col min="6712" max="6756" width="2.625" style="19" customWidth="1"/>
    <col min="6757" max="6916" width="9" style="19"/>
    <col min="6917" max="6931" width="3.125" style="19" customWidth="1"/>
    <col min="6932" max="6932" width="5.5" style="19" customWidth="1"/>
    <col min="6933" max="6933" width="5.625" style="19" customWidth="1"/>
    <col min="6934" max="6949" width="3.125" style="19" customWidth="1"/>
    <col min="6950" max="6950" width="5.375" style="19" customWidth="1"/>
    <col min="6951" max="6952" width="3.125" style="19" customWidth="1"/>
    <col min="6953" max="6953" width="4.625" style="19" customWidth="1"/>
    <col min="6954" max="6954" width="3.5" style="19" customWidth="1"/>
    <col min="6955" max="6965" width="3.125" style="19" customWidth="1"/>
    <col min="6966" max="6967" width="5.625" style="19" customWidth="1"/>
    <col min="6968" max="7012" width="2.625" style="19" customWidth="1"/>
    <col min="7013" max="7172" width="9" style="19"/>
    <col min="7173" max="7187" width="3.125" style="19" customWidth="1"/>
    <col min="7188" max="7188" width="5.5" style="19" customWidth="1"/>
    <col min="7189" max="7189" width="5.625" style="19" customWidth="1"/>
    <col min="7190" max="7205" width="3.125" style="19" customWidth="1"/>
    <col min="7206" max="7206" width="5.375" style="19" customWidth="1"/>
    <col min="7207" max="7208" width="3.125" style="19" customWidth="1"/>
    <col min="7209" max="7209" width="4.625" style="19" customWidth="1"/>
    <col min="7210" max="7210" width="3.5" style="19" customWidth="1"/>
    <col min="7211" max="7221" width="3.125" style="19" customWidth="1"/>
    <col min="7222" max="7223" width="5.625" style="19" customWidth="1"/>
    <col min="7224" max="7268" width="2.625" style="19" customWidth="1"/>
    <col min="7269" max="7428" width="9" style="19"/>
    <col min="7429" max="7443" width="3.125" style="19" customWidth="1"/>
    <col min="7444" max="7444" width="5.5" style="19" customWidth="1"/>
    <col min="7445" max="7445" width="5.625" style="19" customWidth="1"/>
    <col min="7446" max="7461" width="3.125" style="19" customWidth="1"/>
    <col min="7462" max="7462" width="5.375" style="19" customWidth="1"/>
    <col min="7463" max="7464" width="3.125" style="19" customWidth="1"/>
    <col min="7465" max="7465" width="4.625" style="19" customWidth="1"/>
    <col min="7466" max="7466" width="3.5" style="19" customWidth="1"/>
    <col min="7467" max="7477" width="3.125" style="19" customWidth="1"/>
    <col min="7478" max="7479" width="5.625" style="19" customWidth="1"/>
    <col min="7480" max="7524" width="2.625" style="19" customWidth="1"/>
    <col min="7525" max="7684" width="9" style="19"/>
    <col min="7685" max="7699" width="3.125" style="19" customWidth="1"/>
    <col min="7700" max="7700" width="5.5" style="19" customWidth="1"/>
    <col min="7701" max="7701" width="5.625" style="19" customWidth="1"/>
    <col min="7702" max="7717" width="3.125" style="19" customWidth="1"/>
    <col min="7718" max="7718" width="5.375" style="19" customWidth="1"/>
    <col min="7719" max="7720" width="3.125" style="19" customWidth="1"/>
    <col min="7721" max="7721" width="4.625" style="19" customWidth="1"/>
    <col min="7722" max="7722" width="3.5" style="19" customWidth="1"/>
    <col min="7723" max="7733" width="3.125" style="19" customWidth="1"/>
    <col min="7734" max="7735" width="5.625" style="19" customWidth="1"/>
    <col min="7736" max="7780" width="2.625" style="19" customWidth="1"/>
    <col min="7781" max="7940" width="9" style="19"/>
    <col min="7941" max="7955" width="3.125" style="19" customWidth="1"/>
    <col min="7956" max="7956" width="5.5" style="19" customWidth="1"/>
    <col min="7957" max="7957" width="5.625" style="19" customWidth="1"/>
    <col min="7958" max="7973" width="3.125" style="19" customWidth="1"/>
    <col min="7974" max="7974" width="5.375" style="19" customWidth="1"/>
    <col min="7975" max="7976" width="3.125" style="19" customWidth="1"/>
    <col min="7977" max="7977" width="4.625" style="19" customWidth="1"/>
    <col min="7978" max="7978" width="3.5" style="19" customWidth="1"/>
    <col min="7979" max="7989" width="3.125" style="19" customWidth="1"/>
    <col min="7990" max="7991" width="5.625" style="19" customWidth="1"/>
    <col min="7992" max="8036" width="2.625" style="19" customWidth="1"/>
    <col min="8037" max="8196" width="9" style="19"/>
    <col min="8197" max="8211" width="3.125" style="19" customWidth="1"/>
    <col min="8212" max="8212" width="5.5" style="19" customWidth="1"/>
    <col min="8213" max="8213" width="5.625" style="19" customWidth="1"/>
    <col min="8214" max="8229" width="3.125" style="19" customWidth="1"/>
    <col min="8230" max="8230" width="5.375" style="19" customWidth="1"/>
    <col min="8231" max="8232" width="3.125" style="19" customWidth="1"/>
    <col min="8233" max="8233" width="4.625" style="19" customWidth="1"/>
    <col min="8234" max="8234" width="3.5" style="19" customWidth="1"/>
    <col min="8235" max="8245" width="3.125" style="19" customWidth="1"/>
    <col min="8246" max="8247" width="5.625" style="19" customWidth="1"/>
    <col min="8248" max="8292" width="2.625" style="19" customWidth="1"/>
    <col min="8293" max="8452" width="9" style="19"/>
    <col min="8453" max="8467" width="3.125" style="19" customWidth="1"/>
    <col min="8468" max="8468" width="5.5" style="19" customWidth="1"/>
    <col min="8469" max="8469" width="5.625" style="19" customWidth="1"/>
    <col min="8470" max="8485" width="3.125" style="19" customWidth="1"/>
    <col min="8486" max="8486" width="5.375" style="19" customWidth="1"/>
    <col min="8487" max="8488" width="3.125" style="19" customWidth="1"/>
    <col min="8489" max="8489" width="4.625" style="19" customWidth="1"/>
    <col min="8490" max="8490" width="3.5" style="19" customWidth="1"/>
    <col min="8491" max="8501" width="3.125" style="19" customWidth="1"/>
    <col min="8502" max="8503" width="5.625" style="19" customWidth="1"/>
    <col min="8504" max="8548" width="2.625" style="19" customWidth="1"/>
    <col min="8549" max="8708" width="9" style="19"/>
    <col min="8709" max="8723" width="3.125" style="19" customWidth="1"/>
    <col min="8724" max="8724" width="5.5" style="19" customWidth="1"/>
    <col min="8725" max="8725" width="5.625" style="19" customWidth="1"/>
    <col min="8726" max="8741" width="3.125" style="19" customWidth="1"/>
    <col min="8742" max="8742" width="5.375" style="19" customWidth="1"/>
    <col min="8743" max="8744" width="3.125" style="19" customWidth="1"/>
    <col min="8745" max="8745" width="4.625" style="19" customWidth="1"/>
    <col min="8746" max="8746" width="3.5" style="19" customWidth="1"/>
    <col min="8747" max="8757" width="3.125" style="19" customWidth="1"/>
    <col min="8758" max="8759" width="5.625" style="19" customWidth="1"/>
    <col min="8760" max="8804" width="2.625" style="19" customWidth="1"/>
    <col min="8805" max="8964" width="9" style="19"/>
    <col min="8965" max="8979" width="3.125" style="19" customWidth="1"/>
    <col min="8980" max="8980" width="5.5" style="19" customWidth="1"/>
    <col min="8981" max="8981" width="5.625" style="19" customWidth="1"/>
    <col min="8982" max="8997" width="3.125" style="19" customWidth="1"/>
    <col min="8998" max="8998" width="5.375" style="19" customWidth="1"/>
    <col min="8999" max="9000" width="3.125" style="19" customWidth="1"/>
    <col min="9001" max="9001" width="4.625" style="19" customWidth="1"/>
    <col min="9002" max="9002" width="3.5" style="19" customWidth="1"/>
    <col min="9003" max="9013" width="3.125" style="19" customWidth="1"/>
    <col min="9014" max="9015" width="5.625" style="19" customWidth="1"/>
    <col min="9016" max="9060" width="2.625" style="19" customWidth="1"/>
    <col min="9061" max="9220" width="9" style="19"/>
    <col min="9221" max="9235" width="3.125" style="19" customWidth="1"/>
    <col min="9236" max="9236" width="5.5" style="19" customWidth="1"/>
    <col min="9237" max="9237" width="5.625" style="19" customWidth="1"/>
    <col min="9238" max="9253" width="3.125" style="19" customWidth="1"/>
    <col min="9254" max="9254" width="5.375" style="19" customWidth="1"/>
    <col min="9255" max="9256" width="3.125" style="19" customWidth="1"/>
    <col min="9257" max="9257" width="4.625" style="19" customWidth="1"/>
    <col min="9258" max="9258" width="3.5" style="19" customWidth="1"/>
    <col min="9259" max="9269" width="3.125" style="19" customWidth="1"/>
    <col min="9270" max="9271" width="5.625" style="19" customWidth="1"/>
    <col min="9272" max="9316" width="2.625" style="19" customWidth="1"/>
    <col min="9317" max="9476" width="9" style="19"/>
    <col min="9477" max="9491" width="3.125" style="19" customWidth="1"/>
    <col min="9492" max="9492" width="5.5" style="19" customWidth="1"/>
    <col min="9493" max="9493" width="5.625" style="19" customWidth="1"/>
    <col min="9494" max="9509" width="3.125" style="19" customWidth="1"/>
    <col min="9510" max="9510" width="5.375" style="19" customWidth="1"/>
    <col min="9511" max="9512" width="3.125" style="19" customWidth="1"/>
    <col min="9513" max="9513" width="4.625" style="19" customWidth="1"/>
    <col min="9514" max="9514" width="3.5" style="19" customWidth="1"/>
    <col min="9515" max="9525" width="3.125" style="19" customWidth="1"/>
    <col min="9526" max="9527" width="5.625" style="19" customWidth="1"/>
    <col min="9528" max="9572" width="2.625" style="19" customWidth="1"/>
    <col min="9573" max="9732" width="9" style="19"/>
    <col min="9733" max="9747" width="3.125" style="19" customWidth="1"/>
    <col min="9748" max="9748" width="5.5" style="19" customWidth="1"/>
    <col min="9749" max="9749" width="5.625" style="19" customWidth="1"/>
    <col min="9750" max="9765" width="3.125" style="19" customWidth="1"/>
    <col min="9766" max="9766" width="5.375" style="19" customWidth="1"/>
    <col min="9767" max="9768" width="3.125" style="19" customWidth="1"/>
    <col min="9769" max="9769" width="4.625" style="19" customWidth="1"/>
    <col min="9770" max="9770" width="3.5" style="19" customWidth="1"/>
    <col min="9771" max="9781" width="3.125" style="19" customWidth="1"/>
    <col min="9782" max="9783" width="5.625" style="19" customWidth="1"/>
    <col min="9784" max="9828" width="2.625" style="19" customWidth="1"/>
    <col min="9829" max="9988" width="9" style="19"/>
    <col min="9989" max="10003" width="3.125" style="19" customWidth="1"/>
    <col min="10004" max="10004" width="5.5" style="19" customWidth="1"/>
    <col min="10005" max="10005" width="5.625" style="19" customWidth="1"/>
    <col min="10006" max="10021" width="3.125" style="19" customWidth="1"/>
    <col min="10022" max="10022" width="5.375" style="19" customWidth="1"/>
    <col min="10023" max="10024" width="3.125" style="19" customWidth="1"/>
    <col min="10025" max="10025" width="4.625" style="19" customWidth="1"/>
    <col min="10026" max="10026" width="3.5" style="19" customWidth="1"/>
    <col min="10027" max="10037" width="3.125" style="19" customWidth="1"/>
    <col min="10038" max="10039" width="5.625" style="19" customWidth="1"/>
    <col min="10040" max="10084" width="2.625" style="19" customWidth="1"/>
    <col min="10085" max="10244" width="9" style="19"/>
    <col min="10245" max="10259" width="3.125" style="19" customWidth="1"/>
    <col min="10260" max="10260" width="5.5" style="19" customWidth="1"/>
    <col min="10261" max="10261" width="5.625" style="19" customWidth="1"/>
    <col min="10262" max="10277" width="3.125" style="19" customWidth="1"/>
    <col min="10278" max="10278" width="5.375" style="19" customWidth="1"/>
    <col min="10279" max="10280" width="3.125" style="19" customWidth="1"/>
    <col min="10281" max="10281" width="4.625" style="19" customWidth="1"/>
    <col min="10282" max="10282" width="3.5" style="19" customWidth="1"/>
    <col min="10283" max="10293" width="3.125" style="19" customWidth="1"/>
    <col min="10294" max="10295" width="5.625" style="19" customWidth="1"/>
    <col min="10296" max="10340" width="2.625" style="19" customWidth="1"/>
    <col min="10341" max="10500" width="9" style="19"/>
    <col min="10501" max="10515" width="3.125" style="19" customWidth="1"/>
    <col min="10516" max="10516" width="5.5" style="19" customWidth="1"/>
    <col min="10517" max="10517" width="5.625" style="19" customWidth="1"/>
    <col min="10518" max="10533" width="3.125" style="19" customWidth="1"/>
    <col min="10534" max="10534" width="5.375" style="19" customWidth="1"/>
    <col min="10535" max="10536" width="3.125" style="19" customWidth="1"/>
    <col min="10537" max="10537" width="4.625" style="19" customWidth="1"/>
    <col min="10538" max="10538" width="3.5" style="19" customWidth="1"/>
    <col min="10539" max="10549" width="3.125" style="19" customWidth="1"/>
    <col min="10550" max="10551" width="5.625" style="19" customWidth="1"/>
    <col min="10552" max="10596" width="2.625" style="19" customWidth="1"/>
    <col min="10597" max="10756" width="9" style="19"/>
    <col min="10757" max="10771" width="3.125" style="19" customWidth="1"/>
    <col min="10772" max="10772" width="5.5" style="19" customWidth="1"/>
    <col min="10773" max="10773" width="5.625" style="19" customWidth="1"/>
    <col min="10774" max="10789" width="3.125" style="19" customWidth="1"/>
    <col min="10790" max="10790" width="5.375" style="19" customWidth="1"/>
    <col min="10791" max="10792" width="3.125" style="19" customWidth="1"/>
    <col min="10793" max="10793" width="4.625" style="19" customWidth="1"/>
    <col min="10794" max="10794" width="3.5" style="19" customWidth="1"/>
    <col min="10795" max="10805" width="3.125" style="19" customWidth="1"/>
    <col min="10806" max="10807" width="5.625" style="19" customWidth="1"/>
    <col min="10808" max="10852" width="2.625" style="19" customWidth="1"/>
    <col min="10853" max="11012" width="9" style="19"/>
    <col min="11013" max="11027" width="3.125" style="19" customWidth="1"/>
    <col min="11028" max="11028" width="5.5" style="19" customWidth="1"/>
    <col min="11029" max="11029" width="5.625" style="19" customWidth="1"/>
    <col min="11030" max="11045" width="3.125" style="19" customWidth="1"/>
    <col min="11046" max="11046" width="5.375" style="19" customWidth="1"/>
    <col min="11047" max="11048" width="3.125" style="19" customWidth="1"/>
    <col min="11049" max="11049" width="4.625" style="19" customWidth="1"/>
    <col min="11050" max="11050" width="3.5" style="19" customWidth="1"/>
    <col min="11051" max="11061" width="3.125" style="19" customWidth="1"/>
    <col min="11062" max="11063" width="5.625" style="19" customWidth="1"/>
    <col min="11064" max="11108" width="2.625" style="19" customWidth="1"/>
    <col min="11109" max="11268" width="9" style="19"/>
    <col min="11269" max="11283" width="3.125" style="19" customWidth="1"/>
    <col min="11284" max="11284" width="5.5" style="19" customWidth="1"/>
    <col min="11285" max="11285" width="5.625" style="19" customWidth="1"/>
    <col min="11286" max="11301" width="3.125" style="19" customWidth="1"/>
    <col min="11302" max="11302" width="5.375" style="19" customWidth="1"/>
    <col min="11303" max="11304" width="3.125" style="19" customWidth="1"/>
    <col min="11305" max="11305" width="4.625" style="19" customWidth="1"/>
    <col min="11306" max="11306" width="3.5" style="19" customWidth="1"/>
    <col min="11307" max="11317" width="3.125" style="19" customWidth="1"/>
    <col min="11318" max="11319" width="5.625" style="19" customWidth="1"/>
    <col min="11320" max="11364" width="2.625" style="19" customWidth="1"/>
    <col min="11365" max="11524" width="9" style="19"/>
    <col min="11525" max="11539" width="3.125" style="19" customWidth="1"/>
    <col min="11540" max="11540" width="5.5" style="19" customWidth="1"/>
    <col min="11541" max="11541" width="5.625" style="19" customWidth="1"/>
    <col min="11542" max="11557" width="3.125" style="19" customWidth="1"/>
    <col min="11558" max="11558" width="5.375" style="19" customWidth="1"/>
    <col min="11559" max="11560" width="3.125" style="19" customWidth="1"/>
    <col min="11561" max="11561" width="4.625" style="19" customWidth="1"/>
    <col min="11562" max="11562" width="3.5" style="19" customWidth="1"/>
    <col min="11563" max="11573" width="3.125" style="19" customWidth="1"/>
    <col min="11574" max="11575" width="5.625" style="19" customWidth="1"/>
    <col min="11576" max="11620" width="2.625" style="19" customWidth="1"/>
    <col min="11621" max="11780" width="9" style="19"/>
    <col min="11781" max="11795" width="3.125" style="19" customWidth="1"/>
    <col min="11796" max="11796" width="5.5" style="19" customWidth="1"/>
    <col min="11797" max="11797" width="5.625" style="19" customWidth="1"/>
    <col min="11798" max="11813" width="3.125" style="19" customWidth="1"/>
    <col min="11814" max="11814" width="5.375" style="19" customWidth="1"/>
    <col min="11815" max="11816" width="3.125" style="19" customWidth="1"/>
    <col min="11817" max="11817" width="4.625" style="19" customWidth="1"/>
    <col min="11818" max="11818" width="3.5" style="19" customWidth="1"/>
    <col min="11819" max="11829" width="3.125" style="19" customWidth="1"/>
    <col min="11830" max="11831" width="5.625" style="19" customWidth="1"/>
    <col min="11832" max="11876" width="2.625" style="19" customWidth="1"/>
    <col min="11877" max="12036" width="9" style="19"/>
    <col min="12037" max="12051" width="3.125" style="19" customWidth="1"/>
    <col min="12052" max="12052" width="5.5" style="19" customWidth="1"/>
    <col min="12053" max="12053" width="5.625" style="19" customWidth="1"/>
    <col min="12054" max="12069" width="3.125" style="19" customWidth="1"/>
    <col min="12070" max="12070" width="5.375" style="19" customWidth="1"/>
    <col min="12071" max="12072" width="3.125" style="19" customWidth="1"/>
    <col min="12073" max="12073" width="4.625" style="19" customWidth="1"/>
    <col min="12074" max="12074" width="3.5" style="19" customWidth="1"/>
    <col min="12075" max="12085" width="3.125" style="19" customWidth="1"/>
    <col min="12086" max="12087" width="5.625" style="19" customWidth="1"/>
    <col min="12088" max="12132" width="2.625" style="19" customWidth="1"/>
    <col min="12133" max="12292" width="9" style="19"/>
    <col min="12293" max="12307" width="3.125" style="19" customWidth="1"/>
    <col min="12308" max="12308" width="5.5" style="19" customWidth="1"/>
    <col min="12309" max="12309" width="5.625" style="19" customWidth="1"/>
    <col min="12310" max="12325" width="3.125" style="19" customWidth="1"/>
    <col min="12326" max="12326" width="5.375" style="19" customWidth="1"/>
    <col min="12327" max="12328" width="3.125" style="19" customWidth="1"/>
    <col min="12329" max="12329" width="4.625" style="19" customWidth="1"/>
    <col min="12330" max="12330" width="3.5" style="19" customWidth="1"/>
    <col min="12331" max="12341" width="3.125" style="19" customWidth="1"/>
    <col min="12342" max="12343" width="5.625" style="19" customWidth="1"/>
    <col min="12344" max="12388" width="2.625" style="19" customWidth="1"/>
    <col min="12389" max="12548" width="9" style="19"/>
    <col min="12549" max="12563" width="3.125" style="19" customWidth="1"/>
    <col min="12564" max="12564" width="5.5" style="19" customWidth="1"/>
    <col min="12565" max="12565" width="5.625" style="19" customWidth="1"/>
    <col min="12566" max="12581" width="3.125" style="19" customWidth="1"/>
    <col min="12582" max="12582" width="5.375" style="19" customWidth="1"/>
    <col min="12583" max="12584" width="3.125" style="19" customWidth="1"/>
    <col min="12585" max="12585" width="4.625" style="19" customWidth="1"/>
    <col min="12586" max="12586" width="3.5" style="19" customWidth="1"/>
    <col min="12587" max="12597" width="3.125" style="19" customWidth="1"/>
    <col min="12598" max="12599" width="5.625" style="19" customWidth="1"/>
    <col min="12600" max="12644" width="2.625" style="19" customWidth="1"/>
    <col min="12645" max="12804" width="9" style="19"/>
    <col min="12805" max="12819" width="3.125" style="19" customWidth="1"/>
    <col min="12820" max="12820" width="5.5" style="19" customWidth="1"/>
    <col min="12821" max="12821" width="5.625" style="19" customWidth="1"/>
    <col min="12822" max="12837" width="3.125" style="19" customWidth="1"/>
    <col min="12838" max="12838" width="5.375" style="19" customWidth="1"/>
    <col min="12839" max="12840" width="3.125" style="19" customWidth="1"/>
    <col min="12841" max="12841" width="4.625" style="19" customWidth="1"/>
    <col min="12842" max="12842" width="3.5" style="19" customWidth="1"/>
    <col min="12843" max="12853" width="3.125" style="19" customWidth="1"/>
    <col min="12854" max="12855" width="5.625" style="19" customWidth="1"/>
    <col min="12856" max="12900" width="2.625" style="19" customWidth="1"/>
    <col min="12901" max="13060" width="9" style="19"/>
    <col min="13061" max="13075" width="3.125" style="19" customWidth="1"/>
    <col min="13076" max="13076" width="5.5" style="19" customWidth="1"/>
    <col min="13077" max="13077" width="5.625" style="19" customWidth="1"/>
    <col min="13078" max="13093" width="3.125" style="19" customWidth="1"/>
    <col min="13094" max="13094" width="5.375" style="19" customWidth="1"/>
    <col min="13095" max="13096" width="3.125" style="19" customWidth="1"/>
    <col min="13097" max="13097" width="4.625" style="19" customWidth="1"/>
    <col min="13098" max="13098" width="3.5" style="19" customWidth="1"/>
    <col min="13099" max="13109" width="3.125" style="19" customWidth="1"/>
    <col min="13110" max="13111" width="5.625" style="19" customWidth="1"/>
    <col min="13112" max="13156" width="2.625" style="19" customWidth="1"/>
    <col min="13157" max="13316" width="9" style="19"/>
    <col min="13317" max="13331" width="3.125" style="19" customWidth="1"/>
    <col min="13332" max="13332" width="5.5" style="19" customWidth="1"/>
    <col min="13333" max="13333" width="5.625" style="19" customWidth="1"/>
    <col min="13334" max="13349" width="3.125" style="19" customWidth="1"/>
    <col min="13350" max="13350" width="5.375" style="19" customWidth="1"/>
    <col min="13351" max="13352" width="3.125" style="19" customWidth="1"/>
    <col min="13353" max="13353" width="4.625" style="19" customWidth="1"/>
    <col min="13354" max="13354" width="3.5" style="19" customWidth="1"/>
    <col min="13355" max="13365" width="3.125" style="19" customWidth="1"/>
    <col min="13366" max="13367" width="5.625" style="19" customWidth="1"/>
    <col min="13368" max="13412" width="2.625" style="19" customWidth="1"/>
    <col min="13413" max="13572" width="9" style="19"/>
    <col min="13573" max="13587" width="3.125" style="19" customWidth="1"/>
    <col min="13588" max="13588" width="5.5" style="19" customWidth="1"/>
    <col min="13589" max="13589" width="5.625" style="19" customWidth="1"/>
    <col min="13590" max="13605" width="3.125" style="19" customWidth="1"/>
    <col min="13606" max="13606" width="5.375" style="19" customWidth="1"/>
    <col min="13607" max="13608" width="3.125" style="19" customWidth="1"/>
    <col min="13609" max="13609" width="4.625" style="19" customWidth="1"/>
    <col min="13610" max="13610" width="3.5" style="19" customWidth="1"/>
    <col min="13611" max="13621" width="3.125" style="19" customWidth="1"/>
    <col min="13622" max="13623" width="5.625" style="19" customWidth="1"/>
    <col min="13624" max="13668" width="2.625" style="19" customWidth="1"/>
    <col min="13669" max="13828" width="9" style="19"/>
    <col min="13829" max="13843" width="3.125" style="19" customWidth="1"/>
    <col min="13844" max="13844" width="5.5" style="19" customWidth="1"/>
    <col min="13845" max="13845" width="5.625" style="19" customWidth="1"/>
    <col min="13846" max="13861" width="3.125" style="19" customWidth="1"/>
    <col min="13862" max="13862" width="5.375" style="19" customWidth="1"/>
    <col min="13863" max="13864" width="3.125" style="19" customWidth="1"/>
    <col min="13865" max="13865" width="4.625" style="19" customWidth="1"/>
    <col min="13866" max="13866" width="3.5" style="19" customWidth="1"/>
    <col min="13867" max="13877" width="3.125" style="19" customWidth="1"/>
    <col min="13878" max="13879" width="5.625" style="19" customWidth="1"/>
    <col min="13880" max="13924" width="2.625" style="19" customWidth="1"/>
    <col min="13925" max="14084" width="9" style="19"/>
    <col min="14085" max="14099" width="3.125" style="19" customWidth="1"/>
    <col min="14100" max="14100" width="5.5" style="19" customWidth="1"/>
    <col min="14101" max="14101" width="5.625" style="19" customWidth="1"/>
    <col min="14102" max="14117" width="3.125" style="19" customWidth="1"/>
    <col min="14118" max="14118" width="5.375" style="19" customWidth="1"/>
    <col min="14119" max="14120" width="3.125" style="19" customWidth="1"/>
    <col min="14121" max="14121" width="4.625" style="19" customWidth="1"/>
    <col min="14122" max="14122" width="3.5" style="19" customWidth="1"/>
    <col min="14123" max="14133" width="3.125" style="19" customWidth="1"/>
    <col min="14134" max="14135" width="5.625" style="19" customWidth="1"/>
    <col min="14136" max="14180" width="2.625" style="19" customWidth="1"/>
    <col min="14181" max="14340" width="9" style="19"/>
    <col min="14341" max="14355" width="3.125" style="19" customWidth="1"/>
    <col min="14356" max="14356" width="5.5" style="19" customWidth="1"/>
    <col min="14357" max="14357" width="5.625" style="19" customWidth="1"/>
    <col min="14358" max="14373" width="3.125" style="19" customWidth="1"/>
    <col min="14374" max="14374" width="5.375" style="19" customWidth="1"/>
    <col min="14375" max="14376" width="3.125" style="19" customWidth="1"/>
    <col min="14377" max="14377" width="4.625" style="19" customWidth="1"/>
    <col min="14378" max="14378" width="3.5" style="19" customWidth="1"/>
    <col min="14379" max="14389" width="3.125" style="19" customWidth="1"/>
    <col min="14390" max="14391" width="5.625" style="19" customWidth="1"/>
    <col min="14392" max="14436" width="2.625" style="19" customWidth="1"/>
    <col min="14437" max="14596" width="9" style="19"/>
    <col min="14597" max="14611" width="3.125" style="19" customWidth="1"/>
    <col min="14612" max="14612" width="5.5" style="19" customWidth="1"/>
    <col min="14613" max="14613" width="5.625" style="19" customWidth="1"/>
    <col min="14614" max="14629" width="3.125" style="19" customWidth="1"/>
    <col min="14630" max="14630" width="5.375" style="19" customWidth="1"/>
    <col min="14631" max="14632" width="3.125" style="19" customWidth="1"/>
    <col min="14633" max="14633" width="4.625" style="19" customWidth="1"/>
    <col min="14634" max="14634" width="3.5" style="19" customWidth="1"/>
    <col min="14635" max="14645" width="3.125" style="19" customWidth="1"/>
    <col min="14646" max="14647" width="5.625" style="19" customWidth="1"/>
    <col min="14648" max="14692" width="2.625" style="19" customWidth="1"/>
    <col min="14693" max="14852" width="9" style="19"/>
    <col min="14853" max="14867" width="3.125" style="19" customWidth="1"/>
    <col min="14868" max="14868" width="5.5" style="19" customWidth="1"/>
    <col min="14869" max="14869" width="5.625" style="19" customWidth="1"/>
    <col min="14870" max="14885" width="3.125" style="19" customWidth="1"/>
    <col min="14886" max="14886" width="5.375" style="19" customWidth="1"/>
    <col min="14887" max="14888" width="3.125" style="19" customWidth="1"/>
    <col min="14889" max="14889" width="4.625" style="19" customWidth="1"/>
    <col min="14890" max="14890" width="3.5" style="19" customWidth="1"/>
    <col min="14891" max="14901" width="3.125" style="19" customWidth="1"/>
    <col min="14902" max="14903" width="5.625" style="19" customWidth="1"/>
    <col min="14904" max="14948" width="2.625" style="19" customWidth="1"/>
    <col min="14949" max="15108" width="9" style="19"/>
    <col min="15109" max="15123" width="3.125" style="19" customWidth="1"/>
    <col min="15124" max="15124" width="5.5" style="19" customWidth="1"/>
    <col min="15125" max="15125" width="5.625" style="19" customWidth="1"/>
    <col min="15126" max="15141" width="3.125" style="19" customWidth="1"/>
    <col min="15142" max="15142" width="5.375" style="19" customWidth="1"/>
    <col min="15143" max="15144" width="3.125" style="19" customWidth="1"/>
    <col min="15145" max="15145" width="4.625" style="19" customWidth="1"/>
    <col min="15146" max="15146" width="3.5" style="19" customWidth="1"/>
    <col min="15147" max="15157" width="3.125" style="19" customWidth="1"/>
    <col min="15158" max="15159" width="5.625" style="19" customWidth="1"/>
    <col min="15160" max="15204" width="2.625" style="19" customWidth="1"/>
    <col min="15205" max="15364" width="9" style="19"/>
    <col min="15365" max="15379" width="3.125" style="19" customWidth="1"/>
    <col min="15380" max="15380" width="5.5" style="19" customWidth="1"/>
    <col min="15381" max="15381" width="5.625" style="19" customWidth="1"/>
    <col min="15382" max="15397" width="3.125" style="19" customWidth="1"/>
    <col min="15398" max="15398" width="5.375" style="19" customWidth="1"/>
    <col min="15399" max="15400" width="3.125" style="19" customWidth="1"/>
    <col min="15401" max="15401" width="4.625" style="19" customWidth="1"/>
    <col min="15402" max="15402" width="3.5" style="19" customWidth="1"/>
    <col min="15403" max="15413" width="3.125" style="19" customWidth="1"/>
    <col min="15414" max="15415" width="5.625" style="19" customWidth="1"/>
    <col min="15416" max="15460" width="2.625" style="19" customWidth="1"/>
    <col min="15461" max="15620" width="9" style="19"/>
    <col min="15621" max="15635" width="3.125" style="19" customWidth="1"/>
    <col min="15636" max="15636" width="5.5" style="19" customWidth="1"/>
    <col min="15637" max="15637" width="5.625" style="19" customWidth="1"/>
    <col min="15638" max="15653" width="3.125" style="19" customWidth="1"/>
    <col min="15654" max="15654" width="5.375" style="19" customWidth="1"/>
    <col min="15655" max="15656" width="3.125" style="19" customWidth="1"/>
    <col min="15657" max="15657" width="4.625" style="19" customWidth="1"/>
    <col min="15658" max="15658" width="3.5" style="19" customWidth="1"/>
    <col min="15659" max="15669" width="3.125" style="19" customWidth="1"/>
    <col min="15670" max="15671" width="5.625" style="19" customWidth="1"/>
    <col min="15672" max="15716" width="2.625" style="19" customWidth="1"/>
    <col min="15717" max="15876" width="9" style="19"/>
    <col min="15877" max="15891" width="3.125" style="19" customWidth="1"/>
    <col min="15892" max="15892" width="5.5" style="19" customWidth="1"/>
    <col min="15893" max="15893" width="5.625" style="19" customWidth="1"/>
    <col min="15894" max="15909" width="3.125" style="19" customWidth="1"/>
    <col min="15910" max="15910" width="5.375" style="19" customWidth="1"/>
    <col min="15911" max="15912" width="3.125" style="19" customWidth="1"/>
    <col min="15913" max="15913" width="4.625" style="19" customWidth="1"/>
    <col min="15914" max="15914" width="3.5" style="19" customWidth="1"/>
    <col min="15915" max="15925" width="3.125" style="19" customWidth="1"/>
    <col min="15926" max="15927" width="5.625" style="19" customWidth="1"/>
    <col min="15928" max="15972" width="2.625" style="19" customWidth="1"/>
    <col min="15973" max="16132" width="9" style="19"/>
    <col min="16133" max="16147" width="3.125" style="19" customWidth="1"/>
    <col min="16148" max="16148" width="5.5" style="19" customWidth="1"/>
    <col min="16149" max="16149" width="5.625" style="19" customWidth="1"/>
    <col min="16150" max="16165" width="3.125" style="19" customWidth="1"/>
    <col min="16166" max="16166" width="5.375" style="19" customWidth="1"/>
    <col min="16167" max="16168" width="3.125" style="19" customWidth="1"/>
    <col min="16169" max="16169" width="4.625" style="19" customWidth="1"/>
    <col min="16170" max="16170" width="3.5" style="19" customWidth="1"/>
    <col min="16171" max="16181" width="3.125" style="19" customWidth="1"/>
    <col min="16182" max="16183" width="5.625" style="19" customWidth="1"/>
    <col min="16184" max="16228" width="2.625" style="19" customWidth="1"/>
    <col min="16229" max="16384" width="9" style="19"/>
  </cols>
  <sheetData>
    <row r="1" spans="2:53" s="18" customFormat="1" ht="13.5" customHeight="1" x14ac:dyDescent="0.1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2:53" s="18" customFormat="1" ht="2.25" customHeight="1" x14ac:dyDescent="0.15">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2:53" s="18" customFormat="1" ht="13.5" hidden="1" customHeight="1" x14ac:dyDescent="0.15">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spans="2:53" s="18" customFormat="1" ht="13.5" hidden="1" customHeight="1" x14ac:dyDescent="0.1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row>
    <row r="5" spans="2:53" s="18" customFormat="1" ht="13.5" hidden="1" customHeight="1" x14ac:dyDescent="0.15">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2:53" s="18" customFormat="1" ht="13.5" hidden="1" customHeight="1" x14ac:dyDescent="0.15">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2:53" s="18" customFormat="1" ht="13.5" hidden="1" customHeight="1" x14ac:dyDescent="0.15">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2:53" s="18" customFormat="1" ht="13.5" customHeight="1" x14ac:dyDescent="0.15">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2:53" s="18" customFormat="1" ht="3.75" customHeight="1" x14ac:dyDescent="0.15">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2:53" s="18" customFormat="1" ht="13.5" customHeight="1" x14ac:dyDescent="0.15">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2:53" s="18" customFormat="1" ht="13.5" customHeight="1" x14ac:dyDescent="0.15">
      <c r="B11" s="173"/>
      <c r="C11" s="173"/>
      <c r="D11" s="173"/>
      <c r="E11" s="173"/>
      <c r="F11" s="173"/>
      <c r="G11" s="173"/>
      <c r="H11" s="173"/>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2:53" s="18" customFormat="1" ht="13.5" customHeight="1" x14ac:dyDescent="0.15">
      <c r="B12" s="173"/>
      <c r="C12" s="173"/>
      <c r="D12" s="173"/>
      <c r="E12" s="173"/>
      <c r="F12" s="173"/>
      <c r="G12" s="173"/>
      <c r="H12" s="173"/>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2:53" ht="13.5" customHeight="1" x14ac:dyDescent="0.15">
      <c r="B13" s="174" t="s">
        <v>63</v>
      </c>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row>
    <row r="14" spans="2:53" ht="13.5" customHeight="1" x14ac:dyDescent="0.15">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row>
    <row r="15" spans="2:53" ht="13.5" customHeight="1" x14ac:dyDescent="0.15">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row>
    <row r="16" spans="2:53" ht="13.5" customHeight="1" x14ac:dyDescent="0.15">
      <c r="B16" s="175" t="s">
        <v>0</v>
      </c>
      <c r="C16" s="175"/>
      <c r="D16" s="175"/>
      <c r="E16" s="175"/>
      <c r="F16" s="175"/>
      <c r="G16" s="175"/>
      <c r="H16" s="175"/>
      <c r="I16" s="175"/>
      <c r="J16" s="175"/>
      <c r="K16" s="175"/>
      <c r="L16" s="175"/>
      <c r="M16" s="175"/>
      <c r="N16" s="175"/>
      <c r="O16" s="2"/>
      <c r="P16" s="2"/>
      <c r="Q16" s="2"/>
      <c r="R16" s="2"/>
      <c r="S16" s="2"/>
      <c r="T16" s="2"/>
      <c r="U16" s="2"/>
      <c r="V16" s="2"/>
      <c r="W16" s="2"/>
      <c r="X16" s="2"/>
      <c r="Y16" s="2"/>
      <c r="Z16" s="2"/>
      <c r="AA16" s="2"/>
      <c r="AB16" s="2"/>
      <c r="AC16" s="2"/>
      <c r="AD16" s="2"/>
      <c r="AE16" s="2"/>
      <c r="AF16" s="2"/>
      <c r="AG16" s="2"/>
      <c r="AH16" s="2"/>
      <c r="AI16" s="2"/>
      <c r="AJ16" s="31"/>
      <c r="AK16" s="31"/>
      <c r="AL16" s="31"/>
      <c r="AM16" s="2"/>
      <c r="AN16" s="2"/>
      <c r="AO16" s="2"/>
      <c r="AP16" s="2"/>
      <c r="AQ16" s="2"/>
      <c r="AR16" s="2"/>
      <c r="AS16" s="2"/>
      <c r="AT16" s="2"/>
      <c r="AU16" s="2"/>
      <c r="AV16" s="2"/>
      <c r="AW16" s="2"/>
      <c r="AX16" s="2"/>
      <c r="AY16" s="2"/>
      <c r="AZ16" s="2"/>
      <c r="BA16" s="2"/>
    </row>
    <row r="17" spans="2:53" ht="13.5" customHeight="1" x14ac:dyDescent="0.15">
      <c r="B17" s="175"/>
      <c r="C17" s="175"/>
      <c r="D17" s="175"/>
      <c r="E17" s="175"/>
      <c r="F17" s="175"/>
      <c r="G17" s="175"/>
      <c r="H17" s="175"/>
      <c r="I17" s="175"/>
      <c r="J17" s="175"/>
      <c r="K17" s="175"/>
      <c r="L17" s="175"/>
      <c r="M17" s="175"/>
      <c r="N17" s="175"/>
      <c r="O17" s="31"/>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08"/>
      <c r="AS17" s="208"/>
      <c r="AT17" s="208"/>
      <c r="AU17" s="208"/>
      <c r="AV17" s="208"/>
      <c r="AW17" s="208"/>
      <c r="AX17" s="208"/>
      <c r="AY17" s="208"/>
      <c r="AZ17" s="208"/>
      <c r="BA17" s="208"/>
    </row>
    <row r="18" spans="2:53" ht="13.5" customHeight="1" x14ac:dyDescent="0.15">
      <c r="B18" s="130" t="s">
        <v>1</v>
      </c>
      <c r="C18" s="130"/>
      <c r="D18" s="130"/>
      <c r="E18" s="130"/>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row>
    <row r="19" spans="2:53" ht="13.5" customHeight="1" x14ac:dyDescent="0.15">
      <c r="B19" s="131"/>
      <c r="C19" s="131"/>
      <c r="D19" s="131"/>
      <c r="E19" s="131"/>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4"/>
      <c r="AS19" s="4"/>
      <c r="AT19" s="4"/>
      <c r="AU19" s="151" t="s">
        <v>47</v>
      </c>
      <c r="AV19" s="151"/>
      <c r="AW19" s="151"/>
      <c r="AX19" s="151"/>
      <c r="AY19" s="151"/>
      <c r="AZ19" s="151"/>
      <c r="BA19" s="151"/>
    </row>
    <row r="20" spans="2:53" s="21" customFormat="1" ht="13.5" customHeight="1" x14ac:dyDescent="0.15">
      <c r="B20" s="113" t="s">
        <v>2</v>
      </c>
      <c r="C20" s="114"/>
      <c r="D20" s="114"/>
      <c r="E20" s="114"/>
      <c r="F20" s="114"/>
      <c r="G20" s="114"/>
      <c r="H20" s="114"/>
      <c r="I20" s="113" t="s">
        <v>3</v>
      </c>
      <c r="J20" s="114"/>
      <c r="K20" s="114"/>
      <c r="L20" s="114"/>
      <c r="M20" s="114"/>
      <c r="N20" s="114"/>
      <c r="O20" s="114"/>
      <c r="P20" s="114"/>
      <c r="Q20" s="114"/>
      <c r="R20" s="114"/>
      <c r="S20" s="114"/>
      <c r="T20" s="114"/>
      <c r="U20" s="114"/>
      <c r="V20" s="114"/>
      <c r="W20" s="114"/>
      <c r="X20" s="114"/>
      <c r="Y20" s="97" t="s">
        <v>4</v>
      </c>
      <c r="Z20" s="97"/>
      <c r="AA20" s="97"/>
      <c r="AB20" s="97"/>
      <c r="AC20" s="167" t="s">
        <v>5</v>
      </c>
      <c r="AD20" s="167"/>
      <c r="AE20" s="167"/>
      <c r="AF20" s="167"/>
      <c r="AG20" s="97" t="s">
        <v>6</v>
      </c>
      <c r="AH20" s="97"/>
      <c r="AI20" s="97"/>
      <c r="AJ20" s="97"/>
      <c r="AK20" s="97"/>
      <c r="AL20" s="97"/>
      <c r="AM20" s="97"/>
      <c r="AN20" s="97"/>
      <c r="AO20" s="97"/>
      <c r="AP20" s="97"/>
      <c r="AQ20" s="97"/>
      <c r="AR20" s="97"/>
      <c r="AS20" s="97"/>
      <c r="AT20" s="97"/>
      <c r="AU20" s="97"/>
      <c r="AV20" s="97"/>
      <c r="AW20" s="97"/>
      <c r="AX20" s="97"/>
      <c r="AY20" s="97"/>
      <c r="AZ20" s="97"/>
      <c r="BA20" s="97"/>
    </row>
    <row r="21" spans="2:53" s="21" customFormat="1" ht="13.5" customHeight="1" x14ac:dyDescent="0.15">
      <c r="B21" s="116"/>
      <c r="C21" s="117"/>
      <c r="D21" s="117"/>
      <c r="E21" s="117"/>
      <c r="F21" s="117"/>
      <c r="G21" s="117"/>
      <c r="H21" s="117"/>
      <c r="I21" s="119"/>
      <c r="J21" s="120"/>
      <c r="K21" s="120"/>
      <c r="L21" s="120"/>
      <c r="M21" s="120"/>
      <c r="N21" s="120"/>
      <c r="O21" s="120"/>
      <c r="P21" s="120"/>
      <c r="Q21" s="120"/>
      <c r="R21" s="120"/>
      <c r="S21" s="120"/>
      <c r="T21" s="120"/>
      <c r="U21" s="120"/>
      <c r="V21" s="120"/>
      <c r="W21" s="120"/>
      <c r="X21" s="120"/>
      <c r="Y21" s="97"/>
      <c r="Z21" s="97"/>
      <c r="AA21" s="97"/>
      <c r="AB21" s="97"/>
      <c r="AC21" s="167"/>
      <c r="AD21" s="167"/>
      <c r="AE21" s="167"/>
      <c r="AF21" s="167"/>
      <c r="AG21" s="97"/>
      <c r="AH21" s="97"/>
      <c r="AI21" s="97"/>
      <c r="AJ21" s="97"/>
      <c r="AK21" s="97"/>
      <c r="AL21" s="97"/>
      <c r="AM21" s="97"/>
      <c r="AN21" s="97"/>
      <c r="AO21" s="97"/>
      <c r="AP21" s="97"/>
      <c r="AQ21" s="97"/>
      <c r="AR21" s="97"/>
      <c r="AS21" s="97"/>
      <c r="AT21" s="97"/>
      <c r="AU21" s="97"/>
      <c r="AV21" s="97"/>
      <c r="AW21" s="97"/>
      <c r="AX21" s="97"/>
      <c r="AY21" s="97"/>
      <c r="AZ21" s="97"/>
      <c r="BA21" s="97"/>
    </row>
    <row r="22" spans="2:53" s="21" customFormat="1" ht="13.5" customHeight="1" x14ac:dyDescent="0.15">
      <c r="B22" s="116"/>
      <c r="C22" s="117"/>
      <c r="D22" s="117"/>
      <c r="E22" s="117"/>
      <c r="F22" s="117"/>
      <c r="G22" s="117"/>
      <c r="H22" s="117"/>
      <c r="I22" s="113" t="s">
        <v>7</v>
      </c>
      <c r="J22" s="114"/>
      <c r="K22" s="114"/>
      <c r="L22" s="114"/>
      <c r="M22" s="113" t="s">
        <v>8</v>
      </c>
      <c r="N22" s="114"/>
      <c r="O22" s="114"/>
      <c r="P22" s="115"/>
      <c r="Q22" s="86" t="s">
        <v>49</v>
      </c>
      <c r="R22" s="87"/>
      <c r="S22" s="87"/>
      <c r="T22" s="87"/>
      <c r="U22" s="113" t="s">
        <v>9</v>
      </c>
      <c r="V22" s="114"/>
      <c r="W22" s="114"/>
      <c r="X22" s="114"/>
      <c r="Y22" s="97"/>
      <c r="Z22" s="97"/>
      <c r="AA22" s="97"/>
      <c r="AB22" s="97"/>
      <c r="AC22" s="167"/>
      <c r="AD22" s="167"/>
      <c r="AE22" s="167"/>
      <c r="AF22" s="167"/>
      <c r="AG22" s="97"/>
      <c r="AH22" s="97"/>
      <c r="AI22" s="97"/>
      <c r="AJ22" s="97"/>
      <c r="AK22" s="97"/>
      <c r="AL22" s="97"/>
      <c r="AM22" s="97"/>
      <c r="AN22" s="97"/>
      <c r="AO22" s="97"/>
      <c r="AP22" s="97"/>
      <c r="AQ22" s="97"/>
      <c r="AR22" s="97"/>
      <c r="AS22" s="97"/>
      <c r="AT22" s="97"/>
      <c r="AU22" s="97"/>
      <c r="AV22" s="97"/>
      <c r="AW22" s="97"/>
      <c r="AX22" s="97"/>
      <c r="AY22" s="97"/>
      <c r="AZ22" s="97"/>
      <c r="BA22" s="97"/>
    </row>
    <row r="23" spans="2:53" s="21" customFormat="1" ht="13.5" customHeight="1" x14ac:dyDescent="0.15">
      <c r="B23" s="116"/>
      <c r="C23" s="117"/>
      <c r="D23" s="117"/>
      <c r="E23" s="117"/>
      <c r="F23" s="117"/>
      <c r="G23" s="117"/>
      <c r="H23" s="117"/>
      <c r="I23" s="116"/>
      <c r="J23" s="117"/>
      <c r="K23" s="117"/>
      <c r="L23" s="117"/>
      <c r="M23" s="116"/>
      <c r="N23" s="117"/>
      <c r="O23" s="117"/>
      <c r="P23" s="118"/>
      <c r="Q23" s="89"/>
      <c r="R23" s="90"/>
      <c r="S23" s="90"/>
      <c r="T23" s="90"/>
      <c r="U23" s="116"/>
      <c r="V23" s="117"/>
      <c r="W23" s="117"/>
      <c r="X23" s="117"/>
      <c r="Y23" s="97"/>
      <c r="Z23" s="97"/>
      <c r="AA23" s="97"/>
      <c r="AB23" s="97"/>
      <c r="AC23" s="167"/>
      <c r="AD23" s="167"/>
      <c r="AE23" s="167"/>
      <c r="AF23" s="167"/>
      <c r="AG23" s="97"/>
      <c r="AH23" s="97"/>
      <c r="AI23" s="97"/>
      <c r="AJ23" s="97"/>
      <c r="AK23" s="97"/>
      <c r="AL23" s="97"/>
      <c r="AM23" s="97"/>
      <c r="AN23" s="97"/>
      <c r="AO23" s="97"/>
      <c r="AP23" s="97"/>
      <c r="AQ23" s="97"/>
      <c r="AR23" s="97"/>
      <c r="AS23" s="97"/>
      <c r="AT23" s="97"/>
      <c r="AU23" s="97"/>
      <c r="AV23" s="97"/>
      <c r="AW23" s="97"/>
      <c r="AX23" s="97"/>
      <c r="AY23" s="97"/>
      <c r="AZ23" s="97"/>
      <c r="BA23" s="97"/>
    </row>
    <row r="24" spans="2:53" s="21" customFormat="1" ht="13.5" customHeight="1" x14ac:dyDescent="0.15">
      <c r="B24" s="116"/>
      <c r="C24" s="117"/>
      <c r="D24" s="117"/>
      <c r="E24" s="117"/>
      <c r="F24" s="117"/>
      <c r="G24" s="117"/>
      <c r="H24" s="117"/>
      <c r="I24" s="116"/>
      <c r="J24" s="117"/>
      <c r="K24" s="117"/>
      <c r="L24" s="117"/>
      <c r="M24" s="116"/>
      <c r="N24" s="117"/>
      <c r="O24" s="117"/>
      <c r="P24" s="118"/>
      <c r="Q24" s="89"/>
      <c r="R24" s="90"/>
      <c r="S24" s="90"/>
      <c r="T24" s="90"/>
      <c r="U24" s="116"/>
      <c r="V24" s="117"/>
      <c r="W24" s="117"/>
      <c r="X24" s="117"/>
      <c r="Y24" s="97"/>
      <c r="Z24" s="97"/>
      <c r="AA24" s="97"/>
      <c r="AB24" s="97"/>
      <c r="AC24" s="167"/>
      <c r="AD24" s="167"/>
      <c r="AE24" s="167"/>
      <c r="AF24" s="167"/>
      <c r="AG24" s="97"/>
      <c r="AH24" s="97"/>
      <c r="AI24" s="97"/>
      <c r="AJ24" s="97"/>
      <c r="AK24" s="97"/>
      <c r="AL24" s="97"/>
      <c r="AM24" s="97"/>
      <c r="AN24" s="97"/>
      <c r="AO24" s="97"/>
      <c r="AP24" s="97"/>
      <c r="AQ24" s="97"/>
      <c r="AR24" s="97"/>
      <c r="AS24" s="97"/>
      <c r="AT24" s="97"/>
      <c r="AU24" s="97"/>
      <c r="AV24" s="97"/>
      <c r="AW24" s="97"/>
      <c r="AX24" s="97"/>
      <c r="AY24" s="97"/>
      <c r="AZ24" s="97"/>
      <c r="BA24" s="97"/>
    </row>
    <row r="25" spans="2:53" s="21" customFormat="1" ht="13.5" customHeight="1" x14ac:dyDescent="0.15">
      <c r="B25" s="119"/>
      <c r="C25" s="120"/>
      <c r="D25" s="120"/>
      <c r="E25" s="120"/>
      <c r="F25" s="120"/>
      <c r="G25" s="120"/>
      <c r="H25" s="120"/>
      <c r="I25" s="119"/>
      <c r="J25" s="120"/>
      <c r="K25" s="120"/>
      <c r="L25" s="120"/>
      <c r="M25" s="119"/>
      <c r="N25" s="120"/>
      <c r="O25" s="120"/>
      <c r="P25" s="121"/>
      <c r="Q25" s="92"/>
      <c r="R25" s="93"/>
      <c r="S25" s="93"/>
      <c r="T25" s="93"/>
      <c r="U25" s="119"/>
      <c r="V25" s="120"/>
      <c r="W25" s="120"/>
      <c r="X25" s="120"/>
      <c r="Y25" s="97"/>
      <c r="Z25" s="97"/>
      <c r="AA25" s="97"/>
      <c r="AB25" s="97"/>
      <c r="AC25" s="167"/>
      <c r="AD25" s="167"/>
      <c r="AE25" s="167"/>
      <c r="AF25" s="167"/>
      <c r="AG25" s="97"/>
      <c r="AH25" s="97"/>
      <c r="AI25" s="97"/>
      <c r="AJ25" s="97"/>
      <c r="AK25" s="97"/>
      <c r="AL25" s="97"/>
      <c r="AM25" s="97"/>
      <c r="AN25" s="97"/>
      <c r="AO25" s="97"/>
      <c r="AP25" s="97"/>
      <c r="AQ25" s="97"/>
      <c r="AR25" s="97"/>
      <c r="AS25" s="97"/>
      <c r="AT25" s="97"/>
      <c r="AU25" s="97"/>
      <c r="AV25" s="97"/>
      <c r="AW25" s="97"/>
      <c r="AX25" s="97"/>
      <c r="AY25" s="97"/>
      <c r="AZ25" s="97"/>
      <c r="BA25" s="97"/>
    </row>
    <row r="26" spans="2:53" s="21" customFormat="1" ht="18" customHeight="1" x14ac:dyDescent="0.15">
      <c r="B26" s="73" t="s">
        <v>10</v>
      </c>
      <c r="C26" s="74"/>
      <c r="D26" s="74"/>
      <c r="E26" s="74"/>
      <c r="F26" s="74"/>
      <c r="G26" s="74"/>
      <c r="H26" s="74"/>
      <c r="I26" s="73">
        <f>SUM(I28:L31)</f>
        <v>167525000</v>
      </c>
      <c r="J26" s="74"/>
      <c r="K26" s="74"/>
      <c r="L26" s="74"/>
      <c r="M26" s="73">
        <f>SUM(M28:P31)</f>
        <v>-2245000</v>
      </c>
      <c r="N26" s="74"/>
      <c r="O26" s="74"/>
      <c r="P26" s="75"/>
      <c r="Q26" s="73">
        <f t="shared" ref="Q26" si="0">SUM(Q28:T31)</f>
        <v>0</v>
      </c>
      <c r="R26" s="74"/>
      <c r="S26" s="74"/>
      <c r="T26" s="75"/>
      <c r="U26" s="73">
        <f t="shared" ref="U26" si="1">SUM(U28:X31)</f>
        <v>165280000</v>
      </c>
      <c r="V26" s="74"/>
      <c r="W26" s="74"/>
      <c r="X26" s="74"/>
      <c r="Y26" s="85">
        <f t="shared" ref="Y26" si="2">SUM(Y28:AB31)</f>
        <v>165263515</v>
      </c>
      <c r="Z26" s="85"/>
      <c r="AA26" s="85"/>
      <c r="AB26" s="85"/>
      <c r="AC26" s="74">
        <f>Y26-U26</f>
        <v>-16485</v>
      </c>
      <c r="AD26" s="74"/>
      <c r="AE26" s="74"/>
      <c r="AF26" s="74"/>
      <c r="AG26" s="97"/>
      <c r="AH26" s="97"/>
      <c r="AI26" s="97"/>
      <c r="AJ26" s="97"/>
      <c r="AK26" s="97"/>
      <c r="AL26" s="97"/>
      <c r="AM26" s="97"/>
      <c r="AN26" s="97"/>
      <c r="AO26" s="97"/>
      <c r="AP26" s="97"/>
      <c r="AQ26" s="97"/>
      <c r="AR26" s="97"/>
      <c r="AS26" s="97"/>
      <c r="AT26" s="97"/>
      <c r="AU26" s="97"/>
      <c r="AV26" s="97"/>
      <c r="AW26" s="97"/>
      <c r="AX26" s="97"/>
      <c r="AY26" s="97"/>
      <c r="AZ26" s="97"/>
      <c r="BA26" s="97"/>
    </row>
    <row r="27" spans="2:53" s="21" customFormat="1" ht="18" customHeight="1" x14ac:dyDescent="0.15">
      <c r="B27" s="76"/>
      <c r="C27" s="77"/>
      <c r="D27" s="77"/>
      <c r="E27" s="77"/>
      <c r="F27" s="77"/>
      <c r="G27" s="77"/>
      <c r="H27" s="77"/>
      <c r="I27" s="76"/>
      <c r="J27" s="77"/>
      <c r="K27" s="77"/>
      <c r="L27" s="77"/>
      <c r="M27" s="76"/>
      <c r="N27" s="77"/>
      <c r="O27" s="77"/>
      <c r="P27" s="78"/>
      <c r="Q27" s="76"/>
      <c r="R27" s="77"/>
      <c r="S27" s="77"/>
      <c r="T27" s="78"/>
      <c r="U27" s="76"/>
      <c r="V27" s="77"/>
      <c r="W27" s="77"/>
      <c r="X27" s="77"/>
      <c r="Y27" s="85"/>
      <c r="Z27" s="85"/>
      <c r="AA27" s="85"/>
      <c r="AB27" s="85"/>
      <c r="AC27" s="77"/>
      <c r="AD27" s="77"/>
      <c r="AE27" s="77"/>
      <c r="AF27" s="77"/>
      <c r="AG27" s="97"/>
      <c r="AH27" s="97"/>
      <c r="AI27" s="97"/>
      <c r="AJ27" s="97"/>
      <c r="AK27" s="97"/>
      <c r="AL27" s="97"/>
      <c r="AM27" s="97"/>
      <c r="AN27" s="97"/>
      <c r="AO27" s="97"/>
      <c r="AP27" s="97"/>
      <c r="AQ27" s="97"/>
      <c r="AR27" s="97"/>
      <c r="AS27" s="97"/>
      <c r="AT27" s="97"/>
      <c r="AU27" s="97"/>
      <c r="AV27" s="97"/>
      <c r="AW27" s="97"/>
      <c r="AX27" s="97"/>
      <c r="AY27" s="97"/>
      <c r="AZ27" s="97"/>
      <c r="BA27" s="97"/>
    </row>
    <row r="28" spans="2:53" s="21" customFormat="1" ht="18" customHeight="1" x14ac:dyDescent="0.15">
      <c r="B28" s="73" t="s">
        <v>11</v>
      </c>
      <c r="C28" s="74"/>
      <c r="D28" s="74"/>
      <c r="E28" s="74"/>
      <c r="F28" s="74"/>
      <c r="G28" s="74"/>
      <c r="H28" s="74"/>
      <c r="I28" s="73">
        <v>126346000</v>
      </c>
      <c r="J28" s="74"/>
      <c r="K28" s="74"/>
      <c r="L28" s="74"/>
      <c r="M28" s="73">
        <v>0</v>
      </c>
      <c r="N28" s="74"/>
      <c r="O28" s="74"/>
      <c r="P28" s="75"/>
      <c r="Q28" s="73">
        <v>0</v>
      </c>
      <c r="R28" s="74"/>
      <c r="S28" s="74"/>
      <c r="T28" s="75"/>
      <c r="U28" s="73">
        <f>SUM(I28:T29)</f>
        <v>126346000</v>
      </c>
      <c r="V28" s="74"/>
      <c r="W28" s="74"/>
      <c r="X28" s="74"/>
      <c r="Y28" s="85">
        <v>126551946</v>
      </c>
      <c r="Z28" s="85"/>
      <c r="AA28" s="85"/>
      <c r="AB28" s="85"/>
      <c r="AC28" s="169">
        <f>Y28-U28</f>
        <v>205946</v>
      </c>
      <c r="AD28" s="170"/>
      <c r="AE28" s="170"/>
      <c r="AF28" s="170"/>
      <c r="AG28" s="67" t="s">
        <v>67</v>
      </c>
      <c r="AH28" s="68"/>
      <c r="AI28" s="68"/>
      <c r="AJ28" s="68"/>
      <c r="AK28" s="68"/>
      <c r="AL28" s="68"/>
      <c r="AM28" s="68"/>
      <c r="AN28" s="68"/>
      <c r="AO28" s="68"/>
      <c r="AP28" s="68"/>
      <c r="AQ28" s="68"/>
      <c r="AR28" s="68"/>
      <c r="AS28" s="68"/>
      <c r="AT28" s="68"/>
      <c r="AU28" s="68"/>
      <c r="AV28" s="68"/>
      <c r="AW28" s="68"/>
      <c r="AX28" s="68"/>
      <c r="AY28" s="68"/>
      <c r="AZ28" s="68"/>
      <c r="BA28" s="69"/>
    </row>
    <row r="29" spans="2:53" s="21" customFormat="1" ht="18" customHeight="1" x14ac:dyDescent="0.15">
      <c r="B29" s="76"/>
      <c r="C29" s="77"/>
      <c r="D29" s="77"/>
      <c r="E29" s="77"/>
      <c r="F29" s="77"/>
      <c r="G29" s="77"/>
      <c r="H29" s="77"/>
      <c r="I29" s="76"/>
      <c r="J29" s="77"/>
      <c r="K29" s="77"/>
      <c r="L29" s="77"/>
      <c r="M29" s="76"/>
      <c r="N29" s="77"/>
      <c r="O29" s="77"/>
      <c r="P29" s="78"/>
      <c r="Q29" s="76"/>
      <c r="R29" s="77"/>
      <c r="S29" s="77"/>
      <c r="T29" s="78"/>
      <c r="U29" s="76"/>
      <c r="V29" s="77"/>
      <c r="W29" s="77"/>
      <c r="X29" s="77"/>
      <c r="Y29" s="85"/>
      <c r="Z29" s="85"/>
      <c r="AA29" s="85"/>
      <c r="AB29" s="85"/>
      <c r="AC29" s="171"/>
      <c r="AD29" s="172"/>
      <c r="AE29" s="172"/>
      <c r="AF29" s="172"/>
      <c r="AG29" s="70"/>
      <c r="AH29" s="71"/>
      <c r="AI29" s="71"/>
      <c r="AJ29" s="71"/>
      <c r="AK29" s="71"/>
      <c r="AL29" s="71"/>
      <c r="AM29" s="71"/>
      <c r="AN29" s="71"/>
      <c r="AO29" s="71"/>
      <c r="AP29" s="71"/>
      <c r="AQ29" s="71"/>
      <c r="AR29" s="71"/>
      <c r="AS29" s="71"/>
      <c r="AT29" s="71"/>
      <c r="AU29" s="71"/>
      <c r="AV29" s="71"/>
      <c r="AW29" s="71"/>
      <c r="AX29" s="71"/>
      <c r="AY29" s="71"/>
      <c r="AZ29" s="71"/>
      <c r="BA29" s="72"/>
    </row>
    <row r="30" spans="2:53" s="21" customFormat="1" ht="18" customHeight="1" x14ac:dyDescent="0.15">
      <c r="B30" s="73" t="s">
        <v>12</v>
      </c>
      <c r="C30" s="74"/>
      <c r="D30" s="74"/>
      <c r="E30" s="74"/>
      <c r="F30" s="74"/>
      <c r="G30" s="74"/>
      <c r="H30" s="75"/>
      <c r="I30" s="73">
        <v>41179000</v>
      </c>
      <c r="J30" s="74"/>
      <c r="K30" s="74"/>
      <c r="L30" s="75"/>
      <c r="M30" s="73">
        <v>-2245000</v>
      </c>
      <c r="N30" s="74"/>
      <c r="O30" s="74"/>
      <c r="P30" s="75"/>
      <c r="Q30" s="73">
        <v>0</v>
      </c>
      <c r="R30" s="74"/>
      <c r="S30" s="74"/>
      <c r="T30" s="75"/>
      <c r="U30" s="73">
        <f>SUM(I30:T31)</f>
        <v>38934000</v>
      </c>
      <c r="V30" s="74"/>
      <c r="W30" s="74"/>
      <c r="X30" s="74"/>
      <c r="Y30" s="85">
        <v>38711569</v>
      </c>
      <c r="Z30" s="85"/>
      <c r="AA30" s="85"/>
      <c r="AB30" s="85"/>
      <c r="AC30" s="73">
        <f>Y30-U30</f>
        <v>-222431</v>
      </c>
      <c r="AD30" s="74"/>
      <c r="AE30" s="74"/>
      <c r="AF30" s="74"/>
      <c r="AG30" s="133"/>
      <c r="AH30" s="133"/>
      <c r="AI30" s="133"/>
      <c r="AJ30" s="133"/>
      <c r="AK30" s="133"/>
      <c r="AL30" s="133"/>
      <c r="AM30" s="133"/>
      <c r="AN30" s="133"/>
      <c r="AO30" s="133"/>
      <c r="AP30" s="133"/>
      <c r="AQ30" s="133"/>
      <c r="AR30" s="133"/>
      <c r="AS30" s="133"/>
      <c r="AT30" s="133"/>
      <c r="AU30" s="133"/>
      <c r="AV30" s="133"/>
      <c r="AW30" s="133"/>
      <c r="AX30" s="133"/>
      <c r="AY30" s="133"/>
      <c r="AZ30" s="133"/>
      <c r="BA30" s="133"/>
    </row>
    <row r="31" spans="2:53" s="21" customFormat="1" ht="18" customHeight="1" x14ac:dyDescent="0.15">
      <c r="B31" s="76"/>
      <c r="C31" s="77"/>
      <c r="D31" s="77"/>
      <c r="E31" s="77"/>
      <c r="F31" s="77"/>
      <c r="G31" s="77"/>
      <c r="H31" s="78"/>
      <c r="I31" s="76"/>
      <c r="J31" s="77"/>
      <c r="K31" s="77"/>
      <c r="L31" s="78"/>
      <c r="M31" s="76"/>
      <c r="N31" s="77"/>
      <c r="O31" s="77"/>
      <c r="P31" s="78"/>
      <c r="Q31" s="76"/>
      <c r="R31" s="77"/>
      <c r="S31" s="77"/>
      <c r="T31" s="78"/>
      <c r="U31" s="76"/>
      <c r="V31" s="77"/>
      <c r="W31" s="77"/>
      <c r="X31" s="77"/>
      <c r="Y31" s="85"/>
      <c r="Z31" s="85"/>
      <c r="AA31" s="85"/>
      <c r="AB31" s="85"/>
      <c r="AC31" s="76"/>
      <c r="AD31" s="77"/>
      <c r="AE31" s="77"/>
      <c r="AF31" s="77"/>
      <c r="AG31" s="133"/>
      <c r="AH31" s="133"/>
      <c r="AI31" s="133"/>
      <c r="AJ31" s="133"/>
      <c r="AK31" s="133"/>
      <c r="AL31" s="133"/>
      <c r="AM31" s="133"/>
      <c r="AN31" s="133"/>
      <c r="AO31" s="133"/>
      <c r="AP31" s="133"/>
      <c r="AQ31" s="133"/>
      <c r="AR31" s="133"/>
      <c r="AS31" s="133"/>
      <c r="AT31" s="133"/>
      <c r="AU31" s="133"/>
      <c r="AV31" s="133"/>
      <c r="AW31" s="133"/>
      <c r="AX31" s="133"/>
      <c r="AY31" s="133"/>
      <c r="AZ31" s="133"/>
      <c r="BA31" s="133"/>
    </row>
    <row r="32" spans="2:53" ht="13.5" customHeight="1" x14ac:dyDescent="0.15">
      <c r="B32" s="168" t="s">
        <v>13</v>
      </c>
      <c r="C32" s="168"/>
      <c r="D32" s="168"/>
      <c r="E32" s="168"/>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row>
    <row r="33" spans="2:53" ht="13.5" customHeight="1" x14ac:dyDescent="0.15">
      <c r="B33" s="168"/>
      <c r="C33" s="168"/>
      <c r="D33" s="168"/>
      <c r="E33" s="168"/>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row>
    <row r="34" spans="2:53" ht="13.5" customHeight="1" x14ac:dyDescent="0.15">
      <c r="B34" s="131"/>
      <c r="C34" s="131"/>
      <c r="D34" s="131"/>
      <c r="E34" s="131"/>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4"/>
      <c r="AU34" s="151" t="s">
        <v>47</v>
      </c>
      <c r="AV34" s="151"/>
      <c r="AW34" s="151"/>
      <c r="AX34" s="151"/>
      <c r="AY34" s="151"/>
      <c r="AZ34" s="151"/>
      <c r="BA34" s="151"/>
    </row>
    <row r="35" spans="2:53" s="21" customFormat="1" ht="13.5" customHeight="1" x14ac:dyDescent="0.15">
      <c r="B35" s="97" t="s">
        <v>2</v>
      </c>
      <c r="C35" s="97"/>
      <c r="D35" s="97"/>
      <c r="E35" s="97"/>
      <c r="F35" s="97"/>
      <c r="G35" s="97"/>
      <c r="H35" s="97"/>
      <c r="I35" s="113" t="s">
        <v>14</v>
      </c>
      <c r="J35" s="114"/>
      <c r="K35" s="114"/>
      <c r="L35" s="114"/>
      <c r="M35" s="114"/>
      <c r="N35" s="114"/>
      <c r="O35" s="114"/>
      <c r="P35" s="114"/>
      <c r="Q35" s="114"/>
      <c r="R35" s="114"/>
      <c r="S35" s="114"/>
      <c r="T35" s="114"/>
      <c r="U35" s="114"/>
      <c r="V35" s="114"/>
      <c r="W35" s="114"/>
      <c r="X35" s="114"/>
      <c r="Y35" s="114"/>
      <c r="Z35" s="114"/>
      <c r="AA35" s="114"/>
      <c r="AB35" s="114"/>
      <c r="AC35" s="114"/>
      <c r="AD35" s="114"/>
      <c r="AE35" s="114"/>
      <c r="AF35" s="114"/>
      <c r="AG35" s="115"/>
      <c r="AH35" s="113" t="s">
        <v>15</v>
      </c>
      <c r="AI35" s="114"/>
      <c r="AJ35" s="114"/>
      <c r="AK35" s="115"/>
      <c r="AL35" s="95" t="s">
        <v>16</v>
      </c>
      <c r="AM35" s="95"/>
      <c r="AN35" s="97" t="s">
        <v>17</v>
      </c>
      <c r="AO35" s="97"/>
      <c r="AP35" s="97"/>
      <c r="AQ35" s="97"/>
      <c r="AR35" s="113" t="s">
        <v>18</v>
      </c>
      <c r="AS35" s="114"/>
      <c r="AT35" s="114"/>
      <c r="AU35" s="114"/>
      <c r="AV35" s="114"/>
      <c r="AW35" s="114"/>
      <c r="AX35" s="114"/>
      <c r="AY35" s="114"/>
      <c r="AZ35" s="114"/>
      <c r="BA35" s="115"/>
    </row>
    <row r="36" spans="2:53" s="21" customFormat="1" ht="13.5" customHeight="1" x14ac:dyDescent="0.15">
      <c r="B36" s="97"/>
      <c r="C36" s="97"/>
      <c r="D36" s="97"/>
      <c r="E36" s="97"/>
      <c r="F36" s="97"/>
      <c r="G36" s="97"/>
      <c r="H36" s="97"/>
      <c r="I36" s="119"/>
      <c r="J36" s="120"/>
      <c r="K36" s="120"/>
      <c r="L36" s="120"/>
      <c r="M36" s="120"/>
      <c r="N36" s="120"/>
      <c r="O36" s="120"/>
      <c r="P36" s="120"/>
      <c r="Q36" s="120"/>
      <c r="R36" s="120"/>
      <c r="S36" s="120"/>
      <c r="T36" s="120"/>
      <c r="U36" s="120"/>
      <c r="V36" s="120"/>
      <c r="W36" s="120"/>
      <c r="X36" s="120"/>
      <c r="Y36" s="120"/>
      <c r="Z36" s="120"/>
      <c r="AA36" s="120"/>
      <c r="AB36" s="120"/>
      <c r="AC36" s="120"/>
      <c r="AD36" s="120"/>
      <c r="AE36" s="120"/>
      <c r="AF36" s="120"/>
      <c r="AG36" s="121"/>
      <c r="AH36" s="116"/>
      <c r="AI36" s="117"/>
      <c r="AJ36" s="117"/>
      <c r="AK36" s="118"/>
      <c r="AL36" s="95"/>
      <c r="AM36" s="95"/>
      <c r="AN36" s="97"/>
      <c r="AO36" s="97"/>
      <c r="AP36" s="97"/>
      <c r="AQ36" s="97"/>
      <c r="AR36" s="116"/>
      <c r="AS36" s="117"/>
      <c r="AT36" s="117"/>
      <c r="AU36" s="117"/>
      <c r="AV36" s="117"/>
      <c r="AW36" s="117"/>
      <c r="AX36" s="117"/>
      <c r="AY36" s="117"/>
      <c r="AZ36" s="117"/>
      <c r="BA36" s="118"/>
    </row>
    <row r="37" spans="2:53" s="21" customFormat="1" ht="13.5" customHeight="1" x14ac:dyDescent="0.15">
      <c r="B37" s="97"/>
      <c r="C37" s="97"/>
      <c r="D37" s="97"/>
      <c r="E37" s="97"/>
      <c r="F37" s="97"/>
      <c r="G37" s="97"/>
      <c r="H37" s="97"/>
      <c r="I37" s="97" t="s">
        <v>19</v>
      </c>
      <c r="J37" s="97"/>
      <c r="K37" s="97"/>
      <c r="L37" s="97"/>
      <c r="M37" s="97" t="s">
        <v>20</v>
      </c>
      <c r="N37" s="97"/>
      <c r="O37" s="97"/>
      <c r="P37" s="97"/>
      <c r="Q37" s="167" t="s">
        <v>21</v>
      </c>
      <c r="R37" s="167"/>
      <c r="S37" s="167" t="s">
        <v>22</v>
      </c>
      <c r="T37" s="167"/>
      <c r="U37" s="167"/>
      <c r="V37" s="95" t="s">
        <v>23</v>
      </c>
      <c r="W37" s="95"/>
      <c r="X37" s="97" t="s">
        <v>24</v>
      </c>
      <c r="Y37" s="97"/>
      <c r="Z37" s="97"/>
      <c r="AA37" s="97"/>
      <c r="AB37" s="95" t="s">
        <v>16</v>
      </c>
      <c r="AC37" s="95"/>
      <c r="AD37" s="97" t="s">
        <v>25</v>
      </c>
      <c r="AE37" s="97"/>
      <c r="AF37" s="97"/>
      <c r="AG37" s="97"/>
      <c r="AH37" s="116"/>
      <c r="AI37" s="117"/>
      <c r="AJ37" s="117"/>
      <c r="AK37" s="118"/>
      <c r="AL37" s="95"/>
      <c r="AM37" s="95"/>
      <c r="AN37" s="97"/>
      <c r="AO37" s="97"/>
      <c r="AP37" s="97"/>
      <c r="AQ37" s="97"/>
      <c r="AR37" s="116"/>
      <c r="AS37" s="117"/>
      <c r="AT37" s="117"/>
      <c r="AU37" s="117"/>
      <c r="AV37" s="117"/>
      <c r="AW37" s="117"/>
      <c r="AX37" s="117"/>
      <c r="AY37" s="117"/>
      <c r="AZ37" s="117"/>
      <c r="BA37" s="118"/>
    </row>
    <row r="38" spans="2:53" s="21" customFormat="1" ht="13.5" customHeight="1" x14ac:dyDescent="0.15">
      <c r="B38" s="97"/>
      <c r="C38" s="97"/>
      <c r="D38" s="97"/>
      <c r="E38" s="97"/>
      <c r="F38" s="97"/>
      <c r="G38" s="97"/>
      <c r="H38" s="97"/>
      <c r="I38" s="97"/>
      <c r="J38" s="97"/>
      <c r="K38" s="97"/>
      <c r="L38" s="97"/>
      <c r="M38" s="97"/>
      <c r="N38" s="97"/>
      <c r="O38" s="97"/>
      <c r="P38" s="97"/>
      <c r="Q38" s="167"/>
      <c r="R38" s="167"/>
      <c r="S38" s="167"/>
      <c r="T38" s="167"/>
      <c r="U38" s="167"/>
      <c r="V38" s="95"/>
      <c r="W38" s="95"/>
      <c r="X38" s="97"/>
      <c r="Y38" s="97"/>
      <c r="Z38" s="97"/>
      <c r="AA38" s="97"/>
      <c r="AB38" s="95"/>
      <c r="AC38" s="95"/>
      <c r="AD38" s="97"/>
      <c r="AE38" s="97"/>
      <c r="AF38" s="97"/>
      <c r="AG38" s="97"/>
      <c r="AH38" s="116"/>
      <c r="AI38" s="117"/>
      <c r="AJ38" s="117"/>
      <c r="AK38" s="118"/>
      <c r="AL38" s="95"/>
      <c r="AM38" s="95"/>
      <c r="AN38" s="97"/>
      <c r="AO38" s="97"/>
      <c r="AP38" s="97"/>
      <c r="AQ38" s="97"/>
      <c r="AR38" s="116"/>
      <c r="AS38" s="117"/>
      <c r="AT38" s="117"/>
      <c r="AU38" s="117"/>
      <c r="AV38" s="117"/>
      <c r="AW38" s="117"/>
      <c r="AX38" s="117"/>
      <c r="AY38" s="117"/>
      <c r="AZ38" s="117"/>
      <c r="BA38" s="118"/>
    </row>
    <row r="39" spans="2:53" s="21" customFormat="1" ht="13.5" customHeight="1" x14ac:dyDescent="0.15">
      <c r="B39" s="97"/>
      <c r="C39" s="97"/>
      <c r="D39" s="97"/>
      <c r="E39" s="97"/>
      <c r="F39" s="97"/>
      <c r="G39" s="97"/>
      <c r="H39" s="97"/>
      <c r="I39" s="97"/>
      <c r="J39" s="97"/>
      <c r="K39" s="97"/>
      <c r="L39" s="97"/>
      <c r="M39" s="97"/>
      <c r="N39" s="97"/>
      <c r="O39" s="97"/>
      <c r="P39" s="97"/>
      <c r="Q39" s="167"/>
      <c r="R39" s="167"/>
      <c r="S39" s="167"/>
      <c r="T39" s="167"/>
      <c r="U39" s="167"/>
      <c r="V39" s="95"/>
      <c r="W39" s="95"/>
      <c r="X39" s="97"/>
      <c r="Y39" s="97"/>
      <c r="Z39" s="97"/>
      <c r="AA39" s="97"/>
      <c r="AB39" s="95"/>
      <c r="AC39" s="95"/>
      <c r="AD39" s="97"/>
      <c r="AE39" s="97"/>
      <c r="AF39" s="97"/>
      <c r="AG39" s="97"/>
      <c r="AH39" s="116"/>
      <c r="AI39" s="117"/>
      <c r="AJ39" s="117"/>
      <c r="AK39" s="118"/>
      <c r="AL39" s="95"/>
      <c r="AM39" s="95"/>
      <c r="AN39" s="97"/>
      <c r="AO39" s="97"/>
      <c r="AP39" s="97"/>
      <c r="AQ39" s="97"/>
      <c r="AR39" s="116"/>
      <c r="AS39" s="117"/>
      <c r="AT39" s="117"/>
      <c r="AU39" s="117"/>
      <c r="AV39" s="117"/>
      <c r="AW39" s="117"/>
      <c r="AX39" s="117"/>
      <c r="AY39" s="117"/>
      <c r="AZ39" s="117"/>
      <c r="BA39" s="118"/>
    </row>
    <row r="40" spans="2:53" s="21" customFormat="1" ht="13.5" customHeight="1" x14ac:dyDescent="0.15">
      <c r="B40" s="97"/>
      <c r="C40" s="97"/>
      <c r="D40" s="97"/>
      <c r="E40" s="97"/>
      <c r="F40" s="97"/>
      <c r="G40" s="97"/>
      <c r="H40" s="97"/>
      <c r="I40" s="97"/>
      <c r="J40" s="97"/>
      <c r="K40" s="97"/>
      <c r="L40" s="97"/>
      <c r="M40" s="97"/>
      <c r="N40" s="97"/>
      <c r="O40" s="97"/>
      <c r="P40" s="97"/>
      <c r="Q40" s="167"/>
      <c r="R40" s="167"/>
      <c r="S40" s="167"/>
      <c r="T40" s="167"/>
      <c r="U40" s="167"/>
      <c r="V40" s="95"/>
      <c r="W40" s="95"/>
      <c r="X40" s="97"/>
      <c r="Y40" s="97"/>
      <c r="Z40" s="97"/>
      <c r="AA40" s="97"/>
      <c r="AB40" s="95"/>
      <c r="AC40" s="95"/>
      <c r="AD40" s="97"/>
      <c r="AE40" s="97"/>
      <c r="AF40" s="97"/>
      <c r="AG40" s="97"/>
      <c r="AH40" s="119"/>
      <c r="AI40" s="120"/>
      <c r="AJ40" s="120"/>
      <c r="AK40" s="121"/>
      <c r="AL40" s="95"/>
      <c r="AM40" s="95"/>
      <c r="AN40" s="97"/>
      <c r="AO40" s="97"/>
      <c r="AP40" s="97"/>
      <c r="AQ40" s="97"/>
      <c r="AR40" s="119"/>
      <c r="AS40" s="120"/>
      <c r="AT40" s="120"/>
      <c r="AU40" s="120"/>
      <c r="AV40" s="120"/>
      <c r="AW40" s="120"/>
      <c r="AX40" s="120"/>
      <c r="AY40" s="120"/>
      <c r="AZ40" s="120"/>
      <c r="BA40" s="121"/>
    </row>
    <row r="41" spans="2:53" s="21" customFormat="1" ht="18" customHeight="1" x14ac:dyDescent="0.15">
      <c r="B41" s="85" t="s">
        <v>26</v>
      </c>
      <c r="C41" s="85"/>
      <c r="D41" s="85"/>
      <c r="E41" s="85"/>
      <c r="F41" s="85"/>
      <c r="G41" s="85"/>
      <c r="H41" s="85"/>
      <c r="I41" s="161">
        <f>SUM(I43:L48)</f>
        <v>162571000</v>
      </c>
      <c r="J41" s="162"/>
      <c r="K41" s="162"/>
      <c r="L41" s="163"/>
      <c r="M41" s="161">
        <f>SUM(M43:P48)</f>
        <v>-3475000</v>
      </c>
      <c r="N41" s="162"/>
      <c r="O41" s="162"/>
      <c r="P41" s="163"/>
      <c r="Q41" s="85">
        <f>SUM(Q43:R48)</f>
        <v>0</v>
      </c>
      <c r="R41" s="85"/>
      <c r="S41" s="85">
        <f>SUM(S43:U48)</f>
        <v>0</v>
      </c>
      <c r="T41" s="85"/>
      <c r="U41" s="85"/>
      <c r="V41" s="161">
        <f>SUM(V43:W48)</f>
        <v>0</v>
      </c>
      <c r="W41" s="163"/>
      <c r="X41" s="161">
        <f>SUM(X43:AA48)</f>
        <v>159096000</v>
      </c>
      <c r="Y41" s="162"/>
      <c r="Z41" s="162"/>
      <c r="AA41" s="163"/>
      <c r="AB41" s="73">
        <f>SUM(AB43:AC48)</f>
        <v>0</v>
      </c>
      <c r="AC41" s="74"/>
      <c r="AD41" s="161">
        <f>SUM(AD43:AG48)</f>
        <v>159096000</v>
      </c>
      <c r="AE41" s="162"/>
      <c r="AF41" s="162"/>
      <c r="AG41" s="163"/>
      <c r="AH41" s="73">
        <f>SUM(AH43:AK48)</f>
        <v>155412933</v>
      </c>
      <c r="AI41" s="74"/>
      <c r="AJ41" s="74"/>
      <c r="AK41" s="74"/>
      <c r="AL41" s="62">
        <f>SUM(AL43:AM48)</f>
        <v>0</v>
      </c>
      <c r="AM41" s="62"/>
      <c r="AN41" s="62">
        <f>SUM(AN43:AQ48)</f>
        <v>3683067</v>
      </c>
      <c r="AO41" s="62"/>
      <c r="AP41" s="62"/>
      <c r="AQ41" s="62"/>
      <c r="AR41" s="122"/>
      <c r="AS41" s="123"/>
      <c r="AT41" s="123"/>
      <c r="AU41" s="123"/>
      <c r="AV41" s="123"/>
      <c r="AW41" s="123"/>
      <c r="AX41" s="123"/>
      <c r="AY41" s="123"/>
      <c r="AZ41" s="123"/>
      <c r="BA41" s="124"/>
    </row>
    <row r="42" spans="2:53" s="21" customFormat="1" ht="18" customHeight="1" x14ac:dyDescent="0.15">
      <c r="B42" s="85"/>
      <c r="C42" s="85"/>
      <c r="D42" s="85"/>
      <c r="E42" s="85"/>
      <c r="F42" s="85"/>
      <c r="G42" s="85"/>
      <c r="H42" s="85"/>
      <c r="I42" s="164"/>
      <c r="J42" s="165"/>
      <c r="K42" s="165"/>
      <c r="L42" s="166"/>
      <c r="M42" s="164"/>
      <c r="N42" s="165"/>
      <c r="O42" s="165"/>
      <c r="P42" s="166"/>
      <c r="Q42" s="85"/>
      <c r="R42" s="85"/>
      <c r="S42" s="85"/>
      <c r="T42" s="85"/>
      <c r="U42" s="85"/>
      <c r="V42" s="164"/>
      <c r="W42" s="166"/>
      <c r="X42" s="164"/>
      <c r="Y42" s="165"/>
      <c r="Z42" s="165"/>
      <c r="AA42" s="166"/>
      <c r="AB42" s="76"/>
      <c r="AC42" s="77"/>
      <c r="AD42" s="164"/>
      <c r="AE42" s="165"/>
      <c r="AF42" s="165"/>
      <c r="AG42" s="166"/>
      <c r="AH42" s="76"/>
      <c r="AI42" s="77"/>
      <c r="AJ42" s="77"/>
      <c r="AK42" s="77"/>
      <c r="AL42" s="62"/>
      <c r="AM42" s="62"/>
      <c r="AN42" s="62"/>
      <c r="AO42" s="62"/>
      <c r="AP42" s="62"/>
      <c r="AQ42" s="62"/>
      <c r="AR42" s="125"/>
      <c r="AS42" s="126"/>
      <c r="AT42" s="126"/>
      <c r="AU42" s="126"/>
      <c r="AV42" s="126"/>
      <c r="AW42" s="126"/>
      <c r="AX42" s="126"/>
      <c r="AY42" s="126"/>
      <c r="AZ42" s="126"/>
      <c r="BA42" s="127"/>
    </row>
    <row r="43" spans="2:53" s="21" customFormat="1" ht="18" customHeight="1" x14ac:dyDescent="0.15">
      <c r="B43" s="85" t="s">
        <v>27</v>
      </c>
      <c r="C43" s="85"/>
      <c r="D43" s="85"/>
      <c r="E43" s="85"/>
      <c r="F43" s="85"/>
      <c r="G43" s="85"/>
      <c r="H43" s="85"/>
      <c r="I43" s="85">
        <v>151483000</v>
      </c>
      <c r="J43" s="85"/>
      <c r="K43" s="85"/>
      <c r="L43" s="85"/>
      <c r="M43" s="85">
        <v>-3503000</v>
      </c>
      <c r="N43" s="85"/>
      <c r="O43" s="85"/>
      <c r="P43" s="85"/>
      <c r="Q43" s="85">
        <v>0</v>
      </c>
      <c r="R43" s="85"/>
      <c r="S43" s="62">
        <v>-2151000</v>
      </c>
      <c r="T43" s="62"/>
      <c r="U43" s="62"/>
      <c r="V43" s="85">
        <v>0</v>
      </c>
      <c r="W43" s="85"/>
      <c r="X43" s="85">
        <f>SUM(I43:T44)</f>
        <v>145829000</v>
      </c>
      <c r="Y43" s="85"/>
      <c r="Z43" s="85"/>
      <c r="AA43" s="85"/>
      <c r="AB43" s="73">
        <v>0</v>
      </c>
      <c r="AC43" s="75"/>
      <c r="AD43" s="85">
        <f>SUM(X43:AC44)</f>
        <v>145829000</v>
      </c>
      <c r="AE43" s="85"/>
      <c r="AF43" s="85"/>
      <c r="AG43" s="85"/>
      <c r="AH43" s="73">
        <v>142646786</v>
      </c>
      <c r="AI43" s="74"/>
      <c r="AJ43" s="74"/>
      <c r="AK43" s="75"/>
      <c r="AL43" s="62">
        <v>0</v>
      </c>
      <c r="AM43" s="62"/>
      <c r="AN43" s="62">
        <f>AD43-AH43-AL43</f>
        <v>3182214</v>
      </c>
      <c r="AO43" s="62"/>
      <c r="AP43" s="62"/>
      <c r="AQ43" s="62"/>
      <c r="AR43" s="99" t="s">
        <v>59</v>
      </c>
      <c r="AS43" s="100"/>
      <c r="AT43" s="100"/>
      <c r="AU43" s="100"/>
      <c r="AV43" s="100"/>
      <c r="AW43" s="100"/>
      <c r="AX43" s="100"/>
      <c r="AY43" s="100"/>
      <c r="AZ43" s="100"/>
      <c r="BA43" s="101"/>
    </row>
    <row r="44" spans="2:53" s="21" customFormat="1" ht="18" customHeight="1" x14ac:dyDescent="0.15">
      <c r="B44" s="85"/>
      <c r="C44" s="85"/>
      <c r="D44" s="85"/>
      <c r="E44" s="85"/>
      <c r="F44" s="85"/>
      <c r="G44" s="85"/>
      <c r="H44" s="85"/>
      <c r="I44" s="85"/>
      <c r="J44" s="85"/>
      <c r="K44" s="85"/>
      <c r="L44" s="85"/>
      <c r="M44" s="85"/>
      <c r="N44" s="85"/>
      <c r="O44" s="85"/>
      <c r="P44" s="85"/>
      <c r="Q44" s="85"/>
      <c r="R44" s="85"/>
      <c r="S44" s="62"/>
      <c r="T44" s="62"/>
      <c r="U44" s="62"/>
      <c r="V44" s="85"/>
      <c r="W44" s="85"/>
      <c r="X44" s="85"/>
      <c r="Y44" s="85"/>
      <c r="Z44" s="85"/>
      <c r="AA44" s="85"/>
      <c r="AB44" s="76"/>
      <c r="AC44" s="78"/>
      <c r="AD44" s="85"/>
      <c r="AE44" s="85"/>
      <c r="AF44" s="85"/>
      <c r="AG44" s="85"/>
      <c r="AH44" s="76"/>
      <c r="AI44" s="77"/>
      <c r="AJ44" s="77"/>
      <c r="AK44" s="78"/>
      <c r="AL44" s="62"/>
      <c r="AM44" s="62"/>
      <c r="AN44" s="62"/>
      <c r="AO44" s="62"/>
      <c r="AP44" s="62"/>
      <c r="AQ44" s="62"/>
      <c r="AR44" s="152" t="s">
        <v>68</v>
      </c>
      <c r="AS44" s="153"/>
      <c r="AT44" s="153"/>
      <c r="AU44" s="153"/>
      <c r="AV44" s="153"/>
      <c r="AW44" s="153"/>
      <c r="AX44" s="153"/>
      <c r="AY44" s="153"/>
      <c r="AZ44" s="153"/>
      <c r="BA44" s="154"/>
    </row>
    <row r="45" spans="2:53" s="21" customFormat="1" ht="18" customHeight="1" x14ac:dyDescent="0.15">
      <c r="B45" s="85" t="s">
        <v>28</v>
      </c>
      <c r="C45" s="85"/>
      <c r="D45" s="85"/>
      <c r="E45" s="85"/>
      <c r="F45" s="85"/>
      <c r="G45" s="85"/>
      <c r="H45" s="85"/>
      <c r="I45" s="85">
        <v>10588000</v>
      </c>
      <c r="J45" s="85"/>
      <c r="K45" s="85"/>
      <c r="L45" s="85"/>
      <c r="M45" s="85">
        <v>28000</v>
      </c>
      <c r="N45" s="85"/>
      <c r="O45" s="85"/>
      <c r="P45" s="85"/>
      <c r="Q45" s="85">
        <v>0</v>
      </c>
      <c r="R45" s="85"/>
      <c r="S45" s="62">
        <v>2151000</v>
      </c>
      <c r="T45" s="62"/>
      <c r="U45" s="62"/>
      <c r="V45" s="85">
        <v>0</v>
      </c>
      <c r="W45" s="85"/>
      <c r="X45" s="85">
        <f>SUM(I45:T46)</f>
        <v>12767000</v>
      </c>
      <c r="Y45" s="85"/>
      <c r="Z45" s="85"/>
      <c r="AA45" s="85"/>
      <c r="AB45" s="73">
        <v>0</v>
      </c>
      <c r="AC45" s="75"/>
      <c r="AD45" s="85">
        <f>SUM(X45:AC46)</f>
        <v>12767000</v>
      </c>
      <c r="AE45" s="85"/>
      <c r="AF45" s="85"/>
      <c r="AG45" s="85"/>
      <c r="AH45" s="73">
        <v>12766147</v>
      </c>
      <c r="AI45" s="74"/>
      <c r="AJ45" s="74"/>
      <c r="AK45" s="75"/>
      <c r="AL45" s="73">
        <v>0</v>
      </c>
      <c r="AM45" s="75"/>
      <c r="AN45" s="48">
        <f>AD45-AH45-AL45</f>
        <v>853</v>
      </c>
      <c r="AO45" s="49"/>
      <c r="AP45" s="49"/>
      <c r="AQ45" s="64"/>
      <c r="AR45" s="99" t="s">
        <v>60</v>
      </c>
      <c r="AS45" s="100"/>
      <c r="AT45" s="100"/>
      <c r="AU45" s="100"/>
      <c r="AV45" s="100"/>
      <c r="AW45" s="100"/>
      <c r="AX45" s="100"/>
      <c r="AY45" s="100"/>
      <c r="AZ45" s="100"/>
      <c r="BA45" s="101"/>
    </row>
    <row r="46" spans="2:53" s="21" customFormat="1" ht="18" customHeight="1" x14ac:dyDescent="0.15">
      <c r="B46" s="85"/>
      <c r="C46" s="85"/>
      <c r="D46" s="85"/>
      <c r="E46" s="85"/>
      <c r="F46" s="85"/>
      <c r="G46" s="85"/>
      <c r="H46" s="85"/>
      <c r="I46" s="85"/>
      <c r="J46" s="85"/>
      <c r="K46" s="85"/>
      <c r="L46" s="85"/>
      <c r="M46" s="85"/>
      <c r="N46" s="85"/>
      <c r="O46" s="85"/>
      <c r="P46" s="85"/>
      <c r="Q46" s="85"/>
      <c r="R46" s="85"/>
      <c r="S46" s="62"/>
      <c r="T46" s="62"/>
      <c r="U46" s="62"/>
      <c r="V46" s="85"/>
      <c r="W46" s="85"/>
      <c r="X46" s="85"/>
      <c r="Y46" s="85"/>
      <c r="Z46" s="85"/>
      <c r="AA46" s="85"/>
      <c r="AB46" s="76"/>
      <c r="AC46" s="78"/>
      <c r="AD46" s="85"/>
      <c r="AE46" s="85"/>
      <c r="AF46" s="85"/>
      <c r="AG46" s="85"/>
      <c r="AH46" s="76"/>
      <c r="AI46" s="77"/>
      <c r="AJ46" s="77"/>
      <c r="AK46" s="78"/>
      <c r="AL46" s="76"/>
      <c r="AM46" s="78"/>
      <c r="AN46" s="50"/>
      <c r="AO46" s="51"/>
      <c r="AP46" s="51"/>
      <c r="AQ46" s="65"/>
      <c r="AR46" s="152">
        <v>5898700</v>
      </c>
      <c r="AS46" s="153"/>
      <c r="AT46" s="153"/>
      <c r="AU46" s="153"/>
      <c r="AV46" s="153"/>
      <c r="AW46" s="153"/>
      <c r="AX46" s="153"/>
      <c r="AY46" s="153"/>
      <c r="AZ46" s="153"/>
      <c r="BA46" s="154"/>
    </row>
    <row r="47" spans="2:53" s="21" customFormat="1" ht="18" customHeight="1" x14ac:dyDescent="0.15">
      <c r="B47" s="85" t="s">
        <v>29</v>
      </c>
      <c r="C47" s="85"/>
      <c r="D47" s="85"/>
      <c r="E47" s="85"/>
      <c r="F47" s="85"/>
      <c r="G47" s="85"/>
      <c r="H47" s="85"/>
      <c r="I47" s="85">
        <v>500000</v>
      </c>
      <c r="J47" s="85"/>
      <c r="K47" s="85"/>
      <c r="L47" s="85"/>
      <c r="M47" s="85"/>
      <c r="N47" s="85"/>
      <c r="O47" s="85"/>
      <c r="P47" s="85"/>
      <c r="Q47" s="85">
        <v>0</v>
      </c>
      <c r="R47" s="85"/>
      <c r="S47" s="62">
        <v>0</v>
      </c>
      <c r="T47" s="62"/>
      <c r="U47" s="62"/>
      <c r="V47" s="85">
        <v>0</v>
      </c>
      <c r="W47" s="85"/>
      <c r="X47" s="85">
        <f>SUM(I47:T48)</f>
        <v>500000</v>
      </c>
      <c r="Y47" s="85"/>
      <c r="Z47" s="85"/>
      <c r="AA47" s="85"/>
      <c r="AB47" s="73">
        <v>0</v>
      </c>
      <c r="AC47" s="75"/>
      <c r="AD47" s="85">
        <f>SUM(X47:AC48)</f>
        <v>500000</v>
      </c>
      <c r="AE47" s="85"/>
      <c r="AF47" s="85"/>
      <c r="AG47" s="85"/>
      <c r="AH47" s="73">
        <v>0</v>
      </c>
      <c r="AI47" s="74"/>
      <c r="AJ47" s="74"/>
      <c r="AK47" s="75"/>
      <c r="AL47" s="73">
        <v>0</v>
      </c>
      <c r="AM47" s="75"/>
      <c r="AN47" s="48">
        <f>AD47-AH47-AL47</f>
        <v>500000</v>
      </c>
      <c r="AO47" s="49"/>
      <c r="AP47" s="49"/>
      <c r="AQ47" s="64"/>
      <c r="AR47" s="52"/>
      <c r="AS47" s="53"/>
      <c r="AT47" s="53"/>
      <c r="AU47" s="53"/>
      <c r="AV47" s="53"/>
      <c r="AW47" s="53"/>
      <c r="AX47" s="53"/>
      <c r="AY47" s="53"/>
      <c r="AZ47" s="53"/>
      <c r="BA47" s="54"/>
    </row>
    <row r="48" spans="2:53" s="21" customFormat="1" ht="18" customHeight="1" x14ac:dyDescent="0.15">
      <c r="B48" s="85"/>
      <c r="C48" s="85"/>
      <c r="D48" s="85"/>
      <c r="E48" s="85"/>
      <c r="F48" s="85"/>
      <c r="G48" s="85"/>
      <c r="H48" s="85"/>
      <c r="I48" s="85"/>
      <c r="J48" s="85"/>
      <c r="K48" s="85"/>
      <c r="L48" s="85"/>
      <c r="M48" s="85"/>
      <c r="N48" s="85"/>
      <c r="O48" s="85"/>
      <c r="P48" s="85"/>
      <c r="Q48" s="85"/>
      <c r="R48" s="85"/>
      <c r="S48" s="62"/>
      <c r="T48" s="62"/>
      <c r="U48" s="62"/>
      <c r="V48" s="85"/>
      <c r="W48" s="85"/>
      <c r="X48" s="85"/>
      <c r="Y48" s="85"/>
      <c r="Z48" s="85"/>
      <c r="AA48" s="85"/>
      <c r="AB48" s="76"/>
      <c r="AC48" s="78"/>
      <c r="AD48" s="85"/>
      <c r="AE48" s="85"/>
      <c r="AF48" s="85"/>
      <c r="AG48" s="85"/>
      <c r="AH48" s="76"/>
      <c r="AI48" s="77"/>
      <c r="AJ48" s="77"/>
      <c r="AK48" s="78"/>
      <c r="AL48" s="76"/>
      <c r="AM48" s="78"/>
      <c r="AN48" s="50"/>
      <c r="AO48" s="51"/>
      <c r="AP48" s="51"/>
      <c r="AQ48" s="65"/>
      <c r="AR48" s="55"/>
      <c r="AS48" s="56"/>
      <c r="AT48" s="56"/>
      <c r="AU48" s="56"/>
      <c r="AV48" s="56"/>
      <c r="AW48" s="56"/>
      <c r="AX48" s="56"/>
      <c r="AY48" s="56"/>
      <c r="AZ48" s="56"/>
      <c r="BA48" s="57"/>
    </row>
    <row r="49" spans="2:83" s="25" customFormat="1" ht="13.5" customHeight="1" x14ac:dyDescent="0.15">
      <c r="B49" s="22"/>
      <c r="C49" s="22"/>
      <c r="D49" s="22"/>
      <c r="E49" s="22"/>
      <c r="F49" s="22"/>
      <c r="G49" s="22"/>
      <c r="H49" s="22"/>
      <c r="I49" s="22"/>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4"/>
      <c r="AW49" s="24"/>
      <c r="AX49" s="24"/>
      <c r="AY49" s="24"/>
      <c r="AZ49" s="24"/>
      <c r="BA49" s="24"/>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row>
    <row r="50" spans="2:83" s="25" customFormat="1" ht="13.5" customHeight="1" x14ac:dyDescent="0.15">
      <c r="B50" s="22"/>
      <c r="C50" s="22"/>
      <c r="D50" s="22"/>
      <c r="E50" s="22"/>
      <c r="F50" s="22"/>
      <c r="G50" s="22"/>
      <c r="H50" s="22"/>
      <c r="I50" s="22"/>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4"/>
      <c r="AW50" s="24"/>
      <c r="AX50" s="24"/>
      <c r="AY50" s="24"/>
      <c r="AZ50" s="24"/>
      <c r="BA50" s="24"/>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row>
    <row r="51" spans="2:83" s="25" customFormat="1" ht="13.5" customHeight="1" x14ac:dyDescent="0.15">
      <c r="B51" s="22"/>
      <c r="C51" s="22"/>
      <c r="D51" s="22"/>
      <c r="E51" s="22"/>
      <c r="F51" s="22"/>
      <c r="G51" s="22"/>
      <c r="H51" s="22"/>
      <c r="I51" s="22"/>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4"/>
      <c r="AW51" s="24"/>
      <c r="AX51" s="24"/>
      <c r="AY51" s="24"/>
      <c r="AZ51" s="24"/>
      <c r="BA51" s="24"/>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row>
    <row r="52" spans="2:83" s="25" customFormat="1" ht="13.5" customHeight="1" x14ac:dyDescent="0.1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row>
    <row r="53" spans="2:83" s="25" customFormat="1" ht="13.5" customHeight="1" x14ac:dyDescent="0.1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row>
    <row r="54" spans="2:83" s="25" customFormat="1" ht="13.5" customHeight="1" x14ac:dyDescent="0.15">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row>
    <row r="55" spans="2:83" s="25" customFormat="1" ht="13.5" customHeight="1" x14ac:dyDescent="0.15">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row>
    <row r="56" spans="2:83" s="25" customFormat="1" ht="13.5" customHeight="1" x14ac:dyDescent="0.1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row>
    <row r="57" spans="2:83" s="25" customFormat="1" ht="12" customHeight="1" x14ac:dyDescent="0.15">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row>
    <row r="58" spans="2:83" s="25" customFormat="1" ht="13.5" hidden="1" customHeight="1" x14ac:dyDescent="0.15">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row>
    <row r="59" spans="2:83" s="25" customFormat="1" ht="13.5" hidden="1" customHeight="1" x14ac:dyDescent="0.15">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row>
    <row r="60" spans="2:83" s="25" customFormat="1" ht="13.5" customHeight="1" x14ac:dyDescent="0.15">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row>
    <row r="61" spans="2:83" s="25" customFormat="1" ht="13.5" customHeight="1" x14ac:dyDescent="0.1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row>
    <row r="62" spans="2:83" s="25" customFormat="1" ht="13.5" customHeight="1" x14ac:dyDescent="0.15">
      <c r="B62" s="150" t="s">
        <v>30</v>
      </c>
      <c r="C62" s="150"/>
      <c r="D62" s="150"/>
      <c r="E62" s="150"/>
      <c r="F62" s="150"/>
      <c r="G62" s="150"/>
      <c r="H62" s="150"/>
      <c r="I62" s="150"/>
      <c r="J62" s="150"/>
      <c r="K62" s="150"/>
      <c r="L62" s="150"/>
      <c r="M62" s="150"/>
      <c r="N62" s="150"/>
      <c r="O62" s="19"/>
      <c r="P62" s="19"/>
      <c r="Q62" s="19"/>
      <c r="R62" s="19"/>
      <c r="S62" s="19"/>
      <c r="T62" s="19"/>
      <c r="U62" s="19"/>
      <c r="V62" s="19"/>
      <c r="W62" s="19"/>
      <c r="X62" s="19"/>
      <c r="Y62" s="19"/>
      <c r="Z62" s="19"/>
      <c r="AA62" s="19"/>
      <c r="AB62" s="19"/>
      <c r="AC62" s="19"/>
      <c r="AD62" s="19"/>
      <c r="AE62" s="19"/>
      <c r="AF62" s="19"/>
      <c r="AG62" s="19"/>
      <c r="AH62" s="19"/>
      <c r="AI62" s="19"/>
      <c r="AJ62" s="19"/>
      <c r="AK62" s="20"/>
      <c r="AL62" s="20"/>
      <c r="AM62" s="20"/>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row>
    <row r="63" spans="2:83" s="25" customFormat="1" ht="13.5" customHeight="1" x14ac:dyDescent="0.15">
      <c r="B63" s="150"/>
      <c r="C63" s="150"/>
      <c r="D63" s="150"/>
      <c r="E63" s="150"/>
      <c r="F63" s="150"/>
      <c r="G63" s="150"/>
      <c r="H63" s="150"/>
      <c r="I63" s="150"/>
      <c r="J63" s="150"/>
      <c r="K63" s="150"/>
      <c r="L63" s="150"/>
      <c r="M63" s="150"/>
      <c r="N63" s="150"/>
      <c r="O63" s="20"/>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20"/>
      <c r="AP63" s="20"/>
      <c r="AQ63" s="20"/>
      <c r="AR63" s="26"/>
      <c r="AS63" s="26"/>
      <c r="AT63" s="26"/>
      <c r="AU63" s="26"/>
      <c r="AV63" s="26"/>
      <c r="AW63" s="26"/>
      <c r="AX63" s="26"/>
      <c r="AY63" s="26"/>
      <c r="AZ63" s="26"/>
      <c r="BA63" s="26"/>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row>
    <row r="64" spans="2:83" s="25" customFormat="1" ht="13.5" customHeight="1" x14ac:dyDescent="0.15">
      <c r="B64" s="130" t="s">
        <v>1</v>
      </c>
      <c r="C64" s="130"/>
      <c r="D64" s="130"/>
      <c r="E64" s="130"/>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row>
    <row r="65" spans="2:82" s="25" customFormat="1" ht="13.5" customHeight="1" x14ac:dyDescent="0.15">
      <c r="B65" s="131"/>
      <c r="C65" s="131"/>
      <c r="D65" s="131"/>
      <c r="E65" s="131"/>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4"/>
      <c r="AP65" s="4"/>
      <c r="AQ65" s="4"/>
      <c r="AR65" s="4"/>
      <c r="AS65" s="2"/>
      <c r="AT65" s="2"/>
      <c r="AU65" s="151" t="s">
        <v>47</v>
      </c>
      <c r="AV65" s="151"/>
      <c r="AW65" s="151"/>
      <c r="AX65" s="151"/>
      <c r="AY65" s="151"/>
      <c r="AZ65" s="151"/>
      <c r="BA65" s="151"/>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row>
    <row r="66" spans="2:82" s="21" customFormat="1" ht="13.5" customHeight="1" x14ac:dyDescent="0.15">
      <c r="B66" s="113" t="s">
        <v>2</v>
      </c>
      <c r="C66" s="114"/>
      <c r="D66" s="114"/>
      <c r="E66" s="114"/>
      <c r="F66" s="114"/>
      <c r="G66" s="114"/>
      <c r="H66" s="114"/>
      <c r="I66" s="113" t="s">
        <v>14</v>
      </c>
      <c r="J66" s="114"/>
      <c r="K66" s="114"/>
      <c r="L66" s="114"/>
      <c r="M66" s="114"/>
      <c r="N66" s="114"/>
      <c r="O66" s="114"/>
      <c r="P66" s="114"/>
      <c r="Q66" s="114"/>
      <c r="R66" s="114"/>
      <c r="S66" s="114"/>
      <c r="T66" s="114"/>
      <c r="U66" s="114"/>
      <c r="V66" s="114"/>
      <c r="W66" s="114"/>
      <c r="X66" s="114"/>
      <c r="Y66" s="114"/>
      <c r="Z66" s="114"/>
      <c r="AA66" s="114"/>
      <c r="AB66" s="114"/>
      <c r="AC66" s="114"/>
      <c r="AD66" s="114"/>
      <c r="AE66" s="97" t="s">
        <v>4</v>
      </c>
      <c r="AF66" s="97"/>
      <c r="AG66" s="97"/>
      <c r="AH66" s="97"/>
      <c r="AI66" s="122" t="s">
        <v>48</v>
      </c>
      <c r="AJ66" s="123"/>
      <c r="AK66" s="123"/>
      <c r="AL66" s="123"/>
      <c r="AM66" s="97" t="s">
        <v>6</v>
      </c>
      <c r="AN66" s="97"/>
      <c r="AO66" s="97"/>
      <c r="AP66" s="97"/>
      <c r="AQ66" s="97"/>
      <c r="AR66" s="97"/>
      <c r="AS66" s="97"/>
      <c r="AT66" s="97"/>
      <c r="AU66" s="97"/>
      <c r="AV66" s="97"/>
      <c r="AW66" s="97"/>
      <c r="AX66" s="97"/>
      <c r="AY66" s="97"/>
      <c r="AZ66" s="97"/>
      <c r="BA66" s="97"/>
    </row>
    <row r="67" spans="2:82" s="21" customFormat="1" ht="13.5" customHeight="1" x14ac:dyDescent="0.15">
      <c r="B67" s="116"/>
      <c r="C67" s="117"/>
      <c r="D67" s="117"/>
      <c r="E67" s="117"/>
      <c r="F67" s="117"/>
      <c r="G67" s="117"/>
      <c r="H67" s="117"/>
      <c r="I67" s="119"/>
      <c r="J67" s="120"/>
      <c r="K67" s="120"/>
      <c r="L67" s="120"/>
      <c r="M67" s="120"/>
      <c r="N67" s="120"/>
      <c r="O67" s="120"/>
      <c r="P67" s="120"/>
      <c r="Q67" s="120"/>
      <c r="R67" s="120"/>
      <c r="S67" s="120"/>
      <c r="T67" s="120"/>
      <c r="U67" s="120"/>
      <c r="V67" s="120"/>
      <c r="W67" s="120"/>
      <c r="X67" s="120"/>
      <c r="Y67" s="120"/>
      <c r="Z67" s="120"/>
      <c r="AA67" s="120"/>
      <c r="AB67" s="120"/>
      <c r="AC67" s="120"/>
      <c r="AD67" s="120"/>
      <c r="AE67" s="97"/>
      <c r="AF67" s="97"/>
      <c r="AG67" s="97"/>
      <c r="AH67" s="97"/>
      <c r="AI67" s="128"/>
      <c r="AJ67" s="129"/>
      <c r="AK67" s="129"/>
      <c r="AL67" s="129"/>
      <c r="AM67" s="97"/>
      <c r="AN67" s="97"/>
      <c r="AO67" s="97"/>
      <c r="AP67" s="97"/>
      <c r="AQ67" s="97"/>
      <c r="AR67" s="97"/>
      <c r="AS67" s="97"/>
      <c r="AT67" s="97"/>
      <c r="AU67" s="97"/>
      <c r="AV67" s="97"/>
      <c r="AW67" s="97"/>
      <c r="AX67" s="97"/>
      <c r="AY67" s="97"/>
      <c r="AZ67" s="97"/>
      <c r="BA67" s="97"/>
    </row>
    <row r="68" spans="2:82" s="21" customFormat="1" ht="13.5" customHeight="1" x14ac:dyDescent="0.15">
      <c r="B68" s="116"/>
      <c r="C68" s="117"/>
      <c r="D68" s="117"/>
      <c r="E68" s="117"/>
      <c r="F68" s="117"/>
      <c r="G68" s="117"/>
      <c r="H68" s="117"/>
      <c r="I68" s="113" t="s">
        <v>7</v>
      </c>
      <c r="J68" s="114"/>
      <c r="K68" s="114"/>
      <c r="L68" s="115"/>
      <c r="M68" s="113" t="s">
        <v>8</v>
      </c>
      <c r="N68" s="114"/>
      <c r="O68" s="114"/>
      <c r="P68" s="115"/>
      <c r="Q68" s="113" t="s">
        <v>31</v>
      </c>
      <c r="R68" s="114"/>
      <c r="S68" s="114"/>
      <c r="T68" s="115"/>
      <c r="U68" s="135" t="s">
        <v>32</v>
      </c>
      <c r="V68" s="136"/>
      <c r="W68" s="137"/>
      <c r="X68" s="135" t="s">
        <v>33</v>
      </c>
      <c r="Y68" s="136"/>
      <c r="Z68" s="137"/>
      <c r="AA68" s="144" t="s">
        <v>9</v>
      </c>
      <c r="AB68" s="145"/>
      <c r="AC68" s="145"/>
      <c r="AD68" s="145"/>
      <c r="AE68" s="97"/>
      <c r="AF68" s="97"/>
      <c r="AG68" s="97"/>
      <c r="AH68" s="97"/>
      <c r="AI68" s="128"/>
      <c r="AJ68" s="129"/>
      <c r="AK68" s="129"/>
      <c r="AL68" s="129"/>
      <c r="AM68" s="97"/>
      <c r="AN68" s="97"/>
      <c r="AO68" s="97"/>
      <c r="AP68" s="97"/>
      <c r="AQ68" s="97"/>
      <c r="AR68" s="97"/>
      <c r="AS68" s="97"/>
      <c r="AT68" s="97"/>
      <c r="AU68" s="97"/>
      <c r="AV68" s="97"/>
      <c r="AW68" s="97"/>
      <c r="AX68" s="97"/>
      <c r="AY68" s="97"/>
      <c r="AZ68" s="97"/>
      <c r="BA68" s="97"/>
    </row>
    <row r="69" spans="2:82" s="21" customFormat="1" ht="13.5" customHeight="1" x14ac:dyDescent="0.15">
      <c r="B69" s="116"/>
      <c r="C69" s="117"/>
      <c r="D69" s="117"/>
      <c r="E69" s="117"/>
      <c r="F69" s="117"/>
      <c r="G69" s="117"/>
      <c r="H69" s="117"/>
      <c r="I69" s="116"/>
      <c r="J69" s="117"/>
      <c r="K69" s="117"/>
      <c r="L69" s="118"/>
      <c r="M69" s="116"/>
      <c r="N69" s="117"/>
      <c r="O69" s="117"/>
      <c r="P69" s="118"/>
      <c r="Q69" s="116"/>
      <c r="R69" s="117"/>
      <c r="S69" s="117"/>
      <c r="T69" s="118"/>
      <c r="U69" s="138"/>
      <c r="V69" s="139"/>
      <c r="W69" s="140"/>
      <c r="X69" s="138"/>
      <c r="Y69" s="139"/>
      <c r="Z69" s="140"/>
      <c r="AA69" s="146"/>
      <c r="AB69" s="147"/>
      <c r="AC69" s="147"/>
      <c r="AD69" s="147"/>
      <c r="AE69" s="97"/>
      <c r="AF69" s="97"/>
      <c r="AG69" s="97"/>
      <c r="AH69" s="97"/>
      <c r="AI69" s="128"/>
      <c r="AJ69" s="129"/>
      <c r="AK69" s="129"/>
      <c r="AL69" s="129"/>
      <c r="AM69" s="97"/>
      <c r="AN69" s="97"/>
      <c r="AO69" s="97"/>
      <c r="AP69" s="97"/>
      <c r="AQ69" s="97"/>
      <c r="AR69" s="97"/>
      <c r="AS69" s="97"/>
      <c r="AT69" s="97"/>
      <c r="AU69" s="97"/>
      <c r="AV69" s="97"/>
      <c r="AW69" s="97"/>
      <c r="AX69" s="97"/>
      <c r="AY69" s="97"/>
      <c r="AZ69" s="97"/>
      <c r="BA69" s="97"/>
    </row>
    <row r="70" spans="2:82" s="21" customFormat="1" ht="13.5" customHeight="1" x14ac:dyDescent="0.15">
      <c r="B70" s="116"/>
      <c r="C70" s="117"/>
      <c r="D70" s="117"/>
      <c r="E70" s="117"/>
      <c r="F70" s="117"/>
      <c r="G70" s="117"/>
      <c r="H70" s="117"/>
      <c r="I70" s="116"/>
      <c r="J70" s="117"/>
      <c r="K70" s="117"/>
      <c r="L70" s="118"/>
      <c r="M70" s="116"/>
      <c r="N70" s="117"/>
      <c r="O70" s="117"/>
      <c r="P70" s="118"/>
      <c r="Q70" s="116"/>
      <c r="R70" s="117"/>
      <c r="S70" s="117"/>
      <c r="T70" s="118"/>
      <c r="U70" s="138"/>
      <c r="V70" s="139"/>
      <c r="W70" s="140"/>
      <c r="X70" s="138"/>
      <c r="Y70" s="139"/>
      <c r="Z70" s="140"/>
      <c r="AA70" s="146"/>
      <c r="AB70" s="147"/>
      <c r="AC70" s="147"/>
      <c r="AD70" s="147"/>
      <c r="AE70" s="97"/>
      <c r="AF70" s="97"/>
      <c r="AG70" s="97"/>
      <c r="AH70" s="97"/>
      <c r="AI70" s="128"/>
      <c r="AJ70" s="129"/>
      <c r="AK70" s="129"/>
      <c r="AL70" s="129"/>
      <c r="AM70" s="97"/>
      <c r="AN70" s="97"/>
      <c r="AO70" s="97"/>
      <c r="AP70" s="97"/>
      <c r="AQ70" s="97"/>
      <c r="AR70" s="97"/>
      <c r="AS70" s="97"/>
      <c r="AT70" s="97"/>
      <c r="AU70" s="97"/>
      <c r="AV70" s="97"/>
      <c r="AW70" s="97"/>
      <c r="AX70" s="97"/>
      <c r="AY70" s="97"/>
      <c r="AZ70" s="97"/>
      <c r="BA70" s="97"/>
    </row>
    <row r="71" spans="2:82" s="21" customFormat="1" ht="13.5" customHeight="1" x14ac:dyDescent="0.15">
      <c r="B71" s="119"/>
      <c r="C71" s="120"/>
      <c r="D71" s="120"/>
      <c r="E71" s="120"/>
      <c r="F71" s="120"/>
      <c r="G71" s="120"/>
      <c r="H71" s="120"/>
      <c r="I71" s="119"/>
      <c r="J71" s="120"/>
      <c r="K71" s="120"/>
      <c r="L71" s="121"/>
      <c r="M71" s="119"/>
      <c r="N71" s="120"/>
      <c r="O71" s="120"/>
      <c r="P71" s="121"/>
      <c r="Q71" s="119"/>
      <c r="R71" s="120"/>
      <c r="S71" s="120"/>
      <c r="T71" s="121"/>
      <c r="U71" s="141"/>
      <c r="V71" s="142"/>
      <c r="W71" s="143"/>
      <c r="X71" s="141"/>
      <c r="Y71" s="142"/>
      <c r="Z71" s="143"/>
      <c r="AA71" s="148"/>
      <c r="AB71" s="149"/>
      <c r="AC71" s="149"/>
      <c r="AD71" s="149"/>
      <c r="AE71" s="97"/>
      <c r="AF71" s="97"/>
      <c r="AG71" s="97"/>
      <c r="AH71" s="97"/>
      <c r="AI71" s="125"/>
      <c r="AJ71" s="126"/>
      <c r="AK71" s="126"/>
      <c r="AL71" s="126"/>
      <c r="AM71" s="97"/>
      <c r="AN71" s="97"/>
      <c r="AO71" s="97"/>
      <c r="AP71" s="97"/>
      <c r="AQ71" s="97"/>
      <c r="AR71" s="97"/>
      <c r="AS71" s="97"/>
      <c r="AT71" s="97"/>
      <c r="AU71" s="97"/>
      <c r="AV71" s="97"/>
      <c r="AW71" s="97"/>
      <c r="AX71" s="97"/>
      <c r="AY71" s="97"/>
      <c r="AZ71" s="97"/>
      <c r="BA71" s="97"/>
    </row>
    <row r="72" spans="2:82" s="21" customFormat="1" ht="18" customHeight="1" x14ac:dyDescent="0.15">
      <c r="B72" s="73" t="s">
        <v>34</v>
      </c>
      <c r="C72" s="74"/>
      <c r="D72" s="74"/>
      <c r="E72" s="74"/>
      <c r="F72" s="74"/>
      <c r="G72" s="74"/>
      <c r="H72" s="74"/>
      <c r="I72" s="73">
        <f>SUM(I74:L79)</f>
        <v>41136000</v>
      </c>
      <c r="J72" s="74"/>
      <c r="K72" s="74"/>
      <c r="L72" s="75"/>
      <c r="M72" s="48">
        <f>SUM(M74:P79)</f>
        <v>14403000</v>
      </c>
      <c r="N72" s="49"/>
      <c r="O72" s="49"/>
      <c r="P72" s="64"/>
      <c r="Q72" s="48">
        <f>SUM(Q74:T79)</f>
        <v>55539000</v>
      </c>
      <c r="R72" s="49"/>
      <c r="S72" s="49"/>
      <c r="T72" s="64"/>
      <c r="U72" s="73">
        <f>SUM(U74:W79)</f>
        <v>0</v>
      </c>
      <c r="V72" s="74"/>
      <c r="W72" s="75"/>
      <c r="X72" s="73">
        <f>SUM(X74:Z79)</f>
        <v>0</v>
      </c>
      <c r="Y72" s="74"/>
      <c r="Z72" s="75"/>
      <c r="AA72" s="73">
        <f>SUM(AA74:AD79)</f>
        <v>55539000</v>
      </c>
      <c r="AB72" s="74"/>
      <c r="AC72" s="74"/>
      <c r="AD72" s="74"/>
      <c r="AE72" s="85">
        <f>SUM(AE74:AH79)</f>
        <v>55711465</v>
      </c>
      <c r="AF72" s="85"/>
      <c r="AG72" s="85"/>
      <c r="AH72" s="85"/>
      <c r="AI72" s="85">
        <f>SUM(AI74:AL79)</f>
        <v>172465</v>
      </c>
      <c r="AJ72" s="85"/>
      <c r="AK72" s="85"/>
      <c r="AL72" s="85"/>
      <c r="AM72" s="133"/>
      <c r="AN72" s="133"/>
      <c r="AO72" s="133"/>
      <c r="AP72" s="133"/>
      <c r="AQ72" s="133"/>
      <c r="AR72" s="133"/>
      <c r="AS72" s="133"/>
      <c r="AT72" s="133"/>
      <c r="AU72" s="133"/>
      <c r="AV72" s="133"/>
      <c r="AW72" s="133"/>
      <c r="AX72" s="133"/>
      <c r="AY72" s="133"/>
      <c r="AZ72" s="133"/>
      <c r="BA72" s="133"/>
    </row>
    <row r="73" spans="2:82" s="21" customFormat="1" ht="18" customHeight="1" x14ac:dyDescent="0.15">
      <c r="B73" s="76"/>
      <c r="C73" s="77"/>
      <c r="D73" s="77"/>
      <c r="E73" s="77"/>
      <c r="F73" s="77"/>
      <c r="G73" s="77"/>
      <c r="H73" s="77"/>
      <c r="I73" s="76"/>
      <c r="J73" s="77"/>
      <c r="K73" s="77"/>
      <c r="L73" s="78"/>
      <c r="M73" s="50"/>
      <c r="N73" s="51"/>
      <c r="O73" s="51"/>
      <c r="P73" s="65"/>
      <c r="Q73" s="50"/>
      <c r="R73" s="51"/>
      <c r="S73" s="51"/>
      <c r="T73" s="65"/>
      <c r="U73" s="76"/>
      <c r="V73" s="77"/>
      <c r="W73" s="78"/>
      <c r="X73" s="76"/>
      <c r="Y73" s="77"/>
      <c r="Z73" s="78"/>
      <c r="AA73" s="76"/>
      <c r="AB73" s="77"/>
      <c r="AC73" s="77"/>
      <c r="AD73" s="77"/>
      <c r="AE73" s="85"/>
      <c r="AF73" s="85"/>
      <c r="AG73" s="85"/>
      <c r="AH73" s="85"/>
      <c r="AI73" s="85"/>
      <c r="AJ73" s="85"/>
      <c r="AK73" s="85"/>
      <c r="AL73" s="85"/>
      <c r="AM73" s="133"/>
      <c r="AN73" s="133"/>
      <c r="AO73" s="133"/>
      <c r="AP73" s="133"/>
      <c r="AQ73" s="133"/>
      <c r="AR73" s="133"/>
      <c r="AS73" s="133"/>
      <c r="AT73" s="133"/>
      <c r="AU73" s="133"/>
      <c r="AV73" s="133"/>
      <c r="AW73" s="133"/>
      <c r="AX73" s="133"/>
      <c r="AY73" s="133"/>
      <c r="AZ73" s="133"/>
      <c r="BA73" s="133"/>
    </row>
    <row r="74" spans="2:82" s="21" customFormat="1" ht="18" customHeight="1" x14ac:dyDescent="0.15">
      <c r="B74" s="73" t="s">
        <v>35</v>
      </c>
      <c r="C74" s="74"/>
      <c r="D74" s="74"/>
      <c r="E74" s="74"/>
      <c r="F74" s="74"/>
      <c r="G74" s="74"/>
      <c r="H74" s="74"/>
      <c r="I74" s="73">
        <v>11336000</v>
      </c>
      <c r="J74" s="74"/>
      <c r="K74" s="74"/>
      <c r="L74" s="75"/>
      <c r="M74" s="73">
        <v>7203000</v>
      </c>
      <c r="N74" s="74"/>
      <c r="O74" s="74"/>
      <c r="P74" s="75"/>
      <c r="Q74" s="48">
        <f>SUM(I74:P75)</f>
        <v>18539000</v>
      </c>
      <c r="R74" s="49"/>
      <c r="S74" s="49"/>
      <c r="T74" s="64"/>
      <c r="U74" s="73">
        <f>SUM(X80:Z81)</f>
        <v>0</v>
      </c>
      <c r="V74" s="74"/>
      <c r="W74" s="75"/>
      <c r="X74" s="73">
        <v>0</v>
      </c>
      <c r="Y74" s="74"/>
      <c r="Z74" s="75"/>
      <c r="AA74" s="73">
        <f>SUM(Q74:Z75)</f>
        <v>18539000</v>
      </c>
      <c r="AB74" s="74"/>
      <c r="AC74" s="74"/>
      <c r="AD74" s="74"/>
      <c r="AE74" s="85">
        <v>18711465</v>
      </c>
      <c r="AF74" s="85"/>
      <c r="AG74" s="85"/>
      <c r="AH74" s="85"/>
      <c r="AI74" s="73">
        <f>AE74-AA74</f>
        <v>172465</v>
      </c>
      <c r="AJ74" s="74"/>
      <c r="AK74" s="74"/>
      <c r="AL74" s="74"/>
      <c r="AM74" s="134" t="s">
        <v>65</v>
      </c>
      <c r="AN74" s="134"/>
      <c r="AO74" s="134"/>
      <c r="AP74" s="134"/>
      <c r="AQ74" s="134"/>
      <c r="AR74" s="134"/>
      <c r="AS74" s="134"/>
      <c r="AT74" s="134"/>
      <c r="AU74" s="134"/>
      <c r="AV74" s="134"/>
      <c r="AW74" s="134"/>
      <c r="AX74" s="134"/>
      <c r="AY74" s="134"/>
      <c r="AZ74" s="134"/>
      <c r="BA74" s="134"/>
    </row>
    <row r="75" spans="2:82" s="21" customFormat="1" ht="18" customHeight="1" x14ac:dyDescent="0.15">
      <c r="B75" s="76"/>
      <c r="C75" s="77"/>
      <c r="D75" s="77"/>
      <c r="E75" s="77"/>
      <c r="F75" s="77"/>
      <c r="G75" s="77"/>
      <c r="H75" s="77"/>
      <c r="I75" s="76"/>
      <c r="J75" s="77"/>
      <c r="K75" s="77"/>
      <c r="L75" s="78"/>
      <c r="M75" s="76"/>
      <c r="N75" s="77"/>
      <c r="O75" s="77"/>
      <c r="P75" s="78"/>
      <c r="Q75" s="50"/>
      <c r="R75" s="51"/>
      <c r="S75" s="51"/>
      <c r="T75" s="65"/>
      <c r="U75" s="76"/>
      <c r="V75" s="77"/>
      <c r="W75" s="78"/>
      <c r="X75" s="76"/>
      <c r="Y75" s="77"/>
      <c r="Z75" s="78"/>
      <c r="AA75" s="76"/>
      <c r="AB75" s="77"/>
      <c r="AC75" s="77"/>
      <c r="AD75" s="77"/>
      <c r="AE75" s="85"/>
      <c r="AF75" s="85"/>
      <c r="AG75" s="85"/>
      <c r="AH75" s="85"/>
      <c r="AI75" s="76"/>
      <c r="AJ75" s="77"/>
      <c r="AK75" s="77"/>
      <c r="AL75" s="77"/>
      <c r="AM75" s="134"/>
      <c r="AN75" s="134"/>
      <c r="AO75" s="134"/>
      <c r="AP75" s="134"/>
      <c r="AQ75" s="134"/>
      <c r="AR75" s="134"/>
      <c r="AS75" s="134"/>
      <c r="AT75" s="134"/>
      <c r="AU75" s="134"/>
      <c r="AV75" s="134"/>
      <c r="AW75" s="134"/>
      <c r="AX75" s="134"/>
      <c r="AY75" s="134"/>
      <c r="AZ75" s="134"/>
      <c r="BA75" s="134"/>
    </row>
    <row r="76" spans="2:82" s="21" customFormat="1" ht="18" customHeight="1" x14ac:dyDescent="0.15">
      <c r="B76" s="73" t="s">
        <v>51</v>
      </c>
      <c r="C76" s="74"/>
      <c r="D76" s="74"/>
      <c r="E76" s="74"/>
      <c r="F76" s="74"/>
      <c r="G76" s="74"/>
      <c r="H76" s="75"/>
      <c r="I76" s="73">
        <v>13000000</v>
      </c>
      <c r="J76" s="74"/>
      <c r="K76" s="74"/>
      <c r="L76" s="75"/>
      <c r="M76" s="48">
        <v>-300000</v>
      </c>
      <c r="N76" s="49"/>
      <c r="O76" s="49"/>
      <c r="P76" s="64"/>
      <c r="Q76" s="48">
        <f>SUM(I76:P77)</f>
        <v>12700000</v>
      </c>
      <c r="R76" s="49"/>
      <c r="S76" s="49"/>
      <c r="T76" s="64"/>
      <c r="U76" s="73">
        <v>0</v>
      </c>
      <c r="V76" s="74"/>
      <c r="W76" s="75"/>
      <c r="X76" s="73">
        <v>0</v>
      </c>
      <c r="Y76" s="74"/>
      <c r="Z76" s="75"/>
      <c r="AA76" s="73">
        <f>SUM(Q76:Z77)</f>
        <v>12700000</v>
      </c>
      <c r="AB76" s="74"/>
      <c r="AC76" s="74"/>
      <c r="AD76" s="74"/>
      <c r="AE76" s="85">
        <v>12700000</v>
      </c>
      <c r="AF76" s="85"/>
      <c r="AG76" s="85"/>
      <c r="AH76" s="85"/>
      <c r="AI76" s="73">
        <f>AE76-AA76</f>
        <v>0</v>
      </c>
      <c r="AJ76" s="74"/>
      <c r="AK76" s="74"/>
      <c r="AL76" s="74"/>
      <c r="AM76" s="97"/>
      <c r="AN76" s="97"/>
      <c r="AO76" s="97"/>
      <c r="AP76" s="97"/>
      <c r="AQ76" s="97"/>
      <c r="AR76" s="97"/>
      <c r="AS76" s="97"/>
      <c r="AT76" s="97"/>
      <c r="AU76" s="97"/>
      <c r="AV76" s="97"/>
      <c r="AW76" s="97"/>
      <c r="AX76" s="97"/>
      <c r="AY76" s="97"/>
      <c r="AZ76" s="97"/>
      <c r="BA76" s="97"/>
    </row>
    <row r="77" spans="2:82" s="21" customFormat="1" ht="18" customHeight="1" x14ac:dyDescent="0.15">
      <c r="B77" s="76"/>
      <c r="C77" s="77"/>
      <c r="D77" s="77"/>
      <c r="E77" s="77"/>
      <c r="F77" s="77"/>
      <c r="G77" s="77"/>
      <c r="H77" s="78"/>
      <c r="I77" s="76"/>
      <c r="J77" s="77"/>
      <c r="K77" s="77"/>
      <c r="L77" s="78"/>
      <c r="M77" s="50"/>
      <c r="N77" s="51"/>
      <c r="O77" s="51"/>
      <c r="P77" s="65"/>
      <c r="Q77" s="50"/>
      <c r="R77" s="51"/>
      <c r="S77" s="51"/>
      <c r="T77" s="65"/>
      <c r="U77" s="76"/>
      <c r="V77" s="77"/>
      <c r="W77" s="78"/>
      <c r="X77" s="76"/>
      <c r="Y77" s="77"/>
      <c r="Z77" s="78"/>
      <c r="AA77" s="76"/>
      <c r="AB77" s="77"/>
      <c r="AC77" s="77"/>
      <c r="AD77" s="77"/>
      <c r="AE77" s="85"/>
      <c r="AF77" s="85"/>
      <c r="AG77" s="85"/>
      <c r="AH77" s="85"/>
      <c r="AI77" s="76"/>
      <c r="AJ77" s="77"/>
      <c r="AK77" s="77"/>
      <c r="AL77" s="77"/>
      <c r="AM77" s="97"/>
      <c r="AN77" s="97"/>
      <c r="AO77" s="97"/>
      <c r="AP77" s="97"/>
      <c r="AQ77" s="97"/>
      <c r="AR77" s="97"/>
      <c r="AS77" s="97"/>
      <c r="AT77" s="97"/>
      <c r="AU77" s="97"/>
      <c r="AV77" s="97"/>
      <c r="AW77" s="97"/>
      <c r="AX77" s="97"/>
      <c r="AY77" s="97"/>
      <c r="AZ77" s="97"/>
      <c r="BA77" s="97"/>
    </row>
    <row r="78" spans="2:82" s="21" customFormat="1" ht="18" customHeight="1" x14ac:dyDescent="0.15">
      <c r="B78" s="73" t="s">
        <v>52</v>
      </c>
      <c r="C78" s="74"/>
      <c r="D78" s="74"/>
      <c r="E78" s="74"/>
      <c r="F78" s="74"/>
      <c r="G78" s="74"/>
      <c r="H78" s="74"/>
      <c r="I78" s="73">
        <v>16800000</v>
      </c>
      <c r="J78" s="74"/>
      <c r="K78" s="74"/>
      <c r="L78" s="75"/>
      <c r="M78" s="73">
        <v>7500000</v>
      </c>
      <c r="N78" s="74"/>
      <c r="O78" s="74"/>
      <c r="P78" s="75"/>
      <c r="Q78" s="48">
        <f>SUM(I78:P79)</f>
        <v>24300000</v>
      </c>
      <c r="R78" s="49"/>
      <c r="S78" s="49"/>
      <c r="T78" s="64"/>
      <c r="U78" s="73">
        <v>0</v>
      </c>
      <c r="V78" s="74"/>
      <c r="W78" s="75"/>
      <c r="X78" s="73">
        <v>0</v>
      </c>
      <c r="Y78" s="74"/>
      <c r="Z78" s="75"/>
      <c r="AA78" s="73">
        <f>SUM(Q78:Z79)</f>
        <v>24300000</v>
      </c>
      <c r="AB78" s="74"/>
      <c r="AC78" s="74"/>
      <c r="AD78" s="74"/>
      <c r="AE78" s="85">
        <v>24300000</v>
      </c>
      <c r="AF78" s="85"/>
      <c r="AG78" s="85"/>
      <c r="AH78" s="85"/>
      <c r="AI78" s="73">
        <f>AE78-AA78</f>
        <v>0</v>
      </c>
      <c r="AJ78" s="74"/>
      <c r="AK78" s="74"/>
      <c r="AL78" s="74"/>
      <c r="AM78" s="97"/>
      <c r="AN78" s="97"/>
      <c r="AO78" s="97"/>
      <c r="AP78" s="97"/>
      <c r="AQ78" s="97"/>
      <c r="AR78" s="97"/>
      <c r="AS78" s="97"/>
      <c r="AT78" s="97"/>
      <c r="AU78" s="97"/>
      <c r="AV78" s="97"/>
      <c r="AW78" s="97"/>
      <c r="AX78" s="97"/>
      <c r="AY78" s="97"/>
      <c r="AZ78" s="97"/>
      <c r="BA78" s="97"/>
    </row>
    <row r="79" spans="2:82" s="21" customFormat="1" ht="18" customHeight="1" x14ac:dyDescent="0.15">
      <c r="B79" s="76"/>
      <c r="C79" s="77"/>
      <c r="D79" s="77"/>
      <c r="E79" s="77"/>
      <c r="F79" s="77"/>
      <c r="G79" s="77"/>
      <c r="H79" s="77"/>
      <c r="I79" s="76"/>
      <c r="J79" s="77"/>
      <c r="K79" s="77"/>
      <c r="L79" s="78"/>
      <c r="M79" s="76"/>
      <c r="N79" s="77"/>
      <c r="O79" s="77"/>
      <c r="P79" s="78"/>
      <c r="Q79" s="50"/>
      <c r="R79" s="51"/>
      <c r="S79" s="51"/>
      <c r="T79" s="65"/>
      <c r="U79" s="76"/>
      <c r="V79" s="77"/>
      <c r="W79" s="78"/>
      <c r="X79" s="76"/>
      <c r="Y79" s="77"/>
      <c r="Z79" s="78"/>
      <c r="AA79" s="76"/>
      <c r="AB79" s="77"/>
      <c r="AC79" s="77"/>
      <c r="AD79" s="77"/>
      <c r="AE79" s="85"/>
      <c r="AF79" s="85"/>
      <c r="AG79" s="85"/>
      <c r="AH79" s="85"/>
      <c r="AI79" s="76"/>
      <c r="AJ79" s="77"/>
      <c r="AK79" s="77"/>
      <c r="AL79" s="77"/>
      <c r="AM79" s="97"/>
      <c r="AN79" s="97"/>
      <c r="AO79" s="97"/>
      <c r="AP79" s="97"/>
      <c r="AQ79" s="97"/>
      <c r="AR79" s="97"/>
      <c r="AS79" s="97"/>
      <c r="AT79" s="97"/>
      <c r="AU79" s="97"/>
      <c r="AV79" s="97"/>
      <c r="AW79" s="97"/>
      <c r="AX79" s="97"/>
      <c r="AY79" s="97"/>
      <c r="AZ79" s="97"/>
      <c r="BA79" s="97"/>
    </row>
    <row r="80" spans="2:82" s="21" customFormat="1" ht="13.5" customHeight="1" x14ac:dyDescent="0.15">
      <c r="B80" s="22"/>
      <c r="C80" s="22"/>
      <c r="D80" s="22"/>
      <c r="E80" s="22"/>
      <c r="F80" s="22"/>
      <c r="G80" s="22"/>
      <c r="H80" s="22"/>
      <c r="I80" s="22"/>
      <c r="J80" s="22"/>
      <c r="K80" s="22"/>
      <c r="L80" s="22"/>
      <c r="M80" s="22"/>
      <c r="N80" s="22"/>
      <c r="O80" s="22"/>
      <c r="P80" s="22"/>
      <c r="Q80" s="22"/>
      <c r="R80" s="22"/>
      <c r="S80" s="22"/>
      <c r="T80" s="22"/>
      <c r="U80" s="22"/>
      <c r="V80" s="22"/>
      <c r="W80" s="27"/>
      <c r="X80" s="27"/>
      <c r="Y80" s="27"/>
      <c r="Z80" s="27"/>
      <c r="AA80" s="27"/>
      <c r="AB80" s="27"/>
      <c r="AC80" s="27"/>
      <c r="AD80" s="27"/>
      <c r="AE80" s="27"/>
      <c r="AF80" s="27"/>
      <c r="AG80" s="27"/>
      <c r="AH80" s="27"/>
      <c r="AI80" s="22"/>
      <c r="AJ80" s="22"/>
      <c r="AK80" s="22"/>
      <c r="AL80" s="22"/>
      <c r="AM80" s="22"/>
      <c r="AN80" s="22"/>
      <c r="AO80" s="22"/>
      <c r="AP80" s="22"/>
      <c r="AQ80" s="22"/>
      <c r="AR80" s="22"/>
      <c r="AS80" s="28"/>
      <c r="AT80" s="28"/>
      <c r="AU80" s="28"/>
      <c r="AV80" s="28"/>
      <c r="AW80" s="28"/>
      <c r="AX80" s="28"/>
      <c r="AY80" s="28"/>
      <c r="AZ80" s="28"/>
      <c r="BA80" s="28"/>
    </row>
    <row r="81" spans="2:91" ht="13.5" customHeight="1" x14ac:dyDescent="0.15">
      <c r="B81" s="130" t="s">
        <v>13</v>
      </c>
      <c r="C81" s="130"/>
      <c r="D81" s="130"/>
      <c r="E81" s="130"/>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CM81" s="21"/>
    </row>
    <row r="82" spans="2:91" ht="13.5" customHeight="1" x14ac:dyDescent="0.15">
      <c r="B82" s="131"/>
      <c r="C82" s="131"/>
      <c r="D82" s="131"/>
      <c r="E82" s="131"/>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32"/>
      <c r="AU82" s="132" t="s">
        <v>47</v>
      </c>
      <c r="AV82" s="132"/>
      <c r="AW82" s="132"/>
      <c r="AX82" s="132"/>
      <c r="AY82" s="132"/>
      <c r="AZ82" s="132"/>
      <c r="BA82" s="132"/>
      <c r="CM82" s="21"/>
    </row>
    <row r="83" spans="2:91" s="21" customFormat="1" ht="13.5" customHeight="1" x14ac:dyDescent="0.15">
      <c r="B83" s="113" t="s">
        <v>2</v>
      </c>
      <c r="C83" s="114"/>
      <c r="D83" s="114"/>
      <c r="E83" s="114"/>
      <c r="F83" s="114"/>
      <c r="G83" s="114"/>
      <c r="H83" s="115"/>
      <c r="I83" s="113" t="s">
        <v>36</v>
      </c>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3" t="s">
        <v>4</v>
      </c>
      <c r="AG83" s="114"/>
      <c r="AH83" s="114"/>
      <c r="AI83" s="115"/>
      <c r="AJ83" s="122" t="s">
        <v>37</v>
      </c>
      <c r="AK83" s="123"/>
      <c r="AL83" s="123"/>
      <c r="AM83" s="123"/>
      <c r="AN83" s="123"/>
      <c r="AO83" s="124"/>
      <c r="AP83" s="113" t="s">
        <v>17</v>
      </c>
      <c r="AQ83" s="114"/>
      <c r="AR83" s="115"/>
      <c r="AS83" s="113" t="s">
        <v>38</v>
      </c>
      <c r="AT83" s="114"/>
      <c r="AU83" s="114"/>
      <c r="AV83" s="114"/>
      <c r="AW83" s="114"/>
      <c r="AX83" s="114"/>
      <c r="AY83" s="114"/>
      <c r="AZ83" s="114"/>
      <c r="BA83" s="115"/>
    </row>
    <row r="84" spans="2:91" s="21" customFormat="1" ht="13.5" customHeight="1" x14ac:dyDescent="0.15">
      <c r="B84" s="116"/>
      <c r="C84" s="117"/>
      <c r="D84" s="117"/>
      <c r="E84" s="117"/>
      <c r="F84" s="117"/>
      <c r="G84" s="117"/>
      <c r="H84" s="118"/>
      <c r="I84" s="119"/>
      <c r="J84" s="120"/>
      <c r="K84" s="120"/>
      <c r="L84" s="120"/>
      <c r="M84" s="120"/>
      <c r="N84" s="120"/>
      <c r="O84" s="120"/>
      <c r="P84" s="120"/>
      <c r="Q84" s="120"/>
      <c r="R84" s="120"/>
      <c r="S84" s="120"/>
      <c r="T84" s="120"/>
      <c r="U84" s="120"/>
      <c r="V84" s="120"/>
      <c r="W84" s="120"/>
      <c r="X84" s="120"/>
      <c r="Y84" s="120"/>
      <c r="Z84" s="120"/>
      <c r="AA84" s="120"/>
      <c r="AB84" s="120"/>
      <c r="AC84" s="120"/>
      <c r="AD84" s="120"/>
      <c r="AE84" s="120"/>
      <c r="AF84" s="116"/>
      <c r="AG84" s="117"/>
      <c r="AH84" s="117"/>
      <c r="AI84" s="118"/>
      <c r="AJ84" s="125"/>
      <c r="AK84" s="126"/>
      <c r="AL84" s="126"/>
      <c r="AM84" s="126"/>
      <c r="AN84" s="126"/>
      <c r="AO84" s="127"/>
      <c r="AP84" s="116"/>
      <c r="AQ84" s="117"/>
      <c r="AR84" s="118"/>
      <c r="AS84" s="116"/>
      <c r="AT84" s="117"/>
      <c r="AU84" s="117"/>
      <c r="AV84" s="117"/>
      <c r="AW84" s="117"/>
      <c r="AX84" s="117"/>
      <c r="AY84" s="117"/>
      <c r="AZ84" s="117"/>
      <c r="BA84" s="118"/>
    </row>
    <row r="85" spans="2:91" s="21" customFormat="1" ht="13.5" customHeight="1" x14ac:dyDescent="0.15">
      <c r="B85" s="116"/>
      <c r="C85" s="117"/>
      <c r="D85" s="117"/>
      <c r="E85" s="117"/>
      <c r="F85" s="117"/>
      <c r="G85" s="117"/>
      <c r="H85" s="118"/>
      <c r="I85" s="113" t="s">
        <v>19</v>
      </c>
      <c r="J85" s="114"/>
      <c r="K85" s="114"/>
      <c r="L85" s="115"/>
      <c r="M85" s="113" t="s">
        <v>20</v>
      </c>
      <c r="N85" s="114"/>
      <c r="O85" s="114"/>
      <c r="P85" s="115"/>
      <c r="Q85" s="122" t="s">
        <v>39</v>
      </c>
      <c r="R85" s="123"/>
      <c r="S85" s="97" t="s">
        <v>24</v>
      </c>
      <c r="T85" s="97"/>
      <c r="U85" s="97"/>
      <c r="V85" s="97"/>
      <c r="W85" s="86" t="s">
        <v>40</v>
      </c>
      <c r="X85" s="87"/>
      <c r="Y85" s="88"/>
      <c r="Z85" s="95" t="s">
        <v>41</v>
      </c>
      <c r="AA85" s="96"/>
      <c r="AB85" s="97" t="s">
        <v>25</v>
      </c>
      <c r="AC85" s="97"/>
      <c r="AD85" s="97"/>
      <c r="AE85" s="98"/>
      <c r="AF85" s="116"/>
      <c r="AG85" s="117"/>
      <c r="AH85" s="117"/>
      <c r="AI85" s="118"/>
      <c r="AJ85" s="89" t="s">
        <v>42</v>
      </c>
      <c r="AK85" s="91"/>
      <c r="AL85" s="105" t="s">
        <v>50</v>
      </c>
      <c r="AM85" s="106"/>
      <c r="AN85" s="109" t="s">
        <v>43</v>
      </c>
      <c r="AO85" s="110"/>
      <c r="AP85" s="116"/>
      <c r="AQ85" s="117"/>
      <c r="AR85" s="118"/>
      <c r="AS85" s="116"/>
      <c r="AT85" s="117"/>
      <c r="AU85" s="117"/>
      <c r="AV85" s="117"/>
      <c r="AW85" s="117"/>
      <c r="AX85" s="117"/>
      <c r="AY85" s="117"/>
      <c r="AZ85" s="117"/>
      <c r="BA85" s="118"/>
    </row>
    <row r="86" spans="2:91" s="21" customFormat="1" ht="13.5" customHeight="1" x14ac:dyDescent="0.15">
      <c r="B86" s="116"/>
      <c r="C86" s="117"/>
      <c r="D86" s="117"/>
      <c r="E86" s="117"/>
      <c r="F86" s="117"/>
      <c r="G86" s="117"/>
      <c r="H86" s="118"/>
      <c r="I86" s="116"/>
      <c r="J86" s="117"/>
      <c r="K86" s="117"/>
      <c r="L86" s="118"/>
      <c r="M86" s="116"/>
      <c r="N86" s="117"/>
      <c r="O86" s="117"/>
      <c r="P86" s="118"/>
      <c r="Q86" s="128"/>
      <c r="R86" s="129"/>
      <c r="S86" s="97"/>
      <c r="T86" s="97"/>
      <c r="U86" s="97"/>
      <c r="V86" s="97"/>
      <c r="W86" s="89"/>
      <c r="X86" s="90"/>
      <c r="Y86" s="91"/>
      <c r="Z86" s="95"/>
      <c r="AA86" s="96"/>
      <c r="AB86" s="97"/>
      <c r="AC86" s="97"/>
      <c r="AD86" s="97"/>
      <c r="AE86" s="98"/>
      <c r="AF86" s="116"/>
      <c r="AG86" s="117"/>
      <c r="AH86" s="117"/>
      <c r="AI86" s="118"/>
      <c r="AJ86" s="89"/>
      <c r="AK86" s="91"/>
      <c r="AL86" s="105"/>
      <c r="AM86" s="106"/>
      <c r="AN86" s="109"/>
      <c r="AO86" s="110"/>
      <c r="AP86" s="116"/>
      <c r="AQ86" s="117"/>
      <c r="AR86" s="118"/>
      <c r="AS86" s="116"/>
      <c r="AT86" s="117"/>
      <c r="AU86" s="117"/>
      <c r="AV86" s="117"/>
      <c r="AW86" s="117"/>
      <c r="AX86" s="117"/>
      <c r="AY86" s="117"/>
      <c r="AZ86" s="117"/>
      <c r="BA86" s="118"/>
    </row>
    <row r="87" spans="2:91" s="21" customFormat="1" ht="13.5" customHeight="1" x14ac:dyDescent="0.15">
      <c r="B87" s="116"/>
      <c r="C87" s="117"/>
      <c r="D87" s="117"/>
      <c r="E87" s="117"/>
      <c r="F87" s="117"/>
      <c r="G87" s="117"/>
      <c r="H87" s="118"/>
      <c r="I87" s="116"/>
      <c r="J87" s="117"/>
      <c r="K87" s="117"/>
      <c r="L87" s="118"/>
      <c r="M87" s="116"/>
      <c r="N87" s="117"/>
      <c r="O87" s="117"/>
      <c r="P87" s="118"/>
      <c r="Q87" s="128"/>
      <c r="R87" s="129"/>
      <c r="S87" s="97"/>
      <c r="T87" s="97"/>
      <c r="U87" s="97"/>
      <c r="V87" s="97"/>
      <c r="W87" s="89"/>
      <c r="X87" s="90"/>
      <c r="Y87" s="91"/>
      <c r="Z87" s="95"/>
      <c r="AA87" s="96"/>
      <c r="AB87" s="97"/>
      <c r="AC87" s="97"/>
      <c r="AD87" s="97"/>
      <c r="AE87" s="98"/>
      <c r="AF87" s="116"/>
      <c r="AG87" s="117"/>
      <c r="AH87" s="117"/>
      <c r="AI87" s="118"/>
      <c r="AJ87" s="89"/>
      <c r="AK87" s="91"/>
      <c r="AL87" s="105"/>
      <c r="AM87" s="106"/>
      <c r="AN87" s="109"/>
      <c r="AO87" s="110"/>
      <c r="AP87" s="116"/>
      <c r="AQ87" s="117"/>
      <c r="AR87" s="118"/>
      <c r="AS87" s="116"/>
      <c r="AT87" s="117"/>
      <c r="AU87" s="117"/>
      <c r="AV87" s="117"/>
      <c r="AW87" s="117"/>
      <c r="AX87" s="117"/>
      <c r="AY87" s="117"/>
      <c r="AZ87" s="117"/>
      <c r="BA87" s="118"/>
    </row>
    <row r="88" spans="2:91" s="21" customFormat="1" ht="13.5" customHeight="1" x14ac:dyDescent="0.15">
      <c r="B88" s="119"/>
      <c r="C88" s="120"/>
      <c r="D88" s="120"/>
      <c r="E88" s="120"/>
      <c r="F88" s="120"/>
      <c r="G88" s="120"/>
      <c r="H88" s="121"/>
      <c r="I88" s="119"/>
      <c r="J88" s="120"/>
      <c r="K88" s="120"/>
      <c r="L88" s="121"/>
      <c r="M88" s="119"/>
      <c r="N88" s="120"/>
      <c r="O88" s="120"/>
      <c r="P88" s="121"/>
      <c r="Q88" s="125"/>
      <c r="R88" s="126"/>
      <c r="S88" s="97"/>
      <c r="T88" s="97"/>
      <c r="U88" s="97"/>
      <c r="V88" s="97"/>
      <c r="W88" s="92"/>
      <c r="X88" s="93"/>
      <c r="Y88" s="94"/>
      <c r="Z88" s="95"/>
      <c r="AA88" s="96"/>
      <c r="AB88" s="97"/>
      <c r="AC88" s="97"/>
      <c r="AD88" s="97"/>
      <c r="AE88" s="98"/>
      <c r="AF88" s="119"/>
      <c r="AG88" s="120"/>
      <c r="AH88" s="120"/>
      <c r="AI88" s="121"/>
      <c r="AJ88" s="92"/>
      <c r="AK88" s="94"/>
      <c r="AL88" s="107"/>
      <c r="AM88" s="108"/>
      <c r="AN88" s="111"/>
      <c r="AO88" s="112"/>
      <c r="AP88" s="119"/>
      <c r="AQ88" s="120"/>
      <c r="AR88" s="121"/>
      <c r="AS88" s="119"/>
      <c r="AT88" s="120"/>
      <c r="AU88" s="120"/>
      <c r="AV88" s="120"/>
      <c r="AW88" s="120"/>
      <c r="AX88" s="120"/>
      <c r="AY88" s="120"/>
      <c r="AZ88" s="120"/>
      <c r="BA88" s="121"/>
    </row>
    <row r="89" spans="2:91" s="21" customFormat="1" ht="18" customHeight="1" x14ac:dyDescent="0.15">
      <c r="B89" s="73" t="s">
        <v>44</v>
      </c>
      <c r="C89" s="74"/>
      <c r="D89" s="74"/>
      <c r="E89" s="74"/>
      <c r="F89" s="74"/>
      <c r="G89" s="74"/>
      <c r="H89" s="75"/>
      <c r="I89" s="79">
        <f>SUM(I91:L94)</f>
        <v>107979000</v>
      </c>
      <c r="J89" s="80"/>
      <c r="K89" s="80"/>
      <c r="L89" s="81"/>
      <c r="M89" s="79">
        <f>SUM(M91:P94)</f>
        <v>15092000</v>
      </c>
      <c r="N89" s="80"/>
      <c r="O89" s="80"/>
      <c r="P89" s="81"/>
      <c r="Q89" s="79">
        <f>SUM(Q91:R94)</f>
        <v>0</v>
      </c>
      <c r="R89" s="80"/>
      <c r="S89" s="66">
        <f>SUM(S91:V94)</f>
        <v>123071000</v>
      </c>
      <c r="T89" s="66"/>
      <c r="U89" s="66"/>
      <c r="V89" s="66"/>
      <c r="W89" s="79">
        <f>SUM(W91:Y94)</f>
        <v>0</v>
      </c>
      <c r="X89" s="80"/>
      <c r="Y89" s="81"/>
      <c r="Z89" s="79">
        <f>SUM(Z91:AA94)</f>
        <v>0</v>
      </c>
      <c r="AA89" s="80"/>
      <c r="AB89" s="66">
        <f>SUM(AB91:AE94)</f>
        <v>123071000</v>
      </c>
      <c r="AC89" s="66"/>
      <c r="AD89" s="66"/>
      <c r="AE89" s="66"/>
      <c r="AF89" s="79">
        <f>SUM(AF91:AI94)</f>
        <v>98387448</v>
      </c>
      <c r="AG89" s="80"/>
      <c r="AH89" s="80"/>
      <c r="AI89" s="80"/>
      <c r="AJ89" s="79">
        <f>SUM(AJ91:AK94)</f>
        <v>22289700</v>
      </c>
      <c r="AK89" s="81"/>
      <c r="AL89" s="48">
        <f>SUM(AL91:AM94)</f>
        <v>0</v>
      </c>
      <c r="AM89" s="64"/>
      <c r="AN89" s="66">
        <f>SUM(AN91:AO94)</f>
        <v>22289700</v>
      </c>
      <c r="AO89" s="66"/>
      <c r="AP89" s="79">
        <f>SUM(AP91:AR94)</f>
        <v>2393852</v>
      </c>
      <c r="AQ89" s="80"/>
      <c r="AR89" s="80"/>
      <c r="AS89" s="52"/>
      <c r="AT89" s="53"/>
      <c r="AU89" s="53"/>
      <c r="AV89" s="53"/>
      <c r="AW89" s="53"/>
      <c r="AX89" s="53"/>
      <c r="AY89" s="53"/>
      <c r="AZ89" s="53"/>
      <c r="BA89" s="54"/>
    </row>
    <row r="90" spans="2:91" s="21" customFormat="1" ht="18" customHeight="1" x14ac:dyDescent="0.15">
      <c r="B90" s="76"/>
      <c r="C90" s="77"/>
      <c r="D90" s="77"/>
      <c r="E90" s="77"/>
      <c r="F90" s="77"/>
      <c r="G90" s="77"/>
      <c r="H90" s="78"/>
      <c r="I90" s="82"/>
      <c r="J90" s="83"/>
      <c r="K90" s="83"/>
      <c r="L90" s="84"/>
      <c r="M90" s="82"/>
      <c r="N90" s="83"/>
      <c r="O90" s="83"/>
      <c r="P90" s="84"/>
      <c r="Q90" s="82"/>
      <c r="R90" s="83"/>
      <c r="S90" s="66"/>
      <c r="T90" s="66"/>
      <c r="U90" s="66"/>
      <c r="V90" s="66"/>
      <c r="W90" s="82"/>
      <c r="X90" s="83"/>
      <c r="Y90" s="84"/>
      <c r="Z90" s="82"/>
      <c r="AA90" s="83"/>
      <c r="AB90" s="66"/>
      <c r="AC90" s="66"/>
      <c r="AD90" s="66"/>
      <c r="AE90" s="66"/>
      <c r="AF90" s="82"/>
      <c r="AG90" s="83"/>
      <c r="AH90" s="83"/>
      <c r="AI90" s="83"/>
      <c r="AJ90" s="82"/>
      <c r="AK90" s="84"/>
      <c r="AL90" s="50"/>
      <c r="AM90" s="65"/>
      <c r="AN90" s="66"/>
      <c r="AO90" s="66"/>
      <c r="AP90" s="82"/>
      <c r="AQ90" s="83"/>
      <c r="AR90" s="83"/>
      <c r="AS90" s="55"/>
      <c r="AT90" s="56"/>
      <c r="AU90" s="56"/>
      <c r="AV90" s="56"/>
      <c r="AW90" s="56"/>
      <c r="AX90" s="56"/>
      <c r="AY90" s="56"/>
      <c r="AZ90" s="56"/>
      <c r="BA90" s="57"/>
    </row>
    <row r="91" spans="2:91" s="21" customFormat="1" ht="18" customHeight="1" x14ac:dyDescent="0.15">
      <c r="B91" s="73" t="s">
        <v>45</v>
      </c>
      <c r="C91" s="74"/>
      <c r="D91" s="74"/>
      <c r="E91" s="74"/>
      <c r="F91" s="74"/>
      <c r="G91" s="74"/>
      <c r="H91" s="75"/>
      <c r="I91" s="48">
        <v>76883000</v>
      </c>
      <c r="J91" s="49"/>
      <c r="K91" s="49"/>
      <c r="L91" s="64"/>
      <c r="M91" s="48">
        <v>15092000</v>
      </c>
      <c r="N91" s="49"/>
      <c r="O91" s="49"/>
      <c r="P91" s="64"/>
      <c r="Q91" s="79">
        <f>SUM(Q95:R96)</f>
        <v>0</v>
      </c>
      <c r="R91" s="80"/>
      <c r="S91" s="62">
        <f>SUM(I91:R92)</f>
        <v>91975000</v>
      </c>
      <c r="T91" s="62"/>
      <c r="U91" s="62"/>
      <c r="V91" s="62"/>
      <c r="W91" s="62">
        <v>0</v>
      </c>
      <c r="X91" s="62"/>
      <c r="Y91" s="62"/>
      <c r="Z91" s="48">
        <v>0</v>
      </c>
      <c r="AA91" s="49"/>
      <c r="AB91" s="62">
        <f>SUM(S91:AA92)</f>
        <v>91975000</v>
      </c>
      <c r="AC91" s="62"/>
      <c r="AD91" s="62"/>
      <c r="AE91" s="62"/>
      <c r="AF91" s="48">
        <v>67292100</v>
      </c>
      <c r="AG91" s="49"/>
      <c r="AH91" s="49"/>
      <c r="AI91" s="64"/>
      <c r="AJ91" s="62">
        <v>22289700</v>
      </c>
      <c r="AK91" s="62"/>
      <c r="AL91" s="48">
        <v>0</v>
      </c>
      <c r="AM91" s="64"/>
      <c r="AN91" s="66">
        <f>SUM(AJ91:AM92)</f>
        <v>22289700</v>
      </c>
      <c r="AO91" s="66"/>
      <c r="AP91" s="48">
        <f>AB91-AF91-AN91</f>
        <v>2393200</v>
      </c>
      <c r="AQ91" s="49"/>
      <c r="AR91" s="49"/>
      <c r="AS91" s="99" t="s">
        <v>62</v>
      </c>
      <c r="AT91" s="100"/>
      <c r="AU91" s="100"/>
      <c r="AV91" s="100"/>
      <c r="AW91" s="100"/>
      <c r="AX91" s="100"/>
      <c r="AY91" s="100"/>
      <c r="AZ91" s="100"/>
      <c r="BA91" s="101"/>
    </row>
    <row r="92" spans="2:91" s="21" customFormat="1" ht="18" customHeight="1" x14ac:dyDescent="0.15">
      <c r="B92" s="76"/>
      <c r="C92" s="77"/>
      <c r="D92" s="77"/>
      <c r="E92" s="77"/>
      <c r="F92" s="77"/>
      <c r="G92" s="77"/>
      <c r="H92" s="78"/>
      <c r="I92" s="50"/>
      <c r="J92" s="51"/>
      <c r="K92" s="51"/>
      <c r="L92" s="65"/>
      <c r="M92" s="50"/>
      <c r="N92" s="51"/>
      <c r="O92" s="51"/>
      <c r="P92" s="65"/>
      <c r="Q92" s="82"/>
      <c r="R92" s="83"/>
      <c r="S92" s="62"/>
      <c r="T92" s="62"/>
      <c r="U92" s="62"/>
      <c r="V92" s="62"/>
      <c r="W92" s="62"/>
      <c r="X92" s="62"/>
      <c r="Y92" s="62"/>
      <c r="Z92" s="50"/>
      <c r="AA92" s="51"/>
      <c r="AB92" s="62"/>
      <c r="AC92" s="62"/>
      <c r="AD92" s="62"/>
      <c r="AE92" s="62"/>
      <c r="AF92" s="50"/>
      <c r="AG92" s="51"/>
      <c r="AH92" s="51"/>
      <c r="AI92" s="65"/>
      <c r="AJ92" s="62"/>
      <c r="AK92" s="62"/>
      <c r="AL92" s="50"/>
      <c r="AM92" s="65"/>
      <c r="AN92" s="66"/>
      <c r="AO92" s="66"/>
      <c r="AP92" s="50"/>
      <c r="AQ92" s="51"/>
      <c r="AR92" s="51"/>
      <c r="AS92" s="204" t="s">
        <v>69</v>
      </c>
      <c r="AT92" s="205"/>
      <c r="AU92" s="205"/>
      <c r="AV92" s="205"/>
      <c r="AW92" s="205"/>
      <c r="AX92" s="205"/>
      <c r="AY92" s="205"/>
      <c r="AZ92" s="205"/>
      <c r="BA92" s="206"/>
      <c r="BC92" s="21" t="s">
        <v>64</v>
      </c>
    </row>
    <row r="93" spans="2:91" s="21" customFormat="1" ht="18" customHeight="1" x14ac:dyDescent="0.15">
      <c r="B93" s="67" t="s">
        <v>46</v>
      </c>
      <c r="C93" s="68"/>
      <c r="D93" s="68"/>
      <c r="E93" s="68"/>
      <c r="F93" s="68"/>
      <c r="G93" s="68"/>
      <c r="H93" s="69"/>
      <c r="I93" s="48">
        <v>31096000</v>
      </c>
      <c r="J93" s="49"/>
      <c r="K93" s="49"/>
      <c r="L93" s="64"/>
      <c r="M93" s="48">
        <v>0</v>
      </c>
      <c r="N93" s="49"/>
      <c r="O93" s="49"/>
      <c r="P93" s="64"/>
      <c r="Q93" s="79">
        <f>SUM(Q95:R95)</f>
        <v>0</v>
      </c>
      <c r="R93" s="80"/>
      <c r="S93" s="48">
        <f>SUM(I93:R94)</f>
        <v>31096000</v>
      </c>
      <c r="T93" s="49"/>
      <c r="U93" s="49"/>
      <c r="V93" s="64"/>
      <c r="W93" s="62">
        <v>0</v>
      </c>
      <c r="X93" s="62"/>
      <c r="Y93" s="62"/>
      <c r="Z93" s="62">
        <v>0</v>
      </c>
      <c r="AA93" s="63"/>
      <c r="AB93" s="62">
        <f>SUM(S93:AA94)</f>
        <v>31096000</v>
      </c>
      <c r="AC93" s="62"/>
      <c r="AD93" s="62"/>
      <c r="AE93" s="62"/>
      <c r="AF93" s="48">
        <v>31095348</v>
      </c>
      <c r="AG93" s="49"/>
      <c r="AH93" s="49"/>
      <c r="AI93" s="64"/>
      <c r="AJ93" s="62">
        <v>0</v>
      </c>
      <c r="AK93" s="62"/>
      <c r="AL93" s="48">
        <v>0</v>
      </c>
      <c r="AM93" s="64"/>
      <c r="AN93" s="66">
        <f>SUM(AJ93:AM94)</f>
        <v>0</v>
      </c>
      <c r="AO93" s="66"/>
      <c r="AP93" s="48">
        <f>AB93-AF93-AN93</f>
        <v>652</v>
      </c>
      <c r="AQ93" s="49"/>
      <c r="AR93" s="49"/>
      <c r="AS93" s="52"/>
      <c r="AT93" s="53"/>
      <c r="AU93" s="53"/>
      <c r="AV93" s="53"/>
      <c r="AW93" s="53"/>
      <c r="AX93" s="53"/>
      <c r="AY93" s="53"/>
      <c r="AZ93" s="53"/>
      <c r="BA93" s="54"/>
    </row>
    <row r="94" spans="2:91" s="21" customFormat="1" ht="18" customHeight="1" x14ac:dyDescent="0.15">
      <c r="B94" s="70"/>
      <c r="C94" s="71"/>
      <c r="D94" s="71"/>
      <c r="E94" s="71"/>
      <c r="F94" s="71"/>
      <c r="G94" s="71"/>
      <c r="H94" s="72"/>
      <c r="I94" s="50"/>
      <c r="J94" s="51"/>
      <c r="K94" s="51"/>
      <c r="L94" s="65"/>
      <c r="M94" s="50"/>
      <c r="N94" s="51"/>
      <c r="O94" s="51"/>
      <c r="P94" s="65"/>
      <c r="Q94" s="82"/>
      <c r="R94" s="83"/>
      <c r="S94" s="50"/>
      <c r="T94" s="51"/>
      <c r="U94" s="51"/>
      <c r="V94" s="65"/>
      <c r="W94" s="62"/>
      <c r="X94" s="62"/>
      <c r="Y94" s="62"/>
      <c r="Z94" s="62"/>
      <c r="AA94" s="63"/>
      <c r="AB94" s="62"/>
      <c r="AC94" s="62"/>
      <c r="AD94" s="62"/>
      <c r="AE94" s="62"/>
      <c r="AF94" s="50"/>
      <c r="AG94" s="51"/>
      <c r="AH94" s="51"/>
      <c r="AI94" s="65"/>
      <c r="AJ94" s="62"/>
      <c r="AK94" s="62"/>
      <c r="AL94" s="50"/>
      <c r="AM94" s="65"/>
      <c r="AN94" s="66"/>
      <c r="AO94" s="66"/>
      <c r="AP94" s="50"/>
      <c r="AQ94" s="51"/>
      <c r="AR94" s="51"/>
      <c r="AS94" s="55"/>
      <c r="AT94" s="56"/>
      <c r="AU94" s="56"/>
      <c r="AV94" s="56"/>
      <c r="AW94" s="56"/>
      <c r="AX94" s="56"/>
      <c r="AY94" s="56"/>
      <c r="AZ94" s="56"/>
      <c r="BA94" s="57"/>
    </row>
    <row r="95" spans="2:91" ht="15" customHeight="1" x14ac:dyDescent="0.15">
      <c r="B95" s="58" t="s">
        <v>70</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C95" s="19" t="s">
        <v>66</v>
      </c>
    </row>
    <row r="96" spans="2:91" ht="15" customHeight="1" x14ac:dyDescent="0.1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C96" s="19">
        <f>AE72-AF89</f>
        <v>-42675983</v>
      </c>
    </row>
    <row r="97" spans="2:53" ht="15" customHeight="1" x14ac:dyDescent="0.15">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row>
    <row r="98" spans="2:53" ht="13.5" customHeight="1" x14ac:dyDescent="0.1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row>
    <row r="99" spans="2:53" s="18" customFormat="1" ht="13.5" customHeight="1" x14ac:dyDescent="0.15"/>
    <row r="100" spans="2:53" s="18" customFormat="1" ht="13.5" customHeight="1" x14ac:dyDescent="0.15"/>
    <row r="101" spans="2:53" s="18" customFormat="1" ht="13.5" customHeight="1" x14ac:dyDescent="0.15"/>
    <row r="102" spans="2:53" s="18" customFormat="1" ht="13.5" customHeight="1" x14ac:dyDescent="0.15"/>
    <row r="103" spans="2:53" s="18" customFormat="1" ht="13.5" customHeight="1" x14ac:dyDescent="0.15"/>
    <row r="104" spans="2:53" ht="18" customHeight="1" x14ac:dyDescent="0.15">
      <c r="D104" s="60"/>
      <c r="E104" s="60"/>
      <c r="F104" s="60"/>
    </row>
    <row r="105" spans="2:53" ht="18" customHeight="1" x14ac:dyDescent="0.15"/>
    <row r="106" spans="2:53" ht="18" customHeight="1" x14ac:dyDescent="0.15"/>
    <row r="107" spans="2:53" ht="18" customHeight="1" x14ac:dyDescent="0.15"/>
    <row r="108" spans="2:53" ht="18" customHeight="1" x14ac:dyDescent="0.15"/>
    <row r="109" spans="2:53" ht="18" customHeight="1" x14ac:dyDescent="0.15"/>
    <row r="110" spans="2:53" ht="18" customHeight="1" x14ac:dyDescent="0.15"/>
    <row r="111" spans="2:53" ht="18" customHeight="1" x14ac:dyDescent="0.15"/>
    <row r="112" spans="2:53"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6">
    <mergeCell ref="D104:F104"/>
    <mergeCell ref="B95:BA97"/>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B45:H46"/>
    <mergeCell ref="I45:L46"/>
    <mergeCell ref="M45:P46"/>
    <mergeCell ref="Q45:R46"/>
    <mergeCell ref="S45:U46"/>
    <mergeCell ref="V45:W46"/>
    <mergeCell ref="X45:AA46"/>
    <mergeCell ref="V43:W44"/>
    <mergeCell ref="X43:AA44"/>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U68:W71"/>
    <mergeCell ref="X68:Z71"/>
    <mergeCell ref="AA68:AD71"/>
    <mergeCell ref="B72:H73"/>
    <mergeCell ref="I72:L73"/>
    <mergeCell ref="M72:P73"/>
    <mergeCell ref="Q72:T73"/>
    <mergeCell ref="U72:W73"/>
    <mergeCell ref="X72:Z73"/>
    <mergeCell ref="AA72:AD73"/>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91:AR92"/>
    <mergeCell ref="AS91:BA91"/>
    <mergeCell ref="AS92:BA92"/>
    <mergeCell ref="AP89:AR90"/>
    <mergeCell ref="AS89:BA90"/>
    <mergeCell ref="AF89:AI90"/>
    <mergeCell ref="AJ89:AK90"/>
    <mergeCell ref="AL89:AM90"/>
    <mergeCell ref="AN89:AO90"/>
    <mergeCell ref="AP93:AR94"/>
    <mergeCell ref="AS93:BA94"/>
    <mergeCell ref="Z93:AA94"/>
    <mergeCell ref="AB93:AE94"/>
    <mergeCell ref="AF93:AI94"/>
    <mergeCell ref="AJ93:AK94"/>
    <mergeCell ref="AL93:AM94"/>
    <mergeCell ref="AN93:AO94"/>
    <mergeCell ref="B93:H94"/>
    <mergeCell ref="I93:L94"/>
    <mergeCell ref="M93:P94"/>
    <mergeCell ref="Q93:R94"/>
    <mergeCell ref="S93:V94"/>
    <mergeCell ref="W93:Y94"/>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49D1C237-A653-4CEC-A07A-684266B8B06F}">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1:CM904"/>
  <sheetViews>
    <sheetView showGridLines="0" showOutlineSymbols="0" view="pageBreakPreview" topLeftCell="A81" zoomScale="89" zoomScaleNormal="89" zoomScaleSheetLayoutView="89" workbookViewId="0">
      <selection activeCell="AJ91" sqref="AJ91:AK92"/>
    </sheetView>
  </sheetViews>
  <sheetFormatPr defaultRowHeight="13.5" x14ac:dyDescent="0.15"/>
  <cols>
    <col min="1" max="1" width="2.625" style="2" customWidth="1"/>
    <col min="2" max="15" width="3.125" style="2" customWidth="1"/>
    <col min="16" max="16" width="4.25" style="2" customWidth="1"/>
    <col min="17" max="37" width="3.125" style="2" customWidth="1"/>
    <col min="38" max="38" width="4.625" style="2" customWidth="1"/>
    <col min="39" max="42" width="3.125" style="2" customWidth="1"/>
    <col min="43" max="43" width="3.5" style="2" customWidth="1"/>
    <col min="44" max="53" width="3.125" style="2" customWidth="1"/>
    <col min="54" max="55" width="5.625" style="2" customWidth="1"/>
    <col min="56" max="100" width="2.625" style="2" customWidth="1"/>
    <col min="101" max="260" width="9" style="2"/>
    <col min="261" max="275" width="3.125" style="2" customWidth="1"/>
    <col min="276" max="276" width="5.5" style="2" customWidth="1"/>
    <col min="277" max="277" width="5.625" style="2" customWidth="1"/>
    <col min="278" max="293" width="3.125" style="2" customWidth="1"/>
    <col min="294" max="294" width="5.375" style="2" customWidth="1"/>
    <col min="295" max="296" width="3.125" style="2" customWidth="1"/>
    <col min="297" max="297" width="4.625" style="2" customWidth="1"/>
    <col min="298" max="298" width="3.5" style="2" customWidth="1"/>
    <col min="299" max="309" width="3.125" style="2" customWidth="1"/>
    <col min="310" max="311" width="5.625" style="2" customWidth="1"/>
    <col min="312" max="356" width="2.625" style="2" customWidth="1"/>
    <col min="357" max="516" width="9" style="2"/>
    <col min="517" max="531" width="3.125" style="2" customWidth="1"/>
    <col min="532" max="532" width="5.5" style="2" customWidth="1"/>
    <col min="533" max="533" width="5.625" style="2" customWidth="1"/>
    <col min="534" max="549" width="3.125" style="2" customWidth="1"/>
    <col min="550" max="550" width="5.375" style="2" customWidth="1"/>
    <col min="551" max="552" width="3.125" style="2" customWidth="1"/>
    <col min="553" max="553" width="4.625" style="2" customWidth="1"/>
    <col min="554" max="554" width="3.5" style="2" customWidth="1"/>
    <col min="555" max="565" width="3.125" style="2" customWidth="1"/>
    <col min="566" max="567" width="5.625" style="2" customWidth="1"/>
    <col min="568" max="612" width="2.625" style="2" customWidth="1"/>
    <col min="613" max="772" width="9" style="2"/>
    <col min="773" max="787" width="3.125" style="2" customWidth="1"/>
    <col min="788" max="788" width="5.5" style="2" customWidth="1"/>
    <col min="789" max="789" width="5.625" style="2" customWidth="1"/>
    <col min="790" max="805" width="3.125" style="2" customWidth="1"/>
    <col min="806" max="806" width="5.375" style="2" customWidth="1"/>
    <col min="807" max="808" width="3.125" style="2" customWidth="1"/>
    <col min="809" max="809" width="4.625" style="2" customWidth="1"/>
    <col min="810" max="810" width="3.5" style="2" customWidth="1"/>
    <col min="811" max="821" width="3.125" style="2" customWidth="1"/>
    <col min="822" max="823" width="5.625" style="2" customWidth="1"/>
    <col min="824" max="868" width="2.625" style="2" customWidth="1"/>
    <col min="869" max="1028" width="9" style="2"/>
    <col min="1029" max="1043" width="3.125" style="2" customWidth="1"/>
    <col min="1044" max="1044" width="5.5" style="2" customWidth="1"/>
    <col min="1045" max="1045" width="5.625" style="2" customWidth="1"/>
    <col min="1046" max="1061" width="3.125" style="2" customWidth="1"/>
    <col min="1062" max="1062" width="5.375" style="2" customWidth="1"/>
    <col min="1063" max="1064" width="3.125" style="2" customWidth="1"/>
    <col min="1065" max="1065" width="4.625" style="2" customWidth="1"/>
    <col min="1066" max="1066" width="3.5" style="2" customWidth="1"/>
    <col min="1067" max="1077" width="3.125" style="2" customWidth="1"/>
    <col min="1078" max="1079" width="5.625" style="2" customWidth="1"/>
    <col min="1080" max="1124" width="2.625" style="2" customWidth="1"/>
    <col min="1125" max="1284" width="9" style="2"/>
    <col min="1285" max="1299" width="3.125" style="2" customWidth="1"/>
    <col min="1300" max="1300" width="5.5" style="2" customWidth="1"/>
    <col min="1301" max="1301" width="5.625" style="2" customWidth="1"/>
    <col min="1302" max="1317" width="3.125" style="2" customWidth="1"/>
    <col min="1318" max="1318" width="5.375" style="2" customWidth="1"/>
    <col min="1319" max="1320" width="3.125" style="2" customWidth="1"/>
    <col min="1321" max="1321" width="4.625" style="2" customWidth="1"/>
    <col min="1322" max="1322" width="3.5" style="2" customWidth="1"/>
    <col min="1323" max="1333" width="3.125" style="2" customWidth="1"/>
    <col min="1334" max="1335" width="5.625" style="2" customWidth="1"/>
    <col min="1336" max="1380" width="2.625" style="2" customWidth="1"/>
    <col min="1381" max="1540" width="9" style="2"/>
    <col min="1541" max="1555" width="3.125" style="2" customWidth="1"/>
    <col min="1556" max="1556" width="5.5" style="2" customWidth="1"/>
    <col min="1557" max="1557" width="5.625" style="2" customWidth="1"/>
    <col min="1558" max="1573" width="3.125" style="2" customWidth="1"/>
    <col min="1574" max="1574" width="5.375" style="2" customWidth="1"/>
    <col min="1575" max="1576" width="3.125" style="2" customWidth="1"/>
    <col min="1577" max="1577" width="4.625" style="2" customWidth="1"/>
    <col min="1578" max="1578" width="3.5" style="2" customWidth="1"/>
    <col min="1579" max="1589" width="3.125" style="2" customWidth="1"/>
    <col min="1590" max="1591" width="5.625" style="2" customWidth="1"/>
    <col min="1592" max="1636" width="2.625" style="2" customWidth="1"/>
    <col min="1637" max="1796" width="9" style="2"/>
    <col min="1797" max="1811" width="3.125" style="2" customWidth="1"/>
    <col min="1812" max="1812" width="5.5" style="2" customWidth="1"/>
    <col min="1813" max="1813" width="5.625" style="2" customWidth="1"/>
    <col min="1814" max="1829" width="3.125" style="2" customWidth="1"/>
    <col min="1830" max="1830" width="5.375" style="2" customWidth="1"/>
    <col min="1831" max="1832" width="3.125" style="2" customWidth="1"/>
    <col min="1833" max="1833" width="4.625" style="2" customWidth="1"/>
    <col min="1834" max="1834" width="3.5" style="2" customWidth="1"/>
    <col min="1835" max="1845" width="3.125" style="2" customWidth="1"/>
    <col min="1846" max="1847" width="5.625" style="2" customWidth="1"/>
    <col min="1848" max="1892" width="2.625" style="2" customWidth="1"/>
    <col min="1893" max="2052" width="9" style="2"/>
    <col min="2053" max="2067" width="3.125" style="2" customWidth="1"/>
    <col min="2068" max="2068" width="5.5" style="2" customWidth="1"/>
    <col min="2069" max="2069" width="5.625" style="2" customWidth="1"/>
    <col min="2070" max="2085" width="3.125" style="2" customWidth="1"/>
    <col min="2086" max="2086" width="5.375" style="2" customWidth="1"/>
    <col min="2087" max="2088" width="3.125" style="2" customWidth="1"/>
    <col min="2089" max="2089" width="4.625" style="2" customWidth="1"/>
    <col min="2090" max="2090" width="3.5" style="2" customWidth="1"/>
    <col min="2091" max="2101" width="3.125" style="2" customWidth="1"/>
    <col min="2102" max="2103" width="5.625" style="2" customWidth="1"/>
    <col min="2104" max="2148" width="2.625" style="2" customWidth="1"/>
    <col min="2149" max="2308" width="9" style="2"/>
    <col min="2309" max="2323" width="3.125" style="2" customWidth="1"/>
    <col min="2324" max="2324" width="5.5" style="2" customWidth="1"/>
    <col min="2325" max="2325" width="5.625" style="2" customWidth="1"/>
    <col min="2326" max="2341" width="3.125" style="2" customWidth="1"/>
    <col min="2342" max="2342" width="5.375" style="2" customWidth="1"/>
    <col min="2343" max="2344" width="3.125" style="2" customWidth="1"/>
    <col min="2345" max="2345" width="4.625" style="2" customWidth="1"/>
    <col min="2346" max="2346" width="3.5" style="2" customWidth="1"/>
    <col min="2347" max="2357" width="3.125" style="2" customWidth="1"/>
    <col min="2358" max="2359" width="5.625" style="2" customWidth="1"/>
    <col min="2360" max="2404" width="2.625" style="2" customWidth="1"/>
    <col min="2405" max="2564" width="9" style="2"/>
    <col min="2565" max="2579" width="3.125" style="2" customWidth="1"/>
    <col min="2580" max="2580" width="5.5" style="2" customWidth="1"/>
    <col min="2581" max="2581" width="5.625" style="2" customWidth="1"/>
    <col min="2582" max="2597" width="3.125" style="2" customWidth="1"/>
    <col min="2598" max="2598" width="5.375" style="2" customWidth="1"/>
    <col min="2599" max="2600" width="3.125" style="2" customWidth="1"/>
    <col min="2601" max="2601" width="4.625" style="2" customWidth="1"/>
    <col min="2602" max="2602" width="3.5" style="2" customWidth="1"/>
    <col min="2603" max="2613" width="3.125" style="2" customWidth="1"/>
    <col min="2614" max="2615" width="5.625" style="2" customWidth="1"/>
    <col min="2616" max="2660" width="2.625" style="2" customWidth="1"/>
    <col min="2661" max="2820" width="9" style="2"/>
    <col min="2821" max="2835" width="3.125" style="2" customWidth="1"/>
    <col min="2836" max="2836" width="5.5" style="2" customWidth="1"/>
    <col min="2837" max="2837" width="5.625" style="2" customWidth="1"/>
    <col min="2838" max="2853" width="3.125" style="2" customWidth="1"/>
    <col min="2854" max="2854" width="5.375" style="2" customWidth="1"/>
    <col min="2855" max="2856" width="3.125" style="2" customWidth="1"/>
    <col min="2857" max="2857" width="4.625" style="2" customWidth="1"/>
    <col min="2858" max="2858" width="3.5" style="2" customWidth="1"/>
    <col min="2859" max="2869" width="3.125" style="2" customWidth="1"/>
    <col min="2870" max="2871" width="5.625" style="2" customWidth="1"/>
    <col min="2872" max="2916" width="2.625" style="2" customWidth="1"/>
    <col min="2917" max="3076" width="9" style="2"/>
    <col min="3077" max="3091" width="3.125" style="2" customWidth="1"/>
    <col min="3092" max="3092" width="5.5" style="2" customWidth="1"/>
    <col min="3093" max="3093" width="5.625" style="2" customWidth="1"/>
    <col min="3094" max="3109" width="3.125" style="2" customWidth="1"/>
    <col min="3110" max="3110" width="5.375" style="2" customWidth="1"/>
    <col min="3111" max="3112" width="3.125" style="2" customWidth="1"/>
    <col min="3113" max="3113" width="4.625" style="2" customWidth="1"/>
    <col min="3114" max="3114" width="3.5" style="2" customWidth="1"/>
    <col min="3115" max="3125" width="3.125" style="2" customWidth="1"/>
    <col min="3126" max="3127" width="5.625" style="2" customWidth="1"/>
    <col min="3128" max="3172" width="2.625" style="2" customWidth="1"/>
    <col min="3173" max="3332" width="9" style="2"/>
    <col min="3333" max="3347" width="3.125" style="2" customWidth="1"/>
    <col min="3348" max="3348" width="5.5" style="2" customWidth="1"/>
    <col min="3349" max="3349" width="5.625" style="2" customWidth="1"/>
    <col min="3350" max="3365" width="3.125" style="2" customWidth="1"/>
    <col min="3366" max="3366" width="5.375" style="2" customWidth="1"/>
    <col min="3367" max="3368" width="3.125" style="2" customWidth="1"/>
    <col min="3369" max="3369" width="4.625" style="2" customWidth="1"/>
    <col min="3370" max="3370" width="3.5" style="2" customWidth="1"/>
    <col min="3371" max="3381" width="3.125" style="2" customWidth="1"/>
    <col min="3382" max="3383" width="5.625" style="2" customWidth="1"/>
    <col min="3384" max="3428" width="2.625" style="2" customWidth="1"/>
    <col min="3429" max="3588" width="9" style="2"/>
    <col min="3589" max="3603" width="3.125" style="2" customWidth="1"/>
    <col min="3604" max="3604" width="5.5" style="2" customWidth="1"/>
    <col min="3605" max="3605" width="5.625" style="2" customWidth="1"/>
    <col min="3606" max="3621" width="3.125" style="2" customWidth="1"/>
    <col min="3622" max="3622" width="5.375" style="2" customWidth="1"/>
    <col min="3623" max="3624" width="3.125" style="2" customWidth="1"/>
    <col min="3625" max="3625" width="4.625" style="2" customWidth="1"/>
    <col min="3626" max="3626" width="3.5" style="2" customWidth="1"/>
    <col min="3627" max="3637" width="3.125" style="2" customWidth="1"/>
    <col min="3638" max="3639" width="5.625" style="2" customWidth="1"/>
    <col min="3640" max="3684" width="2.625" style="2" customWidth="1"/>
    <col min="3685" max="3844" width="9" style="2"/>
    <col min="3845" max="3859" width="3.125" style="2" customWidth="1"/>
    <col min="3860" max="3860" width="5.5" style="2" customWidth="1"/>
    <col min="3861" max="3861" width="5.625" style="2" customWidth="1"/>
    <col min="3862" max="3877" width="3.125" style="2" customWidth="1"/>
    <col min="3878" max="3878" width="5.375" style="2" customWidth="1"/>
    <col min="3879" max="3880" width="3.125" style="2" customWidth="1"/>
    <col min="3881" max="3881" width="4.625" style="2" customWidth="1"/>
    <col min="3882" max="3882" width="3.5" style="2" customWidth="1"/>
    <col min="3883" max="3893" width="3.125" style="2" customWidth="1"/>
    <col min="3894" max="3895" width="5.625" style="2" customWidth="1"/>
    <col min="3896" max="3940" width="2.625" style="2" customWidth="1"/>
    <col min="3941" max="4100" width="9" style="2"/>
    <col min="4101" max="4115" width="3.125" style="2" customWidth="1"/>
    <col min="4116" max="4116" width="5.5" style="2" customWidth="1"/>
    <col min="4117" max="4117" width="5.625" style="2" customWidth="1"/>
    <col min="4118" max="4133" width="3.125" style="2" customWidth="1"/>
    <col min="4134" max="4134" width="5.375" style="2" customWidth="1"/>
    <col min="4135" max="4136" width="3.125" style="2" customWidth="1"/>
    <col min="4137" max="4137" width="4.625" style="2" customWidth="1"/>
    <col min="4138" max="4138" width="3.5" style="2" customWidth="1"/>
    <col min="4139" max="4149" width="3.125" style="2" customWidth="1"/>
    <col min="4150" max="4151" width="5.625" style="2" customWidth="1"/>
    <col min="4152" max="4196" width="2.625" style="2" customWidth="1"/>
    <col min="4197" max="4356" width="9" style="2"/>
    <col min="4357" max="4371" width="3.125" style="2" customWidth="1"/>
    <col min="4372" max="4372" width="5.5" style="2" customWidth="1"/>
    <col min="4373" max="4373" width="5.625" style="2" customWidth="1"/>
    <col min="4374" max="4389" width="3.125" style="2" customWidth="1"/>
    <col min="4390" max="4390" width="5.375" style="2" customWidth="1"/>
    <col min="4391" max="4392" width="3.125" style="2" customWidth="1"/>
    <col min="4393" max="4393" width="4.625" style="2" customWidth="1"/>
    <col min="4394" max="4394" width="3.5" style="2" customWidth="1"/>
    <col min="4395" max="4405" width="3.125" style="2" customWidth="1"/>
    <col min="4406" max="4407" width="5.625" style="2" customWidth="1"/>
    <col min="4408" max="4452" width="2.625" style="2" customWidth="1"/>
    <col min="4453" max="4612" width="9" style="2"/>
    <col min="4613" max="4627" width="3.125" style="2" customWidth="1"/>
    <col min="4628" max="4628" width="5.5" style="2" customWidth="1"/>
    <col min="4629" max="4629" width="5.625" style="2" customWidth="1"/>
    <col min="4630" max="4645" width="3.125" style="2" customWidth="1"/>
    <col min="4646" max="4646" width="5.375" style="2" customWidth="1"/>
    <col min="4647" max="4648" width="3.125" style="2" customWidth="1"/>
    <col min="4649" max="4649" width="4.625" style="2" customWidth="1"/>
    <col min="4650" max="4650" width="3.5" style="2" customWidth="1"/>
    <col min="4651" max="4661" width="3.125" style="2" customWidth="1"/>
    <col min="4662" max="4663" width="5.625" style="2" customWidth="1"/>
    <col min="4664" max="4708" width="2.625" style="2" customWidth="1"/>
    <col min="4709" max="4868" width="9" style="2"/>
    <col min="4869" max="4883" width="3.125" style="2" customWidth="1"/>
    <col min="4884" max="4884" width="5.5" style="2" customWidth="1"/>
    <col min="4885" max="4885" width="5.625" style="2" customWidth="1"/>
    <col min="4886" max="4901" width="3.125" style="2" customWidth="1"/>
    <col min="4902" max="4902" width="5.375" style="2" customWidth="1"/>
    <col min="4903" max="4904" width="3.125" style="2" customWidth="1"/>
    <col min="4905" max="4905" width="4.625" style="2" customWidth="1"/>
    <col min="4906" max="4906" width="3.5" style="2" customWidth="1"/>
    <col min="4907" max="4917" width="3.125" style="2" customWidth="1"/>
    <col min="4918" max="4919" width="5.625" style="2" customWidth="1"/>
    <col min="4920" max="4964" width="2.625" style="2" customWidth="1"/>
    <col min="4965" max="5124" width="9" style="2"/>
    <col min="5125" max="5139" width="3.125" style="2" customWidth="1"/>
    <col min="5140" max="5140" width="5.5" style="2" customWidth="1"/>
    <col min="5141" max="5141" width="5.625" style="2" customWidth="1"/>
    <col min="5142" max="5157" width="3.125" style="2" customWidth="1"/>
    <col min="5158" max="5158" width="5.375" style="2" customWidth="1"/>
    <col min="5159" max="5160" width="3.125" style="2" customWidth="1"/>
    <col min="5161" max="5161" width="4.625" style="2" customWidth="1"/>
    <col min="5162" max="5162" width="3.5" style="2" customWidth="1"/>
    <col min="5163" max="5173" width="3.125" style="2" customWidth="1"/>
    <col min="5174" max="5175" width="5.625" style="2" customWidth="1"/>
    <col min="5176" max="5220" width="2.625" style="2" customWidth="1"/>
    <col min="5221" max="5380" width="9" style="2"/>
    <col min="5381" max="5395" width="3.125" style="2" customWidth="1"/>
    <col min="5396" max="5396" width="5.5" style="2" customWidth="1"/>
    <col min="5397" max="5397" width="5.625" style="2" customWidth="1"/>
    <col min="5398" max="5413" width="3.125" style="2" customWidth="1"/>
    <col min="5414" max="5414" width="5.375" style="2" customWidth="1"/>
    <col min="5415" max="5416" width="3.125" style="2" customWidth="1"/>
    <col min="5417" max="5417" width="4.625" style="2" customWidth="1"/>
    <col min="5418" max="5418" width="3.5" style="2" customWidth="1"/>
    <col min="5419" max="5429" width="3.125" style="2" customWidth="1"/>
    <col min="5430" max="5431" width="5.625" style="2" customWidth="1"/>
    <col min="5432" max="5476" width="2.625" style="2" customWidth="1"/>
    <col min="5477" max="5636" width="9" style="2"/>
    <col min="5637" max="5651" width="3.125" style="2" customWidth="1"/>
    <col min="5652" max="5652" width="5.5" style="2" customWidth="1"/>
    <col min="5653" max="5653" width="5.625" style="2" customWidth="1"/>
    <col min="5654" max="5669" width="3.125" style="2" customWidth="1"/>
    <col min="5670" max="5670" width="5.375" style="2" customWidth="1"/>
    <col min="5671" max="5672" width="3.125" style="2" customWidth="1"/>
    <col min="5673" max="5673" width="4.625" style="2" customWidth="1"/>
    <col min="5674" max="5674" width="3.5" style="2" customWidth="1"/>
    <col min="5675" max="5685" width="3.125" style="2" customWidth="1"/>
    <col min="5686" max="5687" width="5.625" style="2" customWidth="1"/>
    <col min="5688" max="5732" width="2.625" style="2" customWidth="1"/>
    <col min="5733" max="5892" width="9" style="2"/>
    <col min="5893" max="5907" width="3.125" style="2" customWidth="1"/>
    <col min="5908" max="5908" width="5.5" style="2" customWidth="1"/>
    <col min="5909" max="5909" width="5.625" style="2" customWidth="1"/>
    <col min="5910" max="5925" width="3.125" style="2" customWidth="1"/>
    <col min="5926" max="5926" width="5.375" style="2" customWidth="1"/>
    <col min="5927" max="5928" width="3.125" style="2" customWidth="1"/>
    <col min="5929" max="5929" width="4.625" style="2" customWidth="1"/>
    <col min="5930" max="5930" width="3.5" style="2" customWidth="1"/>
    <col min="5931" max="5941" width="3.125" style="2" customWidth="1"/>
    <col min="5942" max="5943" width="5.625" style="2" customWidth="1"/>
    <col min="5944" max="5988" width="2.625" style="2" customWidth="1"/>
    <col min="5989" max="6148" width="9" style="2"/>
    <col min="6149" max="6163" width="3.125" style="2" customWidth="1"/>
    <col min="6164" max="6164" width="5.5" style="2" customWidth="1"/>
    <col min="6165" max="6165" width="5.625" style="2" customWidth="1"/>
    <col min="6166" max="6181" width="3.125" style="2" customWidth="1"/>
    <col min="6182" max="6182" width="5.375" style="2" customWidth="1"/>
    <col min="6183" max="6184" width="3.125" style="2" customWidth="1"/>
    <col min="6185" max="6185" width="4.625" style="2" customWidth="1"/>
    <col min="6186" max="6186" width="3.5" style="2" customWidth="1"/>
    <col min="6187" max="6197" width="3.125" style="2" customWidth="1"/>
    <col min="6198" max="6199" width="5.625" style="2" customWidth="1"/>
    <col min="6200" max="6244" width="2.625" style="2" customWidth="1"/>
    <col min="6245" max="6404" width="9" style="2"/>
    <col min="6405" max="6419" width="3.125" style="2" customWidth="1"/>
    <col min="6420" max="6420" width="5.5" style="2" customWidth="1"/>
    <col min="6421" max="6421" width="5.625" style="2" customWidth="1"/>
    <col min="6422" max="6437" width="3.125" style="2" customWidth="1"/>
    <col min="6438" max="6438" width="5.375" style="2" customWidth="1"/>
    <col min="6439" max="6440" width="3.125" style="2" customWidth="1"/>
    <col min="6441" max="6441" width="4.625" style="2" customWidth="1"/>
    <col min="6442" max="6442" width="3.5" style="2" customWidth="1"/>
    <col min="6443" max="6453" width="3.125" style="2" customWidth="1"/>
    <col min="6454" max="6455" width="5.625" style="2" customWidth="1"/>
    <col min="6456" max="6500" width="2.625" style="2" customWidth="1"/>
    <col min="6501" max="6660" width="9" style="2"/>
    <col min="6661" max="6675" width="3.125" style="2" customWidth="1"/>
    <col min="6676" max="6676" width="5.5" style="2" customWidth="1"/>
    <col min="6677" max="6677" width="5.625" style="2" customWidth="1"/>
    <col min="6678" max="6693" width="3.125" style="2" customWidth="1"/>
    <col min="6694" max="6694" width="5.375" style="2" customWidth="1"/>
    <col min="6695" max="6696" width="3.125" style="2" customWidth="1"/>
    <col min="6697" max="6697" width="4.625" style="2" customWidth="1"/>
    <col min="6698" max="6698" width="3.5" style="2" customWidth="1"/>
    <col min="6699" max="6709" width="3.125" style="2" customWidth="1"/>
    <col min="6710" max="6711" width="5.625" style="2" customWidth="1"/>
    <col min="6712" max="6756" width="2.625" style="2" customWidth="1"/>
    <col min="6757" max="6916" width="9" style="2"/>
    <col min="6917" max="6931" width="3.125" style="2" customWidth="1"/>
    <col min="6932" max="6932" width="5.5" style="2" customWidth="1"/>
    <col min="6933" max="6933" width="5.625" style="2" customWidth="1"/>
    <col min="6934" max="6949" width="3.125" style="2" customWidth="1"/>
    <col min="6950" max="6950" width="5.375" style="2" customWidth="1"/>
    <col min="6951" max="6952" width="3.125" style="2" customWidth="1"/>
    <col min="6953" max="6953" width="4.625" style="2" customWidth="1"/>
    <col min="6954" max="6954" width="3.5" style="2" customWidth="1"/>
    <col min="6955" max="6965" width="3.125" style="2" customWidth="1"/>
    <col min="6966" max="6967" width="5.625" style="2" customWidth="1"/>
    <col min="6968" max="7012" width="2.625" style="2" customWidth="1"/>
    <col min="7013" max="7172" width="9" style="2"/>
    <col min="7173" max="7187" width="3.125" style="2" customWidth="1"/>
    <col min="7188" max="7188" width="5.5" style="2" customWidth="1"/>
    <col min="7189" max="7189" width="5.625" style="2" customWidth="1"/>
    <col min="7190" max="7205" width="3.125" style="2" customWidth="1"/>
    <col min="7206" max="7206" width="5.375" style="2" customWidth="1"/>
    <col min="7207" max="7208" width="3.125" style="2" customWidth="1"/>
    <col min="7209" max="7209" width="4.625" style="2" customWidth="1"/>
    <col min="7210" max="7210" width="3.5" style="2" customWidth="1"/>
    <col min="7211" max="7221" width="3.125" style="2" customWidth="1"/>
    <col min="7222" max="7223" width="5.625" style="2" customWidth="1"/>
    <col min="7224" max="7268" width="2.625" style="2" customWidth="1"/>
    <col min="7269" max="7428" width="9" style="2"/>
    <col min="7429" max="7443" width="3.125" style="2" customWidth="1"/>
    <col min="7444" max="7444" width="5.5" style="2" customWidth="1"/>
    <col min="7445" max="7445" width="5.625" style="2" customWidth="1"/>
    <col min="7446" max="7461" width="3.125" style="2" customWidth="1"/>
    <col min="7462" max="7462" width="5.375" style="2" customWidth="1"/>
    <col min="7463" max="7464" width="3.125" style="2" customWidth="1"/>
    <col min="7465" max="7465" width="4.625" style="2" customWidth="1"/>
    <col min="7466" max="7466" width="3.5" style="2" customWidth="1"/>
    <col min="7467" max="7477" width="3.125" style="2" customWidth="1"/>
    <col min="7478" max="7479" width="5.625" style="2" customWidth="1"/>
    <col min="7480" max="7524" width="2.625" style="2" customWidth="1"/>
    <col min="7525" max="7684" width="9" style="2"/>
    <col min="7685" max="7699" width="3.125" style="2" customWidth="1"/>
    <col min="7700" max="7700" width="5.5" style="2" customWidth="1"/>
    <col min="7701" max="7701" width="5.625" style="2" customWidth="1"/>
    <col min="7702" max="7717" width="3.125" style="2" customWidth="1"/>
    <col min="7718" max="7718" width="5.375" style="2" customWidth="1"/>
    <col min="7719" max="7720" width="3.125" style="2" customWidth="1"/>
    <col min="7721" max="7721" width="4.625" style="2" customWidth="1"/>
    <col min="7722" max="7722" width="3.5" style="2" customWidth="1"/>
    <col min="7723" max="7733" width="3.125" style="2" customWidth="1"/>
    <col min="7734" max="7735" width="5.625" style="2" customWidth="1"/>
    <col min="7736" max="7780" width="2.625" style="2" customWidth="1"/>
    <col min="7781" max="7940" width="9" style="2"/>
    <col min="7941" max="7955" width="3.125" style="2" customWidth="1"/>
    <col min="7956" max="7956" width="5.5" style="2" customWidth="1"/>
    <col min="7957" max="7957" width="5.625" style="2" customWidth="1"/>
    <col min="7958" max="7973" width="3.125" style="2" customWidth="1"/>
    <col min="7974" max="7974" width="5.375" style="2" customWidth="1"/>
    <col min="7975" max="7976" width="3.125" style="2" customWidth="1"/>
    <col min="7977" max="7977" width="4.625" style="2" customWidth="1"/>
    <col min="7978" max="7978" width="3.5" style="2" customWidth="1"/>
    <col min="7979" max="7989" width="3.125" style="2" customWidth="1"/>
    <col min="7990" max="7991" width="5.625" style="2" customWidth="1"/>
    <col min="7992" max="8036" width="2.625" style="2" customWidth="1"/>
    <col min="8037" max="8196" width="9" style="2"/>
    <col min="8197" max="8211" width="3.125" style="2" customWidth="1"/>
    <col min="8212" max="8212" width="5.5" style="2" customWidth="1"/>
    <col min="8213" max="8213" width="5.625" style="2" customWidth="1"/>
    <col min="8214" max="8229" width="3.125" style="2" customWidth="1"/>
    <col min="8230" max="8230" width="5.375" style="2" customWidth="1"/>
    <col min="8231" max="8232" width="3.125" style="2" customWidth="1"/>
    <col min="8233" max="8233" width="4.625" style="2" customWidth="1"/>
    <col min="8234" max="8234" width="3.5" style="2" customWidth="1"/>
    <col min="8235" max="8245" width="3.125" style="2" customWidth="1"/>
    <col min="8246" max="8247" width="5.625" style="2" customWidth="1"/>
    <col min="8248" max="8292" width="2.625" style="2" customWidth="1"/>
    <col min="8293" max="8452" width="9" style="2"/>
    <col min="8453" max="8467" width="3.125" style="2" customWidth="1"/>
    <col min="8468" max="8468" width="5.5" style="2" customWidth="1"/>
    <col min="8469" max="8469" width="5.625" style="2" customWidth="1"/>
    <col min="8470" max="8485" width="3.125" style="2" customWidth="1"/>
    <col min="8486" max="8486" width="5.375" style="2" customWidth="1"/>
    <col min="8487" max="8488" width="3.125" style="2" customWidth="1"/>
    <col min="8489" max="8489" width="4.625" style="2" customWidth="1"/>
    <col min="8490" max="8490" width="3.5" style="2" customWidth="1"/>
    <col min="8491" max="8501" width="3.125" style="2" customWidth="1"/>
    <col min="8502" max="8503" width="5.625" style="2" customWidth="1"/>
    <col min="8504" max="8548" width="2.625" style="2" customWidth="1"/>
    <col min="8549" max="8708" width="9" style="2"/>
    <col min="8709" max="8723" width="3.125" style="2" customWidth="1"/>
    <col min="8724" max="8724" width="5.5" style="2" customWidth="1"/>
    <col min="8725" max="8725" width="5.625" style="2" customWidth="1"/>
    <col min="8726" max="8741" width="3.125" style="2" customWidth="1"/>
    <col min="8742" max="8742" width="5.375" style="2" customWidth="1"/>
    <col min="8743" max="8744" width="3.125" style="2" customWidth="1"/>
    <col min="8745" max="8745" width="4.625" style="2" customWidth="1"/>
    <col min="8746" max="8746" width="3.5" style="2" customWidth="1"/>
    <col min="8747" max="8757" width="3.125" style="2" customWidth="1"/>
    <col min="8758" max="8759" width="5.625" style="2" customWidth="1"/>
    <col min="8760" max="8804" width="2.625" style="2" customWidth="1"/>
    <col min="8805" max="8964" width="9" style="2"/>
    <col min="8965" max="8979" width="3.125" style="2" customWidth="1"/>
    <col min="8980" max="8980" width="5.5" style="2" customWidth="1"/>
    <col min="8981" max="8981" width="5.625" style="2" customWidth="1"/>
    <col min="8982" max="8997" width="3.125" style="2" customWidth="1"/>
    <col min="8998" max="8998" width="5.375" style="2" customWidth="1"/>
    <col min="8999" max="9000" width="3.125" style="2" customWidth="1"/>
    <col min="9001" max="9001" width="4.625" style="2" customWidth="1"/>
    <col min="9002" max="9002" width="3.5" style="2" customWidth="1"/>
    <col min="9003" max="9013" width="3.125" style="2" customWidth="1"/>
    <col min="9014" max="9015" width="5.625" style="2" customWidth="1"/>
    <col min="9016" max="9060" width="2.625" style="2" customWidth="1"/>
    <col min="9061" max="9220" width="9" style="2"/>
    <col min="9221" max="9235" width="3.125" style="2" customWidth="1"/>
    <col min="9236" max="9236" width="5.5" style="2" customWidth="1"/>
    <col min="9237" max="9237" width="5.625" style="2" customWidth="1"/>
    <col min="9238" max="9253" width="3.125" style="2" customWidth="1"/>
    <col min="9254" max="9254" width="5.375" style="2" customWidth="1"/>
    <col min="9255" max="9256" width="3.125" style="2" customWidth="1"/>
    <col min="9257" max="9257" width="4.625" style="2" customWidth="1"/>
    <col min="9258" max="9258" width="3.5" style="2" customWidth="1"/>
    <col min="9259" max="9269" width="3.125" style="2" customWidth="1"/>
    <col min="9270" max="9271" width="5.625" style="2" customWidth="1"/>
    <col min="9272" max="9316" width="2.625" style="2" customWidth="1"/>
    <col min="9317" max="9476" width="9" style="2"/>
    <col min="9477" max="9491" width="3.125" style="2" customWidth="1"/>
    <col min="9492" max="9492" width="5.5" style="2" customWidth="1"/>
    <col min="9493" max="9493" width="5.625" style="2" customWidth="1"/>
    <col min="9494" max="9509" width="3.125" style="2" customWidth="1"/>
    <col min="9510" max="9510" width="5.375" style="2" customWidth="1"/>
    <col min="9511" max="9512" width="3.125" style="2" customWidth="1"/>
    <col min="9513" max="9513" width="4.625" style="2" customWidth="1"/>
    <col min="9514" max="9514" width="3.5" style="2" customWidth="1"/>
    <col min="9515" max="9525" width="3.125" style="2" customWidth="1"/>
    <col min="9526" max="9527" width="5.625" style="2" customWidth="1"/>
    <col min="9528" max="9572" width="2.625" style="2" customWidth="1"/>
    <col min="9573" max="9732" width="9" style="2"/>
    <col min="9733" max="9747" width="3.125" style="2" customWidth="1"/>
    <col min="9748" max="9748" width="5.5" style="2" customWidth="1"/>
    <col min="9749" max="9749" width="5.625" style="2" customWidth="1"/>
    <col min="9750" max="9765" width="3.125" style="2" customWidth="1"/>
    <col min="9766" max="9766" width="5.375" style="2" customWidth="1"/>
    <col min="9767" max="9768" width="3.125" style="2" customWidth="1"/>
    <col min="9769" max="9769" width="4.625" style="2" customWidth="1"/>
    <col min="9770" max="9770" width="3.5" style="2" customWidth="1"/>
    <col min="9771" max="9781" width="3.125" style="2" customWidth="1"/>
    <col min="9782" max="9783" width="5.625" style="2" customWidth="1"/>
    <col min="9784" max="9828" width="2.625" style="2" customWidth="1"/>
    <col min="9829" max="9988" width="9" style="2"/>
    <col min="9989" max="10003" width="3.125" style="2" customWidth="1"/>
    <col min="10004" max="10004" width="5.5" style="2" customWidth="1"/>
    <col min="10005" max="10005" width="5.625" style="2" customWidth="1"/>
    <col min="10006" max="10021" width="3.125" style="2" customWidth="1"/>
    <col min="10022" max="10022" width="5.375" style="2" customWidth="1"/>
    <col min="10023" max="10024" width="3.125" style="2" customWidth="1"/>
    <col min="10025" max="10025" width="4.625" style="2" customWidth="1"/>
    <col min="10026" max="10026" width="3.5" style="2" customWidth="1"/>
    <col min="10027" max="10037" width="3.125" style="2" customWidth="1"/>
    <col min="10038" max="10039" width="5.625" style="2" customWidth="1"/>
    <col min="10040" max="10084" width="2.625" style="2" customWidth="1"/>
    <col min="10085" max="10244" width="9" style="2"/>
    <col min="10245" max="10259" width="3.125" style="2" customWidth="1"/>
    <col min="10260" max="10260" width="5.5" style="2" customWidth="1"/>
    <col min="10261" max="10261" width="5.625" style="2" customWidth="1"/>
    <col min="10262" max="10277" width="3.125" style="2" customWidth="1"/>
    <col min="10278" max="10278" width="5.375" style="2" customWidth="1"/>
    <col min="10279" max="10280" width="3.125" style="2" customWidth="1"/>
    <col min="10281" max="10281" width="4.625" style="2" customWidth="1"/>
    <col min="10282" max="10282" width="3.5" style="2" customWidth="1"/>
    <col min="10283" max="10293" width="3.125" style="2" customWidth="1"/>
    <col min="10294" max="10295" width="5.625" style="2" customWidth="1"/>
    <col min="10296" max="10340" width="2.625" style="2" customWidth="1"/>
    <col min="10341" max="10500" width="9" style="2"/>
    <col min="10501" max="10515" width="3.125" style="2" customWidth="1"/>
    <col min="10516" max="10516" width="5.5" style="2" customWidth="1"/>
    <col min="10517" max="10517" width="5.625" style="2" customWidth="1"/>
    <col min="10518" max="10533" width="3.125" style="2" customWidth="1"/>
    <col min="10534" max="10534" width="5.375" style="2" customWidth="1"/>
    <col min="10535" max="10536" width="3.125" style="2" customWidth="1"/>
    <col min="10537" max="10537" width="4.625" style="2" customWidth="1"/>
    <col min="10538" max="10538" width="3.5" style="2" customWidth="1"/>
    <col min="10539" max="10549" width="3.125" style="2" customWidth="1"/>
    <col min="10550" max="10551" width="5.625" style="2" customWidth="1"/>
    <col min="10552" max="10596" width="2.625" style="2" customWidth="1"/>
    <col min="10597" max="10756" width="9" style="2"/>
    <col min="10757" max="10771" width="3.125" style="2" customWidth="1"/>
    <col min="10772" max="10772" width="5.5" style="2" customWidth="1"/>
    <col min="10773" max="10773" width="5.625" style="2" customWidth="1"/>
    <col min="10774" max="10789" width="3.125" style="2" customWidth="1"/>
    <col min="10790" max="10790" width="5.375" style="2" customWidth="1"/>
    <col min="10791" max="10792" width="3.125" style="2" customWidth="1"/>
    <col min="10793" max="10793" width="4.625" style="2" customWidth="1"/>
    <col min="10794" max="10794" width="3.5" style="2" customWidth="1"/>
    <col min="10795" max="10805" width="3.125" style="2" customWidth="1"/>
    <col min="10806" max="10807" width="5.625" style="2" customWidth="1"/>
    <col min="10808" max="10852" width="2.625" style="2" customWidth="1"/>
    <col min="10853" max="11012" width="9" style="2"/>
    <col min="11013" max="11027" width="3.125" style="2" customWidth="1"/>
    <col min="11028" max="11028" width="5.5" style="2" customWidth="1"/>
    <col min="11029" max="11029" width="5.625" style="2" customWidth="1"/>
    <col min="11030" max="11045" width="3.125" style="2" customWidth="1"/>
    <col min="11046" max="11046" width="5.375" style="2" customWidth="1"/>
    <col min="11047" max="11048" width="3.125" style="2" customWidth="1"/>
    <col min="11049" max="11049" width="4.625" style="2" customWidth="1"/>
    <col min="11050" max="11050" width="3.5" style="2" customWidth="1"/>
    <col min="11051" max="11061" width="3.125" style="2" customWidth="1"/>
    <col min="11062" max="11063" width="5.625" style="2" customWidth="1"/>
    <col min="11064" max="11108" width="2.625" style="2" customWidth="1"/>
    <col min="11109" max="11268" width="9" style="2"/>
    <col min="11269" max="11283" width="3.125" style="2" customWidth="1"/>
    <col min="11284" max="11284" width="5.5" style="2" customWidth="1"/>
    <col min="11285" max="11285" width="5.625" style="2" customWidth="1"/>
    <col min="11286" max="11301" width="3.125" style="2" customWidth="1"/>
    <col min="11302" max="11302" width="5.375" style="2" customWidth="1"/>
    <col min="11303" max="11304" width="3.125" style="2" customWidth="1"/>
    <col min="11305" max="11305" width="4.625" style="2" customWidth="1"/>
    <col min="11306" max="11306" width="3.5" style="2" customWidth="1"/>
    <col min="11307" max="11317" width="3.125" style="2" customWidth="1"/>
    <col min="11318" max="11319" width="5.625" style="2" customWidth="1"/>
    <col min="11320" max="11364" width="2.625" style="2" customWidth="1"/>
    <col min="11365" max="11524" width="9" style="2"/>
    <col min="11525" max="11539" width="3.125" style="2" customWidth="1"/>
    <col min="11540" max="11540" width="5.5" style="2" customWidth="1"/>
    <col min="11541" max="11541" width="5.625" style="2" customWidth="1"/>
    <col min="11542" max="11557" width="3.125" style="2" customWidth="1"/>
    <col min="11558" max="11558" width="5.375" style="2" customWidth="1"/>
    <col min="11559" max="11560" width="3.125" style="2" customWidth="1"/>
    <col min="11561" max="11561" width="4.625" style="2" customWidth="1"/>
    <col min="11562" max="11562" width="3.5" style="2" customWidth="1"/>
    <col min="11563" max="11573" width="3.125" style="2" customWidth="1"/>
    <col min="11574" max="11575" width="5.625" style="2" customWidth="1"/>
    <col min="11576" max="11620" width="2.625" style="2" customWidth="1"/>
    <col min="11621" max="11780" width="9" style="2"/>
    <col min="11781" max="11795" width="3.125" style="2" customWidth="1"/>
    <col min="11796" max="11796" width="5.5" style="2" customWidth="1"/>
    <col min="11797" max="11797" width="5.625" style="2" customWidth="1"/>
    <col min="11798" max="11813" width="3.125" style="2" customWidth="1"/>
    <col min="11814" max="11814" width="5.375" style="2" customWidth="1"/>
    <col min="11815" max="11816" width="3.125" style="2" customWidth="1"/>
    <col min="11817" max="11817" width="4.625" style="2" customWidth="1"/>
    <col min="11818" max="11818" width="3.5" style="2" customWidth="1"/>
    <col min="11819" max="11829" width="3.125" style="2" customWidth="1"/>
    <col min="11830" max="11831" width="5.625" style="2" customWidth="1"/>
    <col min="11832" max="11876" width="2.625" style="2" customWidth="1"/>
    <col min="11877" max="12036" width="9" style="2"/>
    <col min="12037" max="12051" width="3.125" style="2" customWidth="1"/>
    <col min="12052" max="12052" width="5.5" style="2" customWidth="1"/>
    <col min="12053" max="12053" width="5.625" style="2" customWidth="1"/>
    <col min="12054" max="12069" width="3.125" style="2" customWidth="1"/>
    <col min="12070" max="12070" width="5.375" style="2" customWidth="1"/>
    <col min="12071" max="12072" width="3.125" style="2" customWidth="1"/>
    <col min="12073" max="12073" width="4.625" style="2" customWidth="1"/>
    <col min="12074" max="12074" width="3.5" style="2" customWidth="1"/>
    <col min="12075" max="12085" width="3.125" style="2" customWidth="1"/>
    <col min="12086" max="12087" width="5.625" style="2" customWidth="1"/>
    <col min="12088" max="12132" width="2.625" style="2" customWidth="1"/>
    <col min="12133" max="12292" width="9" style="2"/>
    <col min="12293" max="12307" width="3.125" style="2" customWidth="1"/>
    <col min="12308" max="12308" width="5.5" style="2" customWidth="1"/>
    <col min="12309" max="12309" width="5.625" style="2" customWidth="1"/>
    <col min="12310" max="12325" width="3.125" style="2" customWidth="1"/>
    <col min="12326" max="12326" width="5.375" style="2" customWidth="1"/>
    <col min="12327" max="12328" width="3.125" style="2" customWidth="1"/>
    <col min="12329" max="12329" width="4.625" style="2" customWidth="1"/>
    <col min="12330" max="12330" width="3.5" style="2" customWidth="1"/>
    <col min="12331" max="12341" width="3.125" style="2" customWidth="1"/>
    <col min="12342" max="12343" width="5.625" style="2" customWidth="1"/>
    <col min="12344" max="12388" width="2.625" style="2" customWidth="1"/>
    <col min="12389" max="12548" width="9" style="2"/>
    <col min="12549" max="12563" width="3.125" style="2" customWidth="1"/>
    <col min="12564" max="12564" width="5.5" style="2" customWidth="1"/>
    <col min="12565" max="12565" width="5.625" style="2" customWidth="1"/>
    <col min="12566" max="12581" width="3.125" style="2" customWidth="1"/>
    <col min="12582" max="12582" width="5.375" style="2" customWidth="1"/>
    <col min="12583" max="12584" width="3.125" style="2" customWidth="1"/>
    <col min="12585" max="12585" width="4.625" style="2" customWidth="1"/>
    <col min="12586" max="12586" width="3.5" style="2" customWidth="1"/>
    <col min="12587" max="12597" width="3.125" style="2" customWidth="1"/>
    <col min="12598" max="12599" width="5.625" style="2" customWidth="1"/>
    <col min="12600" max="12644" width="2.625" style="2" customWidth="1"/>
    <col min="12645" max="12804" width="9" style="2"/>
    <col min="12805" max="12819" width="3.125" style="2" customWidth="1"/>
    <col min="12820" max="12820" width="5.5" style="2" customWidth="1"/>
    <col min="12821" max="12821" width="5.625" style="2" customWidth="1"/>
    <col min="12822" max="12837" width="3.125" style="2" customWidth="1"/>
    <col min="12838" max="12838" width="5.375" style="2" customWidth="1"/>
    <col min="12839" max="12840" width="3.125" style="2" customWidth="1"/>
    <col min="12841" max="12841" width="4.625" style="2" customWidth="1"/>
    <col min="12842" max="12842" width="3.5" style="2" customWidth="1"/>
    <col min="12843" max="12853" width="3.125" style="2" customWidth="1"/>
    <col min="12854" max="12855" width="5.625" style="2" customWidth="1"/>
    <col min="12856" max="12900" width="2.625" style="2" customWidth="1"/>
    <col min="12901" max="13060" width="9" style="2"/>
    <col min="13061" max="13075" width="3.125" style="2" customWidth="1"/>
    <col min="13076" max="13076" width="5.5" style="2" customWidth="1"/>
    <col min="13077" max="13077" width="5.625" style="2" customWidth="1"/>
    <col min="13078" max="13093" width="3.125" style="2" customWidth="1"/>
    <col min="13094" max="13094" width="5.375" style="2" customWidth="1"/>
    <col min="13095" max="13096" width="3.125" style="2" customWidth="1"/>
    <col min="13097" max="13097" width="4.625" style="2" customWidth="1"/>
    <col min="13098" max="13098" width="3.5" style="2" customWidth="1"/>
    <col min="13099" max="13109" width="3.125" style="2" customWidth="1"/>
    <col min="13110" max="13111" width="5.625" style="2" customWidth="1"/>
    <col min="13112" max="13156" width="2.625" style="2" customWidth="1"/>
    <col min="13157" max="13316" width="9" style="2"/>
    <col min="13317" max="13331" width="3.125" style="2" customWidth="1"/>
    <col min="13332" max="13332" width="5.5" style="2" customWidth="1"/>
    <col min="13333" max="13333" width="5.625" style="2" customWidth="1"/>
    <col min="13334" max="13349" width="3.125" style="2" customWidth="1"/>
    <col min="13350" max="13350" width="5.375" style="2" customWidth="1"/>
    <col min="13351" max="13352" width="3.125" style="2" customWidth="1"/>
    <col min="13353" max="13353" width="4.625" style="2" customWidth="1"/>
    <col min="13354" max="13354" width="3.5" style="2" customWidth="1"/>
    <col min="13355" max="13365" width="3.125" style="2" customWidth="1"/>
    <col min="13366" max="13367" width="5.625" style="2" customWidth="1"/>
    <col min="13368" max="13412" width="2.625" style="2" customWidth="1"/>
    <col min="13413" max="13572" width="9" style="2"/>
    <col min="13573" max="13587" width="3.125" style="2" customWidth="1"/>
    <col min="13588" max="13588" width="5.5" style="2" customWidth="1"/>
    <col min="13589" max="13589" width="5.625" style="2" customWidth="1"/>
    <col min="13590" max="13605" width="3.125" style="2" customWidth="1"/>
    <col min="13606" max="13606" width="5.375" style="2" customWidth="1"/>
    <col min="13607" max="13608" width="3.125" style="2" customWidth="1"/>
    <col min="13609" max="13609" width="4.625" style="2" customWidth="1"/>
    <col min="13610" max="13610" width="3.5" style="2" customWidth="1"/>
    <col min="13611" max="13621" width="3.125" style="2" customWidth="1"/>
    <col min="13622" max="13623" width="5.625" style="2" customWidth="1"/>
    <col min="13624" max="13668" width="2.625" style="2" customWidth="1"/>
    <col min="13669" max="13828" width="9" style="2"/>
    <col min="13829" max="13843" width="3.125" style="2" customWidth="1"/>
    <col min="13844" max="13844" width="5.5" style="2" customWidth="1"/>
    <col min="13845" max="13845" width="5.625" style="2" customWidth="1"/>
    <col min="13846" max="13861" width="3.125" style="2" customWidth="1"/>
    <col min="13862" max="13862" width="5.375" style="2" customWidth="1"/>
    <col min="13863" max="13864" width="3.125" style="2" customWidth="1"/>
    <col min="13865" max="13865" width="4.625" style="2" customWidth="1"/>
    <col min="13866" max="13866" width="3.5" style="2" customWidth="1"/>
    <col min="13867" max="13877" width="3.125" style="2" customWidth="1"/>
    <col min="13878" max="13879" width="5.625" style="2" customWidth="1"/>
    <col min="13880" max="13924" width="2.625" style="2" customWidth="1"/>
    <col min="13925" max="14084" width="9" style="2"/>
    <col min="14085" max="14099" width="3.125" style="2" customWidth="1"/>
    <col min="14100" max="14100" width="5.5" style="2" customWidth="1"/>
    <col min="14101" max="14101" width="5.625" style="2" customWidth="1"/>
    <col min="14102" max="14117" width="3.125" style="2" customWidth="1"/>
    <col min="14118" max="14118" width="5.375" style="2" customWidth="1"/>
    <col min="14119" max="14120" width="3.125" style="2" customWidth="1"/>
    <col min="14121" max="14121" width="4.625" style="2" customWidth="1"/>
    <col min="14122" max="14122" width="3.5" style="2" customWidth="1"/>
    <col min="14123" max="14133" width="3.125" style="2" customWidth="1"/>
    <col min="14134" max="14135" width="5.625" style="2" customWidth="1"/>
    <col min="14136" max="14180" width="2.625" style="2" customWidth="1"/>
    <col min="14181" max="14340" width="9" style="2"/>
    <col min="14341" max="14355" width="3.125" style="2" customWidth="1"/>
    <col min="14356" max="14356" width="5.5" style="2" customWidth="1"/>
    <col min="14357" max="14357" width="5.625" style="2" customWidth="1"/>
    <col min="14358" max="14373" width="3.125" style="2" customWidth="1"/>
    <col min="14374" max="14374" width="5.375" style="2" customWidth="1"/>
    <col min="14375" max="14376" width="3.125" style="2" customWidth="1"/>
    <col min="14377" max="14377" width="4.625" style="2" customWidth="1"/>
    <col min="14378" max="14378" width="3.5" style="2" customWidth="1"/>
    <col min="14379" max="14389" width="3.125" style="2" customWidth="1"/>
    <col min="14390" max="14391" width="5.625" style="2" customWidth="1"/>
    <col min="14392" max="14436" width="2.625" style="2" customWidth="1"/>
    <col min="14437" max="14596" width="9" style="2"/>
    <col min="14597" max="14611" width="3.125" style="2" customWidth="1"/>
    <col min="14612" max="14612" width="5.5" style="2" customWidth="1"/>
    <col min="14613" max="14613" width="5.625" style="2" customWidth="1"/>
    <col min="14614" max="14629" width="3.125" style="2" customWidth="1"/>
    <col min="14630" max="14630" width="5.375" style="2" customWidth="1"/>
    <col min="14631" max="14632" width="3.125" style="2" customWidth="1"/>
    <col min="14633" max="14633" width="4.625" style="2" customWidth="1"/>
    <col min="14634" max="14634" width="3.5" style="2" customWidth="1"/>
    <col min="14635" max="14645" width="3.125" style="2" customWidth="1"/>
    <col min="14646" max="14647" width="5.625" style="2" customWidth="1"/>
    <col min="14648" max="14692" width="2.625" style="2" customWidth="1"/>
    <col min="14693" max="14852" width="9" style="2"/>
    <col min="14853" max="14867" width="3.125" style="2" customWidth="1"/>
    <col min="14868" max="14868" width="5.5" style="2" customWidth="1"/>
    <col min="14869" max="14869" width="5.625" style="2" customWidth="1"/>
    <col min="14870" max="14885" width="3.125" style="2" customWidth="1"/>
    <col min="14886" max="14886" width="5.375" style="2" customWidth="1"/>
    <col min="14887" max="14888" width="3.125" style="2" customWidth="1"/>
    <col min="14889" max="14889" width="4.625" style="2" customWidth="1"/>
    <col min="14890" max="14890" width="3.5" style="2" customWidth="1"/>
    <col min="14891" max="14901" width="3.125" style="2" customWidth="1"/>
    <col min="14902" max="14903" width="5.625" style="2" customWidth="1"/>
    <col min="14904" max="14948" width="2.625" style="2" customWidth="1"/>
    <col min="14949" max="15108" width="9" style="2"/>
    <col min="15109" max="15123" width="3.125" style="2" customWidth="1"/>
    <col min="15124" max="15124" width="5.5" style="2" customWidth="1"/>
    <col min="15125" max="15125" width="5.625" style="2" customWidth="1"/>
    <col min="15126" max="15141" width="3.125" style="2" customWidth="1"/>
    <col min="15142" max="15142" width="5.375" style="2" customWidth="1"/>
    <col min="15143" max="15144" width="3.125" style="2" customWidth="1"/>
    <col min="15145" max="15145" width="4.625" style="2" customWidth="1"/>
    <col min="15146" max="15146" width="3.5" style="2" customWidth="1"/>
    <col min="15147" max="15157" width="3.125" style="2" customWidth="1"/>
    <col min="15158" max="15159" width="5.625" style="2" customWidth="1"/>
    <col min="15160" max="15204" width="2.625" style="2" customWidth="1"/>
    <col min="15205" max="15364" width="9" style="2"/>
    <col min="15365" max="15379" width="3.125" style="2" customWidth="1"/>
    <col min="15380" max="15380" width="5.5" style="2" customWidth="1"/>
    <col min="15381" max="15381" width="5.625" style="2" customWidth="1"/>
    <col min="15382" max="15397" width="3.125" style="2" customWidth="1"/>
    <col min="15398" max="15398" width="5.375" style="2" customWidth="1"/>
    <col min="15399" max="15400" width="3.125" style="2" customWidth="1"/>
    <col min="15401" max="15401" width="4.625" style="2" customWidth="1"/>
    <col min="15402" max="15402" width="3.5" style="2" customWidth="1"/>
    <col min="15403" max="15413" width="3.125" style="2" customWidth="1"/>
    <col min="15414" max="15415" width="5.625" style="2" customWidth="1"/>
    <col min="15416" max="15460" width="2.625" style="2" customWidth="1"/>
    <col min="15461" max="15620" width="9" style="2"/>
    <col min="15621" max="15635" width="3.125" style="2" customWidth="1"/>
    <col min="15636" max="15636" width="5.5" style="2" customWidth="1"/>
    <col min="15637" max="15637" width="5.625" style="2" customWidth="1"/>
    <col min="15638" max="15653" width="3.125" style="2" customWidth="1"/>
    <col min="15654" max="15654" width="5.375" style="2" customWidth="1"/>
    <col min="15655" max="15656" width="3.125" style="2" customWidth="1"/>
    <col min="15657" max="15657" width="4.625" style="2" customWidth="1"/>
    <col min="15658" max="15658" width="3.5" style="2" customWidth="1"/>
    <col min="15659" max="15669" width="3.125" style="2" customWidth="1"/>
    <col min="15670" max="15671" width="5.625" style="2" customWidth="1"/>
    <col min="15672" max="15716" width="2.625" style="2" customWidth="1"/>
    <col min="15717" max="15876" width="9" style="2"/>
    <col min="15877" max="15891" width="3.125" style="2" customWidth="1"/>
    <col min="15892" max="15892" width="5.5" style="2" customWidth="1"/>
    <col min="15893" max="15893" width="5.625" style="2" customWidth="1"/>
    <col min="15894" max="15909" width="3.125" style="2" customWidth="1"/>
    <col min="15910" max="15910" width="5.375" style="2" customWidth="1"/>
    <col min="15911" max="15912" width="3.125" style="2" customWidth="1"/>
    <col min="15913" max="15913" width="4.625" style="2" customWidth="1"/>
    <col min="15914" max="15914" width="3.5" style="2" customWidth="1"/>
    <col min="15915" max="15925" width="3.125" style="2" customWidth="1"/>
    <col min="15926" max="15927" width="5.625" style="2" customWidth="1"/>
    <col min="15928" max="15972" width="2.625" style="2" customWidth="1"/>
    <col min="15973" max="16132" width="9" style="2"/>
    <col min="16133" max="16147" width="3.125" style="2" customWidth="1"/>
    <col min="16148" max="16148" width="5.5" style="2" customWidth="1"/>
    <col min="16149" max="16149" width="5.625" style="2" customWidth="1"/>
    <col min="16150" max="16165" width="3.125" style="2" customWidth="1"/>
    <col min="16166" max="16166" width="5.375" style="2" customWidth="1"/>
    <col min="16167" max="16168" width="3.125" style="2" customWidth="1"/>
    <col min="16169" max="16169" width="4.625" style="2" customWidth="1"/>
    <col min="16170" max="16170" width="3.5" style="2" customWidth="1"/>
    <col min="16171" max="16181" width="3.125" style="2" customWidth="1"/>
    <col min="16182" max="16183" width="5.625" style="2" customWidth="1"/>
    <col min="16184" max="16228" width="2.625" style="2" customWidth="1"/>
    <col min="16229" max="16384" width="9" style="2"/>
  </cols>
  <sheetData>
    <row r="1" spans="2:53" s="1" customFormat="1" ht="13.5" customHeight="1" x14ac:dyDescent="0.15"/>
    <row r="2" spans="2:53" s="1" customFormat="1" ht="2.25" customHeight="1" x14ac:dyDescent="0.15"/>
    <row r="3" spans="2:53" s="1" customFormat="1" ht="13.5" hidden="1" customHeight="1" x14ac:dyDescent="0.15"/>
    <row r="4" spans="2:53" s="1" customFormat="1" ht="13.5" hidden="1" customHeight="1" x14ac:dyDescent="0.15"/>
    <row r="5" spans="2:53" s="1" customFormat="1" ht="13.5" hidden="1" customHeight="1" x14ac:dyDescent="0.15"/>
    <row r="6" spans="2:53" s="1" customFormat="1" ht="13.5" hidden="1" customHeight="1" x14ac:dyDescent="0.15"/>
    <row r="7" spans="2:53" s="1" customFormat="1" ht="13.5" hidden="1" customHeight="1" x14ac:dyDescent="0.15"/>
    <row r="8" spans="2:53" s="1" customFormat="1" ht="13.5" customHeight="1" x14ac:dyDescent="0.15"/>
    <row r="9" spans="2:53" s="1" customFormat="1" ht="3.75" customHeight="1" x14ac:dyDescent="0.15"/>
    <row r="10" spans="2:53" s="1" customFormat="1" ht="13.5" customHeight="1" x14ac:dyDescent="0.15"/>
    <row r="11" spans="2:53" s="1" customFormat="1" ht="13.5" customHeight="1" x14ac:dyDescent="0.15">
      <c r="B11" s="209"/>
      <c r="C11" s="209"/>
      <c r="D11" s="209"/>
      <c r="E11" s="209"/>
      <c r="F11" s="209"/>
      <c r="G11" s="209"/>
      <c r="H11" s="209"/>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2:53" s="1" customFormat="1" ht="13.5" customHeight="1" x14ac:dyDescent="0.15">
      <c r="B12" s="209"/>
      <c r="C12" s="209"/>
      <c r="D12" s="209"/>
      <c r="E12" s="209"/>
      <c r="F12" s="209"/>
      <c r="G12" s="209"/>
      <c r="H12" s="209"/>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row>
    <row r="13" spans="2:53" ht="13.5" customHeight="1" x14ac:dyDescent="0.15">
      <c r="B13" s="210" t="s">
        <v>53</v>
      </c>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row>
    <row r="14" spans="2:53" ht="13.5" customHeight="1" x14ac:dyDescent="0.15">
      <c r="B14" s="210"/>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row>
    <row r="15" spans="2:53" ht="13.5" customHeight="1" x14ac:dyDescent="0.1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row>
    <row r="16" spans="2:53" ht="13.5" customHeight="1" x14ac:dyDescent="0.15">
      <c r="B16" s="211" t="s">
        <v>0</v>
      </c>
      <c r="C16" s="211"/>
      <c r="D16" s="211"/>
      <c r="E16" s="211"/>
      <c r="F16" s="211"/>
      <c r="G16" s="211"/>
      <c r="H16" s="211"/>
      <c r="I16" s="211"/>
      <c r="J16" s="211"/>
      <c r="K16" s="211"/>
      <c r="L16" s="211"/>
      <c r="M16" s="211"/>
      <c r="N16" s="211"/>
      <c r="O16" s="7"/>
      <c r="P16" s="7"/>
      <c r="Q16" s="7"/>
      <c r="R16" s="7"/>
      <c r="S16" s="7"/>
      <c r="T16" s="7"/>
      <c r="U16" s="7"/>
      <c r="V16" s="7"/>
      <c r="W16" s="7"/>
      <c r="X16" s="7"/>
      <c r="Y16" s="7"/>
      <c r="Z16" s="7"/>
      <c r="AA16" s="7"/>
      <c r="AB16" s="7"/>
      <c r="AC16" s="7"/>
      <c r="AD16" s="7"/>
      <c r="AE16" s="7"/>
      <c r="AF16" s="7"/>
      <c r="AG16" s="7"/>
      <c r="AH16" s="7"/>
      <c r="AI16" s="7"/>
      <c r="AJ16" s="8"/>
      <c r="AK16" s="8"/>
      <c r="AL16" s="8"/>
      <c r="AM16" s="7"/>
      <c r="AN16" s="7"/>
      <c r="AO16" s="7"/>
      <c r="AP16" s="7"/>
      <c r="AQ16" s="7"/>
      <c r="AR16" s="7"/>
      <c r="AS16" s="7"/>
      <c r="AT16" s="7"/>
      <c r="AU16" s="7"/>
      <c r="AV16" s="7"/>
      <c r="AW16" s="7"/>
      <c r="AX16" s="7"/>
      <c r="AY16" s="7"/>
      <c r="AZ16" s="7"/>
      <c r="BA16" s="7"/>
    </row>
    <row r="17" spans="2:53" ht="13.5" customHeight="1" x14ac:dyDescent="0.15">
      <c r="B17" s="211"/>
      <c r="C17" s="211"/>
      <c r="D17" s="211"/>
      <c r="E17" s="211"/>
      <c r="F17" s="211"/>
      <c r="G17" s="211"/>
      <c r="H17" s="211"/>
      <c r="I17" s="211"/>
      <c r="J17" s="211"/>
      <c r="K17" s="211"/>
      <c r="L17" s="211"/>
      <c r="M17" s="211"/>
      <c r="N17" s="211"/>
      <c r="O17" s="8"/>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212"/>
      <c r="AS17" s="212"/>
      <c r="AT17" s="212"/>
      <c r="AU17" s="212"/>
      <c r="AV17" s="212"/>
      <c r="AW17" s="212"/>
      <c r="AX17" s="212"/>
      <c r="AY17" s="212"/>
      <c r="AZ17" s="212"/>
      <c r="BA17" s="212"/>
    </row>
    <row r="18" spans="2:53" ht="13.5" customHeight="1" x14ac:dyDescent="0.15">
      <c r="B18" s="213" t="s">
        <v>1</v>
      </c>
      <c r="C18" s="213"/>
      <c r="D18" s="213"/>
      <c r="E18" s="213"/>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row>
    <row r="19" spans="2:53" ht="13.5" customHeight="1" x14ac:dyDescent="0.15">
      <c r="B19" s="214"/>
      <c r="C19" s="214"/>
      <c r="D19" s="214"/>
      <c r="E19" s="214"/>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9"/>
      <c r="AS19" s="9"/>
      <c r="AT19" s="9"/>
      <c r="AU19" s="215" t="s">
        <v>47</v>
      </c>
      <c r="AV19" s="215"/>
      <c r="AW19" s="215"/>
      <c r="AX19" s="215"/>
      <c r="AY19" s="215"/>
      <c r="AZ19" s="215"/>
      <c r="BA19" s="215"/>
    </row>
    <row r="20" spans="2:53" s="4" customFormat="1" ht="13.5" customHeight="1" x14ac:dyDescent="0.15">
      <c r="B20" s="216" t="s">
        <v>2</v>
      </c>
      <c r="C20" s="217"/>
      <c r="D20" s="217"/>
      <c r="E20" s="217"/>
      <c r="F20" s="217"/>
      <c r="G20" s="217"/>
      <c r="H20" s="217"/>
      <c r="I20" s="216" t="s">
        <v>3</v>
      </c>
      <c r="J20" s="217"/>
      <c r="K20" s="217"/>
      <c r="L20" s="217"/>
      <c r="M20" s="217"/>
      <c r="N20" s="217"/>
      <c r="O20" s="217"/>
      <c r="P20" s="217"/>
      <c r="Q20" s="217"/>
      <c r="R20" s="217"/>
      <c r="S20" s="217"/>
      <c r="T20" s="217"/>
      <c r="U20" s="217"/>
      <c r="V20" s="217"/>
      <c r="W20" s="217"/>
      <c r="X20" s="217"/>
      <c r="Y20" s="222" t="s">
        <v>4</v>
      </c>
      <c r="Z20" s="222"/>
      <c r="AA20" s="222"/>
      <c r="AB20" s="222"/>
      <c r="AC20" s="223" t="s">
        <v>5</v>
      </c>
      <c r="AD20" s="223"/>
      <c r="AE20" s="223"/>
      <c r="AF20" s="223"/>
      <c r="AG20" s="222" t="s">
        <v>6</v>
      </c>
      <c r="AH20" s="222"/>
      <c r="AI20" s="222"/>
      <c r="AJ20" s="222"/>
      <c r="AK20" s="222"/>
      <c r="AL20" s="222"/>
      <c r="AM20" s="222"/>
      <c r="AN20" s="222"/>
      <c r="AO20" s="222"/>
      <c r="AP20" s="222"/>
      <c r="AQ20" s="222"/>
      <c r="AR20" s="222"/>
      <c r="AS20" s="222"/>
      <c r="AT20" s="222"/>
      <c r="AU20" s="222"/>
      <c r="AV20" s="222"/>
      <c r="AW20" s="222"/>
      <c r="AX20" s="222"/>
      <c r="AY20" s="222"/>
      <c r="AZ20" s="222"/>
      <c r="BA20" s="222"/>
    </row>
    <row r="21" spans="2:53" s="4" customFormat="1" ht="13.5" customHeight="1" x14ac:dyDescent="0.15">
      <c r="B21" s="218"/>
      <c r="C21" s="219"/>
      <c r="D21" s="219"/>
      <c r="E21" s="219"/>
      <c r="F21" s="219"/>
      <c r="G21" s="219"/>
      <c r="H21" s="219"/>
      <c r="I21" s="220"/>
      <c r="J21" s="221"/>
      <c r="K21" s="221"/>
      <c r="L21" s="221"/>
      <c r="M21" s="221"/>
      <c r="N21" s="221"/>
      <c r="O21" s="221"/>
      <c r="P21" s="221"/>
      <c r="Q21" s="221"/>
      <c r="R21" s="221"/>
      <c r="S21" s="221"/>
      <c r="T21" s="221"/>
      <c r="U21" s="221"/>
      <c r="V21" s="221"/>
      <c r="W21" s="221"/>
      <c r="X21" s="221"/>
      <c r="Y21" s="222"/>
      <c r="Z21" s="222"/>
      <c r="AA21" s="222"/>
      <c r="AB21" s="222"/>
      <c r="AC21" s="223"/>
      <c r="AD21" s="223"/>
      <c r="AE21" s="223"/>
      <c r="AF21" s="223"/>
      <c r="AG21" s="222"/>
      <c r="AH21" s="222"/>
      <c r="AI21" s="222"/>
      <c r="AJ21" s="222"/>
      <c r="AK21" s="222"/>
      <c r="AL21" s="222"/>
      <c r="AM21" s="222"/>
      <c r="AN21" s="222"/>
      <c r="AO21" s="222"/>
      <c r="AP21" s="222"/>
      <c r="AQ21" s="222"/>
      <c r="AR21" s="222"/>
      <c r="AS21" s="222"/>
      <c r="AT21" s="222"/>
      <c r="AU21" s="222"/>
      <c r="AV21" s="222"/>
      <c r="AW21" s="222"/>
      <c r="AX21" s="222"/>
      <c r="AY21" s="222"/>
      <c r="AZ21" s="222"/>
      <c r="BA21" s="222"/>
    </row>
    <row r="22" spans="2:53" s="4" customFormat="1" ht="13.5" customHeight="1" x14ac:dyDescent="0.15">
      <c r="B22" s="218"/>
      <c r="C22" s="219"/>
      <c r="D22" s="219"/>
      <c r="E22" s="219"/>
      <c r="F22" s="219"/>
      <c r="G22" s="219"/>
      <c r="H22" s="219"/>
      <c r="I22" s="216" t="s">
        <v>7</v>
      </c>
      <c r="J22" s="217"/>
      <c r="K22" s="217"/>
      <c r="L22" s="217"/>
      <c r="M22" s="216" t="s">
        <v>8</v>
      </c>
      <c r="N22" s="217"/>
      <c r="O22" s="217"/>
      <c r="P22" s="224"/>
      <c r="Q22" s="227" t="s">
        <v>49</v>
      </c>
      <c r="R22" s="228"/>
      <c r="S22" s="228"/>
      <c r="T22" s="228"/>
      <c r="U22" s="216" t="s">
        <v>9</v>
      </c>
      <c r="V22" s="217"/>
      <c r="W22" s="217"/>
      <c r="X22" s="217"/>
      <c r="Y22" s="222"/>
      <c r="Z22" s="222"/>
      <c r="AA22" s="222"/>
      <c r="AB22" s="222"/>
      <c r="AC22" s="223"/>
      <c r="AD22" s="223"/>
      <c r="AE22" s="223"/>
      <c r="AF22" s="223"/>
      <c r="AG22" s="222"/>
      <c r="AH22" s="222"/>
      <c r="AI22" s="222"/>
      <c r="AJ22" s="222"/>
      <c r="AK22" s="222"/>
      <c r="AL22" s="222"/>
      <c r="AM22" s="222"/>
      <c r="AN22" s="222"/>
      <c r="AO22" s="222"/>
      <c r="AP22" s="222"/>
      <c r="AQ22" s="222"/>
      <c r="AR22" s="222"/>
      <c r="AS22" s="222"/>
      <c r="AT22" s="222"/>
      <c r="AU22" s="222"/>
      <c r="AV22" s="222"/>
      <c r="AW22" s="222"/>
      <c r="AX22" s="222"/>
      <c r="AY22" s="222"/>
      <c r="AZ22" s="222"/>
      <c r="BA22" s="222"/>
    </row>
    <row r="23" spans="2:53" s="4" customFormat="1" ht="13.5" customHeight="1" x14ac:dyDescent="0.15">
      <c r="B23" s="218"/>
      <c r="C23" s="219"/>
      <c r="D23" s="219"/>
      <c r="E23" s="219"/>
      <c r="F23" s="219"/>
      <c r="G23" s="219"/>
      <c r="H23" s="219"/>
      <c r="I23" s="218"/>
      <c r="J23" s="219"/>
      <c r="K23" s="219"/>
      <c r="L23" s="219"/>
      <c r="M23" s="218"/>
      <c r="N23" s="219"/>
      <c r="O23" s="219"/>
      <c r="P23" s="225"/>
      <c r="Q23" s="229"/>
      <c r="R23" s="230"/>
      <c r="S23" s="230"/>
      <c r="T23" s="230"/>
      <c r="U23" s="218"/>
      <c r="V23" s="219"/>
      <c r="W23" s="219"/>
      <c r="X23" s="219"/>
      <c r="Y23" s="222"/>
      <c r="Z23" s="222"/>
      <c r="AA23" s="222"/>
      <c r="AB23" s="222"/>
      <c r="AC23" s="223"/>
      <c r="AD23" s="223"/>
      <c r="AE23" s="223"/>
      <c r="AF23" s="223"/>
      <c r="AG23" s="222"/>
      <c r="AH23" s="222"/>
      <c r="AI23" s="222"/>
      <c r="AJ23" s="222"/>
      <c r="AK23" s="222"/>
      <c r="AL23" s="222"/>
      <c r="AM23" s="222"/>
      <c r="AN23" s="222"/>
      <c r="AO23" s="222"/>
      <c r="AP23" s="222"/>
      <c r="AQ23" s="222"/>
      <c r="AR23" s="222"/>
      <c r="AS23" s="222"/>
      <c r="AT23" s="222"/>
      <c r="AU23" s="222"/>
      <c r="AV23" s="222"/>
      <c r="AW23" s="222"/>
      <c r="AX23" s="222"/>
      <c r="AY23" s="222"/>
      <c r="AZ23" s="222"/>
      <c r="BA23" s="222"/>
    </row>
    <row r="24" spans="2:53" s="4" customFormat="1" ht="13.5" customHeight="1" x14ac:dyDescent="0.15">
      <c r="B24" s="218"/>
      <c r="C24" s="219"/>
      <c r="D24" s="219"/>
      <c r="E24" s="219"/>
      <c r="F24" s="219"/>
      <c r="G24" s="219"/>
      <c r="H24" s="219"/>
      <c r="I24" s="218"/>
      <c r="J24" s="219"/>
      <c r="K24" s="219"/>
      <c r="L24" s="219"/>
      <c r="M24" s="218"/>
      <c r="N24" s="219"/>
      <c r="O24" s="219"/>
      <c r="P24" s="225"/>
      <c r="Q24" s="229"/>
      <c r="R24" s="230"/>
      <c r="S24" s="230"/>
      <c r="T24" s="230"/>
      <c r="U24" s="218"/>
      <c r="V24" s="219"/>
      <c r="W24" s="219"/>
      <c r="X24" s="219"/>
      <c r="Y24" s="222"/>
      <c r="Z24" s="222"/>
      <c r="AA24" s="222"/>
      <c r="AB24" s="222"/>
      <c r="AC24" s="223"/>
      <c r="AD24" s="223"/>
      <c r="AE24" s="223"/>
      <c r="AF24" s="223"/>
      <c r="AG24" s="222"/>
      <c r="AH24" s="222"/>
      <c r="AI24" s="222"/>
      <c r="AJ24" s="222"/>
      <c r="AK24" s="222"/>
      <c r="AL24" s="222"/>
      <c r="AM24" s="222"/>
      <c r="AN24" s="222"/>
      <c r="AO24" s="222"/>
      <c r="AP24" s="222"/>
      <c r="AQ24" s="222"/>
      <c r="AR24" s="222"/>
      <c r="AS24" s="222"/>
      <c r="AT24" s="222"/>
      <c r="AU24" s="222"/>
      <c r="AV24" s="222"/>
      <c r="AW24" s="222"/>
      <c r="AX24" s="222"/>
      <c r="AY24" s="222"/>
      <c r="AZ24" s="222"/>
      <c r="BA24" s="222"/>
    </row>
    <row r="25" spans="2:53" s="4" customFormat="1" ht="13.5" customHeight="1" x14ac:dyDescent="0.15">
      <c r="B25" s="220"/>
      <c r="C25" s="221"/>
      <c r="D25" s="221"/>
      <c r="E25" s="221"/>
      <c r="F25" s="221"/>
      <c r="G25" s="221"/>
      <c r="H25" s="221"/>
      <c r="I25" s="220"/>
      <c r="J25" s="221"/>
      <c r="K25" s="221"/>
      <c r="L25" s="221"/>
      <c r="M25" s="220"/>
      <c r="N25" s="221"/>
      <c r="O25" s="221"/>
      <c r="P25" s="226"/>
      <c r="Q25" s="231"/>
      <c r="R25" s="232"/>
      <c r="S25" s="232"/>
      <c r="T25" s="232"/>
      <c r="U25" s="220"/>
      <c r="V25" s="221"/>
      <c r="W25" s="221"/>
      <c r="X25" s="221"/>
      <c r="Y25" s="222"/>
      <c r="Z25" s="222"/>
      <c r="AA25" s="222"/>
      <c r="AB25" s="222"/>
      <c r="AC25" s="223"/>
      <c r="AD25" s="223"/>
      <c r="AE25" s="223"/>
      <c r="AF25" s="223"/>
      <c r="AG25" s="222"/>
      <c r="AH25" s="222"/>
      <c r="AI25" s="222"/>
      <c r="AJ25" s="222"/>
      <c r="AK25" s="222"/>
      <c r="AL25" s="222"/>
      <c r="AM25" s="222"/>
      <c r="AN25" s="222"/>
      <c r="AO25" s="222"/>
      <c r="AP25" s="222"/>
      <c r="AQ25" s="222"/>
      <c r="AR25" s="222"/>
      <c r="AS25" s="222"/>
      <c r="AT25" s="222"/>
      <c r="AU25" s="222"/>
      <c r="AV25" s="222"/>
      <c r="AW25" s="222"/>
      <c r="AX25" s="222"/>
      <c r="AY25" s="222"/>
      <c r="AZ25" s="222"/>
      <c r="BA25" s="222"/>
    </row>
    <row r="26" spans="2:53" s="4" customFormat="1" ht="18" customHeight="1" x14ac:dyDescent="0.15">
      <c r="B26" s="235" t="s">
        <v>10</v>
      </c>
      <c r="C26" s="233"/>
      <c r="D26" s="233"/>
      <c r="E26" s="233"/>
      <c r="F26" s="233"/>
      <c r="G26" s="233"/>
      <c r="H26" s="233"/>
      <c r="I26" s="235">
        <f>SUM(I28:L31)</f>
        <v>167168000</v>
      </c>
      <c r="J26" s="233"/>
      <c r="K26" s="233"/>
      <c r="L26" s="233"/>
      <c r="M26" s="235">
        <f>SUM(M28:P31)</f>
        <v>27000</v>
      </c>
      <c r="N26" s="233"/>
      <c r="O26" s="233"/>
      <c r="P26" s="237"/>
      <c r="Q26" s="235">
        <f t="shared" ref="Q26" si="0">SUM(Q28:T31)</f>
        <v>0</v>
      </c>
      <c r="R26" s="233"/>
      <c r="S26" s="233"/>
      <c r="T26" s="237"/>
      <c r="U26" s="235">
        <f t="shared" ref="U26" si="1">SUM(U28:X31)</f>
        <v>167195000</v>
      </c>
      <c r="V26" s="233"/>
      <c r="W26" s="233"/>
      <c r="X26" s="233"/>
      <c r="Y26" s="239">
        <f t="shared" ref="Y26" si="2">SUM(Y28:AB31)</f>
        <v>167758483</v>
      </c>
      <c r="Z26" s="239"/>
      <c r="AA26" s="239"/>
      <c r="AB26" s="239"/>
      <c r="AC26" s="233">
        <f>Y26-U26</f>
        <v>563483</v>
      </c>
      <c r="AD26" s="233"/>
      <c r="AE26" s="233"/>
      <c r="AF26" s="233"/>
      <c r="AG26" s="222"/>
      <c r="AH26" s="222"/>
      <c r="AI26" s="222"/>
      <c r="AJ26" s="222"/>
      <c r="AK26" s="222"/>
      <c r="AL26" s="222"/>
      <c r="AM26" s="222"/>
      <c r="AN26" s="222"/>
      <c r="AO26" s="222"/>
      <c r="AP26" s="222"/>
      <c r="AQ26" s="222"/>
      <c r="AR26" s="222"/>
      <c r="AS26" s="222"/>
      <c r="AT26" s="222"/>
      <c r="AU26" s="222"/>
      <c r="AV26" s="222"/>
      <c r="AW26" s="222"/>
      <c r="AX26" s="222"/>
      <c r="AY26" s="222"/>
      <c r="AZ26" s="222"/>
      <c r="BA26" s="222"/>
    </row>
    <row r="27" spans="2:53" s="4" customFormat="1" ht="18" customHeight="1" x14ac:dyDescent="0.15">
      <c r="B27" s="236"/>
      <c r="C27" s="234"/>
      <c r="D27" s="234"/>
      <c r="E27" s="234"/>
      <c r="F27" s="234"/>
      <c r="G27" s="234"/>
      <c r="H27" s="234"/>
      <c r="I27" s="236"/>
      <c r="J27" s="234"/>
      <c r="K27" s="234"/>
      <c r="L27" s="234"/>
      <c r="M27" s="236"/>
      <c r="N27" s="234"/>
      <c r="O27" s="234"/>
      <c r="P27" s="238"/>
      <c r="Q27" s="236"/>
      <c r="R27" s="234"/>
      <c r="S27" s="234"/>
      <c r="T27" s="238"/>
      <c r="U27" s="236"/>
      <c r="V27" s="234"/>
      <c r="W27" s="234"/>
      <c r="X27" s="234"/>
      <c r="Y27" s="239"/>
      <c r="Z27" s="239"/>
      <c r="AA27" s="239"/>
      <c r="AB27" s="239"/>
      <c r="AC27" s="234"/>
      <c r="AD27" s="234"/>
      <c r="AE27" s="234"/>
      <c r="AF27" s="234"/>
      <c r="AG27" s="222"/>
      <c r="AH27" s="222"/>
      <c r="AI27" s="222"/>
      <c r="AJ27" s="222"/>
      <c r="AK27" s="222"/>
      <c r="AL27" s="222"/>
      <c r="AM27" s="222"/>
      <c r="AN27" s="222"/>
      <c r="AO27" s="222"/>
      <c r="AP27" s="222"/>
      <c r="AQ27" s="222"/>
      <c r="AR27" s="222"/>
      <c r="AS27" s="222"/>
      <c r="AT27" s="222"/>
      <c r="AU27" s="222"/>
      <c r="AV27" s="222"/>
      <c r="AW27" s="222"/>
      <c r="AX27" s="222"/>
      <c r="AY27" s="222"/>
      <c r="AZ27" s="222"/>
      <c r="BA27" s="222"/>
    </row>
    <row r="28" spans="2:53" s="4" customFormat="1" ht="18" customHeight="1" x14ac:dyDescent="0.15">
      <c r="B28" s="235" t="s">
        <v>11</v>
      </c>
      <c r="C28" s="233"/>
      <c r="D28" s="233"/>
      <c r="E28" s="233"/>
      <c r="F28" s="233"/>
      <c r="G28" s="233"/>
      <c r="H28" s="233"/>
      <c r="I28" s="235">
        <v>126487000</v>
      </c>
      <c r="J28" s="233"/>
      <c r="K28" s="233"/>
      <c r="L28" s="233"/>
      <c r="M28" s="235">
        <v>-3000000</v>
      </c>
      <c r="N28" s="233"/>
      <c r="O28" s="233"/>
      <c r="P28" s="237"/>
      <c r="Q28" s="235">
        <v>0</v>
      </c>
      <c r="R28" s="233"/>
      <c r="S28" s="233"/>
      <c r="T28" s="237"/>
      <c r="U28" s="235">
        <f>SUM(I28:T29)</f>
        <v>123487000</v>
      </c>
      <c r="V28" s="233"/>
      <c r="W28" s="233"/>
      <c r="X28" s="233"/>
      <c r="Y28" s="239">
        <v>124023029</v>
      </c>
      <c r="Z28" s="239"/>
      <c r="AA28" s="239"/>
      <c r="AB28" s="239"/>
      <c r="AC28" s="240">
        <f>Y28-U28</f>
        <v>536029</v>
      </c>
      <c r="AD28" s="241"/>
      <c r="AE28" s="241"/>
      <c r="AF28" s="241"/>
      <c r="AG28" s="244" t="s">
        <v>58</v>
      </c>
      <c r="AH28" s="245"/>
      <c r="AI28" s="245"/>
      <c r="AJ28" s="245"/>
      <c r="AK28" s="245"/>
      <c r="AL28" s="245"/>
      <c r="AM28" s="245"/>
      <c r="AN28" s="245"/>
      <c r="AO28" s="245"/>
      <c r="AP28" s="245"/>
      <c r="AQ28" s="245"/>
      <c r="AR28" s="245"/>
      <c r="AS28" s="245"/>
      <c r="AT28" s="245"/>
      <c r="AU28" s="245"/>
      <c r="AV28" s="245"/>
      <c r="AW28" s="245"/>
      <c r="AX28" s="245"/>
      <c r="AY28" s="245"/>
      <c r="AZ28" s="245"/>
      <c r="BA28" s="246"/>
    </row>
    <row r="29" spans="2:53" s="4" customFormat="1" ht="18" customHeight="1" x14ac:dyDescent="0.15">
      <c r="B29" s="236"/>
      <c r="C29" s="234"/>
      <c r="D29" s="234"/>
      <c r="E29" s="234"/>
      <c r="F29" s="234"/>
      <c r="G29" s="234"/>
      <c r="H29" s="234"/>
      <c r="I29" s="236"/>
      <c r="J29" s="234"/>
      <c r="K29" s="234"/>
      <c r="L29" s="234"/>
      <c r="M29" s="236"/>
      <c r="N29" s="234"/>
      <c r="O29" s="234"/>
      <c r="P29" s="238"/>
      <c r="Q29" s="236"/>
      <c r="R29" s="234"/>
      <c r="S29" s="234"/>
      <c r="T29" s="238"/>
      <c r="U29" s="236"/>
      <c r="V29" s="234"/>
      <c r="W29" s="234"/>
      <c r="X29" s="234"/>
      <c r="Y29" s="239"/>
      <c r="Z29" s="239"/>
      <c r="AA29" s="239"/>
      <c r="AB29" s="239"/>
      <c r="AC29" s="242"/>
      <c r="AD29" s="243"/>
      <c r="AE29" s="243"/>
      <c r="AF29" s="243"/>
      <c r="AG29" s="247"/>
      <c r="AH29" s="248"/>
      <c r="AI29" s="248"/>
      <c r="AJ29" s="248"/>
      <c r="AK29" s="248"/>
      <c r="AL29" s="248"/>
      <c r="AM29" s="248"/>
      <c r="AN29" s="248"/>
      <c r="AO29" s="248"/>
      <c r="AP29" s="248"/>
      <c r="AQ29" s="248"/>
      <c r="AR29" s="248"/>
      <c r="AS29" s="248"/>
      <c r="AT29" s="248"/>
      <c r="AU29" s="248"/>
      <c r="AV29" s="248"/>
      <c r="AW29" s="248"/>
      <c r="AX29" s="248"/>
      <c r="AY29" s="248"/>
      <c r="AZ29" s="248"/>
      <c r="BA29" s="249"/>
    </row>
    <row r="30" spans="2:53" s="4" customFormat="1" ht="18" customHeight="1" x14ac:dyDescent="0.15">
      <c r="B30" s="235" t="s">
        <v>12</v>
      </c>
      <c r="C30" s="233"/>
      <c r="D30" s="233"/>
      <c r="E30" s="233"/>
      <c r="F30" s="233"/>
      <c r="G30" s="233"/>
      <c r="H30" s="237"/>
      <c r="I30" s="235">
        <v>40681000</v>
      </c>
      <c r="J30" s="233"/>
      <c r="K30" s="233"/>
      <c r="L30" s="237"/>
      <c r="M30" s="235">
        <v>3027000</v>
      </c>
      <c r="N30" s="233"/>
      <c r="O30" s="233"/>
      <c r="P30" s="237"/>
      <c r="Q30" s="235">
        <v>0</v>
      </c>
      <c r="R30" s="233"/>
      <c r="S30" s="233"/>
      <c r="T30" s="237"/>
      <c r="U30" s="235">
        <f>SUM(I30:T31)</f>
        <v>43708000</v>
      </c>
      <c r="V30" s="233"/>
      <c r="W30" s="233"/>
      <c r="X30" s="233"/>
      <c r="Y30" s="239">
        <v>43735454</v>
      </c>
      <c r="Z30" s="239"/>
      <c r="AA30" s="239"/>
      <c r="AB30" s="239"/>
      <c r="AC30" s="235">
        <f>Y30-U30</f>
        <v>27454</v>
      </c>
      <c r="AD30" s="233"/>
      <c r="AE30" s="233"/>
      <c r="AF30" s="233"/>
      <c r="AG30" s="251"/>
      <c r="AH30" s="251"/>
      <c r="AI30" s="251"/>
      <c r="AJ30" s="251"/>
      <c r="AK30" s="251"/>
      <c r="AL30" s="251"/>
      <c r="AM30" s="251"/>
      <c r="AN30" s="251"/>
      <c r="AO30" s="251"/>
      <c r="AP30" s="251"/>
      <c r="AQ30" s="251"/>
      <c r="AR30" s="251"/>
      <c r="AS30" s="251"/>
      <c r="AT30" s="251"/>
      <c r="AU30" s="251"/>
      <c r="AV30" s="251"/>
      <c r="AW30" s="251"/>
      <c r="AX30" s="251"/>
      <c r="AY30" s="251"/>
      <c r="AZ30" s="251"/>
      <c r="BA30" s="251"/>
    </row>
    <row r="31" spans="2:53" s="4" customFormat="1" ht="18" customHeight="1" x14ac:dyDescent="0.15">
      <c r="B31" s="236"/>
      <c r="C31" s="234"/>
      <c r="D31" s="234"/>
      <c r="E31" s="234"/>
      <c r="F31" s="234"/>
      <c r="G31" s="234"/>
      <c r="H31" s="238"/>
      <c r="I31" s="236"/>
      <c r="J31" s="234"/>
      <c r="K31" s="234"/>
      <c r="L31" s="238"/>
      <c r="M31" s="236"/>
      <c r="N31" s="234"/>
      <c r="O31" s="234"/>
      <c r="P31" s="238"/>
      <c r="Q31" s="236"/>
      <c r="R31" s="234"/>
      <c r="S31" s="234"/>
      <c r="T31" s="238"/>
      <c r="U31" s="236"/>
      <c r="V31" s="234"/>
      <c r="W31" s="234"/>
      <c r="X31" s="234"/>
      <c r="Y31" s="239"/>
      <c r="Z31" s="239"/>
      <c r="AA31" s="239"/>
      <c r="AB31" s="239"/>
      <c r="AC31" s="236"/>
      <c r="AD31" s="234"/>
      <c r="AE31" s="234"/>
      <c r="AF31" s="234"/>
      <c r="AG31" s="251"/>
      <c r="AH31" s="251"/>
      <c r="AI31" s="251"/>
      <c r="AJ31" s="251"/>
      <c r="AK31" s="251"/>
      <c r="AL31" s="251"/>
      <c r="AM31" s="251"/>
      <c r="AN31" s="251"/>
      <c r="AO31" s="251"/>
      <c r="AP31" s="251"/>
      <c r="AQ31" s="251"/>
      <c r="AR31" s="251"/>
      <c r="AS31" s="251"/>
      <c r="AT31" s="251"/>
      <c r="AU31" s="251"/>
      <c r="AV31" s="251"/>
      <c r="AW31" s="251"/>
      <c r="AX31" s="251"/>
      <c r="AY31" s="251"/>
      <c r="AZ31" s="251"/>
      <c r="BA31" s="251"/>
    </row>
    <row r="32" spans="2:53" ht="13.5" customHeight="1" x14ac:dyDescent="0.15">
      <c r="B32" s="252" t="s">
        <v>13</v>
      </c>
      <c r="C32" s="252"/>
      <c r="D32" s="252"/>
      <c r="E32" s="252"/>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row>
    <row r="33" spans="2:53" ht="13.5" customHeight="1" x14ac:dyDescent="0.15">
      <c r="B33" s="252"/>
      <c r="C33" s="252"/>
      <c r="D33" s="252"/>
      <c r="E33" s="252"/>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row>
    <row r="34" spans="2:53" ht="13.5" customHeight="1" x14ac:dyDescent="0.15">
      <c r="B34" s="214"/>
      <c r="C34" s="214"/>
      <c r="D34" s="214"/>
      <c r="E34" s="214"/>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9"/>
      <c r="AU34" s="215" t="s">
        <v>47</v>
      </c>
      <c r="AV34" s="215"/>
      <c r="AW34" s="215"/>
      <c r="AX34" s="215"/>
      <c r="AY34" s="215"/>
      <c r="AZ34" s="215"/>
      <c r="BA34" s="215"/>
    </row>
    <row r="35" spans="2:53" s="4" customFormat="1" ht="13.5" customHeight="1" x14ac:dyDescent="0.15">
      <c r="B35" s="222" t="s">
        <v>2</v>
      </c>
      <c r="C35" s="222"/>
      <c r="D35" s="222"/>
      <c r="E35" s="222"/>
      <c r="F35" s="222"/>
      <c r="G35" s="222"/>
      <c r="H35" s="222"/>
      <c r="I35" s="216" t="s">
        <v>14</v>
      </c>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24"/>
      <c r="AH35" s="216" t="s">
        <v>15</v>
      </c>
      <c r="AI35" s="217"/>
      <c r="AJ35" s="217"/>
      <c r="AK35" s="224"/>
      <c r="AL35" s="250" t="s">
        <v>16</v>
      </c>
      <c r="AM35" s="250"/>
      <c r="AN35" s="222" t="s">
        <v>17</v>
      </c>
      <c r="AO35" s="222"/>
      <c r="AP35" s="222"/>
      <c r="AQ35" s="222"/>
      <c r="AR35" s="216" t="s">
        <v>18</v>
      </c>
      <c r="AS35" s="217"/>
      <c r="AT35" s="217"/>
      <c r="AU35" s="217"/>
      <c r="AV35" s="217"/>
      <c r="AW35" s="217"/>
      <c r="AX35" s="217"/>
      <c r="AY35" s="217"/>
      <c r="AZ35" s="217"/>
      <c r="BA35" s="224"/>
    </row>
    <row r="36" spans="2:53" s="4" customFormat="1" ht="13.5" customHeight="1" x14ac:dyDescent="0.15">
      <c r="B36" s="222"/>
      <c r="C36" s="222"/>
      <c r="D36" s="222"/>
      <c r="E36" s="222"/>
      <c r="F36" s="222"/>
      <c r="G36" s="222"/>
      <c r="H36" s="222"/>
      <c r="I36" s="220"/>
      <c r="J36" s="221"/>
      <c r="K36" s="221"/>
      <c r="L36" s="221"/>
      <c r="M36" s="221"/>
      <c r="N36" s="221"/>
      <c r="O36" s="221"/>
      <c r="P36" s="221"/>
      <c r="Q36" s="221"/>
      <c r="R36" s="221"/>
      <c r="S36" s="221"/>
      <c r="T36" s="221"/>
      <c r="U36" s="221"/>
      <c r="V36" s="221"/>
      <c r="W36" s="221"/>
      <c r="X36" s="221"/>
      <c r="Y36" s="221"/>
      <c r="Z36" s="221"/>
      <c r="AA36" s="221"/>
      <c r="AB36" s="221"/>
      <c r="AC36" s="221"/>
      <c r="AD36" s="221"/>
      <c r="AE36" s="221"/>
      <c r="AF36" s="221"/>
      <c r="AG36" s="226"/>
      <c r="AH36" s="218"/>
      <c r="AI36" s="219"/>
      <c r="AJ36" s="219"/>
      <c r="AK36" s="225"/>
      <c r="AL36" s="250"/>
      <c r="AM36" s="250"/>
      <c r="AN36" s="222"/>
      <c r="AO36" s="222"/>
      <c r="AP36" s="222"/>
      <c r="AQ36" s="222"/>
      <c r="AR36" s="218"/>
      <c r="AS36" s="219"/>
      <c r="AT36" s="219"/>
      <c r="AU36" s="219"/>
      <c r="AV36" s="219"/>
      <c r="AW36" s="219"/>
      <c r="AX36" s="219"/>
      <c r="AY36" s="219"/>
      <c r="AZ36" s="219"/>
      <c r="BA36" s="225"/>
    </row>
    <row r="37" spans="2:53" s="4" customFormat="1" ht="13.5" customHeight="1" x14ac:dyDescent="0.15">
      <c r="B37" s="222"/>
      <c r="C37" s="222"/>
      <c r="D37" s="222"/>
      <c r="E37" s="222"/>
      <c r="F37" s="222"/>
      <c r="G37" s="222"/>
      <c r="H37" s="222"/>
      <c r="I37" s="222" t="s">
        <v>19</v>
      </c>
      <c r="J37" s="222"/>
      <c r="K37" s="222"/>
      <c r="L37" s="222"/>
      <c r="M37" s="222" t="s">
        <v>20</v>
      </c>
      <c r="N37" s="222"/>
      <c r="O37" s="222"/>
      <c r="P37" s="222"/>
      <c r="Q37" s="223" t="s">
        <v>21</v>
      </c>
      <c r="R37" s="223"/>
      <c r="S37" s="223" t="s">
        <v>22</v>
      </c>
      <c r="T37" s="223"/>
      <c r="U37" s="223"/>
      <c r="V37" s="250" t="s">
        <v>23</v>
      </c>
      <c r="W37" s="250"/>
      <c r="X37" s="222" t="s">
        <v>24</v>
      </c>
      <c r="Y37" s="222"/>
      <c r="Z37" s="222"/>
      <c r="AA37" s="222"/>
      <c r="AB37" s="250" t="s">
        <v>16</v>
      </c>
      <c r="AC37" s="250"/>
      <c r="AD37" s="222" t="s">
        <v>25</v>
      </c>
      <c r="AE37" s="222"/>
      <c r="AF37" s="222"/>
      <c r="AG37" s="222"/>
      <c r="AH37" s="218"/>
      <c r="AI37" s="219"/>
      <c r="AJ37" s="219"/>
      <c r="AK37" s="225"/>
      <c r="AL37" s="250"/>
      <c r="AM37" s="250"/>
      <c r="AN37" s="222"/>
      <c r="AO37" s="222"/>
      <c r="AP37" s="222"/>
      <c r="AQ37" s="222"/>
      <c r="AR37" s="218"/>
      <c r="AS37" s="219"/>
      <c r="AT37" s="219"/>
      <c r="AU37" s="219"/>
      <c r="AV37" s="219"/>
      <c r="AW37" s="219"/>
      <c r="AX37" s="219"/>
      <c r="AY37" s="219"/>
      <c r="AZ37" s="219"/>
      <c r="BA37" s="225"/>
    </row>
    <row r="38" spans="2:53" s="4" customFormat="1" ht="13.5" customHeight="1" x14ac:dyDescent="0.15">
      <c r="B38" s="222"/>
      <c r="C38" s="222"/>
      <c r="D38" s="222"/>
      <c r="E38" s="222"/>
      <c r="F38" s="222"/>
      <c r="G38" s="222"/>
      <c r="H38" s="222"/>
      <c r="I38" s="222"/>
      <c r="J38" s="222"/>
      <c r="K38" s="222"/>
      <c r="L38" s="222"/>
      <c r="M38" s="222"/>
      <c r="N38" s="222"/>
      <c r="O38" s="222"/>
      <c r="P38" s="222"/>
      <c r="Q38" s="223"/>
      <c r="R38" s="223"/>
      <c r="S38" s="223"/>
      <c r="T38" s="223"/>
      <c r="U38" s="223"/>
      <c r="V38" s="250"/>
      <c r="W38" s="250"/>
      <c r="X38" s="222"/>
      <c r="Y38" s="222"/>
      <c r="Z38" s="222"/>
      <c r="AA38" s="222"/>
      <c r="AB38" s="250"/>
      <c r="AC38" s="250"/>
      <c r="AD38" s="222"/>
      <c r="AE38" s="222"/>
      <c r="AF38" s="222"/>
      <c r="AG38" s="222"/>
      <c r="AH38" s="218"/>
      <c r="AI38" s="219"/>
      <c r="AJ38" s="219"/>
      <c r="AK38" s="225"/>
      <c r="AL38" s="250"/>
      <c r="AM38" s="250"/>
      <c r="AN38" s="222"/>
      <c r="AO38" s="222"/>
      <c r="AP38" s="222"/>
      <c r="AQ38" s="222"/>
      <c r="AR38" s="218"/>
      <c r="AS38" s="219"/>
      <c r="AT38" s="219"/>
      <c r="AU38" s="219"/>
      <c r="AV38" s="219"/>
      <c r="AW38" s="219"/>
      <c r="AX38" s="219"/>
      <c r="AY38" s="219"/>
      <c r="AZ38" s="219"/>
      <c r="BA38" s="225"/>
    </row>
    <row r="39" spans="2:53" s="4" customFormat="1" ht="13.5" customHeight="1" x14ac:dyDescent="0.15">
      <c r="B39" s="222"/>
      <c r="C39" s="222"/>
      <c r="D39" s="222"/>
      <c r="E39" s="222"/>
      <c r="F39" s="222"/>
      <c r="G39" s="222"/>
      <c r="H39" s="222"/>
      <c r="I39" s="222"/>
      <c r="J39" s="222"/>
      <c r="K39" s="222"/>
      <c r="L39" s="222"/>
      <c r="M39" s="222"/>
      <c r="N39" s="222"/>
      <c r="O39" s="222"/>
      <c r="P39" s="222"/>
      <c r="Q39" s="223"/>
      <c r="R39" s="223"/>
      <c r="S39" s="223"/>
      <c r="T39" s="223"/>
      <c r="U39" s="223"/>
      <c r="V39" s="250"/>
      <c r="W39" s="250"/>
      <c r="X39" s="222"/>
      <c r="Y39" s="222"/>
      <c r="Z39" s="222"/>
      <c r="AA39" s="222"/>
      <c r="AB39" s="250"/>
      <c r="AC39" s="250"/>
      <c r="AD39" s="222"/>
      <c r="AE39" s="222"/>
      <c r="AF39" s="222"/>
      <c r="AG39" s="222"/>
      <c r="AH39" s="218"/>
      <c r="AI39" s="219"/>
      <c r="AJ39" s="219"/>
      <c r="AK39" s="225"/>
      <c r="AL39" s="250"/>
      <c r="AM39" s="250"/>
      <c r="AN39" s="222"/>
      <c r="AO39" s="222"/>
      <c r="AP39" s="222"/>
      <c r="AQ39" s="222"/>
      <c r="AR39" s="218"/>
      <c r="AS39" s="219"/>
      <c r="AT39" s="219"/>
      <c r="AU39" s="219"/>
      <c r="AV39" s="219"/>
      <c r="AW39" s="219"/>
      <c r="AX39" s="219"/>
      <c r="AY39" s="219"/>
      <c r="AZ39" s="219"/>
      <c r="BA39" s="225"/>
    </row>
    <row r="40" spans="2:53" s="4" customFormat="1" ht="13.5" customHeight="1" x14ac:dyDescent="0.15">
      <c r="B40" s="222"/>
      <c r="C40" s="222"/>
      <c r="D40" s="222"/>
      <c r="E40" s="222"/>
      <c r="F40" s="222"/>
      <c r="G40" s="222"/>
      <c r="H40" s="222"/>
      <c r="I40" s="222"/>
      <c r="J40" s="222"/>
      <c r="K40" s="222"/>
      <c r="L40" s="222"/>
      <c r="M40" s="222"/>
      <c r="N40" s="222"/>
      <c r="O40" s="222"/>
      <c r="P40" s="222"/>
      <c r="Q40" s="223"/>
      <c r="R40" s="223"/>
      <c r="S40" s="223"/>
      <c r="T40" s="223"/>
      <c r="U40" s="223"/>
      <c r="V40" s="250"/>
      <c r="W40" s="250"/>
      <c r="X40" s="222"/>
      <c r="Y40" s="222"/>
      <c r="Z40" s="222"/>
      <c r="AA40" s="222"/>
      <c r="AB40" s="250"/>
      <c r="AC40" s="250"/>
      <c r="AD40" s="222"/>
      <c r="AE40" s="222"/>
      <c r="AF40" s="222"/>
      <c r="AG40" s="222"/>
      <c r="AH40" s="220"/>
      <c r="AI40" s="221"/>
      <c r="AJ40" s="221"/>
      <c r="AK40" s="226"/>
      <c r="AL40" s="250"/>
      <c r="AM40" s="250"/>
      <c r="AN40" s="222"/>
      <c r="AO40" s="222"/>
      <c r="AP40" s="222"/>
      <c r="AQ40" s="222"/>
      <c r="AR40" s="220"/>
      <c r="AS40" s="221"/>
      <c r="AT40" s="221"/>
      <c r="AU40" s="221"/>
      <c r="AV40" s="221"/>
      <c r="AW40" s="221"/>
      <c r="AX40" s="221"/>
      <c r="AY40" s="221"/>
      <c r="AZ40" s="221"/>
      <c r="BA40" s="226"/>
    </row>
    <row r="41" spans="2:53" s="4" customFormat="1" ht="18" customHeight="1" x14ac:dyDescent="0.15">
      <c r="B41" s="239" t="s">
        <v>26</v>
      </c>
      <c r="C41" s="239"/>
      <c r="D41" s="239"/>
      <c r="E41" s="239"/>
      <c r="F41" s="239"/>
      <c r="G41" s="239"/>
      <c r="H41" s="239"/>
      <c r="I41" s="253">
        <f>SUM(I43:L48)</f>
        <v>161976000</v>
      </c>
      <c r="J41" s="254"/>
      <c r="K41" s="254"/>
      <c r="L41" s="255"/>
      <c r="M41" s="253">
        <f>SUM(M43:P48)</f>
        <v>-563000</v>
      </c>
      <c r="N41" s="254"/>
      <c r="O41" s="254"/>
      <c r="P41" s="255"/>
      <c r="Q41" s="239">
        <f>SUM(Q43:R48)</f>
        <v>0</v>
      </c>
      <c r="R41" s="239"/>
      <c r="S41" s="239">
        <f>SUM(S43:U48)</f>
        <v>0</v>
      </c>
      <c r="T41" s="239"/>
      <c r="U41" s="239"/>
      <c r="V41" s="253">
        <f>SUM(V43:W48)</f>
        <v>0</v>
      </c>
      <c r="W41" s="255"/>
      <c r="X41" s="253">
        <f>SUM(X43:AA48)</f>
        <v>161413000</v>
      </c>
      <c r="Y41" s="254"/>
      <c r="Z41" s="254"/>
      <c r="AA41" s="255"/>
      <c r="AB41" s="235">
        <f>SUM(AB43:AC48)</f>
        <v>0</v>
      </c>
      <c r="AC41" s="233"/>
      <c r="AD41" s="253">
        <f>SUM(AD43:AG48)</f>
        <v>161413000</v>
      </c>
      <c r="AE41" s="254"/>
      <c r="AF41" s="254"/>
      <c r="AG41" s="255"/>
      <c r="AH41" s="235">
        <f>SUM(AH43:AK48)</f>
        <v>151955427</v>
      </c>
      <c r="AI41" s="233"/>
      <c r="AJ41" s="233"/>
      <c r="AK41" s="233"/>
      <c r="AL41" s="259">
        <f>SUM(AL43:AM48)</f>
        <v>0</v>
      </c>
      <c r="AM41" s="259"/>
      <c r="AN41" s="259">
        <f>SUM(AN43:AQ48)</f>
        <v>9457573</v>
      </c>
      <c r="AO41" s="259"/>
      <c r="AP41" s="259"/>
      <c r="AQ41" s="259"/>
      <c r="AR41" s="260"/>
      <c r="AS41" s="261"/>
      <c r="AT41" s="261"/>
      <c r="AU41" s="261"/>
      <c r="AV41" s="261"/>
      <c r="AW41" s="261"/>
      <c r="AX41" s="261"/>
      <c r="AY41" s="261"/>
      <c r="AZ41" s="261"/>
      <c r="BA41" s="262"/>
    </row>
    <row r="42" spans="2:53" s="4" customFormat="1" ht="18" customHeight="1" x14ac:dyDescent="0.15">
      <c r="B42" s="239"/>
      <c r="C42" s="239"/>
      <c r="D42" s="239"/>
      <c r="E42" s="239"/>
      <c r="F42" s="239"/>
      <c r="G42" s="239"/>
      <c r="H42" s="239"/>
      <c r="I42" s="256"/>
      <c r="J42" s="257"/>
      <c r="K42" s="257"/>
      <c r="L42" s="258"/>
      <c r="M42" s="256"/>
      <c r="N42" s="257"/>
      <c r="O42" s="257"/>
      <c r="P42" s="258"/>
      <c r="Q42" s="239"/>
      <c r="R42" s="239"/>
      <c r="S42" s="239"/>
      <c r="T42" s="239"/>
      <c r="U42" s="239"/>
      <c r="V42" s="256"/>
      <c r="W42" s="258"/>
      <c r="X42" s="256"/>
      <c r="Y42" s="257"/>
      <c r="Z42" s="257"/>
      <c r="AA42" s="258"/>
      <c r="AB42" s="236"/>
      <c r="AC42" s="234"/>
      <c r="AD42" s="256"/>
      <c r="AE42" s="257"/>
      <c r="AF42" s="257"/>
      <c r="AG42" s="258"/>
      <c r="AH42" s="236"/>
      <c r="AI42" s="234"/>
      <c r="AJ42" s="234"/>
      <c r="AK42" s="234"/>
      <c r="AL42" s="259"/>
      <c r="AM42" s="259"/>
      <c r="AN42" s="259"/>
      <c r="AO42" s="259"/>
      <c r="AP42" s="259"/>
      <c r="AQ42" s="259"/>
      <c r="AR42" s="263"/>
      <c r="AS42" s="264"/>
      <c r="AT42" s="264"/>
      <c r="AU42" s="264"/>
      <c r="AV42" s="264"/>
      <c r="AW42" s="264"/>
      <c r="AX42" s="264"/>
      <c r="AY42" s="264"/>
      <c r="AZ42" s="264"/>
      <c r="BA42" s="265"/>
    </row>
    <row r="43" spans="2:53" s="4" customFormat="1" ht="18" customHeight="1" x14ac:dyDescent="0.15">
      <c r="B43" s="239" t="s">
        <v>27</v>
      </c>
      <c r="C43" s="239"/>
      <c r="D43" s="239"/>
      <c r="E43" s="239"/>
      <c r="F43" s="239"/>
      <c r="G43" s="239"/>
      <c r="H43" s="239"/>
      <c r="I43" s="239">
        <v>150979000</v>
      </c>
      <c r="J43" s="239"/>
      <c r="K43" s="239"/>
      <c r="L43" s="239"/>
      <c r="M43" s="239">
        <v>-2077000</v>
      </c>
      <c r="N43" s="239"/>
      <c r="O43" s="239"/>
      <c r="P43" s="239"/>
      <c r="Q43" s="239">
        <v>0</v>
      </c>
      <c r="R43" s="239"/>
      <c r="S43" s="259">
        <v>0</v>
      </c>
      <c r="T43" s="259"/>
      <c r="U43" s="259"/>
      <c r="V43" s="239">
        <v>0</v>
      </c>
      <c r="W43" s="239"/>
      <c r="X43" s="239">
        <f>SUM(I43:T44)</f>
        <v>148902000</v>
      </c>
      <c r="Y43" s="239"/>
      <c r="Z43" s="239"/>
      <c r="AA43" s="239"/>
      <c r="AB43" s="235">
        <v>0</v>
      </c>
      <c r="AC43" s="237"/>
      <c r="AD43" s="239">
        <f>SUM(X43:AC44)</f>
        <v>148902000</v>
      </c>
      <c r="AE43" s="239"/>
      <c r="AF43" s="239"/>
      <c r="AG43" s="239"/>
      <c r="AH43" s="235">
        <v>139468424</v>
      </c>
      <c r="AI43" s="233"/>
      <c r="AJ43" s="233"/>
      <c r="AK43" s="237"/>
      <c r="AL43" s="259">
        <v>0</v>
      </c>
      <c r="AM43" s="259"/>
      <c r="AN43" s="259">
        <f>AD43-AH43-AL43</f>
        <v>9433576</v>
      </c>
      <c r="AO43" s="259"/>
      <c r="AP43" s="259"/>
      <c r="AQ43" s="259"/>
      <c r="AR43" s="272" t="s">
        <v>59</v>
      </c>
      <c r="AS43" s="273"/>
      <c r="AT43" s="273"/>
      <c r="AU43" s="273"/>
      <c r="AV43" s="273"/>
      <c r="AW43" s="273"/>
      <c r="AX43" s="273"/>
      <c r="AY43" s="273"/>
      <c r="AZ43" s="273"/>
      <c r="BA43" s="274"/>
    </row>
    <row r="44" spans="2:53" s="4" customFormat="1" ht="18" customHeight="1" x14ac:dyDescent="0.15">
      <c r="B44" s="239"/>
      <c r="C44" s="239"/>
      <c r="D44" s="239"/>
      <c r="E44" s="239"/>
      <c r="F44" s="239"/>
      <c r="G44" s="239"/>
      <c r="H44" s="239"/>
      <c r="I44" s="239"/>
      <c r="J44" s="239"/>
      <c r="K44" s="239"/>
      <c r="L44" s="239"/>
      <c r="M44" s="239"/>
      <c r="N44" s="239"/>
      <c r="O44" s="239"/>
      <c r="P44" s="239"/>
      <c r="Q44" s="239"/>
      <c r="R44" s="239"/>
      <c r="S44" s="259"/>
      <c r="T44" s="259"/>
      <c r="U44" s="259"/>
      <c r="V44" s="239"/>
      <c r="W44" s="239"/>
      <c r="X44" s="239"/>
      <c r="Y44" s="239"/>
      <c r="Z44" s="239"/>
      <c r="AA44" s="239"/>
      <c r="AB44" s="236"/>
      <c r="AC44" s="238"/>
      <c r="AD44" s="239"/>
      <c r="AE44" s="239"/>
      <c r="AF44" s="239"/>
      <c r="AG44" s="239"/>
      <c r="AH44" s="236"/>
      <c r="AI44" s="234"/>
      <c r="AJ44" s="234"/>
      <c r="AK44" s="238"/>
      <c r="AL44" s="259"/>
      <c r="AM44" s="259"/>
      <c r="AN44" s="259"/>
      <c r="AO44" s="259"/>
      <c r="AP44" s="259"/>
      <c r="AQ44" s="259"/>
      <c r="AR44" s="275" t="s">
        <v>54</v>
      </c>
      <c r="AS44" s="276"/>
      <c r="AT44" s="276"/>
      <c r="AU44" s="276"/>
      <c r="AV44" s="276"/>
      <c r="AW44" s="276"/>
      <c r="AX44" s="276"/>
      <c r="AY44" s="276"/>
      <c r="AZ44" s="276"/>
      <c r="BA44" s="277"/>
    </row>
    <row r="45" spans="2:53" s="4" customFormat="1" ht="18" customHeight="1" x14ac:dyDescent="0.15">
      <c r="B45" s="239" t="s">
        <v>28</v>
      </c>
      <c r="C45" s="239"/>
      <c r="D45" s="239"/>
      <c r="E45" s="239"/>
      <c r="F45" s="239"/>
      <c r="G45" s="239"/>
      <c r="H45" s="239"/>
      <c r="I45" s="239">
        <v>10497000</v>
      </c>
      <c r="J45" s="239"/>
      <c r="K45" s="239"/>
      <c r="L45" s="239"/>
      <c r="M45" s="239">
        <v>1514000</v>
      </c>
      <c r="N45" s="239"/>
      <c r="O45" s="239"/>
      <c r="P45" s="239"/>
      <c r="Q45" s="239">
        <v>0</v>
      </c>
      <c r="R45" s="239"/>
      <c r="S45" s="259">
        <v>0</v>
      </c>
      <c r="T45" s="259"/>
      <c r="U45" s="259"/>
      <c r="V45" s="239">
        <v>0</v>
      </c>
      <c r="W45" s="239"/>
      <c r="X45" s="239">
        <f>SUM(I45:T46)</f>
        <v>12011000</v>
      </c>
      <c r="Y45" s="239"/>
      <c r="Z45" s="239"/>
      <c r="AA45" s="239"/>
      <c r="AB45" s="235">
        <v>0</v>
      </c>
      <c r="AC45" s="237"/>
      <c r="AD45" s="239">
        <f>SUM(X45:AC46)</f>
        <v>12011000</v>
      </c>
      <c r="AE45" s="239"/>
      <c r="AF45" s="239"/>
      <c r="AG45" s="239"/>
      <c r="AH45" s="235">
        <v>12487003</v>
      </c>
      <c r="AI45" s="233"/>
      <c r="AJ45" s="233"/>
      <c r="AK45" s="237"/>
      <c r="AL45" s="235">
        <v>0</v>
      </c>
      <c r="AM45" s="237"/>
      <c r="AN45" s="266">
        <f>AD45-AH45-AL45</f>
        <v>-476003</v>
      </c>
      <c r="AO45" s="267"/>
      <c r="AP45" s="267"/>
      <c r="AQ45" s="268"/>
      <c r="AR45" s="272" t="s">
        <v>60</v>
      </c>
      <c r="AS45" s="273"/>
      <c r="AT45" s="273"/>
      <c r="AU45" s="273"/>
      <c r="AV45" s="273"/>
      <c r="AW45" s="273"/>
      <c r="AX45" s="273"/>
      <c r="AY45" s="273"/>
      <c r="AZ45" s="273"/>
      <c r="BA45" s="274"/>
    </row>
    <row r="46" spans="2:53" s="4" customFormat="1" ht="18" customHeight="1" x14ac:dyDescent="0.15">
      <c r="B46" s="239"/>
      <c r="C46" s="239"/>
      <c r="D46" s="239"/>
      <c r="E46" s="239"/>
      <c r="F46" s="239"/>
      <c r="G46" s="239"/>
      <c r="H46" s="239"/>
      <c r="I46" s="239"/>
      <c r="J46" s="239"/>
      <c r="K46" s="239"/>
      <c r="L46" s="239"/>
      <c r="M46" s="239"/>
      <c r="N46" s="239"/>
      <c r="O46" s="239"/>
      <c r="P46" s="239"/>
      <c r="Q46" s="239"/>
      <c r="R46" s="239"/>
      <c r="S46" s="259"/>
      <c r="T46" s="259"/>
      <c r="U46" s="259"/>
      <c r="V46" s="239"/>
      <c r="W46" s="239"/>
      <c r="X46" s="239"/>
      <c r="Y46" s="239"/>
      <c r="Z46" s="239"/>
      <c r="AA46" s="239"/>
      <c r="AB46" s="236"/>
      <c r="AC46" s="238"/>
      <c r="AD46" s="239"/>
      <c r="AE46" s="239"/>
      <c r="AF46" s="239"/>
      <c r="AG46" s="239"/>
      <c r="AH46" s="236"/>
      <c r="AI46" s="234"/>
      <c r="AJ46" s="234"/>
      <c r="AK46" s="238"/>
      <c r="AL46" s="236"/>
      <c r="AM46" s="238"/>
      <c r="AN46" s="269"/>
      <c r="AO46" s="270"/>
      <c r="AP46" s="270"/>
      <c r="AQ46" s="271"/>
      <c r="AR46" s="275" t="s">
        <v>55</v>
      </c>
      <c r="AS46" s="276"/>
      <c r="AT46" s="276"/>
      <c r="AU46" s="276"/>
      <c r="AV46" s="276"/>
      <c r="AW46" s="276"/>
      <c r="AX46" s="276"/>
      <c r="AY46" s="276"/>
      <c r="AZ46" s="276"/>
      <c r="BA46" s="277"/>
    </row>
    <row r="47" spans="2:53" s="4" customFormat="1" ht="18" customHeight="1" x14ac:dyDescent="0.15">
      <c r="B47" s="239" t="s">
        <v>29</v>
      </c>
      <c r="C47" s="239"/>
      <c r="D47" s="239"/>
      <c r="E47" s="239"/>
      <c r="F47" s="239"/>
      <c r="G47" s="239"/>
      <c r="H47" s="239"/>
      <c r="I47" s="239">
        <v>500000</v>
      </c>
      <c r="J47" s="239"/>
      <c r="K47" s="239"/>
      <c r="L47" s="239"/>
      <c r="M47" s="239">
        <v>0</v>
      </c>
      <c r="N47" s="239"/>
      <c r="O47" s="239"/>
      <c r="P47" s="239"/>
      <c r="Q47" s="239">
        <v>0</v>
      </c>
      <c r="R47" s="239"/>
      <c r="S47" s="259">
        <v>0</v>
      </c>
      <c r="T47" s="259"/>
      <c r="U47" s="259"/>
      <c r="V47" s="239">
        <v>0</v>
      </c>
      <c r="W47" s="239"/>
      <c r="X47" s="239">
        <f>SUM(I47:T48)</f>
        <v>500000</v>
      </c>
      <c r="Y47" s="239"/>
      <c r="Z47" s="239"/>
      <c r="AA47" s="239"/>
      <c r="AB47" s="235">
        <v>0</v>
      </c>
      <c r="AC47" s="237"/>
      <c r="AD47" s="239">
        <f>SUM(X47:AC48)</f>
        <v>500000</v>
      </c>
      <c r="AE47" s="239"/>
      <c r="AF47" s="239"/>
      <c r="AG47" s="239"/>
      <c r="AH47" s="235">
        <v>0</v>
      </c>
      <c r="AI47" s="233"/>
      <c r="AJ47" s="233"/>
      <c r="AK47" s="237"/>
      <c r="AL47" s="235">
        <v>0</v>
      </c>
      <c r="AM47" s="237"/>
      <c r="AN47" s="266">
        <f>AD47-AH47-AL47</f>
        <v>500000</v>
      </c>
      <c r="AO47" s="267"/>
      <c r="AP47" s="267"/>
      <c r="AQ47" s="268"/>
      <c r="AR47" s="278"/>
      <c r="AS47" s="279"/>
      <c r="AT47" s="279"/>
      <c r="AU47" s="279"/>
      <c r="AV47" s="279"/>
      <c r="AW47" s="279"/>
      <c r="AX47" s="279"/>
      <c r="AY47" s="279"/>
      <c r="AZ47" s="279"/>
      <c r="BA47" s="280"/>
    </row>
    <row r="48" spans="2:53" s="4" customFormat="1" ht="18" customHeight="1" x14ac:dyDescent="0.15">
      <c r="B48" s="239"/>
      <c r="C48" s="239"/>
      <c r="D48" s="239"/>
      <c r="E48" s="239"/>
      <c r="F48" s="239"/>
      <c r="G48" s="239"/>
      <c r="H48" s="239"/>
      <c r="I48" s="239"/>
      <c r="J48" s="239"/>
      <c r="K48" s="239"/>
      <c r="L48" s="239"/>
      <c r="M48" s="239"/>
      <c r="N48" s="239"/>
      <c r="O48" s="239"/>
      <c r="P48" s="239"/>
      <c r="Q48" s="239"/>
      <c r="R48" s="239"/>
      <c r="S48" s="259"/>
      <c r="T48" s="259"/>
      <c r="U48" s="259"/>
      <c r="V48" s="239"/>
      <c r="W48" s="239"/>
      <c r="X48" s="239"/>
      <c r="Y48" s="239"/>
      <c r="Z48" s="239"/>
      <c r="AA48" s="239"/>
      <c r="AB48" s="236"/>
      <c r="AC48" s="238"/>
      <c r="AD48" s="239"/>
      <c r="AE48" s="239"/>
      <c r="AF48" s="239"/>
      <c r="AG48" s="239"/>
      <c r="AH48" s="236"/>
      <c r="AI48" s="234"/>
      <c r="AJ48" s="234"/>
      <c r="AK48" s="238"/>
      <c r="AL48" s="236"/>
      <c r="AM48" s="238"/>
      <c r="AN48" s="269"/>
      <c r="AO48" s="270"/>
      <c r="AP48" s="270"/>
      <c r="AQ48" s="271"/>
      <c r="AR48" s="281"/>
      <c r="AS48" s="282"/>
      <c r="AT48" s="282"/>
      <c r="AU48" s="282"/>
      <c r="AV48" s="282"/>
      <c r="AW48" s="282"/>
      <c r="AX48" s="282"/>
      <c r="AY48" s="282"/>
      <c r="AZ48" s="282"/>
      <c r="BA48" s="283"/>
    </row>
    <row r="49" spans="2:83" s="3" customFormat="1" ht="13.5" customHeight="1" x14ac:dyDescent="0.15">
      <c r="B49" s="10"/>
      <c r="C49" s="10"/>
      <c r="D49" s="10"/>
      <c r="E49" s="10"/>
      <c r="F49" s="10"/>
      <c r="G49" s="10"/>
      <c r="H49" s="10"/>
      <c r="I49" s="10"/>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2"/>
      <c r="AW49" s="12"/>
      <c r="AX49" s="12"/>
      <c r="AY49" s="12"/>
      <c r="AZ49" s="12"/>
      <c r="BA49" s="1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row>
    <row r="50" spans="2:83" s="3" customFormat="1" ht="13.5" customHeight="1" x14ac:dyDescent="0.15">
      <c r="B50" s="10"/>
      <c r="C50" s="10"/>
      <c r="D50" s="10"/>
      <c r="E50" s="10"/>
      <c r="F50" s="10"/>
      <c r="G50" s="10"/>
      <c r="H50" s="10"/>
      <c r="I50" s="10"/>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2"/>
      <c r="AW50" s="12"/>
      <c r="AX50" s="12"/>
      <c r="AY50" s="12"/>
      <c r="AZ50" s="12"/>
      <c r="BA50" s="1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row>
    <row r="51" spans="2:83" s="3" customFormat="1" ht="13.5" customHeight="1" x14ac:dyDescent="0.15">
      <c r="B51" s="10"/>
      <c r="C51" s="10"/>
      <c r="D51" s="10"/>
      <c r="E51" s="10"/>
      <c r="F51" s="10"/>
      <c r="G51" s="10"/>
      <c r="H51" s="10"/>
      <c r="I51" s="10"/>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2"/>
      <c r="AW51" s="12"/>
      <c r="AX51" s="12"/>
      <c r="AY51" s="12"/>
      <c r="AZ51" s="12"/>
      <c r="BA51" s="1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row>
    <row r="52" spans="2:83" s="3" customFormat="1" ht="13.5" customHeight="1" x14ac:dyDescent="0.15">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row>
    <row r="53" spans="2:83" s="3" customFormat="1" ht="13.5" customHeight="1" x14ac:dyDescent="0.15">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row>
    <row r="54" spans="2:83" s="3" customFormat="1" ht="13.5" customHeight="1" x14ac:dyDescent="0.15">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row>
    <row r="55" spans="2:83" s="3" customFormat="1" ht="13.5" customHeight="1" x14ac:dyDescent="0.15">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row>
    <row r="56" spans="2:83" s="3" customFormat="1" ht="13.5" customHeight="1" x14ac:dyDescent="0.15">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row>
    <row r="57" spans="2:83" s="3" customFormat="1" ht="12" customHeight="1" x14ac:dyDescent="0.15">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row>
    <row r="58" spans="2:83" s="3" customFormat="1" ht="13.5" hidden="1" customHeight="1" x14ac:dyDescent="0.15">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row>
    <row r="59" spans="2:83" s="3" customFormat="1" ht="13.5" hidden="1" customHeight="1" x14ac:dyDescent="0.15">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row>
    <row r="60" spans="2:83" s="3" customFormat="1" ht="13.5" customHeight="1" x14ac:dyDescent="0.15">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row>
    <row r="61" spans="2:83" s="3" customFormat="1" ht="13.5" customHeight="1" x14ac:dyDescent="0.15">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row>
    <row r="62" spans="2:83" s="3" customFormat="1" ht="13.5" customHeight="1" x14ac:dyDescent="0.15">
      <c r="B62" s="284" t="s">
        <v>30</v>
      </c>
      <c r="C62" s="284"/>
      <c r="D62" s="284"/>
      <c r="E62" s="284"/>
      <c r="F62" s="284"/>
      <c r="G62" s="284"/>
      <c r="H62" s="284"/>
      <c r="I62" s="284"/>
      <c r="J62" s="284"/>
      <c r="K62" s="284"/>
      <c r="L62" s="284"/>
      <c r="M62" s="284"/>
      <c r="N62" s="284"/>
      <c r="O62" s="7"/>
      <c r="P62" s="7"/>
      <c r="Q62" s="7"/>
      <c r="R62" s="7"/>
      <c r="S62" s="7"/>
      <c r="T62" s="7"/>
      <c r="U62" s="7"/>
      <c r="V62" s="7"/>
      <c r="W62" s="7"/>
      <c r="X62" s="7"/>
      <c r="Y62" s="7"/>
      <c r="Z62" s="7"/>
      <c r="AA62" s="7"/>
      <c r="AB62" s="7"/>
      <c r="AC62" s="7"/>
      <c r="AD62" s="7"/>
      <c r="AE62" s="7"/>
      <c r="AF62" s="7"/>
      <c r="AG62" s="7"/>
      <c r="AH62" s="7"/>
      <c r="AI62" s="7"/>
      <c r="AJ62" s="7"/>
      <c r="AK62" s="8"/>
      <c r="AL62" s="8"/>
      <c r="AM62" s="8"/>
      <c r="AN62" s="7"/>
      <c r="AO62" s="7"/>
      <c r="AP62" s="7"/>
      <c r="AQ62" s="7"/>
      <c r="AR62" s="7"/>
      <c r="AS62" s="7"/>
      <c r="AT62" s="7"/>
      <c r="AU62" s="7"/>
      <c r="AV62" s="7"/>
      <c r="AW62" s="7"/>
      <c r="AX62" s="7"/>
      <c r="AY62" s="7"/>
      <c r="AZ62" s="7"/>
      <c r="BA62" s="7"/>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row>
    <row r="63" spans="2:83" s="3" customFormat="1" ht="13.5" customHeight="1" x14ac:dyDescent="0.15">
      <c r="B63" s="284"/>
      <c r="C63" s="284"/>
      <c r="D63" s="284"/>
      <c r="E63" s="284"/>
      <c r="F63" s="284"/>
      <c r="G63" s="284"/>
      <c r="H63" s="284"/>
      <c r="I63" s="284"/>
      <c r="J63" s="284"/>
      <c r="K63" s="284"/>
      <c r="L63" s="284"/>
      <c r="M63" s="284"/>
      <c r="N63" s="284"/>
      <c r="O63" s="8"/>
      <c r="P63" s="7"/>
      <c r="Q63" s="7"/>
      <c r="R63" s="7"/>
      <c r="S63" s="7"/>
      <c r="T63" s="7"/>
      <c r="U63" s="7"/>
      <c r="V63" s="7"/>
      <c r="W63" s="7"/>
      <c r="X63" s="7"/>
      <c r="Y63" s="7"/>
      <c r="Z63" s="7"/>
      <c r="AA63" s="7"/>
      <c r="AB63" s="7"/>
      <c r="AC63" s="7"/>
      <c r="AD63" s="7"/>
      <c r="AE63" s="7"/>
      <c r="AF63" s="7"/>
      <c r="AG63" s="7"/>
      <c r="AH63" s="7"/>
      <c r="AI63" s="7"/>
      <c r="AJ63" s="7"/>
      <c r="AK63" s="7"/>
      <c r="AL63" s="7"/>
      <c r="AM63" s="7"/>
      <c r="AN63" s="7"/>
      <c r="AO63" s="8"/>
      <c r="AP63" s="8"/>
      <c r="AQ63" s="8"/>
      <c r="AR63" s="13"/>
      <c r="AS63" s="13"/>
      <c r="AT63" s="13"/>
      <c r="AU63" s="13"/>
      <c r="AV63" s="13"/>
      <c r="AW63" s="13"/>
      <c r="AX63" s="13"/>
      <c r="AY63" s="13"/>
      <c r="AZ63" s="13"/>
      <c r="BA63" s="13"/>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row>
    <row r="64" spans="2:83" s="3" customFormat="1" ht="13.5" customHeight="1" x14ac:dyDescent="0.15">
      <c r="B64" s="213" t="s">
        <v>1</v>
      </c>
      <c r="C64" s="213"/>
      <c r="D64" s="213"/>
      <c r="E64" s="213"/>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row>
    <row r="65" spans="2:82" s="3" customFormat="1" ht="13.5" customHeight="1" x14ac:dyDescent="0.15">
      <c r="B65" s="214"/>
      <c r="C65" s="214"/>
      <c r="D65" s="214"/>
      <c r="E65" s="214"/>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9"/>
      <c r="AP65" s="9"/>
      <c r="AQ65" s="9"/>
      <c r="AR65" s="9"/>
      <c r="AS65" s="7"/>
      <c r="AT65" s="7"/>
      <c r="AU65" s="215" t="s">
        <v>47</v>
      </c>
      <c r="AV65" s="215"/>
      <c r="AW65" s="215"/>
      <c r="AX65" s="215"/>
      <c r="AY65" s="215"/>
      <c r="AZ65" s="215"/>
      <c r="BA65" s="215"/>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row>
    <row r="66" spans="2:82" s="4" customFormat="1" ht="13.5" customHeight="1" x14ac:dyDescent="0.15">
      <c r="B66" s="216" t="s">
        <v>2</v>
      </c>
      <c r="C66" s="217"/>
      <c r="D66" s="217"/>
      <c r="E66" s="217"/>
      <c r="F66" s="217"/>
      <c r="G66" s="217"/>
      <c r="H66" s="217"/>
      <c r="I66" s="216" t="s">
        <v>14</v>
      </c>
      <c r="J66" s="217"/>
      <c r="K66" s="217"/>
      <c r="L66" s="217"/>
      <c r="M66" s="217"/>
      <c r="N66" s="217"/>
      <c r="O66" s="217"/>
      <c r="P66" s="217"/>
      <c r="Q66" s="217"/>
      <c r="R66" s="217"/>
      <c r="S66" s="217"/>
      <c r="T66" s="217"/>
      <c r="U66" s="217"/>
      <c r="V66" s="217"/>
      <c r="W66" s="217"/>
      <c r="X66" s="217"/>
      <c r="Y66" s="217"/>
      <c r="Z66" s="217"/>
      <c r="AA66" s="217"/>
      <c r="AB66" s="217"/>
      <c r="AC66" s="217"/>
      <c r="AD66" s="217"/>
      <c r="AE66" s="222" t="s">
        <v>4</v>
      </c>
      <c r="AF66" s="222"/>
      <c r="AG66" s="222"/>
      <c r="AH66" s="222"/>
      <c r="AI66" s="260" t="s">
        <v>48</v>
      </c>
      <c r="AJ66" s="261"/>
      <c r="AK66" s="261"/>
      <c r="AL66" s="261"/>
      <c r="AM66" s="222" t="s">
        <v>6</v>
      </c>
      <c r="AN66" s="222"/>
      <c r="AO66" s="222"/>
      <c r="AP66" s="222"/>
      <c r="AQ66" s="222"/>
      <c r="AR66" s="222"/>
      <c r="AS66" s="222"/>
      <c r="AT66" s="222"/>
      <c r="AU66" s="222"/>
      <c r="AV66" s="222"/>
      <c r="AW66" s="222"/>
      <c r="AX66" s="222"/>
      <c r="AY66" s="222"/>
      <c r="AZ66" s="222"/>
      <c r="BA66" s="222"/>
    </row>
    <row r="67" spans="2:82" s="4" customFormat="1" ht="13.5" customHeight="1" x14ac:dyDescent="0.15">
      <c r="B67" s="218"/>
      <c r="C67" s="219"/>
      <c r="D67" s="219"/>
      <c r="E67" s="219"/>
      <c r="F67" s="219"/>
      <c r="G67" s="219"/>
      <c r="H67" s="219"/>
      <c r="I67" s="220"/>
      <c r="J67" s="221"/>
      <c r="K67" s="221"/>
      <c r="L67" s="221"/>
      <c r="M67" s="221"/>
      <c r="N67" s="221"/>
      <c r="O67" s="221"/>
      <c r="P67" s="221"/>
      <c r="Q67" s="221"/>
      <c r="R67" s="221"/>
      <c r="S67" s="221"/>
      <c r="T67" s="221"/>
      <c r="U67" s="221"/>
      <c r="V67" s="221"/>
      <c r="W67" s="221"/>
      <c r="X67" s="221"/>
      <c r="Y67" s="221"/>
      <c r="Z67" s="221"/>
      <c r="AA67" s="221"/>
      <c r="AB67" s="221"/>
      <c r="AC67" s="221"/>
      <c r="AD67" s="221"/>
      <c r="AE67" s="222"/>
      <c r="AF67" s="222"/>
      <c r="AG67" s="222"/>
      <c r="AH67" s="222"/>
      <c r="AI67" s="285"/>
      <c r="AJ67" s="286"/>
      <c r="AK67" s="286"/>
      <c r="AL67" s="286"/>
      <c r="AM67" s="222"/>
      <c r="AN67" s="222"/>
      <c r="AO67" s="222"/>
      <c r="AP67" s="222"/>
      <c r="AQ67" s="222"/>
      <c r="AR67" s="222"/>
      <c r="AS67" s="222"/>
      <c r="AT67" s="222"/>
      <c r="AU67" s="222"/>
      <c r="AV67" s="222"/>
      <c r="AW67" s="222"/>
      <c r="AX67" s="222"/>
      <c r="AY67" s="222"/>
      <c r="AZ67" s="222"/>
      <c r="BA67" s="222"/>
    </row>
    <row r="68" spans="2:82" s="4" customFormat="1" ht="13.5" customHeight="1" x14ac:dyDescent="0.15">
      <c r="B68" s="218"/>
      <c r="C68" s="219"/>
      <c r="D68" s="219"/>
      <c r="E68" s="219"/>
      <c r="F68" s="219"/>
      <c r="G68" s="219"/>
      <c r="H68" s="219"/>
      <c r="I68" s="216" t="s">
        <v>7</v>
      </c>
      <c r="J68" s="217"/>
      <c r="K68" s="217"/>
      <c r="L68" s="224"/>
      <c r="M68" s="216" t="s">
        <v>8</v>
      </c>
      <c r="N68" s="217"/>
      <c r="O68" s="217"/>
      <c r="P68" s="224"/>
      <c r="Q68" s="216" t="s">
        <v>31</v>
      </c>
      <c r="R68" s="217"/>
      <c r="S68" s="217"/>
      <c r="T68" s="224"/>
      <c r="U68" s="287" t="s">
        <v>32</v>
      </c>
      <c r="V68" s="288"/>
      <c r="W68" s="289"/>
      <c r="X68" s="287" t="s">
        <v>33</v>
      </c>
      <c r="Y68" s="288"/>
      <c r="Z68" s="289"/>
      <c r="AA68" s="296" t="s">
        <v>9</v>
      </c>
      <c r="AB68" s="297"/>
      <c r="AC68" s="297"/>
      <c r="AD68" s="297"/>
      <c r="AE68" s="222"/>
      <c r="AF68" s="222"/>
      <c r="AG68" s="222"/>
      <c r="AH68" s="222"/>
      <c r="AI68" s="285"/>
      <c r="AJ68" s="286"/>
      <c r="AK68" s="286"/>
      <c r="AL68" s="286"/>
      <c r="AM68" s="222"/>
      <c r="AN68" s="222"/>
      <c r="AO68" s="222"/>
      <c r="AP68" s="222"/>
      <c r="AQ68" s="222"/>
      <c r="AR68" s="222"/>
      <c r="AS68" s="222"/>
      <c r="AT68" s="222"/>
      <c r="AU68" s="222"/>
      <c r="AV68" s="222"/>
      <c r="AW68" s="222"/>
      <c r="AX68" s="222"/>
      <c r="AY68" s="222"/>
      <c r="AZ68" s="222"/>
      <c r="BA68" s="222"/>
    </row>
    <row r="69" spans="2:82" s="4" customFormat="1" ht="13.5" customHeight="1" x14ac:dyDescent="0.15">
      <c r="B69" s="218"/>
      <c r="C69" s="219"/>
      <c r="D69" s="219"/>
      <c r="E69" s="219"/>
      <c r="F69" s="219"/>
      <c r="G69" s="219"/>
      <c r="H69" s="219"/>
      <c r="I69" s="218"/>
      <c r="J69" s="219"/>
      <c r="K69" s="219"/>
      <c r="L69" s="225"/>
      <c r="M69" s="218"/>
      <c r="N69" s="219"/>
      <c r="O69" s="219"/>
      <c r="P69" s="225"/>
      <c r="Q69" s="218"/>
      <c r="R69" s="219"/>
      <c r="S69" s="219"/>
      <c r="T69" s="225"/>
      <c r="U69" s="290"/>
      <c r="V69" s="291"/>
      <c r="W69" s="292"/>
      <c r="X69" s="290"/>
      <c r="Y69" s="291"/>
      <c r="Z69" s="292"/>
      <c r="AA69" s="298"/>
      <c r="AB69" s="299"/>
      <c r="AC69" s="299"/>
      <c r="AD69" s="299"/>
      <c r="AE69" s="222"/>
      <c r="AF69" s="222"/>
      <c r="AG69" s="222"/>
      <c r="AH69" s="222"/>
      <c r="AI69" s="285"/>
      <c r="AJ69" s="286"/>
      <c r="AK69" s="286"/>
      <c r="AL69" s="286"/>
      <c r="AM69" s="222"/>
      <c r="AN69" s="222"/>
      <c r="AO69" s="222"/>
      <c r="AP69" s="222"/>
      <c r="AQ69" s="222"/>
      <c r="AR69" s="222"/>
      <c r="AS69" s="222"/>
      <c r="AT69" s="222"/>
      <c r="AU69" s="222"/>
      <c r="AV69" s="222"/>
      <c r="AW69" s="222"/>
      <c r="AX69" s="222"/>
      <c r="AY69" s="222"/>
      <c r="AZ69" s="222"/>
      <c r="BA69" s="222"/>
    </row>
    <row r="70" spans="2:82" s="4" customFormat="1" ht="13.5" customHeight="1" x14ac:dyDescent="0.15">
      <c r="B70" s="218"/>
      <c r="C70" s="219"/>
      <c r="D70" s="219"/>
      <c r="E70" s="219"/>
      <c r="F70" s="219"/>
      <c r="G70" s="219"/>
      <c r="H70" s="219"/>
      <c r="I70" s="218"/>
      <c r="J70" s="219"/>
      <c r="K70" s="219"/>
      <c r="L70" s="225"/>
      <c r="M70" s="218"/>
      <c r="N70" s="219"/>
      <c r="O70" s="219"/>
      <c r="P70" s="225"/>
      <c r="Q70" s="218"/>
      <c r="R70" s="219"/>
      <c r="S70" s="219"/>
      <c r="T70" s="225"/>
      <c r="U70" s="290"/>
      <c r="V70" s="291"/>
      <c r="W70" s="292"/>
      <c r="X70" s="290"/>
      <c r="Y70" s="291"/>
      <c r="Z70" s="292"/>
      <c r="AA70" s="298"/>
      <c r="AB70" s="299"/>
      <c r="AC70" s="299"/>
      <c r="AD70" s="299"/>
      <c r="AE70" s="222"/>
      <c r="AF70" s="222"/>
      <c r="AG70" s="222"/>
      <c r="AH70" s="222"/>
      <c r="AI70" s="285"/>
      <c r="AJ70" s="286"/>
      <c r="AK70" s="286"/>
      <c r="AL70" s="286"/>
      <c r="AM70" s="222"/>
      <c r="AN70" s="222"/>
      <c r="AO70" s="222"/>
      <c r="AP70" s="222"/>
      <c r="AQ70" s="222"/>
      <c r="AR70" s="222"/>
      <c r="AS70" s="222"/>
      <c r="AT70" s="222"/>
      <c r="AU70" s="222"/>
      <c r="AV70" s="222"/>
      <c r="AW70" s="222"/>
      <c r="AX70" s="222"/>
      <c r="AY70" s="222"/>
      <c r="AZ70" s="222"/>
      <c r="BA70" s="222"/>
    </row>
    <row r="71" spans="2:82" s="4" customFormat="1" ht="13.5" customHeight="1" x14ac:dyDescent="0.15">
      <c r="B71" s="220"/>
      <c r="C71" s="221"/>
      <c r="D71" s="221"/>
      <c r="E71" s="221"/>
      <c r="F71" s="221"/>
      <c r="G71" s="221"/>
      <c r="H71" s="221"/>
      <c r="I71" s="220"/>
      <c r="J71" s="221"/>
      <c r="K71" s="221"/>
      <c r="L71" s="226"/>
      <c r="M71" s="220"/>
      <c r="N71" s="221"/>
      <c r="O71" s="221"/>
      <c r="P71" s="226"/>
      <c r="Q71" s="220"/>
      <c r="R71" s="221"/>
      <c r="S71" s="221"/>
      <c r="T71" s="226"/>
      <c r="U71" s="293"/>
      <c r="V71" s="294"/>
      <c r="W71" s="295"/>
      <c r="X71" s="293"/>
      <c r="Y71" s="294"/>
      <c r="Z71" s="295"/>
      <c r="AA71" s="300"/>
      <c r="AB71" s="301"/>
      <c r="AC71" s="301"/>
      <c r="AD71" s="301"/>
      <c r="AE71" s="222"/>
      <c r="AF71" s="222"/>
      <c r="AG71" s="222"/>
      <c r="AH71" s="222"/>
      <c r="AI71" s="263"/>
      <c r="AJ71" s="264"/>
      <c r="AK71" s="264"/>
      <c r="AL71" s="264"/>
      <c r="AM71" s="222"/>
      <c r="AN71" s="222"/>
      <c r="AO71" s="222"/>
      <c r="AP71" s="222"/>
      <c r="AQ71" s="222"/>
      <c r="AR71" s="222"/>
      <c r="AS71" s="222"/>
      <c r="AT71" s="222"/>
      <c r="AU71" s="222"/>
      <c r="AV71" s="222"/>
      <c r="AW71" s="222"/>
      <c r="AX71" s="222"/>
      <c r="AY71" s="222"/>
      <c r="AZ71" s="222"/>
      <c r="BA71" s="222"/>
    </row>
    <row r="72" spans="2:82" s="4" customFormat="1" ht="18" customHeight="1" x14ac:dyDescent="0.15">
      <c r="B72" s="235" t="s">
        <v>34</v>
      </c>
      <c r="C72" s="233"/>
      <c r="D72" s="233"/>
      <c r="E72" s="233"/>
      <c r="F72" s="233"/>
      <c r="G72" s="233"/>
      <c r="H72" s="233"/>
      <c r="I72" s="235">
        <f>SUM(I74:L79)</f>
        <v>59329000</v>
      </c>
      <c r="J72" s="233"/>
      <c r="K72" s="233"/>
      <c r="L72" s="237"/>
      <c r="M72" s="266">
        <f>SUM(M74:P79)</f>
        <v>-15873000</v>
      </c>
      <c r="N72" s="267"/>
      <c r="O72" s="267"/>
      <c r="P72" s="268"/>
      <c r="Q72" s="266">
        <f>SUM(Q74:T79)</f>
        <v>43456000</v>
      </c>
      <c r="R72" s="267"/>
      <c r="S72" s="267"/>
      <c r="T72" s="268"/>
      <c r="U72" s="235">
        <f>SUM(U74:W79)</f>
        <v>0</v>
      </c>
      <c r="V72" s="233"/>
      <c r="W72" s="237"/>
      <c r="X72" s="235">
        <f>SUM(X74:Z79)</f>
        <v>0</v>
      </c>
      <c r="Y72" s="233"/>
      <c r="Z72" s="237"/>
      <c r="AA72" s="235">
        <f>SUM(AA74:AD79)</f>
        <v>43456000</v>
      </c>
      <c r="AB72" s="233"/>
      <c r="AC72" s="233"/>
      <c r="AD72" s="233"/>
      <c r="AE72" s="239">
        <f>SUM(AE74:AH79)</f>
        <v>43567050</v>
      </c>
      <c r="AF72" s="239"/>
      <c r="AG72" s="239"/>
      <c r="AH72" s="239"/>
      <c r="AI72" s="239">
        <f>SUM(AI74:AL79)</f>
        <v>111050</v>
      </c>
      <c r="AJ72" s="239"/>
      <c r="AK72" s="239"/>
      <c r="AL72" s="239"/>
      <c r="AM72" s="251"/>
      <c r="AN72" s="251"/>
      <c r="AO72" s="251"/>
      <c r="AP72" s="251"/>
      <c r="AQ72" s="251"/>
      <c r="AR72" s="251"/>
      <c r="AS72" s="251"/>
      <c r="AT72" s="251"/>
      <c r="AU72" s="251"/>
      <c r="AV72" s="251"/>
      <c r="AW72" s="251"/>
      <c r="AX72" s="251"/>
      <c r="AY72" s="251"/>
      <c r="AZ72" s="251"/>
      <c r="BA72" s="251"/>
    </row>
    <row r="73" spans="2:82" s="4" customFormat="1" ht="18" customHeight="1" x14ac:dyDescent="0.15">
      <c r="B73" s="236"/>
      <c r="C73" s="234"/>
      <c r="D73" s="234"/>
      <c r="E73" s="234"/>
      <c r="F73" s="234"/>
      <c r="G73" s="234"/>
      <c r="H73" s="234"/>
      <c r="I73" s="236"/>
      <c r="J73" s="234"/>
      <c r="K73" s="234"/>
      <c r="L73" s="238"/>
      <c r="M73" s="269"/>
      <c r="N73" s="270"/>
      <c r="O73" s="270"/>
      <c r="P73" s="271"/>
      <c r="Q73" s="269"/>
      <c r="R73" s="270"/>
      <c r="S73" s="270"/>
      <c r="T73" s="271"/>
      <c r="U73" s="236"/>
      <c r="V73" s="234"/>
      <c r="W73" s="238"/>
      <c r="X73" s="236"/>
      <c r="Y73" s="234"/>
      <c r="Z73" s="238"/>
      <c r="AA73" s="236"/>
      <c r="AB73" s="234"/>
      <c r="AC73" s="234"/>
      <c r="AD73" s="234"/>
      <c r="AE73" s="239"/>
      <c r="AF73" s="239"/>
      <c r="AG73" s="239"/>
      <c r="AH73" s="239"/>
      <c r="AI73" s="239"/>
      <c r="AJ73" s="239"/>
      <c r="AK73" s="239"/>
      <c r="AL73" s="239"/>
      <c r="AM73" s="251"/>
      <c r="AN73" s="251"/>
      <c r="AO73" s="251"/>
      <c r="AP73" s="251"/>
      <c r="AQ73" s="251"/>
      <c r="AR73" s="251"/>
      <c r="AS73" s="251"/>
      <c r="AT73" s="251"/>
      <c r="AU73" s="251"/>
      <c r="AV73" s="251"/>
      <c r="AW73" s="251"/>
      <c r="AX73" s="251"/>
      <c r="AY73" s="251"/>
      <c r="AZ73" s="251"/>
      <c r="BA73" s="251"/>
    </row>
    <row r="74" spans="2:82" s="4" customFormat="1" ht="18" customHeight="1" x14ac:dyDescent="0.15">
      <c r="B74" s="235" t="s">
        <v>35</v>
      </c>
      <c r="C74" s="233"/>
      <c r="D74" s="233"/>
      <c r="E74" s="233"/>
      <c r="F74" s="233"/>
      <c r="G74" s="233"/>
      <c r="H74" s="233"/>
      <c r="I74" s="235">
        <v>23929000</v>
      </c>
      <c r="J74" s="233"/>
      <c r="K74" s="233"/>
      <c r="L74" s="237"/>
      <c r="M74" s="235">
        <v>-10173000</v>
      </c>
      <c r="N74" s="233"/>
      <c r="O74" s="233"/>
      <c r="P74" s="237"/>
      <c r="Q74" s="266">
        <f>SUM(I74:P75)</f>
        <v>13756000</v>
      </c>
      <c r="R74" s="267"/>
      <c r="S74" s="267"/>
      <c r="T74" s="268"/>
      <c r="U74" s="235">
        <f>SUM(X80:Z81)</f>
        <v>0</v>
      </c>
      <c r="V74" s="233"/>
      <c r="W74" s="237"/>
      <c r="X74" s="235">
        <v>0</v>
      </c>
      <c r="Y74" s="233"/>
      <c r="Z74" s="237"/>
      <c r="AA74" s="235">
        <f>SUM(Q74:Z75)</f>
        <v>13756000</v>
      </c>
      <c r="AB74" s="233"/>
      <c r="AC74" s="233"/>
      <c r="AD74" s="233"/>
      <c r="AE74" s="239">
        <v>13867050</v>
      </c>
      <c r="AF74" s="239"/>
      <c r="AG74" s="239"/>
      <c r="AH74" s="239"/>
      <c r="AI74" s="235">
        <f>AE74-AA74</f>
        <v>111050</v>
      </c>
      <c r="AJ74" s="233"/>
      <c r="AK74" s="233"/>
      <c r="AL74" s="233"/>
      <c r="AM74" s="302" t="s">
        <v>61</v>
      </c>
      <c r="AN74" s="302"/>
      <c r="AO74" s="302"/>
      <c r="AP74" s="302"/>
      <c r="AQ74" s="302"/>
      <c r="AR74" s="302"/>
      <c r="AS74" s="302"/>
      <c r="AT74" s="302"/>
      <c r="AU74" s="302"/>
      <c r="AV74" s="302"/>
      <c r="AW74" s="302"/>
      <c r="AX74" s="302"/>
      <c r="AY74" s="302"/>
      <c r="AZ74" s="302"/>
      <c r="BA74" s="302"/>
    </row>
    <row r="75" spans="2:82" s="4" customFormat="1" ht="18" customHeight="1" x14ac:dyDescent="0.15">
      <c r="B75" s="236"/>
      <c r="C75" s="234"/>
      <c r="D75" s="234"/>
      <c r="E75" s="234"/>
      <c r="F75" s="234"/>
      <c r="G75" s="234"/>
      <c r="H75" s="234"/>
      <c r="I75" s="236"/>
      <c r="J75" s="234"/>
      <c r="K75" s="234"/>
      <c r="L75" s="238"/>
      <c r="M75" s="236"/>
      <c r="N75" s="234"/>
      <c r="O75" s="234"/>
      <c r="P75" s="238"/>
      <c r="Q75" s="269"/>
      <c r="R75" s="270"/>
      <c r="S75" s="270"/>
      <c r="T75" s="271"/>
      <c r="U75" s="236"/>
      <c r="V75" s="234"/>
      <c r="W75" s="238"/>
      <c r="X75" s="236"/>
      <c r="Y75" s="234"/>
      <c r="Z75" s="238"/>
      <c r="AA75" s="236"/>
      <c r="AB75" s="234"/>
      <c r="AC75" s="234"/>
      <c r="AD75" s="234"/>
      <c r="AE75" s="239"/>
      <c r="AF75" s="239"/>
      <c r="AG75" s="239"/>
      <c r="AH75" s="239"/>
      <c r="AI75" s="236"/>
      <c r="AJ75" s="234"/>
      <c r="AK75" s="234"/>
      <c r="AL75" s="234"/>
      <c r="AM75" s="302"/>
      <c r="AN75" s="302"/>
      <c r="AO75" s="302"/>
      <c r="AP75" s="302"/>
      <c r="AQ75" s="302"/>
      <c r="AR75" s="302"/>
      <c r="AS75" s="302"/>
      <c r="AT75" s="302"/>
      <c r="AU75" s="302"/>
      <c r="AV75" s="302"/>
      <c r="AW75" s="302"/>
      <c r="AX75" s="302"/>
      <c r="AY75" s="302"/>
      <c r="AZ75" s="302"/>
      <c r="BA75" s="302"/>
    </row>
    <row r="76" spans="2:82" s="4" customFormat="1" ht="18" customHeight="1" x14ac:dyDescent="0.15">
      <c r="B76" s="235" t="s">
        <v>51</v>
      </c>
      <c r="C76" s="233"/>
      <c r="D76" s="233"/>
      <c r="E76" s="233"/>
      <c r="F76" s="233"/>
      <c r="G76" s="233"/>
      <c r="H76" s="237"/>
      <c r="I76" s="235">
        <v>18900000</v>
      </c>
      <c r="J76" s="233"/>
      <c r="K76" s="233"/>
      <c r="L76" s="237"/>
      <c r="M76" s="266">
        <v>-2900000</v>
      </c>
      <c r="N76" s="267"/>
      <c r="O76" s="267"/>
      <c r="P76" s="268"/>
      <c r="Q76" s="266">
        <f>SUM(I76:P77)</f>
        <v>16000000</v>
      </c>
      <c r="R76" s="267"/>
      <c r="S76" s="267"/>
      <c r="T76" s="268"/>
      <c r="U76" s="235">
        <v>0</v>
      </c>
      <c r="V76" s="233"/>
      <c r="W76" s="237"/>
      <c r="X76" s="235">
        <v>0</v>
      </c>
      <c r="Y76" s="233"/>
      <c r="Z76" s="237"/>
      <c r="AA76" s="235">
        <f>SUM(Q76:Z77)</f>
        <v>16000000</v>
      </c>
      <c r="AB76" s="233"/>
      <c r="AC76" s="233"/>
      <c r="AD76" s="233"/>
      <c r="AE76" s="239">
        <v>16000000</v>
      </c>
      <c r="AF76" s="239"/>
      <c r="AG76" s="239"/>
      <c r="AH76" s="239"/>
      <c r="AI76" s="235">
        <f>AE76-AA76</f>
        <v>0</v>
      </c>
      <c r="AJ76" s="233"/>
      <c r="AK76" s="233"/>
      <c r="AL76" s="233"/>
      <c r="AM76" s="222"/>
      <c r="AN76" s="222"/>
      <c r="AO76" s="222"/>
      <c r="AP76" s="222"/>
      <c r="AQ76" s="222"/>
      <c r="AR76" s="222"/>
      <c r="AS76" s="222"/>
      <c r="AT76" s="222"/>
      <c r="AU76" s="222"/>
      <c r="AV76" s="222"/>
      <c r="AW76" s="222"/>
      <c r="AX76" s="222"/>
      <c r="AY76" s="222"/>
      <c r="AZ76" s="222"/>
      <c r="BA76" s="222"/>
    </row>
    <row r="77" spans="2:82" s="4" customFormat="1" ht="18" customHeight="1" x14ac:dyDescent="0.15">
      <c r="B77" s="236"/>
      <c r="C77" s="234"/>
      <c r="D77" s="234"/>
      <c r="E77" s="234"/>
      <c r="F77" s="234"/>
      <c r="G77" s="234"/>
      <c r="H77" s="238"/>
      <c r="I77" s="236"/>
      <c r="J77" s="234"/>
      <c r="K77" s="234"/>
      <c r="L77" s="238"/>
      <c r="M77" s="269"/>
      <c r="N77" s="270"/>
      <c r="O77" s="270"/>
      <c r="P77" s="271"/>
      <c r="Q77" s="269"/>
      <c r="R77" s="270"/>
      <c r="S77" s="270"/>
      <c r="T77" s="271"/>
      <c r="U77" s="236"/>
      <c r="V77" s="234"/>
      <c r="W77" s="238"/>
      <c r="X77" s="236"/>
      <c r="Y77" s="234"/>
      <c r="Z77" s="238"/>
      <c r="AA77" s="236"/>
      <c r="AB77" s="234"/>
      <c r="AC77" s="234"/>
      <c r="AD77" s="234"/>
      <c r="AE77" s="239"/>
      <c r="AF77" s="239"/>
      <c r="AG77" s="239"/>
      <c r="AH77" s="239"/>
      <c r="AI77" s="236"/>
      <c r="AJ77" s="234"/>
      <c r="AK77" s="234"/>
      <c r="AL77" s="234"/>
      <c r="AM77" s="222"/>
      <c r="AN77" s="222"/>
      <c r="AO77" s="222"/>
      <c r="AP77" s="222"/>
      <c r="AQ77" s="222"/>
      <c r="AR77" s="222"/>
      <c r="AS77" s="222"/>
      <c r="AT77" s="222"/>
      <c r="AU77" s="222"/>
      <c r="AV77" s="222"/>
      <c r="AW77" s="222"/>
      <c r="AX77" s="222"/>
      <c r="AY77" s="222"/>
      <c r="AZ77" s="222"/>
      <c r="BA77" s="222"/>
    </row>
    <row r="78" spans="2:82" s="4" customFormat="1" ht="18" customHeight="1" x14ac:dyDescent="0.15">
      <c r="B78" s="235" t="s">
        <v>52</v>
      </c>
      <c r="C78" s="233"/>
      <c r="D78" s="233"/>
      <c r="E78" s="233"/>
      <c r="F78" s="233"/>
      <c r="G78" s="233"/>
      <c r="H78" s="233"/>
      <c r="I78" s="235">
        <v>16500000</v>
      </c>
      <c r="J78" s="233"/>
      <c r="K78" s="233"/>
      <c r="L78" s="237"/>
      <c r="M78" s="235">
        <v>-2800000</v>
      </c>
      <c r="N78" s="233"/>
      <c r="O78" s="233"/>
      <c r="P78" s="237"/>
      <c r="Q78" s="266">
        <f>SUM(I78:P79)</f>
        <v>13700000</v>
      </c>
      <c r="R78" s="267"/>
      <c r="S78" s="267"/>
      <c r="T78" s="268"/>
      <c r="U78" s="235">
        <v>0</v>
      </c>
      <c r="V78" s="233"/>
      <c r="W78" s="237"/>
      <c r="X78" s="235">
        <v>0</v>
      </c>
      <c r="Y78" s="233"/>
      <c r="Z78" s="237"/>
      <c r="AA78" s="235">
        <f>SUM(Q78:Z79)</f>
        <v>13700000</v>
      </c>
      <c r="AB78" s="233"/>
      <c r="AC78" s="233"/>
      <c r="AD78" s="233"/>
      <c r="AE78" s="239">
        <v>13700000</v>
      </c>
      <c r="AF78" s="239"/>
      <c r="AG78" s="239"/>
      <c r="AH78" s="239"/>
      <c r="AI78" s="235">
        <f>AE78-AA78</f>
        <v>0</v>
      </c>
      <c r="AJ78" s="233"/>
      <c r="AK78" s="233"/>
      <c r="AL78" s="233"/>
      <c r="AM78" s="222"/>
      <c r="AN78" s="222"/>
      <c r="AO78" s="222"/>
      <c r="AP78" s="222"/>
      <c r="AQ78" s="222"/>
      <c r="AR78" s="222"/>
      <c r="AS78" s="222"/>
      <c r="AT78" s="222"/>
      <c r="AU78" s="222"/>
      <c r="AV78" s="222"/>
      <c r="AW78" s="222"/>
      <c r="AX78" s="222"/>
      <c r="AY78" s="222"/>
      <c r="AZ78" s="222"/>
      <c r="BA78" s="222"/>
    </row>
    <row r="79" spans="2:82" s="4" customFormat="1" ht="18" customHeight="1" x14ac:dyDescent="0.15">
      <c r="B79" s="236"/>
      <c r="C79" s="234"/>
      <c r="D79" s="234"/>
      <c r="E79" s="234"/>
      <c r="F79" s="234"/>
      <c r="G79" s="234"/>
      <c r="H79" s="234"/>
      <c r="I79" s="236"/>
      <c r="J79" s="234"/>
      <c r="K79" s="234"/>
      <c r="L79" s="238"/>
      <c r="M79" s="236"/>
      <c r="N79" s="234"/>
      <c r="O79" s="234"/>
      <c r="P79" s="238"/>
      <c r="Q79" s="269"/>
      <c r="R79" s="270"/>
      <c r="S79" s="270"/>
      <c r="T79" s="271"/>
      <c r="U79" s="236"/>
      <c r="V79" s="234"/>
      <c r="W79" s="238"/>
      <c r="X79" s="236"/>
      <c r="Y79" s="234"/>
      <c r="Z79" s="238"/>
      <c r="AA79" s="236"/>
      <c r="AB79" s="234"/>
      <c r="AC79" s="234"/>
      <c r="AD79" s="234"/>
      <c r="AE79" s="239"/>
      <c r="AF79" s="239"/>
      <c r="AG79" s="239"/>
      <c r="AH79" s="239"/>
      <c r="AI79" s="236"/>
      <c r="AJ79" s="234"/>
      <c r="AK79" s="234"/>
      <c r="AL79" s="234"/>
      <c r="AM79" s="222"/>
      <c r="AN79" s="222"/>
      <c r="AO79" s="222"/>
      <c r="AP79" s="222"/>
      <c r="AQ79" s="222"/>
      <c r="AR79" s="222"/>
      <c r="AS79" s="222"/>
      <c r="AT79" s="222"/>
      <c r="AU79" s="222"/>
      <c r="AV79" s="222"/>
      <c r="AW79" s="222"/>
      <c r="AX79" s="222"/>
      <c r="AY79" s="222"/>
      <c r="AZ79" s="222"/>
      <c r="BA79" s="222"/>
    </row>
    <row r="80" spans="2:82" s="4" customFormat="1" ht="13.5" customHeight="1" x14ac:dyDescent="0.15">
      <c r="B80" s="10"/>
      <c r="C80" s="10"/>
      <c r="D80" s="10"/>
      <c r="E80" s="10"/>
      <c r="F80" s="10"/>
      <c r="G80" s="10"/>
      <c r="H80" s="10"/>
      <c r="I80" s="10"/>
      <c r="J80" s="10"/>
      <c r="K80" s="10"/>
      <c r="L80" s="10"/>
      <c r="M80" s="10"/>
      <c r="N80" s="10"/>
      <c r="O80" s="10"/>
      <c r="P80" s="10"/>
      <c r="Q80" s="10"/>
      <c r="R80" s="10"/>
      <c r="S80" s="10"/>
      <c r="T80" s="10"/>
      <c r="U80" s="10"/>
      <c r="V80" s="10"/>
      <c r="W80" s="14"/>
      <c r="X80" s="14"/>
      <c r="Y80" s="14"/>
      <c r="Z80" s="14"/>
      <c r="AA80" s="14"/>
      <c r="AB80" s="14"/>
      <c r="AC80" s="14"/>
      <c r="AD80" s="14"/>
      <c r="AE80" s="14"/>
      <c r="AF80" s="14"/>
      <c r="AG80" s="14"/>
      <c r="AH80" s="14"/>
      <c r="AI80" s="10"/>
      <c r="AJ80" s="10"/>
      <c r="AK80" s="10"/>
      <c r="AL80" s="10"/>
      <c r="AM80" s="10"/>
      <c r="AN80" s="10"/>
      <c r="AO80" s="10"/>
      <c r="AP80" s="10"/>
      <c r="AQ80" s="10"/>
      <c r="AR80" s="10"/>
      <c r="AS80" s="15"/>
      <c r="AT80" s="15"/>
      <c r="AU80" s="15"/>
      <c r="AV80" s="15"/>
      <c r="AW80" s="15"/>
      <c r="AX80" s="15"/>
      <c r="AY80" s="15"/>
      <c r="AZ80" s="15"/>
      <c r="BA80" s="15"/>
    </row>
    <row r="81" spans="2:91" ht="13.5" customHeight="1" x14ac:dyDescent="0.15">
      <c r="B81" s="213" t="s">
        <v>13</v>
      </c>
      <c r="C81" s="213"/>
      <c r="D81" s="213"/>
      <c r="E81" s="213"/>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CM81" s="4"/>
    </row>
    <row r="82" spans="2:91" ht="13.5" customHeight="1" x14ac:dyDescent="0.15">
      <c r="B82" s="214"/>
      <c r="C82" s="214"/>
      <c r="D82" s="214"/>
      <c r="E82" s="214"/>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16"/>
      <c r="AU82" s="303" t="s">
        <v>47</v>
      </c>
      <c r="AV82" s="303"/>
      <c r="AW82" s="303"/>
      <c r="AX82" s="303"/>
      <c r="AY82" s="303"/>
      <c r="AZ82" s="303"/>
      <c r="BA82" s="303"/>
      <c r="CM82" s="4"/>
    </row>
    <row r="83" spans="2:91" s="4" customFormat="1" ht="13.5" customHeight="1" x14ac:dyDescent="0.15">
      <c r="B83" s="216" t="s">
        <v>2</v>
      </c>
      <c r="C83" s="217"/>
      <c r="D83" s="217"/>
      <c r="E83" s="217"/>
      <c r="F83" s="217"/>
      <c r="G83" s="217"/>
      <c r="H83" s="224"/>
      <c r="I83" s="216" t="s">
        <v>36</v>
      </c>
      <c r="J83" s="217"/>
      <c r="K83" s="217"/>
      <c r="L83" s="217"/>
      <c r="M83" s="217"/>
      <c r="N83" s="217"/>
      <c r="O83" s="217"/>
      <c r="P83" s="217"/>
      <c r="Q83" s="217"/>
      <c r="R83" s="217"/>
      <c r="S83" s="217"/>
      <c r="T83" s="217"/>
      <c r="U83" s="217"/>
      <c r="V83" s="217"/>
      <c r="W83" s="217"/>
      <c r="X83" s="217"/>
      <c r="Y83" s="217"/>
      <c r="Z83" s="217"/>
      <c r="AA83" s="217"/>
      <c r="AB83" s="217"/>
      <c r="AC83" s="217"/>
      <c r="AD83" s="217"/>
      <c r="AE83" s="217"/>
      <c r="AF83" s="216" t="s">
        <v>4</v>
      </c>
      <c r="AG83" s="217"/>
      <c r="AH83" s="217"/>
      <c r="AI83" s="224"/>
      <c r="AJ83" s="260" t="s">
        <v>37</v>
      </c>
      <c r="AK83" s="261"/>
      <c r="AL83" s="261"/>
      <c r="AM83" s="261"/>
      <c r="AN83" s="261"/>
      <c r="AO83" s="262"/>
      <c r="AP83" s="216" t="s">
        <v>17</v>
      </c>
      <c r="AQ83" s="217"/>
      <c r="AR83" s="224"/>
      <c r="AS83" s="216" t="s">
        <v>38</v>
      </c>
      <c r="AT83" s="217"/>
      <c r="AU83" s="217"/>
      <c r="AV83" s="217"/>
      <c r="AW83" s="217"/>
      <c r="AX83" s="217"/>
      <c r="AY83" s="217"/>
      <c r="AZ83" s="217"/>
      <c r="BA83" s="224"/>
    </row>
    <row r="84" spans="2:91" s="4" customFormat="1" ht="13.5" customHeight="1" x14ac:dyDescent="0.15">
      <c r="B84" s="218"/>
      <c r="C84" s="219"/>
      <c r="D84" s="219"/>
      <c r="E84" s="219"/>
      <c r="F84" s="219"/>
      <c r="G84" s="219"/>
      <c r="H84" s="225"/>
      <c r="I84" s="220"/>
      <c r="J84" s="221"/>
      <c r="K84" s="221"/>
      <c r="L84" s="221"/>
      <c r="M84" s="221"/>
      <c r="N84" s="221"/>
      <c r="O84" s="221"/>
      <c r="P84" s="221"/>
      <c r="Q84" s="221"/>
      <c r="R84" s="221"/>
      <c r="S84" s="221"/>
      <c r="T84" s="221"/>
      <c r="U84" s="221"/>
      <c r="V84" s="221"/>
      <c r="W84" s="221"/>
      <c r="X84" s="221"/>
      <c r="Y84" s="221"/>
      <c r="Z84" s="221"/>
      <c r="AA84" s="221"/>
      <c r="AB84" s="221"/>
      <c r="AC84" s="221"/>
      <c r="AD84" s="221"/>
      <c r="AE84" s="221"/>
      <c r="AF84" s="218"/>
      <c r="AG84" s="219"/>
      <c r="AH84" s="219"/>
      <c r="AI84" s="225"/>
      <c r="AJ84" s="263"/>
      <c r="AK84" s="264"/>
      <c r="AL84" s="264"/>
      <c r="AM84" s="264"/>
      <c r="AN84" s="264"/>
      <c r="AO84" s="265"/>
      <c r="AP84" s="218"/>
      <c r="AQ84" s="219"/>
      <c r="AR84" s="225"/>
      <c r="AS84" s="218"/>
      <c r="AT84" s="219"/>
      <c r="AU84" s="219"/>
      <c r="AV84" s="219"/>
      <c r="AW84" s="219"/>
      <c r="AX84" s="219"/>
      <c r="AY84" s="219"/>
      <c r="AZ84" s="219"/>
      <c r="BA84" s="225"/>
    </row>
    <row r="85" spans="2:91" s="4" customFormat="1" ht="13.5" customHeight="1" x14ac:dyDescent="0.15">
      <c r="B85" s="218"/>
      <c r="C85" s="219"/>
      <c r="D85" s="219"/>
      <c r="E85" s="219"/>
      <c r="F85" s="219"/>
      <c r="G85" s="219"/>
      <c r="H85" s="225"/>
      <c r="I85" s="216" t="s">
        <v>19</v>
      </c>
      <c r="J85" s="217"/>
      <c r="K85" s="217"/>
      <c r="L85" s="224"/>
      <c r="M85" s="216" t="s">
        <v>20</v>
      </c>
      <c r="N85" s="217"/>
      <c r="O85" s="217"/>
      <c r="P85" s="224"/>
      <c r="Q85" s="260" t="s">
        <v>39</v>
      </c>
      <c r="R85" s="261"/>
      <c r="S85" s="222" t="s">
        <v>24</v>
      </c>
      <c r="T85" s="222"/>
      <c r="U85" s="222"/>
      <c r="V85" s="222"/>
      <c r="W85" s="227" t="s">
        <v>40</v>
      </c>
      <c r="X85" s="228"/>
      <c r="Y85" s="304"/>
      <c r="Z85" s="250" t="s">
        <v>41</v>
      </c>
      <c r="AA85" s="307"/>
      <c r="AB85" s="222" t="s">
        <v>25</v>
      </c>
      <c r="AC85" s="222"/>
      <c r="AD85" s="222"/>
      <c r="AE85" s="308"/>
      <c r="AF85" s="218"/>
      <c r="AG85" s="219"/>
      <c r="AH85" s="219"/>
      <c r="AI85" s="225"/>
      <c r="AJ85" s="229" t="s">
        <v>42</v>
      </c>
      <c r="AK85" s="305"/>
      <c r="AL85" s="309" t="s">
        <v>50</v>
      </c>
      <c r="AM85" s="310"/>
      <c r="AN85" s="313" t="s">
        <v>43</v>
      </c>
      <c r="AO85" s="314"/>
      <c r="AP85" s="218"/>
      <c r="AQ85" s="219"/>
      <c r="AR85" s="225"/>
      <c r="AS85" s="218"/>
      <c r="AT85" s="219"/>
      <c r="AU85" s="219"/>
      <c r="AV85" s="219"/>
      <c r="AW85" s="219"/>
      <c r="AX85" s="219"/>
      <c r="AY85" s="219"/>
      <c r="AZ85" s="219"/>
      <c r="BA85" s="225"/>
    </row>
    <row r="86" spans="2:91" s="4" customFormat="1" ht="13.5" customHeight="1" x14ac:dyDescent="0.15">
      <c r="B86" s="218"/>
      <c r="C86" s="219"/>
      <c r="D86" s="219"/>
      <c r="E86" s="219"/>
      <c r="F86" s="219"/>
      <c r="G86" s="219"/>
      <c r="H86" s="225"/>
      <c r="I86" s="218"/>
      <c r="J86" s="219"/>
      <c r="K86" s="219"/>
      <c r="L86" s="225"/>
      <c r="M86" s="218"/>
      <c r="N86" s="219"/>
      <c r="O86" s="219"/>
      <c r="P86" s="225"/>
      <c r="Q86" s="285"/>
      <c r="R86" s="286"/>
      <c r="S86" s="222"/>
      <c r="T86" s="222"/>
      <c r="U86" s="222"/>
      <c r="V86" s="222"/>
      <c r="W86" s="229"/>
      <c r="X86" s="230"/>
      <c r="Y86" s="305"/>
      <c r="Z86" s="250"/>
      <c r="AA86" s="307"/>
      <c r="AB86" s="222"/>
      <c r="AC86" s="222"/>
      <c r="AD86" s="222"/>
      <c r="AE86" s="308"/>
      <c r="AF86" s="218"/>
      <c r="AG86" s="219"/>
      <c r="AH86" s="219"/>
      <c r="AI86" s="225"/>
      <c r="AJ86" s="229"/>
      <c r="AK86" s="305"/>
      <c r="AL86" s="309"/>
      <c r="AM86" s="310"/>
      <c r="AN86" s="313"/>
      <c r="AO86" s="314"/>
      <c r="AP86" s="218"/>
      <c r="AQ86" s="219"/>
      <c r="AR86" s="225"/>
      <c r="AS86" s="218"/>
      <c r="AT86" s="219"/>
      <c r="AU86" s="219"/>
      <c r="AV86" s="219"/>
      <c r="AW86" s="219"/>
      <c r="AX86" s="219"/>
      <c r="AY86" s="219"/>
      <c r="AZ86" s="219"/>
      <c r="BA86" s="225"/>
    </row>
    <row r="87" spans="2:91" s="4" customFormat="1" ht="13.5" customHeight="1" x14ac:dyDescent="0.15">
      <c r="B87" s="218"/>
      <c r="C87" s="219"/>
      <c r="D87" s="219"/>
      <c r="E87" s="219"/>
      <c r="F87" s="219"/>
      <c r="G87" s="219"/>
      <c r="H87" s="225"/>
      <c r="I87" s="218"/>
      <c r="J87" s="219"/>
      <c r="K87" s="219"/>
      <c r="L87" s="225"/>
      <c r="M87" s="218"/>
      <c r="N87" s="219"/>
      <c r="O87" s="219"/>
      <c r="P87" s="225"/>
      <c r="Q87" s="285"/>
      <c r="R87" s="286"/>
      <c r="S87" s="222"/>
      <c r="T87" s="222"/>
      <c r="U87" s="222"/>
      <c r="V87" s="222"/>
      <c r="W87" s="229"/>
      <c r="X87" s="230"/>
      <c r="Y87" s="305"/>
      <c r="Z87" s="250"/>
      <c r="AA87" s="307"/>
      <c r="AB87" s="222"/>
      <c r="AC87" s="222"/>
      <c r="AD87" s="222"/>
      <c r="AE87" s="308"/>
      <c r="AF87" s="218"/>
      <c r="AG87" s="219"/>
      <c r="AH87" s="219"/>
      <c r="AI87" s="225"/>
      <c r="AJ87" s="229"/>
      <c r="AK87" s="305"/>
      <c r="AL87" s="309"/>
      <c r="AM87" s="310"/>
      <c r="AN87" s="313"/>
      <c r="AO87" s="314"/>
      <c r="AP87" s="218"/>
      <c r="AQ87" s="219"/>
      <c r="AR87" s="225"/>
      <c r="AS87" s="218"/>
      <c r="AT87" s="219"/>
      <c r="AU87" s="219"/>
      <c r="AV87" s="219"/>
      <c r="AW87" s="219"/>
      <c r="AX87" s="219"/>
      <c r="AY87" s="219"/>
      <c r="AZ87" s="219"/>
      <c r="BA87" s="225"/>
    </row>
    <row r="88" spans="2:91" s="4" customFormat="1" ht="13.5" customHeight="1" x14ac:dyDescent="0.15">
      <c r="B88" s="220"/>
      <c r="C88" s="221"/>
      <c r="D88" s="221"/>
      <c r="E88" s="221"/>
      <c r="F88" s="221"/>
      <c r="G88" s="221"/>
      <c r="H88" s="226"/>
      <c r="I88" s="220"/>
      <c r="J88" s="221"/>
      <c r="K88" s="221"/>
      <c r="L88" s="226"/>
      <c r="M88" s="220"/>
      <c r="N88" s="221"/>
      <c r="O88" s="221"/>
      <c r="P88" s="226"/>
      <c r="Q88" s="263"/>
      <c r="R88" s="264"/>
      <c r="S88" s="222"/>
      <c r="T88" s="222"/>
      <c r="U88" s="222"/>
      <c r="V88" s="222"/>
      <c r="W88" s="231"/>
      <c r="X88" s="232"/>
      <c r="Y88" s="306"/>
      <c r="Z88" s="250"/>
      <c r="AA88" s="307"/>
      <c r="AB88" s="222"/>
      <c r="AC88" s="222"/>
      <c r="AD88" s="222"/>
      <c r="AE88" s="308"/>
      <c r="AF88" s="220"/>
      <c r="AG88" s="221"/>
      <c r="AH88" s="221"/>
      <c r="AI88" s="226"/>
      <c r="AJ88" s="231"/>
      <c r="AK88" s="306"/>
      <c r="AL88" s="311"/>
      <c r="AM88" s="312"/>
      <c r="AN88" s="315"/>
      <c r="AO88" s="316"/>
      <c r="AP88" s="220"/>
      <c r="AQ88" s="221"/>
      <c r="AR88" s="226"/>
      <c r="AS88" s="220"/>
      <c r="AT88" s="221"/>
      <c r="AU88" s="221"/>
      <c r="AV88" s="221"/>
      <c r="AW88" s="221"/>
      <c r="AX88" s="221"/>
      <c r="AY88" s="221"/>
      <c r="AZ88" s="221"/>
      <c r="BA88" s="226"/>
    </row>
    <row r="89" spans="2:91" s="4" customFormat="1" ht="18" customHeight="1" x14ac:dyDescent="0.15">
      <c r="B89" s="235" t="s">
        <v>44</v>
      </c>
      <c r="C89" s="233"/>
      <c r="D89" s="233"/>
      <c r="E89" s="233"/>
      <c r="F89" s="233"/>
      <c r="G89" s="233"/>
      <c r="H89" s="237"/>
      <c r="I89" s="317">
        <f>SUM(I91:L94)</f>
        <v>123334000</v>
      </c>
      <c r="J89" s="318"/>
      <c r="K89" s="318"/>
      <c r="L89" s="322"/>
      <c r="M89" s="317">
        <f>SUM(M91:P94)</f>
        <v>-16383000</v>
      </c>
      <c r="N89" s="318"/>
      <c r="O89" s="318"/>
      <c r="P89" s="322"/>
      <c r="Q89" s="317">
        <f>SUM(Q91:R94)</f>
        <v>0</v>
      </c>
      <c r="R89" s="318"/>
      <c r="S89" s="321">
        <f>SUM(S91:V94)</f>
        <v>106951000</v>
      </c>
      <c r="T89" s="321"/>
      <c r="U89" s="321"/>
      <c r="V89" s="321"/>
      <c r="W89" s="317">
        <f>SUM(W91:Y94)</f>
        <v>0</v>
      </c>
      <c r="X89" s="318"/>
      <c r="Y89" s="322"/>
      <c r="Z89" s="317">
        <f>SUM(Z91:AA94)</f>
        <v>0</v>
      </c>
      <c r="AA89" s="318"/>
      <c r="AB89" s="321">
        <f>SUM(AB91:AE94)</f>
        <v>106951000</v>
      </c>
      <c r="AC89" s="321"/>
      <c r="AD89" s="321"/>
      <c r="AE89" s="321"/>
      <c r="AF89" s="317">
        <f>SUM(AF91:AI94)</f>
        <v>97233244</v>
      </c>
      <c r="AG89" s="318"/>
      <c r="AH89" s="318"/>
      <c r="AI89" s="318"/>
      <c r="AJ89" s="317">
        <f>SUM(AJ91:AK94)</f>
        <v>7897000</v>
      </c>
      <c r="AK89" s="322"/>
      <c r="AL89" s="266">
        <f>SUM(AL91:AM94)</f>
        <v>0</v>
      </c>
      <c r="AM89" s="268"/>
      <c r="AN89" s="321">
        <f>SUM(AN91:AO94)</f>
        <v>7897000</v>
      </c>
      <c r="AO89" s="321"/>
      <c r="AP89" s="317">
        <f>SUM(AP91:AR94)</f>
        <v>1820756</v>
      </c>
      <c r="AQ89" s="318"/>
      <c r="AR89" s="318"/>
      <c r="AS89" s="278"/>
      <c r="AT89" s="279"/>
      <c r="AU89" s="279"/>
      <c r="AV89" s="279"/>
      <c r="AW89" s="279"/>
      <c r="AX89" s="279"/>
      <c r="AY89" s="279"/>
      <c r="AZ89" s="279"/>
      <c r="BA89" s="280"/>
    </row>
    <row r="90" spans="2:91" s="4" customFormat="1" ht="18" customHeight="1" x14ac:dyDescent="0.15">
      <c r="B90" s="236"/>
      <c r="C90" s="234"/>
      <c r="D90" s="234"/>
      <c r="E90" s="234"/>
      <c r="F90" s="234"/>
      <c r="G90" s="234"/>
      <c r="H90" s="238"/>
      <c r="I90" s="319"/>
      <c r="J90" s="320"/>
      <c r="K90" s="320"/>
      <c r="L90" s="323"/>
      <c r="M90" s="319"/>
      <c r="N90" s="320"/>
      <c r="O90" s="320"/>
      <c r="P90" s="323"/>
      <c r="Q90" s="319"/>
      <c r="R90" s="320"/>
      <c r="S90" s="321"/>
      <c r="T90" s="321"/>
      <c r="U90" s="321"/>
      <c r="V90" s="321"/>
      <c r="W90" s="319"/>
      <c r="X90" s="320"/>
      <c r="Y90" s="323"/>
      <c r="Z90" s="319"/>
      <c r="AA90" s="320"/>
      <c r="AB90" s="321"/>
      <c r="AC90" s="321"/>
      <c r="AD90" s="321"/>
      <c r="AE90" s="321"/>
      <c r="AF90" s="319"/>
      <c r="AG90" s="320"/>
      <c r="AH90" s="320"/>
      <c r="AI90" s="320"/>
      <c r="AJ90" s="319"/>
      <c r="AK90" s="323"/>
      <c r="AL90" s="269"/>
      <c r="AM90" s="271"/>
      <c r="AN90" s="321"/>
      <c r="AO90" s="321"/>
      <c r="AP90" s="319"/>
      <c r="AQ90" s="320"/>
      <c r="AR90" s="320"/>
      <c r="AS90" s="281"/>
      <c r="AT90" s="282"/>
      <c r="AU90" s="282"/>
      <c r="AV90" s="282"/>
      <c r="AW90" s="282"/>
      <c r="AX90" s="282"/>
      <c r="AY90" s="282"/>
      <c r="AZ90" s="282"/>
      <c r="BA90" s="283"/>
    </row>
    <row r="91" spans="2:91" s="4" customFormat="1" ht="18" customHeight="1" x14ac:dyDescent="0.15">
      <c r="B91" s="235" t="s">
        <v>45</v>
      </c>
      <c r="C91" s="233"/>
      <c r="D91" s="233"/>
      <c r="E91" s="233"/>
      <c r="F91" s="233"/>
      <c r="G91" s="233"/>
      <c r="H91" s="237"/>
      <c r="I91" s="266">
        <v>94971000</v>
      </c>
      <c r="J91" s="267"/>
      <c r="K91" s="267"/>
      <c r="L91" s="268"/>
      <c r="M91" s="266">
        <v>-16383000</v>
      </c>
      <c r="N91" s="267"/>
      <c r="O91" s="267"/>
      <c r="P91" s="268"/>
      <c r="Q91" s="317">
        <f>SUM(Q95:R96)</f>
        <v>0</v>
      </c>
      <c r="R91" s="318"/>
      <c r="S91" s="259">
        <f>SUM(I91:R92)</f>
        <v>78588000</v>
      </c>
      <c r="T91" s="259"/>
      <c r="U91" s="259"/>
      <c r="V91" s="259"/>
      <c r="W91" s="259">
        <v>0</v>
      </c>
      <c r="X91" s="259"/>
      <c r="Y91" s="259"/>
      <c r="Z91" s="266">
        <v>0</v>
      </c>
      <c r="AA91" s="267"/>
      <c r="AB91" s="259">
        <f>SUM(S91:AA92)</f>
        <v>78588000</v>
      </c>
      <c r="AC91" s="259"/>
      <c r="AD91" s="259"/>
      <c r="AE91" s="259"/>
      <c r="AF91" s="266">
        <v>68872099</v>
      </c>
      <c r="AG91" s="267"/>
      <c r="AH91" s="267"/>
      <c r="AI91" s="268"/>
      <c r="AJ91" s="259">
        <v>7897000</v>
      </c>
      <c r="AK91" s="259"/>
      <c r="AL91" s="266">
        <v>0</v>
      </c>
      <c r="AM91" s="268"/>
      <c r="AN91" s="321">
        <f>SUM(AJ91:AM92)</f>
        <v>7897000</v>
      </c>
      <c r="AO91" s="321"/>
      <c r="AP91" s="266">
        <f>AB91-AF91-AN91</f>
        <v>1818901</v>
      </c>
      <c r="AQ91" s="267"/>
      <c r="AR91" s="267"/>
      <c r="AS91" s="272" t="s">
        <v>62</v>
      </c>
      <c r="AT91" s="273"/>
      <c r="AU91" s="273"/>
      <c r="AV91" s="273"/>
      <c r="AW91" s="273"/>
      <c r="AX91" s="273"/>
      <c r="AY91" s="273"/>
      <c r="AZ91" s="273"/>
      <c r="BA91" s="274"/>
    </row>
    <row r="92" spans="2:91" s="4" customFormat="1" ht="18" customHeight="1" x14ac:dyDescent="0.15">
      <c r="B92" s="236"/>
      <c r="C92" s="234"/>
      <c r="D92" s="234"/>
      <c r="E92" s="234"/>
      <c r="F92" s="234"/>
      <c r="G92" s="234"/>
      <c r="H92" s="238"/>
      <c r="I92" s="269"/>
      <c r="J92" s="270"/>
      <c r="K92" s="270"/>
      <c r="L92" s="271"/>
      <c r="M92" s="269"/>
      <c r="N92" s="270"/>
      <c r="O92" s="270"/>
      <c r="P92" s="271"/>
      <c r="Q92" s="319"/>
      <c r="R92" s="320"/>
      <c r="S92" s="259"/>
      <c r="T92" s="259"/>
      <c r="U92" s="259"/>
      <c r="V92" s="259"/>
      <c r="W92" s="259"/>
      <c r="X92" s="259"/>
      <c r="Y92" s="259"/>
      <c r="Z92" s="269"/>
      <c r="AA92" s="270"/>
      <c r="AB92" s="259"/>
      <c r="AC92" s="259"/>
      <c r="AD92" s="259"/>
      <c r="AE92" s="259"/>
      <c r="AF92" s="269"/>
      <c r="AG92" s="270"/>
      <c r="AH92" s="270"/>
      <c r="AI92" s="271"/>
      <c r="AJ92" s="259"/>
      <c r="AK92" s="259"/>
      <c r="AL92" s="269"/>
      <c r="AM92" s="271"/>
      <c r="AN92" s="321"/>
      <c r="AO92" s="321"/>
      <c r="AP92" s="269"/>
      <c r="AQ92" s="270"/>
      <c r="AR92" s="270"/>
      <c r="AS92" s="324" t="s">
        <v>56</v>
      </c>
      <c r="AT92" s="325"/>
      <c r="AU92" s="325"/>
      <c r="AV92" s="325"/>
      <c r="AW92" s="325"/>
      <c r="AX92" s="325"/>
      <c r="AY92" s="325"/>
      <c r="AZ92" s="325"/>
      <c r="BA92" s="326"/>
    </row>
    <row r="93" spans="2:91" s="4" customFormat="1" ht="18" customHeight="1" x14ac:dyDescent="0.15">
      <c r="B93" s="244" t="s">
        <v>46</v>
      </c>
      <c r="C93" s="245"/>
      <c r="D93" s="245"/>
      <c r="E93" s="245"/>
      <c r="F93" s="245"/>
      <c r="G93" s="245"/>
      <c r="H93" s="246"/>
      <c r="I93" s="266">
        <v>28363000</v>
      </c>
      <c r="J93" s="267"/>
      <c r="K93" s="267"/>
      <c r="L93" s="268"/>
      <c r="M93" s="266">
        <v>0</v>
      </c>
      <c r="N93" s="267"/>
      <c r="O93" s="267"/>
      <c r="P93" s="268"/>
      <c r="Q93" s="317">
        <f>SUM(Q95:R95)</f>
        <v>0</v>
      </c>
      <c r="R93" s="318"/>
      <c r="S93" s="266">
        <f>SUM(I93:R94)</f>
        <v>28363000</v>
      </c>
      <c r="T93" s="267"/>
      <c r="U93" s="267"/>
      <c r="V93" s="268"/>
      <c r="W93" s="259">
        <v>0</v>
      </c>
      <c r="X93" s="259"/>
      <c r="Y93" s="259"/>
      <c r="Z93" s="259">
        <v>0</v>
      </c>
      <c r="AA93" s="327"/>
      <c r="AB93" s="259">
        <f>SUM(S93:AA94)</f>
        <v>28363000</v>
      </c>
      <c r="AC93" s="259"/>
      <c r="AD93" s="259"/>
      <c r="AE93" s="259"/>
      <c r="AF93" s="266">
        <v>28361145</v>
      </c>
      <c r="AG93" s="267"/>
      <c r="AH93" s="267"/>
      <c r="AI93" s="268"/>
      <c r="AJ93" s="259">
        <v>0</v>
      </c>
      <c r="AK93" s="259"/>
      <c r="AL93" s="266">
        <v>0</v>
      </c>
      <c r="AM93" s="268"/>
      <c r="AN93" s="321">
        <f>SUM(AJ93:AM94)</f>
        <v>0</v>
      </c>
      <c r="AO93" s="321"/>
      <c r="AP93" s="266">
        <f>AB93-AF93-AN93</f>
        <v>1855</v>
      </c>
      <c r="AQ93" s="267"/>
      <c r="AR93" s="267"/>
      <c r="AS93" s="278"/>
      <c r="AT93" s="279"/>
      <c r="AU93" s="279"/>
      <c r="AV93" s="279"/>
      <c r="AW93" s="279"/>
      <c r="AX93" s="279"/>
      <c r="AY93" s="279"/>
      <c r="AZ93" s="279"/>
      <c r="BA93" s="280"/>
    </row>
    <row r="94" spans="2:91" s="4" customFormat="1" ht="18" customHeight="1" x14ac:dyDescent="0.15">
      <c r="B94" s="247"/>
      <c r="C94" s="248"/>
      <c r="D94" s="248"/>
      <c r="E94" s="248"/>
      <c r="F94" s="248"/>
      <c r="G94" s="248"/>
      <c r="H94" s="249"/>
      <c r="I94" s="269"/>
      <c r="J94" s="270"/>
      <c r="K94" s="270"/>
      <c r="L94" s="271"/>
      <c r="M94" s="269"/>
      <c r="N94" s="270"/>
      <c r="O94" s="270"/>
      <c r="P94" s="271"/>
      <c r="Q94" s="319"/>
      <c r="R94" s="320"/>
      <c r="S94" s="269"/>
      <c r="T94" s="270"/>
      <c r="U94" s="270"/>
      <c r="V94" s="271"/>
      <c r="W94" s="259"/>
      <c r="X94" s="259"/>
      <c r="Y94" s="259"/>
      <c r="Z94" s="259"/>
      <c r="AA94" s="327"/>
      <c r="AB94" s="259"/>
      <c r="AC94" s="259"/>
      <c r="AD94" s="259"/>
      <c r="AE94" s="259"/>
      <c r="AF94" s="269"/>
      <c r="AG94" s="270"/>
      <c r="AH94" s="270"/>
      <c r="AI94" s="271"/>
      <c r="AJ94" s="259"/>
      <c r="AK94" s="259"/>
      <c r="AL94" s="269"/>
      <c r="AM94" s="271"/>
      <c r="AN94" s="321"/>
      <c r="AO94" s="321"/>
      <c r="AP94" s="269"/>
      <c r="AQ94" s="270"/>
      <c r="AR94" s="270"/>
      <c r="AS94" s="281"/>
      <c r="AT94" s="282"/>
      <c r="AU94" s="282"/>
      <c r="AV94" s="282"/>
      <c r="AW94" s="282"/>
      <c r="AX94" s="282"/>
      <c r="AY94" s="282"/>
      <c r="AZ94" s="282"/>
      <c r="BA94" s="283"/>
    </row>
    <row r="95" spans="2:91" ht="15" customHeight="1" x14ac:dyDescent="0.15">
      <c r="B95" s="58" t="s">
        <v>57</v>
      </c>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row>
    <row r="96" spans="2:91" ht="15" customHeight="1" x14ac:dyDescent="0.1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row>
    <row r="97" spans="2:53" ht="15" customHeight="1" x14ac:dyDescent="0.15">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row>
    <row r="98" spans="2:53" ht="13.5" customHeight="1" x14ac:dyDescent="0.15">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row>
    <row r="99" spans="2:53" s="1" customFormat="1" ht="13.5" customHeight="1" x14ac:dyDescent="0.1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row>
    <row r="100" spans="2:53" s="1" customFormat="1" ht="13.5" customHeight="1" x14ac:dyDescent="0.1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row>
    <row r="101" spans="2:53" s="1" customFormat="1" ht="13.5" customHeight="1" x14ac:dyDescent="0.15"/>
    <row r="102" spans="2:53" s="1" customFormat="1" ht="13.5" customHeight="1" x14ac:dyDescent="0.15"/>
    <row r="103" spans="2:53" s="1" customFormat="1" ht="13.5" customHeight="1" x14ac:dyDescent="0.15"/>
    <row r="104" spans="2:53" ht="18" customHeight="1" x14ac:dyDescent="0.15"/>
    <row r="105" spans="2:53" ht="18" customHeight="1" x14ac:dyDescent="0.15"/>
    <row r="106" spans="2:53" ht="18" customHeight="1" x14ac:dyDescent="0.15"/>
    <row r="107" spans="2:53" ht="18" customHeight="1" x14ac:dyDescent="0.15"/>
    <row r="108" spans="2:53" ht="18" customHeight="1" x14ac:dyDescent="0.15"/>
    <row r="109" spans="2:53" ht="18" customHeight="1" x14ac:dyDescent="0.15"/>
    <row r="110" spans="2:53" ht="18" customHeight="1" x14ac:dyDescent="0.15"/>
    <row r="111" spans="2:53" ht="18" customHeight="1" x14ac:dyDescent="0.15"/>
    <row r="112" spans="2:53"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row r="510" ht="18" customHeight="1" x14ac:dyDescent="0.15"/>
    <row r="511" ht="18" customHeight="1" x14ac:dyDescent="0.15"/>
    <row r="512" ht="18" customHeight="1" x14ac:dyDescent="0.15"/>
    <row r="513" ht="18" customHeight="1" x14ac:dyDescent="0.15"/>
    <row r="514" ht="18" customHeight="1" x14ac:dyDescent="0.15"/>
    <row r="515" ht="18" customHeight="1" x14ac:dyDescent="0.15"/>
    <row r="516" ht="18" customHeight="1" x14ac:dyDescent="0.15"/>
    <row r="517" ht="18" customHeight="1" x14ac:dyDescent="0.15"/>
    <row r="518" ht="18" customHeight="1" x14ac:dyDescent="0.15"/>
    <row r="519" ht="18" customHeight="1" x14ac:dyDescent="0.15"/>
    <row r="520" ht="18" customHeight="1" x14ac:dyDescent="0.15"/>
    <row r="521" ht="18" customHeight="1" x14ac:dyDescent="0.15"/>
    <row r="522" ht="18" customHeight="1" x14ac:dyDescent="0.15"/>
    <row r="523" ht="18" customHeight="1" x14ac:dyDescent="0.15"/>
    <row r="524" ht="18" customHeight="1" x14ac:dyDescent="0.15"/>
    <row r="525" ht="18" customHeight="1" x14ac:dyDescent="0.15"/>
    <row r="526" ht="18" customHeight="1" x14ac:dyDescent="0.15"/>
    <row r="527" ht="18" customHeight="1" x14ac:dyDescent="0.15"/>
    <row r="528" ht="18" customHeight="1" x14ac:dyDescent="0.15"/>
    <row r="529" ht="18" customHeight="1" x14ac:dyDescent="0.15"/>
    <row r="530" ht="18" customHeight="1" x14ac:dyDescent="0.15"/>
    <row r="531" ht="18" customHeight="1" x14ac:dyDescent="0.15"/>
    <row r="532" ht="18" customHeight="1" x14ac:dyDescent="0.15"/>
    <row r="533" ht="18" customHeight="1" x14ac:dyDescent="0.15"/>
    <row r="534" ht="18" customHeight="1" x14ac:dyDescent="0.15"/>
    <row r="535" ht="18" customHeight="1" x14ac:dyDescent="0.15"/>
    <row r="536" ht="18" customHeight="1" x14ac:dyDescent="0.15"/>
    <row r="537" ht="18" customHeight="1" x14ac:dyDescent="0.15"/>
    <row r="538" ht="18" customHeight="1" x14ac:dyDescent="0.15"/>
    <row r="539" ht="18" customHeight="1" x14ac:dyDescent="0.15"/>
    <row r="540" ht="18" customHeight="1" x14ac:dyDescent="0.15"/>
    <row r="541" ht="18" customHeight="1" x14ac:dyDescent="0.15"/>
    <row r="542" ht="18" customHeight="1" x14ac:dyDescent="0.15"/>
    <row r="543" ht="18" customHeight="1" x14ac:dyDescent="0.15"/>
    <row r="544" ht="18" customHeight="1" x14ac:dyDescent="0.15"/>
    <row r="545" ht="18" customHeight="1" x14ac:dyDescent="0.15"/>
    <row r="546" ht="18" customHeight="1" x14ac:dyDescent="0.15"/>
    <row r="547" ht="18" customHeight="1" x14ac:dyDescent="0.15"/>
    <row r="548" ht="18" customHeight="1" x14ac:dyDescent="0.15"/>
    <row r="549" ht="18" customHeight="1" x14ac:dyDescent="0.15"/>
    <row r="550" ht="18" customHeight="1" x14ac:dyDescent="0.15"/>
    <row r="551" ht="18" customHeight="1" x14ac:dyDescent="0.15"/>
    <row r="552" ht="18" customHeight="1" x14ac:dyDescent="0.15"/>
    <row r="553" ht="18" customHeight="1" x14ac:dyDescent="0.15"/>
    <row r="554" ht="18" customHeight="1" x14ac:dyDescent="0.15"/>
    <row r="555" ht="18" customHeight="1" x14ac:dyDescent="0.15"/>
    <row r="556" ht="18" customHeight="1" x14ac:dyDescent="0.15"/>
    <row r="557" ht="18" customHeight="1" x14ac:dyDescent="0.15"/>
    <row r="558" ht="18" customHeight="1" x14ac:dyDescent="0.15"/>
    <row r="559" ht="18" customHeight="1" x14ac:dyDescent="0.15"/>
    <row r="560" ht="18" customHeight="1" x14ac:dyDescent="0.15"/>
    <row r="561" ht="18" customHeight="1" x14ac:dyDescent="0.15"/>
    <row r="562" ht="18" customHeight="1" x14ac:dyDescent="0.15"/>
    <row r="563" ht="18" customHeight="1" x14ac:dyDescent="0.15"/>
    <row r="564" ht="18" customHeight="1" x14ac:dyDescent="0.15"/>
    <row r="565" ht="18" customHeight="1" x14ac:dyDescent="0.15"/>
    <row r="566" ht="18" customHeight="1" x14ac:dyDescent="0.15"/>
    <row r="567" ht="18" customHeight="1" x14ac:dyDescent="0.15"/>
    <row r="568" ht="18" customHeight="1" x14ac:dyDescent="0.15"/>
    <row r="569" ht="18" customHeight="1" x14ac:dyDescent="0.15"/>
    <row r="570" ht="18" customHeight="1" x14ac:dyDescent="0.15"/>
    <row r="571" ht="18" customHeight="1" x14ac:dyDescent="0.15"/>
    <row r="572" ht="18" customHeight="1" x14ac:dyDescent="0.15"/>
    <row r="573" ht="18" customHeight="1" x14ac:dyDescent="0.15"/>
    <row r="574" ht="18" customHeight="1" x14ac:dyDescent="0.15"/>
    <row r="575" ht="18" customHeight="1" x14ac:dyDescent="0.15"/>
    <row r="576" ht="18" customHeight="1" x14ac:dyDescent="0.15"/>
    <row r="577" ht="18" customHeight="1" x14ac:dyDescent="0.15"/>
    <row r="578" ht="18" customHeight="1" x14ac:dyDescent="0.15"/>
    <row r="579" ht="18" customHeight="1" x14ac:dyDescent="0.15"/>
    <row r="580" ht="18" customHeight="1" x14ac:dyDescent="0.15"/>
    <row r="581" ht="18" customHeight="1" x14ac:dyDescent="0.15"/>
    <row r="582" ht="18" customHeight="1" x14ac:dyDescent="0.15"/>
    <row r="583" ht="18" customHeight="1" x14ac:dyDescent="0.15"/>
    <row r="584" ht="18" customHeight="1" x14ac:dyDescent="0.15"/>
    <row r="585" ht="18" customHeight="1" x14ac:dyDescent="0.15"/>
    <row r="586" ht="18" customHeight="1" x14ac:dyDescent="0.15"/>
    <row r="587" ht="18" customHeight="1" x14ac:dyDescent="0.15"/>
    <row r="588" ht="18" customHeight="1" x14ac:dyDescent="0.15"/>
    <row r="589" ht="18" customHeight="1" x14ac:dyDescent="0.15"/>
    <row r="590" ht="18" customHeight="1" x14ac:dyDescent="0.15"/>
    <row r="591" ht="18" customHeight="1" x14ac:dyDescent="0.15"/>
    <row r="592" ht="18" customHeight="1" x14ac:dyDescent="0.15"/>
    <row r="593" ht="18" customHeight="1" x14ac:dyDescent="0.15"/>
    <row r="594" ht="18" customHeight="1" x14ac:dyDescent="0.15"/>
    <row r="595" ht="18" customHeight="1" x14ac:dyDescent="0.15"/>
    <row r="596" ht="18" customHeight="1" x14ac:dyDescent="0.15"/>
    <row r="597" ht="18" customHeight="1" x14ac:dyDescent="0.15"/>
    <row r="598" ht="18" customHeight="1" x14ac:dyDescent="0.15"/>
    <row r="599" ht="18" customHeight="1" x14ac:dyDescent="0.15"/>
    <row r="600" ht="18" customHeight="1" x14ac:dyDescent="0.15"/>
    <row r="601" ht="18" customHeight="1" x14ac:dyDescent="0.15"/>
    <row r="602" ht="18" customHeight="1" x14ac:dyDescent="0.15"/>
    <row r="603" ht="18" customHeight="1" x14ac:dyDescent="0.15"/>
    <row r="604" ht="18" customHeight="1" x14ac:dyDescent="0.15"/>
    <row r="605" ht="18" customHeight="1" x14ac:dyDescent="0.15"/>
    <row r="606" ht="18" customHeight="1" x14ac:dyDescent="0.15"/>
    <row r="607" ht="18" customHeight="1" x14ac:dyDescent="0.15"/>
    <row r="608" ht="18" customHeight="1" x14ac:dyDescent="0.15"/>
    <row r="609" ht="18" customHeight="1" x14ac:dyDescent="0.15"/>
    <row r="610" ht="18" customHeight="1" x14ac:dyDescent="0.15"/>
    <row r="611" ht="18" customHeight="1" x14ac:dyDescent="0.15"/>
    <row r="612" ht="18" customHeight="1" x14ac:dyDescent="0.15"/>
    <row r="613" ht="18" customHeight="1" x14ac:dyDescent="0.15"/>
    <row r="614" ht="18" customHeight="1" x14ac:dyDescent="0.15"/>
    <row r="615" ht="18" customHeight="1" x14ac:dyDescent="0.15"/>
    <row r="616" ht="18" customHeight="1" x14ac:dyDescent="0.15"/>
    <row r="617" ht="18" customHeight="1" x14ac:dyDescent="0.15"/>
    <row r="618" ht="18" customHeight="1" x14ac:dyDescent="0.15"/>
    <row r="619" ht="18" customHeight="1" x14ac:dyDescent="0.15"/>
    <row r="620" ht="18" customHeight="1" x14ac:dyDescent="0.15"/>
    <row r="621" ht="18" customHeight="1" x14ac:dyDescent="0.15"/>
    <row r="622" ht="18" customHeight="1" x14ac:dyDescent="0.15"/>
    <row r="623" ht="18" customHeight="1" x14ac:dyDescent="0.15"/>
    <row r="624" ht="18" customHeight="1" x14ac:dyDescent="0.15"/>
    <row r="625" ht="18" customHeight="1" x14ac:dyDescent="0.15"/>
    <row r="626" ht="18" customHeight="1" x14ac:dyDescent="0.15"/>
    <row r="627" ht="18" customHeight="1" x14ac:dyDescent="0.15"/>
    <row r="628" ht="18" customHeight="1" x14ac:dyDescent="0.15"/>
    <row r="629" ht="18" customHeight="1" x14ac:dyDescent="0.15"/>
    <row r="630" ht="18" customHeight="1" x14ac:dyDescent="0.15"/>
    <row r="631" ht="18" customHeight="1" x14ac:dyDescent="0.15"/>
    <row r="632" ht="18" customHeight="1" x14ac:dyDescent="0.15"/>
    <row r="633" ht="18" customHeight="1" x14ac:dyDescent="0.15"/>
    <row r="634" ht="18" customHeight="1" x14ac:dyDescent="0.15"/>
    <row r="635" ht="18" customHeight="1" x14ac:dyDescent="0.15"/>
    <row r="636" ht="18" customHeight="1" x14ac:dyDescent="0.15"/>
    <row r="637" ht="18" customHeight="1" x14ac:dyDescent="0.15"/>
    <row r="638" ht="18" customHeight="1" x14ac:dyDescent="0.15"/>
    <row r="639" ht="18" customHeight="1" x14ac:dyDescent="0.15"/>
    <row r="640" ht="18" customHeight="1" x14ac:dyDescent="0.15"/>
    <row r="641" ht="18" customHeight="1" x14ac:dyDescent="0.15"/>
    <row r="642" ht="18" customHeight="1" x14ac:dyDescent="0.15"/>
    <row r="643" ht="18" customHeight="1" x14ac:dyDescent="0.15"/>
    <row r="644" ht="18" customHeight="1" x14ac:dyDescent="0.15"/>
    <row r="645" ht="18" customHeight="1" x14ac:dyDescent="0.15"/>
    <row r="646" ht="18" customHeight="1" x14ac:dyDescent="0.15"/>
    <row r="647" ht="18" customHeight="1" x14ac:dyDescent="0.15"/>
    <row r="648" ht="18" customHeight="1" x14ac:dyDescent="0.15"/>
    <row r="649" ht="18" customHeight="1" x14ac:dyDescent="0.15"/>
    <row r="650" ht="18" customHeight="1" x14ac:dyDescent="0.15"/>
    <row r="651" ht="18" customHeight="1" x14ac:dyDescent="0.15"/>
    <row r="652" ht="18" customHeight="1" x14ac:dyDescent="0.15"/>
    <row r="653" ht="18" customHeight="1" x14ac:dyDescent="0.15"/>
    <row r="654" ht="18" customHeight="1" x14ac:dyDescent="0.15"/>
    <row r="655" ht="18" customHeight="1" x14ac:dyDescent="0.15"/>
    <row r="656" ht="18" customHeight="1" x14ac:dyDescent="0.15"/>
    <row r="657" ht="18" customHeight="1" x14ac:dyDescent="0.15"/>
    <row r="658" ht="18" customHeight="1" x14ac:dyDescent="0.15"/>
    <row r="659" ht="18" customHeight="1" x14ac:dyDescent="0.15"/>
    <row r="660" ht="18" customHeight="1" x14ac:dyDescent="0.15"/>
    <row r="661" ht="18" customHeight="1" x14ac:dyDescent="0.15"/>
    <row r="662" ht="18" customHeight="1" x14ac:dyDescent="0.15"/>
    <row r="663" ht="18" customHeight="1" x14ac:dyDescent="0.15"/>
    <row r="664" ht="18" customHeight="1" x14ac:dyDescent="0.15"/>
    <row r="665" ht="18" customHeight="1" x14ac:dyDescent="0.15"/>
    <row r="666" ht="18" customHeight="1" x14ac:dyDescent="0.15"/>
    <row r="667" ht="18" customHeight="1" x14ac:dyDescent="0.15"/>
    <row r="668" ht="18" customHeight="1" x14ac:dyDescent="0.15"/>
    <row r="669" ht="18" customHeight="1" x14ac:dyDescent="0.15"/>
    <row r="670" ht="18" customHeight="1" x14ac:dyDescent="0.15"/>
    <row r="671" ht="18" customHeight="1" x14ac:dyDescent="0.15"/>
    <row r="672" ht="18" customHeight="1" x14ac:dyDescent="0.15"/>
    <row r="673" ht="18" customHeight="1" x14ac:dyDescent="0.15"/>
    <row r="674" ht="18" customHeight="1" x14ac:dyDescent="0.15"/>
    <row r="675" ht="18" customHeight="1" x14ac:dyDescent="0.15"/>
    <row r="676" ht="18" customHeight="1" x14ac:dyDescent="0.15"/>
    <row r="677" ht="18" customHeight="1" x14ac:dyDescent="0.15"/>
    <row r="678" ht="18" customHeight="1" x14ac:dyDescent="0.15"/>
    <row r="679" ht="18" customHeight="1" x14ac:dyDescent="0.15"/>
    <row r="680" ht="18" customHeight="1" x14ac:dyDescent="0.15"/>
    <row r="681" ht="18" customHeight="1" x14ac:dyDescent="0.15"/>
    <row r="682" ht="18" customHeight="1" x14ac:dyDescent="0.15"/>
    <row r="683" ht="18" customHeight="1" x14ac:dyDescent="0.15"/>
    <row r="684" ht="18" customHeight="1" x14ac:dyDescent="0.15"/>
    <row r="685" ht="18" customHeight="1" x14ac:dyDescent="0.15"/>
    <row r="686" ht="18" customHeight="1" x14ac:dyDescent="0.15"/>
    <row r="687" ht="18" customHeight="1" x14ac:dyDescent="0.15"/>
    <row r="688" ht="18" customHeight="1" x14ac:dyDescent="0.15"/>
    <row r="689" ht="18" customHeight="1" x14ac:dyDescent="0.15"/>
    <row r="690" ht="18" customHeight="1" x14ac:dyDescent="0.15"/>
    <row r="691" ht="18" customHeight="1" x14ac:dyDescent="0.15"/>
    <row r="692" ht="18" customHeight="1" x14ac:dyDescent="0.15"/>
    <row r="693" ht="18" customHeight="1" x14ac:dyDescent="0.15"/>
    <row r="694" ht="18" customHeight="1" x14ac:dyDescent="0.15"/>
    <row r="695" ht="18" customHeight="1" x14ac:dyDescent="0.15"/>
    <row r="696" ht="18" customHeight="1" x14ac:dyDescent="0.15"/>
    <row r="697" ht="18" customHeight="1" x14ac:dyDescent="0.15"/>
    <row r="698" ht="18" customHeight="1" x14ac:dyDescent="0.15"/>
    <row r="699" ht="18" customHeight="1" x14ac:dyDescent="0.15"/>
    <row r="700" ht="18" customHeight="1" x14ac:dyDescent="0.15"/>
    <row r="701" ht="18" customHeight="1" x14ac:dyDescent="0.15"/>
    <row r="702" ht="18" customHeight="1" x14ac:dyDescent="0.15"/>
    <row r="703" ht="18" customHeight="1" x14ac:dyDescent="0.15"/>
    <row r="704" ht="18" customHeight="1" x14ac:dyDescent="0.15"/>
    <row r="705" ht="18" customHeight="1" x14ac:dyDescent="0.15"/>
    <row r="706" ht="18" customHeight="1" x14ac:dyDescent="0.15"/>
    <row r="707" ht="18" customHeight="1" x14ac:dyDescent="0.15"/>
    <row r="708" ht="18" customHeight="1" x14ac:dyDescent="0.15"/>
    <row r="709" ht="18" customHeight="1" x14ac:dyDescent="0.15"/>
    <row r="710" ht="18" customHeight="1" x14ac:dyDescent="0.15"/>
    <row r="711" ht="18" customHeight="1" x14ac:dyDescent="0.15"/>
    <row r="712" ht="18" customHeight="1" x14ac:dyDescent="0.15"/>
    <row r="713" ht="18" customHeight="1" x14ac:dyDescent="0.15"/>
    <row r="714" ht="18" customHeight="1" x14ac:dyDescent="0.15"/>
    <row r="715" ht="18" customHeight="1" x14ac:dyDescent="0.15"/>
    <row r="716" ht="18" customHeight="1" x14ac:dyDescent="0.15"/>
    <row r="717" ht="18" customHeight="1" x14ac:dyDescent="0.15"/>
    <row r="718" ht="18" customHeight="1" x14ac:dyDescent="0.15"/>
    <row r="719" ht="18" customHeight="1" x14ac:dyDescent="0.15"/>
    <row r="720" ht="18" customHeight="1" x14ac:dyDescent="0.15"/>
    <row r="721" ht="18" customHeight="1" x14ac:dyDescent="0.15"/>
    <row r="722" ht="18" customHeight="1" x14ac:dyDescent="0.15"/>
    <row r="723" ht="18" customHeight="1" x14ac:dyDescent="0.15"/>
    <row r="724" ht="18" customHeight="1" x14ac:dyDescent="0.15"/>
    <row r="725" ht="18" customHeight="1" x14ac:dyDescent="0.15"/>
    <row r="726" ht="18" customHeight="1" x14ac:dyDescent="0.15"/>
    <row r="727" ht="18" customHeight="1" x14ac:dyDescent="0.15"/>
    <row r="728" ht="18" customHeight="1" x14ac:dyDescent="0.15"/>
    <row r="729" ht="18" customHeight="1" x14ac:dyDescent="0.15"/>
    <row r="730" ht="18" customHeight="1" x14ac:dyDescent="0.15"/>
    <row r="731" ht="18" customHeight="1" x14ac:dyDescent="0.15"/>
    <row r="732" ht="18" customHeight="1" x14ac:dyDescent="0.15"/>
    <row r="733" ht="18" customHeight="1" x14ac:dyDescent="0.15"/>
    <row r="734" ht="18" customHeight="1" x14ac:dyDescent="0.15"/>
    <row r="735" ht="18" customHeight="1" x14ac:dyDescent="0.15"/>
    <row r="736" ht="18" customHeight="1" x14ac:dyDescent="0.15"/>
    <row r="737" ht="18" customHeight="1" x14ac:dyDescent="0.15"/>
    <row r="738" ht="18" customHeight="1" x14ac:dyDescent="0.15"/>
    <row r="739" ht="18" customHeight="1" x14ac:dyDescent="0.15"/>
    <row r="740" ht="18" customHeight="1" x14ac:dyDescent="0.15"/>
    <row r="741" ht="18" customHeight="1" x14ac:dyDescent="0.15"/>
    <row r="742" ht="18" customHeight="1" x14ac:dyDescent="0.15"/>
    <row r="743" ht="18" customHeight="1" x14ac:dyDescent="0.15"/>
    <row r="744" ht="18" customHeight="1" x14ac:dyDescent="0.15"/>
    <row r="745" ht="18" customHeight="1" x14ac:dyDescent="0.15"/>
    <row r="746" ht="18" customHeight="1" x14ac:dyDescent="0.15"/>
    <row r="747" ht="18" customHeight="1" x14ac:dyDescent="0.15"/>
    <row r="748" ht="18" customHeight="1" x14ac:dyDescent="0.15"/>
    <row r="749" ht="18" customHeight="1" x14ac:dyDescent="0.15"/>
    <row r="750" ht="18" customHeight="1" x14ac:dyDescent="0.15"/>
    <row r="751" ht="18" customHeight="1" x14ac:dyDescent="0.15"/>
    <row r="752" ht="18" customHeight="1" x14ac:dyDescent="0.15"/>
    <row r="753" ht="18" customHeight="1" x14ac:dyDescent="0.15"/>
    <row r="754" ht="18" customHeight="1" x14ac:dyDescent="0.15"/>
    <row r="755" ht="18" customHeight="1" x14ac:dyDescent="0.15"/>
    <row r="756" ht="18" customHeight="1" x14ac:dyDescent="0.15"/>
    <row r="757" ht="18" customHeight="1" x14ac:dyDescent="0.15"/>
    <row r="758" ht="18" customHeight="1" x14ac:dyDescent="0.15"/>
    <row r="759" ht="18" customHeight="1" x14ac:dyDescent="0.15"/>
    <row r="760" ht="18" customHeight="1" x14ac:dyDescent="0.15"/>
    <row r="761" ht="18" customHeight="1" x14ac:dyDescent="0.15"/>
    <row r="762" ht="18" customHeight="1" x14ac:dyDescent="0.15"/>
    <row r="763" ht="18" customHeight="1" x14ac:dyDescent="0.15"/>
    <row r="764" ht="18" customHeight="1" x14ac:dyDescent="0.15"/>
    <row r="765" ht="18" customHeight="1" x14ac:dyDescent="0.15"/>
    <row r="766" ht="18" customHeight="1" x14ac:dyDescent="0.15"/>
    <row r="767" ht="18" customHeight="1" x14ac:dyDescent="0.15"/>
    <row r="768" ht="18" customHeight="1" x14ac:dyDescent="0.15"/>
    <row r="769" ht="18" customHeight="1" x14ac:dyDescent="0.15"/>
    <row r="770" ht="18" customHeight="1" x14ac:dyDescent="0.15"/>
    <row r="771" ht="18" customHeight="1" x14ac:dyDescent="0.15"/>
    <row r="772" ht="18" customHeight="1" x14ac:dyDescent="0.15"/>
    <row r="773" ht="18" customHeight="1" x14ac:dyDescent="0.15"/>
    <row r="774" ht="18" customHeight="1" x14ac:dyDescent="0.15"/>
    <row r="775" ht="18" customHeight="1" x14ac:dyDescent="0.15"/>
    <row r="776" ht="18" customHeight="1" x14ac:dyDescent="0.15"/>
    <row r="777" ht="18" customHeight="1" x14ac:dyDescent="0.15"/>
    <row r="778" ht="18" customHeight="1" x14ac:dyDescent="0.15"/>
    <row r="779" ht="18" customHeight="1" x14ac:dyDescent="0.15"/>
    <row r="780" ht="18" customHeight="1" x14ac:dyDescent="0.15"/>
    <row r="781" ht="18" customHeight="1" x14ac:dyDescent="0.15"/>
    <row r="782" ht="18" customHeight="1" x14ac:dyDescent="0.15"/>
    <row r="783" ht="18" customHeight="1" x14ac:dyDescent="0.15"/>
    <row r="784" ht="18" customHeight="1" x14ac:dyDescent="0.15"/>
    <row r="785" ht="18" customHeight="1" x14ac:dyDescent="0.15"/>
    <row r="786" ht="18" customHeight="1" x14ac:dyDescent="0.15"/>
    <row r="787" ht="18" customHeight="1" x14ac:dyDescent="0.15"/>
    <row r="788" ht="18" customHeight="1" x14ac:dyDescent="0.15"/>
    <row r="789" ht="18" customHeight="1" x14ac:dyDescent="0.15"/>
    <row r="790" ht="18" customHeight="1" x14ac:dyDescent="0.15"/>
    <row r="791" ht="18" customHeight="1" x14ac:dyDescent="0.15"/>
    <row r="792" ht="18" customHeight="1" x14ac:dyDescent="0.15"/>
    <row r="793" ht="18" customHeight="1" x14ac:dyDescent="0.15"/>
    <row r="794" ht="18" customHeight="1" x14ac:dyDescent="0.15"/>
    <row r="795" ht="18" customHeight="1" x14ac:dyDescent="0.15"/>
    <row r="796" ht="18" customHeight="1" x14ac:dyDescent="0.15"/>
    <row r="797" ht="18" customHeight="1" x14ac:dyDescent="0.15"/>
    <row r="798" ht="18" customHeight="1" x14ac:dyDescent="0.15"/>
    <row r="799" ht="18" customHeight="1" x14ac:dyDescent="0.15"/>
    <row r="800" ht="18" customHeight="1" x14ac:dyDescent="0.15"/>
    <row r="801" ht="18" customHeight="1" x14ac:dyDescent="0.15"/>
    <row r="802" ht="18" customHeight="1" x14ac:dyDescent="0.15"/>
    <row r="803" ht="18" customHeight="1" x14ac:dyDescent="0.15"/>
    <row r="804" ht="18" customHeight="1" x14ac:dyDescent="0.15"/>
    <row r="805" ht="18" customHeight="1" x14ac:dyDescent="0.15"/>
    <row r="806" ht="18" customHeight="1" x14ac:dyDescent="0.15"/>
    <row r="807" ht="18" customHeight="1" x14ac:dyDescent="0.15"/>
    <row r="808" ht="18" customHeight="1" x14ac:dyDescent="0.15"/>
    <row r="809" ht="18" customHeight="1" x14ac:dyDescent="0.15"/>
    <row r="810" ht="18" customHeight="1" x14ac:dyDescent="0.15"/>
    <row r="811" ht="18" customHeight="1" x14ac:dyDescent="0.15"/>
    <row r="812" ht="18" customHeight="1" x14ac:dyDescent="0.15"/>
    <row r="813" ht="18" customHeight="1" x14ac:dyDescent="0.15"/>
    <row r="814" ht="18" customHeight="1" x14ac:dyDescent="0.15"/>
    <row r="815" ht="18" customHeight="1" x14ac:dyDescent="0.15"/>
    <row r="816" ht="18" customHeight="1" x14ac:dyDescent="0.15"/>
    <row r="817" ht="18" customHeight="1" x14ac:dyDescent="0.15"/>
    <row r="818" ht="18" customHeight="1" x14ac:dyDescent="0.15"/>
    <row r="819" ht="18" customHeight="1" x14ac:dyDescent="0.15"/>
    <row r="820" ht="18" customHeight="1" x14ac:dyDescent="0.15"/>
    <row r="821" ht="18" customHeight="1" x14ac:dyDescent="0.15"/>
    <row r="822" ht="18" customHeight="1" x14ac:dyDescent="0.15"/>
    <row r="823" ht="18" customHeight="1" x14ac:dyDescent="0.15"/>
    <row r="824" ht="18" customHeight="1" x14ac:dyDescent="0.15"/>
    <row r="825" ht="18" customHeight="1" x14ac:dyDescent="0.15"/>
    <row r="826" ht="18" customHeight="1" x14ac:dyDescent="0.15"/>
    <row r="827" ht="18" customHeight="1" x14ac:dyDescent="0.15"/>
    <row r="828" ht="18" customHeight="1" x14ac:dyDescent="0.15"/>
    <row r="829" ht="18" customHeight="1" x14ac:dyDescent="0.15"/>
    <row r="830" ht="18" customHeight="1" x14ac:dyDescent="0.15"/>
    <row r="831" ht="18" customHeight="1" x14ac:dyDescent="0.15"/>
    <row r="832" ht="18" customHeight="1" x14ac:dyDescent="0.15"/>
    <row r="833" ht="18" customHeight="1" x14ac:dyDescent="0.15"/>
    <row r="834" ht="18" customHeight="1" x14ac:dyDescent="0.15"/>
    <row r="835" ht="18" customHeight="1" x14ac:dyDescent="0.15"/>
    <row r="836" ht="18" customHeight="1" x14ac:dyDescent="0.15"/>
    <row r="837" ht="18" customHeight="1" x14ac:dyDescent="0.15"/>
    <row r="838" ht="18" customHeight="1" x14ac:dyDescent="0.15"/>
    <row r="839" ht="18" customHeight="1" x14ac:dyDescent="0.15"/>
    <row r="840" ht="18" customHeight="1" x14ac:dyDescent="0.15"/>
    <row r="841" ht="18" customHeight="1" x14ac:dyDescent="0.15"/>
    <row r="842" ht="18" customHeight="1" x14ac:dyDescent="0.15"/>
    <row r="843" ht="18" customHeight="1" x14ac:dyDescent="0.15"/>
    <row r="844" ht="18" customHeight="1" x14ac:dyDescent="0.15"/>
    <row r="845" ht="18" customHeight="1" x14ac:dyDescent="0.15"/>
    <row r="846" ht="18" customHeight="1" x14ac:dyDescent="0.15"/>
    <row r="847" ht="18" customHeight="1" x14ac:dyDescent="0.15"/>
    <row r="848" ht="18" customHeight="1" x14ac:dyDescent="0.15"/>
    <row r="849" ht="18" customHeight="1" x14ac:dyDescent="0.15"/>
    <row r="850" ht="18" customHeight="1" x14ac:dyDescent="0.15"/>
    <row r="851" ht="18" customHeight="1" x14ac:dyDescent="0.15"/>
    <row r="852" ht="18" customHeight="1" x14ac:dyDescent="0.15"/>
    <row r="853" ht="18" customHeight="1" x14ac:dyDescent="0.15"/>
    <row r="854" ht="18" customHeight="1" x14ac:dyDescent="0.15"/>
    <row r="855" ht="18" customHeight="1" x14ac:dyDescent="0.15"/>
    <row r="856" ht="18" customHeight="1" x14ac:dyDescent="0.15"/>
    <row r="857" ht="18" customHeight="1" x14ac:dyDescent="0.15"/>
    <row r="858" ht="18" customHeight="1" x14ac:dyDescent="0.15"/>
    <row r="859" ht="18" customHeight="1" x14ac:dyDescent="0.15"/>
    <row r="860" ht="18" customHeight="1" x14ac:dyDescent="0.15"/>
    <row r="861" ht="18" customHeight="1" x14ac:dyDescent="0.15"/>
    <row r="862" ht="18" customHeight="1" x14ac:dyDescent="0.15"/>
    <row r="863" ht="18" customHeight="1" x14ac:dyDescent="0.15"/>
    <row r="864" ht="18" customHeight="1" x14ac:dyDescent="0.15"/>
    <row r="865" ht="18" customHeight="1" x14ac:dyDescent="0.15"/>
    <row r="866" ht="18" customHeight="1" x14ac:dyDescent="0.15"/>
    <row r="867" ht="18" customHeight="1" x14ac:dyDescent="0.15"/>
    <row r="868" ht="18" customHeight="1" x14ac:dyDescent="0.15"/>
    <row r="869" ht="18" customHeight="1" x14ac:dyDescent="0.15"/>
    <row r="870" ht="18" customHeight="1" x14ac:dyDescent="0.15"/>
    <row r="871" ht="18" customHeight="1" x14ac:dyDescent="0.15"/>
    <row r="872" ht="18" customHeight="1" x14ac:dyDescent="0.15"/>
    <row r="873" ht="18" customHeight="1" x14ac:dyDescent="0.15"/>
    <row r="874" ht="18" customHeight="1" x14ac:dyDescent="0.15"/>
    <row r="875" ht="18" customHeight="1" x14ac:dyDescent="0.15"/>
    <row r="876" ht="18" customHeight="1" x14ac:dyDescent="0.15"/>
    <row r="877" ht="18" customHeight="1" x14ac:dyDescent="0.15"/>
    <row r="878" ht="18" customHeight="1" x14ac:dyDescent="0.15"/>
    <row r="879" ht="18" customHeight="1" x14ac:dyDescent="0.15"/>
    <row r="880" ht="18" customHeight="1" x14ac:dyDescent="0.15"/>
    <row r="881" ht="18" customHeight="1" x14ac:dyDescent="0.15"/>
    <row r="882" ht="18" customHeight="1" x14ac:dyDescent="0.15"/>
    <row r="883" ht="18" customHeight="1" x14ac:dyDescent="0.15"/>
    <row r="884" ht="18" customHeight="1" x14ac:dyDescent="0.15"/>
    <row r="885" ht="18" customHeight="1" x14ac:dyDescent="0.15"/>
    <row r="886" ht="18" customHeight="1" x14ac:dyDescent="0.15"/>
    <row r="887" ht="18" customHeight="1" x14ac:dyDescent="0.15"/>
    <row r="888" ht="18" customHeight="1" x14ac:dyDescent="0.15"/>
    <row r="889" ht="18" customHeight="1" x14ac:dyDescent="0.15"/>
    <row r="890" ht="18" customHeight="1" x14ac:dyDescent="0.15"/>
    <row r="891" ht="18" customHeight="1" x14ac:dyDescent="0.15"/>
    <row r="892" ht="18" customHeight="1" x14ac:dyDescent="0.15"/>
    <row r="893" ht="18" customHeight="1" x14ac:dyDescent="0.15"/>
    <row r="894" ht="18" customHeight="1" x14ac:dyDescent="0.15"/>
    <row r="895" ht="18" customHeight="1" x14ac:dyDescent="0.15"/>
    <row r="896" ht="18" customHeight="1" x14ac:dyDescent="0.15"/>
    <row r="897" ht="18" customHeight="1" x14ac:dyDescent="0.15"/>
    <row r="898" ht="18" customHeight="1" x14ac:dyDescent="0.15"/>
    <row r="899" ht="18" customHeight="1" x14ac:dyDescent="0.15"/>
    <row r="900" ht="18" customHeight="1" x14ac:dyDescent="0.15"/>
    <row r="901" ht="18" customHeight="1" x14ac:dyDescent="0.15"/>
    <row r="902" ht="18" customHeight="1" x14ac:dyDescent="0.15"/>
    <row r="903" ht="18" customHeight="1" x14ac:dyDescent="0.15"/>
    <row r="904" ht="18" customHeight="1" x14ac:dyDescent="0.15"/>
  </sheetData>
  <mergeCells count="225">
    <mergeCell ref="AP93:AR94"/>
    <mergeCell ref="AS93:BA94"/>
    <mergeCell ref="B95:BA96"/>
    <mergeCell ref="Z93:AA94"/>
    <mergeCell ref="AB93:AE94"/>
    <mergeCell ref="AF93:AI94"/>
    <mergeCell ref="AJ93:AK94"/>
    <mergeCell ref="AL93:AM94"/>
    <mergeCell ref="AN93:AO94"/>
    <mergeCell ref="B93:H94"/>
    <mergeCell ref="I93:L94"/>
    <mergeCell ref="M93:P94"/>
    <mergeCell ref="Q93:R94"/>
    <mergeCell ref="S93:V94"/>
    <mergeCell ref="W93:Y94"/>
    <mergeCell ref="AP91:AR92"/>
    <mergeCell ref="AS91:BA91"/>
    <mergeCell ref="AS92:BA92"/>
    <mergeCell ref="AP89:AR90"/>
    <mergeCell ref="AS89:BA90"/>
    <mergeCell ref="AF89:AI90"/>
    <mergeCell ref="AJ89:AK90"/>
    <mergeCell ref="AL89:AM90"/>
    <mergeCell ref="AN89:AO90"/>
    <mergeCell ref="B83:H88"/>
    <mergeCell ref="I83:AE84"/>
    <mergeCell ref="AF83:AI88"/>
    <mergeCell ref="AJ83:AO84"/>
    <mergeCell ref="B91:H92"/>
    <mergeCell ref="I91:L92"/>
    <mergeCell ref="M91:P92"/>
    <mergeCell ref="Q91:R92"/>
    <mergeCell ref="S91:V92"/>
    <mergeCell ref="W91:Y92"/>
    <mergeCell ref="Z91:AA92"/>
    <mergeCell ref="AB91:AE92"/>
    <mergeCell ref="Z89:AA90"/>
    <mergeCell ref="AB89:AE90"/>
    <mergeCell ref="B89:H90"/>
    <mergeCell ref="I89:L90"/>
    <mergeCell ref="M89:P90"/>
    <mergeCell ref="Q89:R90"/>
    <mergeCell ref="S89:V90"/>
    <mergeCell ref="W89:Y90"/>
    <mergeCell ref="AF91:AI92"/>
    <mergeCell ref="AJ91:AK92"/>
    <mergeCell ref="AL91:AM92"/>
    <mergeCell ref="AN91:AO92"/>
    <mergeCell ref="AP83:AR88"/>
    <mergeCell ref="AS83:BA88"/>
    <mergeCell ref="I85:L88"/>
    <mergeCell ref="M85:P88"/>
    <mergeCell ref="Q85:R88"/>
    <mergeCell ref="S85:V88"/>
    <mergeCell ref="X78:Z79"/>
    <mergeCell ref="AA78:AD79"/>
    <mergeCell ref="AE78:AH79"/>
    <mergeCell ref="AI78:AL79"/>
    <mergeCell ref="AM78:BA79"/>
    <mergeCell ref="W85:Y88"/>
    <mergeCell ref="Z85:AA88"/>
    <mergeCell ref="AB85:AE88"/>
    <mergeCell ref="AJ85:AK88"/>
    <mergeCell ref="AL85:AM88"/>
    <mergeCell ref="AN85:AO88"/>
    <mergeCell ref="B76:H77"/>
    <mergeCell ref="I76:L77"/>
    <mergeCell ref="M76:P77"/>
    <mergeCell ref="Q76:T77"/>
    <mergeCell ref="U76:W77"/>
    <mergeCell ref="B81:E82"/>
    <mergeCell ref="AU82:BA82"/>
    <mergeCell ref="X76:Z77"/>
    <mergeCell ref="AA76:AD77"/>
    <mergeCell ref="AE76:AH77"/>
    <mergeCell ref="AI76:AL77"/>
    <mergeCell ref="AM76:BA77"/>
    <mergeCell ref="B78:H79"/>
    <mergeCell ref="I78:L79"/>
    <mergeCell ref="M78:P79"/>
    <mergeCell ref="Q78:T79"/>
    <mergeCell ref="U78:W79"/>
    <mergeCell ref="AE72:AH73"/>
    <mergeCell ref="AI72:AL73"/>
    <mergeCell ref="AM72:BA73"/>
    <mergeCell ref="B74:H75"/>
    <mergeCell ref="I74:L75"/>
    <mergeCell ref="M74:P75"/>
    <mergeCell ref="Q74:T75"/>
    <mergeCell ref="U74:W75"/>
    <mergeCell ref="X74:Z75"/>
    <mergeCell ref="AA74:AD75"/>
    <mergeCell ref="AE74:AH75"/>
    <mergeCell ref="AI74:AL75"/>
    <mergeCell ref="AM74:BA75"/>
    <mergeCell ref="U68:W71"/>
    <mergeCell ref="X68:Z71"/>
    <mergeCell ref="AA68:AD71"/>
    <mergeCell ref="B72:H73"/>
    <mergeCell ref="I72:L73"/>
    <mergeCell ref="M72:P73"/>
    <mergeCell ref="Q72:T73"/>
    <mergeCell ref="U72:W73"/>
    <mergeCell ref="X72:Z73"/>
    <mergeCell ref="AA72:AD73"/>
    <mergeCell ref="AR47:BA48"/>
    <mergeCell ref="B62:N63"/>
    <mergeCell ref="B64:E65"/>
    <mergeCell ref="AU65:BA65"/>
    <mergeCell ref="B66:H71"/>
    <mergeCell ref="I66:AD67"/>
    <mergeCell ref="AE66:AH71"/>
    <mergeCell ref="AI66:AL71"/>
    <mergeCell ref="AM66:BA71"/>
    <mergeCell ref="I68:L71"/>
    <mergeCell ref="X47:AA48"/>
    <mergeCell ref="AB47:AC48"/>
    <mergeCell ref="AD47:AG48"/>
    <mergeCell ref="AH47:AK48"/>
    <mergeCell ref="AL47:AM48"/>
    <mergeCell ref="AN47:AQ48"/>
    <mergeCell ref="B47:H48"/>
    <mergeCell ref="I47:L48"/>
    <mergeCell ref="M47:P48"/>
    <mergeCell ref="Q47:R48"/>
    <mergeCell ref="S47:U48"/>
    <mergeCell ref="V47:W48"/>
    <mergeCell ref="M68:P71"/>
    <mergeCell ref="Q68:T71"/>
    <mergeCell ref="AB45:AC46"/>
    <mergeCell ref="AD45:AG46"/>
    <mergeCell ref="AH45:AK46"/>
    <mergeCell ref="AL45:AM46"/>
    <mergeCell ref="AN45:AQ46"/>
    <mergeCell ref="AR45:BA45"/>
    <mergeCell ref="AR46:BA46"/>
    <mergeCell ref="AN43:AQ44"/>
    <mergeCell ref="AR43:BA43"/>
    <mergeCell ref="AR44:BA44"/>
    <mergeCell ref="AB43:AC44"/>
    <mergeCell ref="AD43:AG44"/>
    <mergeCell ref="AH43:AK44"/>
    <mergeCell ref="AL43:AM44"/>
    <mergeCell ref="B45:H46"/>
    <mergeCell ref="I45:L46"/>
    <mergeCell ref="M45:P46"/>
    <mergeCell ref="Q45:R46"/>
    <mergeCell ref="S45:U46"/>
    <mergeCell ref="V45:W46"/>
    <mergeCell ref="X45:AA46"/>
    <mergeCell ref="V43:W44"/>
    <mergeCell ref="X43:AA44"/>
    <mergeCell ref="AD41:AG42"/>
    <mergeCell ref="AH41:AK42"/>
    <mergeCell ref="AL41:AM42"/>
    <mergeCell ref="AN41:AQ42"/>
    <mergeCell ref="AR41:BA42"/>
    <mergeCell ref="B43:H44"/>
    <mergeCell ref="I43:L44"/>
    <mergeCell ref="M43:P44"/>
    <mergeCell ref="Q43:R44"/>
    <mergeCell ref="S43:U44"/>
    <mergeCell ref="B41:H42"/>
    <mergeCell ref="I41:L42"/>
    <mergeCell ref="M41:P42"/>
    <mergeCell ref="Q41:R42"/>
    <mergeCell ref="S41:U42"/>
    <mergeCell ref="V41:W42"/>
    <mergeCell ref="X41:AA42"/>
    <mergeCell ref="AB41:AC42"/>
    <mergeCell ref="I37:L40"/>
    <mergeCell ref="M37:P40"/>
    <mergeCell ref="Q37:R40"/>
    <mergeCell ref="S37:U40"/>
    <mergeCell ref="V37:W40"/>
    <mergeCell ref="X37:AA40"/>
    <mergeCell ref="AC30:AF31"/>
    <mergeCell ref="AG30:BA31"/>
    <mergeCell ref="B32:E34"/>
    <mergeCell ref="AU34:BA34"/>
    <mergeCell ref="B35:H40"/>
    <mergeCell ref="I35:AG36"/>
    <mergeCell ref="AH35:AK40"/>
    <mergeCell ref="AL35:AM40"/>
    <mergeCell ref="AN35:AQ40"/>
    <mergeCell ref="AR35:BA40"/>
    <mergeCell ref="B30:H31"/>
    <mergeCell ref="I30:L31"/>
    <mergeCell ref="M30:P31"/>
    <mergeCell ref="Q30:T31"/>
    <mergeCell ref="U30:X31"/>
    <mergeCell ref="Y30:AB31"/>
    <mergeCell ref="AB37:AC40"/>
    <mergeCell ref="AD37:AG40"/>
    <mergeCell ref="AC26:AF27"/>
    <mergeCell ref="AG26:BA27"/>
    <mergeCell ref="B28:H29"/>
    <mergeCell ref="I28:L29"/>
    <mergeCell ref="M28:P29"/>
    <mergeCell ref="Q28:T29"/>
    <mergeCell ref="U28:X29"/>
    <mergeCell ref="Y28:AB29"/>
    <mergeCell ref="AC28:AF29"/>
    <mergeCell ref="AG28:BA29"/>
    <mergeCell ref="B26:H27"/>
    <mergeCell ref="I26:L27"/>
    <mergeCell ref="M26:P27"/>
    <mergeCell ref="Q26:T27"/>
    <mergeCell ref="U26:X27"/>
    <mergeCell ref="Y26:AB27"/>
    <mergeCell ref="B11:H12"/>
    <mergeCell ref="B13:BA14"/>
    <mergeCell ref="B16:N17"/>
    <mergeCell ref="AR17:BA17"/>
    <mergeCell ref="B18:E19"/>
    <mergeCell ref="AU19:BA19"/>
    <mergeCell ref="B20:H25"/>
    <mergeCell ref="I20:X21"/>
    <mergeCell ref="Y20:AB25"/>
    <mergeCell ref="AC20:AF25"/>
    <mergeCell ref="AG20:BA25"/>
    <mergeCell ref="I22:L25"/>
    <mergeCell ref="M22:P25"/>
    <mergeCell ref="Q22:T25"/>
    <mergeCell ref="U22:X25"/>
  </mergeCells>
  <phoneticPr fontId="1"/>
  <printOptions horizontalCentered="1" verticalCentered="1"/>
  <pageMargins left="0" right="0.47244094488188981" top="0.15748031496062992" bottom="0.15748031496062992" header="0.51181102362204722" footer="0.23622047244094491"/>
  <pageSetup paperSize="9" scale="85" orientation="landscape" blackAndWhite="1" r:id="rId1"/>
  <headerFooter alignWithMargins="0"/>
  <rowBreaks count="1" manualBreakCount="1">
    <brk id="51" max="16383" man="1"/>
  </rowBreaks>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000-000000000000}">
          <xm:sqref>D65445:G65445 JC65445:JF65445 SY65445:TB65445 ACU65445:ACX65445 AMQ65445:AMT65445 AWM65445:AWP65445 BGI65445:BGL65445 BQE65445:BQH65445 CAA65445:CAD65445 CJW65445:CJZ65445 CTS65445:CTV65445 DDO65445:DDR65445 DNK65445:DNN65445 DXG65445:DXJ65445 EHC65445:EHF65445 EQY65445:ERB65445 FAU65445:FAX65445 FKQ65445:FKT65445 FUM65445:FUP65445 GEI65445:GEL65445 GOE65445:GOH65445 GYA65445:GYD65445 HHW65445:HHZ65445 HRS65445:HRV65445 IBO65445:IBR65445 ILK65445:ILN65445 IVG65445:IVJ65445 JFC65445:JFF65445 JOY65445:JPB65445 JYU65445:JYX65445 KIQ65445:KIT65445 KSM65445:KSP65445 LCI65445:LCL65445 LME65445:LMH65445 LWA65445:LWD65445 MFW65445:MFZ65445 MPS65445:MPV65445 MZO65445:MZR65445 NJK65445:NJN65445 NTG65445:NTJ65445 ODC65445:ODF65445 OMY65445:ONB65445 OWU65445:OWX65445 PGQ65445:PGT65445 PQM65445:PQP65445 QAI65445:QAL65445 QKE65445:QKH65445 QUA65445:QUD65445 RDW65445:RDZ65445 RNS65445:RNV65445 RXO65445:RXR65445 SHK65445:SHN65445 SRG65445:SRJ65445 TBC65445:TBF65445 TKY65445:TLB65445 TUU65445:TUX65445 UEQ65445:UET65445 UOM65445:UOP65445 UYI65445:UYL65445 VIE65445:VIH65445 VSA65445:VSD65445 WBW65445:WBZ65445 WLS65445:WLV65445 WVO65445:WVR65445 D130981:G130981 JC130981:JF130981 SY130981:TB130981 ACU130981:ACX130981 AMQ130981:AMT130981 AWM130981:AWP130981 BGI130981:BGL130981 BQE130981:BQH130981 CAA130981:CAD130981 CJW130981:CJZ130981 CTS130981:CTV130981 DDO130981:DDR130981 DNK130981:DNN130981 DXG130981:DXJ130981 EHC130981:EHF130981 EQY130981:ERB130981 FAU130981:FAX130981 FKQ130981:FKT130981 FUM130981:FUP130981 GEI130981:GEL130981 GOE130981:GOH130981 GYA130981:GYD130981 HHW130981:HHZ130981 HRS130981:HRV130981 IBO130981:IBR130981 ILK130981:ILN130981 IVG130981:IVJ130981 JFC130981:JFF130981 JOY130981:JPB130981 JYU130981:JYX130981 KIQ130981:KIT130981 KSM130981:KSP130981 LCI130981:LCL130981 LME130981:LMH130981 LWA130981:LWD130981 MFW130981:MFZ130981 MPS130981:MPV130981 MZO130981:MZR130981 NJK130981:NJN130981 NTG130981:NTJ130981 ODC130981:ODF130981 OMY130981:ONB130981 OWU130981:OWX130981 PGQ130981:PGT130981 PQM130981:PQP130981 QAI130981:QAL130981 QKE130981:QKH130981 QUA130981:QUD130981 RDW130981:RDZ130981 RNS130981:RNV130981 RXO130981:RXR130981 SHK130981:SHN130981 SRG130981:SRJ130981 TBC130981:TBF130981 TKY130981:TLB130981 TUU130981:TUX130981 UEQ130981:UET130981 UOM130981:UOP130981 UYI130981:UYL130981 VIE130981:VIH130981 VSA130981:VSD130981 WBW130981:WBZ130981 WLS130981:WLV130981 WVO130981:WVR130981 D196517:G196517 JC196517:JF196517 SY196517:TB196517 ACU196517:ACX196517 AMQ196517:AMT196517 AWM196517:AWP196517 BGI196517:BGL196517 BQE196517:BQH196517 CAA196517:CAD196517 CJW196517:CJZ196517 CTS196517:CTV196517 DDO196517:DDR196517 DNK196517:DNN196517 DXG196517:DXJ196517 EHC196517:EHF196517 EQY196517:ERB196517 FAU196517:FAX196517 FKQ196517:FKT196517 FUM196517:FUP196517 GEI196517:GEL196517 GOE196517:GOH196517 GYA196517:GYD196517 HHW196517:HHZ196517 HRS196517:HRV196517 IBO196517:IBR196517 ILK196517:ILN196517 IVG196517:IVJ196517 JFC196517:JFF196517 JOY196517:JPB196517 JYU196517:JYX196517 KIQ196517:KIT196517 KSM196517:KSP196517 LCI196517:LCL196517 LME196517:LMH196517 LWA196517:LWD196517 MFW196517:MFZ196517 MPS196517:MPV196517 MZO196517:MZR196517 NJK196517:NJN196517 NTG196517:NTJ196517 ODC196517:ODF196517 OMY196517:ONB196517 OWU196517:OWX196517 PGQ196517:PGT196517 PQM196517:PQP196517 QAI196517:QAL196517 QKE196517:QKH196517 QUA196517:QUD196517 RDW196517:RDZ196517 RNS196517:RNV196517 RXO196517:RXR196517 SHK196517:SHN196517 SRG196517:SRJ196517 TBC196517:TBF196517 TKY196517:TLB196517 TUU196517:TUX196517 UEQ196517:UET196517 UOM196517:UOP196517 UYI196517:UYL196517 VIE196517:VIH196517 VSA196517:VSD196517 WBW196517:WBZ196517 WLS196517:WLV196517 WVO196517:WVR196517 D262053:G262053 JC262053:JF262053 SY262053:TB262053 ACU262053:ACX262053 AMQ262053:AMT262053 AWM262053:AWP262053 BGI262053:BGL262053 BQE262053:BQH262053 CAA262053:CAD262053 CJW262053:CJZ262053 CTS262053:CTV262053 DDO262053:DDR262053 DNK262053:DNN262053 DXG262053:DXJ262053 EHC262053:EHF262053 EQY262053:ERB262053 FAU262053:FAX262053 FKQ262053:FKT262053 FUM262053:FUP262053 GEI262053:GEL262053 GOE262053:GOH262053 GYA262053:GYD262053 HHW262053:HHZ262053 HRS262053:HRV262053 IBO262053:IBR262053 ILK262053:ILN262053 IVG262053:IVJ262053 JFC262053:JFF262053 JOY262053:JPB262053 JYU262053:JYX262053 KIQ262053:KIT262053 KSM262053:KSP262053 LCI262053:LCL262053 LME262053:LMH262053 LWA262053:LWD262053 MFW262053:MFZ262053 MPS262053:MPV262053 MZO262053:MZR262053 NJK262053:NJN262053 NTG262053:NTJ262053 ODC262053:ODF262053 OMY262053:ONB262053 OWU262053:OWX262053 PGQ262053:PGT262053 PQM262053:PQP262053 QAI262053:QAL262053 QKE262053:QKH262053 QUA262053:QUD262053 RDW262053:RDZ262053 RNS262053:RNV262053 RXO262053:RXR262053 SHK262053:SHN262053 SRG262053:SRJ262053 TBC262053:TBF262053 TKY262053:TLB262053 TUU262053:TUX262053 UEQ262053:UET262053 UOM262053:UOP262053 UYI262053:UYL262053 VIE262053:VIH262053 VSA262053:VSD262053 WBW262053:WBZ262053 WLS262053:WLV262053 WVO262053:WVR262053 D327589:G327589 JC327589:JF327589 SY327589:TB327589 ACU327589:ACX327589 AMQ327589:AMT327589 AWM327589:AWP327589 BGI327589:BGL327589 BQE327589:BQH327589 CAA327589:CAD327589 CJW327589:CJZ327589 CTS327589:CTV327589 DDO327589:DDR327589 DNK327589:DNN327589 DXG327589:DXJ327589 EHC327589:EHF327589 EQY327589:ERB327589 FAU327589:FAX327589 FKQ327589:FKT327589 FUM327589:FUP327589 GEI327589:GEL327589 GOE327589:GOH327589 GYA327589:GYD327589 HHW327589:HHZ327589 HRS327589:HRV327589 IBO327589:IBR327589 ILK327589:ILN327589 IVG327589:IVJ327589 JFC327589:JFF327589 JOY327589:JPB327589 JYU327589:JYX327589 KIQ327589:KIT327589 KSM327589:KSP327589 LCI327589:LCL327589 LME327589:LMH327589 LWA327589:LWD327589 MFW327589:MFZ327589 MPS327589:MPV327589 MZO327589:MZR327589 NJK327589:NJN327589 NTG327589:NTJ327589 ODC327589:ODF327589 OMY327589:ONB327589 OWU327589:OWX327589 PGQ327589:PGT327589 PQM327589:PQP327589 QAI327589:QAL327589 QKE327589:QKH327589 QUA327589:QUD327589 RDW327589:RDZ327589 RNS327589:RNV327589 RXO327589:RXR327589 SHK327589:SHN327589 SRG327589:SRJ327589 TBC327589:TBF327589 TKY327589:TLB327589 TUU327589:TUX327589 UEQ327589:UET327589 UOM327589:UOP327589 UYI327589:UYL327589 VIE327589:VIH327589 VSA327589:VSD327589 WBW327589:WBZ327589 WLS327589:WLV327589 WVO327589:WVR327589 D393125:G393125 JC393125:JF393125 SY393125:TB393125 ACU393125:ACX393125 AMQ393125:AMT393125 AWM393125:AWP393125 BGI393125:BGL393125 BQE393125:BQH393125 CAA393125:CAD393125 CJW393125:CJZ393125 CTS393125:CTV393125 DDO393125:DDR393125 DNK393125:DNN393125 DXG393125:DXJ393125 EHC393125:EHF393125 EQY393125:ERB393125 FAU393125:FAX393125 FKQ393125:FKT393125 FUM393125:FUP393125 GEI393125:GEL393125 GOE393125:GOH393125 GYA393125:GYD393125 HHW393125:HHZ393125 HRS393125:HRV393125 IBO393125:IBR393125 ILK393125:ILN393125 IVG393125:IVJ393125 JFC393125:JFF393125 JOY393125:JPB393125 JYU393125:JYX393125 KIQ393125:KIT393125 KSM393125:KSP393125 LCI393125:LCL393125 LME393125:LMH393125 LWA393125:LWD393125 MFW393125:MFZ393125 MPS393125:MPV393125 MZO393125:MZR393125 NJK393125:NJN393125 NTG393125:NTJ393125 ODC393125:ODF393125 OMY393125:ONB393125 OWU393125:OWX393125 PGQ393125:PGT393125 PQM393125:PQP393125 QAI393125:QAL393125 QKE393125:QKH393125 QUA393125:QUD393125 RDW393125:RDZ393125 RNS393125:RNV393125 RXO393125:RXR393125 SHK393125:SHN393125 SRG393125:SRJ393125 TBC393125:TBF393125 TKY393125:TLB393125 TUU393125:TUX393125 UEQ393125:UET393125 UOM393125:UOP393125 UYI393125:UYL393125 VIE393125:VIH393125 VSA393125:VSD393125 WBW393125:WBZ393125 WLS393125:WLV393125 WVO393125:WVR393125 D458661:G458661 JC458661:JF458661 SY458661:TB458661 ACU458661:ACX458661 AMQ458661:AMT458661 AWM458661:AWP458661 BGI458661:BGL458661 BQE458661:BQH458661 CAA458661:CAD458661 CJW458661:CJZ458661 CTS458661:CTV458661 DDO458661:DDR458661 DNK458661:DNN458661 DXG458661:DXJ458661 EHC458661:EHF458661 EQY458661:ERB458661 FAU458661:FAX458661 FKQ458661:FKT458661 FUM458661:FUP458661 GEI458661:GEL458661 GOE458661:GOH458661 GYA458661:GYD458661 HHW458661:HHZ458661 HRS458661:HRV458661 IBO458661:IBR458661 ILK458661:ILN458661 IVG458661:IVJ458661 JFC458661:JFF458661 JOY458661:JPB458661 JYU458661:JYX458661 KIQ458661:KIT458661 KSM458661:KSP458661 LCI458661:LCL458661 LME458661:LMH458661 LWA458661:LWD458661 MFW458661:MFZ458661 MPS458661:MPV458661 MZO458661:MZR458661 NJK458661:NJN458661 NTG458661:NTJ458661 ODC458661:ODF458661 OMY458661:ONB458661 OWU458661:OWX458661 PGQ458661:PGT458661 PQM458661:PQP458661 QAI458661:QAL458661 QKE458661:QKH458661 QUA458661:QUD458661 RDW458661:RDZ458661 RNS458661:RNV458661 RXO458661:RXR458661 SHK458661:SHN458661 SRG458661:SRJ458661 TBC458661:TBF458661 TKY458661:TLB458661 TUU458661:TUX458661 UEQ458661:UET458661 UOM458661:UOP458661 UYI458661:UYL458661 VIE458661:VIH458661 VSA458661:VSD458661 WBW458661:WBZ458661 WLS458661:WLV458661 WVO458661:WVR458661 D524197:G524197 JC524197:JF524197 SY524197:TB524197 ACU524197:ACX524197 AMQ524197:AMT524197 AWM524197:AWP524197 BGI524197:BGL524197 BQE524197:BQH524197 CAA524197:CAD524197 CJW524197:CJZ524197 CTS524197:CTV524197 DDO524197:DDR524197 DNK524197:DNN524197 DXG524197:DXJ524197 EHC524197:EHF524197 EQY524197:ERB524197 FAU524197:FAX524197 FKQ524197:FKT524197 FUM524197:FUP524197 GEI524197:GEL524197 GOE524197:GOH524197 GYA524197:GYD524197 HHW524197:HHZ524197 HRS524197:HRV524197 IBO524197:IBR524197 ILK524197:ILN524197 IVG524197:IVJ524197 JFC524197:JFF524197 JOY524197:JPB524197 JYU524197:JYX524197 KIQ524197:KIT524197 KSM524197:KSP524197 LCI524197:LCL524197 LME524197:LMH524197 LWA524197:LWD524197 MFW524197:MFZ524197 MPS524197:MPV524197 MZO524197:MZR524197 NJK524197:NJN524197 NTG524197:NTJ524197 ODC524197:ODF524197 OMY524197:ONB524197 OWU524197:OWX524197 PGQ524197:PGT524197 PQM524197:PQP524197 QAI524197:QAL524197 QKE524197:QKH524197 QUA524197:QUD524197 RDW524197:RDZ524197 RNS524197:RNV524197 RXO524197:RXR524197 SHK524197:SHN524197 SRG524197:SRJ524197 TBC524197:TBF524197 TKY524197:TLB524197 TUU524197:TUX524197 UEQ524197:UET524197 UOM524197:UOP524197 UYI524197:UYL524197 VIE524197:VIH524197 VSA524197:VSD524197 WBW524197:WBZ524197 WLS524197:WLV524197 WVO524197:WVR524197 D589733:G589733 JC589733:JF589733 SY589733:TB589733 ACU589733:ACX589733 AMQ589733:AMT589733 AWM589733:AWP589733 BGI589733:BGL589733 BQE589733:BQH589733 CAA589733:CAD589733 CJW589733:CJZ589733 CTS589733:CTV589733 DDO589733:DDR589733 DNK589733:DNN589733 DXG589733:DXJ589733 EHC589733:EHF589733 EQY589733:ERB589733 FAU589733:FAX589733 FKQ589733:FKT589733 FUM589733:FUP589733 GEI589733:GEL589733 GOE589733:GOH589733 GYA589733:GYD589733 HHW589733:HHZ589733 HRS589733:HRV589733 IBO589733:IBR589733 ILK589733:ILN589733 IVG589733:IVJ589733 JFC589733:JFF589733 JOY589733:JPB589733 JYU589733:JYX589733 KIQ589733:KIT589733 KSM589733:KSP589733 LCI589733:LCL589733 LME589733:LMH589733 LWA589733:LWD589733 MFW589733:MFZ589733 MPS589733:MPV589733 MZO589733:MZR589733 NJK589733:NJN589733 NTG589733:NTJ589733 ODC589733:ODF589733 OMY589733:ONB589733 OWU589733:OWX589733 PGQ589733:PGT589733 PQM589733:PQP589733 QAI589733:QAL589733 QKE589733:QKH589733 QUA589733:QUD589733 RDW589733:RDZ589733 RNS589733:RNV589733 RXO589733:RXR589733 SHK589733:SHN589733 SRG589733:SRJ589733 TBC589733:TBF589733 TKY589733:TLB589733 TUU589733:TUX589733 UEQ589733:UET589733 UOM589733:UOP589733 UYI589733:UYL589733 VIE589733:VIH589733 VSA589733:VSD589733 WBW589733:WBZ589733 WLS589733:WLV589733 WVO589733:WVR589733 D655269:G655269 JC655269:JF655269 SY655269:TB655269 ACU655269:ACX655269 AMQ655269:AMT655269 AWM655269:AWP655269 BGI655269:BGL655269 BQE655269:BQH655269 CAA655269:CAD655269 CJW655269:CJZ655269 CTS655269:CTV655269 DDO655269:DDR655269 DNK655269:DNN655269 DXG655269:DXJ655269 EHC655269:EHF655269 EQY655269:ERB655269 FAU655269:FAX655269 FKQ655269:FKT655269 FUM655269:FUP655269 GEI655269:GEL655269 GOE655269:GOH655269 GYA655269:GYD655269 HHW655269:HHZ655269 HRS655269:HRV655269 IBO655269:IBR655269 ILK655269:ILN655269 IVG655269:IVJ655269 JFC655269:JFF655269 JOY655269:JPB655269 JYU655269:JYX655269 KIQ655269:KIT655269 KSM655269:KSP655269 LCI655269:LCL655269 LME655269:LMH655269 LWA655269:LWD655269 MFW655269:MFZ655269 MPS655269:MPV655269 MZO655269:MZR655269 NJK655269:NJN655269 NTG655269:NTJ655269 ODC655269:ODF655269 OMY655269:ONB655269 OWU655269:OWX655269 PGQ655269:PGT655269 PQM655269:PQP655269 QAI655269:QAL655269 QKE655269:QKH655269 QUA655269:QUD655269 RDW655269:RDZ655269 RNS655269:RNV655269 RXO655269:RXR655269 SHK655269:SHN655269 SRG655269:SRJ655269 TBC655269:TBF655269 TKY655269:TLB655269 TUU655269:TUX655269 UEQ655269:UET655269 UOM655269:UOP655269 UYI655269:UYL655269 VIE655269:VIH655269 VSA655269:VSD655269 WBW655269:WBZ655269 WLS655269:WLV655269 WVO655269:WVR655269 D720805:G720805 JC720805:JF720805 SY720805:TB720805 ACU720805:ACX720805 AMQ720805:AMT720805 AWM720805:AWP720805 BGI720805:BGL720805 BQE720805:BQH720805 CAA720805:CAD720805 CJW720805:CJZ720805 CTS720805:CTV720805 DDO720805:DDR720805 DNK720805:DNN720805 DXG720805:DXJ720805 EHC720805:EHF720805 EQY720805:ERB720805 FAU720805:FAX720805 FKQ720805:FKT720805 FUM720805:FUP720805 GEI720805:GEL720805 GOE720805:GOH720805 GYA720805:GYD720805 HHW720805:HHZ720805 HRS720805:HRV720805 IBO720805:IBR720805 ILK720805:ILN720805 IVG720805:IVJ720805 JFC720805:JFF720805 JOY720805:JPB720805 JYU720805:JYX720805 KIQ720805:KIT720805 KSM720805:KSP720805 LCI720805:LCL720805 LME720805:LMH720805 LWA720805:LWD720805 MFW720805:MFZ720805 MPS720805:MPV720805 MZO720805:MZR720805 NJK720805:NJN720805 NTG720805:NTJ720805 ODC720805:ODF720805 OMY720805:ONB720805 OWU720805:OWX720805 PGQ720805:PGT720805 PQM720805:PQP720805 QAI720805:QAL720805 QKE720805:QKH720805 QUA720805:QUD720805 RDW720805:RDZ720805 RNS720805:RNV720805 RXO720805:RXR720805 SHK720805:SHN720805 SRG720805:SRJ720805 TBC720805:TBF720805 TKY720805:TLB720805 TUU720805:TUX720805 UEQ720805:UET720805 UOM720805:UOP720805 UYI720805:UYL720805 VIE720805:VIH720805 VSA720805:VSD720805 WBW720805:WBZ720805 WLS720805:WLV720805 WVO720805:WVR720805 D786341:G786341 JC786341:JF786341 SY786341:TB786341 ACU786341:ACX786341 AMQ786341:AMT786341 AWM786341:AWP786341 BGI786341:BGL786341 BQE786341:BQH786341 CAA786341:CAD786341 CJW786341:CJZ786341 CTS786341:CTV786341 DDO786341:DDR786341 DNK786341:DNN786341 DXG786341:DXJ786341 EHC786341:EHF786341 EQY786341:ERB786341 FAU786341:FAX786341 FKQ786341:FKT786341 FUM786341:FUP786341 GEI786341:GEL786341 GOE786341:GOH786341 GYA786341:GYD786341 HHW786341:HHZ786341 HRS786341:HRV786341 IBO786341:IBR786341 ILK786341:ILN786341 IVG786341:IVJ786341 JFC786341:JFF786341 JOY786341:JPB786341 JYU786341:JYX786341 KIQ786341:KIT786341 KSM786341:KSP786341 LCI786341:LCL786341 LME786341:LMH786341 LWA786341:LWD786341 MFW786341:MFZ786341 MPS786341:MPV786341 MZO786341:MZR786341 NJK786341:NJN786341 NTG786341:NTJ786341 ODC786341:ODF786341 OMY786341:ONB786341 OWU786341:OWX786341 PGQ786341:PGT786341 PQM786341:PQP786341 QAI786341:QAL786341 QKE786341:QKH786341 QUA786341:QUD786341 RDW786341:RDZ786341 RNS786341:RNV786341 RXO786341:RXR786341 SHK786341:SHN786341 SRG786341:SRJ786341 TBC786341:TBF786341 TKY786341:TLB786341 TUU786341:TUX786341 UEQ786341:UET786341 UOM786341:UOP786341 UYI786341:UYL786341 VIE786341:VIH786341 VSA786341:VSD786341 WBW786341:WBZ786341 WLS786341:WLV786341 WVO786341:WVR786341 D851877:G851877 JC851877:JF851877 SY851877:TB851877 ACU851877:ACX851877 AMQ851877:AMT851877 AWM851877:AWP851877 BGI851877:BGL851877 BQE851877:BQH851877 CAA851877:CAD851877 CJW851877:CJZ851877 CTS851877:CTV851877 DDO851877:DDR851877 DNK851877:DNN851877 DXG851877:DXJ851877 EHC851877:EHF851877 EQY851877:ERB851877 FAU851877:FAX851877 FKQ851877:FKT851877 FUM851877:FUP851877 GEI851877:GEL851877 GOE851877:GOH851877 GYA851877:GYD851877 HHW851877:HHZ851877 HRS851877:HRV851877 IBO851877:IBR851877 ILK851877:ILN851877 IVG851877:IVJ851877 JFC851877:JFF851877 JOY851877:JPB851877 JYU851877:JYX851877 KIQ851877:KIT851877 KSM851877:KSP851877 LCI851877:LCL851877 LME851877:LMH851877 LWA851877:LWD851877 MFW851877:MFZ851877 MPS851877:MPV851877 MZO851877:MZR851877 NJK851877:NJN851877 NTG851877:NTJ851877 ODC851877:ODF851877 OMY851877:ONB851877 OWU851877:OWX851877 PGQ851877:PGT851877 PQM851877:PQP851877 QAI851877:QAL851877 QKE851877:QKH851877 QUA851877:QUD851877 RDW851877:RDZ851877 RNS851877:RNV851877 RXO851877:RXR851877 SHK851877:SHN851877 SRG851877:SRJ851877 TBC851877:TBF851877 TKY851877:TLB851877 TUU851877:TUX851877 UEQ851877:UET851877 UOM851877:UOP851877 UYI851877:UYL851877 VIE851877:VIH851877 VSA851877:VSD851877 WBW851877:WBZ851877 WLS851877:WLV851877 WVO851877:WVR851877 D917413:G917413 JC917413:JF917413 SY917413:TB917413 ACU917413:ACX917413 AMQ917413:AMT917413 AWM917413:AWP917413 BGI917413:BGL917413 BQE917413:BQH917413 CAA917413:CAD917413 CJW917413:CJZ917413 CTS917413:CTV917413 DDO917413:DDR917413 DNK917413:DNN917413 DXG917413:DXJ917413 EHC917413:EHF917413 EQY917413:ERB917413 FAU917413:FAX917413 FKQ917413:FKT917413 FUM917413:FUP917413 GEI917413:GEL917413 GOE917413:GOH917413 GYA917413:GYD917413 HHW917413:HHZ917413 HRS917413:HRV917413 IBO917413:IBR917413 ILK917413:ILN917413 IVG917413:IVJ917413 JFC917413:JFF917413 JOY917413:JPB917413 JYU917413:JYX917413 KIQ917413:KIT917413 KSM917413:KSP917413 LCI917413:LCL917413 LME917413:LMH917413 LWA917413:LWD917413 MFW917413:MFZ917413 MPS917413:MPV917413 MZO917413:MZR917413 NJK917413:NJN917413 NTG917413:NTJ917413 ODC917413:ODF917413 OMY917413:ONB917413 OWU917413:OWX917413 PGQ917413:PGT917413 PQM917413:PQP917413 QAI917413:QAL917413 QKE917413:QKH917413 QUA917413:QUD917413 RDW917413:RDZ917413 RNS917413:RNV917413 RXO917413:RXR917413 SHK917413:SHN917413 SRG917413:SRJ917413 TBC917413:TBF917413 TKY917413:TLB917413 TUU917413:TUX917413 UEQ917413:UET917413 UOM917413:UOP917413 UYI917413:UYL917413 VIE917413:VIH917413 VSA917413:VSD917413 WBW917413:WBZ917413 WLS917413:WLV917413 WVO917413:WVR917413 D982949:G982949 JC982949:JF982949 SY982949:TB982949 ACU982949:ACX982949 AMQ982949:AMT982949 AWM982949:AWP982949 BGI982949:BGL982949 BQE982949:BQH982949 CAA982949:CAD982949 CJW982949:CJZ982949 CTS982949:CTV982949 DDO982949:DDR982949 DNK982949:DNN982949 DXG982949:DXJ982949 EHC982949:EHF982949 EQY982949:ERB982949 FAU982949:FAX982949 FKQ982949:FKT982949 FUM982949:FUP982949 GEI982949:GEL982949 GOE982949:GOH982949 GYA982949:GYD982949 HHW982949:HHZ982949 HRS982949:HRV982949 IBO982949:IBR982949 ILK982949:ILN982949 IVG982949:IVJ982949 JFC982949:JFF982949 JOY982949:JPB982949 JYU982949:JYX982949 KIQ982949:KIT982949 KSM982949:KSP982949 LCI982949:LCL982949 LME982949:LMH982949 LWA982949:LWD982949 MFW982949:MFZ982949 MPS982949:MPV982949 MZO982949:MZR982949 NJK982949:NJN982949 NTG982949:NTJ982949 ODC982949:ODF982949 OMY982949:ONB982949 OWU982949:OWX982949 PGQ982949:PGT982949 PQM982949:PQP982949 QAI982949:QAL982949 QKE982949:QKH982949 QUA982949:QUD982949 RDW982949:RDZ982949 RNS982949:RNV982949 RXO982949:RXR982949 SHK982949:SHN982949 SRG982949:SRJ982949 TBC982949:TBF982949 TKY982949:TLB982949 TUU982949:TUX982949 UEQ982949:UET982949 UOM982949:UOP982949 UYI982949:UYL982949 VIE982949:VIH982949 VSA982949:VSD982949 WBW982949:WBZ982949 WLS982949:WLV982949 WVO982949:WVR982949 AM65315:AU65325 KI65315:KP65325 UE65315:UL65325 AEA65315:AEH65325 ANW65315:AOD65325 AXS65315:AXZ65325 BHO65315:BHV65325 BRK65315:BRR65325 CBG65315:CBN65325 CLC65315:CLJ65325 CUY65315:CVF65325 DEU65315:DFB65325 DOQ65315:DOX65325 DYM65315:DYT65325 EII65315:EIP65325 ESE65315:ESL65325 FCA65315:FCH65325 FLW65315:FMD65325 FVS65315:FVZ65325 GFO65315:GFV65325 GPK65315:GPR65325 GZG65315:GZN65325 HJC65315:HJJ65325 HSY65315:HTF65325 ICU65315:IDB65325 IMQ65315:IMX65325 IWM65315:IWT65325 JGI65315:JGP65325 JQE65315:JQL65325 KAA65315:KAH65325 KJW65315:KKD65325 KTS65315:KTZ65325 LDO65315:LDV65325 LNK65315:LNR65325 LXG65315:LXN65325 MHC65315:MHJ65325 MQY65315:MRF65325 NAU65315:NBB65325 NKQ65315:NKX65325 NUM65315:NUT65325 OEI65315:OEP65325 OOE65315:OOL65325 OYA65315:OYH65325 PHW65315:PID65325 PRS65315:PRZ65325 QBO65315:QBV65325 QLK65315:QLR65325 QVG65315:QVN65325 RFC65315:RFJ65325 ROY65315:RPF65325 RYU65315:RZB65325 SIQ65315:SIX65325 SSM65315:SST65325 TCI65315:TCP65325 TME65315:TML65325 TWA65315:TWH65325 UFW65315:UGD65325 UPS65315:UPZ65325 UZO65315:UZV65325 VJK65315:VJR65325 VTG65315:VTN65325 WDC65315:WDJ65325 WMY65315:WNF65325 WWU65315:WXB65325 AM130851:AU130861 KI130851:KP130861 UE130851:UL130861 AEA130851:AEH130861 ANW130851:AOD130861 AXS130851:AXZ130861 BHO130851:BHV130861 BRK130851:BRR130861 CBG130851:CBN130861 CLC130851:CLJ130861 CUY130851:CVF130861 DEU130851:DFB130861 DOQ130851:DOX130861 DYM130851:DYT130861 EII130851:EIP130861 ESE130851:ESL130861 FCA130851:FCH130861 FLW130851:FMD130861 FVS130851:FVZ130861 GFO130851:GFV130861 GPK130851:GPR130861 GZG130851:GZN130861 HJC130851:HJJ130861 HSY130851:HTF130861 ICU130851:IDB130861 IMQ130851:IMX130861 IWM130851:IWT130861 JGI130851:JGP130861 JQE130851:JQL130861 KAA130851:KAH130861 KJW130851:KKD130861 KTS130851:KTZ130861 LDO130851:LDV130861 LNK130851:LNR130861 LXG130851:LXN130861 MHC130851:MHJ130861 MQY130851:MRF130861 NAU130851:NBB130861 NKQ130851:NKX130861 NUM130851:NUT130861 OEI130851:OEP130861 OOE130851:OOL130861 OYA130851:OYH130861 PHW130851:PID130861 PRS130851:PRZ130861 QBO130851:QBV130861 QLK130851:QLR130861 QVG130851:QVN130861 RFC130851:RFJ130861 ROY130851:RPF130861 RYU130851:RZB130861 SIQ130851:SIX130861 SSM130851:SST130861 TCI130851:TCP130861 TME130851:TML130861 TWA130851:TWH130861 UFW130851:UGD130861 UPS130851:UPZ130861 UZO130851:UZV130861 VJK130851:VJR130861 VTG130851:VTN130861 WDC130851:WDJ130861 WMY130851:WNF130861 WWU130851:WXB130861 AM196387:AU196397 KI196387:KP196397 UE196387:UL196397 AEA196387:AEH196397 ANW196387:AOD196397 AXS196387:AXZ196397 BHO196387:BHV196397 BRK196387:BRR196397 CBG196387:CBN196397 CLC196387:CLJ196397 CUY196387:CVF196397 DEU196387:DFB196397 DOQ196387:DOX196397 DYM196387:DYT196397 EII196387:EIP196397 ESE196387:ESL196397 FCA196387:FCH196397 FLW196387:FMD196397 FVS196387:FVZ196397 GFO196387:GFV196397 GPK196387:GPR196397 GZG196387:GZN196397 HJC196387:HJJ196397 HSY196387:HTF196397 ICU196387:IDB196397 IMQ196387:IMX196397 IWM196387:IWT196397 JGI196387:JGP196397 JQE196387:JQL196397 KAA196387:KAH196397 KJW196387:KKD196397 KTS196387:KTZ196397 LDO196387:LDV196397 LNK196387:LNR196397 LXG196387:LXN196397 MHC196387:MHJ196397 MQY196387:MRF196397 NAU196387:NBB196397 NKQ196387:NKX196397 NUM196387:NUT196397 OEI196387:OEP196397 OOE196387:OOL196397 OYA196387:OYH196397 PHW196387:PID196397 PRS196387:PRZ196397 QBO196387:QBV196397 QLK196387:QLR196397 QVG196387:QVN196397 RFC196387:RFJ196397 ROY196387:RPF196397 RYU196387:RZB196397 SIQ196387:SIX196397 SSM196387:SST196397 TCI196387:TCP196397 TME196387:TML196397 TWA196387:TWH196397 UFW196387:UGD196397 UPS196387:UPZ196397 UZO196387:UZV196397 VJK196387:VJR196397 VTG196387:VTN196397 WDC196387:WDJ196397 WMY196387:WNF196397 WWU196387:WXB196397 AM261923:AU261933 KI261923:KP261933 UE261923:UL261933 AEA261923:AEH261933 ANW261923:AOD261933 AXS261923:AXZ261933 BHO261923:BHV261933 BRK261923:BRR261933 CBG261923:CBN261933 CLC261923:CLJ261933 CUY261923:CVF261933 DEU261923:DFB261933 DOQ261923:DOX261933 DYM261923:DYT261933 EII261923:EIP261933 ESE261923:ESL261933 FCA261923:FCH261933 FLW261923:FMD261933 FVS261923:FVZ261933 GFO261923:GFV261933 GPK261923:GPR261933 GZG261923:GZN261933 HJC261923:HJJ261933 HSY261923:HTF261933 ICU261923:IDB261933 IMQ261923:IMX261933 IWM261923:IWT261933 JGI261923:JGP261933 JQE261923:JQL261933 KAA261923:KAH261933 KJW261923:KKD261933 KTS261923:KTZ261933 LDO261923:LDV261933 LNK261923:LNR261933 LXG261923:LXN261933 MHC261923:MHJ261933 MQY261923:MRF261933 NAU261923:NBB261933 NKQ261923:NKX261933 NUM261923:NUT261933 OEI261923:OEP261933 OOE261923:OOL261933 OYA261923:OYH261933 PHW261923:PID261933 PRS261923:PRZ261933 QBO261923:QBV261933 QLK261923:QLR261933 QVG261923:QVN261933 RFC261923:RFJ261933 ROY261923:RPF261933 RYU261923:RZB261933 SIQ261923:SIX261933 SSM261923:SST261933 TCI261923:TCP261933 TME261923:TML261933 TWA261923:TWH261933 UFW261923:UGD261933 UPS261923:UPZ261933 UZO261923:UZV261933 VJK261923:VJR261933 VTG261923:VTN261933 WDC261923:WDJ261933 WMY261923:WNF261933 WWU261923:WXB261933 AM327459:AU327469 KI327459:KP327469 UE327459:UL327469 AEA327459:AEH327469 ANW327459:AOD327469 AXS327459:AXZ327469 BHO327459:BHV327469 BRK327459:BRR327469 CBG327459:CBN327469 CLC327459:CLJ327469 CUY327459:CVF327469 DEU327459:DFB327469 DOQ327459:DOX327469 DYM327459:DYT327469 EII327459:EIP327469 ESE327459:ESL327469 FCA327459:FCH327469 FLW327459:FMD327469 FVS327459:FVZ327469 GFO327459:GFV327469 GPK327459:GPR327469 GZG327459:GZN327469 HJC327459:HJJ327469 HSY327459:HTF327469 ICU327459:IDB327469 IMQ327459:IMX327469 IWM327459:IWT327469 JGI327459:JGP327469 JQE327459:JQL327469 KAA327459:KAH327469 KJW327459:KKD327469 KTS327459:KTZ327469 LDO327459:LDV327469 LNK327459:LNR327469 LXG327459:LXN327469 MHC327459:MHJ327469 MQY327459:MRF327469 NAU327459:NBB327469 NKQ327459:NKX327469 NUM327459:NUT327469 OEI327459:OEP327469 OOE327459:OOL327469 OYA327459:OYH327469 PHW327459:PID327469 PRS327459:PRZ327469 QBO327459:QBV327469 QLK327459:QLR327469 QVG327459:QVN327469 RFC327459:RFJ327469 ROY327459:RPF327469 RYU327459:RZB327469 SIQ327459:SIX327469 SSM327459:SST327469 TCI327459:TCP327469 TME327459:TML327469 TWA327459:TWH327469 UFW327459:UGD327469 UPS327459:UPZ327469 UZO327459:UZV327469 VJK327459:VJR327469 VTG327459:VTN327469 WDC327459:WDJ327469 WMY327459:WNF327469 WWU327459:WXB327469 AM392995:AU393005 KI392995:KP393005 UE392995:UL393005 AEA392995:AEH393005 ANW392995:AOD393005 AXS392995:AXZ393005 BHO392995:BHV393005 BRK392995:BRR393005 CBG392995:CBN393005 CLC392995:CLJ393005 CUY392995:CVF393005 DEU392995:DFB393005 DOQ392995:DOX393005 DYM392995:DYT393005 EII392995:EIP393005 ESE392995:ESL393005 FCA392995:FCH393005 FLW392995:FMD393005 FVS392995:FVZ393005 GFO392995:GFV393005 GPK392995:GPR393005 GZG392995:GZN393005 HJC392995:HJJ393005 HSY392995:HTF393005 ICU392995:IDB393005 IMQ392995:IMX393005 IWM392995:IWT393005 JGI392995:JGP393005 JQE392995:JQL393005 KAA392995:KAH393005 KJW392995:KKD393005 KTS392995:KTZ393005 LDO392995:LDV393005 LNK392995:LNR393005 LXG392995:LXN393005 MHC392995:MHJ393005 MQY392995:MRF393005 NAU392995:NBB393005 NKQ392995:NKX393005 NUM392995:NUT393005 OEI392995:OEP393005 OOE392995:OOL393005 OYA392995:OYH393005 PHW392995:PID393005 PRS392995:PRZ393005 QBO392995:QBV393005 QLK392995:QLR393005 QVG392995:QVN393005 RFC392995:RFJ393005 ROY392995:RPF393005 RYU392995:RZB393005 SIQ392995:SIX393005 SSM392995:SST393005 TCI392995:TCP393005 TME392995:TML393005 TWA392995:TWH393005 UFW392995:UGD393005 UPS392995:UPZ393005 UZO392995:UZV393005 VJK392995:VJR393005 VTG392995:VTN393005 WDC392995:WDJ393005 WMY392995:WNF393005 WWU392995:WXB393005 AM458531:AU458541 KI458531:KP458541 UE458531:UL458541 AEA458531:AEH458541 ANW458531:AOD458541 AXS458531:AXZ458541 BHO458531:BHV458541 BRK458531:BRR458541 CBG458531:CBN458541 CLC458531:CLJ458541 CUY458531:CVF458541 DEU458531:DFB458541 DOQ458531:DOX458541 DYM458531:DYT458541 EII458531:EIP458541 ESE458531:ESL458541 FCA458531:FCH458541 FLW458531:FMD458541 FVS458531:FVZ458541 GFO458531:GFV458541 GPK458531:GPR458541 GZG458531:GZN458541 HJC458531:HJJ458541 HSY458531:HTF458541 ICU458531:IDB458541 IMQ458531:IMX458541 IWM458531:IWT458541 JGI458531:JGP458541 JQE458531:JQL458541 KAA458531:KAH458541 KJW458531:KKD458541 KTS458531:KTZ458541 LDO458531:LDV458541 LNK458531:LNR458541 LXG458531:LXN458541 MHC458531:MHJ458541 MQY458531:MRF458541 NAU458531:NBB458541 NKQ458531:NKX458541 NUM458531:NUT458541 OEI458531:OEP458541 OOE458531:OOL458541 OYA458531:OYH458541 PHW458531:PID458541 PRS458531:PRZ458541 QBO458531:QBV458541 QLK458531:QLR458541 QVG458531:QVN458541 RFC458531:RFJ458541 ROY458531:RPF458541 RYU458531:RZB458541 SIQ458531:SIX458541 SSM458531:SST458541 TCI458531:TCP458541 TME458531:TML458541 TWA458531:TWH458541 UFW458531:UGD458541 UPS458531:UPZ458541 UZO458531:UZV458541 VJK458531:VJR458541 VTG458531:VTN458541 WDC458531:WDJ458541 WMY458531:WNF458541 WWU458531:WXB458541 AM524067:AU524077 KI524067:KP524077 UE524067:UL524077 AEA524067:AEH524077 ANW524067:AOD524077 AXS524067:AXZ524077 BHO524067:BHV524077 BRK524067:BRR524077 CBG524067:CBN524077 CLC524067:CLJ524077 CUY524067:CVF524077 DEU524067:DFB524077 DOQ524067:DOX524077 DYM524067:DYT524077 EII524067:EIP524077 ESE524067:ESL524077 FCA524067:FCH524077 FLW524067:FMD524077 FVS524067:FVZ524077 GFO524067:GFV524077 GPK524067:GPR524077 GZG524067:GZN524077 HJC524067:HJJ524077 HSY524067:HTF524077 ICU524067:IDB524077 IMQ524067:IMX524077 IWM524067:IWT524077 JGI524067:JGP524077 JQE524067:JQL524077 KAA524067:KAH524077 KJW524067:KKD524077 KTS524067:KTZ524077 LDO524067:LDV524077 LNK524067:LNR524077 LXG524067:LXN524077 MHC524067:MHJ524077 MQY524067:MRF524077 NAU524067:NBB524077 NKQ524067:NKX524077 NUM524067:NUT524077 OEI524067:OEP524077 OOE524067:OOL524077 OYA524067:OYH524077 PHW524067:PID524077 PRS524067:PRZ524077 QBO524067:QBV524077 QLK524067:QLR524077 QVG524067:QVN524077 RFC524067:RFJ524077 ROY524067:RPF524077 RYU524067:RZB524077 SIQ524067:SIX524077 SSM524067:SST524077 TCI524067:TCP524077 TME524067:TML524077 TWA524067:TWH524077 UFW524067:UGD524077 UPS524067:UPZ524077 UZO524067:UZV524077 VJK524067:VJR524077 VTG524067:VTN524077 WDC524067:WDJ524077 WMY524067:WNF524077 WWU524067:WXB524077 AM589603:AU589613 KI589603:KP589613 UE589603:UL589613 AEA589603:AEH589613 ANW589603:AOD589613 AXS589603:AXZ589613 BHO589603:BHV589613 BRK589603:BRR589613 CBG589603:CBN589613 CLC589603:CLJ589613 CUY589603:CVF589613 DEU589603:DFB589613 DOQ589603:DOX589613 DYM589603:DYT589613 EII589603:EIP589613 ESE589603:ESL589613 FCA589603:FCH589613 FLW589603:FMD589613 FVS589603:FVZ589613 GFO589603:GFV589613 GPK589603:GPR589613 GZG589603:GZN589613 HJC589603:HJJ589613 HSY589603:HTF589613 ICU589603:IDB589613 IMQ589603:IMX589613 IWM589603:IWT589613 JGI589603:JGP589613 JQE589603:JQL589613 KAA589603:KAH589613 KJW589603:KKD589613 KTS589603:KTZ589613 LDO589603:LDV589613 LNK589603:LNR589613 LXG589603:LXN589613 MHC589603:MHJ589613 MQY589603:MRF589613 NAU589603:NBB589613 NKQ589603:NKX589613 NUM589603:NUT589613 OEI589603:OEP589613 OOE589603:OOL589613 OYA589603:OYH589613 PHW589603:PID589613 PRS589603:PRZ589613 QBO589603:QBV589613 QLK589603:QLR589613 QVG589603:QVN589613 RFC589603:RFJ589613 ROY589603:RPF589613 RYU589603:RZB589613 SIQ589603:SIX589613 SSM589603:SST589613 TCI589603:TCP589613 TME589603:TML589613 TWA589603:TWH589613 UFW589603:UGD589613 UPS589603:UPZ589613 UZO589603:UZV589613 VJK589603:VJR589613 VTG589603:VTN589613 WDC589603:WDJ589613 WMY589603:WNF589613 WWU589603:WXB589613 AM655139:AU655149 KI655139:KP655149 UE655139:UL655149 AEA655139:AEH655149 ANW655139:AOD655149 AXS655139:AXZ655149 BHO655139:BHV655149 BRK655139:BRR655149 CBG655139:CBN655149 CLC655139:CLJ655149 CUY655139:CVF655149 DEU655139:DFB655149 DOQ655139:DOX655149 DYM655139:DYT655149 EII655139:EIP655149 ESE655139:ESL655149 FCA655139:FCH655149 FLW655139:FMD655149 FVS655139:FVZ655149 GFO655139:GFV655149 GPK655139:GPR655149 GZG655139:GZN655149 HJC655139:HJJ655149 HSY655139:HTF655149 ICU655139:IDB655149 IMQ655139:IMX655149 IWM655139:IWT655149 JGI655139:JGP655149 JQE655139:JQL655149 KAA655139:KAH655149 KJW655139:KKD655149 KTS655139:KTZ655149 LDO655139:LDV655149 LNK655139:LNR655149 LXG655139:LXN655149 MHC655139:MHJ655149 MQY655139:MRF655149 NAU655139:NBB655149 NKQ655139:NKX655149 NUM655139:NUT655149 OEI655139:OEP655149 OOE655139:OOL655149 OYA655139:OYH655149 PHW655139:PID655149 PRS655139:PRZ655149 QBO655139:QBV655149 QLK655139:QLR655149 QVG655139:QVN655149 RFC655139:RFJ655149 ROY655139:RPF655149 RYU655139:RZB655149 SIQ655139:SIX655149 SSM655139:SST655149 TCI655139:TCP655149 TME655139:TML655149 TWA655139:TWH655149 UFW655139:UGD655149 UPS655139:UPZ655149 UZO655139:UZV655149 VJK655139:VJR655149 VTG655139:VTN655149 WDC655139:WDJ655149 WMY655139:WNF655149 WWU655139:WXB655149 AM720675:AU720685 KI720675:KP720685 UE720675:UL720685 AEA720675:AEH720685 ANW720675:AOD720685 AXS720675:AXZ720685 BHO720675:BHV720685 BRK720675:BRR720685 CBG720675:CBN720685 CLC720675:CLJ720685 CUY720675:CVF720685 DEU720675:DFB720685 DOQ720675:DOX720685 DYM720675:DYT720685 EII720675:EIP720685 ESE720675:ESL720685 FCA720675:FCH720685 FLW720675:FMD720685 FVS720675:FVZ720685 GFO720675:GFV720685 GPK720675:GPR720685 GZG720675:GZN720685 HJC720675:HJJ720685 HSY720675:HTF720685 ICU720675:IDB720685 IMQ720675:IMX720685 IWM720675:IWT720685 JGI720675:JGP720685 JQE720675:JQL720685 KAA720675:KAH720685 KJW720675:KKD720685 KTS720675:KTZ720685 LDO720675:LDV720685 LNK720675:LNR720685 LXG720675:LXN720685 MHC720675:MHJ720685 MQY720675:MRF720685 NAU720675:NBB720685 NKQ720675:NKX720685 NUM720675:NUT720685 OEI720675:OEP720685 OOE720675:OOL720685 OYA720675:OYH720685 PHW720675:PID720685 PRS720675:PRZ720685 QBO720675:QBV720685 QLK720675:QLR720685 QVG720675:QVN720685 RFC720675:RFJ720685 ROY720675:RPF720685 RYU720675:RZB720685 SIQ720675:SIX720685 SSM720675:SST720685 TCI720675:TCP720685 TME720675:TML720685 TWA720675:TWH720685 UFW720675:UGD720685 UPS720675:UPZ720685 UZO720675:UZV720685 VJK720675:VJR720685 VTG720675:VTN720685 WDC720675:WDJ720685 WMY720675:WNF720685 WWU720675:WXB720685 AM786211:AU786221 KI786211:KP786221 UE786211:UL786221 AEA786211:AEH786221 ANW786211:AOD786221 AXS786211:AXZ786221 BHO786211:BHV786221 BRK786211:BRR786221 CBG786211:CBN786221 CLC786211:CLJ786221 CUY786211:CVF786221 DEU786211:DFB786221 DOQ786211:DOX786221 DYM786211:DYT786221 EII786211:EIP786221 ESE786211:ESL786221 FCA786211:FCH786221 FLW786211:FMD786221 FVS786211:FVZ786221 GFO786211:GFV786221 GPK786211:GPR786221 GZG786211:GZN786221 HJC786211:HJJ786221 HSY786211:HTF786221 ICU786211:IDB786221 IMQ786211:IMX786221 IWM786211:IWT786221 JGI786211:JGP786221 JQE786211:JQL786221 KAA786211:KAH786221 KJW786211:KKD786221 KTS786211:KTZ786221 LDO786211:LDV786221 LNK786211:LNR786221 LXG786211:LXN786221 MHC786211:MHJ786221 MQY786211:MRF786221 NAU786211:NBB786221 NKQ786211:NKX786221 NUM786211:NUT786221 OEI786211:OEP786221 OOE786211:OOL786221 OYA786211:OYH786221 PHW786211:PID786221 PRS786211:PRZ786221 QBO786211:QBV786221 QLK786211:QLR786221 QVG786211:QVN786221 RFC786211:RFJ786221 ROY786211:RPF786221 RYU786211:RZB786221 SIQ786211:SIX786221 SSM786211:SST786221 TCI786211:TCP786221 TME786211:TML786221 TWA786211:TWH786221 UFW786211:UGD786221 UPS786211:UPZ786221 UZO786211:UZV786221 VJK786211:VJR786221 VTG786211:VTN786221 WDC786211:WDJ786221 WMY786211:WNF786221 WWU786211:WXB786221 AM851747:AU851757 KI851747:KP851757 UE851747:UL851757 AEA851747:AEH851757 ANW851747:AOD851757 AXS851747:AXZ851757 BHO851747:BHV851757 BRK851747:BRR851757 CBG851747:CBN851757 CLC851747:CLJ851757 CUY851747:CVF851757 DEU851747:DFB851757 DOQ851747:DOX851757 DYM851747:DYT851757 EII851747:EIP851757 ESE851747:ESL851757 FCA851747:FCH851757 FLW851747:FMD851757 FVS851747:FVZ851757 GFO851747:GFV851757 GPK851747:GPR851757 GZG851747:GZN851757 HJC851747:HJJ851757 HSY851747:HTF851757 ICU851747:IDB851757 IMQ851747:IMX851757 IWM851747:IWT851757 JGI851747:JGP851757 JQE851747:JQL851757 KAA851747:KAH851757 KJW851747:KKD851757 KTS851747:KTZ851757 LDO851747:LDV851757 LNK851747:LNR851757 LXG851747:LXN851757 MHC851747:MHJ851757 MQY851747:MRF851757 NAU851747:NBB851757 NKQ851747:NKX851757 NUM851747:NUT851757 OEI851747:OEP851757 OOE851747:OOL851757 OYA851747:OYH851757 PHW851747:PID851757 PRS851747:PRZ851757 QBO851747:QBV851757 QLK851747:QLR851757 QVG851747:QVN851757 RFC851747:RFJ851757 ROY851747:RPF851757 RYU851747:RZB851757 SIQ851747:SIX851757 SSM851747:SST851757 TCI851747:TCP851757 TME851747:TML851757 TWA851747:TWH851757 UFW851747:UGD851757 UPS851747:UPZ851757 UZO851747:UZV851757 VJK851747:VJR851757 VTG851747:VTN851757 WDC851747:WDJ851757 WMY851747:WNF851757 WWU851747:WXB851757 AM917283:AU917293 KI917283:KP917293 UE917283:UL917293 AEA917283:AEH917293 ANW917283:AOD917293 AXS917283:AXZ917293 BHO917283:BHV917293 BRK917283:BRR917293 CBG917283:CBN917293 CLC917283:CLJ917293 CUY917283:CVF917293 DEU917283:DFB917293 DOQ917283:DOX917293 DYM917283:DYT917293 EII917283:EIP917293 ESE917283:ESL917293 FCA917283:FCH917293 FLW917283:FMD917293 FVS917283:FVZ917293 GFO917283:GFV917293 GPK917283:GPR917293 GZG917283:GZN917293 HJC917283:HJJ917293 HSY917283:HTF917293 ICU917283:IDB917293 IMQ917283:IMX917293 IWM917283:IWT917293 JGI917283:JGP917293 JQE917283:JQL917293 KAA917283:KAH917293 KJW917283:KKD917293 KTS917283:KTZ917293 LDO917283:LDV917293 LNK917283:LNR917293 LXG917283:LXN917293 MHC917283:MHJ917293 MQY917283:MRF917293 NAU917283:NBB917293 NKQ917283:NKX917293 NUM917283:NUT917293 OEI917283:OEP917293 OOE917283:OOL917293 OYA917283:OYH917293 PHW917283:PID917293 PRS917283:PRZ917293 QBO917283:QBV917293 QLK917283:QLR917293 QVG917283:QVN917293 RFC917283:RFJ917293 ROY917283:RPF917293 RYU917283:RZB917293 SIQ917283:SIX917293 SSM917283:SST917293 TCI917283:TCP917293 TME917283:TML917293 TWA917283:TWH917293 UFW917283:UGD917293 UPS917283:UPZ917293 UZO917283:UZV917293 VJK917283:VJR917293 VTG917283:VTN917293 WDC917283:WDJ917293 WMY917283:WNF917293 WWU917283:WXB917293 AM982819:AU982829 KI982819:KP982829 UE982819:UL982829 AEA982819:AEH982829 ANW982819:AOD982829 AXS982819:AXZ982829 BHO982819:BHV982829 BRK982819:BRR982829 CBG982819:CBN982829 CLC982819:CLJ982829 CUY982819:CVF982829 DEU982819:DFB982829 DOQ982819:DOX982829 DYM982819:DYT982829 EII982819:EIP982829 ESE982819:ESL982829 FCA982819:FCH982829 FLW982819:FMD982829 FVS982819:FVZ982829 GFO982819:GFV982829 GPK982819:GPR982829 GZG982819:GZN982829 HJC982819:HJJ982829 HSY982819:HTF982829 ICU982819:IDB982829 IMQ982819:IMX982829 IWM982819:IWT982829 JGI982819:JGP982829 JQE982819:JQL982829 KAA982819:KAH982829 KJW982819:KKD982829 KTS982819:KTZ982829 LDO982819:LDV982829 LNK982819:LNR982829 LXG982819:LXN982829 MHC982819:MHJ982829 MQY982819:MRF982829 NAU982819:NBB982829 NKQ982819:NKX982829 NUM982819:NUT982829 OEI982819:OEP982829 OOE982819:OOL982829 OYA982819:OYH982829 PHW982819:PID982829 PRS982819:PRZ982829 QBO982819:QBV982829 QLK982819:QLR982829 QVG982819:QVN982829 RFC982819:RFJ982829 ROY982819:RPF982829 RYU982819:RZB982829 SIQ982819:SIX982829 SSM982819:SST982829 TCI982819:TCP982829 TME982819:TML982829 TWA982819:TWH982829 UFW982819:UGD982829 UPS982819:UPZ982829 UZO982819:UZV982829 VJK982819:VJR982829 VTG982819:VTN982829 WDC982819:WDJ982829 WMY982819:WNF982829 WWU982819:WXB982829 D65436:D65440 JC65436:JC65440 SY65436:SY65440 ACU65436:ACU65440 AMQ65436:AMQ65440 AWM65436:AWM65440 BGI65436:BGI65440 BQE65436:BQE65440 CAA65436:CAA65440 CJW65436:CJW65440 CTS65436:CTS65440 DDO65436:DDO65440 DNK65436:DNK65440 DXG65436:DXG65440 EHC65436:EHC65440 EQY65436:EQY65440 FAU65436:FAU65440 FKQ65436:FKQ65440 FUM65436:FUM65440 GEI65436:GEI65440 GOE65436:GOE65440 GYA65436:GYA65440 HHW65436:HHW65440 HRS65436:HRS65440 IBO65436:IBO65440 ILK65436:ILK65440 IVG65436:IVG65440 JFC65436:JFC65440 JOY65436:JOY65440 JYU65436:JYU65440 KIQ65436:KIQ65440 KSM65436:KSM65440 LCI65436:LCI65440 LME65436:LME65440 LWA65436:LWA65440 MFW65436:MFW65440 MPS65436:MPS65440 MZO65436:MZO65440 NJK65436:NJK65440 NTG65436:NTG65440 ODC65436:ODC65440 OMY65436:OMY65440 OWU65436:OWU65440 PGQ65436:PGQ65440 PQM65436:PQM65440 QAI65436:QAI65440 QKE65436:QKE65440 QUA65436:QUA65440 RDW65436:RDW65440 RNS65436:RNS65440 RXO65436:RXO65440 SHK65436:SHK65440 SRG65436:SRG65440 TBC65436:TBC65440 TKY65436:TKY65440 TUU65436:TUU65440 UEQ65436:UEQ65440 UOM65436:UOM65440 UYI65436:UYI65440 VIE65436:VIE65440 VSA65436:VSA65440 WBW65436:WBW65440 WLS65436:WLS65440 WVO65436:WVO65440 D130972:D130976 JC130972:JC130976 SY130972:SY130976 ACU130972:ACU130976 AMQ130972:AMQ130976 AWM130972:AWM130976 BGI130972:BGI130976 BQE130972:BQE130976 CAA130972:CAA130976 CJW130972:CJW130976 CTS130972:CTS130976 DDO130972:DDO130976 DNK130972:DNK130976 DXG130972:DXG130976 EHC130972:EHC130976 EQY130972:EQY130976 FAU130972:FAU130976 FKQ130972:FKQ130976 FUM130972:FUM130976 GEI130972:GEI130976 GOE130972:GOE130976 GYA130972:GYA130976 HHW130972:HHW130976 HRS130972:HRS130976 IBO130972:IBO130976 ILK130972:ILK130976 IVG130972:IVG130976 JFC130972:JFC130976 JOY130972:JOY130976 JYU130972:JYU130976 KIQ130972:KIQ130976 KSM130972:KSM130976 LCI130972:LCI130976 LME130972:LME130976 LWA130972:LWA130976 MFW130972:MFW130976 MPS130972:MPS130976 MZO130972:MZO130976 NJK130972:NJK130976 NTG130972:NTG130976 ODC130972:ODC130976 OMY130972:OMY130976 OWU130972:OWU130976 PGQ130972:PGQ130976 PQM130972:PQM130976 QAI130972:QAI130976 QKE130972:QKE130976 QUA130972:QUA130976 RDW130972:RDW130976 RNS130972:RNS130976 RXO130972:RXO130976 SHK130972:SHK130976 SRG130972:SRG130976 TBC130972:TBC130976 TKY130972:TKY130976 TUU130972:TUU130976 UEQ130972:UEQ130976 UOM130972:UOM130976 UYI130972:UYI130976 VIE130972:VIE130976 VSA130972:VSA130976 WBW130972:WBW130976 WLS130972:WLS130976 WVO130972:WVO130976 D196508:D196512 JC196508:JC196512 SY196508:SY196512 ACU196508:ACU196512 AMQ196508:AMQ196512 AWM196508:AWM196512 BGI196508:BGI196512 BQE196508:BQE196512 CAA196508:CAA196512 CJW196508:CJW196512 CTS196508:CTS196512 DDO196508:DDO196512 DNK196508:DNK196512 DXG196508:DXG196512 EHC196508:EHC196512 EQY196508:EQY196512 FAU196508:FAU196512 FKQ196508:FKQ196512 FUM196508:FUM196512 GEI196508:GEI196512 GOE196508:GOE196512 GYA196508:GYA196512 HHW196508:HHW196512 HRS196508:HRS196512 IBO196508:IBO196512 ILK196508:ILK196512 IVG196508:IVG196512 JFC196508:JFC196512 JOY196508:JOY196512 JYU196508:JYU196512 KIQ196508:KIQ196512 KSM196508:KSM196512 LCI196508:LCI196512 LME196508:LME196512 LWA196508:LWA196512 MFW196508:MFW196512 MPS196508:MPS196512 MZO196508:MZO196512 NJK196508:NJK196512 NTG196508:NTG196512 ODC196508:ODC196512 OMY196508:OMY196512 OWU196508:OWU196512 PGQ196508:PGQ196512 PQM196508:PQM196512 QAI196508:QAI196512 QKE196508:QKE196512 QUA196508:QUA196512 RDW196508:RDW196512 RNS196508:RNS196512 RXO196508:RXO196512 SHK196508:SHK196512 SRG196508:SRG196512 TBC196508:TBC196512 TKY196508:TKY196512 TUU196508:TUU196512 UEQ196508:UEQ196512 UOM196508:UOM196512 UYI196508:UYI196512 VIE196508:VIE196512 VSA196508:VSA196512 WBW196508:WBW196512 WLS196508:WLS196512 WVO196508:WVO196512 D262044:D262048 JC262044:JC262048 SY262044:SY262048 ACU262044:ACU262048 AMQ262044:AMQ262048 AWM262044:AWM262048 BGI262044:BGI262048 BQE262044:BQE262048 CAA262044:CAA262048 CJW262044:CJW262048 CTS262044:CTS262048 DDO262044:DDO262048 DNK262044:DNK262048 DXG262044:DXG262048 EHC262044:EHC262048 EQY262044:EQY262048 FAU262044:FAU262048 FKQ262044:FKQ262048 FUM262044:FUM262048 GEI262044:GEI262048 GOE262044:GOE262048 GYA262044:GYA262048 HHW262044:HHW262048 HRS262044:HRS262048 IBO262044:IBO262048 ILK262044:ILK262048 IVG262044:IVG262048 JFC262044:JFC262048 JOY262044:JOY262048 JYU262044:JYU262048 KIQ262044:KIQ262048 KSM262044:KSM262048 LCI262044:LCI262048 LME262044:LME262048 LWA262044:LWA262048 MFW262044:MFW262048 MPS262044:MPS262048 MZO262044:MZO262048 NJK262044:NJK262048 NTG262044:NTG262048 ODC262044:ODC262048 OMY262044:OMY262048 OWU262044:OWU262048 PGQ262044:PGQ262048 PQM262044:PQM262048 QAI262044:QAI262048 QKE262044:QKE262048 QUA262044:QUA262048 RDW262044:RDW262048 RNS262044:RNS262048 RXO262044:RXO262048 SHK262044:SHK262048 SRG262044:SRG262048 TBC262044:TBC262048 TKY262044:TKY262048 TUU262044:TUU262048 UEQ262044:UEQ262048 UOM262044:UOM262048 UYI262044:UYI262048 VIE262044:VIE262048 VSA262044:VSA262048 WBW262044:WBW262048 WLS262044:WLS262048 WVO262044:WVO262048 D327580:D327584 JC327580:JC327584 SY327580:SY327584 ACU327580:ACU327584 AMQ327580:AMQ327584 AWM327580:AWM327584 BGI327580:BGI327584 BQE327580:BQE327584 CAA327580:CAA327584 CJW327580:CJW327584 CTS327580:CTS327584 DDO327580:DDO327584 DNK327580:DNK327584 DXG327580:DXG327584 EHC327580:EHC327584 EQY327580:EQY327584 FAU327580:FAU327584 FKQ327580:FKQ327584 FUM327580:FUM327584 GEI327580:GEI327584 GOE327580:GOE327584 GYA327580:GYA327584 HHW327580:HHW327584 HRS327580:HRS327584 IBO327580:IBO327584 ILK327580:ILK327584 IVG327580:IVG327584 JFC327580:JFC327584 JOY327580:JOY327584 JYU327580:JYU327584 KIQ327580:KIQ327584 KSM327580:KSM327584 LCI327580:LCI327584 LME327580:LME327584 LWA327580:LWA327584 MFW327580:MFW327584 MPS327580:MPS327584 MZO327580:MZO327584 NJK327580:NJK327584 NTG327580:NTG327584 ODC327580:ODC327584 OMY327580:OMY327584 OWU327580:OWU327584 PGQ327580:PGQ327584 PQM327580:PQM327584 QAI327580:QAI327584 QKE327580:QKE327584 QUA327580:QUA327584 RDW327580:RDW327584 RNS327580:RNS327584 RXO327580:RXO327584 SHK327580:SHK327584 SRG327580:SRG327584 TBC327580:TBC327584 TKY327580:TKY327584 TUU327580:TUU327584 UEQ327580:UEQ327584 UOM327580:UOM327584 UYI327580:UYI327584 VIE327580:VIE327584 VSA327580:VSA327584 WBW327580:WBW327584 WLS327580:WLS327584 WVO327580:WVO327584 D393116:D393120 JC393116:JC393120 SY393116:SY393120 ACU393116:ACU393120 AMQ393116:AMQ393120 AWM393116:AWM393120 BGI393116:BGI393120 BQE393116:BQE393120 CAA393116:CAA393120 CJW393116:CJW393120 CTS393116:CTS393120 DDO393116:DDO393120 DNK393116:DNK393120 DXG393116:DXG393120 EHC393116:EHC393120 EQY393116:EQY393120 FAU393116:FAU393120 FKQ393116:FKQ393120 FUM393116:FUM393120 GEI393116:GEI393120 GOE393116:GOE393120 GYA393116:GYA393120 HHW393116:HHW393120 HRS393116:HRS393120 IBO393116:IBO393120 ILK393116:ILK393120 IVG393116:IVG393120 JFC393116:JFC393120 JOY393116:JOY393120 JYU393116:JYU393120 KIQ393116:KIQ393120 KSM393116:KSM393120 LCI393116:LCI393120 LME393116:LME393120 LWA393116:LWA393120 MFW393116:MFW393120 MPS393116:MPS393120 MZO393116:MZO393120 NJK393116:NJK393120 NTG393116:NTG393120 ODC393116:ODC393120 OMY393116:OMY393120 OWU393116:OWU393120 PGQ393116:PGQ393120 PQM393116:PQM393120 QAI393116:QAI393120 QKE393116:QKE393120 QUA393116:QUA393120 RDW393116:RDW393120 RNS393116:RNS393120 RXO393116:RXO393120 SHK393116:SHK393120 SRG393116:SRG393120 TBC393116:TBC393120 TKY393116:TKY393120 TUU393116:TUU393120 UEQ393116:UEQ393120 UOM393116:UOM393120 UYI393116:UYI393120 VIE393116:VIE393120 VSA393116:VSA393120 WBW393116:WBW393120 WLS393116:WLS393120 WVO393116:WVO393120 D458652:D458656 JC458652:JC458656 SY458652:SY458656 ACU458652:ACU458656 AMQ458652:AMQ458656 AWM458652:AWM458656 BGI458652:BGI458656 BQE458652:BQE458656 CAA458652:CAA458656 CJW458652:CJW458656 CTS458652:CTS458656 DDO458652:DDO458656 DNK458652:DNK458656 DXG458652:DXG458656 EHC458652:EHC458656 EQY458652:EQY458656 FAU458652:FAU458656 FKQ458652:FKQ458656 FUM458652:FUM458656 GEI458652:GEI458656 GOE458652:GOE458656 GYA458652:GYA458656 HHW458652:HHW458656 HRS458652:HRS458656 IBO458652:IBO458656 ILK458652:ILK458656 IVG458652:IVG458656 JFC458652:JFC458656 JOY458652:JOY458656 JYU458652:JYU458656 KIQ458652:KIQ458656 KSM458652:KSM458656 LCI458652:LCI458656 LME458652:LME458656 LWA458652:LWA458656 MFW458652:MFW458656 MPS458652:MPS458656 MZO458652:MZO458656 NJK458652:NJK458656 NTG458652:NTG458656 ODC458652:ODC458656 OMY458652:OMY458656 OWU458652:OWU458656 PGQ458652:PGQ458656 PQM458652:PQM458656 QAI458652:QAI458656 QKE458652:QKE458656 QUA458652:QUA458656 RDW458652:RDW458656 RNS458652:RNS458656 RXO458652:RXO458656 SHK458652:SHK458656 SRG458652:SRG458656 TBC458652:TBC458656 TKY458652:TKY458656 TUU458652:TUU458656 UEQ458652:UEQ458656 UOM458652:UOM458656 UYI458652:UYI458656 VIE458652:VIE458656 VSA458652:VSA458656 WBW458652:WBW458656 WLS458652:WLS458656 WVO458652:WVO458656 D524188:D524192 JC524188:JC524192 SY524188:SY524192 ACU524188:ACU524192 AMQ524188:AMQ524192 AWM524188:AWM524192 BGI524188:BGI524192 BQE524188:BQE524192 CAA524188:CAA524192 CJW524188:CJW524192 CTS524188:CTS524192 DDO524188:DDO524192 DNK524188:DNK524192 DXG524188:DXG524192 EHC524188:EHC524192 EQY524188:EQY524192 FAU524188:FAU524192 FKQ524188:FKQ524192 FUM524188:FUM524192 GEI524188:GEI524192 GOE524188:GOE524192 GYA524188:GYA524192 HHW524188:HHW524192 HRS524188:HRS524192 IBO524188:IBO524192 ILK524188:ILK524192 IVG524188:IVG524192 JFC524188:JFC524192 JOY524188:JOY524192 JYU524188:JYU524192 KIQ524188:KIQ524192 KSM524188:KSM524192 LCI524188:LCI524192 LME524188:LME524192 LWA524188:LWA524192 MFW524188:MFW524192 MPS524188:MPS524192 MZO524188:MZO524192 NJK524188:NJK524192 NTG524188:NTG524192 ODC524188:ODC524192 OMY524188:OMY524192 OWU524188:OWU524192 PGQ524188:PGQ524192 PQM524188:PQM524192 QAI524188:QAI524192 QKE524188:QKE524192 QUA524188:QUA524192 RDW524188:RDW524192 RNS524188:RNS524192 RXO524188:RXO524192 SHK524188:SHK524192 SRG524188:SRG524192 TBC524188:TBC524192 TKY524188:TKY524192 TUU524188:TUU524192 UEQ524188:UEQ524192 UOM524188:UOM524192 UYI524188:UYI524192 VIE524188:VIE524192 VSA524188:VSA524192 WBW524188:WBW524192 WLS524188:WLS524192 WVO524188:WVO524192 D589724:D589728 JC589724:JC589728 SY589724:SY589728 ACU589724:ACU589728 AMQ589724:AMQ589728 AWM589724:AWM589728 BGI589724:BGI589728 BQE589724:BQE589728 CAA589724:CAA589728 CJW589724:CJW589728 CTS589724:CTS589728 DDO589724:DDO589728 DNK589724:DNK589728 DXG589724:DXG589728 EHC589724:EHC589728 EQY589724:EQY589728 FAU589724:FAU589728 FKQ589724:FKQ589728 FUM589724:FUM589728 GEI589724:GEI589728 GOE589724:GOE589728 GYA589724:GYA589728 HHW589724:HHW589728 HRS589724:HRS589728 IBO589724:IBO589728 ILK589724:ILK589728 IVG589724:IVG589728 JFC589724:JFC589728 JOY589724:JOY589728 JYU589724:JYU589728 KIQ589724:KIQ589728 KSM589724:KSM589728 LCI589724:LCI589728 LME589724:LME589728 LWA589724:LWA589728 MFW589724:MFW589728 MPS589724:MPS589728 MZO589724:MZO589728 NJK589724:NJK589728 NTG589724:NTG589728 ODC589724:ODC589728 OMY589724:OMY589728 OWU589724:OWU589728 PGQ589724:PGQ589728 PQM589724:PQM589728 QAI589724:QAI589728 QKE589724:QKE589728 QUA589724:QUA589728 RDW589724:RDW589728 RNS589724:RNS589728 RXO589724:RXO589728 SHK589724:SHK589728 SRG589724:SRG589728 TBC589724:TBC589728 TKY589724:TKY589728 TUU589724:TUU589728 UEQ589724:UEQ589728 UOM589724:UOM589728 UYI589724:UYI589728 VIE589724:VIE589728 VSA589724:VSA589728 WBW589724:WBW589728 WLS589724:WLS589728 WVO589724:WVO589728 D655260:D655264 JC655260:JC655264 SY655260:SY655264 ACU655260:ACU655264 AMQ655260:AMQ655264 AWM655260:AWM655264 BGI655260:BGI655264 BQE655260:BQE655264 CAA655260:CAA655264 CJW655260:CJW655264 CTS655260:CTS655264 DDO655260:DDO655264 DNK655260:DNK655264 DXG655260:DXG655264 EHC655260:EHC655264 EQY655260:EQY655264 FAU655260:FAU655264 FKQ655260:FKQ655264 FUM655260:FUM655264 GEI655260:GEI655264 GOE655260:GOE655264 GYA655260:GYA655264 HHW655260:HHW655264 HRS655260:HRS655264 IBO655260:IBO655264 ILK655260:ILK655264 IVG655260:IVG655264 JFC655260:JFC655264 JOY655260:JOY655264 JYU655260:JYU655264 KIQ655260:KIQ655264 KSM655260:KSM655264 LCI655260:LCI655264 LME655260:LME655264 LWA655260:LWA655264 MFW655260:MFW655264 MPS655260:MPS655264 MZO655260:MZO655264 NJK655260:NJK655264 NTG655260:NTG655264 ODC655260:ODC655264 OMY655260:OMY655264 OWU655260:OWU655264 PGQ655260:PGQ655264 PQM655260:PQM655264 QAI655260:QAI655264 QKE655260:QKE655264 QUA655260:QUA655264 RDW655260:RDW655264 RNS655260:RNS655264 RXO655260:RXO655264 SHK655260:SHK655264 SRG655260:SRG655264 TBC655260:TBC655264 TKY655260:TKY655264 TUU655260:TUU655264 UEQ655260:UEQ655264 UOM655260:UOM655264 UYI655260:UYI655264 VIE655260:VIE655264 VSA655260:VSA655264 WBW655260:WBW655264 WLS655260:WLS655264 WVO655260:WVO655264 D720796:D720800 JC720796:JC720800 SY720796:SY720800 ACU720796:ACU720800 AMQ720796:AMQ720800 AWM720796:AWM720800 BGI720796:BGI720800 BQE720796:BQE720800 CAA720796:CAA720800 CJW720796:CJW720800 CTS720796:CTS720800 DDO720796:DDO720800 DNK720796:DNK720800 DXG720796:DXG720800 EHC720796:EHC720800 EQY720796:EQY720800 FAU720796:FAU720800 FKQ720796:FKQ720800 FUM720796:FUM720800 GEI720796:GEI720800 GOE720796:GOE720800 GYA720796:GYA720800 HHW720796:HHW720800 HRS720796:HRS720800 IBO720796:IBO720800 ILK720796:ILK720800 IVG720796:IVG720800 JFC720796:JFC720800 JOY720796:JOY720800 JYU720796:JYU720800 KIQ720796:KIQ720800 KSM720796:KSM720800 LCI720796:LCI720800 LME720796:LME720800 LWA720796:LWA720800 MFW720796:MFW720800 MPS720796:MPS720800 MZO720796:MZO720800 NJK720796:NJK720800 NTG720796:NTG720800 ODC720796:ODC720800 OMY720796:OMY720800 OWU720796:OWU720800 PGQ720796:PGQ720800 PQM720796:PQM720800 QAI720796:QAI720800 QKE720796:QKE720800 QUA720796:QUA720800 RDW720796:RDW720800 RNS720796:RNS720800 RXO720796:RXO720800 SHK720796:SHK720800 SRG720796:SRG720800 TBC720796:TBC720800 TKY720796:TKY720800 TUU720796:TUU720800 UEQ720796:UEQ720800 UOM720796:UOM720800 UYI720796:UYI720800 VIE720796:VIE720800 VSA720796:VSA720800 WBW720796:WBW720800 WLS720796:WLS720800 WVO720796:WVO720800 D786332:D786336 JC786332:JC786336 SY786332:SY786336 ACU786332:ACU786336 AMQ786332:AMQ786336 AWM786332:AWM786336 BGI786332:BGI786336 BQE786332:BQE786336 CAA786332:CAA786336 CJW786332:CJW786336 CTS786332:CTS786336 DDO786332:DDO786336 DNK786332:DNK786336 DXG786332:DXG786336 EHC786332:EHC786336 EQY786332:EQY786336 FAU786332:FAU786336 FKQ786332:FKQ786336 FUM786332:FUM786336 GEI786332:GEI786336 GOE786332:GOE786336 GYA786332:GYA786336 HHW786332:HHW786336 HRS786332:HRS786336 IBO786332:IBO786336 ILK786332:ILK786336 IVG786332:IVG786336 JFC786332:JFC786336 JOY786332:JOY786336 JYU786332:JYU786336 KIQ786332:KIQ786336 KSM786332:KSM786336 LCI786332:LCI786336 LME786332:LME786336 LWA786332:LWA786336 MFW786332:MFW786336 MPS786332:MPS786336 MZO786332:MZO786336 NJK786332:NJK786336 NTG786332:NTG786336 ODC786332:ODC786336 OMY786332:OMY786336 OWU786332:OWU786336 PGQ786332:PGQ786336 PQM786332:PQM786336 QAI786332:QAI786336 QKE786332:QKE786336 QUA786332:QUA786336 RDW786332:RDW786336 RNS786332:RNS786336 RXO786332:RXO786336 SHK786332:SHK786336 SRG786332:SRG786336 TBC786332:TBC786336 TKY786332:TKY786336 TUU786332:TUU786336 UEQ786332:UEQ786336 UOM786332:UOM786336 UYI786332:UYI786336 VIE786332:VIE786336 VSA786332:VSA786336 WBW786332:WBW786336 WLS786332:WLS786336 WVO786332:WVO786336 D851868:D851872 JC851868:JC851872 SY851868:SY851872 ACU851868:ACU851872 AMQ851868:AMQ851872 AWM851868:AWM851872 BGI851868:BGI851872 BQE851868:BQE851872 CAA851868:CAA851872 CJW851868:CJW851872 CTS851868:CTS851872 DDO851868:DDO851872 DNK851868:DNK851872 DXG851868:DXG851872 EHC851868:EHC851872 EQY851868:EQY851872 FAU851868:FAU851872 FKQ851868:FKQ851872 FUM851868:FUM851872 GEI851868:GEI851872 GOE851868:GOE851872 GYA851868:GYA851872 HHW851868:HHW851872 HRS851868:HRS851872 IBO851868:IBO851872 ILK851868:ILK851872 IVG851868:IVG851872 JFC851868:JFC851872 JOY851868:JOY851872 JYU851868:JYU851872 KIQ851868:KIQ851872 KSM851868:KSM851872 LCI851868:LCI851872 LME851868:LME851872 LWA851868:LWA851872 MFW851868:MFW851872 MPS851868:MPS851872 MZO851868:MZO851872 NJK851868:NJK851872 NTG851868:NTG851872 ODC851868:ODC851872 OMY851868:OMY851872 OWU851868:OWU851872 PGQ851868:PGQ851872 PQM851868:PQM851872 QAI851868:QAI851872 QKE851868:QKE851872 QUA851868:QUA851872 RDW851868:RDW851872 RNS851868:RNS851872 RXO851868:RXO851872 SHK851868:SHK851872 SRG851868:SRG851872 TBC851868:TBC851872 TKY851868:TKY851872 TUU851868:TUU851872 UEQ851868:UEQ851872 UOM851868:UOM851872 UYI851868:UYI851872 VIE851868:VIE851872 VSA851868:VSA851872 WBW851868:WBW851872 WLS851868:WLS851872 WVO851868:WVO851872 D917404:D917408 JC917404:JC917408 SY917404:SY917408 ACU917404:ACU917408 AMQ917404:AMQ917408 AWM917404:AWM917408 BGI917404:BGI917408 BQE917404:BQE917408 CAA917404:CAA917408 CJW917404:CJW917408 CTS917404:CTS917408 DDO917404:DDO917408 DNK917404:DNK917408 DXG917404:DXG917408 EHC917404:EHC917408 EQY917404:EQY917408 FAU917404:FAU917408 FKQ917404:FKQ917408 FUM917404:FUM917408 GEI917404:GEI917408 GOE917404:GOE917408 GYA917404:GYA917408 HHW917404:HHW917408 HRS917404:HRS917408 IBO917404:IBO917408 ILK917404:ILK917408 IVG917404:IVG917408 JFC917404:JFC917408 JOY917404:JOY917408 JYU917404:JYU917408 KIQ917404:KIQ917408 KSM917404:KSM917408 LCI917404:LCI917408 LME917404:LME917408 LWA917404:LWA917408 MFW917404:MFW917408 MPS917404:MPS917408 MZO917404:MZO917408 NJK917404:NJK917408 NTG917404:NTG917408 ODC917404:ODC917408 OMY917404:OMY917408 OWU917404:OWU917408 PGQ917404:PGQ917408 PQM917404:PQM917408 QAI917404:QAI917408 QKE917404:QKE917408 QUA917404:QUA917408 RDW917404:RDW917408 RNS917404:RNS917408 RXO917404:RXO917408 SHK917404:SHK917408 SRG917404:SRG917408 TBC917404:TBC917408 TKY917404:TKY917408 TUU917404:TUU917408 UEQ917404:UEQ917408 UOM917404:UOM917408 UYI917404:UYI917408 VIE917404:VIE917408 VSA917404:VSA917408 WBW917404:WBW917408 WLS917404:WLS917408 WVO917404:WVO917408 D982940:D982944 JC982940:JC982944 SY982940:SY982944 ACU982940:ACU982944 AMQ982940:AMQ982944 AWM982940:AWM982944 BGI982940:BGI982944 BQE982940:BQE982944 CAA982940:CAA982944 CJW982940:CJW982944 CTS982940:CTS982944 DDO982940:DDO982944 DNK982940:DNK982944 DXG982940:DXG982944 EHC982940:EHC982944 EQY982940:EQY982944 FAU982940:FAU982944 FKQ982940:FKQ982944 FUM982940:FUM982944 GEI982940:GEI982944 GOE982940:GOE982944 GYA982940:GYA982944 HHW982940:HHW982944 HRS982940:HRS982944 IBO982940:IBO982944 ILK982940:ILK982944 IVG982940:IVG982944 JFC982940:JFC982944 JOY982940:JOY982944 JYU982940:JYU982944 KIQ982940:KIQ982944 KSM982940:KSM982944 LCI982940:LCI982944 LME982940:LME982944 LWA982940:LWA982944 MFW982940:MFW982944 MPS982940:MPS982944 MZO982940:MZO982944 NJK982940:NJK982944 NTG982940:NTG982944 ODC982940:ODC982944 OMY982940:OMY982944 OWU982940:OWU982944 PGQ982940:PGQ982944 PQM982940:PQM982944 QAI982940:QAI982944 QKE982940:QKE982944 QUA982940:QUA982944 RDW982940:RDW982944 RNS982940:RNS982944 RXO982940:RXO982944 SHK982940:SHK982944 SRG982940:SRG982944 TBC982940:TBC982944 TKY982940:TKY982944 TUU982940:TUU982944 UEQ982940:UEQ982944 UOM982940:UOM982944 UYI982940:UYI982944 VIE982940:VIE982944 VSA982940:VSA982944 WBW982940:WBW982944 WLS982940:WLS982944 WVO982940:WVO982944 D65435:G65435 JC65435:JF65435 SY65435:TB65435 ACU65435:ACX65435 AMQ65435:AMT65435 AWM65435:AWP65435 BGI65435:BGL65435 BQE65435:BQH65435 CAA65435:CAD65435 CJW65435:CJZ65435 CTS65435:CTV65435 DDO65435:DDR65435 DNK65435:DNN65435 DXG65435:DXJ65435 EHC65435:EHF65435 EQY65435:ERB65435 FAU65435:FAX65435 FKQ65435:FKT65435 FUM65435:FUP65435 GEI65435:GEL65435 GOE65435:GOH65435 GYA65435:GYD65435 HHW65435:HHZ65435 HRS65435:HRV65435 IBO65435:IBR65435 ILK65435:ILN65435 IVG65435:IVJ65435 JFC65435:JFF65435 JOY65435:JPB65435 JYU65435:JYX65435 KIQ65435:KIT65435 KSM65435:KSP65435 LCI65435:LCL65435 LME65435:LMH65435 LWA65435:LWD65435 MFW65435:MFZ65435 MPS65435:MPV65435 MZO65435:MZR65435 NJK65435:NJN65435 NTG65435:NTJ65435 ODC65435:ODF65435 OMY65435:ONB65435 OWU65435:OWX65435 PGQ65435:PGT65435 PQM65435:PQP65435 QAI65435:QAL65435 QKE65435:QKH65435 QUA65435:QUD65435 RDW65435:RDZ65435 RNS65435:RNV65435 RXO65435:RXR65435 SHK65435:SHN65435 SRG65435:SRJ65435 TBC65435:TBF65435 TKY65435:TLB65435 TUU65435:TUX65435 UEQ65435:UET65435 UOM65435:UOP65435 UYI65435:UYL65435 VIE65435:VIH65435 VSA65435:VSD65435 WBW65435:WBZ65435 WLS65435:WLV65435 WVO65435:WVR65435 D130971:G130971 JC130971:JF130971 SY130971:TB130971 ACU130971:ACX130971 AMQ130971:AMT130971 AWM130971:AWP130971 BGI130971:BGL130971 BQE130971:BQH130971 CAA130971:CAD130971 CJW130971:CJZ130971 CTS130971:CTV130971 DDO130971:DDR130971 DNK130971:DNN130971 DXG130971:DXJ130971 EHC130971:EHF130971 EQY130971:ERB130971 FAU130971:FAX130971 FKQ130971:FKT130971 FUM130971:FUP130971 GEI130971:GEL130971 GOE130971:GOH130971 GYA130971:GYD130971 HHW130971:HHZ130971 HRS130971:HRV130971 IBO130971:IBR130971 ILK130971:ILN130971 IVG130971:IVJ130971 JFC130971:JFF130971 JOY130971:JPB130971 JYU130971:JYX130971 KIQ130971:KIT130971 KSM130971:KSP130971 LCI130971:LCL130971 LME130971:LMH130971 LWA130971:LWD130971 MFW130971:MFZ130971 MPS130971:MPV130971 MZO130971:MZR130971 NJK130971:NJN130971 NTG130971:NTJ130971 ODC130971:ODF130971 OMY130971:ONB130971 OWU130971:OWX130971 PGQ130971:PGT130971 PQM130971:PQP130971 QAI130971:QAL130971 QKE130971:QKH130971 QUA130971:QUD130971 RDW130971:RDZ130971 RNS130971:RNV130971 RXO130971:RXR130971 SHK130971:SHN130971 SRG130971:SRJ130971 TBC130971:TBF130971 TKY130971:TLB130971 TUU130971:TUX130971 UEQ130971:UET130971 UOM130971:UOP130971 UYI130971:UYL130971 VIE130971:VIH130971 VSA130971:VSD130971 WBW130971:WBZ130971 WLS130971:WLV130971 WVO130971:WVR130971 D196507:G196507 JC196507:JF196507 SY196507:TB196507 ACU196507:ACX196507 AMQ196507:AMT196507 AWM196507:AWP196507 BGI196507:BGL196507 BQE196507:BQH196507 CAA196507:CAD196507 CJW196507:CJZ196507 CTS196507:CTV196507 DDO196507:DDR196507 DNK196507:DNN196507 DXG196507:DXJ196507 EHC196507:EHF196507 EQY196507:ERB196507 FAU196507:FAX196507 FKQ196507:FKT196507 FUM196507:FUP196507 GEI196507:GEL196507 GOE196507:GOH196507 GYA196507:GYD196507 HHW196507:HHZ196507 HRS196507:HRV196507 IBO196507:IBR196507 ILK196507:ILN196507 IVG196507:IVJ196507 JFC196507:JFF196507 JOY196507:JPB196507 JYU196507:JYX196507 KIQ196507:KIT196507 KSM196507:KSP196507 LCI196507:LCL196507 LME196507:LMH196507 LWA196507:LWD196507 MFW196507:MFZ196507 MPS196507:MPV196507 MZO196507:MZR196507 NJK196507:NJN196507 NTG196507:NTJ196507 ODC196507:ODF196507 OMY196507:ONB196507 OWU196507:OWX196507 PGQ196507:PGT196507 PQM196507:PQP196507 QAI196507:QAL196507 QKE196507:QKH196507 QUA196507:QUD196507 RDW196507:RDZ196507 RNS196507:RNV196507 RXO196507:RXR196507 SHK196507:SHN196507 SRG196507:SRJ196507 TBC196507:TBF196507 TKY196507:TLB196507 TUU196507:TUX196507 UEQ196507:UET196507 UOM196507:UOP196507 UYI196507:UYL196507 VIE196507:VIH196507 VSA196507:VSD196507 WBW196507:WBZ196507 WLS196507:WLV196507 WVO196507:WVR196507 D262043:G262043 JC262043:JF262043 SY262043:TB262043 ACU262043:ACX262043 AMQ262043:AMT262043 AWM262043:AWP262043 BGI262043:BGL262043 BQE262043:BQH262043 CAA262043:CAD262043 CJW262043:CJZ262043 CTS262043:CTV262043 DDO262043:DDR262043 DNK262043:DNN262043 DXG262043:DXJ262043 EHC262043:EHF262043 EQY262043:ERB262043 FAU262043:FAX262043 FKQ262043:FKT262043 FUM262043:FUP262043 GEI262043:GEL262043 GOE262043:GOH262043 GYA262043:GYD262043 HHW262043:HHZ262043 HRS262043:HRV262043 IBO262043:IBR262043 ILK262043:ILN262043 IVG262043:IVJ262043 JFC262043:JFF262043 JOY262043:JPB262043 JYU262043:JYX262043 KIQ262043:KIT262043 KSM262043:KSP262043 LCI262043:LCL262043 LME262043:LMH262043 LWA262043:LWD262043 MFW262043:MFZ262043 MPS262043:MPV262043 MZO262043:MZR262043 NJK262043:NJN262043 NTG262043:NTJ262043 ODC262043:ODF262043 OMY262043:ONB262043 OWU262043:OWX262043 PGQ262043:PGT262043 PQM262043:PQP262043 QAI262043:QAL262043 QKE262043:QKH262043 QUA262043:QUD262043 RDW262043:RDZ262043 RNS262043:RNV262043 RXO262043:RXR262043 SHK262043:SHN262043 SRG262043:SRJ262043 TBC262043:TBF262043 TKY262043:TLB262043 TUU262043:TUX262043 UEQ262043:UET262043 UOM262043:UOP262043 UYI262043:UYL262043 VIE262043:VIH262043 VSA262043:VSD262043 WBW262043:WBZ262043 WLS262043:WLV262043 WVO262043:WVR262043 D327579:G327579 JC327579:JF327579 SY327579:TB327579 ACU327579:ACX327579 AMQ327579:AMT327579 AWM327579:AWP327579 BGI327579:BGL327579 BQE327579:BQH327579 CAA327579:CAD327579 CJW327579:CJZ327579 CTS327579:CTV327579 DDO327579:DDR327579 DNK327579:DNN327579 DXG327579:DXJ327579 EHC327579:EHF327579 EQY327579:ERB327579 FAU327579:FAX327579 FKQ327579:FKT327579 FUM327579:FUP327579 GEI327579:GEL327579 GOE327579:GOH327579 GYA327579:GYD327579 HHW327579:HHZ327579 HRS327579:HRV327579 IBO327579:IBR327579 ILK327579:ILN327579 IVG327579:IVJ327579 JFC327579:JFF327579 JOY327579:JPB327579 JYU327579:JYX327579 KIQ327579:KIT327579 KSM327579:KSP327579 LCI327579:LCL327579 LME327579:LMH327579 LWA327579:LWD327579 MFW327579:MFZ327579 MPS327579:MPV327579 MZO327579:MZR327579 NJK327579:NJN327579 NTG327579:NTJ327579 ODC327579:ODF327579 OMY327579:ONB327579 OWU327579:OWX327579 PGQ327579:PGT327579 PQM327579:PQP327579 QAI327579:QAL327579 QKE327579:QKH327579 QUA327579:QUD327579 RDW327579:RDZ327579 RNS327579:RNV327579 RXO327579:RXR327579 SHK327579:SHN327579 SRG327579:SRJ327579 TBC327579:TBF327579 TKY327579:TLB327579 TUU327579:TUX327579 UEQ327579:UET327579 UOM327579:UOP327579 UYI327579:UYL327579 VIE327579:VIH327579 VSA327579:VSD327579 WBW327579:WBZ327579 WLS327579:WLV327579 WVO327579:WVR327579 D393115:G393115 JC393115:JF393115 SY393115:TB393115 ACU393115:ACX393115 AMQ393115:AMT393115 AWM393115:AWP393115 BGI393115:BGL393115 BQE393115:BQH393115 CAA393115:CAD393115 CJW393115:CJZ393115 CTS393115:CTV393115 DDO393115:DDR393115 DNK393115:DNN393115 DXG393115:DXJ393115 EHC393115:EHF393115 EQY393115:ERB393115 FAU393115:FAX393115 FKQ393115:FKT393115 FUM393115:FUP393115 GEI393115:GEL393115 GOE393115:GOH393115 GYA393115:GYD393115 HHW393115:HHZ393115 HRS393115:HRV393115 IBO393115:IBR393115 ILK393115:ILN393115 IVG393115:IVJ393115 JFC393115:JFF393115 JOY393115:JPB393115 JYU393115:JYX393115 KIQ393115:KIT393115 KSM393115:KSP393115 LCI393115:LCL393115 LME393115:LMH393115 LWA393115:LWD393115 MFW393115:MFZ393115 MPS393115:MPV393115 MZO393115:MZR393115 NJK393115:NJN393115 NTG393115:NTJ393115 ODC393115:ODF393115 OMY393115:ONB393115 OWU393115:OWX393115 PGQ393115:PGT393115 PQM393115:PQP393115 QAI393115:QAL393115 QKE393115:QKH393115 QUA393115:QUD393115 RDW393115:RDZ393115 RNS393115:RNV393115 RXO393115:RXR393115 SHK393115:SHN393115 SRG393115:SRJ393115 TBC393115:TBF393115 TKY393115:TLB393115 TUU393115:TUX393115 UEQ393115:UET393115 UOM393115:UOP393115 UYI393115:UYL393115 VIE393115:VIH393115 VSA393115:VSD393115 WBW393115:WBZ393115 WLS393115:WLV393115 WVO393115:WVR393115 D458651:G458651 JC458651:JF458651 SY458651:TB458651 ACU458651:ACX458651 AMQ458651:AMT458651 AWM458651:AWP458651 BGI458651:BGL458651 BQE458651:BQH458651 CAA458651:CAD458651 CJW458651:CJZ458651 CTS458651:CTV458651 DDO458651:DDR458651 DNK458651:DNN458651 DXG458651:DXJ458651 EHC458651:EHF458651 EQY458651:ERB458651 FAU458651:FAX458651 FKQ458651:FKT458651 FUM458651:FUP458651 GEI458651:GEL458651 GOE458651:GOH458651 GYA458651:GYD458651 HHW458651:HHZ458651 HRS458651:HRV458651 IBO458651:IBR458651 ILK458651:ILN458651 IVG458651:IVJ458651 JFC458651:JFF458651 JOY458651:JPB458651 JYU458651:JYX458651 KIQ458651:KIT458651 KSM458651:KSP458651 LCI458651:LCL458651 LME458651:LMH458651 LWA458651:LWD458651 MFW458651:MFZ458651 MPS458651:MPV458651 MZO458651:MZR458651 NJK458651:NJN458651 NTG458651:NTJ458651 ODC458651:ODF458651 OMY458651:ONB458651 OWU458651:OWX458651 PGQ458651:PGT458651 PQM458651:PQP458651 QAI458651:QAL458651 QKE458651:QKH458651 QUA458651:QUD458651 RDW458651:RDZ458651 RNS458651:RNV458651 RXO458651:RXR458651 SHK458651:SHN458651 SRG458651:SRJ458651 TBC458651:TBF458651 TKY458651:TLB458651 TUU458651:TUX458651 UEQ458651:UET458651 UOM458651:UOP458651 UYI458651:UYL458651 VIE458651:VIH458651 VSA458651:VSD458651 WBW458651:WBZ458651 WLS458651:WLV458651 WVO458651:WVR458651 D524187:G524187 JC524187:JF524187 SY524187:TB524187 ACU524187:ACX524187 AMQ524187:AMT524187 AWM524187:AWP524187 BGI524187:BGL524187 BQE524187:BQH524187 CAA524187:CAD524187 CJW524187:CJZ524187 CTS524187:CTV524187 DDO524187:DDR524187 DNK524187:DNN524187 DXG524187:DXJ524187 EHC524187:EHF524187 EQY524187:ERB524187 FAU524187:FAX524187 FKQ524187:FKT524187 FUM524187:FUP524187 GEI524187:GEL524187 GOE524187:GOH524187 GYA524187:GYD524187 HHW524187:HHZ524187 HRS524187:HRV524187 IBO524187:IBR524187 ILK524187:ILN524187 IVG524187:IVJ524187 JFC524187:JFF524187 JOY524187:JPB524187 JYU524187:JYX524187 KIQ524187:KIT524187 KSM524187:KSP524187 LCI524187:LCL524187 LME524187:LMH524187 LWA524187:LWD524187 MFW524187:MFZ524187 MPS524187:MPV524187 MZO524187:MZR524187 NJK524187:NJN524187 NTG524187:NTJ524187 ODC524187:ODF524187 OMY524187:ONB524187 OWU524187:OWX524187 PGQ524187:PGT524187 PQM524187:PQP524187 QAI524187:QAL524187 QKE524187:QKH524187 QUA524187:QUD524187 RDW524187:RDZ524187 RNS524187:RNV524187 RXO524187:RXR524187 SHK524187:SHN524187 SRG524187:SRJ524187 TBC524187:TBF524187 TKY524187:TLB524187 TUU524187:TUX524187 UEQ524187:UET524187 UOM524187:UOP524187 UYI524187:UYL524187 VIE524187:VIH524187 VSA524187:VSD524187 WBW524187:WBZ524187 WLS524187:WLV524187 WVO524187:WVR524187 D589723:G589723 JC589723:JF589723 SY589723:TB589723 ACU589723:ACX589723 AMQ589723:AMT589723 AWM589723:AWP589723 BGI589723:BGL589723 BQE589723:BQH589723 CAA589723:CAD589723 CJW589723:CJZ589723 CTS589723:CTV589723 DDO589723:DDR589723 DNK589723:DNN589723 DXG589723:DXJ589723 EHC589723:EHF589723 EQY589723:ERB589723 FAU589723:FAX589723 FKQ589723:FKT589723 FUM589723:FUP589723 GEI589723:GEL589723 GOE589723:GOH589723 GYA589723:GYD589723 HHW589723:HHZ589723 HRS589723:HRV589723 IBO589723:IBR589723 ILK589723:ILN589723 IVG589723:IVJ589723 JFC589723:JFF589723 JOY589723:JPB589723 JYU589723:JYX589723 KIQ589723:KIT589723 KSM589723:KSP589723 LCI589723:LCL589723 LME589723:LMH589723 LWA589723:LWD589723 MFW589723:MFZ589723 MPS589723:MPV589723 MZO589723:MZR589723 NJK589723:NJN589723 NTG589723:NTJ589723 ODC589723:ODF589723 OMY589723:ONB589723 OWU589723:OWX589723 PGQ589723:PGT589723 PQM589723:PQP589723 QAI589723:QAL589723 QKE589723:QKH589723 QUA589723:QUD589723 RDW589723:RDZ589723 RNS589723:RNV589723 RXO589723:RXR589723 SHK589723:SHN589723 SRG589723:SRJ589723 TBC589723:TBF589723 TKY589723:TLB589723 TUU589723:TUX589723 UEQ589723:UET589723 UOM589723:UOP589723 UYI589723:UYL589723 VIE589723:VIH589723 VSA589723:VSD589723 WBW589723:WBZ589723 WLS589723:WLV589723 WVO589723:WVR589723 D655259:G655259 JC655259:JF655259 SY655259:TB655259 ACU655259:ACX655259 AMQ655259:AMT655259 AWM655259:AWP655259 BGI655259:BGL655259 BQE655259:BQH655259 CAA655259:CAD655259 CJW655259:CJZ655259 CTS655259:CTV655259 DDO655259:DDR655259 DNK655259:DNN655259 DXG655259:DXJ655259 EHC655259:EHF655259 EQY655259:ERB655259 FAU655259:FAX655259 FKQ655259:FKT655259 FUM655259:FUP655259 GEI655259:GEL655259 GOE655259:GOH655259 GYA655259:GYD655259 HHW655259:HHZ655259 HRS655259:HRV655259 IBO655259:IBR655259 ILK655259:ILN655259 IVG655259:IVJ655259 JFC655259:JFF655259 JOY655259:JPB655259 JYU655259:JYX655259 KIQ655259:KIT655259 KSM655259:KSP655259 LCI655259:LCL655259 LME655259:LMH655259 LWA655259:LWD655259 MFW655259:MFZ655259 MPS655259:MPV655259 MZO655259:MZR655259 NJK655259:NJN655259 NTG655259:NTJ655259 ODC655259:ODF655259 OMY655259:ONB655259 OWU655259:OWX655259 PGQ655259:PGT655259 PQM655259:PQP655259 QAI655259:QAL655259 QKE655259:QKH655259 QUA655259:QUD655259 RDW655259:RDZ655259 RNS655259:RNV655259 RXO655259:RXR655259 SHK655259:SHN655259 SRG655259:SRJ655259 TBC655259:TBF655259 TKY655259:TLB655259 TUU655259:TUX655259 UEQ655259:UET655259 UOM655259:UOP655259 UYI655259:UYL655259 VIE655259:VIH655259 VSA655259:VSD655259 WBW655259:WBZ655259 WLS655259:WLV655259 WVO655259:WVR655259 D720795:G720795 JC720795:JF720795 SY720795:TB720795 ACU720795:ACX720795 AMQ720795:AMT720795 AWM720795:AWP720795 BGI720795:BGL720795 BQE720795:BQH720795 CAA720795:CAD720795 CJW720795:CJZ720795 CTS720795:CTV720795 DDO720795:DDR720795 DNK720795:DNN720795 DXG720795:DXJ720795 EHC720795:EHF720795 EQY720795:ERB720795 FAU720795:FAX720795 FKQ720795:FKT720795 FUM720795:FUP720795 GEI720795:GEL720795 GOE720795:GOH720795 GYA720795:GYD720795 HHW720795:HHZ720795 HRS720795:HRV720795 IBO720795:IBR720795 ILK720795:ILN720795 IVG720795:IVJ720795 JFC720795:JFF720795 JOY720795:JPB720795 JYU720795:JYX720795 KIQ720795:KIT720795 KSM720795:KSP720795 LCI720795:LCL720795 LME720795:LMH720795 LWA720795:LWD720795 MFW720795:MFZ720795 MPS720795:MPV720795 MZO720795:MZR720795 NJK720795:NJN720795 NTG720795:NTJ720795 ODC720795:ODF720795 OMY720795:ONB720795 OWU720795:OWX720795 PGQ720795:PGT720795 PQM720795:PQP720795 QAI720795:QAL720795 QKE720795:QKH720795 QUA720795:QUD720795 RDW720795:RDZ720795 RNS720795:RNV720795 RXO720795:RXR720795 SHK720795:SHN720795 SRG720795:SRJ720795 TBC720795:TBF720795 TKY720795:TLB720795 TUU720795:TUX720795 UEQ720795:UET720795 UOM720795:UOP720795 UYI720795:UYL720795 VIE720795:VIH720795 VSA720795:VSD720795 WBW720795:WBZ720795 WLS720795:WLV720795 WVO720795:WVR720795 D786331:G786331 JC786331:JF786331 SY786331:TB786331 ACU786331:ACX786331 AMQ786331:AMT786331 AWM786331:AWP786331 BGI786331:BGL786331 BQE786331:BQH786331 CAA786331:CAD786331 CJW786331:CJZ786331 CTS786331:CTV786331 DDO786331:DDR786331 DNK786331:DNN786331 DXG786331:DXJ786331 EHC786331:EHF786331 EQY786331:ERB786331 FAU786331:FAX786331 FKQ786331:FKT786331 FUM786331:FUP786331 GEI786331:GEL786331 GOE786331:GOH786331 GYA786331:GYD786331 HHW786331:HHZ786331 HRS786331:HRV786331 IBO786331:IBR786331 ILK786331:ILN786331 IVG786331:IVJ786331 JFC786331:JFF786331 JOY786331:JPB786331 JYU786331:JYX786331 KIQ786331:KIT786331 KSM786331:KSP786331 LCI786331:LCL786331 LME786331:LMH786331 LWA786331:LWD786331 MFW786331:MFZ786331 MPS786331:MPV786331 MZO786331:MZR786331 NJK786331:NJN786331 NTG786331:NTJ786331 ODC786331:ODF786331 OMY786331:ONB786331 OWU786331:OWX786331 PGQ786331:PGT786331 PQM786331:PQP786331 QAI786331:QAL786331 QKE786331:QKH786331 QUA786331:QUD786331 RDW786331:RDZ786331 RNS786331:RNV786331 RXO786331:RXR786331 SHK786331:SHN786331 SRG786331:SRJ786331 TBC786331:TBF786331 TKY786331:TLB786331 TUU786331:TUX786331 UEQ786331:UET786331 UOM786331:UOP786331 UYI786331:UYL786331 VIE786331:VIH786331 VSA786331:VSD786331 WBW786331:WBZ786331 WLS786331:WLV786331 WVO786331:WVR786331 D851867:G851867 JC851867:JF851867 SY851867:TB851867 ACU851867:ACX851867 AMQ851867:AMT851867 AWM851867:AWP851867 BGI851867:BGL851867 BQE851867:BQH851867 CAA851867:CAD851867 CJW851867:CJZ851867 CTS851867:CTV851867 DDO851867:DDR851867 DNK851867:DNN851867 DXG851867:DXJ851867 EHC851867:EHF851867 EQY851867:ERB851867 FAU851867:FAX851867 FKQ851867:FKT851867 FUM851867:FUP851867 GEI851867:GEL851867 GOE851867:GOH851867 GYA851867:GYD851867 HHW851867:HHZ851867 HRS851867:HRV851867 IBO851867:IBR851867 ILK851867:ILN851867 IVG851867:IVJ851867 JFC851867:JFF851867 JOY851867:JPB851867 JYU851867:JYX851867 KIQ851867:KIT851867 KSM851867:KSP851867 LCI851867:LCL851867 LME851867:LMH851867 LWA851867:LWD851867 MFW851867:MFZ851867 MPS851867:MPV851867 MZO851867:MZR851867 NJK851867:NJN851867 NTG851867:NTJ851867 ODC851867:ODF851867 OMY851867:ONB851867 OWU851867:OWX851867 PGQ851867:PGT851867 PQM851867:PQP851867 QAI851867:QAL851867 QKE851867:QKH851867 QUA851867:QUD851867 RDW851867:RDZ851867 RNS851867:RNV851867 RXO851867:RXR851867 SHK851867:SHN851867 SRG851867:SRJ851867 TBC851867:TBF851867 TKY851867:TLB851867 TUU851867:TUX851867 UEQ851867:UET851867 UOM851867:UOP851867 UYI851867:UYL851867 VIE851867:VIH851867 VSA851867:VSD851867 WBW851867:WBZ851867 WLS851867:WLV851867 WVO851867:WVR851867 D917403:G917403 JC917403:JF917403 SY917403:TB917403 ACU917403:ACX917403 AMQ917403:AMT917403 AWM917403:AWP917403 BGI917403:BGL917403 BQE917403:BQH917403 CAA917403:CAD917403 CJW917403:CJZ917403 CTS917403:CTV917403 DDO917403:DDR917403 DNK917403:DNN917403 DXG917403:DXJ917403 EHC917403:EHF917403 EQY917403:ERB917403 FAU917403:FAX917403 FKQ917403:FKT917403 FUM917403:FUP917403 GEI917403:GEL917403 GOE917403:GOH917403 GYA917403:GYD917403 HHW917403:HHZ917403 HRS917403:HRV917403 IBO917403:IBR917403 ILK917403:ILN917403 IVG917403:IVJ917403 JFC917403:JFF917403 JOY917403:JPB917403 JYU917403:JYX917403 KIQ917403:KIT917403 KSM917403:KSP917403 LCI917403:LCL917403 LME917403:LMH917403 LWA917403:LWD917403 MFW917403:MFZ917403 MPS917403:MPV917403 MZO917403:MZR917403 NJK917403:NJN917403 NTG917403:NTJ917403 ODC917403:ODF917403 OMY917403:ONB917403 OWU917403:OWX917403 PGQ917403:PGT917403 PQM917403:PQP917403 QAI917403:QAL917403 QKE917403:QKH917403 QUA917403:QUD917403 RDW917403:RDZ917403 RNS917403:RNV917403 RXO917403:RXR917403 SHK917403:SHN917403 SRG917403:SRJ917403 TBC917403:TBF917403 TKY917403:TLB917403 TUU917403:TUX917403 UEQ917403:UET917403 UOM917403:UOP917403 UYI917403:UYL917403 VIE917403:VIH917403 VSA917403:VSD917403 WBW917403:WBZ917403 WLS917403:WLV917403 WVO917403:WVR917403 D982939:G982939 JC982939:JF982939 SY982939:TB982939 ACU982939:ACX982939 AMQ982939:AMT982939 AWM982939:AWP982939 BGI982939:BGL982939 BQE982939:BQH982939 CAA982939:CAD982939 CJW982939:CJZ982939 CTS982939:CTV982939 DDO982939:DDR982939 DNK982939:DNN982939 DXG982939:DXJ982939 EHC982939:EHF982939 EQY982939:ERB982939 FAU982939:FAX982939 FKQ982939:FKT982939 FUM982939:FUP982939 GEI982939:GEL982939 GOE982939:GOH982939 GYA982939:GYD982939 HHW982939:HHZ982939 HRS982939:HRV982939 IBO982939:IBR982939 ILK982939:ILN982939 IVG982939:IVJ982939 JFC982939:JFF982939 JOY982939:JPB982939 JYU982939:JYX982939 KIQ982939:KIT982939 KSM982939:KSP982939 LCI982939:LCL982939 LME982939:LMH982939 LWA982939:LWD982939 MFW982939:MFZ982939 MPS982939:MPV982939 MZO982939:MZR982939 NJK982939:NJN982939 NTG982939:NTJ982939 ODC982939:ODF982939 OMY982939:ONB982939 OWU982939:OWX982939 PGQ982939:PGT982939 PQM982939:PQP982939 QAI982939:QAL982939 QKE982939:QKH982939 QUA982939:QUD982939 RDW982939:RDZ982939 RNS982939:RNV982939 RXO982939:RXR982939 SHK982939:SHN982939 SRG982939:SRJ982939 TBC982939:TBF982939 TKY982939:TLB982939 TUU982939:TUX982939 UEQ982939:UET982939 UOM982939:UOP982939 UYI982939:UYL982939 VIE982939:VIH982939 VSA982939:VSD982939 WBW982939:WBZ982939 WLS982939:WLV982939 WVO982939:WVR982939 D65434 JC65434 SY65434 ACU65434 AMQ65434 AWM65434 BGI65434 BQE65434 CAA65434 CJW65434 CTS65434 DDO65434 DNK65434 DXG65434 EHC65434 EQY65434 FAU65434 FKQ65434 FUM65434 GEI65434 GOE65434 GYA65434 HHW65434 HRS65434 IBO65434 ILK65434 IVG65434 JFC65434 JOY65434 JYU65434 KIQ65434 KSM65434 LCI65434 LME65434 LWA65434 MFW65434 MPS65434 MZO65434 NJK65434 NTG65434 ODC65434 OMY65434 OWU65434 PGQ65434 PQM65434 QAI65434 QKE65434 QUA65434 RDW65434 RNS65434 RXO65434 SHK65434 SRG65434 TBC65434 TKY65434 TUU65434 UEQ65434 UOM65434 UYI65434 VIE65434 VSA65434 WBW65434 WLS65434 WVO65434 D130970 JC130970 SY130970 ACU130970 AMQ130970 AWM130970 BGI130970 BQE130970 CAA130970 CJW130970 CTS130970 DDO130970 DNK130970 DXG130970 EHC130970 EQY130970 FAU130970 FKQ130970 FUM130970 GEI130970 GOE130970 GYA130970 HHW130970 HRS130970 IBO130970 ILK130970 IVG130970 JFC130970 JOY130970 JYU130970 KIQ130970 KSM130970 LCI130970 LME130970 LWA130970 MFW130970 MPS130970 MZO130970 NJK130970 NTG130970 ODC130970 OMY130970 OWU130970 PGQ130970 PQM130970 QAI130970 QKE130970 QUA130970 RDW130970 RNS130970 RXO130970 SHK130970 SRG130970 TBC130970 TKY130970 TUU130970 UEQ130970 UOM130970 UYI130970 VIE130970 VSA130970 WBW130970 WLS130970 WVO130970 D196506 JC196506 SY196506 ACU196506 AMQ196506 AWM196506 BGI196506 BQE196506 CAA196506 CJW196506 CTS196506 DDO196506 DNK196506 DXG196506 EHC196506 EQY196506 FAU196506 FKQ196506 FUM196506 GEI196506 GOE196506 GYA196506 HHW196506 HRS196506 IBO196506 ILK196506 IVG196506 JFC196506 JOY196506 JYU196506 KIQ196506 KSM196506 LCI196506 LME196506 LWA196506 MFW196506 MPS196506 MZO196506 NJK196506 NTG196506 ODC196506 OMY196506 OWU196506 PGQ196506 PQM196506 QAI196506 QKE196506 QUA196506 RDW196506 RNS196506 RXO196506 SHK196506 SRG196506 TBC196506 TKY196506 TUU196506 UEQ196506 UOM196506 UYI196506 VIE196506 VSA196506 WBW196506 WLS196506 WVO196506 D262042 JC262042 SY262042 ACU262042 AMQ262042 AWM262042 BGI262042 BQE262042 CAA262042 CJW262042 CTS262042 DDO262042 DNK262042 DXG262042 EHC262042 EQY262042 FAU262042 FKQ262042 FUM262042 GEI262042 GOE262042 GYA262042 HHW262042 HRS262042 IBO262042 ILK262042 IVG262042 JFC262042 JOY262042 JYU262042 KIQ262042 KSM262042 LCI262042 LME262042 LWA262042 MFW262042 MPS262042 MZO262042 NJK262042 NTG262042 ODC262042 OMY262042 OWU262042 PGQ262042 PQM262042 QAI262042 QKE262042 QUA262042 RDW262042 RNS262042 RXO262042 SHK262042 SRG262042 TBC262042 TKY262042 TUU262042 UEQ262042 UOM262042 UYI262042 VIE262042 VSA262042 WBW262042 WLS262042 WVO262042 D327578 JC327578 SY327578 ACU327578 AMQ327578 AWM327578 BGI327578 BQE327578 CAA327578 CJW327578 CTS327578 DDO327578 DNK327578 DXG327578 EHC327578 EQY327578 FAU327578 FKQ327578 FUM327578 GEI327578 GOE327578 GYA327578 HHW327578 HRS327578 IBO327578 ILK327578 IVG327578 JFC327578 JOY327578 JYU327578 KIQ327578 KSM327578 LCI327578 LME327578 LWA327578 MFW327578 MPS327578 MZO327578 NJK327578 NTG327578 ODC327578 OMY327578 OWU327578 PGQ327578 PQM327578 QAI327578 QKE327578 QUA327578 RDW327578 RNS327578 RXO327578 SHK327578 SRG327578 TBC327578 TKY327578 TUU327578 UEQ327578 UOM327578 UYI327578 VIE327578 VSA327578 WBW327578 WLS327578 WVO327578 D393114 JC393114 SY393114 ACU393114 AMQ393114 AWM393114 BGI393114 BQE393114 CAA393114 CJW393114 CTS393114 DDO393114 DNK393114 DXG393114 EHC393114 EQY393114 FAU393114 FKQ393114 FUM393114 GEI393114 GOE393114 GYA393114 HHW393114 HRS393114 IBO393114 ILK393114 IVG393114 JFC393114 JOY393114 JYU393114 KIQ393114 KSM393114 LCI393114 LME393114 LWA393114 MFW393114 MPS393114 MZO393114 NJK393114 NTG393114 ODC393114 OMY393114 OWU393114 PGQ393114 PQM393114 QAI393114 QKE393114 QUA393114 RDW393114 RNS393114 RXO393114 SHK393114 SRG393114 TBC393114 TKY393114 TUU393114 UEQ393114 UOM393114 UYI393114 VIE393114 VSA393114 WBW393114 WLS393114 WVO393114 D458650 JC458650 SY458650 ACU458650 AMQ458650 AWM458650 BGI458650 BQE458650 CAA458650 CJW458650 CTS458650 DDO458650 DNK458650 DXG458650 EHC458650 EQY458650 FAU458650 FKQ458650 FUM458650 GEI458650 GOE458650 GYA458650 HHW458650 HRS458650 IBO458650 ILK458650 IVG458650 JFC458650 JOY458650 JYU458650 KIQ458650 KSM458650 LCI458650 LME458650 LWA458650 MFW458650 MPS458650 MZO458650 NJK458650 NTG458650 ODC458650 OMY458650 OWU458650 PGQ458650 PQM458650 QAI458650 QKE458650 QUA458650 RDW458650 RNS458650 RXO458650 SHK458650 SRG458650 TBC458650 TKY458650 TUU458650 UEQ458650 UOM458650 UYI458650 VIE458650 VSA458650 WBW458650 WLS458650 WVO458650 D524186 JC524186 SY524186 ACU524186 AMQ524186 AWM524186 BGI524186 BQE524186 CAA524186 CJW524186 CTS524186 DDO524186 DNK524186 DXG524186 EHC524186 EQY524186 FAU524186 FKQ524186 FUM524186 GEI524186 GOE524186 GYA524186 HHW524186 HRS524186 IBO524186 ILK524186 IVG524186 JFC524186 JOY524186 JYU524186 KIQ524186 KSM524186 LCI524186 LME524186 LWA524186 MFW524186 MPS524186 MZO524186 NJK524186 NTG524186 ODC524186 OMY524186 OWU524186 PGQ524186 PQM524186 QAI524186 QKE524186 QUA524186 RDW524186 RNS524186 RXO524186 SHK524186 SRG524186 TBC524186 TKY524186 TUU524186 UEQ524186 UOM524186 UYI524186 VIE524186 VSA524186 WBW524186 WLS524186 WVO524186 D589722 JC589722 SY589722 ACU589722 AMQ589722 AWM589722 BGI589722 BQE589722 CAA589722 CJW589722 CTS589722 DDO589722 DNK589722 DXG589722 EHC589722 EQY589722 FAU589722 FKQ589722 FUM589722 GEI589722 GOE589722 GYA589722 HHW589722 HRS589722 IBO589722 ILK589722 IVG589722 JFC589722 JOY589722 JYU589722 KIQ589722 KSM589722 LCI589722 LME589722 LWA589722 MFW589722 MPS589722 MZO589722 NJK589722 NTG589722 ODC589722 OMY589722 OWU589722 PGQ589722 PQM589722 QAI589722 QKE589722 QUA589722 RDW589722 RNS589722 RXO589722 SHK589722 SRG589722 TBC589722 TKY589722 TUU589722 UEQ589722 UOM589722 UYI589722 VIE589722 VSA589722 WBW589722 WLS589722 WVO589722 D655258 JC655258 SY655258 ACU655258 AMQ655258 AWM655258 BGI655258 BQE655258 CAA655258 CJW655258 CTS655258 DDO655258 DNK655258 DXG655258 EHC655258 EQY655258 FAU655258 FKQ655258 FUM655258 GEI655258 GOE655258 GYA655258 HHW655258 HRS655258 IBO655258 ILK655258 IVG655258 JFC655258 JOY655258 JYU655258 KIQ655258 KSM655258 LCI655258 LME655258 LWA655258 MFW655258 MPS655258 MZO655258 NJK655258 NTG655258 ODC655258 OMY655258 OWU655258 PGQ655258 PQM655258 QAI655258 QKE655258 QUA655258 RDW655258 RNS655258 RXO655258 SHK655258 SRG655258 TBC655258 TKY655258 TUU655258 UEQ655258 UOM655258 UYI655258 VIE655258 VSA655258 WBW655258 WLS655258 WVO655258 D720794 JC720794 SY720794 ACU720794 AMQ720794 AWM720794 BGI720794 BQE720794 CAA720794 CJW720794 CTS720794 DDO720794 DNK720794 DXG720794 EHC720794 EQY720794 FAU720794 FKQ720794 FUM720794 GEI720794 GOE720794 GYA720794 HHW720794 HRS720794 IBO720794 ILK720794 IVG720794 JFC720794 JOY720794 JYU720794 KIQ720794 KSM720794 LCI720794 LME720794 LWA720794 MFW720794 MPS720794 MZO720794 NJK720794 NTG720794 ODC720794 OMY720794 OWU720794 PGQ720794 PQM720794 QAI720794 QKE720794 QUA720794 RDW720794 RNS720794 RXO720794 SHK720794 SRG720794 TBC720794 TKY720794 TUU720794 UEQ720794 UOM720794 UYI720794 VIE720794 VSA720794 WBW720794 WLS720794 WVO720794 D786330 JC786330 SY786330 ACU786330 AMQ786330 AWM786330 BGI786330 BQE786330 CAA786330 CJW786330 CTS786330 DDO786330 DNK786330 DXG786330 EHC786330 EQY786330 FAU786330 FKQ786330 FUM786330 GEI786330 GOE786330 GYA786330 HHW786330 HRS786330 IBO786330 ILK786330 IVG786330 JFC786330 JOY786330 JYU786330 KIQ786330 KSM786330 LCI786330 LME786330 LWA786330 MFW786330 MPS786330 MZO786330 NJK786330 NTG786330 ODC786330 OMY786330 OWU786330 PGQ786330 PQM786330 QAI786330 QKE786330 QUA786330 RDW786330 RNS786330 RXO786330 SHK786330 SRG786330 TBC786330 TKY786330 TUU786330 UEQ786330 UOM786330 UYI786330 VIE786330 VSA786330 WBW786330 WLS786330 WVO786330 D851866 JC851866 SY851866 ACU851866 AMQ851866 AWM851866 BGI851866 BQE851866 CAA851866 CJW851866 CTS851866 DDO851866 DNK851866 DXG851866 EHC851866 EQY851866 FAU851866 FKQ851866 FUM851866 GEI851866 GOE851866 GYA851866 HHW851866 HRS851866 IBO851866 ILK851866 IVG851866 JFC851866 JOY851866 JYU851866 KIQ851866 KSM851866 LCI851866 LME851866 LWA851866 MFW851866 MPS851866 MZO851866 NJK851866 NTG851866 ODC851866 OMY851866 OWU851866 PGQ851866 PQM851866 QAI851866 QKE851866 QUA851866 RDW851866 RNS851866 RXO851866 SHK851866 SRG851866 TBC851866 TKY851866 TUU851866 UEQ851866 UOM851866 UYI851866 VIE851866 VSA851866 WBW851866 WLS851866 WVO851866 D917402 JC917402 SY917402 ACU917402 AMQ917402 AWM917402 BGI917402 BQE917402 CAA917402 CJW917402 CTS917402 DDO917402 DNK917402 DXG917402 EHC917402 EQY917402 FAU917402 FKQ917402 FUM917402 GEI917402 GOE917402 GYA917402 HHW917402 HRS917402 IBO917402 ILK917402 IVG917402 JFC917402 JOY917402 JYU917402 KIQ917402 KSM917402 LCI917402 LME917402 LWA917402 MFW917402 MPS917402 MZO917402 NJK917402 NTG917402 ODC917402 OMY917402 OWU917402 PGQ917402 PQM917402 QAI917402 QKE917402 QUA917402 RDW917402 RNS917402 RXO917402 SHK917402 SRG917402 TBC917402 TKY917402 TUU917402 UEQ917402 UOM917402 UYI917402 VIE917402 VSA917402 WBW917402 WLS917402 WVO917402 D982938 JC982938 SY982938 ACU982938 AMQ982938 AWM982938 BGI982938 BQE982938 CAA982938 CJW982938 CTS982938 DDO982938 DNK982938 DXG982938 EHC982938 EQY982938 FAU982938 FKQ982938 FUM982938 GEI982938 GOE982938 GYA982938 HHW982938 HRS982938 IBO982938 ILK982938 IVG982938 JFC982938 JOY982938 JYU982938 KIQ982938 KSM982938 LCI982938 LME982938 LWA982938 MFW982938 MPS982938 MZO982938 NJK982938 NTG982938 ODC982938 OMY982938 OWU982938 PGQ982938 PQM982938 QAI982938 QKE982938 QUA982938 RDW982938 RNS982938 RXO982938 SHK982938 SRG982938 TBC982938 TKY982938 TUU982938 UEQ982938 UOM982938 UYI982938 VIE982938 VSA982938 WBW982938 WLS982938 WVO982938 D65430:G65430 JC65430:JF65430 SY65430:TB65430 ACU65430:ACX65430 AMQ65430:AMT65430 AWM65430:AWP65430 BGI65430:BGL65430 BQE65430:BQH65430 CAA65430:CAD65430 CJW65430:CJZ65430 CTS65430:CTV65430 DDO65430:DDR65430 DNK65430:DNN65430 DXG65430:DXJ65430 EHC65430:EHF65430 EQY65430:ERB65430 FAU65430:FAX65430 FKQ65430:FKT65430 FUM65430:FUP65430 GEI65430:GEL65430 GOE65430:GOH65430 GYA65430:GYD65430 HHW65430:HHZ65430 HRS65430:HRV65430 IBO65430:IBR65430 ILK65430:ILN65430 IVG65430:IVJ65430 JFC65430:JFF65430 JOY65430:JPB65430 JYU65430:JYX65430 KIQ65430:KIT65430 KSM65430:KSP65430 LCI65430:LCL65430 LME65430:LMH65430 LWA65430:LWD65430 MFW65430:MFZ65430 MPS65430:MPV65430 MZO65430:MZR65430 NJK65430:NJN65430 NTG65430:NTJ65430 ODC65430:ODF65430 OMY65430:ONB65430 OWU65430:OWX65430 PGQ65430:PGT65430 PQM65430:PQP65430 QAI65430:QAL65430 QKE65430:QKH65430 QUA65430:QUD65430 RDW65430:RDZ65430 RNS65430:RNV65430 RXO65430:RXR65430 SHK65430:SHN65430 SRG65430:SRJ65430 TBC65430:TBF65430 TKY65430:TLB65430 TUU65430:TUX65430 UEQ65430:UET65430 UOM65430:UOP65430 UYI65430:UYL65430 VIE65430:VIH65430 VSA65430:VSD65430 WBW65430:WBZ65430 WLS65430:WLV65430 WVO65430:WVR65430 D130966:G130966 JC130966:JF130966 SY130966:TB130966 ACU130966:ACX130966 AMQ130966:AMT130966 AWM130966:AWP130966 BGI130966:BGL130966 BQE130966:BQH130966 CAA130966:CAD130966 CJW130966:CJZ130966 CTS130966:CTV130966 DDO130966:DDR130966 DNK130966:DNN130966 DXG130966:DXJ130966 EHC130966:EHF130966 EQY130966:ERB130966 FAU130966:FAX130966 FKQ130966:FKT130966 FUM130966:FUP130966 GEI130966:GEL130966 GOE130966:GOH130966 GYA130966:GYD130966 HHW130966:HHZ130966 HRS130966:HRV130966 IBO130966:IBR130966 ILK130966:ILN130966 IVG130966:IVJ130966 JFC130966:JFF130966 JOY130966:JPB130966 JYU130966:JYX130966 KIQ130966:KIT130966 KSM130966:KSP130966 LCI130966:LCL130966 LME130966:LMH130966 LWA130966:LWD130966 MFW130966:MFZ130966 MPS130966:MPV130966 MZO130966:MZR130966 NJK130966:NJN130966 NTG130966:NTJ130966 ODC130966:ODF130966 OMY130966:ONB130966 OWU130966:OWX130966 PGQ130966:PGT130966 PQM130966:PQP130966 QAI130966:QAL130966 QKE130966:QKH130966 QUA130966:QUD130966 RDW130966:RDZ130966 RNS130966:RNV130966 RXO130966:RXR130966 SHK130966:SHN130966 SRG130966:SRJ130966 TBC130966:TBF130966 TKY130966:TLB130966 TUU130966:TUX130966 UEQ130966:UET130966 UOM130966:UOP130966 UYI130966:UYL130966 VIE130966:VIH130966 VSA130966:VSD130966 WBW130966:WBZ130966 WLS130966:WLV130966 WVO130966:WVR130966 D196502:G196502 JC196502:JF196502 SY196502:TB196502 ACU196502:ACX196502 AMQ196502:AMT196502 AWM196502:AWP196502 BGI196502:BGL196502 BQE196502:BQH196502 CAA196502:CAD196502 CJW196502:CJZ196502 CTS196502:CTV196502 DDO196502:DDR196502 DNK196502:DNN196502 DXG196502:DXJ196502 EHC196502:EHF196502 EQY196502:ERB196502 FAU196502:FAX196502 FKQ196502:FKT196502 FUM196502:FUP196502 GEI196502:GEL196502 GOE196502:GOH196502 GYA196502:GYD196502 HHW196502:HHZ196502 HRS196502:HRV196502 IBO196502:IBR196502 ILK196502:ILN196502 IVG196502:IVJ196502 JFC196502:JFF196502 JOY196502:JPB196502 JYU196502:JYX196502 KIQ196502:KIT196502 KSM196502:KSP196502 LCI196502:LCL196502 LME196502:LMH196502 LWA196502:LWD196502 MFW196502:MFZ196502 MPS196502:MPV196502 MZO196502:MZR196502 NJK196502:NJN196502 NTG196502:NTJ196502 ODC196502:ODF196502 OMY196502:ONB196502 OWU196502:OWX196502 PGQ196502:PGT196502 PQM196502:PQP196502 QAI196502:QAL196502 QKE196502:QKH196502 QUA196502:QUD196502 RDW196502:RDZ196502 RNS196502:RNV196502 RXO196502:RXR196502 SHK196502:SHN196502 SRG196502:SRJ196502 TBC196502:TBF196502 TKY196502:TLB196502 TUU196502:TUX196502 UEQ196502:UET196502 UOM196502:UOP196502 UYI196502:UYL196502 VIE196502:VIH196502 VSA196502:VSD196502 WBW196502:WBZ196502 WLS196502:WLV196502 WVO196502:WVR196502 D262038:G262038 JC262038:JF262038 SY262038:TB262038 ACU262038:ACX262038 AMQ262038:AMT262038 AWM262038:AWP262038 BGI262038:BGL262038 BQE262038:BQH262038 CAA262038:CAD262038 CJW262038:CJZ262038 CTS262038:CTV262038 DDO262038:DDR262038 DNK262038:DNN262038 DXG262038:DXJ262038 EHC262038:EHF262038 EQY262038:ERB262038 FAU262038:FAX262038 FKQ262038:FKT262038 FUM262038:FUP262038 GEI262038:GEL262038 GOE262038:GOH262038 GYA262038:GYD262038 HHW262038:HHZ262038 HRS262038:HRV262038 IBO262038:IBR262038 ILK262038:ILN262038 IVG262038:IVJ262038 JFC262038:JFF262038 JOY262038:JPB262038 JYU262038:JYX262038 KIQ262038:KIT262038 KSM262038:KSP262038 LCI262038:LCL262038 LME262038:LMH262038 LWA262038:LWD262038 MFW262038:MFZ262038 MPS262038:MPV262038 MZO262038:MZR262038 NJK262038:NJN262038 NTG262038:NTJ262038 ODC262038:ODF262038 OMY262038:ONB262038 OWU262038:OWX262038 PGQ262038:PGT262038 PQM262038:PQP262038 QAI262038:QAL262038 QKE262038:QKH262038 QUA262038:QUD262038 RDW262038:RDZ262038 RNS262038:RNV262038 RXO262038:RXR262038 SHK262038:SHN262038 SRG262038:SRJ262038 TBC262038:TBF262038 TKY262038:TLB262038 TUU262038:TUX262038 UEQ262038:UET262038 UOM262038:UOP262038 UYI262038:UYL262038 VIE262038:VIH262038 VSA262038:VSD262038 WBW262038:WBZ262038 WLS262038:WLV262038 WVO262038:WVR262038 D327574:G327574 JC327574:JF327574 SY327574:TB327574 ACU327574:ACX327574 AMQ327574:AMT327574 AWM327574:AWP327574 BGI327574:BGL327574 BQE327574:BQH327574 CAA327574:CAD327574 CJW327574:CJZ327574 CTS327574:CTV327574 DDO327574:DDR327574 DNK327574:DNN327574 DXG327574:DXJ327574 EHC327574:EHF327574 EQY327574:ERB327574 FAU327574:FAX327574 FKQ327574:FKT327574 FUM327574:FUP327574 GEI327574:GEL327574 GOE327574:GOH327574 GYA327574:GYD327574 HHW327574:HHZ327574 HRS327574:HRV327574 IBO327574:IBR327574 ILK327574:ILN327574 IVG327574:IVJ327574 JFC327574:JFF327574 JOY327574:JPB327574 JYU327574:JYX327574 KIQ327574:KIT327574 KSM327574:KSP327574 LCI327574:LCL327574 LME327574:LMH327574 LWA327574:LWD327574 MFW327574:MFZ327574 MPS327574:MPV327574 MZO327574:MZR327574 NJK327574:NJN327574 NTG327574:NTJ327574 ODC327574:ODF327574 OMY327574:ONB327574 OWU327574:OWX327574 PGQ327574:PGT327574 PQM327574:PQP327574 QAI327574:QAL327574 QKE327574:QKH327574 QUA327574:QUD327574 RDW327574:RDZ327574 RNS327574:RNV327574 RXO327574:RXR327574 SHK327574:SHN327574 SRG327574:SRJ327574 TBC327574:TBF327574 TKY327574:TLB327574 TUU327574:TUX327574 UEQ327574:UET327574 UOM327574:UOP327574 UYI327574:UYL327574 VIE327574:VIH327574 VSA327574:VSD327574 WBW327574:WBZ327574 WLS327574:WLV327574 WVO327574:WVR327574 D393110:G393110 JC393110:JF393110 SY393110:TB393110 ACU393110:ACX393110 AMQ393110:AMT393110 AWM393110:AWP393110 BGI393110:BGL393110 BQE393110:BQH393110 CAA393110:CAD393110 CJW393110:CJZ393110 CTS393110:CTV393110 DDO393110:DDR393110 DNK393110:DNN393110 DXG393110:DXJ393110 EHC393110:EHF393110 EQY393110:ERB393110 FAU393110:FAX393110 FKQ393110:FKT393110 FUM393110:FUP393110 GEI393110:GEL393110 GOE393110:GOH393110 GYA393110:GYD393110 HHW393110:HHZ393110 HRS393110:HRV393110 IBO393110:IBR393110 ILK393110:ILN393110 IVG393110:IVJ393110 JFC393110:JFF393110 JOY393110:JPB393110 JYU393110:JYX393110 KIQ393110:KIT393110 KSM393110:KSP393110 LCI393110:LCL393110 LME393110:LMH393110 LWA393110:LWD393110 MFW393110:MFZ393110 MPS393110:MPV393110 MZO393110:MZR393110 NJK393110:NJN393110 NTG393110:NTJ393110 ODC393110:ODF393110 OMY393110:ONB393110 OWU393110:OWX393110 PGQ393110:PGT393110 PQM393110:PQP393110 QAI393110:QAL393110 QKE393110:QKH393110 QUA393110:QUD393110 RDW393110:RDZ393110 RNS393110:RNV393110 RXO393110:RXR393110 SHK393110:SHN393110 SRG393110:SRJ393110 TBC393110:TBF393110 TKY393110:TLB393110 TUU393110:TUX393110 UEQ393110:UET393110 UOM393110:UOP393110 UYI393110:UYL393110 VIE393110:VIH393110 VSA393110:VSD393110 WBW393110:WBZ393110 WLS393110:WLV393110 WVO393110:WVR393110 D458646:G458646 JC458646:JF458646 SY458646:TB458646 ACU458646:ACX458646 AMQ458646:AMT458646 AWM458646:AWP458646 BGI458646:BGL458646 BQE458646:BQH458646 CAA458646:CAD458646 CJW458646:CJZ458646 CTS458646:CTV458646 DDO458646:DDR458646 DNK458646:DNN458646 DXG458646:DXJ458646 EHC458646:EHF458646 EQY458646:ERB458646 FAU458646:FAX458646 FKQ458646:FKT458646 FUM458646:FUP458646 GEI458646:GEL458646 GOE458646:GOH458646 GYA458646:GYD458646 HHW458646:HHZ458646 HRS458646:HRV458646 IBO458646:IBR458646 ILK458646:ILN458646 IVG458646:IVJ458646 JFC458646:JFF458646 JOY458646:JPB458646 JYU458646:JYX458646 KIQ458646:KIT458646 KSM458646:KSP458646 LCI458646:LCL458646 LME458646:LMH458646 LWA458646:LWD458646 MFW458646:MFZ458646 MPS458646:MPV458646 MZO458646:MZR458646 NJK458646:NJN458646 NTG458646:NTJ458646 ODC458646:ODF458646 OMY458646:ONB458646 OWU458646:OWX458646 PGQ458646:PGT458646 PQM458646:PQP458646 QAI458646:QAL458646 QKE458646:QKH458646 QUA458646:QUD458646 RDW458646:RDZ458646 RNS458646:RNV458646 RXO458646:RXR458646 SHK458646:SHN458646 SRG458646:SRJ458646 TBC458646:TBF458646 TKY458646:TLB458646 TUU458646:TUX458646 UEQ458646:UET458646 UOM458646:UOP458646 UYI458646:UYL458646 VIE458646:VIH458646 VSA458646:VSD458646 WBW458646:WBZ458646 WLS458646:WLV458646 WVO458646:WVR458646 D524182:G524182 JC524182:JF524182 SY524182:TB524182 ACU524182:ACX524182 AMQ524182:AMT524182 AWM524182:AWP524182 BGI524182:BGL524182 BQE524182:BQH524182 CAA524182:CAD524182 CJW524182:CJZ524182 CTS524182:CTV524182 DDO524182:DDR524182 DNK524182:DNN524182 DXG524182:DXJ524182 EHC524182:EHF524182 EQY524182:ERB524182 FAU524182:FAX524182 FKQ524182:FKT524182 FUM524182:FUP524182 GEI524182:GEL524182 GOE524182:GOH524182 GYA524182:GYD524182 HHW524182:HHZ524182 HRS524182:HRV524182 IBO524182:IBR524182 ILK524182:ILN524182 IVG524182:IVJ524182 JFC524182:JFF524182 JOY524182:JPB524182 JYU524182:JYX524182 KIQ524182:KIT524182 KSM524182:KSP524182 LCI524182:LCL524182 LME524182:LMH524182 LWA524182:LWD524182 MFW524182:MFZ524182 MPS524182:MPV524182 MZO524182:MZR524182 NJK524182:NJN524182 NTG524182:NTJ524182 ODC524182:ODF524182 OMY524182:ONB524182 OWU524182:OWX524182 PGQ524182:PGT524182 PQM524182:PQP524182 QAI524182:QAL524182 QKE524182:QKH524182 QUA524182:QUD524182 RDW524182:RDZ524182 RNS524182:RNV524182 RXO524182:RXR524182 SHK524182:SHN524182 SRG524182:SRJ524182 TBC524182:TBF524182 TKY524182:TLB524182 TUU524182:TUX524182 UEQ524182:UET524182 UOM524182:UOP524182 UYI524182:UYL524182 VIE524182:VIH524182 VSA524182:VSD524182 WBW524182:WBZ524182 WLS524182:WLV524182 WVO524182:WVR524182 D589718:G589718 JC589718:JF589718 SY589718:TB589718 ACU589718:ACX589718 AMQ589718:AMT589718 AWM589718:AWP589718 BGI589718:BGL589718 BQE589718:BQH589718 CAA589718:CAD589718 CJW589718:CJZ589718 CTS589718:CTV589718 DDO589718:DDR589718 DNK589718:DNN589718 DXG589718:DXJ589718 EHC589718:EHF589718 EQY589718:ERB589718 FAU589718:FAX589718 FKQ589718:FKT589718 FUM589718:FUP589718 GEI589718:GEL589718 GOE589718:GOH589718 GYA589718:GYD589718 HHW589718:HHZ589718 HRS589718:HRV589718 IBO589718:IBR589718 ILK589718:ILN589718 IVG589718:IVJ589718 JFC589718:JFF589718 JOY589718:JPB589718 JYU589718:JYX589718 KIQ589718:KIT589718 KSM589718:KSP589718 LCI589718:LCL589718 LME589718:LMH589718 LWA589718:LWD589718 MFW589718:MFZ589718 MPS589718:MPV589718 MZO589718:MZR589718 NJK589718:NJN589718 NTG589718:NTJ589718 ODC589718:ODF589718 OMY589718:ONB589718 OWU589718:OWX589718 PGQ589718:PGT589718 PQM589718:PQP589718 QAI589718:QAL589718 QKE589718:QKH589718 QUA589718:QUD589718 RDW589718:RDZ589718 RNS589718:RNV589718 RXO589718:RXR589718 SHK589718:SHN589718 SRG589718:SRJ589718 TBC589718:TBF589718 TKY589718:TLB589718 TUU589718:TUX589718 UEQ589718:UET589718 UOM589718:UOP589718 UYI589718:UYL589718 VIE589718:VIH589718 VSA589718:VSD589718 WBW589718:WBZ589718 WLS589718:WLV589718 WVO589718:WVR589718 D655254:G655254 JC655254:JF655254 SY655254:TB655254 ACU655254:ACX655254 AMQ655254:AMT655254 AWM655254:AWP655254 BGI655254:BGL655254 BQE655254:BQH655254 CAA655254:CAD655254 CJW655254:CJZ655254 CTS655254:CTV655254 DDO655254:DDR655254 DNK655254:DNN655254 DXG655254:DXJ655254 EHC655254:EHF655254 EQY655254:ERB655254 FAU655254:FAX655254 FKQ655254:FKT655254 FUM655254:FUP655254 GEI655254:GEL655254 GOE655254:GOH655254 GYA655254:GYD655254 HHW655254:HHZ655254 HRS655254:HRV655254 IBO655254:IBR655254 ILK655254:ILN655254 IVG655254:IVJ655254 JFC655254:JFF655254 JOY655254:JPB655254 JYU655254:JYX655254 KIQ655254:KIT655254 KSM655254:KSP655254 LCI655254:LCL655254 LME655254:LMH655254 LWA655254:LWD655254 MFW655254:MFZ655254 MPS655254:MPV655254 MZO655254:MZR655254 NJK655254:NJN655254 NTG655254:NTJ655254 ODC655254:ODF655254 OMY655254:ONB655254 OWU655254:OWX655254 PGQ655254:PGT655254 PQM655254:PQP655254 QAI655254:QAL655254 QKE655254:QKH655254 QUA655254:QUD655254 RDW655254:RDZ655254 RNS655254:RNV655254 RXO655254:RXR655254 SHK655254:SHN655254 SRG655254:SRJ655254 TBC655254:TBF655254 TKY655254:TLB655254 TUU655254:TUX655254 UEQ655254:UET655254 UOM655254:UOP655254 UYI655254:UYL655254 VIE655254:VIH655254 VSA655254:VSD655254 WBW655254:WBZ655254 WLS655254:WLV655254 WVO655254:WVR655254 D720790:G720790 JC720790:JF720790 SY720790:TB720790 ACU720790:ACX720790 AMQ720790:AMT720790 AWM720790:AWP720790 BGI720790:BGL720790 BQE720790:BQH720790 CAA720790:CAD720790 CJW720790:CJZ720790 CTS720790:CTV720790 DDO720790:DDR720790 DNK720790:DNN720790 DXG720790:DXJ720790 EHC720790:EHF720790 EQY720790:ERB720790 FAU720790:FAX720790 FKQ720790:FKT720790 FUM720790:FUP720790 GEI720790:GEL720790 GOE720790:GOH720790 GYA720790:GYD720790 HHW720790:HHZ720790 HRS720790:HRV720790 IBO720790:IBR720790 ILK720790:ILN720790 IVG720790:IVJ720790 JFC720790:JFF720790 JOY720790:JPB720790 JYU720790:JYX720790 KIQ720790:KIT720790 KSM720790:KSP720790 LCI720790:LCL720790 LME720790:LMH720790 LWA720790:LWD720790 MFW720790:MFZ720790 MPS720790:MPV720790 MZO720790:MZR720790 NJK720790:NJN720790 NTG720790:NTJ720790 ODC720790:ODF720790 OMY720790:ONB720790 OWU720790:OWX720790 PGQ720790:PGT720790 PQM720790:PQP720790 QAI720790:QAL720790 QKE720790:QKH720790 QUA720790:QUD720790 RDW720790:RDZ720790 RNS720790:RNV720790 RXO720790:RXR720790 SHK720790:SHN720790 SRG720790:SRJ720790 TBC720790:TBF720790 TKY720790:TLB720790 TUU720790:TUX720790 UEQ720790:UET720790 UOM720790:UOP720790 UYI720790:UYL720790 VIE720790:VIH720790 VSA720790:VSD720790 WBW720790:WBZ720790 WLS720790:WLV720790 WVO720790:WVR720790 D786326:G786326 JC786326:JF786326 SY786326:TB786326 ACU786326:ACX786326 AMQ786326:AMT786326 AWM786326:AWP786326 BGI786326:BGL786326 BQE786326:BQH786326 CAA786326:CAD786326 CJW786326:CJZ786326 CTS786326:CTV786326 DDO786326:DDR786326 DNK786326:DNN786326 DXG786326:DXJ786326 EHC786326:EHF786326 EQY786326:ERB786326 FAU786326:FAX786326 FKQ786326:FKT786326 FUM786326:FUP786326 GEI786326:GEL786326 GOE786326:GOH786326 GYA786326:GYD786326 HHW786326:HHZ786326 HRS786326:HRV786326 IBO786326:IBR786326 ILK786326:ILN786326 IVG786326:IVJ786326 JFC786326:JFF786326 JOY786326:JPB786326 JYU786326:JYX786326 KIQ786326:KIT786326 KSM786326:KSP786326 LCI786326:LCL786326 LME786326:LMH786326 LWA786326:LWD786326 MFW786326:MFZ786326 MPS786326:MPV786326 MZO786326:MZR786326 NJK786326:NJN786326 NTG786326:NTJ786326 ODC786326:ODF786326 OMY786326:ONB786326 OWU786326:OWX786326 PGQ786326:PGT786326 PQM786326:PQP786326 QAI786326:QAL786326 QKE786326:QKH786326 QUA786326:QUD786326 RDW786326:RDZ786326 RNS786326:RNV786326 RXO786326:RXR786326 SHK786326:SHN786326 SRG786326:SRJ786326 TBC786326:TBF786326 TKY786326:TLB786326 TUU786326:TUX786326 UEQ786326:UET786326 UOM786326:UOP786326 UYI786326:UYL786326 VIE786326:VIH786326 VSA786326:VSD786326 WBW786326:WBZ786326 WLS786326:WLV786326 WVO786326:WVR786326 D851862:G851862 JC851862:JF851862 SY851862:TB851862 ACU851862:ACX851862 AMQ851862:AMT851862 AWM851862:AWP851862 BGI851862:BGL851862 BQE851862:BQH851862 CAA851862:CAD851862 CJW851862:CJZ851862 CTS851862:CTV851862 DDO851862:DDR851862 DNK851862:DNN851862 DXG851862:DXJ851862 EHC851862:EHF851862 EQY851862:ERB851862 FAU851862:FAX851862 FKQ851862:FKT851862 FUM851862:FUP851862 GEI851862:GEL851862 GOE851862:GOH851862 GYA851862:GYD851862 HHW851862:HHZ851862 HRS851862:HRV851862 IBO851862:IBR851862 ILK851862:ILN851862 IVG851862:IVJ851862 JFC851862:JFF851862 JOY851862:JPB851862 JYU851862:JYX851862 KIQ851862:KIT851862 KSM851862:KSP851862 LCI851862:LCL851862 LME851862:LMH851862 LWA851862:LWD851862 MFW851862:MFZ851862 MPS851862:MPV851862 MZO851862:MZR851862 NJK851862:NJN851862 NTG851862:NTJ851862 ODC851862:ODF851862 OMY851862:ONB851862 OWU851862:OWX851862 PGQ851862:PGT851862 PQM851862:PQP851862 QAI851862:QAL851862 QKE851862:QKH851862 QUA851862:QUD851862 RDW851862:RDZ851862 RNS851862:RNV851862 RXO851862:RXR851862 SHK851862:SHN851862 SRG851862:SRJ851862 TBC851862:TBF851862 TKY851862:TLB851862 TUU851862:TUX851862 UEQ851862:UET851862 UOM851862:UOP851862 UYI851862:UYL851862 VIE851862:VIH851862 VSA851862:VSD851862 WBW851862:WBZ851862 WLS851862:WLV851862 WVO851862:WVR851862 D917398:G917398 JC917398:JF917398 SY917398:TB917398 ACU917398:ACX917398 AMQ917398:AMT917398 AWM917398:AWP917398 BGI917398:BGL917398 BQE917398:BQH917398 CAA917398:CAD917398 CJW917398:CJZ917398 CTS917398:CTV917398 DDO917398:DDR917398 DNK917398:DNN917398 DXG917398:DXJ917398 EHC917398:EHF917398 EQY917398:ERB917398 FAU917398:FAX917398 FKQ917398:FKT917398 FUM917398:FUP917398 GEI917398:GEL917398 GOE917398:GOH917398 GYA917398:GYD917398 HHW917398:HHZ917398 HRS917398:HRV917398 IBO917398:IBR917398 ILK917398:ILN917398 IVG917398:IVJ917398 JFC917398:JFF917398 JOY917398:JPB917398 JYU917398:JYX917398 KIQ917398:KIT917398 KSM917398:KSP917398 LCI917398:LCL917398 LME917398:LMH917398 LWA917398:LWD917398 MFW917398:MFZ917398 MPS917398:MPV917398 MZO917398:MZR917398 NJK917398:NJN917398 NTG917398:NTJ917398 ODC917398:ODF917398 OMY917398:ONB917398 OWU917398:OWX917398 PGQ917398:PGT917398 PQM917398:PQP917398 QAI917398:QAL917398 QKE917398:QKH917398 QUA917398:QUD917398 RDW917398:RDZ917398 RNS917398:RNV917398 RXO917398:RXR917398 SHK917398:SHN917398 SRG917398:SRJ917398 TBC917398:TBF917398 TKY917398:TLB917398 TUU917398:TUX917398 UEQ917398:UET917398 UOM917398:UOP917398 UYI917398:UYL917398 VIE917398:VIH917398 VSA917398:VSD917398 WBW917398:WBZ917398 WLS917398:WLV917398 WVO917398:WVR917398 D982934:G982934 JC982934:JF982934 SY982934:TB982934 ACU982934:ACX982934 AMQ982934:AMT982934 AWM982934:AWP982934 BGI982934:BGL982934 BQE982934:BQH982934 CAA982934:CAD982934 CJW982934:CJZ982934 CTS982934:CTV982934 DDO982934:DDR982934 DNK982934:DNN982934 DXG982934:DXJ982934 EHC982934:EHF982934 EQY982934:ERB982934 FAU982934:FAX982934 FKQ982934:FKT982934 FUM982934:FUP982934 GEI982934:GEL982934 GOE982934:GOH982934 GYA982934:GYD982934 HHW982934:HHZ982934 HRS982934:HRV982934 IBO982934:IBR982934 ILK982934:ILN982934 IVG982934:IVJ982934 JFC982934:JFF982934 JOY982934:JPB982934 JYU982934:JYX982934 KIQ982934:KIT982934 KSM982934:KSP982934 LCI982934:LCL982934 LME982934:LMH982934 LWA982934:LWD982934 MFW982934:MFZ982934 MPS982934:MPV982934 MZO982934:MZR982934 NJK982934:NJN982934 NTG982934:NTJ982934 ODC982934:ODF982934 OMY982934:ONB982934 OWU982934:OWX982934 PGQ982934:PGT982934 PQM982934:PQP982934 QAI982934:QAL982934 QKE982934:QKH982934 QUA982934:QUD982934 RDW982934:RDZ982934 RNS982934:RNV982934 RXO982934:RXR982934 SHK982934:SHN982934 SRG982934:SRJ982934 TBC982934:TBF982934 TKY982934:TLB982934 TUU982934:TUX982934 UEQ982934:UET982934 UOM982934:UOP982934 UYI982934:UYL982934 VIE982934:VIH982934 VSA982934:VSD982934 WBW982934:WBZ982934 WLS982934:WLV982934 WVO982934:WVR982934 O65426:O65428 JN65426:JN65428 TJ65426:TJ65428 ADF65426:ADF65428 ANB65426:ANB65428 AWX65426:AWX65428 BGT65426:BGT65428 BQP65426:BQP65428 CAL65426:CAL65428 CKH65426:CKH65428 CUD65426:CUD65428 DDZ65426:DDZ65428 DNV65426:DNV65428 DXR65426:DXR65428 EHN65426:EHN65428 ERJ65426:ERJ65428 FBF65426:FBF65428 FLB65426:FLB65428 FUX65426:FUX65428 GET65426:GET65428 GOP65426:GOP65428 GYL65426:GYL65428 HIH65426:HIH65428 HSD65426:HSD65428 IBZ65426:IBZ65428 ILV65426:ILV65428 IVR65426:IVR65428 JFN65426:JFN65428 JPJ65426:JPJ65428 JZF65426:JZF65428 KJB65426:KJB65428 KSX65426:KSX65428 LCT65426:LCT65428 LMP65426:LMP65428 LWL65426:LWL65428 MGH65426:MGH65428 MQD65426:MQD65428 MZZ65426:MZZ65428 NJV65426:NJV65428 NTR65426:NTR65428 ODN65426:ODN65428 ONJ65426:ONJ65428 OXF65426:OXF65428 PHB65426:PHB65428 PQX65426:PQX65428 QAT65426:QAT65428 QKP65426:QKP65428 QUL65426:QUL65428 REH65426:REH65428 ROD65426:ROD65428 RXZ65426:RXZ65428 SHV65426:SHV65428 SRR65426:SRR65428 TBN65426:TBN65428 TLJ65426:TLJ65428 TVF65426:TVF65428 UFB65426:UFB65428 UOX65426:UOX65428 UYT65426:UYT65428 VIP65426:VIP65428 VSL65426:VSL65428 WCH65426:WCH65428 WMD65426:WMD65428 WVZ65426:WVZ65428 O130962:O130964 JN130962:JN130964 TJ130962:TJ130964 ADF130962:ADF130964 ANB130962:ANB130964 AWX130962:AWX130964 BGT130962:BGT130964 BQP130962:BQP130964 CAL130962:CAL130964 CKH130962:CKH130964 CUD130962:CUD130964 DDZ130962:DDZ130964 DNV130962:DNV130964 DXR130962:DXR130964 EHN130962:EHN130964 ERJ130962:ERJ130964 FBF130962:FBF130964 FLB130962:FLB130964 FUX130962:FUX130964 GET130962:GET130964 GOP130962:GOP130964 GYL130962:GYL130964 HIH130962:HIH130964 HSD130962:HSD130964 IBZ130962:IBZ130964 ILV130962:ILV130964 IVR130962:IVR130964 JFN130962:JFN130964 JPJ130962:JPJ130964 JZF130962:JZF130964 KJB130962:KJB130964 KSX130962:KSX130964 LCT130962:LCT130964 LMP130962:LMP130964 LWL130962:LWL130964 MGH130962:MGH130964 MQD130962:MQD130964 MZZ130962:MZZ130964 NJV130962:NJV130964 NTR130962:NTR130964 ODN130962:ODN130964 ONJ130962:ONJ130964 OXF130962:OXF130964 PHB130962:PHB130964 PQX130962:PQX130964 QAT130962:QAT130964 QKP130962:QKP130964 QUL130962:QUL130964 REH130962:REH130964 ROD130962:ROD130964 RXZ130962:RXZ130964 SHV130962:SHV130964 SRR130962:SRR130964 TBN130962:TBN130964 TLJ130962:TLJ130964 TVF130962:TVF130964 UFB130962:UFB130964 UOX130962:UOX130964 UYT130962:UYT130964 VIP130962:VIP130964 VSL130962:VSL130964 WCH130962:WCH130964 WMD130962:WMD130964 WVZ130962:WVZ130964 O196498:O196500 JN196498:JN196500 TJ196498:TJ196500 ADF196498:ADF196500 ANB196498:ANB196500 AWX196498:AWX196500 BGT196498:BGT196500 BQP196498:BQP196500 CAL196498:CAL196500 CKH196498:CKH196500 CUD196498:CUD196500 DDZ196498:DDZ196500 DNV196498:DNV196500 DXR196498:DXR196500 EHN196498:EHN196500 ERJ196498:ERJ196500 FBF196498:FBF196500 FLB196498:FLB196500 FUX196498:FUX196500 GET196498:GET196500 GOP196498:GOP196500 GYL196498:GYL196500 HIH196498:HIH196500 HSD196498:HSD196500 IBZ196498:IBZ196500 ILV196498:ILV196500 IVR196498:IVR196500 JFN196498:JFN196500 JPJ196498:JPJ196500 JZF196498:JZF196500 KJB196498:KJB196500 KSX196498:KSX196500 LCT196498:LCT196500 LMP196498:LMP196500 LWL196498:LWL196500 MGH196498:MGH196500 MQD196498:MQD196500 MZZ196498:MZZ196500 NJV196498:NJV196500 NTR196498:NTR196500 ODN196498:ODN196500 ONJ196498:ONJ196500 OXF196498:OXF196500 PHB196498:PHB196500 PQX196498:PQX196500 QAT196498:QAT196500 QKP196498:QKP196500 QUL196498:QUL196500 REH196498:REH196500 ROD196498:ROD196500 RXZ196498:RXZ196500 SHV196498:SHV196500 SRR196498:SRR196500 TBN196498:TBN196500 TLJ196498:TLJ196500 TVF196498:TVF196500 UFB196498:UFB196500 UOX196498:UOX196500 UYT196498:UYT196500 VIP196498:VIP196500 VSL196498:VSL196500 WCH196498:WCH196500 WMD196498:WMD196500 WVZ196498:WVZ196500 O262034:O262036 JN262034:JN262036 TJ262034:TJ262036 ADF262034:ADF262036 ANB262034:ANB262036 AWX262034:AWX262036 BGT262034:BGT262036 BQP262034:BQP262036 CAL262034:CAL262036 CKH262034:CKH262036 CUD262034:CUD262036 DDZ262034:DDZ262036 DNV262034:DNV262036 DXR262034:DXR262036 EHN262034:EHN262036 ERJ262034:ERJ262036 FBF262034:FBF262036 FLB262034:FLB262036 FUX262034:FUX262036 GET262034:GET262036 GOP262034:GOP262036 GYL262034:GYL262036 HIH262034:HIH262036 HSD262034:HSD262036 IBZ262034:IBZ262036 ILV262034:ILV262036 IVR262034:IVR262036 JFN262034:JFN262036 JPJ262034:JPJ262036 JZF262034:JZF262036 KJB262034:KJB262036 KSX262034:KSX262036 LCT262034:LCT262036 LMP262034:LMP262036 LWL262034:LWL262036 MGH262034:MGH262036 MQD262034:MQD262036 MZZ262034:MZZ262036 NJV262034:NJV262036 NTR262034:NTR262036 ODN262034:ODN262036 ONJ262034:ONJ262036 OXF262034:OXF262036 PHB262034:PHB262036 PQX262034:PQX262036 QAT262034:QAT262036 QKP262034:QKP262036 QUL262034:QUL262036 REH262034:REH262036 ROD262034:ROD262036 RXZ262034:RXZ262036 SHV262034:SHV262036 SRR262034:SRR262036 TBN262034:TBN262036 TLJ262034:TLJ262036 TVF262034:TVF262036 UFB262034:UFB262036 UOX262034:UOX262036 UYT262034:UYT262036 VIP262034:VIP262036 VSL262034:VSL262036 WCH262034:WCH262036 WMD262034:WMD262036 WVZ262034:WVZ262036 O327570:O327572 JN327570:JN327572 TJ327570:TJ327572 ADF327570:ADF327572 ANB327570:ANB327572 AWX327570:AWX327572 BGT327570:BGT327572 BQP327570:BQP327572 CAL327570:CAL327572 CKH327570:CKH327572 CUD327570:CUD327572 DDZ327570:DDZ327572 DNV327570:DNV327572 DXR327570:DXR327572 EHN327570:EHN327572 ERJ327570:ERJ327572 FBF327570:FBF327572 FLB327570:FLB327572 FUX327570:FUX327572 GET327570:GET327572 GOP327570:GOP327572 GYL327570:GYL327572 HIH327570:HIH327572 HSD327570:HSD327572 IBZ327570:IBZ327572 ILV327570:ILV327572 IVR327570:IVR327572 JFN327570:JFN327572 JPJ327570:JPJ327572 JZF327570:JZF327572 KJB327570:KJB327572 KSX327570:KSX327572 LCT327570:LCT327572 LMP327570:LMP327572 LWL327570:LWL327572 MGH327570:MGH327572 MQD327570:MQD327572 MZZ327570:MZZ327572 NJV327570:NJV327572 NTR327570:NTR327572 ODN327570:ODN327572 ONJ327570:ONJ327572 OXF327570:OXF327572 PHB327570:PHB327572 PQX327570:PQX327572 QAT327570:QAT327572 QKP327570:QKP327572 QUL327570:QUL327572 REH327570:REH327572 ROD327570:ROD327572 RXZ327570:RXZ327572 SHV327570:SHV327572 SRR327570:SRR327572 TBN327570:TBN327572 TLJ327570:TLJ327572 TVF327570:TVF327572 UFB327570:UFB327572 UOX327570:UOX327572 UYT327570:UYT327572 VIP327570:VIP327572 VSL327570:VSL327572 WCH327570:WCH327572 WMD327570:WMD327572 WVZ327570:WVZ327572 O393106:O393108 JN393106:JN393108 TJ393106:TJ393108 ADF393106:ADF393108 ANB393106:ANB393108 AWX393106:AWX393108 BGT393106:BGT393108 BQP393106:BQP393108 CAL393106:CAL393108 CKH393106:CKH393108 CUD393106:CUD393108 DDZ393106:DDZ393108 DNV393106:DNV393108 DXR393106:DXR393108 EHN393106:EHN393108 ERJ393106:ERJ393108 FBF393106:FBF393108 FLB393106:FLB393108 FUX393106:FUX393108 GET393106:GET393108 GOP393106:GOP393108 GYL393106:GYL393108 HIH393106:HIH393108 HSD393106:HSD393108 IBZ393106:IBZ393108 ILV393106:ILV393108 IVR393106:IVR393108 JFN393106:JFN393108 JPJ393106:JPJ393108 JZF393106:JZF393108 KJB393106:KJB393108 KSX393106:KSX393108 LCT393106:LCT393108 LMP393106:LMP393108 LWL393106:LWL393108 MGH393106:MGH393108 MQD393106:MQD393108 MZZ393106:MZZ393108 NJV393106:NJV393108 NTR393106:NTR393108 ODN393106:ODN393108 ONJ393106:ONJ393108 OXF393106:OXF393108 PHB393106:PHB393108 PQX393106:PQX393108 QAT393106:QAT393108 QKP393106:QKP393108 QUL393106:QUL393108 REH393106:REH393108 ROD393106:ROD393108 RXZ393106:RXZ393108 SHV393106:SHV393108 SRR393106:SRR393108 TBN393106:TBN393108 TLJ393106:TLJ393108 TVF393106:TVF393108 UFB393106:UFB393108 UOX393106:UOX393108 UYT393106:UYT393108 VIP393106:VIP393108 VSL393106:VSL393108 WCH393106:WCH393108 WMD393106:WMD393108 WVZ393106:WVZ393108 O458642:O458644 JN458642:JN458644 TJ458642:TJ458644 ADF458642:ADF458644 ANB458642:ANB458644 AWX458642:AWX458644 BGT458642:BGT458644 BQP458642:BQP458644 CAL458642:CAL458644 CKH458642:CKH458644 CUD458642:CUD458644 DDZ458642:DDZ458644 DNV458642:DNV458644 DXR458642:DXR458644 EHN458642:EHN458644 ERJ458642:ERJ458644 FBF458642:FBF458644 FLB458642:FLB458644 FUX458642:FUX458644 GET458642:GET458644 GOP458642:GOP458644 GYL458642:GYL458644 HIH458642:HIH458644 HSD458642:HSD458644 IBZ458642:IBZ458644 ILV458642:ILV458644 IVR458642:IVR458644 JFN458642:JFN458644 JPJ458642:JPJ458644 JZF458642:JZF458644 KJB458642:KJB458644 KSX458642:KSX458644 LCT458642:LCT458644 LMP458642:LMP458644 LWL458642:LWL458644 MGH458642:MGH458644 MQD458642:MQD458644 MZZ458642:MZZ458644 NJV458642:NJV458644 NTR458642:NTR458644 ODN458642:ODN458644 ONJ458642:ONJ458644 OXF458642:OXF458644 PHB458642:PHB458644 PQX458642:PQX458644 QAT458642:QAT458644 QKP458642:QKP458644 QUL458642:QUL458644 REH458642:REH458644 ROD458642:ROD458644 RXZ458642:RXZ458644 SHV458642:SHV458644 SRR458642:SRR458644 TBN458642:TBN458644 TLJ458642:TLJ458644 TVF458642:TVF458644 UFB458642:UFB458644 UOX458642:UOX458644 UYT458642:UYT458644 VIP458642:VIP458644 VSL458642:VSL458644 WCH458642:WCH458644 WMD458642:WMD458644 WVZ458642:WVZ458644 O524178:O524180 JN524178:JN524180 TJ524178:TJ524180 ADF524178:ADF524180 ANB524178:ANB524180 AWX524178:AWX524180 BGT524178:BGT524180 BQP524178:BQP524180 CAL524178:CAL524180 CKH524178:CKH524180 CUD524178:CUD524180 DDZ524178:DDZ524180 DNV524178:DNV524180 DXR524178:DXR524180 EHN524178:EHN524180 ERJ524178:ERJ524180 FBF524178:FBF524180 FLB524178:FLB524180 FUX524178:FUX524180 GET524178:GET524180 GOP524178:GOP524180 GYL524178:GYL524180 HIH524178:HIH524180 HSD524178:HSD524180 IBZ524178:IBZ524180 ILV524178:ILV524180 IVR524178:IVR524180 JFN524178:JFN524180 JPJ524178:JPJ524180 JZF524178:JZF524180 KJB524178:KJB524180 KSX524178:KSX524180 LCT524178:LCT524180 LMP524178:LMP524180 LWL524178:LWL524180 MGH524178:MGH524180 MQD524178:MQD524180 MZZ524178:MZZ524180 NJV524178:NJV524180 NTR524178:NTR524180 ODN524178:ODN524180 ONJ524178:ONJ524180 OXF524178:OXF524180 PHB524178:PHB524180 PQX524178:PQX524180 QAT524178:QAT524180 QKP524178:QKP524180 QUL524178:QUL524180 REH524178:REH524180 ROD524178:ROD524180 RXZ524178:RXZ524180 SHV524178:SHV524180 SRR524178:SRR524180 TBN524178:TBN524180 TLJ524178:TLJ524180 TVF524178:TVF524180 UFB524178:UFB524180 UOX524178:UOX524180 UYT524178:UYT524180 VIP524178:VIP524180 VSL524178:VSL524180 WCH524178:WCH524180 WMD524178:WMD524180 WVZ524178:WVZ524180 O589714:O589716 JN589714:JN589716 TJ589714:TJ589716 ADF589714:ADF589716 ANB589714:ANB589716 AWX589714:AWX589716 BGT589714:BGT589716 BQP589714:BQP589716 CAL589714:CAL589716 CKH589714:CKH589716 CUD589714:CUD589716 DDZ589714:DDZ589716 DNV589714:DNV589716 DXR589714:DXR589716 EHN589714:EHN589716 ERJ589714:ERJ589716 FBF589714:FBF589716 FLB589714:FLB589716 FUX589714:FUX589716 GET589714:GET589716 GOP589714:GOP589716 GYL589714:GYL589716 HIH589714:HIH589716 HSD589714:HSD589716 IBZ589714:IBZ589716 ILV589714:ILV589716 IVR589714:IVR589716 JFN589714:JFN589716 JPJ589714:JPJ589716 JZF589714:JZF589716 KJB589714:KJB589716 KSX589714:KSX589716 LCT589714:LCT589716 LMP589714:LMP589716 LWL589714:LWL589716 MGH589714:MGH589716 MQD589714:MQD589716 MZZ589714:MZZ589716 NJV589714:NJV589716 NTR589714:NTR589716 ODN589714:ODN589716 ONJ589714:ONJ589716 OXF589714:OXF589716 PHB589714:PHB589716 PQX589714:PQX589716 QAT589714:QAT589716 QKP589714:QKP589716 QUL589714:QUL589716 REH589714:REH589716 ROD589714:ROD589716 RXZ589714:RXZ589716 SHV589714:SHV589716 SRR589714:SRR589716 TBN589714:TBN589716 TLJ589714:TLJ589716 TVF589714:TVF589716 UFB589714:UFB589716 UOX589714:UOX589716 UYT589714:UYT589716 VIP589714:VIP589716 VSL589714:VSL589716 WCH589714:WCH589716 WMD589714:WMD589716 WVZ589714:WVZ589716 O655250:O655252 JN655250:JN655252 TJ655250:TJ655252 ADF655250:ADF655252 ANB655250:ANB655252 AWX655250:AWX655252 BGT655250:BGT655252 BQP655250:BQP655252 CAL655250:CAL655252 CKH655250:CKH655252 CUD655250:CUD655252 DDZ655250:DDZ655252 DNV655250:DNV655252 DXR655250:DXR655252 EHN655250:EHN655252 ERJ655250:ERJ655252 FBF655250:FBF655252 FLB655250:FLB655252 FUX655250:FUX655252 GET655250:GET655252 GOP655250:GOP655252 GYL655250:GYL655252 HIH655250:HIH655252 HSD655250:HSD655252 IBZ655250:IBZ655252 ILV655250:ILV655252 IVR655250:IVR655252 JFN655250:JFN655252 JPJ655250:JPJ655252 JZF655250:JZF655252 KJB655250:KJB655252 KSX655250:KSX655252 LCT655250:LCT655252 LMP655250:LMP655252 LWL655250:LWL655252 MGH655250:MGH655252 MQD655250:MQD655252 MZZ655250:MZZ655252 NJV655250:NJV655252 NTR655250:NTR655252 ODN655250:ODN655252 ONJ655250:ONJ655252 OXF655250:OXF655252 PHB655250:PHB655252 PQX655250:PQX655252 QAT655250:QAT655252 QKP655250:QKP655252 QUL655250:QUL655252 REH655250:REH655252 ROD655250:ROD655252 RXZ655250:RXZ655252 SHV655250:SHV655252 SRR655250:SRR655252 TBN655250:TBN655252 TLJ655250:TLJ655252 TVF655250:TVF655252 UFB655250:UFB655252 UOX655250:UOX655252 UYT655250:UYT655252 VIP655250:VIP655252 VSL655250:VSL655252 WCH655250:WCH655252 WMD655250:WMD655252 WVZ655250:WVZ655252 O720786:O720788 JN720786:JN720788 TJ720786:TJ720788 ADF720786:ADF720788 ANB720786:ANB720788 AWX720786:AWX720788 BGT720786:BGT720788 BQP720786:BQP720788 CAL720786:CAL720788 CKH720786:CKH720788 CUD720786:CUD720788 DDZ720786:DDZ720788 DNV720786:DNV720788 DXR720786:DXR720788 EHN720786:EHN720788 ERJ720786:ERJ720788 FBF720786:FBF720788 FLB720786:FLB720788 FUX720786:FUX720788 GET720786:GET720788 GOP720786:GOP720788 GYL720786:GYL720788 HIH720786:HIH720788 HSD720786:HSD720788 IBZ720786:IBZ720788 ILV720786:ILV720788 IVR720786:IVR720788 JFN720786:JFN720788 JPJ720786:JPJ720788 JZF720786:JZF720788 KJB720786:KJB720788 KSX720786:KSX720788 LCT720786:LCT720788 LMP720786:LMP720788 LWL720786:LWL720788 MGH720786:MGH720788 MQD720786:MQD720788 MZZ720786:MZZ720788 NJV720786:NJV720788 NTR720786:NTR720788 ODN720786:ODN720788 ONJ720786:ONJ720788 OXF720786:OXF720788 PHB720786:PHB720788 PQX720786:PQX720788 QAT720786:QAT720788 QKP720786:QKP720788 QUL720786:QUL720788 REH720786:REH720788 ROD720786:ROD720788 RXZ720786:RXZ720788 SHV720786:SHV720788 SRR720786:SRR720788 TBN720786:TBN720788 TLJ720786:TLJ720788 TVF720786:TVF720788 UFB720786:UFB720788 UOX720786:UOX720788 UYT720786:UYT720788 VIP720786:VIP720788 VSL720786:VSL720788 WCH720786:WCH720788 WMD720786:WMD720788 WVZ720786:WVZ720788 O786322:O786324 JN786322:JN786324 TJ786322:TJ786324 ADF786322:ADF786324 ANB786322:ANB786324 AWX786322:AWX786324 BGT786322:BGT786324 BQP786322:BQP786324 CAL786322:CAL786324 CKH786322:CKH786324 CUD786322:CUD786324 DDZ786322:DDZ786324 DNV786322:DNV786324 DXR786322:DXR786324 EHN786322:EHN786324 ERJ786322:ERJ786324 FBF786322:FBF786324 FLB786322:FLB786324 FUX786322:FUX786324 GET786322:GET786324 GOP786322:GOP786324 GYL786322:GYL786324 HIH786322:HIH786324 HSD786322:HSD786324 IBZ786322:IBZ786324 ILV786322:ILV786324 IVR786322:IVR786324 JFN786322:JFN786324 JPJ786322:JPJ786324 JZF786322:JZF786324 KJB786322:KJB786324 KSX786322:KSX786324 LCT786322:LCT786324 LMP786322:LMP786324 LWL786322:LWL786324 MGH786322:MGH786324 MQD786322:MQD786324 MZZ786322:MZZ786324 NJV786322:NJV786324 NTR786322:NTR786324 ODN786322:ODN786324 ONJ786322:ONJ786324 OXF786322:OXF786324 PHB786322:PHB786324 PQX786322:PQX786324 QAT786322:QAT786324 QKP786322:QKP786324 QUL786322:QUL786324 REH786322:REH786324 ROD786322:ROD786324 RXZ786322:RXZ786324 SHV786322:SHV786324 SRR786322:SRR786324 TBN786322:TBN786324 TLJ786322:TLJ786324 TVF786322:TVF786324 UFB786322:UFB786324 UOX786322:UOX786324 UYT786322:UYT786324 VIP786322:VIP786324 VSL786322:VSL786324 WCH786322:WCH786324 WMD786322:WMD786324 WVZ786322:WVZ786324 O851858:O851860 JN851858:JN851860 TJ851858:TJ851860 ADF851858:ADF851860 ANB851858:ANB851860 AWX851858:AWX851860 BGT851858:BGT851860 BQP851858:BQP851860 CAL851858:CAL851860 CKH851858:CKH851860 CUD851858:CUD851860 DDZ851858:DDZ851860 DNV851858:DNV851860 DXR851858:DXR851860 EHN851858:EHN851860 ERJ851858:ERJ851860 FBF851858:FBF851860 FLB851858:FLB851860 FUX851858:FUX851860 GET851858:GET851860 GOP851858:GOP851860 GYL851858:GYL851860 HIH851858:HIH851860 HSD851858:HSD851860 IBZ851858:IBZ851860 ILV851858:ILV851860 IVR851858:IVR851860 JFN851858:JFN851860 JPJ851858:JPJ851860 JZF851858:JZF851860 KJB851858:KJB851860 KSX851858:KSX851860 LCT851858:LCT851860 LMP851858:LMP851860 LWL851858:LWL851860 MGH851858:MGH851860 MQD851858:MQD851860 MZZ851858:MZZ851860 NJV851858:NJV851860 NTR851858:NTR851860 ODN851858:ODN851860 ONJ851858:ONJ851860 OXF851858:OXF851860 PHB851858:PHB851860 PQX851858:PQX851860 QAT851858:QAT851860 QKP851858:QKP851860 QUL851858:QUL851860 REH851858:REH851860 ROD851858:ROD851860 RXZ851858:RXZ851860 SHV851858:SHV851860 SRR851858:SRR851860 TBN851858:TBN851860 TLJ851858:TLJ851860 TVF851858:TVF851860 UFB851858:UFB851860 UOX851858:UOX851860 UYT851858:UYT851860 VIP851858:VIP851860 VSL851858:VSL851860 WCH851858:WCH851860 WMD851858:WMD851860 WVZ851858:WVZ851860 O917394:O917396 JN917394:JN917396 TJ917394:TJ917396 ADF917394:ADF917396 ANB917394:ANB917396 AWX917394:AWX917396 BGT917394:BGT917396 BQP917394:BQP917396 CAL917394:CAL917396 CKH917394:CKH917396 CUD917394:CUD917396 DDZ917394:DDZ917396 DNV917394:DNV917396 DXR917394:DXR917396 EHN917394:EHN917396 ERJ917394:ERJ917396 FBF917394:FBF917396 FLB917394:FLB917396 FUX917394:FUX917396 GET917394:GET917396 GOP917394:GOP917396 GYL917394:GYL917396 HIH917394:HIH917396 HSD917394:HSD917396 IBZ917394:IBZ917396 ILV917394:ILV917396 IVR917394:IVR917396 JFN917394:JFN917396 JPJ917394:JPJ917396 JZF917394:JZF917396 KJB917394:KJB917396 KSX917394:KSX917396 LCT917394:LCT917396 LMP917394:LMP917396 LWL917394:LWL917396 MGH917394:MGH917396 MQD917394:MQD917396 MZZ917394:MZZ917396 NJV917394:NJV917396 NTR917394:NTR917396 ODN917394:ODN917396 ONJ917394:ONJ917396 OXF917394:OXF917396 PHB917394:PHB917396 PQX917394:PQX917396 QAT917394:QAT917396 QKP917394:QKP917396 QUL917394:QUL917396 REH917394:REH917396 ROD917394:ROD917396 RXZ917394:RXZ917396 SHV917394:SHV917396 SRR917394:SRR917396 TBN917394:TBN917396 TLJ917394:TLJ917396 TVF917394:TVF917396 UFB917394:UFB917396 UOX917394:UOX917396 UYT917394:UYT917396 VIP917394:VIP917396 VSL917394:VSL917396 WCH917394:WCH917396 WMD917394:WMD917396 WVZ917394:WVZ917396 O982930:O982932 JN982930:JN982932 TJ982930:TJ982932 ADF982930:ADF982932 ANB982930:ANB982932 AWX982930:AWX982932 BGT982930:BGT982932 BQP982930:BQP982932 CAL982930:CAL982932 CKH982930:CKH982932 CUD982930:CUD982932 DDZ982930:DDZ982932 DNV982930:DNV982932 DXR982930:DXR982932 EHN982930:EHN982932 ERJ982930:ERJ982932 FBF982930:FBF982932 FLB982930:FLB982932 FUX982930:FUX982932 GET982930:GET982932 GOP982930:GOP982932 GYL982930:GYL982932 HIH982930:HIH982932 HSD982930:HSD982932 IBZ982930:IBZ982932 ILV982930:ILV982932 IVR982930:IVR982932 JFN982930:JFN982932 JPJ982930:JPJ982932 JZF982930:JZF982932 KJB982930:KJB982932 KSX982930:KSX982932 LCT982930:LCT982932 LMP982930:LMP982932 LWL982930:LWL982932 MGH982930:MGH982932 MQD982930:MQD982932 MZZ982930:MZZ982932 NJV982930:NJV982932 NTR982930:NTR982932 ODN982930:ODN982932 ONJ982930:ONJ982932 OXF982930:OXF982932 PHB982930:PHB982932 PQX982930:PQX982932 QAT982930:QAT982932 QKP982930:QKP982932 QUL982930:QUL982932 REH982930:REH982932 ROD982930:ROD982932 RXZ982930:RXZ982932 SHV982930:SHV982932 SRR982930:SRR982932 TBN982930:TBN982932 TLJ982930:TLJ982932 TVF982930:TVF982932 UFB982930:UFB982932 UOX982930:UOX982932 UYT982930:UYT982932 VIP982930:VIP982932 VSL982930:VSL982932 WCH982930:WCH982932 WMD982930:WMD982932 WVZ982930:WVZ982932 D65426:D65429 JC65426:JC65429 SY65426:SY65429 ACU65426:ACU65429 AMQ65426:AMQ65429 AWM65426:AWM65429 BGI65426:BGI65429 BQE65426:BQE65429 CAA65426:CAA65429 CJW65426:CJW65429 CTS65426:CTS65429 DDO65426:DDO65429 DNK65426:DNK65429 DXG65426:DXG65429 EHC65426:EHC65429 EQY65426:EQY65429 FAU65426:FAU65429 FKQ65426:FKQ65429 FUM65426:FUM65429 GEI65426:GEI65429 GOE65426:GOE65429 GYA65426:GYA65429 HHW65426:HHW65429 HRS65426:HRS65429 IBO65426:IBO65429 ILK65426:ILK65429 IVG65426:IVG65429 JFC65426:JFC65429 JOY65426:JOY65429 JYU65426:JYU65429 KIQ65426:KIQ65429 KSM65426:KSM65429 LCI65426:LCI65429 LME65426:LME65429 LWA65426:LWA65429 MFW65426:MFW65429 MPS65426:MPS65429 MZO65426:MZO65429 NJK65426:NJK65429 NTG65426:NTG65429 ODC65426:ODC65429 OMY65426:OMY65429 OWU65426:OWU65429 PGQ65426:PGQ65429 PQM65426:PQM65429 QAI65426:QAI65429 QKE65426:QKE65429 QUA65426:QUA65429 RDW65426:RDW65429 RNS65426:RNS65429 RXO65426:RXO65429 SHK65426:SHK65429 SRG65426:SRG65429 TBC65426:TBC65429 TKY65426:TKY65429 TUU65426:TUU65429 UEQ65426:UEQ65429 UOM65426:UOM65429 UYI65426:UYI65429 VIE65426:VIE65429 VSA65426:VSA65429 WBW65426:WBW65429 WLS65426:WLS65429 WVO65426:WVO65429 D130962:D130965 JC130962:JC130965 SY130962:SY130965 ACU130962:ACU130965 AMQ130962:AMQ130965 AWM130962:AWM130965 BGI130962:BGI130965 BQE130962:BQE130965 CAA130962:CAA130965 CJW130962:CJW130965 CTS130962:CTS130965 DDO130962:DDO130965 DNK130962:DNK130965 DXG130962:DXG130965 EHC130962:EHC130965 EQY130962:EQY130965 FAU130962:FAU130965 FKQ130962:FKQ130965 FUM130962:FUM130965 GEI130962:GEI130965 GOE130962:GOE130965 GYA130962:GYA130965 HHW130962:HHW130965 HRS130962:HRS130965 IBO130962:IBO130965 ILK130962:ILK130965 IVG130962:IVG130965 JFC130962:JFC130965 JOY130962:JOY130965 JYU130962:JYU130965 KIQ130962:KIQ130965 KSM130962:KSM130965 LCI130962:LCI130965 LME130962:LME130965 LWA130962:LWA130965 MFW130962:MFW130965 MPS130962:MPS130965 MZO130962:MZO130965 NJK130962:NJK130965 NTG130962:NTG130965 ODC130962:ODC130965 OMY130962:OMY130965 OWU130962:OWU130965 PGQ130962:PGQ130965 PQM130962:PQM130965 QAI130962:QAI130965 QKE130962:QKE130965 QUA130962:QUA130965 RDW130962:RDW130965 RNS130962:RNS130965 RXO130962:RXO130965 SHK130962:SHK130965 SRG130962:SRG130965 TBC130962:TBC130965 TKY130962:TKY130965 TUU130962:TUU130965 UEQ130962:UEQ130965 UOM130962:UOM130965 UYI130962:UYI130965 VIE130962:VIE130965 VSA130962:VSA130965 WBW130962:WBW130965 WLS130962:WLS130965 WVO130962:WVO130965 D196498:D196501 JC196498:JC196501 SY196498:SY196501 ACU196498:ACU196501 AMQ196498:AMQ196501 AWM196498:AWM196501 BGI196498:BGI196501 BQE196498:BQE196501 CAA196498:CAA196501 CJW196498:CJW196501 CTS196498:CTS196501 DDO196498:DDO196501 DNK196498:DNK196501 DXG196498:DXG196501 EHC196498:EHC196501 EQY196498:EQY196501 FAU196498:FAU196501 FKQ196498:FKQ196501 FUM196498:FUM196501 GEI196498:GEI196501 GOE196498:GOE196501 GYA196498:GYA196501 HHW196498:HHW196501 HRS196498:HRS196501 IBO196498:IBO196501 ILK196498:ILK196501 IVG196498:IVG196501 JFC196498:JFC196501 JOY196498:JOY196501 JYU196498:JYU196501 KIQ196498:KIQ196501 KSM196498:KSM196501 LCI196498:LCI196501 LME196498:LME196501 LWA196498:LWA196501 MFW196498:MFW196501 MPS196498:MPS196501 MZO196498:MZO196501 NJK196498:NJK196501 NTG196498:NTG196501 ODC196498:ODC196501 OMY196498:OMY196501 OWU196498:OWU196501 PGQ196498:PGQ196501 PQM196498:PQM196501 QAI196498:QAI196501 QKE196498:QKE196501 QUA196498:QUA196501 RDW196498:RDW196501 RNS196498:RNS196501 RXO196498:RXO196501 SHK196498:SHK196501 SRG196498:SRG196501 TBC196498:TBC196501 TKY196498:TKY196501 TUU196498:TUU196501 UEQ196498:UEQ196501 UOM196498:UOM196501 UYI196498:UYI196501 VIE196498:VIE196501 VSA196498:VSA196501 WBW196498:WBW196501 WLS196498:WLS196501 WVO196498:WVO196501 D262034:D262037 JC262034:JC262037 SY262034:SY262037 ACU262034:ACU262037 AMQ262034:AMQ262037 AWM262034:AWM262037 BGI262034:BGI262037 BQE262034:BQE262037 CAA262034:CAA262037 CJW262034:CJW262037 CTS262034:CTS262037 DDO262034:DDO262037 DNK262034:DNK262037 DXG262034:DXG262037 EHC262034:EHC262037 EQY262034:EQY262037 FAU262034:FAU262037 FKQ262034:FKQ262037 FUM262034:FUM262037 GEI262034:GEI262037 GOE262034:GOE262037 GYA262034:GYA262037 HHW262034:HHW262037 HRS262034:HRS262037 IBO262034:IBO262037 ILK262034:ILK262037 IVG262034:IVG262037 JFC262034:JFC262037 JOY262034:JOY262037 JYU262034:JYU262037 KIQ262034:KIQ262037 KSM262034:KSM262037 LCI262034:LCI262037 LME262034:LME262037 LWA262034:LWA262037 MFW262034:MFW262037 MPS262034:MPS262037 MZO262034:MZO262037 NJK262034:NJK262037 NTG262034:NTG262037 ODC262034:ODC262037 OMY262034:OMY262037 OWU262034:OWU262037 PGQ262034:PGQ262037 PQM262034:PQM262037 QAI262034:QAI262037 QKE262034:QKE262037 QUA262034:QUA262037 RDW262034:RDW262037 RNS262034:RNS262037 RXO262034:RXO262037 SHK262034:SHK262037 SRG262034:SRG262037 TBC262034:TBC262037 TKY262034:TKY262037 TUU262034:TUU262037 UEQ262034:UEQ262037 UOM262034:UOM262037 UYI262034:UYI262037 VIE262034:VIE262037 VSA262034:VSA262037 WBW262034:WBW262037 WLS262034:WLS262037 WVO262034:WVO262037 D327570:D327573 JC327570:JC327573 SY327570:SY327573 ACU327570:ACU327573 AMQ327570:AMQ327573 AWM327570:AWM327573 BGI327570:BGI327573 BQE327570:BQE327573 CAA327570:CAA327573 CJW327570:CJW327573 CTS327570:CTS327573 DDO327570:DDO327573 DNK327570:DNK327573 DXG327570:DXG327573 EHC327570:EHC327573 EQY327570:EQY327573 FAU327570:FAU327573 FKQ327570:FKQ327573 FUM327570:FUM327573 GEI327570:GEI327573 GOE327570:GOE327573 GYA327570:GYA327573 HHW327570:HHW327573 HRS327570:HRS327573 IBO327570:IBO327573 ILK327570:ILK327573 IVG327570:IVG327573 JFC327570:JFC327573 JOY327570:JOY327573 JYU327570:JYU327573 KIQ327570:KIQ327573 KSM327570:KSM327573 LCI327570:LCI327573 LME327570:LME327573 LWA327570:LWA327573 MFW327570:MFW327573 MPS327570:MPS327573 MZO327570:MZO327573 NJK327570:NJK327573 NTG327570:NTG327573 ODC327570:ODC327573 OMY327570:OMY327573 OWU327570:OWU327573 PGQ327570:PGQ327573 PQM327570:PQM327573 QAI327570:QAI327573 QKE327570:QKE327573 QUA327570:QUA327573 RDW327570:RDW327573 RNS327570:RNS327573 RXO327570:RXO327573 SHK327570:SHK327573 SRG327570:SRG327573 TBC327570:TBC327573 TKY327570:TKY327573 TUU327570:TUU327573 UEQ327570:UEQ327573 UOM327570:UOM327573 UYI327570:UYI327573 VIE327570:VIE327573 VSA327570:VSA327573 WBW327570:WBW327573 WLS327570:WLS327573 WVO327570:WVO327573 D393106:D393109 JC393106:JC393109 SY393106:SY393109 ACU393106:ACU393109 AMQ393106:AMQ393109 AWM393106:AWM393109 BGI393106:BGI393109 BQE393106:BQE393109 CAA393106:CAA393109 CJW393106:CJW393109 CTS393106:CTS393109 DDO393106:DDO393109 DNK393106:DNK393109 DXG393106:DXG393109 EHC393106:EHC393109 EQY393106:EQY393109 FAU393106:FAU393109 FKQ393106:FKQ393109 FUM393106:FUM393109 GEI393106:GEI393109 GOE393106:GOE393109 GYA393106:GYA393109 HHW393106:HHW393109 HRS393106:HRS393109 IBO393106:IBO393109 ILK393106:ILK393109 IVG393106:IVG393109 JFC393106:JFC393109 JOY393106:JOY393109 JYU393106:JYU393109 KIQ393106:KIQ393109 KSM393106:KSM393109 LCI393106:LCI393109 LME393106:LME393109 LWA393106:LWA393109 MFW393106:MFW393109 MPS393106:MPS393109 MZO393106:MZO393109 NJK393106:NJK393109 NTG393106:NTG393109 ODC393106:ODC393109 OMY393106:OMY393109 OWU393106:OWU393109 PGQ393106:PGQ393109 PQM393106:PQM393109 QAI393106:QAI393109 QKE393106:QKE393109 QUA393106:QUA393109 RDW393106:RDW393109 RNS393106:RNS393109 RXO393106:RXO393109 SHK393106:SHK393109 SRG393106:SRG393109 TBC393106:TBC393109 TKY393106:TKY393109 TUU393106:TUU393109 UEQ393106:UEQ393109 UOM393106:UOM393109 UYI393106:UYI393109 VIE393106:VIE393109 VSA393106:VSA393109 WBW393106:WBW393109 WLS393106:WLS393109 WVO393106:WVO393109 D458642:D458645 JC458642:JC458645 SY458642:SY458645 ACU458642:ACU458645 AMQ458642:AMQ458645 AWM458642:AWM458645 BGI458642:BGI458645 BQE458642:BQE458645 CAA458642:CAA458645 CJW458642:CJW458645 CTS458642:CTS458645 DDO458642:DDO458645 DNK458642:DNK458645 DXG458642:DXG458645 EHC458642:EHC458645 EQY458642:EQY458645 FAU458642:FAU458645 FKQ458642:FKQ458645 FUM458642:FUM458645 GEI458642:GEI458645 GOE458642:GOE458645 GYA458642:GYA458645 HHW458642:HHW458645 HRS458642:HRS458645 IBO458642:IBO458645 ILK458642:ILK458645 IVG458642:IVG458645 JFC458642:JFC458645 JOY458642:JOY458645 JYU458642:JYU458645 KIQ458642:KIQ458645 KSM458642:KSM458645 LCI458642:LCI458645 LME458642:LME458645 LWA458642:LWA458645 MFW458642:MFW458645 MPS458642:MPS458645 MZO458642:MZO458645 NJK458642:NJK458645 NTG458642:NTG458645 ODC458642:ODC458645 OMY458642:OMY458645 OWU458642:OWU458645 PGQ458642:PGQ458645 PQM458642:PQM458645 QAI458642:QAI458645 QKE458642:QKE458645 QUA458642:QUA458645 RDW458642:RDW458645 RNS458642:RNS458645 RXO458642:RXO458645 SHK458642:SHK458645 SRG458642:SRG458645 TBC458642:TBC458645 TKY458642:TKY458645 TUU458642:TUU458645 UEQ458642:UEQ458645 UOM458642:UOM458645 UYI458642:UYI458645 VIE458642:VIE458645 VSA458642:VSA458645 WBW458642:WBW458645 WLS458642:WLS458645 WVO458642:WVO458645 D524178:D524181 JC524178:JC524181 SY524178:SY524181 ACU524178:ACU524181 AMQ524178:AMQ524181 AWM524178:AWM524181 BGI524178:BGI524181 BQE524178:BQE524181 CAA524178:CAA524181 CJW524178:CJW524181 CTS524178:CTS524181 DDO524178:DDO524181 DNK524178:DNK524181 DXG524178:DXG524181 EHC524178:EHC524181 EQY524178:EQY524181 FAU524178:FAU524181 FKQ524178:FKQ524181 FUM524178:FUM524181 GEI524178:GEI524181 GOE524178:GOE524181 GYA524178:GYA524181 HHW524178:HHW524181 HRS524178:HRS524181 IBO524178:IBO524181 ILK524178:ILK524181 IVG524178:IVG524181 JFC524178:JFC524181 JOY524178:JOY524181 JYU524178:JYU524181 KIQ524178:KIQ524181 KSM524178:KSM524181 LCI524178:LCI524181 LME524178:LME524181 LWA524178:LWA524181 MFW524178:MFW524181 MPS524178:MPS524181 MZO524178:MZO524181 NJK524178:NJK524181 NTG524178:NTG524181 ODC524178:ODC524181 OMY524178:OMY524181 OWU524178:OWU524181 PGQ524178:PGQ524181 PQM524178:PQM524181 QAI524178:QAI524181 QKE524178:QKE524181 QUA524178:QUA524181 RDW524178:RDW524181 RNS524178:RNS524181 RXO524178:RXO524181 SHK524178:SHK524181 SRG524178:SRG524181 TBC524178:TBC524181 TKY524178:TKY524181 TUU524178:TUU524181 UEQ524178:UEQ524181 UOM524178:UOM524181 UYI524178:UYI524181 VIE524178:VIE524181 VSA524178:VSA524181 WBW524178:WBW524181 WLS524178:WLS524181 WVO524178:WVO524181 D589714:D589717 JC589714:JC589717 SY589714:SY589717 ACU589714:ACU589717 AMQ589714:AMQ589717 AWM589714:AWM589717 BGI589714:BGI589717 BQE589714:BQE589717 CAA589714:CAA589717 CJW589714:CJW589717 CTS589714:CTS589717 DDO589714:DDO589717 DNK589714:DNK589717 DXG589714:DXG589717 EHC589714:EHC589717 EQY589714:EQY589717 FAU589714:FAU589717 FKQ589714:FKQ589717 FUM589714:FUM589717 GEI589714:GEI589717 GOE589714:GOE589717 GYA589714:GYA589717 HHW589714:HHW589717 HRS589714:HRS589717 IBO589714:IBO589717 ILK589714:ILK589717 IVG589714:IVG589717 JFC589714:JFC589717 JOY589714:JOY589717 JYU589714:JYU589717 KIQ589714:KIQ589717 KSM589714:KSM589717 LCI589714:LCI589717 LME589714:LME589717 LWA589714:LWA589717 MFW589714:MFW589717 MPS589714:MPS589717 MZO589714:MZO589717 NJK589714:NJK589717 NTG589714:NTG589717 ODC589714:ODC589717 OMY589714:OMY589717 OWU589714:OWU589717 PGQ589714:PGQ589717 PQM589714:PQM589717 QAI589714:QAI589717 QKE589714:QKE589717 QUA589714:QUA589717 RDW589714:RDW589717 RNS589714:RNS589717 RXO589714:RXO589717 SHK589714:SHK589717 SRG589714:SRG589717 TBC589714:TBC589717 TKY589714:TKY589717 TUU589714:TUU589717 UEQ589714:UEQ589717 UOM589714:UOM589717 UYI589714:UYI589717 VIE589714:VIE589717 VSA589714:VSA589717 WBW589714:WBW589717 WLS589714:WLS589717 WVO589714:WVO589717 D655250:D655253 JC655250:JC655253 SY655250:SY655253 ACU655250:ACU655253 AMQ655250:AMQ655253 AWM655250:AWM655253 BGI655250:BGI655253 BQE655250:BQE655253 CAA655250:CAA655253 CJW655250:CJW655253 CTS655250:CTS655253 DDO655250:DDO655253 DNK655250:DNK655253 DXG655250:DXG655253 EHC655250:EHC655253 EQY655250:EQY655253 FAU655250:FAU655253 FKQ655250:FKQ655253 FUM655250:FUM655253 GEI655250:GEI655253 GOE655250:GOE655253 GYA655250:GYA655253 HHW655250:HHW655253 HRS655250:HRS655253 IBO655250:IBO655253 ILK655250:ILK655253 IVG655250:IVG655253 JFC655250:JFC655253 JOY655250:JOY655253 JYU655250:JYU655253 KIQ655250:KIQ655253 KSM655250:KSM655253 LCI655250:LCI655253 LME655250:LME655253 LWA655250:LWA655253 MFW655250:MFW655253 MPS655250:MPS655253 MZO655250:MZO655253 NJK655250:NJK655253 NTG655250:NTG655253 ODC655250:ODC655253 OMY655250:OMY655253 OWU655250:OWU655253 PGQ655250:PGQ655253 PQM655250:PQM655253 QAI655250:QAI655253 QKE655250:QKE655253 QUA655250:QUA655253 RDW655250:RDW655253 RNS655250:RNS655253 RXO655250:RXO655253 SHK655250:SHK655253 SRG655250:SRG655253 TBC655250:TBC655253 TKY655250:TKY655253 TUU655250:TUU655253 UEQ655250:UEQ655253 UOM655250:UOM655253 UYI655250:UYI655253 VIE655250:VIE655253 VSA655250:VSA655253 WBW655250:WBW655253 WLS655250:WLS655253 WVO655250:WVO655253 D720786:D720789 JC720786:JC720789 SY720786:SY720789 ACU720786:ACU720789 AMQ720786:AMQ720789 AWM720786:AWM720789 BGI720786:BGI720789 BQE720786:BQE720789 CAA720786:CAA720789 CJW720786:CJW720789 CTS720786:CTS720789 DDO720786:DDO720789 DNK720786:DNK720789 DXG720786:DXG720789 EHC720786:EHC720789 EQY720786:EQY720789 FAU720786:FAU720789 FKQ720786:FKQ720789 FUM720786:FUM720789 GEI720786:GEI720789 GOE720786:GOE720789 GYA720786:GYA720789 HHW720786:HHW720789 HRS720786:HRS720789 IBO720786:IBO720789 ILK720786:ILK720789 IVG720786:IVG720789 JFC720786:JFC720789 JOY720786:JOY720789 JYU720786:JYU720789 KIQ720786:KIQ720789 KSM720786:KSM720789 LCI720786:LCI720789 LME720786:LME720789 LWA720786:LWA720789 MFW720786:MFW720789 MPS720786:MPS720789 MZO720786:MZO720789 NJK720786:NJK720789 NTG720786:NTG720789 ODC720786:ODC720789 OMY720786:OMY720789 OWU720786:OWU720789 PGQ720786:PGQ720789 PQM720786:PQM720789 QAI720786:QAI720789 QKE720786:QKE720789 QUA720786:QUA720789 RDW720786:RDW720789 RNS720786:RNS720789 RXO720786:RXO720789 SHK720786:SHK720789 SRG720786:SRG720789 TBC720786:TBC720789 TKY720786:TKY720789 TUU720786:TUU720789 UEQ720786:UEQ720789 UOM720786:UOM720789 UYI720786:UYI720789 VIE720786:VIE720789 VSA720786:VSA720789 WBW720786:WBW720789 WLS720786:WLS720789 WVO720786:WVO720789 D786322:D786325 JC786322:JC786325 SY786322:SY786325 ACU786322:ACU786325 AMQ786322:AMQ786325 AWM786322:AWM786325 BGI786322:BGI786325 BQE786322:BQE786325 CAA786322:CAA786325 CJW786322:CJW786325 CTS786322:CTS786325 DDO786322:DDO786325 DNK786322:DNK786325 DXG786322:DXG786325 EHC786322:EHC786325 EQY786322:EQY786325 FAU786322:FAU786325 FKQ786322:FKQ786325 FUM786322:FUM786325 GEI786322:GEI786325 GOE786322:GOE786325 GYA786322:GYA786325 HHW786322:HHW786325 HRS786322:HRS786325 IBO786322:IBO786325 ILK786322:ILK786325 IVG786322:IVG786325 JFC786322:JFC786325 JOY786322:JOY786325 JYU786322:JYU786325 KIQ786322:KIQ786325 KSM786322:KSM786325 LCI786322:LCI786325 LME786322:LME786325 LWA786322:LWA786325 MFW786322:MFW786325 MPS786322:MPS786325 MZO786322:MZO786325 NJK786322:NJK786325 NTG786322:NTG786325 ODC786322:ODC786325 OMY786322:OMY786325 OWU786322:OWU786325 PGQ786322:PGQ786325 PQM786322:PQM786325 QAI786322:QAI786325 QKE786322:QKE786325 QUA786322:QUA786325 RDW786322:RDW786325 RNS786322:RNS786325 RXO786322:RXO786325 SHK786322:SHK786325 SRG786322:SRG786325 TBC786322:TBC786325 TKY786322:TKY786325 TUU786322:TUU786325 UEQ786322:UEQ786325 UOM786322:UOM786325 UYI786322:UYI786325 VIE786322:VIE786325 VSA786322:VSA786325 WBW786322:WBW786325 WLS786322:WLS786325 WVO786322:WVO786325 D851858:D851861 JC851858:JC851861 SY851858:SY851861 ACU851858:ACU851861 AMQ851858:AMQ851861 AWM851858:AWM851861 BGI851858:BGI851861 BQE851858:BQE851861 CAA851858:CAA851861 CJW851858:CJW851861 CTS851858:CTS851861 DDO851858:DDO851861 DNK851858:DNK851861 DXG851858:DXG851861 EHC851858:EHC851861 EQY851858:EQY851861 FAU851858:FAU851861 FKQ851858:FKQ851861 FUM851858:FUM851861 GEI851858:GEI851861 GOE851858:GOE851861 GYA851858:GYA851861 HHW851858:HHW851861 HRS851858:HRS851861 IBO851858:IBO851861 ILK851858:ILK851861 IVG851858:IVG851861 JFC851858:JFC851861 JOY851858:JOY851861 JYU851858:JYU851861 KIQ851858:KIQ851861 KSM851858:KSM851861 LCI851858:LCI851861 LME851858:LME851861 LWA851858:LWA851861 MFW851858:MFW851861 MPS851858:MPS851861 MZO851858:MZO851861 NJK851858:NJK851861 NTG851858:NTG851861 ODC851858:ODC851861 OMY851858:OMY851861 OWU851858:OWU851861 PGQ851858:PGQ851861 PQM851858:PQM851861 QAI851858:QAI851861 QKE851858:QKE851861 QUA851858:QUA851861 RDW851858:RDW851861 RNS851858:RNS851861 RXO851858:RXO851861 SHK851858:SHK851861 SRG851858:SRG851861 TBC851858:TBC851861 TKY851858:TKY851861 TUU851858:TUU851861 UEQ851858:UEQ851861 UOM851858:UOM851861 UYI851858:UYI851861 VIE851858:VIE851861 VSA851858:VSA851861 WBW851858:WBW851861 WLS851858:WLS851861 WVO851858:WVO851861 D917394:D917397 JC917394:JC917397 SY917394:SY917397 ACU917394:ACU917397 AMQ917394:AMQ917397 AWM917394:AWM917397 BGI917394:BGI917397 BQE917394:BQE917397 CAA917394:CAA917397 CJW917394:CJW917397 CTS917394:CTS917397 DDO917394:DDO917397 DNK917394:DNK917397 DXG917394:DXG917397 EHC917394:EHC917397 EQY917394:EQY917397 FAU917394:FAU917397 FKQ917394:FKQ917397 FUM917394:FUM917397 GEI917394:GEI917397 GOE917394:GOE917397 GYA917394:GYA917397 HHW917394:HHW917397 HRS917394:HRS917397 IBO917394:IBO917397 ILK917394:ILK917397 IVG917394:IVG917397 JFC917394:JFC917397 JOY917394:JOY917397 JYU917394:JYU917397 KIQ917394:KIQ917397 KSM917394:KSM917397 LCI917394:LCI917397 LME917394:LME917397 LWA917394:LWA917397 MFW917394:MFW917397 MPS917394:MPS917397 MZO917394:MZO917397 NJK917394:NJK917397 NTG917394:NTG917397 ODC917394:ODC917397 OMY917394:OMY917397 OWU917394:OWU917397 PGQ917394:PGQ917397 PQM917394:PQM917397 QAI917394:QAI917397 QKE917394:QKE917397 QUA917394:QUA917397 RDW917394:RDW917397 RNS917394:RNS917397 RXO917394:RXO917397 SHK917394:SHK917397 SRG917394:SRG917397 TBC917394:TBC917397 TKY917394:TKY917397 TUU917394:TUU917397 UEQ917394:UEQ917397 UOM917394:UOM917397 UYI917394:UYI917397 VIE917394:VIE917397 VSA917394:VSA917397 WBW917394:WBW917397 WLS917394:WLS917397 WVO917394:WVO917397 D982930:D982933 JC982930:JC982933 SY982930:SY982933 ACU982930:ACU982933 AMQ982930:AMQ982933 AWM982930:AWM982933 BGI982930:BGI982933 BQE982930:BQE982933 CAA982930:CAA982933 CJW982930:CJW982933 CTS982930:CTS982933 DDO982930:DDO982933 DNK982930:DNK982933 DXG982930:DXG982933 EHC982930:EHC982933 EQY982930:EQY982933 FAU982930:FAU982933 FKQ982930:FKQ982933 FUM982930:FUM982933 GEI982930:GEI982933 GOE982930:GOE982933 GYA982930:GYA982933 HHW982930:HHW982933 HRS982930:HRS982933 IBO982930:IBO982933 ILK982930:ILK982933 IVG982930:IVG982933 JFC982930:JFC982933 JOY982930:JOY982933 JYU982930:JYU982933 KIQ982930:KIQ982933 KSM982930:KSM982933 LCI982930:LCI982933 LME982930:LME982933 LWA982930:LWA982933 MFW982930:MFW982933 MPS982930:MPS982933 MZO982930:MZO982933 NJK982930:NJK982933 NTG982930:NTG982933 ODC982930:ODC982933 OMY982930:OMY982933 OWU982930:OWU982933 PGQ982930:PGQ982933 PQM982930:PQM982933 QAI982930:QAI982933 QKE982930:QKE982933 QUA982930:QUA982933 RDW982930:RDW982933 RNS982930:RNS982933 RXO982930:RXO982933 SHK982930:SHK982933 SRG982930:SRG982933 TBC982930:TBC982933 TKY982930:TKY982933 TUU982930:TUU982933 UEQ982930:UEQ982933 UOM982930:UOM982933 UYI982930:UYI982933 VIE982930:VIE982933 VSA982930:VSA982933 WBW982930:WBW982933 WLS982930:WLS982933 WVO982930:WVO982933 D65433:G65433 JC65433:JF65433 SY65433:TB65433 ACU65433:ACX65433 AMQ65433:AMT65433 AWM65433:AWP65433 BGI65433:BGL65433 BQE65433:BQH65433 CAA65433:CAD65433 CJW65433:CJZ65433 CTS65433:CTV65433 DDO65433:DDR65433 DNK65433:DNN65433 DXG65433:DXJ65433 EHC65433:EHF65433 EQY65433:ERB65433 FAU65433:FAX65433 FKQ65433:FKT65433 FUM65433:FUP65433 GEI65433:GEL65433 GOE65433:GOH65433 GYA65433:GYD65433 HHW65433:HHZ65433 HRS65433:HRV65433 IBO65433:IBR65433 ILK65433:ILN65433 IVG65433:IVJ65433 JFC65433:JFF65433 JOY65433:JPB65433 JYU65433:JYX65433 KIQ65433:KIT65433 KSM65433:KSP65433 LCI65433:LCL65433 LME65433:LMH65433 LWA65433:LWD65433 MFW65433:MFZ65433 MPS65433:MPV65433 MZO65433:MZR65433 NJK65433:NJN65433 NTG65433:NTJ65433 ODC65433:ODF65433 OMY65433:ONB65433 OWU65433:OWX65433 PGQ65433:PGT65433 PQM65433:PQP65433 QAI65433:QAL65433 QKE65433:QKH65433 QUA65433:QUD65433 RDW65433:RDZ65433 RNS65433:RNV65433 RXO65433:RXR65433 SHK65433:SHN65433 SRG65433:SRJ65433 TBC65433:TBF65433 TKY65433:TLB65433 TUU65433:TUX65433 UEQ65433:UET65433 UOM65433:UOP65433 UYI65433:UYL65433 VIE65433:VIH65433 VSA65433:VSD65433 WBW65433:WBZ65433 WLS65433:WLV65433 WVO65433:WVR65433 D130969:G130969 JC130969:JF130969 SY130969:TB130969 ACU130969:ACX130969 AMQ130969:AMT130969 AWM130969:AWP130969 BGI130969:BGL130969 BQE130969:BQH130969 CAA130969:CAD130969 CJW130969:CJZ130969 CTS130969:CTV130969 DDO130969:DDR130969 DNK130969:DNN130969 DXG130969:DXJ130969 EHC130969:EHF130969 EQY130969:ERB130969 FAU130969:FAX130969 FKQ130969:FKT130969 FUM130969:FUP130969 GEI130969:GEL130969 GOE130969:GOH130969 GYA130969:GYD130969 HHW130969:HHZ130969 HRS130969:HRV130969 IBO130969:IBR130969 ILK130969:ILN130969 IVG130969:IVJ130969 JFC130969:JFF130969 JOY130969:JPB130969 JYU130969:JYX130969 KIQ130969:KIT130969 KSM130969:KSP130969 LCI130969:LCL130969 LME130969:LMH130969 LWA130969:LWD130969 MFW130969:MFZ130969 MPS130969:MPV130969 MZO130969:MZR130969 NJK130969:NJN130969 NTG130969:NTJ130969 ODC130969:ODF130969 OMY130969:ONB130969 OWU130969:OWX130969 PGQ130969:PGT130969 PQM130969:PQP130969 QAI130969:QAL130969 QKE130969:QKH130969 QUA130969:QUD130969 RDW130969:RDZ130969 RNS130969:RNV130969 RXO130969:RXR130969 SHK130969:SHN130969 SRG130969:SRJ130969 TBC130969:TBF130969 TKY130969:TLB130969 TUU130969:TUX130969 UEQ130969:UET130969 UOM130969:UOP130969 UYI130969:UYL130969 VIE130969:VIH130969 VSA130969:VSD130969 WBW130969:WBZ130969 WLS130969:WLV130969 WVO130969:WVR130969 D196505:G196505 JC196505:JF196505 SY196505:TB196505 ACU196505:ACX196505 AMQ196505:AMT196505 AWM196505:AWP196505 BGI196505:BGL196505 BQE196505:BQH196505 CAA196505:CAD196505 CJW196505:CJZ196505 CTS196505:CTV196505 DDO196505:DDR196505 DNK196505:DNN196505 DXG196505:DXJ196505 EHC196505:EHF196505 EQY196505:ERB196505 FAU196505:FAX196505 FKQ196505:FKT196505 FUM196505:FUP196505 GEI196505:GEL196505 GOE196505:GOH196505 GYA196505:GYD196505 HHW196505:HHZ196505 HRS196505:HRV196505 IBO196505:IBR196505 ILK196505:ILN196505 IVG196505:IVJ196505 JFC196505:JFF196505 JOY196505:JPB196505 JYU196505:JYX196505 KIQ196505:KIT196505 KSM196505:KSP196505 LCI196505:LCL196505 LME196505:LMH196505 LWA196505:LWD196505 MFW196505:MFZ196505 MPS196505:MPV196505 MZO196505:MZR196505 NJK196505:NJN196505 NTG196505:NTJ196505 ODC196505:ODF196505 OMY196505:ONB196505 OWU196505:OWX196505 PGQ196505:PGT196505 PQM196505:PQP196505 QAI196505:QAL196505 QKE196505:QKH196505 QUA196505:QUD196505 RDW196505:RDZ196505 RNS196505:RNV196505 RXO196505:RXR196505 SHK196505:SHN196505 SRG196505:SRJ196505 TBC196505:TBF196505 TKY196505:TLB196505 TUU196505:TUX196505 UEQ196505:UET196505 UOM196505:UOP196505 UYI196505:UYL196505 VIE196505:VIH196505 VSA196505:VSD196505 WBW196505:WBZ196505 WLS196505:WLV196505 WVO196505:WVR196505 D262041:G262041 JC262041:JF262041 SY262041:TB262041 ACU262041:ACX262041 AMQ262041:AMT262041 AWM262041:AWP262041 BGI262041:BGL262041 BQE262041:BQH262041 CAA262041:CAD262041 CJW262041:CJZ262041 CTS262041:CTV262041 DDO262041:DDR262041 DNK262041:DNN262041 DXG262041:DXJ262041 EHC262041:EHF262041 EQY262041:ERB262041 FAU262041:FAX262041 FKQ262041:FKT262041 FUM262041:FUP262041 GEI262041:GEL262041 GOE262041:GOH262041 GYA262041:GYD262041 HHW262041:HHZ262041 HRS262041:HRV262041 IBO262041:IBR262041 ILK262041:ILN262041 IVG262041:IVJ262041 JFC262041:JFF262041 JOY262041:JPB262041 JYU262041:JYX262041 KIQ262041:KIT262041 KSM262041:KSP262041 LCI262041:LCL262041 LME262041:LMH262041 LWA262041:LWD262041 MFW262041:MFZ262041 MPS262041:MPV262041 MZO262041:MZR262041 NJK262041:NJN262041 NTG262041:NTJ262041 ODC262041:ODF262041 OMY262041:ONB262041 OWU262041:OWX262041 PGQ262041:PGT262041 PQM262041:PQP262041 QAI262041:QAL262041 QKE262041:QKH262041 QUA262041:QUD262041 RDW262041:RDZ262041 RNS262041:RNV262041 RXO262041:RXR262041 SHK262041:SHN262041 SRG262041:SRJ262041 TBC262041:TBF262041 TKY262041:TLB262041 TUU262041:TUX262041 UEQ262041:UET262041 UOM262041:UOP262041 UYI262041:UYL262041 VIE262041:VIH262041 VSA262041:VSD262041 WBW262041:WBZ262041 WLS262041:WLV262041 WVO262041:WVR262041 D327577:G327577 JC327577:JF327577 SY327577:TB327577 ACU327577:ACX327577 AMQ327577:AMT327577 AWM327577:AWP327577 BGI327577:BGL327577 BQE327577:BQH327577 CAA327577:CAD327577 CJW327577:CJZ327577 CTS327577:CTV327577 DDO327577:DDR327577 DNK327577:DNN327577 DXG327577:DXJ327577 EHC327577:EHF327577 EQY327577:ERB327577 FAU327577:FAX327577 FKQ327577:FKT327577 FUM327577:FUP327577 GEI327577:GEL327577 GOE327577:GOH327577 GYA327577:GYD327577 HHW327577:HHZ327577 HRS327577:HRV327577 IBO327577:IBR327577 ILK327577:ILN327577 IVG327577:IVJ327577 JFC327577:JFF327577 JOY327577:JPB327577 JYU327577:JYX327577 KIQ327577:KIT327577 KSM327577:KSP327577 LCI327577:LCL327577 LME327577:LMH327577 LWA327577:LWD327577 MFW327577:MFZ327577 MPS327577:MPV327577 MZO327577:MZR327577 NJK327577:NJN327577 NTG327577:NTJ327577 ODC327577:ODF327577 OMY327577:ONB327577 OWU327577:OWX327577 PGQ327577:PGT327577 PQM327577:PQP327577 QAI327577:QAL327577 QKE327577:QKH327577 QUA327577:QUD327577 RDW327577:RDZ327577 RNS327577:RNV327577 RXO327577:RXR327577 SHK327577:SHN327577 SRG327577:SRJ327577 TBC327577:TBF327577 TKY327577:TLB327577 TUU327577:TUX327577 UEQ327577:UET327577 UOM327577:UOP327577 UYI327577:UYL327577 VIE327577:VIH327577 VSA327577:VSD327577 WBW327577:WBZ327577 WLS327577:WLV327577 WVO327577:WVR327577 D393113:G393113 JC393113:JF393113 SY393113:TB393113 ACU393113:ACX393113 AMQ393113:AMT393113 AWM393113:AWP393113 BGI393113:BGL393113 BQE393113:BQH393113 CAA393113:CAD393113 CJW393113:CJZ393113 CTS393113:CTV393113 DDO393113:DDR393113 DNK393113:DNN393113 DXG393113:DXJ393113 EHC393113:EHF393113 EQY393113:ERB393113 FAU393113:FAX393113 FKQ393113:FKT393113 FUM393113:FUP393113 GEI393113:GEL393113 GOE393113:GOH393113 GYA393113:GYD393113 HHW393113:HHZ393113 HRS393113:HRV393113 IBO393113:IBR393113 ILK393113:ILN393113 IVG393113:IVJ393113 JFC393113:JFF393113 JOY393113:JPB393113 JYU393113:JYX393113 KIQ393113:KIT393113 KSM393113:KSP393113 LCI393113:LCL393113 LME393113:LMH393113 LWA393113:LWD393113 MFW393113:MFZ393113 MPS393113:MPV393113 MZO393113:MZR393113 NJK393113:NJN393113 NTG393113:NTJ393113 ODC393113:ODF393113 OMY393113:ONB393113 OWU393113:OWX393113 PGQ393113:PGT393113 PQM393113:PQP393113 QAI393113:QAL393113 QKE393113:QKH393113 QUA393113:QUD393113 RDW393113:RDZ393113 RNS393113:RNV393113 RXO393113:RXR393113 SHK393113:SHN393113 SRG393113:SRJ393113 TBC393113:TBF393113 TKY393113:TLB393113 TUU393113:TUX393113 UEQ393113:UET393113 UOM393113:UOP393113 UYI393113:UYL393113 VIE393113:VIH393113 VSA393113:VSD393113 WBW393113:WBZ393113 WLS393113:WLV393113 WVO393113:WVR393113 D458649:G458649 JC458649:JF458649 SY458649:TB458649 ACU458649:ACX458649 AMQ458649:AMT458649 AWM458649:AWP458649 BGI458649:BGL458649 BQE458649:BQH458649 CAA458649:CAD458649 CJW458649:CJZ458649 CTS458649:CTV458649 DDO458649:DDR458649 DNK458649:DNN458649 DXG458649:DXJ458649 EHC458649:EHF458649 EQY458649:ERB458649 FAU458649:FAX458649 FKQ458649:FKT458649 FUM458649:FUP458649 GEI458649:GEL458649 GOE458649:GOH458649 GYA458649:GYD458649 HHW458649:HHZ458649 HRS458649:HRV458649 IBO458649:IBR458649 ILK458649:ILN458649 IVG458649:IVJ458649 JFC458649:JFF458649 JOY458649:JPB458649 JYU458649:JYX458649 KIQ458649:KIT458649 KSM458649:KSP458649 LCI458649:LCL458649 LME458649:LMH458649 LWA458649:LWD458649 MFW458649:MFZ458649 MPS458649:MPV458649 MZO458649:MZR458649 NJK458649:NJN458649 NTG458649:NTJ458649 ODC458649:ODF458649 OMY458649:ONB458649 OWU458649:OWX458649 PGQ458649:PGT458649 PQM458649:PQP458649 QAI458649:QAL458649 QKE458649:QKH458649 QUA458649:QUD458649 RDW458649:RDZ458649 RNS458649:RNV458649 RXO458649:RXR458649 SHK458649:SHN458649 SRG458649:SRJ458649 TBC458649:TBF458649 TKY458649:TLB458649 TUU458649:TUX458649 UEQ458649:UET458649 UOM458649:UOP458649 UYI458649:UYL458649 VIE458649:VIH458649 VSA458649:VSD458649 WBW458649:WBZ458649 WLS458649:WLV458649 WVO458649:WVR458649 D524185:G524185 JC524185:JF524185 SY524185:TB524185 ACU524185:ACX524185 AMQ524185:AMT524185 AWM524185:AWP524185 BGI524185:BGL524185 BQE524185:BQH524185 CAA524185:CAD524185 CJW524185:CJZ524185 CTS524185:CTV524185 DDO524185:DDR524185 DNK524185:DNN524185 DXG524185:DXJ524185 EHC524185:EHF524185 EQY524185:ERB524185 FAU524185:FAX524185 FKQ524185:FKT524185 FUM524185:FUP524185 GEI524185:GEL524185 GOE524185:GOH524185 GYA524185:GYD524185 HHW524185:HHZ524185 HRS524185:HRV524185 IBO524185:IBR524185 ILK524185:ILN524185 IVG524185:IVJ524185 JFC524185:JFF524185 JOY524185:JPB524185 JYU524185:JYX524185 KIQ524185:KIT524185 KSM524185:KSP524185 LCI524185:LCL524185 LME524185:LMH524185 LWA524185:LWD524185 MFW524185:MFZ524185 MPS524185:MPV524185 MZO524185:MZR524185 NJK524185:NJN524185 NTG524185:NTJ524185 ODC524185:ODF524185 OMY524185:ONB524185 OWU524185:OWX524185 PGQ524185:PGT524185 PQM524185:PQP524185 QAI524185:QAL524185 QKE524185:QKH524185 QUA524185:QUD524185 RDW524185:RDZ524185 RNS524185:RNV524185 RXO524185:RXR524185 SHK524185:SHN524185 SRG524185:SRJ524185 TBC524185:TBF524185 TKY524185:TLB524185 TUU524185:TUX524185 UEQ524185:UET524185 UOM524185:UOP524185 UYI524185:UYL524185 VIE524185:VIH524185 VSA524185:VSD524185 WBW524185:WBZ524185 WLS524185:WLV524185 WVO524185:WVR524185 D589721:G589721 JC589721:JF589721 SY589721:TB589721 ACU589721:ACX589721 AMQ589721:AMT589721 AWM589721:AWP589721 BGI589721:BGL589721 BQE589721:BQH589721 CAA589721:CAD589721 CJW589721:CJZ589721 CTS589721:CTV589721 DDO589721:DDR589721 DNK589721:DNN589721 DXG589721:DXJ589721 EHC589721:EHF589721 EQY589721:ERB589721 FAU589721:FAX589721 FKQ589721:FKT589721 FUM589721:FUP589721 GEI589721:GEL589721 GOE589721:GOH589721 GYA589721:GYD589721 HHW589721:HHZ589721 HRS589721:HRV589721 IBO589721:IBR589721 ILK589721:ILN589721 IVG589721:IVJ589721 JFC589721:JFF589721 JOY589721:JPB589721 JYU589721:JYX589721 KIQ589721:KIT589721 KSM589721:KSP589721 LCI589721:LCL589721 LME589721:LMH589721 LWA589721:LWD589721 MFW589721:MFZ589721 MPS589721:MPV589721 MZO589721:MZR589721 NJK589721:NJN589721 NTG589721:NTJ589721 ODC589721:ODF589721 OMY589721:ONB589721 OWU589721:OWX589721 PGQ589721:PGT589721 PQM589721:PQP589721 QAI589721:QAL589721 QKE589721:QKH589721 QUA589721:QUD589721 RDW589721:RDZ589721 RNS589721:RNV589721 RXO589721:RXR589721 SHK589721:SHN589721 SRG589721:SRJ589721 TBC589721:TBF589721 TKY589721:TLB589721 TUU589721:TUX589721 UEQ589721:UET589721 UOM589721:UOP589721 UYI589721:UYL589721 VIE589721:VIH589721 VSA589721:VSD589721 WBW589721:WBZ589721 WLS589721:WLV589721 WVO589721:WVR589721 D655257:G655257 JC655257:JF655257 SY655257:TB655257 ACU655257:ACX655257 AMQ655257:AMT655257 AWM655257:AWP655257 BGI655257:BGL655257 BQE655257:BQH655257 CAA655257:CAD655257 CJW655257:CJZ655257 CTS655257:CTV655257 DDO655257:DDR655257 DNK655257:DNN655257 DXG655257:DXJ655257 EHC655257:EHF655257 EQY655257:ERB655257 FAU655257:FAX655257 FKQ655257:FKT655257 FUM655257:FUP655257 GEI655257:GEL655257 GOE655257:GOH655257 GYA655257:GYD655257 HHW655257:HHZ655257 HRS655257:HRV655257 IBO655257:IBR655257 ILK655257:ILN655257 IVG655257:IVJ655257 JFC655257:JFF655257 JOY655257:JPB655257 JYU655257:JYX655257 KIQ655257:KIT655257 KSM655257:KSP655257 LCI655257:LCL655257 LME655257:LMH655257 LWA655257:LWD655257 MFW655257:MFZ655257 MPS655257:MPV655257 MZO655257:MZR655257 NJK655257:NJN655257 NTG655257:NTJ655257 ODC655257:ODF655257 OMY655257:ONB655257 OWU655257:OWX655257 PGQ655257:PGT655257 PQM655257:PQP655257 QAI655257:QAL655257 QKE655257:QKH655257 QUA655257:QUD655257 RDW655257:RDZ655257 RNS655257:RNV655257 RXO655257:RXR655257 SHK655257:SHN655257 SRG655257:SRJ655257 TBC655257:TBF655257 TKY655257:TLB655257 TUU655257:TUX655257 UEQ655257:UET655257 UOM655257:UOP655257 UYI655257:UYL655257 VIE655257:VIH655257 VSA655257:VSD655257 WBW655257:WBZ655257 WLS655257:WLV655257 WVO655257:WVR655257 D720793:G720793 JC720793:JF720793 SY720793:TB720793 ACU720793:ACX720793 AMQ720793:AMT720793 AWM720793:AWP720793 BGI720793:BGL720793 BQE720793:BQH720793 CAA720793:CAD720793 CJW720793:CJZ720793 CTS720793:CTV720793 DDO720793:DDR720793 DNK720793:DNN720793 DXG720793:DXJ720793 EHC720793:EHF720793 EQY720793:ERB720793 FAU720793:FAX720793 FKQ720793:FKT720793 FUM720793:FUP720793 GEI720793:GEL720793 GOE720793:GOH720793 GYA720793:GYD720793 HHW720793:HHZ720793 HRS720793:HRV720793 IBO720793:IBR720793 ILK720793:ILN720793 IVG720793:IVJ720793 JFC720793:JFF720793 JOY720793:JPB720793 JYU720793:JYX720793 KIQ720793:KIT720793 KSM720793:KSP720793 LCI720793:LCL720793 LME720793:LMH720793 LWA720793:LWD720793 MFW720793:MFZ720793 MPS720793:MPV720793 MZO720793:MZR720793 NJK720793:NJN720793 NTG720793:NTJ720793 ODC720793:ODF720793 OMY720793:ONB720793 OWU720793:OWX720793 PGQ720793:PGT720793 PQM720793:PQP720793 QAI720793:QAL720793 QKE720793:QKH720793 QUA720793:QUD720793 RDW720793:RDZ720793 RNS720793:RNV720793 RXO720793:RXR720793 SHK720793:SHN720793 SRG720793:SRJ720793 TBC720793:TBF720793 TKY720793:TLB720793 TUU720793:TUX720793 UEQ720793:UET720793 UOM720793:UOP720793 UYI720793:UYL720793 VIE720793:VIH720793 VSA720793:VSD720793 WBW720793:WBZ720793 WLS720793:WLV720793 WVO720793:WVR720793 D786329:G786329 JC786329:JF786329 SY786329:TB786329 ACU786329:ACX786329 AMQ786329:AMT786329 AWM786329:AWP786329 BGI786329:BGL786329 BQE786329:BQH786329 CAA786329:CAD786329 CJW786329:CJZ786329 CTS786329:CTV786329 DDO786329:DDR786329 DNK786329:DNN786329 DXG786329:DXJ786329 EHC786329:EHF786329 EQY786329:ERB786329 FAU786329:FAX786329 FKQ786329:FKT786329 FUM786329:FUP786329 GEI786329:GEL786329 GOE786329:GOH786329 GYA786329:GYD786329 HHW786329:HHZ786329 HRS786329:HRV786329 IBO786329:IBR786329 ILK786329:ILN786329 IVG786329:IVJ786329 JFC786329:JFF786329 JOY786329:JPB786329 JYU786329:JYX786329 KIQ786329:KIT786329 KSM786329:KSP786329 LCI786329:LCL786329 LME786329:LMH786329 LWA786329:LWD786329 MFW786329:MFZ786329 MPS786329:MPV786329 MZO786329:MZR786329 NJK786329:NJN786329 NTG786329:NTJ786329 ODC786329:ODF786329 OMY786329:ONB786329 OWU786329:OWX786329 PGQ786329:PGT786329 PQM786329:PQP786329 QAI786329:QAL786329 QKE786329:QKH786329 QUA786329:QUD786329 RDW786329:RDZ786329 RNS786329:RNV786329 RXO786329:RXR786329 SHK786329:SHN786329 SRG786329:SRJ786329 TBC786329:TBF786329 TKY786329:TLB786329 TUU786329:TUX786329 UEQ786329:UET786329 UOM786329:UOP786329 UYI786329:UYL786329 VIE786329:VIH786329 VSA786329:VSD786329 WBW786329:WBZ786329 WLS786329:WLV786329 WVO786329:WVR786329 D851865:G851865 JC851865:JF851865 SY851865:TB851865 ACU851865:ACX851865 AMQ851865:AMT851865 AWM851865:AWP851865 BGI851865:BGL851865 BQE851865:BQH851865 CAA851865:CAD851865 CJW851865:CJZ851865 CTS851865:CTV851865 DDO851865:DDR851865 DNK851865:DNN851865 DXG851865:DXJ851865 EHC851865:EHF851865 EQY851865:ERB851865 FAU851865:FAX851865 FKQ851865:FKT851865 FUM851865:FUP851865 GEI851865:GEL851865 GOE851865:GOH851865 GYA851865:GYD851865 HHW851865:HHZ851865 HRS851865:HRV851865 IBO851865:IBR851865 ILK851865:ILN851865 IVG851865:IVJ851865 JFC851865:JFF851865 JOY851865:JPB851865 JYU851865:JYX851865 KIQ851865:KIT851865 KSM851865:KSP851865 LCI851865:LCL851865 LME851865:LMH851865 LWA851865:LWD851865 MFW851865:MFZ851865 MPS851865:MPV851865 MZO851865:MZR851865 NJK851865:NJN851865 NTG851865:NTJ851865 ODC851865:ODF851865 OMY851865:ONB851865 OWU851865:OWX851865 PGQ851865:PGT851865 PQM851865:PQP851865 QAI851865:QAL851865 QKE851865:QKH851865 QUA851865:QUD851865 RDW851865:RDZ851865 RNS851865:RNV851865 RXO851865:RXR851865 SHK851865:SHN851865 SRG851865:SRJ851865 TBC851865:TBF851865 TKY851865:TLB851865 TUU851865:TUX851865 UEQ851865:UET851865 UOM851865:UOP851865 UYI851865:UYL851865 VIE851865:VIH851865 VSA851865:VSD851865 WBW851865:WBZ851865 WLS851865:WLV851865 WVO851865:WVR851865 D917401:G917401 JC917401:JF917401 SY917401:TB917401 ACU917401:ACX917401 AMQ917401:AMT917401 AWM917401:AWP917401 BGI917401:BGL917401 BQE917401:BQH917401 CAA917401:CAD917401 CJW917401:CJZ917401 CTS917401:CTV917401 DDO917401:DDR917401 DNK917401:DNN917401 DXG917401:DXJ917401 EHC917401:EHF917401 EQY917401:ERB917401 FAU917401:FAX917401 FKQ917401:FKT917401 FUM917401:FUP917401 GEI917401:GEL917401 GOE917401:GOH917401 GYA917401:GYD917401 HHW917401:HHZ917401 HRS917401:HRV917401 IBO917401:IBR917401 ILK917401:ILN917401 IVG917401:IVJ917401 JFC917401:JFF917401 JOY917401:JPB917401 JYU917401:JYX917401 KIQ917401:KIT917401 KSM917401:KSP917401 LCI917401:LCL917401 LME917401:LMH917401 LWA917401:LWD917401 MFW917401:MFZ917401 MPS917401:MPV917401 MZO917401:MZR917401 NJK917401:NJN917401 NTG917401:NTJ917401 ODC917401:ODF917401 OMY917401:ONB917401 OWU917401:OWX917401 PGQ917401:PGT917401 PQM917401:PQP917401 QAI917401:QAL917401 QKE917401:QKH917401 QUA917401:QUD917401 RDW917401:RDZ917401 RNS917401:RNV917401 RXO917401:RXR917401 SHK917401:SHN917401 SRG917401:SRJ917401 TBC917401:TBF917401 TKY917401:TLB917401 TUU917401:TUX917401 UEQ917401:UET917401 UOM917401:UOP917401 UYI917401:UYL917401 VIE917401:VIH917401 VSA917401:VSD917401 WBW917401:WBZ917401 WLS917401:WLV917401 WVO917401:WVR917401 D982937:G982937 JC982937:JF982937 SY982937:TB982937 ACU982937:ACX982937 AMQ982937:AMT982937 AWM982937:AWP982937 BGI982937:BGL982937 BQE982937:BQH982937 CAA982937:CAD982937 CJW982937:CJZ982937 CTS982937:CTV982937 DDO982937:DDR982937 DNK982937:DNN982937 DXG982937:DXJ982937 EHC982937:EHF982937 EQY982937:ERB982937 FAU982937:FAX982937 FKQ982937:FKT982937 FUM982937:FUP982937 GEI982937:GEL982937 GOE982937:GOH982937 GYA982937:GYD982937 HHW982937:HHZ982937 HRS982937:HRV982937 IBO982937:IBR982937 ILK982937:ILN982937 IVG982937:IVJ982937 JFC982937:JFF982937 JOY982937:JPB982937 JYU982937:JYX982937 KIQ982937:KIT982937 KSM982937:KSP982937 LCI982937:LCL982937 LME982937:LMH982937 LWA982937:LWD982937 MFW982937:MFZ982937 MPS982937:MPV982937 MZO982937:MZR982937 NJK982937:NJN982937 NTG982937:NTJ982937 ODC982937:ODF982937 OMY982937:ONB982937 OWU982937:OWX982937 PGQ982937:PGT982937 PQM982937:PQP982937 QAI982937:QAL982937 QKE982937:QKH982937 QUA982937:QUD982937 RDW982937:RDZ982937 RNS982937:RNV982937 RXO982937:RXR982937 SHK982937:SHN982937 SRG982937:SRJ982937 TBC982937:TBF982937 TKY982937:TLB982937 TUU982937:TUX982937 UEQ982937:UET982937 UOM982937:UOP982937 UYI982937:UYL982937 VIE982937:VIH982937 VSA982937:VSD982937 WBW982937:WBZ982937 WLS982937:WLV982937 WVO982937:WVR982937 D65441:G65441 JC65441:JF65441 SY65441:TB65441 ACU65441:ACX65441 AMQ65441:AMT65441 AWM65441:AWP65441 BGI65441:BGL65441 BQE65441:BQH65441 CAA65441:CAD65441 CJW65441:CJZ65441 CTS65441:CTV65441 DDO65441:DDR65441 DNK65441:DNN65441 DXG65441:DXJ65441 EHC65441:EHF65441 EQY65441:ERB65441 FAU65441:FAX65441 FKQ65441:FKT65441 FUM65441:FUP65441 GEI65441:GEL65441 GOE65441:GOH65441 GYA65441:GYD65441 HHW65441:HHZ65441 HRS65441:HRV65441 IBO65441:IBR65441 ILK65441:ILN65441 IVG65441:IVJ65441 JFC65441:JFF65441 JOY65441:JPB65441 JYU65441:JYX65441 KIQ65441:KIT65441 KSM65441:KSP65441 LCI65441:LCL65441 LME65441:LMH65441 LWA65441:LWD65441 MFW65441:MFZ65441 MPS65441:MPV65441 MZO65441:MZR65441 NJK65441:NJN65441 NTG65441:NTJ65441 ODC65441:ODF65441 OMY65441:ONB65441 OWU65441:OWX65441 PGQ65441:PGT65441 PQM65441:PQP65441 QAI65441:QAL65441 QKE65441:QKH65441 QUA65441:QUD65441 RDW65441:RDZ65441 RNS65441:RNV65441 RXO65441:RXR65441 SHK65441:SHN65441 SRG65441:SRJ65441 TBC65441:TBF65441 TKY65441:TLB65441 TUU65441:TUX65441 UEQ65441:UET65441 UOM65441:UOP65441 UYI65441:UYL65441 VIE65441:VIH65441 VSA65441:VSD65441 WBW65441:WBZ65441 WLS65441:WLV65441 WVO65441:WVR65441 D130977:G130977 JC130977:JF130977 SY130977:TB130977 ACU130977:ACX130977 AMQ130977:AMT130977 AWM130977:AWP130977 BGI130977:BGL130977 BQE130977:BQH130977 CAA130977:CAD130977 CJW130977:CJZ130977 CTS130977:CTV130977 DDO130977:DDR130977 DNK130977:DNN130977 DXG130977:DXJ130977 EHC130977:EHF130977 EQY130977:ERB130977 FAU130977:FAX130977 FKQ130977:FKT130977 FUM130977:FUP130977 GEI130977:GEL130977 GOE130977:GOH130977 GYA130977:GYD130977 HHW130977:HHZ130977 HRS130977:HRV130977 IBO130977:IBR130977 ILK130977:ILN130977 IVG130977:IVJ130977 JFC130977:JFF130977 JOY130977:JPB130977 JYU130977:JYX130977 KIQ130977:KIT130977 KSM130977:KSP130977 LCI130977:LCL130977 LME130977:LMH130977 LWA130977:LWD130977 MFW130977:MFZ130977 MPS130977:MPV130977 MZO130977:MZR130977 NJK130977:NJN130977 NTG130977:NTJ130977 ODC130977:ODF130977 OMY130977:ONB130977 OWU130977:OWX130977 PGQ130977:PGT130977 PQM130977:PQP130977 QAI130977:QAL130977 QKE130977:QKH130977 QUA130977:QUD130977 RDW130977:RDZ130977 RNS130977:RNV130977 RXO130977:RXR130977 SHK130977:SHN130977 SRG130977:SRJ130977 TBC130977:TBF130977 TKY130977:TLB130977 TUU130977:TUX130977 UEQ130977:UET130977 UOM130977:UOP130977 UYI130977:UYL130977 VIE130977:VIH130977 VSA130977:VSD130977 WBW130977:WBZ130977 WLS130977:WLV130977 WVO130977:WVR130977 D196513:G196513 JC196513:JF196513 SY196513:TB196513 ACU196513:ACX196513 AMQ196513:AMT196513 AWM196513:AWP196513 BGI196513:BGL196513 BQE196513:BQH196513 CAA196513:CAD196513 CJW196513:CJZ196513 CTS196513:CTV196513 DDO196513:DDR196513 DNK196513:DNN196513 DXG196513:DXJ196513 EHC196513:EHF196513 EQY196513:ERB196513 FAU196513:FAX196513 FKQ196513:FKT196513 FUM196513:FUP196513 GEI196513:GEL196513 GOE196513:GOH196513 GYA196513:GYD196513 HHW196513:HHZ196513 HRS196513:HRV196513 IBO196513:IBR196513 ILK196513:ILN196513 IVG196513:IVJ196513 JFC196513:JFF196513 JOY196513:JPB196513 JYU196513:JYX196513 KIQ196513:KIT196513 KSM196513:KSP196513 LCI196513:LCL196513 LME196513:LMH196513 LWA196513:LWD196513 MFW196513:MFZ196513 MPS196513:MPV196513 MZO196513:MZR196513 NJK196513:NJN196513 NTG196513:NTJ196513 ODC196513:ODF196513 OMY196513:ONB196513 OWU196513:OWX196513 PGQ196513:PGT196513 PQM196513:PQP196513 QAI196513:QAL196513 QKE196513:QKH196513 QUA196513:QUD196513 RDW196513:RDZ196513 RNS196513:RNV196513 RXO196513:RXR196513 SHK196513:SHN196513 SRG196513:SRJ196513 TBC196513:TBF196513 TKY196513:TLB196513 TUU196513:TUX196513 UEQ196513:UET196513 UOM196513:UOP196513 UYI196513:UYL196513 VIE196513:VIH196513 VSA196513:VSD196513 WBW196513:WBZ196513 WLS196513:WLV196513 WVO196513:WVR196513 D262049:G262049 JC262049:JF262049 SY262049:TB262049 ACU262049:ACX262049 AMQ262049:AMT262049 AWM262049:AWP262049 BGI262049:BGL262049 BQE262049:BQH262049 CAA262049:CAD262049 CJW262049:CJZ262049 CTS262049:CTV262049 DDO262049:DDR262049 DNK262049:DNN262049 DXG262049:DXJ262049 EHC262049:EHF262049 EQY262049:ERB262049 FAU262049:FAX262049 FKQ262049:FKT262049 FUM262049:FUP262049 GEI262049:GEL262049 GOE262049:GOH262049 GYA262049:GYD262049 HHW262049:HHZ262049 HRS262049:HRV262049 IBO262049:IBR262049 ILK262049:ILN262049 IVG262049:IVJ262049 JFC262049:JFF262049 JOY262049:JPB262049 JYU262049:JYX262049 KIQ262049:KIT262049 KSM262049:KSP262049 LCI262049:LCL262049 LME262049:LMH262049 LWA262049:LWD262049 MFW262049:MFZ262049 MPS262049:MPV262049 MZO262049:MZR262049 NJK262049:NJN262049 NTG262049:NTJ262049 ODC262049:ODF262049 OMY262049:ONB262049 OWU262049:OWX262049 PGQ262049:PGT262049 PQM262049:PQP262049 QAI262049:QAL262049 QKE262049:QKH262049 QUA262049:QUD262049 RDW262049:RDZ262049 RNS262049:RNV262049 RXO262049:RXR262049 SHK262049:SHN262049 SRG262049:SRJ262049 TBC262049:TBF262049 TKY262049:TLB262049 TUU262049:TUX262049 UEQ262049:UET262049 UOM262049:UOP262049 UYI262049:UYL262049 VIE262049:VIH262049 VSA262049:VSD262049 WBW262049:WBZ262049 WLS262049:WLV262049 WVO262049:WVR262049 D327585:G327585 JC327585:JF327585 SY327585:TB327585 ACU327585:ACX327585 AMQ327585:AMT327585 AWM327585:AWP327585 BGI327585:BGL327585 BQE327585:BQH327585 CAA327585:CAD327585 CJW327585:CJZ327585 CTS327585:CTV327585 DDO327585:DDR327585 DNK327585:DNN327585 DXG327585:DXJ327585 EHC327585:EHF327585 EQY327585:ERB327585 FAU327585:FAX327585 FKQ327585:FKT327585 FUM327585:FUP327585 GEI327585:GEL327585 GOE327585:GOH327585 GYA327585:GYD327585 HHW327585:HHZ327585 HRS327585:HRV327585 IBO327585:IBR327585 ILK327585:ILN327585 IVG327585:IVJ327585 JFC327585:JFF327585 JOY327585:JPB327585 JYU327585:JYX327585 KIQ327585:KIT327585 KSM327585:KSP327585 LCI327585:LCL327585 LME327585:LMH327585 LWA327585:LWD327585 MFW327585:MFZ327585 MPS327585:MPV327585 MZO327585:MZR327585 NJK327585:NJN327585 NTG327585:NTJ327585 ODC327585:ODF327585 OMY327585:ONB327585 OWU327585:OWX327585 PGQ327585:PGT327585 PQM327585:PQP327585 QAI327585:QAL327585 QKE327585:QKH327585 QUA327585:QUD327585 RDW327585:RDZ327585 RNS327585:RNV327585 RXO327585:RXR327585 SHK327585:SHN327585 SRG327585:SRJ327585 TBC327585:TBF327585 TKY327585:TLB327585 TUU327585:TUX327585 UEQ327585:UET327585 UOM327585:UOP327585 UYI327585:UYL327585 VIE327585:VIH327585 VSA327585:VSD327585 WBW327585:WBZ327585 WLS327585:WLV327585 WVO327585:WVR327585 D393121:G393121 JC393121:JF393121 SY393121:TB393121 ACU393121:ACX393121 AMQ393121:AMT393121 AWM393121:AWP393121 BGI393121:BGL393121 BQE393121:BQH393121 CAA393121:CAD393121 CJW393121:CJZ393121 CTS393121:CTV393121 DDO393121:DDR393121 DNK393121:DNN393121 DXG393121:DXJ393121 EHC393121:EHF393121 EQY393121:ERB393121 FAU393121:FAX393121 FKQ393121:FKT393121 FUM393121:FUP393121 GEI393121:GEL393121 GOE393121:GOH393121 GYA393121:GYD393121 HHW393121:HHZ393121 HRS393121:HRV393121 IBO393121:IBR393121 ILK393121:ILN393121 IVG393121:IVJ393121 JFC393121:JFF393121 JOY393121:JPB393121 JYU393121:JYX393121 KIQ393121:KIT393121 KSM393121:KSP393121 LCI393121:LCL393121 LME393121:LMH393121 LWA393121:LWD393121 MFW393121:MFZ393121 MPS393121:MPV393121 MZO393121:MZR393121 NJK393121:NJN393121 NTG393121:NTJ393121 ODC393121:ODF393121 OMY393121:ONB393121 OWU393121:OWX393121 PGQ393121:PGT393121 PQM393121:PQP393121 QAI393121:QAL393121 QKE393121:QKH393121 QUA393121:QUD393121 RDW393121:RDZ393121 RNS393121:RNV393121 RXO393121:RXR393121 SHK393121:SHN393121 SRG393121:SRJ393121 TBC393121:TBF393121 TKY393121:TLB393121 TUU393121:TUX393121 UEQ393121:UET393121 UOM393121:UOP393121 UYI393121:UYL393121 VIE393121:VIH393121 VSA393121:VSD393121 WBW393121:WBZ393121 WLS393121:WLV393121 WVO393121:WVR393121 D458657:G458657 JC458657:JF458657 SY458657:TB458657 ACU458657:ACX458657 AMQ458657:AMT458657 AWM458657:AWP458657 BGI458657:BGL458657 BQE458657:BQH458657 CAA458657:CAD458657 CJW458657:CJZ458657 CTS458657:CTV458657 DDO458657:DDR458657 DNK458657:DNN458657 DXG458657:DXJ458657 EHC458657:EHF458657 EQY458657:ERB458657 FAU458657:FAX458657 FKQ458657:FKT458657 FUM458657:FUP458657 GEI458657:GEL458657 GOE458657:GOH458657 GYA458657:GYD458657 HHW458657:HHZ458657 HRS458657:HRV458657 IBO458657:IBR458657 ILK458657:ILN458657 IVG458657:IVJ458657 JFC458657:JFF458657 JOY458657:JPB458657 JYU458657:JYX458657 KIQ458657:KIT458657 KSM458657:KSP458657 LCI458657:LCL458657 LME458657:LMH458657 LWA458657:LWD458657 MFW458657:MFZ458657 MPS458657:MPV458657 MZO458657:MZR458657 NJK458657:NJN458657 NTG458657:NTJ458657 ODC458657:ODF458657 OMY458657:ONB458657 OWU458657:OWX458657 PGQ458657:PGT458657 PQM458657:PQP458657 QAI458657:QAL458657 QKE458657:QKH458657 QUA458657:QUD458657 RDW458657:RDZ458657 RNS458657:RNV458657 RXO458657:RXR458657 SHK458657:SHN458657 SRG458657:SRJ458657 TBC458657:TBF458657 TKY458657:TLB458657 TUU458657:TUX458657 UEQ458657:UET458657 UOM458657:UOP458657 UYI458657:UYL458657 VIE458657:VIH458657 VSA458657:VSD458657 WBW458657:WBZ458657 WLS458657:WLV458657 WVO458657:WVR458657 D524193:G524193 JC524193:JF524193 SY524193:TB524193 ACU524193:ACX524193 AMQ524193:AMT524193 AWM524193:AWP524193 BGI524193:BGL524193 BQE524193:BQH524193 CAA524193:CAD524193 CJW524193:CJZ524193 CTS524193:CTV524193 DDO524193:DDR524193 DNK524193:DNN524193 DXG524193:DXJ524193 EHC524193:EHF524193 EQY524193:ERB524193 FAU524193:FAX524193 FKQ524193:FKT524193 FUM524193:FUP524193 GEI524193:GEL524193 GOE524193:GOH524193 GYA524193:GYD524193 HHW524193:HHZ524193 HRS524193:HRV524193 IBO524193:IBR524193 ILK524193:ILN524193 IVG524193:IVJ524193 JFC524193:JFF524193 JOY524193:JPB524193 JYU524193:JYX524193 KIQ524193:KIT524193 KSM524193:KSP524193 LCI524193:LCL524193 LME524193:LMH524193 LWA524193:LWD524193 MFW524193:MFZ524193 MPS524193:MPV524193 MZO524193:MZR524193 NJK524193:NJN524193 NTG524193:NTJ524193 ODC524193:ODF524193 OMY524193:ONB524193 OWU524193:OWX524193 PGQ524193:PGT524193 PQM524193:PQP524193 QAI524193:QAL524193 QKE524193:QKH524193 QUA524193:QUD524193 RDW524193:RDZ524193 RNS524193:RNV524193 RXO524193:RXR524193 SHK524193:SHN524193 SRG524193:SRJ524193 TBC524193:TBF524193 TKY524193:TLB524193 TUU524193:TUX524193 UEQ524193:UET524193 UOM524193:UOP524193 UYI524193:UYL524193 VIE524193:VIH524193 VSA524193:VSD524193 WBW524193:WBZ524193 WLS524193:WLV524193 WVO524193:WVR524193 D589729:G589729 JC589729:JF589729 SY589729:TB589729 ACU589729:ACX589729 AMQ589729:AMT589729 AWM589729:AWP589729 BGI589729:BGL589729 BQE589729:BQH589729 CAA589729:CAD589729 CJW589729:CJZ589729 CTS589729:CTV589729 DDO589729:DDR589729 DNK589729:DNN589729 DXG589729:DXJ589729 EHC589729:EHF589729 EQY589729:ERB589729 FAU589729:FAX589729 FKQ589729:FKT589729 FUM589729:FUP589729 GEI589729:GEL589729 GOE589729:GOH589729 GYA589729:GYD589729 HHW589729:HHZ589729 HRS589729:HRV589729 IBO589729:IBR589729 ILK589729:ILN589729 IVG589729:IVJ589729 JFC589729:JFF589729 JOY589729:JPB589729 JYU589729:JYX589729 KIQ589729:KIT589729 KSM589729:KSP589729 LCI589729:LCL589729 LME589729:LMH589729 LWA589729:LWD589729 MFW589729:MFZ589729 MPS589729:MPV589729 MZO589729:MZR589729 NJK589729:NJN589729 NTG589729:NTJ589729 ODC589729:ODF589729 OMY589729:ONB589729 OWU589729:OWX589729 PGQ589729:PGT589729 PQM589729:PQP589729 QAI589729:QAL589729 QKE589729:QKH589729 QUA589729:QUD589729 RDW589729:RDZ589729 RNS589729:RNV589729 RXO589729:RXR589729 SHK589729:SHN589729 SRG589729:SRJ589729 TBC589729:TBF589729 TKY589729:TLB589729 TUU589729:TUX589729 UEQ589729:UET589729 UOM589729:UOP589729 UYI589729:UYL589729 VIE589729:VIH589729 VSA589729:VSD589729 WBW589729:WBZ589729 WLS589729:WLV589729 WVO589729:WVR589729 D655265:G655265 JC655265:JF655265 SY655265:TB655265 ACU655265:ACX655265 AMQ655265:AMT655265 AWM655265:AWP655265 BGI655265:BGL655265 BQE655265:BQH655265 CAA655265:CAD655265 CJW655265:CJZ655265 CTS655265:CTV655265 DDO655265:DDR655265 DNK655265:DNN655265 DXG655265:DXJ655265 EHC655265:EHF655265 EQY655265:ERB655265 FAU655265:FAX655265 FKQ655265:FKT655265 FUM655265:FUP655265 GEI655265:GEL655265 GOE655265:GOH655265 GYA655265:GYD655265 HHW655265:HHZ655265 HRS655265:HRV655265 IBO655265:IBR655265 ILK655265:ILN655265 IVG655265:IVJ655265 JFC655265:JFF655265 JOY655265:JPB655265 JYU655265:JYX655265 KIQ655265:KIT655265 KSM655265:KSP655265 LCI655265:LCL655265 LME655265:LMH655265 LWA655265:LWD655265 MFW655265:MFZ655265 MPS655265:MPV655265 MZO655265:MZR655265 NJK655265:NJN655265 NTG655265:NTJ655265 ODC655265:ODF655265 OMY655265:ONB655265 OWU655265:OWX655265 PGQ655265:PGT655265 PQM655265:PQP655265 QAI655265:QAL655265 QKE655265:QKH655265 QUA655265:QUD655265 RDW655265:RDZ655265 RNS655265:RNV655265 RXO655265:RXR655265 SHK655265:SHN655265 SRG655265:SRJ655265 TBC655265:TBF655265 TKY655265:TLB655265 TUU655265:TUX655265 UEQ655265:UET655265 UOM655265:UOP655265 UYI655265:UYL655265 VIE655265:VIH655265 VSA655265:VSD655265 WBW655265:WBZ655265 WLS655265:WLV655265 WVO655265:WVR655265 D720801:G720801 JC720801:JF720801 SY720801:TB720801 ACU720801:ACX720801 AMQ720801:AMT720801 AWM720801:AWP720801 BGI720801:BGL720801 BQE720801:BQH720801 CAA720801:CAD720801 CJW720801:CJZ720801 CTS720801:CTV720801 DDO720801:DDR720801 DNK720801:DNN720801 DXG720801:DXJ720801 EHC720801:EHF720801 EQY720801:ERB720801 FAU720801:FAX720801 FKQ720801:FKT720801 FUM720801:FUP720801 GEI720801:GEL720801 GOE720801:GOH720801 GYA720801:GYD720801 HHW720801:HHZ720801 HRS720801:HRV720801 IBO720801:IBR720801 ILK720801:ILN720801 IVG720801:IVJ720801 JFC720801:JFF720801 JOY720801:JPB720801 JYU720801:JYX720801 KIQ720801:KIT720801 KSM720801:KSP720801 LCI720801:LCL720801 LME720801:LMH720801 LWA720801:LWD720801 MFW720801:MFZ720801 MPS720801:MPV720801 MZO720801:MZR720801 NJK720801:NJN720801 NTG720801:NTJ720801 ODC720801:ODF720801 OMY720801:ONB720801 OWU720801:OWX720801 PGQ720801:PGT720801 PQM720801:PQP720801 QAI720801:QAL720801 QKE720801:QKH720801 QUA720801:QUD720801 RDW720801:RDZ720801 RNS720801:RNV720801 RXO720801:RXR720801 SHK720801:SHN720801 SRG720801:SRJ720801 TBC720801:TBF720801 TKY720801:TLB720801 TUU720801:TUX720801 UEQ720801:UET720801 UOM720801:UOP720801 UYI720801:UYL720801 VIE720801:VIH720801 VSA720801:VSD720801 WBW720801:WBZ720801 WLS720801:WLV720801 WVO720801:WVR720801 D786337:G786337 JC786337:JF786337 SY786337:TB786337 ACU786337:ACX786337 AMQ786337:AMT786337 AWM786337:AWP786337 BGI786337:BGL786337 BQE786337:BQH786337 CAA786337:CAD786337 CJW786337:CJZ786337 CTS786337:CTV786337 DDO786337:DDR786337 DNK786337:DNN786337 DXG786337:DXJ786337 EHC786337:EHF786337 EQY786337:ERB786337 FAU786337:FAX786337 FKQ786337:FKT786337 FUM786337:FUP786337 GEI786337:GEL786337 GOE786337:GOH786337 GYA786337:GYD786337 HHW786337:HHZ786337 HRS786337:HRV786337 IBO786337:IBR786337 ILK786337:ILN786337 IVG786337:IVJ786337 JFC786337:JFF786337 JOY786337:JPB786337 JYU786337:JYX786337 KIQ786337:KIT786337 KSM786337:KSP786337 LCI786337:LCL786337 LME786337:LMH786337 LWA786337:LWD786337 MFW786337:MFZ786337 MPS786337:MPV786337 MZO786337:MZR786337 NJK786337:NJN786337 NTG786337:NTJ786337 ODC786337:ODF786337 OMY786337:ONB786337 OWU786337:OWX786337 PGQ786337:PGT786337 PQM786337:PQP786337 QAI786337:QAL786337 QKE786337:QKH786337 QUA786337:QUD786337 RDW786337:RDZ786337 RNS786337:RNV786337 RXO786337:RXR786337 SHK786337:SHN786337 SRG786337:SRJ786337 TBC786337:TBF786337 TKY786337:TLB786337 TUU786337:TUX786337 UEQ786337:UET786337 UOM786337:UOP786337 UYI786337:UYL786337 VIE786337:VIH786337 VSA786337:VSD786337 WBW786337:WBZ786337 WLS786337:WLV786337 WVO786337:WVR786337 D851873:G851873 JC851873:JF851873 SY851873:TB851873 ACU851873:ACX851873 AMQ851873:AMT851873 AWM851873:AWP851873 BGI851873:BGL851873 BQE851873:BQH851873 CAA851873:CAD851873 CJW851873:CJZ851873 CTS851873:CTV851873 DDO851873:DDR851873 DNK851873:DNN851873 DXG851873:DXJ851873 EHC851873:EHF851873 EQY851873:ERB851873 FAU851873:FAX851873 FKQ851873:FKT851873 FUM851873:FUP851873 GEI851873:GEL851873 GOE851873:GOH851873 GYA851873:GYD851873 HHW851873:HHZ851873 HRS851873:HRV851873 IBO851873:IBR851873 ILK851873:ILN851873 IVG851873:IVJ851873 JFC851873:JFF851873 JOY851873:JPB851873 JYU851873:JYX851873 KIQ851873:KIT851873 KSM851873:KSP851873 LCI851873:LCL851873 LME851873:LMH851873 LWA851873:LWD851873 MFW851873:MFZ851873 MPS851873:MPV851873 MZO851873:MZR851873 NJK851873:NJN851873 NTG851873:NTJ851873 ODC851873:ODF851873 OMY851873:ONB851873 OWU851873:OWX851873 PGQ851873:PGT851873 PQM851873:PQP851873 QAI851873:QAL851873 QKE851873:QKH851873 QUA851873:QUD851873 RDW851873:RDZ851873 RNS851873:RNV851873 RXO851873:RXR851873 SHK851873:SHN851873 SRG851873:SRJ851873 TBC851873:TBF851873 TKY851873:TLB851873 TUU851873:TUX851873 UEQ851873:UET851873 UOM851873:UOP851873 UYI851873:UYL851873 VIE851873:VIH851873 VSA851873:VSD851873 WBW851873:WBZ851873 WLS851873:WLV851873 WVO851873:WVR851873 D917409:G917409 JC917409:JF917409 SY917409:TB917409 ACU917409:ACX917409 AMQ917409:AMT917409 AWM917409:AWP917409 BGI917409:BGL917409 BQE917409:BQH917409 CAA917409:CAD917409 CJW917409:CJZ917409 CTS917409:CTV917409 DDO917409:DDR917409 DNK917409:DNN917409 DXG917409:DXJ917409 EHC917409:EHF917409 EQY917409:ERB917409 FAU917409:FAX917409 FKQ917409:FKT917409 FUM917409:FUP917409 GEI917409:GEL917409 GOE917409:GOH917409 GYA917409:GYD917409 HHW917409:HHZ917409 HRS917409:HRV917409 IBO917409:IBR917409 ILK917409:ILN917409 IVG917409:IVJ917409 JFC917409:JFF917409 JOY917409:JPB917409 JYU917409:JYX917409 KIQ917409:KIT917409 KSM917409:KSP917409 LCI917409:LCL917409 LME917409:LMH917409 LWA917409:LWD917409 MFW917409:MFZ917409 MPS917409:MPV917409 MZO917409:MZR917409 NJK917409:NJN917409 NTG917409:NTJ917409 ODC917409:ODF917409 OMY917409:ONB917409 OWU917409:OWX917409 PGQ917409:PGT917409 PQM917409:PQP917409 QAI917409:QAL917409 QKE917409:QKH917409 QUA917409:QUD917409 RDW917409:RDZ917409 RNS917409:RNV917409 RXO917409:RXR917409 SHK917409:SHN917409 SRG917409:SRJ917409 TBC917409:TBF917409 TKY917409:TLB917409 TUU917409:TUX917409 UEQ917409:UET917409 UOM917409:UOP917409 UYI917409:UYL917409 VIE917409:VIH917409 VSA917409:VSD917409 WBW917409:WBZ917409 WLS917409:WLV917409 WVO917409:WVR917409 D982945:G982945 JC982945:JF982945 SY982945:TB982945 ACU982945:ACX982945 AMQ982945:AMT982945 AWM982945:AWP982945 BGI982945:BGL982945 BQE982945:BQH982945 CAA982945:CAD982945 CJW982945:CJZ982945 CTS982945:CTV982945 DDO982945:DDR982945 DNK982945:DNN982945 DXG982945:DXJ982945 EHC982945:EHF982945 EQY982945:ERB982945 FAU982945:FAX982945 FKQ982945:FKT982945 FUM982945:FUP982945 GEI982945:GEL982945 GOE982945:GOH982945 GYA982945:GYD982945 HHW982945:HHZ982945 HRS982945:HRV982945 IBO982945:IBR982945 ILK982945:ILN982945 IVG982945:IVJ982945 JFC982945:JFF982945 JOY982945:JPB982945 JYU982945:JYX982945 KIQ982945:KIT982945 KSM982945:KSP982945 LCI982945:LCL982945 LME982945:LMH982945 LWA982945:LWD982945 MFW982945:MFZ982945 MPS982945:MPV982945 MZO982945:MZR982945 NJK982945:NJN982945 NTG982945:NTJ982945 ODC982945:ODF982945 OMY982945:ONB982945 OWU982945:OWX982945 PGQ982945:PGT982945 PQM982945:PQP982945 QAI982945:QAL982945 QKE982945:QKH982945 QUA982945:QUD982945 RDW982945:RDZ982945 RNS982945:RNV982945 RXO982945:RXR982945 SHK982945:SHN982945 SRG982945:SRJ982945 TBC982945:TBF982945 TKY982945:TLB982945 TUU982945:TUX982945 UEQ982945:UET982945 UOM982945:UOP982945 UYI982945:UYL982945 VIE982945:VIH982945 VSA982945:VSD982945 WBW982945:WBZ982945 WLS982945:WLV982945 WVO982945:WVR982945 D65431:D65432 JC65431:JC65432 SY65431:SY65432 ACU65431:ACU65432 AMQ65431:AMQ65432 AWM65431:AWM65432 BGI65431:BGI65432 BQE65431:BQE65432 CAA65431:CAA65432 CJW65431:CJW65432 CTS65431:CTS65432 DDO65431:DDO65432 DNK65431:DNK65432 DXG65431:DXG65432 EHC65431:EHC65432 EQY65431:EQY65432 FAU65431:FAU65432 FKQ65431:FKQ65432 FUM65431:FUM65432 GEI65431:GEI65432 GOE65431:GOE65432 GYA65431:GYA65432 HHW65431:HHW65432 HRS65431:HRS65432 IBO65431:IBO65432 ILK65431:ILK65432 IVG65431:IVG65432 JFC65431:JFC65432 JOY65431:JOY65432 JYU65431:JYU65432 KIQ65431:KIQ65432 KSM65431:KSM65432 LCI65431:LCI65432 LME65431:LME65432 LWA65431:LWA65432 MFW65431:MFW65432 MPS65431:MPS65432 MZO65431:MZO65432 NJK65431:NJK65432 NTG65431:NTG65432 ODC65431:ODC65432 OMY65431:OMY65432 OWU65431:OWU65432 PGQ65431:PGQ65432 PQM65431:PQM65432 QAI65431:QAI65432 QKE65431:QKE65432 QUA65431:QUA65432 RDW65431:RDW65432 RNS65431:RNS65432 RXO65431:RXO65432 SHK65431:SHK65432 SRG65431:SRG65432 TBC65431:TBC65432 TKY65431:TKY65432 TUU65431:TUU65432 UEQ65431:UEQ65432 UOM65431:UOM65432 UYI65431:UYI65432 VIE65431:VIE65432 VSA65431:VSA65432 WBW65431:WBW65432 WLS65431:WLS65432 WVO65431:WVO65432 D130967:D130968 JC130967:JC130968 SY130967:SY130968 ACU130967:ACU130968 AMQ130967:AMQ130968 AWM130967:AWM130968 BGI130967:BGI130968 BQE130967:BQE130968 CAA130967:CAA130968 CJW130967:CJW130968 CTS130967:CTS130968 DDO130967:DDO130968 DNK130967:DNK130968 DXG130967:DXG130968 EHC130967:EHC130968 EQY130967:EQY130968 FAU130967:FAU130968 FKQ130967:FKQ130968 FUM130967:FUM130968 GEI130967:GEI130968 GOE130967:GOE130968 GYA130967:GYA130968 HHW130967:HHW130968 HRS130967:HRS130968 IBO130967:IBO130968 ILK130967:ILK130968 IVG130967:IVG130968 JFC130967:JFC130968 JOY130967:JOY130968 JYU130967:JYU130968 KIQ130967:KIQ130968 KSM130967:KSM130968 LCI130967:LCI130968 LME130967:LME130968 LWA130967:LWA130968 MFW130967:MFW130968 MPS130967:MPS130968 MZO130967:MZO130968 NJK130967:NJK130968 NTG130967:NTG130968 ODC130967:ODC130968 OMY130967:OMY130968 OWU130967:OWU130968 PGQ130967:PGQ130968 PQM130967:PQM130968 QAI130967:QAI130968 QKE130967:QKE130968 QUA130967:QUA130968 RDW130967:RDW130968 RNS130967:RNS130968 RXO130967:RXO130968 SHK130967:SHK130968 SRG130967:SRG130968 TBC130967:TBC130968 TKY130967:TKY130968 TUU130967:TUU130968 UEQ130967:UEQ130968 UOM130967:UOM130968 UYI130967:UYI130968 VIE130967:VIE130968 VSA130967:VSA130968 WBW130967:WBW130968 WLS130967:WLS130968 WVO130967:WVO130968 D196503:D196504 JC196503:JC196504 SY196503:SY196504 ACU196503:ACU196504 AMQ196503:AMQ196504 AWM196503:AWM196504 BGI196503:BGI196504 BQE196503:BQE196504 CAA196503:CAA196504 CJW196503:CJW196504 CTS196503:CTS196504 DDO196503:DDO196504 DNK196503:DNK196504 DXG196503:DXG196504 EHC196503:EHC196504 EQY196503:EQY196504 FAU196503:FAU196504 FKQ196503:FKQ196504 FUM196503:FUM196504 GEI196503:GEI196504 GOE196503:GOE196504 GYA196503:GYA196504 HHW196503:HHW196504 HRS196503:HRS196504 IBO196503:IBO196504 ILK196503:ILK196504 IVG196503:IVG196504 JFC196503:JFC196504 JOY196503:JOY196504 JYU196503:JYU196504 KIQ196503:KIQ196504 KSM196503:KSM196504 LCI196503:LCI196504 LME196503:LME196504 LWA196503:LWA196504 MFW196503:MFW196504 MPS196503:MPS196504 MZO196503:MZO196504 NJK196503:NJK196504 NTG196503:NTG196504 ODC196503:ODC196504 OMY196503:OMY196504 OWU196503:OWU196504 PGQ196503:PGQ196504 PQM196503:PQM196504 QAI196503:QAI196504 QKE196503:QKE196504 QUA196503:QUA196504 RDW196503:RDW196504 RNS196503:RNS196504 RXO196503:RXO196504 SHK196503:SHK196504 SRG196503:SRG196504 TBC196503:TBC196504 TKY196503:TKY196504 TUU196503:TUU196504 UEQ196503:UEQ196504 UOM196503:UOM196504 UYI196503:UYI196504 VIE196503:VIE196504 VSA196503:VSA196504 WBW196503:WBW196504 WLS196503:WLS196504 WVO196503:WVO196504 D262039:D262040 JC262039:JC262040 SY262039:SY262040 ACU262039:ACU262040 AMQ262039:AMQ262040 AWM262039:AWM262040 BGI262039:BGI262040 BQE262039:BQE262040 CAA262039:CAA262040 CJW262039:CJW262040 CTS262039:CTS262040 DDO262039:DDO262040 DNK262039:DNK262040 DXG262039:DXG262040 EHC262039:EHC262040 EQY262039:EQY262040 FAU262039:FAU262040 FKQ262039:FKQ262040 FUM262039:FUM262040 GEI262039:GEI262040 GOE262039:GOE262040 GYA262039:GYA262040 HHW262039:HHW262040 HRS262039:HRS262040 IBO262039:IBO262040 ILK262039:ILK262040 IVG262039:IVG262040 JFC262039:JFC262040 JOY262039:JOY262040 JYU262039:JYU262040 KIQ262039:KIQ262040 KSM262039:KSM262040 LCI262039:LCI262040 LME262039:LME262040 LWA262039:LWA262040 MFW262039:MFW262040 MPS262039:MPS262040 MZO262039:MZO262040 NJK262039:NJK262040 NTG262039:NTG262040 ODC262039:ODC262040 OMY262039:OMY262040 OWU262039:OWU262040 PGQ262039:PGQ262040 PQM262039:PQM262040 QAI262039:QAI262040 QKE262039:QKE262040 QUA262039:QUA262040 RDW262039:RDW262040 RNS262039:RNS262040 RXO262039:RXO262040 SHK262039:SHK262040 SRG262039:SRG262040 TBC262039:TBC262040 TKY262039:TKY262040 TUU262039:TUU262040 UEQ262039:UEQ262040 UOM262039:UOM262040 UYI262039:UYI262040 VIE262039:VIE262040 VSA262039:VSA262040 WBW262039:WBW262040 WLS262039:WLS262040 WVO262039:WVO262040 D327575:D327576 JC327575:JC327576 SY327575:SY327576 ACU327575:ACU327576 AMQ327575:AMQ327576 AWM327575:AWM327576 BGI327575:BGI327576 BQE327575:BQE327576 CAA327575:CAA327576 CJW327575:CJW327576 CTS327575:CTS327576 DDO327575:DDO327576 DNK327575:DNK327576 DXG327575:DXG327576 EHC327575:EHC327576 EQY327575:EQY327576 FAU327575:FAU327576 FKQ327575:FKQ327576 FUM327575:FUM327576 GEI327575:GEI327576 GOE327575:GOE327576 GYA327575:GYA327576 HHW327575:HHW327576 HRS327575:HRS327576 IBO327575:IBO327576 ILK327575:ILK327576 IVG327575:IVG327576 JFC327575:JFC327576 JOY327575:JOY327576 JYU327575:JYU327576 KIQ327575:KIQ327576 KSM327575:KSM327576 LCI327575:LCI327576 LME327575:LME327576 LWA327575:LWA327576 MFW327575:MFW327576 MPS327575:MPS327576 MZO327575:MZO327576 NJK327575:NJK327576 NTG327575:NTG327576 ODC327575:ODC327576 OMY327575:OMY327576 OWU327575:OWU327576 PGQ327575:PGQ327576 PQM327575:PQM327576 QAI327575:QAI327576 QKE327575:QKE327576 QUA327575:QUA327576 RDW327575:RDW327576 RNS327575:RNS327576 RXO327575:RXO327576 SHK327575:SHK327576 SRG327575:SRG327576 TBC327575:TBC327576 TKY327575:TKY327576 TUU327575:TUU327576 UEQ327575:UEQ327576 UOM327575:UOM327576 UYI327575:UYI327576 VIE327575:VIE327576 VSA327575:VSA327576 WBW327575:WBW327576 WLS327575:WLS327576 WVO327575:WVO327576 D393111:D393112 JC393111:JC393112 SY393111:SY393112 ACU393111:ACU393112 AMQ393111:AMQ393112 AWM393111:AWM393112 BGI393111:BGI393112 BQE393111:BQE393112 CAA393111:CAA393112 CJW393111:CJW393112 CTS393111:CTS393112 DDO393111:DDO393112 DNK393111:DNK393112 DXG393111:DXG393112 EHC393111:EHC393112 EQY393111:EQY393112 FAU393111:FAU393112 FKQ393111:FKQ393112 FUM393111:FUM393112 GEI393111:GEI393112 GOE393111:GOE393112 GYA393111:GYA393112 HHW393111:HHW393112 HRS393111:HRS393112 IBO393111:IBO393112 ILK393111:ILK393112 IVG393111:IVG393112 JFC393111:JFC393112 JOY393111:JOY393112 JYU393111:JYU393112 KIQ393111:KIQ393112 KSM393111:KSM393112 LCI393111:LCI393112 LME393111:LME393112 LWA393111:LWA393112 MFW393111:MFW393112 MPS393111:MPS393112 MZO393111:MZO393112 NJK393111:NJK393112 NTG393111:NTG393112 ODC393111:ODC393112 OMY393111:OMY393112 OWU393111:OWU393112 PGQ393111:PGQ393112 PQM393111:PQM393112 QAI393111:QAI393112 QKE393111:QKE393112 QUA393111:QUA393112 RDW393111:RDW393112 RNS393111:RNS393112 RXO393111:RXO393112 SHK393111:SHK393112 SRG393111:SRG393112 TBC393111:TBC393112 TKY393111:TKY393112 TUU393111:TUU393112 UEQ393111:UEQ393112 UOM393111:UOM393112 UYI393111:UYI393112 VIE393111:VIE393112 VSA393111:VSA393112 WBW393111:WBW393112 WLS393111:WLS393112 WVO393111:WVO393112 D458647:D458648 JC458647:JC458648 SY458647:SY458648 ACU458647:ACU458648 AMQ458647:AMQ458648 AWM458647:AWM458648 BGI458647:BGI458648 BQE458647:BQE458648 CAA458647:CAA458648 CJW458647:CJW458648 CTS458647:CTS458648 DDO458647:DDO458648 DNK458647:DNK458648 DXG458647:DXG458648 EHC458647:EHC458648 EQY458647:EQY458648 FAU458647:FAU458648 FKQ458647:FKQ458648 FUM458647:FUM458648 GEI458647:GEI458648 GOE458647:GOE458648 GYA458647:GYA458648 HHW458647:HHW458648 HRS458647:HRS458648 IBO458647:IBO458648 ILK458647:ILK458648 IVG458647:IVG458648 JFC458647:JFC458648 JOY458647:JOY458648 JYU458647:JYU458648 KIQ458647:KIQ458648 KSM458647:KSM458648 LCI458647:LCI458648 LME458647:LME458648 LWA458647:LWA458648 MFW458647:MFW458648 MPS458647:MPS458648 MZO458647:MZO458648 NJK458647:NJK458648 NTG458647:NTG458648 ODC458647:ODC458648 OMY458647:OMY458648 OWU458647:OWU458648 PGQ458647:PGQ458648 PQM458647:PQM458648 QAI458647:QAI458648 QKE458647:QKE458648 QUA458647:QUA458648 RDW458647:RDW458648 RNS458647:RNS458648 RXO458647:RXO458648 SHK458647:SHK458648 SRG458647:SRG458648 TBC458647:TBC458648 TKY458647:TKY458648 TUU458647:TUU458648 UEQ458647:UEQ458648 UOM458647:UOM458648 UYI458647:UYI458648 VIE458647:VIE458648 VSA458647:VSA458648 WBW458647:WBW458648 WLS458647:WLS458648 WVO458647:WVO458648 D524183:D524184 JC524183:JC524184 SY524183:SY524184 ACU524183:ACU524184 AMQ524183:AMQ524184 AWM524183:AWM524184 BGI524183:BGI524184 BQE524183:BQE524184 CAA524183:CAA524184 CJW524183:CJW524184 CTS524183:CTS524184 DDO524183:DDO524184 DNK524183:DNK524184 DXG524183:DXG524184 EHC524183:EHC524184 EQY524183:EQY524184 FAU524183:FAU524184 FKQ524183:FKQ524184 FUM524183:FUM524184 GEI524183:GEI524184 GOE524183:GOE524184 GYA524183:GYA524184 HHW524183:HHW524184 HRS524183:HRS524184 IBO524183:IBO524184 ILK524183:ILK524184 IVG524183:IVG524184 JFC524183:JFC524184 JOY524183:JOY524184 JYU524183:JYU524184 KIQ524183:KIQ524184 KSM524183:KSM524184 LCI524183:LCI524184 LME524183:LME524184 LWA524183:LWA524184 MFW524183:MFW524184 MPS524183:MPS524184 MZO524183:MZO524184 NJK524183:NJK524184 NTG524183:NTG524184 ODC524183:ODC524184 OMY524183:OMY524184 OWU524183:OWU524184 PGQ524183:PGQ524184 PQM524183:PQM524184 QAI524183:QAI524184 QKE524183:QKE524184 QUA524183:QUA524184 RDW524183:RDW524184 RNS524183:RNS524184 RXO524183:RXO524184 SHK524183:SHK524184 SRG524183:SRG524184 TBC524183:TBC524184 TKY524183:TKY524184 TUU524183:TUU524184 UEQ524183:UEQ524184 UOM524183:UOM524184 UYI524183:UYI524184 VIE524183:VIE524184 VSA524183:VSA524184 WBW524183:WBW524184 WLS524183:WLS524184 WVO524183:WVO524184 D589719:D589720 JC589719:JC589720 SY589719:SY589720 ACU589719:ACU589720 AMQ589719:AMQ589720 AWM589719:AWM589720 BGI589719:BGI589720 BQE589719:BQE589720 CAA589719:CAA589720 CJW589719:CJW589720 CTS589719:CTS589720 DDO589719:DDO589720 DNK589719:DNK589720 DXG589719:DXG589720 EHC589719:EHC589720 EQY589719:EQY589720 FAU589719:FAU589720 FKQ589719:FKQ589720 FUM589719:FUM589720 GEI589719:GEI589720 GOE589719:GOE589720 GYA589719:GYA589720 HHW589719:HHW589720 HRS589719:HRS589720 IBO589719:IBO589720 ILK589719:ILK589720 IVG589719:IVG589720 JFC589719:JFC589720 JOY589719:JOY589720 JYU589719:JYU589720 KIQ589719:KIQ589720 KSM589719:KSM589720 LCI589719:LCI589720 LME589719:LME589720 LWA589719:LWA589720 MFW589719:MFW589720 MPS589719:MPS589720 MZO589719:MZO589720 NJK589719:NJK589720 NTG589719:NTG589720 ODC589719:ODC589720 OMY589719:OMY589720 OWU589719:OWU589720 PGQ589719:PGQ589720 PQM589719:PQM589720 QAI589719:QAI589720 QKE589719:QKE589720 QUA589719:QUA589720 RDW589719:RDW589720 RNS589719:RNS589720 RXO589719:RXO589720 SHK589719:SHK589720 SRG589719:SRG589720 TBC589719:TBC589720 TKY589719:TKY589720 TUU589719:TUU589720 UEQ589719:UEQ589720 UOM589719:UOM589720 UYI589719:UYI589720 VIE589719:VIE589720 VSA589719:VSA589720 WBW589719:WBW589720 WLS589719:WLS589720 WVO589719:WVO589720 D655255:D655256 JC655255:JC655256 SY655255:SY655256 ACU655255:ACU655256 AMQ655255:AMQ655256 AWM655255:AWM655256 BGI655255:BGI655256 BQE655255:BQE655256 CAA655255:CAA655256 CJW655255:CJW655256 CTS655255:CTS655256 DDO655255:DDO655256 DNK655255:DNK655256 DXG655255:DXG655256 EHC655255:EHC655256 EQY655255:EQY655256 FAU655255:FAU655256 FKQ655255:FKQ655256 FUM655255:FUM655256 GEI655255:GEI655256 GOE655255:GOE655256 GYA655255:GYA655256 HHW655255:HHW655256 HRS655255:HRS655256 IBO655255:IBO655256 ILK655255:ILK655256 IVG655255:IVG655256 JFC655255:JFC655256 JOY655255:JOY655256 JYU655255:JYU655256 KIQ655255:KIQ655256 KSM655255:KSM655256 LCI655255:LCI655256 LME655255:LME655256 LWA655255:LWA655256 MFW655255:MFW655256 MPS655255:MPS655256 MZO655255:MZO655256 NJK655255:NJK655256 NTG655255:NTG655256 ODC655255:ODC655256 OMY655255:OMY655256 OWU655255:OWU655256 PGQ655255:PGQ655256 PQM655255:PQM655256 QAI655255:QAI655256 QKE655255:QKE655256 QUA655255:QUA655256 RDW655255:RDW655256 RNS655255:RNS655256 RXO655255:RXO655256 SHK655255:SHK655256 SRG655255:SRG655256 TBC655255:TBC655256 TKY655255:TKY655256 TUU655255:TUU655256 UEQ655255:UEQ655256 UOM655255:UOM655256 UYI655255:UYI655256 VIE655255:VIE655256 VSA655255:VSA655256 WBW655255:WBW655256 WLS655255:WLS655256 WVO655255:WVO655256 D720791:D720792 JC720791:JC720792 SY720791:SY720792 ACU720791:ACU720792 AMQ720791:AMQ720792 AWM720791:AWM720792 BGI720791:BGI720792 BQE720791:BQE720792 CAA720791:CAA720792 CJW720791:CJW720792 CTS720791:CTS720792 DDO720791:DDO720792 DNK720791:DNK720792 DXG720791:DXG720792 EHC720791:EHC720792 EQY720791:EQY720792 FAU720791:FAU720792 FKQ720791:FKQ720792 FUM720791:FUM720792 GEI720791:GEI720792 GOE720791:GOE720792 GYA720791:GYA720792 HHW720791:HHW720792 HRS720791:HRS720792 IBO720791:IBO720792 ILK720791:ILK720792 IVG720791:IVG720792 JFC720791:JFC720792 JOY720791:JOY720792 JYU720791:JYU720792 KIQ720791:KIQ720792 KSM720791:KSM720792 LCI720791:LCI720792 LME720791:LME720792 LWA720791:LWA720792 MFW720791:MFW720792 MPS720791:MPS720792 MZO720791:MZO720792 NJK720791:NJK720792 NTG720791:NTG720792 ODC720791:ODC720792 OMY720791:OMY720792 OWU720791:OWU720792 PGQ720791:PGQ720792 PQM720791:PQM720792 QAI720791:QAI720792 QKE720791:QKE720792 QUA720791:QUA720792 RDW720791:RDW720792 RNS720791:RNS720792 RXO720791:RXO720792 SHK720791:SHK720792 SRG720791:SRG720792 TBC720791:TBC720792 TKY720791:TKY720792 TUU720791:TUU720792 UEQ720791:UEQ720792 UOM720791:UOM720792 UYI720791:UYI720792 VIE720791:VIE720792 VSA720791:VSA720792 WBW720791:WBW720792 WLS720791:WLS720792 WVO720791:WVO720792 D786327:D786328 JC786327:JC786328 SY786327:SY786328 ACU786327:ACU786328 AMQ786327:AMQ786328 AWM786327:AWM786328 BGI786327:BGI786328 BQE786327:BQE786328 CAA786327:CAA786328 CJW786327:CJW786328 CTS786327:CTS786328 DDO786327:DDO786328 DNK786327:DNK786328 DXG786327:DXG786328 EHC786327:EHC786328 EQY786327:EQY786328 FAU786327:FAU786328 FKQ786327:FKQ786328 FUM786327:FUM786328 GEI786327:GEI786328 GOE786327:GOE786328 GYA786327:GYA786328 HHW786327:HHW786328 HRS786327:HRS786328 IBO786327:IBO786328 ILK786327:ILK786328 IVG786327:IVG786328 JFC786327:JFC786328 JOY786327:JOY786328 JYU786327:JYU786328 KIQ786327:KIQ786328 KSM786327:KSM786328 LCI786327:LCI786328 LME786327:LME786328 LWA786327:LWA786328 MFW786327:MFW786328 MPS786327:MPS786328 MZO786327:MZO786328 NJK786327:NJK786328 NTG786327:NTG786328 ODC786327:ODC786328 OMY786327:OMY786328 OWU786327:OWU786328 PGQ786327:PGQ786328 PQM786327:PQM786328 QAI786327:QAI786328 QKE786327:QKE786328 QUA786327:QUA786328 RDW786327:RDW786328 RNS786327:RNS786328 RXO786327:RXO786328 SHK786327:SHK786328 SRG786327:SRG786328 TBC786327:TBC786328 TKY786327:TKY786328 TUU786327:TUU786328 UEQ786327:UEQ786328 UOM786327:UOM786328 UYI786327:UYI786328 VIE786327:VIE786328 VSA786327:VSA786328 WBW786327:WBW786328 WLS786327:WLS786328 WVO786327:WVO786328 D851863:D851864 JC851863:JC851864 SY851863:SY851864 ACU851863:ACU851864 AMQ851863:AMQ851864 AWM851863:AWM851864 BGI851863:BGI851864 BQE851863:BQE851864 CAA851863:CAA851864 CJW851863:CJW851864 CTS851863:CTS851864 DDO851863:DDO851864 DNK851863:DNK851864 DXG851863:DXG851864 EHC851863:EHC851864 EQY851863:EQY851864 FAU851863:FAU851864 FKQ851863:FKQ851864 FUM851863:FUM851864 GEI851863:GEI851864 GOE851863:GOE851864 GYA851863:GYA851864 HHW851863:HHW851864 HRS851863:HRS851864 IBO851863:IBO851864 ILK851863:ILK851864 IVG851863:IVG851864 JFC851863:JFC851864 JOY851863:JOY851864 JYU851863:JYU851864 KIQ851863:KIQ851864 KSM851863:KSM851864 LCI851863:LCI851864 LME851863:LME851864 LWA851863:LWA851864 MFW851863:MFW851864 MPS851863:MPS851864 MZO851863:MZO851864 NJK851863:NJK851864 NTG851863:NTG851864 ODC851863:ODC851864 OMY851863:OMY851864 OWU851863:OWU851864 PGQ851863:PGQ851864 PQM851863:PQM851864 QAI851863:QAI851864 QKE851863:QKE851864 QUA851863:QUA851864 RDW851863:RDW851864 RNS851863:RNS851864 RXO851863:RXO851864 SHK851863:SHK851864 SRG851863:SRG851864 TBC851863:TBC851864 TKY851863:TKY851864 TUU851863:TUU851864 UEQ851863:UEQ851864 UOM851863:UOM851864 UYI851863:UYI851864 VIE851863:VIE851864 VSA851863:VSA851864 WBW851863:WBW851864 WLS851863:WLS851864 WVO851863:WVO851864 D917399:D917400 JC917399:JC917400 SY917399:SY917400 ACU917399:ACU917400 AMQ917399:AMQ917400 AWM917399:AWM917400 BGI917399:BGI917400 BQE917399:BQE917400 CAA917399:CAA917400 CJW917399:CJW917400 CTS917399:CTS917400 DDO917399:DDO917400 DNK917399:DNK917400 DXG917399:DXG917400 EHC917399:EHC917400 EQY917399:EQY917400 FAU917399:FAU917400 FKQ917399:FKQ917400 FUM917399:FUM917400 GEI917399:GEI917400 GOE917399:GOE917400 GYA917399:GYA917400 HHW917399:HHW917400 HRS917399:HRS917400 IBO917399:IBO917400 ILK917399:ILK917400 IVG917399:IVG917400 JFC917399:JFC917400 JOY917399:JOY917400 JYU917399:JYU917400 KIQ917399:KIQ917400 KSM917399:KSM917400 LCI917399:LCI917400 LME917399:LME917400 LWA917399:LWA917400 MFW917399:MFW917400 MPS917399:MPS917400 MZO917399:MZO917400 NJK917399:NJK917400 NTG917399:NTG917400 ODC917399:ODC917400 OMY917399:OMY917400 OWU917399:OWU917400 PGQ917399:PGQ917400 PQM917399:PQM917400 QAI917399:QAI917400 QKE917399:QKE917400 QUA917399:QUA917400 RDW917399:RDW917400 RNS917399:RNS917400 RXO917399:RXO917400 SHK917399:SHK917400 SRG917399:SRG917400 TBC917399:TBC917400 TKY917399:TKY917400 TUU917399:TUU917400 UEQ917399:UEQ917400 UOM917399:UOM917400 UYI917399:UYI917400 VIE917399:VIE917400 VSA917399:VSA917400 WBW917399:WBW917400 WLS917399:WLS917400 WVO917399:WVO917400 D982935:D982936 JC982935:JC982936 SY982935:SY982936 ACU982935:ACU982936 AMQ982935:AMQ982936 AWM982935:AWM982936 BGI982935:BGI982936 BQE982935:BQE982936 CAA982935:CAA982936 CJW982935:CJW982936 CTS982935:CTS982936 DDO982935:DDO982936 DNK982935:DNK982936 DXG982935:DXG982936 EHC982935:EHC982936 EQY982935:EQY982936 FAU982935:FAU982936 FKQ982935:FKQ982936 FUM982935:FUM982936 GEI982935:GEI982936 GOE982935:GOE982936 GYA982935:GYA982936 HHW982935:HHW982936 HRS982935:HRS982936 IBO982935:IBO982936 ILK982935:ILK982936 IVG982935:IVG982936 JFC982935:JFC982936 JOY982935:JOY982936 JYU982935:JYU982936 KIQ982935:KIQ982936 KSM982935:KSM982936 LCI982935:LCI982936 LME982935:LME982936 LWA982935:LWA982936 MFW982935:MFW982936 MPS982935:MPS982936 MZO982935:MZO982936 NJK982935:NJK982936 NTG982935:NTG982936 ODC982935:ODC982936 OMY982935:OMY982936 OWU982935:OWU982936 PGQ982935:PGQ982936 PQM982935:PQM982936 QAI982935:QAI982936 QKE982935:QKE982936 QUA982935:QUA982936 RDW982935:RDW982936 RNS982935:RNS982936 RXO982935:RXO982936 SHK982935:SHK982936 SRG982935:SRG982936 TBC982935:TBC982936 TKY982935:TKY982936 TUU982935:TUU982936 UEQ982935:UEQ982936 UOM982935:UOM982936 UYI982935:UYI982936 VIE982935:VIE982936 VSA982935:VSA982936 WBW982935:WBW982936 WLS982935:WLS982936 WVO982935:WVO982936 D65442:D65444 JC65442:JC65444 SY65442:SY65444 ACU65442:ACU65444 AMQ65442:AMQ65444 AWM65442:AWM65444 BGI65442:BGI65444 BQE65442:BQE65444 CAA65442:CAA65444 CJW65442:CJW65444 CTS65442:CTS65444 DDO65442:DDO65444 DNK65442:DNK65444 DXG65442:DXG65444 EHC65442:EHC65444 EQY65442:EQY65444 FAU65442:FAU65444 FKQ65442:FKQ65444 FUM65442:FUM65444 GEI65442:GEI65444 GOE65442:GOE65444 GYA65442:GYA65444 HHW65442:HHW65444 HRS65442:HRS65444 IBO65442:IBO65444 ILK65442:ILK65444 IVG65442:IVG65444 JFC65442:JFC65444 JOY65442:JOY65444 JYU65442:JYU65444 KIQ65442:KIQ65444 KSM65442:KSM65444 LCI65442:LCI65444 LME65442:LME65444 LWA65442:LWA65444 MFW65442:MFW65444 MPS65442:MPS65444 MZO65442:MZO65444 NJK65442:NJK65444 NTG65442:NTG65444 ODC65442:ODC65444 OMY65442:OMY65444 OWU65442:OWU65444 PGQ65442:PGQ65444 PQM65442:PQM65444 QAI65442:QAI65444 QKE65442:QKE65444 QUA65442:QUA65444 RDW65442:RDW65444 RNS65442:RNS65444 RXO65442:RXO65444 SHK65442:SHK65444 SRG65442:SRG65444 TBC65442:TBC65444 TKY65442:TKY65444 TUU65442:TUU65444 UEQ65442:UEQ65444 UOM65442:UOM65444 UYI65442:UYI65444 VIE65442:VIE65444 VSA65442:VSA65444 WBW65442:WBW65444 WLS65442:WLS65444 WVO65442:WVO65444 D130978:D130980 JC130978:JC130980 SY130978:SY130980 ACU130978:ACU130980 AMQ130978:AMQ130980 AWM130978:AWM130980 BGI130978:BGI130980 BQE130978:BQE130980 CAA130978:CAA130980 CJW130978:CJW130980 CTS130978:CTS130980 DDO130978:DDO130980 DNK130978:DNK130980 DXG130978:DXG130980 EHC130978:EHC130980 EQY130978:EQY130980 FAU130978:FAU130980 FKQ130978:FKQ130980 FUM130978:FUM130980 GEI130978:GEI130980 GOE130978:GOE130980 GYA130978:GYA130980 HHW130978:HHW130980 HRS130978:HRS130980 IBO130978:IBO130980 ILK130978:ILK130980 IVG130978:IVG130980 JFC130978:JFC130980 JOY130978:JOY130980 JYU130978:JYU130980 KIQ130978:KIQ130980 KSM130978:KSM130980 LCI130978:LCI130980 LME130978:LME130980 LWA130978:LWA130980 MFW130978:MFW130980 MPS130978:MPS130980 MZO130978:MZO130980 NJK130978:NJK130980 NTG130978:NTG130980 ODC130978:ODC130980 OMY130978:OMY130980 OWU130978:OWU130980 PGQ130978:PGQ130980 PQM130978:PQM130980 QAI130978:QAI130980 QKE130978:QKE130980 QUA130978:QUA130980 RDW130978:RDW130980 RNS130978:RNS130980 RXO130978:RXO130980 SHK130978:SHK130980 SRG130978:SRG130980 TBC130978:TBC130980 TKY130978:TKY130980 TUU130978:TUU130980 UEQ130978:UEQ130980 UOM130978:UOM130980 UYI130978:UYI130980 VIE130978:VIE130980 VSA130978:VSA130980 WBW130978:WBW130980 WLS130978:WLS130980 WVO130978:WVO130980 D196514:D196516 JC196514:JC196516 SY196514:SY196516 ACU196514:ACU196516 AMQ196514:AMQ196516 AWM196514:AWM196516 BGI196514:BGI196516 BQE196514:BQE196516 CAA196514:CAA196516 CJW196514:CJW196516 CTS196514:CTS196516 DDO196514:DDO196516 DNK196514:DNK196516 DXG196514:DXG196516 EHC196514:EHC196516 EQY196514:EQY196516 FAU196514:FAU196516 FKQ196514:FKQ196516 FUM196514:FUM196516 GEI196514:GEI196516 GOE196514:GOE196516 GYA196514:GYA196516 HHW196514:HHW196516 HRS196514:HRS196516 IBO196514:IBO196516 ILK196514:ILK196516 IVG196514:IVG196516 JFC196514:JFC196516 JOY196514:JOY196516 JYU196514:JYU196516 KIQ196514:KIQ196516 KSM196514:KSM196516 LCI196514:LCI196516 LME196514:LME196516 LWA196514:LWA196516 MFW196514:MFW196516 MPS196514:MPS196516 MZO196514:MZO196516 NJK196514:NJK196516 NTG196514:NTG196516 ODC196514:ODC196516 OMY196514:OMY196516 OWU196514:OWU196516 PGQ196514:PGQ196516 PQM196514:PQM196516 QAI196514:QAI196516 QKE196514:QKE196516 QUA196514:QUA196516 RDW196514:RDW196516 RNS196514:RNS196516 RXO196514:RXO196516 SHK196514:SHK196516 SRG196514:SRG196516 TBC196514:TBC196516 TKY196514:TKY196516 TUU196514:TUU196516 UEQ196514:UEQ196516 UOM196514:UOM196516 UYI196514:UYI196516 VIE196514:VIE196516 VSA196514:VSA196516 WBW196514:WBW196516 WLS196514:WLS196516 WVO196514:WVO196516 D262050:D262052 JC262050:JC262052 SY262050:SY262052 ACU262050:ACU262052 AMQ262050:AMQ262052 AWM262050:AWM262052 BGI262050:BGI262052 BQE262050:BQE262052 CAA262050:CAA262052 CJW262050:CJW262052 CTS262050:CTS262052 DDO262050:DDO262052 DNK262050:DNK262052 DXG262050:DXG262052 EHC262050:EHC262052 EQY262050:EQY262052 FAU262050:FAU262052 FKQ262050:FKQ262052 FUM262050:FUM262052 GEI262050:GEI262052 GOE262050:GOE262052 GYA262050:GYA262052 HHW262050:HHW262052 HRS262050:HRS262052 IBO262050:IBO262052 ILK262050:ILK262052 IVG262050:IVG262052 JFC262050:JFC262052 JOY262050:JOY262052 JYU262050:JYU262052 KIQ262050:KIQ262052 KSM262050:KSM262052 LCI262050:LCI262052 LME262050:LME262052 LWA262050:LWA262052 MFW262050:MFW262052 MPS262050:MPS262052 MZO262050:MZO262052 NJK262050:NJK262052 NTG262050:NTG262052 ODC262050:ODC262052 OMY262050:OMY262052 OWU262050:OWU262052 PGQ262050:PGQ262052 PQM262050:PQM262052 QAI262050:QAI262052 QKE262050:QKE262052 QUA262050:QUA262052 RDW262050:RDW262052 RNS262050:RNS262052 RXO262050:RXO262052 SHK262050:SHK262052 SRG262050:SRG262052 TBC262050:TBC262052 TKY262050:TKY262052 TUU262050:TUU262052 UEQ262050:UEQ262052 UOM262050:UOM262052 UYI262050:UYI262052 VIE262050:VIE262052 VSA262050:VSA262052 WBW262050:WBW262052 WLS262050:WLS262052 WVO262050:WVO262052 D327586:D327588 JC327586:JC327588 SY327586:SY327588 ACU327586:ACU327588 AMQ327586:AMQ327588 AWM327586:AWM327588 BGI327586:BGI327588 BQE327586:BQE327588 CAA327586:CAA327588 CJW327586:CJW327588 CTS327586:CTS327588 DDO327586:DDO327588 DNK327586:DNK327588 DXG327586:DXG327588 EHC327586:EHC327588 EQY327586:EQY327588 FAU327586:FAU327588 FKQ327586:FKQ327588 FUM327586:FUM327588 GEI327586:GEI327588 GOE327586:GOE327588 GYA327586:GYA327588 HHW327586:HHW327588 HRS327586:HRS327588 IBO327586:IBO327588 ILK327586:ILK327588 IVG327586:IVG327588 JFC327586:JFC327588 JOY327586:JOY327588 JYU327586:JYU327588 KIQ327586:KIQ327588 KSM327586:KSM327588 LCI327586:LCI327588 LME327586:LME327588 LWA327586:LWA327588 MFW327586:MFW327588 MPS327586:MPS327588 MZO327586:MZO327588 NJK327586:NJK327588 NTG327586:NTG327588 ODC327586:ODC327588 OMY327586:OMY327588 OWU327586:OWU327588 PGQ327586:PGQ327588 PQM327586:PQM327588 QAI327586:QAI327588 QKE327586:QKE327588 QUA327586:QUA327588 RDW327586:RDW327588 RNS327586:RNS327588 RXO327586:RXO327588 SHK327586:SHK327588 SRG327586:SRG327588 TBC327586:TBC327588 TKY327586:TKY327588 TUU327586:TUU327588 UEQ327586:UEQ327588 UOM327586:UOM327588 UYI327586:UYI327588 VIE327586:VIE327588 VSA327586:VSA327588 WBW327586:WBW327588 WLS327586:WLS327588 WVO327586:WVO327588 D393122:D393124 JC393122:JC393124 SY393122:SY393124 ACU393122:ACU393124 AMQ393122:AMQ393124 AWM393122:AWM393124 BGI393122:BGI393124 BQE393122:BQE393124 CAA393122:CAA393124 CJW393122:CJW393124 CTS393122:CTS393124 DDO393122:DDO393124 DNK393122:DNK393124 DXG393122:DXG393124 EHC393122:EHC393124 EQY393122:EQY393124 FAU393122:FAU393124 FKQ393122:FKQ393124 FUM393122:FUM393124 GEI393122:GEI393124 GOE393122:GOE393124 GYA393122:GYA393124 HHW393122:HHW393124 HRS393122:HRS393124 IBO393122:IBO393124 ILK393122:ILK393124 IVG393122:IVG393124 JFC393122:JFC393124 JOY393122:JOY393124 JYU393122:JYU393124 KIQ393122:KIQ393124 KSM393122:KSM393124 LCI393122:LCI393124 LME393122:LME393124 LWA393122:LWA393124 MFW393122:MFW393124 MPS393122:MPS393124 MZO393122:MZO393124 NJK393122:NJK393124 NTG393122:NTG393124 ODC393122:ODC393124 OMY393122:OMY393124 OWU393122:OWU393124 PGQ393122:PGQ393124 PQM393122:PQM393124 QAI393122:QAI393124 QKE393122:QKE393124 QUA393122:QUA393124 RDW393122:RDW393124 RNS393122:RNS393124 RXO393122:RXO393124 SHK393122:SHK393124 SRG393122:SRG393124 TBC393122:TBC393124 TKY393122:TKY393124 TUU393122:TUU393124 UEQ393122:UEQ393124 UOM393122:UOM393124 UYI393122:UYI393124 VIE393122:VIE393124 VSA393122:VSA393124 WBW393122:WBW393124 WLS393122:WLS393124 WVO393122:WVO393124 D458658:D458660 JC458658:JC458660 SY458658:SY458660 ACU458658:ACU458660 AMQ458658:AMQ458660 AWM458658:AWM458660 BGI458658:BGI458660 BQE458658:BQE458660 CAA458658:CAA458660 CJW458658:CJW458660 CTS458658:CTS458660 DDO458658:DDO458660 DNK458658:DNK458660 DXG458658:DXG458660 EHC458658:EHC458660 EQY458658:EQY458660 FAU458658:FAU458660 FKQ458658:FKQ458660 FUM458658:FUM458660 GEI458658:GEI458660 GOE458658:GOE458660 GYA458658:GYA458660 HHW458658:HHW458660 HRS458658:HRS458660 IBO458658:IBO458660 ILK458658:ILK458660 IVG458658:IVG458660 JFC458658:JFC458660 JOY458658:JOY458660 JYU458658:JYU458660 KIQ458658:KIQ458660 KSM458658:KSM458660 LCI458658:LCI458660 LME458658:LME458660 LWA458658:LWA458660 MFW458658:MFW458660 MPS458658:MPS458660 MZO458658:MZO458660 NJK458658:NJK458660 NTG458658:NTG458660 ODC458658:ODC458660 OMY458658:OMY458660 OWU458658:OWU458660 PGQ458658:PGQ458660 PQM458658:PQM458660 QAI458658:QAI458660 QKE458658:QKE458660 QUA458658:QUA458660 RDW458658:RDW458660 RNS458658:RNS458660 RXO458658:RXO458660 SHK458658:SHK458660 SRG458658:SRG458660 TBC458658:TBC458660 TKY458658:TKY458660 TUU458658:TUU458660 UEQ458658:UEQ458660 UOM458658:UOM458660 UYI458658:UYI458660 VIE458658:VIE458660 VSA458658:VSA458660 WBW458658:WBW458660 WLS458658:WLS458660 WVO458658:WVO458660 D524194:D524196 JC524194:JC524196 SY524194:SY524196 ACU524194:ACU524196 AMQ524194:AMQ524196 AWM524194:AWM524196 BGI524194:BGI524196 BQE524194:BQE524196 CAA524194:CAA524196 CJW524194:CJW524196 CTS524194:CTS524196 DDO524194:DDO524196 DNK524194:DNK524196 DXG524194:DXG524196 EHC524194:EHC524196 EQY524194:EQY524196 FAU524194:FAU524196 FKQ524194:FKQ524196 FUM524194:FUM524196 GEI524194:GEI524196 GOE524194:GOE524196 GYA524194:GYA524196 HHW524194:HHW524196 HRS524194:HRS524196 IBO524194:IBO524196 ILK524194:ILK524196 IVG524194:IVG524196 JFC524194:JFC524196 JOY524194:JOY524196 JYU524194:JYU524196 KIQ524194:KIQ524196 KSM524194:KSM524196 LCI524194:LCI524196 LME524194:LME524196 LWA524194:LWA524196 MFW524194:MFW524196 MPS524194:MPS524196 MZO524194:MZO524196 NJK524194:NJK524196 NTG524194:NTG524196 ODC524194:ODC524196 OMY524194:OMY524196 OWU524194:OWU524196 PGQ524194:PGQ524196 PQM524194:PQM524196 QAI524194:QAI524196 QKE524194:QKE524196 QUA524194:QUA524196 RDW524194:RDW524196 RNS524194:RNS524196 RXO524194:RXO524196 SHK524194:SHK524196 SRG524194:SRG524196 TBC524194:TBC524196 TKY524194:TKY524196 TUU524194:TUU524196 UEQ524194:UEQ524196 UOM524194:UOM524196 UYI524194:UYI524196 VIE524194:VIE524196 VSA524194:VSA524196 WBW524194:WBW524196 WLS524194:WLS524196 WVO524194:WVO524196 D589730:D589732 JC589730:JC589732 SY589730:SY589732 ACU589730:ACU589732 AMQ589730:AMQ589732 AWM589730:AWM589732 BGI589730:BGI589732 BQE589730:BQE589732 CAA589730:CAA589732 CJW589730:CJW589732 CTS589730:CTS589732 DDO589730:DDO589732 DNK589730:DNK589732 DXG589730:DXG589732 EHC589730:EHC589732 EQY589730:EQY589732 FAU589730:FAU589732 FKQ589730:FKQ589732 FUM589730:FUM589732 GEI589730:GEI589732 GOE589730:GOE589732 GYA589730:GYA589732 HHW589730:HHW589732 HRS589730:HRS589732 IBO589730:IBO589732 ILK589730:ILK589732 IVG589730:IVG589732 JFC589730:JFC589732 JOY589730:JOY589732 JYU589730:JYU589732 KIQ589730:KIQ589732 KSM589730:KSM589732 LCI589730:LCI589732 LME589730:LME589732 LWA589730:LWA589732 MFW589730:MFW589732 MPS589730:MPS589732 MZO589730:MZO589732 NJK589730:NJK589732 NTG589730:NTG589732 ODC589730:ODC589732 OMY589730:OMY589732 OWU589730:OWU589732 PGQ589730:PGQ589732 PQM589730:PQM589732 QAI589730:QAI589732 QKE589730:QKE589732 QUA589730:QUA589732 RDW589730:RDW589732 RNS589730:RNS589732 RXO589730:RXO589732 SHK589730:SHK589732 SRG589730:SRG589732 TBC589730:TBC589732 TKY589730:TKY589732 TUU589730:TUU589732 UEQ589730:UEQ589732 UOM589730:UOM589732 UYI589730:UYI589732 VIE589730:VIE589732 VSA589730:VSA589732 WBW589730:WBW589732 WLS589730:WLS589732 WVO589730:WVO589732 D655266:D655268 JC655266:JC655268 SY655266:SY655268 ACU655266:ACU655268 AMQ655266:AMQ655268 AWM655266:AWM655268 BGI655266:BGI655268 BQE655266:BQE655268 CAA655266:CAA655268 CJW655266:CJW655268 CTS655266:CTS655268 DDO655266:DDO655268 DNK655266:DNK655268 DXG655266:DXG655268 EHC655266:EHC655268 EQY655266:EQY655268 FAU655266:FAU655268 FKQ655266:FKQ655268 FUM655266:FUM655268 GEI655266:GEI655268 GOE655266:GOE655268 GYA655266:GYA655268 HHW655266:HHW655268 HRS655266:HRS655268 IBO655266:IBO655268 ILK655266:ILK655268 IVG655266:IVG655268 JFC655266:JFC655268 JOY655266:JOY655268 JYU655266:JYU655268 KIQ655266:KIQ655268 KSM655266:KSM655268 LCI655266:LCI655268 LME655266:LME655268 LWA655266:LWA655268 MFW655266:MFW655268 MPS655266:MPS655268 MZO655266:MZO655268 NJK655266:NJK655268 NTG655266:NTG655268 ODC655266:ODC655268 OMY655266:OMY655268 OWU655266:OWU655268 PGQ655266:PGQ655268 PQM655266:PQM655268 QAI655266:QAI655268 QKE655266:QKE655268 QUA655266:QUA655268 RDW655266:RDW655268 RNS655266:RNS655268 RXO655266:RXO655268 SHK655266:SHK655268 SRG655266:SRG655268 TBC655266:TBC655268 TKY655266:TKY655268 TUU655266:TUU655268 UEQ655266:UEQ655268 UOM655266:UOM655268 UYI655266:UYI655268 VIE655266:VIE655268 VSA655266:VSA655268 WBW655266:WBW655268 WLS655266:WLS655268 WVO655266:WVO655268 D720802:D720804 JC720802:JC720804 SY720802:SY720804 ACU720802:ACU720804 AMQ720802:AMQ720804 AWM720802:AWM720804 BGI720802:BGI720804 BQE720802:BQE720804 CAA720802:CAA720804 CJW720802:CJW720804 CTS720802:CTS720804 DDO720802:DDO720804 DNK720802:DNK720804 DXG720802:DXG720804 EHC720802:EHC720804 EQY720802:EQY720804 FAU720802:FAU720804 FKQ720802:FKQ720804 FUM720802:FUM720804 GEI720802:GEI720804 GOE720802:GOE720804 GYA720802:GYA720804 HHW720802:HHW720804 HRS720802:HRS720804 IBO720802:IBO720804 ILK720802:ILK720804 IVG720802:IVG720804 JFC720802:JFC720804 JOY720802:JOY720804 JYU720802:JYU720804 KIQ720802:KIQ720804 KSM720802:KSM720804 LCI720802:LCI720804 LME720802:LME720804 LWA720802:LWA720804 MFW720802:MFW720804 MPS720802:MPS720804 MZO720802:MZO720804 NJK720802:NJK720804 NTG720802:NTG720804 ODC720802:ODC720804 OMY720802:OMY720804 OWU720802:OWU720804 PGQ720802:PGQ720804 PQM720802:PQM720804 QAI720802:QAI720804 QKE720802:QKE720804 QUA720802:QUA720804 RDW720802:RDW720804 RNS720802:RNS720804 RXO720802:RXO720804 SHK720802:SHK720804 SRG720802:SRG720804 TBC720802:TBC720804 TKY720802:TKY720804 TUU720802:TUU720804 UEQ720802:UEQ720804 UOM720802:UOM720804 UYI720802:UYI720804 VIE720802:VIE720804 VSA720802:VSA720804 WBW720802:WBW720804 WLS720802:WLS720804 WVO720802:WVO720804 D786338:D786340 JC786338:JC786340 SY786338:SY786340 ACU786338:ACU786340 AMQ786338:AMQ786340 AWM786338:AWM786340 BGI786338:BGI786340 BQE786338:BQE786340 CAA786338:CAA786340 CJW786338:CJW786340 CTS786338:CTS786340 DDO786338:DDO786340 DNK786338:DNK786340 DXG786338:DXG786340 EHC786338:EHC786340 EQY786338:EQY786340 FAU786338:FAU786340 FKQ786338:FKQ786340 FUM786338:FUM786340 GEI786338:GEI786340 GOE786338:GOE786340 GYA786338:GYA786340 HHW786338:HHW786340 HRS786338:HRS786340 IBO786338:IBO786340 ILK786338:ILK786340 IVG786338:IVG786340 JFC786338:JFC786340 JOY786338:JOY786340 JYU786338:JYU786340 KIQ786338:KIQ786340 KSM786338:KSM786340 LCI786338:LCI786340 LME786338:LME786340 LWA786338:LWA786340 MFW786338:MFW786340 MPS786338:MPS786340 MZO786338:MZO786340 NJK786338:NJK786340 NTG786338:NTG786340 ODC786338:ODC786340 OMY786338:OMY786340 OWU786338:OWU786340 PGQ786338:PGQ786340 PQM786338:PQM786340 QAI786338:QAI786340 QKE786338:QKE786340 QUA786338:QUA786340 RDW786338:RDW786340 RNS786338:RNS786340 RXO786338:RXO786340 SHK786338:SHK786340 SRG786338:SRG786340 TBC786338:TBC786340 TKY786338:TKY786340 TUU786338:TUU786340 UEQ786338:UEQ786340 UOM786338:UOM786340 UYI786338:UYI786340 VIE786338:VIE786340 VSA786338:VSA786340 WBW786338:WBW786340 WLS786338:WLS786340 WVO786338:WVO786340 D851874:D851876 JC851874:JC851876 SY851874:SY851876 ACU851874:ACU851876 AMQ851874:AMQ851876 AWM851874:AWM851876 BGI851874:BGI851876 BQE851874:BQE851876 CAA851874:CAA851876 CJW851874:CJW851876 CTS851874:CTS851876 DDO851874:DDO851876 DNK851874:DNK851876 DXG851874:DXG851876 EHC851874:EHC851876 EQY851874:EQY851876 FAU851874:FAU851876 FKQ851874:FKQ851876 FUM851874:FUM851876 GEI851874:GEI851876 GOE851874:GOE851876 GYA851874:GYA851876 HHW851874:HHW851876 HRS851874:HRS851876 IBO851874:IBO851876 ILK851874:ILK851876 IVG851874:IVG851876 JFC851874:JFC851876 JOY851874:JOY851876 JYU851874:JYU851876 KIQ851874:KIQ851876 KSM851874:KSM851876 LCI851874:LCI851876 LME851874:LME851876 LWA851874:LWA851876 MFW851874:MFW851876 MPS851874:MPS851876 MZO851874:MZO851876 NJK851874:NJK851876 NTG851874:NTG851876 ODC851874:ODC851876 OMY851874:OMY851876 OWU851874:OWU851876 PGQ851874:PGQ851876 PQM851874:PQM851876 QAI851874:QAI851876 QKE851874:QKE851876 QUA851874:QUA851876 RDW851874:RDW851876 RNS851874:RNS851876 RXO851874:RXO851876 SHK851874:SHK851876 SRG851874:SRG851876 TBC851874:TBC851876 TKY851874:TKY851876 TUU851874:TUU851876 UEQ851874:UEQ851876 UOM851874:UOM851876 UYI851874:UYI851876 VIE851874:VIE851876 VSA851874:VSA851876 WBW851874:WBW851876 WLS851874:WLS851876 WVO851874:WVO851876 D917410:D917412 JC917410:JC917412 SY917410:SY917412 ACU917410:ACU917412 AMQ917410:AMQ917412 AWM917410:AWM917412 BGI917410:BGI917412 BQE917410:BQE917412 CAA917410:CAA917412 CJW917410:CJW917412 CTS917410:CTS917412 DDO917410:DDO917412 DNK917410:DNK917412 DXG917410:DXG917412 EHC917410:EHC917412 EQY917410:EQY917412 FAU917410:FAU917412 FKQ917410:FKQ917412 FUM917410:FUM917412 GEI917410:GEI917412 GOE917410:GOE917412 GYA917410:GYA917412 HHW917410:HHW917412 HRS917410:HRS917412 IBO917410:IBO917412 ILK917410:ILK917412 IVG917410:IVG917412 JFC917410:JFC917412 JOY917410:JOY917412 JYU917410:JYU917412 KIQ917410:KIQ917412 KSM917410:KSM917412 LCI917410:LCI917412 LME917410:LME917412 LWA917410:LWA917412 MFW917410:MFW917412 MPS917410:MPS917412 MZO917410:MZO917412 NJK917410:NJK917412 NTG917410:NTG917412 ODC917410:ODC917412 OMY917410:OMY917412 OWU917410:OWU917412 PGQ917410:PGQ917412 PQM917410:PQM917412 QAI917410:QAI917412 QKE917410:QKE917412 QUA917410:QUA917412 RDW917410:RDW917412 RNS917410:RNS917412 RXO917410:RXO917412 SHK917410:SHK917412 SRG917410:SRG917412 TBC917410:TBC917412 TKY917410:TKY917412 TUU917410:TUU917412 UEQ917410:UEQ917412 UOM917410:UOM917412 UYI917410:UYI917412 VIE917410:VIE917412 VSA917410:VSA917412 WBW917410:WBW917412 WLS917410:WLS917412 WVO917410:WVO917412 D982946:D982948 JC982946:JC982948 SY982946:SY982948 ACU982946:ACU982948 AMQ982946:AMQ982948 AWM982946:AWM982948 BGI982946:BGI982948 BQE982946:BQE982948 CAA982946:CAA982948 CJW982946:CJW982948 CTS982946:CTS982948 DDO982946:DDO982948 DNK982946:DNK982948 DXG982946:DXG982948 EHC982946:EHC982948 EQY982946:EQY982948 FAU982946:FAU982948 FKQ982946:FKQ982948 FUM982946:FUM982948 GEI982946:GEI982948 GOE982946:GOE982948 GYA982946:GYA982948 HHW982946:HHW982948 HRS982946:HRS982948 IBO982946:IBO982948 ILK982946:ILK982948 IVG982946:IVG982948 JFC982946:JFC982948 JOY982946:JOY982948 JYU982946:JYU982948 KIQ982946:KIQ982948 KSM982946:KSM982948 LCI982946:LCI982948 LME982946:LME982948 LWA982946:LWA982948 MFW982946:MFW982948 MPS982946:MPS982948 MZO982946:MZO982948 NJK982946:NJK982948 NTG982946:NTG982948 ODC982946:ODC982948 OMY982946:OMY982948 OWU982946:OWU982948 PGQ982946:PGQ982948 PQM982946:PQM982948 QAI982946:QAI982948 QKE982946:QKE982948 QUA982946:QUA982948 RDW982946:RDW982948 RNS982946:RNS982948 RXO982946:RXO982948 SHK982946:SHK982948 SRG982946:SRG982948 TBC982946:TBC982948 TKY982946:TKY982948 TUU982946:TUU982948 UEQ982946:UEQ982948 UOM982946:UOM982948 UYI982946:UYI982948 VIE982946:VIE982948 VSA982946:VSA982948 WBW982946:WBW982948 WLS982946:WLS982948 WVO982946:WVO982948 O65430:O65445 JN65430:JN65445 TJ65430:TJ65445 ADF65430:ADF65445 ANB65430:ANB65445 AWX65430:AWX65445 BGT65430:BGT65445 BQP65430:BQP65445 CAL65430:CAL65445 CKH65430:CKH65445 CUD65430:CUD65445 DDZ65430:DDZ65445 DNV65430:DNV65445 DXR65430:DXR65445 EHN65430:EHN65445 ERJ65430:ERJ65445 FBF65430:FBF65445 FLB65430:FLB65445 FUX65430:FUX65445 GET65430:GET65445 GOP65430:GOP65445 GYL65430:GYL65445 HIH65430:HIH65445 HSD65430:HSD65445 IBZ65430:IBZ65445 ILV65430:ILV65445 IVR65430:IVR65445 JFN65430:JFN65445 JPJ65430:JPJ65445 JZF65430:JZF65445 KJB65430:KJB65445 KSX65430:KSX65445 LCT65430:LCT65445 LMP65430:LMP65445 LWL65430:LWL65445 MGH65430:MGH65445 MQD65430:MQD65445 MZZ65430:MZZ65445 NJV65430:NJV65445 NTR65430:NTR65445 ODN65430:ODN65445 ONJ65430:ONJ65445 OXF65430:OXF65445 PHB65430:PHB65445 PQX65430:PQX65445 QAT65430:QAT65445 QKP65430:QKP65445 QUL65430:QUL65445 REH65430:REH65445 ROD65430:ROD65445 RXZ65430:RXZ65445 SHV65430:SHV65445 SRR65430:SRR65445 TBN65430:TBN65445 TLJ65430:TLJ65445 TVF65430:TVF65445 UFB65430:UFB65445 UOX65430:UOX65445 UYT65430:UYT65445 VIP65430:VIP65445 VSL65430:VSL65445 WCH65430:WCH65445 WMD65430:WMD65445 WVZ65430:WVZ65445 O130966:O130981 JN130966:JN130981 TJ130966:TJ130981 ADF130966:ADF130981 ANB130966:ANB130981 AWX130966:AWX130981 BGT130966:BGT130981 BQP130966:BQP130981 CAL130966:CAL130981 CKH130966:CKH130981 CUD130966:CUD130981 DDZ130966:DDZ130981 DNV130966:DNV130981 DXR130966:DXR130981 EHN130966:EHN130981 ERJ130966:ERJ130981 FBF130966:FBF130981 FLB130966:FLB130981 FUX130966:FUX130981 GET130966:GET130981 GOP130966:GOP130981 GYL130966:GYL130981 HIH130966:HIH130981 HSD130966:HSD130981 IBZ130966:IBZ130981 ILV130966:ILV130981 IVR130966:IVR130981 JFN130966:JFN130981 JPJ130966:JPJ130981 JZF130966:JZF130981 KJB130966:KJB130981 KSX130966:KSX130981 LCT130966:LCT130981 LMP130966:LMP130981 LWL130966:LWL130981 MGH130966:MGH130981 MQD130966:MQD130981 MZZ130966:MZZ130981 NJV130966:NJV130981 NTR130966:NTR130981 ODN130966:ODN130981 ONJ130966:ONJ130981 OXF130966:OXF130981 PHB130966:PHB130981 PQX130966:PQX130981 QAT130966:QAT130981 QKP130966:QKP130981 QUL130966:QUL130981 REH130966:REH130981 ROD130966:ROD130981 RXZ130966:RXZ130981 SHV130966:SHV130981 SRR130966:SRR130981 TBN130966:TBN130981 TLJ130966:TLJ130981 TVF130966:TVF130981 UFB130966:UFB130981 UOX130966:UOX130981 UYT130966:UYT130981 VIP130966:VIP130981 VSL130966:VSL130981 WCH130966:WCH130981 WMD130966:WMD130981 WVZ130966:WVZ130981 O196502:O196517 JN196502:JN196517 TJ196502:TJ196517 ADF196502:ADF196517 ANB196502:ANB196517 AWX196502:AWX196517 BGT196502:BGT196517 BQP196502:BQP196517 CAL196502:CAL196517 CKH196502:CKH196517 CUD196502:CUD196517 DDZ196502:DDZ196517 DNV196502:DNV196517 DXR196502:DXR196517 EHN196502:EHN196517 ERJ196502:ERJ196517 FBF196502:FBF196517 FLB196502:FLB196517 FUX196502:FUX196517 GET196502:GET196517 GOP196502:GOP196517 GYL196502:GYL196517 HIH196502:HIH196517 HSD196502:HSD196517 IBZ196502:IBZ196517 ILV196502:ILV196517 IVR196502:IVR196517 JFN196502:JFN196517 JPJ196502:JPJ196517 JZF196502:JZF196517 KJB196502:KJB196517 KSX196502:KSX196517 LCT196502:LCT196517 LMP196502:LMP196517 LWL196502:LWL196517 MGH196502:MGH196517 MQD196502:MQD196517 MZZ196502:MZZ196517 NJV196502:NJV196517 NTR196502:NTR196517 ODN196502:ODN196517 ONJ196502:ONJ196517 OXF196502:OXF196517 PHB196502:PHB196517 PQX196502:PQX196517 QAT196502:QAT196517 QKP196502:QKP196517 QUL196502:QUL196517 REH196502:REH196517 ROD196502:ROD196517 RXZ196502:RXZ196517 SHV196502:SHV196517 SRR196502:SRR196517 TBN196502:TBN196517 TLJ196502:TLJ196517 TVF196502:TVF196517 UFB196502:UFB196517 UOX196502:UOX196517 UYT196502:UYT196517 VIP196502:VIP196517 VSL196502:VSL196517 WCH196502:WCH196517 WMD196502:WMD196517 WVZ196502:WVZ196517 O262038:O262053 JN262038:JN262053 TJ262038:TJ262053 ADF262038:ADF262053 ANB262038:ANB262053 AWX262038:AWX262053 BGT262038:BGT262053 BQP262038:BQP262053 CAL262038:CAL262053 CKH262038:CKH262053 CUD262038:CUD262053 DDZ262038:DDZ262053 DNV262038:DNV262053 DXR262038:DXR262053 EHN262038:EHN262053 ERJ262038:ERJ262053 FBF262038:FBF262053 FLB262038:FLB262053 FUX262038:FUX262053 GET262038:GET262053 GOP262038:GOP262053 GYL262038:GYL262053 HIH262038:HIH262053 HSD262038:HSD262053 IBZ262038:IBZ262053 ILV262038:ILV262053 IVR262038:IVR262053 JFN262038:JFN262053 JPJ262038:JPJ262053 JZF262038:JZF262053 KJB262038:KJB262053 KSX262038:KSX262053 LCT262038:LCT262053 LMP262038:LMP262053 LWL262038:LWL262053 MGH262038:MGH262053 MQD262038:MQD262053 MZZ262038:MZZ262053 NJV262038:NJV262053 NTR262038:NTR262053 ODN262038:ODN262053 ONJ262038:ONJ262053 OXF262038:OXF262053 PHB262038:PHB262053 PQX262038:PQX262053 QAT262038:QAT262053 QKP262038:QKP262053 QUL262038:QUL262053 REH262038:REH262053 ROD262038:ROD262053 RXZ262038:RXZ262053 SHV262038:SHV262053 SRR262038:SRR262053 TBN262038:TBN262053 TLJ262038:TLJ262053 TVF262038:TVF262053 UFB262038:UFB262053 UOX262038:UOX262053 UYT262038:UYT262053 VIP262038:VIP262053 VSL262038:VSL262053 WCH262038:WCH262053 WMD262038:WMD262053 WVZ262038:WVZ262053 O327574:O327589 JN327574:JN327589 TJ327574:TJ327589 ADF327574:ADF327589 ANB327574:ANB327589 AWX327574:AWX327589 BGT327574:BGT327589 BQP327574:BQP327589 CAL327574:CAL327589 CKH327574:CKH327589 CUD327574:CUD327589 DDZ327574:DDZ327589 DNV327574:DNV327589 DXR327574:DXR327589 EHN327574:EHN327589 ERJ327574:ERJ327589 FBF327574:FBF327589 FLB327574:FLB327589 FUX327574:FUX327589 GET327574:GET327589 GOP327574:GOP327589 GYL327574:GYL327589 HIH327574:HIH327589 HSD327574:HSD327589 IBZ327574:IBZ327589 ILV327574:ILV327589 IVR327574:IVR327589 JFN327574:JFN327589 JPJ327574:JPJ327589 JZF327574:JZF327589 KJB327574:KJB327589 KSX327574:KSX327589 LCT327574:LCT327589 LMP327574:LMP327589 LWL327574:LWL327589 MGH327574:MGH327589 MQD327574:MQD327589 MZZ327574:MZZ327589 NJV327574:NJV327589 NTR327574:NTR327589 ODN327574:ODN327589 ONJ327574:ONJ327589 OXF327574:OXF327589 PHB327574:PHB327589 PQX327574:PQX327589 QAT327574:QAT327589 QKP327574:QKP327589 QUL327574:QUL327589 REH327574:REH327589 ROD327574:ROD327589 RXZ327574:RXZ327589 SHV327574:SHV327589 SRR327574:SRR327589 TBN327574:TBN327589 TLJ327574:TLJ327589 TVF327574:TVF327589 UFB327574:UFB327589 UOX327574:UOX327589 UYT327574:UYT327589 VIP327574:VIP327589 VSL327574:VSL327589 WCH327574:WCH327589 WMD327574:WMD327589 WVZ327574:WVZ327589 O393110:O393125 JN393110:JN393125 TJ393110:TJ393125 ADF393110:ADF393125 ANB393110:ANB393125 AWX393110:AWX393125 BGT393110:BGT393125 BQP393110:BQP393125 CAL393110:CAL393125 CKH393110:CKH393125 CUD393110:CUD393125 DDZ393110:DDZ393125 DNV393110:DNV393125 DXR393110:DXR393125 EHN393110:EHN393125 ERJ393110:ERJ393125 FBF393110:FBF393125 FLB393110:FLB393125 FUX393110:FUX393125 GET393110:GET393125 GOP393110:GOP393125 GYL393110:GYL393125 HIH393110:HIH393125 HSD393110:HSD393125 IBZ393110:IBZ393125 ILV393110:ILV393125 IVR393110:IVR393125 JFN393110:JFN393125 JPJ393110:JPJ393125 JZF393110:JZF393125 KJB393110:KJB393125 KSX393110:KSX393125 LCT393110:LCT393125 LMP393110:LMP393125 LWL393110:LWL393125 MGH393110:MGH393125 MQD393110:MQD393125 MZZ393110:MZZ393125 NJV393110:NJV393125 NTR393110:NTR393125 ODN393110:ODN393125 ONJ393110:ONJ393125 OXF393110:OXF393125 PHB393110:PHB393125 PQX393110:PQX393125 QAT393110:QAT393125 QKP393110:QKP393125 QUL393110:QUL393125 REH393110:REH393125 ROD393110:ROD393125 RXZ393110:RXZ393125 SHV393110:SHV393125 SRR393110:SRR393125 TBN393110:TBN393125 TLJ393110:TLJ393125 TVF393110:TVF393125 UFB393110:UFB393125 UOX393110:UOX393125 UYT393110:UYT393125 VIP393110:VIP393125 VSL393110:VSL393125 WCH393110:WCH393125 WMD393110:WMD393125 WVZ393110:WVZ393125 O458646:O458661 JN458646:JN458661 TJ458646:TJ458661 ADF458646:ADF458661 ANB458646:ANB458661 AWX458646:AWX458661 BGT458646:BGT458661 BQP458646:BQP458661 CAL458646:CAL458661 CKH458646:CKH458661 CUD458646:CUD458661 DDZ458646:DDZ458661 DNV458646:DNV458661 DXR458646:DXR458661 EHN458646:EHN458661 ERJ458646:ERJ458661 FBF458646:FBF458661 FLB458646:FLB458661 FUX458646:FUX458661 GET458646:GET458661 GOP458646:GOP458661 GYL458646:GYL458661 HIH458646:HIH458661 HSD458646:HSD458661 IBZ458646:IBZ458661 ILV458646:ILV458661 IVR458646:IVR458661 JFN458646:JFN458661 JPJ458646:JPJ458661 JZF458646:JZF458661 KJB458646:KJB458661 KSX458646:KSX458661 LCT458646:LCT458661 LMP458646:LMP458661 LWL458646:LWL458661 MGH458646:MGH458661 MQD458646:MQD458661 MZZ458646:MZZ458661 NJV458646:NJV458661 NTR458646:NTR458661 ODN458646:ODN458661 ONJ458646:ONJ458661 OXF458646:OXF458661 PHB458646:PHB458661 PQX458646:PQX458661 QAT458646:QAT458661 QKP458646:QKP458661 QUL458646:QUL458661 REH458646:REH458661 ROD458646:ROD458661 RXZ458646:RXZ458661 SHV458646:SHV458661 SRR458646:SRR458661 TBN458646:TBN458661 TLJ458646:TLJ458661 TVF458646:TVF458661 UFB458646:UFB458661 UOX458646:UOX458661 UYT458646:UYT458661 VIP458646:VIP458661 VSL458646:VSL458661 WCH458646:WCH458661 WMD458646:WMD458661 WVZ458646:WVZ458661 O524182:O524197 JN524182:JN524197 TJ524182:TJ524197 ADF524182:ADF524197 ANB524182:ANB524197 AWX524182:AWX524197 BGT524182:BGT524197 BQP524182:BQP524197 CAL524182:CAL524197 CKH524182:CKH524197 CUD524182:CUD524197 DDZ524182:DDZ524197 DNV524182:DNV524197 DXR524182:DXR524197 EHN524182:EHN524197 ERJ524182:ERJ524197 FBF524182:FBF524197 FLB524182:FLB524197 FUX524182:FUX524197 GET524182:GET524197 GOP524182:GOP524197 GYL524182:GYL524197 HIH524182:HIH524197 HSD524182:HSD524197 IBZ524182:IBZ524197 ILV524182:ILV524197 IVR524182:IVR524197 JFN524182:JFN524197 JPJ524182:JPJ524197 JZF524182:JZF524197 KJB524182:KJB524197 KSX524182:KSX524197 LCT524182:LCT524197 LMP524182:LMP524197 LWL524182:LWL524197 MGH524182:MGH524197 MQD524182:MQD524197 MZZ524182:MZZ524197 NJV524182:NJV524197 NTR524182:NTR524197 ODN524182:ODN524197 ONJ524182:ONJ524197 OXF524182:OXF524197 PHB524182:PHB524197 PQX524182:PQX524197 QAT524182:QAT524197 QKP524182:QKP524197 QUL524182:QUL524197 REH524182:REH524197 ROD524182:ROD524197 RXZ524182:RXZ524197 SHV524182:SHV524197 SRR524182:SRR524197 TBN524182:TBN524197 TLJ524182:TLJ524197 TVF524182:TVF524197 UFB524182:UFB524197 UOX524182:UOX524197 UYT524182:UYT524197 VIP524182:VIP524197 VSL524182:VSL524197 WCH524182:WCH524197 WMD524182:WMD524197 WVZ524182:WVZ524197 O589718:O589733 JN589718:JN589733 TJ589718:TJ589733 ADF589718:ADF589733 ANB589718:ANB589733 AWX589718:AWX589733 BGT589718:BGT589733 BQP589718:BQP589733 CAL589718:CAL589733 CKH589718:CKH589733 CUD589718:CUD589733 DDZ589718:DDZ589733 DNV589718:DNV589733 DXR589718:DXR589733 EHN589718:EHN589733 ERJ589718:ERJ589733 FBF589718:FBF589733 FLB589718:FLB589733 FUX589718:FUX589733 GET589718:GET589733 GOP589718:GOP589733 GYL589718:GYL589733 HIH589718:HIH589733 HSD589718:HSD589733 IBZ589718:IBZ589733 ILV589718:ILV589733 IVR589718:IVR589733 JFN589718:JFN589733 JPJ589718:JPJ589733 JZF589718:JZF589733 KJB589718:KJB589733 KSX589718:KSX589733 LCT589718:LCT589733 LMP589718:LMP589733 LWL589718:LWL589733 MGH589718:MGH589733 MQD589718:MQD589733 MZZ589718:MZZ589733 NJV589718:NJV589733 NTR589718:NTR589733 ODN589718:ODN589733 ONJ589718:ONJ589733 OXF589718:OXF589733 PHB589718:PHB589733 PQX589718:PQX589733 QAT589718:QAT589733 QKP589718:QKP589733 QUL589718:QUL589733 REH589718:REH589733 ROD589718:ROD589733 RXZ589718:RXZ589733 SHV589718:SHV589733 SRR589718:SRR589733 TBN589718:TBN589733 TLJ589718:TLJ589733 TVF589718:TVF589733 UFB589718:UFB589733 UOX589718:UOX589733 UYT589718:UYT589733 VIP589718:VIP589733 VSL589718:VSL589733 WCH589718:WCH589733 WMD589718:WMD589733 WVZ589718:WVZ589733 O655254:O655269 JN655254:JN655269 TJ655254:TJ655269 ADF655254:ADF655269 ANB655254:ANB655269 AWX655254:AWX655269 BGT655254:BGT655269 BQP655254:BQP655269 CAL655254:CAL655269 CKH655254:CKH655269 CUD655254:CUD655269 DDZ655254:DDZ655269 DNV655254:DNV655269 DXR655254:DXR655269 EHN655254:EHN655269 ERJ655254:ERJ655269 FBF655254:FBF655269 FLB655254:FLB655269 FUX655254:FUX655269 GET655254:GET655269 GOP655254:GOP655269 GYL655254:GYL655269 HIH655254:HIH655269 HSD655254:HSD655269 IBZ655254:IBZ655269 ILV655254:ILV655269 IVR655254:IVR655269 JFN655254:JFN655269 JPJ655254:JPJ655269 JZF655254:JZF655269 KJB655254:KJB655269 KSX655254:KSX655269 LCT655254:LCT655269 LMP655254:LMP655269 LWL655254:LWL655269 MGH655254:MGH655269 MQD655254:MQD655269 MZZ655254:MZZ655269 NJV655254:NJV655269 NTR655254:NTR655269 ODN655254:ODN655269 ONJ655254:ONJ655269 OXF655254:OXF655269 PHB655254:PHB655269 PQX655254:PQX655269 QAT655254:QAT655269 QKP655254:QKP655269 QUL655254:QUL655269 REH655254:REH655269 ROD655254:ROD655269 RXZ655254:RXZ655269 SHV655254:SHV655269 SRR655254:SRR655269 TBN655254:TBN655269 TLJ655254:TLJ655269 TVF655254:TVF655269 UFB655254:UFB655269 UOX655254:UOX655269 UYT655254:UYT655269 VIP655254:VIP655269 VSL655254:VSL655269 WCH655254:WCH655269 WMD655254:WMD655269 WVZ655254:WVZ655269 O720790:O720805 JN720790:JN720805 TJ720790:TJ720805 ADF720790:ADF720805 ANB720790:ANB720805 AWX720790:AWX720805 BGT720790:BGT720805 BQP720790:BQP720805 CAL720790:CAL720805 CKH720790:CKH720805 CUD720790:CUD720805 DDZ720790:DDZ720805 DNV720790:DNV720805 DXR720790:DXR720805 EHN720790:EHN720805 ERJ720790:ERJ720805 FBF720790:FBF720805 FLB720790:FLB720805 FUX720790:FUX720805 GET720790:GET720805 GOP720790:GOP720805 GYL720790:GYL720805 HIH720790:HIH720805 HSD720790:HSD720805 IBZ720790:IBZ720805 ILV720790:ILV720805 IVR720790:IVR720805 JFN720790:JFN720805 JPJ720790:JPJ720805 JZF720790:JZF720805 KJB720790:KJB720805 KSX720790:KSX720805 LCT720790:LCT720805 LMP720790:LMP720805 LWL720790:LWL720805 MGH720790:MGH720805 MQD720790:MQD720805 MZZ720790:MZZ720805 NJV720790:NJV720805 NTR720790:NTR720805 ODN720790:ODN720805 ONJ720790:ONJ720805 OXF720790:OXF720805 PHB720790:PHB720805 PQX720790:PQX720805 QAT720790:QAT720805 QKP720790:QKP720805 QUL720790:QUL720805 REH720790:REH720805 ROD720790:ROD720805 RXZ720790:RXZ720805 SHV720790:SHV720805 SRR720790:SRR720805 TBN720790:TBN720805 TLJ720790:TLJ720805 TVF720790:TVF720805 UFB720790:UFB720805 UOX720790:UOX720805 UYT720790:UYT720805 VIP720790:VIP720805 VSL720790:VSL720805 WCH720790:WCH720805 WMD720790:WMD720805 WVZ720790:WVZ720805 O786326:O786341 JN786326:JN786341 TJ786326:TJ786341 ADF786326:ADF786341 ANB786326:ANB786341 AWX786326:AWX786341 BGT786326:BGT786341 BQP786326:BQP786341 CAL786326:CAL786341 CKH786326:CKH786341 CUD786326:CUD786341 DDZ786326:DDZ786341 DNV786326:DNV786341 DXR786326:DXR786341 EHN786326:EHN786341 ERJ786326:ERJ786341 FBF786326:FBF786341 FLB786326:FLB786341 FUX786326:FUX786341 GET786326:GET786341 GOP786326:GOP786341 GYL786326:GYL786341 HIH786326:HIH786341 HSD786326:HSD786341 IBZ786326:IBZ786341 ILV786326:ILV786341 IVR786326:IVR786341 JFN786326:JFN786341 JPJ786326:JPJ786341 JZF786326:JZF786341 KJB786326:KJB786341 KSX786326:KSX786341 LCT786326:LCT786341 LMP786326:LMP786341 LWL786326:LWL786341 MGH786326:MGH786341 MQD786326:MQD786341 MZZ786326:MZZ786341 NJV786326:NJV786341 NTR786326:NTR786341 ODN786326:ODN786341 ONJ786326:ONJ786341 OXF786326:OXF786341 PHB786326:PHB786341 PQX786326:PQX786341 QAT786326:QAT786341 QKP786326:QKP786341 QUL786326:QUL786341 REH786326:REH786341 ROD786326:ROD786341 RXZ786326:RXZ786341 SHV786326:SHV786341 SRR786326:SRR786341 TBN786326:TBN786341 TLJ786326:TLJ786341 TVF786326:TVF786341 UFB786326:UFB786341 UOX786326:UOX786341 UYT786326:UYT786341 VIP786326:VIP786341 VSL786326:VSL786341 WCH786326:WCH786341 WMD786326:WMD786341 WVZ786326:WVZ786341 O851862:O851877 JN851862:JN851877 TJ851862:TJ851877 ADF851862:ADF851877 ANB851862:ANB851877 AWX851862:AWX851877 BGT851862:BGT851877 BQP851862:BQP851877 CAL851862:CAL851877 CKH851862:CKH851877 CUD851862:CUD851877 DDZ851862:DDZ851877 DNV851862:DNV851877 DXR851862:DXR851877 EHN851862:EHN851877 ERJ851862:ERJ851877 FBF851862:FBF851877 FLB851862:FLB851877 FUX851862:FUX851877 GET851862:GET851877 GOP851862:GOP851877 GYL851862:GYL851877 HIH851862:HIH851877 HSD851862:HSD851877 IBZ851862:IBZ851877 ILV851862:ILV851877 IVR851862:IVR851877 JFN851862:JFN851877 JPJ851862:JPJ851877 JZF851862:JZF851877 KJB851862:KJB851877 KSX851862:KSX851877 LCT851862:LCT851877 LMP851862:LMP851877 LWL851862:LWL851877 MGH851862:MGH851877 MQD851862:MQD851877 MZZ851862:MZZ851877 NJV851862:NJV851877 NTR851862:NTR851877 ODN851862:ODN851877 ONJ851862:ONJ851877 OXF851862:OXF851877 PHB851862:PHB851877 PQX851862:PQX851877 QAT851862:QAT851877 QKP851862:QKP851877 QUL851862:QUL851877 REH851862:REH851877 ROD851862:ROD851877 RXZ851862:RXZ851877 SHV851862:SHV851877 SRR851862:SRR851877 TBN851862:TBN851877 TLJ851862:TLJ851877 TVF851862:TVF851877 UFB851862:UFB851877 UOX851862:UOX851877 UYT851862:UYT851877 VIP851862:VIP851877 VSL851862:VSL851877 WCH851862:WCH851877 WMD851862:WMD851877 WVZ851862:WVZ851877 O917398:O917413 JN917398:JN917413 TJ917398:TJ917413 ADF917398:ADF917413 ANB917398:ANB917413 AWX917398:AWX917413 BGT917398:BGT917413 BQP917398:BQP917413 CAL917398:CAL917413 CKH917398:CKH917413 CUD917398:CUD917413 DDZ917398:DDZ917413 DNV917398:DNV917413 DXR917398:DXR917413 EHN917398:EHN917413 ERJ917398:ERJ917413 FBF917398:FBF917413 FLB917398:FLB917413 FUX917398:FUX917413 GET917398:GET917413 GOP917398:GOP917413 GYL917398:GYL917413 HIH917398:HIH917413 HSD917398:HSD917413 IBZ917398:IBZ917413 ILV917398:ILV917413 IVR917398:IVR917413 JFN917398:JFN917413 JPJ917398:JPJ917413 JZF917398:JZF917413 KJB917398:KJB917413 KSX917398:KSX917413 LCT917398:LCT917413 LMP917398:LMP917413 LWL917398:LWL917413 MGH917398:MGH917413 MQD917398:MQD917413 MZZ917398:MZZ917413 NJV917398:NJV917413 NTR917398:NTR917413 ODN917398:ODN917413 ONJ917398:ONJ917413 OXF917398:OXF917413 PHB917398:PHB917413 PQX917398:PQX917413 QAT917398:QAT917413 QKP917398:QKP917413 QUL917398:QUL917413 REH917398:REH917413 ROD917398:ROD917413 RXZ917398:RXZ917413 SHV917398:SHV917413 SRR917398:SRR917413 TBN917398:TBN917413 TLJ917398:TLJ917413 TVF917398:TVF917413 UFB917398:UFB917413 UOX917398:UOX917413 UYT917398:UYT917413 VIP917398:VIP917413 VSL917398:VSL917413 WCH917398:WCH917413 WMD917398:WMD917413 WVZ917398:WVZ917413 O982934:O982949 JN982934:JN982949 TJ982934:TJ982949 ADF982934:ADF982949 ANB982934:ANB982949 AWX982934:AWX982949 BGT982934:BGT982949 BQP982934:BQP982949 CAL982934:CAL982949 CKH982934:CKH982949 CUD982934:CUD982949 DDZ982934:DDZ982949 DNV982934:DNV982949 DXR982934:DXR982949 EHN982934:EHN982949 ERJ982934:ERJ982949 FBF982934:FBF982949 FLB982934:FLB982949 FUX982934:FUX982949 GET982934:GET982949 GOP982934:GOP982949 GYL982934:GYL982949 HIH982934:HIH982949 HSD982934:HSD982949 IBZ982934:IBZ982949 ILV982934:ILV982949 IVR982934:IVR982949 JFN982934:JFN982949 JPJ982934:JPJ982949 JZF982934:JZF982949 KJB982934:KJB982949 KSX982934:KSX982949 LCT982934:LCT982949 LMP982934:LMP982949 LWL982934:LWL982949 MGH982934:MGH982949 MQD982934:MQD982949 MZZ982934:MZZ982949 NJV982934:NJV982949 NTR982934:NTR982949 ODN982934:ODN982949 ONJ982934:ONJ982949 OXF982934:OXF982949 PHB982934:PHB982949 PQX982934:PQX982949 QAT982934:QAT982949 QKP982934:QKP982949 QUL982934:QUL982949 REH982934:REH982949 ROD982934:ROD982949 RXZ982934:RXZ982949 SHV982934:SHV982949 SRR982934:SRR982949 TBN982934:TBN982949 TLJ982934:TLJ982949 TVF982934:TVF982949 UFB982934:UFB982949 UOX982934:UOX982949 UYT982934:UYT982949 VIP982934:VIP982949 VSL982934:VSL982949 WCH982934:WCH982949 WMD982934:WMD982949 WVZ982934:WVZ982949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E20" sqref="E20"/>
    </sheetView>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R7決算書（議案番号無し）決算統計</vt:lpstr>
      <vt:lpstr>R6決算書（議案番号無し）決算統計</vt:lpstr>
      <vt:lpstr>R5決算書（議案番号無し）</vt:lpstr>
      <vt:lpstr>R4決算書（議案番号無し）</vt:lpstr>
      <vt:lpstr>R3決算書（議案番号無し）</vt:lpstr>
      <vt:lpstr>R2決算書（議案番号無し）</vt:lpstr>
      <vt:lpstr>Sheet1</vt:lpstr>
      <vt:lpstr>'R2決算書（議案番号無し）'!Print_Area</vt:lpstr>
      <vt:lpstr>'R3決算書（議案番号無し）'!Print_Area</vt:lpstr>
      <vt:lpstr>'R4決算書（議案番号無し）'!Print_Area</vt:lpstr>
      <vt:lpstr>'R5決算書（議案番号無し）'!Print_Area</vt:lpstr>
      <vt:lpstr>'R6決算書（議案番号無し）決算統計'!Print_Area</vt:lpstr>
      <vt:lpstr>'R7決算書（議案番号無し）決算統計'!Print_Area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2026-08-17T23:55:27Z</dcterms:modified>
</cp:coreProperties>
</file>