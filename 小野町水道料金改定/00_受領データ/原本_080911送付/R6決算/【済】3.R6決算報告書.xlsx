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filterPrivacy="1" defaultThemeVersion="124226"/>
  <xr:revisionPtr revIDLastSave="0" documentId="13_ncr:1_{433A729D-D541-4A61-826A-4B861B1DC917}" xr6:coauthVersionLast="45" xr6:coauthVersionMax="45" xr10:uidLastSave="{00000000-0000-0000-0000-000000000000}"/>
  <bookViews>
    <workbookView xWindow="-120" yWindow="-120" windowWidth="20730" windowHeight="11160" xr2:uid="{00000000-000D-0000-FFFF-FFFF00000000}"/>
  </bookViews>
  <sheets>
    <sheet name="070804修正中R6決算書（議案番号無し）財政提出" sheetId="15" r:id="rId1"/>
    <sheet name="R6決算書（議案番号無し）財政提出" sheetId="14" r:id="rId2"/>
    <sheet name="R6決算書（議案番号無し）決算統計" sheetId="13" r:id="rId3"/>
    <sheet name="R5決算書（議案番号無し）" sheetId="12" r:id="rId4"/>
    <sheet name="R4決算書（議案番号無し）" sheetId="11" r:id="rId5"/>
    <sheet name="R3決算書（議案番号無し）" sheetId="10" r:id="rId6"/>
    <sheet name="R2決算書（議案番号無し）" sheetId="7" r:id="rId7"/>
    <sheet name="Sheet1" sheetId="9" r:id="rId8"/>
  </sheets>
  <definedNames>
    <definedName name="_xlnm.Print_Area" localSheetId="0">'070804修正中R6決算書（議案番号無し）財政提出'!$B$1:$BA$100</definedName>
    <definedName name="_xlnm.Print_Area" localSheetId="6">'R2決算書（議案番号無し）'!$B$1:$BA$100</definedName>
    <definedName name="_xlnm.Print_Area" localSheetId="5">'R3決算書（議案番号無し）'!$B$1:$BA$100</definedName>
    <definedName name="_xlnm.Print_Area" localSheetId="4">'R4決算書（議案番号無し）'!$B$1:$BA$100</definedName>
    <definedName name="_xlnm.Print_Area" localSheetId="3">'R5決算書（議案番号無し）'!$B$1:$BA$100</definedName>
    <definedName name="_xlnm.Print_Area" localSheetId="2">'R6決算書（議案番号無し）決算統計'!$B$1:$BA$100</definedName>
    <definedName name="_xlnm.Print_Area" localSheetId="1">'R6決算書（議案番号無し）財政提出'!$B$1:$BA$100</definedName>
  </definedNames>
  <calcPr calcId="191029"/>
</workbook>
</file>

<file path=xl/calcChain.xml><?xml version="1.0" encoding="utf-8"?>
<calcChain xmlns="http://schemas.openxmlformats.org/spreadsheetml/2006/main">
  <c r="BC98" i="15" l="1"/>
  <c r="AF106" i="15" l="1"/>
  <c r="S91" i="15"/>
  <c r="AB91" i="15" s="1"/>
  <c r="AN93" i="15" l="1"/>
  <c r="S93" i="15"/>
  <c r="AB93" i="15" s="1"/>
  <c r="AP93" i="15" s="1"/>
  <c r="Q93" i="15"/>
  <c r="AN91" i="15"/>
  <c r="Q91" i="15"/>
  <c r="AN89" i="15"/>
  <c r="AL89" i="15"/>
  <c r="AJ89" i="15"/>
  <c r="AF89" i="15"/>
  <c r="Z89" i="15"/>
  <c r="W89" i="15"/>
  <c r="Q89" i="15"/>
  <c r="M89" i="15"/>
  <c r="I89" i="15"/>
  <c r="AA78" i="15"/>
  <c r="AI78" i="15" s="1"/>
  <c r="Q78" i="15"/>
  <c r="Q76" i="15"/>
  <c r="AA76" i="15" s="1"/>
  <c r="AI76" i="15" s="1"/>
  <c r="U74" i="15"/>
  <c r="U72" i="15" s="1"/>
  <c r="Q74" i="15"/>
  <c r="AA74" i="15" s="1"/>
  <c r="AE72" i="15"/>
  <c r="X72" i="15"/>
  <c r="M72" i="15"/>
  <c r="I72" i="15"/>
  <c r="X47" i="15"/>
  <c r="AD47" i="15" s="1"/>
  <c r="AN47" i="15" s="1"/>
  <c r="X45" i="15"/>
  <c r="AD45" i="15" s="1"/>
  <c r="AN45" i="15" s="1"/>
  <c r="AD43" i="15"/>
  <c r="X43" i="15"/>
  <c r="AL41" i="15"/>
  <c r="AH41" i="15"/>
  <c r="AB41" i="15"/>
  <c r="X41" i="15"/>
  <c r="V41" i="15"/>
  <c r="S41" i="15"/>
  <c r="Q41" i="15"/>
  <c r="M41" i="15"/>
  <c r="I41" i="15"/>
  <c r="U30" i="15"/>
  <c r="AC30" i="15" s="1"/>
  <c r="U28" i="15"/>
  <c r="U26" i="15" s="1"/>
  <c r="Y26" i="15"/>
  <c r="AC26" i="15" s="1"/>
  <c r="Q26" i="15"/>
  <c r="M26" i="15"/>
  <c r="I26" i="15"/>
  <c r="AI74" i="15" l="1"/>
  <c r="AI72" i="15" s="1"/>
  <c r="AA72" i="15"/>
  <c r="AD41" i="15"/>
  <c r="S89" i="15"/>
  <c r="AC28" i="15"/>
  <c r="AN43" i="15"/>
  <c r="AN41" i="15" s="1"/>
  <c r="Q72" i="15"/>
  <c r="AN93" i="14"/>
  <c r="Q93" i="14"/>
  <c r="S93" i="14" s="1"/>
  <c r="AB93" i="14" s="1"/>
  <c r="AP93" i="14" s="1"/>
  <c r="AN91" i="14"/>
  <c r="S91" i="14"/>
  <c r="AB91" i="14" s="1"/>
  <c r="Q91" i="14"/>
  <c r="AN89" i="14"/>
  <c r="AL89" i="14"/>
  <c r="AJ89" i="14"/>
  <c r="AF89" i="14"/>
  <c r="Z89" i="14"/>
  <c r="W89" i="14"/>
  <c r="M89" i="14"/>
  <c r="I89" i="14"/>
  <c r="Q78" i="14"/>
  <c r="AA78" i="14" s="1"/>
  <c r="AI78" i="14" s="1"/>
  <c r="Q76" i="14"/>
  <c r="AA76" i="14" s="1"/>
  <c r="AI76" i="14" s="1"/>
  <c r="U74" i="14"/>
  <c r="Q74" i="14"/>
  <c r="AA74" i="14" s="1"/>
  <c r="AE72" i="14"/>
  <c r="X72" i="14"/>
  <c r="U72" i="14"/>
  <c r="M72" i="14"/>
  <c r="I72" i="14"/>
  <c r="X47" i="14"/>
  <c r="AD47" i="14" s="1"/>
  <c r="AN47" i="14" s="1"/>
  <c r="X45" i="14"/>
  <c r="AD45" i="14" s="1"/>
  <c r="AN45" i="14" s="1"/>
  <c r="X43" i="14"/>
  <c r="AL41" i="14"/>
  <c r="AH41" i="14"/>
  <c r="AB41" i="14"/>
  <c r="V41" i="14"/>
  <c r="S41" i="14"/>
  <c r="Q41" i="14"/>
  <c r="M41" i="14"/>
  <c r="I41" i="14"/>
  <c r="AC30" i="14"/>
  <c r="U30" i="14"/>
  <c r="U28" i="14"/>
  <c r="AC28" i="14" s="1"/>
  <c r="Y26" i="14"/>
  <c r="Q26" i="14"/>
  <c r="M26" i="14"/>
  <c r="I26" i="14"/>
  <c r="AB89" i="15" l="1"/>
  <c r="AP91" i="15"/>
  <c r="AP89" i="15" s="1"/>
  <c r="BC98" i="14"/>
  <c r="X41" i="14"/>
  <c r="AB89" i="14"/>
  <c r="AP91" i="14"/>
  <c r="AP89" i="14" s="1"/>
  <c r="AI74" i="14"/>
  <c r="AI72" i="14" s="1"/>
  <c r="AA72" i="14"/>
  <c r="AD43" i="14"/>
  <c r="U26" i="14"/>
  <c r="AC26" i="14" s="1"/>
  <c r="S89" i="14"/>
  <c r="Q72" i="14"/>
  <c r="Q89" i="14"/>
  <c r="AF89" i="13"/>
  <c r="AN43" i="14" l="1"/>
  <c r="AN41" i="14" s="1"/>
  <c r="AD41" i="14"/>
  <c r="AN45" i="13"/>
  <c r="AF91" i="11" l="1"/>
  <c r="I26" i="13"/>
  <c r="AN93" i="13"/>
  <c r="Q93" i="13"/>
  <c r="S93" i="13" s="1"/>
  <c r="AN91" i="13"/>
  <c r="S91" i="13"/>
  <c r="AB91" i="13" s="1"/>
  <c r="AP91" i="13" s="1"/>
  <c r="Q91" i="13"/>
  <c r="AN89" i="13"/>
  <c r="AL89" i="13"/>
  <c r="AJ89" i="13"/>
  <c r="Z89" i="13"/>
  <c r="W89" i="13"/>
  <c r="Q89" i="13"/>
  <c r="M89" i="13"/>
  <c r="I89" i="13"/>
  <c r="Q78" i="13"/>
  <c r="AA78" i="13" s="1"/>
  <c r="AI78" i="13" s="1"/>
  <c r="Q76" i="13"/>
  <c r="AA76" i="13" s="1"/>
  <c r="AI76" i="13" s="1"/>
  <c r="U74" i="13"/>
  <c r="Q74" i="13"/>
  <c r="AA74" i="13" s="1"/>
  <c r="AE72" i="13"/>
  <c r="X72" i="13"/>
  <c r="U72" i="13"/>
  <c r="M72" i="13"/>
  <c r="I72" i="13"/>
  <c r="X47" i="13"/>
  <c r="AD47" i="13" s="1"/>
  <c r="AN47" i="13" s="1"/>
  <c r="X45" i="13"/>
  <c r="AD45" i="13" s="1"/>
  <c r="X43" i="13"/>
  <c r="AD43" i="13" s="1"/>
  <c r="AL41" i="13"/>
  <c r="AH41" i="13"/>
  <c r="AB41" i="13"/>
  <c r="V41" i="13"/>
  <c r="S41" i="13"/>
  <c r="Q41" i="13"/>
  <c r="M41" i="13"/>
  <c r="I41" i="13"/>
  <c r="U30" i="13"/>
  <c r="AC30" i="13" s="1"/>
  <c r="U28" i="13"/>
  <c r="AC28" i="13" s="1"/>
  <c r="Y26" i="13"/>
  <c r="Q26" i="13"/>
  <c r="M26" i="13"/>
  <c r="X41" i="13" l="1"/>
  <c r="BC98" i="13"/>
  <c r="AD41" i="13"/>
  <c r="AB93" i="13"/>
  <c r="S89" i="13"/>
  <c r="AI74" i="13"/>
  <c r="AI72" i="13" s="1"/>
  <c r="AA72" i="13"/>
  <c r="U26" i="13"/>
  <c r="AC26" i="13" s="1"/>
  <c r="AN43" i="13"/>
  <c r="AN41" i="13" s="1"/>
  <c r="Q72" i="13"/>
  <c r="AB89" i="12"/>
  <c r="AF89" i="12"/>
  <c r="AJ89" i="12"/>
  <c r="AP89" i="12"/>
  <c r="AF91" i="12"/>
  <c r="AP91" i="12"/>
  <c r="AN91" i="12"/>
  <c r="W89" i="12"/>
  <c r="AP93" i="13" l="1"/>
  <c r="AP89" i="13" s="1"/>
  <c r="AB89" i="13"/>
  <c r="BC98" i="12"/>
  <c r="I26" i="12" l="1"/>
  <c r="AN93" i="12"/>
  <c r="Q93" i="12"/>
  <c r="S93" i="12" s="1"/>
  <c r="AB93" i="12" s="1"/>
  <c r="AP93" i="12" s="1"/>
  <c r="Q91" i="12"/>
  <c r="S91" i="12" s="1"/>
  <c r="AL89" i="12"/>
  <c r="Z89" i="12"/>
  <c r="Q89" i="12"/>
  <c r="M89" i="12"/>
  <c r="I89" i="12"/>
  <c r="Q78" i="12"/>
  <c r="AA78" i="12" s="1"/>
  <c r="AI78" i="12" s="1"/>
  <c r="Q76" i="12"/>
  <c r="AA76" i="12" s="1"/>
  <c r="AI76" i="12" s="1"/>
  <c r="U74" i="12"/>
  <c r="U72" i="12" s="1"/>
  <c r="Q74" i="12"/>
  <c r="AA74" i="12" s="1"/>
  <c r="AE72" i="12"/>
  <c r="X72" i="12"/>
  <c r="M72" i="12"/>
  <c r="I72" i="12"/>
  <c r="X47" i="12"/>
  <c r="AD47" i="12" s="1"/>
  <c r="AN47" i="12" s="1"/>
  <c r="X45" i="12"/>
  <c r="AD45" i="12" s="1"/>
  <c r="AN45" i="12" s="1"/>
  <c r="X43" i="12"/>
  <c r="AL41" i="12"/>
  <c r="AH41" i="12"/>
  <c r="AB41" i="12"/>
  <c r="V41" i="12"/>
  <c r="S41" i="12"/>
  <c r="Q41" i="12"/>
  <c r="M41" i="12"/>
  <c r="I41" i="12"/>
  <c r="U30" i="12"/>
  <c r="AC30" i="12" s="1"/>
  <c r="U28" i="12"/>
  <c r="AC28" i="12" s="1"/>
  <c r="Y26" i="12"/>
  <c r="Q26" i="12"/>
  <c r="M26" i="12"/>
  <c r="AN89" i="12" l="1"/>
  <c r="X41" i="12"/>
  <c r="AD43" i="12"/>
  <c r="AD41" i="12" s="1"/>
  <c r="AB91" i="12"/>
  <c r="S89" i="12"/>
  <c r="AI74" i="12"/>
  <c r="AI72" i="12" s="1"/>
  <c r="AA72" i="12"/>
  <c r="U26" i="12"/>
  <c r="AC26" i="12" s="1"/>
  <c r="AN43" i="12"/>
  <c r="AN41" i="12" s="1"/>
  <c r="Q72" i="12"/>
  <c r="W91" i="11"/>
  <c r="BG94" i="11"/>
  <c r="BC94" i="11"/>
  <c r="BG92" i="11" l="1"/>
  <c r="AN91" i="11"/>
  <c r="AN93" i="11" l="1"/>
  <c r="Q93" i="11"/>
  <c r="S93" i="11" s="1"/>
  <c r="AB93" i="11" s="1"/>
  <c r="AN89" i="11"/>
  <c r="Q91" i="11"/>
  <c r="S91" i="11" s="1"/>
  <c r="AL89" i="11"/>
  <c r="AJ89" i="11"/>
  <c r="AF89" i="11"/>
  <c r="BC98" i="11" s="1"/>
  <c r="Z89" i="11"/>
  <c r="W89" i="11"/>
  <c r="Q89" i="11"/>
  <c r="M89" i="11"/>
  <c r="I89" i="11"/>
  <c r="Q78" i="11"/>
  <c r="AA78" i="11" s="1"/>
  <c r="AI78" i="11" s="1"/>
  <c r="Q76" i="11"/>
  <c r="AA76" i="11" s="1"/>
  <c r="AI76" i="11" s="1"/>
  <c r="U74" i="11"/>
  <c r="U72" i="11" s="1"/>
  <c r="Q74" i="11"/>
  <c r="AA74" i="11" s="1"/>
  <c r="AE72" i="11"/>
  <c r="X72" i="11"/>
  <c r="M72" i="11"/>
  <c r="I72" i="11"/>
  <c r="X47" i="11"/>
  <c r="AD47" i="11" s="1"/>
  <c r="AN47" i="11" s="1"/>
  <c r="X45" i="11"/>
  <c r="AD45" i="11" s="1"/>
  <c r="AN45" i="11" s="1"/>
  <c r="X43" i="11"/>
  <c r="AL41" i="11"/>
  <c r="AH41" i="11"/>
  <c r="AB41" i="11"/>
  <c r="V41" i="11"/>
  <c r="S41" i="11"/>
  <c r="Q41" i="11"/>
  <c r="M41" i="11"/>
  <c r="I41" i="11"/>
  <c r="U30" i="11"/>
  <c r="AC30" i="11" s="1"/>
  <c r="U28" i="11"/>
  <c r="Y26" i="11"/>
  <c r="Q26" i="11"/>
  <c r="M26" i="11"/>
  <c r="I26" i="11"/>
  <c r="S89" i="11" l="1"/>
  <c r="AB91" i="11"/>
  <c r="AP91" i="11" s="1"/>
  <c r="X41" i="11"/>
  <c r="AD43" i="11"/>
  <c r="U26" i="11"/>
  <c r="AC26" i="11" s="1"/>
  <c r="AC28" i="11"/>
  <c r="AI74" i="11"/>
  <c r="AI72" i="11" s="1"/>
  <c r="AA72" i="11"/>
  <c r="Q72" i="11"/>
  <c r="AP93" i="11"/>
  <c r="Y26" i="10"/>
  <c r="AB89" i="11" l="1"/>
  <c r="AP89" i="11"/>
  <c r="AD41" i="11"/>
  <c r="AN43" i="11"/>
  <c r="AN41" i="11" s="1"/>
  <c r="M26" i="10"/>
  <c r="AN93" i="10"/>
  <c r="Q93" i="10"/>
  <c r="S93" i="10" s="1"/>
  <c r="AB93" i="10" s="1"/>
  <c r="AP93" i="10" s="1"/>
  <c r="AN91" i="10"/>
  <c r="AN89" i="10" s="1"/>
  <c r="Q91" i="10"/>
  <c r="S91" i="10" s="1"/>
  <c r="AL89" i="10"/>
  <c r="AJ89" i="10"/>
  <c r="AF89" i="10"/>
  <c r="BC96" i="10" s="1"/>
  <c r="Z89" i="10"/>
  <c r="W89" i="10"/>
  <c r="M89" i="10"/>
  <c r="I89" i="10"/>
  <c r="Q78" i="10"/>
  <c r="AA78" i="10" s="1"/>
  <c r="AI78" i="10" s="1"/>
  <c r="Q76" i="10"/>
  <c r="AA76" i="10" s="1"/>
  <c r="AI76" i="10" s="1"/>
  <c r="U74" i="10"/>
  <c r="Q74" i="10"/>
  <c r="AA74" i="10" s="1"/>
  <c r="AI74" i="10" s="1"/>
  <c r="AE72" i="10"/>
  <c r="X72" i="10"/>
  <c r="U72" i="10"/>
  <c r="M72" i="10"/>
  <c r="I72" i="10"/>
  <c r="X47" i="10"/>
  <c r="AD47" i="10" s="1"/>
  <c r="AN47" i="10" s="1"/>
  <c r="X45" i="10"/>
  <c r="AD45" i="10" s="1"/>
  <c r="AN45" i="10" s="1"/>
  <c r="X43" i="10"/>
  <c r="AD43" i="10" s="1"/>
  <c r="AL41" i="10"/>
  <c r="AH41" i="10"/>
  <c r="AB41" i="10"/>
  <c r="V41" i="10"/>
  <c r="S41" i="10"/>
  <c r="Q41" i="10"/>
  <c r="M41" i="10"/>
  <c r="I41" i="10"/>
  <c r="U30" i="10"/>
  <c r="AC30" i="10" s="1"/>
  <c r="U28" i="10"/>
  <c r="AC28" i="10" s="1"/>
  <c r="Q26" i="10"/>
  <c r="I26" i="10"/>
  <c r="Q89" i="10" l="1"/>
  <c r="AI72" i="10"/>
  <c r="U26" i="10"/>
  <c r="AC26" i="10" s="1"/>
  <c r="X41" i="10"/>
  <c r="S89" i="10"/>
  <c r="AB91" i="10"/>
  <c r="AD41" i="10"/>
  <c r="AA72" i="10"/>
  <c r="AN43" i="10"/>
  <c r="AN41" i="10" s="1"/>
  <c r="Q72" i="10"/>
  <c r="M26" i="7"/>
  <c r="AP91" i="10" l="1"/>
  <c r="AP89" i="10" s="1"/>
  <c r="AB89" i="10"/>
  <c r="M89" i="7"/>
  <c r="AN93" i="7" l="1"/>
  <c r="Q93" i="7"/>
  <c r="S93" i="7" s="1"/>
  <c r="AB93" i="7" s="1"/>
  <c r="AP93" i="7" s="1"/>
  <c r="AN91" i="7"/>
  <c r="AN89" i="7" s="1"/>
  <c r="Q91" i="7"/>
  <c r="S91" i="7" s="1"/>
  <c r="AL89" i="7"/>
  <c r="AJ89" i="7"/>
  <c r="AF89" i="7"/>
  <c r="Z89" i="7"/>
  <c r="W89" i="7"/>
  <c r="I89" i="7"/>
  <c r="Q78" i="7"/>
  <c r="AA78" i="7" s="1"/>
  <c r="AI78" i="7" s="1"/>
  <c r="Q76" i="7"/>
  <c r="U74" i="7"/>
  <c r="Q74" i="7"/>
  <c r="AA74" i="7" s="1"/>
  <c r="AE72" i="7"/>
  <c r="X72" i="7"/>
  <c r="U72" i="7"/>
  <c r="M72" i="7"/>
  <c r="I72" i="7"/>
  <c r="X47" i="7"/>
  <c r="AD47" i="7" s="1"/>
  <c r="AN47" i="7" s="1"/>
  <c r="X45" i="7"/>
  <c r="AD45" i="7" s="1"/>
  <c r="AN45" i="7" s="1"/>
  <c r="X43" i="7"/>
  <c r="AD43" i="7" s="1"/>
  <c r="AL41" i="7"/>
  <c r="AH41" i="7"/>
  <c r="AB41" i="7"/>
  <c r="V41" i="7"/>
  <c r="S41" i="7"/>
  <c r="Q41" i="7"/>
  <c r="M41" i="7"/>
  <c r="I41" i="7"/>
  <c r="U30" i="7"/>
  <c r="AC30" i="7" s="1"/>
  <c r="U28" i="7"/>
  <c r="AC28" i="7" s="1"/>
  <c r="Y26" i="7"/>
  <c r="Q26" i="7"/>
  <c r="I26" i="7"/>
  <c r="Q89" i="7" l="1"/>
  <c r="AA76" i="7"/>
  <c r="AI76" i="7" s="1"/>
  <c r="X41" i="7"/>
  <c r="AD41" i="7"/>
  <c r="AI74" i="7"/>
  <c r="AB91" i="7"/>
  <c r="S89" i="7"/>
  <c r="U26" i="7"/>
  <c r="AC26" i="7" s="1"/>
  <c r="AN43" i="7"/>
  <c r="AN41" i="7" s="1"/>
  <c r="Q72" i="7"/>
  <c r="AA72" i="7" l="1"/>
  <c r="AI72" i="7"/>
  <c r="AP91" i="7"/>
  <c r="AP89" i="7" s="1"/>
  <c r="AB89" i="7"/>
</calcChain>
</file>

<file path=xl/sharedStrings.xml><?xml version="1.0" encoding="utf-8"?>
<sst xmlns="http://schemas.openxmlformats.org/spreadsheetml/2006/main" count="623" uniqueCount="107">
  <si>
    <t>（１）収益的収入及び支出</t>
    <rPh sb="3" eb="5">
      <t>シュウエキ</t>
    </rPh>
    <rPh sb="5" eb="6">
      <t>テキ</t>
    </rPh>
    <rPh sb="6" eb="8">
      <t>シュウニュウ</t>
    </rPh>
    <rPh sb="8" eb="9">
      <t>オヨ</t>
    </rPh>
    <rPh sb="10" eb="12">
      <t>シシュツ</t>
    </rPh>
    <phoneticPr fontId="4"/>
  </si>
  <si>
    <t>収　　入</t>
    <rPh sb="0" eb="1">
      <t>オサム</t>
    </rPh>
    <rPh sb="3" eb="4">
      <t>イリ</t>
    </rPh>
    <phoneticPr fontId="4"/>
  </si>
  <si>
    <t>区　　分</t>
    <rPh sb="0" eb="1">
      <t>ク</t>
    </rPh>
    <rPh sb="3" eb="4">
      <t>ブン</t>
    </rPh>
    <phoneticPr fontId="4"/>
  </si>
  <si>
    <t>予　　　算　　　額</t>
    <rPh sb="0" eb="1">
      <t>ヨ</t>
    </rPh>
    <rPh sb="4" eb="5">
      <t>サン</t>
    </rPh>
    <rPh sb="8" eb="9">
      <t>ガク</t>
    </rPh>
    <phoneticPr fontId="4"/>
  </si>
  <si>
    <t>決算額</t>
    <rPh sb="0" eb="3">
      <t>ケッサンガク</t>
    </rPh>
    <phoneticPr fontId="3"/>
  </si>
  <si>
    <t>予算額に比べ　 　 　　決算額の増減</t>
    <rPh sb="0" eb="2">
      <t>ヨサン</t>
    </rPh>
    <rPh sb="2" eb="3">
      <t>ガク</t>
    </rPh>
    <rPh sb="4" eb="5">
      <t>クラ</t>
    </rPh>
    <rPh sb="12" eb="15">
      <t>ケッサンガク</t>
    </rPh>
    <rPh sb="16" eb="18">
      <t>ゾウゲン</t>
    </rPh>
    <phoneticPr fontId="3"/>
  </si>
  <si>
    <t>備　　　考</t>
    <rPh sb="0" eb="1">
      <t>ソナエ</t>
    </rPh>
    <rPh sb="4" eb="5">
      <t>コウ</t>
    </rPh>
    <phoneticPr fontId="3"/>
  </si>
  <si>
    <t>当初予算額</t>
    <rPh sb="0" eb="1">
      <t>トウ</t>
    </rPh>
    <rPh sb="1" eb="2">
      <t>ショ</t>
    </rPh>
    <rPh sb="2" eb="3">
      <t>ヨ</t>
    </rPh>
    <rPh sb="3" eb="4">
      <t>サン</t>
    </rPh>
    <rPh sb="4" eb="5">
      <t>ガク</t>
    </rPh>
    <phoneticPr fontId="4"/>
  </si>
  <si>
    <t>補正予算額</t>
    <rPh sb="0" eb="2">
      <t>ホセイ</t>
    </rPh>
    <rPh sb="2" eb="4">
      <t>ヨサン</t>
    </rPh>
    <rPh sb="4" eb="5">
      <t>ガク</t>
    </rPh>
    <phoneticPr fontId="4"/>
  </si>
  <si>
    <t>合　計</t>
    <rPh sb="0" eb="1">
      <t>ゴウ</t>
    </rPh>
    <rPh sb="2" eb="3">
      <t>ケイ</t>
    </rPh>
    <phoneticPr fontId="3"/>
  </si>
  <si>
    <t>第１款 水道事業収益</t>
    <rPh sb="0" eb="1">
      <t>ダイ</t>
    </rPh>
    <rPh sb="2" eb="3">
      <t>カン</t>
    </rPh>
    <rPh sb="4" eb="6">
      <t>スイドウ</t>
    </rPh>
    <rPh sb="6" eb="8">
      <t>ジギョウ</t>
    </rPh>
    <rPh sb="8" eb="9">
      <t>シュウ</t>
    </rPh>
    <rPh sb="9" eb="10">
      <t>エキ</t>
    </rPh>
    <phoneticPr fontId="4"/>
  </si>
  <si>
    <t>　第１項 営業収益</t>
    <rPh sb="1" eb="2">
      <t>ダイ</t>
    </rPh>
    <rPh sb="3" eb="4">
      <t>コウ</t>
    </rPh>
    <rPh sb="5" eb="7">
      <t>エイギョウ</t>
    </rPh>
    <rPh sb="7" eb="9">
      <t>シュウエキ</t>
    </rPh>
    <phoneticPr fontId="4"/>
  </si>
  <si>
    <t>　第２項 営業外収益</t>
    <rPh sb="1" eb="2">
      <t>ダイ</t>
    </rPh>
    <rPh sb="3" eb="4">
      <t>コウ</t>
    </rPh>
    <rPh sb="5" eb="8">
      <t>エイギョウガイ</t>
    </rPh>
    <rPh sb="8" eb="10">
      <t>シュウエキ</t>
    </rPh>
    <phoneticPr fontId="4"/>
  </si>
  <si>
    <t>支　　出</t>
    <rPh sb="0" eb="1">
      <t>ササ</t>
    </rPh>
    <rPh sb="3" eb="4">
      <t>デ</t>
    </rPh>
    <phoneticPr fontId="4"/>
  </si>
  <si>
    <t>予　　　　　算　　　　　額</t>
    <rPh sb="0" eb="1">
      <t>ヨ</t>
    </rPh>
    <rPh sb="6" eb="7">
      <t>サン</t>
    </rPh>
    <rPh sb="12" eb="13">
      <t>ガク</t>
    </rPh>
    <phoneticPr fontId="4"/>
  </si>
  <si>
    <t>決算額</t>
    <rPh sb="0" eb="2">
      <t>ケッサン</t>
    </rPh>
    <rPh sb="2" eb="3">
      <t>ガク</t>
    </rPh>
    <phoneticPr fontId="4"/>
  </si>
  <si>
    <t>地方公営企業法第２６条第２項の規定による繰越額</t>
    <rPh sb="0" eb="2">
      <t>チホウ</t>
    </rPh>
    <rPh sb="2" eb="4">
      <t>コウエイ</t>
    </rPh>
    <rPh sb="4" eb="6">
      <t>キギョウ</t>
    </rPh>
    <rPh sb="6" eb="7">
      <t>ホウ</t>
    </rPh>
    <rPh sb="7" eb="8">
      <t>ダイ</t>
    </rPh>
    <rPh sb="10" eb="11">
      <t>ジョウ</t>
    </rPh>
    <rPh sb="11" eb="12">
      <t>ダイ</t>
    </rPh>
    <rPh sb="13" eb="14">
      <t>コウ</t>
    </rPh>
    <rPh sb="15" eb="17">
      <t>キテイ</t>
    </rPh>
    <rPh sb="20" eb="22">
      <t>クリコシ</t>
    </rPh>
    <rPh sb="22" eb="23">
      <t>ガク</t>
    </rPh>
    <phoneticPr fontId="4"/>
  </si>
  <si>
    <t>不用額</t>
    <rPh sb="0" eb="2">
      <t>フヨウ</t>
    </rPh>
    <rPh sb="2" eb="3">
      <t>ガク</t>
    </rPh>
    <phoneticPr fontId="4"/>
  </si>
  <si>
    <t>備  　考</t>
    <rPh sb="0" eb="1">
      <t>ビ</t>
    </rPh>
    <rPh sb="4" eb="5">
      <t>コウ</t>
    </rPh>
    <phoneticPr fontId="4"/>
  </si>
  <si>
    <t>当初予算額</t>
    <phoneticPr fontId="3"/>
  </si>
  <si>
    <t>補正予算額</t>
    <phoneticPr fontId="3"/>
  </si>
  <si>
    <t>予備費　 　　支出額</t>
    <phoneticPr fontId="3"/>
  </si>
  <si>
    <t>流用　  　増減額</t>
    <phoneticPr fontId="3"/>
  </si>
  <si>
    <t>地方公営企業法第２４条第３項の規定による支出額</t>
    <rPh sb="0" eb="2">
      <t>チホウ</t>
    </rPh>
    <rPh sb="2" eb="4">
      <t>コウエイ</t>
    </rPh>
    <rPh sb="4" eb="6">
      <t>キギョウ</t>
    </rPh>
    <rPh sb="6" eb="7">
      <t>ホウ</t>
    </rPh>
    <rPh sb="7" eb="8">
      <t>ダイ</t>
    </rPh>
    <rPh sb="10" eb="11">
      <t>ジョウ</t>
    </rPh>
    <rPh sb="11" eb="12">
      <t>ダイ</t>
    </rPh>
    <rPh sb="13" eb="14">
      <t>コウ</t>
    </rPh>
    <rPh sb="15" eb="16">
      <t>キ</t>
    </rPh>
    <rPh sb="16" eb="17">
      <t>サダム</t>
    </rPh>
    <rPh sb="20" eb="23">
      <t>シシュツガク</t>
    </rPh>
    <phoneticPr fontId="4"/>
  </si>
  <si>
    <t>小　計</t>
    <rPh sb="0" eb="1">
      <t>ショウ</t>
    </rPh>
    <rPh sb="2" eb="3">
      <t>ケイ</t>
    </rPh>
    <phoneticPr fontId="4"/>
  </si>
  <si>
    <t>合　計</t>
    <rPh sb="0" eb="1">
      <t>ゴウ</t>
    </rPh>
    <rPh sb="2" eb="3">
      <t>ケイ</t>
    </rPh>
    <phoneticPr fontId="4"/>
  </si>
  <si>
    <t>第１款 水道事業費用</t>
    <rPh sb="0" eb="1">
      <t>ダイ</t>
    </rPh>
    <rPh sb="2" eb="3">
      <t>カン</t>
    </rPh>
    <rPh sb="4" eb="6">
      <t>スイドウ</t>
    </rPh>
    <rPh sb="6" eb="8">
      <t>ジギョウ</t>
    </rPh>
    <rPh sb="8" eb="10">
      <t>ヒヨウ</t>
    </rPh>
    <phoneticPr fontId="4"/>
  </si>
  <si>
    <t>　第１項 営業費用</t>
    <rPh sb="1" eb="2">
      <t>ダイ</t>
    </rPh>
    <rPh sb="3" eb="4">
      <t>コウ</t>
    </rPh>
    <rPh sb="5" eb="7">
      <t>エイギョウ</t>
    </rPh>
    <rPh sb="7" eb="9">
      <t>ヒヨウ</t>
    </rPh>
    <phoneticPr fontId="4"/>
  </si>
  <si>
    <t>　第２項 営業外費用</t>
    <rPh sb="1" eb="2">
      <t>ダイ</t>
    </rPh>
    <rPh sb="3" eb="4">
      <t>コウ</t>
    </rPh>
    <rPh sb="5" eb="8">
      <t>エイギョウガイ</t>
    </rPh>
    <rPh sb="8" eb="10">
      <t>ヒヨウ</t>
    </rPh>
    <phoneticPr fontId="4"/>
  </si>
  <si>
    <t>　第３項 予備費</t>
    <rPh sb="1" eb="2">
      <t>ダイ</t>
    </rPh>
    <rPh sb="3" eb="4">
      <t>コウ</t>
    </rPh>
    <rPh sb="5" eb="8">
      <t>ヨビヒ</t>
    </rPh>
    <phoneticPr fontId="4"/>
  </si>
  <si>
    <t>（２）資本的収入及び支出</t>
    <rPh sb="3" eb="6">
      <t>シホンテキ</t>
    </rPh>
    <rPh sb="6" eb="8">
      <t>シュウニュウ</t>
    </rPh>
    <rPh sb="8" eb="9">
      <t>オヨ</t>
    </rPh>
    <rPh sb="10" eb="12">
      <t>シシュツ</t>
    </rPh>
    <phoneticPr fontId="4"/>
  </si>
  <si>
    <t>小　計</t>
    <rPh sb="0" eb="1">
      <t>コ</t>
    </rPh>
    <rPh sb="2" eb="3">
      <t>ケイ</t>
    </rPh>
    <phoneticPr fontId="3"/>
  </si>
  <si>
    <t>地方公営企業法第２６条の規定による繰越額に係る財源充当額</t>
    <rPh sb="0" eb="2">
      <t>チホウ</t>
    </rPh>
    <rPh sb="2" eb="4">
      <t>コウエイ</t>
    </rPh>
    <rPh sb="4" eb="6">
      <t>キギョウ</t>
    </rPh>
    <rPh sb="6" eb="7">
      <t>ホウ</t>
    </rPh>
    <rPh sb="7" eb="8">
      <t>ダイ</t>
    </rPh>
    <rPh sb="10" eb="11">
      <t>ジョウ</t>
    </rPh>
    <rPh sb="12" eb="14">
      <t>キテイ</t>
    </rPh>
    <rPh sb="17" eb="19">
      <t>クリコシ</t>
    </rPh>
    <rPh sb="19" eb="20">
      <t>ガク</t>
    </rPh>
    <rPh sb="21" eb="22">
      <t>カカ</t>
    </rPh>
    <rPh sb="23" eb="25">
      <t>ザイゲン</t>
    </rPh>
    <rPh sb="25" eb="27">
      <t>ジュウトウ</t>
    </rPh>
    <rPh sb="27" eb="28">
      <t>ガク</t>
    </rPh>
    <phoneticPr fontId="4"/>
  </si>
  <si>
    <t>継続費逓次　　　繰越額に係る　　財源充当額</t>
    <phoneticPr fontId="4"/>
  </si>
  <si>
    <t>第１款 資本的収入</t>
    <rPh sb="0" eb="1">
      <t>ダイ</t>
    </rPh>
    <rPh sb="2" eb="3">
      <t>カン</t>
    </rPh>
    <rPh sb="4" eb="7">
      <t>シホンテキ</t>
    </rPh>
    <rPh sb="7" eb="9">
      <t>シュウニュウ</t>
    </rPh>
    <phoneticPr fontId="4"/>
  </si>
  <si>
    <t>　第１項 工事負担金</t>
    <rPh sb="1" eb="2">
      <t>ダイ</t>
    </rPh>
    <rPh sb="3" eb="4">
      <t>コウ</t>
    </rPh>
    <rPh sb="5" eb="7">
      <t>コウジ</t>
    </rPh>
    <rPh sb="7" eb="10">
      <t>フタンキン</t>
    </rPh>
    <phoneticPr fontId="4"/>
  </si>
  <si>
    <t>予　　　　算　　　　額</t>
    <rPh sb="0" eb="1">
      <t>ヨ</t>
    </rPh>
    <rPh sb="5" eb="6">
      <t>サン</t>
    </rPh>
    <rPh sb="10" eb="11">
      <t>ガク</t>
    </rPh>
    <phoneticPr fontId="4"/>
  </si>
  <si>
    <t>翌年度繰越額</t>
    <rPh sb="0" eb="3">
      <t>ヨクネンド</t>
    </rPh>
    <rPh sb="3" eb="6">
      <t>クリコシガク</t>
    </rPh>
    <phoneticPr fontId="3"/>
  </si>
  <si>
    <t>備　考</t>
    <rPh sb="0" eb="1">
      <t>ビ</t>
    </rPh>
    <rPh sb="2" eb="3">
      <t>コウ</t>
    </rPh>
    <phoneticPr fontId="4"/>
  </si>
  <si>
    <t>流用　　　　　　　増減額</t>
    <phoneticPr fontId="3"/>
  </si>
  <si>
    <t>地方公営企業法第２６条の規定による繰越額</t>
    <rPh sb="0" eb="2">
      <t>チホウ</t>
    </rPh>
    <rPh sb="2" eb="4">
      <t>コウエイ</t>
    </rPh>
    <rPh sb="4" eb="6">
      <t>キギョウ</t>
    </rPh>
    <rPh sb="6" eb="7">
      <t>ホウ</t>
    </rPh>
    <rPh sb="7" eb="8">
      <t>ダイ</t>
    </rPh>
    <rPh sb="10" eb="11">
      <t>ジョウ</t>
    </rPh>
    <rPh sb="12" eb="14">
      <t>キテイ</t>
    </rPh>
    <rPh sb="17" eb="19">
      <t>クリコシ</t>
    </rPh>
    <rPh sb="19" eb="20">
      <t>ガク</t>
    </rPh>
    <phoneticPr fontId="4"/>
  </si>
  <si>
    <t>継続費
逓次
繰越額</t>
    <rPh sb="0" eb="2">
      <t>ケイゾク</t>
    </rPh>
    <rPh sb="2" eb="3">
      <t>ヒ</t>
    </rPh>
    <rPh sb="4" eb="5">
      <t>テイ</t>
    </rPh>
    <rPh sb="5" eb="6">
      <t>ツギ</t>
    </rPh>
    <rPh sb="7" eb="9">
      <t>クリコシ</t>
    </rPh>
    <rPh sb="9" eb="10">
      <t>ガク</t>
    </rPh>
    <phoneticPr fontId="4"/>
  </si>
  <si>
    <t>地方公営企業法第２６条の規定による繰越額</t>
    <phoneticPr fontId="3"/>
  </si>
  <si>
    <t>合計</t>
    <rPh sb="0" eb="2">
      <t>ゴウケイ</t>
    </rPh>
    <phoneticPr fontId="3"/>
  </si>
  <si>
    <t>第１款 資本的支出</t>
    <rPh sb="0" eb="1">
      <t>ダイ</t>
    </rPh>
    <rPh sb="2" eb="3">
      <t>カン</t>
    </rPh>
    <rPh sb="4" eb="7">
      <t>シホンテキ</t>
    </rPh>
    <rPh sb="7" eb="9">
      <t>シシュツ</t>
    </rPh>
    <phoneticPr fontId="4"/>
  </si>
  <si>
    <t>　第１項 建設改良費</t>
    <rPh sb="1" eb="2">
      <t>ダイ</t>
    </rPh>
    <rPh sb="3" eb="4">
      <t>コウ</t>
    </rPh>
    <rPh sb="5" eb="7">
      <t>ケンセツ</t>
    </rPh>
    <rPh sb="7" eb="9">
      <t>カイリョウ</t>
    </rPh>
    <rPh sb="9" eb="10">
      <t>ヒ</t>
    </rPh>
    <phoneticPr fontId="4"/>
  </si>
  <si>
    <t>　第２項 企業債償還金</t>
    <rPh sb="1" eb="2">
      <t>ダイ</t>
    </rPh>
    <rPh sb="3" eb="4">
      <t>コウ</t>
    </rPh>
    <rPh sb="5" eb="7">
      <t>キギョウ</t>
    </rPh>
    <rPh sb="7" eb="8">
      <t>サイ</t>
    </rPh>
    <rPh sb="8" eb="11">
      <t>ショウカンキン</t>
    </rPh>
    <phoneticPr fontId="4"/>
  </si>
  <si>
    <t>税込(単位　円）</t>
    <rPh sb="0" eb="2">
      <t>ゼイコ</t>
    </rPh>
    <rPh sb="3" eb="5">
      <t>タンイ</t>
    </rPh>
    <rPh sb="6" eb="7">
      <t>エン</t>
    </rPh>
    <phoneticPr fontId="3"/>
  </si>
  <si>
    <t>予算額に比べ   　　決算額の増減</t>
    <rPh sb="0" eb="2">
      <t>ヨサン</t>
    </rPh>
    <rPh sb="2" eb="3">
      <t>ガク</t>
    </rPh>
    <rPh sb="4" eb="5">
      <t>クラ</t>
    </rPh>
    <rPh sb="11" eb="14">
      <t>ケッサンガク</t>
    </rPh>
    <rPh sb="15" eb="17">
      <t>ゾウゲン</t>
    </rPh>
    <phoneticPr fontId="3"/>
  </si>
  <si>
    <t>地方公営企業法第  　２４条第３項の規　　　定による支出額に  　係る財源充当額</t>
    <rPh sb="0" eb="2">
      <t>チホウ</t>
    </rPh>
    <rPh sb="2" eb="4">
      <t>コウエイ</t>
    </rPh>
    <rPh sb="4" eb="6">
      <t>キギョウ</t>
    </rPh>
    <rPh sb="6" eb="7">
      <t>ホウ</t>
    </rPh>
    <rPh sb="7" eb="8">
      <t>ダイ</t>
    </rPh>
    <rPh sb="13" eb="14">
      <t>ジョウ</t>
    </rPh>
    <rPh sb="14" eb="15">
      <t>ダイ</t>
    </rPh>
    <rPh sb="16" eb="17">
      <t>コウ</t>
    </rPh>
    <rPh sb="18" eb="19">
      <t>キ</t>
    </rPh>
    <rPh sb="22" eb="23">
      <t>サダム</t>
    </rPh>
    <rPh sb="26" eb="28">
      <t>シシュツ</t>
    </rPh>
    <rPh sb="28" eb="29">
      <t>ガク</t>
    </rPh>
    <rPh sb="33" eb="34">
      <t>カカ</t>
    </rPh>
    <rPh sb="35" eb="37">
      <t>ザイゲン</t>
    </rPh>
    <rPh sb="37" eb="39">
      <t>ジュウトウ</t>
    </rPh>
    <rPh sb="39" eb="40">
      <t>ガク</t>
    </rPh>
    <phoneticPr fontId="4"/>
  </si>
  <si>
    <t>継続費  逓次     繰越額</t>
    <phoneticPr fontId="3"/>
  </si>
  <si>
    <t>　第２項 企業債</t>
    <rPh sb="1" eb="2">
      <t>ダイ</t>
    </rPh>
    <rPh sb="3" eb="4">
      <t>コウ</t>
    </rPh>
    <rPh sb="5" eb="7">
      <t>キギョウ</t>
    </rPh>
    <rPh sb="7" eb="8">
      <t>サイ</t>
    </rPh>
    <phoneticPr fontId="4"/>
  </si>
  <si>
    <t>　第３項 他会計補助金</t>
    <rPh sb="1" eb="2">
      <t>ダイ</t>
    </rPh>
    <rPh sb="3" eb="4">
      <t>コウ</t>
    </rPh>
    <rPh sb="5" eb="6">
      <t>ホカ</t>
    </rPh>
    <rPh sb="6" eb="8">
      <t>カイケイ</t>
    </rPh>
    <rPh sb="8" eb="11">
      <t>ホジョキン</t>
    </rPh>
    <phoneticPr fontId="4"/>
  </si>
  <si>
    <t>令和２年度小野町水道事業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</si>
  <si>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3,013,600円</t>
    <phoneticPr fontId="1"/>
  </si>
  <si>
    <t>4,762,300円</t>
    <rPh sb="9" eb="10">
      <t>エン</t>
    </rPh>
    <phoneticPr fontId="1"/>
  </si>
  <si>
    <t>6,261,100円</t>
    <rPh sb="9" eb="10">
      <t>エン</t>
    </rPh>
    <phoneticPr fontId="1"/>
  </si>
  <si>
    <t>資本的収入額が資本的支出額に不足する額 53,666,194円は、当年度分消費税及び地方消費税資本的収支調整額 3,755,506円、過年度分損益勘定留保資金 49,910,688円で補填した。　</t>
    <rPh sb="90" eb="91">
      <t>エン</t>
    </rPh>
    <rPh sb="92" eb="94">
      <t>ホテン</t>
    </rPh>
    <phoneticPr fontId="3"/>
  </si>
  <si>
    <t>うち、仮受消費税及び地方消費税　11,227,408円</t>
    <rPh sb="3" eb="5">
      <t>カリウケ</t>
    </rPh>
    <rPh sb="5" eb="8">
      <t>ショウヒゼイ</t>
    </rPh>
    <rPh sb="8" eb="9">
      <t>オヨ</t>
    </rPh>
    <rPh sb="10" eb="15">
      <t>チホウショウヒゼイ</t>
    </rPh>
    <rPh sb="26" eb="27">
      <t>エン</t>
    </rPh>
    <phoneticPr fontId="1"/>
  </si>
  <si>
    <t>うち、仮払消費税及び地方消費税　</t>
    <rPh sb="3" eb="4">
      <t>カリ</t>
    </rPh>
    <rPh sb="4" eb="5">
      <t>ハラ</t>
    </rPh>
    <rPh sb="5" eb="8">
      <t>ショウヒゼイ</t>
    </rPh>
    <rPh sb="8" eb="9">
      <t>オヨ</t>
    </rPh>
    <rPh sb="10" eb="15">
      <t>チホウショウヒゼイ</t>
    </rPh>
    <phoneticPr fontId="1"/>
  </si>
  <si>
    <t>うち、消費税及び地方消費税納付額　</t>
    <rPh sb="3" eb="6">
      <t>ショウヒゼイ</t>
    </rPh>
    <rPh sb="6" eb="7">
      <t>オヨ</t>
    </rPh>
    <rPh sb="8" eb="13">
      <t>チホウショウヒゼイ</t>
    </rPh>
    <rPh sb="13" eb="15">
      <t>ノウフ</t>
    </rPh>
    <rPh sb="15" eb="16">
      <t>ガク</t>
    </rPh>
    <phoneticPr fontId="1"/>
  </si>
  <si>
    <t>うち、仮受消費税及び地方消費税　157,000円</t>
    <rPh sb="3" eb="4">
      <t>カリ</t>
    </rPh>
    <phoneticPr fontId="1"/>
  </si>
  <si>
    <t>うち、仮払消費税及び地方消費税　</t>
    <rPh sb="3" eb="4">
      <t>カリ</t>
    </rPh>
    <rPh sb="4" eb="5">
      <t>ハラ</t>
    </rPh>
    <phoneticPr fontId="1"/>
  </si>
  <si>
    <t>令和３年度小野町水道事業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</si>
  <si>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※26条繰越額は建設改良費等の未払分を計上すること。</t>
    <rPh sb="3" eb="4">
      <t>ジョウ</t>
    </rPh>
    <rPh sb="4" eb="7">
      <t>クリコシガク</t>
    </rPh>
    <rPh sb="8" eb="14">
      <t>ケンセツカイリョウヒトウ</t>
    </rPh>
    <rPh sb="15" eb="17">
      <t>ミバラ</t>
    </rPh>
    <rPh sb="17" eb="18">
      <t>ブン</t>
    </rPh>
    <rPh sb="19" eb="21">
      <t>ケイジョウ</t>
    </rPh>
    <phoneticPr fontId="1"/>
  </si>
  <si>
    <t>うち、仮受消費税及び地方消費税　117,000円</t>
    <rPh sb="3" eb="4">
      <t>カリ</t>
    </rPh>
    <phoneticPr fontId="1"/>
  </si>
  <si>
    <t>不足額</t>
    <rPh sb="0" eb="3">
      <t>フソクガク</t>
    </rPh>
    <phoneticPr fontId="1"/>
  </si>
  <si>
    <t>うち、仮受消費税及び地方消費税　11,458,197円</t>
    <rPh sb="3" eb="5">
      <t>カリウケ</t>
    </rPh>
    <rPh sb="5" eb="8">
      <t>ショウヒゼイ</t>
    </rPh>
    <rPh sb="8" eb="9">
      <t>オヨ</t>
    </rPh>
    <rPh sb="10" eb="15">
      <t>チホウショウヒゼイ</t>
    </rPh>
    <rPh sb="26" eb="27">
      <t>エン</t>
    </rPh>
    <phoneticPr fontId="1"/>
  </si>
  <si>
    <t>3,397,255円</t>
    <phoneticPr fontId="1"/>
  </si>
  <si>
    <t>6,117,464円</t>
    <rPh sb="9" eb="10">
      <t>エン</t>
    </rPh>
    <phoneticPr fontId="1"/>
  </si>
  <si>
    <t>資本的収入額が資本的支出額に不足する額 42,675,983円は、当年度分消費税及び地方消費税資本的収支調整額 2,207,333円、過年度分損益勘定留保資金 29,346,718円、当年度分損益勘定留保資金 11,121,932円で補填した。　</t>
    <rPh sb="90" eb="91">
      <t>エン</t>
    </rPh>
    <rPh sb="115" eb="116">
      <t>エン</t>
    </rPh>
    <rPh sb="117" eb="119">
      <t>ホテン</t>
    </rPh>
    <phoneticPr fontId="3"/>
  </si>
  <si>
    <t>令和４年度小野町水道事業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</si>
  <si>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うち、仮受消費税及び地方消費税　11,116,751円</t>
    <rPh sb="3" eb="5">
      <t>カリウケ</t>
    </rPh>
    <rPh sb="5" eb="8">
      <t>ショウヒゼイ</t>
    </rPh>
    <rPh sb="8" eb="9">
      <t>オヨ</t>
    </rPh>
    <rPh sb="10" eb="15">
      <t>チホウショウヒゼイ</t>
    </rPh>
    <rPh sb="26" eb="27">
      <t>エン</t>
    </rPh>
    <phoneticPr fontId="1"/>
  </si>
  <si>
    <t>うち、仮受消費税及び地方消費税　71,000円</t>
    <rPh sb="3" eb="4">
      <t>カリ</t>
    </rPh>
    <phoneticPr fontId="1"/>
  </si>
  <si>
    <t>4,029,453円</t>
    <phoneticPr fontId="1"/>
  </si>
  <si>
    <t>0円</t>
    <rPh sb="1" eb="2">
      <t>エン</t>
    </rPh>
    <phoneticPr fontId="1"/>
  </si>
  <si>
    <t>決算額（繰越分込）</t>
    <rPh sb="0" eb="3">
      <t>ケッサンガク</t>
    </rPh>
    <rPh sb="4" eb="6">
      <t>クリコシ</t>
    </rPh>
    <rPh sb="6" eb="7">
      <t>ブン</t>
    </rPh>
    <rPh sb="7" eb="8">
      <t>コ</t>
    </rPh>
    <phoneticPr fontId="1"/>
  </si>
  <si>
    <t>消費税</t>
    <rPh sb="0" eb="3">
      <t>ショウヒゼイ</t>
    </rPh>
    <phoneticPr fontId="1"/>
  </si>
  <si>
    <t>10,787,341円</t>
    <rPh sb="10" eb="11">
      <t>エン</t>
    </rPh>
    <phoneticPr fontId="1"/>
  </si>
  <si>
    <t>資本的収入額が資本的支出額に不足する額 92,294,971円は、当年度分消費税及び地方消費税資本的収支調整額 7,808,124円、過年度分損益勘定留保資金 52,455,745円、当年度分損益勘定留保資金 32,031,102円で補填した。　</t>
    <rPh sb="90" eb="91">
      <t>エン</t>
    </rPh>
    <rPh sb="115" eb="116">
      <t>エン</t>
    </rPh>
    <rPh sb="117" eb="119">
      <t>ホテン</t>
    </rPh>
    <phoneticPr fontId="3"/>
  </si>
  <si>
    <t>令和５年度小野町水道事業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</si>
  <si>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うち、仮受消費税及び地方消費税　11,129,161円</t>
    <rPh sb="3" eb="5">
      <t>カリウケ</t>
    </rPh>
    <rPh sb="5" eb="8">
      <t>ショウヒゼイ</t>
    </rPh>
    <rPh sb="8" eb="9">
      <t>オヨ</t>
    </rPh>
    <rPh sb="10" eb="15">
      <t>チホウショウヒゼイ</t>
    </rPh>
    <rPh sb="26" eb="27">
      <t>エン</t>
    </rPh>
    <phoneticPr fontId="1"/>
  </si>
  <si>
    <t>3,476,134円</t>
    <phoneticPr fontId="1"/>
  </si>
  <si>
    <t>うち、仮受消費税及び地方消費税　60,000円</t>
    <rPh sb="3" eb="4">
      <t>カリ</t>
    </rPh>
    <phoneticPr fontId="1"/>
  </si>
  <si>
    <t>7,381,311円</t>
    <rPh sb="9" eb="10">
      <t>エン</t>
    </rPh>
    <phoneticPr fontId="1"/>
  </si>
  <si>
    <t>資本的収入額が資本的支出額に不足する額 79,521,536円は、当年度分消費税及び地方消費税資本的収支調整額 3,845,177円、過年度分損益勘定留保資金 31,930,317円、当年度分損益勘定留保資金 43,746,042円で補填した。　</t>
    <rPh sb="90" eb="91">
      <t>エン</t>
    </rPh>
    <rPh sb="115" eb="116">
      <t>エン</t>
    </rPh>
    <rPh sb="117" eb="119">
      <t>ホテン</t>
    </rPh>
    <phoneticPr fontId="3"/>
  </si>
  <si>
    <t>2,639,700円</t>
    <rPh sb="9" eb="10">
      <t>エン</t>
    </rPh>
    <phoneticPr fontId="1"/>
  </si>
  <si>
    <t>令和６年度小野町水道事業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</si>
  <si>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赤は未修正</t>
    <rPh sb="0" eb="1">
      <t>アカ</t>
    </rPh>
    <rPh sb="2" eb="5">
      <t>ミシュウセイ</t>
    </rPh>
    <phoneticPr fontId="1"/>
  </si>
  <si>
    <t>青は修正済</t>
    <rPh sb="0" eb="1">
      <t>アオ</t>
    </rPh>
    <rPh sb="2" eb="5">
      <t>シュウセイスミ</t>
    </rPh>
    <phoneticPr fontId="1"/>
  </si>
  <si>
    <t>Ｒ6はなし</t>
    <phoneticPr fontId="1"/>
  </si>
  <si>
    <t>AG91　60,804,100円から変更</t>
    <rPh sb="15" eb="16">
      <t>エン</t>
    </rPh>
    <rPh sb="18" eb="20">
      <t>ヘンコウ</t>
    </rPh>
    <phoneticPr fontId="1"/>
  </si>
  <si>
    <t>7,163,424円</t>
    <rPh sb="9" eb="10">
      <t>エン</t>
    </rPh>
    <phoneticPr fontId="1"/>
  </si>
  <si>
    <t>うち、仮受消費税及び地方消費税　96,000円</t>
    <rPh sb="3" eb="4">
      <t>カリ</t>
    </rPh>
    <phoneticPr fontId="1"/>
  </si>
  <si>
    <t>うち、仮受消費税及び地方消費税　10,789,182円</t>
    <rPh sb="3" eb="5">
      <t>カリウケ</t>
    </rPh>
    <rPh sb="5" eb="8">
      <t>ショウヒゼイ</t>
    </rPh>
    <rPh sb="8" eb="9">
      <t>オヨ</t>
    </rPh>
    <rPh sb="10" eb="15">
      <t>チホウショウヒゼイ</t>
    </rPh>
    <rPh sb="26" eb="27">
      <t>エン</t>
    </rPh>
    <phoneticPr fontId="1"/>
  </si>
  <si>
    <t>3,788,925円</t>
    <phoneticPr fontId="1"/>
  </si>
  <si>
    <t>3,340,000円</t>
    <rPh sb="9" eb="10">
      <t>エン</t>
    </rPh>
    <phoneticPr fontId="1"/>
  </si>
  <si>
    <r>
      <t xml:space="preserve">資本的収入額が資本的支出額に不足する額 </t>
    </r>
    <r>
      <rPr>
        <sz val="11"/>
        <color rgb="FF00B0F0"/>
        <rFont val="ＭＳ 明朝"/>
        <family val="1"/>
        <charset val="128"/>
      </rPr>
      <t>54,156,399</t>
    </r>
    <r>
      <rPr>
        <sz val="11"/>
        <rFont val="ＭＳ 明朝"/>
        <family val="1"/>
        <charset val="128"/>
      </rPr>
      <t xml:space="preserve">円は、当年度分消費税及び地方消費税資本的収支調整額 </t>
    </r>
    <r>
      <rPr>
        <sz val="11"/>
        <color rgb="FF00B0F0"/>
        <rFont val="ＭＳ 明朝"/>
        <family val="1"/>
        <charset val="128"/>
      </rPr>
      <t>3,746,234</t>
    </r>
    <r>
      <rPr>
        <sz val="11"/>
        <rFont val="ＭＳ 明朝"/>
        <family val="1"/>
        <charset val="128"/>
      </rPr>
      <t xml:space="preserve">円、過年度分損益勘定留保資金 </t>
    </r>
    <r>
      <rPr>
        <sz val="11"/>
        <color rgb="FF00B0F0"/>
        <rFont val="ＭＳ 明朝"/>
        <family val="1"/>
        <charset val="128"/>
      </rPr>
      <t>22,803,286</t>
    </r>
    <r>
      <rPr>
        <sz val="11"/>
        <rFont val="ＭＳ 明朝"/>
        <family val="1"/>
        <charset val="128"/>
      </rPr>
      <t xml:space="preserve">円、当年度分損益勘定留保資金 </t>
    </r>
    <r>
      <rPr>
        <sz val="11"/>
        <color rgb="FFFF0000"/>
        <rFont val="ＭＳ 明朝"/>
        <family val="1"/>
        <charset val="128"/>
      </rPr>
      <t>27,606,877</t>
    </r>
    <r>
      <rPr>
        <sz val="11"/>
        <rFont val="ＭＳ 明朝"/>
        <family val="1"/>
        <charset val="128"/>
      </rPr>
      <t>円で補填した。　</t>
    </r>
    <rPh sb="90" eb="91">
      <t>エン</t>
    </rPh>
    <rPh sb="115" eb="116">
      <t>エン</t>
    </rPh>
    <rPh sb="117" eb="119">
      <t>ホテン</t>
    </rPh>
    <phoneticPr fontId="3"/>
  </si>
  <si>
    <t>資本的収入額が資本的支出額に不足する額 54,156,399円は、当年度分消費税及び地方消費税資本的収支調整額 3,746,234円、過年度分損益勘定留保資金 22,803,286円、当年度分損益勘定留保資金 27,606,879円で補填した。　</t>
    <rPh sb="90" eb="91">
      <t>エン</t>
    </rPh>
    <rPh sb="115" eb="116">
      <t>エン</t>
    </rPh>
    <rPh sb="117" eb="119">
      <t>ホテン</t>
    </rPh>
    <phoneticPr fontId="3"/>
  </si>
  <si>
    <t>修正後</t>
    <rPh sb="0" eb="3">
      <t>シュウセイゴ</t>
    </rPh>
    <phoneticPr fontId="1"/>
  </si>
  <si>
    <t>修正前</t>
    <rPh sb="0" eb="3">
      <t>シュウセイマエ</t>
    </rPh>
    <phoneticPr fontId="1"/>
  </si>
  <si>
    <t>R7.8.4修正</t>
    <rPh sb="6" eb="8">
      <t>シュウセイ</t>
    </rPh>
    <phoneticPr fontId="1"/>
  </si>
  <si>
    <t>繰越分（GLF）</t>
    <rPh sb="0" eb="2">
      <t>クリコシ</t>
    </rPh>
    <rPh sb="2" eb="3">
      <t>ブン</t>
    </rPh>
    <phoneticPr fontId="1"/>
  </si>
  <si>
    <t>3,786,525円</t>
    <phoneticPr fontId="1"/>
  </si>
  <si>
    <t>修正済</t>
    <rPh sb="0" eb="3">
      <t>シュウセイスミ</t>
    </rPh>
    <phoneticPr fontId="1"/>
  </si>
  <si>
    <t>資本的収入額が資本的支出額に不足する額 65,596,399円は、当年度分消費税及び地方消費税資本的収支調整額 4,786,234円、過年度分損益勘定留保資金 22,803,286円、当年度分損益勘定留保資金 38,006,879円で補填した。　</t>
    <rPh sb="90" eb="91">
      <t>エン</t>
    </rPh>
    <rPh sb="115" eb="116">
      <t>エン</t>
    </rPh>
    <rPh sb="117" eb="119">
      <t>ホテン</t>
    </rPh>
    <phoneticPr fontId="3"/>
  </si>
  <si>
    <t>8,203,424円</t>
    <rPh sb="9" eb="10">
      <t>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</si>
</sst>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0.0;&quot;△ &quot;#,##0.0"/>
  </numFmts>
  <fonts count="29" x14ac:knownFonts="1">
    <font>
      <sz val="11"/>
      <color theme="1"/>
      <name val="ＭＳ Ｐゴシック"/>
      <family val="2"/>
      <charset val="128"/>
      <scheme val="minor"/>
    </font>
    <font>
      <sz val="6"/>
      <name val="ＭＳ Ｐゴシック"/>
      <family val="2"/>
      <charset val="128"/>
      <scheme val="minor"/>
    </font>
    <font>
      <sz val="11"/>
      <name val="ＭＳ ゴシック"/>
      <family val="3"/>
      <charset val="128"/>
    </font>
    <font>
      <sz val="6"/>
      <name val="ＭＳ ゴシック"/>
      <family val="3"/>
      <charset val="128"/>
    </font>
    <font>
      <sz val="6"/>
      <name val="ＭＳ Ｐゴシック"/>
      <family val="3"/>
      <charset val="128"/>
    </font>
    <font>
      <sz val="11"/>
      <name val="ＭＳ 明朝"/>
      <family val="1"/>
      <charset val="128"/>
    </font>
    <font>
      <sz val="10"/>
      <name val="ＭＳ 明朝"/>
      <family val="1"/>
      <charset val="128"/>
    </font>
    <font>
      <sz val="18"/>
      <color theme="1"/>
      <name val="ＭＳ 明朝"/>
      <family val="1"/>
      <charset val="128"/>
    </font>
    <font>
      <sz val="11"/>
      <color theme="1"/>
      <name val="ＭＳ ゴシック"/>
      <family val="3"/>
      <charset val="128"/>
    </font>
    <font>
      <b/>
      <sz val="16"/>
      <color theme="1"/>
      <name val="ＭＳ 明朝"/>
      <family val="1"/>
      <charset val="128"/>
    </font>
    <font>
      <sz val="14"/>
      <color theme="1"/>
      <name val="ＭＳ 明朝"/>
      <family val="1"/>
      <charset val="128"/>
    </font>
    <font>
      <sz val="11"/>
      <color theme="1"/>
      <name val="ＭＳ 明朝"/>
      <family val="1"/>
      <charset val="128"/>
    </font>
    <font>
      <sz val="10"/>
      <color theme="1"/>
      <name val="ＭＳ 明朝"/>
      <family val="1"/>
      <charset val="128"/>
    </font>
    <font>
      <b/>
      <sz val="14"/>
      <color theme="1"/>
      <name val="ＭＳ 明朝"/>
      <family val="1"/>
      <charset val="128"/>
    </font>
    <font>
      <sz val="6"/>
      <color theme="1"/>
      <name val="ＭＳ 明朝"/>
      <family val="1"/>
      <charset val="128"/>
    </font>
    <font>
      <sz val="9"/>
      <color theme="1"/>
      <name val="ＭＳ 明朝"/>
      <family val="1"/>
      <charset val="128"/>
    </font>
    <font>
      <sz val="8"/>
      <color theme="1"/>
      <name val="ＭＳ 明朝"/>
      <family val="1"/>
      <charset val="128"/>
    </font>
    <font>
      <sz val="11"/>
      <color rgb="FFFF0000"/>
      <name val="ＭＳ ゴシック"/>
      <family val="3"/>
      <charset val="128"/>
    </font>
    <font>
      <sz val="11"/>
      <color rgb="FFFF0000"/>
      <name val="ＭＳ 明朝"/>
      <family val="1"/>
      <charset val="128"/>
    </font>
    <font>
      <sz val="10"/>
      <color rgb="FFFF0000"/>
      <name val="ＭＳ 明朝"/>
      <family val="1"/>
      <charset val="128"/>
    </font>
    <font>
      <sz val="9"/>
      <color rgb="FFFF0000"/>
      <name val="ＭＳ 明朝"/>
      <family val="1"/>
      <charset val="128"/>
    </font>
    <font>
      <sz val="18"/>
      <name val="ＭＳ 明朝"/>
      <family val="1"/>
      <charset val="128"/>
    </font>
    <font>
      <b/>
      <sz val="16"/>
      <name val="ＭＳ 明朝"/>
      <family val="1"/>
      <charset val="128"/>
    </font>
    <font>
      <sz val="14"/>
      <name val="ＭＳ 明朝"/>
      <family val="1"/>
      <charset val="128"/>
    </font>
    <font>
      <b/>
      <sz val="14"/>
      <name val="ＭＳ 明朝"/>
      <family val="1"/>
      <charset val="128"/>
    </font>
    <font>
      <sz val="6"/>
      <name val="ＭＳ 明朝"/>
      <family val="1"/>
      <charset val="128"/>
    </font>
    <font>
      <sz val="8"/>
      <name val="ＭＳ 明朝"/>
      <family val="1"/>
      <charset val="128"/>
    </font>
    <font>
      <sz val="10"/>
      <color rgb="FF00B0F0"/>
      <name val="ＭＳ 明朝"/>
      <family val="1"/>
      <charset val="128"/>
    </font>
    <font>
      <sz val="11"/>
      <color rgb="FF00B0F0"/>
      <name val="ＭＳ 明朝"/>
      <family val="1"/>
      <charset val="128"/>
    </font>
  </fonts>
  <fills count="2">
    <fill>
      <patternFill patternType="none"/>
    </fill>
    <fill>
      <patternFill patternType="gray125"/>
    </fill>
  </fills>
  <borders count="11">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2" fillId="0" borderId="0"/>
    <xf numFmtId="38" fontId="2" fillId="0" borderId="0" applyFont="0" applyFill="0" applyBorder="0" applyAlignment="0" applyProtection="0"/>
    <xf numFmtId="9" fontId="2" fillId="0" borderId="0" applyFont="0" applyFill="0" applyBorder="0" applyAlignment="0" applyProtection="0"/>
  </cellStyleXfs>
  <cellXfs count="325">
    <xf numFmtId="0" fontId="0" fillId="0" borderId="0" xfId="0">
      <alignment vertical="center"/>
    </xf>
    <xf numFmtId="0" fontId="2" fillId="0" borderId="0" xfId="1" applyFont="1" applyFill="1"/>
    <xf numFmtId="176" fontId="5" fillId="0" borderId="0" xfId="2" applyNumberFormat="1" applyFont="1" applyFill="1" applyAlignment="1">
      <alignment vertical="center"/>
    </xf>
    <xf numFmtId="38" fontId="5" fillId="0" borderId="0" xfId="2" applyFont="1" applyFill="1" applyAlignment="1">
      <alignment vertical="center"/>
    </xf>
    <xf numFmtId="176" fontId="6" fillId="0" borderId="0" xfId="2" applyNumberFormat="1" applyFont="1" applyFill="1" applyAlignment="1">
      <alignment vertical="center"/>
    </xf>
    <xf numFmtId="0" fontId="8" fillId="0" borderId="0" xfId="1" applyFont="1" applyFill="1"/>
    <xf numFmtId="176" fontId="9" fillId="0" borderId="0" xfId="2" applyNumberFormat="1" applyFont="1" applyFill="1" applyAlignment="1">
      <alignment horizontal="center" vertical="center"/>
    </xf>
    <xf numFmtId="176" fontId="11" fillId="0" borderId="0" xfId="2" applyNumberFormat="1" applyFont="1" applyFill="1" applyAlignment="1">
      <alignment vertical="center"/>
    </xf>
    <xf numFmtId="176" fontId="12" fillId="0" borderId="0" xfId="2" applyNumberFormat="1" applyFont="1" applyFill="1" applyAlignment="1">
      <alignment horizontal="right" vertical="center" shrinkToFit="1"/>
    </xf>
    <xf numFmtId="176" fontId="12" fillId="0" borderId="0" xfId="2" applyNumberFormat="1" applyFont="1" applyFill="1" applyAlignment="1">
      <alignment vertical="center"/>
    </xf>
    <xf numFmtId="176" fontId="12" fillId="0" borderId="0" xfId="2" applyNumberFormat="1" applyFont="1" applyFill="1" applyBorder="1" applyAlignment="1">
      <alignment vertical="center"/>
    </xf>
    <xf numFmtId="176" fontId="15" fillId="0" borderId="0" xfId="2" applyNumberFormat="1" applyFont="1" applyFill="1" applyBorder="1" applyAlignment="1">
      <alignment vertical="center"/>
    </xf>
    <xf numFmtId="176" fontId="12" fillId="0" borderId="0" xfId="2" applyNumberFormat="1" applyFont="1" applyFill="1" applyBorder="1" applyAlignment="1">
      <alignment vertical="center" wrapText="1" shrinkToFit="1"/>
    </xf>
    <xf numFmtId="176" fontId="12" fillId="0" borderId="0" xfId="2" applyNumberFormat="1" applyFont="1" applyFill="1" applyAlignment="1">
      <alignment vertical="center" shrinkToFit="1"/>
    </xf>
    <xf numFmtId="176" fontId="12" fillId="0" borderId="0" xfId="2" applyNumberFormat="1" applyFont="1" applyFill="1" applyBorder="1" applyAlignment="1">
      <alignment horizontal="right" vertical="center"/>
    </xf>
    <xf numFmtId="176" fontId="12" fillId="0" borderId="0" xfId="2" applyNumberFormat="1" applyFont="1" applyFill="1" applyBorder="1" applyAlignment="1">
      <alignment vertical="center" wrapText="1"/>
    </xf>
    <xf numFmtId="176" fontId="12" fillId="0" borderId="0" xfId="2" applyNumberFormat="1" applyFont="1" applyFill="1" applyBorder="1" applyAlignment="1">
      <alignment horizontal="center" vertical="center"/>
    </xf>
    <xf numFmtId="0" fontId="11" fillId="0" borderId="0" xfId="1" applyFont="1" applyFill="1" applyBorder="1" applyAlignment="1">
      <alignment vertical="center" wrapText="1"/>
    </xf>
    <xf numFmtId="0" fontId="17" fillId="0" borderId="0" xfId="1" applyFont="1" applyFill="1"/>
    <xf numFmtId="176" fontId="18" fillId="0" borderId="0" xfId="2" applyNumberFormat="1" applyFont="1" applyFill="1" applyAlignment="1">
      <alignment vertical="center"/>
    </xf>
    <xf numFmtId="176" fontId="19" fillId="0" borderId="0" xfId="2" applyNumberFormat="1" applyFont="1" applyFill="1" applyAlignment="1">
      <alignment horizontal="right" vertical="center" shrinkToFit="1"/>
    </xf>
    <xf numFmtId="176" fontId="19" fillId="0" borderId="0" xfId="2" applyNumberFormat="1" applyFont="1" applyFill="1" applyAlignment="1">
      <alignment vertical="center"/>
    </xf>
    <xf numFmtId="176" fontId="19" fillId="0" borderId="0" xfId="2" applyNumberFormat="1" applyFont="1" applyFill="1" applyBorder="1" applyAlignment="1">
      <alignment vertical="center"/>
    </xf>
    <xf numFmtId="176" fontId="20" fillId="0" borderId="0" xfId="2" applyNumberFormat="1" applyFont="1" applyFill="1" applyBorder="1" applyAlignment="1">
      <alignment vertical="center"/>
    </xf>
    <xf numFmtId="176" fontId="19" fillId="0" borderId="0" xfId="2" applyNumberFormat="1" applyFont="1" applyFill="1" applyBorder="1" applyAlignment="1">
      <alignment vertical="center" wrapText="1" shrinkToFit="1"/>
    </xf>
    <xf numFmtId="38" fontId="18" fillId="0" borderId="0" xfId="2" applyFont="1" applyFill="1" applyAlignment="1">
      <alignment vertical="center"/>
    </xf>
    <xf numFmtId="176" fontId="19" fillId="0" borderId="0" xfId="2" applyNumberFormat="1" applyFont="1" applyFill="1" applyAlignment="1">
      <alignment vertical="center" shrinkToFit="1"/>
    </xf>
    <xf numFmtId="176" fontId="19" fillId="0" borderId="0" xfId="2" applyNumberFormat="1" applyFont="1" applyFill="1" applyBorder="1" applyAlignment="1">
      <alignment horizontal="right" vertical="center"/>
    </xf>
    <xf numFmtId="176" fontId="19" fillId="0" borderId="0" xfId="2" applyNumberFormat="1" applyFont="1" applyFill="1" applyBorder="1" applyAlignment="1">
      <alignment vertical="center" wrapText="1"/>
    </xf>
    <xf numFmtId="0" fontId="18" fillId="0" borderId="0" xfId="1" applyFont="1" applyFill="1" applyBorder="1" applyAlignment="1">
      <alignment vertical="center" wrapText="1"/>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6" fillId="0" borderId="0" xfId="2" applyNumberFormat="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18" fillId="0" borderId="0" xfId="2" applyNumberFormat="1" applyFont="1" applyFill="1" applyAlignment="1">
      <alignment vertical="center"/>
    </xf>
    <xf numFmtId="176" fontId="6" fillId="0" borderId="0" xfId="2" applyNumberFormat="1" applyFont="1" applyFill="1" applyBorder="1" applyAlignment="1">
      <alignment horizontal="center" vertical="center"/>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18" fillId="0" borderId="0" xfId="2" applyNumberFormat="1" applyFont="1" applyFill="1" applyAlignment="1">
      <alignment vertical="center"/>
    </xf>
    <xf numFmtId="176" fontId="6" fillId="0" borderId="0" xfId="2" applyNumberFormat="1" applyFont="1" applyFill="1" applyBorder="1" applyAlignment="1">
      <alignment horizontal="center" vertical="center"/>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18" fillId="0" borderId="0" xfId="2" applyNumberFormat="1" applyFont="1" applyFill="1" applyAlignment="1">
      <alignment vertical="center"/>
    </xf>
    <xf numFmtId="176" fontId="6" fillId="0" borderId="0" xfId="2" applyNumberFormat="1" applyFont="1" applyFill="1" applyBorder="1" applyAlignment="1">
      <alignment horizontal="center" vertical="center"/>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18" fillId="0" borderId="0" xfId="2" applyNumberFormat="1" applyFont="1" applyFill="1" applyAlignment="1">
      <alignment vertical="center"/>
    </xf>
    <xf numFmtId="176" fontId="6" fillId="0" borderId="0" xfId="2" applyNumberFormat="1" applyFont="1" applyFill="1" applyBorder="1" applyAlignment="1">
      <alignment horizontal="center" vertical="center"/>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18" fillId="0" borderId="0" xfId="2" applyNumberFormat="1" applyFont="1" applyFill="1" applyAlignment="1">
      <alignment vertical="center"/>
    </xf>
    <xf numFmtId="3" fontId="17" fillId="0" borderId="0" xfId="1" applyNumberFormat="1" applyFont="1" applyFill="1" applyAlignment="1">
      <alignment horizontal="center"/>
    </xf>
    <xf numFmtId="176" fontId="6" fillId="0" borderId="2" xfId="2" applyNumberFormat="1" applyFont="1" applyFill="1" applyBorder="1" applyAlignment="1">
      <alignment vertical="center" shrinkToFit="1"/>
    </xf>
    <xf numFmtId="176" fontId="6" fillId="0" borderId="3" xfId="2" applyNumberFormat="1" applyFont="1" applyFill="1" applyBorder="1" applyAlignment="1">
      <alignment vertical="center" shrinkToFit="1"/>
    </xf>
    <xf numFmtId="176" fontId="6" fillId="0" borderId="7" xfId="2" applyNumberFormat="1" applyFont="1" applyFill="1" applyBorder="1" applyAlignment="1">
      <alignment vertical="center" shrinkToFit="1"/>
    </xf>
    <xf numFmtId="176" fontId="6" fillId="0" borderId="1" xfId="2" applyNumberFormat="1" applyFont="1" applyFill="1" applyBorder="1" applyAlignment="1">
      <alignment vertical="center" shrinkToFit="1"/>
    </xf>
    <xf numFmtId="176" fontId="6" fillId="0" borderId="2" xfId="2" applyNumberFormat="1" applyFont="1" applyFill="1" applyBorder="1" applyAlignment="1">
      <alignment horizontal="center" vertical="center" shrinkToFit="1"/>
    </xf>
    <xf numFmtId="176" fontId="6" fillId="0" borderId="3" xfId="2" applyNumberFormat="1" applyFont="1" applyFill="1" applyBorder="1" applyAlignment="1">
      <alignment horizontal="center" vertical="center" shrinkToFit="1"/>
    </xf>
    <xf numFmtId="176" fontId="6" fillId="0" borderId="4" xfId="2" applyNumberFormat="1" applyFont="1" applyFill="1" applyBorder="1" applyAlignment="1">
      <alignment horizontal="center" vertical="center" shrinkToFit="1"/>
    </xf>
    <xf numFmtId="176" fontId="6" fillId="0" borderId="7" xfId="2" applyNumberFormat="1" applyFont="1" applyFill="1" applyBorder="1" applyAlignment="1">
      <alignment horizontal="center" vertical="center" shrinkToFit="1"/>
    </xf>
    <xf numFmtId="176" fontId="6" fillId="0" borderId="1" xfId="2" applyNumberFormat="1" applyFont="1" applyFill="1" applyBorder="1" applyAlignment="1">
      <alignment horizontal="center" vertical="center" shrinkToFit="1"/>
    </xf>
    <xf numFmtId="176" fontId="6" fillId="0" borderId="8" xfId="2" applyNumberFormat="1" applyFont="1" applyFill="1" applyBorder="1" applyAlignment="1">
      <alignment horizontal="center" vertical="center" shrinkToFit="1"/>
    </xf>
    <xf numFmtId="0" fontId="5" fillId="0" borderId="3" xfId="1" applyFont="1" applyFill="1" applyBorder="1" applyAlignment="1">
      <alignment horizontal="left" vertical="center" wrapText="1"/>
    </xf>
    <xf numFmtId="0" fontId="5" fillId="0" borderId="0" xfId="1" applyFont="1" applyFill="1" applyBorder="1" applyAlignment="1">
      <alignment horizontal="left" vertical="center" wrapText="1"/>
    </xf>
    <xf numFmtId="176" fontId="18" fillId="0" borderId="0" xfId="2" applyNumberFormat="1" applyFont="1" applyFill="1" applyAlignment="1">
      <alignment horizontal="right" vertical="center"/>
    </xf>
    <xf numFmtId="176" fontId="18" fillId="0" borderId="0" xfId="2" applyNumberFormat="1" applyFont="1" applyFill="1" applyAlignment="1">
      <alignment horizontal="center" vertical="center"/>
    </xf>
    <xf numFmtId="176" fontId="6" fillId="0" borderId="5" xfId="2" applyNumberFormat="1" applyFont="1" applyFill="1" applyBorder="1" applyAlignment="1">
      <alignment vertical="center" shrinkToFit="1"/>
    </xf>
    <xf numFmtId="176" fontId="6" fillId="0" borderId="10" xfId="2" applyNumberFormat="1" applyFont="1" applyFill="1" applyBorder="1" applyAlignment="1">
      <alignment vertical="center" shrinkToFit="1"/>
    </xf>
    <xf numFmtId="176" fontId="6" fillId="0" borderId="4" xfId="2" applyNumberFormat="1" applyFont="1" applyFill="1" applyBorder="1" applyAlignment="1">
      <alignment vertical="center" shrinkToFit="1"/>
    </xf>
    <xf numFmtId="176" fontId="6" fillId="0" borderId="8" xfId="2" applyNumberFormat="1" applyFont="1" applyFill="1" applyBorder="1" applyAlignment="1">
      <alignment vertical="center" shrinkToFit="1"/>
    </xf>
    <xf numFmtId="176" fontId="6" fillId="0" borderId="5" xfId="2" applyNumberFormat="1" applyFont="1" applyFill="1" applyBorder="1" applyAlignment="1">
      <alignment horizontal="right" vertical="center" shrinkToFit="1"/>
    </xf>
    <xf numFmtId="176" fontId="6" fillId="0" borderId="2" xfId="2" applyNumberFormat="1" applyFont="1" applyFill="1" applyBorder="1" applyAlignment="1">
      <alignment horizontal="left" vertical="center"/>
    </xf>
    <xf numFmtId="176" fontId="6" fillId="0" borderId="3" xfId="2" applyNumberFormat="1" applyFont="1" applyFill="1" applyBorder="1" applyAlignment="1">
      <alignment horizontal="left" vertical="center"/>
    </xf>
    <xf numFmtId="176" fontId="6" fillId="0" borderId="4" xfId="2" applyNumberFormat="1" applyFont="1" applyFill="1" applyBorder="1" applyAlignment="1">
      <alignment horizontal="left" vertical="center"/>
    </xf>
    <xf numFmtId="176" fontId="6" fillId="0" borderId="7" xfId="2" applyNumberFormat="1" applyFont="1" applyFill="1" applyBorder="1" applyAlignment="1">
      <alignment horizontal="left" vertical="center"/>
    </xf>
    <xf numFmtId="176" fontId="6" fillId="0" borderId="1" xfId="2" applyNumberFormat="1" applyFont="1" applyFill="1" applyBorder="1" applyAlignment="1">
      <alignment horizontal="left" vertical="center"/>
    </xf>
    <xf numFmtId="176" fontId="6" fillId="0" borderId="8" xfId="2" applyNumberFormat="1" applyFont="1" applyFill="1" applyBorder="1" applyAlignment="1">
      <alignment horizontal="left" vertical="center"/>
    </xf>
    <xf numFmtId="176" fontId="6" fillId="0" borderId="2" xfId="2" applyNumberFormat="1" applyFont="1" applyFill="1" applyBorder="1" applyAlignment="1">
      <alignment horizontal="right" vertical="center" shrinkToFit="1"/>
    </xf>
    <xf numFmtId="176" fontId="6" fillId="0" borderId="3" xfId="2" applyNumberFormat="1" applyFont="1" applyFill="1" applyBorder="1" applyAlignment="1">
      <alignment horizontal="right" vertical="center" shrinkToFit="1"/>
    </xf>
    <xf numFmtId="176" fontId="6" fillId="0" borderId="7" xfId="2" applyNumberFormat="1" applyFont="1" applyFill="1" applyBorder="1" applyAlignment="1">
      <alignment horizontal="right" vertical="center" shrinkToFit="1"/>
    </xf>
    <xf numFmtId="176" fontId="6" fillId="0" borderId="1" xfId="2" applyNumberFormat="1" applyFont="1" applyFill="1" applyBorder="1" applyAlignment="1">
      <alignment horizontal="right" vertical="center" shrinkToFit="1"/>
    </xf>
    <xf numFmtId="176" fontId="6" fillId="0" borderId="2" xfId="2" applyNumberFormat="1" applyFont="1" applyFill="1" applyBorder="1" applyAlignment="1">
      <alignment horizontal="left" vertical="center" shrinkToFit="1"/>
    </xf>
    <xf numFmtId="176" fontId="6" fillId="0" borderId="3" xfId="2" applyNumberFormat="1" applyFont="1" applyFill="1" applyBorder="1" applyAlignment="1">
      <alignment horizontal="left" vertical="center" shrinkToFit="1"/>
    </xf>
    <xf numFmtId="176" fontId="6" fillId="0" borderId="4" xfId="2" applyNumberFormat="1" applyFont="1" applyFill="1" applyBorder="1" applyAlignment="1">
      <alignment horizontal="left" vertical="center" shrinkToFit="1"/>
    </xf>
    <xf numFmtId="176" fontId="6" fillId="0" borderId="7" xfId="2" applyNumberFormat="1" applyFont="1" applyFill="1" applyBorder="1" applyAlignment="1">
      <alignment horizontal="left" vertical="center" shrinkToFit="1"/>
    </xf>
    <xf numFmtId="176" fontId="6" fillId="0" borderId="1" xfId="2" applyNumberFormat="1" applyFont="1" applyFill="1" applyBorder="1" applyAlignment="1">
      <alignment horizontal="left" vertical="center" shrinkToFit="1"/>
    </xf>
    <xf numFmtId="176" fontId="6" fillId="0" borderId="8" xfId="2" applyNumberFormat="1" applyFont="1" applyFill="1" applyBorder="1" applyAlignment="1">
      <alignment horizontal="left" vertical="center" shrinkToFit="1"/>
    </xf>
    <xf numFmtId="176" fontId="6" fillId="0" borderId="4" xfId="2" applyNumberFormat="1" applyFont="1" applyFill="1" applyBorder="1" applyAlignment="1">
      <alignment horizontal="right" vertical="center" shrinkToFit="1"/>
    </xf>
    <xf numFmtId="176" fontId="6" fillId="0" borderId="8" xfId="2" applyNumberFormat="1" applyFont="1" applyFill="1" applyBorder="1" applyAlignment="1">
      <alignment horizontal="right" vertical="center" shrinkToFit="1"/>
    </xf>
    <xf numFmtId="176" fontId="6" fillId="0" borderId="2" xfId="2" applyNumberFormat="1" applyFont="1" applyFill="1" applyBorder="1" applyAlignment="1">
      <alignment horizontal="center" vertical="center"/>
    </xf>
    <xf numFmtId="176" fontId="6" fillId="0" borderId="3" xfId="2" applyNumberFormat="1" applyFont="1" applyFill="1" applyBorder="1" applyAlignment="1">
      <alignment horizontal="center" vertical="center"/>
    </xf>
    <xf numFmtId="176" fontId="6" fillId="0" borderId="4" xfId="2" applyNumberFormat="1" applyFont="1" applyFill="1" applyBorder="1" applyAlignment="1">
      <alignment horizontal="center" vertical="center"/>
    </xf>
    <xf numFmtId="176" fontId="6" fillId="0" borderId="6" xfId="2" applyNumberFormat="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6" fillId="0" borderId="9" xfId="2" applyNumberFormat="1" applyFont="1" applyFill="1" applyBorder="1" applyAlignment="1">
      <alignment horizontal="center" vertical="center"/>
    </xf>
    <xf numFmtId="176" fontId="6" fillId="0" borderId="7" xfId="2" applyNumberFormat="1" applyFont="1" applyFill="1" applyBorder="1" applyAlignment="1">
      <alignment horizontal="center" vertical="center"/>
    </xf>
    <xf numFmtId="176" fontId="6" fillId="0" borderId="1" xfId="2" applyNumberFormat="1" applyFont="1" applyFill="1" applyBorder="1" applyAlignment="1">
      <alignment horizontal="center" vertical="center"/>
    </xf>
    <xf numFmtId="176" fontId="6" fillId="0" borderId="8" xfId="2" applyNumberFormat="1" applyFont="1" applyFill="1" applyBorder="1" applyAlignment="1">
      <alignment horizontal="center" vertical="center"/>
    </xf>
    <xf numFmtId="176" fontId="6" fillId="0" borderId="2" xfId="2" applyNumberFormat="1" applyFont="1" applyFill="1" applyBorder="1" applyAlignment="1">
      <alignment horizontal="center" vertical="center" wrapText="1"/>
    </xf>
    <xf numFmtId="176" fontId="6" fillId="0" borderId="3" xfId="2" applyNumberFormat="1" applyFont="1" applyFill="1" applyBorder="1" applyAlignment="1">
      <alignment horizontal="center" vertical="center" wrapText="1"/>
    </xf>
    <xf numFmtId="176" fontId="6" fillId="0" borderId="4" xfId="2" applyNumberFormat="1" applyFont="1" applyFill="1" applyBorder="1" applyAlignment="1">
      <alignment horizontal="center" vertical="center" wrapText="1"/>
    </xf>
    <xf numFmtId="176" fontId="6" fillId="0" borderId="7" xfId="2" applyNumberFormat="1" applyFont="1" applyFill="1" applyBorder="1" applyAlignment="1">
      <alignment horizontal="center" vertical="center" wrapText="1"/>
    </xf>
    <xf numFmtId="176" fontId="6" fillId="0" borderId="1" xfId="2" applyNumberFormat="1" applyFont="1" applyFill="1" applyBorder="1" applyAlignment="1">
      <alignment horizontal="center" vertical="center" wrapText="1"/>
    </xf>
    <xf numFmtId="176" fontId="6" fillId="0" borderId="8" xfId="2" applyNumberFormat="1" applyFont="1" applyFill="1" applyBorder="1" applyAlignment="1">
      <alignment horizontal="center" vertical="center" wrapText="1"/>
    </xf>
    <xf numFmtId="176" fontId="6" fillId="0" borderId="2" xfId="2" applyNumberFormat="1" applyFont="1" applyFill="1" applyBorder="1" applyAlignment="1">
      <alignment vertical="center"/>
    </xf>
    <xf numFmtId="176" fontId="6" fillId="0" borderId="3" xfId="2" applyNumberFormat="1" applyFont="1" applyFill="1" applyBorder="1" applyAlignment="1">
      <alignment vertical="center"/>
    </xf>
    <xf numFmtId="176" fontId="6" fillId="0" borderId="4" xfId="2" applyNumberFormat="1" applyFont="1" applyFill="1" applyBorder="1" applyAlignment="1">
      <alignment vertical="center"/>
    </xf>
    <xf numFmtId="176" fontId="6" fillId="0" borderId="7" xfId="2" applyNumberFormat="1" applyFont="1" applyFill="1" applyBorder="1" applyAlignment="1">
      <alignment vertical="center"/>
    </xf>
    <xf numFmtId="176" fontId="6" fillId="0" borderId="1" xfId="2" applyNumberFormat="1" applyFont="1" applyFill="1" applyBorder="1" applyAlignment="1">
      <alignment vertical="center"/>
    </xf>
    <xf numFmtId="176" fontId="6" fillId="0" borderId="8" xfId="2" applyNumberFormat="1" applyFont="1" applyFill="1" applyBorder="1" applyAlignment="1">
      <alignment vertical="center"/>
    </xf>
    <xf numFmtId="176" fontId="6" fillId="0" borderId="6" xfId="2" applyNumberFormat="1" applyFont="1" applyFill="1" applyBorder="1" applyAlignment="1">
      <alignment horizontal="center" vertical="center" wrapText="1"/>
    </xf>
    <xf numFmtId="176" fontId="6" fillId="0" borderId="0" xfId="2" applyNumberFormat="1" applyFont="1" applyFill="1" applyBorder="1" applyAlignment="1">
      <alignment horizontal="center" vertical="center" wrapText="1"/>
    </xf>
    <xf numFmtId="176" fontId="6" fillId="0" borderId="5" xfId="2" applyNumberFormat="1" applyFont="1" applyFill="1" applyBorder="1" applyAlignment="1">
      <alignment horizontal="center" vertical="center"/>
    </xf>
    <xf numFmtId="176" fontId="6" fillId="0" borderId="5" xfId="2" applyNumberFormat="1" applyFont="1" applyFill="1" applyBorder="1" applyAlignment="1">
      <alignment vertical="center"/>
    </xf>
    <xf numFmtId="176" fontId="25" fillId="0" borderId="2" xfId="2" applyNumberFormat="1" applyFont="1" applyFill="1" applyBorder="1" applyAlignment="1">
      <alignment horizontal="center" vertical="center" wrapText="1"/>
    </xf>
    <xf numFmtId="176" fontId="25" fillId="0" borderId="3" xfId="2" applyNumberFormat="1" applyFont="1" applyFill="1" applyBorder="1" applyAlignment="1">
      <alignment horizontal="center" vertical="center" wrapText="1"/>
    </xf>
    <xf numFmtId="176" fontId="25" fillId="0" borderId="4" xfId="2" applyNumberFormat="1" applyFont="1" applyFill="1" applyBorder="1" applyAlignment="1">
      <alignment horizontal="center" vertical="center" wrapText="1"/>
    </xf>
    <xf numFmtId="176" fontId="25" fillId="0" borderId="6" xfId="2" applyNumberFormat="1" applyFont="1" applyFill="1" applyBorder="1" applyAlignment="1">
      <alignment horizontal="center" vertical="center" wrapText="1"/>
    </xf>
    <xf numFmtId="176" fontId="25" fillId="0" borderId="0" xfId="2" applyNumberFormat="1" applyFont="1" applyFill="1" applyBorder="1" applyAlignment="1">
      <alignment horizontal="center" vertical="center" wrapText="1"/>
    </xf>
    <xf numFmtId="176" fontId="25" fillId="0" borderId="9" xfId="2" applyNumberFormat="1" applyFont="1" applyFill="1" applyBorder="1" applyAlignment="1">
      <alignment horizontal="center" vertical="center" wrapText="1"/>
    </xf>
    <xf numFmtId="176" fontId="25" fillId="0" borderId="7" xfId="2" applyNumberFormat="1" applyFont="1" applyFill="1" applyBorder="1" applyAlignment="1">
      <alignment horizontal="center" vertical="center" wrapText="1"/>
    </xf>
    <xf numFmtId="176" fontId="25" fillId="0" borderId="1" xfId="2" applyNumberFormat="1" applyFont="1" applyFill="1" applyBorder="1" applyAlignment="1">
      <alignment horizontal="center" vertical="center" wrapText="1"/>
    </xf>
    <xf numFmtId="176" fontId="25" fillId="0" borderId="8" xfId="2" applyNumberFormat="1" applyFont="1" applyFill="1" applyBorder="1" applyAlignment="1">
      <alignment horizontal="center" vertical="center" wrapText="1"/>
    </xf>
    <xf numFmtId="176" fontId="25" fillId="0" borderId="5" xfId="2" applyNumberFormat="1" applyFont="1" applyFill="1" applyBorder="1" applyAlignment="1">
      <alignment horizontal="center" vertical="center" wrapText="1"/>
    </xf>
    <xf numFmtId="176" fontId="25" fillId="0" borderId="10" xfId="2" applyNumberFormat="1" applyFont="1" applyFill="1" applyBorder="1" applyAlignment="1">
      <alignment horizontal="center" vertical="center" wrapText="1"/>
    </xf>
    <xf numFmtId="176" fontId="6" fillId="0" borderId="10" xfId="2" applyNumberFormat="1" applyFont="1" applyFill="1" applyBorder="1" applyAlignment="1">
      <alignment horizontal="center" vertical="center"/>
    </xf>
    <xf numFmtId="176" fontId="26" fillId="0" borderId="6" xfId="2" applyNumberFormat="1" applyFont="1" applyFill="1" applyBorder="1" applyAlignment="1">
      <alignment horizontal="center" vertical="center" wrapText="1"/>
    </xf>
    <xf numFmtId="176" fontId="26" fillId="0" borderId="0" xfId="2" applyNumberFormat="1" applyFont="1" applyFill="1" applyBorder="1" applyAlignment="1">
      <alignment horizontal="center" vertical="center" wrapText="1"/>
    </xf>
    <xf numFmtId="176" fontId="26" fillId="0" borderId="7" xfId="2" applyNumberFormat="1" applyFont="1" applyFill="1" applyBorder="1" applyAlignment="1">
      <alignment horizontal="center" vertical="center" wrapText="1"/>
    </xf>
    <xf numFmtId="176" fontId="26" fillId="0" borderId="1" xfId="2" applyNumberFormat="1" applyFont="1" applyFill="1" applyBorder="1" applyAlignment="1">
      <alignment horizontal="center" vertical="center" wrapText="1"/>
    </xf>
    <xf numFmtId="176" fontId="26" fillId="0" borderId="6" xfId="2" applyNumberFormat="1" applyFont="1" applyFill="1" applyBorder="1" applyAlignment="1">
      <alignment horizontal="center" vertical="center"/>
    </xf>
    <xf numFmtId="176" fontId="26" fillId="0" borderId="9" xfId="2" applyNumberFormat="1" applyFont="1" applyFill="1" applyBorder="1" applyAlignment="1">
      <alignment horizontal="center" vertical="center"/>
    </xf>
    <xf numFmtId="176" fontId="26" fillId="0" borderId="7" xfId="2" applyNumberFormat="1" applyFont="1" applyFill="1" applyBorder="1" applyAlignment="1">
      <alignment horizontal="center" vertical="center"/>
    </xf>
    <xf numFmtId="176" fontId="26" fillId="0" borderId="8" xfId="2" applyNumberFormat="1" applyFont="1" applyFill="1" applyBorder="1" applyAlignment="1">
      <alignment horizontal="center" vertical="center"/>
    </xf>
    <xf numFmtId="176" fontId="24" fillId="0" borderId="0" xfId="2" applyNumberFormat="1" applyFont="1" applyFill="1" applyAlignment="1"/>
    <xf numFmtId="176" fontId="24" fillId="0" borderId="1" xfId="2" applyNumberFormat="1" applyFont="1" applyFill="1" applyBorder="1" applyAlignment="1"/>
    <xf numFmtId="176" fontId="5" fillId="0" borderId="0" xfId="2" applyNumberFormat="1" applyFont="1" applyFill="1" applyBorder="1" applyAlignment="1">
      <alignment horizontal="right" vertical="center"/>
    </xf>
    <xf numFmtId="176" fontId="6" fillId="0" borderId="5" xfId="2" applyNumberFormat="1" applyFont="1" applyFill="1" applyBorder="1" applyAlignment="1">
      <alignment horizontal="left" vertical="center"/>
    </xf>
    <xf numFmtId="177" fontId="6" fillId="0" borderId="5" xfId="2" applyNumberFormat="1" applyFont="1" applyFill="1" applyBorder="1" applyAlignment="1">
      <alignment horizontal="left" vertical="center"/>
    </xf>
    <xf numFmtId="0" fontId="25" fillId="0" borderId="2" xfId="1" applyFont="1" applyFill="1" applyBorder="1" applyAlignment="1">
      <alignment horizontal="center" vertical="center" wrapText="1"/>
    </xf>
    <xf numFmtId="0" fontId="25" fillId="0" borderId="3" xfId="1" applyFont="1" applyFill="1" applyBorder="1" applyAlignment="1">
      <alignment horizontal="center" vertical="center" wrapText="1"/>
    </xf>
    <xf numFmtId="0" fontId="25" fillId="0" borderId="4" xfId="1" applyFont="1" applyFill="1" applyBorder="1" applyAlignment="1">
      <alignment horizontal="center" vertical="center" wrapText="1"/>
    </xf>
    <xf numFmtId="0" fontId="25" fillId="0" borderId="6" xfId="1" applyFont="1" applyFill="1" applyBorder="1" applyAlignment="1">
      <alignment horizontal="center" vertical="center" wrapText="1"/>
    </xf>
    <xf numFmtId="0" fontId="25" fillId="0" borderId="0" xfId="1" applyFont="1" applyFill="1" applyBorder="1" applyAlignment="1">
      <alignment horizontal="center" vertical="center" wrapText="1"/>
    </xf>
    <xf numFmtId="0" fontId="25" fillId="0" borderId="9" xfId="1" applyFont="1" applyFill="1" applyBorder="1" applyAlignment="1">
      <alignment horizontal="center" vertical="center" wrapText="1"/>
    </xf>
    <xf numFmtId="0" fontId="25" fillId="0" borderId="7" xfId="1" applyFont="1" applyFill="1" applyBorder="1" applyAlignment="1">
      <alignment horizontal="center" vertical="center" wrapText="1"/>
    </xf>
    <xf numFmtId="0" fontId="25" fillId="0" borderId="1" xfId="1" applyFont="1" applyFill="1" applyBorder="1" applyAlignment="1">
      <alignment horizontal="center" vertical="center" wrapText="1"/>
    </xf>
    <xf numFmtId="0" fontId="25" fillId="0" borderId="8" xfId="1" applyFont="1" applyFill="1" applyBorder="1" applyAlignment="1">
      <alignment horizontal="center" vertical="center" wrapText="1"/>
    </xf>
    <xf numFmtId="0" fontId="6" fillId="0" borderId="2" xfId="1" applyFont="1" applyFill="1" applyBorder="1" applyAlignment="1">
      <alignment horizontal="center" vertical="center" wrapText="1"/>
    </xf>
    <xf numFmtId="0" fontId="6" fillId="0" borderId="3" xfId="1" applyFont="1" applyFill="1" applyBorder="1" applyAlignment="1">
      <alignment horizontal="center" vertical="center" wrapText="1"/>
    </xf>
    <xf numFmtId="0" fontId="6" fillId="0" borderId="6" xfId="1" applyFont="1" applyFill="1" applyBorder="1" applyAlignment="1">
      <alignment horizontal="center" vertical="center" wrapText="1"/>
    </xf>
    <xf numFmtId="0" fontId="6" fillId="0" borderId="0" xfId="1" applyFont="1" applyFill="1" applyBorder="1" applyAlignment="1">
      <alignment horizontal="center" vertical="center" wrapText="1"/>
    </xf>
    <xf numFmtId="0" fontId="6" fillId="0" borderId="7" xfId="1" applyFont="1" applyFill="1" applyBorder="1" applyAlignment="1">
      <alignment horizontal="center" vertical="center" wrapText="1"/>
    </xf>
    <xf numFmtId="0" fontId="6" fillId="0" borderId="1" xfId="1" applyFont="1" applyFill="1" applyBorder="1" applyAlignment="1">
      <alignment horizontal="center" vertical="center" wrapText="1"/>
    </xf>
    <xf numFmtId="176" fontId="23" fillId="0" borderId="0" xfId="2" applyNumberFormat="1" applyFont="1" applyFill="1" applyAlignment="1">
      <alignment vertical="center"/>
    </xf>
    <xf numFmtId="176" fontId="5" fillId="0" borderId="1" xfId="2" applyNumberFormat="1" applyFont="1" applyFill="1" applyBorder="1" applyAlignment="1">
      <alignment horizontal="right" vertical="center"/>
    </xf>
    <xf numFmtId="176" fontId="6" fillId="0" borderId="7" xfId="2" applyNumberFormat="1" applyFont="1" applyFill="1" applyBorder="1" applyAlignment="1">
      <alignment horizontal="left" vertical="center" wrapText="1"/>
    </xf>
    <xf numFmtId="176" fontId="6" fillId="0" borderId="1" xfId="2" applyNumberFormat="1" applyFont="1" applyFill="1" applyBorder="1" applyAlignment="1">
      <alignment horizontal="left" vertical="center" wrapText="1"/>
    </xf>
    <xf numFmtId="176" fontId="6" fillId="0" borderId="8" xfId="2" applyNumberFormat="1" applyFont="1" applyFill="1" applyBorder="1" applyAlignment="1">
      <alignment horizontal="left" vertical="center" wrapText="1"/>
    </xf>
    <xf numFmtId="176" fontId="6" fillId="0" borderId="2" xfId="2" applyNumberFormat="1" applyFont="1" applyFill="1" applyBorder="1" applyAlignment="1">
      <alignment horizontal="right" vertical="center"/>
    </xf>
    <xf numFmtId="176" fontId="6" fillId="0" borderId="3" xfId="2" applyNumberFormat="1" applyFont="1" applyFill="1" applyBorder="1" applyAlignment="1">
      <alignment horizontal="right" vertical="center"/>
    </xf>
    <xf numFmtId="176" fontId="6" fillId="0" borderId="4" xfId="2" applyNumberFormat="1" applyFont="1" applyFill="1" applyBorder="1" applyAlignment="1">
      <alignment horizontal="right" vertical="center"/>
    </xf>
    <xf numFmtId="176" fontId="6" fillId="0" borderId="7" xfId="2" applyNumberFormat="1" applyFont="1" applyFill="1" applyBorder="1" applyAlignment="1">
      <alignment horizontal="right" vertical="center"/>
    </xf>
    <xf numFmtId="176" fontId="6" fillId="0" borderId="1" xfId="2" applyNumberFormat="1" applyFont="1" applyFill="1" applyBorder="1" applyAlignment="1">
      <alignment horizontal="right" vertical="center"/>
    </xf>
    <xf numFmtId="176" fontId="6" fillId="0" borderId="8" xfId="2" applyNumberFormat="1" applyFont="1" applyFill="1" applyBorder="1" applyAlignment="1">
      <alignment horizontal="right" vertical="center"/>
    </xf>
    <xf numFmtId="176" fontId="6" fillId="0" borderId="5" xfId="2" applyNumberFormat="1" applyFont="1" applyFill="1" applyBorder="1" applyAlignment="1">
      <alignment horizontal="center" vertical="center" wrapText="1"/>
    </xf>
    <xf numFmtId="176" fontId="24" fillId="0" borderId="0" xfId="2" applyNumberFormat="1" applyFont="1" applyFill="1" applyBorder="1" applyAlignment="1"/>
    <xf numFmtId="176" fontId="6" fillId="0" borderId="2" xfId="2" applyNumberFormat="1" applyFont="1" applyFill="1" applyBorder="1" applyAlignment="1">
      <alignment vertical="center" wrapText="1"/>
    </xf>
    <xf numFmtId="176" fontId="6" fillId="0" borderId="3" xfId="2" applyNumberFormat="1" applyFont="1" applyFill="1" applyBorder="1" applyAlignment="1">
      <alignment vertical="center" wrapText="1"/>
    </xf>
    <xf numFmtId="176" fontId="6" fillId="0" borderId="7" xfId="2" applyNumberFormat="1" applyFont="1" applyFill="1" applyBorder="1" applyAlignment="1">
      <alignment vertical="center" wrapText="1"/>
    </xf>
    <xf numFmtId="176" fontId="6" fillId="0" borderId="1" xfId="2" applyNumberFormat="1" applyFont="1" applyFill="1" applyBorder="1" applyAlignment="1">
      <alignment vertical="center" wrapText="1"/>
    </xf>
    <xf numFmtId="0" fontId="21" fillId="0" borderId="0" xfId="1" applyFont="1" applyFill="1" applyAlignment="1">
      <alignment horizontal="left"/>
    </xf>
    <xf numFmtId="176" fontId="22" fillId="0" borderId="0" xfId="2" applyNumberFormat="1" applyFont="1" applyFill="1" applyAlignment="1">
      <alignment horizontal="center" vertical="center"/>
    </xf>
    <xf numFmtId="176" fontId="23" fillId="0" borderId="0" xfId="2" applyNumberFormat="1" applyFont="1" applyFill="1" applyAlignment="1">
      <alignment horizontal="left" vertical="center"/>
    </xf>
    <xf numFmtId="176" fontId="6" fillId="0" borderId="0" xfId="2" applyNumberFormat="1" applyFont="1" applyFill="1" applyAlignment="1">
      <alignment horizontal="left" vertical="center" shrinkToFit="1"/>
    </xf>
    <xf numFmtId="176" fontId="27" fillId="0" borderId="2" xfId="2" applyNumberFormat="1" applyFont="1" applyFill="1" applyBorder="1" applyAlignment="1">
      <alignment vertical="center" shrinkToFit="1"/>
    </xf>
    <xf numFmtId="176" fontId="27" fillId="0" borderId="3" xfId="2" applyNumberFormat="1" applyFont="1" applyFill="1" applyBorder="1" applyAlignment="1">
      <alignment vertical="center" shrinkToFit="1"/>
    </xf>
    <xf numFmtId="176" fontId="27" fillId="0" borderId="4" xfId="2" applyNumberFormat="1" applyFont="1" applyFill="1" applyBorder="1" applyAlignment="1">
      <alignment vertical="center" shrinkToFit="1"/>
    </xf>
    <xf numFmtId="176" fontId="27" fillId="0" borderId="7" xfId="2" applyNumberFormat="1" applyFont="1" applyFill="1" applyBorder="1" applyAlignment="1">
      <alignment vertical="center" shrinkToFit="1"/>
    </xf>
    <xf numFmtId="176" fontId="27" fillId="0" borderId="1" xfId="2" applyNumberFormat="1" applyFont="1" applyFill="1" applyBorder="1" applyAlignment="1">
      <alignment vertical="center" shrinkToFit="1"/>
    </xf>
    <xf numFmtId="176" fontId="27" fillId="0" borderId="8" xfId="2" applyNumberFormat="1" applyFont="1" applyFill="1" applyBorder="1" applyAlignment="1">
      <alignment vertical="center" shrinkToFit="1"/>
    </xf>
    <xf numFmtId="176" fontId="27" fillId="0" borderId="5" xfId="2" applyNumberFormat="1" applyFont="1" applyFill="1" applyBorder="1" applyAlignment="1">
      <alignment vertical="center" shrinkToFit="1"/>
    </xf>
    <xf numFmtId="176" fontId="27" fillId="0" borderId="7" xfId="2" applyNumberFormat="1" applyFont="1" applyFill="1" applyBorder="1" applyAlignment="1">
      <alignment horizontal="left" vertical="center" shrinkToFit="1"/>
    </xf>
    <xf numFmtId="176" fontId="27" fillId="0" borderId="1" xfId="2" applyNumberFormat="1" applyFont="1" applyFill="1" applyBorder="1" applyAlignment="1">
      <alignment horizontal="left" vertical="center" shrinkToFit="1"/>
    </xf>
    <xf numFmtId="176" fontId="27" fillId="0" borderId="8" xfId="2" applyNumberFormat="1" applyFont="1" applyFill="1" applyBorder="1" applyAlignment="1">
      <alignment horizontal="left" vertical="center" shrinkToFit="1"/>
    </xf>
    <xf numFmtId="176" fontId="27" fillId="0" borderId="5" xfId="2" applyNumberFormat="1" applyFont="1" applyFill="1" applyBorder="1" applyAlignment="1">
      <alignment vertical="center"/>
    </xf>
    <xf numFmtId="176" fontId="27" fillId="0" borderId="2" xfId="2" applyNumberFormat="1" applyFont="1" applyFill="1" applyBorder="1" applyAlignment="1">
      <alignment vertical="center"/>
    </xf>
    <xf numFmtId="176" fontId="27" fillId="0" borderId="3" xfId="2" applyNumberFormat="1" applyFont="1" applyFill="1" applyBorder="1" applyAlignment="1">
      <alignment vertical="center"/>
    </xf>
    <xf numFmtId="176" fontId="27" fillId="0" borderId="4" xfId="2" applyNumberFormat="1" applyFont="1" applyFill="1" applyBorder="1" applyAlignment="1">
      <alignment vertical="center"/>
    </xf>
    <xf numFmtId="176" fontId="27" fillId="0" borderId="7" xfId="2" applyNumberFormat="1" applyFont="1" applyFill="1" applyBorder="1" applyAlignment="1">
      <alignment vertical="center"/>
    </xf>
    <xf numFmtId="176" fontId="27" fillId="0" borderId="1" xfId="2" applyNumberFormat="1" applyFont="1" applyFill="1" applyBorder="1" applyAlignment="1">
      <alignment vertical="center"/>
    </xf>
    <xf numFmtId="176" fontId="27" fillId="0" borderId="8" xfId="2" applyNumberFormat="1" applyFont="1" applyFill="1" applyBorder="1" applyAlignment="1">
      <alignment vertical="center"/>
    </xf>
    <xf numFmtId="177" fontId="27" fillId="0" borderId="5" xfId="2" applyNumberFormat="1" applyFont="1" applyFill="1" applyBorder="1" applyAlignment="1">
      <alignment horizontal="left" vertical="center"/>
    </xf>
    <xf numFmtId="176" fontId="27" fillId="0" borderId="7" xfId="2" applyNumberFormat="1" applyFont="1" applyFill="1" applyBorder="1" applyAlignment="1">
      <alignment horizontal="left" vertical="center" wrapText="1"/>
    </xf>
    <xf numFmtId="176" fontId="27" fillId="0" borderId="1" xfId="2" applyNumberFormat="1" applyFont="1" applyFill="1" applyBorder="1" applyAlignment="1">
      <alignment horizontal="left" vertical="center" wrapText="1"/>
    </xf>
    <xf numFmtId="176" fontId="27" fillId="0" borderId="8" xfId="2" applyNumberFormat="1" applyFont="1" applyFill="1" applyBorder="1" applyAlignment="1">
      <alignment horizontal="left" vertical="center" wrapText="1"/>
    </xf>
    <xf numFmtId="176" fontId="27" fillId="0" borderId="2" xfId="2" applyNumberFormat="1" applyFont="1" applyFill="1" applyBorder="1" applyAlignment="1">
      <alignment horizontal="left" vertical="center"/>
    </xf>
    <xf numFmtId="176" fontId="27" fillId="0" borderId="3" xfId="2" applyNumberFormat="1" applyFont="1" applyFill="1" applyBorder="1" applyAlignment="1">
      <alignment horizontal="left" vertical="center"/>
    </xf>
    <xf numFmtId="176" fontId="27" fillId="0" borderId="4" xfId="2" applyNumberFormat="1" applyFont="1" applyFill="1" applyBorder="1" applyAlignment="1">
      <alignment horizontal="left" vertical="center"/>
    </xf>
    <xf numFmtId="176" fontId="27" fillId="0" borderId="7" xfId="2" applyNumberFormat="1" applyFont="1" applyFill="1" applyBorder="1" applyAlignment="1">
      <alignment horizontal="left" vertical="center"/>
    </xf>
    <xf numFmtId="176" fontId="27" fillId="0" borderId="1" xfId="2" applyNumberFormat="1" applyFont="1" applyFill="1" applyBorder="1" applyAlignment="1">
      <alignment horizontal="left" vertical="center"/>
    </xf>
    <xf numFmtId="176" fontId="27" fillId="0" borderId="8" xfId="2" applyNumberFormat="1" applyFont="1" applyFill="1" applyBorder="1" applyAlignment="1">
      <alignment horizontal="left" vertical="center"/>
    </xf>
    <xf numFmtId="176" fontId="19" fillId="0" borderId="5" xfId="2" applyNumberFormat="1" applyFont="1" applyFill="1" applyBorder="1" applyAlignment="1">
      <alignment vertical="center"/>
    </xf>
    <xf numFmtId="176" fontId="6" fillId="0" borderId="0" xfId="2" applyNumberFormat="1" applyFont="1" applyFill="1" applyAlignment="1">
      <alignment horizontal="right" vertical="center" shrinkToFit="1"/>
    </xf>
    <xf numFmtId="0" fontId="7" fillId="0" borderId="0" xfId="1" applyFont="1" applyFill="1" applyAlignment="1">
      <alignment horizontal="left"/>
    </xf>
    <xf numFmtId="176" fontId="9" fillId="0" borderId="0" xfId="2" applyNumberFormat="1" applyFont="1" applyFill="1" applyAlignment="1">
      <alignment horizontal="center" vertical="center"/>
    </xf>
    <xf numFmtId="176" fontId="10" fillId="0" borderId="0" xfId="2" applyNumberFormat="1" applyFont="1" applyFill="1" applyAlignment="1">
      <alignment horizontal="left" vertical="center"/>
    </xf>
    <xf numFmtId="176" fontId="12" fillId="0" borderId="0" xfId="2" applyNumberFormat="1" applyFont="1" applyFill="1" applyAlignment="1">
      <alignment horizontal="right" vertical="center" shrinkToFit="1"/>
    </xf>
    <xf numFmtId="176" fontId="13" fillId="0" borderId="0" xfId="2" applyNumberFormat="1" applyFont="1" applyFill="1" applyAlignment="1"/>
    <xf numFmtId="176" fontId="13" fillId="0" borderId="1" xfId="2" applyNumberFormat="1" applyFont="1" applyFill="1" applyBorder="1" applyAlignment="1"/>
    <xf numFmtId="176" fontId="11" fillId="0" borderId="1" xfId="2" applyNumberFormat="1" applyFont="1" applyFill="1" applyBorder="1" applyAlignment="1">
      <alignment horizontal="right" vertical="center"/>
    </xf>
    <xf numFmtId="176" fontId="12" fillId="0" borderId="2" xfId="2" applyNumberFormat="1" applyFont="1" applyFill="1" applyBorder="1" applyAlignment="1">
      <alignment horizontal="center" vertical="center"/>
    </xf>
    <xf numFmtId="176" fontId="12" fillId="0" borderId="3" xfId="2" applyNumberFormat="1" applyFont="1" applyFill="1" applyBorder="1" applyAlignment="1">
      <alignment horizontal="center" vertical="center"/>
    </xf>
    <xf numFmtId="176" fontId="12" fillId="0" borderId="6" xfId="2" applyNumberFormat="1" applyFont="1" applyFill="1" applyBorder="1" applyAlignment="1">
      <alignment horizontal="center" vertical="center"/>
    </xf>
    <xf numFmtId="176" fontId="12" fillId="0" borderId="0" xfId="2" applyNumberFormat="1" applyFont="1" applyFill="1" applyBorder="1" applyAlignment="1">
      <alignment horizontal="center" vertical="center"/>
    </xf>
    <xf numFmtId="176" fontId="12" fillId="0" borderId="7" xfId="2" applyNumberFormat="1" applyFont="1" applyFill="1" applyBorder="1" applyAlignment="1">
      <alignment horizontal="center" vertical="center"/>
    </xf>
    <xf numFmtId="176" fontId="12" fillId="0" borderId="1" xfId="2" applyNumberFormat="1" applyFont="1" applyFill="1" applyBorder="1" applyAlignment="1">
      <alignment horizontal="center" vertical="center"/>
    </xf>
    <xf numFmtId="176" fontId="12" fillId="0" borderId="5" xfId="2" applyNumberFormat="1" applyFont="1" applyFill="1" applyBorder="1" applyAlignment="1">
      <alignment horizontal="center" vertical="center"/>
    </xf>
    <xf numFmtId="176" fontId="12" fillId="0" borderId="5" xfId="2" applyNumberFormat="1" applyFont="1" applyFill="1" applyBorder="1" applyAlignment="1">
      <alignment horizontal="center" vertical="center" wrapText="1"/>
    </xf>
    <xf numFmtId="176" fontId="12" fillId="0" borderId="4" xfId="2" applyNumberFormat="1" applyFont="1" applyFill="1" applyBorder="1" applyAlignment="1">
      <alignment horizontal="center" vertical="center"/>
    </xf>
    <xf numFmtId="176" fontId="12" fillId="0" borderId="9" xfId="2" applyNumberFormat="1" applyFont="1" applyFill="1" applyBorder="1" applyAlignment="1">
      <alignment horizontal="center" vertical="center"/>
    </xf>
    <xf numFmtId="176" fontId="12" fillId="0" borderId="8" xfId="2" applyNumberFormat="1" applyFont="1" applyFill="1" applyBorder="1" applyAlignment="1">
      <alignment horizontal="center" vertical="center"/>
    </xf>
    <xf numFmtId="176" fontId="14" fillId="0" borderId="2" xfId="2" applyNumberFormat="1" applyFont="1" applyFill="1" applyBorder="1" applyAlignment="1">
      <alignment horizontal="center" vertical="center" wrapText="1"/>
    </xf>
    <xf numFmtId="176" fontId="14" fillId="0" borderId="3" xfId="2" applyNumberFormat="1" applyFont="1" applyFill="1" applyBorder="1" applyAlignment="1">
      <alignment horizontal="center" vertical="center" wrapText="1"/>
    </xf>
    <xf numFmtId="176" fontId="14" fillId="0" borderId="6" xfId="2" applyNumberFormat="1" applyFont="1" applyFill="1" applyBorder="1" applyAlignment="1">
      <alignment horizontal="center" vertical="center" wrapText="1"/>
    </xf>
    <xf numFmtId="176" fontId="14" fillId="0" borderId="0" xfId="2" applyNumberFormat="1" applyFont="1" applyFill="1" applyBorder="1" applyAlignment="1">
      <alignment horizontal="center" vertical="center" wrapText="1"/>
    </xf>
    <xf numFmtId="176" fontId="14" fillId="0" borderId="7" xfId="2" applyNumberFormat="1" applyFont="1" applyFill="1" applyBorder="1" applyAlignment="1">
      <alignment horizontal="center" vertical="center" wrapText="1"/>
    </xf>
    <xf numFmtId="176" fontId="14" fillId="0" borderId="1" xfId="2" applyNumberFormat="1" applyFont="1" applyFill="1" applyBorder="1" applyAlignment="1">
      <alignment horizontal="center" vertical="center" wrapText="1"/>
    </xf>
    <xf numFmtId="176" fontId="12" fillId="0" borderId="3" xfId="2" applyNumberFormat="1" applyFont="1" applyFill="1" applyBorder="1" applyAlignment="1">
      <alignment vertical="center"/>
    </xf>
    <xf numFmtId="176" fontId="12" fillId="0" borderId="1" xfId="2" applyNumberFormat="1" applyFont="1" applyFill="1" applyBorder="1" applyAlignment="1">
      <alignment vertical="center"/>
    </xf>
    <xf numFmtId="176" fontId="12" fillId="0" borderId="2" xfId="2" applyNumberFormat="1" applyFont="1" applyFill="1" applyBorder="1" applyAlignment="1">
      <alignment vertical="center"/>
    </xf>
    <xf numFmtId="176" fontId="12" fillId="0" borderId="7" xfId="2" applyNumberFormat="1" applyFont="1" applyFill="1" applyBorder="1" applyAlignment="1">
      <alignment vertical="center"/>
    </xf>
    <xf numFmtId="176" fontId="12" fillId="0" borderId="4" xfId="2" applyNumberFormat="1" applyFont="1" applyFill="1" applyBorder="1" applyAlignment="1">
      <alignment vertical="center"/>
    </xf>
    <xf numFmtId="176" fontId="12" fillId="0" borderId="8" xfId="2" applyNumberFormat="1" applyFont="1" applyFill="1" applyBorder="1" applyAlignment="1">
      <alignment vertical="center"/>
    </xf>
    <xf numFmtId="176" fontId="12" fillId="0" borderId="5" xfId="2" applyNumberFormat="1" applyFont="1" applyFill="1" applyBorder="1" applyAlignment="1">
      <alignment vertical="center"/>
    </xf>
    <xf numFmtId="176" fontId="12" fillId="0" borderId="2" xfId="2" applyNumberFormat="1" applyFont="1" applyFill="1" applyBorder="1" applyAlignment="1">
      <alignment vertical="center" wrapText="1"/>
    </xf>
    <xf numFmtId="176" fontId="12" fillId="0" borderId="3" xfId="2" applyNumberFormat="1" applyFont="1" applyFill="1" applyBorder="1" applyAlignment="1">
      <alignment vertical="center" wrapText="1"/>
    </xf>
    <xf numFmtId="176" fontId="12" fillId="0" borderId="7" xfId="2" applyNumberFormat="1" applyFont="1" applyFill="1" applyBorder="1" applyAlignment="1">
      <alignment vertical="center" wrapText="1"/>
    </xf>
    <xf numFmtId="176" fontId="12" fillId="0" borderId="1" xfId="2" applyNumberFormat="1" applyFont="1" applyFill="1" applyBorder="1" applyAlignment="1">
      <alignment vertical="center" wrapText="1"/>
    </xf>
    <xf numFmtId="176" fontId="12" fillId="0" borderId="2" xfId="2" applyNumberFormat="1" applyFont="1" applyFill="1" applyBorder="1" applyAlignment="1">
      <alignment horizontal="left" vertical="center"/>
    </xf>
    <xf numFmtId="176" fontId="12" fillId="0" borderId="3" xfId="2" applyNumberFormat="1" applyFont="1" applyFill="1" applyBorder="1" applyAlignment="1">
      <alignment horizontal="left" vertical="center"/>
    </xf>
    <xf numFmtId="176" fontId="12" fillId="0" borderId="4" xfId="2" applyNumberFormat="1" applyFont="1" applyFill="1" applyBorder="1" applyAlignment="1">
      <alignment horizontal="left" vertical="center"/>
    </xf>
    <xf numFmtId="176" fontId="12" fillId="0" borderId="7" xfId="2" applyNumberFormat="1" applyFont="1" applyFill="1" applyBorder="1" applyAlignment="1">
      <alignment horizontal="left" vertical="center"/>
    </xf>
    <xf numFmtId="176" fontId="12" fillId="0" borderId="1" xfId="2" applyNumberFormat="1" applyFont="1" applyFill="1" applyBorder="1" applyAlignment="1">
      <alignment horizontal="left" vertical="center"/>
    </xf>
    <xf numFmtId="176" fontId="12" fillId="0" borderId="8" xfId="2" applyNumberFormat="1" applyFont="1" applyFill="1" applyBorder="1" applyAlignment="1">
      <alignment horizontal="left" vertical="center"/>
    </xf>
    <xf numFmtId="176" fontId="14" fillId="0" borderId="5" xfId="2" applyNumberFormat="1" applyFont="1" applyFill="1" applyBorder="1" applyAlignment="1">
      <alignment horizontal="center" vertical="center" wrapText="1"/>
    </xf>
    <xf numFmtId="176" fontId="12" fillId="0" borderId="5" xfId="2" applyNumberFormat="1" applyFont="1" applyFill="1" applyBorder="1" applyAlignment="1">
      <alignment horizontal="left" vertical="center"/>
    </xf>
    <xf numFmtId="176" fontId="13" fillId="0" borderId="0" xfId="2" applyNumberFormat="1" applyFont="1" applyFill="1" applyBorder="1" applyAlignment="1"/>
    <xf numFmtId="176" fontId="12" fillId="0" borderId="2" xfId="2" applyNumberFormat="1" applyFont="1" applyFill="1" applyBorder="1" applyAlignment="1">
      <alignment horizontal="right" vertical="center"/>
    </xf>
    <xf numFmtId="176" fontId="12" fillId="0" borderId="3" xfId="2" applyNumberFormat="1" applyFont="1" applyFill="1" applyBorder="1" applyAlignment="1">
      <alignment horizontal="right" vertical="center"/>
    </xf>
    <xf numFmtId="176" fontId="12" fillId="0" borderId="4" xfId="2" applyNumberFormat="1" applyFont="1" applyFill="1" applyBorder="1" applyAlignment="1">
      <alignment horizontal="right" vertical="center"/>
    </xf>
    <xf numFmtId="176" fontId="12" fillId="0" borderId="7" xfId="2" applyNumberFormat="1" applyFont="1" applyFill="1" applyBorder="1" applyAlignment="1">
      <alignment horizontal="right" vertical="center"/>
    </xf>
    <xf numFmtId="176" fontId="12" fillId="0" borderId="1" xfId="2" applyNumberFormat="1" applyFont="1" applyFill="1" applyBorder="1" applyAlignment="1">
      <alignment horizontal="right" vertical="center"/>
    </xf>
    <xf numFmtId="176" fontId="12" fillId="0" borderId="8" xfId="2" applyNumberFormat="1" applyFont="1" applyFill="1" applyBorder="1" applyAlignment="1">
      <alignment horizontal="right" vertical="center"/>
    </xf>
    <xf numFmtId="176" fontId="12" fillId="0" borderId="5" xfId="2" applyNumberFormat="1" applyFont="1" applyFill="1" applyBorder="1" applyAlignment="1">
      <alignment vertical="center" shrinkToFit="1"/>
    </xf>
    <xf numFmtId="176" fontId="12" fillId="0" borderId="2" xfId="2" applyNumberFormat="1" applyFont="1" applyFill="1" applyBorder="1" applyAlignment="1">
      <alignment horizontal="center" vertical="center" wrapText="1"/>
    </xf>
    <xf numFmtId="176" fontId="12" fillId="0" borderId="3" xfId="2" applyNumberFormat="1" applyFont="1" applyFill="1" applyBorder="1" applyAlignment="1">
      <alignment horizontal="center" vertical="center" wrapText="1"/>
    </xf>
    <xf numFmtId="176" fontId="12" fillId="0" borderId="4" xfId="2" applyNumberFormat="1" applyFont="1" applyFill="1" applyBorder="1" applyAlignment="1">
      <alignment horizontal="center" vertical="center" wrapText="1"/>
    </xf>
    <xf numFmtId="176" fontId="12" fillId="0" borderId="7" xfId="2" applyNumberFormat="1" applyFont="1" applyFill="1" applyBorder="1" applyAlignment="1">
      <alignment horizontal="center" vertical="center" wrapText="1"/>
    </xf>
    <xf numFmtId="176" fontId="12" fillId="0" borderId="1" xfId="2" applyNumberFormat="1" applyFont="1" applyFill="1" applyBorder="1" applyAlignment="1">
      <alignment horizontal="center" vertical="center" wrapText="1"/>
    </xf>
    <xf numFmtId="176" fontId="12" fillId="0" borderId="8" xfId="2" applyNumberFormat="1" applyFont="1" applyFill="1" applyBorder="1" applyAlignment="1">
      <alignment horizontal="center" vertical="center" wrapText="1"/>
    </xf>
    <xf numFmtId="176" fontId="12" fillId="0" borderId="2" xfId="2" applyNumberFormat="1" applyFont="1" applyFill="1" applyBorder="1" applyAlignment="1">
      <alignment vertical="center" shrinkToFit="1"/>
    </xf>
    <xf numFmtId="176" fontId="12" fillId="0" borderId="3" xfId="2" applyNumberFormat="1" applyFont="1" applyFill="1" applyBorder="1" applyAlignment="1">
      <alignment vertical="center" shrinkToFit="1"/>
    </xf>
    <xf numFmtId="176" fontId="12" fillId="0" borderId="4" xfId="2" applyNumberFormat="1" applyFont="1" applyFill="1" applyBorder="1" applyAlignment="1">
      <alignment vertical="center" shrinkToFit="1"/>
    </xf>
    <xf numFmtId="176" fontId="12" fillId="0" borderId="7" xfId="2" applyNumberFormat="1" applyFont="1" applyFill="1" applyBorder="1" applyAlignment="1">
      <alignment vertical="center" shrinkToFit="1"/>
    </xf>
    <xf numFmtId="176" fontId="12" fillId="0" borderId="1" xfId="2" applyNumberFormat="1" applyFont="1" applyFill="1" applyBorder="1" applyAlignment="1">
      <alignment vertical="center" shrinkToFit="1"/>
    </xf>
    <xf numFmtId="176" fontId="12" fillId="0" borderId="8" xfId="2" applyNumberFormat="1" applyFont="1" applyFill="1" applyBorder="1" applyAlignment="1">
      <alignment vertical="center" shrinkToFit="1"/>
    </xf>
    <xf numFmtId="176" fontId="12" fillId="0" borderId="2" xfId="2" applyNumberFormat="1" applyFont="1" applyFill="1" applyBorder="1" applyAlignment="1">
      <alignment horizontal="left" vertical="center" shrinkToFit="1"/>
    </xf>
    <xf numFmtId="176" fontId="12" fillId="0" borderId="3" xfId="2" applyNumberFormat="1" applyFont="1" applyFill="1" applyBorder="1" applyAlignment="1">
      <alignment horizontal="left" vertical="center" shrinkToFit="1"/>
    </xf>
    <xf numFmtId="176" fontId="12" fillId="0" borderId="4" xfId="2" applyNumberFormat="1" applyFont="1" applyFill="1" applyBorder="1" applyAlignment="1">
      <alignment horizontal="left" vertical="center" shrinkToFit="1"/>
    </xf>
    <xf numFmtId="176" fontId="12" fillId="0" borderId="7" xfId="2" applyNumberFormat="1" applyFont="1" applyFill="1" applyBorder="1" applyAlignment="1">
      <alignment horizontal="left" vertical="center" wrapText="1"/>
    </xf>
    <xf numFmtId="176" fontId="12" fillId="0" borderId="1" xfId="2" applyNumberFormat="1" applyFont="1" applyFill="1" applyBorder="1" applyAlignment="1">
      <alignment horizontal="left" vertical="center" wrapText="1"/>
    </xf>
    <xf numFmtId="176" fontId="12" fillId="0" borderId="8" xfId="2" applyNumberFormat="1" applyFont="1" applyFill="1" applyBorder="1" applyAlignment="1">
      <alignment horizontal="left" vertical="center" wrapText="1"/>
    </xf>
    <xf numFmtId="176" fontId="12" fillId="0" borderId="2" xfId="2" applyNumberFormat="1" applyFont="1" applyFill="1" applyBorder="1" applyAlignment="1">
      <alignment horizontal="center" vertical="center" shrinkToFit="1"/>
    </xf>
    <xf numFmtId="176" fontId="12" fillId="0" borderId="3" xfId="2" applyNumberFormat="1" applyFont="1" applyFill="1" applyBorder="1" applyAlignment="1">
      <alignment horizontal="center" vertical="center" shrinkToFit="1"/>
    </xf>
    <xf numFmtId="176" fontId="12" fillId="0" borderId="4" xfId="2" applyNumberFormat="1" applyFont="1" applyFill="1" applyBorder="1" applyAlignment="1">
      <alignment horizontal="center" vertical="center" shrinkToFit="1"/>
    </xf>
    <xf numFmtId="176" fontId="12" fillId="0" borderId="7" xfId="2" applyNumberFormat="1" applyFont="1" applyFill="1" applyBorder="1" applyAlignment="1">
      <alignment horizontal="center" vertical="center" shrinkToFit="1"/>
    </xf>
    <xf numFmtId="176" fontId="12" fillId="0" borderId="1" xfId="2" applyNumberFormat="1" applyFont="1" applyFill="1" applyBorder="1" applyAlignment="1">
      <alignment horizontal="center" vertical="center" shrinkToFit="1"/>
    </xf>
    <xf numFmtId="176" fontId="12" fillId="0" borderId="8" xfId="2" applyNumberFormat="1" applyFont="1" applyFill="1" applyBorder="1" applyAlignment="1">
      <alignment horizontal="center" vertical="center" shrinkToFit="1"/>
    </xf>
    <xf numFmtId="176" fontId="10" fillId="0" borderId="0" xfId="2" applyNumberFormat="1" applyFont="1" applyFill="1" applyAlignment="1">
      <alignment vertical="center"/>
    </xf>
    <xf numFmtId="176" fontId="12" fillId="0" borderId="6" xfId="2" applyNumberFormat="1" applyFont="1" applyFill="1" applyBorder="1" applyAlignment="1">
      <alignment horizontal="center" vertical="center" wrapText="1"/>
    </xf>
    <xf numFmtId="176" fontId="12" fillId="0" borderId="0" xfId="2" applyNumberFormat="1" applyFont="1" applyFill="1" applyBorder="1" applyAlignment="1">
      <alignment horizontal="center" vertical="center" wrapText="1"/>
    </xf>
    <xf numFmtId="0" fontId="14" fillId="0" borderId="2" xfId="1" applyFont="1" applyFill="1" applyBorder="1" applyAlignment="1">
      <alignment horizontal="center" vertical="center" wrapText="1"/>
    </xf>
    <xf numFmtId="0" fontId="14" fillId="0" borderId="3" xfId="1" applyFont="1" applyFill="1" applyBorder="1" applyAlignment="1">
      <alignment horizontal="center" vertical="center" wrapText="1"/>
    </xf>
    <xf numFmtId="0" fontId="14" fillId="0" borderId="4" xfId="1" applyFont="1" applyFill="1" applyBorder="1" applyAlignment="1">
      <alignment horizontal="center" vertical="center" wrapText="1"/>
    </xf>
    <xf numFmtId="0" fontId="14" fillId="0" borderId="6" xfId="1" applyFont="1" applyFill="1" applyBorder="1" applyAlignment="1">
      <alignment horizontal="center" vertical="center" wrapText="1"/>
    </xf>
    <xf numFmtId="0" fontId="14" fillId="0" borderId="0" xfId="1" applyFont="1" applyFill="1" applyBorder="1" applyAlignment="1">
      <alignment horizontal="center" vertical="center" wrapText="1"/>
    </xf>
    <xf numFmtId="0" fontId="14" fillId="0" borderId="9" xfId="1" applyFont="1" applyFill="1" applyBorder="1" applyAlignment="1">
      <alignment horizontal="center" vertical="center" wrapText="1"/>
    </xf>
    <xf numFmtId="0" fontId="14" fillId="0" borderId="7" xfId="1" applyFont="1" applyFill="1" applyBorder="1" applyAlignment="1">
      <alignment horizontal="center" vertical="center" wrapText="1"/>
    </xf>
    <xf numFmtId="0" fontId="14" fillId="0" borderId="1" xfId="1" applyFont="1" applyFill="1" applyBorder="1" applyAlignment="1">
      <alignment horizontal="center" vertical="center" wrapText="1"/>
    </xf>
    <xf numFmtId="0" fontId="14" fillId="0" borderId="8" xfId="1" applyFont="1" applyFill="1" applyBorder="1" applyAlignment="1">
      <alignment horizontal="center" vertical="center" wrapText="1"/>
    </xf>
    <xf numFmtId="0" fontId="12" fillId="0" borderId="2" xfId="1" applyFont="1" applyFill="1" applyBorder="1" applyAlignment="1">
      <alignment horizontal="center" vertical="center" wrapText="1"/>
    </xf>
    <xf numFmtId="0" fontId="12" fillId="0" borderId="3" xfId="1" applyFont="1" applyFill="1" applyBorder="1" applyAlignment="1">
      <alignment horizontal="center" vertical="center" wrapText="1"/>
    </xf>
    <xf numFmtId="0" fontId="12" fillId="0" borderId="6" xfId="1" applyFont="1" applyFill="1" applyBorder="1" applyAlignment="1">
      <alignment horizontal="center" vertical="center" wrapText="1"/>
    </xf>
    <xf numFmtId="0" fontId="12" fillId="0" borderId="0" xfId="1" applyFont="1" applyFill="1" applyBorder="1" applyAlignment="1">
      <alignment horizontal="center" vertical="center" wrapText="1"/>
    </xf>
    <xf numFmtId="0" fontId="12" fillId="0" borderId="7" xfId="1" applyFont="1" applyFill="1" applyBorder="1" applyAlignment="1">
      <alignment horizontal="center" vertical="center" wrapText="1"/>
    </xf>
    <xf numFmtId="0" fontId="12" fillId="0" borderId="1" xfId="1" applyFont="1" applyFill="1" applyBorder="1" applyAlignment="1">
      <alignment horizontal="center" vertical="center" wrapText="1"/>
    </xf>
    <xf numFmtId="177" fontId="12" fillId="0" borderId="5" xfId="2" applyNumberFormat="1" applyFont="1" applyFill="1" applyBorder="1" applyAlignment="1">
      <alignment horizontal="left" vertical="center"/>
    </xf>
    <xf numFmtId="176" fontId="11" fillId="0" borderId="0" xfId="2" applyNumberFormat="1" applyFont="1" applyFill="1" applyBorder="1" applyAlignment="1">
      <alignment horizontal="right" vertical="center"/>
    </xf>
    <xf numFmtId="176" fontId="14" fillId="0" borderId="4" xfId="2" applyNumberFormat="1" applyFont="1" applyFill="1" applyBorder="1" applyAlignment="1">
      <alignment horizontal="center" vertical="center" wrapText="1"/>
    </xf>
    <xf numFmtId="176" fontId="14" fillId="0" borderId="9" xfId="2" applyNumberFormat="1" applyFont="1" applyFill="1" applyBorder="1" applyAlignment="1">
      <alignment horizontal="center" vertical="center" wrapText="1"/>
    </xf>
    <xf numFmtId="176" fontId="14" fillId="0" borderId="8" xfId="2" applyNumberFormat="1" applyFont="1" applyFill="1" applyBorder="1" applyAlignment="1">
      <alignment horizontal="center" vertical="center" wrapText="1"/>
    </xf>
    <xf numFmtId="176" fontId="14" fillId="0" borderId="10" xfId="2" applyNumberFormat="1" applyFont="1" applyFill="1" applyBorder="1" applyAlignment="1">
      <alignment horizontal="center" vertical="center" wrapText="1"/>
    </xf>
    <xf numFmtId="176" fontId="12" fillId="0" borderId="10" xfId="2" applyNumberFormat="1" applyFont="1" applyFill="1" applyBorder="1" applyAlignment="1">
      <alignment horizontal="center" vertical="center"/>
    </xf>
    <xf numFmtId="176" fontId="16" fillId="0" borderId="6" xfId="2" applyNumberFormat="1" applyFont="1" applyFill="1" applyBorder="1" applyAlignment="1">
      <alignment horizontal="center" vertical="center" wrapText="1"/>
    </xf>
    <xf numFmtId="176" fontId="16" fillId="0" borderId="0" xfId="2" applyNumberFormat="1" applyFont="1" applyFill="1" applyBorder="1" applyAlignment="1">
      <alignment horizontal="center" vertical="center" wrapText="1"/>
    </xf>
    <xf numFmtId="176" fontId="16" fillId="0" borderId="7" xfId="2" applyNumberFormat="1" applyFont="1" applyFill="1" applyBorder="1" applyAlignment="1">
      <alignment horizontal="center" vertical="center" wrapText="1"/>
    </xf>
    <xf numFmtId="176" fontId="16" fillId="0" borderId="1" xfId="2" applyNumberFormat="1" applyFont="1" applyFill="1" applyBorder="1" applyAlignment="1">
      <alignment horizontal="center" vertical="center" wrapText="1"/>
    </xf>
    <xf numFmtId="176" fontId="16" fillId="0" borderId="6" xfId="2" applyNumberFormat="1" applyFont="1" applyFill="1" applyBorder="1" applyAlignment="1">
      <alignment horizontal="center" vertical="center"/>
    </xf>
    <xf numFmtId="176" fontId="16" fillId="0" borderId="9" xfId="2" applyNumberFormat="1" applyFont="1" applyFill="1" applyBorder="1" applyAlignment="1">
      <alignment horizontal="center" vertical="center"/>
    </xf>
    <xf numFmtId="176" fontId="16" fillId="0" borderId="7" xfId="2" applyNumberFormat="1" applyFont="1" applyFill="1" applyBorder="1" applyAlignment="1">
      <alignment horizontal="center" vertical="center"/>
    </xf>
    <xf numFmtId="176" fontId="16" fillId="0" borderId="8" xfId="2" applyNumberFormat="1" applyFont="1" applyFill="1" applyBorder="1" applyAlignment="1">
      <alignment horizontal="center" vertical="center"/>
    </xf>
    <xf numFmtId="176" fontId="12" fillId="0" borderId="2" xfId="2" applyNumberFormat="1" applyFont="1" applyFill="1" applyBorder="1" applyAlignment="1">
      <alignment horizontal="right" vertical="center" shrinkToFit="1"/>
    </xf>
    <xf numFmtId="176" fontId="12" fillId="0" borderId="3" xfId="2" applyNumberFormat="1" applyFont="1" applyFill="1" applyBorder="1" applyAlignment="1">
      <alignment horizontal="right" vertical="center" shrinkToFit="1"/>
    </xf>
    <xf numFmtId="176" fontId="12" fillId="0" borderId="7" xfId="2" applyNumberFormat="1" applyFont="1" applyFill="1" applyBorder="1" applyAlignment="1">
      <alignment horizontal="right" vertical="center" shrinkToFit="1"/>
    </xf>
    <xf numFmtId="176" fontId="12" fillId="0" borderId="1" xfId="2" applyNumberFormat="1" applyFont="1" applyFill="1" applyBorder="1" applyAlignment="1">
      <alignment horizontal="right" vertical="center" shrinkToFit="1"/>
    </xf>
    <xf numFmtId="176" fontId="12" fillId="0" borderId="5" xfId="2" applyNumberFormat="1" applyFont="1" applyFill="1" applyBorder="1" applyAlignment="1">
      <alignment horizontal="right" vertical="center" shrinkToFit="1"/>
    </xf>
    <xf numFmtId="176" fontId="12" fillId="0" borderId="4" xfId="2" applyNumberFormat="1" applyFont="1" applyFill="1" applyBorder="1" applyAlignment="1">
      <alignment horizontal="right" vertical="center" shrinkToFit="1"/>
    </xf>
    <xf numFmtId="176" fontId="12" fillId="0" borderId="8" xfId="2" applyNumberFormat="1" applyFont="1" applyFill="1" applyBorder="1" applyAlignment="1">
      <alignment horizontal="right" vertical="center" shrinkToFit="1"/>
    </xf>
    <xf numFmtId="176" fontId="12" fillId="0" borderId="7" xfId="2" applyNumberFormat="1" applyFont="1" applyFill="1" applyBorder="1" applyAlignment="1">
      <alignment horizontal="left" vertical="center" shrinkToFit="1"/>
    </xf>
    <xf numFmtId="176" fontId="12" fillId="0" borderId="1" xfId="2" applyNumberFormat="1" applyFont="1" applyFill="1" applyBorder="1" applyAlignment="1">
      <alignment horizontal="left" vertical="center" shrinkToFit="1"/>
    </xf>
    <xf numFmtId="176" fontId="12" fillId="0" borderId="8" xfId="2" applyNumberFormat="1" applyFont="1" applyFill="1" applyBorder="1" applyAlignment="1">
      <alignment horizontal="left" vertical="center" shrinkToFit="1"/>
    </xf>
    <xf numFmtId="176" fontId="12" fillId="0" borderId="10" xfId="2" applyNumberFormat="1" applyFont="1" applyFill="1" applyBorder="1" applyAlignment="1">
      <alignment vertical="center" shrinkToFit="1"/>
    </xf>
  </cellXfs>
  <cellStyles count="4">
    <cellStyle name="パーセント 2" xfId="3" xr:uid="{00000000-0005-0000-0000-000000000000}"/>
    <cellStyle name="桁区切り 2" xfId="2" xr:uid="{00000000-0005-0000-0000-000001000000}"/>
    <cellStyle name="標準" xfId="0" builtinId="0"/>
    <cellStyle name="標準 2" xfId="1" xr:uid="{00000000-0005-0000-0000-000003000000}"/>
  </cellStyles>
  <dxfs count="0"/>
  <tableStyles count="0" defaultTableStyle="TableStyleMedium9" defaultPivotStyle="PivotStyleLight16"/>
  <colors>
    <mruColors>
      <color rgb="FFFFCCFF"/>
      <color rgb="FF99FF99"/>
      <color rgb="FFCCECFF"/>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80698-0960-41EF-8A95-1315BDC2BFF8}">
  <sheetPr>
    <tabColor rgb="FFFF0000"/>
  </sheetPr>
  <dimension ref="B1:CM904"/>
  <sheetViews>
    <sheetView showGridLines="0" tabSelected="1" showOutlineSymbols="0" view="pageBreakPreview" zoomScale="89" zoomScaleNormal="89" zoomScaleSheetLayoutView="89" workbookViewId="0">
      <selection activeCell="AS93" sqref="AS93:BA94"/>
    </sheetView>
  </sheetViews>
  <sheetFormatPr defaultRowHeight="13.5" x14ac:dyDescent="0.15"/>
  <cols>
    <col min="1" max="1" width="2.625" style="48" customWidth="1"/>
    <col min="2" max="15" width="3.125" style="48" customWidth="1"/>
    <col min="16" max="16" width="4.25" style="48" customWidth="1"/>
    <col min="17" max="37" width="3.125" style="48" customWidth="1"/>
    <col min="38" max="38" width="4.625" style="48" customWidth="1"/>
    <col min="39" max="42" width="3.125" style="48" customWidth="1"/>
    <col min="43" max="43" width="3.5" style="48" customWidth="1"/>
    <col min="44" max="53" width="3.125" style="48" customWidth="1"/>
    <col min="54" max="54" width="5.625" style="48" customWidth="1"/>
    <col min="55" max="55" width="15.25" style="48" customWidth="1"/>
    <col min="56" max="58" width="2.625" style="48" customWidth="1"/>
    <col min="59" max="59" width="11.625" style="48" bestFit="1" customWidth="1"/>
    <col min="60" max="100" width="2.625" style="48" customWidth="1"/>
    <col min="101" max="260" width="9" style="48"/>
    <col min="261" max="275" width="3.125" style="48" customWidth="1"/>
    <col min="276" max="276" width="5.5" style="48" customWidth="1"/>
    <col min="277" max="277" width="5.625" style="48" customWidth="1"/>
    <col min="278" max="293" width="3.125" style="48" customWidth="1"/>
    <col min="294" max="294" width="5.375" style="48" customWidth="1"/>
    <col min="295" max="296" width="3.125" style="48" customWidth="1"/>
    <col min="297" max="297" width="4.625" style="48" customWidth="1"/>
    <col min="298" max="298" width="3.5" style="48" customWidth="1"/>
    <col min="299" max="309" width="3.125" style="48" customWidth="1"/>
    <col min="310" max="311" width="5.625" style="48" customWidth="1"/>
    <col min="312" max="356" width="2.625" style="48" customWidth="1"/>
    <col min="357" max="516" width="9" style="48"/>
    <col min="517" max="531" width="3.125" style="48" customWidth="1"/>
    <col min="532" max="532" width="5.5" style="48" customWidth="1"/>
    <col min="533" max="533" width="5.625" style="48" customWidth="1"/>
    <col min="534" max="549" width="3.125" style="48" customWidth="1"/>
    <col min="550" max="550" width="5.375" style="48" customWidth="1"/>
    <col min="551" max="552" width="3.125" style="48" customWidth="1"/>
    <col min="553" max="553" width="4.625" style="48" customWidth="1"/>
    <col min="554" max="554" width="3.5" style="48" customWidth="1"/>
    <col min="555" max="565" width="3.125" style="48" customWidth="1"/>
    <col min="566" max="567" width="5.625" style="48" customWidth="1"/>
    <col min="568" max="612" width="2.625" style="48" customWidth="1"/>
    <col min="613" max="772" width="9" style="48"/>
    <col min="773" max="787" width="3.125" style="48" customWidth="1"/>
    <col min="788" max="788" width="5.5" style="48" customWidth="1"/>
    <col min="789" max="789" width="5.625" style="48" customWidth="1"/>
    <col min="790" max="805" width="3.125" style="48" customWidth="1"/>
    <col min="806" max="806" width="5.375" style="48" customWidth="1"/>
    <col min="807" max="808" width="3.125" style="48" customWidth="1"/>
    <col min="809" max="809" width="4.625" style="48" customWidth="1"/>
    <col min="810" max="810" width="3.5" style="48" customWidth="1"/>
    <col min="811" max="821" width="3.125" style="48" customWidth="1"/>
    <col min="822" max="823" width="5.625" style="48" customWidth="1"/>
    <col min="824" max="868" width="2.625" style="48" customWidth="1"/>
    <col min="869" max="1028" width="9" style="48"/>
    <col min="1029" max="1043" width="3.125" style="48" customWidth="1"/>
    <col min="1044" max="1044" width="5.5" style="48" customWidth="1"/>
    <col min="1045" max="1045" width="5.625" style="48" customWidth="1"/>
    <col min="1046" max="1061" width="3.125" style="48" customWidth="1"/>
    <col min="1062" max="1062" width="5.375" style="48" customWidth="1"/>
    <col min="1063" max="1064" width="3.125" style="48" customWidth="1"/>
    <col min="1065" max="1065" width="4.625" style="48" customWidth="1"/>
    <col min="1066" max="1066" width="3.5" style="48" customWidth="1"/>
    <col min="1067" max="1077" width="3.125" style="48" customWidth="1"/>
    <col min="1078" max="1079" width="5.625" style="48" customWidth="1"/>
    <col min="1080" max="1124" width="2.625" style="48" customWidth="1"/>
    <col min="1125" max="1284" width="9" style="48"/>
    <col min="1285" max="1299" width="3.125" style="48" customWidth="1"/>
    <col min="1300" max="1300" width="5.5" style="48" customWidth="1"/>
    <col min="1301" max="1301" width="5.625" style="48" customWidth="1"/>
    <col min="1302" max="1317" width="3.125" style="48" customWidth="1"/>
    <col min="1318" max="1318" width="5.375" style="48" customWidth="1"/>
    <col min="1319" max="1320" width="3.125" style="48" customWidth="1"/>
    <col min="1321" max="1321" width="4.625" style="48" customWidth="1"/>
    <col min="1322" max="1322" width="3.5" style="48" customWidth="1"/>
    <col min="1323" max="1333" width="3.125" style="48" customWidth="1"/>
    <col min="1334" max="1335" width="5.625" style="48" customWidth="1"/>
    <col min="1336" max="1380" width="2.625" style="48" customWidth="1"/>
    <col min="1381" max="1540" width="9" style="48"/>
    <col min="1541" max="1555" width="3.125" style="48" customWidth="1"/>
    <col min="1556" max="1556" width="5.5" style="48" customWidth="1"/>
    <col min="1557" max="1557" width="5.625" style="48" customWidth="1"/>
    <col min="1558" max="1573" width="3.125" style="48" customWidth="1"/>
    <col min="1574" max="1574" width="5.375" style="48" customWidth="1"/>
    <col min="1575" max="1576" width="3.125" style="48" customWidth="1"/>
    <col min="1577" max="1577" width="4.625" style="48" customWidth="1"/>
    <col min="1578" max="1578" width="3.5" style="48" customWidth="1"/>
    <col min="1579" max="1589" width="3.125" style="48" customWidth="1"/>
    <col min="1590" max="1591" width="5.625" style="48" customWidth="1"/>
    <col min="1592" max="1636" width="2.625" style="48" customWidth="1"/>
    <col min="1637" max="1796" width="9" style="48"/>
    <col min="1797" max="1811" width="3.125" style="48" customWidth="1"/>
    <col min="1812" max="1812" width="5.5" style="48" customWidth="1"/>
    <col min="1813" max="1813" width="5.625" style="48" customWidth="1"/>
    <col min="1814" max="1829" width="3.125" style="48" customWidth="1"/>
    <col min="1830" max="1830" width="5.375" style="48" customWidth="1"/>
    <col min="1831" max="1832" width="3.125" style="48" customWidth="1"/>
    <col min="1833" max="1833" width="4.625" style="48" customWidth="1"/>
    <col min="1834" max="1834" width="3.5" style="48" customWidth="1"/>
    <col min="1835" max="1845" width="3.125" style="48" customWidth="1"/>
    <col min="1846" max="1847" width="5.625" style="48" customWidth="1"/>
    <col min="1848" max="1892" width="2.625" style="48" customWidth="1"/>
    <col min="1893" max="2052" width="9" style="48"/>
    <col min="2053" max="2067" width="3.125" style="48" customWidth="1"/>
    <col min="2068" max="2068" width="5.5" style="48" customWidth="1"/>
    <col min="2069" max="2069" width="5.625" style="48" customWidth="1"/>
    <col min="2070" max="2085" width="3.125" style="48" customWidth="1"/>
    <col min="2086" max="2086" width="5.375" style="48" customWidth="1"/>
    <col min="2087" max="2088" width="3.125" style="48" customWidth="1"/>
    <col min="2089" max="2089" width="4.625" style="48" customWidth="1"/>
    <col min="2090" max="2090" width="3.5" style="48" customWidth="1"/>
    <col min="2091" max="2101" width="3.125" style="48" customWidth="1"/>
    <col min="2102" max="2103" width="5.625" style="48" customWidth="1"/>
    <col min="2104" max="2148" width="2.625" style="48" customWidth="1"/>
    <col min="2149" max="2308" width="9" style="48"/>
    <col min="2309" max="2323" width="3.125" style="48" customWidth="1"/>
    <col min="2324" max="2324" width="5.5" style="48" customWidth="1"/>
    <col min="2325" max="2325" width="5.625" style="48" customWidth="1"/>
    <col min="2326" max="2341" width="3.125" style="48" customWidth="1"/>
    <col min="2342" max="2342" width="5.375" style="48" customWidth="1"/>
    <col min="2343" max="2344" width="3.125" style="48" customWidth="1"/>
    <col min="2345" max="2345" width="4.625" style="48" customWidth="1"/>
    <col min="2346" max="2346" width="3.5" style="48" customWidth="1"/>
    <col min="2347" max="2357" width="3.125" style="48" customWidth="1"/>
    <col min="2358" max="2359" width="5.625" style="48" customWidth="1"/>
    <col min="2360" max="2404" width="2.625" style="48" customWidth="1"/>
    <col min="2405" max="2564" width="9" style="48"/>
    <col min="2565" max="2579" width="3.125" style="48" customWidth="1"/>
    <col min="2580" max="2580" width="5.5" style="48" customWidth="1"/>
    <col min="2581" max="2581" width="5.625" style="48" customWidth="1"/>
    <col min="2582" max="2597" width="3.125" style="48" customWidth="1"/>
    <col min="2598" max="2598" width="5.375" style="48" customWidth="1"/>
    <col min="2599" max="2600" width="3.125" style="48" customWidth="1"/>
    <col min="2601" max="2601" width="4.625" style="48" customWidth="1"/>
    <col min="2602" max="2602" width="3.5" style="48" customWidth="1"/>
    <col min="2603" max="2613" width="3.125" style="48" customWidth="1"/>
    <col min="2614" max="2615" width="5.625" style="48" customWidth="1"/>
    <col min="2616" max="2660" width="2.625" style="48" customWidth="1"/>
    <col min="2661" max="2820" width="9" style="48"/>
    <col min="2821" max="2835" width="3.125" style="48" customWidth="1"/>
    <col min="2836" max="2836" width="5.5" style="48" customWidth="1"/>
    <col min="2837" max="2837" width="5.625" style="48" customWidth="1"/>
    <col min="2838" max="2853" width="3.125" style="48" customWidth="1"/>
    <col min="2854" max="2854" width="5.375" style="48" customWidth="1"/>
    <col min="2855" max="2856" width="3.125" style="48" customWidth="1"/>
    <col min="2857" max="2857" width="4.625" style="48" customWidth="1"/>
    <col min="2858" max="2858" width="3.5" style="48" customWidth="1"/>
    <col min="2859" max="2869" width="3.125" style="48" customWidth="1"/>
    <col min="2870" max="2871" width="5.625" style="48" customWidth="1"/>
    <col min="2872" max="2916" width="2.625" style="48" customWidth="1"/>
    <col min="2917" max="3076" width="9" style="48"/>
    <col min="3077" max="3091" width="3.125" style="48" customWidth="1"/>
    <col min="3092" max="3092" width="5.5" style="48" customWidth="1"/>
    <col min="3093" max="3093" width="5.625" style="48" customWidth="1"/>
    <col min="3094" max="3109" width="3.125" style="48" customWidth="1"/>
    <col min="3110" max="3110" width="5.375" style="48" customWidth="1"/>
    <col min="3111" max="3112" width="3.125" style="48" customWidth="1"/>
    <col min="3113" max="3113" width="4.625" style="48" customWidth="1"/>
    <col min="3114" max="3114" width="3.5" style="48" customWidth="1"/>
    <col min="3115" max="3125" width="3.125" style="48" customWidth="1"/>
    <col min="3126" max="3127" width="5.625" style="48" customWidth="1"/>
    <col min="3128" max="3172" width="2.625" style="48" customWidth="1"/>
    <col min="3173" max="3332" width="9" style="48"/>
    <col min="3333" max="3347" width="3.125" style="48" customWidth="1"/>
    <col min="3348" max="3348" width="5.5" style="48" customWidth="1"/>
    <col min="3349" max="3349" width="5.625" style="48" customWidth="1"/>
    <col min="3350" max="3365" width="3.125" style="48" customWidth="1"/>
    <col min="3366" max="3366" width="5.375" style="48" customWidth="1"/>
    <col min="3367" max="3368" width="3.125" style="48" customWidth="1"/>
    <col min="3369" max="3369" width="4.625" style="48" customWidth="1"/>
    <col min="3370" max="3370" width="3.5" style="48" customWidth="1"/>
    <col min="3371" max="3381" width="3.125" style="48" customWidth="1"/>
    <col min="3382" max="3383" width="5.625" style="48" customWidth="1"/>
    <col min="3384" max="3428" width="2.625" style="48" customWidth="1"/>
    <col min="3429" max="3588" width="9" style="48"/>
    <col min="3589" max="3603" width="3.125" style="48" customWidth="1"/>
    <col min="3604" max="3604" width="5.5" style="48" customWidth="1"/>
    <col min="3605" max="3605" width="5.625" style="48" customWidth="1"/>
    <col min="3606" max="3621" width="3.125" style="48" customWidth="1"/>
    <col min="3622" max="3622" width="5.375" style="48" customWidth="1"/>
    <col min="3623" max="3624" width="3.125" style="48" customWidth="1"/>
    <col min="3625" max="3625" width="4.625" style="48" customWidth="1"/>
    <col min="3626" max="3626" width="3.5" style="48" customWidth="1"/>
    <col min="3627" max="3637" width="3.125" style="48" customWidth="1"/>
    <col min="3638" max="3639" width="5.625" style="48" customWidth="1"/>
    <col min="3640" max="3684" width="2.625" style="48" customWidth="1"/>
    <col min="3685" max="3844" width="9" style="48"/>
    <col min="3845" max="3859" width="3.125" style="48" customWidth="1"/>
    <col min="3860" max="3860" width="5.5" style="48" customWidth="1"/>
    <col min="3861" max="3861" width="5.625" style="48" customWidth="1"/>
    <col min="3862" max="3877" width="3.125" style="48" customWidth="1"/>
    <col min="3878" max="3878" width="5.375" style="48" customWidth="1"/>
    <col min="3879" max="3880" width="3.125" style="48" customWidth="1"/>
    <col min="3881" max="3881" width="4.625" style="48" customWidth="1"/>
    <col min="3882" max="3882" width="3.5" style="48" customWidth="1"/>
    <col min="3883" max="3893" width="3.125" style="48" customWidth="1"/>
    <col min="3894" max="3895" width="5.625" style="48" customWidth="1"/>
    <col min="3896" max="3940" width="2.625" style="48" customWidth="1"/>
    <col min="3941" max="4100" width="9" style="48"/>
    <col min="4101" max="4115" width="3.125" style="48" customWidth="1"/>
    <col min="4116" max="4116" width="5.5" style="48" customWidth="1"/>
    <col min="4117" max="4117" width="5.625" style="48" customWidth="1"/>
    <col min="4118" max="4133" width="3.125" style="48" customWidth="1"/>
    <col min="4134" max="4134" width="5.375" style="48" customWidth="1"/>
    <col min="4135" max="4136" width="3.125" style="48" customWidth="1"/>
    <col min="4137" max="4137" width="4.625" style="48" customWidth="1"/>
    <col min="4138" max="4138" width="3.5" style="48" customWidth="1"/>
    <col min="4139" max="4149" width="3.125" style="48" customWidth="1"/>
    <col min="4150" max="4151" width="5.625" style="48" customWidth="1"/>
    <col min="4152" max="4196" width="2.625" style="48" customWidth="1"/>
    <col min="4197" max="4356" width="9" style="48"/>
    <col min="4357" max="4371" width="3.125" style="48" customWidth="1"/>
    <col min="4372" max="4372" width="5.5" style="48" customWidth="1"/>
    <col min="4373" max="4373" width="5.625" style="48" customWidth="1"/>
    <col min="4374" max="4389" width="3.125" style="48" customWidth="1"/>
    <col min="4390" max="4390" width="5.375" style="48" customWidth="1"/>
    <col min="4391" max="4392" width="3.125" style="48" customWidth="1"/>
    <col min="4393" max="4393" width="4.625" style="48" customWidth="1"/>
    <col min="4394" max="4394" width="3.5" style="48" customWidth="1"/>
    <col min="4395" max="4405" width="3.125" style="48" customWidth="1"/>
    <col min="4406" max="4407" width="5.625" style="48" customWidth="1"/>
    <col min="4408" max="4452" width="2.625" style="48" customWidth="1"/>
    <col min="4453" max="4612" width="9" style="48"/>
    <col min="4613" max="4627" width="3.125" style="48" customWidth="1"/>
    <col min="4628" max="4628" width="5.5" style="48" customWidth="1"/>
    <col min="4629" max="4629" width="5.625" style="48" customWidth="1"/>
    <col min="4630" max="4645" width="3.125" style="48" customWidth="1"/>
    <col min="4646" max="4646" width="5.375" style="48" customWidth="1"/>
    <col min="4647" max="4648" width="3.125" style="48" customWidth="1"/>
    <col min="4649" max="4649" width="4.625" style="48" customWidth="1"/>
    <col min="4650" max="4650" width="3.5" style="48" customWidth="1"/>
    <col min="4651" max="4661" width="3.125" style="48" customWidth="1"/>
    <col min="4662" max="4663" width="5.625" style="48" customWidth="1"/>
    <col min="4664" max="4708" width="2.625" style="48" customWidth="1"/>
    <col min="4709" max="4868" width="9" style="48"/>
    <col min="4869" max="4883" width="3.125" style="48" customWidth="1"/>
    <col min="4884" max="4884" width="5.5" style="48" customWidth="1"/>
    <col min="4885" max="4885" width="5.625" style="48" customWidth="1"/>
    <col min="4886" max="4901" width="3.125" style="48" customWidth="1"/>
    <col min="4902" max="4902" width="5.375" style="48" customWidth="1"/>
    <col min="4903" max="4904" width="3.125" style="48" customWidth="1"/>
    <col min="4905" max="4905" width="4.625" style="48" customWidth="1"/>
    <col min="4906" max="4906" width="3.5" style="48" customWidth="1"/>
    <col min="4907" max="4917" width="3.125" style="48" customWidth="1"/>
    <col min="4918" max="4919" width="5.625" style="48" customWidth="1"/>
    <col min="4920" max="4964" width="2.625" style="48" customWidth="1"/>
    <col min="4965" max="5124" width="9" style="48"/>
    <col min="5125" max="5139" width="3.125" style="48" customWidth="1"/>
    <col min="5140" max="5140" width="5.5" style="48" customWidth="1"/>
    <col min="5141" max="5141" width="5.625" style="48" customWidth="1"/>
    <col min="5142" max="5157" width="3.125" style="48" customWidth="1"/>
    <col min="5158" max="5158" width="5.375" style="48" customWidth="1"/>
    <col min="5159" max="5160" width="3.125" style="48" customWidth="1"/>
    <col min="5161" max="5161" width="4.625" style="48" customWidth="1"/>
    <col min="5162" max="5162" width="3.5" style="48" customWidth="1"/>
    <col min="5163" max="5173" width="3.125" style="48" customWidth="1"/>
    <col min="5174" max="5175" width="5.625" style="48" customWidth="1"/>
    <col min="5176" max="5220" width="2.625" style="48" customWidth="1"/>
    <col min="5221" max="5380" width="9" style="48"/>
    <col min="5381" max="5395" width="3.125" style="48" customWidth="1"/>
    <col min="5396" max="5396" width="5.5" style="48" customWidth="1"/>
    <col min="5397" max="5397" width="5.625" style="48" customWidth="1"/>
    <col min="5398" max="5413" width="3.125" style="48" customWidth="1"/>
    <col min="5414" max="5414" width="5.375" style="48" customWidth="1"/>
    <col min="5415" max="5416" width="3.125" style="48" customWidth="1"/>
    <col min="5417" max="5417" width="4.625" style="48" customWidth="1"/>
    <col min="5418" max="5418" width="3.5" style="48" customWidth="1"/>
    <col min="5419" max="5429" width="3.125" style="48" customWidth="1"/>
    <col min="5430" max="5431" width="5.625" style="48" customWidth="1"/>
    <col min="5432" max="5476" width="2.625" style="48" customWidth="1"/>
    <col min="5477" max="5636" width="9" style="48"/>
    <col min="5637" max="5651" width="3.125" style="48" customWidth="1"/>
    <col min="5652" max="5652" width="5.5" style="48" customWidth="1"/>
    <col min="5653" max="5653" width="5.625" style="48" customWidth="1"/>
    <col min="5654" max="5669" width="3.125" style="48" customWidth="1"/>
    <col min="5670" max="5670" width="5.375" style="48" customWidth="1"/>
    <col min="5671" max="5672" width="3.125" style="48" customWidth="1"/>
    <col min="5673" max="5673" width="4.625" style="48" customWidth="1"/>
    <col min="5674" max="5674" width="3.5" style="48" customWidth="1"/>
    <col min="5675" max="5685" width="3.125" style="48" customWidth="1"/>
    <col min="5686" max="5687" width="5.625" style="48" customWidth="1"/>
    <col min="5688" max="5732" width="2.625" style="48" customWidth="1"/>
    <col min="5733" max="5892" width="9" style="48"/>
    <col min="5893" max="5907" width="3.125" style="48" customWidth="1"/>
    <col min="5908" max="5908" width="5.5" style="48" customWidth="1"/>
    <col min="5909" max="5909" width="5.625" style="48" customWidth="1"/>
    <col min="5910" max="5925" width="3.125" style="48" customWidth="1"/>
    <col min="5926" max="5926" width="5.375" style="48" customWidth="1"/>
    <col min="5927" max="5928" width="3.125" style="48" customWidth="1"/>
    <col min="5929" max="5929" width="4.625" style="48" customWidth="1"/>
    <col min="5930" max="5930" width="3.5" style="48" customWidth="1"/>
    <col min="5931" max="5941" width="3.125" style="48" customWidth="1"/>
    <col min="5942" max="5943" width="5.625" style="48" customWidth="1"/>
    <col min="5944" max="5988" width="2.625" style="48" customWidth="1"/>
    <col min="5989" max="6148" width="9" style="48"/>
    <col min="6149" max="6163" width="3.125" style="48" customWidth="1"/>
    <col min="6164" max="6164" width="5.5" style="48" customWidth="1"/>
    <col min="6165" max="6165" width="5.625" style="48" customWidth="1"/>
    <col min="6166" max="6181" width="3.125" style="48" customWidth="1"/>
    <col min="6182" max="6182" width="5.375" style="48" customWidth="1"/>
    <col min="6183" max="6184" width="3.125" style="48" customWidth="1"/>
    <col min="6185" max="6185" width="4.625" style="48" customWidth="1"/>
    <col min="6186" max="6186" width="3.5" style="48" customWidth="1"/>
    <col min="6187" max="6197" width="3.125" style="48" customWidth="1"/>
    <col min="6198" max="6199" width="5.625" style="48" customWidth="1"/>
    <col min="6200" max="6244" width="2.625" style="48" customWidth="1"/>
    <col min="6245" max="6404" width="9" style="48"/>
    <col min="6405" max="6419" width="3.125" style="48" customWidth="1"/>
    <col min="6420" max="6420" width="5.5" style="48" customWidth="1"/>
    <col min="6421" max="6421" width="5.625" style="48" customWidth="1"/>
    <col min="6422" max="6437" width="3.125" style="48" customWidth="1"/>
    <col min="6438" max="6438" width="5.375" style="48" customWidth="1"/>
    <col min="6439" max="6440" width="3.125" style="48" customWidth="1"/>
    <col min="6441" max="6441" width="4.625" style="48" customWidth="1"/>
    <col min="6442" max="6442" width="3.5" style="48" customWidth="1"/>
    <col min="6443" max="6453" width="3.125" style="48" customWidth="1"/>
    <col min="6454" max="6455" width="5.625" style="48" customWidth="1"/>
    <col min="6456" max="6500" width="2.625" style="48" customWidth="1"/>
    <col min="6501" max="6660" width="9" style="48"/>
    <col min="6661" max="6675" width="3.125" style="48" customWidth="1"/>
    <col min="6676" max="6676" width="5.5" style="48" customWidth="1"/>
    <col min="6677" max="6677" width="5.625" style="48" customWidth="1"/>
    <col min="6678" max="6693" width="3.125" style="48" customWidth="1"/>
    <col min="6694" max="6694" width="5.375" style="48" customWidth="1"/>
    <col min="6695" max="6696" width="3.125" style="48" customWidth="1"/>
    <col min="6697" max="6697" width="4.625" style="48" customWidth="1"/>
    <col min="6698" max="6698" width="3.5" style="48" customWidth="1"/>
    <col min="6699" max="6709" width="3.125" style="48" customWidth="1"/>
    <col min="6710" max="6711" width="5.625" style="48" customWidth="1"/>
    <col min="6712" max="6756" width="2.625" style="48" customWidth="1"/>
    <col min="6757" max="6916" width="9" style="48"/>
    <col min="6917" max="6931" width="3.125" style="48" customWidth="1"/>
    <col min="6932" max="6932" width="5.5" style="48" customWidth="1"/>
    <col min="6933" max="6933" width="5.625" style="48" customWidth="1"/>
    <col min="6934" max="6949" width="3.125" style="48" customWidth="1"/>
    <col min="6950" max="6950" width="5.375" style="48" customWidth="1"/>
    <col min="6951" max="6952" width="3.125" style="48" customWidth="1"/>
    <col min="6953" max="6953" width="4.625" style="48" customWidth="1"/>
    <col min="6954" max="6954" width="3.5" style="48" customWidth="1"/>
    <col min="6955" max="6965" width="3.125" style="48" customWidth="1"/>
    <col min="6966" max="6967" width="5.625" style="48" customWidth="1"/>
    <col min="6968" max="7012" width="2.625" style="48" customWidth="1"/>
    <col min="7013" max="7172" width="9" style="48"/>
    <col min="7173" max="7187" width="3.125" style="48" customWidth="1"/>
    <col min="7188" max="7188" width="5.5" style="48" customWidth="1"/>
    <col min="7189" max="7189" width="5.625" style="48" customWidth="1"/>
    <col min="7190" max="7205" width="3.125" style="48" customWidth="1"/>
    <col min="7206" max="7206" width="5.375" style="48" customWidth="1"/>
    <col min="7207" max="7208" width="3.125" style="48" customWidth="1"/>
    <col min="7209" max="7209" width="4.625" style="48" customWidth="1"/>
    <col min="7210" max="7210" width="3.5" style="48" customWidth="1"/>
    <col min="7211" max="7221" width="3.125" style="48" customWidth="1"/>
    <col min="7222" max="7223" width="5.625" style="48" customWidth="1"/>
    <col min="7224" max="7268" width="2.625" style="48" customWidth="1"/>
    <col min="7269" max="7428" width="9" style="48"/>
    <col min="7429" max="7443" width="3.125" style="48" customWidth="1"/>
    <col min="7444" max="7444" width="5.5" style="48" customWidth="1"/>
    <col min="7445" max="7445" width="5.625" style="48" customWidth="1"/>
    <col min="7446" max="7461" width="3.125" style="48" customWidth="1"/>
    <col min="7462" max="7462" width="5.375" style="48" customWidth="1"/>
    <col min="7463" max="7464" width="3.125" style="48" customWidth="1"/>
    <col min="7465" max="7465" width="4.625" style="48" customWidth="1"/>
    <col min="7466" max="7466" width="3.5" style="48" customWidth="1"/>
    <col min="7467" max="7477" width="3.125" style="48" customWidth="1"/>
    <col min="7478" max="7479" width="5.625" style="48" customWidth="1"/>
    <col min="7480" max="7524" width="2.625" style="48" customWidth="1"/>
    <col min="7525" max="7684" width="9" style="48"/>
    <col min="7685" max="7699" width="3.125" style="48" customWidth="1"/>
    <col min="7700" max="7700" width="5.5" style="48" customWidth="1"/>
    <col min="7701" max="7701" width="5.625" style="48" customWidth="1"/>
    <col min="7702" max="7717" width="3.125" style="48" customWidth="1"/>
    <col min="7718" max="7718" width="5.375" style="48" customWidth="1"/>
    <col min="7719" max="7720" width="3.125" style="48" customWidth="1"/>
    <col min="7721" max="7721" width="4.625" style="48" customWidth="1"/>
    <col min="7722" max="7722" width="3.5" style="48" customWidth="1"/>
    <col min="7723" max="7733" width="3.125" style="48" customWidth="1"/>
    <col min="7734" max="7735" width="5.625" style="48" customWidth="1"/>
    <col min="7736" max="7780" width="2.625" style="48" customWidth="1"/>
    <col min="7781" max="7940" width="9" style="48"/>
    <col min="7941" max="7955" width="3.125" style="48" customWidth="1"/>
    <col min="7956" max="7956" width="5.5" style="48" customWidth="1"/>
    <col min="7957" max="7957" width="5.625" style="48" customWidth="1"/>
    <col min="7958" max="7973" width="3.125" style="48" customWidth="1"/>
    <col min="7974" max="7974" width="5.375" style="48" customWidth="1"/>
    <col min="7975" max="7976" width="3.125" style="48" customWidth="1"/>
    <col min="7977" max="7977" width="4.625" style="48" customWidth="1"/>
    <col min="7978" max="7978" width="3.5" style="48" customWidth="1"/>
    <col min="7979" max="7989" width="3.125" style="48" customWidth="1"/>
    <col min="7990" max="7991" width="5.625" style="48" customWidth="1"/>
    <col min="7992" max="8036" width="2.625" style="48" customWidth="1"/>
    <col min="8037" max="8196" width="9" style="48"/>
    <col min="8197" max="8211" width="3.125" style="48" customWidth="1"/>
    <col min="8212" max="8212" width="5.5" style="48" customWidth="1"/>
    <col min="8213" max="8213" width="5.625" style="48" customWidth="1"/>
    <col min="8214" max="8229" width="3.125" style="48" customWidth="1"/>
    <col min="8230" max="8230" width="5.375" style="48" customWidth="1"/>
    <col min="8231" max="8232" width="3.125" style="48" customWidth="1"/>
    <col min="8233" max="8233" width="4.625" style="48" customWidth="1"/>
    <col min="8234" max="8234" width="3.5" style="48" customWidth="1"/>
    <col min="8235" max="8245" width="3.125" style="48" customWidth="1"/>
    <col min="8246" max="8247" width="5.625" style="48" customWidth="1"/>
    <col min="8248" max="8292" width="2.625" style="48" customWidth="1"/>
    <col min="8293" max="8452" width="9" style="48"/>
    <col min="8453" max="8467" width="3.125" style="48" customWidth="1"/>
    <col min="8468" max="8468" width="5.5" style="48" customWidth="1"/>
    <col min="8469" max="8469" width="5.625" style="48" customWidth="1"/>
    <col min="8470" max="8485" width="3.125" style="48" customWidth="1"/>
    <col min="8486" max="8486" width="5.375" style="48" customWidth="1"/>
    <col min="8487" max="8488" width="3.125" style="48" customWidth="1"/>
    <col min="8489" max="8489" width="4.625" style="48" customWidth="1"/>
    <col min="8490" max="8490" width="3.5" style="48" customWidth="1"/>
    <col min="8491" max="8501" width="3.125" style="48" customWidth="1"/>
    <col min="8502" max="8503" width="5.625" style="48" customWidth="1"/>
    <col min="8504" max="8548" width="2.625" style="48" customWidth="1"/>
    <col min="8549" max="8708" width="9" style="48"/>
    <col min="8709" max="8723" width="3.125" style="48" customWidth="1"/>
    <col min="8724" max="8724" width="5.5" style="48" customWidth="1"/>
    <col min="8725" max="8725" width="5.625" style="48" customWidth="1"/>
    <col min="8726" max="8741" width="3.125" style="48" customWidth="1"/>
    <col min="8742" max="8742" width="5.375" style="48" customWidth="1"/>
    <col min="8743" max="8744" width="3.125" style="48" customWidth="1"/>
    <col min="8745" max="8745" width="4.625" style="48" customWidth="1"/>
    <col min="8746" max="8746" width="3.5" style="48" customWidth="1"/>
    <col min="8747" max="8757" width="3.125" style="48" customWidth="1"/>
    <col min="8758" max="8759" width="5.625" style="48" customWidth="1"/>
    <col min="8760" max="8804" width="2.625" style="48" customWidth="1"/>
    <col min="8805" max="8964" width="9" style="48"/>
    <col min="8965" max="8979" width="3.125" style="48" customWidth="1"/>
    <col min="8980" max="8980" width="5.5" style="48" customWidth="1"/>
    <col min="8981" max="8981" width="5.625" style="48" customWidth="1"/>
    <col min="8982" max="8997" width="3.125" style="48" customWidth="1"/>
    <col min="8998" max="8998" width="5.375" style="48" customWidth="1"/>
    <col min="8999" max="9000" width="3.125" style="48" customWidth="1"/>
    <col min="9001" max="9001" width="4.625" style="48" customWidth="1"/>
    <col min="9002" max="9002" width="3.5" style="48" customWidth="1"/>
    <col min="9003" max="9013" width="3.125" style="48" customWidth="1"/>
    <col min="9014" max="9015" width="5.625" style="48" customWidth="1"/>
    <col min="9016" max="9060" width="2.625" style="48" customWidth="1"/>
    <col min="9061" max="9220" width="9" style="48"/>
    <col min="9221" max="9235" width="3.125" style="48" customWidth="1"/>
    <col min="9236" max="9236" width="5.5" style="48" customWidth="1"/>
    <col min="9237" max="9237" width="5.625" style="48" customWidth="1"/>
    <col min="9238" max="9253" width="3.125" style="48" customWidth="1"/>
    <col min="9254" max="9254" width="5.375" style="48" customWidth="1"/>
    <col min="9255" max="9256" width="3.125" style="48" customWidth="1"/>
    <col min="9257" max="9257" width="4.625" style="48" customWidth="1"/>
    <col min="9258" max="9258" width="3.5" style="48" customWidth="1"/>
    <col min="9259" max="9269" width="3.125" style="48" customWidth="1"/>
    <col min="9270" max="9271" width="5.625" style="48" customWidth="1"/>
    <col min="9272" max="9316" width="2.625" style="48" customWidth="1"/>
    <col min="9317" max="9476" width="9" style="48"/>
    <col min="9477" max="9491" width="3.125" style="48" customWidth="1"/>
    <col min="9492" max="9492" width="5.5" style="48" customWidth="1"/>
    <col min="9493" max="9493" width="5.625" style="48" customWidth="1"/>
    <col min="9494" max="9509" width="3.125" style="48" customWidth="1"/>
    <col min="9510" max="9510" width="5.375" style="48" customWidth="1"/>
    <col min="9511" max="9512" width="3.125" style="48" customWidth="1"/>
    <col min="9513" max="9513" width="4.625" style="48" customWidth="1"/>
    <col min="9514" max="9514" width="3.5" style="48" customWidth="1"/>
    <col min="9515" max="9525" width="3.125" style="48" customWidth="1"/>
    <col min="9526" max="9527" width="5.625" style="48" customWidth="1"/>
    <col min="9528" max="9572" width="2.625" style="48" customWidth="1"/>
    <col min="9573" max="9732" width="9" style="48"/>
    <col min="9733" max="9747" width="3.125" style="48" customWidth="1"/>
    <col min="9748" max="9748" width="5.5" style="48" customWidth="1"/>
    <col min="9749" max="9749" width="5.625" style="48" customWidth="1"/>
    <col min="9750" max="9765" width="3.125" style="48" customWidth="1"/>
    <col min="9766" max="9766" width="5.375" style="48" customWidth="1"/>
    <col min="9767" max="9768" width="3.125" style="48" customWidth="1"/>
    <col min="9769" max="9769" width="4.625" style="48" customWidth="1"/>
    <col min="9770" max="9770" width="3.5" style="48" customWidth="1"/>
    <col min="9771" max="9781" width="3.125" style="48" customWidth="1"/>
    <col min="9782" max="9783" width="5.625" style="48" customWidth="1"/>
    <col min="9784" max="9828" width="2.625" style="48" customWidth="1"/>
    <col min="9829" max="9988" width="9" style="48"/>
    <col min="9989" max="10003" width="3.125" style="48" customWidth="1"/>
    <col min="10004" max="10004" width="5.5" style="48" customWidth="1"/>
    <col min="10005" max="10005" width="5.625" style="48" customWidth="1"/>
    <col min="10006" max="10021" width="3.125" style="48" customWidth="1"/>
    <col min="10022" max="10022" width="5.375" style="48" customWidth="1"/>
    <col min="10023" max="10024" width="3.125" style="48" customWidth="1"/>
    <col min="10025" max="10025" width="4.625" style="48" customWidth="1"/>
    <col min="10026" max="10026" width="3.5" style="48" customWidth="1"/>
    <col min="10027" max="10037" width="3.125" style="48" customWidth="1"/>
    <col min="10038" max="10039" width="5.625" style="48" customWidth="1"/>
    <col min="10040" max="10084" width="2.625" style="48" customWidth="1"/>
    <col min="10085" max="10244" width="9" style="48"/>
    <col min="10245" max="10259" width="3.125" style="48" customWidth="1"/>
    <col min="10260" max="10260" width="5.5" style="48" customWidth="1"/>
    <col min="10261" max="10261" width="5.625" style="48" customWidth="1"/>
    <col min="10262" max="10277" width="3.125" style="48" customWidth="1"/>
    <col min="10278" max="10278" width="5.375" style="48" customWidth="1"/>
    <col min="10279" max="10280" width="3.125" style="48" customWidth="1"/>
    <col min="10281" max="10281" width="4.625" style="48" customWidth="1"/>
    <col min="10282" max="10282" width="3.5" style="48" customWidth="1"/>
    <col min="10283" max="10293" width="3.125" style="48" customWidth="1"/>
    <col min="10294" max="10295" width="5.625" style="48" customWidth="1"/>
    <col min="10296" max="10340" width="2.625" style="48" customWidth="1"/>
    <col min="10341" max="10500" width="9" style="48"/>
    <col min="10501" max="10515" width="3.125" style="48" customWidth="1"/>
    <col min="10516" max="10516" width="5.5" style="48" customWidth="1"/>
    <col min="10517" max="10517" width="5.625" style="48" customWidth="1"/>
    <col min="10518" max="10533" width="3.125" style="48" customWidth="1"/>
    <col min="10534" max="10534" width="5.375" style="48" customWidth="1"/>
    <col min="10535" max="10536" width="3.125" style="48" customWidth="1"/>
    <col min="10537" max="10537" width="4.625" style="48" customWidth="1"/>
    <col min="10538" max="10538" width="3.5" style="48" customWidth="1"/>
    <col min="10539" max="10549" width="3.125" style="48" customWidth="1"/>
    <col min="10550" max="10551" width="5.625" style="48" customWidth="1"/>
    <col min="10552" max="10596" width="2.625" style="48" customWidth="1"/>
    <col min="10597" max="10756" width="9" style="48"/>
    <col min="10757" max="10771" width="3.125" style="48" customWidth="1"/>
    <col min="10772" max="10772" width="5.5" style="48" customWidth="1"/>
    <col min="10773" max="10773" width="5.625" style="48" customWidth="1"/>
    <col min="10774" max="10789" width="3.125" style="48" customWidth="1"/>
    <col min="10790" max="10790" width="5.375" style="48" customWidth="1"/>
    <col min="10791" max="10792" width="3.125" style="48" customWidth="1"/>
    <col min="10793" max="10793" width="4.625" style="48" customWidth="1"/>
    <col min="10794" max="10794" width="3.5" style="48" customWidth="1"/>
    <col min="10795" max="10805" width="3.125" style="48" customWidth="1"/>
    <col min="10806" max="10807" width="5.625" style="48" customWidth="1"/>
    <col min="10808" max="10852" width="2.625" style="48" customWidth="1"/>
    <col min="10853" max="11012" width="9" style="48"/>
    <col min="11013" max="11027" width="3.125" style="48" customWidth="1"/>
    <col min="11028" max="11028" width="5.5" style="48" customWidth="1"/>
    <col min="11029" max="11029" width="5.625" style="48" customWidth="1"/>
    <col min="11030" max="11045" width="3.125" style="48" customWidth="1"/>
    <col min="11046" max="11046" width="5.375" style="48" customWidth="1"/>
    <col min="11047" max="11048" width="3.125" style="48" customWidth="1"/>
    <col min="11049" max="11049" width="4.625" style="48" customWidth="1"/>
    <col min="11050" max="11050" width="3.5" style="48" customWidth="1"/>
    <col min="11051" max="11061" width="3.125" style="48" customWidth="1"/>
    <col min="11062" max="11063" width="5.625" style="48" customWidth="1"/>
    <col min="11064" max="11108" width="2.625" style="48" customWidth="1"/>
    <col min="11109" max="11268" width="9" style="48"/>
    <col min="11269" max="11283" width="3.125" style="48" customWidth="1"/>
    <col min="11284" max="11284" width="5.5" style="48" customWidth="1"/>
    <col min="11285" max="11285" width="5.625" style="48" customWidth="1"/>
    <col min="11286" max="11301" width="3.125" style="48" customWidth="1"/>
    <col min="11302" max="11302" width="5.375" style="48" customWidth="1"/>
    <col min="11303" max="11304" width="3.125" style="48" customWidth="1"/>
    <col min="11305" max="11305" width="4.625" style="48" customWidth="1"/>
    <col min="11306" max="11306" width="3.5" style="48" customWidth="1"/>
    <col min="11307" max="11317" width="3.125" style="48" customWidth="1"/>
    <col min="11318" max="11319" width="5.625" style="48" customWidth="1"/>
    <col min="11320" max="11364" width="2.625" style="48" customWidth="1"/>
    <col min="11365" max="11524" width="9" style="48"/>
    <col min="11525" max="11539" width="3.125" style="48" customWidth="1"/>
    <col min="11540" max="11540" width="5.5" style="48" customWidth="1"/>
    <col min="11541" max="11541" width="5.625" style="48" customWidth="1"/>
    <col min="11542" max="11557" width="3.125" style="48" customWidth="1"/>
    <col min="11558" max="11558" width="5.375" style="48" customWidth="1"/>
    <col min="11559" max="11560" width="3.125" style="48" customWidth="1"/>
    <col min="11561" max="11561" width="4.625" style="48" customWidth="1"/>
    <col min="11562" max="11562" width="3.5" style="48" customWidth="1"/>
    <col min="11563" max="11573" width="3.125" style="48" customWidth="1"/>
    <col min="11574" max="11575" width="5.625" style="48" customWidth="1"/>
    <col min="11576" max="11620" width="2.625" style="48" customWidth="1"/>
    <col min="11621" max="11780" width="9" style="48"/>
    <col min="11781" max="11795" width="3.125" style="48" customWidth="1"/>
    <col min="11796" max="11796" width="5.5" style="48" customWidth="1"/>
    <col min="11797" max="11797" width="5.625" style="48" customWidth="1"/>
    <col min="11798" max="11813" width="3.125" style="48" customWidth="1"/>
    <col min="11814" max="11814" width="5.375" style="48" customWidth="1"/>
    <col min="11815" max="11816" width="3.125" style="48" customWidth="1"/>
    <col min="11817" max="11817" width="4.625" style="48" customWidth="1"/>
    <col min="11818" max="11818" width="3.5" style="48" customWidth="1"/>
    <col min="11819" max="11829" width="3.125" style="48" customWidth="1"/>
    <col min="11830" max="11831" width="5.625" style="48" customWidth="1"/>
    <col min="11832" max="11876" width="2.625" style="48" customWidth="1"/>
    <col min="11877" max="12036" width="9" style="48"/>
    <col min="12037" max="12051" width="3.125" style="48" customWidth="1"/>
    <col min="12052" max="12052" width="5.5" style="48" customWidth="1"/>
    <col min="12053" max="12053" width="5.625" style="48" customWidth="1"/>
    <col min="12054" max="12069" width="3.125" style="48" customWidth="1"/>
    <col min="12070" max="12070" width="5.375" style="48" customWidth="1"/>
    <col min="12071" max="12072" width="3.125" style="48" customWidth="1"/>
    <col min="12073" max="12073" width="4.625" style="48" customWidth="1"/>
    <col min="12074" max="12074" width="3.5" style="48" customWidth="1"/>
    <col min="12075" max="12085" width="3.125" style="48" customWidth="1"/>
    <col min="12086" max="12087" width="5.625" style="48" customWidth="1"/>
    <col min="12088" max="12132" width="2.625" style="48" customWidth="1"/>
    <col min="12133" max="12292" width="9" style="48"/>
    <col min="12293" max="12307" width="3.125" style="48" customWidth="1"/>
    <col min="12308" max="12308" width="5.5" style="48" customWidth="1"/>
    <col min="12309" max="12309" width="5.625" style="48" customWidth="1"/>
    <col min="12310" max="12325" width="3.125" style="48" customWidth="1"/>
    <col min="12326" max="12326" width="5.375" style="48" customWidth="1"/>
    <col min="12327" max="12328" width="3.125" style="48" customWidth="1"/>
    <col min="12329" max="12329" width="4.625" style="48" customWidth="1"/>
    <col min="12330" max="12330" width="3.5" style="48" customWidth="1"/>
    <col min="12331" max="12341" width="3.125" style="48" customWidth="1"/>
    <col min="12342" max="12343" width="5.625" style="48" customWidth="1"/>
    <col min="12344" max="12388" width="2.625" style="48" customWidth="1"/>
    <col min="12389" max="12548" width="9" style="48"/>
    <col min="12549" max="12563" width="3.125" style="48" customWidth="1"/>
    <col min="12564" max="12564" width="5.5" style="48" customWidth="1"/>
    <col min="12565" max="12565" width="5.625" style="48" customWidth="1"/>
    <col min="12566" max="12581" width="3.125" style="48" customWidth="1"/>
    <col min="12582" max="12582" width="5.375" style="48" customWidth="1"/>
    <col min="12583" max="12584" width="3.125" style="48" customWidth="1"/>
    <col min="12585" max="12585" width="4.625" style="48" customWidth="1"/>
    <col min="12586" max="12586" width="3.5" style="48" customWidth="1"/>
    <col min="12587" max="12597" width="3.125" style="48" customWidth="1"/>
    <col min="12598" max="12599" width="5.625" style="48" customWidth="1"/>
    <col min="12600" max="12644" width="2.625" style="48" customWidth="1"/>
    <col min="12645" max="12804" width="9" style="48"/>
    <col min="12805" max="12819" width="3.125" style="48" customWidth="1"/>
    <col min="12820" max="12820" width="5.5" style="48" customWidth="1"/>
    <col min="12821" max="12821" width="5.625" style="48" customWidth="1"/>
    <col min="12822" max="12837" width="3.125" style="48" customWidth="1"/>
    <col min="12838" max="12838" width="5.375" style="48" customWidth="1"/>
    <col min="12839" max="12840" width="3.125" style="48" customWidth="1"/>
    <col min="12841" max="12841" width="4.625" style="48" customWidth="1"/>
    <col min="12842" max="12842" width="3.5" style="48" customWidth="1"/>
    <col min="12843" max="12853" width="3.125" style="48" customWidth="1"/>
    <col min="12854" max="12855" width="5.625" style="48" customWidth="1"/>
    <col min="12856" max="12900" width="2.625" style="48" customWidth="1"/>
    <col min="12901" max="13060" width="9" style="48"/>
    <col min="13061" max="13075" width="3.125" style="48" customWidth="1"/>
    <col min="13076" max="13076" width="5.5" style="48" customWidth="1"/>
    <col min="13077" max="13077" width="5.625" style="48" customWidth="1"/>
    <col min="13078" max="13093" width="3.125" style="48" customWidth="1"/>
    <col min="13094" max="13094" width="5.375" style="48" customWidth="1"/>
    <col min="13095" max="13096" width="3.125" style="48" customWidth="1"/>
    <col min="13097" max="13097" width="4.625" style="48" customWidth="1"/>
    <col min="13098" max="13098" width="3.5" style="48" customWidth="1"/>
    <col min="13099" max="13109" width="3.125" style="48" customWidth="1"/>
    <col min="13110" max="13111" width="5.625" style="48" customWidth="1"/>
    <col min="13112" max="13156" width="2.625" style="48" customWidth="1"/>
    <col min="13157" max="13316" width="9" style="48"/>
    <col min="13317" max="13331" width="3.125" style="48" customWidth="1"/>
    <col min="13332" max="13332" width="5.5" style="48" customWidth="1"/>
    <col min="13333" max="13333" width="5.625" style="48" customWidth="1"/>
    <col min="13334" max="13349" width="3.125" style="48" customWidth="1"/>
    <col min="13350" max="13350" width="5.375" style="48" customWidth="1"/>
    <col min="13351" max="13352" width="3.125" style="48" customWidth="1"/>
    <col min="13353" max="13353" width="4.625" style="48" customWidth="1"/>
    <col min="13354" max="13354" width="3.5" style="48" customWidth="1"/>
    <col min="13355" max="13365" width="3.125" style="48" customWidth="1"/>
    <col min="13366" max="13367" width="5.625" style="48" customWidth="1"/>
    <col min="13368" max="13412" width="2.625" style="48" customWidth="1"/>
    <col min="13413" max="13572" width="9" style="48"/>
    <col min="13573" max="13587" width="3.125" style="48" customWidth="1"/>
    <col min="13588" max="13588" width="5.5" style="48" customWidth="1"/>
    <col min="13589" max="13589" width="5.625" style="48" customWidth="1"/>
    <col min="13590" max="13605" width="3.125" style="48" customWidth="1"/>
    <col min="13606" max="13606" width="5.375" style="48" customWidth="1"/>
    <col min="13607" max="13608" width="3.125" style="48" customWidth="1"/>
    <col min="13609" max="13609" width="4.625" style="48" customWidth="1"/>
    <col min="13610" max="13610" width="3.5" style="48" customWidth="1"/>
    <col min="13611" max="13621" width="3.125" style="48" customWidth="1"/>
    <col min="13622" max="13623" width="5.625" style="48" customWidth="1"/>
    <col min="13624" max="13668" width="2.625" style="48" customWidth="1"/>
    <col min="13669" max="13828" width="9" style="48"/>
    <col min="13829" max="13843" width="3.125" style="48" customWidth="1"/>
    <col min="13844" max="13844" width="5.5" style="48" customWidth="1"/>
    <col min="13845" max="13845" width="5.625" style="48" customWidth="1"/>
    <col min="13846" max="13861" width="3.125" style="48" customWidth="1"/>
    <col min="13862" max="13862" width="5.375" style="48" customWidth="1"/>
    <col min="13863" max="13864" width="3.125" style="48" customWidth="1"/>
    <col min="13865" max="13865" width="4.625" style="48" customWidth="1"/>
    <col min="13866" max="13866" width="3.5" style="48" customWidth="1"/>
    <col min="13867" max="13877" width="3.125" style="48" customWidth="1"/>
    <col min="13878" max="13879" width="5.625" style="48" customWidth="1"/>
    <col min="13880" max="13924" width="2.625" style="48" customWidth="1"/>
    <col min="13925" max="14084" width="9" style="48"/>
    <col min="14085" max="14099" width="3.125" style="48" customWidth="1"/>
    <col min="14100" max="14100" width="5.5" style="48" customWidth="1"/>
    <col min="14101" max="14101" width="5.625" style="48" customWidth="1"/>
    <col min="14102" max="14117" width="3.125" style="48" customWidth="1"/>
    <col min="14118" max="14118" width="5.375" style="48" customWidth="1"/>
    <col min="14119" max="14120" width="3.125" style="48" customWidth="1"/>
    <col min="14121" max="14121" width="4.625" style="48" customWidth="1"/>
    <col min="14122" max="14122" width="3.5" style="48" customWidth="1"/>
    <col min="14123" max="14133" width="3.125" style="48" customWidth="1"/>
    <col min="14134" max="14135" width="5.625" style="48" customWidth="1"/>
    <col min="14136" max="14180" width="2.625" style="48" customWidth="1"/>
    <col min="14181" max="14340" width="9" style="48"/>
    <col min="14341" max="14355" width="3.125" style="48" customWidth="1"/>
    <col min="14356" max="14356" width="5.5" style="48" customWidth="1"/>
    <col min="14357" max="14357" width="5.625" style="48" customWidth="1"/>
    <col min="14358" max="14373" width="3.125" style="48" customWidth="1"/>
    <col min="14374" max="14374" width="5.375" style="48" customWidth="1"/>
    <col min="14375" max="14376" width="3.125" style="48" customWidth="1"/>
    <col min="14377" max="14377" width="4.625" style="48" customWidth="1"/>
    <col min="14378" max="14378" width="3.5" style="48" customWidth="1"/>
    <col min="14379" max="14389" width="3.125" style="48" customWidth="1"/>
    <col min="14390" max="14391" width="5.625" style="48" customWidth="1"/>
    <col min="14392" max="14436" width="2.625" style="48" customWidth="1"/>
    <col min="14437" max="14596" width="9" style="48"/>
    <col min="14597" max="14611" width="3.125" style="48" customWidth="1"/>
    <col min="14612" max="14612" width="5.5" style="48" customWidth="1"/>
    <col min="14613" max="14613" width="5.625" style="48" customWidth="1"/>
    <col min="14614" max="14629" width="3.125" style="48" customWidth="1"/>
    <col min="14630" max="14630" width="5.375" style="48" customWidth="1"/>
    <col min="14631" max="14632" width="3.125" style="48" customWidth="1"/>
    <col min="14633" max="14633" width="4.625" style="48" customWidth="1"/>
    <col min="14634" max="14634" width="3.5" style="48" customWidth="1"/>
    <col min="14635" max="14645" width="3.125" style="48" customWidth="1"/>
    <col min="14646" max="14647" width="5.625" style="48" customWidth="1"/>
    <col min="14648" max="14692" width="2.625" style="48" customWidth="1"/>
    <col min="14693" max="14852" width="9" style="48"/>
    <col min="14853" max="14867" width="3.125" style="48" customWidth="1"/>
    <col min="14868" max="14868" width="5.5" style="48" customWidth="1"/>
    <col min="14869" max="14869" width="5.625" style="48" customWidth="1"/>
    <col min="14870" max="14885" width="3.125" style="48" customWidth="1"/>
    <col min="14886" max="14886" width="5.375" style="48" customWidth="1"/>
    <col min="14887" max="14888" width="3.125" style="48" customWidth="1"/>
    <col min="14889" max="14889" width="4.625" style="48" customWidth="1"/>
    <col min="14890" max="14890" width="3.5" style="48" customWidth="1"/>
    <col min="14891" max="14901" width="3.125" style="48" customWidth="1"/>
    <col min="14902" max="14903" width="5.625" style="48" customWidth="1"/>
    <col min="14904" max="14948" width="2.625" style="48" customWidth="1"/>
    <col min="14949" max="15108" width="9" style="48"/>
    <col min="15109" max="15123" width="3.125" style="48" customWidth="1"/>
    <col min="15124" max="15124" width="5.5" style="48" customWidth="1"/>
    <col min="15125" max="15125" width="5.625" style="48" customWidth="1"/>
    <col min="15126" max="15141" width="3.125" style="48" customWidth="1"/>
    <col min="15142" max="15142" width="5.375" style="48" customWidth="1"/>
    <col min="15143" max="15144" width="3.125" style="48" customWidth="1"/>
    <col min="15145" max="15145" width="4.625" style="48" customWidth="1"/>
    <col min="15146" max="15146" width="3.5" style="48" customWidth="1"/>
    <col min="15147" max="15157" width="3.125" style="48" customWidth="1"/>
    <col min="15158" max="15159" width="5.625" style="48" customWidth="1"/>
    <col min="15160" max="15204" width="2.625" style="48" customWidth="1"/>
    <col min="15205" max="15364" width="9" style="48"/>
    <col min="15365" max="15379" width="3.125" style="48" customWidth="1"/>
    <col min="15380" max="15380" width="5.5" style="48" customWidth="1"/>
    <col min="15381" max="15381" width="5.625" style="48" customWidth="1"/>
    <col min="15382" max="15397" width="3.125" style="48" customWidth="1"/>
    <col min="15398" max="15398" width="5.375" style="48" customWidth="1"/>
    <col min="15399" max="15400" width="3.125" style="48" customWidth="1"/>
    <col min="15401" max="15401" width="4.625" style="48" customWidth="1"/>
    <col min="15402" max="15402" width="3.5" style="48" customWidth="1"/>
    <col min="15403" max="15413" width="3.125" style="48" customWidth="1"/>
    <col min="15414" max="15415" width="5.625" style="48" customWidth="1"/>
    <col min="15416" max="15460" width="2.625" style="48" customWidth="1"/>
    <col min="15461" max="15620" width="9" style="48"/>
    <col min="15621" max="15635" width="3.125" style="48" customWidth="1"/>
    <col min="15636" max="15636" width="5.5" style="48" customWidth="1"/>
    <col min="15637" max="15637" width="5.625" style="48" customWidth="1"/>
    <col min="15638" max="15653" width="3.125" style="48" customWidth="1"/>
    <col min="15654" max="15654" width="5.375" style="48" customWidth="1"/>
    <col min="15655" max="15656" width="3.125" style="48" customWidth="1"/>
    <col min="15657" max="15657" width="4.625" style="48" customWidth="1"/>
    <col min="15658" max="15658" width="3.5" style="48" customWidth="1"/>
    <col min="15659" max="15669" width="3.125" style="48" customWidth="1"/>
    <col min="15670" max="15671" width="5.625" style="48" customWidth="1"/>
    <col min="15672" max="15716" width="2.625" style="48" customWidth="1"/>
    <col min="15717" max="15876" width="9" style="48"/>
    <col min="15877" max="15891" width="3.125" style="48" customWidth="1"/>
    <col min="15892" max="15892" width="5.5" style="48" customWidth="1"/>
    <col min="15893" max="15893" width="5.625" style="48" customWidth="1"/>
    <col min="15894" max="15909" width="3.125" style="48" customWidth="1"/>
    <col min="15910" max="15910" width="5.375" style="48" customWidth="1"/>
    <col min="15911" max="15912" width="3.125" style="48" customWidth="1"/>
    <col min="15913" max="15913" width="4.625" style="48" customWidth="1"/>
    <col min="15914" max="15914" width="3.5" style="48" customWidth="1"/>
    <col min="15915" max="15925" width="3.125" style="48" customWidth="1"/>
    <col min="15926" max="15927" width="5.625" style="48" customWidth="1"/>
    <col min="15928" max="15972" width="2.625" style="48" customWidth="1"/>
    <col min="15973" max="16132" width="9" style="48"/>
    <col min="16133" max="16147" width="3.125" style="48" customWidth="1"/>
    <col min="16148" max="16148" width="5.5" style="48" customWidth="1"/>
    <col min="16149" max="16149" width="5.625" style="48" customWidth="1"/>
    <col min="16150" max="16165" width="3.125" style="48" customWidth="1"/>
    <col min="16166" max="16166" width="5.375" style="48" customWidth="1"/>
    <col min="16167" max="16168" width="3.125" style="48" customWidth="1"/>
    <col min="16169" max="16169" width="4.625" style="48" customWidth="1"/>
    <col min="16170" max="16170" width="3.5" style="48" customWidth="1"/>
    <col min="16171" max="16181" width="3.125" style="48" customWidth="1"/>
    <col min="16182" max="16183" width="5.625" style="48" customWidth="1"/>
    <col min="16184" max="16228" width="2.625" style="48" customWidth="1"/>
    <col min="16229" max="16384" width="9" style="48"/>
  </cols>
  <sheetData>
    <row r="1" spans="2:53"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3"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3"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3"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3"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3"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3"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3"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3"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3"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3"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3"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3" ht="13.5" customHeight="1" x14ac:dyDescent="0.15">
      <c r="B13" s="174" t="s">
        <v>87</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3"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3" ht="13.5" customHeight="1" x14ac:dyDescent="0.15">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row>
    <row r="16" spans="2:53"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51"/>
      <c r="AK16" s="51"/>
      <c r="AL16" s="51"/>
      <c r="AM16" s="2"/>
      <c r="AN16" s="2"/>
      <c r="AO16" s="2"/>
      <c r="AP16" s="2"/>
      <c r="AQ16" s="2"/>
      <c r="AR16" s="2"/>
      <c r="AS16" s="2"/>
      <c r="AT16" s="2"/>
      <c r="AU16" s="2"/>
      <c r="AV16" s="2"/>
      <c r="AW16" s="2"/>
      <c r="AX16" s="2"/>
      <c r="AY16" s="2"/>
      <c r="AZ16" s="2"/>
      <c r="BA16" s="2"/>
    </row>
    <row r="17" spans="2:53" ht="13.5" customHeight="1" x14ac:dyDescent="0.15">
      <c r="B17" s="175"/>
      <c r="C17" s="175"/>
      <c r="D17" s="175"/>
      <c r="E17" s="175"/>
      <c r="F17" s="175"/>
      <c r="G17" s="175"/>
      <c r="H17" s="175"/>
      <c r="I17" s="175"/>
      <c r="J17" s="175"/>
      <c r="K17" s="175"/>
      <c r="L17" s="175"/>
      <c r="M17" s="175"/>
      <c r="N17" s="175"/>
      <c r="O17" s="51"/>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176"/>
      <c r="AS17" s="176"/>
      <c r="AT17" s="176"/>
      <c r="AU17" s="176"/>
      <c r="AV17" s="176"/>
      <c r="AW17" s="176"/>
      <c r="AX17" s="176"/>
      <c r="AY17" s="176"/>
      <c r="AZ17" s="176"/>
      <c r="BA17" s="176"/>
    </row>
    <row r="18" spans="2:53" ht="13.5" customHeight="1" x14ac:dyDescent="0.15">
      <c r="B18" s="136" t="s">
        <v>1</v>
      </c>
      <c r="C18" s="136"/>
      <c r="D18" s="136"/>
      <c r="E18" s="136"/>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3" ht="13.5" customHeight="1" x14ac:dyDescent="0.15">
      <c r="B19" s="137"/>
      <c r="C19" s="137"/>
      <c r="D19" s="137"/>
      <c r="E19" s="137"/>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7" t="s">
        <v>47</v>
      </c>
      <c r="AV19" s="157"/>
      <c r="AW19" s="157"/>
      <c r="AX19" s="157"/>
      <c r="AY19" s="157"/>
      <c r="AZ19" s="157"/>
      <c r="BA19" s="157"/>
    </row>
    <row r="20" spans="2:53" s="21" customFormat="1" ht="13.5" customHeight="1" x14ac:dyDescent="0.15">
      <c r="B20" s="91" t="s">
        <v>2</v>
      </c>
      <c r="C20" s="92"/>
      <c r="D20" s="92"/>
      <c r="E20" s="92"/>
      <c r="F20" s="92"/>
      <c r="G20" s="92"/>
      <c r="H20" s="92"/>
      <c r="I20" s="91" t="s">
        <v>3</v>
      </c>
      <c r="J20" s="92"/>
      <c r="K20" s="92"/>
      <c r="L20" s="92"/>
      <c r="M20" s="92"/>
      <c r="N20" s="92"/>
      <c r="O20" s="92"/>
      <c r="P20" s="92"/>
      <c r="Q20" s="92"/>
      <c r="R20" s="92"/>
      <c r="S20" s="92"/>
      <c r="T20" s="92"/>
      <c r="U20" s="92"/>
      <c r="V20" s="92"/>
      <c r="W20" s="92"/>
      <c r="X20" s="92"/>
      <c r="Y20" s="114" t="s">
        <v>4</v>
      </c>
      <c r="Z20" s="114"/>
      <c r="AA20" s="114"/>
      <c r="AB20" s="114"/>
      <c r="AC20" s="167" t="s">
        <v>5</v>
      </c>
      <c r="AD20" s="167"/>
      <c r="AE20" s="167"/>
      <c r="AF20" s="167"/>
      <c r="AG20" s="114" t="s">
        <v>6</v>
      </c>
      <c r="AH20" s="114"/>
      <c r="AI20" s="114"/>
      <c r="AJ20" s="114"/>
      <c r="AK20" s="114"/>
      <c r="AL20" s="114"/>
      <c r="AM20" s="114"/>
      <c r="AN20" s="114"/>
      <c r="AO20" s="114"/>
      <c r="AP20" s="114"/>
      <c r="AQ20" s="114"/>
      <c r="AR20" s="114"/>
      <c r="AS20" s="114"/>
      <c r="AT20" s="114"/>
      <c r="AU20" s="114"/>
      <c r="AV20" s="114"/>
      <c r="AW20" s="114"/>
      <c r="AX20" s="114"/>
      <c r="AY20" s="114"/>
      <c r="AZ20" s="114"/>
      <c r="BA20" s="114"/>
    </row>
    <row r="21" spans="2:53" s="21" customFormat="1" ht="13.5" customHeight="1" x14ac:dyDescent="0.15">
      <c r="B21" s="94"/>
      <c r="C21" s="95"/>
      <c r="D21" s="95"/>
      <c r="E21" s="95"/>
      <c r="F21" s="95"/>
      <c r="G21" s="95"/>
      <c r="H21" s="95"/>
      <c r="I21" s="97"/>
      <c r="J21" s="98"/>
      <c r="K21" s="98"/>
      <c r="L21" s="98"/>
      <c r="M21" s="98"/>
      <c r="N21" s="98"/>
      <c r="O21" s="98"/>
      <c r="P21" s="98"/>
      <c r="Q21" s="98"/>
      <c r="R21" s="98"/>
      <c r="S21" s="98"/>
      <c r="T21" s="98"/>
      <c r="U21" s="98"/>
      <c r="V21" s="98"/>
      <c r="W21" s="98"/>
      <c r="X21" s="98"/>
      <c r="Y21" s="114"/>
      <c r="Z21" s="114"/>
      <c r="AA21" s="114"/>
      <c r="AB21" s="114"/>
      <c r="AC21" s="167"/>
      <c r="AD21" s="167"/>
      <c r="AE21" s="167"/>
      <c r="AF21" s="167"/>
      <c r="AG21" s="114"/>
      <c r="AH21" s="114"/>
      <c r="AI21" s="114"/>
      <c r="AJ21" s="114"/>
      <c r="AK21" s="114"/>
      <c r="AL21" s="114"/>
      <c r="AM21" s="114"/>
      <c r="AN21" s="114"/>
      <c r="AO21" s="114"/>
      <c r="AP21" s="114"/>
      <c r="AQ21" s="114"/>
      <c r="AR21" s="114"/>
      <c r="AS21" s="114"/>
      <c r="AT21" s="114"/>
      <c r="AU21" s="114"/>
      <c r="AV21" s="114"/>
      <c r="AW21" s="114"/>
      <c r="AX21" s="114"/>
      <c r="AY21" s="114"/>
      <c r="AZ21" s="114"/>
      <c r="BA21" s="114"/>
    </row>
    <row r="22" spans="2:53" s="21" customFormat="1" ht="13.5" customHeight="1" x14ac:dyDescent="0.15">
      <c r="B22" s="94"/>
      <c r="C22" s="95"/>
      <c r="D22" s="95"/>
      <c r="E22" s="95"/>
      <c r="F22" s="95"/>
      <c r="G22" s="95"/>
      <c r="H22" s="95"/>
      <c r="I22" s="91" t="s">
        <v>7</v>
      </c>
      <c r="J22" s="92"/>
      <c r="K22" s="92"/>
      <c r="L22" s="92"/>
      <c r="M22" s="91" t="s">
        <v>8</v>
      </c>
      <c r="N22" s="92"/>
      <c r="O22" s="92"/>
      <c r="P22" s="93"/>
      <c r="Q22" s="116" t="s">
        <v>49</v>
      </c>
      <c r="R22" s="117"/>
      <c r="S22" s="117"/>
      <c r="T22" s="117"/>
      <c r="U22" s="91" t="s">
        <v>9</v>
      </c>
      <c r="V22" s="92"/>
      <c r="W22" s="92"/>
      <c r="X22" s="92"/>
      <c r="Y22" s="114"/>
      <c r="Z22" s="114"/>
      <c r="AA22" s="114"/>
      <c r="AB22" s="114"/>
      <c r="AC22" s="167"/>
      <c r="AD22" s="167"/>
      <c r="AE22" s="167"/>
      <c r="AF22" s="167"/>
      <c r="AG22" s="114"/>
      <c r="AH22" s="114"/>
      <c r="AI22" s="114"/>
      <c r="AJ22" s="114"/>
      <c r="AK22" s="114"/>
      <c r="AL22" s="114"/>
      <c r="AM22" s="114"/>
      <c r="AN22" s="114"/>
      <c r="AO22" s="114"/>
      <c r="AP22" s="114"/>
      <c r="AQ22" s="114"/>
      <c r="AR22" s="114"/>
      <c r="AS22" s="114"/>
      <c r="AT22" s="114"/>
      <c r="AU22" s="114"/>
      <c r="AV22" s="114"/>
      <c r="AW22" s="114"/>
      <c r="AX22" s="114"/>
      <c r="AY22" s="114"/>
      <c r="AZ22" s="114"/>
      <c r="BA22" s="114"/>
    </row>
    <row r="23" spans="2:53" s="21" customFormat="1" ht="13.5" customHeight="1" x14ac:dyDescent="0.15">
      <c r="B23" s="94"/>
      <c r="C23" s="95"/>
      <c r="D23" s="95"/>
      <c r="E23" s="95"/>
      <c r="F23" s="95"/>
      <c r="G23" s="95"/>
      <c r="H23" s="95"/>
      <c r="I23" s="94"/>
      <c r="J23" s="95"/>
      <c r="K23" s="95"/>
      <c r="L23" s="95"/>
      <c r="M23" s="94"/>
      <c r="N23" s="95"/>
      <c r="O23" s="95"/>
      <c r="P23" s="96"/>
      <c r="Q23" s="119"/>
      <c r="R23" s="120"/>
      <c r="S23" s="120"/>
      <c r="T23" s="120"/>
      <c r="U23" s="94"/>
      <c r="V23" s="95"/>
      <c r="W23" s="95"/>
      <c r="X23" s="95"/>
      <c r="Y23" s="114"/>
      <c r="Z23" s="114"/>
      <c r="AA23" s="114"/>
      <c r="AB23" s="114"/>
      <c r="AC23" s="167"/>
      <c r="AD23" s="167"/>
      <c r="AE23" s="167"/>
      <c r="AF23" s="167"/>
      <c r="AG23" s="114"/>
      <c r="AH23" s="114"/>
      <c r="AI23" s="114"/>
      <c r="AJ23" s="114"/>
      <c r="AK23" s="114"/>
      <c r="AL23" s="114"/>
      <c r="AM23" s="114"/>
      <c r="AN23" s="114"/>
      <c r="AO23" s="114"/>
      <c r="AP23" s="114"/>
      <c r="AQ23" s="114"/>
      <c r="AR23" s="114"/>
      <c r="AS23" s="114"/>
      <c r="AT23" s="114"/>
      <c r="AU23" s="114"/>
      <c r="AV23" s="114"/>
      <c r="AW23" s="114"/>
      <c r="AX23" s="114"/>
      <c r="AY23" s="114"/>
      <c r="AZ23" s="114"/>
      <c r="BA23" s="114"/>
    </row>
    <row r="24" spans="2:53" s="21" customFormat="1" ht="13.5" customHeight="1" x14ac:dyDescent="0.15">
      <c r="B24" s="94"/>
      <c r="C24" s="95"/>
      <c r="D24" s="95"/>
      <c r="E24" s="95"/>
      <c r="F24" s="95"/>
      <c r="G24" s="95"/>
      <c r="H24" s="95"/>
      <c r="I24" s="94"/>
      <c r="J24" s="95"/>
      <c r="K24" s="95"/>
      <c r="L24" s="95"/>
      <c r="M24" s="94"/>
      <c r="N24" s="95"/>
      <c r="O24" s="95"/>
      <c r="P24" s="96"/>
      <c r="Q24" s="119"/>
      <c r="R24" s="120"/>
      <c r="S24" s="120"/>
      <c r="T24" s="120"/>
      <c r="U24" s="94"/>
      <c r="V24" s="95"/>
      <c r="W24" s="95"/>
      <c r="X24" s="95"/>
      <c r="Y24" s="114"/>
      <c r="Z24" s="114"/>
      <c r="AA24" s="114"/>
      <c r="AB24" s="114"/>
      <c r="AC24" s="167"/>
      <c r="AD24" s="167"/>
      <c r="AE24" s="167"/>
      <c r="AF24" s="167"/>
      <c r="AG24" s="114"/>
      <c r="AH24" s="114"/>
      <c r="AI24" s="114"/>
      <c r="AJ24" s="114"/>
      <c r="AK24" s="114"/>
      <c r="AL24" s="114"/>
      <c r="AM24" s="114"/>
      <c r="AN24" s="114"/>
      <c r="AO24" s="114"/>
      <c r="AP24" s="114"/>
      <c r="AQ24" s="114"/>
      <c r="AR24" s="114"/>
      <c r="AS24" s="114"/>
      <c r="AT24" s="114"/>
      <c r="AU24" s="114"/>
      <c r="AV24" s="114"/>
      <c r="AW24" s="114"/>
      <c r="AX24" s="114"/>
      <c r="AY24" s="114"/>
      <c r="AZ24" s="114"/>
      <c r="BA24" s="114"/>
    </row>
    <row r="25" spans="2:53" s="21" customFormat="1" ht="13.5" customHeight="1" x14ac:dyDescent="0.15">
      <c r="B25" s="97"/>
      <c r="C25" s="98"/>
      <c r="D25" s="98"/>
      <c r="E25" s="98"/>
      <c r="F25" s="98"/>
      <c r="G25" s="98"/>
      <c r="H25" s="98"/>
      <c r="I25" s="97"/>
      <c r="J25" s="98"/>
      <c r="K25" s="98"/>
      <c r="L25" s="98"/>
      <c r="M25" s="97"/>
      <c r="N25" s="98"/>
      <c r="O25" s="98"/>
      <c r="P25" s="99"/>
      <c r="Q25" s="122"/>
      <c r="R25" s="123"/>
      <c r="S25" s="123"/>
      <c r="T25" s="123"/>
      <c r="U25" s="97"/>
      <c r="V25" s="98"/>
      <c r="W25" s="98"/>
      <c r="X25" s="98"/>
      <c r="Y25" s="114"/>
      <c r="Z25" s="114"/>
      <c r="AA25" s="114"/>
      <c r="AB25" s="114"/>
      <c r="AC25" s="167"/>
      <c r="AD25" s="167"/>
      <c r="AE25" s="167"/>
      <c r="AF25" s="167"/>
      <c r="AG25" s="114"/>
      <c r="AH25" s="114"/>
      <c r="AI25" s="114"/>
      <c r="AJ25" s="114"/>
      <c r="AK25" s="114"/>
      <c r="AL25" s="114"/>
      <c r="AM25" s="114"/>
      <c r="AN25" s="114"/>
      <c r="AO25" s="114"/>
      <c r="AP25" s="114"/>
      <c r="AQ25" s="114"/>
      <c r="AR25" s="114"/>
      <c r="AS25" s="114"/>
      <c r="AT25" s="114"/>
      <c r="AU25" s="114"/>
      <c r="AV25" s="114"/>
      <c r="AW25" s="114"/>
      <c r="AX25" s="114"/>
      <c r="AY25" s="114"/>
      <c r="AZ25" s="114"/>
      <c r="BA25" s="114"/>
    </row>
    <row r="26" spans="2:53" s="21" customFormat="1" ht="18" customHeight="1" x14ac:dyDescent="0.15">
      <c r="B26" s="106" t="s">
        <v>10</v>
      </c>
      <c r="C26" s="107"/>
      <c r="D26" s="107"/>
      <c r="E26" s="107"/>
      <c r="F26" s="107"/>
      <c r="G26" s="107"/>
      <c r="H26" s="107"/>
      <c r="I26" s="106">
        <f>SUM(I28:L31)</f>
        <v>168650000</v>
      </c>
      <c r="J26" s="107"/>
      <c r="K26" s="107"/>
      <c r="L26" s="107"/>
      <c r="M26" s="106">
        <f>SUM(M28:P31)</f>
        <v>-3515000</v>
      </c>
      <c r="N26" s="107"/>
      <c r="O26" s="107"/>
      <c r="P26" s="108"/>
      <c r="Q26" s="106">
        <f t="shared" ref="Q26" si="0">SUM(Q28:T31)</f>
        <v>0</v>
      </c>
      <c r="R26" s="107"/>
      <c r="S26" s="107"/>
      <c r="T26" s="108"/>
      <c r="U26" s="106">
        <f t="shared" ref="U26" si="1">SUM(U28:X31)</f>
        <v>165135000</v>
      </c>
      <c r="V26" s="107"/>
      <c r="W26" s="107"/>
      <c r="X26" s="107"/>
      <c r="Y26" s="115">
        <f t="shared" ref="Y26" si="2">SUM(Y28:AB31)</f>
        <v>163664014</v>
      </c>
      <c r="Z26" s="115"/>
      <c r="AA26" s="115"/>
      <c r="AB26" s="115"/>
      <c r="AC26" s="107">
        <f>Y26-U26</f>
        <v>-1470986</v>
      </c>
      <c r="AD26" s="107"/>
      <c r="AE26" s="107"/>
      <c r="AF26" s="107"/>
      <c r="AG26" s="114"/>
      <c r="AH26" s="114"/>
      <c r="AI26" s="114"/>
      <c r="AJ26" s="114"/>
      <c r="AK26" s="114"/>
      <c r="AL26" s="114"/>
      <c r="AM26" s="114"/>
      <c r="AN26" s="114"/>
      <c r="AO26" s="114"/>
      <c r="AP26" s="114"/>
      <c r="AQ26" s="114"/>
      <c r="AR26" s="114"/>
      <c r="AS26" s="114"/>
      <c r="AT26" s="114"/>
      <c r="AU26" s="114"/>
      <c r="AV26" s="114"/>
      <c r="AW26" s="114"/>
      <c r="AX26" s="114"/>
      <c r="AY26" s="114"/>
      <c r="AZ26" s="114"/>
      <c r="BA26" s="114"/>
    </row>
    <row r="27" spans="2:53" s="21" customFormat="1" ht="18" customHeight="1" x14ac:dyDescent="0.15">
      <c r="B27" s="109"/>
      <c r="C27" s="110"/>
      <c r="D27" s="110"/>
      <c r="E27" s="110"/>
      <c r="F27" s="110"/>
      <c r="G27" s="110"/>
      <c r="H27" s="110"/>
      <c r="I27" s="109"/>
      <c r="J27" s="110"/>
      <c r="K27" s="110"/>
      <c r="L27" s="110"/>
      <c r="M27" s="109"/>
      <c r="N27" s="110"/>
      <c r="O27" s="110"/>
      <c r="P27" s="111"/>
      <c r="Q27" s="109"/>
      <c r="R27" s="110"/>
      <c r="S27" s="110"/>
      <c r="T27" s="111"/>
      <c r="U27" s="109"/>
      <c r="V27" s="110"/>
      <c r="W27" s="110"/>
      <c r="X27" s="110"/>
      <c r="Y27" s="115"/>
      <c r="Z27" s="115"/>
      <c r="AA27" s="115"/>
      <c r="AB27" s="115"/>
      <c r="AC27" s="110"/>
      <c r="AD27" s="110"/>
      <c r="AE27" s="110"/>
      <c r="AF27" s="110"/>
      <c r="AG27" s="114"/>
      <c r="AH27" s="114"/>
      <c r="AI27" s="114"/>
      <c r="AJ27" s="114"/>
      <c r="AK27" s="114"/>
      <c r="AL27" s="114"/>
      <c r="AM27" s="114"/>
      <c r="AN27" s="114"/>
      <c r="AO27" s="114"/>
      <c r="AP27" s="114"/>
      <c r="AQ27" s="114"/>
      <c r="AR27" s="114"/>
      <c r="AS27" s="114"/>
      <c r="AT27" s="114"/>
      <c r="AU27" s="114"/>
      <c r="AV27" s="114"/>
      <c r="AW27" s="114"/>
      <c r="AX27" s="114"/>
      <c r="AY27" s="114"/>
      <c r="AZ27" s="114"/>
      <c r="BA27" s="114"/>
    </row>
    <row r="28" spans="2:53" s="21" customFormat="1" ht="18" customHeight="1" x14ac:dyDescent="0.15">
      <c r="B28" s="106" t="s">
        <v>11</v>
      </c>
      <c r="C28" s="107"/>
      <c r="D28" s="107"/>
      <c r="E28" s="107"/>
      <c r="F28" s="107"/>
      <c r="G28" s="107"/>
      <c r="H28" s="107"/>
      <c r="I28" s="106">
        <v>122909000</v>
      </c>
      <c r="J28" s="107"/>
      <c r="K28" s="107"/>
      <c r="L28" s="107"/>
      <c r="M28" s="106">
        <v>-2479000</v>
      </c>
      <c r="N28" s="107"/>
      <c r="O28" s="107"/>
      <c r="P28" s="108"/>
      <c r="Q28" s="106">
        <v>0</v>
      </c>
      <c r="R28" s="107"/>
      <c r="S28" s="107"/>
      <c r="T28" s="108"/>
      <c r="U28" s="106">
        <f>SUM(I28:T29)</f>
        <v>120430000</v>
      </c>
      <c r="V28" s="107"/>
      <c r="W28" s="107"/>
      <c r="X28" s="107"/>
      <c r="Y28" s="115">
        <v>119280623</v>
      </c>
      <c r="Z28" s="115"/>
      <c r="AA28" s="115"/>
      <c r="AB28" s="115"/>
      <c r="AC28" s="169">
        <f>Y28-U28</f>
        <v>-1149377</v>
      </c>
      <c r="AD28" s="170"/>
      <c r="AE28" s="170"/>
      <c r="AF28" s="170"/>
      <c r="AG28" s="73" t="s">
        <v>94</v>
      </c>
      <c r="AH28" s="74"/>
      <c r="AI28" s="74"/>
      <c r="AJ28" s="74"/>
      <c r="AK28" s="74"/>
      <c r="AL28" s="74"/>
      <c r="AM28" s="74"/>
      <c r="AN28" s="74"/>
      <c r="AO28" s="74"/>
      <c r="AP28" s="74"/>
      <c r="AQ28" s="74"/>
      <c r="AR28" s="74"/>
      <c r="AS28" s="74"/>
      <c r="AT28" s="74"/>
      <c r="AU28" s="74"/>
      <c r="AV28" s="74"/>
      <c r="AW28" s="74"/>
      <c r="AX28" s="74"/>
      <c r="AY28" s="74"/>
      <c r="AZ28" s="74"/>
      <c r="BA28" s="75"/>
    </row>
    <row r="29" spans="2:53" s="21" customFormat="1" ht="18" customHeight="1" x14ac:dyDescent="0.15">
      <c r="B29" s="109"/>
      <c r="C29" s="110"/>
      <c r="D29" s="110"/>
      <c r="E29" s="110"/>
      <c r="F29" s="110"/>
      <c r="G29" s="110"/>
      <c r="H29" s="110"/>
      <c r="I29" s="109"/>
      <c r="J29" s="110"/>
      <c r="K29" s="110"/>
      <c r="L29" s="110"/>
      <c r="M29" s="109"/>
      <c r="N29" s="110"/>
      <c r="O29" s="110"/>
      <c r="P29" s="111"/>
      <c r="Q29" s="109"/>
      <c r="R29" s="110"/>
      <c r="S29" s="110"/>
      <c r="T29" s="111"/>
      <c r="U29" s="109"/>
      <c r="V29" s="110"/>
      <c r="W29" s="110"/>
      <c r="X29" s="110"/>
      <c r="Y29" s="115"/>
      <c r="Z29" s="115"/>
      <c r="AA29" s="115"/>
      <c r="AB29" s="115"/>
      <c r="AC29" s="171"/>
      <c r="AD29" s="172"/>
      <c r="AE29" s="172"/>
      <c r="AF29" s="172"/>
      <c r="AG29" s="76"/>
      <c r="AH29" s="77"/>
      <c r="AI29" s="77"/>
      <c r="AJ29" s="77"/>
      <c r="AK29" s="77"/>
      <c r="AL29" s="77"/>
      <c r="AM29" s="77"/>
      <c r="AN29" s="77"/>
      <c r="AO29" s="77"/>
      <c r="AP29" s="77"/>
      <c r="AQ29" s="77"/>
      <c r="AR29" s="77"/>
      <c r="AS29" s="77"/>
      <c r="AT29" s="77"/>
      <c r="AU29" s="77"/>
      <c r="AV29" s="77"/>
      <c r="AW29" s="77"/>
      <c r="AX29" s="77"/>
      <c r="AY29" s="77"/>
      <c r="AZ29" s="77"/>
      <c r="BA29" s="78"/>
    </row>
    <row r="30" spans="2:53" s="21" customFormat="1" ht="18" customHeight="1" x14ac:dyDescent="0.15">
      <c r="B30" s="106" t="s">
        <v>12</v>
      </c>
      <c r="C30" s="107"/>
      <c r="D30" s="107"/>
      <c r="E30" s="107"/>
      <c r="F30" s="107"/>
      <c r="G30" s="107"/>
      <c r="H30" s="108"/>
      <c r="I30" s="106">
        <v>45741000</v>
      </c>
      <c r="J30" s="107"/>
      <c r="K30" s="107"/>
      <c r="L30" s="108"/>
      <c r="M30" s="106">
        <v>-1036000</v>
      </c>
      <c r="N30" s="107"/>
      <c r="O30" s="107"/>
      <c r="P30" s="108"/>
      <c r="Q30" s="106">
        <v>0</v>
      </c>
      <c r="R30" s="107"/>
      <c r="S30" s="107"/>
      <c r="T30" s="108"/>
      <c r="U30" s="106">
        <f>SUM(I30:T31)</f>
        <v>44705000</v>
      </c>
      <c r="V30" s="107"/>
      <c r="W30" s="107"/>
      <c r="X30" s="107"/>
      <c r="Y30" s="115">
        <v>44383391</v>
      </c>
      <c r="Z30" s="115"/>
      <c r="AA30" s="115"/>
      <c r="AB30" s="115"/>
      <c r="AC30" s="106">
        <f>Y30-U30</f>
        <v>-321609</v>
      </c>
      <c r="AD30" s="107"/>
      <c r="AE30" s="107"/>
      <c r="AF30" s="107"/>
      <c r="AG30" s="139"/>
      <c r="AH30" s="139"/>
      <c r="AI30" s="139"/>
      <c r="AJ30" s="139"/>
      <c r="AK30" s="139"/>
      <c r="AL30" s="139"/>
      <c r="AM30" s="139"/>
      <c r="AN30" s="139"/>
      <c r="AO30" s="139"/>
      <c r="AP30" s="139"/>
      <c r="AQ30" s="139"/>
      <c r="AR30" s="139"/>
      <c r="AS30" s="139"/>
      <c r="AT30" s="139"/>
      <c r="AU30" s="139"/>
      <c r="AV30" s="139"/>
      <c r="AW30" s="139"/>
      <c r="AX30" s="139"/>
      <c r="AY30" s="139"/>
      <c r="AZ30" s="139"/>
      <c r="BA30" s="139"/>
    </row>
    <row r="31" spans="2:53" s="21" customFormat="1" ht="18" customHeight="1" x14ac:dyDescent="0.15">
      <c r="B31" s="109"/>
      <c r="C31" s="110"/>
      <c r="D31" s="110"/>
      <c r="E31" s="110"/>
      <c r="F31" s="110"/>
      <c r="G31" s="110"/>
      <c r="H31" s="111"/>
      <c r="I31" s="109"/>
      <c r="J31" s="110"/>
      <c r="K31" s="110"/>
      <c r="L31" s="111"/>
      <c r="M31" s="109"/>
      <c r="N31" s="110"/>
      <c r="O31" s="110"/>
      <c r="P31" s="111"/>
      <c r="Q31" s="109"/>
      <c r="R31" s="110"/>
      <c r="S31" s="110"/>
      <c r="T31" s="111"/>
      <c r="U31" s="109"/>
      <c r="V31" s="110"/>
      <c r="W31" s="110"/>
      <c r="X31" s="110"/>
      <c r="Y31" s="115"/>
      <c r="Z31" s="115"/>
      <c r="AA31" s="115"/>
      <c r="AB31" s="115"/>
      <c r="AC31" s="109"/>
      <c r="AD31" s="110"/>
      <c r="AE31" s="110"/>
      <c r="AF31" s="110"/>
      <c r="AG31" s="139"/>
      <c r="AH31" s="139"/>
      <c r="AI31" s="139"/>
      <c r="AJ31" s="139"/>
      <c r="AK31" s="139"/>
      <c r="AL31" s="139"/>
      <c r="AM31" s="139"/>
      <c r="AN31" s="139"/>
      <c r="AO31" s="139"/>
      <c r="AP31" s="139"/>
      <c r="AQ31" s="139"/>
      <c r="AR31" s="139"/>
      <c r="AS31" s="139"/>
      <c r="AT31" s="139"/>
      <c r="AU31" s="139"/>
      <c r="AV31" s="139"/>
      <c r="AW31" s="139"/>
      <c r="AX31" s="139"/>
      <c r="AY31" s="139"/>
      <c r="AZ31" s="139"/>
      <c r="BA31" s="139"/>
    </row>
    <row r="32" spans="2:53"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7"/>
      <c r="C34" s="137"/>
      <c r="D34" s="137"/>
      <c r="E34" s="137"/>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7" t="s">
        <v>47</v>
      </c>
      <c r="AV34" s="157"/>
      <c r="AW34" s="157"/>
      <c r="AX34" s="157"/>
      <c r="AY34" s="157"/>
      <c r="AZ34" s="157"/>
      <c r="BA34" s="157"/>
    </row>
    <row r="35" spans="2:53" s="21" customFormat="1" ht="13.5" customHeight="1" x14ac:dyDescent="0.15">
      <c r="B35" s="114" t="s">
        <v>2</v>
      </c>
      <c r="C35" s="114"/>
      <c r="D35" s="114"/>
      <c r="E35" s="114"/>
      <c r="F35" s="114"/>
      <c r="G35" s="114"/>
      <c r="H35" s="114"/>
      <c r="I35" s="91" t="s">
        <v>14</v>
      </c>
      <c r="J35" s="92"/>
      <c r="K35" s="92"/>
      <c r="L35" s="92"/>
      <c r="M35" s="92"/>
      <c r="N35" s="92"/>
      <c r="O35" s="92"/>
      <c r="P35" s="92"/>
      <c r="Q35" s="92"/>
      <c r="R35" s="92"/>
      <c r="S35" s="92"/>
      <c r="T35" s="92"/>
      <c r="U35" s="92"/>
      <c r="V35" s="92"/>
      <c r="W35" s="92"/>
      <c r="X35" s="92"/>
      <c r="Y35" s="92"/>
      <c r="Z35" s="92"/>
      <c r="AA35" s="92"/>
      <c r="AB35" s="92"/>
      <c r="AC35" s="92"/>
      <c r="AD35" s="92"/>
      <c r="AE35" s="92"/>
      <c r="AF35" s="92"/>
      <c r="AG35" s="93"/>
      <c r="AH35" s="91" t="s">
        <v>15</v>
      </c>
      <c r="AI35" s="92"/>
      <c r="AJ35" s="92"/>
      <c r="AK35" s="93"/>
      <c r="AL35" s="125" t="s">
        <v>16</v>
      </c>
      <c r="AM35" s="125"/>
      <c r="AN35" s="114" t="s">
        <v>17</v>
      </c>
      <c r="AO35" s="114"/>
      <c r="AP35" s="114"/>
      <c r="AQ35" s="114"/>
      <c r="AR35" s="91" t="s">
        <v>18</v>
      </c>
      <c r="AS35" s="92"/>
      <c r="AT35" s="92"/>
      <c r="AU35" s="92"/>
      <c r="AV35" s="92"/>
      <c r="AW35" s="92"/>
      <c r="AX35" s="92"/>
      <c r="AY35" s="92"/>
      <c r="AZ35" s="92"/>
      <c r="BA35" s="93"/>
    </row>
    <row r="36" spans="2:53" s="21" customFormat="1" ht="13.5" customHeight="1" x14ac:dyDescent="0.15">
      <c r="B36" s="114"/>
      <c r="C36" s="114"/>
      <c r="D36" s="114"/>
      <c r="E36" s="114"/>
      <c r="F36" s="114"/>
      <c r="G36" s="114"/>
      <c r="H36" s="114"/>
      <c r="I36" s="97"/>
      <c r="J36" s="98"/>
      <c r="K36" s="98"/>
      <c r="L36" s="98"/>
      <c r="M36" s="98"/>
      <c r="N36" s="98"/>
      <c r="O36" s="98"/>
      <c r="P36" s="98"/>
      <c r="Q36" s="98"/>
      <c r="R36" s="98"/>
      <c r="S36" s="98"/>
      <c r="T36" s="98"/>
      <c r="U36" s="98"/>
      <c r="V36" s="98"/>
      <c r="W36" s="98"/>
      <c r="X36" s="98"/>
      <c r="Y36" s="98"/>
      <c r="Z36" s="98"/>
      <c r="AA36" s="98"/>
      <c r="AB36" s="98"/>
      <c r="AC36" s="98"/>
      <c r="AD36" s="98"/>
      <c r="AE36" s="98"/>
      <c r="AF36" s="98"/>
      <c r="AG36" s="99"/>
      <c r="AH36" s="94"/>
      <c r="AI36" s="95"/>
      <c r="AJ36" s="95"/>
      <c r="AK36" s="96"/>
      <c r="AL36" s="125"/>
      <c r="AM36" s="125"/>
      <c r="AN36" s="114"/>
      <c r="AO36" s="114"/>
      <c r="AP36" s="114"/>
      <c r="AQ36" s="114"/>
      <c r="AR36" s="94"/>
      <c r="AS36" s="95"/>
      <c r="AT36" s="95"/>
      <c r="AU36" s="95"/>
      <c r="AV36" s="95"/>
      <c r="AW36" s="95"/>
      <c r="AX36" s="95"/>
      <c r="AY36" s="95"/>
      <c r="AZ36" s="95"/>
      <c r="BA36" s="96"/>
    </row>
    <row r="37" spans="2:53" s="21" customFormat="1" ht="13.5" customHeight="1" x14ac:dyDescent="0.15">
      <c r="B37" s="114"/>
      <c r="C37" s="114"/>
      <c r="D37" s="114"/>
      <c r="E37" s="114"/>
      <c r="F37" s="114"/>
      <c r="G37" s="114"/>
      <c r="H37" s="114"/>
      <c r="I37" s="114" t="s">
        <v>19</v>
      </c>
      <c r="J37" s="114"/>
      <c r="K37" s="114"/>
      <c r="L37" s="114"/>
      <c r="M37" s="114" t="s">
        <v>20</v>
      </c>
      <c r="N37" s="114"/>
      <c r="O37" s="114"/>
      <c r="P37" s="114"/>
      <c r="Q37" s="167" t="s">
        <v>21</v>
      </c>
      <c r="R37" s="167"/>
      <c r="S37" s="167" t="s">
        <v>22</v>
      </c>
      <c r="T37" s="167"/>
      <c r="U37" s="167"/>
      <c r="V37" s="125" t="s">
        <v>23</v>
      </c>
      <c r="W37" s="125"/>
      <c r="X37" s="114" t="s">
        <v>24</v>
      </c>
      <c r="Y37" s="114"/>
      <c r="Z37" s="114"/>
      <c r="AA37" s="114"/>
      <c r="AB37" s="125" t="s">
        <v>16</v>
      </c>
      <c r="AC37" s="125"/>
      <c r="AD37" s="114" t="s">
        <v>25</v>
      </c>
      <c r="AE37" s="114"/>
      <c r="AF37" s="114"/>
      <c r="AG37" s="114"/>
      <c r="AH37" s="94"/>
      <c r="AI37" s="95"/>
      <c r="AJ37" s="95"/>
      <c r="AK37" s="96"/>
      <c r="AL37" s="125"/>
      <c r="AM37" s="125"/>
      <c r="AN37" s="114"/>
      <c r="AO37" s="114"/>
      <c r="AP37" s="114"/>
      <c r="AQ37" s="114"/>
      <c r="AR37" s="94"/>
      <c r="AS37" s="95"/>
      <c r="AT37" s="95"/>
      <c r="AU37" s="95"/>
      <c r="AV37" s="95"/>
      <c r="AW37" s="95"/>
      <c r="AX37" s="95"/>
      <c r="AY37" s="95"/>
      <c r="AZ37" s="95"/>
      <c r="BA37" s="96"/>
    </row>
    <row r="38" spans="2:53" s="21" customFormat="1" ht="13.5" customHeight="1" x14ac:dyDescent="0.15">
      <c r="B38" s="114"/>
      <c r="C38" s="114"/>
      <c r="D38" s="114"/>
      <c r="E38" s="114"/>
      <c r="F38" s="114"/>
      <c r="G38" s="114"/>
      <c r="H38" s="114"/>
      <c r="I38" s="114"/>
      <c r="J38" s="114"/>
      <c r="K38" s="114"/>
      <c r="L38" s="114"/>
      <c r="M38" s="114"/>
      <c r="N38" s="114"/>
      <c r="O38" s="114"/>
      <c r="P38" s="114"/>
      <c r="Q38" s="167"/>
      <c r="R38" s="167"/>
      <c r="S38" s="167"/>
      <c r="T38" s="167"/>
      <c r="U38" s="167"/>
      <c r="V38" s="125"/>
      <c r="W38" s="125"/>
      <c r="X38" s="114"/>
      <c r="Y38" s="114"/>
      <c r="Z38" s="114"/>
      <c r="AA38" s="114"/>
      <c r="AB38" s="125"/>
      <c r="AC38" s="125"/>
      <c r="AD38" s="114"/>
      <c r="AE38" s="114"/>
      <c r="AF38" s="114"/>
      <c r="AG38" s="114"/>
      <c r="AH38" s="94"/>
      <c r="AI38" s="95"/>
      <c r="AJ38" s="95"/>
      <c r="AK38" s="96"/>
      <c r="AL38" s="125"/>
      <c r="AM38" s="125"/>
      <c r="AN38" s="114"/>
      <c r="AO38" s="114"/>
      <c r="AP38" s="114"/>
      <c r="AQ38" s="114"/>
      <c r="AR38" s="94"/>
      <c r="AS38" s="95"/>
      <c r="AT38" s="95"/>
      <c r="AU38" s="95"/>
      <c r="AV38" s="95"/>
      <c r="AW38" s="95"/>
      <c r="AX38" s="95"/>
      <c r="AY38" s="95"/>
      <c r="AZ38" s="95"/>
      <c r="BA38" s="96"/>
    </row>
    <row r="39" spans="2:53" s="21" customFormat="1" ht="13.5" customHeight="1" x14ac:dyDescent="0.15">
      <c r="B39" s="114"/>
      <c r="C39" s="114"/>
      <c r="D39" s="114"/>
      <c r="E39" s="114"/>
      <c r="F39" s="114"/>
      <c r="G39" s="114"/>
      <c r="H39" s="114"/>
      <c r="I39" s="114"/>
      <c r="J39" s="114"/>
      <c r="K39" s="114"/>
      <c r="L39" s="114"/>
      <c r="M39" s="114"/>
      <c r="N39" s="114"/>
      <c r="O39" s="114"/>
      <c r="P39" s="114"/>
      <c r="Q39" s="167"/>
      <c r="R39" s="167"/>
      <c r="S39" s="167"/>
      <c r="T39" s="167"/>
      <c r="U39" s="167"/>
      <c r="V39" s="125"/>
      <c r="W39" s="125"/>
      <c r="X39" s="114"/>
      <c r="Y39" s="114"/>
      <c r="Z39" s="114"/>
      <c r="AA39" s="114"/>
      <c r="AB39" s="125"/>
      <c r="AC39" s="125"/>
      <c r="AD39" s="114"/>
      <c r="AE39" s="114"/>
      <c r="AF39" s="114"/>
      <c r="AG39" s="114"/>
      <c r="AH39" s="94"/>
      <c r="AI39" s="95"/>
      <c r="AJ39" s="95"/>
      <c r="AK39" s="96"/>
      <c r="AL39" s="125"/>
      <c r="AM39" s="125"/>
      <c r="AN39" s="114"/>
      <c r="AO39" s="114"/>
      <c r="AP39" s="114"/>
      <c r="AQ39" s="114"/>
      <c r="AR39" s="94"/>
      <c r="AS39" s="95"/>
      <c r="AT39" s="95"/>
      <c r="AU39" s="95"/>
      <c r="AV39" s="95"/>
      <c r="AW39" s="95"/>
      <c r="AX39" s="95"/>
      <c r="AY39" s="95"/>
      <c r="AZ39" s="95"/>
      <c r="BA39" s="96"/>
    </row>
    <row r="40" spans="2:53" s="21" customFormat="1" ht="13.5" customHeight="1" x14ac:dyDescent="0.15">
      <c r="B40" s="114"/>
      <c r="C40" s="114"/>
      <c r="D40" s="114"/>
      <c r="E40" s="114"/>
      <c r="F40" s="114"/>
      <c r="G40" s="114"/>
      <c r="H40" s="114"/>
      <c r="I40" s="114"/>
      <c r="J40" s="114"/>
      <c r="K40" s="114"/>
      <c r="L40" s="114"/>
      <c r="M40" s="114"/>
      <c r="N40" s="114"/>
      <c r="O40" s="114"/>
      <c r="P40" s="114"/>
      <c r="Q40" s="167"/>
      <c r="R40" s="167"/>
      <c r="S40" s="167"/>
      <c r="T40" s="167"/>
      <c r="U40" s="167"/>
      <c r="V40" s="125"/>
      <c r="W40" s="125"/>
      <c r="X40" s="114"/>
      <c r="Y40" s="114"/>
      <c r="Z40" s="114"/>
      <c r="AA40" s="114"/>
      <c r="AB40" s="125"/>
      <c r="AC40" s="125"/>
      <c r="AD40" s="114"/>
      <c r="AE40" s="114"/>
      <c r="AF40" s="114"/>
      <c r="AG40" s="114"/>
      <c r="AH40" s="97"/>
      <c r="AI40" s="98"/>
      <c r="AJ40" s="98"/>
      <c r="AK40" s="99"/>
      <c r="AL40" s="125"/>
      <c r="AM40" s="125"/>
      <c r="AN40" s="114"/>
      <c r="AO40" s="114"/>
      <c r="AP40" s="114"/>
      <c r="AQ40" s="114"/>
      <c r="AR40" s="97"/>
      <c r="AS40" s="98"/>
      <c r="AT40" s="98"/>
      <c r="AU40" s="98"/>
      <c r="AV40" s="98"/>
      <c r="AW40" s="98"/>
      <c r="AX40" s="98"/>
      <c r="AY40" s="98"/>
      <c r="AZ40" s="98"/>
      <c r="BA40" s="99"/>
    </row>
    <row r="41" spans="2:53" s="21" customFormat="1" ht="18" customHeight="1" x14ac:dyDescent="0.15">
      <c r="B41" s="115" t="s">
        <v>26</v>
      </c>
      <c r="C41" s="115"/>
      <c r="D41" s="115"/>
      <c r="E41" s="115"/>
      <c r="F41" s="115"/>
      <c r="G41" s="115"/>
      <c r="H41" s="115"/>
      <c r="I41" s="161">
        <f>SUM(I43:L48)</f>
        <v>154878000</v>
      </c>
      <c r="J41" s="162"/>
      <c r="K41" s="162"/>
      <c r="L41" s="163"/>
      <c r="M41" s="161">
        <f>SUM(M43:P48)</f>
        <v>733000</v>
      </c>
      <c r="N41" s="162"/>
      <c r="O41" s="162"/>
      <c r="P41" s="163"/>
      <c r="Q41" s="115">
        <f>SUM(Q43:R48)</f>
        <v>0</v>
      </c>
      <c r="R41" s="115"/>
      <c r="S41" s="115">
        <f>SUM(S43:U48)</f>
        <v>0</v>
      </c>
      <c r="T41" s="115"/>
      <c r="U41" s="115"/>
      <c r="V41" s="161">
        <f>SUM(V43:W48)</f>
        <v>0</v>
      </c>
      <c r="W41" s="163"/>
      <c r="X41" s="161">
        <f>SUM(X43:AA48)</f>
        <v>155611000</v>
      </c>
      <c r="Y41" s="162"/>
      <c r="Z41" s="162"/>
      <c r="AA41" s="163"/>
      <c r="AB41" s="106">
        <f>SUM(AB43:AC48)</f>
        <v>0</v>
      </c>
      <c r="AC41" s="107"/>
      <c r="AD41" s="161">
        <f>SUM(AD43:AG48)</f>
        <v>155611000</v>
      </c>
      <c r="AE41" s="162"/>
      <c r="AF41" s="162"/>
      <c r="AG41" s="163"/>
      <c r="AH41" s="106">
        <f>SUM(AH43:AK48)</f>
        <v>150290580</v>
      </c>
      <c r="AI41" s="107"/>
      <c r="AJ41" s="107"/>
      <c r="AK41" s="107"/>
      <c r="AL41" s="68">
        <f>SUM(AL43:AM48)</f>
        <v>0</v>
      </c>
      <c r="AM41" s="68"/>
      <c r="AN41" s="68">
        <f>SUM(AN43:AQ48)</f>
        <v>5320420</v>
      </c>
      <c r="AO41" s="68"/>
      <c r="AP41" s="68"/>
      <c r="AQ41" s="68"/>
      <c r="AR41" s="100"/>
      <c r="AS41" s="101"/>
      <c r="AT41" s="101"/>
      <c r="AU41" s="101"/>
      <c r="AV41" s="101"/>
      <c r="AW41" s="101"/>
      <c r="AX41" s="101"/>
      <c r="AY41" s="101"/>
      <c r="AZ41" s="101"/>
      <c r="BA41" s="102"/>
    </row>
    <row r="42" spans="2:53" s="21" customFormat="1" ht="18" customHeight="1" x14ac:dyDescent="0.15">
      <c r="B42" s="115"/>
      <c r="C42" s="115"/>
      <c r="D42" s="115"/>
      <c r="E42" s="115"/>
      <c r="F42" s="115"/>
      <c r="G42" s="115"/>
      <c r="H42" s="115"/>
      <c r="I42" s="164"/>
      <c r="J42" s="165"/>
      <c r="K42" s="165"/>
      <c r="L42" s="166"/>
      <c r="M42" s="164"/>
      <c r="N42" s="165"/>
      <c r="O42" s="165"/>
      <c r="P42" s="166"/>
      <c r="Q42" s="115"/>
      <c r="R42" s="115"/>
      <c r="S42" s="115"/>
      <c r="T42" s="115"/>
      <c r="U42" s="115"/>
      <c r="V42" s="164"/>
      <c r="W42" s="166"/>
      <c r="X42" s="164"/>
      <c r="Y42" s="165"/>
      <c r="Z42" s="165"/>
      <c r="AA42" s="166"/>
      <c r="AB42" s="109"/>
      <c r="AC42" s="110"/>
      <c r="AD42" s="164"/>
      <c r="AE42" s="165"/>
      <c r="AF42" s="165"/>
      <c r="AG42" s="166"/>
      <c r="AH42" s="109"/>
      <c r="AI42" s="110"/>
      <c r="AJ42" s="110"/>
      <c r="AK42" s="110"/>
      <c r="AL42" s="68"/>
      <c r="AM42" s="68"/>
      <c r="AN42" s="68"/>
      <c r="AO42" s="68"/>
      <c r="AP42" s="68"/>
      <c r="AQ42" s="68"/>
      <c r="AR42" s="103"/>
      <c r="AS42" s="104"/>
      <c r="AT42" s="104"/>
      <c r="AU42" s="104"/>
      <c r="AV42" s="104"/>
      <c r="AW42" s="104"/>
      <c r="AX42" s="104"/>
      <c r="AY42" s="104"/>
      <c r="AZ42" s="104"/>
      <c r="BA42" s="105"/>
    </row>
    <row r="43" spans="2:53" s="21" customFormat="1" ht="18" customHeight="1" x14ac:dyDescent="0.15">
      <c r="B43" s="115" t="s">
        <v>27</v>
      </c>
      <c r="C43" s="115"/>
      <c r="D43" s="115"/>
      <c r="E43" s="115"/>
      <c r="F43" s="115"/>
      <c r="G43" s="115"/>
      <c r="H43" s="115"/>
      <c r="I43" s="115">
        <v>146554000</v>
      </c>
      <c r="J43" s="115"/>
      <c r="K43" s="115"/>
      <c r="L43" s="115"/>
      <c r="M43" s="115">
        <v>705000</v>
      </c>
      <c r="N43" s="115"/>
      <c r="O43" s="115"/>
      <c r="P43" s="115"/>
      <c r="Q43" s="115">
        <v>0</v>
      </c>
      <c r="R43" s="115"/>
      <c r="S43" s="68">
        <v>-885000</v>
      </c>
      <c r="T43" s="68"/>
      <c r="U43" s="68"/>
      <c r="V43" s="115">
        <v>0</v>
      </c>
      <c r="W43" s="115"/>
      <c r="X43" s="115">
        <f>SUM(I43:T44)</f>
        <v>146374000</v>
      </c>
      <c r="Y43" s="115"/>
      <c r="Z43" s="115"/>
      <c r="AA43" s="115"/>
      <c r="AB43" s="106">
        <v>0</v>
      </c>
      <c r="AC43" s="108"/>
      <c r="AD43" s="115">
        <f>SUM(X43:AC44)</f>
        <v>146374000</v>
      </c>
      <c r="AE43" s="115"/>
      <c r="AF43" s="115"/>
      <c r="AG43" s="115"/>
      <c r="AH43" s="106">
        <v>141625217</v>
      </c>
      <c r="AI43" s="107"/>
      <c r="AJ43" s="107"/>
      <c r="AK43" s="108"/>
      <c r="AL43" s="68">
        <v>0</v>
      </c>
      <c r="AM43" s="68"/>
      <c r="AN43" s="68">
        <f>AD43-AH43-AL43</f>
        <v>4748783</v>
      </c>
      <c r="AO43" s="68"/>
      <c r="AP43" s="68"/>
      <c r="AQ43" s="68"/>
      <c r="AR43" s="83" t="s">
        <v>59</v>
      </c>
      <c r="AS43" s="84"/>
      <c r="AT43" s="84"/>
      <c r="AU43" s="84"/>
      <c r="AV43" s="84"/>
      <c r="AW43" s="84"/>
      <c r="AX43" s="84"/>
      <c r="AY43" s="84"/>
      <c r="AZ43" s="84"/>
      <c r="BA43" s="85"/>
    </row>
    <row r="44" spans="2:53" s="21" customFormat="1" ht="18" customHeight="1" x14ac:dyDescent="0.15">
      <c r="B44" s="115"/>
      <c r="C44" s="115"/>
      <c r="D44" s="115"/>
      <c r="E44" s="115"/>
      <c r="F44" s="115"/>
      <c r="G44" s="115"/>
      <c r="H44" s="115"/>
      <c r="I44" s="115"/>
      <c r="J44" s="115"/>
      <c r="K44" s="115"/>
      <c r="L44" s="115"/>
      <c r="M44" s="115"/>
      <c r="N44" s="115"/>
      <c r="O44" s="115"/>
      <c r="P44" s="115"/>
      <c r="Q44" s="115"/>
      <c r="R44" s="115"/>
      <c r="S44" s="68"/>
      <c r="T44" s="68"/>
      <c r="U44" s="68"/>
      <c r="V44" s="115"/>
      <c r="W44" s="115"/>
      <c r="X44" s="115"/>
      <c r="Y44" s="115"/>
      <c r="Z44" s="115"/>
      <c r="AA44" s="115"/>
      <c r="AB44" s="109"/>
      <c r="AC44" s="111"/>
      <c r="AD44" s="115"/>
      <c r="AE44" s="115"/>
      <c r="AF44" s="115"/>
      <c r="AG44" s="115"/>
      <c r="AH44" s="109"/>
      <c r="AI44" s="110"/>
      <c r="AJ44" s="110"/>
      <c r="AK44" s="111"/>
      <c r="AL44" s="68"/>
      <c r="AM44" s="68"/>
      <c r="AN44" s="68"/>
      <c r="AO44" s="68"/>
      <c r="AP44" s="68"/>
      <c r="AQ44" s="68"/>
      <c r="AR44" s="158" t="s">
        <v>103</v>
      </c>
      <c r="AS44" s="159"/>
      <c r="AT44" s="159"/>
      <c r="AU44" s="159"/>
      <c r="AV44" s="159"/>
      <c r="AW44" s="159"/>
      <c r="AX44" s="159"/>
      <c r="AY44" s="159"/>
      <c r="AZ44" s="159"/>
      <c r="BA44" s="160"/>
    </row>
    <row r="45" spans="2:53" s="21" customFormat="1" ht="18" customHeight="1" x14ac:dyDescent="0.15">
      <c r="B45" s="115" t="s">
        <v>28</v>
      </c>
      <c r="C45" s="115"/>
      <c r="D45" s="115"/>
      <c r="E45" s="115"/>
      <c r="F45" s="115"/>
      <c r="G45" s="115"/>
      <c r="H45" s="115"/>
      <c r="I45" s="115">
        <v>7824000</v>
      </c>
      <c r="J45" s="115"/>
      <c r="K45" s="115"/>
      <c r="L45" s="115"/>
      <c r="M45" s="115">
        <v>28000</v>
      </c>
      <c r="N45" s="115"/>
      <c r="O45" s="115"/>
      <c r="P45" s="115"/>
      <c r="Q45" s="115">
        <v>0</v>
      </c>
      <c r="R45" s="115"/>
      <c r="S45" s="68">
        <v>885000</v>
      </c>
      <c r="T45" s="68"/>
      <c r="U45" s="68"/>
      <c r="V45" s="115">
        <v>0</v>
      </c>
      <c r="W45" s="115"/>
      <c r="X45" s="115">
        <f>SUM(I45:T46)</f>
        <v>8737000</v>
      </c>
      <c r="Y45" s="115"/>
      <c r="Z45" s="115"/>
      <c r="AA45" s="115"/>
      <c r="AB45" s="106">
        <v>0</v>
      </c>
      <c r="AC45" s="108"/>
      <c r="AD45" s="115">
        <f>SUM(X45:AC46)</f>
        <v>8737000</v>
      </c>
      <c r="AE45" s="115"/>
      <c r="AF45" s="115"/>
      <c r="AG45" s="115"/>
      <c r="AH45" s="106">
        <v>8665363</v>
      </c>
      <c r="AI45" s="107"/>
      <c r="AJ45" s="107"/>
      <c r="AK45" s="108"/>
      <c r="AL45" s="106">
        <v>0</v>
      </c>
      <c r="AM45" s="108"/>
      <c r="AN45" s="54">
        <f>AD45-AH45-AL45</f>
        <v>71637</v>
      </c>
      <c r="AO45" s="55"/>
      <c r="AP45" s="55"/>
      <c r="AQ45" s="70"/>
      <c r="AR45" s="83" t="s">
        <v>60</v>
      </c>
      <c r="AS45" s="84"/>
      <c r="AT45" s="84"/>
      <c r="AU45" s="84"/>
      <c r="AV45" s="84"/>
      <c r="AW45" s="84"/>
      <c r="AX45" s="84"/>
      <c r="AY45" s="84"/>
      <c r="AZ45" s="84"/>
      <c r="BA45" s="85"/>
    </row>
    <row r="46" spans="2:53" s="21" customFormat="1" ht="18" customHeight="1" x14ac:dyDescent="0.15">
      <c r="B46" s="115"/>
      <c r="C46" s="115"/>
      <c r="D46" s="115"/>
      <c r="E46" s="115"/>
      <c r="F46" s="115"/>
      <c r="G46" s="115"/>
      <c r="H46" s="115"/>
      <c r="I46" s="115"/>
      <c r="J46" s="115"/>
      <c r="K46" s="115"/>
      <c r="L46" s="115"/>
      <c r="M46" s="115"/>
      <c r="N46" s="115"/>
      <c r="O46" s="115"/>
      <c r="P46" s="115"/>
      <c r="Q46" s="115"/>
      <c r="R46" s="115"/>
      <c r="S46" s="68"/>
      <c r="T46" s="68"/>
      <c r="U46" s="68"/>
      <c r="V46" s="115"/>
      <c r="W46" s="115"/>
      <c r="X46" s="115"/>
      <c r="Y46" s="115"/>
      <c r="Z46" s="115"/>
      <c r="AA46" s="115"/>
      <c r="AB46" s="109"/>
      <c r="AC46" s="111"/>
      <c r="AD46" s="115"/>
      <c r="AE46" s="115"/>
      <c r="AF46" s="115"/>
      <c r="AG46" s="115"/>
      <c r="AH46" s="109"/>
      <c r="AI46" s="110"/>
      <c r="AJ46" s="110"/>
      <c r="AK46" s="111"/>
      <c r="AL46" s="109"/>
      <c r="AM46" s="111"/>
      <c r="AN46" s="56"/>
      <c r="AO46" s="57"/>
      <c r="AP46" s="57"/>
      <c r="AQ46" s="71"/>
      <c r="AR46" s="158" t="s">
        <v>96</v>
      </c>
      <c r="AS46" s="159"/>
      <c r="AT46" s="159"/>
      <c r="AU46" s="159"/>
      <c r="AV46" s="159"/>
      <c r="AW46" s="159"/>
      <c r="AX46" s="159"/>
      <c r="AY46" s="159"/>
      <c r="AZ46" s="159"/>
      <c r="BA46" s="160"/>
    </row>
    <row r="47" spans="2:53" s="21" customFormat="1" ht="18" customHeight="1" x14ac:dyDescent="0.15">
      <c r="B47" s="115" t="s">
        <v>29</v>
      </c>
      <c r="C47" s="115"/>
      <c r="D47" s="115"/>
      <c r="E47" s="115"/>
      <c r="F47" s="115"/>
      <c r="G47" s="115"/>
      <c r="H47" s="115"/>
      <c r="I47" s="115">
        <v>500000</v>
      </c>
      <c r="J47" s="115"/>
      <c r="K47" s="115"/>
      <c r="L47" s="115"/>
      <c r="M47" s="115">
        <v>0</v>
      </c>
      <c r="N47" s="115"/>
      <c r="O47" s="115"/>
      <c r="P47" s="115"/>
      <c r="Q47" s="115">
        <v>0</v>
      </c>
      <c r="R47" s="115"/>
      <c r="S47" s="68">
        <v>0</v>
      </c>
      <c r="T47" s="68"/>
      <c r="U47" s="68"/>
      <c r="V47" s="115">
        <v>0</v>
      </c>
      <c r="W47" s="115"/>
      <c r="X47" s="115">
        <f>SUM(I47:T48)</f>
        <v>500000</v>
      </c>
      <c r="Y47" s="115"/>
      <c r="Z47" s="115"/>
      <c r="AA47" s="115"/>
      <c r="AB47" s="106">
        <v>0</v>
      </c>
      <c r="AC47" s="108"/>
      <c r="AD47" s="115">
        <f>SUM(X47:AC48)</f>
        <v>500000</v>
      </c>
      <c r="AE47" s="115"/>
      <c r="AF47" s="115"/>
      <c r="AG47" s="115"/>
      <c r="AH47" s="106">
        <v>0</v>
      </c>
      <c r="AI47" s="107"/>
      <c r="AJ47" s="107"/>
      <c r="AK47" s="108"/>
      <c r="AL47" s="106">
        <v>0</v>
      </c>
      <c r="AM47" s="108"/>
      <c r="AN47" s="54">
        <f>AD47-AH47-AL47</f>
        <v>500000</v>
      </c>
      <c r="AO47" s="55"/>
      <c r="AP47" s="55"/>
      <c r="AQ47" s="70"/>
      <c r="AR47" s="58"/>
      <c r="AS47" s="59"/>
      <c r="AT47" s="59"/>
      <c r="AU47" s="59"/>
      <c r="AV47" s="59"/>
      <c r="AW47" s="59"/>
      <c r="AX47" s="59"/>
      <c r="AY47" s="59"/>
      <c r="AZ47" s="59"/>
      <c r="BA47" s="60"/>
    </row>
    <row r="48" spans="2:53" s="21" customFormat="1" ht="18" customHeight="1" x14ac:dyDescent="0.15">
      <c r="B48" s="115"/>
      <c r="C48" s="115"/>
      <c r="D48" s="115"/>
      <c r="E48" s="115"/>
      <c r="F48" s="115"/>
      <c r="G48" s="115"/>
      <c r="H48" s="115"/>
      <c r="I48" s="115"/>
      <c r="J48" s="115"/>
      <c r="K48" s="115"/>
      <c r="L48" s="115"/>
      <c r="M48" s="115"/>
      <c r="N48" s="115"/>
      <c r="O48" s="115"/>
      <c r="P48" s="115"/>
      <c r="Q48" s="115"/>
      <c r="R48" s="115"/>
      <c r="S48" s="68"/>
      <c r="T48" s="68"/>
      <c r="U48" s="68"/>
      <c r="V48" s="115"/>
      <c r="W48" s="115"/>
      <c r="X48" s="115"/>
      <c r="Y48" s="115"/>
      <c r="Z48" s="115"/>
      <c r="AA48" s="115"/>
      <c r="AB48" s="109"/>
      <c r="AC48" s="111"/>
      <c r="AD48" s="115"/>
      <c r="AE48" s="115"/>
      <c r="AF48" s="115"/>
      <c r="AG48" s="115"/>
      <c r="AH48" s="109"/>
      <c r="AI48" s="110"/>
      <c r="AJ48" s="110"/>
      <c r="AK48" s="111"/>
      <c r="AL48" s="109"/>
      <c r="AM48" s="111"/>
      <c r="AN48" s="56"/>
      <c r="AO48" s="57"/>
      <c r="AP48" s="57"/>
      <c r="AQ48" s="71"/>
      <c r="AR48" s="61"/>
      <c r="AS48" s="62"/>
      <c r="AT48" s="62"/>
      <c r="AU48" s="62"/>
      <c r="AV48" s="62"/>
      <c r="AW48" s="62"/>
      <c r="AX48" s="62"/>
      <c r="AY48" s="62"/>
      <c r="AZ48" s="62"/>
      <c r="BA48" s="63"/>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row>
    <row r="52" spans="2:83" s="25" customFormat="1" ht="13.5" customHeight="1" x14ac:dyDescent="0.15">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row>
    <row r="53" spans="2:83" s="25" customFormat="1" ht="13.5" customHeight="1" x14ac:dyDescent="0.15">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row>
    <row r="54" spans="2:83" s="25" customFormat="1" ht="13.5" customHeight="1" x14ac:dyDescent="0.15">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row>
    <row r="55" spans="2:83" s="25" customFormat="1" ht="13.5" customHeight="1" x14ac:dyDescent="0.15">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row>
    <row r="56" spans="2:83" s="25" customFormat="1" ht="13.5" customHeight="1" x14ac:dyDescent="0.15">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row>
    <row r="57" spans="2:83" s="25" customFormat="1" ht="12" customHeight="1" x14ac:dyDescent="0.15">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row>
    <row r="58" spans="2:83" s="25" customFormat="1" ht="13.5" hidden="1" customHeight="1" x14ac:dyDescent="0.15">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row>
    <row r="59" spans="2:83" s="25" customFormat="1" ht="13.5" hidden="1" customHeight="1" x14ac:dyDescent="0.15">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row>
    <row r="60" spans="2:83" s="25" customFormat="1" ht="13.5" customHeight="1" x14ac:dyDescent="0.15">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row>
    <row r="61" spans="2:83" s="25" customFormat="1" ht="13.5" customHeight="1" x14ac:dyDescent="0.15">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row>
    <row r="62" spans="2:83" s="25" customFormat="1" ht="13.5" customHeight="1" x14ac:dyDescent="0.15">
      <c r="B62" s="156" t="s">
        <v>30</v>
      </c>
      <c r="C62" s="156"/>
      <c r="D62" s="156"/>
      <c r="E62" s="156"/>
      <c r="F62" s="156"/>
      <c r="G62" s="156"/>
      <c r="H62" s="156"/>
      <c r="I62" s="156"/>
      <c r="J62" s="156"/>
      <c r="K62" s="156"/>
      <c r="L62" s="156"/>
      <c r="M62" s="156"/>
      <c r="N62" s="156"/>
      <c r="O62" s="48"/>
      <c r="P62" s="48"/>
      <c r="Q62" s="48"/>
      <c r="R62" s="48"/>
      <c r="S62" s="48"/>
      <c r="T62" s="48"/>
      <c r="U62" s="48"/>
      <c r="V62" s="48"/>
      <c r="W62" s="48"/>
      <c r="X62" s="48"/>
      <c r="Y62" s="48"/>
      <c r="Z62" s="48"/>
      <c r="AA62" s="48"/>
      <c r="AB62" s="48"/>
      <c r="AC62" s="48"/>
      <c r="AD62" s="48"/>
      <c r="AE62" s="48"/>
      <c r="AF62" s="48"/>
      <c r="AG62" s="48"/>
      <c r="AH62" s="48"/>
      <c r="AI62" s="48"/>
      <c r="AJ62" s="48"/>
      <c r="AK62" s="20"/>
      <c r="AL62" s="20"/>
      <c r="AM62" s="20"/>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row>
    <row r="63" spans="2:83" s="25" customFormat="1" ht="13.5" customHeight="1" x14ac:dyDescent="0.15">
      <c r="B63" s="156"/>
      <c r="C63" s="156"/>
      <c r="D63" s="156"/>
      <c r="E63" s="156"/>
      <c r="F63" s="156"/>
      <c r="G63" s="156"/>
      <c r="H63" s="156"/>
      <c r="I63" s="156"/>
      <c r="J63" s="156"/>
      <c r="K63" s="156"/>
      <c r="L63" s="156"/>
      <c r="M63" s="156"/>
      <c r="N63" s="156"/>
      <c r="O63" s="20"/>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20"/>
      <c r="AP63" s="20"/>
      <c r="AQ63" s="20"/>
      <c r="AR63" s="26"/>
      <c r="AS63" s="26"/>
      <c r="AT63" s="26"/>
      <c r="AU63" s="26"/>
      <c r="AV63" s="26"/>
      <c r="AW63" s="26"/>
      <c r="AX63" s="26"/>
      <c r="AY63" s="26"/>
      <c r="AZ63" s="26"/>
      <c r="BA63" s="26"/>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row>
    <row r="64" spans="2:83" s="25" customFormat="1" ht="13.5" customHeight="1" x14ac:dyDescent="0.15">
      <c r="B64" s="136" t="s">
        <v>1</v>
      </c>
      <c r="C64" s="136"/>
      <c r="D64" s="136"/>
      <c r="E64" s="136"/>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row>
    <row r="65" spans="2:82" s="25" customFormat="1" ht="13.5" customHeight="1" x14ac:dyDescent="0.15">
      <c r="B65" s="137"/>
      <c r="C65" s="137"/>
      <c r="D65" s="137"/>
      <c r="E65" s="137"/>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7" t="s">
        <v>47</v>
      </c>
      <c r="AV65" s="157"/>
      <c r="AW65" s="157"/>
      <c r="AX65" s="157"/>
      <c r="AY65" s="157"/>
      <c r="AZ65" s="157"/>
      <c r="BA65" s="157"/>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row>
    <row r="66" spans="2:82" s="21" customFormat="1" ht="13.5" customHeight="1" x14ac:dyDescent="0.15">
      <c r="B66" s="91" t="s">
        <v>2</v>
      </c>
      <c r="C66" s="92"/>
      <c r="D66" s="92"/>
      <c r="E66" s="92"/>
      <c r="F66" s="92"/>
      <c r="G66" s="92"/>
      <c r="H66" s="92"/>
      <c r="I66" s="91" t="s">
        <v>14</v>
      </c>
      <c r="J66" s="92"/>
      <c r="K66" s="92"/>
      <c r="L66" s="92"/>
      <c r="M66" s="92"/>
      <c r="N66" s="92"/>
      <c r="O66" s="92"/>
      <c r="P66" s="92"/>
      <c r="Q66" s="92"/>
      <c r="R66" s="92"/>
      <c r="S66" s="92"/>
      <c r="T66" s="92"/>
      <c r="U66" s="92"/>
      <c r="V66" s="92"/>
      <c r="W66" s="92"/>
      <c r="X66" s="92"/>
      <c r="Y66" s="92"/>
      <c r="Z66" s="92"/>
      <c r="AA66" s="92"/>
      <c r="AB66" s="92"/>
      <c r="AC66" s="92"/>
      <c r="AD66" s="92"/>
      <c r="AE66" s="114" t="s">
        <v>4</v>
      </c>
      <c r="AF66" s="114"/>
      <c r="AG66" s="114"/>
      <c r="AH66" s="114"/>
      <c r="AI66" s="100" t="s">
        <v>48</v>
      </c>
      <c r="AJ66" s="101"/>
      <c r="AK66" s="101"/>
      <c r="AL66" s="101"/>
      <c r="AM66" s="114" t="s">
        <v>6</v>
      </c>
      <c r="AN66" s="114"/>
      <c r="AO66" s="114"/>
      <c r="AP66" s="114"/>
      <c r="AQ66" s="114"/>
      <c r="AR66" s="114"/>
      <c r="AS66" s="114"/>
      <c r="AT66" s="114"/>
      <c r="AU66" s="114"/>
      <c r="AV66" s="114"/>
      <c r="AW66" s="114"/>
      <c r="AX66" s="114"/>
      <c r="AY66" s="114"/>
      <c r="AZ66" s="114"/>
      <c r="BA66" s="114"/>
    </row>
    <row r="67" spans="2:82" s="21" customFormat="1" ht="13.5" customHeight="1" x14ac:dyDescent="0.15">
      <c r="B67" s="94"/>
      <c r="C67" s="95"/>
      <c r="D67" s="95"/>
      <c r="E67" s="95"/>
      <c r="F67" s="95"/>
      <c r="G67" s="95"/>
      <c r="H67" s="95"/>
      <c r="I67" s="97"/>
      <c r="J67" s="98"/>
      <c r="K67" s="98"/>
      <c r="L67" s="98"/>
      <c r="M67" s="98"/>
      <c r="N67" s="98"/>
      <c r="O67" s="98"/>
      <c r="P67" s="98"/>
      <c r="Q67" s="98"/>
      <c r="R67" s="98"/>
      <c r="S67" s="98"/>
      <c r="T67" s="98"/>
      <c r="U67" s="98"/>
      <c r="V67" s="98"/>
      <c r="W67" s="98"/>
      <c r="X67" s="98"/>
      <c r="Y67" s="98"/>
      <c r="Z67" s="98"/>
      <c r="AA67" s="98"/>
      <c r="AB67" s="98"/>
      <c r="AC67" s="98"/>
      <c r="AD67" s="98"/>
      <c r="AE67" s="114"/>
      <c r="AF67" s="114"/>
      <c r="AG67" s="114"/>
      <c r="AH67" s="114"/>
      <c r="AI67" s="112"/>
      <c r="AJ67" s="113"/>
      <c r="AK67" s="113"/>
      <c r="AL67" s="113"/>
      <c r="AM67" s="114"/>
      <c r="AN67" s="114"/>
      <c r="AO67" s="114"/>
      <c r="AP67" s="114"/>
      <c r="AQ67" s="114"/>
      <c r="AR67" s="114"/>
      <c r="AS67" s="114"/>
      <c r="AT67" s="114"/>
      <c r="AU67" s="114"/>
      <c r="AV67" s="114"/>
      <c r="AW67" s="114"/>
      <c r="AX67" s="114"/>
      <c r="AY67" s="114"/>
      <c r="AZ67" s="114"/>
      <c r="BA67" s="114"/>
    </row>
    <row r="68" spans="2:82" s="21" customFormat="1" ht="13.5" customHeight="1" x14ac:dyDescent="0.15">
      <c r="B68" s="94"/>
      <c r="C68" s="95"/>
      <c r="D68" s="95"/>
      <c r="E68" s="95"/>
      <c r="F68" s="95"/>
      <c r="G68" s="95"/>
      <c r="H68" s="95"/>
      <c r="I68" s="91" t="s">
        <v>7</v>
      </c>
      <c r="J68" s="92"/>
      <c r="K68" s="92"/>
      <c r="L68" s="93"/>
      <c r="M68" s="91" t="s">
        <v>8</v>
      </c>
      <c r="N68" s="92"/>
      <c r="O68" s="92"/>
      <c r="P68" s="93"/>
      <c r="Q68" s="91" t="s">
        <v>31</v>
      </c>
      <c r="R68" s="92"/>
      <c r="S68" s="92"/>
      <c r="T68" s="93"/>
      <c r="U68" s="141" t="s">
        <v>32</v>
      </c>
      <c r="V68" s="142"/>
      <c r="W68" s="143"/>
      <c r="X68" s="141" t="s">
        <v>33</v>
      </c>
      <c r="Y68" s="142"/>
      <c r="Z68" s="143"/>
      <c r="AA68" s="150" t="s">
        <v>9</v>
      </c>
      <c r="AB68" s="151"/>
      <c r="AC68" s="151"/>
      <c r="AD68" s="151"/>
      <c r="AE68" s="114"/>
      <c r="AF68" s="114"/>
      <c r="AG68" s="114"/>
      <c r="AH68" s="114"/>
      <c r="AI68" s="112"/>
      <c r="AJ68" s="113"/>
      <c r="AK68" s="113"/>
      <c r="AL68" s="113"/>
      <c r="AM68" s="114"/>
      <c r="AN68" s="114"/>
      <c r="AO68" s="114"/>
      <c r="AP68" s="114"/>
      <c r="AQ68" s="114"/>
      <c r="AR68" s="114"/>
      <c r="AS68" s="114"/>
      <c r="AT68" s="114"/>
      <c r="AU68" s="114"/>
      <c r="AV68" s="114"/>
      <c r="AW68" s="114"/>
      <c r="AX68" s="114"/>
      <c r="AY68" s="114"/>
      <c r="AZ68" s="114"/>
      <c r="BA68" s="114"/>
    </row>
    <row r="69" spans="2:82" s="21" customFormat="1" ht="13.5" customHeight="1" x14ac:dyDescent="0.15">
      <c r="B69" s="94"/>
      <c r="C69" s="95"/>
      <c r="D69" s="95"/>
      <c r="E69" s="95"/>
      <c r="F69" s="95"/>
      <c r="G69" s="95"/>
      <c r="H69" s="95"/>
      <c r="I69" s="94"/>
      <c r="J69" s="95"/>
      <c r="K69" s="95"/>
      <c r="L69" s="96"/>
      <c r="M69" s="94"/>
      <c r="N69" s="95"/>
      <c r="O69" s="95"/>
      <c r="P69" s="96"/>
      <c r="Q69" s="94"/>
      <c r="R69" s="95"/>
      <c r="S69" s="95"/>
      <c r="T69" s="96"/>
      <c r="U69" s="144"/>
      <c r="V69" s="145"/>
      <c r="W69" s="146"/>
      <c r="X69" s="144"/>
      <c r="Y69" s="145"/>
      <c r="Z69" s="146"/>
      <c r="AA69" s="152"/>
      <c r="AB69" s="153"/>
      <c r="AC69" s="153"/>
      <c r="AD69" s="153"/>
      <c r="AE69" s="114"/>
      <c r="AF69" s="114"/>
      <c r="AG69" s="114"/>
      <c r="AH69" s="114"/>
      <c r="AI69" s="112"/>
      <c r="AJ69" s="113"/>
      <c r="AK69" s="113"/>
      <c r="AL69" s="113"/>
      <c r="AM69" s="114"/>
      <c r="AN69" s="114"/>
      <c r="AO69" s="114"/>
      <c r="AP69" s="114"/>
      <c r="AQ69" s="114"/>
      <c r="AR69" s="114"/>
      <c r="AS69" s="114"/>
      <c r="AT69" s="114"/>
      <c r="AU69" s="114"/>
      <c r="AV69" s="114"/>
      <c r="AW69" s="114"/>
      <c r="AX69" s="114"/>
      <c r="AY69" s="114"/>
      <c r="AZ69" s="114"/>
      <c r="BA69" s="114"/>
    </row>
    <row r="70" spans="2:82" s="21" customFormat="1" ht="13.5" customHeight="1" x14ac:dyDescent="0.15">
      <c r="B70" s="94"/>
      <c r="C70" s="95"/>
      <c r="D70" s="95"/>
      <c r="E70" s="95"/>
      <c r="F70" s="95"/>
      <c r="G70" s="95"/>
      <c r="H70" s="95"/>
      <c r="I70" s="94"/>
      <c r="J70" s="95"/>
      <c r="K70" s="95"/>
      <c r="L70" s="96"/>
      <c r="M70" s="94"/>
      <c r="N70" s="95"/>
      <c r="O70" s="95"/>
      <c r="P70" s="96"/>
      <c r="Q70" s="94"/>
      <c r="R70" s="95"/>
      <c r="S70" s="95"/>
      <c r="T70" s="96"/>
      <c r="U70" s="144"/>
      <c r="V70" s="145"/>
      <c r="W70" s="146"/>
      <c r="X70" s="144"/>
      <c r="Y70" s="145"/>
      <c r="Z70" s="146"/>
      <c r="AA70" s="152"/>
      <c r="AB70" s="153"/>
      <c r="AC70" s="153"/>
      <c r="AD70" s="153"/>
      <c r="AE70" s="114"/>
      <c r="AF70" s="114"/>
      <c r="AG70" s="114"/>
      <c r="AH70" s="114"/>
      <c r="AI70" s="112"/>
      <c r="AJ70" s="113"/>
      <c r="AK70" s="113"/>
      <c r="AL70" s="113"/>
      <c r="AM70" s="114"/>
      <c r="AN70" s="114"/>
      <c r="AO70" s="114"/>
      <c r="AP70" s="114"/>
      <c r="AQ70" s="114"/>
      <c r="AR70" s="114"/>
      <c r="AS70" s="114"/>
      <c r="AT70" s="114"/>
      <c r="AU70" s="114"/>
      <c r="AV70" s="114"/>
      <c r="AW70" s="114"/>
      <c r="AX70" s="114"/>
      <c r="AY70" s="114"/>
      <c r="AZ70" s="114"/>
      <c r="BA70" s="114"/>
    </row>
    <row r="71" spans="2:82" s="21" customFormat="1" ht="13.5" customHeight="1" x14ac:dyDescent="0.15">
      <c r="B71" s="97"/>
      <c r="C71" s="98"/>
      <c r="D71" s="98"/>
      <c r="E71" s="98"/>
      <c r="F71" s="98"/>
      <c r="G71" s="98"/>
      <c r="H71" s="98"/>
      <c r="I71" s="97"/>
      <c r="J71" s="98"/>
      <c r="K71" s="98"/>
      <c r="L71" s="99"/>
      <c r="M71" s="97"/>
      <c r="N71" s="98"/>
      <c r="O71" s="98"/>
      <c r="P71" s="99"/>
      <c r="Q71" s="97"/>
      <c r="R71" s="98"/>
      <c r="S71" s="98"/>
      <c r="T71" s="99"/>
      <c r="U71" s="147"/>
      <c r="V71" s="148"/>
      <c r="W71" s="149"/>
      <c r="X71" s="147"/>
      <c r="Y71" s="148"/>
      <c r="Z71" s="149"/>
      <c r="AA71" s="154"/>
      <c r="AB71" s="155"/>
      <c r="AC71" s="155"/>
      <c r="AD71" s="155"/>
      <c r="AE71" s="114"/>
      <c r="AF71" s="114"/>
      <c r="AG71" s="114"/>
      <c r="AH71" s="114"/>
      <c r="AI71" s="103"/>
      <c r="AJ71" s="104"/>
      <c r="AK71" s="104"/>
      <c r="AL71" s="104"/>
      <c r="AM71" s="114"/>
      <c r="AN71" s="114"/>
      <c r="AO71" s="114"/>
      <c r="AP71" s="114"/>
      <c r="AQ71" s="114"/>
      <c r="AR71" s="114"/>
      <c r="AS71" s="114"/>
      <c r="AT71" s="114"/>
      <c r="AU71" s="114"/>
      <c r="AV71" s="114"/>
      <c r="AW71" s="114"/>
      <c r="AX71" s="114"/>
      <c r="AY71" s="114"/>
      <c r="AZ71" s="114"/>
      <c r="BA71" s="114"/>
    </row>
    <row r="72" spans="2:82" s="21" customFormat="1" ht="18" customHeight="1" x14ac:dyDescent="0.15">
      <c r="B72" s="106" t="s">
        <v>34</v>
      </c>
      <c r="C72" s="107"/>
      <c r="D72" s="107"/>
      <c r="E72" s="107"/>
      <c r="F72" s="107"/>
      <c r="G72" s="107"/>
      <c r="H72" s="107"/>
      <c r="I72" s="106">
        <f>SUM(I74:L79)</f>
        <v>67200000</v>
      </c>
      <c r="J72" s="107"/>
      <c r="K72" s="107"/>
      <c r="L72" s="108"/>
      <c r="M72" s="54">
        <f>SUM(M74:P79)</f>
        <v>-1407000</v>
      </c>
      <c r="N72" s="55"/>
      <c r="O72" s="55"/>
      <c r="P72" s="70"/>
      <c r="Q72" s="54">
        <f>SUM(Q74:T79)</f>
        <v>65793000</v>
      </c>
      <c r="R72" s="55"/>
      <c r="S72" s="55"/>
      <c r="T72" s="70"/>
      <c r="U72" s="106">
        <f>SUM(U74:W79)</f>
        <v>0</v>
      </c>
      <c r="V72" s="107"/>
      <c r="W72" s="108"/>
      <c r="X72" s="106">
        <f>SUM(X74:Z79)</f>
        <v>0</v>
      </c>
      <c r="Y72" s="107"/>
      <c r="Z72" s="108"/>
      <c r="AA72" s="106">
        <f>SUM(AA74:AD79)</f>
        <v>65793000</v>
      </c>
      <c r="AB72" s="107"/>
      <c r="AC72" s="107"/>
      <c r="AD72" s="107"/>
      <c r="AE72" s="115">
        <f>SUM(AE74:AH79)</f>
        <v>62889100</v>
      </c>
      <c r="AF72" s="115"/>
      <c r="AG72" s="115"/>
      <c r="AH72" s="115"/>
      <c r="AI72" s="115">
        <f>SUM(AI74:AL79)</f>
        <v>-2903900</v>
      </c>
      <c r="AJ72" s="115"/>
      <c r="AK72" s="115"/>
      <c r="AL72" s="115"/>
      <c r="AM72" s="139"/>
      <c r="AN72" s="139"/>
      <c r="AO72" s="139"/>
      <c r="AP72" s="139"/>
      <c r="AQ72" s="139"/>
      <c r="AR72" s="139"/>
      <c r="AS72" s="139"/>
      <c r="AT72" s="139"/>
      <c r="AU72" s="139"/>
      <c r="AV72" s="139"/>
      <c r="AW72" s="139"/>
      <c r="AX72" s="139"/>
      <c r="AY72" s="139"/>
      <c r="AZ72" s="139"/>
      <c r="BA72" s="139"/>
    </row>
    <row r="73" spans="2:82" s="21" customFormat="1" ht="18" customHeight="1" x14ac:dyDescent="0.15">
      <c r="B73" s="109"/>
      <c r="C73" s="110"/>
      <c r="D73" s="110"/>
      <c r="E73" s="110"/>
      <c r="F73" s="110"/>
      <c r="G73" s="110"/>
      <c r="H73" s="110"/>
      <c r="I73" s="109"/>
      <c r="J73" s="110"/>
      <c r="K73" s="110"/>
      <c r="L73" s="111"/>
      <c r="M73" s="56"/>
      <c r="N73" s="57"/>
      <c r="O73" s="57"/>
      <c r="P73" s="71"/>
      <c r="Q73" s="56"/>
      <c r="R73" s="57"/>
      <c r="S73" s="57"/>
      <c r="T73" s="71"/>
      <c r="U73" s="109"/>
      <c r="V73" s="110"/>
      <c r="W73" s="111"/>
      <c r="X73" s="109"/>
      <c r="Y73" s="110"/>
      <c r="Z73" s="111"/>
      <c r="AA73" s="109"/>
      <c r="AB73" s="110"/>
      <c r="AC73" s="110"/>
      <c r="AD73" s="110"/>
      <c r="AE73" s="115"/>
      <c r="AF73" s="115"/>
      <c r="AG73" s="115"/>
      <c r="AH73" s="115"/>
      <c r="AI73" s="115"/>
      <c r="AJ73" s="115"/>
      <c r="AK73" s="115"/>
      <c r="AL73" s="115"/>
      <c r="AM73" s="139"/>
      <c r="AN73" s="139"/>
      <c r="AO73" s="139"/>
      <c r="AP73" s="139"/>
      <c r="AQ73" s="139"/>
      <c r="AR73" s="139"/>
      <c r="AS73" s="139"/>
      <c r="AT73" s="139"/>
      <c r="AU73" s="139"/>
      <c r="AV73" s="139"/>
      <c r="AW73" s="139"/>
      <c r="AX73" s="139"/>
      <c r="AY73" s="139"/>
      <c r="AZ73" s="139"/>
      <c r="BA73" s="139"/>
    </row>
    <row r="74" spans="2:82" s="21" customFormat="1" ht="18" customHeight="1" x14ac:dyDescent="0.15">
      <c r="B74" s="106" t="s">
        <v>35</v>
      </c>
      <c r="C74" s="107"/>
      <c r="D74" s="107"/>
      <c r="E74" s="107"/>
      <c r="F74" s="107"/>
      <c r="G74" s="107"/>
      <c r="H74" s="107"/>
      <c r="I74" s="106">
        <v>2800000</v>
      </c>
      <c r="J74" s="107"/>
      <c r="K74" s="107"/>
      <c r="L74" s="108"/>
      <c r="M74" s="106">
        <v>793000</v>
      </c>
      <c r="N74" s="107"/>
      <c r="O74" s="107"/>
      <c r="P74" s="108"/>
      <c r="Q74" s="54">
        <f>SUM(I74:P75)</f>
        <v>3593000</v>
      </c>
      <c r="R74" s="55"/>
      <c r="S74" s="55"/>
      <c r="T74" s="70"/>
      <c r="U74" s="106">
        <f>SUM(X80:Z81)</f>
        <v>0</v>
      </c>
      <c r="V74" s="107"/>
      <c r="W74" s="108"/>
      <c r="X74" s="106">
        <v>0</v>
      </c>
      <c r="Y74" s="107"/>
      <c r="Z74" s="108"/>
      <c r="AA74" s="106">
        <f>SUM(Q74:Z75)</f>
        <v>3593000</v>
      </c>
      <c r="AB74" s="107"/>
      <c r="AC74" s="107"/>
      <c r="AD74" s="107"/>
      <c r="AE74" s="115">
        <v>3389100</v>
      </c>
      <c r="AF74" s="115"/>
      <c r="AG74" s="115"/>
      <c r="AH74" s="115"/>
      <c r="AI74" s="106">
        <f>AE74-AA74</f>
        <v>-203900</v>
      </c>
      <c r="AJ74" s="107"/>
      <c r="AK74" s="107"/>
      <c r="AL74" s="107"/>
      <c r="AM74" s="140" t="s">
        <v>93</v>
      </c>
      <c r="AN74" s="140"/>
      <c r="AO74" s="140"/>
      <c r="AP74" s="140"/>
      <c r="AQ74" s="140"/>
      <c r="AR74" s="140"/>
      <c r="AS74" s="140"/>
      <c r="AT74" s="140"/>
      <c r="AU74" s="140"/>
      <c r="AV74" s="140"/>
      <c r="AW74" s="140"/>
      <c r="AX74" s="140"/>
      <c r="AY74" s="140"/>
      <c r="AZ74" s="140"/>
      <c r="BA74" s="140"/>
    </row>
    <row r="75" spans="2:82" s="21" customFormat="1" ht="18" customHeight="1" x14ac:dyDescent="0.15">
      <c r="B75" s="109"/>
      <c r="C75" s="110"/>
      <c r="D75" s="110"/>
      <c r="E75" s="110"/>
      <c r="F75" s="110"/>
      <c r="G75" s="110"/>
      <c r="H75" s="110"/>
      <c r="I75" s="109"/>
      <c r="J75" s="110"/>
      <c r="K75" s="110"/>
      <c r="L75" s="111"/>
      <c r="M75" s="109"/>
      <c r="N75" s="110"/>
      <c r="O75" s="110"/>
      <c r="P75" s="111"/>
      <c r="Q75" s="56"/>
      <c r="R75" s="57"/>
      <c r="S75" s="57"/>
      <c r="T75" s="71"/>
      <c r="U75" s="109"/>
      <c r="V75" s="110"/>
      <c r="W75" s="111"/>
      <c r="X75" s="109"/>
      <c r="Y75" s="110"/>
      <c r="Z75" s="111"/>
      <c r="AA75" s="109"/>
      <c r="AB75" s="110"/>
      <c r="AC75" s="110"/>
      <c r="AD75" s="110"/>
      <c r="AE75" s="115"/>
      <c r="AF75" s="115"/>
      <c r="AG75" s="115"/>
      <c r="AH75" s="115"/>
      <c r="AI75" s="109"/>
      <c r="AJ75" s="110"/>
      <c r="AK75" s="110"/>
      <c r="AL75" s="110"/>
      <c r="AM75" s="140"/>
      <c r="AN75" s="140"/>
      <c r="AO75" s="140"/>
      <c r="AP75" s="140"/>
      <c r="AQ75" s="140"/>
      <c r="AR75" s="140"/>
      <c r="AS75" s="140"/>
      <c r="AT75" s="140"/>
      <c r="AU75" s="140"/>
      <c r="AV75" s="140"/>
      <c r="AW75" s="140"/>
      <c r="AX75" s="140"/>
      <c r="AY75" s="140"/>
      <c r="AZ75" s="140"/>
      <c r="BA75" s="140"/>
    </row>
    <row r="76" spans="2:82" s="21" customFormat="1" ht="18" customHeight="1" x14ac:dyDescent="0.15">
      <c r="B76" s="106" t="s">
        <v>51</v>
      </c>
      <c r="C76" s="107"/>
      <c r="D76" s="107"/>
      <c r="E76" s="107"/>
      <c r="F76" s="107"/>
      <c r="G76" s="107"/>
      <c r="H76" s="108"/>
      <c r="I76" s="106">
        <v>27400000</v>
      </c>
      <c r="J76" s="107"/>
      <c r="K76" s="107"/>
      <c r="L76" s="108"/>
      <c r="M76" s="54">
        <v>0</v>
      </c>
      <c r="N76" s="55"/>
      <c r="O76" s="55"/>
      <c r="P76" s="70"/>
      <c r="Q76" s="54">
        <f>SUM(I76:P77)</f>
        <v>27400000</v>
      </c>
      <c r="R76" s="55"/>
      <c r="S76" s="55"/>
      <c r="T76" s="70"/>
      <c r="U76" s="106">
        <v>0</v>
      </c>
      <c r="V76" s="107"/>
      <c r="W76" s="108"/>
      <c r="X76" s="106">
        <v>0</v>
      </c>
      <c r="Y76" s="107"/>
      <c r="Z76" s="108"/>
      <c r="AA76" s="106">
        <f>SUM(Q76:Z77)</f>
        <v>27400000</v>
      </c>
      <c r="AB76" s="107"/>
      <c r="AC76" s="107"/>
      <c r="AD76" s="107"/>
      <c r="AE76" s="115">
        <v>25300000</v>
      </c>
      <c r="AF76" s="115"/>
      <c r="AG76" s="115"/>
      <c r="AH76" s="115"/>
      <c r="AI76" s="106">
        <f>AE76-AA76</f>
        <v>-2100000</v>
      </c>
      <c r="AJ76" s="107"/>
      <c r="AK76" s="107"/>
      <c r="AL76" s="107"/>
      <c r="AM76" s="114"/>
      <c r="AN76" s="114"/>
      <c r="AO76" s="114"/>
      <c r="AP76" s="114"/>
      <c r="AQ76" s="114"/>
      <c r="AR76" s="114"/>
      <c r="AS76" s="114"/>
      <c r="AT76" s="114"/>
      <c r="AU76" s="114"/>
      <c r="AV76" s="114"/>
      <c r="AW76" s="114"/>
      <c r="AX76" s="114"/>
      <c r="AY76" s="114"/>
      <c r="AZ76" s="114"/>
      <c r="BA76" s="114"/>
    </row>
    <row r="77" spans="2:82" s="21" customFormat="1" ht="18" customHeight="1" x14ac:dyDescent="0.15">
      <c r="B77" s="109"/>
      <c r="C77" s="110"/>
      <c r="D77" s="110"/>
      <c r="E77" s="110"/>
      <c r="F77" s="110"/>
      <c r="G77" s="110"/>
      <c r="H77" s="111"/>
      <c r="I77" s="109"/>
      <c r="J77" s="110"/>
      <c r="K77" s="110"/>
      <c r="L77" s="111"/>
      <c r="M77" s="56"/>
      <c r="N77" s="57"/>
      <c r="O77" s="57"/>
      <c r="P77" s="71"/>
      <c r="Q77" s="56"/>
      <c r="R77" s="57"/>
      <c r="S77" s="57"/>
      <c r="T77" s="71"/>
      <c r="U77" s="109"/>
      <c r="V77" s="110"/>
      <c r="W77" s="111"/>
      <c r="X77" s="109"/>
      <c r="Y77" s="110"/>
      <c r="Z77" s="111"/>
      <c r="AA77" s="109"/>
      <c r="AB77" s="110"/>
      <c r="AC77" s="110"/>
      <c r="AD77" s="110"/>
      <c r="AE77" s="115"/>
      <c r="AF77" s="115"/>
      <c r="AG77" s="115"/>
      <c r="AH77" s="115"/>
      <c r="AI77" s="109"/>
      <c r="AJ77" s="110"/>
      <c r="AK77" s="110"/>
      <c r="AL77" s="110"/>
      <c r="AM77" s="114"/>
      <c r="AN77" s="114"/>
      <c r="AO77" s="114"/>
      <c r="AP77" s="114"/>
      <c r="AQ77" s="114"/>
      <c r="AR77" s="114"/>
      <c r="AS77" s="114"/>
      <c r="AT77" s="114"/>
      <c r="AU77" s="114"/>
      <c r="AV77" s="114"/>
      <c r="AW77" s="114"/>
      <c r="AX77" s="114"/>
      <c r="AY77" s="114"/>
      <c r="AZ77" s="114"/>
      <c r="BA77" s="114"/>
    </row>
    <row r="78" spans="2:82" s="21" customFormat="1" ht="18" customHeight="1" x14ac:dyDescent="0.15">
      <c r="B78" s="106" t="s">
        <v>52</v>
      </c>
      <c r="C78" s="107"/>
      <c r="D78" s="107"/>
      <c r="E78" s="107"/>
      <c r="F78" s="107"/>
      <c r="G78" s="107"/>
      <c r="H78" s="107"/>
      <c r="I78" s="106">
        <v>37000000</v>
      </c>
      <c r="J78" s="107"/>
      <c r="K78" s="107"/>
      <c r="L78" s="108"/>
      <c r="M78" s="106">
        <v>-2200000</v>
      </c>
      <c r="N78" s="107"/>
      <c r="O78" s="107"/>
      <c r="P78" s="108"/>
      <c r="Q78" s="54">
        <f>SUM(I78:P79)</f>
        <v>34800000</v>
      </c>
      <c r="R78" s="55"/>
      <c r="S78" s="55"/>
      <c r="T78" s="70"/>
      <c r="U78" s="106">
        <v>0</v>
      </c>
      <c r="V78" s="107"/>
      <c r="W78" s="108"/>
      <c r="X78" s="106">
        <v>0</v>
      </c>
      <c r="Y78" s="107"/>
      <c r="Z78" s="108"/>
      <c r="AA78" s="106">
        <f>SUM(Q78:Z79)</f>
        <v>34800000</v>
      </c>
      <c r="AB78" s="107"/>
      <c r="AC78" s="107"/>
      <c r="AD78" s="107"/>
      <c r="AE78" s="115">
        <v>34200000</v>
      </c>
      <c r="AF78" s="115"/>
      <c r="AG78" s="115"/>
      <c r="AH78" s="115"/>
      <c r="AI78" s="106">
        <f>AE78-AA78</f>
        <v>-600000</v>
      </c>
      <c r="AJ78" s="107"/>
      <c r="AK78" s="107"/>
      <c r="AL78" s="107"/>
      <c r="AM78" s="114"/>
      <c r="AN78" s="114"/>
      <c r="AO78" s="114"/>
      <c r="AP78" s="114"/>
      <c r="AQ78" s="114"/>
      <c r="AR78" s="114"/>
      <c r="AS78" s="114"/>
      <c r="AT78" s="114"/>
      <c r="AU78" s="114"/>
      <c r="AV78" s="114"/>
      <c r="AW78" s="114"/>
      <c r="AX78" s="114"/>
      <c r="AY78" s="114"/>
      <c r="AZ78" s="114"/>
      <c r="BA78" s="114"/>
    </row>
    <row r="79" spans="2:82" s="21" customFormat="1" ht="18" customHeight="1" x14ac:dyDescent="0.15">
      <c r="B79" s="109"/>
      <c r="C79" s="110"/>
      <c r="D79" s="110"/>
      <c r="E79" s="110"/>
      <c r="F79" s="110"/>
      <c r="G79" s="110"/>
      <c r="H79" s="110"/>
      <c r="I79" s="109"/>
      <c r="J79" s="110"/>
      <c r="K79" s="110"/>
      <c r="L79" s="111"/>
      <c r="M79" s="109"/>
      <c r="N79" s="110"/>
      <c r="O79" s="110"/>
      <c r="P79" s="111"/>
      <c r="Q79" s="56"/>
      <c r="R79" s="57"/>
      <c r="S79" s="57"/>
      <c r="T79" s="71"/>
      <c r="U79" s="109"/>
      <c r="V79" s="110"/>
      <c r="W79" s="111"/>
      <c r="X79" s="109"/>
      <c r="Y79" s="110"/>
      <c r="Z79" s="111"/>
      <c r="AA79" s="109"/>
      <c r="AB79" s="110"/>
      <c r="AC79" s="110"/>
      <c r="AD79" s="110"/>
      <c r="AE79" s="115"/>
      <c r="AF79" s="115"/>
      <c r="AG79" s="115"/>
      <c r="AH79" s="115"/>
      <c r="AI79" s="109"/>
      <c r="AJ79" s="110"/>
      <c r="AK79" s="110"/>
      <c r="AL79" s="110"/>
      <c r="AM79" s="114"/>
      <c r="AN79" s="114"/>
      <c r="AO79" s="114"/>
      <c r="AP79" s="114"/>
      <c r="AQ79" s="114"/>
      <c r="AR79" s="114"/>
      <c r="AS79" s="114"/>
      <c r="AT79" s="114"/>
      <c r="AU79" s="114"/>
      <c r="AV79" s="114"/>
      <c r="AW79" s="114"/>
      <c r="AX79" s="114"/>
      <c r="AY79" s="114"/>
      <c r="AZ79" s="114"/>
      <c r="BA79" s="114"/>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6" t="s">
        <v>13</v>
      </c>
      <c r="C81" s="136"/>
      <c r="D81" s="136"/>
      <c r="E81" s="136"/>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7"/>
      <c r="C82" s="137"/>
      <c r="D82" s="137"/>
      <c r="E82" s="137"/>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49"/>
      <c r="AU82" s="138" t="s">
        <v>47</v>
      </c>
      <c r="AV82" s="138"/>
      <c r="AW82" s="138"/>
      <c r="AX82" s="138"/>
      <c r="AY82" s="138"/>
      <c r="AZ82" s="138"/>
      <c r="BA82" s="138"/>
      <c r="CM82" s="21"/>
    </row>
    <row r="83" spans="2:91" s="21" customFormat="1" ht="13.5" customHeight="1" x14ac:dyDescent="0.15">
      <c r="B83" s="91" t="s">
        <v>2</v>
      </c>
      <c r="C83" s="92"/>
      <c r="D83" s="92"/>
      <c r="E83" s="92"/>
      <c r="F83" s="92"/>
      <c r="G83" s="92"/>
      <c r="H83" s="93"/>
      <c r="I83" s="91" t="s">
        <v>36</v>
      </c>
      <c r="J83" s="92"/>
      <c r="K83" s="92"/>
      <c r="L83" s="92"/>
      <c r="M83" s="92"/>
      <c r="N83" s="92"/>
      <c r="O83" s="92"/>
      <c r="P83" s="92"/>
      <c r="Q83" s="92"/>
      <c r="R83" s="92"/>
      <c r="S83" s="92"/>
      <c r="T83" s="92"/>
      <c r="U83" s="92"/>
      <c r="V83" s="92"/>
      <c r="W83" s="92"/>
      <c r="X83" s="92"/>
      <c r="Y83" s="92"/>
      <c r="Z83" s="92"/>
      <c r="AA83" s="92"/>
      <c r="AB83" s="92"/>
      <c r="AC83" s="92"/>
      <c r="AD83" s="92"/>
      <c r="AE83" s="92"/>
      <c r="AF83" s="91" t="s">
        <v>4</v>
      </c>
      <c r="AG83" s="92"/>
      <c r="AH83" s="92"/>
      <c r="AI83" s="93"/>
      <c r="AJ83" s="100" t="s">
        <v>37</v>
      </c>
      <c r="AK83" s="101"/>
      <c r="AL83" s="101"/>
      <c r="AM83" s="101"/>
      <c r="AN83" s="101"/>
      <c r="AO83" s="102"/>
      <c r="AP83" s="91" t="s">
        <v>17</v>
      </c>
      <c r="AQ83" s="92"/>
      <c r="AR83" s="93"/>
      <c r="AS83" s="91" t="s">
        <v>38</v>
      </c>
      <c r="AT83" s="92"/>
      <c r="AU83" s="92"/>
      <c r="AV83" s="92"/>
      <c r="AW83" s="92"/>
      <c r="AX83" s="92"/>
      <c r="AY83" s="92"/>
      <c r="AZ83" s="92"/>
      <c r="BA83" s="93"/>
    </row>
    <row r="84" spans="2:91" s="21" customFormat="1" ht="13.5" customHeight="1" x14ac:dyDescent="0.15">
      <c r="B84" s="94"/>
      <c r="C84" s="95"/>
      <c r="D84" s="95"/>
      <c r="E84" s="95"/>
      <c r="F84" s="95"/>
      <c r="G84" s="95"/>
      <c r="H84" s="96"/>
      <c r="I84" s="97"/>
      <c r="J84" s="98"/>
      <c r="K84" s="98"/>
      <c r="L84" s="98"/>
      <c r="M84" s="98"/>
      <c r="N84" s="98"/>
      <c r="O84" s="98"/>
      <c r="P84" s="98"/>
      <c r="Q84" s="98"/>
      <c r="R84" s="98"/>
      <c r="S84" s="98"/>
      <c r="T84" s="98"/>
      <c r="U84" s="98"/>
      <c r="V84" s="98"/>
      <c r="W84" s="98"/>
      <c r="X84" s="98"/>
      <c r="Y84" s="98"/>
      <c r="Z84" s="98"/>
      <c r="AA84" s="98"/>
      <c r="AB84" s="98"/>
      <c r="AC84" s="98"/>
      <c r="AD84" s="98"/>
      <c r="AE84" s="98"/>
      <c r="AF84" s="94"/>
      <c r="AG84" s="95"/>
      <c r="AH84" s="95"/>
      <c r="AI84" s="96"/>
      <c r="AJ84" s="103"/>
      <c r="AK84" s="104"/>
      <c r="AL84" s="104"/>
      <c r="AM84" s="104"/>
      <c r="AN84" s="104"/>
      <c r="AO84" s="105"/>
      <c r="AP84" s="94"/>
      <c r="AQ84" s="95"/>
      <c r="AR84" s="96"/>
      <c r="AS84" s="94"/>
      <c r="AT84" s="95"/>
      <c r="AU84" s="95"/>
      <c r="AV84" s="95"/>
      <c r="AW84" s="95"/>
      <c r="AX84" s="95"/>
      <c r="AY84" s="95"/>
      <c r="AZ84" s="95"/>
      <c r="BA84" s="96"/>
    </row>
    <row r="85" spans="2:91" s="21" customFormat="1" ht="13.5" customHeight="1" x14ac:dyDescent="0.15">
      <c r="B85" s="94"/>
      <c r="C85" s="95"/>
      <c r="D85" s="95"/>
      <c r="E85" s="95"/>
      <c r="F85" s="95"/>
      <c r="G85" s="95"/>
      <c r="H85" s="96"/>
      <c r="I85" s="91" t="s">
        <v>19</v>
      </c>
      <c r="J85" s="92"/>
      <c r="K85" s="92"/>
      <c r="L85" s="93"/>
      <c r="M85" s="91" t="s">
        <v>20</v>
      </c>
      <c r="N85" s="92"/>
      <c r="O85" s="92"/>
      <c r="P85" s="93"/>
      <c r="Q85" s="100" t="s">
        <v>39</v>
      </c>
      <c r="R85" s="101"/>
      <c r="S85" s="114" t="s">
        <v>24</v>
      </c>
      <c r="T85" s="114"/>
      <c r="U85" s="114"/>
      <c r="V85" s="114"/>
      <c r="W85" s="116" t="s">
        <v>40</v>
      </c>
      <c r="X85" s="117"/>
      <c r="Y85" s="118"/>
      <c r="Z85" s="125" t="s">
        <v>41</v>
      </c>
      <c r="AA85" s="126"/>
      <c r="AB85" s="114" t="s">
        <v>25</v>
      </c>
      <c r="AC85" s="114"/>
      <c r="AD85" s="114"/>
      <c r="AE85" s="127"/>
      <c r="AF85" s="94"/>
      <c r="AG85" s="95"/>
      <c r="AH85" s="95"/>
      <c r="AI85" s="96"/>
      <c r="AJ85" s="119" t="s">
        <v>42</v>
      </c>
      <c r="AK85" s="121"/>
      <c r="AL85" s="128" t="s">
        <v>50</v>
      </c>
      <c r="AM85" s="129"/>
      <c r="AN85" s="132" t="s">
        <v>43</v>
      </c>
      <c r="AO85" s="133"/>
      <c r="AP85" s="94"/>
      <c r="AQ85" s="95"/>
      <c r="AR85" s="96"/>
      <c r="AS85" s="94"/>
      <c r="AT85" s="95"/>
      <c r="AU85" s="95"/>
      <c r="AV85" s="95"/>
      <c r="AW85" s="95"/>
      <c r="AX85" s="95"/>
      <c r="AY85" s="95"/>
      <c r="AZ85" s="95"/>
      <c r="BA85" s="96"/>
    </row>
    <row r="86" spans="2:91" s="21" customFormat="1" ht="13.5" customHeight="1" x14ac:dyDescent="0.15">
      <c r="B86" s="94"/>
      <c r="C86" s="95"/>
      <c r="D86" s="95"/>
      <c r="E86" s="95"/>
      <c r="F86" s="95"/>
      <c r="G86" s="95"/>
      <c r="H86" s="96"/>
      <c r="I86" s="94"/>
      <c r="J86" s="95"/>
      <c r="K86" s="95"/>
      <c r="L86" s="96"/>
      <c r="M86" s="94"/>
      <c r="N86" s="95"/>
      <c r="O86" s="95"/>
      <c r="P86" s="96"/>
      <c r="Q86" s="112"/>
      <c r="R86" s="113"/>
      <c r="S86" s="114"/>
      <c r="T86" s="114"/>
      <c r="U86" s="114"/>
      <c r="V86" s="114"/>
      <c r="W86" s="119"/>
      <c r="X86" s="120"/>
      <c r="Y86" s="121"/>
      <c r="Z86" s="125"/>
      <c r="AA86" s="126"/>
      <c r="AB86" s="114"/>
      <c r="AC86" s="114"/>
      <c r="AD86" s="114"/>
      <c r="AE86" s="127"/>
      <c r="AF86" s="94"/>
      <c r="AG86" s="95"/>
      <c r="AH86" s="95"/>
      <c r="AI86" s="96"/>
      <c r="AJ86" s="119"/>
      <c r="AK86" s="121"/>
      <c r="AL86" s="128"/>
      <c r="AM86" s="129"/>
      <c r="AN86" s="132"/>
      <c r="AO86" s="133"/>
      <c r="AP86" s="94"/>
      <c r="AQ86" s="95"/>
      <c r="AR86" s="96"/>
      <c r="AS86" s="94"/>
      <c r="AT86" s="95"/>
      <c r="AU86" s="95"/>
      <c r="AV86" s="95"/>
      <c r="AW86" s="95"/>
      <c r="AX86" s="95"/>
      <c r="AY86" s="95"/>
      <c r="AZ86" s="95"/>
      <c r="BA86" s="96"/>
    </row>
    <row r="87" spans="2:91" s="21" customFormat="1" ht="13.5" customHeight="1" x14ac:dyDescent="0.15">
      <c r="B87" s="94"/>
      <c r="C87" s="95"/>
      <c r="D87" s="95"/>
      <c r="E87" s="95"/>
      <c r="F87" s="95"/>
      <c r="G87" s="95"/>
      <c r="H87" s="96"/>
      <c r="I87" s="94"/>
      <c r="J87" s="95"/>
      <c r="K87" s="95"/>
      <c r="L87" s="96"/>
      <c r="M87" s="94"/>
      <c r="N87" s="95"/>
      <c r="O87" s="95"/>
      <c r="P87" s="96"/>
      <c r="Q87" s="112"/>
      <c r="R87" s="113"/>
      <c r="S87" s="114"/>
      <c r="T87" s="114"/>
      <c r="U87" s="114"/>
      <c r="V87" s="114"/>
      <c r="W87" s="119"/>
      <c r="X87" s="120"/>
      <c r="Y87" s="121"/>
      <c r="Z87" s="125"/>
      <c r="AA87" s="126"/>
      <c r="AB87" s="114"/>
      <c r="AC87" s="114"/>
      <c r="AD87" s="114"/>
      <c r="AE87" s="127"/>
      <c r="AF87" s="94"/>
      <c r="AG87" s="95"/>
      <c r="AH87" s="95"/>
      <c r="AI87" s="96"/>
      <c r="AJ87" s="119"/>
      <c r="AK87" s="121"/>
      <c r="AL87" s="128"/>
      <c r="AM87" s="129"/>
      <c r="AN87" s="132"/>
      <c r="AO87" s="133"/>
      <c r="AP87" s="94"/>
      <c r="AQ87" s="95"/>
      <c r="AR87" s="96"/>
      <c r="AS87" s="94"/>
      <c r="AT87" s="95"/>
      <c r="AU87" s="95"/>
      <c r="AV87" s="95"/>
      <c r="AW87" s="95"/>
      <c r="AX87" s="95"/>
      <c r="AY87" s="95"/>
      <c r="AZ87" s="95"/>
      <c r="BA87" s="96"/>
    </row>
    <row r="88" spans="2:91" s="21" customFormat="1" ht="13.5" customHeight="1" x14ac:dyDescent="0.15">
      <c r="B88" s="97"/>
      <c r="C88" s="98"/>
      <c r="D88" s="98"/>
      <c r="E88" s="98"/>
      <c r="F88" s="98"/>
      <c r="G88" s="98"/>
      <c r="H88" s="99"/>
      <c r="I88" s="97"/>
      <c r="J88" s="98"/>
      <c r="K88" s="98"/>
      <c r="L88" s="99"/>
      <c r="M88" s="97"/>
      <c r="N88" s="98"/>
      <c r="O88" s="98"/>
      <c r="P88" s="99"/>
      <c r="Q88" s="103"/>
      <c r="R88" s="104"/>
      <c r="S88" s="114"/>
      <c r="T88" s="114"/>
      <c r="U88" s="114"/>
      <c r="V88" s="114"/>
      <c r="W88" s="122"/>
      <c r="X88" s="123"/>
      <c r="Y88" s="124"/>
      <c r="Z88" s="125"/>
      <c r="AA88" s="126"/>
      <c r="AB88" s="114"/>
      <c r="AC88" s="114"/>
      <c r="AD88" s="114"/>
      <c r="AE88" s="127"/>
      <c r="AF88" s="97"/>
      <c r="AG88" s="98"/>
      <c r="AH88" s="98"/>
      <c r="AI88" s="99"/>
      <c r="AJ88" s="122"/>
      <c r="AK88" s="124"/>
      <c r="AL88" s="130"/>
      <c r="AM88" s="131"/>
      <c r="AN88" s="134"/>
      <c r="AO88" s="135"/>
      <c r="AP88" s="97"/>
      <c r="AQ88" s="98"/>
      <c r="AR88" s="99"/>
      <c r="AS88" s="97"/>
      <c r="AT88" s="98"/>
      <c r="AU88" s="98"/>
      <c r="AV88" s="98"/>
      <c r="AW88" s="98"/>
      <c r="AX88" s="98"/>
      <c r="AY88" s="98"/>
      <c r="AZ88" s="98"/>
      <c r="BA88" s="99"/>
      <c r="BC88" s="21" t="s">
        <v>64</v>
      </c>
      <c r="BK88" s="21" t="s">
        <v>90</v>
      </c>
    </row>
    <row r="89" spans="2:91" s="21" customFormat="1" ht="18" customHeight="1" x14ac:dyDescent="0.15">
      <c r="B89" s="106" t="s">
        <v>44</v>
      </c>
      <c r="C89" s="107"/>
      <c r="D89" s="107"/>
      <c r="E89" s="107"/>
      <c r="F89" s="107"/>
      <c r="G89" s="107"/>
      <c r="H89" s="108"/>
      <c r="I89" s="79">
        <f>SUM(I91:L94)</f>
        <v>131939000</v>
      </c>
      <c r="J89" s="80"/>
      <c r="K89" s="80"/>
      <c r="L89" s="89"/>
      <c r="M89" s="79">
        <f>SUM(M91:P94)</f>
        <v>-8437000</v>
      </c>
      <c r="N89" s="80"/>
      <c r="O89" s="80"/>
      <c r="P89" s="89"/>
      <c r="Q89" s="79">
        <f>SUM(Q91:R94)</f>
        <v>0</v>
      </c>
      <c r="R89" s="80"/>
      <c r="S89" s="72">
        <f>SUM(S91:V94)</f>
        <v>123502000</v>
      </c>
      <c r="T89" s="72"/>
      <c r="U89" s="72"/>
      <c r="V89" s="72"/>
      <c r="W89" s="79">
        <f>SUM(W91:Y94)</f>
        <v>7650000</v>
      </c>
      <c r="X89" s="80"/>
      <c r="Y89" s="89"/>
      <c r="Z89" s="79">
        <f>SUM(Z91:AA94)</f>
        <v>0</v>
      </c>
      <c r="AA89" s="80"/>
      <c r="AB89" s="72">
        <f>SUM(AB91:AE94)</f>
        <v>131152000</v>
      </c>
      <c r="AC89" s="72"/>
      <c r="AD89" s="72"/>
      <c r="AE89" s="72"/>
      <c r="AF89" s="79">
        <f>SUM(AF91:AI94)</f>
        <v>128485499</v>
      </c>
      <c r="AG89" s="80"/>
      <c r="AH89" s="80"/>
      <c r="AI89" s="80"/>
      <c r="AJ89" s="79">
        <f>SUM(AJ91:AK94)</f>
        <v>0</v>
      </c>
      <c r="AK89" s="89"/>
      <c r="AL89" s="54">
        <f>SUM(AL91:AM94)</f>
        <v>0</v>
      </c>
      <c r="AM89" s="70"/>
      <c r="AN89" s="72">
        <f>SUM(AN91:AO94)</f>
        <v>0</v>
      </c>
      <c r="AO89" s="72"/>
      <c r="AP89" s="79">
        <f>SUM(AP91:AR94)</f>
        <v>2666501</v>
      </c>
      <c r="AQ89" s="80"/>
      <c r="AR89" s="80"/>
      <c r="AS89" s="58"/>
      <c r="AT89" s="59"/>
      <c r="AU89" s="59"/>
      <c r="AV89" s="59"/>
      <c r="AW89" s="59"/>
      <c r="AX89" s="59"/>
      <c r="AY89" s="59"/>
      <c r="AZ89" s="59"/>
      <c r="BA89" s="60"/>
    </row>
    <row r="90" spans="2:91" s="21" customFormat="1" ht="18" customHeight="1" x14ac:dyDescent="0.15">
      <c r="B90" s="109"/>
      <c r="C90" s="110"/>
      <c r="D90" s="110"/>
      <c r="E90" s="110"/>
      <c r="F90" s="110"/>
      <c r="G90" s="110"/>
      <c r="H90" s="111"/>
      <c r="I90" s="81"/>
      <c r="J90" s="82"/>
      <c r="K90" s="82"/>
      <c r="L90" s="90"/>
      <c r="M90" s="81"/>
      <c r="N90" s="82"/>
      <c r="O90" s="82"/>
      <c r="P90" s="90"/>
      <c r="Q90" s="81"/>
      <c r="R90" s="82"/>
      <c r="S90" s="72"/>
      <c r="T90" s="72"/>
      <c r="U90" s="72"/>
      <c r="V90" s="72"/>
      <c r="W90" s="81"/>
      <c r="X90" s="82"/>
      <c r="Y90" s="90"/>
      <c r="Z90" s="81"/>
      <c r="AA90" s="82"/>
      <c r="AB90" s="72"/>
      <c r="AC90" s="72"/>
      <c r="AD90" s="72"/>
      <c r="AE90" s="72"/>
      <c r="AF90" s="81"/>
      <c r="AG90" s="82"/>
      <c r="AH90" s="82"/>
      <c r="AI90" s="82"/>
      <c r="AJ90" s="81"/>
      <c r="AK90" s="90"/>
      <c r="AL90" s="56"/>
      <c r="AM90" s="71"/>
      <c r="AN90" s="72"/>
      <c r="AO90" s="72"/>
      <c r="AP90" s="81"/>
      <c r="AQ90" s="82"/>
      <c r="AR90" s="82"/>
      <c r="AS90" s="61"/>
      <c r="AT90" s="62"/>
      <c r="AU90" s="62"/>
      <c r="AV90" s="62"/>
      <c r="AW90" s="62"/>
      <c r="AX90" s="62"/>
      <c r="AY90" s="62"/>
      <c r="AZ90" s="62"/>
      <c r="BA90" s="63"/>
      <c r="BC90" s="21" t="s">
        <v>76</v>
      </c>
      <c r="BG90" s="21" t="s">
        <v>77</v>
      </c>
    </row>
    <row r="91" spans="2:91" s="21" customFormat="1" ht="18" customHeight="1" x14ac:dyDescent="0.15">
      <c r="B91" s="106" t="s">
        <v>45</v>
      </c>
      <c r="C91" s="107"/>
      <c r="D91" s="107"/>
      <c r="E91" s="107"/>
      <c r="F91" s="107"/>
      <c r="G91" s="107"/>
      <c r="H91" s="108"/>
      <c r="I91" s="54">
        <v>93690000</v>
      </c>
      <c r="J91" s="55"/>
      <c r="K91" s="55"/>
      <c r="L91" s="70"/>
      <c r="M91" s="54">
        <v>-8437000</v>
      </c>
      <c r="N91" s="55"/>
      <c r="O91" s="55"/>
      <c r="P91" s="70"/>
      <c r="Q91" s="79">
        <f>SUM(Q95:R96)</f>
        <v>0</v>
      </c>
      <c r="R91" s="80"/>
      <c r="S91" s="68">
        <f>SUM(I91:R92)</f>
        <v>85253000</v>
      </c>
      <c r="T91" s="68"/>
      <c r="U91" s="68"/>
      <c r="V91" s="68"/>
      <c r="W91" s="68">
        <v>7650000</v>
      </c>
      <c r="X91" s="68"/>
      <c r="Y91" s="68"/>
      <c r="Z91" s="54">
        <v>0</v>
      </c>
      <c r="AA91" s="55"/>
      <c r="AB91" s="68">
        <f>SUM(S91:AA92)</f>
        <v>92903000</v>
      </c>
      <c r="AC91" s="68"/>
      <c r="AD91" s="68"/>
      <c r="AE91" s="68"/>
      <c r="AF91" s="54">
        <v>90237655</v>
      </c>
      <c r="AG91" s="55"/>
      <c r="AH91" s="55"/>
      <c r="AI91" s="70"/>
      <c r="AJ91" s="68">
        <v>0</v>
      </c>
      <c r="AK91" s="68"/>
      <c r="AL91" s="54">
        <v>0</v>
      </c>
      <c r="AM91" s="70"/>
      <c r="AN91" s="72">
        <f>SUM(AJ91:AM92)</f>
        <v>0</v>
      </c>
      <c r="AO91" s="72"/>
      <c r="AP91" s="54">
        <f>AB91-AF91-AN91</f>
        <v>2665345</v>
      </c>
      <c r="AQ91" s="55"/>
      <c r="AR91" s="55"/>
      <c r="AS91" s="83" t="s">
        <v>62</v>
      </c>
      <c r="AT91" s="84"/>
      <c r="AU91" s="84"/>
      <c r="AV91" s="84"/>
      <c r="AW91" s="84"/>
      <c r="AX91" s="84"/>
      <c r="AY91" s="84"/>
      <c r="AZ91" s="84"/>
      <c r="BA91" s="85"/>
      <c r="BC91" s="21">
        <v>15372000</v>
      </c>
    </row>
    <row r="92" spans="2:91" s="21" customFormat="1" ht="18" customHeight="1" x14ac:dyDescent="0.15">
      <c r="B92" s="109"/>
      <c r="C92" s="110"/>
      <c r="D92" s="110"/>
      <c r="E92" s="110"/>
      <c r="F92" s="110"/>
      <c r="G92" s="110"/>
      <c r="H92" s="111"/>
      <c r="I92" s="56"/>
      <c r="J92" s="57"/>
      <c r="K92" s="57"/>
      <c r="L92" s="71"/>
      <c r="M92" s="56"/>
      <c r="N92" s="57"/>
      <c r="O92" s="57"/>
      <c r="P92" s="71"/>
      <c r="Q92" s="81"/>
      <c r="R92" s="82"/>
      <c r="S92" s="68"/>
      <c r="T92" s="68"/>
      <c r="U92" s="68"/>
      <c r="V92" s="68"/>
      <c r="W92" s="68"/>
      <c r="X92" s="68"/>
      <c r="Y92" s="68"/>
      <c r="Z92" s="56"/>
      <c r="AA92" s="57"/>
      <c r="AB92" s="68"/>
      <c r="AC92" s="68"/>
      <c r="AD92" s="68"/>
      <c r="AE92" s="68"/>
      <c r="AF92" s="56"/>
      <c r="AG92" s="57"/>
      <c r="AH92" s="57"/>
      <c r="AI92" s="71"/>
      <c r="AJ92" s="68"/>
      <c r="AK92" s="68"/>
      <c r="AL92" s="56"/>
      <c r="AM92" s="71"/>
      <c r="AN92" s="72"/>
      <c r="AO92" s="72"/>
      <c r="AP92" s="56"/>
      <c r="AQ92" s="57"/>
      <c r="AR92" s="57"/>
      <c r="AS92" s="86" t="s">
        <v>106</v>
      </c>
      <c r="AT92" s="87"/>
      <c r="AU92" s="87"/>
      <c r="AV92" s="87"/>
      <c r="AW92" s="87"/>
      <c r="AX92" s="87"/>
      <c r="AY92" s="87"/>
      <c r="AZ92" s="87"/>
      <c r="BA92" s="88"/>
      <c r="BB92" s="21" t="s">
        <v>104</v>
      </c>
      <c r="BC92" s="21">
        <v>7750000</v>
      </c>
    </row>
    <row r="93" spans="2:91" s="21" customFormat="1" ht="18" customHeight="1" x14ac:dyDescent="0.15">
      <c r="B93" s="73" t="s">
        <v>46</v>
      </c>
      <c r="C93" s="74"/>
      <c r="D93" s="74"/>
      <c r="E93" s="74"/>
      <c r="F93" s="74"/>
      <c r="G93" s="74"/>
      <c r="H93" s="75"/>
      <c r="I93" s="54">
        <v>38249000</v>
      </c>
      <c r="J93" s="55"/>
      <c r="K93" s="55"/>
      <c r="L93" s="70"/>
      <c r="M93" s="54">
        <v>0</v>
      </c>
      <c r="N93" s="55"/>
      <c r="O93" s="55"/>
      <c r="P93" s="70"/>
      <c r="Q93" s="79">
        <f>SUM(Q95:R95)</f>
        <v>0</v>
      </c>
      <c r="R93" s="80"/>
      <c r="S93" s="54">
        <f>SUM(I93:R94)</f>
        <v>38249000</v>
      </c>
      <c r="T93" s="55"/>
      <c r="U93" s="55"/>
      <c r="V93" s="70"/>
      <c r="W93" s="68">
        <v>0</v>
      </c>
      <c r="X93" s="68"/>
      <c r="Y93" s="68"/>
      <c r="Z93" s="68">
        <v>0</v>
      </c>
      <c r="AA93" s="69"/>
      <c r="AB93" s="68">
        <f>SUM(S93:AA94)</f>
        <v>38249000</v>
      </c>
      <c r="AC93" s="68"/>
      <c r="AD93" s="68"/>
      <c r="AE93" s="68"/>
      <c r="AF93" s="54">
        <v>38247844</v>
      </c>
      <c r="AG93" s="55"/>
      <c r="AH93" s="55"/>
      <c r="AI93" s="70"/>
      <c r="AJ93" s="68">
        <v>0</v>
      </c>
      <c r="AK93" s="68"/>
      <c r="AL93" s="54">
        <v>0</v>
      </c>
      <c r="AM93" s="70"/>
      <c r="AN93" s="72">
        <f>SUM(AJ93:AM94)</f>
        <v>0</v>
      </c>
      <c r="AO93" s="72"/>
      <c r="AP93" s="54">
        <f>AB93-AF93-AN93</f>
        <v>1156</v>
      </c>
      <c r="AQ93" s="55"/>
      <c r="AR93" s="55"/>
      <c r="AS93" s="58"/>
      <c r="AT93" s="59"/>
      <c r="AU93" s="59"/>
      <c r="AV93" s="59"/>
      <c r="AW93" s="59"/>
      <c r="AX93" s="59"/>
      <c r="AY93" s="59"/>
      <c r="AZ93" s="59"/>
      <c r="BA93" s="60"/>
      <c r="BC93" s="21">
        <v>2475000</v>
      </c>
    </row>
    <row r="94" spans="2:91" s="21" customFormat="1" ht="18" customHeight="1" x14ac:dyDescent="0.15">
      <c r="B94" s="76"/>
      <c r="C94" s="77"/>
      <c r="D94" s="77"/>
      <c r="E94" s="77"/>
      <c r="F94" s="77"/>
      <c r="G94" s="77"/>
      <c r="H94" s="78"/>
      <c r="I94" s="56"/>
      <c r="J94" s="57"/>
      <c r="K94" s="57"/>
      <c r="L94" s="71"/>
      <c r="M94" s="56"/>
      <c r="N94" s="57"/>
      <c r="O94" s="57"/>
      <c r="P94" s="71"/>
      <c r="Q94" s="81"/>
      <c r="R94" s="82"/>
      <c r="S94" s="56"/>
      <c r="T94" s="57"/>
      <c r="U94" s="57"/>
      <c r="V94" s="71"/>
      <c r="W94" s="68"/>
      <c r="X94" s="68"/>
      <c r="Y94" s="68"/>
      <c r="Z94" s="68"/>
      <c r="AA94" s="69"/>
      <c r="AB94" s="68"/>
      <c r="AC94" s="68"/>
      <c r="AD94" s="68"/>
      <c r="AE94" s="68"/>
      <c r="AF94" s="56"/>
      <c r="AG94" s="57"/>
      <c r="AH94" s="57"/>
      <c r="AI94" s="71"/>
      <c r="AJ94" s="68"/>
      <c r="AK94" s="68"/>
      <c r="AL94" s="56"/>
      <c r="AM94" s="71"/>
      <c r="AN94" s="72"/>
      <c r="AO94" s="72"/>
      <c r="AP94" s="56"/>
      <c r="AQ94" s="57"/>
      <c r="AR94" s="57"/>
      <c r="AS94" s="61"/>
      <c r="AT94" s="62"/>
      <c r="AU94" s="62"/>
      <c r="AV94" s="62"/>
      <c r="AW94" s="62"/>
      <c r="AX94" s="62"/>
      <c r="AY94" s="62"/>
      <c r="AZ94" s="62"/>
      <c r="BA94" s="63"/>
      <c r="BC94" s="21">
        <v>1754500</v>
      </c>
    </row>
    <row r="95" spans="2:91" ht="15" customHeight="1" x14ac:dyDescent="0.15">
      <c r="B95" s="64" t="s">
        <v>105</v>
      </c>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C95" s="21">
        <v>4840000</v>
      </c>
      <c r="BG95" s="48">
        <v>82034231</v>
      </c>
    </row>
    <row r="96" spans="2:91" ht="15" customHeight="1" x14ac:dyDescent="0.1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row>
    <row r="97" spans="2:55" ht="15" customHeight="1" x14ac:dyDescent="0.1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C97" s="48" t="s">
        <v>66</v>
      </c>
    </row>
    <row r="98" spans="2:55"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C98" s="48">
        <f>AE72-AF89</f>
        <v>-65596399</v>
      </c>
    </row>
    <row r="99" spans="2:55" s="18" customFormat="1" ht="13.5" customHeight="1" x14ac:dyDescent="0.15"/>
    <row r="100" spans="2:55" s="18" customFormat="1" ht="13.5" customHeight="1" x14ac:dyDescent="0.15"/>
    <row r="101" spans="2:55" s="18" customFormat="1" ht="13.5" customHeight="1" x14ac:dyDescent="0.15"/>
    <row r="102" spans="2:55" s="18" customFormat="1" ht="13.5" customHeight="1" x14ac:dyDescent="0.15">
      <c r="P102" s="53"/>
      <c r="Q102" s="53"/>
      <c r="R102" s="53"/>
      <c r="S102" s="53"/>
    </row>
    <row r="103" spans="2:55" s="18" customFormat="1" ht="13.5" customHeight="1" x14ac:dyDescent="0.15">
      <c r="AD103" s="18" t="s">
        <v>100</v>
      </c>
      <c r="AF103" s="66">
        <v>78797655</v>
      </c>
      <c r="AG103" s="66"/>
      <c r="AH103" s="66"/>
      <c r="AI103" s="66"/>
      <c r="AJ103" s="66"/>
      <c r="AL103" s="18" t="s">
        <v>101</v>
      </c>
    </row>
    <row r="104" spans="2:55" ht="18" customHeight="1" x14ac:dyDescent="0.15">
      <c r="D104" s="67"/>
      <c r="E104" s="67"/>
      <c r="F104" s="67"/>
      <c r="AD104" s="48" t="s">
        <v>99</v>
      </c>
      <c r="AF104" s="52">
        <v>82647655</v>
      </c>
      <c r="AG104" s="52"/>
      <c r="AH104" s="52"/>
      <c r="AI104" s="52"/>
      <c r="AJ104" s="52"/>
    </row>
    <row r="105" spans="2:55" ht="18" customHeight="1" x14ac:dyDescent="0.15">
      <c r="AF105" s="52">
        <v>7590000</v>
      </c>
      <c r="AG105" s="52"/>
      <c r="AH105" s="52"/>
      <c r="AI105" s="52"/>
      <c r="AJ105" s="52"/>
      <c r="AL105" s="48" t="s">
        <v>102</v>
      </c>
    </row>
    <row r="106" spans="2:55" ht="18" customHeight="1" x14ac:dyDescent="0.15">
      <c r="AF106" s="66">
        <f>AF104+AF105</f>
        <v>90237655</v>
      </c>
      <c r="AG106" s="66"/>
      <c r="AH106" s="66"/>
      <c r="AI106" s="66"/>
      <c r="AJ106" s="66"/>
    </row>
    <row r="107" spans="2:55" ht="18" customHeight="1" x14ac:dyDescent="0.15"/>
    <row r="108" spans="2:55" ht="18" customHeight="1" x14ac:dyDescent="0.15"/>
    <row r="109" spans="2:55" ht="18" customHeight="1" x14ac:dyDescent="0.15"/>
    <row r="110" spans="2:55" ht="18" customHeight="1" x14ac:dyDescent="0.15"/>
    <row r="111" spans="2:55" ht="18" customHeight="1" x14ac:dyDescent="0.15"/>
    <row r="112" spans="2:55"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31">
    <mergeCell ref="AF106:AJ106"/>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B26:H27"/>
    <mergeCell ref="I26:L27"/>
    <mergeCell ref="M26:P27"/>
    <mergeCell ref="Q26:T27"/>
    <mergeCell ref="U26:X27"/>
    <mergeCell ref="Y26:AB27"/>
    <mergeCell ref="AC30:AF31"/>
    <mergeCell ref="AG30:BA31"/>
    <mergeCell ref="B11:H12"/>
    <mergeCell ref="B13:BA14"/>
    <mergeCell ref="B16:N17"/>
    <mergeCell ref="AR17:BA17"/>
    <mergeCell ref="B18:E19"/>
    <mergeCell ref="AU19:BA19"/>
    <mergeCell ref="B30:H31"/>
    <mergeCell ref="I30:L31"/>
    <mergeCell ref="M30:P31"/>
    <mergeCell ref="Q30:T31"/>
    <mergeCell ref="U30:X31"/>
    <mergeCell ref="Y30:AB31"/>
    <mergeCell ref="AB37:AC40"/>
    <mergeCell ref="AD37:AG40"/>
    <mergeCell ref="AC28:AF29"/>
    <mergeCell ref="AG28:BA29"/>
    <mergeCell ref="I37:L40"/>
    <mergeCell ref="M37:P40"/>
    <mergeCell ref="Q37:R40"/>
    <mergeCell ref="S37:U40"/>
    <mergeCell ref="V37:W40"/>
    <mergeCell ref="X37:AA40"/>
    <mergeCell ref="B32:E34"/>
    <mergeCell ref="AU34:BA34"/>
    <mergeCell ref="B35:H40"/>
    <mergeCell ref="I35:AG36"/>
    <mergeCell ref="AH35:AK40"/>
    <mergeCell ref="AL35:AM40"/>
    <mergeCell ref="AN35:AQ40"/>
    <mergeCell ref="AR35:BA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F105:AJ105"/>
    <mergeCell ref="P102:S102"/>
    <mergeCell ref="AP93:AR94"/>
    <mergeCell ref="AS93:BA94"/>
    <mergeCell ref="B95:BA97"/>
    <mergeCell ref="AF103:AJ103"/>
    <mergeCell ref="D104:F104"/>
    <mergeCell ref="AF104:AJ104"/>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0D9D9EA7-1673-4282-8E6F-BEE65602B48F}">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990F4-230C-4163-8A6E-17A0BEB4D156}">
  <sheetPr>
    <tabColor rgb="FFFF0000"/>
  </sheetPr>
  <dimension ref="B1:CM904"/>
  <sheetViews>
    <sheetView showGridLines="0" showOutlineSymbols="0" view="pageBreakPreview" topLeftCell="A84" zoomScale="89" zoomScaleNormal="89" zoomScaleSheetLayoutView="89" workbookViewId="0">
      <selection activeCell="AF91" sqref="AF91:AI92"/>
    </sheetView>
  </sheetViews>
  <sheetFormatPr defaultRowHeight="13.5" x14ac:dyDescent="0.15"/>
  <cols>
    <col min="1" max="1" width="2.625" style="44" customWidth="1"/>
    <col min="2" max="15" width="3.125" style="44" customWidth="1"/>
    <col min="16" max="16" width="4.25" style="44" customWidth="1"/>
    <col min="17" max="37" width="3.125" style="44" customWidth="1"/>
    <col min="38" max="38" width="4.625" style="44" customWidth="1"/>
    <col min="39" max="42" width="3.125" style="44" customWidth="1"/>
    <col min="43" max="43" width="3.5" style="44" customWidth="1"/>
    <col min="44" max="53" width="3.125" style="44" customWidth="1"/>
    <col min="54" max="54" width="5.625" style="44" customWidth="1"/>
    <col min="55" max="55" width="15.25" style="44" customWidth="1"/>
    <col min="56" max="58" width="2.625" style="44" customWidth="1"/>
    <col min="59" max="59" width="11.625" style="44" bestFit="1" customWidth="1"/>
    <col min="60" max="100" width="2.625" style="44" customWidth="1"/>
    <col min="101" max="260" width="9" style="44"/>
    <col min="261" max="275" width="3.125" style="44" customWidth="1"/>
    <col min="276" max="276" width="5.5" style="44" customWidth="1"/>
    <col min="277" max="277" width="5.625" style="44" customWidth="1"/>
    <col min="278" max="293" width="3.125" style="44" customWidth="1"/>
    <col min="294" max="294" width="5.375" style="44" customWidth="1"/>
    <col min="295" max="296" width="3.125" style="44" customWidth="1"/>
    <col min="297" max="297" width="4.625" style="44" customWidth="1"/>
    <col min="298" max="298" width="3.5" style="44" customWidth="1"/>
    <col min="299" max="309" width="3.125" style="44" customWidth="1"/>
    <col min="310" max="311" width="5.625" style="44" customWidth="1"/>
    <col min="312" max="356" width="2.625" style="44" customWidth="1"/>
    <col min="357" max="516" width="9" style="44"/>
    <col min="517" max="531" width="3.125" style="44" customWidth="1"/>
    <col min="532" max="532" width="5.5" style="44" customWidth="1"/>
    <col min="533" max="533" width="5.625" style="44" customWidth="1"/>
    <col min="534" max="549" width="3.125" style="44" customWidth="1"/>
    <col min="550" max="550" width="5.375" style="44" customWidth="1"/>
    <col min="551" max="552" width="3.125" style="44" customWidth="1"/>
    <col min="553" max="553" width="4.625" style="44" customWidth="1"/>
    <col min="554" max="554" width="3.5" style="44" customWidth="1"/>
    <col min="555" max="565" width="3.125" style="44" customWidth="1"/>
    <col min="566" max="567" width="5.625" style="44" customWidth="1"/>
    <col min="568" max="612" width="2.625" style="44" customWidth="1"/>
    <col min="613" max="772" width="9" style="44"/>
    <col min="773" max="787" width="3.125" style="44" customWidth="1"/>
    <col min="788" max="788" width="5.5" style="44" customWidth="1"/>
    <col min="789" max="789" width="5.625" style="44" customWidth="1"/>
    <col min="790" max="805" width="3.125" style="44" customWidth="1"/>
    <col min="806" max="806" width="5.375" style="44" customWidth="1"/>
    <col min="807" max="808" width="3.125" style="44" customWidth="1"/>
    <col min="809" max="809" width="4.625" style="44" customWidth="1"/>
    <col min="810" max="810" width="3.5" style="44" customWidth="1"/>
    <col min="811" max="821" width="3.125" style="44" customWidth="1"/>
    <col min="822" max="823" width="5.625" style="44" customWidth="1"/>
    <col min="824" max="868" width="2.625" style="44" customWidth="1"/>
    <col min="869" max="1028" width="9" style="44"/>
    <col min="1029" max="1043" width="3.125" style="44" customWidth="1"/>
    <col min="1044" max="1044" width="5.5" style="44" customWidth="1"/>
    <col min="1045" max="1045" width="5.625" style="44" customWidth="1"/>
    <col min="1046" max="1061" width="3.125" style="44" customWidth="1"/>
    <col min="1062" max="1062" width="5.375" style="44" customWidth="1"/>
    <col min="1063" max="1064" width="3.125" style="44" customWidth="1"/>
    <col min="1065" max="1065" width="4.625" style="44" customWidth="1"/>
    <col min="1066" max="1066" width="3.5" style="44" customWidth="1"/>
    <col min="1067" max="1077" width="3.125" style="44" customWidth="1"/>
    <col min="1078" max="1079" width="5.625" style="44" customWidth="1"/>
    <col min="1080" max="1124" width="2.625" style="44" customWidth="1"/>
    <col min="1125" max="1284" width="9" style="44"/>
    <col min="1285" max="1299" width="3.125" style="44" customWidth="1"/>
    <col min="1300" max="1300" width="5.5" style="44" customWidth="1"/>
    <col min="1301" max="1301" width="5.625" style="44" customWidth="1"/>
    <col min="1302" max="1317" width="3.125" style="44" customWidth="1"/>
    <col min="1318" max="1318" width="5.375" style="44" customWidth="1"/>
    <col min="1319" max="1320" width="3.125" style="44" customWidth="1"/>
    <col min="1321" max="1321" width="4.625" style="44" customWidth="1"/>
    <col min="1322" max="1322" width="3.5" style="44" customWidth="1"/>
    <col min="1323" max="1333" width="3.125" style="44" customWidth="1"/>
    <col min="1334" max="1335" width="5.625" style="44" customWidth="1"/>
    <col min="1336" max="1380" width="2.625" style="44" customWidth="1"/>
    <col min="1381" max="1540" width="9" style="44"/>
    <col min="1541" max="1555" width="3.125" style="44" customWidth="1"/>
    <col min="1556" max="1556" width="5.5" style="44" customWidth="1"/>
    <col min="1557" max="1557" width="5.625" style="44" customWidth="1"/>
    <col min="1558" max="1573" width="3.125" style="44" customWidth="1"/>
    <col min="1574" max="1574" width="5.375" style="44" customWidth="1"/>
    <col min="1575" max="1576" width="3.125" style="44" customWidth="1"/>
    <col min="1577" max="1577" width="4.625" style="44" customWidth="1"/>
    <col min="1578" max="1578" width="3.5" style="44" customWidth="1"/>
    <col min="1579" max="1589" width="3.125" style="44" customWidth="1"/>
    <col min="1590" max="1591" width="5.625" style="44" customWidth="1"/>
    <col min="1592" max="1636" width="2.625" style="44" customWidth="1"/>
    <col min="1637" max="1796" width="9" style="44"/>
    <col min="1797" max="1811" width="3.125" style="44" customWidth="1"/>
    <col min="1812" max="1812" width="5.5" style="44" customWidth="1"/>
    <col min="1813" max="1813" width="5.625" style="44" customWidth="1"/>
    <col min="1814" max="1829" width="3.125" style="44" customWidth="1"/>
    <col min="1830" max="1830" width="5.375" style="44" customWidth="1"/>
    <col min="1831" max="1832" width="3.125" style="44" customWidth="1"/>
    <col min="1833" max="1833" width="4.625" style="44" customWidth="1"/>
    <col min="1834" max="1834" width="3.5" style="44" customWidth="1"/>
    <col min="1835" max="1845" width="3.125" style="44" customWidth="1"/>
    <col min="1846" max="1847" width="5.625" style="44" customWidth="1"/>
    <col min="1848" max="1892" width="2.625" style="44" customWidth="1"/>
    <col min="1893" max="2052" width="9" style="44"/>
    <col min="2053" max="2067" width="3.125" style="44" customWidth="1"/>
    <col min="2068" max="2068" width="5.5" style="44" customWidth="1"/>
    <col min="2069" max="2069" width="5.625" style="44" customWidth="1"/>
    <col min="2070" max="2085" width="3.125" style="44" customWidth="1"/>
    <col min="2086" max="2086" width="5.375" style="44" customWidth="1"/>
    <col min="2087" max="2088" width="3.125" style="44" customWidth="1"/>
    <col min="2089" max="2089" width="4.625" style="44" customWidth="1"/>
    <col min="2090" max="2090" width="3.5" style="44" customWidth="1"/>
    <col min="2091" max="2101" width="3.125" style="44" customWidth="1"/>
    <col min="2102" max="2103" width="5.625" style="44" customWidth="1"/>
    <col min="2104" max="2148" width="2.625" style="44" customWidth="1"/>
    <col min="2149" max="2308" width="9" style="44"/>
    <col min="2309" max="2323" width="3.125" style="44" customWidth="1"/>
    <col min="2324" max="2324" width="5.5" style="44" customWidth="1"/>
    <col min="2325" max="2325" width="5.625" style="44" customWidth="1"/>
    <col min="2326" max="2341" width="3.125" style="44" customWidth="1"/>
    <col min="2342" max="2342" width="5.375" style="44" customWidth="1"/>
    <col min="2343" max="2344" width="3.125" style="44" customWidth="1"/>
    <col min="2345" max="2345" width="4.625" style="44" customWidth="1"/>
    <col min="2346" max="2346" width="3.5" style="44" customWidth="1"/>
    <col min="2347" max="2357" width="3.125" style="44" customWidth="1"/>
    <col min="2358" max="2359" width="5.625" style="44" customWidth="1"/>
    <col min="2360" max="2404" width="2.625" style="44" customWidth="1"/>
    <col min="2405" max="2564" width="9" style="44"/>
    <col min="2565" max="2579" width="3.125" style="44" customWidth="1"/>
    <col min="2580" max="2580" width="5.5" style="44" customWidth="1"/>
    <col min="2581" max="2581" width="5.625" style="44" customWidth="1"/>
    <col min="2582" max="2597" width="3.125" style="44" customWidth="1"/>
    <col min="2598" max="2598" width="5.375" style="44" customWidth="1"/>
    <col min="2599" max="2600" width="3.125" style="44" customWidth="1"/>
    <col min="2601" max="2601" width="4.625" style="44" customWidth="1"/>
    <col min="2602" max="2602" width="3.5" style="44" customWidth="1"/>
    <col min="2603" max="2613" width="3.125" style="44" customWidth="1"/>
    <col min="2614" max="2615" width="5.625" style="44" customWidth="1"/>
    <col min="2616" max="2660" width="2.625" style="44" customWidth="1"/>
    <col min="2661" max="2820" width="9" style="44"/>
    <col min="2821" max="2835" width="3.125" style="44" customWidth="1"/>
    <col min="2836" max="2836" width="5.5" style="44" customWidth="1"/>
    <col min="2837" max="2837" width="5.625" style="44" customWidth="1"/>
    <col min="2838" max="2853" width="3.125" style="44" customWidth="1"/>
    <col min="2854" max="2854" width="5.375" style="44" customWidth="1"/>
    <col min="2855" max="2856" width="3.125" style="44" customWidth="1"/>
    <col min="2857" max="2857" width="4.625" style="44" customWidth="1"/>
    <col min="2858" max="2858" width="3.5" style="44" customWidth="1"/>
    <col min="2859" max="2869" width="3.125" style="44" customWidth="1"/>
    <col min="2870" max="2871" width="5.625" style="44" customWidth="1"/>
    <col min="2872" max="2916" width="2.625" style="44" customWidth="1"/>
    <col min="2917" max="3076" width="9" style="44"/>
    <col min="3077" max="3091" width="3.125" style="44" customWidth="1"/>
    <col min="3092" max="3092" width="5.5" style="44" customWidth="1"/>
    <col min="3093" max="3093" width="5.625" style="44" customWidth="1"/>
    <col min="3094" max="3109" width="3.125" style="44" customWidth="1"/>
    <col min="3110" max="3110" width="5.375" style="44" customWidth="1"/>
    <col min="3111" max="3112" width="3.125" style="44" customWidth="1"/>
    <col min="3113" max="3113" width="4.625" style="44" customWidth="1"/>
    <col min="3114" max="3114" width="3.5" style="44" customWidth="1"/>
    <col min="3115" max="3125" width="3.125" style="44" customWidth="1"/>
    <col min="3126" max="3127" width="5.625" style="44" customWidth="1"/>
    <col min="3128" max="3172" width="2.625" style="44" customWidth="1"/>
    <col min="3173" max="3332" width="9" style="44"/>
    <col min="3333" max="3347" width="3.125" style="44" customWidth="1"/>
    <col min="3348" max="3348" width="5.5" style="44" customWidth="1"/>
    <col min="3349" max="3349" width="5.625" style="44" customWidth="1"/>
    <col min="3350" max="3365" width="3.125" style="44" customWidth="1"/>
    <col min="3366" max="3366" width="5.375" style="44" customWidth="1"/>
    <col min="3367" max="3368" width="3.125" style="44" customWidth="1"/>
    <col min="3369" max="3369" width="4.625" style="44" customWidth="1"/>
    <col min="3370" max="3370" width="3.5" style="44" customWidth="1"/>
    <col min="3371" max="3381" width="3.125" style="44" customWidth="1"/>
    <col min="3382" max="3383" width="5.625" style="44" customWidth="1"/>
    <col min="3384" max="3428" width="2.625" style="44" customWidth="1"/>
    <col min="3429" max="3588" width="9" style="44"/>
    <col min="3589" max="3603" width="3.125" style="44" customWidth="1"/>
    <col min="3604" max="3604" width="5.5" style="44" customWidth="1"/>
    <col min="3605" max="3605" width="5.625" style="44" customWidth="1"/>
    <col min="3606" max="3621" width="3.125" style="44" customWidth="1"/>
    <col min="3622" max="3622" width="5.375" style="44" customWidth="1"/>
    <col min="3623" max="3624" width="3.125" style="44" customWidth="1"/>
    <col min="3625" max="3625" width="4.625" style="44" customWidth="1"/>
    <col min="3626" max="3626" width="3.5" style="44" customWidth="1"/>
    <col min="3627" max="3637" width="3.125" style="44" customWidth="1"/>
    <col min="3638" max="3639" width="5.625" style="44" customWidth="1"/>
    <col min="3640" max="3684" width="2.625" style="44" customWidth="1"/>
    <col min="3685" max="3844" width="9" style="44"/>
    <col min="3845" max="3859" width="3.125" style="44" customWidth="1"/>
    <col min="3860" max="3860" width="5.5" style="44" customWidth="1"/>
    <col min="3861" max="3861" width="5.625" style="44" customWidth="1"/>
    <col min="3862" max="3877" width="3.125" style="44" customWidth="1"/>
    <col min="3878" max="3878" width="5.375" style="44" customWidth="1"/>
    <col min="3879" max="3880" width="3.125" style="44" customWidth="1"/>
    <col min="3881" max="3881" width="4.625" style="44" customWidth="1"/>
    <col min="3882" max="3882" width="3.5" style="44" customWidth="1"/>
    <col min="3883" max="3893" width="3.125" style="44" customWidth="1"/>
    <col min="3894" max="3895" width="5.625" style="44" customWidth="1"/>
    <col min="3896" max="3940" width="2.625" style="44" customWidth="1"/>
    <col min="3941" max="4100" width="9" style="44"/>
    <col min="4101" max="4115" width="3.125" style="44" customWidth="1"/>
    <col min="4116" max="4116" width="5.5" style="44" customWidth="1"/>
    <col min="4117" max="4117" width="5.625" style="44" customWidth="1"/>
    <col min="4118" max="4133" width="3.125" style="44" customWidth="1"/>
    <col min="4134" max="4134" width="5.375" style="44" customWidth="1"/>
    <col min="4135" max="4136" width="3.125" style="44" customWidth="1"/>
    <col min="4137" max="4137" width="4.625" style="44" customWidth="1"/>
    <col min="4138" max="4138" width="3.5" style="44" customWidth="1"/>
    <col min="4139" max="4149" width="3.125" style="44" customWidth="1"/>
    <col min="4150" max="4151" width="5.625" style="44" customWidth="1"/>
    <col min="4152" max="4196" width="2.625" style="44" customWidth="1"/>
    <col min="4197" max="4356" width="9" style="44"/>
    <col min="4357" max="4371" width="3.125" style="44" customWidth="1"/>
    <col min="4372" max="4372" width="5.5" style="44" customWidth="1"/>
    <col min="4373" max="4373" width="5.625" style="44" customWidth="1"/>
    <col min="4374" max="4389" width="3.125" style="44" customWidth="1"/>
    <col min="4390" max="4390" width="5.375" style="44" customWidth="1"/>
    <col min="4391" max="4392" width="3.125" style="44" customWidth="1"/>
    <col min="4393" max="4393" width="4.625" style="44" customWidth="1"/>
    <col min="4394" max="4394" width="3.5" style="44" customWidth="1"/>
    <col min="4395" max="4405" width="3.125" style="44" customWidth="1"/>
    <col min="4406" max="4407" width="5.625" style="44" customWidth="1"/>
    <col min="4408" max="4452" width="2.625" style="44" customWidth="1"/>
    <col min="4453" max="4612" width="9" style="44"/>
    <col min="4613" max="4627" width="3.125" style="44" customWidth="1"/>
    <col min="4628" max="4628" width="5.5" style="44" customWidth="1"/>
    <col min="4629" max="4629" width="5.625" style="44" customWidth="1"/>
    <col min="4630" max="4645" width="3.125" style="44" customWidth="1"/>
    <col min="4646" max="4646" width="5.375" style="44" customWidth="1"/>
    <col min="4647" max="4648" width="3.125" style="44" customWidth="1"/>
    <col min="4649" max="4649" width="4.625" style="44" customWidth="1"/>
    <col min="4650" max="4650" width="3.5" style="44" customWidth="1"/>
    <col min="4651" max="4661" width="3.125" style="44" customWidth="1"/>
    <col min="4662" max="4663" width="5.625" style="44" customWidth="1"/>
    <col min="4664" max="4708" width="2.625" style="44" customWidth="1"/>
    <col min="4709" max="4868" width="9" style="44"/>
    <col min="4869" max="4883" width="3.125" style="44" customWidth="1"/>
    <col min="4884" max="4884" width="5.5" style="44" customWidth="1"/>
    <col min="4885" max="4885" width="5.625" style="44" customWidth="1"/>
    <col min="4886" max="4901" width="3.125" style="44" customWidth="1"/>
    <col min="4902" max="4902" width="5.375" style="44" customWidth="1"/>
    <col min="4903" max="4904" width="3.125" style="44" customWidth="1"/>
    <col min="4905" max="4905" width="4.625" style="44" customWidth="1"/>
    <col min="4906" max="4906" width="3.5" style="44" customWidth="1"/>
    <col min="4907" max="4917" width="3.125" style="44" customWidth="1"/>
    <col min="4918" max="4919" width="5.625" style="44" customWidth="1"/>
    <col min="4920" max="4964" width="2.625" style="44" customWidth="1"/>
    <col min="4965" max="5124" width="9" style="44"/>
    <col min="5125" max="5139" width="3.125" style="44" customWidth="1"/>
    <col min="5140" max="5140" width="5.5" style="44" customWidth="1"/>
    <col min="5141" max="5141" width="5.625" style="44" customWidth="1"/>
    <col min="5142" max="5157" width="3.125" style="44" customWidth="1"/>
    <col min="5158" max="5158" width="5.375" style="44" customWidth="1"/>
    <col min="5159" max="5160" width="3.125" style="44" customWidth="1"/>
    <col min="5161" max="5161" width="4.625" style="44" customWidth="1"/>
    <col min="5162" max="5162" width="3.5" style="44" customWidth="1"/>
    <col min="5163" max="5173" width="3.125" style="44" customWidth="1"/>
    <col min="5174" max="5175" width="5.625" style="44" customWidth="1"/>
    <col min="5176" max="5220" width="2.625" style="44" customWidth="1"/>
    <col min="5221" max="5380" width="9" style="44"/>
    <col min="5381" max="5395" width="3.125" style="44" customWidth="1"/>
    <col min="5396" max="5396" width="5.5" style="44" customWidth="1"/>
    <col min="5397" max="5397" width="5.625" style="44" customWidth="1"/>
    <col min="5398" max="5413" width="3.125" style="44" customWidth="1"/>
    <col min="5414" max="5414" width="5.375" style="44" customWidth="1"/>
    <col min="5415" max="5416" width="3.125" style="44" customWidth="1"/>
    <col min="5417" max="5417" width="4.625" style="44" customWidth="1"/>
    <col min="5418" max="5418" width="3.5" style="44" customWidth="1"/>
    <col min="5419" max="5429" width="3.125" style="44" customWidth="1"/>
    <col min="5430" max="5431" width="5.625" style="44" customWidth="1"/>
    <col min="5432" max="5476" width="2.625" style="44" customWidth="1"/>
    <col min="5477" max="5636" width="9" style="44"/>
    <col min="5637" max="5651" width="3.125" style="44" customWidth="1"/>
    <col min="5652" max="5652" width="5.5" style="44" customWidth="1"/>
    <col min="5653" max="5653" width="5.625" style="44" customWidth="1"/>
    <col min="5654" max="5669" width="3.125" style="44" customWidth="1"/>
    <col min="5670" max="5670" width="5.375" style="44" customWidth="1"/>
    <col min="5671" max="5672" width="3.125" style="44" customWidth="1"/>
    <col min="5673" max="5673" width="4.625" style="44" customWidth="1"/>
    <col min="5674" max="5674" width="3.5" style="44" customWidth="1"/>
    <col min="5675" max="5685" width="3.125" style="44" customWidth="1"/>
    <col min="5686" max="5687" width="5.625" style="44" customWidth="1"/>
    <col min="5688" max="5732" width="2.625" style="44" customWidth="1"/>
    <col min="5733" max="5892" width="9" style="44"/>
    <col min="5893" max="5907" width="3.125" style="44" customWidth="1"/>
    <col min="5908" max="5908" width="5.5" style="44" customWidth="1"/>
    <col min="5909" max="5909" width="5.625" style="44" customWidth="1"/>
    <col min="5910" max="5925" width="3.125" style="44" customWidth="1"/>
    <col min="5926" max="5926" width="5.375" style="44" customWidth="1"/>
    <col min="5927" max="5928" width="3.125" style="44" customWidth="1"/>
    <col min="5929" max="5929" width="4.625" style="44" customWidth="1"/>
    <col min="5930" max="5930" width="3.5" style="44" customWidth="1"/>
    <col min="5931" max="5941" width="3.125" style="44" customWidth="1"/>
    <col min="5942" max="5943" width="5.625" style="44" customWidth="1"/>
    <col min="5944" max="5988" width="2.625" style="44" customWidth="1"/>
    <col min="5989" max="6148" width="9" style="44"/>
    <col min="6149" max="6163" width="3.125" style="44" customWidth="1"/>
    <col min="6164" max="6164" width="5.5" style="44" customWidth="1"/>
    <col min="6165" max="6165" width="5.625" style="44" customWidth="1"/>
    <col min="6166" max="6181" width="3.125" style="44" customWidth="1"/>
    <col min="6182" max="6182" width="5.375" style="44" customWidth="1"/>
    <col min="6183" max="6184" width="3.125" style="44" customWidth="1"/>
    <col min="6185" max="6185" width="4.625" style="44" customWidth="1"/>
    <col min="6186" max="6186" width="3.5" style="44" customWidth="1"/>
    <col min="6187" max="6197" width="3.125" style="44" customWidth="1"/>
    <col min="6198" max="6199" width="5.625" style="44" customWidth="1"/>
    <col min="6200" max="6244" width="2.625" style="44" customWidth="1"/>
    <col min="6245" max="6404" width="9" style="44"/>
    <col min="6405" max="6419" width="3.125" style="44" customWidth="1"/>
    <col min="6420" max="6420" width="5.5" style="44" customWidth="1"/>
    <col min="6421" max="6421" width="5.625" style="44" customWidth="1"/>
    <col min="6422" max="6437" width="3.125" style="44" customWidth="1"/>
    <col min="6438" max="6438" width="5.375" style="44" customWidth="1"/>
    <col min="6439" max="6440" width="3.125" style="44" customWidth="1"/>
    <col min="6441" max="6441" width="4.625" style="44" customWidth="1"/>
    <col min="6442" max="6442" width="3.5" style="44" customWidth="1"/>
    <col min="6443" max="6453" width="3.125" style="44" customWidth="1"/>
    <col min="6454" max="6455" width="5.625" style="44" customWidth="1"/>
    <col min="6456" max="6500" width="2.625" style="44" customWidth="1"/>
    <col min="6501" max="6660" width="9" style="44"/>
    <col min="6661" max="6675" width="3.125" style="44" customWidth="1"/>
    <col min="6676" max="6676" width="5.5" style="44" customWidth="1"/>
    <col min="6677" max="6677" width="5.625" style="44" customWidth="1"/>
    <col min="6678" max="6693" width="3.125" style="44" customWidth="1"/>
    <col min="6694" max="6694" width="5.375" style="44" customWidth="1"/>
    <col min="6695" max="6696" width="3.125" style="44" customWidth="1"/>
    <col min="6697" max="6697" width="4.625" style="44" customWidth="1"/>
    <col min="6698" max="6698" width="3.5" style="44" customWidth="1"/>
    <col min="6699" max="6709" width="3.125" style="44" customWidth="1"/>
    <col min="6710" max="6711" width="5.625" style="44" customWidth="1"/>
    <col min="6712" max="6756" width="2.625" style="44" customWidth="1"/>
    <col min="6757" max="6916" width="9" style="44"/>
    <col min="6917" max="6931" width="3.125" style="44" customWidth="1"/>
    <col min="6932" max="6932" width="5.5" style="44" customWidth="1"/>
    <col min="6933" max="6933" width="5.625" style="44" customWidth="1"/>
    <col min="6934" max="6949" width="3.125" style="44" customWidth="1"/>
    <col min="6950" max="6950" width="5.375" style="44" customWidth="1"/>
    <col min="6951" max="6952" width="3.125" style="44" customWidth="1"/>
    <col min="6953" max="6953" width="4.625" style="44" customWidth="1"/>
    <col min="6954" max="6954" width="3.5" style="44" customWidth="1"/>
    <col min="6955" max="6965" width="3.125" style="44" customWidth="1"/>
    <col min="6966" max="6967" width="5.625" style="44" customWidth="1"/>
    <col min="6968" max="7012" width="2.625" style="44" customWidth="1"/>
    <col min="7013" max="7172" width="9" style="44"/>
    <col min="7173" max="7187" width="3.125" style="44" customWidth="1"/>
    <col min="7188" max="7188" width="5.5" style="44" customWidth="1"/>
    <col min="7189" max="7189" width="5.625" style="44" customWidth="1"/>
    <col min="7190" max="7205" width="3.125" style="44" customWidth="1"/>
    <col min="7206" max="7206" width="5.375" style="44" customWidth="1"/>
    <col min="7207" max="7208" width="3.125" style="44" customWidth="1"/>
    <col min="7209" max="7209" width="4.625" style="44" customWidth="1"/>
    <col min="7210" max="7210" width="3.5" style="44" customWidth="1"/>
    <col min="7211" max="7221" width="3.125" style="44" customWidth="1"/>
    <col min="7222" max="7223" width="5.625" style="44" customWidth="1"/>
    <col min="7224" max="7268" width="2.625" style="44" customWidth="1"/>
    <col min="7269" max="7428" width="9" style="44"/>
    <col min="7429" max="7443" width="3.125" style="44" customWidth="1"/>
    <col min="7444" max="7444" width="5.5" style="44" customWidth="1"/>
    <col min="7445" max="7445" width="5.625" style="44" customWidth="1"/>
    <col min="7446" max="7461" width="3.125" style="44" customWidth="1"/>
    <col min="7462" max="7462" width="5.375" style="44" customWidth="1"/>
    <col min="7463" max="7464" width="3.125" style="44" customWidth="1"/>
    <col min="7465" max="7465" width="4.625" style="44" customWidth="1"/>
    <col min="7466" max="7466" width="3.5" style="44" customWidth="1"/>
    <col min="7467" max="7477" width="3.125" style="44" customWidth="1"/>
    <col min="7478" max="7479" width="5.625" style="44" customWidth="1"/>
    <col min="7480" max="7524" width="2.625" style="44" customWidth="1"/>
    <col min="7525" max="7684" width="9" style="44"/>
    <col min="7685" max="7699" width="3.125" style="44" customWidth="1"/>
    <col min="7700" max="7700" width="5.5" style="44" customWidth="1"/>
    <col min="7701" max="7701" width="5.625" style="44" customWidth="1"/>
    <col min="7702" max="7717" width="3.125" style="44" customWidth="1"/>
    <col min="7718" max="7718" width="5.375" style="44" customWidth="1"/>
    <col min="7719" max="7720" width="3.125" style="44" customWidth="1"/>
    <col min="7721" max="7721" width="4.625" style="44" customWidth="1"/>
    <col min="7722" max="7722" width="3.5" style="44" customWidth="1"/>
    <col min="7723" max="7733" width="3.125" style="44" customWidth="1"/>
    <col min="7734" max="7735" width="5.625" style="44" customWidth="1"/>
    <col min="7736" max="7780" width="2.625" style="44" customWidth="1"/>
    <col min="7781" max="7940" width="9" style="44"/>
    <col min="7941" max="7955" width="3.125" style="44" customWidth="1"/>
    <col min="7956" max="7956" width="5.5" style="44" customWidth="1"/>
    <col min="7957" max="7957" width="5.625" style="44" customWidth="1"/>
    <col min="7958" max="7973" width="3.125" style="44" customWidth="1"/>
    <col min="7974" max="7974" width="5.375" style="44" customWidth="1"/>
    <col min="7975" max="7976" width="3.125" style="44" customWidth="1"/>
    <col min="7977" max="7977" width="4.625" style="44" customWidth="1"/>
    <col min="7978" max="7978" width="3.5" style="44" customWidth="1"/>
    <col min="7979" max="7989" width="3.125" style="44" customWidth="1"/>
    <col min="7990" max="7991" width="5.625" style="44" customWidth="1"/>
    <col min="7992" max="8036" width="2.625" style="44" customWidth="1"/>
    <col min="8037" max="8196" width="9" style="44"/>
    <col min="8197" max="8211" width="3.125" style="44" customWidth="1"/>
    <col min="8212" max="8212" width="5.5" style="44" customWidth="1"/>
    <col min="8213" max="8213" width="5.625" style="44" customWidth="1"/>
    <col min="8214" max="8229" width="3.125" style="44" customWidth="1"/>
    <col min="8230" max="8230" width="5.375" style="44" customWidth="1"/>
    <col min="8231" max="8232" width="3.125" style="44" customWidth="1"/>
    <col min="8233" max="8233" width="4.625" style="44" customWidth="1"/>
    <col min="8234" max="8234" width="3.5" style="44" customWidth="1"/>
    <col min="8235" max="8245" width="3.125" style="44" customWidth="1"/>
    <col min="8246" max="8247" width="5.625" style="44" customWidth="1"/>
    <col min="8248" max="8292" width="2.625" style="44" customWidth="1"/>
    <col min="8293" max="8452" width="9" style="44"/>
    <col min="8453" max="8467" width="3.125" style="44" customWidth="1"/>
    <col min="8468" max="8468" width="5.5" style="44" customWidth="1"/>
    <col min="8469" max="8469" width="5.625" style="44" customWidth="1"/>
    <col min="8470" max="8485" width="3.125" style="44" customWidth="1"/>
    <col min="8486" max="8486" width="5.375" style="44" customWidth="1"/>
    <col min="8487" max="8488" width="3.125" style="44" customWidth="1"/>
    <col min="8489" max="8489" width="4.625" style="44" customWidth="1"/>
    <col min="8490" max="8490" width="3.5" style="44" customWidth="1"/>
    <col min="8491" max="8501" width="3.125" style="44" customWidth="1"/>
    <col min="8502" max="8503" width="5.625" style="44" customWidth="1"/>
    <col min="8504" max="8548" width="2.625" style="44" customWidth="1"/>
    <col min="8549" max="8708" width="9" style="44"/>
    <col min="8709" max="8723" width="3.125" style="44" customWidth="1"/>
    <col min="8724" max="8724" width="5.5" style="44" customWidth="1"/>
    <col min="8725" max="8725" width="5.625" style="44" customWidth="1"/>
    <col min="8726" max="8741" width="3.125" style="44" customWidth="1"/>
    <col min="8742" max="8742" width="5.375" style="44" customWidth="1"/>
    <col min="8743" max="8744" width="3.125" style="44" customWidth="1"/>
    <col min="8745" max="8745" width="4.625" style="44" customWidth="1"/>
    <col min="8746" max="8746" width="3.5" style="44" customWidth="1"/>
    <col min="8747" max="8757" width="3.125" style="44" customWidth="1"/>
    <col min="8758" max="8759" width="5.625" style="44" customWidth="1"/>
    <col min="8760" max="8804" width="2.625" style="44" customWidth="1"/>
    <col min="8805" max="8964" width="9" style="44"/>
    <col min="8965" max="8979" width="3.125" style="44" customWidth="1"/>
    <col min="8980" max="8980" width="5.5" style="44" customWidth="1"/>
    <col min="8981" max="8981" width="5.625" style="44" customWidth="1"/>
    <col min="8982" max="8997" width="3.125" style="44" customWidth="1"/>
    <col min="8998" max="8998" width="5.375" style="44" customWidth="1"/>
    <col min="8999" max="9000" width="3.125" style="44" customWidth="1"/>
    <col min="9001" max="9001" width="4.625" style="44" customWidth="1"/>
    <col min="9002" max="9002" width="3.5" style="44" customWidth="1"/>
    <col min="9003" max="9013" width="3.125" style="44" customWidth="1"/>
    <col min="9014" max="9015" width="5.625" style="44" customWidth="1"/>
    <col min="9016" max="9060" width="2.625" style="44" customWidth="1"/>
    <col min="9061" max="9220" width="9" style="44"/>
    <col min="9221" max="9235" width="3.125" style="44" customWidth="1"/>
    <col min="9236" max="9236" width="5.5" style="44" customWidth="1"/>
    <col min="9237" max="9237" width="5.625" style="44" customWidth="1"/>
    <col min="9238" max="9253" width="3.125" style="44" customWidth="1"/>
    <col min="9254" max="9254" width="5.375" style="44" customWidth="1"/>
    <col min="9255" max="9256" width="3.125" style="44" customWidth="1"/>
    <col min="9257" max="9257" width="4.625" style="44" customWidth="1"/>
    <col min="9258" max="9258" width="3.5" style="44" customWidth="1"/>
    <col min="9259" max="9269" width="3.125" style="44" customWidth="1"/>
    <col min="9270" max="9271" width="5.625" style="44" customWidth="1"/>
    <col min="9272" max="9316" width="2.625" style="44" customWidth="1"/>
    <col min="9317" max="9476" width="9" style="44"/>
    <col min="9477" max="9491" width="3.125" style="44" customWidth="1"/>
    <col min="9492" max="9492" width="5.5" style="44" customWidth="1"/>
    <col min="9493" max="9493" width="5.625" style="44" customWidth="1"/>
    <col min="9494" max="9509" width="3.125" style="44" customWidth="1"/>
    <col min="9510" max="9510" width="5.375" style="44" customWidth="1"/>
    <col min="9511" max="9512" width="3.125" style="44" customWidth="1"/>
    <col min="9513" max="9513" width="4.625" style="44" customWidth="1"/>
    <col min="9514" max="9514" width="3.5" style="44" customWidth="1"/>
    <col min="9515" max="9525" width="3.125" style="44" customWidth="1"/>
    <col min="9526" max="9527" width="5.625" style="44" customWidth="1"/>
    <col min="9528" max="9572" width="2.625" style="44" customWidth="1"/>
    <col min="9573" max="9732" width="9" style="44"/>
    <col min="9733" max="9747" width="3.125" style="44" customWidth="1"/>
    <col min="9748" max="9748" width="5.5" style="44" customWidth="1"/>
    <col min="9749" max="9749" width="5.625" style="44" customWidth="1"/>
    <col min="9750" max="9765" width="3.125" style="44" customWidth="1"/>
    <col min="9766" max="9766" width="5.375" style="44" customWidth="1"/>
    <col min="9767" max="9768" width="3.125" style="44" customWidth="1"/>
    <col min="9769" max="9769" width="4.625" style="44" customWidth="1"/>
    <col min="9770" max="9770" width="3.5" style="44" customWidth="1"/>
    <col min="9771" max="9781" width="3.125" style="44" customWidth="1"/>
    <col min="9782" max="9783" width="5.625" style="44" customWidth="1"/>
    <col min="9784" max="9828" width="2.625" style="44" customWidth="1"/>
    <col min="9829" max="9988" width="9" style="44"/>
    <col min="9989" max="10003" width="3.125" style="44" customWidth="1"/>
    <col min="10004" max="10004" width="5.5" style="44" customWidth="1"/>
    <col min="10005" max="10005" width="5.625" style="44" customWidth="1"/>
    <col min="10006" max="10021" width="3.125" style="44" customWidth="1"/>
    <col min="10022" max="10022" width="5.375" style="44" customWidth="1"/>
    <col min="10023" max="10024" width="3.125" style="44" customWidth="1"/>
    <col min="10025" max="10025" width="4.625" style="44" customWidth="1"/>
    <col min="10026" max="10026" width="3.5" style="44" customWidth="1"/>
    <col min="10027" max="10037" width="3.125" style="44" customWidth="1"/>
    <col min="10038" max="10039" width="5.625" style="44" customWidth="1"/>
    <col min="10040" max="10084" width="2.625" style="44" customWidth="1"/>
    <col min="10085" max="10244" width="9" style="44"/>
    <col min="10245" max="10259" width="3.125" style="44" customWidth="1"/>
    <col min="10260" max="10260" width="5.5" style="44" customWidth="1"/>
    <col min="10261" max="10261" width="5.625" style="44" customWidth="1"/>
    <col min="10262" max="10277" width="3.125" style="44" customWidth="1"/>
    <col min="10278" max="10278" width="5.375" style="44" customWidth="1"/>
    <col min="10279" max="10280" width="3.125" style="44" customWidth="1"/>
    <col min="10281" max="10281" width="4.625" style="44" customWidth="1"/>
    <col min="10282" max="10282" width="3.5" style="44" customWidth="1"/>
    <col min="10283" max="10293" width="3.125" style="44" customWidth="1"/>
    <col min="10294" max="10295" width="5.625" style="44" customWidth="1"/>
    <col min="10296" max="10340" width="2.625" style="44" customWidth="1"/>
    <col min="10341" max="10500" width="9" style="44"/>
    <col min="10501" max="10515" width="3.125" style="44" customWidth="1"/>
    <col min="10516" max="10516" width="5.5" style="44" customWidth="1"/>
    <col min="10517" max="10517" width="5.625" style="44" customWidth="1"/>
    <col min="10518" max="10533" width="3.125" style="44" customWidth="1"/>
    <col min="10534" max="10534" width="5.375" style="44" customWidth="1"/>
    <col min="10535" max="10536" width="3.125" style="44" customWidth="1"/>
    <col min="10537" max="10537" width="4.625" style="44" customWidth="1"/>
    <col min="10538" max="10538" width="3.5" style="44" customWidth="1"/>
    <col min="10539" max="10549" width="3.125" style="44" customWidth="1"/>
    <col min="10550" max="10551" width="5.625" style="44" customWidth="1"/>
    <col min="10552" max="10596" width="2.625" style="44" customWidth="1"/>
    <col min="10597" max="10756" width="9" style="44"/>
    <col min="10757" max="10771" width="3.125" style="44" customWidth="1"/>
    <col min="10772" max="10772" width="5.5" style="44" customWidth="1"/>
    <col min="10773" max="10773" width="5.625" style="44" customWidth="1"/>
    <col min="10774" max="10789" width="3.125" style="44" customWidth="1"/>
    <col min="10790" max="10790" width="5.375" style="44" customWidth="1"/>
    <col min="10791" max="10792" width="3.125" style="44" customWidth="1"/>
    <col min="10793" max="10793" width="4.625" style="44" customWidth="1"/>
    <col min="10794" max="10794" width="3.5" style="44" customWidth="1"/>
    <col min="10795" max="10805" width="3.125" style="44" customWidth="1"/>
    <col min="10806" max="10807" width="5.625" style="44" customWidth="1"/>
    <col min="10808" max="10852" width="2.625" style="44" customWidth="1"/>
    <col min="10853" max="11012" width="9" style="44"/>
    <col min="11013" max="11027" width="3.125" style="44" customWidth="1"/>
    <col min="11028" max="11028" width="5.5" style="44" customWidth="1"/>
    <col min="11029" max="11029" width="5.625" style="44" customWidth="1"/>
    <col min="11030" max="11045" width="3.125" style="44" customWidth="1"/>
    <col min="11046" max="11046" width="5.375" style="44" customWidth="1"/>
    <col min="11047" max="11048" width="3.125" style="44" customWidth="1"/>
    <col min="11049" max="11049" width="4.625" style="44" customWidth="1"/>
    <col min="11050" max="11050" width="3.5" style="44" customWidth="1"/>
    <col min="11051" max="11061" width="3.125" style="44" customWidth="1"/>
    <col min="11062" max="11063" width="5.625" style="44" customWidth="1"/>
    <col min="11064" max="11108" width="2.625" style="44" customWidth="1"/>
    <col min="11109" max="11268" width="9" style="44"/>
    <col min="11269" max="11283" width="3.125" style="44" customWidth="1"/>
    <col min="11284" max="11284" width="5.5" style="44" customWidth="1"/>
    <col min="11285" max="11285" width="5.625" style="44" customWidth="1"/>
    <col min="11286" max="11301" width="3.125" style="44" customWidth="1"/>
    <col min="11302" max="11302" width="5.375" style="44" customWidth="1"/>
    <col min="11303" max="11304" width="3.125" style="44" customWidth="1"/>
    <col min="11305" max="11305" width="4.625" style="44" customWidth="1"/>
    <col min="11306" max="11306" width="3.5" style="44" customWidth="1"/>
    <col min="11307" max="11317" width="3.125" style="44" customWidth="1"/>
    <col min="11318" max="11319" width="5.625" style="44" customWidth="1"/>
    <col min="11320" max="11364" width="2.625" style="44" customWidth="1"/>
    <col min="11365" max="11524" width="9" style="44"/>
    <col min="11525" max="11539" width="3.125" style="44" customWidth="1"/>
    <col min="11540" max="11540" width="5.5" style="44" customWidth="1"/>
    <col min="11541" max="11541" width="5.625" style="44" customWidth="1"/>
    <col min="11542" max="11557" width="3.125" style="44" customWidth="1"/>
    <col min="11558" max="11558" width="5.375" style="44" customWidth="1"/>
    <col min="11559" max="11560" width="3.125" style="44" customWidth="1"/>
    <col min="11561" max="11561" width="4.625" style="44" customWidth="1"/>
    <col min="11562" max="11562" width="3.5" style="44" customWidth="1"/>
    <col min="11563" max="11573" width="3.125" style="44" customWidth="1"/>
    <col min="11574" max="11575" width="5.625" style="44" customWidth="1"/>
    <col min="11576" max="11620" width="2.625" style="44" customWidth="1"/>
    <col min="11621" max="11780" width="9" style="44"/>
    <col min="11781" max="11795" width="3.125" style="44" customWidth="1"/>
    <col min="11796" max="11796" width="5.5" style="44" customWidth="1"/>
    <col min="11797" max="11797" width="5.625" style="44" customWidth="1"/>
    <col min="11798" max="11813" width="3.125" style="44" customWidth="1"/>
    <col min="11814" max="11814" width="5.375" style="44" customWidth="1"/>
    <col min="11815" max="11816" width="3.125" style="44" customWidth="1"/>
    <col min="11817" max="11817" width="4.625" style="44" customWidth="1"/>
    <col min="11818" max="11818" width="3.5" style="44" customWidth="1"/>
    <col min="11819" max="11829" width="3.125" style="44" customWidth="1"/>
    <col min="11830" max="11831" width="5.625" style="44" customWidth="1"/>
    <col min="11832" max="11876" width="2.625" style="44" customWidth="1"/>
    <col min="11877" max="12036" width="9" style="44"/>
    <col min="12037" max="12051" width="3.125" style="44" customWidth="1"/>
    <col min="12052" max="12052" width="5.5" style="44" customWidth="1"/>
    <col min="12053" max="12053" width="5.625" style="44" customWidth="1"/>
    <col min="12054" max="12069" width="3.125" style="44" customWidth="1"/>
    <col min="12070" max="12070" width="5.375" style="44" customWidth="1"/>
    <col min="12071" max="12072" width="3.125" style="44" customWidth="1"/>
    <col min="12073" max="12073" width="4.625" style="44" customWidth="1"/>
    <col min="12074" max="12074" width="3.5" style="44" customWidth="1"/>
    <col min="12075" max="12085" width="3.125" style="44" customWidth="1"/>
    <col min="12086" max="12087" width="5.625" style="44" customWidth="1"/>
    <col min="12088" max="12132" width="2.625" style="44" customWidth="1"/>
    <col min="12133" max="12292" width="9" style="44"/>
    <col min="12293" max="12307" width="3.125" style="44" customWidth="1"/>
    <col min="12308" max="12308" width="5.5" style="44" customWidth="1"/>
    <col min="12309" max="12309" width="5.625" style="44" customWidth="1"/>
    <col min="12310" max="12325" width="3.125" style="44" customWidth="1"/>
    <col min="12326" max="12326" width="5.375" style="44" customWidth="1"/>
    <col min="12327" max="12328" width="3.125" style="44" customWidth="1"/>
    <col min="12329" max="12329" width="4.625" style="44" customWidth="1"/>
    <col min="12330" max="12330" width="3.5" style="44" customWidth="1"/>
    <col min="12331" max="12341" width="3.125" style="44" customWidth="1"/>
    <col min="12342" max="12343" width="5.625" style="44" customWidth="1"/>
    <col min="12344" max="12388" width="2.625" style="44" customWidth="1"/>
    <col min="12389" max="12548" width="9" style="44"/>
    <col min="12549" max="12563" width="3.125" style="44" customWidth="1"/>
    <col min="12564" max="12564" width="5.5" style="44" customWidth="1"/>
    <col min="12565" max="12565" width="5.625" style="44" customWidth="1"/>
    <col min="12566" max="12581" width="3.125" style="44" customWidth="1"/>
    <col min="12582" max="12582" width="5.375" style="44" customWidth="1"/>
    <col min="12583" max="12584" width="3.125" style="44" customWidth="1"/>
    <col min="12585" max="12585" width="4.625" style="44" customWidth="1"/>
    <col min="12586" max="12586" width="3.5" style="44" customWidth="1"/>
    <col min="12587" max="12597" width="3.125" style="44" customWidth="1"/>
    <col min="12598" max="12599" width="5.625" style="44" customWidth="1"/>
    <col min="12600" max="12644" width="2.625" style="44" customWidth="1"/>
    <col min="12645" max="12804" width="9" style="44"/>
    <col min="12805" max="12819" width="3.125" style="44" customWidth="1"/>
    <col min="12820" max="12820" width="5.5" style="44" customWidth="1"/>
    <col min="12821" max="12821" width="5.625" style="44" customWidth="1"/>
    <col min="12822" max="12837" width="3.125" style="44" customWidth="1"/>
    <col min="12838" max="12838" width="5.375" style="44" customWidth="1"/>
    <col min="12839" max="12840" width="3.125" style="44" customWidth="1"/>
    <col min="12841" max="12841" width="4.625" style="44" customWidth="1"/>
    <col min="12842" max="12842" width="3.5" style="44" customWidth="1"/>
    <col min="12843" max="12853" width="3.125" style="44" customWidth="1"/>
    <col min="12854" max="12855" width="5.625" style="44" customWidth="1"/>
    <col min="12856" max="12900" width="2.625" style="44" customWidth="1"/>
    <col min="12901" max="13060" width="9" style="44"/>
    <col min="13061" max="13075" width="3.125" style="44" customWidth="1"/>
    <col min="13076" max="13076" width="5.5" style="44" customWidth="1"/>
    <col min="13077" max="13077" width="5.625" style="44" customWidth="1"/>
    <col min="13078" max="13093" width="3.125" style="44" customWidth="1"/>
    <col min="13094" max="13094" width="5.375" style="44" customWidth="1"/>
    <col min="13095" max="13096" width="3.125" style="44" customWidth="1"/>
    <col min="13097" max="13097" width="4.625" style="44" customWidth="1"/>
    <col min="13098" max="13098" width="3.5" style="44" customWidth="1"/>
    <col min="13099" max="13109" width="3.125" style="44" customWidth="1"/>
    <col min="13110" max="13111" width="5.625" style="44" customWidth="1"/>
    <col min="13112" max="13156" width="2.625" style="44" customWidth="1"/>
    <col min="13157" max="13316" width="9" style="44"/>
    <col min="13317" max="13331" width="3.125" style="44" customWidth="1"/>
    <col min="13332" max="13332" width="5.5" style="44" customWidth="1"/>
    <col min="13333" max="13333" width="5.625" style="44" customWidth="1"/>
    <col min="13334" max="13349" width="3.125" style="44" customWidth="1"/>
    <col min="13350" max="13350" width="5.375" style="44" customWidth="1"/>
    <col min="13351" max="13352" width="3.125" style="44" customWidth="1"/>
    <col min="13353" max="13353" width="4.625" style="44" customWidth="1"/>
    <col min="13354" max="13354" width="3.5" style="44" customWidth="1"/>
    <col min="13355" max="13365" width="3.125" style="44" customWidth="1"/>
    <col min="13366" max="13367" width="5.625" style="44" customWidth="1"/>
    <col min="13368" max="13412" width="2.625" style="44" customWidth="1"/>
    <col min="13413" max="13572" width="9" style="44"/>
    <col min="13573" max="13587" width="3.125" style="44" customWidth="1"/>
    <col min="13588" max="13588" width="5.5" style="44" customWidth="1"/>
    <col min="13589" max="13589" width="5.625" style="44" customWidth="1"/>
    <col min="13590" max="13605" width="3.125" style="44" customWidth="1"/>
    <col min="13606" max="13606" width="5.375" style="44" customWidth="1"/>
    <col min="13607" max="13608" width="3.125" style="44" customWidth="1"/>
    <col min="13609" max="13609" width="4.625" style="44" customWidth="1"/>
    <col min="13610" max="13610" width="3.5" style="44" customWidth="1"/>
    <col min="13611" max="13621" width="3.125" style="44" customWidth="1"/>
    <col min="13622" max="13623" width="5.625" style="44" customWidth="1"/>
    <col min="13624" max="13668" width="2.625" style="44" customWidth="1"/>
    <col min="13669" max="13828" width="9" style="44"/>
    <col min="13829" max="13843" width="3.125" style="44" customWidth="1"/>
    <col min="13844" max="13844" width="5.5" style="44" customWidth="1"/>
    <col min="13845" max="13845" width="5.625" style="44" customWidth="1"/>
    <col min="13846" max="13861" width="3.125" style="44" customWidth="1"/>
    <col min="13862" max="13862" width="5.375" style="44" customWidth="1"/>
    <col min="13863" max="13864" width="3.125" style="44" customWidth="1"/>
    <col min="13865" max="13865" width="4.625" style="44" customWidth="1"/>
    <col min="13866" max="13866" width="3.5" style="44" customWidth="1"/>
    <col min="13867" max="13877" width="3.125" style="44" customWidth="1"/>
    <col min="13878" max="13879" width="5.625" style="44" customWidth="1"/>
    <col min="13880" max="13924" width="2.625" style="44" customWidth="1"/>
    <col min="13925" max="14084" width="9" style="44"/>
    <col min="14085" max="14099" width="3.125" style="44" customWidth="1"/>
    <col min="14100" max="14100" width="5.5" style="44" customWidth="1"/>
    <col min="14101" max="14101" width="5.625" style="44" customWidth="1"/>
    <col min="14102" max="14117" width="3.125" style="44" customWidth="1"/>
    <col min="14118" max="14118" width="5.375" style="44" customWidth="1"/>
    <col min="14119" max="14120" width="3.125" style="44" customWidth="1"/>
    <col min="14121" max="14121" width="4.625" style="44" customWidth="1"/>
    <col min="14122" max="14122" width="3.5" style="44" customWidth="1"/>
    <col min="14123" max="14133" width="3.125" style="44" customWidth="1"/>
    <col min="14134" max="14135" width="5.625" style="44" customWidth="1"/>
    <col min="14136" max="14180" width="2.625" style="44" customWidth="1"/>
    <col min="14181" max="14340" width="9" style="44"/>
    <col min="14341" max="14355" width="3.125" style="44" customWidth="1"/>
    <col min="14356" max="14356" width="5.5" style="44" customWidth="1"/>
    <col min="14357" max="14357" width="5.625" style="44" customWidth="1"/>
    <col min="14358" max="14373" width="3.125" style="44" customWidth="1"/>
    <col min="14374" max="14374" width="5.375" style="44" customWidth="1"/>
    <col min="14375" max="14376" width="3.125" style="44" customWidth="1"/>
    <col min="14377" max="14377" width="4.625" style="44" customWidth="1"/>
    <col min="14378" max="14378" width="3.5" style="44" customWidth="1"/>
    <col min="14379" max="14389" width="3.125" style="44" customWidth="1"/>
    <col min="14390" max="14391" width="5.625" style="44" customWidth="1"/>
    <col min="14392" max="14436" width="2.625" style="44" customWidth="1"/>
    <col min="14437" max="14596" width="9" style="44"/>
    <col min="14597" max="14611" width="3.125" style="44" customWidth="1"/>
    <col min="14612" max="14612" width="5.5" style="44" customWidth="1"/>
    <col min="14613" max="14613" width="5.625" style="44" customWidth="1"/>
    <col min="14614" max="14629" width="3.125" style="44" customWidth="1"/>
    <col min="14630" max="14630" width="5.375" style="44" customWidth="1"/>
    <col min="14631" max="14632" width="3.125" style="44" customWidth="1"/>
    <col min="14633" max="14633" width="4.625" style="44" customWidth="1"/>
    <col min="14634" max="14634" width="3.5" style="44" customWidth="1"/>
    <col min="14635" max="14645" width="3.125" style="44" customWidth="1"/>
    <col min="14646" max="14647" width="5.625" style="44" customWidth="1"/>
    <col min="14648" max="14692" width="2.625" style="44" customWidth="1"/>
    <col min="14693" max="14852" width="9" style="44"/>
    <col min="14853" max="14867" width="3.125" style="44" customWidth="1"/>
    <col min="14868" max="14868" width="5.5" style="44" customWidth="1"/>
    <col min="14869" max="14869" width="5.625" style="44" customWidth="1"/>
    <col min="14870" max="14885" width="3.125" style="44" customWidth="1"/>
    <col min="14886" max="14886" width="5.375" style="44" customWidth="1"/>
    <col min="14887" max="14888" width="3.125" style="44" customWidth="1"/>
    <col min="14889" max="14889" width="4.625" style="44" customWidth="1"/>
    <col min="14890" max="14890" width="3.5" style="44" customWidth="1"/>
    <col min="14891" max="14901" width="3.125" style="44" customWidth="1"/>
    <col min="14902" max="14903" width="5.625" style="44" customWidth="1"/>
    <col min="14904" max="14948" width="2.625" style="44" customWidth="1"/>
    <col min="14949" max="15108" width="9" style="44"/>
    <col min="15109" max="15123" width="3.125" style="44" customWidth="1"/>
    <col min="15124" max="15124" width="5.5" style="44" customWidth="1"/>
    <col min="15125" max="15125" width="5.625" style="44" customWidth="1"/>
    <col min="15126" max="15141" width="3.125" style="44" customWidth="1"/>
    <col min="15142" max="15142" width="5.375" style="44" customWidth="1"/>
    <col min="15143" max="15144" width="3.125" style="44" customWidth="1"/>
    <col min="15145" max="15145" width="4.625" style="44" customWidth="1"/>
    <col min="15146" max="15146" width="3.5" style="44" customWidth="1"/>
    <col min="15147" max="15157" width="3.125" style="44" customWidth="1"/>
    <col min="15158" max="15159" width="5.625" style="44" customWidth="1"/>
    <col min="15160" max="15204" width="2.625" style="44" customWidth="1"/>
    <col min="15205" max="15364" width="9" style="44"/>
    <col min="15365" max="15379" width="3.125" style="44" customWidth="1"/>
    <col min="15380" max="15380" width="5.5" style="44" customWidth="1"/>
    <col min="15381" max="15381" width="5.625" style="44" customWidth="1"/>
    <col min="15382" max="15397" width="3.125" style="44" customWidth="1"/>
    <col min="15398" max="15398" width="5.375" style="44" customWidth="1"/>
    <col min="15399" max="15400" width="3.125" style="44" customWidth="1"/>
    <col min="15401" max="15401" width="4.625" style="44" customWidth="1"/>
    <col min="15402" max="15402" width="3.5" style="44" customWidth="1"/>
    <col min="15403" max="15413" width="3.125" style="44" customWidth="1"/>
    <col min="15414" max="15415" width="5.625" style="44" customWidth="1"/>
    <col min="15416" max="15460" width="2.625" style="44" customWidth="1"/>
    <col min="15461" max="15620" width="9" style="44"/>
    <col min="15621" max="15635" width="3.125" style="44" customWidth="1"/>
    <col min="15636" max="15636" width="5.5" style="44" customWidth="1"/>
    <col min="15637" max="15637" width="5.625" style="44" customWidth="1"/>
    <col min="15638" max="15653" width="3.125" style="44" customWidth="1"/>
    <col min="15654" max="15654" width="5.375" style="44" customWidth="1"/>
    <col min="15655" max="15656" width="3.125" style="44" customWidth="1"/>
    <col min="15657" max="15657" width="4.625" style="44" customWidth="1"/>
    <col min="15658" max="15658" width="3.5" style="44" customWidth="1"/>
    <col min="15659" max="15669" width="3.125" style="44" customWidth="1"/>
    <col min="15670" max="15671" width="5.625" style="44" customWidth="1"/>
    <col min="15672" max="15716" width="2.625" style="44" customWidth="1"/>
    <col min="15717" max="15876" width="9" style="44"/>
    <col min="15877" max="15891" width="3.125" style="44" customWidth="1"/>
    <col min="15892" max="15892" width="5.5" style="44" customWidth="1"/>
    <col min="15893" max="15893" width="5.625" style="44" customWidth="1"/>
    <col min="15894" max="15909" width="3.125" style="44" customWidth="1"/>
    <col min="15910" max="15910" width="5.375" style="44" customWidth="1"/>
    <col min="15911" max="15912" width="3.125" style="44" customWidth="1"/>
    <col min="15913" max="15913" width="4.625" style="44" customWidth="1"/>
    <col min="15914" max="15914" width="3.5" style="44" customWidth="1"/>
    <col min="15915" max="15925" width="3.125" style="44" customWidth="1"/>
    <col min="15926" max="15927" width="5.625" style="44" customWidth="1"/>
    <col min="15928" max="15972" width="2.625" style="44" customWidth="1"/>
    <col min="15973" max="16132" width="9" style="44"/>
    <col min="16133" max="16147" width="3.125" style="44" customWidth="1"/>
    <col min="16148" max="16148" width="5.5" style="44" customWidth="1"/>
    <col min="16149" max="16149" width="5.625" style="44" customWidth="1"/>
    <col min="16150" max="16165" width="3.125" style="44" customWidth="1"/>
    <col min="16166" max="16166" width="5.375" style="44" customWidth="1"/>
    <col min="16167" max="16168" width="3.125" style="44" customWidth="1"/>
    <col min="16169" max="16169" width="4.625" style="44" customWidth="1"/>
    <col min="16170" max="16170" width="3.5" style="44" customWidth="1"/>
    <col min="16171" max="16181" width="3.125" style="44" customWidth="1"/>
    <col min="16182" max="16183" width="5.625" style="44" customWidth="1"/>
    <col min="16184" max="16228" width="2.625" style="44" customWidth="1"/>
    <col min="16229" max="16384" width="9" style="44"/>
  </cols>
  <sheetData>
    <row r="1" spans="2:54"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4"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4"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4"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4"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4"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4"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4"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4"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4"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4"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4"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4" ht="13.5" customHeight="1" x14ac:dyDescent="0.15">
      <c r="B13" s="174" t="s">
        <v>87</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4"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4" ht="13.5" customHeight="1" x14ac:dyDescent="0.1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row>
    <row r="16" spans="2:54"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47"/>
      <c r="AK16" s="47"/>
      <c r="AL16" s="47"/>
      <c r="AM16" s="2"/>
      <c r="AN16" s="2"/>
      <c r="AO16" s="2"/>
      <c r="AP16" s="2"/>
      <c r="AQ16" s="2"/>
      <c r="AR16" s="2"/>
      <c r="AS16" s="2"/>
      <c r="AT16" s="2"/>
      <c r="AU16" s="2"/>
      <c r="AV16" s="2"/>
      <c r="AW16" s="2"/>
      <c r="AX16" s="2"/>
      <c r="AY16" s="2"/>
      <c r="AZ16" s="2"/>
      <c r="BA16" s="2"/>
      <c r="BB16" s="44" t="s">
        <v>89</v>
      </c>
    </row>
    <row r="17" spans="2:54" ht="13.5" customHeight="1" x14ac:dyDescent="0.15">
      <c r="B17" s="175"/>
      <c r="C17" s="175"/>
      <c r="D17" s="175"/>
      <c r="E17" s="175"/>
      <c r="F17" s="175"/>
      <c r="G17" s="175"/>
      <c r="H17" s="175"/>
      <c r="I17" s="175"/>
      <c r="J17" s="175"/>
      <c r="K17" s="175"/>
      <c r="L17" s="175"/>
      <c r="M17" s="175"/>
      <c r="N17" s="175"/>
      <c r="O17" s="47"/>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176"/>
      <c r="AS17" s="176"/>
      <c r="AT17" s="176"/>
      <c r="AU17" s="176"/>
      <c r="AV17" s="176"/>
      <c r="AW17" s="176"/>
      <c r="AX17" s="176"/>
      <c r="AY17" s="176"/>
      <c r="AZ17" s="176"/>
      <c r="BA17" s="176"/>
      <c r="BB17" s="44" t="s">
        <v>88</v>
      </c>
    </row>
    <row r="18" spans="2:54" ht="13.5" customHeight="1" x14ac:dyDescent="0.15">
      <c r="B18" s="136" t="s">
        <v>1</v>
      </c>
      <c r="C18" s="136"/>
      <c r="D18" s="136"/>
      <c r="E18" s="136"/>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4" ht="13.5" customHeight="1" x14ac:dyDescent="0.15">
      <c r="B19" s="137"/>
      <c r="C19" s="137"/>
      <c r="D19" s="137"/>
      <c r="E19" s="137"/>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7" t="s">
        <v>47</v>
      </c>
      <c r="AV19" s="157"/>
      <c r="AW19" s="157"/>
      <c r="AX19" s="157"/>
      <c r="AY19" s="157"/>
      <c r="AZ19" s="157"/>
      <c r="BA19" s="157"/>
    </row>
    <row r="20" spans="2:54" s="21" customFormat="1" ht="13.5" customHeight="1" x14ac:dyDescent="0.15">
      <c r="B20" s="91" t="s">
        <v>2</v>
      </c>
      <c r="C20" s="92"/>
      <c r="D20" s="92"/>
      <c r="E20" s="92"/>
      <c r="F20" s="92"/>
      <c r="G20" s="92"/>
      <c r="H20" s="92"/>
      <c r="I20" s="91" t="s">
        <v>3</v>
      </c>
      <c r="J20" s="92"/>
      <c r="K20" s="92"/>
      <c r="L20" s="92"/>
      <c r="M20" s="92"/>
      <c r="N20" s="92"/>
      <c r="O20" s="92"/>
      <c r="P20" s="92"/>
      <c r="Q20" s="92"/>
      <c r="R20" s="92"/>
      <c r="S20" s="92"/>
      <c r="T20" s="92"/>
      <c r="U20" s="92"/>
      <c r="V20" s="92"/>
      <c r="W20" s="92"/>
      <c r="X20" s="92"/>
      <c r="Y20" s="114" t="s">
        <v>4</v>
      </c>
      <c r="Z20" s="114"/>
      <c r="AA20" s="114"/>
      <c r="AB20" s="114"/>
      <c r="AC20" s="167" t="s">
        <v>5</v>
      </c>
      <c r="AD20" s="167"/>
      <c r="AE20" s="167"/>
      <c r="AF20" s="167"/>
      <c r="AG20" s="114" t="s">
        <v>6</v>
      </c>
      <c r="AH20" s="114"/>
      <c r="AI20" s="114"/>
      <c r="AJ20" s="114"/>
      <c r="AK20" s="114"/>
      <c r="AL20" s="114"/>
      <c r="AM20" s="114"/>
      <c r="AN20" s="114"/>
      <c r="AO20" s="114"/>
      <c r="AP20" s="114"/>
      <c r="AQ20" s="114"/>
      <c r="AR20" s="114"/>
      <c r="AS20" s="114"/>
      <c r="AT20" s="114"/>
      <c r="AU20" s="114"/>
      <c r="AV20" s="114"/>
      <c r="AW20" s="114"/>
      <c r="AX20" s="114"/>
      <c r="AY20" s="114"/>
      <c r="AZ20" s="114"/>
      <c r="BA20" s="114"/>
    </row>
    <row r="21" spans="2:54" s="21" customFormat="1" ht="13.5" customHeight="1" x14ac:dyDescent="0.15">
      <c r="B21" s="94"/>
      <c r="C21" s="95"/>
      <c r="D21" s="95"/>
      <c r="E21" s="95"/>
      <c r="F21" s="95"/>
      <c r="G21" s="95"/>
      <c r="H21" s="95"/>
      <c r="I21" s="97"/>
      <c r="J21" s="98"/>
      <c r="K21" s="98"/>
      <c r="L21" s="98"/>
      <c r="M21" s="98"/>
      <c r="N21" s="98"/>
      <c r="O21" s="98"/>
      <c r="P21" s="98"/>
      <c r="Q21" s="98"/>
      <c r="R21" s="98"/>
      <c r="S21" s="98"/>
      <c r="T21" s="98"/>
      <c r="U21" s="98"/>
      <c r="V21" s="98"/>
      <c r="W21" s="98"/>
      <c r="X21" s="98"/>
      <c r="Y21" s="114"/>
      <c r="Z21" s="114"/>
      <c r="AA21" s="114"/>
      <c r="AB21" s="114"/>
      <c r="AC21" s="167"/>
      <c r="AD21" s="167"/>
      <c r="AE21" s="167"/>
      <c r="AF21" s="167"/>
      <c r="AG21" s="114"/>
      <c r="AH21" s="114"/>
      <c r="AI21" s="114"/>
      <c r="AJ21" s="114"/>
      <c r="AK21" s="114"/>
      <c r="AL21" s="114"/>
      <c r="AM21" s="114"/>
      <c r="AN21" s="114"/>
      <c r="AO21" s="114"/>
      <c r="AP21" s="114"/>
      <c r="AQ21" s="114"/>
      <c r="AR21" s="114"/>
      <c r="AS21" s="114"/>
      <c r="AT21" s="114"/>
      <c r="AU21" s="114"/>
      <c r="AV21" s="114"/>
      <c r="AW21" s="114"/>
      <c r="AX21" s="114"/>
      <c r="AY21" s="114"/>
      <c r="AZ21" s="114"/>
      <c r="BA21" s="114"/>
    </row>
    <row r="22" spans="2:54" s="21" customFormat="1" ht="13.5" customHeight="1" x14ac:dyDescent="0.15">
      <c r="B22" s="94"/>
      <c r="C22" s="95"/>
      <c r="D22" s="95"/>
      <c r="E22" s="95"/>
      <c r="F22" s="95"/>
      <c r="G22" s="95"/>
      <c r="H22" s="95"/>
      <c r="I22" s="91" t="s">
        <v>7</v>
      </c>
      <c r="J22" s="92"/>
      <c r="K22" s="92"/>
      <c r="L22" s="92"/>
      <c r="M22" s="91" t="s">
        <v>8</v>
      </c>
      <c r="N22" s="92"/>
      <c r="O22" s="92"/>
      <c r="P22" s="93"/>
      <c r="Q22" s="116" t="s">
        <v>49</v>
      </c>
      <c r="R22" s="117"/>
      <c r="S22" s="117"/>
      <c r="T22" s="117"/>
      <c r="U22" s="91" t="s">
        <v>9</v>
      </c>
      <c r="V22" s="92"/>
      <c r="W22" s="92"/>
      <c r="X22" s="92"/>
      <c r="Y22" s="114"/>
      <c r="Z22" s="114"/>
      <c r="AA22" s="114"/>
      <c r="AB22" s="114"/>
      <c r="AC22" s="167"/>
      <c r="AD22" s="167"/>
      <c r="AE22" s="167"/>
      <c r="AF22" s="167"/>
      <c r="AG22" s="114"/>
      <c r="AH22" s="114"/>
      <c r="AI22" s="114"/>
      <c r="AJ22" s="114"/>
      <c r="AK22" s="114"/>
      <c r="AL22" s="114"/>
      <c r="AM22" s="114"/>
      <c r="AN22" s="114"/>
      <c r="AO22" s="114"/>
      <c r="AP22" s="114"/>
      <c r="AQ22" s="114"/>
      <c r="AR22" s="114"/>
      <c r="AS22" s="114"/>
      <c r="AT22" s="114"/>
      <c r="AU22" s="114"/>
      <c r="AV22" s="114"/>
      <c r="AW22" s="114"/>
      <c r="AX22" s="114"/>
      <c r="AY22" s="114"/>
      <c r="AZ22" s="114"/>
      <c r="BA22" s="114"/>
    </row>
    <row r="23" spans="2:54" s="21" customFormat="1" ht="13.5" customHeight="1" x14ac:dyDescent="0.15">
      <c r="B23" s="94"/>
      <c r="C23" s="95"/>
      <c r="D23" s="95"/>
      <c r="E23" s="95"/>
      <c r="F23" s="95"/>
      <c r="G23" s="95"/>
      <c r="H23" s="95"/>
      <c r="I23" s="94"/>
      <c r="J23" s="95"/>
      <c r="K23" s="95"/>
      <c r="L23" s="95"/>
      <c r="M23" s="94"/>
      <c r="N23" s="95"/>
      <c r="O23" s="95"/>
      <c r="P23" s="96"/>
      <c r="Q23" s="119"/>
      <c r="R23" s="120"/>
      <c r="S23" s="120"/>
      <c r="T23" s="120"/>
      <c r="U23" s="94"/>
      <c r="V23" s="95"/>
      <c r="W23" s="95"/>
      <c r="X23" s="95"/>
      <c r="Y23" s="114"/>
      <c r="Z23" s="114"/>
      <c r="AA23" s="114"/>
      <c r="AB23" s="114"/>
      <c r="AC23" s="167"/>
      <c r="AD23" s="167"/>
      <c r="AE23" s="167"/>
      <c r="AF23" s="167"/>
      <c r="AG23" s="114"/>
      <c r="AH23" s="114"/>
      <c r="AI23" s="114"/>
      <c r="AJ23" s="114"/>
      <c r="AK23" s="114"/>
      <c r="AL23" s="114"/>
      <c r="AM23" s="114"/>
      <c r="AN23" s="114"/>
      <c r="AO23" s="114"/>
      <c r="AP23" s="114"/>
      <c r="AQ23" s="114"/>
      <c r="AR23" s="114"/>
      <c r="AS23" s="114"/>
      <c r="AT23" s="114"/>
      <c r="AU23" s="114"/>
      <c r="AV23" s="114"/>
      <c r="AW23" s="114"/>
      <c r="AX23" s="114"/>
      <c r="AY23" s="114"/>
      <c r="AZ23" s="114"/>
      <c r="BA23" s="114"/>
    </row>
    <row r="24" spans="2:54" s="21" customFormat="1" ht="13.5" customHeight="1" x14ac:dyDescent="0.15">
      <c r="B24" s="94"/>
      <c r="C24" s="95"/>
      <c r="D24" s="95"/>
      <c r="E24" s="95"/>
      <c r="F24" s="95"/>
      <c r="G24" s="95"/>
      <c r="H24" s="95"/>
      <c r="I24" s="94"/>
      <c r="J24" s="95"/>
      <c r="K24" s="95"/>
      <c r="L24" s="95"/>
      <c r="M24" s="94"/>
      <c r="N24" s="95"/>
      <c r="O24" s="95"/>
      <c r="P24" s="96"/>
      <c r="Q24" s="119"/>
      <c r="R24" s="120"/>
      <c r="S24" s="120"/>
      <c r="T24" s="120"/>
      <c r="U24" s="94"/>
      <c r="V24" s="95"/>
      <c r="W24" s="95"/>
      <c r="X24" s="95"/>
      <c r="Y24" s="114"/>
      <c r="Z24" s="114"/>
      <c r="AA24" s="114"/>
      <c r="AB24" s="114"/>
      <c r="AC24" s="167"/>
      <c r="AD24" s="167"/>
      <c r="AE24" s="167"/>
      <c r="AF24" s="167"/>
      <c r="AG24" s="114"/>
      <c r="AH24" s="114"/>
      <c r="AI24" s="114"/>
      <c r="AJ24" s="114"/>
      <c r="AK24" s="114"/>
      <c r="AL24" s="114"/>
      <c r="AM24" s="114"/>
      <c r="AN24" s="114"/>
      <c r="AO24" s="114"/>
      <c r="AP24" s="114"/>
      <c r="AQ24" s="114"/>
      <c r="AR24" s="114"/>
      <c r="AS24" s="114"/>
      <c r="AT24" s="114"/>
      <c r="AU24" s="114"/>
      <c r="AV24" s="114"/>
      <c r="AW24" s="114"/>
      <c r="AX24" s="114"/>
      <c r="AY24" s="114"/>
      <c r="AZ24" s="114"/>
      <c r="BA24" s="114"/>
    </row>
    <row r="25" spans="2:54" s="21" customFormat="1" ht="13.5" customHeight="1" x14ac:dyDescent="0.15">
      <c r="B25" s="97"/>
      <c r="C25" s="98"/>
      <c r="D25" s="98"/>
      <c r="E25" s="98"/>
      <c r="F25" s="98"/>
      <c r="G25" s="98"/>
      <c r="H25" s="98"/>
      <c r="I25" s="97"/>
      <c r="J25" s="98"/>
      <c r="K25" s="98"/>
      <c r="L25" s="98"/>
      <c r="M25" s="97"/>
      <c r="N25" s="98"/>
      <c r="O25" s="98"/>
      <c r="P25" s="99"/>
      <c r="Q25" s="122"/>
      <c r="R25" s="123"/>
      <c r="S25" s="123"/>
      <c r="T25" s="123"/>
      <c r="U25" s="97"/>
      <c r="V25" s="98"/>
      <c r="W25" s="98"/>
      <c r="X25" s="98"/>
      <c r="Y25" s="114"/>
      <c r="Z25" s="114"/>
      <c r="AA25" s="114"/>
      <c r="AB25" s="114"/>
      <c r="AC25" s="167"/>
      <c r="AD25" s="167"/>
      <c r="AE25" s="167"/>
      <c r="AF25" s="167"/>
      <c r="AG25" s="114"/>
      <c r="AH25" s="114"/>
      <c r="AI25" s="114"/>
      <c r="AJ25" s="114"/>
      <c r="AK25" s="114"/>
      <c r="AL25" s="114"/>
      <c r="AM25" s="114"/>
      <c r="AN25" s="114"/>
      <c r="AO25" s="114"/>
      <c r="AP25" s="114"/>
      <c r="AQ25" s="114"/>
      <c r="AR25" s="114"/>
      <c r="AS25" s="114"/>
      <c r="AT25" s="114"/>
      <c r="AU25" s="114"/>
      <c r="AV25" s="114"/>
      <c r="AW25" s="114"/>
      <c r="AX25" s="114"/>
      <c r="AY25" s="114"/>
      <c r="AZ25" s="114"/>
      <c r="BA25" s="114"/>
    </row>
    <row r="26" spans="2:54" s="21" customFormat="1" ht="18" customHeight="1" x14ac:dyDescent="0.15">
      <c r="B26" s="106" t="s">
        <v>10</v>
      </c>
      <c r="C26" s="107"/>
      <c r="D26" s="107"/>
      <c r="E26" s="107"/>
      <c r="F26" s="107"/>
      <c r="G26" s="107"/>
      <c r="H26" s="107"/>
      <c r="I26" s="106">
        <f>SUM(I28:L31)</f>
        <v>168650000</v>
      </c>
      <c r="J26" s="107"/>
      <c r="K26" s="107"/>
      <c r="L26" s="107"/>
      <c r="M26" s="106">
        <f>SUM(M28:P31)</f>
        <v>-3515000</v>
      </c>
      <c r="N26" s="107"/>
      <c r="O26" s="107"/>
      <c r="P26" s="108"/>
      <c r="Q26" s="106">
        <f t="shared" ref="Q26" si="0">SUM(Q28:T31)</f>
        <v>0</v>
      </c>
      <c r="R26" s="107"/>
      <c r="S26" s="107"/>
      <c r="T26" s="108"/>
      <c r="U26" s="106">
        <f t="shared" ref="U26" si="1">SUM(U28:X31)</f>
        <v>165135000</v>
      </c>
      <c r="V26" s="107"/>
      <c r="W26" s="107"/>
      <c r="X26" s="107"/>
      <c r="Y26" s="115">
        <f t="shared" ref="Y26" si="2">SUM(Y28:AB31)</f>
        <v>163664014</v>
      </c>
      <c r="Z26" s="115"/>
      <c r="AA26" s="115"/>
      <c r="AB26" s="115"/>
      <c r="AC26" s="107">
        <f>Y26-U26</f>
        <v>-1470986</v>
      </c>
      <c r="AD26" s="107"/>
      <c r="AE26" s="107"/>
      <c r="AF26" s="107"/>
      <c r="AG26" s="114"/>
      <c r="AH26" s="114"/>
      <c r="AI26" s="114"/>
      <c r="AJ26" s="114"/>
      <c r="AK26" s="114"/>
      <c r="AL26" s="114"/>
      <c r="AM26" s="114"/>
      <c r="AN26" s="114"/>
      <c r="AO26" s="114"/>
      <c r="AP26" s="114"/>
      <c r="AQ26" s="114"/>
      <c r="AR26" s="114"/>
      <c r="AS26" s="114"/>
      <c r="AT26" s="114"/>
      <c r="AU26" s="114"/>
      <c r="AV26" s="114"/>
      <c r="AW26" s="114"/>
      <c r="AX26" s="114"/>
      <c r="AY26" s="114"/>
      <c r="AZ26" s="114"/>
      <c r="BA26" s="114"/>
    </row>
    <row r="27" spans="2:54" s="21" customFormat="1" ht="18" customHeight="1" x14ac:dyDescent="0.15">
      <c r="B27" s="109"/>
      <c r="C27" s="110"/>
      <c r="D27" s="110"/>
      <c r="E27" s="110"/>
      <c r="F27" s="110"/>
      <c r="G27" s="110"/>
      <c r="H27" s="110"/>
      <c r="I27" s="109"/>
      <c r="J27" s="110"/>
      <c r="K27" s="110"/>
      <c r="L27" s="110"/>
      <c r="M27" s="109"/>
      <c r="N27" s="110"/>
      <c r="O27" s="110"/>
      <c r="P27" s="111"/>
      <c r="Q27" s="109"/>
      <c r="R27" s="110"/>
      <c r="S27" s="110"/>
      <c r="T27" s="111"/>
      <c r="U27" s="109"/>
      <c r="V27" s="110"/>
      <c r="W27" s="110"/>
      <c r="X27" s="110"/>
      <c r="Y27" s="115"/>
      <c r="Z27" s="115"/>
      <c r="AA27" s="115"/>
      <c r="AB27" s="115"/>
      <c r="AC27" s="110"/>
      <c r="AD27" s="110"/>
      <c r="AE27" s="110"/>
      <c r="AF27" s="110"/>
      <c r="AG27" s="114"/>
      <c r="AH27" s="114"/>
      <c r="AI27" s="114"/>
      <c r="AJ27" s="114"/>
      <c r="AK27" s="114"/>
      <c r="AL27" s="114"/>
      <c r="AM27" s="114"/>
      <c r="AN27" s="114"/>
      <c r="AO27" s="114"/>
      <c r="AP27" s="114"/>
      <c r="AQ27" s="114"/>
      <c r="AR27" s="114"/>
      <c r="AS27" s="114"/>
      <c r="AT27" s="114"/>
      <c r="AU27" s="114"/>
      <c r="AV27" s="114"/>
      <c r="AW27" s="114"/>
      <c r="AX27" s="114"/>
      <c r="AY27" s="114"/>
      <c r="AZ27" s="114"/>
      <c r="BA27" s="114"/>
    </row>
    <row r="28" spans="2:54" s="21" customFormat="1" ht="18" customHeight="1" x14ac:dyDescent="0.15">
      <c r="B28" s="106" t="s">
        <v>11</v>
      </c>
      <c r="C28" s="107"/>
      <c r="D28" s="107"/>
      <c r="E28" s="107"/>
      <c r="F28" s="107"/>
      <c r="G28" s="107"/>
      <c r="H28" s="107"/>
      <c r="I28" s="106">
        <v>122909000</v>
      </c>
      <c r="J28" s="107"/>
      <c r="K28" s="107"/>
      <c r="L28" s="107"/>
      <c r="M28" s="106">
        <v>-2479000</v>
      </c>
      <c r="N28" s="107"/>
      <c r="O28" s="107"/>
      <c r="P28" s="108"/>
      <c r="Q28" s="106">
        <v>0</v>
      </c>
      <c r="R28" s="107"/>
      <c r="S28" s="107"/>
      <c r="T28" s="108"/>
      <c r="U28" s="106">
        <f>SUM(I28:T29)</f>
        <v>120430000</v>
      </c>
      <c r="V28" s="107"/>
      <c r="W28" s="107"/>
      <c r="X28" s="107"/>
      <c r="Y28" s="115">
        <v>119280623</v>
      </c>
      <c r="Z28" s="115"/>
      <c r="AA28" s="115"/>
      <c r="AB28" s="115"/>
      <c r="AC28" s="169">
        <f>Y28-U28</f>
        <v>-1149377</v>
      </c>
      <c r="AD28" s="170"/>
      <c r="AE28" s="170"/>
      <c r="AF28" s="170"/>
      <c r="AG28" s="73" t="s">
        <v>94</v>
      </c>
      <c r="AH28" s="74"/>
      <c r="AI28" s="74"/>
      <c r="AJ28" s="74"/>
      <c r="AK28" s="74"/>
      <c r="AL28" s="74"/>
      <c r="AM28" s="74"/>
      <c r="AN28" s="74"/>
      <c r="AO28" s="74"/>
      <c r="AP28" s="74"/>
      <c r="AQ28" s="74"/>
      <c r="AR28" s="74"/>
      <c r="AS28" s="74"/>
      <c r="AT28" s="74"/>
      <c r="AU28" s="74"/>
      <c r="AV28" s="74"/>
      <c r="AW28" s="74"/>
      <c r="AX28" s="74"/>
      <c r="AY28" s="74"/>
      <c r="AZ28" s="74"/>
      <c r="BA28" s="75"/>
    </row>
    <row r="29" spans="2:54" s="21" customFormat="1" ht="18" customHeight="1" x14ac:dyDescent="0.15">
      <c r="B29" s="109"/>
      <c r="C29" s="110"/>
      <c r="D29" s="110"/>
      <c r="E29" s="110"/>
      <c r="F29" s="110"/>
      <c r="G29" s="110"/>
      <c r="H29" s="110"/>
      <c r="I29" s="109"/>
      <c r="J29" s="110"/>
      <c r="K29" s="110"/>
      <c r="L29" s="110"/>
      <c r="M29" s="109"/>
      <c r="N29" s="110"/>
      <c r="O29" s="110"/>
      <c r="P29" s="111"/>
      <c r="Q29" s="109"/>
      <c r="R29" s="110"/>
      <c r="S29" s="110"/>
      <c r="T29" s="111"/>
      <c r="U29" s="109"/>
      <c r="V29" s="110"/>
      <c r="W29" s="110"/>
      <c r="X29" s="110"/>
      <c r="Y29" s="115"/>
      <c r="Z29" s="115"/>
      <c r="AA29" s="115"/>
      <c r="AB29" s="115"/>
      <c r="AC29" s="171"/>
      <c r="AD29" s="172"/>
      <c r="AE29" s="172"/>
      <c r="AF29" s="172"/>
      <c r="AG29" s="76"/>
      <c r="AH29" s="77"/>
      <c r="AI29" s="77"/>
      <c r="AJ29" s="77"/>
      <c r="AK29" s="77"/>
      <c r="AL29" s="77"/>
      <c r="AM29" s="77"/>
      <c r="AN29" s="77"/>
      <c r="AO29" s="77"/>
      <c r="AP29" s="77"/>
      <c r="AQ29" s="77"/>
      <c r="AR29" s="77"/>
      <c r="AS29" s="77"/>
      <c r="AT29" s="77"/>
      <c r="AU29" s="77"/>
      <c r="AV29" s="77"/>
      <c r="AW29" s="77"/>
      <c r="AX29" s="77"/>
      <c r="AY29" s="77"/>
      <c r="AZ29" s="77"/>
      <c r="BA29" s="78"/>
    </row>
    <row r="30" spans="2:54" s="21" customFormat="1" ht="18" customHeight="1" x14ac:dyDescent="0.15">
      <c r="B30" s="106" t="s">
        <v>12</v>
      </c>
      <c r="C30" s="107"/>
      <c r="D30" s="107"/>
      <c r="E30" s="107"/>
      <c r="F30" s="107"/>
      <c r="G30" s="107"/>
      <c r="H30" s="108"/>
      <c r="I30" s="106">
        <v>45741000</v>
      </c>
      <c r="J30" s="107"/>
      <c r="K30" s="107"/>
      <c r="L30" s="108"/>
      <c r="M30" s="106">
        <v>-1036000</v>
      </c>
      <c r="N30" s="107"/>
      <c r="O30" s="107"/>
      <c r="P30" s="108"/>
      <c r="Q30" s="106">
        <v>0</v>
      </c>
      <c r="R30" s="107"/>
      <c r="S30" s="107"/>
      <c r="T30" s="108"/>
      <c r="U30" s="106">
        <f>SUM(I30:T31)</f>
        <v>44705000</v>
      </c>
      <c r="V30" s="107"/>
      <c r="W30" s="107"/>
      <c r="X30" s="107"/>
      <c r="Y30" s="115">
        <v>44383391</v>
      </c>
      <c r="Z30" s="115"/>
      <c r="AA30" s="115"/>
      <c r="AB30" s="115"/>
      <c r="AC30" s="106">
        <f>Y30-U30</f>
        <v>-321609</v>
      </c>
      <c r="AD30" s="107"/>
      <c r="AE30" s="107"/>
      <c r="AF30" s="107"/>
      <c r="AG30" s="139"/>
      <c r="AH30" s="139"/>
      <c r="AI30" s="139"/>
      <c r="AJ30" s="139"/>
      <c r="AK30" s="139"/>
      <c r="AL30" s="139"/>
      <c r="AM30" s="139"/>
      <c r="AN30" s="139"/>
      <c r="AO30" s="139"/>
      <c r="AP30" s="139"/>
      <c r="AQ30" s="139"/>
      <c r="AR30" s="139"/>
      <c r="AS30" s="139"/>
      <c r="AT30" s="139"/>
      <c r="AU30" s="139"/>
      <c r="AV30" s="139"/>
      <c r="AW30" s="139"/>
      <c r="AX30" s="139"/>
      <c r="AY30" s="139"/>
      <c r="AZ30" s="139"/>
      <c r="BA30" s="139"/>
    </row>
    <row r="31" spans="2:54" s="21" customFormat="1" ht="18" customHeight="1" x14ac:dyDescent="0.15">
      <c r="B31" s="109"/>
      <c r="C31" s="110"/>
      <c r="D31" s="110"/>
      <c r="E31" s="110"/>
      <c r="F31" s="110"/>
      <c r="G31" s="110"/>
      <c r="H31" s="111"/>
      <c r="I31" s="109"/>
      <c r="J31" s="110"/>
      <c r="K31" s="110"/>
      <c r="L31" s="111"/>
      <c r="M31" s="109"/>
      <c r="N31" s="110"/>
      <c r="O31" s="110"/>
      <c r="P31" s="111"/>
      <c r="Q31" s="109"/>
      <c r="R31" s="110"/>
      <c r="S31" s="110"/>
      <c r="T31" s="111"/>
      <c r="U31" s="109"/>
      <c r="V31" s="110"/>
      <c r="W31" s="110"/>
      <c r="X31" s="110"/>
      <c r="Y31" s="115"/>
      <c r="Z31" s="115"/>
      <c r="AA31" s="115"/>
      <c r="AB31" s="115"/>
      <c r="AC31" s="109"/>
      <c r="AD31" s="110"/>
      <c r="AE31" s="110"/>
      <c r="AF31" s="110"/>
      <c r="AG31" s="139"/>
      <c r="AH31" s="139"/>
      <c r="AI31" s="139"/>
      <c r="AJ31" s="139"/>
      <c r="AK31" s="139"/>
      <c r="AL31" s="139"/>
      <c r="AM31" s="139"/>
      <c r="AN31" s="139"/>
      <c r="AO31" s="139"/>
      <c r="AP31" s="139"/>
      <c r="AQ31" s="139"/>
      <c r="AR31" s="139"/>
      <c r="AS31" s="139"/>
      <c r="AT31" s="139"/>
      <c r="AU31" s="139"/>
      <c r="AV31" s="139"/>
      <c r="AW31" s="139"/>
      <c r="AX31" s="139"/>
      <c r="AY31" s="139"/>
      <c r="AZ31" s="139"/>
      <c r="BA31" s="139"/>
    </row>
    <row r="32" spans="2:54"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7"/>
      <c r="C34" s="137"/>
      <c r="D34" s="137"/>
      <c r="E34" s="137"/>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7" t="s">
        <v>47</v>
      </c>
      <c r="AV34" s="157"/>
      <c r="AW34" s="157"/>
      <c r="AX34" s="157"/>
      <c r="AY34" s="157"/>
      <c r="AZ34" s="157"/>
      <c r="BA34" s="157"/>
    </row>
    <row r="35" spans="2:53" s="21" customFormat="1" ht="13.5" customHeight="1" x14ac:dyDescent="0.15">
      <c r="B35" s="114" t="s">
        <v>2</v>
      </c>
      <c r="C35" s="114"/>
      <c r="D35" s="114"/>
      <c r="E35" s="114"/>
      <c r="F35" s="114"/>
      <c r="G35" s="114"/>
      <c r="H35" s="114"/>
      <c r="I35" s="91" t="s">
        <v>14</v>
      </c>
      <c r="J35" s="92"/>
      <c r="K35" s="92"/>
      <c r="L35" s="92"/>
      <c r="M35" s="92"/>
      <c r="N35" s="92"/>
      <c r="O35" s="92"/>
      <c r="P35" s="92"/>
      <c r="Q35" s="92"/>
      <c r="R35" s="92"/>
      <c r="S35" s="92"/>
      <c r="T35" s="92"/>
      <c r="U35" s="92"/>
      <c r="V35" s="92"/>
      <c r="W35" s="92"/>
      <c r="X35" s="92"/>
      <c r="Y35" s="92"/>
      <c r="Z35" s="92"/>
      <c r="AA35" s="92"/>
      <c r="AB35" s="92"/>
      <c r="AC35" s="92"/>
      <c r="AD35" s="92"/>
      <c r="AE35" s="92"/>
      <c r="AF35" s="92"/>
      <c r="AG35" s="93"/>
      <c r="AH35" s="91" t="s">
        <v>15</v>
      </c>
      <c r="AI35" s="92"/>
      <c r="AJ35" s="92"/>
      <c r="AK35" s="93"/>
      <c r="AL35" s="125" t="s">
        <v>16</v>
      </c>
      <c r="AM35" s="125"/>
      <c r="AN35" s="114" t="s">
        <v>17</v>
      </c>
      <c r="AO35" s="114"/>
      <c r="AP35" s="114"/>
      <c r="AQ35" s="114"/>
      <c r="AR35" s="91" t="s">
        <v>18</v>
      </c>
      <c r="AS35" s="92"/>
      <c r="AT35" s="92"/>
      <c r="AU35" s="92"/>
      <c r="AV35" s="92"/>
      <c r="AW35" s="92"/>
      <c r="AX35" s="92"/>
      <c r="AY35" s="92"/>
      <c r="AZ35" s="92"/>
      <c r="BA35" s="93"/>
    </row>
    <row r="36" spans="2:53" s="21" customFormat="1" ht="13.5" customHeight="1" x14ac:dyDescent="0.15">
      <c r="B36" s="114"/>
      <c r="C36" s="114"/>
      <c r="D36" s="114"/>
      <c r="E36" s="114"/>
      <c r="F36" s="114"/>
      <c r="G36" s="114"/>
      <c r="H36" s="114"/>
      <c r="I36" s="97"/>
      <c r="J36" s="98"/>
      <c r="K36" s="98"/>
      <c r="L36" s="98"/>
      <c r="M36" s="98"/>
      <c r="N36" s="98"/>
      <c r="O36" s="98"/>
      <c r="P36" s="98"/>
      <c r="Q36" s="98"/>
      <c r="R36" s="98"/>
      <c r="S36" s="98"/>
      <c r="T36" s="98"/>
      <c r="U36" s="98"/>
      <c r="V36" s="98"/>
      <c r="W36" s="98"/>
      <c r="X36" s="98"/>
      <c r="Y36" s="98"/>
      <c r="Z36" s="98"/>
      <c r="AA36" s="98"/>
      <c r="AB36" s="98"/>
      <c r="AC36" s="98"/>
      <c r="AD36" s="98"/>
      <c r="AE36" s="98"/>
      <c r="AF36" s="98"/>
      <c r="AG36" s="99"/>
      <c r="AH36" s="94"/>
      <c r="AI36" s="95"/>
      <c r="AJ36" s="95"/>
      <c r="AK36" s="96"/>
      <c r="AL36" s="125"/>
      <c r="AM36" s="125"/>
      <c r="AN36" s="114"/>
      <c r="AO36" s="114"/>
      <c r="AP36" s="114"/>
      <c r="AQ36" s="114"/>
      <c r="AR36" s="94"/>
      <c r="AS36" s="95"/>
      <c r="AT36" s="95"/>
      <c r="AU36" s="95"/>
      <c r="AV36" s="95"/>
      <c r="AW36" s="95"/>
      <c r="AX36" s="95"/>
      <c r="AY36" s="95"/>
      <c r="AZ36" s="95"/>
      <c r="BA36" s="96"/>
    </row>
    <row r="37" spans="2:53" s="21" customFormat="1" ht="13.5" customHeight="1" x14ac:dyDescent="0.15">
      <c r="B37" s="114"/>
      <c r="C37" s="114"/>
      <c r="D37" s="114"/>
      <c r="E37" s="114"/>
      <c r="F37" s="114"/>
      <c r="G37" s="114"/>
      <c r="H37" s="114"/>
      <c r="I37" s="114" t="s">
        <v>19</v>
      </c>
      <c r="J37" s="114"/>
      <c r="K37" s="114"/>
      <c r="L37" s="114"/>
      <c r="M37" s="114" t="s">
        <v>20</v>
      </c>
      <c r="N37" s="114"/>
      <c r="O37" s="114"/>
      <c r="P37" s="114"/>
      <c r="Q37" s="167" t="s">
        <v>21</v>
      </c>
      <c r="R37" s="167"/>
      <c r="S37" s="167" t="s">
        <v>22</v>
      </c>
      <c r="T37" s="167"/>
      <c r="U37" s="167"/>
      <c r="V37" s="125" t="s">
        <v>23</v>
      </c>
      <c r="W37" s="125"/>
      <c r="X37" s="114" t="s">
        <v>24</v>
      </c>
      <c r="Y37" s="114"/>
      <c r="Z37" s="114"/>
      <c r="AA37" s="114"/>
      <c r="AB37" s="125" t="s">
        <v>16</v>
      </c>
      <c r="AC37" s="125"/>
      <c r="AD37" s="114" t="s">
        <v>25</v>
      </c>
      <c r="AE37" s="114"/>
      <c r="AF37" s="114"/>
      <c r="AG37" s="114"/>
      <c r="AH37" s="94"/>
      <c r="AI37" s="95"/>
      <c r="AJ37" s="95"/>
      <c r="AK37" s="96"/>
      <c r="AL37" s="125"/>
      <c r="AM37" s="125"/>
      <c r="AN37" s="114"/>
      <c r="AO37" s="114"/>
      <c r="AP37" s="114"/>
      <c r="AQ37" s="114"/>
      <c r="AR37" s="94"/>
      <c r="AS37" s="95"/>
      <c r="AT37" s="95"/>
      <c r="AU37" s="95"/>
      <c r="AV37" s="95"/>
      <c r="AW37" s="95"/>
      <c r="AX37" s="95"/>
      <c r="AY37" s="95"/>
      <c r="AZ37" s="95"/>
      <c r="BA37" s="96"/>
    </row>
    <row r="38" spans="2:53" s="21" customFormat="1" ht="13.5" customHeight="1" x14ac:dyDescent="0.15">
      <c r="B38" s="114"/>
      <c r="C38" s="114"/>
      <c r="D38" s="114"/>
      <c r="E38" s="114"/>
      <c r="F38" s="114"/>
      <c r="G38" s="114"/>
      <c r="H38" s="114"/>
      <c r="I38" s="114"/>
      <c r="J38" s="114"/>
      <c r="K38" s="114"/>
      <c r="L38" s="114"/>
      <c r="M38" s="114"/>
      <c r="N38" s="114"/>
      <c r="O38" s="114"/>
      <c r="P38" s="114"/>
      <c r="Q38" s="167"/>
      <c r="R38" s="167"/>
      <c r="S38" s="167"/>
      <c r="T38" s="167"/>
      <c r="U38" s="167"/>
      <c r="V38" s="125"/>
      <c r="W38" s="125"/>
      <c r="X38" s="114"/>
      <c r="Y38" s="114"/>
      <c r="Z38" s="114"/>
      <c r="AA38" s="114"/>
      <c r="AB38" s="125"/>
      <c r="AC38" s="125"/>
      <c r="AD38" s="114"/>
      <c r="AE38" s="114"/>
      <c r="AF38" s="114"/>
      <c r="AG38" s="114"/>
      <c r="AH38" s="94"/>
      <c r="AI38" s="95"/>
      <c r="AJ38" s="95"/>
      <c r="AK38" s="96"/>
      <c r="AL38" s="125"/>
      <c r="AM38" s="125"/>
      <c r="AN38" s="114"/>
      <c r="AO38" s="114"/>
      <c r="AP38" s="114"/>
      <c r="AQ38" s="114"/>
      <c r="AR38" s="94"/>
      <c r="AS38" s="95"/>
      <c r="AT38" s="95"/>
      <c r="AU38" s="95"/>
      <c r="AV38" s="95"/>
      <c r="AW38" s="95"/>
      <c r="AX38" s="95"/>
      <c r="AY38" s="95"/>
      <c r="AZ38" s="95"/>
      <c r="BA38" s="96"/>
    </row>
    <row r="39" spans="2:53" s="21" customFormat="1" ht="13.5" customHeight="1" x14ac:dyDescent="0.15">
      <c r="B39" s="114"/>
      <c r="C39" s="114"/>
      <c r="D39" s="114"/>
      <c r="E39" s="114"/>
      <c r="F39" s="114"/>
      <c r="G39" s="114"/>
      <c r="H39" s="114"/>
      <c r="I39" s="114"/>
      <c r="J39" s="114"/>
      <c r="K39" s="114"/>
      <c r="L39" s="114"/>
      <c r="M39" s="114"/>
      <c r="N39" s="114"/>
      <c r="O39" s="114"/>
      <c r="P39" s="114"/>
      <c r="Q39" s="167"/>
      <c r="R39" s="167"/>
      <c r="S39" s="167"/>
      <c r="T39" s="167"/>
      <c r="U39" s="167"/>
      <c r="V39" s="125"/>
      <c r="W39" s="125"/>
      <c r="X39" s="114"/>
      <c r="Y39" s="114"/>
      <c r="Z39" s="114"/>
      <c r="AA39" s="114"/>
      <c r="AB39" s="125"/>
      <c r="AC39" s="125"/>
      <c r="AD39" s="114"/>
      <c r="AE39" s="114"/>
      <c r="AF39" s="114"/>
      <c r="AG39" s="114"/>
      <c r="AH39" s="94"/>
      <c r="AI39" s="95"/>
      <c r="AJ39" s="95"/>
      <c r="AK39" s="96"/>
      <c r="AL39" s="125"/>
      <c r="AM39" s="125"/>
      <c r="AN39" s="114"/>
      <c r="AO39" s="114"/>
      <c r="AP39" s="114"/>
      <c r="AQ39" s="114"/>
      <c r="AR39" s="94"/>
      <c r="AS39" s="95"/>
      <c r="AT39" s="95"/>
      <c r="AU39" s="95"/>
      <c r="AV39" s="95"/>
      <c r="AW39" s="95"/>
      <c r="AX39" s="95"/>
      <c r="AY39" s="95"/>
      <c r="AZ39" s="95"/>
      <c r="BA39" s="96"/>
    </row>
    <row r="40" spans="2:53" s="21" customFormat="1" ht="13.5" customHeight="1" x14ac:dyDescent="0.15">
      <c r="B40" s="114"/>
      <c r="C40" s="114"/>
      <c r="D40" s="114"/>
      <c r="E40" s="114"/>
      <c r="F40" s="114"/>
      <c r="G40" s="114"/>
      <c r="H40" s="114"/>
      <c r="I40" s="114"/>
      <c r="J40" s="114"/>
      <c r="K40" s="114"/>
      <c r="L40" s="114"/>
      <c r="M40" s="114"/>
      <c r="N40" s="114"/>
      <c r="O40" s="114"/>
      <c r="P40" s="114"/>
      <c r="Q40" s="167"/>
      <c r="R40" s="167"/>
      <c r="S40" s="167"/>
      <c r="T40" s="167"/>
      <c r="U40" s="167"/>
      <c r="V40" s="125"/>
      <c r="W40" s="125"/>
      <c r="X40" s="114"/>
      <c r="Y40" s="114"/>
      <c r="Z40" s="114"/>
      <c r="AA40" s="114"/>
      <c r="AB40" s="125"/>
      <c r="AC40" s="125"/>
      <c r="AD40" s="114"/>
      <c r="AE40" s="114"/>
      <c r="AF40" s="114"/>
      <c r="AG40" s="114"/>
      <c r="AH40" s="97"/>
      <c r="AI40" s="98"/>
      <c r="AJ40" s="98"/>
      <c r="AK40" s="99"/>
      <c r="AL40" s="125"/>
      <c r="AM40" s="125"/>
      <c r="AN40" s="114"/>
      <c r="AO40" s="114"/>
      <c r="AP40" s="114"/>
      <c r="AQ40" s="114"/>
      <c r="AR40" s="97"/>
      <c r="AS40" s="98"/>
      <c r="AT40" s="98"/>
      <c r="AU40" s="98"/>
      <c r="AV40" s="98"/>
      <c r="AW40" s="98"/>
      <c r="AX40" s="98"/>
      <c r="AY40" s="98"/>
      <c r="AZ40" s="98"/>
      <c r="BA40" s="99"/>
    </row>
    <row r="41" spans="2:53" s="21" customFormat="1" ht="18" customHeight="1" x14ac:dyDescent="0.15">
      <c r="B41" s="115" t="s">
        <v>26</v>
      </c>
      <c r="C41" s="115"/>
      <c r="D41" s="115"/>
      <c r="E41" s="115"/>
      <c r="F41" s="115"/>
      <c r="G41" s="115"/>
      <c r="H41" s="115"/>
      <c r="I41" s="161">
        <f>SUM(I43:L48)</f>
        <v>154878000</v>
      </c>
      <c r="J41" s="162"/>
      <c r="K41" s="162"/>
      <c r="L41" s="163"/>
      <c r="M41" s="161">
        <f>SUM(M43:P48)</f>
        <v>733000</v>
      </c>
      <c r="N41" s="162"/>
      <c r="O41" s="162"/>
      <c r="P41" s="163"/>
      <c r="Q41" s="115">
        <f>SUM(Q43:R48)</f>
        <v>0</v>
      </c>
      <c r="R41" s="115"/>
      <c r="S41" s="115">
        <f>SUM(S43:U48)</f>
        <v>0</v>
      </c>
      <c r="T41" s="115"/>
      <c r="U41" s="115"/>
      <c r="V41" s="161">
        <f>SUM(V43:W48)</f>
        <v>0</v>
      </c>
      <c r="W41" s="163"/>
      <c r="X41" s="161">
        <f>SUM(X43:AA48)</f>
        <v>155611000</v>
      </c>
      <c r="Y41" s="162"/>
      <c r="Z41" s="162"/>
      <c r="AA41" s="163"/>
      <c r="AB41" s="106">
        <f>SUM(AB43:AC48)</f>
        <v>0</v>
      </c>
      <c r="AC41" s="107"/>
      <c r="AD41" s="161">
        <f>SUM(AD43:AG48)</f>
        <v>155611000</v>
      </c>
      <c r="AE41" s="162"/>
      <c r="AF41" s="162"/>
      <c r="AG41" s="163"/>
      <c r="AH41" s="106">
        <f>SUM(AH43:AK48)</f>
        <v>150290580</v>
      </c>
      <c r="AI41" s="107"/>
      <c r="AJ41" s="107"/>
      <c r="AK41" s="107"/>
      <c r="AL41" s="68">
        <f>SUM(AL43:AM48)</f>
        <v>0</v>
      </c>
      <c r="AM41" s="68"/>
      <c r="AN41" s="68">
        <f>SUM(AN43:AQ48)</f>
        <v>5320420</v>
      </c>
      <c r="AO41" s="68"/>
      <c r="AP41" s="68"/>
      <c r="AQ41" s="68"/>
      <c r="AR41" s="100"/>
      <c r="AS41" s="101"/>
      <c r="AT41" s="101"/>
      <c r="AU41" s="101"/>
      <c r="AV41" s="101"/>
      <c r="AW41" s="101"/>
      <c r="AX41" s="101"/>
      <c r="AY41" s="101"/>
      <c r="AZ41" s="101"/>
      <c r="BA41" s="102"/>
    </row>
    <row r="42" spans="2:53" s="21" customFormat="1" ht="18" customHeight="1" x14ac:dyDescent="0.15">
      <c r="B42" s="115"/>
      <c r="C42" s="115"/>
      <c r="D42" s="115"/>
      <c r="E42" s="115"/>
      <c r="F42" s="115"/>
      <c r="G42" s="115"/>
      <c r="H42" s="115"/>
      <c r="I42" s="164"/>
      <c r="J42" s="165"/>
      <c r="K42" s="165"/>
      <c r="L42" s="166"/>
      <c r="M42" s="164"/>
      <c r="N42" s="165"/>
      <c r="O42" s="165"/>
      <c r="P42" s="166"/>
      <c r="Q42" s="115"/>
      <c r="R42" s="115"/>
      <c r="S42" s="115"/>
      <c r="T42" s="115"/>
      <c r="U42" s="115"/>
      <c r="V42" s="164"/>
      <c r="W42" s="166"/>
      <c r="X42" s="164"/>
      <c r="Y42" s="165"/>
      <c r="Z42" s="165"/>
      <c r="AA42" s="166"/>
      <c r="AB42" s="109"/>
      <c r="AC42" s="110"/>
      <c r="AD42" s="164"/>
      <c r="AE42" s="165"/>
      <c r="AF42" s="165"/>
      <c r="AG42" s="166"/>
      <c r="AH42" s="109"/>
      <c r="AI42" s="110"/>
      <c r="AJ42" s="110"/>
      <c r="AK42" s="110"/>
      <c r="AL42" s="68"/>
      <c r="AM42" s="68"/>
      <c r="AN42" s="68"/>
      <c r="AO42" s="68"/>
      <c r="AP42" s="68"/>
      <c r="AQ42" s="68"/>
      <c r="AR42" s="103"/>
      <c r="AS42" s="104"/>
      <c r="AT42" s="104"/>
      <c r="AU42" s="104"/>
      <c r="AV42" s="104"/>
      <c r="AW42" s="104"/>
      <c r="AX42" s="104"/>
      <c r="AY42" s="104"/>
      <c r="AZ42" s="104"/>
      <c r="BA42" s="105"/>
    </row>
    <row r="43" spans="2:53" s="21" customFormat="1" ht="18" customHeight="1" x14ac:dyDescent="0.15">
      <c r="B43" s="115" t="s">
        <v>27</v>
      </c>
      <c r="C43" s="115"/>
      <c r="D43" s="115"/>
      <c r="E43" s="115"/>
      <c r="F43" s="115"/>
      <c r="G43" s="115"/>
      <c r="H43" s="115"/>
      <c r="I43" s="115">
        <v>146554000</v>
      </c>
      <c r="J43" s="115"/>
      <c r="K43" s="115"/>
      <c r="L43" s="115"/>
      <c r="M43" s="115">
        <v>705000</v>
      </c>
      <c r="N43" s="115"/>
      <c r="O43" s="115"/>
      <c r="P43" s="115"/>
      <c r="Q43" s="115">
        <v>0</v>
      </c>
      <c r="R43" s="115"/>
      <c r="S43" s="68">
        <v>-885000</v>
      </c>
      <c r="T43" s="68"/>
      <c r="U43" s="68"/>
      <c r="V43" s="115">
        <v>0</v>
      </c>
      <c r="W43" s="115"/>
      <c r="X43" s="115">
        <f>SUM(I43:T44)</f>
        <v>146374000</v>
      </c>
      <c r="Y43" s="115"/>
      <c r="Z43" s="115"/>
      <c r="AA43" s="115"/>
      <c r="AB43" s="106">
        <v>0</v>
      </c>
      <c r="AC43" s="108"/>
      <c r="AD43" s="115">
        <f>SUM(X43:AC44)</f>
        <v>146374000</v>
      </c>
      <c r="AE43" s="115"/>
      <c r="AF43" s="115"/>
      <c r="AG43" s="115"/>
      <c r="AH43" s="106">
        <v>141625217</v>
      </c>
      <c r="AI43" s="107"/>
      <c r="AJ43" s="107"/>
      <c r="AK43" s="108"/>
      <c r="AL43" s="68">
        <v>0</v>
      </c>
      <c r="AM43" s="68"/>
      <c r="AN43" s="68">
        <f>AD43-AH43-AL43</f>
        <v>4748783</v>
      </c>
      <c r="AO43" s="68"/>
      <c r="AP43" s="68"/>
      <c r="AQ43" s="68"/>
      <c r="AR43" s="83" t="s">
        <v>59</v>
      </c>
      <c r="AS43" s="84"/>
      <c r="AT43" s="84"/>
      <c r="AU43" s="84"/>
      <c r="AV43" s="84"/>
      <c r="AW43" s="84"/>
      <c r="AX43" s="84"/>
      <c r="AY43" s="84"/>
      <c r="AZ43" s="84"/>
      <c r="BA43" s="85"/>
    </row>
    <row r="44" spans="2:53" s="21" customFormat="1" ht="18" customHeight="1" x14ac:dyDescent="0.15">
      <c r="B44" s="115"/>
      <c r="C44" s="115"/>
      <c r="D44" s="115"/>
      <c r="E44" s="115"/>
      <c r="F44" s="115"/>
      <c r="G44" s="115"/>
      <c r="H44" s="115"/>
      <c r="I44" s="115"/>
      <c r="J44" s="115"/>
      <c r="K44" s="115"/>
      <c r="L44" s="115"/>
      <c r="M44" s="115"/>
      <c r="N44" s="115"/>
      <c r="O44" s="115"/>
      <c r="P44" s="115"/>
      <c r="Q44" s="115"/>
      <c r="R44" s="115"/>
      <c r="S44" s="68"/>
      <c r="T44" s="68"/>
      <c r="U44" s="68"/>
      <c r="V44" s="115"/>
      <c r="W44" s="115"/>
      <c r="X44" s="115"/>
      <c r="Y44" s="115"/>
      <c r="Z44" s="115"/>
      <c r="AA44" s="115"/>
      <c r="AB44" s="109"/>
      <c r="AC44" s="111"/>
      <c r="AD44" s="115"/>
      <c r="AE44" s="115"/>
      <c r="AF44" s="115"/>
      <c r="AG44" s="115"/>
      <c r="AH44" s="109"/>
      <c r="AI44" s="110"/>
      <c r="AJ44" s="110"/>
      <c r="AK44" s="111"/>
      <c r="AL44" s="68"/>
      <c r="AM44" s="68"/>
      <c r="AN44" s="68"/>
      <c r="AO44" s="68"/>
      <c r="AP44" s="68"/>
      <c r="AQ44" s="68"/>
      <c r="AR44" s="158" t="s">
        <v>95</v>
      </c>
      <c r="AS44" s="159"/>
      <c r="AT44" s="159"/>
      <c r="AU44" s="159"/>
      <c r="AV44" s="159"/>
      <c r="AW44" s="159"/>
      <c r="AX44" s="159"/>
      <c r="AY44" s="159"/>
      <c r="AZ44" s="159"/>
      <c r="BA44" s="160"/>
    </row>
    <row r="45" spans="2:53" s="21" customFormat="1" ht="18" customHeight="1" x14ac:dyDescent="0.15">
      <c r="B45" s="115" t="s">
        <v>28</v>
      </c>
      <c r="C45" s="115"/>
      <c r="D45" s="115"/>
      <c r="E45" s="115"/>
      <c r="F45" s="115"/>
      <c r="G45" s="115"/>
      <c r="H45" s="115"/>
      <c r="I45" s="115">
        <v>7824000</v>
      </c>
      <c r="J45" s="115"/>
      <c r="K45" s="115"/>
      <c r="L45" s="115"/>
      <c r="M45" s="115">
        <v>28000</v>
      </c>
      <c r="N45" s="115"/>
      <c r="O45" s="115"/>
      <c r="P45" s="115"/>
      <c r="Q45" s="115">
        <v>0</v>
      </c>
      <c r="R45" s="115"/>
      <c r="S45" s="68">
        <v>885000</v>
      </c>
      <c r="T45" s="68"/>
      <c r="U45" s="68"/>
      <c r="V45" s="115">
        <v>0</v>
      </c>
      <c r="W45" s="115"/>
      <c r="X45" s="115">
        <f>SUM(I45:T46)</f>
        <v>8737000</v>
      </c>
      <c r="Y45" s="115"/>
      <c r="Z45" s="115"/>
      <c r="AA45" s="115"/>
      <c r="AB45" s="106">
        <v>0</v>
      </c>
      <c r="AC45" s="108"/>
      <c r="AD45" s="115">
        <f>SUM(X45:AC46)</f>
        <v>8737000</v>
      </c>
      <c r="AE45" s="115"/>
      <c r="AF45" s="115"/>
      <c r="AG45" s="115"/>
      <c r="AH45" s="106">
        <v>8665363</v>
      </c>
      <c r="AI45" s="107"/>
      <c r="AJ45" s="107"/>
      <c r="AK45" s="108"/>
      <c r="AL45" s="106">
        <v>0</v>
      </c>
      <c r="AM45" s="108"/>
      <c r="AN45" s="54">
        <f>AD45-AH45-AL45</f>
        <v>71637</v>
      </c>
      <c r="AO45" s="55"/>
      <c r="AP45" s="55"/>
      <c r="AQ45" s="70"/>
      <c r="AR45" s="83" t="s">
        <v>60</v>
      </c>
      <c r="AS45" s="84"/>
      <c r="AT45" s="84"/>
      <c r="AU45" s="84"/>
      <c r="AV45" s="84"/>
      <c r="AW45" s="84"/>
      <c r="AX45" s="84"/>
      <c r="AY45" s="84"/>
      <c r="AZ45" s="84"/>
      <c r="BA45" s="85"/>
    </row>
    <row r="46" spans="2:53" s="21" customFormat="1" ht="18" customHeight="1" x14ac:dyDescent="0.15">
      <c r="B46" s="115"/>
      <c r="C46" s="115"/>
      <c r="D46" s="115"/>
      <c r="E46" s="115"/>
      <c r="F46" s="115"/>
      <c r="G46" s="115"/>
      <c r="H46" s="115"/>
      <c r="I46" s="115"/>
      <c r="J46" s="115"/>
      <c r="K46" s="115"/>
      <c r="L46" s="115"/>
      <c r="M46" s="115"/>
      <c r="N46" s="115"/>
      <c r="O46" s="115"/>
      <c r="P46" s="115"/>
      <c r="Q46" s="115"/>
      <c r="R46" s="115"/>
      <c r="S46" s="68"/>
      <c r="T46" s="68"/>
      <c r="U46" s="68"/>
      <c r="V46" s="115"/>
      <c r="W46" s="115"/>
      <c r="X46" s="115"/>
      <c r="Y46" s="115"/>
      <c r="Z46" s="115"/>
      <c r="AA46" s="115"/>
      <c r="AB46" s="109"/>
      <c r="AC46" s="111"/>
      <c r="AD46" s="115"/>
      <c r="AE46" s="115"/>
      <c r="AF46" s="115"/>
      <c r="AG46" s="115"/>
      <c r="AH46" s="109"/>
      <c r="AI46" s="110"/>
      <c r="AJ46" s="110"/>
      <c r="AK46" s="111"/>
      <c r="AL46" s="109"/>
      <c r="AM46" s="111"/>
      <c r="AN46" s="56"/>
      <c r="AO46" s="57"/>
      <c r="AP46" s="57"/>
      <c r="AQ46" s="71"/>
      <c r="AR46" s="158" t="s">
        <v>96</v>
      </c>
      <c r="AS46" s="159"/>
      <c r="AT46" s="159"/>
      <c r="AU46" s="159"/>
      <c r="AV46" s="159"/>
      <c r="AW46" s="159"/>
      <c r="AX46" s="159"/>
      <c r="AY46" s="159"/>
      <c r="AZ46" s="159"/>
      <c r="BA46" s="160"/>
    </row>
    <row r="47" spans="2:53" s="21" customFormat="1" ht="18" customHeight="1" x14ac:dyDescent="0.15">
      <c r="B47" s="115" t="s">
        <v>29</v>
      </c>
      <c r="C47" s="115"/>
      <c r="D47" s="115"/>
      <c r="E47" s="115"/>
      <c r="F47" s="115"/>
      <c r="G47" s="115"/>
      <c r="H47" s="115"/>
      <c r="I47" s="115">
        <v>500000</v>
      </c>
      <c r="J47" s="115"/>
      <c r="K47" s="115"/>
      <c r="L47" s="115"/>
      <c r="M47" s="115">
        <v>0</v>
      </c>
      <c r="N47" s="115"/>
      <c r="O47" s="115"/>
      <c r="P47" s="115"/>
      <c r="Q47" s="115">
        <v>0</v>
      </c>
      <c r="R47" s="115"/>
      <c r="S47" s="68">
        <v>0</v>
      </c>
      <c r="T47" s="68"/>
      <c r="U47" s="68"/>
      <c r="V47" s="115">
        <v>0</v>
      </c>
      <c r="W47" s="115"/>
      <c r="X47" s="115">
        <f>SUM(I47:T48)</f>
        <v>500000</v>
      </c>
      <c r="Y47" s="115"/>
      <c r="Z47" s="115"/>
      <c r="AA47" s="115"/>
      <c r="AB47" s="106">
        <v>0</v>
      </c>
      <c r="AC47" s="108"/>
      <c r="AD47" s="115">
        <f>SUM(X47:AC48)</f>
        <v>500000</v>
      </c>
      <c r="AE47" s="115"/>
      <c r="AF47" s="115"/>
      <c r="AG47" s="115"/>
      <c r="AH47" s="106">
        <v>0</v>
      </c>
      <c r="AI47" s="107"/>
      <c r="AJ47" s="107"/>
      <c r="AK47" s="108"/>
      <c r="AL47" s="106">
        <v>0</v>
      </c>
      <c r="AM47" s="108"/>
      <c r="AN47" s="54">
        <f>AD47-AH47-AL47</f>
        <v>500000</v>
      </c>
      <c r="AO47" s="55"/>
      <c r="AP47" s="55"/>
      <c r="AQ47" s="70"/>
      <c r="AR47" s="58"/>
      <c r="AS47" s="59"/>
      <c r="AT47" s="59"/>
      <c r="AU47" s="59"/>
      <c r="AV47" s="59"/>
      <c r="AW47" s="59"/>
      <c r="AX47" s="59"/>
      <c r="AY47" s="59"/>
      <c r="AZ47" s="59"/>
      <c r="BA47" s="60"/>
    </row>
    <row r="48" spans="2:53" s="21" customFormat="1" ht="18" customHeight="1" x14ac:dyDescent="0.15">
      <c r="B48" s="115"/>
      <c r="C48" s="115"/>
      <c r="D48" s="115"/>
      <c r="E48" s="115"/>
      <c r="F48" s="115"/>
      <c r="G48" s="115"/>
      <c r="H48" s="115"/>
      <c r="I48" s="115"/>
      <c r="J48" s="115"/>
      <c r="K48" s="115"/>
      <c r="L48" s="115"/>
      <c r="M48" s="115"/>
      <c r="N48" s="115"/>
      <c r="O48" s="115"/>
      <c r="P48" s="115"/>
      <c r="Q48" s="115"/>
      <c r="R48" s="115"/>
      <c r="S48" s="68"/>
      <c r="T48" s="68"/>
      <c r="U48" s="68"/>
      <c r="V48" s="115"/>
      <c r="W48" s="115"/>
      <c r="X48" s="115"/>
      <c r="Y48" s="115"/>
      <c r="Z48" s="115"/>
      <c r="AA48" s="115"/>
      <c r="AB48" s="109"/>
      <c r="AC48" s="111"/>
      <c r="AD48" s="115"/>
      <c r="AE48" s="115"/>
      <c r="AF48" s="115"/>
      <c r="AG48" s="115"/>
      <c r="AH48" s="109"/>
      <c r="AI48" s="110"/>
      <c r="AJ48" s="110"/>
      <c r="AK48" s="111"/>
      <c r="AL48" s="109"/>
      <c r="AM48" s="111"/>
      <c r="AN48" s="56"/>
      <c r="AO48" s="57"/>
      <c r="AP48" s="57"/>
      <c r="AQ48" s="71"/>
      <c r="AR48" s="61"/>
      <c r="AS48" s="62"/>
      <c r="AT48" s="62"/>
      <c r="AU48" s="62"/>
      <c r="AV48" s="62"/>
      <c r="AW48" s="62"/>
      <c r="AX48" s="62"/>
      <c r="AY48" s="62"/>
      <c r="AZ48" s="62"/>
      <c r="BA48" s="63"/>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row>
    <row r="52" spans="2:83" s="25" customFormat="1" ht="13.5" customHeight="1" x14ac:dyDescent="0.15">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row>
    <row r="53" spans="2:83" s="25" customFormat="1" ht="13.5" customHeight="1" x14ac:dyDescent="0.15">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row>
    <row r="54" spans="2:83" s="25" customFormat="1" ht="13.5" customHeight="1" x14ac:dyDescent="0.15">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row>
    <row r="55" spans="2:83" s="25" customFormat="1" ht="13.5" customHeight="1" x14ac:dyDescent="0.15">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row>
    <row r="56" spans="2:83" s="25" customFormat="1" ht="13.5" customHeight="1" x14ac:dyDescent="0.15">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row>
    <row r="57" spans="2:83" s="25" customFormat="1" ht="12" customHeight="1" x14ac:dyDescent="0.15">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row>
    <row r="58" spans="2:83" s="25" customFormat="1" ht="13.5" hidden="1" customHeight="1" x14ac:dyDescent="0.15">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row>
    <row r="59" spans="2:83" s="25" customFormat="1" ht="13.5" hidden="1" customHeight="1" x14ac:dyDescent="0.15">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row>
    <row r="60" spans="2:83" s="25" customFormat="1" ht="13.5" customHeight="1" x14ac:dyDescent="0.15">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row>
    <row r="61" spans="2:83" s="25" customFormat="1" ht="13.5" customHeight="1" x14ac:dyDescent="0.15">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row>
    <row r="62" spans="2:83" s="25" customFormat="1" ht="13.5" customHeight="1" x14ac:dyDescent="0.15">
      <c r="B62" s="156" t="s">
        <v>30</v>
      </c>
      <c r="C62" s="156"/>
      <c r="D62" s="156"/>
      <c r="E62" s="156"/>
      <c r="F62" s="156"/>
      <c r="G62" s="156"/>
      <c r="H62" s="156"/>
      <c r="I62" s="156"/>
      <c r="J62" s="156"/>
      <c r="K62" s="156"/>
      <c r="L62" s="156"/>
      <c r="M62" s="156"/>
      <c r="N62" s="156"/>
      <c r="O62" s="44"/>
      <c r="P62" s="44"/>
      <c r="Q62" s="44"/>
      <c r="R62" s="44"/>
      <c r="S62" s="44"/>
      <c r="T62" s="44"/>
      <c r="U62" s="44"/>
      <c r="V62" s="44"/>
      <c r="W62" s="44"/>
      <c r="X62" s="44"/>
      <c r="Y62" s="44"/>
      <c r="Z62" s="44"/>
      <c r="AA62" s="44"/>
      <c r="AB62" s="44"/>
      <c r="AC62" s="44"/>
      <c r="AD62" s="44"/>
      <c r="AE62" s="44"/>
      <c r="AF62" s="44"/>
      <c r="AG62" s="44"/>
      <c r="AH62" s="44"/>
      <c r="AI62" s="44"/>
      <c r="AJ62" s="44"/>
      <c r="AK62" s="20"/>
      <c r="AL62" s="20"/>
      <c r="AM62" s="20"/>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row>
    <row r="63" spans="2:83" s="25" customFormat="1" ht="13.5" customHeight="1" x14ac:dyDescent="0.15">
      <c r="B63" s="156"/>
      <c r="C63" s="156"/>
      <c r="D63" s="156"/>
      <c r="E63" s="156"/>
      <c r="F63" s="156"/>
      <c r="G63" s="156"/>
      <c r="H63" s="156"/>
      <c r="I63" s="156"/>
      <c r="J63" s="156"/>
      <c r="K63" s="156"/>
      <c r="L63" s="156"/>
      <c r="M63" s="156"/>
      <c r="N63" s="156"/>
      <c r="O63" s="20"/>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20"/>
      <c r="AP63" s="20"/>
      <c r="AQ63" s="20"/>
      <c r="AR63" s="26"/>
      <c r="AS63" s="26"/>
      <c r="AT63" s="26"/>
      <c r="AU63" s="26"/>
      <c r="AV63" s="26"/>
      <c r="AW63" s="26"/>
      <c r="AX63" s="26"/>
      <c r="AY63" s="26"/>
      <c r="AZ63" s="26"/>
      <c r="BA63" s="26"/>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row>
    <row r="64" spans="2:83" s="25" customFormat="1" ht="13.5" customHeight="1" x14ac:dyDescent="0.15">
      <c r="B64" s="136" t="s">
        <v>1</v>
      </c>
      <c r="C64" s="136"/>
      <c r="D64" s="136"/>
      <c r="E64" s="136"/>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row>
    <row r="65" spans="2:82" s="25" customFormat="1" ht="13.5" customHeight="1" x14ac:dyDescent="0.15">
      <c r="B65" s="137"/>
      <c r="C65" s="137"/>
      <c r="D65" s="137"/>
      <c r="E65" s="137"/>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7" t="s">
        <v>47</v>
      </c>
      <c r="AV65" s="157"/>
      <c r="AW65" s="157"/>
      <c r="AX65" s="157"/>
      <c r="AY65" s="157"/>
      <c r="AZ65" s="157"/>
      <c r="BA65" s="157"/>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row>
    <row r="66" spans="2:82" s="21" customFormat="1" ht="13.5" customHeight="1" x14ac:dyDescent="0.15">
      <c r="B66" s="91" t="s">
        <v>2</v>
      </c>
      <c r="C66" s="92"/>
      <c r="D66" s="92"/>
      <c r="E66" s="92"/>
      <c r="F66" s="92"/>
      <c r="G66" s="92"/>
      <c r="H66" s="92"/>
      <c r="I66" s="91" t="s">
        <v>14</v>
      </c>
      <c r="J66" s="92"/>
      <c r="K66" s="92"/>
      <c r="L66" s="92"/>
      <c r="M66" s="92"/>
      <c r="N66" s="92"/>
      <c r="O66" s="92"/>
      <c r="P66" s="92"/>
      <c r="Q66" s="92"/>
      <c r="R66" s="92"/>
      <c r="S66" s="92"/>
      <c r="T66" s="92"/>
      <c r="U66" s="92"/>
      <c r="V66" s="92"/>
      <c r="W66" s="92"/>
      <c r="X66" s="92"/>
      <c r="Y66" s="92"/>
      <c r="Z66" s="92"/>
      <c r="AA66" s="92"/>
      <c r="AB66" s="92"/>
      <c r="AC66" s="92"/>
      <c r="AD66" s="92"/>
      <c r="AE66" s="114" t="s">
        <v>4</v>
      </c>
      <c r="AF66" s="114"/>
      <c r="AG66" s="114"/>
      <c r="AH66" s="114"/>
      <c r="AI66" s="100" t="s">
        <v>48</v>
      </c>
      <c r="AJ66" s="101"/>
      <c r="AK66" s="101"/>
      <c r="AL66" s="101"/>
      <c r="AM66" s="114" t="s">
        <v>6</v>
      </c>
      <c r="AN66" s="114"/>
      <c r="AO66" s="114"/>
      <c r="AP66" s="114"/>
      <c r="AQ66" s="114"/>
      <c r="AR66" s="114"/>
      <c r="AS66" s="114"/>
      <c r="AT66" s="114"/>
      <c r="AU66" s="114"/>
      <c r="AV66" s="114"/>
      <c r="AW66" s="114"/>
      <c r="AX66" s="114"/>
      <c r="AY66" s="114"/>
      <c r="AZ66" s="114"/>
      <c r="BA66" s="114"/>
    </row>
    <row r="67" spans="2:82" s="21" customFormat="1" ht="13.5" customHeight="1" x14ac:dyDescent="0.15">
      <c r="B67" s="94"/>
      <c r="C67" s="95"/>
      <c r="D67" s="95"/>
      <c r="E67" s="95"/>
      <c r="F67" s="95"/>
      <c r="G67" s="95"/>
      <c r="H67" s="95"/>
      <c r="I67" s="97"/>
      <c r="J67" s="98"/>
      <c r="K67" s="98"/>
      <c r="L67" s="98"/>
      <c r="M67" s="98"/>
      <c r="N67" s="98"/>
      <c r="O67" s="98"/>
      <c r="P67" s="98"/>
      <c r="Q67" s="98"/>
      <c r="R67" s="98"/>
      <c r="S67" s="98"/>
      <c r="T67" s="98"/>
      <c r="U67" s="98"/>
      <c r="V67" s="98"/>
      <c r="W67" s="98"/>
      <c r="X67" s="98"/>
      <c r="Y67" s="98"/>
      <c r="Z67" s="98"/>
      <c r="AA67" s="98"/>
      <c r="AB67" s="98"/>
      <c r="AC67" s="98"/>
      <c r="AD67" s="98"/>
      <c r="AE67" s="114"/>
      <c r="AF67" s="114"/>
      <c r="AG67" s="114"/>
      <c r="AH67" s="114"/>
      <c r="AI67" s="112"/>
      <c r="AJ67" s="113"/>
      <c r="AK67" s="113"/>
      <c r="AL67" s="113"/>
      <c r="AM67" s="114"/>
      <c r="AN67" s="114"/>
      <c r="AO67" s="114"/>
      <c r="AP67" s="114"/>
      <c r="AQ67" s="114"/>
      <c r="AR67" s="114"/>
      <c r="AS67" s="114"/>
      <c r="AT67" s="114"/>
      <c r="AU67" s="114"/>
      <c r="AV67" s="114"/>
      <c r="AW67" s="114"/>
      <c r="AX67" s="114"/>
      <c r="AY67" s="114"/>
      <c r="AZ67" s="114"/>
      <c r="BA67" s="114"/>
    </row>
    <row r="68" spans="2:82" s="21" customFormat="1" ht="13.5" customHeight="1" x14ac:dyDescent="0.15">
      <c r="B68" s="94"/>
      <c r="C68" s="95"/>
      <c r="D68" s="95"/>
      <c r="E68" s="95"/>
      <c r="F68" s="95"/>
      <c r="G68" s="95"/>
      <c r="H68" s="95"/>
      <c r="I68" s="91" t="s">
        <v>7</v>
      </c>
      <c r="J68" s="92"/>
      <c r="K68" s="92"/>
      <c r="L68" s="93"/>
      <c r="M68" s="91" t="s">
        <v>8</v>
      </c>
      <c r="N68" s="92"/>
      <c r="O68" s="92"/>
      <c r="P68" s="93"/>
      <c r="Q68" s="91" t="s">
        <v>31</v>
      </c>
      <c r="R68" s="92"/>
      <c r="S68" s="92"/>
      <c r="T68" s="93"/>
      <c r="U68" s="141" t="s">
        <v>32</v>
      </c>
      <c r="V68" s="142"/>
      <c r="W68" s="143"/>
      <c r="X68" s="141" t="s">
        <v>33</v>
      </c>
      <c r="Y68" s="142"/>
      <c r="Z68" s="143"/>
      <c r="AA68" s="150" t="s">
        <v>9</v>
      </c>
      <c r="AB68" s="151"/>
      <c r="AC68" s="151"/>
      <c r="AD68" s="151"/>
      <c r="AE68" s="114"/>
      <c r="AF68" s="114"/>
      <c r="AG68" s="114"/>
      <c r="AH68" s="114"/>
      <c r="AI68" s="112"/>
      <c r="AJ68" s="113"/>
      <c r="AK68" s="113"/>
      <c r="AL68" s="113"/>
      <c r="AM68" s="114"/>
      <c r="AN68" s="114"/>
      <c r="AO68" s="114"/>
      <c r="AP68" s="114"/>
      <c r="AQ68" s="114"/>
      <c r="AR68" s="114"/>
      <c r="AS68" s="114"/>
      <c r="AT68" s="114"/>
      <c r="AU68" s="114"/>
      <c r="AV68" s="114"/>
      <c r="AW68" s="114"/>
      <c r="AX68" s="114"/>
      <c r="AY68" s="114"/>
      <c r="AZ68" s="114"/>
      <c r="BA68" s="114"/>
    </row>
    <row r="69" spans="2:82" s="21" customFormat="1" ht="13.5" customHeight="1" x14ac:dyDescent="0.15">
      <c r="B69" s="94"/>
      <c r="C69" s="95"/>
      <c r="D69" s="95"/>
      <c r="E69" s="95"/>
      <c r="F69" s="95"/>
      <c r="G69" s="95"/>
      <c r="H69" s="95"/>
      <c r="I69" s="94"/>
      <c r="J69" s="95"/>
      <c r="K69" s="95"/>
      <c r="L69" s="96"/>
      <c r="M69" s="94"/>
      <c r="N69" s="95"/>
      <c r="O69" s="95"/>
      <c r="P69" s="96"/>
      <c r="Q69" s="94"/>
      <c r="R69" s="95"/>
      <c r="S69" s="95"/>
      <c r="T69" s="96"/>
      <c r="U69" s="144"/>
      <c r="V69" s="145"/>
      <c r="W69" s="146"/>
      <c r="X69" s="144"/>
      <c r="Y69" s="145"/>
      <c r="Z69" s="146"/>
      <c r="AA69" s="152"/>
      <c r="AB69" s="153"/>
      <c r="AC69" s="153"/>
      <c r="AD69" s="153"/>
      <c r="AE69" s="114"/>
      <c r="AF69" s="114"/>
      <c r="AG69" s="114"/>
      <c r="AH69" s="114"/>
      <c r="AI69" s="112"/>
      <c r="AJ69" s="113"/>
      <c r="AK69" s="113"/>
      <c r="AL69" s="113"/>
      <c r="AM69" s="114"/>
      <c r="AN69" s="114"/>
      <c r="AO69" s="114"/>
      <c r="AP69" s="114"/>
      <c r="AQ69" s="114"/>
      <c r="AR69" s="114"/>
      <c r="AS69" s="114"/>
      <c r="AT69" s="114"/>
      <c r="AU69" s="114"/>
      <c r="AV69" s="114"/>
      <c r="AW69" s="114"/>
      <c r="AX69" s="114"/>
      <c r="AY69" s="114"/>
      <c r="AZ69" s="114"/>
      <c r="BA69" s="114"/>
    </row>
    <row r="70" spans="2:82" s="21" customFormat="1" ht="13.5" customHeight="1" x14ac:dyDescent="0.15">
      <c r="B70" s="94"/>
      <c r="C70" s="95"/>
      <c r="D70" s="95"/>
      <c r="E70" s="95"/>
      <c r="F70" s="95"/>
      <c r="G70" s="95"/>
      <c r="H70" s="95"/>
      <c r="I70" s="94"/>
      <c r="J70" s="95"/>
      <c r="K70" s="95"/>
      <c r="L70" s="96"/>
      <c r="M70" s="94"/>
      <c r="N70" s="95"/>
      <c r="O70" s="95"/>
      <c r="P70" s="96"/>
      <c r="Q70" s="94"/>
      <c r="R70" s="95"/>
      <c r="S70" s="95"/>
      <c r="T70" s="96"/>
      <c r="U70" s="144"/>
      <c r="V70" s="145"/>
      <c r="W70" s="146"/>
      <c r="X70" s="144"/>
      <c r="Y70" s="145"/>
      <c r="Z70" s="146"/>
      <c r="AA70" s="152"/>
      <c r="AB70" s="153"/>
      <c r="AC70" s="153"/>
      <c r="AD70" s="153"/>
      <c r="AE70" s="114"/>
      <c r="AF70" s="114"/>
      <c r="AG70" s="114"/>
      <c r="AH70" s="114"/>
      <c r="AI70" s="112"/>
      <c r="AJ70" s="113"/>
      <c r="AK70" s="113"/>
      <c r="AL70" s="113"/>
      <c r="AM70" s="114"/>
      <c r="AN70" s="114"/>
      <c r="AO70" s="114"/>
      <c r="AP70" s="114"/>
      <c r="AQ70" s="114"/>
      <c r="AR70" s="114"/>
      <c r="AS70" s="114"/>
      <c r="AT70" s="114"/>
      <c r="AU70" s="114"/>
      <c r="AV70" s="114"/>
      <c r="AW70" s="114"/>
      <c r="AX70" s="114"/>
      <c r="AY70" s="114"/>
      <c r="AZ70" s="114"/>
      <c r="BA70" s="114"/>
    </row>
    <row r="71" spans="2:82" s="21" customFormat="1" ht="13.5" customHeight="1" x14ac:dyDescent="0.15">
      <c r="B71" s="97"/>
      <c r="C71" s="98"/>
      <c r="D71" s="98"/>
      <c r="E71" s="98"/>
      <c r="F71" s="98"/>
      <c r="G71" s="98"/>
      <c r="H71" s="98"/>
      <c r="I71" s="97"/>
      <c r="J71" s="98"/>
      <c r="K71" s="98"/>
      <c r="L71" s="99"/>
      <c r="M71" s="97"/>
      <c r="N71" s="98"/>
      <c r="O71" s="98"/>
      <c r="P71" s="99"/>
      <c r="Q71" s="97"/>
      <c r="R71" s="98"/>
      <c r="S71" s="98"/>
      <c r="T71" s="99"/>
      <c r="U71" s="147"/>
      <c r="V71" s="148"/>
      <c r="W71" s="149"/>
      <c r="X71" s="147"/>
      <c r="Y71" s="148"/>
      <c r="Z71" s="149"/>
      <c r="AA71" s="154"/>
      <c r="AB71" s="155"/>
      <c r="AC71" s="155"/>
      <c r="AD71" s="155"/>
      <c r="AE71" s="114"/>
      <c r="AF71" s="114"/>
      <c r="AG71" s="114"/>
      <c r="AH71" s="114"/>
      <c r="AI71" s="103"/>
      <c r="AJ71" s="104"/>
      <c r="AK71" s="104"/>
      <c r="AL71" s="104"/>
      <c r="AM71" s="114"/>
      <c r="AN71" s="114"/>
      <c r="AO71" s="114"/>
      <c r="AP71" s="114"/>
      <c r="AQ71" s="114"/>
      <c r="AR71" s="114"/>
      <c r="AS71" s="114"/>
      <c r="AT71" s="114"/>
      <c r="AU71" s="114"/>
      <c r="AV71" s="114"/>
      <c r="AW71" s="114"/>
      <c r="AX71" s="114"/>
      <c r="AY71" s="114"/>
      <c r="AZ71" s="114"/>
      <c r="BA71" s="114"/>
    </row>
    <row r="72" spans="2:82" s="21" customFormat="1" ht="18" customHeight="1" x14ac:dyDescent="0.15">
      <c r="B72" s="106" t="s">
        <v>34</v>
      </c>
      <c r="C72" s="107"/>
      <c r="D72" s="107"/>
      <c r="E72" s="107"/>
      <c r="F72" s="107"/>
      <c r="G72" s="107"/>
      <c r="H72" s="107"/>
      <c r="I72" s="106">
        <f>SUM(I74:L79)</f>
        <v>67200000</v>
      </c>
      <c r="J72" s="107"/>
      <c r="K72" s="107"/>
      <c r="L72" s="108"/>
      <c r="M72" s="54">
        <f>SUM(M74:P79)</f>
        <v>-1407000</v>
      </c>
      <c r="N72" s="55"/>
      <c r="O72" s="55"/>
      <c r="P72" s="70"/>
      <c r="Q72" s="54">
        <f>SUM(Q74:T79)</f>
        <v>65793000</v>
      </c>
      <c r="R72" s="55"/>
      <c r="S72" s="55"/>
      <c r="T72" s="70"/>
      <c r="U72" s="106">
        <f>SUM(U74:W79)</f>
        <v>0</v>
      </c>
      <c r="V72" s="107"/>
      <c r="W72" s="108"/>
      <c r="X72" s="106">
        <f>SUM(X74:Z79)</f>
        <v>0</v>
      </c>
      <c r="Y72" s="107"/>
      <c r="Z72" s="108"/>
      <c r="AA72" s="106">
        <f>SUM(AA74:AD79)</f>
        <v>65793000</v>
      </c>
      <c r="AB72" s="107"/>
      <c r="AC72" s="107"/>
      <c r="AD72" s="107"/>
      <c r="AE72" s="115">
        <f>SUM(AE74:AH79)</f>
        <v>62889100</v>
      </c>
      <c r="AF72" s="115"/>
      <c r="AG72" s="115"/>
      <c r="AH72" s="115"/>
      <c r="AI72" s="115">
        <f>SUM(AI74:AL79)</f>
        <v>-2903900</v>
      </c>
      <c r="AJ72" s="115"/>
      <c r="AK72" s="115"/>
      <c r="AL72" s="115"/>
      <c r="AM72" s="139"/>
      <c r="AN72" s="139"/>
      <c r="AO72" s="139"/>
      <c r="AP72" s="139"/>
      <c r="AQ72" s="139"/>
      <c r="AR72" s="139"/>
      <c r="AS72" s="139"/>
      <c r="AT72" s="139"/>
      <c r="AU72" s="139"/>
      <c r="AV72" s="139"/>
      <c r="AW72" s="139"/>
      <c r="AX72" s="139"/>
      <c r="AY72" s="139"/>
      <c r="AZ72" s="139"/>
      <c r="BA72" s="139"/>
    </row>
    <row r="73" spans="2:82" s="21" customFormat="1" ht="18" customHeight="1" x14ac:dyDescent="0.15">
      <c r="B73" s="109"/>
      <c r="C73" s="110"/>
      <c r="D73" s="110"/>
      <c r="E73" s="110"/>
      <c r="F73" s="110"/>
      <c r="G73" s="110"/>
      <c r="H73" s="110"/>
      <c r="I73" s="109"/>
      <c r="J73" s="110"/>
      <c r="K73" s="110"/>
      <c r="L73" s="111"/>
      <c r="M73" s="56"/>
      <c r="N73" s="57"/>
      <c r="O73" s="57"/>
      <c r="P73" s="71"/>
      <c r="Q73" s="56"/>
      <c r="R73" s="57"/>
      <c r="S73" s="57"/>
      <c r="T73" s="71"/>
      <c r="U73" s="109"/>
      <c r="V73" s="110"/>
      <c r="W73" s="111"/>
      <c r="X73" s="109"/>
      <c r="Y73" s="110"/>
      <c r="Z73" s="111"/>
      <c r="AA73" s="109"/>
      <c r="AB73" s="110"/>
      <c r="AC73" s="110"/>
      <c r="AD73" s="110"/>
      <c r="AE73" s="115"/>
      <c r="AF73" s="115"/>
      <c r="AG73" s="115"/>
      <c r="AH73" s="115"/>
      <c r="AI73" s="115"/>
      <c r="AJ73" s="115"/>
      <c r="AK73" s="115"/>
      <c r="AL73" s="115"/>
      <c r="AM73" s="139"/>
      <c r="AN73" s="139"/>
      <c r="AO73" s="139"/>
      <c r="AP73" s="139"/>
      <c r="AQ73" s="139"/>
      <c r="AR73" s="139"/>
      <c r="AS73" s="139"/>
      <c r="AT73" s="139"/>
      <c r="AU73" s="139"/>
      <c r="AV73" s="139"/>
      <c r="AW73" s="139"/>
      <c r="AX73" s="139"/>
      <c r="AY73" s="139"/>
      <c r="AZ73" s="139"/>
      <c r="BA73" s="139"/>
    </row>
    <row r="74" spans="2:82" s="21" customFormat="1" ht="18" customHeight="1" x14ac:dyDescent="0.15">
      <c r="B74" s="106" t="s">
        <v>35</v>
      </c>
      <c r="C74" s="107"/>
      <c r="D74" s="107"/>
      <c r="E74" s="107"/>
      <c r="F74" s="107"/>
      <c r="G74" s="107"/>
      <c r="H74" s="107"/>
      <c r="I74" s="106">
        <v>2800000</v>
      </c>
      <c r="J74" s="107"/>
      <c r="K74" s="107"/>
      <c r="L74" s="108"/>
      <c r="M74" s="106">
        <v>793000</v>
      </c>
      <c r="N74" s="107"/>
      <c r="O74" s="107"/>
      <c r="P74" s="108"/>
      <c r="Q74" s="54">
        <f>SUM(I74:P75)</f>
        <v>3593000</v>
      </c>
      <c r="R74" s="55"/>
      <c r="S74" s="55"/>
      <c r="T74" s="70"/>
      <c r="U74" s="106">
        <f>SUM(X80:Z81)</f>
        <v>0</v>
      </c>
      <c r="V74" s="107"/>
      <c r="W74" s="108"/>
      <c r="X74" s="106">
        <v>0</v>
      </c>
      <c r="Y74" s="107"/>
      <c r="Z74" s="108"/>
      <c r="AA74" s="106">
        <f>SUM(Q74:Z75)</f>
        <v>3593000</v>
      </c>
      <c r="AB74" s="107"/>
      <c r="AC74" s="107"/>
      <c r="AD74" s="107"/>
      <c r="AE74" s="115">
        <v>3389100</v>
      </c>
      <c r="AF74" s="115"/>
      <c r="AG74" s="115"/>
      <c r="AH74" s="115"/>
      <c r="AI74" s="106">
        <f>AE74-AA74</f>
        <v>-203900</v>
      </c>
      <c r="AJ74" s="107"/>
      <c r="AK74" s="107"/>
      <c r="AL74" s="107"/>
      <c r="AM74" s="140" t="s">
        <v>93</v>
      </c>
      <c r="AN74" s="140"/>
      <c r="AO74" s="140"/>
      <c r="AP74" s="140"/>
      <c r="AQ74" s="140"/>
      <c r="AR74" s="140"/>
      <c r="AS74" s="140"/>
      <c r="AT74" s="140"/>
      <c r="AU74" s="140"/>
      <c r="AV74" s="140"/>
      <c r="AW74" s="140"/>
      <c r="AX74" s="140"/>
      <c r="AY74" s="140"/>
      <c r="AZ74" s="140"/>
      <c r="BA74" s="140"/>
    </row>
    <row r="75" spans="2:82" s="21" customFormat="1" ht="18" customHeight="1" x14ac:dyDescent="0.15">
      <c r="B75" s="109"/>
      <c r="C75" s="110"/>
      <c r="D75" s="110"/>
      <c r="E75" s="110"/>
      <c r="F75" s="110"/>
      <c r="G75" s="110"/>
      <c r="H75" s="110"/>
      <c r="I75" s="109"/>
      <c r="J75" s="110"/>
      <c r="K75" s="110"/>
      <c r="L75" s="111"/>
      <c r="M75" s="109"/>
      <c r="N75" s="110"/>
      <c r="O75" s="110"/>
      <c r="P75" s="111"/>
      <c r="Q75" s="56"/>
      <c r="R75" s="57"/>
      <c r="S75" s="57"/>
      <c r="T75" s="71"/>
      <c r="U75" s="109"/>
      <c r="V75" s="110"/>
      <c r="W75" s="111"/>
      <c r="X75" s="109"/>
      <c r="Y75" s="110"/>
      <c r="Z75" s="111"/>
      <c r="AA75" s="109"/>
      <c r="AB75" s="110"/>
      <c r="AC75" s="110"/>
      <c r="AD75" s="110"/>
      <c r="AE75" s="115"/>
      <c r="AF75" s="115"/>
      <c r="AG75" s="115"/>
      <c r="AH75" s="115"/>
      <c r="AI75" s="109"/>
      <c r="AJ75" s="110"/>
      <c r="AK75" s="110"/>
      <c r="AL75" s="110"/>
      <c r="AM75" s="140"/>
      <c r="AN75" s="140"/>
      <c r="AO75" s="140"/>
      <c r="AP75" s="140"/>
      <c r="AQ75" s="140"/>
      <c r="AR75" s="140"/>
      <c r="AS75" s="140"/>
      <c r="AT75" s="140"/>
      <c r="AU75" s="140"/>
      <c r="AV75" s="140"/>
      <c r="AW75" s="140"/>
      <c r="AX75" s="140"/>
      <c r="AY75" s="140"/>
      <c r="AZ75" s="140"/>
      <c r="BA75" s="140"/>
    </row>
    <row r="76" spans="2:82" s="21" customFormat="1" ht="18" customHeight="1" x14ac:dyDescent="0.15">
      <c r="B76" s="106" t="s">
        <v>51</v>
      </c>
      <c r="C76" s="107"/>
      <c r="D76" s="107"/>
      <c r="E76" s="107"/>
      <c r="F76" s="107"/>
      <c r="G76" s="107"/>
      <c r="H76" s="108"/>
      <c r="I76" s="106">
        <v>27400000</v>
      </c>
      <c r="J76" s="107"/>
      <c r="K76" s="107"/>
      <c r="L76" s="108"/>
      <c r="M76" s="54">
        <v>0</v>
      </c>
      <c r="N76" s="55"/>
      <c r="O76" s="55"/>
      <c r="P76" s="70"/>
      <c r="Q76" s="54">
        <f>SUM(I76:P77)</f>
        <v>27400000</v>
      </c>
      <c r="R76" s="55"/>
      <c r="S76" s="55"/>
      <c r="T76" s="70"/>
      <c r="U76" s="106">
        <v>0</v>
      </c>
      <c r="V76" s="107"/>
      <c r="W76" s="108"/>
      <c r="X76" s="106">
        <v>0</v>
      </c>
      <c r="Y76" s="107"/>
      <c r="Z76" s="108"/>
      <c r="AA76" s="106">
        <f>SUM(Q76:Z77)</f>
        <v>27400000</v>
      </c>
      <c r="AB76" s="107"/>
      <c r="AC76" s="107"/>
      <c r="AD76" s="107"/>
      <c r="AE76" s="115">
        <v>25300000</v>
      </c>
      <c r="AF76" s="115"/>
      <c r="AG76" s="115"/>
      <c r="AH76" s="115"/>
      <c r="AI76" s="106">
        <f>AE76-AA76</f>
        <v>-2100000</v>
      </c>
      <c r="AJ76" s="107"/>
      <c r="AK76" s="107"/>
      <c r="AL76" s="107"/>
      <c r="AM76" s="114"/>
      <c r="AN76" s="114"/>
      <c r="AO76" s="114"/>
      <c r="AP76" s="114"/>
      <c r="AQ76" s="114"/>
      <c r="AR76" s="114"/>
      <c r="AS76" s="114"/>
      <c r="AT76" s="114"/>
      <c r="AU76" s="114"/>
      <c r="AV76" s="114"/>
      <c r="AW76" s="114"/>
      <c r="AX76" s="114"/>
      <c r="AY76" s="114"/>
      <c r="AZ76" s="114"/>
      <c r="BA76" s="114"/>
    </row>
    <row r="77" spans="2:82" s="21" customFormat="1" ht="18" customHeight="1" x14ac:dyDescent="0.15">
      <c r="B77" s="109"/>
      <c r="C77" s="110"/>
      <c r="D77" s="110"/>
      <c r="E77" s="110"/>
      <c r="F77" s="110"/>
      <c r="G77" s="110"/>
      <c r="H77" s="111"/>
      <c r="I77" s="109"/>
      <c r="J77" s="110"/>
      <c r="K77" s="110"/>
      <c r="L77" s="111"/>
      <c r="M77" s="56"/>
      <c r="N77" s="57"/>
      <c r="O77" s="57"/>
      <c r="P77" s="71"/>
      <c r="Q77" s="56"/>
      <c r="R77" s="57"/>
      <c r="S77" s="57"/>
      <c r="T77" s="71"/>
      <c r="U77" s="109"/>
      <c r="V77" s="110"/>
      <c r="W77" s="111"/>
      <c r="X77" s="109"/>
      <c r="Y77" s="110"/>
      <c r="Z77" s="111"/>
      <c r="AA77" s="109"/>
      <c r="AB77" s="110"/>
      <c r="AC77" s="110"/>
      <c r="AD77" s="110"/>
      <c r="AE77" s="115"/>
      <c r="AF77" s="115"/>
      <c r="AG77" s="115"/>
      <c r="AH77" s="115"/>
      <c r="AI77" s="109"/>
      <c r="AJ77" s="110"/>
      <c r="AK77" s="110"/>
      <c r="AL77" s="110"/>
      <c r="AM77" s="114"/>
      <c r="AN77" s="114"/>
      <c r="AO77" s="114"/>
      <c r="AP77" s="114"/>
      <c r="AQ77" s="114"/>
      <c r="AR77" s="114"/>
      <c r="AS77" s="114"/>
      <c r="AT77" s="114"/>
      <c r="AU77" s="114"/>
      <c r="AV77" s="114"/>
      <c r="AW77" s="114"/>
      <c r="AX77" s="114"/>
      <c r="AY77" s="114"/>
      <c r="AZ77" s="114"/>
      <c r="BA77" s="114"/>
    </row>
    <row r="78" spans="2:82" s="21" customFormat="1" ht="18" customHeight="1" x14ac:dyDescent="0.15">
      <c r="B78" s="106" t="s">
        <v>52</v>
      </c>
      <c r="C78" s="107"/>
      <c r="D78" s="107"/>
      <c r="E78" s="107"/>
      <c r="F78" s="107"/>
      <c r="G78" s="107"/>
      <c r="H78" s="107"/>
      <c r="I78" s="106">
        <v>37000000</v>
      </c>
      <c r="J78" s="107"/>
      <c r="K78" s="107"/>
      <c r="L78" s="108"/>
      <c r="M78" s="106">
        <v>-2200000</v>
      </c>
      <c r="N78" s="107"/>
      <c r="O78" s="107"/>
      <c r="P78" s="108"/>
      <c r="Q78" s="54">
        <f>SUM(I78:P79)</f>
        <v>34800000</v>
      </c>
      <c r="R78" s="55"/>
      <c r="S78" s="55"/>
      <c r="T78" s="70"/>
      <c r="U78" s="106">
        <v>0</v>
      </c>
      <c r="V78" s="107"/>
      <c r="W78" s="108"/>
      <c r="X78" s="106">
        <v>0</v>
      </c>
      <c r="Y78" s="107"/>
      <c r="Z78" s="108"/>
      <c r="AA78" s="106">
        <f>SUM(Q78:Z79)</f>
        <v>34800000</v>
      </c>
      <c r="AB78" s="107"/>
      <c r="AC78" s="107"/>
      <c r="AD78" s="107"/>
      <c r="AE78" s="115">
        <v>34200000</v>
      </c>
      <c r="AF78" s="115"/>
      <c r="AG78" s="115"/>
      <c r="AH78" s="115"/>
      <c r="AI78" s="106">
        <f>AE78-AA78</f>
        <v>-600000</v>
      </c>
      <c r="AJ78" s="107"/>
      <c r="AK78" s="107"/>
      <c r="AL78" s="107"/>
      <c r="AM78" s="114"/>
      <c r="AN78" s="114"/>
      <c r="AO78" s="114"/>
      <c r="AP78" s="114"/>
      <c r="AQ78" s="114"/>
      <c r="AR78" s="114"/>
      <c r="AS78" s="114"/>
      <c r="AT78" s="114"/>
      <c r="AU78" s="114"/>
      <c r="AV78" s="114"/>
      <c r="AW78" s="114"/>
      <c r="AX78" s="114"/>
      <c r="AY78" s="114"/>
      <c r="AZ78" s="114"/>
      <c r="BA78" s="114"/>
    </row>
    <row r="79" spans="2:82" s="21" customFormat="1" ht="18" customHeight="1" x14ac:dyDescent="0.15">
      <c r="B79" s="109"/>
      <c r="C79" s="110"/>
      <c r="D79" s="110"/>
      <c r="E79" s="110"/>
      <c r="F79" s="110"/>
      <c r="G79" s="110"/>
      <c r="H79" s="110"/>
      <c r="I79" s="109"/>
      <c r="J79" s="110"/>
      <c r="K79" s="110"/>
      <c r="L79" s="111"/>
      <c r="M79" s="109"/>
      <c r="N79" s="110"/>
      <c r="O79" s="110"/>
      <c r="P79" s="111"/>
      <c r="Q79" s="56"/>
      <c r="R79" s="57"/>
      <c r="S79" s="57"/>
      <c r="T79" s="71"/>
      <c r="U79" s="109"/>
      <c r="V79" s="110"/>
      <c r="W79" s="111"/>
      <c r="X79" s="109"/>
      <c r="Y79" s="110"/>
      <c r="Z79" s="111"/>
      <c r="AA79" s="109"/>
      <c r="AB79" s="110"/>
      <c r="AC79" s="110"/>
      <c r="AD79" s="110"/>
      <c r="AE79" s="115"/>
      <c r="AF79" s="115"/>
      <c r="AG79" s="115"/>
      <c r="AH79" s="115"/>
      <c r="AI79" s="109"/>
      <c r="AJ79" s="110"/>
      <c r="AK79" s="110"/>
      <c r="AL79" s="110"/>
      <c r="AM79" s="114"/>
      <c r="AN79" s="114"/>
      <c r="AO79" s="114"/>
      <c r="AP79" s="114"/>
      <c r="AQ79" s="114"/>
      <c r="AR79" s="114"/>
      <c r="AS79" s="114"/>
      <c r="AT79" s="114"/>
      <c r="AU79" s="114"/>
      <c r="AV79" s="114"/>
      <c r="AW79" s="114"/>
      <c r="AX79" s="114"/>
      <c r="AY79" s="114"/>
      <c r="AZ79" s="114"/>
      <c r="BA79" s="114"/>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6" t="s">
        <v>13</v>
      </c>
      <c r="C81" s="136"/>
      <c r="D81" s="136"/>
      <c r="E81" s="136"/>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7"/>
      <c r="C82" s="137"/>
      <c r="D82" s="137"/>
      <c r="E82" s="137"/>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45"/>
      <c r="AU82" s="138" t="s">
        <v>47</v>
      </c>
      <c r="AV82" s="138"/>
      <c r="AW82" s="138"/>
      <c r="AX82" s="138"/>
      <c r="AY82" s="138"/>
      <c r="AZ82" s="138"/>
      <c r="BA82" s="138"/>
      <c r="CM82" s="21"/>
    </row>
    <row r="83" spans="2:91" s="21" customFormat="1" ht="13.5" customHeight="1" x14ac:dyDescent="0.15">
      <c r="B83" s="91" t="s">
        <v>2</v>
      </c>
      <c r="C83" s="92"/>
      <c r="D83" s="92"/>
      <c r="E83" s="92"/>
      <c r="F83" s="92"/>
      <c r="G83" s="92"/>
      <c r="H83" s="93"/>
      <c r="I83" s="91" t="s">
        <v>36</v>
      </c>
      <c r="J83" s="92"/>
      <c r="K83" s="92"/>
      <c r="L83" s="92"/>
      <c r="M83" s="92"/>
      <c r="N83" s="92"/>
      <c r="O83" s="92"/>
      <c r="P83" s="92"/>
      <c r="Q83" s="92"/>
      <c r="R83" s="92"/>
      <c r="S83" s="92"/>
      <c r="T83" s="92"/>
      <c r="U83" s="92"/>
      <c r="V83" s="92"/>
      <c r="W83" s="92"/>
      <c r="X83" s="92"/>
      <c r="Y83" s="92"/>
      <c r="Z83" s="92"/>
      <c r="AA83" s="92"/>
      <c r="AB83" s="92"/>
      <c r="AC83" s="92"/>
      <c r="AD83" s="92"/>
      <c r="AE83" s="92"/>
      <c r="AF83" s="91" t="s">
        <v>4</v>
      </c>
      <c r="AG83" s="92"/>
      <c r="AH83" s="92"/>
      <c r="AI83" s="93"/>
      <c r="AJ83" s="100" t="s">
        <v>37</v>
      </c>
      <c r="AK83" s="101"/>
      <c r="AL83" s="101"/>
      <c r="AM83" s="101"/>
      <c r="AN83" s="101"/>
      <c r="AO83" s="102"/>
      <c r="AP83" s="91" t="s">
        <v>17</v>
      </c>
      <c r="AQ83" s="92"/>
      <c r="AR83" s="93"/>
      <c r="AS83" s="91" t="s">
        <v>38</v>
      </c>
      <c r="AT83" s="92"/>
      <c r="AU83" s="92"/>
      <c r="AV83" s="92"/>
      <c r="AW83" s="92"/>
      <c r="AX83" s="92"/>
      <c r="AY83" s="92"/>
      <c r="AZ83" s="92"/>
      <c r="BA83" s="93"/>
    </row>
    <row r="84" spans="2:91" s="21" customFormat="1" ht="13.5" customHeight="1" x14ac:dyDescent="0.15">
      <c r="B84" s="94"/>
      <c r="C84" s="95"/>
      <c r="D84" s="95"/>
      <c r="E84" s="95"/>
      <c r="F84" s="95"/>
      <c r="G84" s="95"/>
      <c r="H84" s="96"/>
      <c r="I84" s="97"/>
      <c r="J84" s="98"/>
      <c r="K84" s="98"/>
      <c r="L84" s="98"/>
      <c r="M84" s="98"/>
      <c r="N84" s="98"/>
      <c r="O84" s="98"/>
      <c r="P84" s="98"/>
      <c r="Q84" s="98"/>
      <c r="R84" s="98"/>
      <c r="S84" s="98"/>
      <c r="T84" s="98"/>
      <c r="U84" s="98"/>
      <c r="V84" s="98"/>
      <c r="W84" s="98"/>
      <c r="X84" s="98"/>
      <c r="Y84" s="98"/>
      <c r="Z84" s="98"/>
      <c r="AA84" s="98"/>
      <c r="AB84" s="98"/>
      <c r="AC84" s="98"/>
      <c r="AD84" s="98"/>
      <c r="AE84" s="98"/>
      <c r="AF84" s="94"/>
      <c r="AG84" s="95"/>
      <c r="AH84" s="95"/>
      <c r="AI84" s="96"/>
      <c r="AJ84" s="103"/>
      <c r="AK84" s="104"/>
      <c r="AL84" s="104"/>
      <c r="AM84" s="104"/>
      <c r="AN84" s="104"/>
      <c r="AO84" s="105"/>
      <c r="AP84" s="94"/>
      <c r="AQ84" s="95"/>
      <c r="AR84" s="96"/>
      <c r="AS84" s="94"/>
      <c r="AT84" s="95"/>
      <c r="AU84" s="95"/>
      <c r="AV84" s="95"/>
      <c r="AW84" s="95"/>
      <c r="AX84" s="95"/>
      <c r="AY84" s="95"/>
      <c r="AZ84" s="95"/>
      <c r="BA84" s="96"/>
    </row>
    <row r="85" spans="2:91" s="21" customFormat="1" ht="13.5" customHeight="1" x14ac:dyDescent="0.15">
      <c r="B85" s="94"/>
      <c r="C85" s="95"/>
      <c r="D85" s="95"/>
      <c r="E85" s="95"/>
      <c r="F85" s="95"/>
      <c r="G85" s="95"/>
      <c r="H85" s="96"/>
      <c r="I85" s="91" t="s">
        <v>19</v>
      </c>
      <c r="J85" s="92"/>
      <c r="K85" s="92"/>
      <c r="L85" s="93"/>
      <c r="M85" s="91" t="s">
        <v>20</v>
      </c>
      <c r="N85" s="92"/>
      <c r="O85" s="92"/>
      <c r="P85" s="93"/>
      <c r="Q85" s="100" t="s">
        <v>39</v>
      </c>
      <c r="R85" s="101"/>
      <c r="S85" s="114" t="s">
        <v>24</v>
      </c>
      <c r="T85" s="114"/>
      <c r="U85" s="114"/>
      <c r="V85" s="114"/>
      <c r="W85" s="116" t="s">
        <v>40</v>
      </c>
      <c r="X85" s="117"/>
      <c r="Y85" s="118"/>
      <c r="Z85" s="125" t="s">
        <v>41</v>
      </c>
      <c r="AA85" s="126"/>
      <c r="AB85" s="114" t="s">
        <v>25</v>
      </c>
      <c r="AC85" s="114"/>
      <c r="AD85" s="114"/>
      <c r="AE85" s="127"/>
      <c r="AF85" s="94"/>
      <c r="AG85" s="95"/>
      <c r="AH85" s="95"/>
      <c r="AI85" s="96"/>
      <c r="AJ85" s="119" t="s">
        <v>42</v>
      </c>
      <c r="AK85" s="121"/>
      <c r="AL85" s="128" t="s">
        <v>50</v>
      </c>
      <c r="AM85" s="129"/>
      <c r="AN85" s="132" t="s">
        <v>43</v>
      </c>
      <c r="AO85" s="133"/>
      <c r="AP85" s="94"/>
      <c r="AQ85" s="95"/>
      <c r="AR85" s="96"/>
      <c r="AS85" s="94"/>
      <c r="AT85" s="95"/>
      <c r="AU85" s="95"/>
      <c r="AV85" s="95"/>
      <c r="AW85" s="95"/>
      <c r="AX85" s="95"/>
      <c r="AY85" s="95"/>
      <c r="AZ85" s="95"/>
      <c r="BA85" s="96"/>
    </row>
    <row r="86" spans="2:91" s="21" customFormat="1" ht="13.5" customHeight="1" x14ac:dyDescent="0.15">
      <c r="B86" s="94"/>
      <c r="C86" s="95"/>
      <c r="D86" s="95"/>
      <c r="E86" s="95"/>
      <c r="F86" s="95"/>
      <c r="G86" s="95"/>
      <c r="H86" s="96"/>
      <c r="I86" s="94"/>
      <c r="J86" s="95"/>
      <c r="K86" s="95"/>
      <c r="L86" s="96"/>
      <c r="M86" s="94"/>
      <c r="N86" s="95"/>
      <c r="O86" s="95"/>
      <c r="P86" s="96"/>
      <c r="Q86" s="112"/>
      <c r="R86" s="113"/>
      <c r="S86" s="114"/>
      <c r="T86" s="114"/>
      <c r="U86" s="114"/>
      <c r="V86" s="114"/>
      <c r="W86" s="119"/>
      <c r="X86" s="120"/>
      <c r="Y86" s="121"/>
      <c r="Z86" s="125"/>
      <c r="AA86" s="126"/>
      <c r="AB86" s="114"/>
      <c r="AC86" s="114"/>
      <c r="AD86" s="114"/>
      <c r="AE86" s="127"/>
      <c r="AF86" s="94"/>
      <c r="AG86" s="95"/>
      <c r="AH86" s="95"/>
      <c r="AI86" s="96"/>
      <c r="AJ86" s="119"/>
      <c r="AK86" s="121"/>
      <c r="AL86" s="128"/>
      <c r="AM86" s="129"/>
      <c r="AN86" s="132"/>
      <c r="AO86" s="133"/>
      <c r="AP86" s="94"/>
      <c r="AQ86" s="95"/>
      <c r="AR86" s="96"/>
      <c r="AS86" s="94"/>
      <c r="AT86" s="95"/>
      <c r="AU86" s="95"/>
      <c r="AV86" s="95"/>
      <c r="AW86" s="95"/>
      <c r="AX86" s="95"/>
      <c r="AY86" s="95"/>
      <c r="AZ86" s="95"/>
      <c r="BA86" s="96"/>
    </row>
    <row r="87" spans="2:91" s="21" customFormat="1" ht="13.5" customHeight="1" x14ac:dyDescent="0.15">
      <c r="B87" s="94"/>
      <c r="C87" s="95"/>
      <c r="D87" s="95"/>
      <c r="E87" s="95"/>
      <c r="F87" s="95"/>
      <c r="G87" s="95"/>
      <c r="H87" s="96"/>
      <c r="I87" s="94"/>
      <c r="J87" s="95"/>
      <c r="K87" s="95"/>
      <c r="L87" s="96"/>
      <c r="M87" s="94"/>
      <c r="N87" s="95"/>
      <c r="O87" s="95"/>
      <c r="P87" s="96"/>
      <c r="Q87" s="112"/>
      <c r="R87" s="113"/>
      <c r="S87" s="114"/>
      <c r="T87" s="114"/>
      <c r="U87" s="114"/>
      <c r="V87" s="114"/>
      <c r="W87" s="119"/>
      <c r="X87" s="120"/>
      <c r="Y87" s="121"/>
      <c r="Z87" s="125"/>
      <c r="AA87" s="126"/>
      <c r="AB87" s="114"/>
      <c r="AC87" s="114"/>
      <c r="AD87" s="114"/>
      <c r="AE87" s="127"/>
      <c r="AF87" s="94"/>
      <c r="AG87" s="95"/>
      <c r="AH87" s="95"/>
      <c r="AI87" s="96"/>
      <c r="AJ87" s="119"/>
      <c r="AK87" s="121"/>
      <c r="AL87" s="128"/>
      <c r="AM87" s="129"/>
      <c r="AN87" s="132"/>
      <c r="AO87" s="133"/>
      <c r="AP87" s="94"/>
      <c r="AQ87" s="95"/>
      <c r="AR87" s="96"/>
      <c r="AS87" s="94"/>
      <c r="AT87" s="95"/>
      <c r="AU87" s="95"/>
      <c r="AV87" s="95"/>
      <c r="AW87" s="95"/>
      <c r="AX87" s="95"/>
      <c r="AY87" s="95"/>
      <c r="AZ87" s="95"/>
      <c r="BA87" s="96"/>
    </row>
    <row r="88" spans="2:91" s="21" customFormat="1" ht="13.5" customHeight="1" x14ac:dyDescent="0.15">
      <c r="B88" s="97"/>
      <c r="C88" s="98"/>
      <c r="D88" s="98"/>
      <c r="E88" s="98"/>
      <c r="F88" s="98"/>
      <c r="G88" s="98"/>
      <c r="H88" s="99"/>
      <c r="I88" s="97"/>
      <c r="J88" s="98"/>
      <c r="K88" s="98"/>
      <c r="L88" s="99"/>
      <c r="M88" s="97"/>
      <c r="N88" s="98"/>
      <c r="O88" s="98"/>
      <c r="P88" s="99"/>
      <c r="Q88" s="103"/>
      <c r="R88" s="104"/>
      <c r="S88" s="114"/>
      <c r="T88" s="114"/>
      <c r="U88" s="114"/>
      <c r="V88" s="114"/>
      <c r="W88" s="122"/>
      <c r="X88" s="123"/>
      <c r="Y88" s="124"/>
      <c r="Z88" s="125"/>
      <c r="AA88" s="126"/>
      <c r="AB88" s="114"/>
      <c r="AC88" s="114"/>
      <c r="AD88" s="114"/>
      <c r="AE88" s="127"/>
      <c r="AF88" s="97"/>
      <c r="AG88" s="98"/>
      <c r="AH88" s="98"/>
      <c r="AI88" s="99"/>
      <c r="AJ88" s="122"/>
      <c r="AK88" s="124"/>
      <c r="AL88" s="130"/>
      <c r="AM88" s="131"/>
      <c r="AN88" s="134"/>
      <c r="AO88" s="135"/>
      <c r="AP88" s="97"/>
      <c r="AQ88" s="98"/>
      <c r="AR88" s="99"/>
      <c r="AS88" s="97"/>
      <c r="AT88" s="98"/>
      <c r="AU88" s="98"/>
      <c r="AV88" s="98"/>
      <c r="AW88" s="98"/>
      <c r="AX88" s="98"/>
      <c r="AY88" s="98"/>
      <c r="AZ88" s="98"/>
      <c r="BA88" s="99"/>
      <c r="BC88" s="21" t="s">
        <v>64</v>
      </c>
      <c r="BK88" s="21" t="s">
        <v>90</v>
      </c>
    </row>
    <row r="89" spans="2:91" s="21" customFormat="1" ht="18" customHeight="1" x14ac:dyDescent="0.15">
      <c r="B89" s="106" t="s">
        <v>44</v>
      </c>
      <c r="C89" s="107"/>
      <c r="D89" s="107"/>
      <c r="E89" s="107"/>
      <c r="F89" s="107"/>
      <c r="G89" s="107"/>
      <c r="H89" s="108"/>
      <c r="I89" s="79">
        <f>SUM(I91:L94)</f>
        <v>131939000</v>
      </c>
      <c r="J89" s="80"/>
      <c r="K89" s="80"/>
      <c r="L89" s="89"/>
      <c r="M89" s="79">
        <f>SUM(M91:P94)</f>
        <v>-8437000</v>
      </c>
      <c r="N89" s="80"/>
      <c r="O89" s="80"/>
      <c r="P89" s="89"/>
      <c r="Q89" s="79">
        <f>SUM(Q91:R94)</f>
        <v>0</v>
      </c>
      <c r="R89" s="80"/>
      <c r="S89" s="72">
        <f>SUM(S91:V94)</f>
        <v>123502000</v>
      </c>
      <c r="T89" s="72"/>
      <c r="U89" s="72"/>
      <c r="V89" s="72"/>
      <c r="W89" s="79">
        <f>SUM(W91:Y94)</f>
        <v>0</v>
      </c>
      <c r="X89" s="80"/>
      <c r="Y89" s="89"/>
      <c r="Z89" s="79">
        <f>SUM(Z91:AA94)</f>
        <v>0</v>
      </c>
      <c r="AA89" s="80"/>
      <c r="AB89" s="72">
        <f>SUM(AB91:AE94)</f>
        <v>123502000</v>
      </c>
      <c r="AC89" s="72"/>
      <c r="AD89" s="72"/>
      <c r="AE89" s="72"/>
      <c r="AF89" s="79">
        <f>SUM(AF91:AI94)</f>
        <v>117045499</v>
      </c>
      <c r="AG89" s="80"/>
      <c r="AH89" s="80"/>
      <c r="AI89" s="80"/>
      <c r="AJ89" s="79">
        <f>SUM(AJ91:AK94)</f>
        <v>0</v>
      </c>
      <c r="AK89" s="89"/>
      <c r="AL89" s="54">
        <f>SUM(AL91:AM94)</f>
        <v>0</v>
      </c>
      <c r="AM89" s="70"/>
      <c r="AN89" s="72">
        <f>SUM(AN91:AO94)</f>
        <v>0</v>
      </c>
      <c r="AO89" s="72"/>
      <c r="AP89" s="79">
        <f>SUM(AP91:AR94)</f>
        <v>6456501</v>
      </c>
      <c r="AQ89" s="80"/>
      <c r="AR89" s="80"/>
      <c r="AS89" s="58"/>
      <c r="AT89" s="59"/>
      <c r="AU89" s="59"/>
      <c r="AV89" s="59"/>
      <c r="AW89" s="59"/>
      <c r="AX89" s="59"/>
      <c r="AY89" s="59"/>
      <c r="AZ89" s="59"/>
      <c r="BA89" s="60"/>
    </row>
    <row r="90" spans="2:91" s="21" customFormat="1" ht="18" customHeight="1" x14ac:dyDescent="0.15">
      <c r="B90" s="109"/>
      <c r="C90" s="110"/>
      <c r="D90" s="110"/>
      <c r="E90" s="110"/>
      <c r="F90" s="110"/>
      <c r="G90" s="110"/>
      <c r="H90" s="111"/>
      <c r="I90" s="81"/>
      <c r="J90" s="82"/>
      <c r="K90" s="82"/>
      <c r="L90" s="90"/>
      <c r="M90" s="81"/>
      <c r="N90" s="82"/>
      <c r="O90" s="82"/>
      <c r="P90" s="90"/>
      <c r="Q90" s="81"/>
      <c r="R90" s="82"/>
      <c r="S90" s="72"/>
      <c r="T90" s="72"/>
      <c r="U90" s="72"/>
      <c r="V90" s="72"/>
      <c r="W90" s="81"/>
      <c r="X90" s="82"/>
      <c r="Y90" s="90"/>
      <c r="Z90" s="81"/>
      <c r="AA90" s="82"/>
      <c r="AB90" s="72"/>
      <c r="AC90" s="72"/>
      <c r="AD90" s="72"/>
      <c r="AE90" s="72"/>
      <c r="AF90" s="81"/>
      <c r="AG90" s="82"/>
      <c r="AH90" s="82"/>
      <c r="AI90" s="82"/>
      <c r="AJ90" s="81"/>
      <c r="AK90" s="90"/>
      <c r="AL90" s="56"/>
      <c r="AM90" s="71"/>
      <c r="AN90" s="72"/>
      <c r="AO90" s="72"/>
      <c r="AP90" s="81"/>
      <c r="AQ90" s="82"/>
      <c r="AR90" s="82"/>
      <c r="AS90" s="61"/>
      <c r="AT90" s="62"/>
      <c r="AU90" s="62"/>
      <c r="AV90" s="62"/>
      <c r="AW90" s="62"/>
      <c r="AX90" s="62"/>
      <c r="AY90" s="62"/>
      <c r="AZ90" s="62"/>
      <c r="BA90" s="63"/>
      <c r="BC90" s="21" t="s">
        <v>76</v>
      </c>
      <c r="BG90" s="21" t="s">
        <v>77</v>
      </c>
    </row>
    <row r="91" spans="2:91" s="21" customFormat="1" ht="18" customHeight="1" x14ac:dyDescent="0.15">
      <c r="B91" s="106" t="s">
        <v>45</v>
      </c>
      <c r="C91" s="107"/>
      <c r="D91" s="107"/>
      <c r="E91" s="107"/>
      <c r="F91" s="107"/>
      <c r="G91" s="107"/>
      <c r="H91" s="108"/>
      <c r="I91" s="54">
        <v>93690000</v>
      </c>
      <c r="J91" s="55"/>
      <c r="K91" s="55"/>
      <c r="L91" s="70"/>
      <c r="M91" s="54">
        <v>-8437000</v>
      </c>
      <c r="N91" s="55"/>
      <c r="O91" s="55"/>
      <c r="P91" s="70"/>
      <c r="Q91" s="79">
        <f>SUM(Q95:R96)</f>
        <v>0</v>
      </c>
      <c r="R91" s="80"/>
      <c r="S91" s="68">
        <f>SUM(I91:R92)</f>
        <v>85253000</v>
      </c>
      <c r="T91" s="68"/>
      <c r="U91" s="68"/>
      <c r="V91" s="68"/>
      <c r="W91" s="68">
        <v>0</v>
      </c>
      <c r="X91" s="68"/>
      <c r="Y91" s="68"/>
      <c r="Z91" s="54">
        <v>0</v>
      </c>
      <c r="AA91" s="55"/>
      <c r="AB91" s="68">
        <f>SUM(S91:AA92)</f>
        <v>85253000</v>
      </c>
      <c r="AC91" s="68"/>
      <c r="AD91" s="68"/>
      <c r="AE91" s="68"/>
      <c r="AF91" s="54">
        <v>78797655</v>
      </c>
      <c r="AG91" s="55"/>
      <c r="AH91" s="55"/>
      <c r="AI91" s="70"/>
      <c r="AJ91" s="68">
        <v>0</v>
      </c>
      <c r="AK91" s="68"/>
      <c r="AL91" s="54">
        <v>0</v>
      </c>
      <c r="AM91" s="70"/>
      <c r="AN91" s="72">
        <f>SUM(AJ91:AM92)</f>
        <v>0</v>
      </c>
      <c r="AO91" s="72"/>
      <c r="AP91" s="54">
        <f>AB91-AF91-AN91</f>
        <v>6455345</v>
      </c>
      <c r="AQ91" s="55"/>
      <c r="AR91" s="55"/>
      <c r="AS91" s="83" t="s">
        <v>62</v>
      </c>
      <c r="AT91" s="84"/>
      <c r="AU91" s="84"/>
      <c r="AV91" s="84"/>
      <c r="AW91" s="84"/>
      <c r="AX91" s="84"/>
      <c r="AY91" s="84"/>
      <c r="AZ91" s="84"/>
      <c r="BA91" s="85"/>
      <c r="BC91" s="21">
        <v>15372000</v>
      </c>
    </row>
    <row r="92" spans="2:91" s="21" customFormat="1" ht="18" customHeight="1" x14ac:dyDescent="0.15">
      <c r="B92" s="109"/>
      <c r="C92" s="110"/>
      <c r="D92" s="110"/>
      <c r="E92" s="110"/>
      <c r="F92" s="110"/>
      <c r="G92" s="110"/>
      <c r="H92" s="111"/>
      <c r="I92" s="56"/>
      <c r="J92" s="57"/>
      <c r="K92" s="57"/>
      <c r="L92" s="71"/>
      <c r="M92" s="56"/>
      <c r="N92" s="57"/>
      <c r="O92" s="57"/>
      <c r="P92" s="71"/>
      <c r="Q92" s="81"/>
      <c r="R92" s="82"/>
      <c r="S92" s="68"/>
      <c r="T92" s="68"/>
      <c r="U92" s="68"/>
      <c r="V92" s="68"/>
      <c r="W92" s="68"/>
      <c r="X92" s="68"/>
      <c r="Y92" s="68"/>
      <c r="Z92" s="56"/>
      <c r="AA92" s="57"/>
      <c r="AB92" s="68"/>
      <c r="AC92" s="68"/>
      <c r="AD92" s="68"/>
      <c r="AE92" s="68"/>
      <c r="AF92" s="56"/>
      <c r="AG92" s="57"/>
      <c r="AH92" s="57"/>
      <c r="AI92" s="71"/>
      <c r="AJ92" s="68"/>
      <c r="AK92" s="68"/>
      <c r="AL92" s="56"/>
      <c r="AM92" s="71"/>
      <c r="AN92" s="72"/>
      <c r="AO92" s="72"/>
      <c r="AP92" s="56"/>
      <c r="AQ92" s="57"/>
      <c r="AR92" s="57"/>
      <c r="AS92" s="86" t="s">
        <v>92</v>
      </c>
      <c r="AT92" s="87"/>
      <c r="AU92" s="87"/>
      <c r="AV92" s="87"/>
      <c r="AW92" s="87"/>
      <c r="AX92" s="87"/>
      <c r="AY92" s="87"/>
      <c r="AZ92" s="87"/>
      <c r="BA92" s="88"/>
      <c r="BC92" s="21">
        <v>7750000</v>
      </c>
    </row>
    <row r="93" spans="2:91" s="21" customFormat="1" ht="18" customHeight="1" x14ac:dyDescent="0.15">
      <c r="B93" s="73" t="s">
        <v>46</v>
      </c>
      <c r="C93" s="74"/>
      <c r="D93" s="74"/>
      <c r="E93" s="74"/>
      <c r="F93" s="74"/>
      <c r="G93" s="74"/>
      <c r="H93" s="75"/>
      <c r="I93" s="54">
        <v>38249000</v>
      </c>
      <c r="J93" s="55"/>
      <c r="K93" s="55"/>
      <c r="L93" s="70"/>
      <c r="M93" s="54">
        <v>0</v>
      </c>
      <c r="N93" s="55"/>
      <c r="O93" s="55"/>
      <c r="P93" s="70"/>
      <c r="Q93" s="79">
        <f>SUM(Q95:R95)</f>
        <v>0</v>
      </c>
      <c r="R93" s="80"/>
      <c r="S93" s="54">
        <f>SUM(I93:R94)</f>
        <v>38249000</v>
      </c>
      <c r="T93" s="55"/>
      <c r="U93" s="55"/>
      <c r="V93" s="70"/>
      <c r="W93" s="68">
        <v>0</v>
      </c>
      <c r="X93" s="68"/>
      <c r="Y93" s="68"/>
      <c r="Z93" s="68">
        <v>0</v>
      </c>
      <c r="AA93" s="69"/>
      <c r="AB93" s="68">
        <f>SUM(S93:AA94)</f>
        <v>38249000</v>
      </c>
      <c r="AC93" s="68"/>
      <c r="AD93" s="68"/>
      <c r="AE93" s="68"/>
      <c r="AF93" s="54">
        <v>38247844</v>
      </c>
      <c r="AG93" s="55"/>
      <c r="AH93" s="55"/>
      <c r="AI93" s="70"/>
      <c r="AJ93" s="68">
        <v>0</v>
      </c>
      <c r="AK93" s="68"/>
      <c r="AL93" s="54">
        <v>0</v>
      </c>
      <c r="AM93" s="70"/>
      <c r="AN93" s="72">
        <f>SUM(AJ93:AM94)</f>
        <v>0</v>
      </c>
      <c r="AO93" s="72"/>
      <c r="AP93" s="54">
        <f>AB93-AF93-AN93</f>
        <v>1156</v>
      </c>
      <c r="AQ93" s="55"/>
      <c r="AR93" s="55"/>
      <c r="AS93" s="58"/>
      <c r="AT93" s="59"/>
      <c r="AU93" s="59"/>
      <c r="AV93" s="59"/>
      <c r="AW93" s="59"/>
      <c r="AX93" s="59"/>
      <c r="AY93" s="59"/>
      <c r="AZ93" s="59"/>
      <c r="BA93" s="60"/>
      <c r="BC93" s="21">
        <v>2475000</v>
      </c>
    </row>
    <row r="94" spans="2:91" s="21" customFormat="1" ht="18" customHeight="1" x14ac:dyDescent="0.15">
      <c r="B94" s="76"/>
      <c r="C94" s="77"/>
      <c r="D94" s="77"/>
      <c r="E94" s="77"/>
      <c r="F94" s="77"/>
      <c r="G94" s="77"/>
      <c r="H94" s="78"/>
      <c r="I94" s="56"/>
      <c r="J94" s="57"/>
      <c r="K94" s="57"/>
      <c r="L94" s="71"/>
      <c r="M94" s="56"/>
      <c r="N94" s="57"/>
      <c r="O94" s="57"/>
      <c r="P94" s="71"/>
      <c r="Q94" s="81"/>
      <c r="R94" s="82"/>
      <c r="S94" s="56"/>
      <c r="T94" s="57"/>
      <c r="U94" s="57"/>
      <c r="V94" s="71"/>
      <c r="W94" s="68"/>
      <c r="X94" s="68"/>
      <c r="Y94" s="68"/>
      <c r="Z94" s="68"/>
      <c r="AA94" s="69"/>
      <c r="AB94" s="68"/>
      <c r="AC94" s="68"/>
      <c r="AD94" s="68"/>
      <c r="AE94" s="68"/>
      <c r="AF94" s="56"/>
      <c r="AG94" s="57"/>
      <c r="AH94" s="57"/>
      <c r="AI94" s="71"/>
      <c r="AJ94" s="68"/>
      <c r="AK94" s="68"/>
      <c r="AL94" s="56"/>
      <c r="AM94" s="71"/>
      <c r="AN94" s="72"/>
      <c r="AO94" s="72"/>
      <c r="AP94" s="56"/>
      <c r="AQ94" s="57"/>
      <c r="AR94" s="57"/>
      <c r="AS94" s="61"/>
      <c r="AT94" s="62"/>
      <c r="AU94" s="62"/>
      <c r="AV94" s="62"/>
      <c r="AW94" s="62"/>
      <c r="AX94" s="62"/>
      <c r="AY94" s="62"/>
      <c r="AZ94" s="62"/>
      <c r="BA94" s="63"/>
      <c r="BC94" s="21">
        <v>1754500</v>
      </c>
    </row>
    <row r="95" spans="2:91" ht="15" customHeight="1" x14ac:dyDescent="0.15">
      <c r="B95" s="64" t="s">
        <v>98</v>
      </c>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C95" s="21">
        <v>4840000</v>
      </c>
      <c r="BG95" s="44">
        <v>81194421</v>
      </c>
    </row>
    <row r="96" spans="2:91" ht="15" customHeight="1" x14ac:dyDescent="0.1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row>
    <row r="97" spans="2:55" ht="15" customHeight="1" x14ac:dyDescent="0.1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C97" s="44" t="s">
        <v>66</v>
      </c>
    </row>
    <row r="98" spans="2:55"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C98" s="44">
        <f>AE72-AF89</f>
        <v>-54156399</v>
      </c>
    </row>
    <row r="99" spans="2:55" s="18" customFormat="1" ht="13.5" customHeight="1" x14ac:dyDescent="0.15"/>
    <row r="100" spans="2:55" s="18" customFormat="1" ht="13.5" customHeight="1" x14ac:dyDescent="0.15"/>
    <row r="101" spans="2:55" s="18" customFormat="1" ht="13.5" customHeight="1" x14ac:dyDescent="0.15"/>
    <row r="102" spans="2:55" s="18" customFormat="1" ht="13.5" customHeight="1" x14ac:dyDescent="0.15">
      <c r="AF102" s="18" t="s">
        <v>91</v>
      </c>
    </row>
    <row r="103" spans="2:55" s="18" customFormat="1" ht="13.5" customHeight="1" x14ac:dyDescent="0.15">
      <c r="AF103" s="67"/>
      <c r="AG103" s="67"/>
      <c r="AH103" s="67"/>
      <c r="AI103" s="67"/>
      <c r="AJ103" s="67"/>
    </row>
    <row r="104" spans="2:55" ht="18" customHeight="1" x14ac:dyDescent="0.15">
      <c r="D104" s="67"/>
      <c r="E104" s="67"/>
      <c r="F104" s="67"/>
      <c r="AF104" s="52"/>
      <c r="AG104" s="52"/>
      <c r="AH104" s="52"/>
      <c r="AI104" s="52"/>
      <c r="AJ104" s="52"/>
    </row>
    <row r="105" spans="2:55" ht="18" customHeight="1" x14ac:dyDescent="0.15">
      <c r="AF105" s="52"/>
      <c r="AG105" s="52"/>
      <c r="AH105" s="52"/>
      <c r="AI105" s="52"/>
      <c r="AJ105" s="52"/>
    </row>
    <row r="106" spans="2:55" ht="18" customHeight="1" x14ac:dyDescent="0.15"/>
    <row r="107" spans="2:55" ht="18" customHeight="1" x14ac:dyDescent="0.15"/>
    <row r="108" spans="2:55" ht="18" customHeight="1" x14ac:dyDescent="0.15"/>
    <row r="109" spans="2:55" ht="18" customHeight="1" x14ac:dyDescent="0.15"/>
    <row r="110" spans="2:55" ht="18" customHeight="1" x14ac:dyDescent="0.15"/>
    <row r="111" spans="2:55" ht="18" customHeight="1" x14ac:dyDescent="0.15"/>
    <row r="112" spans="2:55"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9">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F105:AJ105"/>
    <mergeCell ref="AP93:AR94"/>
    <mergeCell ref="AS93:BA94"/>
    <mergeCell ref="B95:BA97"/>
    <mergeCell ref="AF103:AJ103"/>
    <mergeCell ref="D104:F104"/>
    <mergeCell ref="AF104:AJ104"/>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8C87BC1A-5076-4D1E-969F-83CEABFDF169}">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B11-EEC6-4C37-B634-039F025C9B00}">
  <sheetPr>
    <tabColor rgb="FFFF0000"/>
  </sheetPr>
  <dimension ref="B1:CM904"/>
  <sheetViews>
    <sheetView showGridLines="0" showOutlineSymbols="0" view="pageBreakPreview" topLeftCell="J81" zoomScale="89" zoomScaleNormal="89" zoomScaleSheetLayoutView="89" workbookViewId="0">
      <selection activeCell="BG95" sqref="BG95"/>
    </sheetView>
  </sheetViews>
  <sheetFormatPr defaultRowHeight="13.5" x14ac:dyDescent="0.15"/>
  <cols>
    <col min="1" max="1" width="2.625" style="40" customWidth="1"/>
    <col min="2" max="15" width="3.125" style="40" customWidth="1"/>
    <col min="16" max="16" width="4.25" style="40" customWidth="1"/>
    <col min="17" max="37" width="3.125" style="40" customWidth="1"/>
    <col min="38" max="38" width="4.625" style="40" customWidth="1"/>
    <col min="39" max="42" width="3.125" style="40" customWidth="1"/>
    <col min="43" max="43" width="3.5" style="40" customWidth="1"/>
    <col min="44" max="53" width="3.125" style="40" customWidth="1"/>
    <col min="54" max="54" width="5.625" style="40" customWidth="1"/>
    <col min="55" max="55" width="15.25" style="40" customWidth="1"/>
    <col min="56" max="58" width="2.625" style="40" customWidth="1"/>
    <col min="59" max="59" width="11.625" style="40" bestFit="1" customWidth="1"/>
    <col min="60" max="100" width="2.625" style="40" customWidth="1"/>
    <col min="101" max="260" width="9" style="40"/>
    <col min="261" max="275" width="3.125" style="40" customWidth="1"/>
    <col min="276" max="276" width="5.5" style="40" customWidth="1"/>
    <col min="277" max="277" width="5.625" style="40" customWidth="1"/>
    <col min="278" max="293" width="3.125" style="40" customWidth="1"/>
    <col min="294" max="294" width="5.375" style="40" customWidth="1"/>
    <col min="295" max="296" width="3.125" style="40" customWidth="1"/>
    <col min="297" max="297" width="4.625" style="40" customWidth="1"/>
    <col min="298" max="298" width="3.5" style="40" customWidth="1"/>
    <col min="299" max="309" width="3.125" style="40" customWidth="1"/>
    <col min="310" max="311" width="5.625" style="40" customWidth="1"/>
    <col min="312" max="356" width="2.625" style="40" customWidth="1"/>
    <col min="357" max="516" width="9" style="40"/>
    <col min="517" max="531" width="3.125" style="40" customWidth="1"/>
    <col min="532" max="532" width="5.5" style="40" customWidth="1"/>
    <col min="533" max="533" width="5.625" style="40" customWidth="1"/>
    <col min="534" max="549" width="3.125" style="40" customWidth="1"/>
    <col min="550" max="550" width="5.375" style="40" customWidth="1"/>
    <col min="551" max="552" width="3.125" style="40" customWidth="1"/>
    <col min="553" max="553" width="4.625" style="40" customWidth="1"/>
    <col min="554" max="554" width="3.5" style="40" customWidth="1"/>
    <col min="555" max="565" width="3.125" style="40" customWidth="1"/>
    <col min="566" max="567" width="5.625" style="40" customWidth="1"/>
    <col min="568" max="612" width="2.625" style="40" customWidth="1"/>
    <col min="613" max="772" width="9" style="40"/>
    <col min="773" max="787" width="3.125" style="40" customWidth="1"/>
    <col min="788" max="788" width="5.5" style="40" customWidth="1"/>
    <col min="789" max="789" width="5.625" style="40" customWidth="1"/>
    <col min="790" max="805" width="3.125" style="40" customWidth="1"/>
    <col min="806" max="806" width="5.375" style="40" customWidth="1"/>
    <col min="807" max="808" width="3.125" style="40" customWidth="1"/>
    <col min="809" max="809" width="4.625" style="40" customWidth="1"/>
    <col min="810" max="810" width="3.5" style="40" customWidth="1"/>
    <col min="811" max="821" width="3.125" style="40" customWidth="1"/>
    <col min="822" max="823" width="5.625" style="40" customWidth="1"/>
    <col min="824" max="868" width="2.625" style="40" customWidth="1"/>
    <col min="869" max="1028" width="9" style="40"/>
    <col min="1029" max="1043" width="3.125" style="40" customWidth="1"/>
    <col min="1044" max="1044" width="5.5" style="40" customWidth="1"/>
    <col min="1045" max="1045" width="5.625" style="40" customWidth="1"/>
    <col min="1046" max="1061" width="3.125" style="40" customWidth="1"/>
    <col min="1062" max="1062" width="5.375" style="40" customWidth="1"/>
    <col min="1063" max="1064" width="3.125" style="40" customWidth="1"/>
    <col min="1065" max="1065" width="4.625" style="40" customWidth="1"/>
    <col min="1066" max="1066" width="3.5" style="40" customWidth="1"/>
    <col min="1067" max="1077" width="3.125" style="40" customWidth="1"/>
    <col min="1078" max="1079" width="5.625" style="40" customWidth="1"/>
    <col min="1080" max="1124" width="2.625" style="40" customWidth="1"/>
    <col min="1125" max="1284" width="9" style="40"/>
    <col min="1285" max="1299" width="3.125" style="40" customWidth="1"/>
    <col min="1300" max="1300" width="5.5" style="40" customWidth="1"/>
    <col min="1301" max="1301" width="5.625" style="40" customWidth="1"/>
    <col min="1302" max="1317" width="3.125" style="40" customWidth="1"/>
    <col min="1318" max="1318" width="5.375" style="40" customWidth="1"/>
    <col min="1319" max="1320" width="3.125" style="40" customWidth="1"/>
    <col min="1321" max="1321" width="4.625" style="40" customWidth="1"/>
    <col min="1322" max="1322" width="3.5" style="40" customWidth="1"/>
    <col min="1323" max="1333" width="3.125" style="40" customWidth="1"/>
    <col min="1334" max="1335" width="5.625" style="40" customWidth="1"/>
    <col min="1336" max="1380" width="2.625" style="40" customWidth="1"/>
    <col min="1381" max="1540" width="9" style="40"/>
    <col min="1541" max="1555" width="3.125" style="40" customWidth="1"/>
    <col min="1556" max="1556" width="5.5" style="40" customWidth="1"/>
    <col min="1557" max="1557" width="5.625" style="40" customWidth="1"/>
    <col min="1558" max="1573" width="3.125" style="40" customWidth="1"/>
    <col min="1574" max="1574" width="5.375" style="40" customWidth="1"/>
    <col min="1575" max="1576" width="3.125" style="40" customWidth="1"/>
    <col min="1577" max="1577" width="4.625" style="40" customWidth="1"/>
    <col min="1578" max="1578" width="3.5" style="40" customWidth="1"/>
    <col min="1579" max="1589" width="3.125" style="40" customWidth="1"/>
    <col min="1590" max="1591" width="5.625" style="40" customWidth="1"/>
    <col min="1592" max="1636" width="2.625" style="40" customWidth="1"/>
    <col min="1637" max="1796" width="9" style="40"/>
    <col min="1797" max="1811" width="3.125" style="40" customWidth="1"/>
    <col min="1812" max="1812" width="5.5" style="40" customWidth="1"/>
    <col min="1813" max="1813" width="5.625" style="40" customWidth="1"/>
    <col min="1814" max="1829" width="3.125" style="40" customWidth="1"/>
    <col min="1830" max="1830" width="5.375" style="40" customWidth="1"/>
    <col min="1831" max="1832" width="3.125" style="40" customWidth="1"/>
    <col min="1833" max="1833" width="4.625" style="40" customWidth="1"/>
    <col min="1834" max="1834" width="3.5" style="40" customWidth="1"/>
    <col min="1835" max="1845" width="3.125" style="40" customWidth="1"/>
    <col min="1846" max="1847" width="5.625" style="40" customWidth="1"/>
    <col min="1848" max="1892" width="2.625" style="40" customWidth="1"/>
    <col min="1893" max="2052" width="9" style="40"/>
    <col min="2053" max="2067" width="3.125" style="40" customWidth="1"/>
    <col min="2068" max="2068" width="5.5" style="40" customWidth="1"/>
    <col min="2069" max="2069" width="5.625" style="40" customWidth="1"/>
    <col min="2070" max="2085" width="3.125" style="40" customWidth="1"/>
    <col min="2086" max="2086" width="5.375" style="40" customWidth="1"/>
    <col min="2087" max="2088" width="3.125" style="40" customWidth="1"/>
    <col min="2089" max="2089" width="4.625" style="40" customWidth="1"/>
    <col min="2090" max="2090" width="3.5" style="40" customWidth="1"/>
    <col min="2091" max="2101" width="3.125" style="40" customWidth="1"/>
    <col min="2102" max="2103" width="5.625" style="40" customWidth="1"/>
    <col min="2104" max="2148" width="2.625" style="40" customWidth="1"/>
    <col min="2149" max="2308" width="9" style="40"/>
    <col min="2309" max="2323" width="3.125" style="40" customWidth="1"/>
    <col min="2324" max="2324" width="5.5" style="40" customWidth="1"/>
    <col min="2325" max="2325" width="5.625" style="40" customWidth="1"/>
    <col min="2326" max="2341" width="3.125" style="40" customWidth="1"/>
    <col min="2342" max="2342" width="5.375" style="40" customWidth="1"/>
    <col min="2343" max="2344" width="3.125" style="40" customWidth="1"/>
    <col min="2345" max="2345" width="4.625" style="40" customWidth="1"/>
    <col min="2346" max="2346" width="3.5" style="40" customWidth="1"/>
    <col min="2347" max="2357" width="3.125" style="40" customWidth="1"/>
    <col min="2358" max="2359" width="5.625" style="40" customWidth="1"/>
    <col min="2360" max="2404" width="2.625" style="40" customWidth="1"/>
    <col min="2405" max="2564" width="9" style="40"/>
    <col min="2565" max="2579" width="3.125" style="40" customWidth="1"/>
    <col min="2580" max="2580" width="5.5" style="40" customWidth="1"/>
    <col min="2581" max="2581" width="5.625" style="40" customWidth="1"/>
    <col min="2582" max="2597" width="3.125" style="40" customWidth="1"/>
    <col min="2598" max="2598" width="5.375" style="40" customWidth="1"/>
    <col min="2599" max="2600" width="3.125" style="40" customWidth="1"/>
    <col min="2601" max="2601" width="4.625" style="40" customWidth="1"/>
    <col min="2602" max="2602" width="3.5" style="40" customWidth="1"/>
    <col min="2603" max="2613" width="3.125" style="40" customWidth="1"/>
    <col min="2614" max="2615" width="5.625" style="40" customWidth="1"/>
    <col min="2616" max="2660" width="2.625" style="40" customWidth="1"/>
    <col min="2661" max="2820" width="9" style="40"/>
    <col min="2821" max="2835" width="3.125" style="40" customWidth="1"/>
    <col min="2836" max="2836" width="5.5" style="40" customWidth="1"/>
    <col min="2837" max="2837" width="5.625" style="40" customWidth="1"/>
    <col min="2838" max="2853" width="3.125" style="40" customWidth="1"/>
    <col min="2854" max="2854" width="5.375" style="40" customWidth="1"/>
    <col min="2855" max="2856" width="3.125" style="40" customWidth="1"/>
    <col min="2857" max="2857" width="4.625" style="40" customWidth="1"/>
    <col min="2858" max="2858" width="3.5" style="40" customWidth="1"/>
    <col min="2859" max="2869" width="3.125" style="40" customWidth="1"/>
    <col min="2870" max="2871" width="5.625" style="40" customWidth="1"/>
    <col min="2872" max="2916" width="2.625" style="40" customWidth="1"/>
    <col min="2917" max="3076" width="9" style="40"/>
    <col min="3077" max="3091" width="3.125" style="40" customWidth="1"/>
    <col min="3092" max="3092" width="5.5" style="40" customWidth="1"/>
    <col min="3093" max="3093" width="5.625" style="40" customWidth="1"/>
    <col min="3094" max="3109" width="3.125" style="40" customWidth="1"/>
    <col min="3110" max="3110" width="5.375" style="40" customWidth="1"/>
    <col min="3111" max="3112" width="3.125" style="40" customWidth="1"/>
    <col min="3113" max="3113" width="4.625" style="40" customWidth="1"/>
    <col min="3114" max="3114" width="3.5" style="40" customWidth="1"/>
    <col min="3115" max="3125" width="3.125" style="40" customWidth="1"/>
    <col min="3126" max="3127" width="5.625" style="40" customWidth="1"/>
    <col min="3128" max="3172" width="2.625" style="40" customWidth="1"/>
    <col min="3173" max="3332" width="9" style="40"/>
    <col min="3333" max="3347" width="3.125" style="40" customWidth="1"/>
    <col min="3348" max="3348" width="5.5" style="40" customWidth="1"/>
    <col min="3349" max="3349" width="5.625" style="40" customWidth="1"/>
    <col min="3350" max="3365" width="3.125" style="40" customWidth="1"/>
    <col min="3366" max="3366" width="5.375" style="40" customWidth="1"/>
    <col min="3367" max="3368" width="3.125" style="40" customWidth="1"/>
    <col min="3369" max="3369" width="4.625" style="40" customWidth="1"/>
    <col min="3370" max="3370" width="3.5" style="40" customWidth="1"/>
    <col min="3371" max="3381" width="3.125" style="40" customWidth="1"/>
    <col min="3382" max="3383" width="5.625" style="40" customWidth="1"/>
    <col min="3384" max="3428" width="2.625" style="40" customWidth="1"/>
    <col min="3429" max="3588" width="9" style="40"/>
    <col min="3589" max="3603" width="3.125" style="40" customWidth="1"/>
    <col min="3604" max="3604" width="5.5" style="40" customWidth="1"/>
    <col min="3605" max="3605" width="5.625" style="40" customWidth="1"/>
    <col min="3606" max="3621" width="3.125" style="40" customWidth="1"/>
    <col min="3622" max="3622" width="5.375" style="40" customWidth="1"/>
    <col min="3623" max="3624" width="3.125" style="40" customWidth="1"/>
    <col min="3625" max="3625" width="4.625" style="40" customWidth="1"/>
    <col min="3626" max="3626" width="3.5" style="40" customWidth="1"/>
    <col min="3627" max="3637" width="3.125" style="40" customWidth="1"/>
    <col min="3638" max="3639" width="5.625" style="40" customWidth="1"/>
    <col min="3640" max="3684" width="2.625" style="40" customWidth="1"/>
    <col min="3685" max="3844" width="9" style="40"/>
    <col min="3845" max="3859" width="3.125" style="40" customWidth="1"/>
    <col min="3860" max="3860" width="5.5" style="40" customWidth="1"/>
    <col min="3861" max="3861" width="5.625" style="40" customWidth="1"/>
    <col min="3862" max="3877" width="3.125" style="40" customWidth="1"/>
    <col min="3878" max="3878" width="5.375" style="40" customWidth="1"/>
    <col min="3879" max="3880" width="3.125" style="40" customWidth="1"/>
    <col min="3881" max="3881" width="4.625" style="40" customWidth="1"/>
    <col min="3882" max="3882" width="3.5" style="40" customWidth="1"/>
    <col min="3883" max="3893" width="3.125" style="40" customWidth="1"/>
    <col min="3894" max="3895" width="5.625" style="40" customWidth="1"/>
    <col min="3896" max="3940" width="2.625" style="40" customWidth="1"/>
    <col min="3941" max="4100" width="9" style="40"/>
    <col min="4101" max="4115" width="3.125" style="40" customWidth="1"/>
    <col min="4116" max="4116" width="5.5" style="40" customWidth="1"/>
    <col min="4117" max="4117" width="5.625" style="40" customWidth="1"/>
    <col min="4118" max="4133" width="3.125" style="40" customWidth="1"/>
    <col min="4134" max="4134" width="5.375" style="40" customWidth="1"/>
    <col min="4135" max="4136" width="3.125" style="40" customWidth="1"/>
    <col min="4137" max="4137" width="4.625" style="40" customWidth="1"/>
    <col min="4138" max="4138" width="3.5" style="40" customWidth="1"/>
    <col min="4139" max="4149" width="3.125" style="40" customWidth="1"/>
    <col min="4150" max="4151" width="5.625" style="40" customWidth="1"/>
    <col min="4152" max="4196" width="2.625" style="40" customWidth="1"/>
    <col min="4197" max="4356" width="9" style="40"/>
    <col min="4357" max="4371" width="3.125" style="40" customWidth="1"/>
    <col min="4372" max="4372" width="5.5" style="40" customWidth="1"/>
    <col min="4373" max="4373" width="5.625" style="40" customWidth="1"/>
    <col min="4374" max="4389" width="3.125" style="40" customWidth="1"/>
    <col min="4390" max="4390" width="5.375" style="40" customWidth="1"/>
    <col min="4391" max="4392" width="3.125" style="40" customWidth="1"/>
    <col min="4393" max="4393" width="4.625" style="40" customWidth="1"/>
    <col min="4394" max="4394" width="3.5" style="40" customWidth="1"/>
    <col min="4395" max="4405" width="3.125" style="40" customWidth="1"/>
    <col min="4406" max="4407" width="5.625" style="40" customWidth="1"/>
    <col min="4408" max="4452" width="2.625" style="40" customWidth="1"/>
    <col min="4453" max="4612" width="9" style="40"/>
    <col min="4613" max="4627" width="3.125" style="40" customWidth="1"/>
    <col min="4628" max="4628" width="5.5" style="40" customWidth="1"/>
    <col min="4629" max="4629" width="5.625" style="40" customWidth="1"/>
    <col min="4630" max="4645" width="3.125" style="40" customWidth="1"/>
    <col min="4646" max="4646" width="5.375" style="40" customWidth="1"/>
    <col min="4647" max="4648" width="3.125" style="40" customWidth="1"/>
    <col min="4649" max="4649" width="4.625" style="40" customWidth="1"/>
    <col min="4650" max="4650" width="3.5" style="40" customWidth="1"/>
    <col min="4651" max="4661" width="3.125" style="40" customWidth="1"/>
    <col min="4662" max="4663" width="5.625" style="40" customWidth="1"/>
    <col min="4664" max="4708" width="2.625" style="40" customWidth="1"/>
    <col min="4709" max="4868" width="9" style="40"/>
    <col min="4869" max="4883" width="3.125" style="40" customWidth="1"/>
    <col min="4884" max="4884" width="5.5" style="40" customWidth="1"/>
    <col min="4885" max="4885" width="5.625" style="40" customWidth="1"/>
    <col min="4886" max="4901" width="3.125" style="40" customWidth="1"/>
    <col min="4902" max="4902" width="5.375" style="40" customWidth="1"/>
    <col min="4903" max="4904" width="3.125" style="40" customWidth="1"/>
    <col min="4905" max="4905" width="4.625" style="40" customWidth="1"/>
    <col min="4906" max="4906" width="3.5" style="40" customWidth="1"/>
    <col min="4907" max="4917" width="3.125" style="40" customWidth="1"/>
    <col min="4918" max="4919" width="5.625" style="40" customWidth="1"/>
    <col min="4920" max="4964" width="2.625" style="40" customWidth="1"/>
    <col min="4965" max="5124" width="9" style="40"/>
    <col min="5125" max="5139" width="3.125" style="40" customWidth="1"/>
    <col min="5140" max="5140" width="5.5" style="40" customWidth="1"/>
    <col min="5141" max="5141" width="5.625" style="40" customWidth="1"/>
    <col min="5142" max="5157" width="3.125" style="40" customWidth="1"/>
    <col min="5158" max="5158" width="5.375" style="40" customWidth="1"/>
    <col min="5159" max="5160" width="3.125" style="40" customWidth="1"/>
    <col min="5161" max="5161" width="4.625" style="40" customWidth="1"/>
    <col min="5162" max="5162" width="3.5" style="40" customWidth="1"/>
    <col min="5163" max="5173" width="3.125" style="40" customWidth="1"/>
    <col min="5174" max="5175" width="5.625" style="40" customWidth="1"/>
    <col min="5176" max="5220" width="2.625" style="40" customWidth="1"/>
    <col min="5221" max="5380" width="9" style="40"/>
    <col min="5381" max="5395" width="3.125" style="40" customWidth="1"/>
    <col min="5396" max="5396" width="5.5" style="40" customWidth="1"/>
    <col min="5397" max="5397" width="5.625" style="40" customWidth="1"/>
    <col min="5398" max="5413" width="3.125" style="40" customWidth="1"/>
    <col min="5414" max="5414" width="5.375" style="40" customWidth="1"/>
    <col min="5415" max="5416" width="3.125" style="40" customWidth="1"/>
    <col min="5417" max="5417" width="4.625" style="40" customWidth="1"/>
    <col min="5418" max="5418" width="3.5" style="40" customWidth="1"/>
    <col min="5419" max="5429" width="3.125" style="40" customWidth="1"/>
    <col min="5430" max="5431" width="5.625" style="40" customWidth="1"/>
    <col min="5432" max="5476" width="2.625" style="40" customWidth="1"/>
    <col min="5477" max="5636" width="9" style="40"/>
    <col min="5637" max="5651" width="3.125" style="40" customWidth="1"/>
    <col min="5652" max="5652" width="5.5" style="40" customWidth="1"/>
    <col min="5653" max="5653" width="5.625" style="40" customWidth="1"/>
    <col min="5654" max="5669" width="3.125" style="40" customWidth="1"/>
    <col min="5670" max="5670" width="5.375" style="40" customWidth="1"/>
    <col min="5671" max="5672" width="3.125" style="40" customWidth="1"/>
    <col min="5673" max="5673" width="4.625" style="40" customWidth="1"/>
    <col min="5674" max="5674" width="3.5" style="40" customWidth="1"/>
    <col min="5675" max="5685" width="3.125" style="40" customWidth="1"/>
    <col min="5686" max="5687" width="5.625" style="40" customWidth="1"/>
    <col min="5688" max="5732" width="2.625" style="40" customWidth="1"/>
    <col min="5733" max="5892" width="9" style="40"/>
    <col min="5893" max="5907" width="3.125" style="40" customWidth="1"/>
    <col min="5908" max="5908" width="5.5" style="40" customWidth="1"/>
    <col min="5909" max="5909" width="5.625" style="40" customWidth="1"/>
    <col min="5910" max="5925" width="3.125" style="40" customWidth="1"/>
    <col min="5926" max="5926" width="5.375" style="40" customWidth="1"/>
    <col min="5927" max="5928" width="3.125" style="40" customWidth="1"/>
    <col min="5929" max="5929" width="4.625" style="40" customWidth="1"/>
    <col min="5930" max="5930" width="3.5" style="40" customWidth="1"/>
    <col min="5931" max="5941" width="3.125" style="40" customWidth="1"/>
    <col min="5942" max="5943" width="5.625" style="40" customWidth="1"/>
    <col min="5944" max="5988" width="2.625" style="40" customWidth="1"/>
    <col min="5989" max="6148" width="9" style="40"/>
    <col min="6149" max="6163" width="3.125" style="40" customWidth="1"/>
    <col min="6164" max="6164" width="5.5" style="40" customWidth="1"/>
    <col min="6165" max="6165" width="5.625" style="40" customWidth="1"/>
    <col min="6166" max="6181" width="3.125" style="40" customWidth="1"/>
    <col min="6182" max="6182" width="5.375" style="40" customWidth="1"/>
    <col min="6183" max="6184" width="3.125" style="40" customWidth="1"/>
    <col min="6185" max="6185" width="4.625" style="40" customWidth="1"/>
    <col min="6186" max="6186" width="3.5" style="40" customWidth="1"/>
    <col min="6187" max="6197" width="3.125" style="40" customWidth="1"/>
    <col min="6198" max="6199" width="5.625" style="40" customWidth="1"/>
    <col min="6200" max="6244" width="2.625" style="40" customWidth="1"/>
    <col min="6245" max="6404" width="9" style="40"/>
    <col min="6405" max="6419" width="3.125" style="40" customWidth="1"/>
    <col min="6420" max="6420" width="5.5" style="40" customWidth="1"/>
    <col min="6421" max="6421" width="5.625" style="40" customWidth="1"/>
    <col min="6422" max="6437" width="3.125" style="40" customWidth="1"/>
    <col min="6438" max="6438" width="5.375" style="40" customWidth="1"/>
    <col min="6439" max="6440" width="3.125" style="40" customWidth="1"/>
    <col min="6441" max="6441" width="4.625" style="40" customWidth="1"/>
    <col min="6442" max="6442" width="3.5" style="40" customWidth="1"/>
    <col min="6443" max="6453" width="3.125" style="40" customWidth="1"/>
    <col min="6454" max="6455" width="5.625" style="40" customWidth="1"/>
    <col min="6456" max="6500" width="2.625" style="40" customWidth="1"/>
    <col min="6501" max="6660" width="9" style="40"/>
    <col min="6661" max="6675" width="3.125" style="40" customWidth="1"/>
    <col min="6676" max="6676" width="5.5" style="40" customWidth="1"/>
    <col min="6677" max="6677" width="5.625" style="40" customWidth="1"/>
    <col min="6678" max="6693" width="3.125" style="40" customWidth="1"/>
    <col min="6694" max="6694" width="5.375" style="40" customWidth="1"/>
    <col min="6695" max="6696" width="3.125" style="40" customWidth="1"/>
    <col min="6697" max="6697" width="4.625" style="40" customWidth="1"/>
    <col min="6698" max="6698" width="3.5" style="40" customWidth="1"/>
    <col min="6699" max="6709" width="3.125" style="40" customWidth="1"/>
    <col min="6710" max="6711" width="5.625" style="40" customWidth="1"/>
    <col min="6712" max="6756" width="2.625" style="40" customWidth="1"/>
    <col min="6757" max="6916" width="9" style="40"/>
    <col min="6917" max="6931" width="3.125" style="40" customWidth="1"/>
    <col min="6932" max="6932" width="5.5" style="40" customWidth="1"/>
    <col min="6933" max="6933" width="5.625" style="40" customWidth="1"/>
    <col min="6934" max="6949" width="3.125" style="40" customWidth="1"/>
    <col min="6950" max="6950" width="5.375" style="40" customWidth="1"/>
    <col min="6951" max="6952" width="3.125" style="40" customWidth="1"/>
    <col min="6953" max="6953" width="4.625" style="40" customWidth="1"/>
    <col min="6954" max="6954" width="3.5" style="40" customWidth="1"/>
    <col min="6955" max="6965" width="3.125" style="40" customWidth="1"/>
    <col min="6966" max="6967" width="5.625" style="40" customWidth="1"/>
    <col min="6968" max="7012" width="2.625" style="40" customWidth="1"/>
    <col min="7013" max="7172" width="9" style="40"/>
    <col min="7173" max="7187" width="3.125" style="40" customWidth="1"/>
    <col min="7188" max="7188" width="5.5" style="40" customWidth="1"/>
    <col min="7189" max="7189" width="5.625" style="40" customWidth="1"/>
    <col min="7190" max="7205" width="3.125" style="40" customWidth="1"/>
    <col min="7206" max="7206" width="5.375" style="40" customWidth="1"/>
    <col min="7207" max="7208" width="3.125" style="40" customWidth="1"/>
    <col min="7209" max="7209" width="4.625" style="40" customWidth="1"/>
    <col min="7210" max="7210" width="3.5" style="40" customWidth="1"/>
    <col min="7211" max="7221" width="3.125" style="40" customWidth="1"/>
    <col min="7222" max="7223" width="5.625" style="40" customWidth="1"/>
    <col min="7224" max="7268" width="2.625" style="40" customWidth="1"/>
    <col min="7269" max="7428" width="9" style="40"/>
    <col min="7429" max="7443" width="3.125" style="40" customWidth="1"/>
    <col min="7444" max="7444" width="5.5" style="40" customWidth="1"/>
    <col min="7445" max="7445" width="5.625" style="40" customWidth="1"/>
    <col min="7446" max="7461" width="3.125" style="40" customWidth="1"/>
    <col min="7462" max="7462" width="5.375" style="40" customWidth="1"/>
    <col min="7463" max="7464" width="3.125" style="40" customWidth="1"/>
    <col min="7465" max="7465" width="4.625" style="40" customWidth="1"/>
    <col min="7466" max="7466" width="3.5" style="40" customWidth="1"/>
    <col min="7467" max="7477" width="3.125" style="40" customWidth="1"/>
    <col min="7478" max="7479" width="5.625" style="40" customWidth="1"/>
    <col min="7480" max="7524" width="2.625" style="40" customWidth="1"/>
    <col min="7525" max="7684" width="9" style="40"/>
    <col min="7685" max="7699" width="3.125" style="40" customWidth="1"/>
    <col min="7700" max="7700" width="5.5" style="40" customWidth="1"/>
    <col min="7701" max="7701" width="5.625" style="40" customWidth="1"/>
    <col min="7702" max="7717" width="3.125" style="40" customWidth="1"/>
    <col min="7718" max="7718" width="5.375" style="40" customWidth="1"/>
    <col min="7719" max="7720" width="3.125" style="40" customWidth="1"/>
    <col min="7721" max="7721" width="4.625" style="40" customWidth="1"/>
    <col min="7722" max="7722" width="3.5" style="40" customWidth="1"/>
    <col min="7723" max="7733" width="3.125" style="40" customWidth="1"/>
    <col min="7734" max="7735" width="5.625" style="40" customWidth="1"/>
    <col min="7736" max="7780" width="2.625" style="40" customWidth="1"/>
    <col min="7781" max="7940" width="9" style="40"/>
    <col min="7941" max="7955" width="3.125" style="40" customWidth="1"/>
    <col min="7956" max="7956" width="5.5" style="40" customWidth="1"/>
    <col min="7957" max="7957" width="5.625" style="40" customWidth="1"/>
    <col min="7958" max="7973" width="3.125" style="40" customWidth="1"/>
    <col min="7974" max="7974" width="5.375" style="40" customWidth="1"/>
    <col min="7975" max="7976" width="3.125" style="40" customWidth="1"/>
    <col min="7977" max="7977" width="4.625" style="40" customWidth="1"/>
    <col min="7978" max="7978" width="3.5" style="40" customWidth="1"/>
    <col min="7979" max="7989" width="3.125" style="40" customWidth="1"/>
    <col min="7990" max="7991" width="5.625" style="40" customWidth="1"/>
    <col min="7992" max="8036" width="2.625" style="40" customWidth="1"/>
    <col min="8037" max="8196" width="9" style="40"/>
    <col min="8197" max="8211" width="3.125" style="40" customWidth="1"/>
    <col min="8212" max="8212" width="5.5" style="40" customWidth="1"/>
    <col min="8213" max="8213" width="5.625" style="40" customWidth="1"/>
    <col min="8214" max="8229" width="3.125" style="40" customWidth="1"/>
    <col min="8230" max="8230" width="5.375" style="40" customWidth="1"/>
    <col min="8231" max="8232" width="3.125" style="40" customWidth="1"/>
    <col min="8233" max="8233" width="4.625" style="40" customWidth="1"/>
    <col min="8234" max="8234" width="3.5" style="40" customWidth="1"/>
    <col min="8235" max="8245" width="3.125" style="40" customWidth="1"/>
    <col min="8246" max="8247" width="5.625" style="40" customWidth="1"/>
    <col min="8248" max="8292" width="2.625" style="40" customWidth="1"/>
    <col min="8293" max="8452" width="9" style="40"/>
    <col min="8453" max="8467" width="3.125" style="40" customWidth="1"/>
    <col min="8468" max="8468" width="5.5" style="40" customWidth="1"/>
    <col min="8469" max="8469" width="5.625" style="40" customWidth="1"/>
    <col min="8470" max="8485" width="3.125" style="40" customWidth="1"/>
    <col min="8486" max="8486" width="5.375" style="40" customWidth="1"/>
    <col min="8487" max="8488" width="3.125" style="40" customWidth="1"/>
    <col min="8489" max="8489" width="4.625" style="40" customWidth="1"/>
    <col min="8490" max="8490" width="3.5" style="40" customWidth="1"/>
    <col min="8491" max="8501" width="3.125" style="40" customWidth="1"/>
    <col min="8502" max="8503" width="5.625" style="40" customWidth="1"/>
    <col min="8504" max="8548" width="2.625" style="40" customWidth="1"/>
    <col min="8549" max="8708" width="9" style="40"/>
    <col min="8709" max="8723" width="3.125" style="40" customWidth="1"/>
    <col min="8724" max="8724" width="5.5" style="40" customWidth="1"/>
    <col min="8725" max="8725" width="5.625" style="40" customWidth="1"/>
    <col min="8726" max="8741" width="3.125" style="40" customWidth="1"/>
    <col min="8742" max="8742" width="5.375" style="40" customWidth="1"/>
    <col min="8743" max="8744" width="3.125" style="40" customWidth="1"/>
    <col min="8745" max="8745" width="4.625" style="40" customWidth="1"/>
    <col min="8746" max="8746" width="3.5" style="40" customWidth="1"/>
    <col min="8747" max="8757" width="3.125" style="40" customWidth="1"/>
    <col min="8758" max="8759" width="5.625" style="40" customWidth="1"/>
    <col min="8760" max="8804" width="2.625" style="40" customWidth="1"/>
    <col min="8805" max="8964" width="9" style="40"/>
    <col min="8965" max="8979" width="3.125" style="40" customWidth="1"/>
    <col min="8980" max="8980" width="5.5" style="40" customWidth="1"/>
    <col min="8981" max="8981" width="5.625" style="40" customWidth="1"/>
    <col min="8982" max="8997" width="3.125" style="40" customWidth="1"/>
    <col min="8998" max="8998" width="5.375" style="40" customWidth="1"/>
    <col min="8999" max="9000" width="3.125" style="40" customWidth="1"/>
    <col min="9001" max="9001" width="4.625" style="40" customWidth="1"/>
    <col min="9002" max="9002" width="3.5" style="40" customWidth="1"/>
    <col min="9003" max="9013" width="3.125" style="40" customWidth="1"/>
    <col min="9014" max="9015" width="5.625" style="40" customWidth="1"/>
    <col min="9016" max="9060" width="2.625" style="40" customWidth="1"/>
    <col min="9061" max="9220" width="9" style="40"/>
    <col min="9221" max="9235" width="3.125" style="40" customWidth="1"/>
    <col min="9236" max="9236" width="5.5" style="40" customWidth="1"/>
    <col min="9237" max="9237" width="5.625" style="40" customWidth="1"/>
    <col min="9238" max="9253" width="3.125" style="40" customWidth="1"/>
    <col min="9254" max="9254" width="5.375" style="40" customWidth="1"/>
    <col min="9255" max="9256" width="3.125" style="40" customWidth="1"/>
    <col min="9257" max="9257" width="4.625" style="40" customWidth="1"/>
    <col min="9258" max="9258" width="3.5" style="40" customWidth="1"/>
    <col min="9259" max="9269" width="3.125" style="40" customWidth="1"/>
    <col min="9270" max="9271" width="5.625" style="40" customWidth="1"/>
    <col min="9272" max="9316" width="2.625" style="40" customWidth="1"/>
    <col min="9317" max="9476" width="9" style="40"/>
    <col min="9477" max="9491" width="3.125" style="40" customWidth="1"/>
    <col min="9492" max="9492" width="5.5" style="40" customWidth="1"/>
    <col min="9493" max="9493" width="5.625" style="40" customWidth="1"/>
    <col min="9494" max="9509" width="3.125" style="40" customWidth="1"/>
    <col min="9510" max="9510" width="5.375" style="40" customWidth="1"/>
    <col min="9511" max="9512" width="3.125" style="40" customWidth="1"/>
    <col min="9513" max="9513" width="4.625" style="40" customWidth="1"/>
    <col min="9514" max="9514" width="3.5" style="40" customWidth="1"/>
    <col min="9515" max="9525" width="3.125" style="40" customWidth="1"/>
    <col min="9526" max="9527" width="5.625" style="40" customWidth="1"/>
    <col min="9528" max="9572" width="2.625" style="40" customWidth="1"/>
    <col min="9573" max="9732" width="9" style="40"/>
    <col min="9733" max="9747" width="3.125" style="40" customWidth="1"/>
    <col min="9748" max="9748" width="5.5" style="40" customWidth="1"/>
    <col min="9749" max="9749" width="5.625" style="40" customWidth="1"/>
    <col min="9750" max="9765" width="3.125" style="40" customWidth="1"/>
    <col min="9766" max="9766" width="5.375" style="40" customWidth="1"/>
    <col min="9767" max="9768" width="3.125" style="40" customWidth="1"/>
    <col min="9769" max="9769" width="4.625" style="40" customWidth="1"/>
    <col min="9770" max="9770" width="3.5" style="40" customWidth="1"/>
    <col min="9771" max="9781" width="3.125" style="40" customWidth="1"/>
    <col min="9782" max="9783" width="5.625" style="40" customWidth="1"/>
    <col min="9784" max="9828" width="2.625" style="40" customWidth="1"/>
    <col min="9829" max="9988" width="9" style="40"/>
    <col min="9989" max="10003" width="3.125" style="40" customWidth="1"/>
    <col min="10004" max="10004" width="5.5" style="40" customWidth="1"/>
    <col min="10005" max="10005" width="5.625" style="40" customWidth="1"/>
    <col min="10006" max="10021" width="3.125" style="40" customWidth="1"/>
    <col min="10022" max="10022" width="5.375" style="40" customWidth="1"/>
    <col min="10023" max="10024" width="3.125" style="40" customWidth="1"/>
    <col min="10025" max="10025" width="4.625" style="40" customWidth="1"/>
    <col min="10026" max="10026" width="3.5" style="40" customWidth="1"/>
    <col min="10027" max="10037" width="3.125" style="40" customWidth="1"/>
    <col min="10038" max="10039" width="5.625" style="40" customWidth="1"/>
    <col min="10040" max="10084" width="2.625" style="40" customWidth="1"/>
    <col min="10085" max="10244" width="9" style="40"/>
    <col min="10245" max="10259" width="3.125" style="40" customWidth="1"/>
    <col min="10260" max="10260" width="5.5" style="40" customWidth="1"/>
    <col min="10261" max="10261" width="5.625" style="40" customWidth="1"/>
    <col min="10262" max="10277" width="3.125" style="40" customWidth="1"/>
    <col min="10278" max="10278" width="5.375" style="40" customWidth="1"/>
    <col min="10279" max="10280" width="3.125" style="40" customWidth="1"/>
    <col min="10281" max="10281" width="4.625" style="40" customWidth="1"/>
    <col min="10282" max="10282" width="3.5" style="40" customWidth="1"/>
    <col min="10283" max="10293" width="3.125" style="40" customWidth="1"/>
    <col min="10294" max="10295" width="5.625" style="40" customWidth="1"/>
    <col min="10296" max="10340" width="2.625" style="40" customWidth="1"/>
    <col min="10341" max="10500" width="9" style="40"/>
    <col min="10501" max="10515" width="3.125" style="40" customWidth="1"/>
    <col min="10516" max="10516" width="5.5" style="40" customWidth="1"/>
    <col min="10517" max="10517" width="5.625" style="40" customWidth="1"/>
    <col min="10518" max="10533" width="3.125" style="40" customWidth="1"/>
    <col min="10534" max="10534" width="5.375" style="40" customWidth="1"/>
    <col min="10535" max="10536" width="3.125" style="40" customWidth="1"/>
    <col min="10537" max="10537" width="4.625" style="40" customWidth="1"/>
    <col min="10538" max="10538" width="3.5" style="40" customWidth="1"/>
    <col min="10539" max="10549" width="3.125" style="40" customWidth="1"/>
    <col min="10550" max="10551" width="5.625" style="40" customWidth="1"/>
    <col min="10552" max="10596" width="2.625" style="40" customWidth="1"/>
    <col min="10597" max="10756" width="9" style="40"/>
    <col min="10757" max="10771" width="3.125" style="40" customWidth="1"/>
    <col min="10772" max="10772" width="5.5" style="40" customWidth="1"/>
    <col min="10773" max="10773" width="5.625" style="40" customWidth="1"/>
    <col min="10774" max="10789" width="3.125" style="40" customWidth="1"/>
    <col min="10790" max="10790" width="5.375" style="40" customWidth="1"/>
    <col min="10791" max="10792" width="3.125" style="40" customWidth="1"/>
    <col min="10793" max="10793" width="4.625" style="40" customWidth="1"/>
    <col min="10794" max="10794" width="3.5" style="40" customWidth="1"/>
    <col min="10795" max="10805" width="3.125" style="40" customWidth="1"/>
    <col min="10806" max="10807" width="5.625" style="40" customWidth="1"/>
    <col min="10808" max="10852" width="2.625" style="40" customWidth="1"/>
    <col min="10853" max="11012" width="9" style="40"/>
    <col min="11013" max="11027" width="3.125" style="40" customWidth="1"/>
    <col min="11028" max="11028" width="5.5" style="40" customWidth="1"/>
    <col min="11029" max="11029" width="5.625" style="40" customWidth="1"/>
    <col min="11030" max="11045" width="3.125" style="40" customWidth="1"/>
    <col min="11046" max="11046" width="5.375" style="40" customWidth="1"/>
    <col min="11047" max="11048" width="3.125" style="40" customWidth="1"/>
    <col min="11049" max="11049" width="4.625" style="40" customWidth="1"/>
    <col min="11050" max="11050" width="3.5" style="40" customWidth="1"/>
    <col min="11051" max="11061" width="3.125" style="40" customWidth="1"/>
    <col min="11062" max="11063" width="5.625" style="40" customWidth="1"/>
    <col min="11064" max="11108" width="2.625" style="40" customWidth="1"/>
    <col min="11109" max="11268" width="9" style="40"/>
    <col min="11269" max="11283" width="3.125" style="40" customWidth="1"/>
    <col min="11284" max="11284" width="5.5" style="40" customWidth="1"/>
    <col min="11285" max="11285" width="5.625" style="40" customWidth="1"/>
    <col min="11286" max="11301" width="3.125" style="40" customWidth="1"/>
    <col min="11302" max="11302" width="5.375" style="40" customWidth="1"/>
    <col min="11303" max="11304" width="3.125" style="40" customWidth="1"/>
    <col min="11305" max="11305" width="4.625" style="40" customWidth="1"/>
    <col min="11306" max="11306" width="3.5" style="40" customWidth="1"/>
    <col min="11307" max="11317" width="3.125" style="40" customWidth="1"/>
    <col min="11318" max="11319" width="5.625" style="40" customWidth="1"/>
    <col min="11320" max="11364" width="2.625" style="40" customWidth="1"/>
    <col min="11365" max="11524" width="9" style="40"/>
    <col min="11525" max="11539" width="3.125" style="40" customWidth="1"/>
    <col min="11540" max="11540" width="5.5" style="40" customWidth="1"/>
    <col min="11541" max="11541" width="5.625" style="40" customWidth="1"/>
    <col min="11542" max="11557" width="3.125" style="40" customWidth="1"/>
    <col min="11558" max="11558" width="5.375" style="40" customWidth="1"/>
    <col min="11559" max="11560" width="3.125" style="40" customWidth="1"/>
    <col min="11561" max="11561" width="4.625" style="40" customWidth="1"/>
    <col min="11562" max="11562" width="3.5" style="40" customWidth="1"/>
    <col min="11563" max="11573" width="3.125" style="40" customWidth="1"/>
    <col min="11574" max="11575" width="5.625" style="40" customWidth="1"/>
    <col min="11576" max="11620" width="2.625" style="40" customWidth="1"/>
    <col min="11621" max="11780" width="9" style="40"/>
    <col min="11781" max="11795" width="3.125" style="40" customWidth="1"/>
    <col min="11796" max="11796" width="5.5" style="40" customWidth="1"/>
    <col min="11797" max="11797" width="5.625" style="40" customWidth="1"/>
    <col min="11798" max="11813" width="3.125" style="40" customWidth="1"/>
    <col min="11814" max="11814" width="5.375" style="40" customWidth="1"/>
    <col min="11815" max="11816" width="3.125" style="40" customWidth="1"/>
    <col min="11817" max="11817" width="4.625" style="40" customWidth="1"/>
    <col min="11818" max="11818" width="3.5" style="40" customWidth="1"/>
    <col min="11819" max="11829" width="3.125" style="40" customWidth="1"/>
    <col min="11830" max="11831" width="5.625" style="40" customWidth="1"/>
    <col min="11832" max="11876" width="2.625" style="40" customWidth="1"/>
    <col min="11877" max="12036" width="9" style="40"/>
    <col min="12037" max="12051" width="3.125" style="40" customWidth="1"/>
    <col min="12052" max="12052" width="5.5" style="40" customWidth="1"/>
    <col min="12053" max="12053" width="5.625" style="40" customWidth="1"/>
    <col min="12054" max="12069" width="3.125" style="40" customWidth="1"/>
    <col min="12070" max="12070" width="5.375" style="40" customWidth="1"/>
    <col min="12071" max="12072" width="3.125" style="40" customWidth="1"/>
    <col min="12073" max="12073" width="4.625" style="40" customWidth="1"/>
    <col min="12074" max="12074" width="3.5" style="40" customWidth="1"/>
    <col min="12075" max="12085" width="3.125" style="40" customWidth="1"/>
    <col min="12086" max="12087" width="5.625" style="40" customWidth="1"/>
    <col min="12088" max="12132" width="2.625" style="40" customWidth="1"/>
    <col min="12133" max="12292" width="9" style="40"/>
    <col min="12293" max="12307" width="3.125" style="40" customWidth="1"/>
    <col min="12308" max="12308" width="5.5" style="40" customWidth="1"/>
    <col min="12309" max="12309" width="5.625" style="40" customWidth="1"/>
    <col min="12310" max="12325" width="3.125" style="40" customWidth="1"/>
    <col min="12326" max="12326" width="5.375" style="40" customWidth="1"/>
    <col min="12327" max="12328" width="3.125" style="40" customWidth="1"/>
    <col min="12329" max="12329" width="4.625" style="40" customWidth="1"/>
    <col min="12330" max="12330" width="3.5" style="40" customWidth="1"/>
    <col min="12331" max="12341" width="3.125" style="40" customWidth="1"/>
    <col min="12342" max="12343" width="5.625" style="40" customWidth="1"/>
    <col min="12344" max="12388" width="2.625" style="40" customWidth="1"/>
    <col min="12389" max="12548" width="9" style="40"/>
    <col min="12549" max="12563" width="3.125" style="40" customWidth="1"/>
    <col min="12564" max="12564" width="5.5" style="40" customWidth="1"/>
    <col min="12565" max="12565" width="5.625" style="40" customWidth="1"/>
    <col min="12566" max="12581" width="3.125" style="40" customWidth="1"/>
    <col min="12582" max="12582" width="5.375" style="40" customWidth="1"/>
    <col min="12583" max="12584" width="3.125" style="40" customWidth="1"/>
    <col min="12585" max="12585" width="4.625" style="40" customWidth="1"/>
    <col min="12586" max="12586" width="3.5" style="40" customWidth="1"/>
    <col min="12587" max="12597" width="3.125" style="40" customWidth="1"/>
    <col min="12598" max="12599" width="5.625" style="40" customWidth="1"/>
    <col min="12600" max="12644" width="2.625" style="40" customWidth="1"/>
    <col min="12645" max="12804" width="9" style="40"/>
    <col min="12805" max="12819" width="3.125" style="40" customWidth="1"/>
    <col min="12820" max="12820" width="5.5" style="40" customWidth="1"/>
    <col min="12821" max="12821" width="5.625" style="40" customWidth="1"/>
    <col min="12822" max="12837" width="3.125" style="40" customWidth="1"/>
    <col min="12838" max="12838" width="5.375" style="40" customWidth="1"/>
    <col min="12839" max="12840" width="3.125" style="40" customWidth="1"/>
    <col min="12841" max="12841" width="4.625" style="40" customWidth="1"/>
    <col min="12842" max="12842" width="3.5" style="40" customWidth="1"/>
    <col min="12843" max="12853" width="3.125" style="40" customWidth="1"/>
    <col min="12854" max="12855" width="5.625" style="40" customWidth="1"/>
    <col min="12856" max="12900" width="2.625" style="40" customWidth="1"/>
    <col min="12901" max="13060" width="9" style="40"/>
    <col min="13061" max="13075" width="3.125" style="40" customWidth="1"/>
    <col min="13076" max="13076" width="5.5" style="40" customWidth="1"/>
    <col min="13077" max="13077" width="5.625" style="40" customWidth="1"/>
    <col min="13078" max="13093" width="3.125" style="40" customWidth="1"/>
    <col min="13094" max="13094" width="5.375" style="40" customWidth="1"/>
    <col min="13095" max="13096" width="3.125" style="40" customWidth="1"/>
    <col min="13097" max="13097" width="4.625" style="40" customWidth="1"/>
    <col min="13098" max="13098" width="3.5" style="40" customWidth="1"/>
    <col min="13099" max="13109" width="3.125" style="40" customWidth="1"/>
    <col min="13110" max="13111" width="5.625" style="40" customWidth="1"/>
    <col min="13112" max="13156" width="2.625" style="40" customWidth="1"/>
    <col min="13157" max="13316" width="9" style="40"/>
    <col min="13317" max="13331" width="3.125" style="40" customWidth="1"/>
    <col min="13332" max="13332" width="5.5" style="40" customWidth="1"/>
    <col min="13333" max="13333" width="5.625" style="40" customWidth="1"/>
    <col min="13334" max="13349" width="3.125" style="40" customWidth="1"/>
    <col min="13350" max="13350" width="5.375" style="40" customWidth="1"/>
    <col min="13351" max="13352" width="3.125" style="40" customWidth="1"/>
    <col min="13353" max="13353" width="4.625" style="40" customWidth="1"/>
    <col min="13354" max="13354" width="3.5" style="40" customWidth="1"/>
    <col min="13355" max="13365" width="3.125" style="40" customWidth="1"/>
    <col min="13366" max="13367" width="5.625" style="40" customWidth="1"/>
    <col min="13368" max="13412" width="2.625" style="40" customWidth="1"/>
    <col min="13413" max="13572" width="9" style="40"/>
    <col min="13573" max="13587" width="3.125" style="40" customWidth="1"/>
    <col min="13588" max="13588" width="5.5" style="40" customWidth="1"/>
    <col min="13589" max="13589" width="5.625" style="40" customWidth="1"/>
    <col min="13590" max="13605" width="3.125" style="40" customWidth="1"/>
    <col min="13606" max="13606" width="5.375" style="40" customWidth="1"/>
    <col min="13607" max="13608" width="3.125" style="40" customWidth="1"/>
    <col min="13609" max="13609" width="4.625" style="40" customWidth="1"/>
    <col min="13610" max="13610" width="3.5" style="40" customWidth="1"/>
    <col min="13611" max="13621" width="3.125" style="40" customWidth="1"/>
    <col min="13622" max="13623" width="5.625" style="40" customWidth="1"/>
    <col min="13624" max="13668" width="2.625" style="40" customWidth="1"/>
    <col min="13669" max="13828" width="9" style="40"/>
    <col min="13829" max="13843" width="3.125" style="40" customWidth="1"/>
    <col min="13844" max="13844" width="5.5" style="40" customWidth="1"/>
    <col min="13845" max="13845" width="5.625" style="40" customWidth="1"/>
    <col min="13846" max="13861" width="3.125" style="40" customWidth="1"/>
    <col min="13862" max="13862" width="5.375" style="40" customWidth="1"/>
    <col min="13863" max="13864" width="3.125" style="40" customWidth="1"/>
    <col min="13865" max="13865" width="4.625" style="40" customWidth="1"/>
    <col min="13866" max="13866" width="3.5" style="40" customWidth="1"/>
    <col min="13867" max="13877" width="3.125" style="40" customWidth="1"/>
    <col min="13878" max="13879" width="5.625" style="40" customWidth="1"/>
    <col min="13880" max="13924" width="2.625" style="40" customWidth="1"/>
    <col min="13925" max="14084" width="9" style="40"/>
    <col min="14085" max="14099" width="3.125" style="40" customWidth="1"/>
    <col min="14100" max="14100" width="5.5" style="40" customWidth="1"/>
    <col min="14101" max="14101" width="5.625" style="40" customWidth="1"/>
    <col min="14102" max="14117" width="3.125" style="40" customWidth="1"/>
    <col min="14118" max="14118" width="5.375" style="40" customWidth="1"/>
    <col min="14119" max="14120" width="3.125" style="40" customWidth="1"/>
    <col min="14121" max="14121" width="4.625" style="40" customWidth="1"/>
    <col min="14122" max="14122" width="3.5" style="40" customWidth="1"/>
    <col min="14123" max="14133" width="3.125" style="40" customWidth="1"/>
    <col min="14134" max="14135" width="5.625" style="40" customWidth="1"/>
    <col min="14136" max="14180" width="2.625" style="40" customWidth="1"/>
    <col min="14181" max="14340" width="9" style="40"/>
    <col min="14341" max="14355" width="3.125" style="40" customWidth="1"/>
    <col min="14356" max="14356" width="5.5" style="40" customWidth="1"/>
    <col min="14357" max="14357" width="5.625" style="40" customWidth="1"/>
    <col min="14358" max="14373" width="3.125" style="40" customWidth="1"/>
    <col min="14374" max="14374" width="5.375" style="40" customWidth="1"/>
    <col min="14375" max="14376" width="3.125" style="40" customWidth="1"/>
    <col min="14377" max="14377" width="4.625" style="40" customWidth="1"/>
    <col min="14378" max="14378" width="3.5" style="40" customWidth="1"/>
    <col min="14379" max="14389" width="3.125" style="40" customWidth="1"/>
    <col min="14390" max="14391" width="5.625" style="40" customWidth="1"/>
    <col min="14392" max="14436" width="2.625" style="40" customWidth="1"/>
    <col min="14437" max="14596" width="9" style="40"/>
    <col min="14597" max="14611" width="3.125" style="40" customWidth="1"/>
    <col min="14612" max="14612" width="5.5" style="40" customWidth="1"/>
    <col min="14613" max="14613" width="5.625" style="40" customWidth="1"/>
    <col min="14614" max="14629" width="3.125" style="40" customWidth="1"/>
    <col min="14630" max="14630" width="5.375" style="40" customWidth="1"/>
    <col min="14631" max="14632" width="3.125" style="40" customWidth="1"/>
    <col min="14633" max="14633" width="4.625" style="40" customWidth="1"/>
    <col min="14634" max="14634" width="3.5" style="40" customWidth="1"/>
    <col min="14635" max="14645" width="3.125" style="40" customWidth="1"/>
    <col min="14646" max="14647" width="5.625" style="40" customWidth="1"/>
    <col min="14648" max="14692" width="2.625" style="40" customWidth="1"/>
    <col min="14693" max="14852" width="9" style="40"/>
    <col min="14853" max="14867" width="3.125" style="40" customWidth="1"/>
    <col min="14868" max="14868" width="5.5" style="40" customWidth="1"/>
    <col min="14869" max="14869" width="5.625" style="40" customWidth="1"/>
    <col min="14870" max="14885" width="3.125" style="40" customWidth="1"/>
    <col min="14886" max="14886" width="5.375" style="40" customWidth="1"/>
    <col min="14887" max="14888" width="3.125" style="40" customWidth="1"/>
    <col min="14889" max="14889" width="4.625" style="40" customWidth="1"/>
    <col min="14890" max="14890" width="3.5" style="40" customWidth="1"/>
    <col min="14891" max="14901" width="3.125" style="40" customWidth="1"/>
    <col min="14902" max="14903" width="5.625" style="40" customWidth="1"/>
    <col min="14904" max="14948" width="2.625" style="40" customWidth="1"/>
    <col min="14949" max="15108" width="9" style="40"/>
    <col min="15109" max="15123" width="3.125" style="40" customWidth="1"/>
    <col min="15124" max="15124" width="5.5" style="40" customWidth="1"/>
    <col min="15125" max="15125" width="5.625" style="40" customWidth="1"/>
    <col min="15126" max="15141" width="3.125" style="40" customWidth="1"/>
    <col min="15142" max="15142" width="5.375" style="40" customWidth="1"/>
    <col min="15143" max="15144" width="3.125" style="40" customWidth="1"/>
    <col min="15145" max="15145" width="4.625" style="40" customWidth="1"/>
    <col min="15146" max="15146" width="3.5" style="40" customWidth="1"/>
    <col min="15147" max="15157" width="3.125" style="40" customWidth="1"/>
    <col min="15158" max="15159" width="5.625" style="40" customWidth="1"/>
    <col min="15160" max="15204" width="2.625" style="40" customWidth="1"/>
    <col min="15205" max="15364" width="9" style="40"/>
    <col min="15365" max="15379" width="3.125" style="40" customWidth="1"/>
    <col min="15380" max="15380" width="5.5" style="40" customWidth="1"/>
    <col min="15381" max="15381" width="5.625" style="40" customWidth="1"/>
    <col min="15382" max="15397" width="3.125" style="40" customWidth="1"/>
    <col min="15398" max="15398" width="5.375" style="40" customWidth="1"/>
    <col min="15399" max="15400" width="3.125" style="40" customWidth="1"/>
    <col min="15401" max="15401" width="4.625" style="40" customWidth="1"/>
    <col min="15402" max="15402" width="3.5" style="40" customWidth="1"/>
    <col min="15403" max="15413" width="3.125" style="40" customWidth="1"/>
    <col min="15414" max="15415" width="5.625" style="40" customWidth="1"/>
    <col min="15416" max="15460" width="2.625" style="40" customWidth="1"/>
    <col min="15461" max="15620" width="9" style="40"/>
    <col min="15621" max="15635" width="3.125" style="40" customWidth="1"/>
    <col min="15636" max="15636" width="5.5" style="40" customWidth="1"/>
    <col min="15637" max="15637" width="5.625" style="40" customWidth="1"/>
    <col min="15638" max="15653" width="3.125" style="40" customWidth="1"/>
    <col min="15654" max="15654" width="5.375" style="40" customWidth="1"/>
    <col min="15655" max="15656" width="3.125" style="40" customWidth="1"/>
    <col min="15657" max="15657" width="4.625" style="40" customWidth="1"/>
    <col min="15658" max="15658" width="3.5" style="40" customWidth="1"/>
    <col min="15659" max="15669" width="3.125" style="40" customWidth="1"/>
    <col min="15670" max="15671" width="5.625" style="40" customWidth="1"/>
    <col min="15672" max="15716" width="2.625" style="40" customWidth="1"/>
    <col min="15717" max="15876" width="9" style="40"/>
    <col min="15877" max="15891" width="3.125" style="40" customWidth="1"/>
    <col min="15892" max="15892" width="5.5" style="40" customWidth="1"/>
    <col min="15893" max="15893" width="5.625" style="40" customWidth="1"/>
    <col min="15894" max="15909" width="3.125" style="40" customWidth="1"/>
    <col min="15910" max="15910" width="5.375" style="40" customWidth="1"/>
    <col min="15911" max="15912" width="3.125" style="40" customWidth="1"/>
    <col min="15913" max="15913" width="4.625" style="40" customWidth="1"/>
    <col min="15914" max="15914" width="3.5" style="40" customWidth="1"/>
    <col min="15915" max="15925" width="3.125" style="40" customWidth="1"/>
    <col min="15926" max="15927" width="5.625" style="40" customWidth="1"/>
    <col min="15928" max="15972" width="2.625" style="40" customWidth="1"/>
    <col min="15973" max="16132" width="9" style="40"/>
    <col min="16133" max="16147" width="3.125" style="40" customWidth="1"/>
    <col min="16148" max="16148" width="5.5" style="40" customWidth="1"/>
    <col min="16149" max="16149" width="5.625" style="40" customWidth="1"/>
    <col min="16150" max="16165" width="3.125" style="40" customWidth="1"/>
    <col min="16166" max="16166" width="5.375" style="40" customWidth="1"/>
    <col min="16167" max="16168" width="3.125" style="40" customWidth="1"/>
    <col min="16169" max="16169" width="4.625" style="40" customWidth="1"/>
    <col min="16170" max="16170" width="3.5" style="40" customWidth="1"/>
    <col min="16171" max="16181" width="3.125" style="40" customWidth="1"/>
    <col min="16182" max="16183" width="5.625" style="40" customWidth="1"/>
    <col min="16184" max="16228" width="2.625" style="40" customWidth="1"/>
    <col min="16229" max="16384" width="9" style="40"/>
  </cols>
  <sheetData>
    <row r="1" spans="2:54"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4"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4"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4"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4"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4"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4"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4"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4"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4"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4"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4"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4" ht="13.5" customHeight="1" x14ac:dyDescent="0.15">
      <c r="B13" s="174" t="s">
        <v>87</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4"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4" ht="13.5" customHeight="1" x14ac:dyDescent="0.15">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row>
    <row r="16" spans="2:54"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43"/>
      <c r="AK16" s="43"/>
      <c r="AL16" s="43"/>
      <c r="AM16" s="2"/>
      <c r="AN16" s="2"/>
      <c r="AO16" s="2"/>
      <c r="AP16" s="2"/>
      <c r="AQ16" s="2"/>
      <c r="AR16" s="2"/>
      <c r="AS16" s="2"/>
      <c r="AT16" s="2"/>
      <c r="AU16" s="2"/>
      <c r="AV16" s="2"/>
      <c r="AW16" s="2"/>
      <c r="AX16" s="2"/>
      <c r="AY16" s="2"/>
      <c r="AZ16" s="2"/>
      <c r="BA16" s="2"/>
      <c r="BB16" s="40" t="s">
        <v>89</v>
      </c>
    </row>
    <row r="17" spans="2:54" ht="13.5" customHeight="1" x14ac:dyDescent="0.15">
      <c r="B17" s="175"/>
      <c r="C17" s="175"/>
      <c r="D17" s="175"/>
      <c r="E17" s="175"/>
      <c r="F17" s="175"/>
      <c r="G17" s="175"/>
      <c r="H17" s="175"/>
      <c r="I17" s="175"/>
      <c r="J17" s="175"/>
      <c r="K17" s="175"/>
      <c r="L17" s="175"/>
      <c r="M17" s="175"/>
      <c r="N17" s="175"/>
      <c r="O17" s="43"/>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176"/>
      <c r="AS17" s="176"/>
      <c r="AT17" s="176"/>
      <c r="AU17" s="176"/>
      <c r="AV17" s="176"/>
      <c r="AW17" s="176"/>
      <c r="AX17" s="176"/>
      <c r="AY17" s="176"/>
      <c r="AZ17" s="176"/>
      <c r="BA17" s="176"/>
      <c r="BB17" s="40" t="s">
        <v>88</v>
      </c>
    </row>
    <row r="18" spans="2:54" ht="13.5" customHeight="1" x14ac:dyDescent="0.15">
      <c r="B18" s="136" t="s">
        <v>1</v>
      </c>
      <c r="C18" s="136"/>
      <c r="D18" s="136"/>
      <c r="E18" s="136"/>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4" ht="13.5" customHeight="1" x14ac:dyDescent="0.15">
      <c r="B19" s="137"/>
      <c r="C19" s="137"/>
      <c r="D19" s="137"/>
      <c r="E19" s="137"/>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7" t="s">
        <v>47</v>
      </c>
      <c r="AV19" s="157"/>
      <c r="AW19" s="157"/>
      <c r="AX19" s="157"/>
      <c r="AY19" s="157"/>
      <c r="AZ19" s="157"/>
      <c r="BA19" s="157"/>
    </row>
    <row r="20" spans="2:54" s="21" customFormat="1" ht="13.5" customHeight="1" x14ac:dyDescent="0.15">
      <c r="B20" s="91" t="s">
        <v>2</v>
      </c>
      <c r="C20" s="92"/>
      <c r="D20" s="92"/>
      <c r="E20" s="92"/>
      <c r="F20" s="92"/>
      <c r="G20" s="92"/>
      <c r="H20" s="92"/>
      <c r="I20" s="91" t="s">
        <v>3</v>
      </c>
      <c r="J20" s="92"/>
      <c r="K20" s="92"/>
      <c r="L20" s="92"/>
      <c r="M20" s="92"/>
      <c r="N20" s="92"/>
      <c r="O20" s="92"/>
      <c r="P20" s="92"/>
      <c r="Q20" s="92"/>
      <c r="R20" s="92"/>
      <c r="S20" s="92"/>
      <c r="T20" s="92"/>
      <c r="U20" s="92"/>
      <c r="V20" s="92"/>
      <c r="W20" s="92"/>
      <c r="X20" s="92"/>
      <c r="Y20" s="114" t="s">
        <v>4</v>
      </c>
      <c r="Z20" s="114"/>
      <c r="AA20" s="114"/>
      <c r="AB20" s="114"/>
      <c r="AC20" s="167" t="s">
        <v>5</v>
      </c>
      <c r="AD20" s="167"/>
      <c r="AE20" s="167"/>
      <c r="AF20" s="167"/>
      <c r="AG20" s="114" t="s">
        <v>6</v>
      </c>
      <c r="AH20" s="114"/>
      <c r="AI20" s="114"/>
      <c r="AJ20" s="114"/>
      <c r="AK20" s="114"/>
      <c r="AL20" s="114"/>
      <c r="AM20" s="114"/>
      <c r="AN20" s="114"/>
      <c r="AO20" s="114"/>
      <c r="AP20" s="114"/>
      <c r="AQ20" s="114"/>
      <c r="AR20" s="114"/>
      <c r="AS20" s="114"/>
      <c r="AT20" s="114"/>
      <c r="AU20" s="114"/>
      <c r="AV20" s="114"/>
      <c r="AW20" s="114"/>
      <c r="AX20" s="114"/>
      <c r="AY20" s="114"/>
      <c r="AZ20" s="114"/>
      <c r="BA20" s="114"/>
    </row>
    <row r="21" spans="2:54" s="21" customFormat="1" ht="13.5" customHeight="1" x14ac:dyDescent="0.15">
      <c r="B21" s="94"/>
      <c r="C21" s="95"/>
      <c r="D21" s="95"/>
      <c r="E21" s="95"/>
      <c r="F21" s="95"/>
      <c r="G21" s="95"/>
      <c r="H21" s="95"/>
      <c r="I21" s="97"/>
      <c r="J21" s="98"/>
      <c r="K21" s="98"/>
      <c r="L21" s="98"/>
      <c r="M21" s="98"/>
      <c r="N21" s="98"/>
      <c r="O21" s="98"/>
      <c r="P21" s="98"/>
      <c r="Q21" s="98"/>
      <c r="R21" s="98"/>
      <c r="S21" s="98"/>
      <c r="T21" s="98"/>
      <c r="U21" s="98"/>
      <c r="V21" s="98"/>
      <c r="W21" s="98"/>
      <c r="X21" s="98"/>
      <c r="Y21" s="114"/>
      <c r="Z21" s="114"/>
      <c r="AA21" s="114"/>
      <c r="AB21" s="114"/>
      <c r="AC21" s="167"/>
      <c r="AD21" s="167"/>
      <c r="AE21" s="167"/>
      <c r="AF21" s="167"/>
      <c r="AG21" s="114"/>
      <c r="AH21" s="114"/>
      <c r="AI21" s="114"/>
      <c r="AJ21" s="114"/>
      <c r="AK21" s="114"/>
      <c r="AL21" s="114"/>
      <c r="AM21" s="114"/>
      <c r="AN21" s="114"/>
      <c r="AO21" s="114"/>
      <c r="AP21" s="114"/>
      <c r="AQ21" s="114"/>
      <c r="AR21" s="114"/>
      <c r="AS21" s="114"/>
      <c r="AT21" s="114"/>
      <c r="AU21" s="114"/>
      <c r="AV21" s="114"/>
      <c r="AW21" s="114"/>
      <c r="AX21" s="114"/>
      <c r="AY21" s="114"/>
      <c r="AZ21" s="114"/>
      <c r="BA21" s="114"/>
    </row>
    <row r="22" spans="2:54" s="21" customFormat="1" ht="13.5" customHeight="1" x14ac:dyDescent="0.15">
      <c r="B22" s="94"/>
      <c r="C22" s="95"/>
      <c r="D22" s="95"/>
      <c r="E22" s="95"/>
      <c r="F22" s="95"/>
      <c r="G22" s="95"/>
      <c r="H22" s="95"/>
      <c r="I22" s="91" t="s">
        <v>7</v>
      </c>
      <c r="J22" s="92"/>
      <c r="K22" s="92"/>
      <c r="L22" s="92"/>
      <c r="M22" s="91" t="s">
        <v>8</v>
      </c>
      <c r="N22" s="92"/>
      <c r="O22" s="92"/>
      <c r="P22" s="93"/>
      <c r="Q22" s="116" t="s">
        <v>49</v>
      </c>
      <c r="R22" s="117"/>
      <c r="S22" s="117"/>
      <c r="T22" s="117"/>
      <c r="U22" s="91" t="s">
        <v>9</v>
      </c>
      <c r="V22" s="92"/>
      <c r="W22" s="92"/>
      <c r="X22" s="92"/>
      <c r="Y22" s="114"/>
      <c r="Z22" s="114"/>
      <c r="AA22" s="114"/>
      <c r="AB22" s="114"/>
      <c r="AC22" s="167"/>
      <c r="AD22" s="167"/>
      <c r="AE22" s="167"/>
      <c r="AF22" s="167"/>
      <c r="AG22" s="114"/>
      <c r="AH22" s="114"/>
      <c r="AI22" s="114"/>
      <c r="AJ22" s="114"/>
      <c r="AK22" s="114"/>
      <c r="AL22" s="114"/>
      <c r="AM22" s="114"/>
      <c r="AN22" s="114"/>
      <c r="AO22" s="114"/>
      <c r="AP22" s="114"/>
      <c r="AQ22" s="114"/>
      <c r="AR22" s="114"/>
      <c r="AS22" s="114"/>
      <c r="AT22" s="114"/>
      <c r="AU22" s="114"/>
      <c r="AV22" s="114"/>
      <c r="AW22" s="114"/>
      <c r="AX22" s="114"/>
      <c r="AY22" s="114"/>
      <c r="AZ22" s="114"/>
      <c r="BA22" s="114"/>
    </row>
    <row r="23" spans="2:54" s="21" customFormat="1" ht="13.5" customHeight="1" x14ac:dyDescent="0.15">
      <c r="B23" s="94"/>
      <c r="C23" s="95"/>
      <c r="D23" s="95"/>
      <c r="E23" s="95"/>
      <c r="F23" s="95"/>
      <c r="G23" s="95"/>
      <c r="H23" s="95"/>
      <c r="I23" s="94"/>
      <c r="J23" s="95"/>
      <c r="K23" s="95"/>
      <c r="L23" s="95"/>
      <c r="M23" s="94"/>
      <c r="N23" s="95"/>
      <c r="O23" s="95"/>
      <c r="P23" s="96"/>
      <c r="Q23" s="119"/>
      <c r="R23" s="120"/>
      <c r="S23" s="120"/>
      <c r="T23" s="120"/>
      <c r="U23" s="94"/>
      <c r="V23" s="95"/>
      <c r="W23" s="95"/>
      <c r="X23" s="95"/>
      <c r="Y23" s="114"/>
      <c r="Z23" s="114"/>
      <c r="AA23" s="114"/>
      <c r="AB23" s="114"/>
      <c r="AC23" s="167"/>
      <c r="AD23" s="167"/>
      <c r="AE23" s="167"/>
      <c r="AF23" s="167"/>
      <c r="AG23" s="114"/>
      <c r="AH23" s="114"/>
      <c r="AI23" s="114"/>
      <c r="AJ23" s="114"/>
      <c r="AK23" s="114"/>
      <c r="AL23" s="114"/>
      <c r="AM23" s="114"/>
      <c r="AN23" s="114"/>
      <c r="AO23" s="114"/>
      <c r="AP23" s="114"/>
      <c r="AQ23" s="114"/>
      <c r="AR23" s="114"/>
      <c r="AS23" s="114"/>
      <c r="AT23" s="114"/>
      <c r="AU23" s="114"/>
      <c r="AV23" s="114"/>
      <c r="AW23" s="114"/>
      <c r="AX23" s="114"/>
      <c r="AY23" s="114"/>
      <c r="AZ23" s="114"/>
      <c r="BA23" s="114"/>
    </row>
    <row r="24" spans="2:54" s="21" customFormat="1" ht="13.5" customHeight="1" x14ac:dyDescent="0.15">
      <c r="B24" s="94"/>
      <c r="C24" s="95"/>
      <c r="D24" s="95"/>
      <c r="E24" s="95"/>
      <c r="F24" s="95"/>
      <c r="G24" s="95"/>
      <c r="H24" s="95"/>
      <c r="I24" s="94"/>
      <c r="J24" s="95"/>
      <c r="K24" s="95"/>
      <c r="L24" s="95"/>
      <c r="M24" s="94"/>
      <c r="N24" s="95"/>
      <c r="O24" s="95"/>
      <c r="P24" s="96"/>
      <c r="Q24" s="119"/>
      <c r="R24" s="120"/>
      <c r="S24" s="120"/>
      <c r="T24" s="120"/>
      <c r="U24" s="94"/>
      <c r="V24" s="95"/>
      <c r="W24" s="95"/>
      <c r="X24" s="95"/>
      <c r="Y24" s="114"/>
      <c r="Z24" s="114"/>
      <c r="AA24" s="114"/>
      <c r="AB24" s="114"/>
      <c r="AC24" s="167"/>
      <c r="AD24" s="167"/>
      <c r="AE24" s="167"/>
      <c r="AF24" s="167"/>
      <c r="AG24" s="114"/>
      <c r="AH24" s="114"/>
      <c r="AI24" s="114"/>
      <c r="AJ24" s="114"/>
      <c r="AK24" s="114"/>
      <c r="AL24" s="114"/>
      <c r="AM24" s="114"/>
      <c r="AN24" s="114"/>
      <c r="AO24" s="114"/>
      <c r="AP24" s="114"/>
      <c r="AQ24" s="114"/>
      <c r="AR24" s="114"/>
      <c r="AS24" s="114"/>
      <c r="AT24" s="114"/>
      <c r="AU24" s="114"/>
      <c r="AV24" s="114"/>
      <c r="AW24" s="114"/>
      <c r="AX24" s="114"/>
      <c r="AY24" s="114"/>
      <c r="AZ24" s="114"/>
      <c r="BA24" s="114"/>
    </row>
    <row r="25" spans="2:54" s="21" customFormat="1" ht="13.5" customHeight="1" x14ac:dyDescent="0.15">
      <c r="B25" s="97"/>
      <c r="C25" s="98"/>
      <c r="D25" s="98"/>
      <c r="E25" s="98"/>
      <c r="F25" s="98"/>
      <c r="G25" s="98"/>
      <c r="H25" s="98"/>
      <c r="I25" s="97"/>
      <c r="J25" s="98"/>
      <c r="K25" s="98"/>
      <c r="L25" s="98"/>
      <c r="M25" s="97"/>
      <c r="N25" s="98"/>
      <c r="O25" s="98"/>
      <c r="P25" s="99"/>
      <c r="Q25" s="122"/>
      <c r="R25" s="123"/>
      <c r="S25" s="123"/>
      <c r="T25" s="123"/>
      <c r="U25" s="97"/>
      <c r="V25" s="98"/>
      <c r="W25" s="98"/>
      <c r="X25" s="98"/>
      <c r="Y25" s="114"/>
      <c r="Z25" s="114"/>
      <c r="AA25" s="114"/>
      <c r="AB25" s="114"/>
      <c r="AC25" s="167"/>
      <c r="AD25" s="167"/>
      <c r="AE25" s="167"/>
      <c r="AF25" s="167"/>
      <c r="AG25" s="114"/>
      <c r="AH25" s="114"/>
      <c r="AI25" s="114"/>
      <c r="AJ25" s="114"/>
      <c r="AK25" s="114"/>
      <c r="AL25" s="114"/>
      <c r="AM25" s="114"/>
      <c r="AN25" s="114"/>
      <c r="AO25" s="114"/>
      <c r="AP25" s="114"/>
      <c r="AQ25" s="114"/>
      <c r="AR25" s="114"/>
      <c r="AS25" s="114"/>
      <c r="AT25" s="114"/>
      <c r="AU25" s="114"/>
      <c r="AV25" s="114"/>
      <c r="AW25" s="114"/>
      <c r="AX25" s="114"/>
      <c r="AY25" s="114"/>
      <c r="AZ25" s="114"/>
      <c r="BA25" s="114"/>
    </row>
    <row r="26" spans="2:54" s="21" customFormat="1" ht="18" customHeight="1" x14ac:dyDescent="0.15">
      <c r="B26" s="106" t="s">
        <v>10</v>
      </c>
      <c r="C26" s="107"/>
      <c r="D26" s="107"/>
      <c r="E26" s="107"/>
      <c r="F26" s="107"/>
      <c r="G26" s="107"/>
      <c r="H26" s="107"/>
      <c r="I26" s="106">
        <f>SUM(I28:L31)</f>
        <v>168650000</v>
      </c>
      <c r="J26" s="107"/>
      <c r="K26" s="107"/>
      <c r="L26" s="107"/>
      <c r="M26" s="106">
        <f>SUM(M28:P31)</f>
        <v>-3515000</v>
      </c>
      <c r="N26" s="107"/>
      <c r="O26" s="107"/>
      <c r="P26" s="108"/>
      <c r="Q26" s="106">
        <f t="shared" ref="Q26" si="0">SUM(Q28:T31)</f>
        <v>0</v>
      </c>
      <c r="R26" s="107"/>
      <c r="S26" s="107"/>
      <c r="T26" s="108"/>
      <c r="U26" s="106">
        <f t="shared" ref="U26" si="1">SUM(U28:X31)</f>
        <v>165135000</v>
      </c>
      <c r="V26" s="107"/>
      <c r="W26" s="107"/>
      <c r="X26" s="107"/>
      <c r="Y26" s="115">
        <f t="shared" ref="Y26" si="2">SUM(Y28:AB31)</f>
        <v>163064384</v>
      </c>
      <c r="Z26" s="115"/>
      <c r="AA26" s="115"/>
      <c r="AB26" s="115"/>
      <c r="AC26" s="107">
        <f>Y26-U26</f>
        <v>-2070616</v>
      </c>
      <c r="AD26" s="107"/>
      <c r="AE26" s="107"/>
      <c r="AF26" s="107"/>
      <c r="AG26" s="114"/>
      <c r="AH26" s="114"/>
      <c r="AI26" s="114"/>
      <c r="AJ26" s="114"/>
      <c r="AK26" s="114"/>
      <c r="AL26" s="114"/>
      <c r="AM26" s="114"/>
      <c r="AN26" s="114"/>
      <c r="AO26" s="114"/>
      <c r="AP26" s="114"/>
      <c r="AQ26" s="114"/>
      <c r="AR26" s="114"/>
      <c r="AS26" s="114"/>
      <c r="AT26" s="114"/>
      <c r="AU26" s="114"/>
      <c r="AV26" s="114"/>
      <c r="AW26" s="114"/>
      <c r="AX26" s="114"/>
      <c r="AY26" s="114"/>
      <c r="AZ26" s="114"/>
      <c r="BA26" s="114"/>
    </row>
    <row r="27" spans="2:54" s="21" customFormat="1" ht="18" customHeight="1" x14ac:dyDescent="0.15">
      <c r="B27" s="109"/>
      <c r="C27" s="110"/>
      <c r="D27" s="110"/>
      <c r="E27" s="110"/>
      <c r="F27" s="110"/>
      <c r="G27" s="110"/>
      <c r="H27" s="110"/>
      <c r="I27" s="109"/>
      <c r="J27" s="110"/>
      <c r="K27" s="110"/>
      <c r="L27" s="110"/>
      <c r="M27" s="109"/>
      <c r="N27" s="110"/>
      <c r="O27" s="110"/>
      <c r="P27" s="111"/>
      <c r="Q27" s="109"/>
      <c r="R27" s="110"/>
      <c r="S27" s="110"/>
      <c r="T27" s="111"/>
      <c r="U27" s="109"/>
      <c r="V27" s="110"/>
      <c r="W27" s="110"/>
      <c r="X27" s="110"/>
      <c r="Y27" s="115"/>
      <c r="Z27" s="115"/>
      <c r="AA27" s="115"/>
      <c r="AB27" s="115"/>
      <c r="AC27" s="110"/>
      <c r="AD27" s="110"/>
      <c r="AE27" s="110"/>
      <c r="AF27" s="110"/>
      <c r="AG27" s="114"/>
      <c r="AH27" s="114"/>
      <c r="AI27" s="114"/>
      <c r="AJ27" s="114"/>
      <c r="AK27" s="114"/>
      <c r="AL27" s="114"/>
      <c r="AM27" s="114"/>
      <c r="AN27" s="114"/>
      <c r="AO27" s="114"/>
      <c r="AP27" s="114"/>
      <c r="AQ27" s="114"/>
      <c r="AR27" s="114"/>
      <c r="AS27" s="114"/>
      <c r="AT27" s="114"/>
      <c r="AU27" s="114"/>
      <c r="AV27" s="114"/>
      <c r="AW27" s="114"/>
      <c r="AX27" s="114"/>
      <c r="AY27" s="114"/>
      <c r="AZ27" s="114"/>
      <c r="BA27" s="114"/>
    </row>
    <row r="28" spans="2:54" s="21" customFormat="1" ht="18" customHeight="1" x14ac:dyDescent="0.15">
      <c r="B28" s="106" t="s">
        <v>11</v>
      </c>
      <c r="C28" s="107"/>
      <c r="D28" s="107"/>
      <c r="E28" s="107"/>
      <c r="F28" s="107"/>
      <c r="G28" s="107"/>
      <c r="H28" s="107"/>
      <c r="I28" s="188">
        <v>122909000</v>
      </c>
      <c r="J28" s="189"/>
      <c r="K28" s="189"/>
      <c r="L28" s="189"/>
      <c r="M28" s="188">
        <v>-2479000</v>
      </c>
      <c r="N28" s="189"/>
      <c r="O28" s="189"/>
      <c r="P28" s="190"/>
      <c r="Q28" s="106">
        <v>0</v>
      </c>
      <c r="R28" s="107"/>
      <c r="S28" s="107"/>
      <c r="T28" s="108"/>
      <c r="U28" s="106">
        <f>SUM(I28:T29)</f>
        <v>120430000</v>
      </c>
      <c r="V28" s="107"/>
      <c r="W28" s="107"/>
      <c r="X28" s="107"/>
      <c r="Y28" s="187">
        <v>118680993</v>
      </c>
      <c r="Z28" s="187"/>
      <c r="AA28" s="187"/>
      <c r="AB28" s="187"/>
      <c r="AC28" s="169">
        <f>Y28-U28</f>
        <v>-1749007</v>
      </c>
      <c r="AD28" s="170"/>
      <c r="AE28" s="170"/>
      <c r="AF28" s="170"/>
      <c r="AG28" s="198" t="s">
        <v>94</v>
      </c>
      <c r="AH28" s="199"/>
      <c r="AI28" s="199"/>
      <c r="AJ28" s="199"/>
      <c r="AK28" s="199"/>
      <c r="AL28" s="199"/>
      <c r="AM28" s="199"/>
      <c r="AN28" s="199"/>
      <c r="AO28" s="199"/>
      <c r="AP28" s="199"/>
      <c r="AQ28" s="199"/>
      <c r="AR28" s="199"/>
      <c r="AS28" s="199"/>
      <c r="AT28" s="199"/>
      <c r="AU28" s="199"/>
      <c r="AV28" s="199"/>
      <c r="AW28" s="199"/>
      <c r="AX28" s="199"/>
      <c r="AY28" s="199"/>
      <c r="AZ28" s="199"/>
      <c r="BA28" s="200"/>
    </row>
    <row r="29" spans="2:54" s="21" customFormat="1" ht="18" customHeight="1" x14ac:dyDescent="0.15">
      <c r="B29" s="109"/>
      <c r="C29" s="110"/>
      <c r="D29" s="110"/>
      <c r="E29" s="110"/>
      <c r="F29" s="110"/>
      <c r="G29" s="110"/>
      <c r="H29" s="110"/>
      <c r="I29" s="191"/>
      <c r="J29" s="192"/>
      <c r="K29" s="192"/>
      <c r="L29" s="192"/>
      <c r="M29" s="191"/>
      <c r="N29" s="192"/>
      <c r="O29" s="192"/>
      <c r="P29" s="193"/>
      <c r="Q29" s="109"/>
      <c r="R29" s="110"/>
      <c r="S29" s="110"/>
      <c r="T29" s="111"/>
      <c r="U29" s="109"/>
      <c r="V29" s="110"/>
      <c r="W29" s="110"/>
      <c r="X29" s="110"/>
      <c r="Y29" s="187"/>
      <c r="Z29" s="187"/>
      <c r="AA29" s="187"/>
      <c r="AB29" s="187"/>
      <c r="AC29" s="171"/>
      <c r="AD29" s="172"/>
      <c r="AE29" s="172"/>
      <c r="AF29" s="172"/>
      <c r="AG29" s="201"/>
      <c r="AH29" s="202"/>
      <c r="AI29" s="202"/>
      <c r="AJ29" s="202"/>
      <c r="AK29" s="202"/>
      <c r="AL29" s="202"/>
      <c r="AM29" s="202"/>
      <c r="AN29" s="202"/>
      <c r="AO29" s="202"/>
      <c r="AP29" s="202"/>
      <c r="AQ29" s="202"/>
      <c r="AR29" s="202"/>
      <c r="AS29" s="202"/>
      <c r="AT29" s="202"/>
      <c r="AU29" s="202"/>
      <c r="AV29" s="202"/>
      <c r="AW29" s="202"/>
      <c r="AX29" s="202"/>
      <c r="AY29" s="202"/>
      <c r="AZ29" s="202"/>
      <c r="BA29" s="203"/>
    </row>
    <row r="30" spans="2:54" s="21" customFormat="1" ht="18" customHeight="1" x14ac:dyDescent="0.15">
      <c r="B30" s="106" t="s">
        <v>12</v>
      </c>
      <c r="C30" s="107"/>
      <c r="D30" s="107"/>
      <c r="E30" s="107"/>
      <c r="F30" s="107"/>
      <c r="G30" s="107"/>
      <c r="H30" s="108"/>
      <c r="I30" s="188">
        <v>45741000</v>
      </c>
      <c r="J30" s="189"/>
      <c r="K30" s="189"/>
      <c r="L30" s="190"/>
      <c r="M30" s="188">
        <v>-1036000</v>
      </c>
      <c r="N30" s="189"/>
      <c r="O30" s="189"/>
      <c r="P30" s="190"/>
      <c r="Q30" s="106">
        <v>0</v>
      </c>
      <c r="R30" s="107"/>
      <c r="S30" s="107"/>
      <c r="T30" s="108"/>
      <c r="U30" s="106">
        <f>SUM(I30:T31)</f>
        <v>44705000</v>
      </c>
      <c r="V30" s="107"/>
      <c r="W30" s="107"/>
      <c r="X30" s="107"/>
      <c r="Y30" s="187">
        <v>44383391</v>
      </c>
      <c r="Z30" s="187"/>
      <c r="AA30" s="187"/>
      <c r="AB30" s="187"/>
      <c r="AC30" s="106">
        <f>Y30-U30</f>
        <v>-321609</v>
      </c>
      <c r="AD30" s="107"/>
      <c r="AE30" s="107"/>
      <c r="AF30" s="107"/>
      <c r="AG30" s="139"/>
      <c r="AH30" s="139"/>
      <c r="AI30" s="139"/>
      <c r="AJ30" s="139"/>
      <c r="AK30" s="139"/>
      <c r="AL30" s="139"/>
      <c r="AM30" s="139"/>
      <c r="AN30" s="139"/>
      <c r="AO30" s="139"/>
      <c r="AP30" s="139"/>
      <c r="AQ30" s="139"/>
      <c r="AR30" s="139"/>
      <c r="AS30" s="139"/>
      <c r="AT30" s="139"/>
      <c r="AU30" s="139"/>
      <c r="AV30" s="139"/>
      <c r="AW30" s="139"/>
      <c r="AX30" s="139"/>
      <c r="AY30" s="139"/>
      <c r="AZ30" s="139"/>
      <c r="BA30" s="139"/>
    </row>
    <row r="31" spans="2:54" s="21" customFormat="1" ht="18" customHeight="1" x14ac:dyDescent="0.15">
      <c r="B31" s="109"/>
      <c r="C31" s="110"/>
      <c r="D31" s="110"/>
      <c r="E31" s="110"/>
      <c r="F31" s="110"/>
      <c r="G31" s="110"/>
      <c r="H31" s="111"/>
      <c r="I31" s="191"/>
      <c r="J31" s="192"/>
      <c r="K31" s="192"/>
      <c r="L31" s="193"/>
      <c r="M31" s="191"/>
      <c r="N31" s="192"/>
      <c r="O31" s="192"/>
      <c r="P31" s="193"/>
      <c r="Q31" s="109"/>
      <c r="R31" s="110"/>
      <c r="S31" s="110"/>
      <c r="T31" s="111"/>
      <c r="U31" s="109"/>
      <c r="V31" s="110"/>
      <c r="W31" s="110"/>
      <c r="X31" s="110"/>
      <c r="Y31" s="187"/>
      <c r="Z31" s="187"/>
      <c r="AA31" s="187"/>
      <c r="AB31" s="187"/>
      <c r="AC31" s="109"/>
      <c r="AD31" s="110"/>
      <c r="AE31" s="110"/>
      <c r="AF31" s="110"/>
      <c r="AG31" s="139"/>
      <c r="AH31" s="139"/>
      <c r="AI31" s="139"/>
      <c r="AJ31" s="139"/>
      <c r="AK31" s="139"/>
      <c r="AL31" s="139"/>
      <c r="AM31" s="139"/>
      <c r="AN31" s="139"/>
      <c r="AO31" s="139"/>
      <c r="AP31" s="139"/>
      <c r="AQ31" s="139"/>
      <c r="AR31" s="139"/>
      <c r="AS31" s="139"/>
      <c r="AT31" s="139"/>
      <c r="AU31" s="139"/>
      <c r="AV31" s="139"/>
      <c r="AW31" s="139"/>
      <c r="AX31" s="139"/>
      <c r="AY31" s="139"/>
      <c r="AZ31" s="139"/>
      <c r="BA31" s="139"/>
    </row>
    <row r="32" spans="2:54"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7"/>
      <c r="C34" s="137"/>
      <c r="D34" s="137"/>
      <c r="E34" s="137"/>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7" t="s">
        <v>47</v>
      </c>
      <c r="AV34" s="157"/>
      <c r="AW34" s="157"/>
      <c r="AX34" s="157"/>
      <c r="AY34" s="157"/>
      <c r="AZ34" s="157"/>
      <c r="BA34" s="157"/>
    </row>
    <row r="35" spans="2:53" s="21" customFormat="1" ht="13.5" customHeight="1" x14ac:dyDescent="0.15">
      <c r="B35" s="114" t="s">
        <v>2</v>
      </c>
      <c r="C35" s="114"/>
      <c r="D35" s="114"/>
      <c r="E35" s="114"/>
      <c r="F35" s="114"/>
      <c r="G35" s="114"/>
      <c r="H35" s="114"/>
      <c r="I35" s="91" t="s">
        <v>14</v>
      </c>
      <c r="J35" s="92"/>
      <c r="K35" s="92"/>
      <c r="L35" s="92"/>
      <c r="M35" s="92"/>
      <c r="N35" s="92"/>
      <c r="O35" s="92"/>
      <c r="P35" s="92"/>
      <c r="Q35" s="92"/>
      <c r="R35" s="92"/>
      <c r="S35" s="92"/>
      <c r="T35" s="92"/>
      <c r="U35" s="92"/>
      <c r="V35" s="92"/>
      <c r="W35" s="92"/>
      <c r="X35" s="92"/>
      <c r="Y35" s="92"/>
      <c r="Z35" s="92"/>
      <c r="AA35" s="92"/>
      <c r="AB35" s="92"/>
      <c r="AC35" s="92"/>
      <c r="AD35" s="92"/>
      <c r="AE35" s="92"/>
      <c r="AF35" s="92"/>
      <c r="AG35" s="93"/>
      <c r="AH35" s="91" t="s">
        <v>15</v>
      </c>
      <c r="AI35" s="92"/>
      <c r="AJ35" s="92"/>
      <c r="AK35" s="93"/>
      <c r="AL35" s="125" t="s">
        <v>16</v>
      </c>
      <c r="AM35" s="125"/>
      <c r="AN35" s="114" t="s">
        <v>17</v>
      </c>
      <c r="AO35" s="114"/>
      <c r="AP35" s="114"/>
      <c r="AQ35" s="114"/>
      <c r="AR35" s="91" t="s">
        <v>18</v>
      </c>
      <c r="AS35" s="92"/>
      <c r="AT35" s="92"/>
      <c r="AU35" s="92"/>
      <c r="AV35" s="92"/>
      <c r="AW35" s="92"/>
      <c r="AX35" s="92"/>
      <c r="AY35" s="92"/>
      <c r="AZ35" s="92"/>
      <c r="BA35" s="93"/>
    </row>
    <row r="36" spans="2:53" s="21" customFormat="1" ht="13.5" customHeight="1" x14ac:dyDescent="0.15">
      <c r="B36" s="114"/>
      <c r="C36" s="114"/>
      <c r="D36" s="114"/>
      <c r="E36" s="114"/>
      <c r="F36" s="114"/>
      <c r="G36" s="114"/>
      <c r="H36" s="114"/>
      <c r="I36" s="97"/>
      <c r="J36" s="98"/>
      <c r="K36" s="98"/>
      <c r="L36" s="98"/>
      <c r="M36" s="98"/>
      <c r="N36" s="98"/>
      <c r="O36" s="98"/>
      <c r="P36" s="98"/>
      <c r="Q36" s="98"/>
      <c r="R36" s="98"/>
      <c r="S36" s="98"/>
      <c r="T36" s="98"/>
      <c r="U36" s="98"/>
      <c r="V36" s="98"/>
      <c r="W36" s="98"/>
      <c r="X36" s="98"/>
      <c r="Y36" s="98"/>
      <c r="Z36" s="98"/>
      <c r="AA36" s="98"/>
      <c r="AB36" s="98"/>
      <c r="AC36" s="98"/>
      <c r="AD36" s="98"/>
      <c r="AE36" s="98"/>
      <c r="AF36" s="98"/>
      <c r="AG36" s="99"/>
      <c r="AH36" s="94"/>
      <c r="AI36" s="95"/>
      <c r="AJ36" s="95"/>
      <c r="AK36" s="96"/>
      <c r="AL36" s="125"/>
      <c r="AM36" s="125"/>
      <c r="AN36" s="114"/>
      <c r="AO36" s="114"/>
      <c r="AP36" s="114"/>
      <c r="AQ36" s="114"/>
      <c r="AR36" s="94"/>
      <c r="AS36" s="95"/>
      <c r="AT36" s="95"/>
      <c r="AU36" s="95"/>
      <c r="AV36" s="95"/>
      <c r="AW36" s="95"/>
      <c r="AX36" s="95"/>
      <c r="AY36" s="95"/>
      <c r="AZ36" s="95"/>
      <c r="BA36" s="96"/>
    </row>
    <row r="37" spans="2:53" s="21" customFormat="1" ht="13.5" customHeight="1" x14ac:dyDescent="0.15">
      <c r="B37" s="114"/>
      <c r="C37" s="114"/>
      <c r="D37" s="114"/>
      <c r="E37" s="114"/>
      <c r="F37" s="114"/>
      <c r="G37" s="114"/>
      <c r="H37" s="114"/>
      <c r="I37" s="114" t="s">
        <v>19</v>
      </c>
      <c r="J37" s="114"/>
      <c r="K37" s="114"/>
      <c r="L37" s="114"/>
      <c r="M37" s="114" t="s">
        <v>20</v>
      </c>
      <c r="N37" s="114"/>
      <c r="O37" s="114"/>
      <c r="P37" s="114"/>
      <c r="Q37" s="167" t="s">
        <v>21</v>
      </c>
      <c r="R37" s="167"/>
      <c r="S37" s="167" t="s">
        <v>22</v>
      </c>
      <c r="T37" s="167"/>
      <c r="U37" s="167"/>
      <c r="V37" s="125" t="s">
        <v>23</v>
      </c>
      <c r="W37" s="125"/>
      <c r="X37" s="114" t="s">
        <v>24</v>
      </c>
      <c r="Y37" s="114"/>
      <c r="Z37" s="114"/>
      <c r="AA37" s="114"/>
      <c r="AB37" s="125" t="s">
        <v>16</v>
      </c>
      <c r="AC37" s="125"/>
      <c r="AD37" s="114" t="s">
        <v>25</v>
      </c>
      <c r="AE37" s="114"/>
      <c r="AF37" s="114"/>
      <c r="AG37" s="114"/>
      <c r="AH37" s="94"/>
      <c r="AI37" s="95"/>
      <c r="AJ37" s="95"/>
      <c r="AK37" s="96"/>
      <c r="AL37" s="125"/>
      <c r="AM37" s="125"/>
      <c r="AN37" s="114"/>
      <c r="AO37" s="114"/>
      <c r="AP37" s="114"/>
      <c r="AQ37" s="114"/>
      <c r="AR37" s="94"/>
      <c r="AS37" s="95"/>
      <c r="AT37" s="95"/>
      <c r="AU37" s="95"/>
      <c r="AV37" s="95"/>
      <c r="AW37" s="95"/>
      <c r="AX37" s="95"/>
      <c r="AY37" s="95"/>
      <c r="AZ37" s="95"/>
      <c r="BA37" s="96"/>
    </row>
    <row r="38" spans="2:53" s="21" customFormat="1" ht="13.5" customHeight="1" x14ac:dyDescent="0.15">
      <c r="B38" s="114"/>
      <c r="C38" s="114"/>
      <c r="D38" s="114"/>
      <c r="E38" s="114"/>
      <c r="F38" s="114"/>
      <c r="G38" s="114"/>
      <c r="H38" s="114"/>
      <c r="I38" s="114"/>
      <c r="J38" s="114"/>
      <c r="K38" s="114"/>
      <c r="L38" s="114"/>
      <c r="M38" s="114"/>
      <c r="N38" s="114"/>
      <c r="O38" s="114"/>
      <c r="P38" s="114"/>
      <c r="Q38" s="167"/>
      <c r="R38" s="167"/>
      <c r="S38" s="167"/>
      <c r="T38" s="167"/>
      <c r="U38" s="167"/>
      <c r="V38" s="125"/>
      <c r="W38" s="125"/>
      <c r="X38" s="114"/>
      <c r="Y38" s="114"/>
      <c r="Z38" s="114"/>
      <c r="AA38" s="114"/>
      <c r="AB38" s="125"/>
      <c r="AC38" s="125"/>
      <c r="AD38" s="114"/>
      <c r="AE38" s="114"/>
      <c r="AF38" s="114"/>
      <c r="AG38" s="114"/>
      <c r="AH38" s="94"/>
      <c r="AI38" s="95"/>
      <c r="AJ38" s="95"/>
      <c r="AK38" s="96"/>
      <c r="AL38" s="125"/>
      <c r="AM38" s="125"/>
      <c r="AN38" s="114"/>
      <c r="AO38" s="114"/>
      <c r="AP38" s="114"/>
      <c r="AQ38" s="114"/>
      <c r="AR38" s="94"/>
      <c r="AS38" s="95"/>
      <c r="AT38" s="95"/>
      <c r="AU38" s="95"/>
      <c r="AV38" s="95"/>
      <c r="AW38" s="95"/>
      <c r="AX38" s="95"/>
      <c r="AY38" s="95"/>
      <c r="AZ38" s="95"/>
      <c r="BA38" s="96"/>
    </row>
    <row r="39" spans="2:53" s="21" customFormat="1" ht="13.5" customHeight="1" x14ac:dyDescent="0.15">
      <c r="B39" s="114"/>
      <c r="C39" s="114"/>
      <c r="D39" s="114"/>
      <c r="E39" s="114"/>
      <c r="F39" s="114"/>
      <c r="G39" s="114"/>
      <c r="H39" s="114"/>
      <c r="I39" s="114"/>
      <c r="J39" s="114"/>
      <c r="K39" s="114"/>
      <c r="L39" s="114"/>
      <c r="M39" s="114"/>
      <c r="N39" s="114"/>
      <c r="O39" s="114"/>
      <c r="P39" s="114"/>
      <c r="Q39" s="167"/>
      <c r="R39" s="167"/>
      <c r="S39" s="167"/>
      <c r="T39" s="167"/>
      <c r="U39" s="167"/>
      <c r="V39" s="125"/>
      <c r="W39" s="125"/>
      <c r="X39" s="114"/>
      <c r="Y39" s="114"/>
      <c r="Z39" s="114"/>
      <c r="AA39" s="114"/>
      <c r="AB39" s="125"/>
      <c r="AC39" s="125"/>
      <c r="AD39" s="114"/>
      <c r="AE39" s="114"/>
      <c r="AF39" s="114"/>
      <c r="AG39" s="114"/>
      <c r="AH39" s="94"/>
      <c r="AI39" s="95"/>
      <c r="AJ39" s="95"/>
      <c r="AK39" s="96"/>
      <c r="AL39" s="125"/>
      <c r="AM39" s="125"/>
      <c r="AN39" s="114"/>
      <c r="AO39" s="114"/>
      <c r="AP39" s="114"/>
      <c r="AQ39" s="114"/>
      <c r="AR39" s="94"/>
      <c r="AS39" s="95"/>
      <c r="AT39" s="95"/>
      <c r="AU39" s="95"/>
      <c r="AV39" s="95"/>
      <c r="AW39" s="95"/>
      <c r="AX39" s="95"/>
      <c r="AY39" s="95"/>
      <c r="AZ39" s="95"/>
      <c r="BA39" s="96"/>
    </row>
    <row r="40" spans="2:53" s="21" customFormat="1" ht="13.5" customHeight="1" x14ac:dyDescent="0.15">
      <c r="B40" s="114"/>
      <c r="C40" s="114"/>
      <c r="D40" s="114"/>
      <c r="E40" s="114"/>
      <c r="F40" s="114"/>
      <c r="G40" s="114"/>
      <c r="H40" s="114"/>
      <c r="I40" s="114"/>
      <c r="J40" s="114"/>
      <c r="K40" s="114"/>
      <c r="L40" s="114"/>
      <c r="M40" s="114"/>
      <c r="N40" s="114"/>
      <c r="O40" s="114"/>
      <c r="P40" s="114"/>
      <c r="Q40" s="167"/>
      <c r="R40" s="167"/>
      <c r="S40" s="167"/>
      <c r="T40" s="167"/>
      <c r="U40" s="167"/>
      <c r="V40" s="125"/>
      <c r="W40" s="125"/>
      <c r="X40" s="114"/>
      <c r="Y40" s="114"/>
      <c r="Z40" s="114"/>
      <c r="AA40" s="114"/>
      <c r="AB40" s="125"/>
      <c r="AC40" s="125"/>
      <c r="AD40" s="114"/>
      <c r="AE40" s="114"/>
      <c r="AF40" s="114"/>
      <c r="AG40" s="114"/>
      <c r="AH40" s="97"/>
      <c r="AI40" s="98"/>
      <c r="AJ40" s="98"/>
      <c r="AK40" s="99"/>
      <c r="AL40" s="125"/>
      <c r="AM40" s="125"/>
      <c r="AN40" s="114"/>
      <c r="AO40" s="114"/>
      <c r="AP40" s="114"/>
      <c r="AQ40" s="114"/>
      <c r="AR40" s="97"/>
      <c r="AS40" s="98"/>
      <c r="AT40" s="98"/>
      <c r="AU40" s="98"/>
      <c r="AV40" s="98"/>
      <c r="AW40" s="98"/>
      <c r="AX40" s="98"/>
      <c r="AY40" s="98"/>
      <c r="AZ40" s="98"/>
      <c r="BA40" s="99"/>
    </row>
    <row r="41" spans="2:53" s="21" customFormat="1" ht="18" customHeight="1" x14ac:dyDescent="0.15">
      <c r="B41" s="115" t="s">
        <v>26</v>
      </c>
      <c r="C41" s="115"/>
      <c r="D41" s="115"/>
      <c r="E41" s="115"/>
      <c r="F41" s="115"/>
      <c r="G41" s="115"/>
      <c r="H41" s="115"/>
      <c r="I41" s="161">
        <f>SUM(I43:L48)</f>
        <v>154878000</v>
      </c>
      <c r="J41" s="162"/>
      <c r="K41" s="162"/>
      <c r="L41" s="163"/>
      <c r="M41" s="161">
        <f>SUM(M43:P48)</f>
        <v>733000</v>
      </c>
      <c r="N41" s="162"/>
      <c r="O41" s="162"/>
      <c r="P41" s="163"/>
      <c r="Q41" s="115">
        <f>SUM(Q43:R48)</f>
        <v>0</v>
      </c>
      <c r="R41" s="115"/>
      <c r="S41" s="115">
        <f>SUM(S43:U48)</f>
        <v>0</v>
      </c>
      <c r="T41" s="115"/>
      <c r="U41" s="115"/>
      <c r="V41" s="161">
        <f>SUM(V43:W48)</f>
        <v>0</v>
      </c>
      <c r="W41" s="163"/>
      <c r="X41" s="161">
        <f>SUM(X43:AA48)</f>
        <v>155611000</v>
      </c>
      <c r="Y41" s="162"/>
      <c r="Z41" s="162"/>
      <c r="AA41" s="163"/>
      <c r="AB41" s="106">
        <f>SUM(AB43:AC48)</f>
        <v>0</v>
      </c>
      <c r="AC41" s="107"/>
      <c r="AD41" s="161">
        <f>SUM(AD43:AG48)</f>
        <v>155611000</v>
      </c>
      <c r="AE41" s="162"/>
      <c r="AF41" s="162"/>
      <c r="AG41" s="163"/>
      <c r="AH41" s="106">
        <f>SUM(AH43:AK48)</f>
        <v>146976980</v>
      </c>
      <c r="AI41" s="107"/>
      <c r="AJ41" s="107"/>
      <c r="AK41" s="107"/>
      <c r="AL41" s="68">
        <f>SUM(AL43:AM48)</f>
        <v>0</v>
      </c>
      <c r="AM41" s="68"/>
      <c r="AN41" s="68">
        <f>SUM(AN43:AQ48)</f>
        <v>8634020</v>
      </c>
      <c r="AO41" s="68"/>
      <c r="AP41" s="68"/>
      <c r="AQ41" s="68"/>
      <c r="AR41" s="100"/>
      <c r="AS41" s="101"/>
      <c r="AT41" s="101"/>
      <c r="AU41" s="101"/>
      <c r="AV41" s="101"/>
      <c r="AW41" s="101"/>
      <c r="AX41" s="101"/>
      <c r="AY41" s="101"/>
      <c r="AZ41" s="101"/>
      <c r="BA41" s="102"/>
    </row>
    <row r="42" spans="2:53" s="21" customFormat="1" ht="18" customHeight="1" x14ac:dyDescent="0.15">
      <c r="B42" s="115"/>
      <c r="C42" s="115"/>
      <c r="D42" s="115"/>
      <c r="E42" s="115"/>
      <c r="F42" s="115"/>
      <c r="G42" s="115"/>
      <c r="H42" s="115"/>
      <c r="I42" s="164"/>
      <c r="J42" s="165"/>
      <c r="K42" s="165"/>
      <c r="L42" s="166"/>
      <c r="M42" s="164"/>
      <c r="N42" s="165"/>
      <c r="O42" s="165"/>
      <c r="P42" s="166"/>
      <c r="Q42" s="115"/>
      <c r="R42" s="115"/>
      <c r="S42" s="115"/>
      <c r="T42" s="115"/>
      <c r="U42" s="115"/>
      <c r="V42" s="164"/>
      <c r="W42" s="166"/>
      <c r="X42" s="164"/>
      <c r="Y42" s="165"/>
      <c r="Z42" s="165"/>
      <c r="AA42" s="166"/>
      <c r="AB42" s="109"/>
      <c r="AC42" s="110"/>
      <c r="AD42" s="164"/>
      <c r="AE42" s="165"/>
      <c r="AF42" s="165"/>
      <c r="AG42" s="166"/>
      <c r="AH42" s="109"/>
      <c r="AI42" s="110"/>
      <c r="AJ42" s="110"/>
      <c r="AK42" s="110"/>
      <c r="AL42" s="68"/>
      <c r="AM42" s="68"/>
      <c r="AN42" s="68"/>
      <c r="AO42" s="68"/>
      <c r="AP42" s="68"/>
      <c r="AQ42" s="68"/>
      <c r="AR42" s="103"/>
      <c r="AS42" s="104"/>
      <c r="AT42" s="104"/>
      <c r="AU42" s="104"/>
      <c r="AV42" s="104"/>
      <c r="AW42" s="104"/>
      <c r="AX42" s="104"/>
      <c r="AY42" s="104"/>
      <c r="AZ42" s="104"/>
      <c r="BA42" s="105"/>
    </row>
    <row r="43" spans="2:53" s="21" customFormat="1" ht="18" customHeight="1" x14ac:dyDescent="0.15">
      <c r="B43" s="115" t="s">
        <v>27</v>
      </c>
      <c r="C43" s="115"/>
      <c r="D43" s="115"/>
      <c r="E43" s="115"/>
      <c r="F43" s="115"/>
      <c r="G43" s="115"/>
      <c r="H43" s="115"/>
      <c r="I43" s="187">
        <v>146554000</v>
      </c>
      <c r="J43" s="187"/>
      <c r="K43" s="187"/>
      <c r="L43" s="187"/>
      <c r="M43" s="187">
        <v>705000</v>
      </c>
      <c r="N43" s="187"/>
      <c r="O43" s="187"/>
      <c r="P43" s="187"/>
      <c r="Q43" s="115">
        <v>0</v>
      </c>
      <c r="R43" s="115"/>
      <c r="S43" s="68">
        <v>0</v>
      </c>
      <c r="T43" s="68"/>
      <c r="U43" s="68"/>
      <c r="V43" s="115">
        <v>0</v>
      </c>
      <c r="W43" s="115"/>
      <c r="X43" s="115">
        <f>SUM(I43:T44)</f>
        <v>147259000</v>
      </c>
      <c r="Y43" s="115"/>
      <c r="Z43" s="115"/>
      <c r="AA43" s="115"/>
      <c r="AB43" s="106">
        <v>0</v>
      </c>
      <c r="AC43" s="108"/>
      <c r="AD43" s="115">
        <f>SUM(X43:AC44)</f>
        <v>147259000</v>
      </c>
      <c r="AE43" s="115"/>
      <c r="AF43" s="115"/>
      <c r="AG43" s="115"/>
      <c r="AH43" s="188">
        <v>141651617</v>
      </c>
      <c r="AI43" s="189"/>
      <c r="AJ43" s="189"/>
      <c r="AK43" s="190"/>
      <c r="AL43" s="68">
        <v>0</v>
      </c>
      <c r="AM43" s="68"/>
      <c r="AN43" s="68">
        <f>AD43-AH43-AL43</f>
        <v>5607383</v>
      </c>
      <c r="AO43" s="68"/>
      <c r="AP43" s="68"/>
      <c r="AQ43" s="68"/>
      <c r="AR43" s="83" t="s">
        <v>59</v>
      </c>
      <c r="AS43" s="84"/>
      <c r="AT43" s="84"/>
      <c r="AU43" s="84"/>
      <c r="AV43" s="84"/>
      <c r="AW43" s="84"/>
      <c r="AX43" s="84"/>
      <c r="AY43" s="84"/>
      <c r="AZ43" s="84"/>
      <c r="BA43" s="85"/>
    </row>
    <row r="44" spans="2:53" s="21" customFormat="1" ht="18" customHeight="1" x14ac:dyDescent="0.15">
      <c r="B44" s="115"/>
      <c r="C44" s="115"/>
      <c r="D44" s="115"/>
      <c r="E44" s="115"/>
      <c r="F44" s="115"/>
      <c r="G44" s="115"/>
      <c r="H44" s="115"/>
      <c r="I44" s="187"/>
      <c r="J44" s="187"/>
      <c r="K44" s="187"/>
      <c r="L44" s="187"/>
      <c r="M44" s="187"/>
      <c r="N44" s="187"/>
      <c r="O44" s="187"/>
      <c r="P44" s="187"/>
      <c r="Q44" s="115"/>
      <c r="R44" s="115"/>
      <c r="S44" s="68"/>
      <c r="T44" s="68"/>
      <c r="U44" s="68"/>
      <c r="V44" s="115"/>
      <c r="W44" s="115"/>
      <c r="X44" s="115"/>
      <c r="Y44" s="115"/>
      <c r="Z44" s="115"/>
      <c r="AA44" s="115"/>
      <c r="AB44" s="109"/>
      <c r="AC44" s="111"/>
      <c r="AD44" s="115"/>
      <c r="AE44" s="115"/>
      <c r="AF44" s="115"/>
      <c r="AG44" s="115"/>
      <c r="AH44" s="191"/>
      <c r="AI44" s="192"/>
      <c r="AJ44" s="192"/>
      <c r="AK44" s="193"/>
      <c r="AL44" s="68"/>
      <c r="AM44" s="68"/>
      <c r="AN44" s="68"/>
      <c r="AO44" s="68"/>
      <c r="AP44" s="68"/>
      <c r="AQ44" s="68"/>
      <c r="AR44" s="195" t="s">
        <v>95</v>
      </c>
      <c r="AS44" s="196"/>
      <c r="AT44" s="196"/>
      <c r="AU44" s="196"/>
      <c r="AV44" s="196"/>
      <c r="AW44" s="196"/>
      <c r="AX44" s="196"/>
      <c r="AY44" s="196"/>
      <c r="AZ44" s="196"/>
      <c r="BA44" s="197"/>
    </row>
    <row r="45" spans="2:53" s="21" customFormat="1" ht="18" customHeight="1" x14ac:dyDescent="0.15">
      <c r="B45" s="115" t="s">
        <v>28</v>
      </c>
      <c r="C45" s="115"/>
      <c r="D45" s="115"/>
      <c r="E45" s="115"/>
      <c r="F45" s="115"/>
      <c r="G45" s="115"/>
      <c r="H45" s="115"/>
      <c r="I45" s="187">
        <v>7824000</v>
      </c>
      <c r="J45" s="187"/>
      <c r="K45" s="187"/>
      <c r="L45" s="187"/>
      <c r="M45" s="187">
        <v>28000</v>
      </c>
      <c r="N45" s="187"/>
      <c r="O45" s="187"/>
      <c r="P45" s="187"/>
      <c r="Q45" s="115">
        <v>0</v>
      </c>
      <c r="R45" s="115"/>
      <c r="S45" s="68">
        <v>0</v>
      </c>
      <c r="T45" s="68"/>
      <c r="U45" s="68"/>
      <c r="V45" s="115">
        <v>0</v>
      </c>
      <c r="W45" s="115"/>
      <c r="X45" s="115">
        <f>SUM(I45:T46)</f>
        <v>7852000</v>
      </c>
      <c r="Y45" s="115"/>
      <c r="Z45" s="115"/>
      <c r="AA45" s="115"/>
      <c r="AB45" s="106">
        <v>0</v>
      </c>
      <c r="AC45" s="108"/>
      <c r="AD45" s="115">
        <f>SUM(X45:AC46)</f>
        <v>7852000</v>
      </c>
      <c r="AE45" s="115"/>
      <c r="AF45" s="115"/>
      <c r="AG45" s="115"/>
      <c r="AH45" s="188">
        <v>5325363</v>
      </c>
      <c r="AI45" s="189"/>
      <c r="AJ45" s="189"/>
      <c r="AK45" s="190"/>
      <c r="AL45" s="106">
        <v>0</v>
      </c>
      <c r="AM45" s="108"/>
      <c r="AN45" s="54">
        <f>AD45-AH45-AL45</f>
        <v>2526637</v>
      </c>
      <c r="AO45" s="55"/>
      <c r="AP45" s="55"/>
      <c r="AQ45" s="70"/>
      <c r="AR45" s="83" t="s">
        <v>60</v>
      </c>
      <c r="AS45" s="84"/>
      <c r="AT45" s="84"/>
      <c r="AU45" s="84"/>
      <c r="AV45" s="84"/>
      <c r="AW45" s="84"/>
      <c r="AX45" s="84"/>
      <c r="AY45" s="84"/>
      <c r="AZ45" s="84"/>
      <c r="BA45" s="85"/>
    </row>
    <row r="46" spans="2:53" s="21" customFormat="1" ht="18" customHeight="1" x14ac:dyDescent="0.15">
      <c r="B46" s="115"/>
      <c r="C46" s="115"/>
      <c r="D46" s="115"/>
      <c r="E46" s="115"/>
      <c r="F46" s="115"/>
      <c r="G46" s="115"/>
      <c r="H46" s="115"/>
      <c r="I46" s="187"/>
      <c r="J46" s="187"/>
      <c r="K46" s="187"/>
      <c r="L46" s="187"/>
      <c r="M46" s="187"/>
      <c r="N46" s="187"/>
      <c r="O46" s="187"/>
      <c r="P46" s="187"/>
      <c r="Q46" s="115"/>
      <c r="R46" s="115"/>
      <c r="S46" s="68"/>
      <c r="T46" s="68"/>
      <c r="U46" s="68"/>
      <c r="V46" s="115"/>
      <c r="W46" s="115"/>
      <c r="X46" s="115"/>
      <c r="Y46" s="115"/>
      <c r="Z46" s="115"/>
      <c r="AA46" s="115"/>
      <c r="AB46" s="109"/>
      <c r="AC46" s="111"/>
      <c r="AD46" s="115"/>
      <c r="AE46" s="115"/>
      <c r="AF46" s="115"/>
      <c r="AG46" s="115"/>
      <c r="AH46" s="191"/>
      <c r="AI46" s="192"/>
      <c r="AJ46" s="192"/>
      <c r="AK46" s="193"/>
      <c r="AL46" s="109"/>
      <c r="AM46" s="111"/>
      <c r="AN46" s="56"/>
      <c r="AO46" s="57"/>
      <c r="AP46" s="57"/>
      <c r="AQ46" s="71"/>
      <c r="AR46" s="195" t="s">
        <v>96</v>
      </c>
      <c r="AS46" s="196"/>
      <c r="AT46" s="196"/>
      <c r="AU46" s="196"/>
      <c r="AV46" s="196"/>
      <c r="AW46" s="196"/>
      <c r="AX46" s="196"/>
      <c r="AY46" s="196"/>
      <c r="AZ46" s="196"/>
      <c r="BA46" s="197"/>
    </row>
    <row r="47" spans="2:53" s="21" customFormat="1" ht="18" customHeight="1" x14ac:dyDescent="0.15">
      <c r="B47" s="115" t="s">
        <v>29</v>
      </c>
      <c r="C47" s="115"/>
      <c r="D47" s="115"/>
      <c r="E47" s="115"/>
      <c r="F47" s="115"/>
      <c r="G47" s="115"/>
      <c r="H47" s="115"/>
      <c r="I47" s="187">
        <v>500000</v>
      </c>
      <c r="J47" s="187"/>
      <c r="K47" s="187"/>
      <c r="L47" s="187"/>
      <c r="M47" s="187">
        <v>0</v>
      </c>
      <c r="N47" s="187"/>
      <c r="O47" s="187"/>
      <c r="P47" s="187"/>
      <c r="Q47" s="115">
        <v>0</v>
      </c>
      <c r="R47" s="115"/>
      <c r="S47" s="68">
        <v>0</v>
      </c>
      <c r="T47" s="68"/>
      <c r="U47" s="68"/>
      <c r="V47" s="115">
        <v>0</v>
      </c>
      <c r="W47" s="115"/>
      <c r="X47" s="115">
        <f>SUM(I47:T48)</f>
        <v>500000</v>
      </c>
      <c r="Y47" s="115"/>
      <c r="Z47" s="115"/>
      <c r="AA47" s="115"/>
      <c r="AB47" s="106">
        <v>0</v>
      </c>
      <c r="AC47" s="108"/>
      <c r="AD47" s="115">
        <f>SUM(X47:AC48)</f>
        <v>500000</v>
      </c>
      <c r="AE47" s="115"/>
      <c r="AF47" s="115"/>
      <c r="AG47" s="115"/>
      <c r="AH47" s="188">
        <v>0</v>
      </c>
      <c r="AI47" s="189"/>
      <c r="AJ47" s="189"/>
      <c r="AK47" s="190"/>
      <c r="AL47" s="106">
        <v>0</v>
      </c>
      <c r="AM47" s="108"/>
      <c r="AN47" s="54">
        <f>AD47-AH47-AL47</f>
        <v>500000</v>
      </c>
      <c r="AO47" s="55"/>
      <c r="AP47" s="55"/>
      <c r="AQ47" s="70"/>
      <c r="AR47" s="58"/>
      <c r="AS47" s="59"/>
      <c r="AT47" s="59"/>
      <c r="AU47" s="59"/>
      <c r="AV47" s="59"/>
      <c r="AW47" s="59"/>
      <c r="AX47" s="59"/>
      <c r="AY47" s="59"/>
      <c r="AZ47" s="59"/>
      <c r="BA47" s="60"/>
    </row>
    <row r="48" spans="2:53" s="21" customFormat="1" ht="18" customHeight="1" x14ac:dyDescent="0.15">
      <c r="B48" s="115"/>
      <c r="C48" s="115"/>
      <c r="D48" s="115"/>
      <c r="E48" s="115"/>
      <c r="F48" s="115"/>
      <c r="G48" s="115"/>
      <c r="H48" s="115"/>
      <c r="I48" s="187"/>
      <c r="J48" s="187"/>
      <c r="K48" s="187"/>
      <c r="L48" s="187"/>
      <c r="M48" s="187"/>
      <c r="N48" s="187"/>
      <c r="O48" s="187"/>
      <c r="P48" s="187"/>
      <c r="Q48" s="115"/>
      <c r="R48" s="115"/>
      <c r="S48" s="68"/>
      <c r="T48" s="68"/>
      <c r="U48" s="68"/>
      <c r="V48" s="115"/>
      <c r="W48" s="115"/>
      <c r="X48" s="115"/>
      <c r="Y48" s="115"/>
      <c r="Z48" s="115"/>
      <c r="AA48" s="115"/>
      <c r="AB48" s="109"/>
      <c r="AC48" s="111"/>
      <c r="AD48" s="115"/>
      <c r="AE48" s="115"/>
      <c r="AF48" s="115"/>
      <c r="AG48" s="115"/>
      <c r="AH48" s="191"/>
      <c r="AI48" s="192"/>
      <c r="AJ48" s="192"/>
      <c r="AK48" s="193"/>
      <c r="AL48" s="109"/>
      <c r="AM48" s="111"/>
      <c r="AN48" s="56"/>
      <c r="AO48" s="57"/>
      <c r="AP48" s="57"/>
      <c r="AQ48" s="71"/>
      <c r="AR48" s="61"/>
      <c r="AS48" s="62"/>
      <c r="AT48" s="62"/>
      <c r="AU48" s="62"/>
      <c r="AV48" s="62"/>
      <c r="AW48" s="62"/>
      <c r="AX48" s="62"/>
      <c r="AY48" s="62"/>
      <c r="AZ48" s="62"/>
      <c r="BA48" s="63"/>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row>
    <row r="52" spans="2:83" s="25" customFormat="1" ht="13.5" customHeight="1" x14ac:dyDescent="0.15">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row>
    <row r="53" spans="2:83" s="25" customFormat="1" ht="13.5" customHeight="1" x14ac:dyDescent="0.15">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row>
    <row r="54" spans="2:83" s="25" customFormat="1" ht="13.5" customHeight="1" x14ac:dyDescent="0.15">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row>
    <row r="55" spans="2:83" s="25" customFormat="1" ht="13.5" customHeight="1" x14ac:dyDescent="0.15">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row>
    <row r="56" spans="2:83" s="25" customFormat="1" ht="13.5" customHeight="1" x14ac:dyDescent="0.15">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row>
    <row r="57" spans="2:83" s="25" customFormat="1" ht="12" customHeight="1" x14ac:dyDescent="0.15">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row>
    <row r="58" spans="2:83" s="25" customFormat="1" ht="13.5" hidden="1" customHeight="1" x14ac:dyDescent="0.15">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row>
    <row r="59" spans="2:83" s="25" customFormat="1" ht="13.5" hidden="1" customHeight="1" x14ac:dyDescent="0.15">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row>
    <row r="60" spans="2:83" s="25" customFormat="1" ht="13.5" customHeight="1" x14ac:dyDescent="0.15">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row>
    <row r="61" spans="2:83" s="25" customFormat="1" ht="13.5" customHeight="1" x14ac:dyDescent="0.15">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row>
    <row r="62" spans="2:83" s="25" customFormat="1" ht="13.5" customHeight="1" x14ac:dyDescent="0.15">
      <c r="B62" s="156" t="s">
        <v>30</v>
      </c>
      <c r="C62" s="156"/>
      <c r="D62" s="156"/>
      <c r="E62" s="156"/>
      <c r="F62" s="156"/>
      <c r="G62" s="156"/>
      <c r="H62" s="156"/>
      <c r="I62" s="156"/>
      <c r="J62" s="156"/>
      <c r="K62" s="156"/>
      <c r="L62" s="156"/>
      <c r="M62" s="156"/>
      <c r="N62" s="156"/>
      <c r="O62" s="40"/>
      <c r="P62" s="40"/>
      <c r="Q62" s="40"/>
      <c r="R62" s="40"/>
      <c r="S62" s="40"/>
      <c r="T62" s="40"/>
      <c r="U62" s="40"/>
      <c r="V62" s="40"/>
      <c r="W62" s="40"/>
      <c r="X62" s="40"/>
      <c r="Y62" s="40"/>
      <c r="Z62" s="40"/>
      <c r="AA62" s="40"/>
      <c r="AB62" s="40"/>
      <c r="AC62" s="40"/>
      <c r="AD62" s="40"/>
      <c r="AE62" s="40"/>
      <c r="AF62" s="40"/>
      <c r="AG62" s="40"/>
      <c r="AH62" s="40"/>
      <c r="AI62" s="40"/>
      <c r="AJ62" s="40"/>
      <c r="AK62" s="20"/>
      <c r="AL62" s="20"/>
      <c r="AM62" s="2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row>
    <row r="63" spans="2:83" s="25" customFormat="1" ht="13.5" customHeight="1" x14ac:dyDescent="0.15">
      <c r="B63" s="156"/>
      <c r="C63" s="156"/>
      <c r="D63" s="156"/>
      <c r="E63" s="156"/>
      <c r="F63" s="156"/>
      <c r="G63" s="156"/>
      <c r="H63" s="156"/>
      <c r="I63" s="156"/>
      <c r="J63" s="156"/>
      <c r="K63" s="156"/>
      <c r="L63" s="156"/>
      <c r="M63" s="156"/>
      <c r="N63" s="156"/>
      <c r="O63" s="2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20"/>
      <c r="AP63" s="20"/>
      <c r="AQ63" s="20"/>
      <c r="AR63" s="26"/>
      <c r="AS63" s="26"/>
      <c r="AT63" s="26"/>
      <c r="AU63" s="26"/>
      <c r="AV63" s="26"/>
      <c r="AW63" s="26"/>
      <c r="AX63" s="26"/>
      <c r="AY63" s="26"/>
      <c r="AZ63" s="26"/>
      <c r="BA63" s="26"/>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row>
    <row r="64" spans="2:83" s="25" customFormat="1" ht="13.5" customHeight="1" x14ac:dyDescent="0.15">
      <c r="B64" s="136" t="s">
        <v>1</v>
      </c>
      <c r="C64" s="136"/>
      <c r="D64" s="136"/>
      <c r="E64" s="136"/>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row>
    <row r="65" spans="2:82" s="25" customFormat="1" ht="13.5" customHeight="1" x14ac:dyDescent="0.15">
      <c r="B65" s="137"/>
      <c r="C65" s="137"/>
      <c r="D65" s="137"/>
      <c r="E65" s="137"/>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7" t="s">
        <v>47</v>
      </c>
      <c r="AV65" s="157"/>
      <c r="AW65" s="157"/>
      <c r="AX65" s="157"/>
      <c r="AY65" s="157"/>
      <c r="AZ65" s="157"/>
      <c r="BA65" s="157"/>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row>
    <row r="66" spans="2:82" s="21" customFormat="1" ht="13.5" customHeight="1" x14ac:dyDescent="0.15">
      <c r="B66" s="91" t="s">
        <v>2</v>
      </c>
      <c r="C66" s="92"/>
      <c r="D66" s="92"/>
      <c r="E66" s="92"/>
      <c r="F66" s="92"/>
      <c r="G66" s="92"/>
      <c r="H66" s="92"/>
      <c r="I66" s="91" t="s">
        <v>14</v>
      </c>
      <c r="J66" s="92"/>
      <c r="K66" s="92"/>
      <c r="L66" s="92"/>
      <c r="M66" s="92"/>
      <c r="N66" s="92"/>
      <c r="O66" s="92"/>
      <c r="P66" s="92"/>
      <c r="Q66" s="92"/>
      <c r="R66" s="92"/>
      <c r="S66" s="92"/>
      <c r="T66" s="92"/>
      <c r="U66" s="92"/>
      <c r="V66" s="92"/>
      <c r="W66" s="92"/>
      <c r="X66" s="92"/>
      <c r="Y66" s="92"/>
      <c r="Z66" s="92"/>
      <c r="AA66" s="92"/>
      <c r="AB66" s="92"/>
      <c r="AC66" s="92"/>
      <c r="AD66" s="92"/>
      <c r="AE66" s="114" t="s">
        <v>4</v>
      </c>
      <c r="AF66" s="114"/>
      <c r="AG66" s="114"/>
      <c r="AH66" s="114"/>
      <c r="AI66" s="100" t="s">
        <v>48</v>
      </c>
      <c r="AJ66" s="101"/>
      <c r="AK66" s="101"/>
      <c r="AL66" s="101"/>
      <c r="AM66" s="114" t="s">
        <v>6</v>
      </c>
      <c r="AN66" s="114"/>
      <c r="AO66" s="114"/>
      <c r="AP66" s="114"/>
      <c r="AQ66" s="114"/>
      <c r="AR66" s="114"/>
      <c r="AS66" s="114"/>
      <c r="AT66" s="114"/>
      <c r="AU66" s="114"/>
      <c r="AV66" s="114"/>
      <c r="AW66" s="114"/>
      <c r="AX66" s="114"/>
      <c r="AY66" s="114"/>
      <c r="AZ66" s="114"/>
      <c r="BA66" s="114"/>
    </row>
    <row r="67" spans="2:82" s="21" customFormat="1" ht="13.5" customHeight="1" x14ac:dyDescent="0.15">
      <c r="B67" s="94"/>
      <c r="C67" s="95"/>
      <c r="D67" s="95"/>
      <c r="E67" s="95"/>
      <c r="F67" s="95"/>
      <c r="G67" s="95"/>
      <c r="H67" s="95"/>
      <c r="I67" s="97"/>
      <c r="J67" s="98"/>
      <c r="K67" s="98"/>
      <c r="L67" s="98"/>
      <c r="M67" s="98"/>
      <c r="N67" s="98"/>
      <c r="O67" s="98"/>
      <c r="P67" s="98"/>
      <c r="Q67" s="98"/>
      <c r="R67" s="98"/>
      <c r="S67" s="98"/>
      <c r="T67" s="98"/>
      <c r="U67" s="98"/>
      <c r="V67" s="98"/>
      <c r="W67" s="98"/>
      <c r="X67" s="98"/>
      <c r="Y67" s="98"/>
      <c r="Z67" s="98"/>
      <c r="AA67" s="98"/>
      <c r="AB67" s="98"/>
      <c r="AC67" s="98"/>
      <c r="AD67" s="98"/>
      <c r="AE67" s="114"/>
      <c r="AF67" s="114"/>
      <c r="AG67" s="114"/>
      <c r="AH67" s="114"/>
      <c r="AI67" s="112"/>
      <c r="AJ67" s="113"/>
      <c r="AK67" s="113"/>
      <c r="AL67" s="113"/>
      <c r="AM67" s="114"/>
      <c r="AN67" s="114"/>
      <c r="AO67" s="114"/>
      <c r="AP67" s="114"/>
      <c r="AQ67" s="114"/>
      <c r="AR67" s="114"/>
      <c r="AS67" s="114"/>
      <c r="AT67" s="114"/>
      <c r="AU67" s="114"/>
      <c r="AV67" s="114"/>
      <c r="AW67" s="114"/>
      <c r="AX67" s="114"/>
      <c r="AY67" s="114"/>
      <c r="AZ67" s="114"/>
      <c r="BA67" s="114"/>
    </row>
    <row r="68" spans="2:82" s="21" customFormat="1" ht="13.5" customHeight="1" x14ac:dyDescent="0.15">
      <c r="B68" s="94"/>
      <c r="C68" s="95"/>
      <c r="D68" s="95"/>
      <c r="E68" s="95"/>
      <c r="F68" s="95"/>
      <c r="G68" s="95"/>
      <c r="H68" s="95"/>
      <c r="I68" s="91" t="s">
        <v>7</v>
      </c>
      <c r="J68" s="92"/>
      <c r="K68" s="92"/>
      <c r="L68" s="93"/>
      <c r="M68" s="91" t="s">
        <v>8</v>
      </c>
      <c r="N68" s="92"/>
      <c r="O68" s="92"/>
      <c r="P68" s="93"/>
      <c r="Q68" s="91" t="s">
        <v>31</v>
      </c>
      <c r="R68" s="92"/>
      <c r="S68" s="92"/>
      <c r="T68" s="93"/>
      <c r="U68" s="141" t="s">
        <v>32</v>
      </c>
      <c r="V68" s="142"/>
      <c r="W68" s="143"/>
      <c r="X68" s="141" t="s">
        <v>33</v>
      </c>
      <c r="Y68" s="142"/>
      <c r="Z68" s="143"/>
      <c r="AA68" s="150" t="s">
        <v>9</v>
      </c>
      <c r="AB68" s="151"/>
      <c r="AC68" s="151"/>
      <c r="AD68" s="151"/>
      <c r="AE68" s="114"/>
      <c r="AF68" s="114"/>
      <c r="AG68" s="114"/>
      <c r="AH68" s="114"/>
      <c r="AI68" s="112"/>
      <c r="AJ68" s="113"/>
      <c r="AK68" s="113"/>
      <c r="AL68" s="113"/>
      <c r="AM68" s="114"/>
      <c r="AN68" s="114"/>
      <c r="AO68" s="114"/>
      <c r="AP68" s="114"/>
      <c r="AQ68" s="114"/>
      <c r="AR68" s="114"/>
      <c r="AS68" s="114"/>
      <c r="AT68" s="114"/>
      <c r="AU68" s="114"/>
      <c r="AV68" s="114"/>
      <c r="AW68" s="114"/>
      <c r="AX68" s="114"/>
      <c r="AY68" s="114"/>
      <c r="AZ68" s="114"/>
      <c r="BA68" s="114"/>
    </row>
    <row r="69" spans="2:82" s="21" customFormat="1" ht="13.5" customHeight="1" x14ac:dyDescent="0.15">
      <c r="B69" s="94"/>
      <c r="C69" s="95"/>
      <c r="D69" s="95"/>
      <c r="E69" s="95"/>
      <c r="F69" s="95"/>
      <c r="G69" s="95"/>
      <c r="H69" s="95"/>
      <c r="I69" s="94"/>
      <c r="J69" s="95"/>
      <c r="K69" s="95"/>
      <c r="L69" s="96"/>
      <c r="M69" s="94"/>
      <c r="N69" s="95"/>
      <c r="O69" s="95"/>
      <c r="P69" s="96"/>
      <c r="Q69" s="94"/>
      <c r="R69" s="95"/>
      <c r="S69" s="95"/>
      <c r="T69" s="96"/>
      <c r="U69" s="144"/>
      <c r="V69" s="145"/>
      <c r="W69" s="146"/>
      <c r="X69" s="144"/>
      <c r="Y69" s="145"/>
      <c r="Z69" s="146"/>
      <c r="AA69" s="152"/>
      <c r="AB69" s="153"/>
      <c r="AC69" s="153"/>
      <c r="AD69" s="153"/>
      <c r="AE69" s="114"/>
      <c r="AF69" s="114"/>
      <c r="AG69" s="114"/>
      <c r="AH69" s="114"/>
      <c r="AI69" s="112"/>
      <c r="AJ69" s="113"/>
      <c r="AK69" s="113"/>
      <c r="AL69" s="113"/>
      <c r="AM69" s="114"/>
      <c r="AN69" s="114"/>
      <c r="AO69" s="114"/>
      <c r="AP69" s="114"/>
      <c r="AQ69" s="114"/>
      <c r="AR69" s="114"/>
      <c r="AS69" s="114"/>
      <c r="AT69" s="114"/>
      <c r="AU69" s="114"/>
      <c r="AV69" s="114"/>
      <c r="AW69" s="114"/>
      <c r="AX69" s="114"/>
      <c r="AY69" s="114"/>
      <c r="AZ69" s="114"/>
      <c r="BA69" s="114"/>
    </row>
    <row r="70" spans="2:82" s="21" customFormat="1" ht="13.5" customHeight="1" x14ac:dyDescent="0.15">
      <c r="B70" s="94"/>
      <c r="C70" s="95"/>
      <c r="D70" s="95"/>
      <c r="E70" s="95"/>
      <c r="F70" s="95"/>
      <c r="G70" s="95"/>
      <c r="H70" s="95"/>
      <c r="I70" s="94"/>
      <c r="J70" s="95"/>
      <c r="K70" s="95"/>
      <c r="L70" s="96"/>
      <c r="M70" s="94"/>
      <c r="N70" s="95"/>
      <c r="O70" s="95"/>
      <c r="P70" s="96"/>
      <c r="Q70" s="94"/>
      <c r="R70" s="95"/>
      <c r="S70" s="95"/>
      <c r="T70" s="96"/>
      <c r="U70" s="144"/>
      <c r="V70" s="145"/>
      <c r="W70" s="146"/>
      <c r="X70" s="144"/>
      <c r="Y70" s="145"/>
      <c r="Z70" s="146"/>
      <c r="AA70" s="152"/>
      <c r="AB70" s="153"/>
      <c r="AC70" s="153"/>
      <c r="AD70" s="153"/>
      <c r="AE70" s="114"/>
      <c r="AF70" s="114"/>
      <c r="AG70" s="114"/>
      <c r="AH70" s="114"/>
      <c r="AI70" s="112"/>
      <c r="AJ70" s="113"/>
      <c r="AK70" s="113"/>
      <c r="AL70" s="113"/>
      <c r="AM70" s="114"/>
      <c r="AN70" s="114"/>
      <c r="AO70" s="114"/>
      <c r="AP70" s="114"/>
      <c r="AQ70" s="114"/>
      <c r="AR70" s="114"/>
      <c r="AS70" s="114"/>
      <c r="AT70" s="114"/>
      <c r="AU70" s="114"/>
      <c r="AV70" s="114"/>
      <c r="AW70" s="114"/>
      <c r="AX70" s="114"/>
      <c r="AY70" s="114"/>
      <c r="AZ70" s="114"/>
      <c r="BA70" s="114"/>
    </row>
    <row r="71" spans="2:82" s="21" customFormat="1" ht="13.5" customHeight="1" x14ac:dyDescent="0.15">
      <c r="B71" s="97"/>
      <c r="C71" s="98"/>
      <c r="D71" s="98"/>
      <c r="E71" s="98"/>
      <c r="F71" s="98"/>
      <c r="G71" s="98"/>
      <c r="H71" s="98"/>
      <c r="I71" s="97"/>
      <c r="J71" s="98"/>
      <c r="K71" s="98"/>
      <c r="L71" s="99"/>
      <c r="M71" s="97"/>
      <c r="N71" s="98"/>
      <c r="O71" s="98"/>
      <c r="P71" s="99"/>
      <c r="Q71" s="97"/>
      <c r="R71" s="98"/>
      <c r="S71" s="98"/>
      <c r="T71" s="99"/>
      <c r="U71" s="147"/>
      <c r="V71" s="148"/>
      <c r="W71" s="149"/>
      <c r="X71" s="147"/>
      <c r="Y71" s="148"/>
      <c r="Z71" s="149"/>
      <c r="AA71" s="154"/>
      <c r="AB71" s="155"/>
      <c r="AC71" s="155"/>
      <c r="AD71" s="155"/>
      <c r="AE71" s="114"/>
      <c r="AF71" s="114"/>
      <c r="AG71" s="114"/>
      <c r="AH71" s="114"/>
      <c r="AI71" s="103"/>
      <c r="AJ71" s="104"/>
      <c r="AK71" s="104"/>
      <c r="AL71" s="104"/>
      <c r="AM71" s="114"/>
      <c r="AN71" s="114"/>
      <c r="AO71" s="114"/>
      <c r="AP71" s="114"/>
      <c r="AQ71" s="114"/>
      <c r="AR71" s="114"/>
      <c r="AS71" s="114"/>
      <c r="AT71" s="114"/>
      <c r="AU71" s="114"/>
      <c r="AV71" s="114"/>
      <c r="AW71" s="114"/>
      <c r="AX71" s="114"/>
      <c r="AY71" s="114"/>
      <c r="AZ71" s="114"/>
      <c r="BA71" s="114"/>
    </row>
    <row r="72" spans="2:82" s="21" customFormat="1" ht="18" customHeight="1" x14ac:dyDescent="0.15">
      <c r="B72" s="106" t="s">
        <v>34</v>
      </c>
      <c r="C72" s="107"/>
      <c r="D72" s="107"/>
      <c r="E72" s="107"/>
      <c r="F72" s="107"/>
      <c r="G72" s="107"/>
      <c r="H72" s="107"/>
      <c r="I72" s="106">
        <f>SUM(I74:L79)</f>
        <v>67200000</v>
      </c>
      <c r="J72" s="107"/>
      <c r="K72" s="107"/>
      <c r="L72" s="108"/>
      <c r="M72" s="54">
        <f>SUM(M74:P79)</f>
        <v>-1407000</v>
      </c>
      <c r="N72" s="55"/>
      <c r="O72" s="55"/>
      <c r="P72" s="70"/>
      <c r="Q72" s="54">
        <f>SUM(Q74:T79)</f>
        <v>65793000</v>
      </c>
      <c r="R72" s="55"/>
      <c r="S72" s="55"/>
      <c r="T72" s="70"/>
      <c r="U72" s="106">
        <f>SUM(U74:W79)</f>
        <v>0</v>
      </c>
      <c r="V72" s="107"/>
      <c r="W72" s="108"/>
      <c r="X72" s="106">
        <f>SUM(X74:Z79)</f>
        <v>0</v>
      </c>
      <c r="Y72" s="107"/>
      <c r="Z72" s="108"/>
      <c r="AA72" s="106">
        <f>SUM(AA74:AD79)</f>
        <v>65793000</v>
      </c>
      <c r="AB72" s="107"/>
      <c r="AC72" s="107"/>
      <c r="AD72" s="107"/>
      <c r="AE72" s="115">
        <f>SUM(AE74:AH79)</f>
        <v>62889100</v>
      </c>
      <c r="AF72" s="115"/>
      <c r="AG72" s="115"/>
      <c r="AH72" s="115"/>
      <c r="AI72" s="115">
        <f>SUM(AI74:AL79)</f>
        <v>-2903900</v>
      </c>
      <c r="AJ72" s="115"/>
      <c r="AK72" s="115"/>
      <c r="AL72" s="115"/>
      <c r="AM72" s="139"/>
      <c r="AN72" s="139"/>
      <c r="AO72" s="139"/>
      <c r="AP72" s="139"/>
      <c r="AQ72" s="139"/>
      <c r="AR72" s="139"/>
      <c r="AS72" s="139"/>
      <c r="AT72" s="139"/>
      <c r="AU72" s="139"/>
      <c r="AV72" s="139"/>
      <c r="AW72" s="139"/>
      <c r="AX72" s="139"/>
      <c r="AY72" s="139"/>
      <c r="AZ72" s="139"/>
      <c r="BA72" s="139"/>
    </row>
    <row r="73" spans="2:82" s="21" customFormat="1" ht="18" customHeight="1" x14ac:dyDescent="0.15">
      <c r="B73" s="109"/>
      <c r="C73" s="110"/>
      <c r="D73" s="110"/>
      <c r="E73" s="110"/>
      <c r="F73" s="110"/>
      <c r="G73" s="110"/>
      <c r="H73" s="110"/>
      <c r="I73" s="109"/>
      <c r="J73" s="110"/>
      <c r="K73" s="110"/>
      <c r="L73" s="111"/>
      <c r="M73" s="56"/>
      <c r="N73" s="57"/>
      <c r="O73" s="57"/>
      <c r="P73" s="71"/>
      <c r="Q73" s="56"/>
      <c r="R73" s="57"/>
      <c r="S73" s="57"/>
      <c r="T73" s="71"/>
      <c r="U73" s="109"/>
      <c r="V73" s="110"/>
      <c r="W73" s="111"/>
      <c r="X73" s="109"/>
      <c r="Y73" s="110"/>
      <c r="Z73" s="111"/>
      <c r="AA73" s="109"/>
      <c r="AB73" s="110"/>
      <c r="AC73" s="110"/>
      <c r="AD73" s="110"/>
      <c r="AE73" s="115"/>
      <c r="AF73" s="115"/>
      <c r="AG73" s="115"/>
      <c r="AH73" s="115"/>
      <c r="AI73" s="115"/>
      <c r="AJ73" s="115"/>
      <c r="AK73" s="115"/>
      <c r="AL73" s="115"/>
      <c r="AM73" s="139"/>
      <c r="AN73" s="139"/>
      <c r="AO73" s="139"/>
      <c r="AP73" s="139"/>
      <c r="AQ73" s="139"/>
      <c r="AR73" s="139"/>
      <c r="AS73" s="139"/>
      <c r="AT73" s="139"/>
      <c r="AU73" s="139"/>
      <c r="AV73" s="139"/>
      <c r="AW73" s="139"/>
      <c r="AX73" s="139"/>
      <c r="AY73" s="139"/>
      <c r="AZ73" s="139"/>
      <c r="BA73" s="139"/>
    </row>
    <row r="74" spans="2:82" s="21" customFormat="1" ht="18" customHeight="1" x14ac:dyDescent="0.15">
      <c r="B74" s="106" t="s">
        <v>35</v>
      </c>
      <c r="C74" s="107"/>
      <c r="D74" s="107"/>
      <c r="E74" s="107"/>
      <c r="F74" s="107"/>
      <c r="G74" s="107"/>
      <c r="H74" s="107"/>
      <c r="I74" s="188">
        <v>2800000</v>
      </c>
      <c r="J74" s="189"/>
      <c r="K74" s="189"/>
      <c r="L74" s="190"/>
      <c r="M74" s="188">
        <v>793000</v>
      </c>
      <c r="N74" s="189"/>
      <c r="O74" s="189"/>
      <c r="P74" s="190"/>
      <c r="Q74" s="54">
        <f>SUM(I74:P75)</f>
        <v>3593000</v>
      </c>
      <c r="R74" s="55"/>
      <c r="S74" s="55"/>
      <c r="T74" s="70"/>
      <c r="U74" s="106">
        <f>SUM(X80:Z81)</f>
        <v>0</v>
      </c>
      <c r="V74" s="107"/>
      <c r="W74" s="108"/>
      <c r="X74" s="106">
        <v>0</v>
      </c>
      <c r="Y74" s="107"/>
      <c r="Z74" s="108"/>
      <c r="AA74" s="106">
        <f>SUM(Q74:Z75)</f>
        <v>3593000</v>
      </c>
      <c r="AB74" s="107"/>
      <c r="AC74" s="107"/>
      <c r="AD74" s="107"/>
      <c r="AE74" s="187">
        <v>3389100</v>
      </c>
      <c r="AF74" s="187"/>
      <c r="AG74" s="187"/>
      <c r="AH74" s="187"/>
      <c r="AI74" s="106">
        <f>AE74-AA74</f>
        <v>-203900</v>
      </c>
      <c r="AJ74" s="107"/>
      <c r="AK74" s="107"/>
      <c r="AL74" s="107"/>
      <c r="AM74" s="194" t="s">
        <v>93</v>
      </c>
      <c r="AN74" s="194"/>
      <c r="AO74" s="194"/>
      <c r="AP74" s="194"/>
      <c r="AQ74" s="194"/>
      <c r="AR74" s="194"/>
      <c r="AS74" s="194"/>
      <c r="AT74" s="194"/>
      <c r="AU74" s="194"/>
      <c r="AV74" s="194"/>
      <c r="AW74" s="194"/>
      <c r="AX74" s="194"/>
      <c r="AY74" s="194"/>
      <c r="AZ74" s="194"/>
      <c r="BA74" s="194"/>
    </row>
    <row r="75" spans="2:82" s="21" customFormat="1" ht="18" customHeight="1" x14ac:dyDescent="0.15">
      <c r="B75" s="109"/>
      <c r="C75" s="110"/>
      <c r="D75" s="110"/>
      <c r="E75" s="110"/>
      <c r="F75" s="110"/>
      <c r="G75" s="110"/>
      <c r="H75" s="110"/>
      <c r="I75" s="191"/>
      <c r="J75" s="192"/>
      <c r="K75" s="192"/>
      <c r="L75" s="193"/>
      <c r="M75" s="191"/>
      <c r="N75" s="192"/>
      <c r="O75" s="192"/>
      <c r="P75" s="193"/>
      <c r="Q75" s="56"/>
      <c r="R75" s="57"/>
      <c r="S75" s="57"/>
      <c r="T75" s="71"/>
      <c r="U75" s="109"/>
      <c r="V75" s="110"/>
      <c r="W75" s="111"/>
      <c r="X75" s="109"/>
      <c r="Y75" s="110"/>
      <c r="Z75" s="111"/>
      <c r="AA75" s="109"/>
      <c r="AB75" s="110"/>
      <c r="AC75" s="110"/>
      <c r="AD75" s="110"/>
      <c r="AE75" s="187"/>
      <c r="AF75" s="187"/>
      <c r="AG75" s="187"/>
      <c r="AH75" s="187"/>
      <c r="AI75" s="109"/>
      <c r="AJ75" s="110"/>
      <c r="AK75" s="110"/>
      <c r="AL75" s="110"/>
      <c r="AM75" s="194"/>
      <c r="AN75" s="194"/>
      <c r="AO75" s="194"/>
      <c r="AP75" s="194"/>
      <c r="AQ75" s="194"/>
      <c r="AR75" s="194"/>
      <c r="AS75" s="194"/>
      <c r="AT75" s="194"/>
      <c r="AU75" s="194"/>
      <c r="AV75" s="194"/>
      <c r="AW75" s="194"/>
      <c r="AX75" s="194"/>
      <c r="AY75" s="194"/>
      <c r="AZ75" s="194"/>
      <c r="BA75" s="194"/>
    </row>
    <row r="76" spans="2:82" s="21" customFormat="1" ht="18" customHeight="1" x14ac:dyDescent="0.15">
      <c r="B76" s="106" t="s">
        <v>51</v>
      </c>
      <c r="C76" s="107"/>
      <c r="D76" s="107"/>
      <c r="E76" s="107"/>
      <c r="F76" s="107"/>
      <c r="G76" s="107"/>
      <c r="H76" s="108"/>
      <c r="I76" s="188">
        <v>27400000</v>
      </c>
      <c r="J76" s="189"/>
      <c r="K76" s="189"/>
      <c r="L76" s="190"/>
      <c r="M76" s="177">
        <v>0</v>
      </c>
      <c r="N76" s="178"/>
      <c r="O76" s="178"/>
      <c r="P76" s="179"/>
      <c r="Q76" s="54">
        <f>SUM(I76:P77)</f>
        <v>27400000</v>
      </c>
      <c r="R76" s="55"/>
      <c r="S76" s="55"/>
      <c r="T76" s="70"/>
      <c r="U76" s="106">
        <v>0</v>
      </c>
      <c r="V76" s="107"/>
      <c r="W76" s="108"/>
      <c r="X76" s="106">
        <v>0</v>
      </c>
      <c r="Y76" s="107"/>
      <c r="Z76" s="108"/>
      <c r="AA76" s="106">
        <f>SUM(Q76:Z77)</f>
        <v>27400000</v>
      </c>
      <c r="AB76" s="107"/>
      <c r="AC76" s="107"/>
      <c r="AD76" s="107"/>
      <c r="AE76" s="187">
        <v>25300000</v>
      </c>
      <c r="AF76" s="187"/>
      <c r="AG76" s="187"/>
      <c r="AH76" s="187"/>
      <c r="AI76" s="106">
        <f>AE76-AA76</f>
        <v>-2100000</v>
      </c>
      <c r="AJ76" s="107"/>
      <c r="AK76" s="107"/>
      <c r="AL76" s="107"/>
      <c r="AM76" s="114"/>
      <c r="AN76" s="114"/>
      <c r="AO76" s="114"/>
      <c r="AP76" s="114"/>
      <c r="AQ76" s="114"/>
      <c r="AR76" s="114"/>
      <c r="AS76" s="114"/>
      <c r="AT76" s="114"/>
      <c r="AU76" s="114"/>
      <c r="AV76" s="114"/>
      <c r="AW76" s="114"/>
      <c r="AX76" s="114"/>
      <c r="AY76" s="114"/>
      <c r="AZ76" s="114"/>
      <c r="BA76" s="114"/>
    </row>
    <row r="77" spans="2:82" s="21" customFormat="1" ht="18" customHeight="1" x14ac:dyDescent="0.15">
      <c r="B77" s="109"/>
      <c r="C77" s="110"/>
      <c r="D77" s="110"/>
      <c r="E77" s="110"/>
      <c r="F77" s="110"/>
      <c r="G77" s="110"/>
      <c r="H77" s="111"/>
      <c r="I77" s="191"/>
      <c r="J77" s="192"/>
      <c r="K77" s="192"/>
      <c r="L77" s="193"/>
      <c r="M77" s="180"/>
      <c r="N77" s="181"/>
      <c r="O77" s="181"/>
      <c r="P77" s="182"/>
      <c r="Q77" s="56"/>
      <c r="R77" s="57"/>
      <c r="S77" s="57"/>
      <c r="T77" s="71"/>
      <c r="U77" s="109"/>
      <c r="V77" s="110"/>
      <c r="W77" s="111"/>
      <c r="X77" s="109"/>
      <c r="Y77" s="110"/>
      <c r="Z77" s="111"/>
      <c r="AA77" s="109"/>
      <c r="AB77" s="110"/>
      <c r="AC77" s="110"/>
      <c r="AD77" s="110"/>
      <c r="AE77" s="187"/>
      <c r="AF77" s="187"/>
      <c r="AG77" s="187"/>
      <c r="AH77" s="187"/>
      <c r="AI77" s="109"/>
      <c r="AJ77" s="110"/>
      <c r="AK77" s="110"/>
      <c r="AL77" s="110"/>
      <c r="AM77" s="114"/>
      <c r="AN77" s="114"/>
      <c r="AO77" s="114"/>
      <c r="AP77" s="114"/>
      <c r="AQ77" s="114"/>
      <c r="AR77" s="114"/>
      <c r="AS77" s="114"/>
      <c r="AT77" s="114"/>
      <c r="AU77" s="114"/>
      <c r="AV77" s="114"/>
      <c r="AW77" s="114"/>
      <c r="AX77" s="114"/>
      <c r="AY77" s="114"/>
      <c r="AZ77" s="114"/>
      <c r="BA77" s="114"/>
    </row>
    <row r="78" spans="2:82" s="21" customFormat="1" ht="18" customHeight="1" x14ac:dyDescent="0.15">
      <c r="B78" s="106" t="s">
        <v>52</v>
      </c>
      <c r="C78" s="107"/>
      <c r="D78" s="107"/>
      <c r="E78" s="107"/>
      <c r="F78" s="107"/>
      <c r="G78" s="107"/>
      <c r="H78" s="107"/>
      <c r="I78" s="188">
        <v>37000000</v>
      </c>
      <c r="J78" s="189"/>
      <c r="K78" s="189"/>
      <c r="L78" s="190"/>
      <c r="M78" s="188">
        <v>-2200000</v>
      </c>
      <c r="N78" s="189"/>
      <c r="O78" s="189"/>
      <c r="P78" s="190"/>
      <c r="Q78" s="54">
        <f>SUM(I78:P79)</f>
        <v>34800000</v>
      </c>
      <c r="R78" s="55"/>
      <c r="S78" s="55"/>
      <c r="T78" s="70"/>
      <c r="U78" s="106">
        <v>0</v>
      </c>
      <c r="V78" s="107"/>
      <c r="W78" s="108"/>
      <c r="X78" s="106">
        <v>0</v>
      </c>
      <c r="Y78" s="107"/>
      <c r="Z78" s="108"/>
      <c r="AA78" s="106">
        <f>SUM(Q78:Z79)</f>
        <v>34800000</v>
      </c>
      <c r="AB78" s="107"/>
      <c r="AC78" s="107"/>
      <c r="AD78" s="107"/>
      <c r="AE78" s="187">
        <v>34200000</v>
      </c>
      <c r="AF78" s="187"/>
      <c r="AG78" s="187"/>
      <c r="AH78" s="187"/>
      <c r="AI78" s="106">
        <f>AE78-AA78</f>
        <v>-600000</v>
      </c>
      <c r="AJ78" s="107"/>
      <c r="AK78" s="107"/>
      <c r="AL78" s="107"/>
      <c r="AM78" s="114"/>
      <c r="AN78" s="114"/>
      <c r="AO78" s="114"/>
      <c r="AP78" s="114"/>
      <c r="AQ78" s="114"/>
      <c r="AR78" s="114"/>
      <c r="AS78" s="114"/>
      <c r="AT78" s="114"/>
      <c r="AU78" s="114"/>
      <c r="AV78" s="114"/>
      <c r="AW78" s="114"/>
      <c r="AX78" s="114"/>
      <c r="AY78" s="114"/>
      <c r="AZ78" s="114"/>
      <c r="BA78" s="114"/>
    </row>
    <row r="79" spans="2:82" s="21" customFormat="1" ht="18" customHeight="1" x14ac:dyDescent="0.15">
      <c r="B79" s="109"/>
      <c r="C79" s="110"/>
      <c r="D79" s="110"/>
      <c r="E79" s="110"/>
      <c r="F79" s="110"/>
      <c r="G79" s="110"/>
      <c r="H79" s="110"/>
      <c r="I79" s="191"/>
      <c r="J79" s="192"/>
      <c r="K79" s="192"/>
      <c r="L79" s="193"/>
      <c r="M79" s="191"/>
      <c r="N79" s="192"/>
      <c r="O79" s="192"/>
      <c r="P79" s="193"/>
      <c r="Q79" s="56"/>
      <c r="R79" s="57"/>
      <c r="S79" s="57"/>
      <c r="T79" s="71"/>
      <c r="U79" s="109"/>
      <c r="V79" s="110"/>
      <c r="W79" s="111"/>
      <c r="X79" s="109"/>
      <c r="Y79" s="110"/>
      <c r="Z79" s="111"/>
      <c r="AA79" s="109"/>
      <c r="AB79" s="110"/>
      <c r="AC79" s="110"/>
      <c r="AD79" s="110"/>
      <c r="AE79" s="187"/>
      <c r="AF79" s="187"/>
      <c r="AG79" s="187"/>
      <c r="AH79" s="187"/>
      <c r="AI79" s="109"/>
      <c r="AJ79" s="110"/>
      <c r="AK79" s="110"/>
      <c r="AL79" s="110"/>
      <c r="AM79" s="114"/>
      <c r="AN79" s="114"/>
      <c r="AO79" s="114"/>
      <c r="AP79" s="114"/>
      <c r="AQ79" s="114"/>
      <c r="AR79" s="114"/>
      <c r="AS79" s="114"/>
      <c r="AT79" s="114"/>
      <c r="AU79" s="114"/>
      <c r="AV79" s="114"/>
      <c r="AW79" s="114"/>
      <c r="AX79" s="114"/>
      <c r="AY79" s="114"/>
      <c r="AZ79" s="114"/>
      <c r="BA79" s="114"/>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6" t="s">
        <v>13</v>
      </c>
      <c r="C81" s="136"/>
      <c r="D81" s="136"/>
      <c r="E81" s="136"/>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7"/>
      <c r="C82" s="137"/>
      <c r="D82" s="137"/>
      <c r="E82" s="137"/>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41"/>
      <c r="AU82" s="138" t="s">
        <v>47</v>
      </c>
      <c r="AV82" s="138"/>
      <c r="AW82" s="138"/>
      <c r="AX82" s="138"/>
      <c r="AY82" s="138"/>
      <c r="AZ82" s="138"/>
      <c r="BA82" s="138"/>
      <c r="CM82" s="21"/>
    </row>
    <row r="83" spans="2:91" s="21" customFormat="1" ht="13.5" customHeight="1" x14ac:dyDescent="0.15">
      <c r="B83" s="91" t="s">
        <v>2</v>
      </c>
      <c r="C83" s="92"/>
      <c r="D83" s="92"/>
      <c r="E83" s="92"/>
      <c r="F83" s="92"/>
      <c r="G83" s="92"/>
      <c r="H83" s="93"/>
      <c r="I83" s="91" t="s">
        <v>36</v>
      </c>
      <c r="J83" s="92"/>
      <c r="K83" s="92"/>
      <c r="L83" s="92"/>
      <c r="M83" s="92"/>
      <c r="N83" s="92"/>
      <c r="O83" s="92"/>
      <c r="P83" s="92"/>
      <c r="Q83" s="92"/>
      <c r="R83" s="92"/>
      <c r="S83" s="92"/>
      <c r="T83" s="92"/>
      <c r="U83" s="92"/>
      <c r="V83" s="92"/>
      <c r="W83" s="92"/>
      <c r="X83" s="92"/>
      <c r="Y83" s="92"/>
      <c r="Z83" s="92"/>
      <c r="AA83" s="92"/>
      <c r="AB83" s="92"/>
      <c r="AC83" s="92"/>
      <c r="AD83" s="92"/>
      <c r="AE83" s="92"/>
      <c r="AF83" s="91" t="s">
        <v>4</v>
      </c>
      <c r="AG83" s="92"/>
      <c r="AH83" s="92"/>
      <c r="AI83" s="93"/>
      <c r="AJ83" s="100" t="s">
        <v>37</v>
      </c>
      <c r="AK83" s="101"/>
      <c r="AL83" s="101"/>
      <c r="AM83" s="101"/>
      <c r="AN83" s="101"/>
      <c r="AO83" s="102"/>
      <c r="AP83" s="91" t="s">
        <v>17</v>
      </c>
      <c r="AQ83" s="92"/>
      <c r="AR83" s="93"/>
      <c r="AS83" s="91" t="s">
        <v>38</v>
      </c>
      <c r="AT83" s="92"/>
      <c r="AU83" s="92"/>
      <c r="AV83" s="92"/>
      <c r="AW83" s="92"/>
      <c r="AX83" s="92"/>
      <c r="AY83" s="92"/>
      <c r="AZ83" s="92"/>
      <c r="BA83" s="93"/>
    </row>
    <row r="84" spans="2:91" s="21" customFormat="1" ht="13.5" customHeight="1" x14ac:dyDescent="0.15">
      <c r="B84" s="94"/>
      <c r="C84" s="95"/>
      <c r="D84" s="95"/>
      <c r="E84" s="95"/>
      <c r="F84" s="95"/>
      <c r="G84" s="95"/>
      <c r="H84" s="96"/>
      <c r="I84" s="97"/>
      <c r="J84" s="98"/>
      <c r="K84" s="98"/>
      <c r="L84" s="98"/>
      <c r="M84" s="98"/>
      <c r="N84" s="98"/>
      <c r="O84" s="98"/>
      <c r="P84" s="98"/>
      <c r="Q84" s="98"/>
      <c r="R84" s="98"/>
      <c r="S84" s="98"/>
      <c r="T84" s="98"/>
      <c r="U84" s="98"/>
      <c r="V84" s="98"/>
      <c r="W84" s="98"/>
      <c r="X84" s="98"/>
      <c r="Y84" s="98"/>
      <c r="Z84" s="98"/>
      <c r="AA84" s="98"/>
      <c r="AB84" s="98"/>
      <c r="AC84" s="98"/>
      <c r="AD84" s="98"/>
      <c r="AE84" s="98"/>
      <c r="AF84" s="94"/>
      <c r="AG84" s="95"/>
      <c r="AH84" s="95"/>
      <c r="AI84" s="96"/>
      <c r="AJ84" s="103"/>
      <c r="AK84" s="104"/>
      <c r="AL84" s="104"/>
      <c r="AM84" s="104"/>
      <c r="AN84" s="104"/>
      <c r="AO84" s="105"/>
      <c r="AP84" s="94"/>
      <c r="AQ84" s="95"/>
      <c r="AR84" s="96"/>
      <c r="AS84" s="94"/>
      <c r="AT84" s="95"/>
      <c r="AU84" s="95"/>
      <c r="AV84" s="95"/>
      <c r="AW84" s="95"/>
      <c r="AX84" s="95"/>
      <c r="AY84" s="95"/>
      <c r="AZ84" s="95"/>
      <c r="BA84" s="96"/>
    </row>
    <row r="85" spans="2:91" s="21" customFormat="1" ht="13.5" customHeight="1" x14ac:dyDescent="0.15">
      <c r="B85" s="94"/>
      <c r="C85" s="95"/>
      <c r="D85" s="95"/>
      <c r="E85" s="95"/>
      <c r="F85" s="95"/>
      <c r="G85" s="95"/>
      <c r="H85" s="96"/>
      <c r="I85" s="91" t="s">
        <v>19</v>
      </c>
      <c r="J85" s="92"/>
      <c r="K85" s="92"/>
      <c r="L85" s="93"/>
      <c r="M85" s="91" t="s">
        <v>20</v>
      </c>
      <c r="N85" s="92"/>
      <c r="O85" s="92"/>
      <c r="P85" s="93"/>
      <c r="Q85" s="100" t="s">
        <v>39</v>
      </c>
      <c r="R85" s="101"/>
      <c r="S85" s="114" t="s">
        <v>24</v>
      </c>
      <c r="T85" s="114"/>
      <c r="U85" s="114"/>
      <c r="V85" s="114"/>
      <c r="W85" s="116" t="s">
        <v>40</v>
      </c>
      <c r="X85" s="117"/>
      <c r="Y85" s="118"/>
      <c r="Z85" s="125" t="s">
        <v>41</v>
      </c>
      <c r="AA85" s="126"/>
      <c r="AB85" s="114" t="s">
        <v>25</v>
      </c>
      <c r="AC85" s="114"/>
      <c r="AD85" s="114"/>
      <c r="AE85" s="127"/>
      <c r="AF85" s="94"/>
      <c r="AG85" s="95"/>
      <c r="AH85" s="95"/>
      <c r="AI85" s="96"/>
      <c r="AJ85" s="119" t="s">
        <v>42</v>
      </c>
      <c r="AK85" s="121"/>
      <c r="AL85" s="128" t="s">
        <v>50</v>
      </c>
      <c r="AM85" s="129"/>
      <c r="AN85" s="132" t="s">
        <v>43</v>
      </c>
      <c r="AO85" s="133"/>
      <c r="AP85" s="94"/>
      <c r="AQ85" s="95"/>
      <c r="AR85" s="96"/>
      <c r="AS85" s="94"/>
      <c r="AT85" s="95"/>
      <c r="AU85" s="95"/>
      <c r="AV85" s="95"/>
      <c r="AW85" s="95"/>
      <c r="AX85" s="95"/>
      <c r="AY85" s="95"/>
      <c r="AZ85" s="95"/>
      <c r="BA85" s="96"/>
    </row>
    <row r="86" spans="2:91" s="21" customFormat="1" ht="13.5" customHeight="1" x14ac:dyDescent="0.15">
      <c r="B86" s="94"/>
      <c r="C86" s="95"/>
      <c r="D86" s="95"/>
      <c r="E86" s="95"/>
      <c r="F86" s="95"/>
      <c r="G86" s="95"/>
      <c r="H86" s="96"/>
      <c r="I86" s="94"/>
      <c r="J86" s="95"/>
      <c r="K86" s="95"/>
      <c r="L86" s="96"/>
      <c r="M86" s="94"/>
      <c r="N86" s="95"/>
      <c r="O86" s="95"/>
      <c r="P86" s="96"/>
      <c r="Q86" s="112"/>
      <c r="R86" s="113"/>
      <c r="S86" s="114"/>
      <c r="T86" s="114"/>
      <c r="U86" s="114"/>
      <c r="V86" s="114"/>
      <c r="W86" s="119"/>
      <c r="X86" s="120"/>
      <c r="Y86" s="121"/>
      <c r="Z86" s="125"/>
      <c r="AA86" s="126"/>
      <c r="AB86" s="114"/>
      <c r="AC86" s="114"/>
      <c r="AD86" s="114"/>
      <c r="AE86" s="127"/>
      <c r="AF86" s="94"/>
      <c r="AG86" s="95"/>
      <c r="AH86" s="95"/>
      <c r="AI86" s="96"/>
      <c r="AJ86" s="119"/>
      <c r="AK86" s="121"/>
      <c r="AL86" s="128"/>
      <c r="AM86" s="129"/>
      <c r="AN86" s="132"/>
      <c r="AO86" s="133"/>
      <c r="AP86" s="94"/>
      <c r="AQ86" s="95"/>
      <c r="AR86" s="96"/>
      <c r="AS86" s="94"/>
      <c r="AT86" s="95"/>
      <c r="AU86" s="95"/>
      <c r="AV86" s="95"/>
      <c r="AW86" s="95"/>
      <c r="AX86" s="95"/>
      <c r="AY86" s="95"/>
      <c r="AZ86" s="95"/>
      <c r="BA86" s="96"/>
    </row>
    <row r="87" spans="2:91" s="21" customFormat="1" ht="13.5" customHeight="1" x14ac:dyDescent="0.15">
      <c r="B87" s="94"/>
      <c r="C87" s="95"/>
      <c r="D87" s="95"/>
      <c r="E87" s="95"/>
      <c r="F87" s="95"/>
      <c r="G87" s="95"/>
      <c r="H87" s="96"/>
      <c r="I87" s="94"/>
      <c r="J87" s="95"/>
      <c r="K87" s="95"/>
      <c r="L87" s="96"/>
      <c r="M87" s="94"/>
      <c r="N87" s="95"/>
      <c r="O87" s="95"/>
      <c r="P87" s="96"/>
      <c r="Q87" s="112"/>
      <c r="R87" s="113"/>
      <c r="S87" s="114"/>
      <c r="T87" s="114"/>
      <c r="U87" s="114"/>
      <c r="V87" s="114"/>
      <c r="W87" s="119"/>
      <c r="X87" s="120"/>
      <c r="Y87" s="121"/>
      <c r="Z87" s="125"/>
      <c r="AA87" s="126"/>
      <c r="AB87" s="114"/>
      <c r="AC87" s="114"/>
      <c r="AD87" s="114"/>
      <c r="AE87" s="127"/>
      <c r="AF87" s="94"/>
      <c r="AG87" s="95"/>
      <c r="AH87" s="95"/>
      <c r="AI87" s="96"/>
      <c r="AJ87" s="119"/>
      <c r="AK87" s="121"/>
      <c r="AL87" s="128"/>
      <c r="AM87" s="129"/>
      <c r="AN87" s="132"/>
      <c r="AO87" s="133"/>
      <c r="AP87" s="94"/>
      <c r="AQ87" s="95"/>
      <c r="AR87" s="96"/>
      <c r="AS87" s="94"/>
      <c r="AT87" s="95"/>
      <c r="AU87" s="95"/>
      <c r="AV87" s="95"/>
      <c r="AW87" s="95"/>
      <c r="AX87" s="95"/>
      <c r="AY87" s="95"/>
      <c r="AZ87" s="95"/>
      <c r="BA87" s="96"/>
    </row>
    <row r="88" spans="2:91" s="21" customFormat="1" ht="13.5" customHeight="1" x14ac:dyDescent="0.15">
      <c r="B88" s="97"/>
      <c r="C88" s="98"/>
      <c r="D88" s="98"/>
      <c r="E88" s="98"/>
      <c r="F88" s="98"/>
      <c r="G88" s="98"/>
      <c r="H88" s="99"/>
      <c r="I88" s="97"/>
      <c r="J88" s="98"/>
      <c r="K88" s="98"/>
      <c r="L88" s="99"/>
      <c r="M88" s="97"/>
      <c r="N88" s="98"/>
      <c r="O88" s="98"/>
      <c r="P88" s="99"/>
      <c r="Q88" s="103"/>
      <c r="R88" s="104"/>
      <c r="S88" s="114"/>
      <c r="T88" s="114"/>
      <c r="U88" s="114"/>
      <c r="V88" s="114"/>
      <c r="W88" s="122"/>
      <c r="X88" s="123"/>
      <c r="Y88" s="124"/>
      <c r="Z88" s="125"/>
      <c r="AA88" s="126"/>
      <c r="AB88" s="114"/>
      <c r="AC88" s="114"/>
      <c r="AD88" s="114"/>
      <c r="AE88" s="127"/>
      <c r="AF88" s="97"/>
      <c r="AG88" s="98"/>
      <c r="AH88" s="98"/>
      <c r="AI88" s="99"/>
      <c r="AJ88" s="122"/>
      <c r="AK88" s="124"/>
      <c r="AL88" s="130"/>
      <c r="AM88" s="131"/>
      <c r="AN88" s="134"/>
      <c r="AO88" s="135"/>
      <c r="AP88" s="97"/>
      <c r="AQ88" s="98"/>
      <c r="AR88" s="99"/>
      <c r="AS88" s="97"/>
      <c r="AT88" s="98"/>
      <c r="AU88" s="98"/>
      <c r="AV88" s="98"/>
      <c r="AW88" s="98"/>
      <c r="AX88" s="98"/>
      <c r="AY88" s="98"/>
      <c r="AZ88" s="98"/>
      <c r="BA88" s="99"/>
      <c r="BC88" s="21" t="s">
        <v>64</v>
      </c>
      <c r="BK88" s="21" t="s">
        <v>90</v>
      </c>
    </row>
    <row r="89" spans="2:91" s="21" customFormat="1" ht="18" customHeight="1" x14ac:dyDescent="0.15">
      <c r="B89" s="106" t="s">
        <v>44</v>
      </c>
      <c r="C89" s="107"/>
      <c r="D89" s="107"/>
      <c r="E89" s="107"/>
      <c r="F89" s="107"/>
      <c r="G89" s="107"/>
      <c r="H89" s="108"/>
      <c r="I89" s="79">
        <f>SUM(I91:L94)</f>
        <v>131939000</v>
      </c>
      <c r="J89" s="80"/>
      <c r="K89" s="80"/>
      <c r="L89" s="89"/>
      <c r="M89" s="79">
        <f>SUM(M91:P94)</f>
        <v>-8437000</v>
      </c>
      <c r="N89" s="80"/>
      <c r="O89" s="80"/>
      <c r="P89" s="89"/>
      <c r="Q89" s="79">
        <f>SUM(Q91:R94)</f>
        <v>0</v>
      </c>
      <c r="R89" s="80"/>
      <c r="S89" s="72">
        <f>SUM(S91:V94)</f>
        <v>123502000</v>
      </c>
      <c r="T89" s="72"/>
      <c r="U89" s="72"/>
      <c r="V89" s="72"/>
      <c r="W89" s="79">
        <f>SUM(W91:Y94)</f>
        <v>0</v>
      </c>
      <c r="X89" s="80"/>
      <c r="Y89" s="89"/>
      <c r="Z89" s="79">
        <f>SUM(Z91:AA94)</f>
        <v>0</v>
      </c>
      <c r="AA89" s="80"/>
      <c r="AB89" s="72">
        <f>SUM(AB91:AE94)</f>
        <v>123502000</v>
      </c>
      <c r="AC89" s="72"/>
      <c r="AD89" s="72"/>
      <c r="AE89" s="72"/>
      <c r="AF89" s="79">
        <f>SUM(AF91:AI94)</f>
        <v>117045499</v>
      </c>
      <c r="AG89" s="80"/>
      <c r="AH89" s="80"/>
      <c r="AI89" s="80"/>
      <c r="AJ89" s="79">
        <f>SUM(AJ91:AK94)</f>
        <v>0</v>
      </c>
      <c r="AK89" s="89"/>
      <c r="AL89" s="54">
        <f>SUM(AL91:AM94)</f>
        <v>0</v>
      </c>
      <c r="AM89" s="70"/>
      <c r="AN89" s="72">
        <f>SUM(AN91:AO94)</f>
        <v>0</v>
      </c>
      <c r="AO89" s="72"/>
      <c r="AP89" s="79">
        <f>SUM(AP91:AR94)</f>
        <v>6456501</v>
      </c>
      <c r="AQ89" s="80"/>
      <c r="AR89" s="80"/>
      <c r="AS89" s="58"/>
      <c r="AT89" s="59"/>
      <c r="AU89" s="59"/>
      <c r="AV89" s="59"/>
      <c r="AW89" s="59"/>
      <c r="AX89" s="59"/>
      <c r="AY89" s="59"/>
      <c r="AZ89" s="59"/>
      <c r="BA89" s="60"/>
    </row>
    <row r="90" spans="2:91" s="21" customFormat="1" ht="18" customHeight="1" x14ac:dyDescent="0.15">
      <c r="B90" s="109"/>
      <c r="C90" s="110"/>
      <c r="D90" s="110"/>
      <c r="E90" s="110"/>
      <c r="F90" s="110"/>
      <c r="G90" s="110"/>
      <c r="H90" s="111"/>
      <c r="I90" s="81"/>
      <c r="J90" s="82"/>
      <c r="K90" s="82"/>
      <c r="L90" s="90"/>
      <c r="M90" s="81"/>
      <c r="N90" s="82"/>
      <c r="O90" s="82"/>
      <c r="P90" s="90"/>
      <c r="Q90" s="81"/>
      <c r="R90" s="82"/>
      <c r="S90" s="72"/>
      <c r="T90" s="72"/>
      <c r="U90" s="72"/>
      <c r="V90" s="72"/>
      <c r="W90" s="81"/>
      <c r="X90" s="82"/>
      <c r="Y90" s="90"/>
      <c r="Z90" s="81"/>
      <c r="AA90" s="82"/>
      <c r="AB90" s="72"/>
      <c r="AC90" s="72"/>
      <c r="AD90" s="72"/>
      <c r="AE90" s="72"/>
      <c r="AF90" s="81"/>
      <c r="AG90" s="82"/>
      <c r="AH90" s="82"/>
      <c r="AI90" s="82"/>
      <c r="AJ90" s="81"/>
      <c r="AK90" s="90"/>
      <c r="AL90" s="56"/>
      <c r="AM90" s="71"/>
      <c r="AN90" s="72"/>
      <c r="AO90" s="72"/>
      <c r="AP90" s="81"/>
      <c r="AQ90" s="82"/>
      <c r="AR90" s="82"/>
      <c r="AS90" s="61"/>
      <c r="AT90" s="62"/>
      <c r="AU90" s="62"/>
      <c r="AV90" s="62"/>
      <c r="AW90" s="62"/>
      <c r="AX90" s="62"/>
      <c r="AY90" s="62"/>
      <c r="AZ90" s="62"/>
      <c r="BA90" s="63"/>
      <c r="BC90" s="21" t="s">
        <v>76</v>
      </c>
      <c r="BG90" s="21" t="s">
        <v>77</v>
      </c>
    </row>
    <row r="91" spans="2:91" s="21" customFormat="1" ht="18" customHeight="1" x14ac:dyDescent="0.15">
      <c r="B91" s="106" t="s">
        <v>45</v>
      </c>
      <c r="C91" s="107"/>
      <c r="D91" s="107"/>
      <c r="E91" s="107"/>
      <c r="F91" s="107"/>
      <c r="G91" s="107"/>
      <c r="H91" s="108"/>
      <c r="I91" s="177">
        <v>93690000</v>
      </c>
      <c r="J91" s="178"/>
      <c r="K91" s="178"/>
      <c r="L91" s="179"/>
      <c r="M91" s="177">
        <v>-8437000</v>
      </c>
      <c r="N91" s="178"/>
      <c r="O91" s="178"/>
      <c r="P91" s="179"/>
      <c r="Q91" s="79">
        <f>SUM(Q95:R96)</f>
        <v>0</v>
      </c>
      <c r="R91" s="80"/>
      <c r="S91" s="68">
        <f>SUM(I91:R92)</f>
        <v>85253000</v>
      </c>
      <c r="T91" s="68"/>
      <c r="U91" s="68"/>
      <c r="V91" s="68"/>
      <c r="W91" s="68">
        <v>0</v>
      </c>
      <c r="X91" s="68"/>
      <c r="Y91" s="68"/>
      <c r="Z91" s="54">
        <v>0</v>
      </c>
      <c r="AA91" s="55"/>
      <c r="AB91" s="68">
        <f>SUM(S91:AA92)</f>
        <v>85253000</v>
      </c>
      <c r="AC91" s="68"/>
      <c r="AD91" s="68"/>
      <c r="AE91" s="68"/>
      <c r="AF91" s="177">
        <v>78797655</v>
      </c>
      <c r="AG91" s="178"/>
      <c r="AH91" s="178"/>
      <c r="AI91" s="179"/>
      <c r="AJ91" s="183">
        <v>0</v>
      </c>
      <c r="AK91" s="183"/>
      <c r="AL91" s="54">
        <v>0</v>
      </c>
      <c r="AM91" s="70"/>
      <c r="AN91" s="72">
        <f>SUM(AJ91:AM92)</f>
        <v>0</v>
      </c>
      <c r="AO91" s="72"/>
      <c r="AP91" s="54">
        <f>AB91-AF91-AN91</f>
        <v>6455345</v>
      </c>
      <c r="AQ91" s="55"/>
      <c r="AR91" s="55"/>
      <c r="AS91" s="83" t="s">
        <v>62</v>
      </c>
      <c r="AT91" s="84"/>
      <c r="AU91" s="84"/>
      <c r="AV91" s="84"/>
      <c r="AW91" s="84"/>
      <c r="AX91" s="84"/>
      <c r="AY91" s="84"/>
      <c r="AZ91" s="84"/>
      <c r="BA91" s="85"/>
      <c r="BC91" s="21">
        <v>15372000</v>
      </c>
    </row>
    <row r="92" spans="2:91" s="21" customFormat="1" ht="18" customHeight="1" x14ac:dyDescent="0.15">
      <c r="B92" s="109"/>
      <c r="C92" s="110"/>
      <c r="D92" s="110"/>
      <c r="E92" s="110"/>
      <c r="F92" s="110"/>
      <c r="G92" s="110"/>
      <c r="H92" s="111"/>
      <c r="I92" s="180"/>
      <c r="J92" s="181"/>
      <c r="K92" s="181"/>
      <c r="L92" s="182"/>
      <c r="M92" s="180"/>
      <c r="N92" s="181"/>
      <c r="O92" s="181"/>
      <c r="P92" s="182"/>
      <c r="Q92" s="81"/>
      <c r="R92" s="82"/>
      <c r="S92" s="68"/>
      <c r="T92" s="68"/>
      <c r="U92" s="68"/>
      <c r="V92" s="68"/>
      <c r="W92" s="68"/>
      <c r="X92" s="68"/>
      <c r="Y92" s="68"/>
      <c r="Z92" s="56"/>
      <c r="AA92" s="57"/>
      <c r="AB92" s="68"/>
      <c r="AC92" s="68"/>
      <c r="AD92" s="68"/>
      <c r="AE92" s="68"/>
      <c r="AF92" s="180"/>
      <c r="AG92" s="181"/>
      <c r="AH92" s="181"/>
      <c r="AI92" s="182"/>
      <c r="AJ92" s="183"/>
      <c r="AK92" s="183"/>
      <c r="AL92" s="56"/>
      <c r="AM92" s="71"/>
      <c r="AN92" s="72"/>
      <c r="AO92" s="72"/>
      <c r="AP92" s="56"/>
      <c r="AQ92" s="57"/>
      <c r="AR92" s="57"/>
      <c r="AS92" s="184" t="s">
        <v>92</v>
      </c>
      <c r="AT92" s="185"/>
      <c r="AU92" s="185"/>
      <c r="AV92" s="185"/>
      <c r="AW92" s="185"/>
      <c r="AX92" s="185"/>
      <c r="AY92" s="185"/>
      <c r="AZ92" s="185"/>
      <c r="BA92" s="186"/>
      <c r="BC92" s="21">
        <v>7750000</v>
      </c>
    </row>
    <row r="93" spans="2:91" s="21" customFormat="1" ht="18" customHeight="1" x14ac:dyDescent="0.15">
      <c r="B93" s="73" t="s">
        <v>46</v>
      </c>
      <c r="C93" s="74"/>
      <c r="D93" s="74"/>
      <c r="E93" s="74"/>
      <c r="F93" s="74"/>
      <c r="G93" s="74"/>
      <c r="H93" s="75"/>
      <c r="I93" s="177">
        <v>38249000</v>
      </c>
      <c r="J93" s="178"/>
      <c r="K93" s="178"/>
      <c r="L93" s="179"/>
      <c r="M93" s="54">
        <v>0</v>
      </c>
      <c r="N93" s="55"/>
      <c r="O93" s="55"/>
      <c r="P93" s="70"/>
      <c r="Q93" s="79">
        <f>SUM(Q95:R95)</f>
        <v>0</v>
      </c>
      <c r="R93" s="80"/>
      <c r="S93" s="54">
        <f>SUM(I93:R94)</f>
        <v>38249000</v>
      </c>
      <c r="T93" s="55"/>
      <c r="U93" s="55"/>
      <c r="V93" s="70"/>
      <c r="W93" s="68">
        <v>0</v>
      </c>
      <c r="X93" s="68"/>
      <c r="Y93" s="68"/>
      <c r="Z93" s="68">
        <v>0</v>
      </c>
      <c r="AA93" s="69"/>
      <c r="AB93" s="68">
        <f>SUM(S93:AA94)</f>
        <v>38249000</v>
      </c>
      <c r="AC93" s="68"/>
      <c r="AD93" s="68"/>
      <c r="AE93" s="68"/>
      <c r="AF93" s="177">
        <v>38247844</v>
      </c>
      <c r="AG93" s="178"/>
      <c r="AH93" s="178"/>
      <c r="AI93" s="179"/>
      <c r="AJ93" s="183">
        <v>0</v>
      </c>
      <c r="AK93" s="183"/>
      <c r="AL93" s="54">
        <v>0</v>
      </c>
      <c r="AM93" s="70"/>
      <c r="AN93" s="72">
        <f>SUM(AJ93:AM94)</f>
        <v>0</v>
      </c>
      <c r="AO93" s="72"/>
      <c r="AP93" s="54">
        <f>AB93-AF93-AN93</f>
        <v>1156</v>
      </c>
      <c r="AQ93" s="55"/>
      <c r="AR93" s="55"/>
      <c r="AS93" s="58"/>
      <c r="AT93" s="59"/>
      <c r="AU93" s="59"/>
      <c r="AV93" s="59"/>
      <c r="AW93" s="59"/>
      <c r="AX93" s="59"/>
      <c r="AY93" s="59"/>
      <c r="AZ93" s="59"/>
      <c r="BA93" s="60"/>
      <c r="BC93" s="21">
        <v>2475000</v>
      </c>
    </row>
    <row r="94" spans="2:91" s="21" customFormat="1" ht="18" customHeight="1" x14ac:dyDescent="0.15">
      <c r="B94" s="76"/>
      <c r="C94" s="77"/>
      <c r="D94" s="77"/>
      <c r="E94" s="77"/>
      <c r="F94" s="77"/>
      <c r="G94" s="77"/>
      <c r="H94" s="78"/>
      <c r="I94" s="180"/>
      <c r="J94" s="181"/>
      <c r="K94" s="181"/>
      <c r="L94" s="182"/>
      <c r="M94" s="56"/>
      <c r="N94" s="57"/>
      <c r="O94" s="57"/>
      <c r="P94" s="71"/>
      <c r="Q94" s="81"/>
      <c r="R94" s="82"/>
      <c r="S94" s="56"/>
      <c r="T94" s="57"/>
      <c r="U94" s="57"/>
      <c r="V94" s="71"/>
      <c r="W94" s="68"/>
      <c r="X94" s="68"/>
      <c r="Y94" s="68"/>
      <c r="Z94" s="68"/>
      <c r="AA94" s="69"/>
      <c r="AB94" s="68"/>
      <c r="AC94" s="68"/>
      <c r="AD94" s="68"/>
      <c r="AE94" s="68"/>
      <c r="AF94" s="180"/>
      <c r="AG94" s="181"/>
      <c r="AH94" s="181"/>
      <c r="AI94" s="182"/>
      <c r="AJ94" s="183"/>
      <c r="AK94" s="183"/>
      <c r="AL94" s="56"/>
      <c r="AM94" s="71"/>
      <c r="AN94" s="72"/>
      <c r="AO94" s="72"/>
      <c r="AP94" s="56"/>
      <c r="AQ94" s="57"/>
      <c r="AR94" s="57"/>
      <c r="AS94" s="61"/>
      <c r="AT94" s="62"/>
      <c r="AU94" s="62"/>
      <c r="AV94" s="62"/>
      <c r="AW94" s="62"/>
      <c r="AX94" s="62"/>
      <c r="AY94" s="62"/>
      <c r="AZ94" s="62"/>
      <c r="BA94" s="63"/>
      <c r="BC94" s="21">
        <v>1754500</v>
      </c>
    </row>
    <row r="95" spans="2:91" ht="15" customHeight="1" x14ac:dyDescent="0.15">
      <c r="B95" s="64" t="s">
        <v>97</v>
      </c>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C95" s="21">
        <v>4840000</v>
      </c>
      <c r="BG95" s="40">
        <v>81194421</v>
      </c>
    </row>
    <row r="96" spans="2:91" ht="15" customHeight="1" x14ac:dyDescent="0.1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row>
    <row r="97" spans="2:55" ht="15" customHeight="1" x14ac:dyDescent="0.1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C97" s="40" t="s">
        <v>66</v>
      </c>
    </row>
    <row r="98" spans="2:55"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C98" s="40">
        <f>AE72-AF89</f>
        <v>-54156399</v>
      </c>
    </row>
    <row r="99" spans="2:55" s="18" customFormat="1" ht="13.5" customHeight="1" x14ac:dyDescent="0.15"/>
    <row r="100" spans="2:55" s="18" customFormat="1" ht="13.5" customHeight="1" x14ac:dyDescent="0.15"/>
    <row r="101" spans="2:55" s="18" customFormat="1" ht="13.5" customHeight="1" x14ac:dyDescent="0.15"/>
    <row r="102" spans="2:55" s="18" customFormat="1" ht="13.5" customHeight="1" x14ac:dyDescent="0.15">
      <c r="AF102" s="18" t="s">
        <v>91</v>
      </c>
    </row>
    <row r="103" spans="2:55" s="18" customFormat="1" ht="13.5" customHeight="1" x14ac:dyDescent="0.15">
      <c r="AF103" s="67"/>
      <c r="AG103" s="67"/>
      <c r="AH103" s="67"/>
      <c r="AI103" s="67"/>
      <c r="AJ103" s="67"/>
    </row>
    <row r="104" spans="2:55" ht="18" customHeight="1" x14ac:dyDescent="0.15">
      <c r="D104" s="67"/>
      <c r="E104" s="67"/>
      <c r="F104" s="67"/>
      <c r="AF104" s="52"/>
      <c r="AG104" s="52"/>
      <c r="AH104" s="52"/>
      <c r="AI104" s="52"/>
      <c r="AJ104" s="52"/>
    </row>
    <row r="105" spans="2:55" ht="18" customHeight="1" x14ac:dyDescent="0.15">
      <c r="AF105" s="52"/>
      <c r="AG105" s="52"/>
      <c r="AH105" s="52"/>
      <c r="AI105" s="52"/>
      <c r="AJ105" s="52"/>
    </row>
    <row r="106" spans="2:55" ht="18" customHeight="1" x14ac:dyDescent="0.15"/>
    <row r="107" spans="2:55" ht="18" customHeight="1" x14ac:dyDescent="0.15"/>
    <row r="108" spans="2:55" ht="18" customHeight="1" x14ac:dyDescent="0.15"/>
    <row r="109" spans="2:55" ht="18" customHeight="1" x14ac:dyDescent="0.15"/>
    <row r="110" spans="2:55" ht="18" customHeight="1" x14ac:dyDescent="0.15"/>
    <row r="111" spans="2:55" ht="18" customHeight="1" x14ac:dyDescent="0.15"/>
    <row r="112" spans="2:55"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9">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F105:AJ105"/>
    <mergeCell ref="AP93:AR94"/>
    <mergeCell ref="AS93:BA94"/>
    <mergeCell ref="B95:BA97"/>
    <mergeCell ref="AF103:AJ103"/>
    <mergeCell ref="D104:F104"/>
    <mergeCell ref="AF104:AJ104"/>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64BDB428-2BF5-41A6-B54F-DB8BC4B39048}">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CA3D-2546-428F-BC9C-04A37C003E33}">
  <sheetPr>
    <tabColor rgb="FFFF0000"/>
  </sheetPr>
  <dimension ref="B1:CM904"/>
  <sheetViews>
    <sheetView showGridLines="0" showOutlineSymbols="0" view="pageBreakPreview" topLeftCell="A84" zoomScale="89" zoomScaleNormal="89" zoomScaleSheetLayoutView="89" workbookViewId="0">
      <selection activeCell="AJ91" sqref="AJ91:AK92"/>
    </sheetView>
  </sheetViews>
  <sheetFormatPr defaultRowHeight="13.5" x14ac:dyDescent="0.15"/>
  <cols>
    <col min="1" max="1" width="2.625" style="36" customWidth="1"/>
    <col min="2" max="15" width="3.125" style="36" customWidth="1"/>
    <col min="16" max="16" width="4.25" style="36" customWidth="1"/>
    <col min="17" max="37" width="3.125" style="36" customWidth="1"/>
    <col min="38" max="38" width="4.625" style="36" customWidth="1"/>
    <col min="39" max="42" width="3.125" style="36" customWidth="1"/>
    <col min="43" max="43" width="3.5" style="36" customWidth="1"/>
    <col min="44" max="53" width="3.125" style="36" customWidth="1"/>
    <col min="54" max="54" width="5.625" style="36" customWidth="1"/>
    <col min="55" max="55" width="15.25" style="36" customWidth="1"/>
    <col min="56" max="58" width="2.625" style="36" customWidth="1"/>
    <col min="59" max="59" width="11.625" style="36" bestFit="1" customWidth="1"/>
    <col min="60" max="100" width="2.625" style="36" customWidth="1"/>
    <col min="101" max="260" width="9" style="36"/>
    <col min="261" max="275" width="3.125" style="36" customWidth="1"/>
    <col min="276" max="276" width="5.5" style="36" customWidth="1"/>
    <col min="277" max="277" width="5.625" style="36" customWidth="1"/>
    <col min="278" max="293" width="3.125" style="36" customWidth="1"/>
    <col min="294" max="294" width="5.375" style="36" customWidth="1"/>
    <col min="295" max="296" width="3.125" style="36" customWidth="1"/>
    <col min="297" max="297" width="4.625" style="36" customWidth="1"/>
    <col min="298" max="298" width="3.5" style="36" customWidth="1"/>
    <col min="299" max="309" width="3.125" style="36" customWidth="1"/>
    <col min="310" max="311" width="5.625" style="36" customWidth="1"/>
    <col min="312" max="356" width="2.625" style="36" customWidth="1"/>
    <col min="357" max="516" width="9" style="36"/>
    <col min="517" max="531" width="3.125" style="36" customWidth="1"/>
    <col min="532" max="532" width="5.5" style="36" customWidth="1"/>
    <col min="533" max="533" width="5.625" style="36" customWidth="1"/>
    <col min="534" max="549" width="3.125" style="36" customWidth="1"/>
    <col min="550" max="550" width="5.375" style="36" customWidth="1"/>
    <col min="551" max="552" width="3.125" style="36" customWidth="1"/>
    <col min="553" max="553" width="4.625" style="36" customWidth="1"/>
    <col min="554" max="554" width="3.5" style="36" customWidth="1"/>
    <col min="555" max="565" width="3.125" style="36" customWidth="1"/>
    <col min="566" max="567" width="5.625" style="36" customWidth="1"/>
    <col min="568" max="612" width="2.625" style="36" customWidth="1"/>
    <col min="613" max="772" width="9" style="36"/>
    <col min="773" max="787" width="3.125" style="36" customWidth="1"/>
    <col min="788" max="788" width="5.5" style="36" customWidth="1"/>
    <col min="789" max="789" width="5.625" style="36" customWidth="1"/>
    <col min="790" max="805" width="3.125" style="36" customWidth="1"/>
    <col min="806" max="806" width="5.375" style="36" customWidth="1"/>
    <col min="807" max="808" width="3.125" style="36" customWidth="1"/>
    <col min="809" max="809" width="4.625" style="36" customWidth="1"/>
    <col min="810" max="810" width="3.5" style="36" customWidth="1"/>
    <col min="811" max="821" width="3.125" style="36" customWidth="1"/>
    <col min="822" max="823" width="5.625" style="36" customWidth="1"/>
    <col min="824" max="868" width="2.625" style="36" customWidth="1"/>
    <col min="869" max="1028" width="9" style="36"/>
    <col min="1029" max="1043" width="3.125" style="36" customWidth="1"/>
    <col min="1044" max="1044" width="5.5" style="36" customWidth="1"/>
    <col min="1045" max="1045" width="5.625" style="36" customWidth="1"/>
    <col min="1046" max="1061" width="3.125" style="36" customWidth="1"/>
    <col min="1062" max="1062" width="5.375" style="36" customWidth="1"/>
    <col min="1063" max="1064" width="3.125" style="36" customWidth="1"/>
    <col min="1065" max="1065" width="4.625" style="36" customWidth="1"/>
    <col min="1066" max="1066" width="3.5" style="36" customWidth="1"/>
    <col min="1067" max="1077" width="3.125" style="36" customWidth="1"/>
    <col min="1078" max="1079" width="5.625" style="36" customWidth="1"/>
    <col min="1080" max="1124" width="2.625" style="36" customWidth="1"/>
    <col min="1125" max="1284" width="9" style="36"/>
    <col min="1285" max="1299" width="3.125" style="36" customWidth="1"/>
    <col min="1300" max="1300" width="5.5" style="36" customWidth="1"/>
    <col min="1301" max="1301" width="5.625" style="36" customWidth="1"/>
    <col min="1302" max="1317" width="3.125" style="36" customWidth="1"/>
    <col min="1318" max="1318" width="5.375" style="36" customWidth="1"/>
    <col min="1319" max="1320" width="3.125" style="36" customWidth="1"/>
    <col min="1321" max="1321" width="4.625" style="36" customWidth="1"/>
    <col min="1322" max="1322" width="3.5" style="36" customWidth="1"/>
    <col min="1323" max="1333" width="3.125" style="36" customWidth="1"/>
    <col min="1334" max="1335" width="5.625" style="36" customWidth="1"/>
    <col min="1336" max="1380" width="2.625" style="36" customWidth="1"/>
    <col min="1381" max="1540" width="9" style="36"/>
    <col min="1541" max="1555" width="3.125" style="36" customWidth="1"/>
    <col min="1556" max="1556" width="5.5" style="36" customWidth="1"/>
    <col min="1557" max="1557" width="5.625" style="36" customWidth="1"/>
    <col min="1558" max="1573" width="3.125" style="36" customWidth="1"/>
    <col min="1574" max="1574" width="5.375" style="36" customWidth="1"/>
    <col min="1575" max="1576" width="3.125" style="36" customWidth="1"/>
    <col min="1577" max="1577" width="4.625" style="36" customWidth="1"/>
    <col min="1578" max="1578" width="3.5" style="36" customWidth="1"/>
    <col min="1579" max="1589" width="3.125" style="36" customWidth="1"/>
    <col min="1590" max="1591" width="5.625" style="36" customWidth="1"/>
    <col min="1592" max="1636" width="2.625" style="36" customWidth="1"/>
    <col min="1637" max="1796" width="9" style="36"/>
    <col min="1797" max="1811" width="3.125" style="36" customWidth="1"/>
    <col min="1812" max="1812" width="5.5" style="36" customWidth="1"/>
    <col min="1813" max="1813" width="5.625" style="36" customWidth="1"/>
    <col min="1814" max="1829" width="3.125" style="36" customWidth="1"/>
    <col min="1830" max="1830" width="5.375" style="36" customWidth="1"/>
    <col min="1831" max="1832" width="3.125" style="36" customWidth="1"/>
    <col min="1833" max="1833" width="4.625" style="36" customWidth="1"/>
    <col min="1834" max="1834" width="3.5" style="36" customWidth="1"/>
    <col min="1835" max="1845" width="3.125" style="36" customWidth="1"/>
    <col min="1846" max="1847" width="5.625" style="36" customWidth="1"/>
    <col min="1848" max="1892" width="2.625" style="36" customWidth="1"/>
    <col min="1893" max="2052" width="9" style="36"/>
    <col min="2053" max="2067" width="3.125" style="36" customWidth="1"/>
    <col min="2068" max="2068" width="5.5" style="36" customWidth="1"/>
    <col min="2069" max="2069" width="5.625" style="36" customWidth="1"/>
    <col min="2070" max="2085" width="3.125" style="36" customWidth="1"/>
    <col min="2086" max="2086" width="5.375" style="36" customWidth="1"/>
    <col min="2087" max="2088" width="3.125" style="36" customWidth="1"/>
    <col min="2089" max="2089" width="4.625" style="36" customWidth="1"/>
    <col min="2090" max="2090" width="3.5" style="36" customWidth="1"/>
    <col min="2091" max="2101" width="3.125" style="36" customWidth="1"/>
    <col min="2102" max="2103" width="5.625" style="36" customWidth="1"/>
    <col min="2104" max="2148" width="2.625" style="36" customWidth="1"/>
    <col min="2149" max="2308" width="9" style="36"/>
    <col min="2309" max="2323" width="3.125" style="36" customWidth="1"/>
    <col min="2324" max="2324" width="5.5" style="36" customWidth="1"/>
    <col min="2325" max="2325" width="5.625" style="36" customWidth="1"/>
    <col min="2326" max="2341" width="3.125" style="36" customWidth="1"/>
    <col min="2342" max="2342" width="5.375" style="36" customWidth="1"/>
    <col min="2343" max="2344" width="3.125" style="36" customWidth="1"/>
    <col min="2345" max="2345" width="4.625" style="36" customWidth="1"/>
    <col min="2346" max="2346" width="3.5" style="36" customWidth="1"/>
    <col min="2347" max="2357" width="3.125" style="36" customWidth="1"/>
    <col min="2358" max="2359" width="5.625" style="36" customWidth="1"/>
    <col min="2360" max="2404" width="2.625" style="36" customWidth="1"/>
    <col min="2405" max="2564" width="9" style="36"/>
    <col min="2565" max="2579" width="3.125" style="36" customWidth="1"/>
    <col min="2580" max="2580" width="5.5" style="36" customWidth="1"/>
    <col min="2581" max="2581" width="5.625" style="36" customWidth="1"/>
    <col min="2582" max="2597" width="3.125" style="36" customWidth="1"/>
    <col min="2598" max="2598" width="5.375" style="36" customWidth="1"/>
    <col min="2599" max="2600" width="3.125" style="36" customWidth="1"/>
    <col min="2601" max="2601" width="4.625" style="36" customWidth="1"/>
    <col min="2602" max="2602" width="3.5" style="36" customWidth="1"/>
    <col min="2603" max="2613" width="3.125" style="36" customWidth="1"/>
    <col min="2614" max="2615" width="5.625" style="36" customWidth="1"/>
    <col min="2616" max="2660" width="2.625" style="36" customWidth="1"/>
    <col min="2661" max="2820" width="9" style="36"/>
    <col min="2821" max="2835" width="3.125" style="36" customWidth="1"/>
    <col min="2836" max="2836" width="5.5" style="36" customWidth="1"/>
    <col min="2837" max="2837" width="5.625" style="36" customWidth="1"/>
    <col min="2838" max="2853" width="3.125" style="36" customWidth="1"/>
    <col min="2854" max="2854" width="5.375" style="36" customWidth="1"/>
    <col min="2855" max="2856" width="3.125" style="36" customWidth="1"/>
    <col min="2857" max="2857" width="4.625" style="36" customWidth="1"/>
    <col min="2858" max="2858" width="3.5" style="36" customWidth="1"/>
    <col min="2859" max="2869" width="3.125" style="36" customWidth="1"/>
    <col min="2870" max="2871" width="5.625" style="36" customWidth="1"/>
    <col min="2872" max="2916" width="2.625" style="36" customWidth="1"/>
    <col min="2917" max="3076" width="9" style="36"/>
    <col min="3077" max="3091" width="3.125" style="36" customWidth="1"/>
    <col min="3092" max="3092" width="5.5" style="36" customWidth="1"/>
    <col min="3093" max="3093" width="5.625" style="36" customWidth="1"/>
    <col min="3094" max="3109" width="3.125" style="36" customWidth="1"/>
    <col min="3110" max="3110" width="5.375" style="36" customWidth="1"/>
    <col min="3111" max="3112" width="3.125" style="36" customWidth="1"/>
    <col min="3113" max="3113" width="4.625" style="36" customWidth="1"/>
    <col min="3114" max="3114" width="3.5" style="36" customWidth="1"/>
    <col min="3115" max="3125" width="3.125" style="36" customWidth="1"/>
    <col min="3126" max="3127" width="5.625" style="36" customWidth="1"/>
    <col min="3128" max="3172" width="2.625" style="36" customWidth="1"/>
    <col min="3173" max="3332" width="9" style="36"/>
    <col min="3333" max="3347" width="3.125" style="36" customWidth="1"/>
    <col min="3348" max="3348" width="5.5" style="36" customWidth="1"/>
    <col min="3349" max="3349" width="5.625" style="36" customWidth="1"/>
    <col min="3350" max="3365" width="3.125" style="36" customWidth="1"/>
    <col min="3366" max="3366" width="5.375" style="36" customWidth="1"/>
    <col min="3367" max="3368" width="3.125" style="36" customWidth="1"/>
    <col min="3369" max="3369" width="4.625" style="36" customWidth="1"/>
    <col min="3370" max="3370" width="3.5" style="36" customWidth="1"/>
    <col min="3371" max="3381" width="3.125" style="36" customWidth="1"/>
    <col min="3382" max="3383" width="5.625" style="36" customWidth="1"/>
    <col min="3384" max="3428" width="2.625" style="36" customWidth="1"/>
    <col min="3429" max="3588" width="9" style="36"/>
    <col min="3589" max="3603" width="3.125" style="36" customWidth="1"/>
    <col min="3604" max="3604" width="5.5" style="36" customWidth="1"/>
    <col min="3605" max="3605" width="5.625" style="36" customWidth="1"/>
    <col min="3606" max="3621" width="3.125" style="36" customWidth="1"/>
    <col min="3622" max="3622" width="5.375" style="36" customWidth="1"/>
    <col min="3623" max="3624" width="3.125" style="36" customWidth="1"/>
    <col min="3625" max="3625" width="4.625" style="36" customWidth="1"/>
    <col min="3626" max="3626" width="3.5" style="36" customWidth="1"/>
    <col min="3627" max="3637" width="3.125" style="36" customWidth="1"/>
    <col min="3638" max="3639" width="5.625" style="36" customWidth="1"/>
    <col min="3640" max="3684" width="2.625" style="36" customWidth="1"/>
    <col min="3685" max="3844" width="9" style="36"/>
    <col min="3845" max="3859" width="3.125" style="36" customWidth="1"/>
    <col min="3860" max="3860" width="5.5" style="36" customWidth="1"/>
    <col min="3861" max="3861" width="5.625" style="36" customWidth="1"/>
    <col min="3862" max="3877" width="3.125" style="36" customWidth="1"/>
    <col min="3878" max="3878" width="5.375" style="36" customWidth="1"/>
    <col min="3879" max="3880" width="3.125" style="36" customWidth="1"/>
    <col min="3881" max="3881" width="4.625" style="36" customWidth="1"/>
    <col min="3882" max="3882" width="3.5" style="36" customWidth="1"/>
    <col min="3883" max="3893" width="3.125" style="36" customWidth="1"/>
    <col min="3894" max="3895" width="5.625" style="36" customWidth="1"/>
    <col min="3896" max="3940" width="2.625" style="36" customWidth="1"/>
    <col min="3941" max="4100" width="9" style="36"/>
    <col min="4101" max="4115" width="3.125" style="36" customWidth="1"/>
    <col min="4116" max="4116" width="5.5" style="36" customWidth="1"/>
    <col min="4117" max="4117" width="5.625" style="36" customWidth="1"/>
    <col min="4118" max="4133" width="3.125" style="36" customWidth="1"/>
    <col min="4134" max="4134" width="5.375" style="36" customWidth="1"/>
    <col min="4135" max="4136" width="3.125" style="36" customWidth="1"/>
    <col min="4137" max="4137" width="4.625" style="36" customWidth="1"/>
    <col min="4138" max="4138" width="3.5" style="36" customWidth="1"/>
    <col min="4139" max="4149" width="3.125" style="36" customWidth="1"/>
    <col min="4150" max="4151" width="5.625" style="36" customWidth="1"/>
    <col min="4152" max="4196" width="2.625" style="36" customWidth="1"/>
    <col min="4197" max="4356" width="9" style="36"/>
    <col min="4357" max="4371" width="3.125" style="36" customWidth="1"/>
    <col min="4372" max="4372" width="5.5" style="36" customWidth="1"/>
    <col min="4373" max="4373" width="5.625" style="36" customWidth="1"/>
    <col min="4374" max="4389" width="3.125" style="36" customWidth="1"/>
    <col min="4390" max="4390" width="5.375" style="36" customWidth="1"/>
    <col min="4391" max="4392" width="3.125" style="36" customWidth="1"/>
    <col min="4393" max="4393" width="4.625" style="36" customWidth="1"/>
    <col min="4394" max="4394" width="3.5" style="36" customWidth="1"/>
    <col min="4395" max="4405" width="3.125" style="36" customWidth="1"/>
    <col min="4406" max="4407" width="5.625" style="36" customWidth="1"/>
    <col min="4408" max="4452" width="2.625" style="36" customWidth="1"/>
    <col min="4453" max="4612" width="9" style="36"/>
    <col min="4613" max="4627" width="3.125" style="36" customWidth="1"/>
    <col min="4628" max="4628" width="5.5" style="36" customWidth="1"/>
    <col min="4629" max="4629" width="5.625" style="36" customWidth="1"/>
    <col min="4630" max="4645" width="3.125" style="36" customWidth="1"/>
    <col min="4646" max="4646" width="5.375" style="36" customWidth="1"/>
    <col min="4647" max="4648" width="3.125" style="36" customWidth="1"/>
    <col min="4649" max="4649" width="4.625" style="36" customWidth="1"/>
    <col min="4650" max="4650" width="3.5" style="36" customWidth="1"/>
    <col min="4651" max="4661" width="3.125" style="36" customWidth="1"/>
    <col min="4662" max="4663" width="5.625" style="36" customWidth="1"/>
    <col min="4664" max="4708" width="2.625" style="36" customWidth="1"/>
    <col min="4709" max="4868" width="9" style="36"/>
    <col min="4869" max="4883" width="3.125" style="36" customWidth="1"/>
    <col min="4884" max="4884" width="5.5" style="36" customWidth="1"/>
    <col min="4885" max="4885" width="5.625" style="36" customWidth="1"/>
    <col min="4886" max="4901" width="3.125" style="36" customWidth="1"/>
    <col min="4902" max="4902" width="5.375" style="36" customWidth="1"/>
    <col min="4903" max="4904" width="3.125" style="36" customWidth="1"/>
    <col min="4905" max="4905" width="4.625" style="36" customWidth="1"/>
    <col min="4906" max="4906" width="3.5" style="36" customWidth="1"/>
    <col min="4907" max="4917" width="3.125" style="36" customWidth="1"/>
    <col min="4918" max="4919" width="5.625" style="36" customWidth="1"/>
    <col min="4920" max="4964" width="2.625" style="36" customWidth="1"/>
    <col min="4965" max="5124" width="9" style="36"/>
    <col min="5125" max="5139" width="3.125" style="36" customWidth="1"/>
    <col min="5140" max="5140" width="5.5" style="36" customWidth="1"/>
    <col min="5141" max="5141" width="5.625" style="36" customWidth="1"/>
    <col min="5142" max="5157" width="3.125" style="36" customWidth="1"/>
    <col min="5158" max="5158" width="5.375" style="36" customWidth="1"/>
    <col min="5159" max="5160" width="3.125" style="36" customWidth="1"/>
    <col min="5161" max="5161" width="4.625" style="36" customWidth="1"/>
    <col min="5162" max="5162" width="3.5" style="36" customWidth="1"/>
    <col min="5163" max="5173" width="3.125" style="36" customWidth="1"/>
    <col min="5174" max="5175" width="5.625" style="36" customWidth="1"/>
    <col min="5176" max="5220" width="2.625" style="36" customWidth="1"/>
    <col min="5221" max="5380" width="9" style="36"/>
    <col min="5381" max="5395" width="3.125" style="36" customWidth="1"/>
    <col min="5396" max="5396" width="5.5" style="36" customWidth="1"/>
    <col min="5397" max="5397" width="5.625" style="36" customWidth="1"/>
    <col min="5398" max="5413" width="3.125" style="36" customWidth="1"/>
    <col min="5414" max="5414" width="5.375" style="36" customWidth="1"/>
    <col min="5415" max="5416" width="3.125" style="36" customWidth="1"/>
    <col min="5417" max="5417" width="4.625" style="36" customWidth="1"/>
    <col min="5418" max="5418" width="3.5" style="36" customWidth="1"/>
    <col min="5419" max="5429" width="3.125" style="36" customWidth="1"/>
    <col min="5430" max="5431" width="5.625" style="36" customWidth="1"/>
    <col min="5432" max="5476" width="2.625" style="36" customWidth="1"/>
    <col min="5477" max="5636" width="9" style="36"/>
    <col min="5637" max="5651" width="3.125" style="36" customWidth="1"/>
    <col min="5652" max="5652" width="5.5" style="36" customWidth="1"/>
    <col min="5653" max="5653" width="5.625" style="36" customWidth="1"/>
    <col min="5654" max="5669" width="3.125" style="36" customWidth="1"/>
    <col min="5670" max="5670" width="5.375" style="36" customWidth="1"/>
    <col min="5671" max="5672" width="3.125" style="36" customWidth="1"/>
    <col min="5673" max="5673" width="4.625" style="36" customWidth="1"/>
    <col min="5674" max="5674" width="3.5" style="36" customWidth="1"/>
    <col min="5675" max="5685" width="3.125" style="36" customWidth="1"/>
    <col min="5686" max="5687" width="5.625" style="36" customWidth="1"/>
    <col min="5688" max="5732" width="2.625" style="36" customWidth="1"/>
    <col min="5733" max="5892" width="9" style="36"/>
    <col min="5893" max="5907" width="3.125" style="36" customWidth="1"/>
    <col min="5908" max="5908" width="5.5" style="36" customWidth="1"/>
    <col min="5909" max="5909" width="5.625" style="36" customWidth="1"/>
    <col min="5910" max="5925" width="3.125" style="36" customWidth="1"/>
    <col min="5926" max="5926" width="5.375" style="36" customWidth="1"/>
    <col min="5927" max="5928" width="3.125" style="36" customWidth="1"/>
    <col min="5929" max="5929" width="4.625" style="36" customWidth="1"/>
    <col min="5930" max="5930" width="3.5" style="36" customWidth="1"/>
    <col min="5931" max="5941" width="3.125" style="36" customWidth="1"/>
    <col min="5942" max="5943" width="5.625" style="36" customWidth="1"/>
    <col min="5944" max="5988" width="2.625" style="36" customWidth="1"/>
    <col min="5989" max="6148" width="9" style="36"/>
    <col min="6149" max="6163" width="3.125" style="36" customWidth="1"/>
    <col min="6164" max="6164" width="5.5" style="36" customWidth="1"/>
    <col min="6165" max="6165" width="5.625" style="36" customWidth="1"/>
    <col min="6166" max="6181" width="3.125" style="36" customWidth="1"/>
    <col min="6182" max="6182" width="5.375" style="36" customWidth="1"/>
    <col min="6183" max="6184" width="3.125" style="36" customWidth="1"/>
    <col min="6185" max="6185" width="4.625" style="36" customWidth="1"/>
    <col min="6186" max="6186" width="3.5" style="36" customWidth="1"/>
    <col min="6187" max="6197" width="3.125" style="36" customWidth="1"/>
    <col min="6198" max="6199" width="5.625" style="36" customWidth="1"/>
    <col min="6200" max="6244" width="2.625" style="36" customWidth="1"/>
    <col min="6245" max="6404" width="9" style="36"/>
    <col min="6405" max="6419" width="3.125" style="36" customWidth="1"/>
    <col min="6420" max="6420" width="5.5" style="36" customWidth="1"/>
    <col min="6421" max="6421" width="5.625" style="36" customWidth="1"/>
    <col min="6422" max="6437" width="3.125" style="36" customWidth="1"/>
    <col min="6438" max="6438" width="5.375" style="36" customWidth="1"/>
    <col min="6439" max="6440" width="3.125" style="36" customWidth="1"/>
    <col min="6441" max="6441" width="4.625" style="36" customWidth="1"/>
    <col min="6442" max="6442" width="3.5" style="36" customWidth="1"/>
    <col min="6443" max="6453" width="3.125" style="36" customWidth="1"/>
    <col min="6454" max="6455" width="5.625" style="36" customWidth="1"/>
    <col min="6456" max="6500" width="2.625" style="36" customWidth="1"/>
    <col min="6501" max="6660" width="9" style="36"/>
    <col min="6661" max="6675" width="3.125" style="36" customWidth="1"/>
    <col min="6676" max="6676" width="5.5" style="36" customWidth="1"/>
    <col min="6677" max="6677" width="5.625" style="36" customWidth="1"/>
    <col min="6678" max="6693" width="3.125" style="36" customWidth="1"/>
    <col min="6694" max="6694" width="5.375" style="36" customWidth="1"/>
    <col min="6695" max="6696" width="3.125" style="36" customWidth="1"/>
    <col min="6697" max="6697" width="4.625" style="36" customWidth="1"/>
    <col min="6698" max="6698" width="3.5" style="36" customWidth="1"/>
    <col min="6699" max="6709" width="3.125" style="36" customWidth="1"/>
    <col min="6710" max="6711" width="5.625" style="36" customWidth="1"/>
    <col min="6712" max="6756" width="2.625" style="36" customWidth="1"/>
    <col min="6757" max="6916" width="9" style="36"/>
    <col min="6917" max="6931" width="3.125" style="36" customWidth="1"/>
    <col min="6932" max="6932" width="5.5" style="36" customWidth="1"/>
    <col min="6933" max="6933" width="5.625" style="36" customWidth="1"/>
    <col min="6934" max="6949" width="3.125" style="36" customWidth="1"/>
    <col min="6950" max="6950" width="5.375" style="36" customWidth="1"/>
    <col min="6951" max="6952" width="3.125" style="36" customWidth="1"/>
    <col min="6953" max="6953" width="4.625" style="36" customWidth="1"/>
    <col min="6954" max="6954" width="3.5" style="36" customWidth="1"/>
    <col min="6955" max="6965" width="3.125" style="36" customWidth="1"/>
    <col min="6966" max="6967" width="5.625" style="36" customWidth="1"/>
    <col min="6968" max="7012" width="2.625" style="36" customWidth="1"/>
    <col min="7013" max="7172" width="9" style="36"/>
    <col min="7173" max="7187" width="3.125" style="36" customWidth="1"/>
    <col min="7188" max="7188" width="5.5" style="36" customWidth="1"/>
    <col min="7189" max="7189" width="5.625" style="36" customWidth="1"/>
    <col min="7190" max="7205" width="3.125" style="36" customWidth="1"/>
    <col min="7206" max="7206" width="5.375" style="36" customWidth="1"/>
    <col min="7207" max="7208" width="3.125" style="36" customWidth="1"/>
    <col min="7209" max="7209" width="4.625" style="36" customWidth="1"/>
    <col min="7210" max="7210" width="3.5" style="36" customWidth="1"/>
    <col min="7211" max="7221" width="3.125" style="36" customWidth="1"/>
    <col min="7222" max="7223" width="5.625" style="36" customWidth="1"/>
    <col min="7224" max="7268" width="2.625" style="36" customWidth="1"/>
    <col min="7269" max="7428" width="9" style="36"/>
    <col min="7429" max="7443" width="3.125" style="36" customWidth="1"/>
    <col min="7444" max="7444" width="5.5" style="36" customWidth="1"/>
    <col min="7445" max="7445" width="5.625" style="36" customWidth="1"/>
    <col min="7446" max="7461" width="3.125" style="36" customWidth="1"/>
    <col min="7462" max="7462" width="5.375" style="36" customWidth="1"/>
    <col min="7463" max="7464" width="3.125" style="36" customWidth="1"/>
    <col min="7465" max="7465" width="4.625" style="36" customWidth="1"/>
    <col min="7466" max="7466" width="3.5" style="36" customWidth="1"/>
    <col min="7467" max="7477" width="3.125" style="36" customWidth="1"/>
    <col min="7478" max="7479" width="5.625" style="36" customWidth="1"/>
    <col min="7480" max="7524" width="2.625" style="36" customWidth="1"/>
    <col min="7525" max="7684" width="9" style="36"/>
    <col min="7685" max="7699" width="3.125" style="36" customWidth="1"/>
    <col min="7700" max="7700" width="5.5" style="36" customWidth="1"/>
    <col min="7701" max="7701" width="5.625" style="36" customWidth="1"/>
    <col min="7702" max="7717" width="3.125" style="36" customWidth="1"/>
    <col min="7718" max="7718" width="5.375" style="36" customWidth="1"/>
    <col min="7719" max="7720" width="3.125" style="36" customWidth="1"/>
    <col min="7721" max="7721" width="4.625" style="36" customWidth="1"/>
    <col min="7722" max="7722" width="3.5" style="36" customWidth="1"/>
    <col min="7723" max="7733" width="3.125" style="36" customWidth="1"/>
    <col min="7734" max="7735" width="5.625" style="36" customWidth="1"/>
    <col min="7736" max="7780" width="2.625" style="36" customWidth="1"/>
    <col min="7781" max="7940" width="9" style="36"/>
    <col min="7941" max="7955" width="3.125" style="36" customWidth="1"/>
    <col min="7956" max="7956" width="5.5" style="36" customWidth="1"/>
    <col min="7957" max="7957" width="5.625" style="36" customWidth="1"/>
    <col min="7958" max="7973" width="3.125" style="36" customWidth="1"/>
    <col min="7974" max="7974" width="5.375" style="36" customWidth="1"/>
    <col min="7975" max="7976" width="3.125" style="36" customWidth="1"/>
    <col min="7977" max="7977" width="4.625" style="36" customWidth="1"/>
    <col min="7978" max="7978" width="3.5" style="36" customWidth="1"/>
    <col min="7979" max="7989" width="3.125" style="36" customWidth="1"/>
    <col min="7990" max="7991" width="5.625" style="36" customWidth="1"/>
    <col min="7992" max="8036" width="2.625" style="36" customWidth="1"/>
    <col min="8037" max="8196" width="9" style="36"/>
    <col min="8197" max="8211" width="3.125" style="36" customWidth="1"/>
    <col min="8212" max="8212" width="5.5" style="36" customWidth="1"/>
    <col min="8213" max="8213" width="5.625" style="36" customWidth="1"/>
    <col min="8214" max="8229" width="3.125" style="36" customWidth="1"/>
    <col min="8230" max="8230" width="5.375" style="36" customWidth="1"/>
    <col min="8231" max="8232" width="3.125" style="36" customWidth="1"/>
    <col min="8233" max="8233" width="4.625" style="36" customWidth="1"/>
    <col min="8234" max="8234" width="3.5" style="36" customWidth="1"/>
    <col min="8235" max="8245" width="3.125" style="36" customWidth="1"/>
    <col min="8246" max="8247" width="5.625" style="36" customWidth="1"/>
    <col min="8248" max="8292" width="2.625" style="36" customWidth="1"/>
    <col min="8293" max="8452" width="9" style="36"/>
    <col min="8453" max="8467" width="3.125" style="36" customWidth="1"/>
    <col min="8468" max="8468" width="5.5" style="36" customWidth="1"/>
    <col min="8469" max="8469" width="5.625" style="36" customWidth="1"/>
    <col min="8470" max="8485" width="3.125" style="36" customWidth="1"/>
    <col min="8486" max="8486" width="5.375" style="36" customWidth="1"/>
    <col min="8487" max="8488" width="3.125" style="36" customWidth="1"/>
    <col min="8489" max="8489" width="4.625" style="36" customWidth="1"/>
    <col min="8490" max="8490" width="3.5" style="36" customWidth="1"/>
    <col min="8491" max="8501" width="3.125" style="36" customWidth="1"/>
    <col min="8502" max="8503" width="5.625" style="36" customWidth="1"/>
    <col min="8504" max="8548" width="2.625" style="36" customWidth="1"/>
    <col min="8549" max="8708" width="9" style="36"/>
    <col min="8709" max="8723" width="3.125" style="36" customWidth="1"/>
    <col min="8724" max="8724" width="5.5" style="36" customWidth="1"/>
    <col min="8725" max="8725" width="5.625" style="36" customWidth="1"/>
    <col min="8726" max="8741" width="3.125" style="36" customWidth="1"/>
    <col min="8742" max="8742" width="5.375" style="36" customWidth="1"/>
    <col min="8743" max="8744" width="3.125" style="36" customWidth="1"/>
    <col min="8745" max="8745" width="4.625" style="36" customWidth="1"/>
    <col min="8746" max="8746" width="3.5" style="36" customWidth="1"/>
    <col min="8747" max="8757" width="3.125" style="36" customWidth="1"/>
    <col min="8758" max="8759" width="5.625" style="36" customWidth="1"/>
    <col min="8760" max="8804" width="2.625" style="36" customWidth="1"/>
    <col min="8805" max="8964" width="9" style="36"/>
    <col min="8965" max="8979" width="3.125" style="36" customWidth="1"/>
    <col min="8980" max="8980" width="5.5" style="36" customWidth="1"/>
    <col min="8981" max="8981" width="5.625" style="36" customWidth="1"/>
    <col min="8982" max="8997" width="3.125" style="36" customWidth="1"/>
    <col min="8998" max="8998" width="5.375" style="36" customWidth="1"/>
    <col min="8999" max="9000" width="3.125" style="36" customWidth="1"/>
    <col min="9001" max="9001" width="4.625" style="36" customWidth="1"/>
    <col min="9002" max="9002" width="3.5" style="36" customWidth="1"/>
    <col min="9003" max="9013" width="3.125" style="36" customWidth="1"/>
    <col min="9014" max="9015" width="5.625" style="36" customWidth="1"/>
    <col min="9016" max="9060" width="2.625" style="36" customWidth="1"/>
    <col min="9061" max="9220" width="9" style="36"/>
    <col min="9221" max="9235" width="3.125" style="36" customWidth="1"/>
    <col min="9236" max="9236" width="5.5" style="36" customWidth="1"/>
    <col min="9237" max="9237" width="5.625" style="36" customWidth="1"/>
    <col min="9238" max="9253" width="3.125" style="36" customWidth="1"/>
    <col min="9254" max="9254" width="5.375" style="36" customWidth="1"/>
    <col min="9255" max="9256" width="3.125" style="36" customWidth="1"/>
    <col min="9257" max="9257" width="4.625" style="36" customWidth="1"/>
    <col min="9258" max="9258" width="3.5" style="36" customWidth="1"/>
    <col min="9259" max="9269" width="3.125" style="36" customWidth="1"/>
    <col min="9270" max="9271" width="5.625" style="36" customWidth="1"/>
    <col min="9272" max="9316" width="2.625" style="36" customWidth="1"/>
    <col min="9317" max="9476" width="9" style="36"/>
    <col min="9477" max="9491" width="3.125" style="36" customWidth="1"/>
    <col min="9492" max="9492" width="5.5" style="36" customWidth="1"/>
    <col min="9493" max="9493" width="5.625" style="36" customWidth="1"/>
    <col min="9494" max="9509" width="3.125" style="36" customWidth="1"/>
    <col min="9510" max="9510" width="5.375" style="36" customWidth="1"/>
    <col min="9511" max="9512" width="3.125" style="36" customWidth="1"/>
    <col min="9513" max="9513" width="4.625" style="36" customWidth="1"/>
    <col min="9514" max="9514" width="3.5" style="36" customWidth="1"/>
    <col min="9515" max="9525" width="3.125" style="36" customWidth="1"/>
    <col min="9526" max="9527" width="5.625" style="36" customWidth="1"/>
    <col min="9528" max="9572" width="2.625" style="36" customWidth="1"/>
    <col min="9573" max="9732" width="9" style="36"/>
    <col min="9733" max="9747" width="3.125" style="36" customWidth="1"/>
    <col min="9748" max="9748" width="5.5" style="36" customWidth="1"/>
    <col min="9749" max="9749" width="5.625" style="36" customWidth="1"/>
    <col min="9750" max="9765" width="3.125" style="36" customWidth="1"/>
    <col min="9766" max="9766" width="5.375" style="36" customWidth="1"/>
    <col min="9767" max="9768" width="3.125" style="36" customWidth="1"/>
    <col min="9769" max="9769" width="4.625" style="36" customWidth="1"/>
    <col min="9770" max="9770" width="3.5" style="36" customWidth="1"/>
    <col min="9771" max="9781" width="3.125" style="36" customWidth="1"/>
    <col min="9782" max="9783" width="5.625" style="36" customWidth="1"/>
    <col min="9784" max="9828" width="2.625" style="36" customWidth="1"/>
    <col min="9829" max="9988" width="9" style="36"/>
    <col min="9989" max="10003" width="3.125" style="36" customWidth="1"/>
    <col min="10004" max="10004" width="5.5" style="36" customWidth="1"/>
    <col min="10005" max="10005" width="5.625" style="36" customWidth="1"/>
    <col min="10006" max="10021" width="3.125" style="36" customWidth="1"/>
    <col min="10022" max="10022" width="5.375" style="36" customWidth="1"/>
    <col min="10023" max="10024" width="3.125" style="36" customWidth="1"/>
    <col min="10025" max="10025" width="4.625" style="36" customWidth="1"/>
    <col min="10026" max="10026" width="3.5" style="36" customWidth="1"/>
    <col min="10027" max="10037" width="3.125" style="36" customWidth="1"/>
    <col min="10038" max="10039" width="5.625" style="36" customWidth="1"/>
    <col min="10040" max="10084" width="2.625" style="36" customWidth="1"/>
    <col min="10085" max="10244" width="9" style="36"/>
    <col min="10245" max="10259" width="3.125" style="36" customWidth="1"/>
    <col min="10260" max="10260" width="5.5" style="36" customWidth="1"/>
    <col min="10261" max="10261" width="5.625" style="36" customWidth="1"/>
    <col min="10262" max="10277" width="3.125" style="36" customWidth="1"/>
    <col min="10278" max="10278" width="5.375" style="36" customWidth="1"/>
    <col min="10279" max="10280" width="3.125" style="36" customWidth="1"/>
    <col min="10281" max="10281" width="4.625" style="36" customWidth="1"/>
    <col min="10282" max="10282" width="3.5" style="36" customWidth="1"/>
    <col min="10283" max="10293" width="3.125" style="36" customWidth="1"/>
    <col min="10294" max="10295" width="5.625" style="36" customWidth="1"/>
    <col min="10296" max="10340" width="2.625" style="36" customWidth="1"/>
    <col min="10341" max="10500" width="9" style="36"/>
    <col min="10501" max="10515" width="3.125" style="36" customWidth="1"/>
    <col min="10516" max="10516" width="5.5" style="36" customWidth="1"/>
    <col min="10517" max="10517" width="5.625" style="36" customWidth="1"/>
    <col min="10518" max="10533" width="3.125" style="36" customWidth="1"/>
    <col min="10534" max="10534" width="5.375" style="36" customWidth="1"/>
    <col min="10535" max="10536" width="3.125" style="36" customWidth="1"/>
    <col min="10537" max="10537" width="4.625" style="36" customWidth="1"/>
    <col min="10538" max="10538" width="3.5" style="36" customWidth="1"/>
    <col min="10539" max="10549" width="3.125" style="36" customWidth="1"/>
    <col min="10550" max="10551" width="5.625" style="36" customWidth="1"/>
    <col min="10552" max="10596" width="2.625" style="36" customWidth="1"/>
    <col min="10597" max="10756" width="9" style="36"/>
    <col min="10757" max="10771" width="3.125" style="36" customWidth="1"/>
    <col min="10772" max="10772" width="5.5" style="36" customWidth="1"/>
    <col min="10773" max="10773" width="5.625" style="36" customWidth="1"/>
    <col min="10774" max="10789" width="3.125" style="36" customWidth="1"/>
    <col min="10790" max="10790" width="5.375" style="36" customWidth="1"/>
    <col min="10791" max="10792" width="3.125" style="36" customWidth="1"/>
    <col min="10793" max="10793" width="4.625" style="36" customWidth="1"/>
    <col min="10794" max="10794" width="3.5" style="36" customWidth="1"/>
    <col min="10795" max="10805" width="3.125" style="36" customWidth="1"/>
    <col min="10806" max="10807" width="5.625" style="36" customWidth="1"/>
    <col min="10808" max="10852" width="2.625" style="36" customWidth="1"/>
    <col min="10853" max="11012" width="9" style="36"/>
    <col min="11013" max="11027" width="3.125" style="36" customWidth="1"/>
    <col min="11028" max="11028" width="5.5" style="36" customWidth="1"/>
    <col min="11029" max="11029" width="5.625" style="36" customWidth="1"/>
    <col min="11030" max="11045" width="3.125" style="36" customWidth="1"/>
    <col min="11046" max="11046" width="5.375" style="36" customWidth="1"/>
    <col min="11047" max="11048" width="3.125" style="36" customWidth="1"/>
    <col min="11049" max="11049" width="4.625" style="36" customWidth="1"/>
    <col min="11050" max="11050" width="3.5" style="36" customWidth="1"/>
    <col min="11051" max="11061" width="3.125" style="36" customWidth="1"/>
    <col min="11062" max="11063" width="5.625" style="36" customWidth="1"/>
    <col min="11064" max="11108" width="2.625" style="36" customWidth="1"/>
    <col min="11109" max="11268" width="9" style="36"/>
    <col min="11269" max="11283" width="3.125" style="36" customWidth="1"/>
    <col min="11284" max="11284" width="5.5" style="36" customWidth="1"/>
    <col min="11285" max="11285" width="5.625" style="36" customWidth="1"/>
    <col min="11286" max="11301" width="3.125" style="36" customWidth="1"/>
    <col min="11302" max="11302" width="5.375" style="36" customWidth="1"/>
    <col min="11303" max="11304" width="3.125" style="36" customWidth="1"/>
    <col min="11305" max="11305" width="4.625" style="36" customWidth="1"/>
    <col min="11306" max="11306" width="3.5" style="36" customWidth="1"/>
    <col min="11307" max="11317" width="3.125" style="36" customWidth="1"/>
    <col min="11318" max="11319" width="5.625" style="36" customWidth="1"/>
    <col min="11320" max="11364" width="2.625" style="36" customWidth="1"/>
    <col min="11365" max="11524" width="9" style="36"/>
    <col min="11525" max="11539" width="3.125" style="36" customWidth="1"/>
    <col min="11540" max="11540" width="5.5" style="36" customWidth="1"/>
    <col min="11541" max="11541" width="5.625" style="36" customWidth="1"/>
    <col min="11542" max="11557" width="3.125" style="36" customWidth="1"/>
    <col min="11558" max="11558" width="5.375" style="36" customWidth="1"/>
    <col min="11559" max="11560" width="3.125" style="36" customWidth="1"/>
    <col min="11561" max="11561" width="4.625" style="36" customWidth="1"/>
    <col min="11562" max="11562" width="3.5" style="36" customWidth="1"/>
    <col min="11563" max="11573" width="3.125" style="36" customWidth="1"/>
    <col min="11574" max="11575" width="5.625" style="36" customWidth="1"/>
    <col min="11576" max="11620" width="2.625" style="36" customWidth="1"/>
    <col min="11621" max="11780" width="9" style="36"/>
    <col min="11781" max="11795" width="3.125" style="36" customWidth="1"/>
    <col min="11796" max="11796" width="5.5" style="36" customWidth="1"/>
    <col min="11797" max="11797" width="5.625" style="36" customWidth="1"/>
    <col min="11798" max="11813" width="3.125" style="36" customWidth="1"/>
    <col min="11814" max="11814" width="5.375" style="36" customWidth="1"/>
    <col min="11815" max="11816" width="3.125" style="36" customWidth="1"/>
    <col min="11817" max="11817" width="4.625" style="36" customWidth="1"/>
    <col min="11818" max="11818" width="3.5" style="36" customWidth="1"/>
    <col min="11819" max="11829" width="3.125" style="36" customWidth="1"/>
    <col min="11830" max="11831" width="5.625" style="36" customWidth="1"/>
    <col min="11832" max="11876" width="2.625" style="36" customWidth="1"/>
    <col min="11877" max="12036" width="9" style="36"/>
    <col min="12037" max="12051" width="3.125" style="36" customWidth="1"/>
    <col min="12052" max="12052" width="5.5" style="36" customWidth="1"/>
    <col min="12053" max="12053" width="5.625" style="36" customWidth="1"/>
    <col min="12054" max="12069" width="3.125" style="36" customWidth="1"/>
    <col min="12070" max="12070" width="5.375" style="36" customWidth="1"/>
    <col min="12071" max="12072" width="3.125" style="36" customWidth="1"/>
    <col min="12073" max="12073" width="4.625" style="36" customWidth="1"/>
    <col min="12074" max="12074" width="3.5" style="36" customWidth="1"/>
    <col min="12075" max="12085" width="3.125" style="36" customWidth="1"/>
    <col min="12086" max="12087" width="5.625" style="36" customWidth="1"/>
    <col min="12088" max="12132" width="2.625" style="36" customWidth="1"/>
    <col min="12133" max="12292" width="9" style="36"/>
    <col min="12293" max="12307" width="3.125" style="36" customWidth="1"/>
    <col min="12308" max="12308" width="5.5" style="36" customWidth="1"/>
    <col min="12309" max="12309" width="5.625" style="36" customWidth="1"/>
    <col min="12310" max="12325" width="3.125" style="36" customWidth="1"/>
    <col min="12326" max="12326" width="5.375" style="36" customWidth="1"/>
    <col min="12327" max="12328" width="3.125" style="36" customWidth="1"/>
    <col min="12329" max="12329" width="4.625" style="36" customWidth="1"/>
    <col min="12330" max="12330" width="3.5" style="36" customWidth="1"/>
    <col min="12331" max="12341" width="3.125" style="36" customWidth="1"/>
    <col min="12342" max="12343" width="5.625" style="36" customWidth="1"/>
    <col min="12344" max="12388" width="2.625" style="36" customWidth="1"/>
    <col min="12389" max="12548" width="9" style="36"/>
    <col min="12549" max="12563" width="3.125" style="36" customWidth="1"/>
    <col min="12564" max="12564" width="5.5" style="36" customWidth="1"/>
    <col min="12565" max="12565" width="5.625" style="36" customWidth="1"/>
    <col min="12566" max="12581" width="3.125" style="36" customWidth="1"/>
    <col min="12582" max="12582" width="5.375" style="36" customWidth="1"/>
    <col min="12583" max="12584" width="3.125" style="36" customWidth="1"/>
    <col min="12585" max="12585" width="4.625" style="36" customWidth="1"/>
    <col min="12586" max="12586" width="3.5" style="36" customWidth="1"/>
    <col min="12587" max="12597" width="3.125" style="36" customWidth="1"/>
    <col min="12598" max="12599" width="5.625" style="36" customWidth="1"/>
    <col min="12600" max="12644" width="2.625" style="36" customWidth="1"/>
    <col min="12645" max="12804" width="9" style="36"/>
    <col min="12805" max="12819" width="3.125" style="36" customWidth="1"/>
    <col min="12820" max="12820" width="5.5" style="36" customWidth="1"/>
    <col min="12821" max="12821" width="5.625" style="36" customWidth="1"/>
    <col min="12822" max="12837" width="3.125" style="36" customWidth="1"/>
    <col min="12838" max="12838" width="5.375" style="36" customWidth="1"/>
    <col min="12839" max="12840" width="3.125" style="36" customWidth="1"/>
    <col min="12841" max="12841" width="4.625" style="36" customWidth="1"/>
    <col min="12842" max="12842" width="3.5" style="36" customWidth="1"/>
    <col min="12843" max="12853" width="3.125" style="36" customWidth="1"/>
    <col min="12854" max="12855" width="5.625" style="36" customWidth="1"/>
    <col min="12856" max="12900" width="2.625" style="36" customWidth="1"/>
    <col min="12901" max="13060" width="9" style="36"/>
    <col min="13061" max="13075" width="3.125" style="36" customWidth="1"/>
    <col min="13076" max="13076" width="5.5" style="36" customWidth="1"/>
    <col min="13077" max="13077" width="5.625" style="36" customWidth="1"/>
    <col min="13078" max="13093" width="3.125" style="36" customWidth="1"/>
    <col min="13094" max="13094" width="5.375" style="36" customWidth="1"/>
    <col min="13095" max="13096" width="3.125" style="36" customWidth="1"/>
    <col min="13097" max="13097" width="4.625" style="36" customWidth="1"/>
    <col min="13098" max="13098" width="3.5" style="36" customWidth="1"/>
    <col min="13099" max="13109" width="3.125" style="36" customWidth="1"/>
    <col min="13110" max="13111" width="5.625" style="36" customWidth="1"/>
    <col min="13112" max="13156" width="2.625" style="36" customWidth="1"/>
    <col min="13157" max="13316" width="9" style="36"/>
    <col min="13317" max="13331" width="3.125" style="36" customWidth="1"/>
    <col min="13332" max="13332" width="5.5" style="36" customWidth="1"/>
    <col min="13333" max="13333" width="5.625" style="36" customWidth="1"/>
    <col min="13334" max="13349" width="3.125" style="36" customWidth="1"/>
    <col min="13350" max="13350" width="5.375" style="36" customWidth="1"/>
    <col min="13351" max="13352" width="3.125" style="36" customWidth="1"/>
    <col min="13353" max="13353" width="4.625" style="36" customWidth="1"/>
    <col min="13354" max="13354" width="3.5" style="36" customWidth="1"/>
    <col min="13355" max="13365" width="3.125" style="36" customWidth="1"/>
    <col min="13366" max="13367" width="5.625" style="36" customWidth="1"/>
    <col min="13368" max="13412" width="2.625" style="36" customWidth="1"/>
    <col min="13413" max="13572" width="9" style="36"/>
    <col min="13573" max="13587" width="3.125" style="36" customWidth="1"/>
    <col min="13588" max="13588" width="5.5" style="36" customWidth="1"/>
    <col min="13589" max="13589" width="5.625" style="36" customWidth="1"/>
    <col min="13590" max="13605" width="3.125" style="36" customWidth="1"/>
    <col min="13606" max="13606" width="5.375" style="36" customWidth="1"/>
    <col min="13607" max="13608" width="3.125" style="36" customWidth="1"/>
    <col min="13609" max="13609" width="4.625" style="36" customWidth="1"/>
    <col min="13610" max="13610" width="3.5" style="36" customWidth="1"/>
    <col min="13611" max="13621" width="3.125" style="36" customWidth="1"/>
    <col min="13622" max="13623" width="5.625" style="36" customWidth="1"/>
    <col min="13624" max="13668" width="2.625" style="36" customWidth="1"/>
    <col min="13669" max="13828" width="9" style="36"/>
    <col min="13829" max="13843" width="3.125" style="36" customWidth="1"/>
    <col min="13844" max="13844" width="5.5" style="36" customWidth="1"/>
    <col min="13845" max="13845" width="5.625" style="36" customWidth="1"/>
    <col min="13846" max="13861" width="3.125" style="36" customWidth="1"/>
    <col min="13862" max="13862" width="5.375" style="36" customWidth="1"/>
    <col min="13863" max="13864" width="3.125" style="36" customWidth="1"/>
    <col min="13865" max="13865" width="4.625" style="36" customWidth="1"/>
    <col min="13866" max="13866" width="3.5" style="36" customWidth="1"/>
    <col min="13867" max="13877" width="3.125" style="36" customWidth="1"/>
    <col min="13878" max="13879" width="5.625" style="36" customWidth="1"/>
    <col min="13880" max="13924" width="2.625" style="36" customWidth="1"/>
    <col min="13925" max="14084" width="9" style="36"/>
    <col min="14085" max="14099" width="3.125" style="36" customWidth="1"/>
    <col min="14100" max="14100" width="5.5" style="36" customWidth="1"/>
    <col min="14101" max="14101" width="5.625" style="36" customWidth="1"/>
    <col min="14102" max="14117" width="3.125" style="36" customWidth="1"/>
    <col min="14118" max="14118" width="5.375" style="36" customWidth="1"/>
    <col min="14119" max="14120" width="3.125" style="36" customWidth="1"/>
    <col min="14121" max="14121" width="4.625" style="36" customWidth="1"/>
    <col min="14122" max="14122" width="3.5" style="36" customWidth="1"/>
    <col min="14123" max="14133" width="3.125" style="36" customWidth="1"/>
    <col min="14134" max="14135" width="5.625" style="36" customWidth="1"/>
    <col min="14136" max="14180" width="2.625" style="36" customWidth="1"/>
    <col min="14181" max="14340" width="9" style="36"/>
    <col min="14341" max="14355" width="3.125" style="36" customWidth="1"/>
    <col min="14356" max="14356" width="5.5" style="36" customWidth="1"/>
    <col min="14357" max="14357" width="5.625" style="36" customWidth="1"/>
    <col min="14358" max="14373" width="3.125" style="36" customWidth="1"/>
    <col min="14374" max="14374" width="5.375" style="36" customWidth="1"/>
    <col min="14375" max="14376" width="3.125" style="36" customWidth="1"/>
    <col min="14377" max="14377" width="4.625" style="36" customWidth="1"/>
    <col min="14378" max="14378" width="3.5" style="36" customWidth="1"/>
    <col min="14379" max="14389" width="3.125" style="36" customWidth="1"/>
    <col min="14390" max="14391" width="5.625" style="36" customWidth="1"/>
    <col min="14392" max="14436" width="2.625" style="36" customWidth="1"/>
    <col min="14437" max="14596" width="9" style="36"/>
    <col min="14597" max="14611" width="3.125" style="36" customWidth="1"/>
    <col min="14612" max="14612" width="5.5" style="36" customWidth="1"/>
    <col min="14613" max="14613" width="5.625" style="36" customWidth="1"/>
    <col min="14614" max="14629" width="3.125" style="36" customWidth="1"/>
    <col min="14630" max="14630" width="5.375" style="36" customWidth="1"/>
    <col min="14631" max="14632" width="3.125" style="36" customWidth="1"/>
    <col min="14633" max="14633" width="4.625" style="36" customWidth="1"/>
    <col min="14634" max="14634" width="3.5" style="36" customWidth="1"/>
    <col min="14635" max="14645" width="3.125" style="36" customWidth="1"/>
    <col min="14646" max="14647" width="5.625" style="36" customWidth="1"/>
    <col min="14648" max="14692" width="2.625" style="36" customWidth="1"/>
    <col min="14693" max="14852" width="9" style="36"/>
    <col min="14853" max="14867" width="3.125" style="36" customWidth="1"/>
    <col min="14868" max="14868" width="5.5" style="36" customWidth="1"/>
    <col min="14869" max="14869" width="5.625" style="36" customWidth="1"/>
    <col min="14870" max="14885" width="3.125" style="36" customWidth="1"/>
    <col min="14886" max="14886" width="5.375" style="36" customWidth="1"/>
    <col min="14887" max="14888" width="3.125" style="36" customWidth="1"/>
    <col min="14889" max="14889" width="4.625" style="36" customWidth="1"/>
    <col min="14890" max="14890" width="3.5" style="36" customWidth="1"/>
    <col min="14891" max="14901" width="3.125" style="36" customWidth="1"/>
    <col min="14902" max="14903" width="5.625" style="36" customWidth="1"/>
    <col min="14904" max="14948" width="2.625" style="36" customWidth="1"/>
    <col min="14949" max="15108" width="9" style="36"/>
    <col min="15109" max="15123" width="3.125" style="36" customWidth="1"/>
    <col min="15124" max="15124" width="5.5" style="36" customWidth="1"/>
    <col min="15125" max="15125" width="5.625" style="36" customWidth="1"/>
    <col min="15126" max="15141" width="3.125" style="36" customWidth="1"/>
    <col min="15142" max="15142" width="5.375" style="36" customWidth="1"/>
    <col min="15143" max="15144" width="3.125" style="36" customWidth="1"/>
    <col min="15145" max="15145" width="4.625" style="36" customWidth="1"/>
    <col min="15146" max="15146" width="3.5" style="36" customWidth="1"/>
    <col min="15147" max="15157" width="3.125" style="36" customWidth="1"/>
    <col min="15158" max="15159" width="5.625" style="36" customWidth="1"/>
    <col min="15160" max="15204" width="2.625" style="36" customWidth="1"/>
    <col min="15205" max="15364" width="9" style="36"/>
    <col min="15365" max="15379" width="3.125" style="36" customWidth="1"/>
    <col min="15380" max="15380" width="5.5" style="36" customWidth="1"/>
    <col min="15381" max="15381" width="5.625" style="36" customWidth="1"/>
    <col min="15382" max="15397" width="3.125" style="36" customWidth="1"/>
    <col min="15398" max="15398" width="5.375" style="36" customWidth="1"/>
    <col min="15399" max="15400" width="3.125" style="36" customWidth="1"/>
    <col min="15401" max="15401" width="4.625" style="36" customWidth="1"/>
    <col min="15402" max="15402" width="3.5" style="36" customWidth="1"/>
    <col min="15403" max="15413" width="3.125" style="36" customWidth="1"/>
    <col min="15414" max="15415" width="5.625" style="36" customWidth="1"/>
    <col min="15416" max="15460" width="2.625" style="36" customWidth="1"/>
    <col min="15461" max="15620" width="9" style="36"/>
    <col min="15621" max="15635" width="3.125" style="36" customWidth="1"/>
    <col min="15636" max="15636" width="5.5" style="36" customWidth="1"/>
    <col min="15637" max="15637" width="5.625" style="36" customWidth="1"/>
    <col min="15638" max="15653" width="3.125" style="36" customWidth="1"/>
    <col min="15654" max="15654" width="5.375" style="36" customWidth="1"/>
    <col min="15655" max="15656" width="3.125" style="36" customWidth="1"/>
    <col min="15657" max="15657" width="4.625" style="36" customWidth="1"/>
    <col min="15658" max="15658" width="3.5" style="36" customWidth="1"/>
    <col min="15659" max="15669" width="3.125" style="36" customWidth="1"/>
    <col min="15670" max="15671" width="5.625" style="36" customWidth="1"/>
    <col min="15672" max="15716" width="2.625" style="36" customWidth="1"/>
    <col min="15717" max="15876" width="9" style="36"/>
    <col min="15877" max="15891" width="3.125" style="36" customWidth="1"/>
    <col min="15892" max="15892" width="5.5" style="36" customWidth="1"/>
    <col min="15893" max="15893" width="5.625" style="36" customWidth="1"/>
    <col min="15894" max="15909" width="3.125" style="36" customWidth="1"/>
    <col min="15910" max="15910" width="5.375" style="36" customWidth="1"/>
    <col min="15911" max="15912" width="3.125" style="36" customWidth="1"/>
    <col min="15913" max="15913" width="4.625" style="36" customWidth="1"/>
    <col min="15914" max="15914" width="3.5" style="36" customWidth="1"/>
    <col min="15915" max="15925" width="3.125" style="36" customWidth="1"/>
    <col min="15926" max="15927" width="5.625" style="36" customWidth="1"/>
    <col min="15928" max="15972" width="2.625" style="36" customWidth="1"/>
    <col min="15973" max="16132" width="9" style="36"/>
    <col min="16133" max="16147" width="3.125" style="36" customWidth="1"/>
    <col min="16148" max="16148" width="5.5" style="36" customWidth="1"/>
    <col min="16149" max="16149" width="5.625" style="36" customWidth="1"/>
    <col min="16150" max="16165" width="3.125" style="36" customWidth="1"/>
    <col min="16166" max="16166" width="5.375" style="36" customWidth="1"/>
    <col min="16167" max="16168" width="3.125" style="36" customWidth="1"/>
    <col min="16169" max="16169" width="4.625" style="36" customWidth="1"/>
    <col min="16170" max="16170" width="3.5" style="36" customWidth="1"/>
    <col min="16171" max="16181" width="3.125" style="36" customWidth="1"/>
    <col min="16182" max="16183" width="5.625" style="36" customWidth="1"/>
    <col min="16184" max="16228" width="2.625" style="36" customWidth="1"/>
    <col min="16229" max="16384" width="9" style="36"/>
  </cols>
  <sheetData>
    <row r="1" spans="2:53"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3"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3"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3"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3"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3"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3"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3"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3"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3"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3"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3"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3" ht="13.5" customHeight="1" x14ac:dyDescent="0.15">
      <c r="B13" s="174" t="s">
        <v>80</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3"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3" ht="13.5" customHeight="1" x14ac:dyDescent="0.15">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row>
    <row r="16" spans="2:53"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39"/>
      <c r="AK16" s="39"/>
      <c r="AL16" s="39"/>
      <c r="AM16" s="2"/>
      <c r="AN16" s="2"/>
      <c r="AO16" s="2"/>
      <c r="AP16" s="2"/>
      <c r="AQ16" s="2"/>
      <c r="AR16" s="2"/>
      <c r="AS16" s="2"/>
      <c r="AT16" s="2"/>
      <c r="AU16" s="2"/>
      <c r="AV16" s="2"/>
      <c r="AW16" s="2"/>
      <c r="AX16" s="2"/>
      <c r="AY16" s="2"/>
      <c r="AZ16" s="2"/>
      <c r="BA16" s="2"/>
    </row>
    <row r="17" spans="2:53" ht="13.5" customHeight="1" x14ac:dyDescent="0.15">
      <c r="B17" s="175"/>
      <c r="C17" s="175"/>
      <c r="D17" s="175"/>
      <c r="E17" s="175"/>
      <c r="F17" s="175"/>
      <c r="G17" s="175"/>
      <c r="H17" s="175"/>
      <c r="I17" s="175"/>
      <c r="J17" s="175"/>
      <c r="K17" s="175"/>
      <c r="L17" s="175"/>
      <c r="M17" s="175"/>
      <c r="N17" s="175"/>
      <c r="O17" s="39"/>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05"/>
      <c r="AS17" s="205"/>
      <c r="AT17" s="205"/>
      <c r="AU17" s="205"/>
      <c r="AV17" s="205"/>
      <c r="AW17" s="205"/>
      <c r="AX17" s="205"/>
      <c r="AY17" s="205"/>
      <c r="AZ17" s="205"/>
      <c r="BA17" s="205"/>
    </row>
    <row r="18" spans="2:53" ht="13.5" customHeight="1" x14ac:dyDescent="0.15">
      <c r="B18" s="136" t="s">
        <v>1</v>
      </c>
      <c r="C18" s="136"/>
      <c r="D18" s="136"/>
      <c r="E18" s="136"/>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3" ht="13.5" customHeight="1" x14ac:dyDescent="0.15">
      <c r="B19" s="137"/>
      <c r="C19" s="137"/>
      <c r="D19" s="137"/>
      <c r="E19" s="137"/>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7" t="s">
        <v>47</v>
      </c>
      <c r="AV19" s="157"/>
      <c r="AW19" s="157"/>
      <c r="AX19" s="157"/>
      <c r="AY19" s="157"/>
      <c r="AZ19" s="157"/>
      <c r="BA19" s="157"/>
    </row>
    <row r="20" spans="2:53" s="21" customFormat="1" ht="13.5" customHeight="1" x14ac:dyDescent="0.15">
      <c r="B20" s="91" t="s">
        <v>2</v>
      </c>
      <c r="C20" s="92"/>
      <c r="D20" s="92"/>
      <c r="E20" s="92"/>
      <c r="F20" s="92"/>
      <c r="G20" s="92"/>
      <c r="H20" s="92"/>
      <c r="I20" s="91" t="s">
        <v>3</v>
      </c>
      <c r="J20" s="92"/>
      <c r="K20" s="92"/>
      <c r="L20" s="92"/>
      <c r="M20" s="92"/>
      <c r="N20" s="92"/>
      <c r="O20" s="92"/>
      <c r="P20" s="92"/>
      <c r="Q20" s="92"/>
      <c r="R20" s="92"/>
      <c r="S20" s="92"/>
      <c r="T20" s="92"/>
      <c r="U20" s="92"/>
      <c r="V20" s="92"/>
      <c r="W20" s="92"/>
      <c r="X20" s="92"/>
      <c r="Y20" s="114" t="s">
        <v>4</v>
      </c>
      <c r="Z20" s="114"/>
      <c r="AA20" s="114"/>
      <c r="AB20" s="114"/>
      <c r="AC20" s="167" t="s">
        <v>5</v>
      </c>
      <c r="AD20" s="167"/>
      <c r="AE20" s="167"/>
      <c r="AF20" s="167"/>
      <c r="AG20" s="114" t="s">
        <v>6</v>
      </c>
      <c r="AH20" s="114"/>
      <c r="AI20" s="114"/>
      <c r="AJ20" s="114"/>
      <c r="AK20" s="114"/>
      <c r="AL20" s="114"/>
      <c r="AM20" s="114"/>
      <c r="AN20" s="114"/>
      <c r="AO20" s="114"/>
      <c r="AP20" s="114"/>
      <c r="AQ20" s="114"/>
      <c r="AR20" s="114"/>
      <c r="AS20" s="114"/>
      <c r="AT20" s="114"/>
      <c r="AU20" s="114"/>
      <c r="AV20" s="114"/>
      <c r="AW20" s="114"/>
      <c r="AX20" s="114"/>
      <c r="AY20" s="114"/>
      <c r="AZ20" s="114"/>
      <c r="BA20" s="114"/>
    </row>
    <row r="21" spans="2:53" s="21" customFormat="1" ht="13.5" customHeight="1" x14ac:dyDescent="0.15">
      <c r="B21" s="94"/>
      <c r="C21" s="95"/>
      <c r="D21" s="95"/>
      <c r="E21" s="95"/>
      <c r="F21" s="95"/>
      <c r="G21" s="95"/>
      <c r="H21" s="95"/>
      <c r="I21" s="97"/>
      <c r="J21" s="98"/>
      <c r="K21" s="98"/>
      <c r="L21" s="98"/>
      <c r="M21" s="98"/>
      <c r="N21" s="98"/>
      <c r="O21" s="98"/>
      <c r="P21" s="98"/>
      <c r="Q21" s="98"/>
      <c r="R21" s="98"/>
      <c r="S21" s="98"/>
      <c r="T21" s="98"/>
      <c r="U21" s="98"/>
      <c r="V21" s="98"/>
      <c r="W21" s="98"/>
      <c r="X21" s="98"/>
      <c r="Y21" s="114"/>
      <c r="Z21" s="114"/>
      <c r="AA21" s="114"/>
      <c r="AB21" s="114"/>
      <c r="AC21" s="167"/>
      <c r="AD21" s="167"/>
      <c r="AE21" s="167"/>
      <c r="AF21" s="167"/>
      <c r="AG21" s="114"/>
      <c r="AH21" s="114"/>
      <c r="AI21" s="114"/>
      <c r="AJ21" s="114"/>
      <c r="AK21" s="114"/>
      <c r="AL21" s="114"/>
      <c r="AM21" s="114"/>
      <c r="AN21" s="114"/>
      <c r="AO21" s="114"/>
      <c r="AP21" s="114"/>
      <c r="AQ21" s="114"/>
      <c r="AR21" s="114"/>
      <c r="AS21" s="114"/>
      <c r="AT21" s="114"/>
      <c r="AU21" s="114"/>
      <c r="AV21" s="114"/>
      <c r="AW21" s="114"/>
      <c r="AX21" s="114"/>
      <c r="AY21" s="114"/>
      <c r="AZ21" s="114"/>
      <c r="BA21" s="114"/>
    </row>
    <row r="22" spans="2:53" s="21" customFormat="1" ht="13.5" customHeight="1" x14ac:dyDescent="0.15">
      <c r="B22" s="94"/>
      <c r="C22" s="95"/>
      <c r="D22" s="95"/>
      <c r="E22" s="95"/>
      <c r="F22" s="95"/>
      <c r="G22" s="95"/>
      <c r="H22" s="95"/>
      <c r="I22" s="91" t="s">
        <v>7</v>
      </c>
      <c r="J22" s="92"/>
      <c r="K22" s="92"/>
      <c r="L22" s="92"/>
      <c r="M22" s="91" t="s">
        <v>8</v>
      </c>
      <c r="N22" s="92"/>
      <c r="O22" s="92"/>
      <c r="P22" s="93"/>
      <c r="Q22" s="116" t="s">
        <v>49</v>
      </c>
      <c r="R22" s="117"/>
      <c r="S22" s="117"/>
      <c r="T22" s="117"/>
      <c r="U22" s="91" t="s">
        <v>9</v>
      </c>
      <c r="V22" s="92"/>
      <c r="W22" s="92"/>
      <c r="X22" s="92"/>
      <c r="Y22" s="114"/>
      <c r="Z22" s="114"/>
      <c r="AA22" s="114"/>
      <c r="AB22" s="114"/>
      <c r="AC22" s="167"/>
      <c r="AD22" s="167"/>
      <c r="AE22" s="167"/>
      <c r="AF22" s="167"/>
      <c r="AG22" s="114"/>
      <c r="AH22" s="114"/>
      <c r="AI22" s="114"/>
      <c r="AJ22" s="114"/>
      <c r="AK22" s="114"/>
      <c r="AL22" s="114"/>
      <c r="AM22" s="114"/>
      <c r="AN22" s="114"/>
      <c r="AO22" s="114"/>
      <c r="AP22" s="114"/>
      <c r="AQ22" s="114"/>
      <c r="AR22" s="114"/>
      <c r="AS22" s="114"/>
      <c r="AT22" s="114"/>
      <c r="AU22" s="114"/>
      <c r="AV22" s="114"/>
      <c r="AW22" s="114"/>
      <c r="AX22" s="114"/>
      <c r="AY22" s="114"/>
      <c r="AZ22" s="114"/>
      <c r="BA22" s="114"/>
    </row>
    <row r="23" spans="2:53" s="21" customFormat="1" ht="13.5" customHeight="1" x14ac:dyDescent="0.15">
      <c r="B23" s="94"/>
      <c r="C23" s="95"/>
      <c r="D23" s="95"/>
      <c r="E23" s="95"/>
      <c r="F23" s="95"/>
      <c r="G23" s="95"/>
      <c r="H23" s="95"/>
      <c r="I23" s="94"/>
      <c r="J23" s="95"/>
      <c r="K23" s="95"/>
      <c r="L23" s="95"/>
      <c r="M23" s="94"/>
      <c r="N23" s="95"/>
      <c r="O23" s="95"/>
      <c r="P23" s="96"/>
      <c r="Q23" s="119"/>
      <c r="R23" s="120"/>
      <c r="S23" s="120"/>
      <c r="T23" s="120"/>
      <c r="U23" s="94"/>
      <c r="V23" s="95"/>
      <c r="W23" s="95"/>
      <c r="X23" s="95"/>
      <c r="Y23" s="114"/>
      <c r="Z23" s="114"/>
      <c r="AA23" s="114"/>
      <c r="AB23" s="114"/>
      <c r="AC23" s="167"/>
      <c r="AD23" s="167"/>
      <c r="AE23" s="167"/>
      <c r="AF23" s="167"/>
      <c r="AG23" s="114"/>
      <c r="AH23" s="114"/>
      <c r="AI23" s="114"/>
      <c r="AJ23" s="114"/>
      <c r="AK23" s="114"/>
      <c r="AL23" s="114"/>
      <c r="AM23" s="114"/>
      <c r="AN23" s="114"/>
      <c r="AO23" s="114"/>
      <c r="AP23" s="114"/>
      <c r="AQ23" s="114"/>
      <c r="AR23" s="114"/>
      <c r="AS23" s="114"/>
      <c r="AT23" s="114"/>
      <c r="AU23" s="114"/>
      <c r="AV23" s="114"/>
      <c r="AW23" s="114"/>
      <c r="AX23" s="114"/>
      <c r="AY23" s="114"/>
      <c r="AZ23" s="114"/>
      <c r="BA23" s="114"/>
    </row>
    <row r="24" spans="2:53" s="21" customFormat="1" ht="13.5" customHeight="1" x14ac:dyDescent="0.15">
      <c r="B24" s="94"/>
      <c r="C24" s="95"/>
      <c r="D24" s="95"/>
      <c r="E24" s="95"/>
      <c r="F24" s="95"/>
      <c r="G24" s="95"/>
      <c r="H24" s="95"/>
      <c r="I24" s="94"/>
      <c r="J24" s="95"/>
      <c r="K24" s="95"/>
      <c r="L24" s="95"/>
      <c r="M24" s="94"/>
      <c r="N24" s="95"/>
      <c r="O24" s="95"/>
      <c r="P24" s="96"/>
      <c r="Q24" s="119"/>
      <c r="R24" s="120"/>
      <c r="S24" s="120"/>
      <c r="T24" s="120"/>
      <c r="U24" s="94"/>
      <c r="V24" s="95"/>
      <c r="W24" s="95"/>
      <c r="X24" s="95"/>
      <c r="Y24" s="114"/>
      <c r="Z24" s="114"/>
      <c r="AA24" s="114"/>
      <c r="AB24" s="114"/>
      <c r="AC24" s="167"/>
      <c r="AD24" s="167"/>
      <c r="AE24" s="167"/>
      <c r="AF24" s="167"/>
      <c r="AG24" s="114"/>
      <c r="AH24" s="114"/>
      <c r="AI24" s="114"/>
      <c r="AJ24" s="114"/>
      <c r="AK24" s="114"/>
      <c r="AL24" s="114"/>
      <c r="AM24" s="114"/>
      <c r="AN24" s="114"/>
      <c r="AO24" s="114"/>
      <c r="AP24" s="114"/>
      <c r="AQ24" s="114"/>
      <c r="AR24" s="114"/>
      <c r="AS24" s="114"/>
      <c r="AT24" s="114"/>
      <c r="AU24" s="114"/>
      <c r="AV24" s="114"/>
      <c r="AW24" s="114"/>
      <c r="AX24" s="114"/>
      <c r="AY24" s="114"/>
      <c r="AZ24" s="114"/>
      <c r="BA24" s="114"/>
    </row>
    <row r="25" spans="2:53" s="21" customFormat="1" ht="13.5" customHeight="1" x14ac:dyDescent="0.15">
      <c r="B25" s="97"/>
      <c r="C25" s="98"/>
      <c r="D25" s="98"/>
      <c r="E25" s="98"/>
      <c r="F25" s="98"/>
      <c r="G25" s="98"/>
      <c r="H25" s="98"/>
      <c r="I25" s="97"/>
      <c r="J25" s="98"/>
      <c r="K25" s="98"/>
      <c r="L25" s="98"/>
      <c r="M25" s="97"/>
      <c r="N25" s="98"/>
      <c r="O25" s="98"/>
      <c r="P25" s="99"/>
      <c r="Q25" s="122"/>
      <c r="R25" s="123"/>
      <c r="S25" s="123"/>
      <c r="T25" s="123"/>
      <c r="U25" s="97"/>
      <c r="V25" s="98"/>
      <c r="W25" s="98"/>
      <c r="X25" s="98"/>
      <c r="Y25" s="114"/>
      <c r="Z25" s="114"/>
      <c r="AA25" s="114"/>
      <c r="AB25" s="114"/>
      <c r="AC25" s="167"/>
      <c r="AD25" s="167"/>
      <c r="AE25" s="167"/>
      <c r="AF25" s="167"/>
      <c r="AG25" s="114"/>
      <c r="AH25" s="114"/>
      <c r="AI25" s="114"/>
      <c r="AJ25" s="114"/>
      <c r="AK25" s="114"/>
      <c r="AL25" s="114"/>
      <c r="AM25" s="114"/>
      <c r="AN25" s="114"/>
      <c r="AO25" s="114"/>
      <c r="AP25" s="114"/>
      <c r="AQ25" s="114"/>
      <c r="AR25" s="114"/>
      <c r="AS25" s="114"/>
      <c r="AT25" s="114"/>
      <c r="AU25" s="114"/>
      <c r="AV25" s="114"/>
      <c r="AW25" s="114"/>
      <c r="AX25" s="114"/>
      <c r="AY25" s="114"/>
      <c r="AZ25" s="114"/>
      <c r="BA25" s="114"/>
    </row>
    <row r="26" spans="2:53" s="21" customFormat="1" ht="18" customHeight="1" x14ac:dyDescent="0.15">
      <c r="B26" s="106" t="s">
        <v>10</v>
      </c>
      <c r="C26" s="107"/>
      <c r="D26" s="107"/>
      <c r="E26" s="107"/>
      <c r="F26" s="107"/>
      <c r="G26" s="107"/>
      <c r="H26" s="107"/>
      <c r="I26" s="106">
        <f>SUM(I28:L31)</f>
        <v>166572000</v>
      </c>
      <c r="J26" s="107"/>
      <c r="K26" s="107"/>
      <c r="L26" s="107"/>
      <c r="M26" s="106">
        <f>SUM(M28:P31)</f>
        <v>613000</v>
      </c>
      <c r="N26" s="107"/>
      <c r="O26" s="107"/>
      <c r="P26" s="108"/>
      <c r="Q26" s="106">
        <f t="shared" ref="Q26" si="0">SUM(Q28:T31)</f>
        <v>0</v>
      </c>
      <c r="R26" s="107"/>
      <c r="S26" s="107"/>
      <c r="T26" s="108"/>
      <c r="U26" s="106">
        <f t="shared" ref="U26" si="1">SUM(U28:X31)</f>
        <v>167185000</v>
      </c>
      <c r="V26" s="107"/>
      <c r="W26" s="107"/>
      <c r="X26" s="107"/>
      <c r="Y26" s="115">
        <f t="shared" ref="Y26" si="2">SUM(Y28:AB31)</f>
        <v>167259968</v>
      </c>
      <c r="Z26" s="115"/>
      <c r="AA26" s="115"/>
      <c r="AB26" s="115"/>
      <c r="AC26" s="107">
        <f>Y26-U26</f>
        <v>74968</v>
      </c>
      <c r="AD26" s="107"/>
      <c r="AE26" s="107"/>
      <c r="AF26" s="107"/>
      <c r="AG26" s="114"/>
      <c r="AH26" s="114"/>
      <c r="AI26" s="114"/>
      <c r="AJ26" s="114"/>
      <c r="AK26" s="114"/>
      <c r="AL26" s="114"/>
      <c r="AM26" s="114"/>
      <c r="AN26" s="114"/>
      <c r="AO26" s="114"/>
      <c r="AP26" s="114"/>
      <c r="AQ26" s="114"/>
      <c r="AR26" s="114"/>
      <c r="AS26" s="114"/>
      <c r="AT26" s="114"/>
      <c r="AU26" s="114"/>
      <c r="AV26" s="114"/>
      <c r="AW26" s="114"/>
      <c r="AX26" s="114"/>
      <c r="AY26" s="114"/>
      <c r="AZ26" s="114"/>
      <c r="BA26" s="114"/>
    </row>
    <row r="27" spans="2:53" s="21" customFormat="1" ht="18" customHeight="1" x14ac:dyDescent="0.15">
      <c r="B27" s="109"/>
      <c r="C27" s="110"/>
      <c r="D27" s="110"/>
      <c r="E27" s="110"/>
      <c r="F27" s="110"/>
      <c r="G27" s="110"/>
      <c r="H27" s="110"/>
      <c r="I27" s="109"/>
      <c r="J27" s="110"/>
      <c r="K27" s="110"/>
      <c r="L27" s="110"/>
      <c r="M27" s="109"/>
      <c r="N27" s="110"/>
      <c r="O27" s="110"/>
      <c r="P27" s="111"/>
      <c r="Q27" s="109"/>
      <c r="R27" s="110"/>
      <c r="S27" s="110"/>
      <c r="T27" s="111"/>
      <c r="U27" s="109"/>
      <c r="V27" s="110"/>
      <c r="W27" s="110"/>
      <c r="X27" s="110"/>
      <c r="Y27" s="115"/>
      <c r="Z27" s="115"/>
      <c r="AA27" s="115"/>
      <c r="AB27" s="115"/>
      <c r="AC27" s="110"/>
      <c r="AD27" s="110"/>
      <c r="AE27" s="110"/>
      <c r="AF27" s="110"/>
      <c r="AG27" s="114"/>
      <c r="AH27" s="114"/>
      <c r="AI27" s="114"/>
      <c r="AJ27" s="114"/>
      <c r="AK27" s="114"/>
      <c r="AL27" s="114"/>
      <c r="AM27" s="114"/>
      <c r="AN27" s="114"/>
      <c r="AO27" s="114"/>
      <c r="AP27" s="114"/>
      <c r="AQ27" s="114"/>
      <c r="AR27" s="114"/>
      <c r="AS27" s="114"/>
      <c r="AT27" s="114"/>
      <c r="AU27" s="114"/>
      <c r="AV27" s="114"/>
      <c r="AW27" s="114"/>
      <c r="AX27" s="114"/>
      <c r="AY27" s="114"/>
      <c r="AZ27" s="114"/>
      <c r="BA27" s="114"/>
    </row>
    <row r="28" spans="2:53" s="21" customFormat="1" ht="18" customHeight="1" x14ac:dyDescent="0.15">
      <c r="B28" s="106" t="s">
        <v>11</v>
      </c>
      <c r="C28" s="107"/>
      <c r="D28" s="107"/>
      <c r="E28" s="107"/>
      <c r="F28" s="107"/>
      <c r="G28" s="107"/>
      <c r="H28" s="107"/>
      <c r="I28" s="106">
        <v>123169000</v>
      </c>
      <c r="J28" s="107"/>
      <c r="K28" s="107"/>
      <c r="L28" s="107"/>
      <c r="M28" s="106">
        <v>-210000</v>
      </c>
      <c r="N28" s="107"/>
      <c r="O28" s="107"/>
      <c r="P28" s="108"/>
      <c r="Q28" s="106">
        <v>0</v>
      </c>
      <c r="R28" s="107"/>
      <c r="S28" s="107"/>
      <c r="T28" s="108"/>
      <c r="U28" s="106">
        <f>SUM(I28:T29)</f>
        <v>122959000</v>
      </c>
      <c r="V28" s="107"/>
      <c r="W28" s="107"/>
      <c r="X28" s="107"/>
      <c r="Y28" s="115">
        <v>123163812</v>
      </c>
      <c r="Z28" s="115"/>
      <c r="AA28" s="115"/>
      <c r="AB28" s="115"/>
      <c r="AC28" s="169">
        <f>Y28-U28</f>
        <v>204812</v>
      </c>
      <c r="AD28" s="170"/>
      <c r="AE28" s="170"/>
      <c r="AF28" s="170"/>
      <c r="AG28" s="73" t="s">
        <v>81</v>
      </c>
      <c r="AH28" s="74"/>
      <c r="AI28" s="74"/>
      <c r="AJ28" s="74"/>
      <c r="AK28" s="74"/>
      <c r="AL28" s="74"/>
      <c r="AM28" s="74"/>
      <c r="AN28" s="74"/>
      <c r="AO28" s="74"/>
      <c r="AP28" s="74"/>
      <c r="AQ28" s="74"/>
      <c r="AR28" s="74"/>
      <c r="AS28" s="74"/>
      <c r="AT28" s="74"/>
      <c r="AU28" s="74"/>
      <c r="AV28" s="74"/>
      <c r="AW28" s="74"/>
      <c r="AX28" s="74"/>
      <c r="AY28" s="74"/>
      <c r="AZ28" s="74"/>
      <c r="BA28" s="75"/>
    </row>
    <row r="29" spans="2:53" s="21" customFormat="1" ht="18" customHeight="1" x14ac:dyDescent="0.15">
      <c r="B29" s="109"/>
      <c r="C29" s="110"/>
      <c r="D29" s="110"/>
      <c r="E29" s="110"/>
      <c r="F29" s="110"/>
      <c r="G29" s="110"/>
      <c r="H29" s="110"/>
      <c r="I29" s="109"/>
      <c r="J29" s="110"/>
      <c r="K29" s="110"/>
      <c r="L29" s="110"/>
      <c r="M29" s="109"/>
      <c r="N29" s="110"/>
      <c r="O29" s="110"/>
      <c r="P29" s="111"/>
      <c r="Q29" s="109"/>
      <c r="R29" s="110"/>
      <c r="S29" s="110"/>
      <c r="T29" s="111"/>
      <c r="U29" s="109"/>
      <c r="V29" s="110"/>
      <c r="W29" s="110"/>
      <c r="X29" s="110"/>
      <c r="Y29" s="115"/>
      <c r="Z29" s="115"/>
      <c r="AA29" s="115"/>
      <c r="AB29" s="115"/>
      <c r="AC29" s="171"/>
      <c r="AD29" s="172"/>
      <c r="AE29" s="172"/>
      <c r="AF29" s="172"/>
      <c r="AG29" s="76"/>
      <c r="AH29" s="77"/>
      <c r="AI29" s="77"/>
      <c r="AJ29" s="77"/>
      <c r="AK29" s="77"/>
      <c r="AL29" s="77"/>
      <c r="AM29" s="77"/>
      <c r="AN29" s="77"/>
      <c r="AO29" s="77"/>
      <c r="AP29" s="77"/>
      <c r="AQ29" s="77"/>
      <c r="AR29" s="77"/>
      <c r="AS29" s="77"/>
      <c r="AT29" s="77"/>
      <c r="AU29" s="77"/>
      <c r="AV29" s="77"/>
      <c r="AW29" s="77"/>
      <c r="AX29" s="77"/>
      <c r="AY29" s="77"/>
      <c r="AZ29" s="77"/>
      <c r="BA29" s="78"/>
    </row>
    <row r="30" spans="2:53" s="21" customFormat="1" ht="18" customHeight="1" x14ac:dyDescent="0.15">
      <c r="B30" s="106" t="s">
        <v>12</v>
      </c>
      <c r="C30" s="107"/>
      <c r="D30" s="107"/>
      <c r="E30" s="107"/>
      <c r="F30" s="107"/>
      <c r="G30" s="107"/>
      <c r="H30" s="108"/>
      <c r="I30" s="106">
        <v>43403000</v>
      </c>
      <c r="J30" s="107"/>
      <c r="K30" s="107"/>
      <c r="L30" s="108"/>
      <c r="M30" s="106">
        <v>823000</v>
      </c>
      <c r="N30" s="107"/>
      <c r="O30" s="107"/>
      <c r="P30" s="108"/>
      <c r="Q30" s="106">
        <v>0</v>
      </c>
      <c r="R30" s="107"/>
      <c r="S30" s="107"/>
      <c r="T30" s="108"/>
      <c r="U30" s="106">
        <f>SUM(I30:T31)</f>
        <v>44226000</v>
      </c>
      <c r="V30" s="107"/>
      <c r="W30" s="107"/>
      <c r="X30" s="107"/>
      <c r="Y30" s="115">
        <v>44096156</v>
      </c>
      <c r="Z30" s="115"/>
      <c r="AA30" s="115"/>
      <c r="AB30" s="115"/>
      <c r="AC30" s="106">
        <f>Y30-U30</f>
        <v>-129844</v>
      </c>
      <c r="AD30" s="107"/>
      <c r="AE30" s="107"/>
      <c r="AF30" s="107"/>
      <c r="AG30" s="139"/>
      <c r="AH30" s="139"/>
      <c r="AI30" s="139"/>
      <c r="AJ30" s="139"/>
      <c r="AK30" s="139"/>
      <c r="AL30" s="139"/>
      <c r="AM30" s="139"/>
      <c r="AN30" s="139"/>
      <c r="AO30" s="139"/>
      <c r="AP30" s="139"/>
      <c r="AQ30" s="139"/>
      <c r="AR30" s="139"/>
      <c r="AS30" s="139"/>
      <c r="AT30" s="139"/>
      <c r="AU30" s="139"/>
      <c r="AV30" s="139"/>
      <c r="AW30" s="139"/>
      <c r="AX30" s="139"/>
      <c r="AY30" s="139"/>
      <c r="AZ30" s="139"/>
      <c r="BA30" s="139"/>
    </row>
    <row r="31" spans="2:53" s="21" customFormat="1" ht="18" customHeight="1" x14ac:dyDescent="0.15">
      <c r="B31" s="109"/>
      <c r="C31" s="110"/>
      <c r="D31" s="110"/>
      <c r="E31" s="110"/>
      <c r="F31" s="110"/>
      <c r="G31" s="110"/>
      <c r="H31" s="111"/>
      <c r="I31" s="109"/>
      <c r="J31" s="110"/>
      <c r="K31" s="110"/>
      <c r="L31" s="111"/>
      <c r="M31" s="109"/>
      <c r="N31" s="110"/>
      <c r="O31" s="110"/>
      <c r="P31" s="111"/>
      <c r="Q31" s="109"/>
      <c r="R31" s="110"/>
      <c r="S31" s="110"/>
      <c r="T31" s="111"/>
      <c r="U31" s="109"/>
      <c r="V31" s="110"/>
      <c r="W31" s="110"/>
      <c r="X31" s="110"/>
      <c r="Y31" s="115"/>
      <c r="Z31" s="115"/>
      <c r="AA31" s="115"/>
      <c r="AB31" s="115"/>
      <c r="AC31" s="109"/>
      <c r="AD31" s="110"/>
      <c r="AE31" s="110"/>
      <c r="AF31" s="110"/>
      <c r="AG31" s="139"/>
      <c r="AH31" s="139"/>
      <c r="AI31" s="139"/>
      <c r="AJ31" s="139"/>
      <c r="AK31" s="139"/>
      <c r="AL31" s="139"/>
      <c r="AM31" s="139"/>
      <c r="AN31" s="139"/>
      <c r="AO31" s="139"/>
      <c r="AP31" s="139"/>
      <c r="AQ31" s="139"/>
      <c r="AR31" s="139"/>
      <c r="AS31" s="139"/>
      <c r="AT31" s="139"/>
      <c r="AU31" s="139"/>
      <c r="AV31" s="139"/>
      <c r="AW31" s="139"/>
      <c r="AX31" s="139"/>
      <c r="AY31" s="139"/>
      <c r="AZ31" s="139"/>
      <c r="BA31" s="139"/>
    </row>
    <row r="32" spans="2:53"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7"/>
      <c r="C34" s="137"/>
      <c r="D34" s="137"/>
      <c r="E34" s="137"/>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7" t="s">
        <v>47</v>
      </c>
      <c r="AV34" s="157"/>
      <c r="AW34" s="157"/>
      <c r="AX34" s="157"/>
      <c r="AY34" s="157"/>
      <c r="AZ34" s="157"/>
      <c r="BA34" s="157"/>
    </row>
    <row r="35" spans="2:53" s="21" customFormat="1" ht="13.5" customHeight="1" x14ac:dyDescent="0.15">
      <c r="B35" s="114" t="s">
        <v>2</v>
      </c>
      <c r="C35" s="114"/>
      <c r="D35" s="114"/>
      <c r="E35" s="114"/>
      <c r="F35" s="114"/>
      <c r="G35" s="114"/>
      <c r="H35" s="114"/>
      <c r="I35" s="91" t="s">
        <v>14</v>
      </c>
      <c r="J35" s="92"/>
      <c r="K35" s="92"/>
      <c r="L35" s="92"/>
      <c r="M35" s="92"/>
      <c r="N35" s="92"/>
      <c r="O35" s="92"/>
      <c r="P35" s="92"/>
      <c r="Q35" s="92"/>
      <c r="R35" s="92"/>
      <c r="S35" s="92"/>
      <c r="T35" s="92"/>
      <c r="U35" s="92"/>
      <c r="V35" s="92"/>
      <c r="W35" s="92"/>
      <c r="X35" s="92"/>
      <c r="Y35" s="92"/>
      <c r="Z35" s="92"/>
      <c r="AA35" s="92"/>
      <c r="AB35" s="92"/>
      <c r="AC35" s="92"/>
      <c r="AD35" s="92"/>
      <c r="AE35" s="92"/>
      <c r="AF35" s="92"/>
      <c r="AG35" s="93"/>
      <c r="AH35" s="91" t="s">
        <v>15</v>
      </c>
      <c r="AI35" s="92"/>
      <c r="AJ35" s="92"/>
      <c r="AK35" s="93"/>
      <c r="AL35" s="125" t="s">
        <v>16</v>
      </c>
      <c r="AM35" s="125"/>
      <c r="AN35" s="114" t="s">
        <v>17</v>
      </c>
      <c r="AO35" s="114"/>
      <c r="AP35" s="114"/>
      <c r="AQ35" s="114"/>
      <c r="AR35" s="91" t="s">
        <v>18</v>
      </c>
      <c r="AS35" s="92"/>
      <c r="AT35" s="92"/>
      <c r="AU35" s="92"/>
      <c r="AV35" s="92"/>
      <c r="AW35" s="92"/>
      <c r="AX35" s="92"/>
      <c r="AY35" s="92"/>
      <c r="AZ35" s="92"/>
      <c r="BA35" s="93"/>
    </row>
    <row r="36" spans="2:53" s="21" customFormat="1" ht="13.5" customHeight="1" x14ac:dyDescent="0.15">
      <c r="B36" s="114"/>
      <c r="C36" s="114"/>
      <c r="D36" s="114"/>
      <c r="E36" s="114"/>
      <c r="F36" s="114"/>
      <c r="G36" s="114"/>
      <c r="H36" s="114"/>
      <c r="I36" s="97"/>
      <c r="J36" s="98"/>
      <c r="K36" s="98"/>
      <c r="L36" s="98"/>
      <c r="M36" s="98"/>
      <c r="N36" s="98"/>
      <c r="O36" s="98"/>
      <c r="P36" s="98"/>
      <c r="Q36" s="98"/>
      <c r="R36" s="98"/>
      <c r="S36" s="98"/>
      <c r="T36" s="98"/>
      <c r="U36" s="98"/>
      <c r="V36" s="98"/>
      <c r="W36" s="98"/>
      <c r="X36" s="98"/>
      <c r="Y36" s="98"/>
      <c r="Z36" s="98"/>
      <c r="AA36" s="98"/>
      <c r="AB36" s="98"/>
      <c r="AC36" s="98"/>
      <c r="AD36" s="98"/>
      <c r="AE36" s="98"/>
      <c r="AF36" s="98"/>
      <c r="AG36" s="99"/>
      <c r="AH36" s="94"/>
      <c r="AI36" s="95"/>
      <c r="AJ36" s="95"/>
      <c r="AK36" s="96"/>
      <c r="AL36" s="125"/>
      <c r="AM36" s="125"/>
      <c r="AN36" s="114"/>
      <c r="AO36" s="114"/>
      <c r="AP36" s="114"/>
      <c r="AQ36" s="114"/>
      <c r="AR36" s="94"/>
      <c r="AS36" s="95"/>
      <c r="AT36" s="95"/>
      <c r="AU36" s="95"/>
      <c r="AV36" s="95"/>
      <c r="AW36" s="95"/>
      <c r="AX36" s="95"/>
      <c r="AY36" s="95"/>
      <c r="AZ36" s="95"/>
      <c r="BA36" s="96"/>
    </row>
    <row r="37" spans="2:53" s="21" customFormat="1" ht="13.5" customHeight="1" x14ac:dyDescent="0.15">
      <c r="B37" s="114"/>
      <c r="C37" s="114"/>
      <c r="D37" s="114"/>
      <c r="E37" s="114"/>
      <c r="F37" s="114"/>
      <c r="G37" s="114"/>
      <c r="H37" s="114"/>
      <c r="I37" s="114" t="s">
        <v>19</v>
      </c>
      <c r="J37" s="114"/>
      <c r="K37" s="114"/>
      <c r="L37" s="114"/>
      <c r="M37" s="114" t="s">
        <v>20</v>
      </c>
      <c r="N37" s="114"/>
      <c r="O37" s="114"/>
      <c r="P37" s="114"/>
      <c r="Q37" s="167" t="s">
        <v>21</v>
      </c>
      <c r="R37" s="167"/>
      <c r="S37" s="167" t="s">
        <v>22</v>
      </c>
      <c r="T37" s="167"/>
      <c r="U37" s="167"/>
      <c r="V37" s="125" t="s">
        <v>23</v>
      </c>
      <c r="W37" s="125"/>
      <c r="X37" s="114" t="s">
        <v>24</v>
      </c>
      <c r="Y37" s="114"/>
      <c r="Z37" s="114"/>
      <c r="AA37" s="114"/>
      <c r="AB37" s="125" t="s">
        <v>16</v>
      </c>
      <c r="AC37" s="125"/>
      <c r="AD37" s="114" t="s">
        <v>25</v>
      </c>
      <c r="AE37" s="114"/>
      <c r="AF37" s="114"/>
      <c r="AG37" s="114"/>
      <c r="AH37" s="94"/>
      <c r="AI37" s="95"/>
      <c r="AJ37" s="95"/>
      <c r="AK37" s="96"/>
      <c r="AL37" s="125"/>
      <c r="AM37" s="125"/>
      <c r="AN37" s="114"/>
      <c r="AO37" s="114"/>
      <c r="AP37" s="114"/>
      <c r="AQ37" s="114"/>
      <c r="AR37" s="94"/>
      <c r="AS37" s="95"/>
      <c r="AT37" s="95"/>
      <c r="AU37" s="95"/>
      <c r="AV37" s="95"/>
      <c r="AW37" s="95"/>
      <c r="AX37" s="95"/>
      <c r="AY37" s="95"/>
      <c r="AZ37" s="95"/>
      <c r="BA37" s="96"/>
    </row>
    <row r="38" spans="2:53" s="21" customFormat="1" ht="13.5" customHeight="1" x14ac:dyDescent="0.15">
      <c r="B38" s="114"/>
      <c r="C38" s="114"/>
      <c r="D38" s="114"/>
      <c r="E38" s="114"/>
      <c r="F38" s="114"/>
      <c r="G38" s="114"/>
      <c r="H38" s="114"/>
      <c r="I38" s="114"/>
      <c r="J38" s="114"/>
      <c r="K38" s="114"/>
      <c r="L38" s="114"/>
      <c r="M38" s="114"/>
      <c r="N38" s="114"/>
      <c r="O38" s="114"/>
      <c r="P38" s="114"/>
      <c r="Q38" s="167"/>
      <c r="R38" s="167"/>
      <c r="S38" s="167"/>
      <c r="T38" s="167"/>
      <c r="U38" s="167"/>
      <c r="V38" s="125"/>
      <c r="W38" s="125"/>
      <c r="X38" s="114"/>
      <c r="Y38" s="114"/>
      <c r="Z38" s="114"/>
      <c r="AA38" s="114"/>
      <c r="AB38" s="125"/>
      <c r="AC38" s="125"/>
      <c r="AD38" s="114"/>
      <c r="AE38" s="114"/>
      <c r="AF38" s="114"/>
      <c r="AG38" s="114"/>
      <c r="AH38" s="94"/>
      <c r="AI38" s="95"/>
      <c r="AJ38" s="95"/>
      <c r="AK38" s="96"/>
      <c r="AL38" s="125"/>
      <c r="AM38" s="125"/>
      <c r="AN38" s="114"/>
      <c r="AO38" s="114"/>
      <c r="AP38" s="114"/>
      <c r="AQ38" s="114"/>
      <c r="AR38" s="94"/>
      <c r="AS38" s="95"/>
      <c r="AT38" s="95"/>
      <c r="AU38" s="95"/>
      <c r="AV38" s="95"/>
      <c r="AW38" s="95"/>
      <c r="AX38" s="95"/>
      <c r="AY38" s="95"/>
      <c r="AZ38" s="95"/>
      <c r="BA38" s="96"/>
    </row>
    <row r="39" spans="2:53" s="21" customFormat="1" ht="13.5" customHeight="1" x14ac:dyDescent="0.15">
      <c r="B39" s="114"/>
      <c r="C39" s="114"/>
      <c r="D39" s="114"/>
      <c r="E39" s="114"/>
      <c r="F39" s="114"/>
      <c r="G39" s="114"/>
      <c r="H39" s="114"/>
      <c r="I39" s="114"/>
      <c r="J39" s="114"/>
      <c r="K39" s="114"/>
      <c r="L39" s="114"/>
      <c r="M39" s="114"/>
      <c r="N39" s="114"/>
      <c r="O39" s="114"/>
      <c r="P39" s="114"/>
      <c r="Q39" s="167"/>
      <c r="R39" s="167"/>
      <c r="S39" s="167"/>
      <c r="T39" s="167"/>
      <c r="U39" s="167"/>
      <c r="V39" s="125"/>
      <c r="W39" s="125"/>
      <c r="X39" s="114"/>
      <c r="Y39" s="114"/>
      <c r="Z39" s="114"/>
      <c r="AA39" s="114"/>
      <c r="AB39" s="125"/>
      <c r="AC39" s="125"/>
      <c r="AD39" s="114"/>
      <c r="AE39" s="114"/>
      <c r="AF39" s="114"/>
      <c r="AG39" s="114"/>
      <c r="AH39" s="94"/>
      <c r="AI39" s="95"/>
      <c r="AJ39" s="95"/>
      <c r="AK39" s="96"/>
      <c r="AL39" s="125"/>
      <c r="AM39" s="125"/>
      <c r="AN39" s="114"/>
      <c r="AO39" s="114"/>
      <c r="AP39" s="114"/>
      <c r="AQ39" s="114"/>
      <c r="AR39" s="94"/>
      <c r="AS39" s="95"/>
      <c r="AT39" s="95"/>
      <c r="AU39" s="95"/>
      <c r="AV39" s="95"/>
      <c r="AW39" s="95"/>
      <c r="AX39" s="95"/>
      <c r="AY39" s="95"/>
      <c r="AZ39" s="95"/>
      <c r="BA39" s="96"/>
    </row>
    <row r="40" spans="2:53" s="21" customFormat="1" ht="13.5" customHeight="1" x14ac:dyDescent="0.15">
      <c r="B40" s="114"/>
      <c r="C40" s="114"/>
      <c r="D40" s="114"/>
      <c r="E40" s="114"/>
      <c r="F40" s="114"/>
      <c r="G40" s="114"/>
      <c r="H40" s="114"/>
      <c r="I40" s="114"/>
      <c r="J40" s="114"/>
      <c r="K40" s="114"/>
      <c r="L40" s="114"/>
      <c r="M40" s="114"/>
      <c r="N40" s="114"/>
      <c r="O40" s="114"/>
      <c r="P40" s="114"/>
      <c r="Q40" s="167"/>
      <c r="R40" s="167"/>
      <c r="S40" s="167"/>
      <c r="T40" s="167"/>
      <c r="U40" s="167"/>
      <c r="V40" s="125"/>
      <c r="W40" s="125"/>
      <c r="X40" s="114"/>
      <c r="Y40" s="114"/>
      <c r="Z40" s="114"/>
      <c r="AA40" s="114"/>
      <c r="AB40" s="125"/>
      <c r="AC40" s="125"/>
      <c r="AD40" s="114"/>
      <c r="AE40" s="114"/>
      <c r="AF40" s="114"/>
      <c r="AG40" s="114"/>
      <c r="AH40" s="97"/>
      <c r="AI40" s="98"/>
      <c r="AJ40" s="98"/>
      <c r="AK40" s="99"/>
      <c r="AL40" s="125"/>
      <c r="AM40" s="125"/>
      <c r="AN40" s="114"/>
      <c r="AO40" s="114"/>
      <c r="AP40" s="114"/>
      <c r="AQ40" s="114"/>
      <c r="AR40" s="97"/>
      <c r="AS40" s="98"/>
      <c r="AT40" s="98"/>
      <c r="AU40" s="98"/>
      <c r="AV40" s="98"/>
      <c r="AW40" s="98"/>
      <c r="AX40" s="98"/>
      <c r="AY40" s="98"/>
      <c r="AZ40" s="98"/>
      <c r="BA40" s="99"/>
    </row>
    <row r="41" spans="2:53" s="21" customFormat="1" ht="18" customHeight="1" x14ac:dyDescent="0.15">
      <c r="B41" s="115" t="s">
        <v>26</v>
      </c>
      <c r="C41" s="115"/>
      <c r="D41" s="115"/>
      <c r="E41" s="115"/>
      <c r="F41" s="115"/>
      <c r="G41" s="115"/>
      <c r="H41" s="115"/>
      <c r="I41" s="161">
        <f>SUM(I43:L48)</f>
        <v>160981000</v>
      </c>
      <c r="J41" s="162"/>
      <c r="K41" s="162"/>
      <c r="L41" s="163"/>
      <c r="M41" s="161">
        <f>SUM(M43:P48)</f>
        <v>2193000</v>
      </c>
      <c r="N41" s="162"/>
      <c r="O41" s="162"/>
      <c r="P41" s="163"/>
      <c r="Q41" s="115">
        <f>SUM(Q43:R48)</f>
        <v>0</v>
      </c>
      <c r="R41" s="115"/>
      <c r="S41" s="115">
        <f>SUM(S43:U48)</f>
        <v>0</v>
      </c>
      <c r="T41" s="115"/>
      <c r="U41" s="115"/>
      <c r="V41" s="161">
        <f>SUM(V43:W48)</f>
        <v>0</v>
      </c>
      <c r="W41" s="163"/>
      <c r="X41" s="161">
        <f>SUM(X43:AA48)</f>
        <v>163174000</v>
      </c>
      <c r="Y41" s="162"/>
      <c r="Z41" s="162"/>
      <c r="AA41" s="163"/>
      <c r="AB41" s="106">
        <f>SUM(AB43:AC48)</f>
        <v>0</v>
      </c>
      <c r="AC41" s="107"/>
      <c r="AD41" s="161">
        <f>SUM(AD43:AG48)</f>
        <v>163174000</v>
      </c>
      <c r="AE41" s="162"/>
      <c r="AF41" s="162"/>
      <c r="AG41" s="163"/>
      <c r="AH41" s="106">
        <f>SUM(AH43:AK48)</f>
        <v>159139102</v>
      </c>
      <c r="AI41" s="107"/>
      <c r="AJ41" s="107"/>
      <c r="AK41" s="107"/>
      <c r="AL41" s="68">
        <f>SUM(AL43:AM48)</f>
        <v>0</v>
      </c>
      <c r="AM41" s="68"/>
      <c r="AN41" s="68">
        <f>SUM(AN43:AQ48)</f>
        <v>4034898</v>
      </c>
      <c r="AO41" s="68"/>
      <c r="AP41" s="68"/>
      <c r="AQ41" s="68"/>
      <c r="AR41" s="100"/>
      <c r="AS41" s="101"/>
      <c r="AT41" s="101"/>
      <c r="AU41" s="101"/>
      <c r="AV41" s="101"/>
      <c r="AW41" s="101"/>
      <c r="AX41" s="101"/>
      <c r="AY41" s="101"/>
      <c r="AZ41" s="101"/>
      <c r="BA41" s="102"/>
    </row>
    <row r="42" spans="2:53" s="21" customFormat="1" ht="18" customHeight="1" x14ac:dyDescent="0.15">
      <c r="B42" s="115"/>
      <c r="C42" s="115"/>
      <c r="D42" s="115"/>
      <c r="E42" s="115"/>
      <c r="F42" s="115"/>
      <c r="G42" s="115"/>
      <c r="H42" s="115"/>
      <c r="I42" s="164"/>
      <c r="J42" s="165"/>
      <c r="K42" s="165"/>
      <c r="L42" s="166"/>
      <c r="M42" s="164"/>
      <c r="N42" s="165"/>
      <c r="O42" s="165"/>
      <c r="P42" s="166"/>
      <c r="Q42" s="115"/>
      <c r="R42" s="115"/>
      <c r="S42" s="115"/>
      <c r="T42" s="115"/>
      <c r="U42" s="115"/>
      <c r="V42" s="164"/>
      <c r="W42" s="166"/>
      <c r="X42" s="164"/>
      <c r="Y42" s="165"/>
      <c r="Z42" s="165"/>
      <c r="AA42" s="166"/>
      <c r="AB42" s="109"/>
      <c r="AC42" s="110"/>
      <c r="AD42" s="164"/>
      <c r="AE42" s="165"/>
      <c r="AF42" s="165"/>
      <c r="AG42" s="166"/>
      <c r="AH42" s="109"/>
      <c r="AI42" s="110"/>
      <c r="AJ42" s="110"/>
      <c r="AK42" s="110"/>
      <c r="AL42" s="68"/>
      <c r="AM42" s="68"/>
      <c r="AN42" s="68"/>
      <c r="AO42" s="68"/>
      <c r="AP42" s="68"/>
      <c r="AQ42" s="68"/>
      <c r="AR42" s="103"/>
      <c r="AS42" s="104"/>
      <c r="AT42" s="104"/>
      <c r="AU42" s="104"/>
      <c r="AV42" s="104"/>
      <c r="AW42" s="104"/>
      <c r="AX42" s="104"/>
      <c r="AY42" s="104"/>
      <c r="AZ42" s="104"/>
      <c r="BA42" s="105"/>
    </row>
    <row r="43" spans="2:53" s="21" customFormat="1" ht="18" customHeight="1" x14ac:dyDescent="0.15">
      <c r="B43" s="115" t="s">
        <v>27</v>
      </c>
      <c r="C43" s="115"/>
      <c r="D43" s="115"/>
      <c r="E43" s="115"/>
      <c r="F43" s="115"/>
      <c r="G43" s="115"/>
      <c r="H43" s="115"/>
      <c r="I43" s="115">
        <v>153086000</v>
      </c>
      <c r="J43" s="115"/>
      <c r="K43" s="115"/>
      <c r="L43" s="115"/>
      <c r="M43" s="115">
        <v>1082000</v>
      </c>
      <c r="N43" s="115"/>
      <c r="O43" s="115"/>
      <c r="P43" s="115"/>
      <c r="Q43" s="115">
        <v>0</v>
      </c>
      <c r="R43" s="115"/>
      <c r="S43" s="68">
        <v>0</v>
      </c>
      <c r="T43" s="68"/>
      <c r="U43" s="68"/>
      <c r="V43" s="115">
        <v>0</v>
      </c>
      <c r="W43" s="115"/>
      <c r="X43" s="115">
        <f>SUM(I43:T44)</f>
        <v>154168000</v>
      </c>
      <c r="Y43" s="115"/>
      <c r="Z43" s="115"/>
      <c r="AA43" s="115"/>
      <c r="AB43" s="106">
        <v>0</v>
      </c>
      <c r="AC43" s="108"/>
      <c r="AD43" s="115">
        <f>SUM(X43:AC44)</f>
        <v>154168000</v>
      </c>
      <c r="AE43" s="115"/>
      <c r="AF43" s="115"/>
      <c r="AG43" s="115"/>
      <c r="AH43" s="106">
        <v>150634126</v>
      </c>
      <c r="AI43" s="107"/>
      <c r="AJ43" s="107"/>
      <c r="AK43" s="108"/>
      <c r="AL43" s="68">
        <v>0</v>
      </c>
      <c r="AM43" s="68"/>
      <c r="AN43" s="68">
        <f>AD43-AH43-AL43</f>
        <v>3533874</v>
      </c>
      <c r="AO43" s="68"/>
      <c r="AP43" s="68"/>
      <c r="AQ43" s="68"/>
      <c r="AR43" s="83" t="s">
        <v>59</v>
      </c>
      <c r="AS43" s="84"/>
      <c r="AT43" s="84"/>
      <c r="AU43" s="84"/>
      <c r="AV43" s="84"/>
      <c r="AW43" s="84"/>
      <c r="AX43" s="84"/>
      <c r="AY43" s="84"/>
      <c r="AZ43" s="84"/>
      <c r="BA43" s="85"/>
    </row>
    <row r="44" spans="2:53" s="21" customFormat="1" ht="18" customHeight="1" x14ac:dyDescent="0.15">
      <c r="B44" s="115"/>
      <c r="C44" s="115"/>
      <c r="D44" s="115"/>
      <c r="E44" s="115"/>
      <c r="F44" s="115"/>
      <c r="G44" s="115"/>
      <c r="H44" s="115"/>
      <c r="I44" s="115"/>
      <c r="J44" s="115"/>
      <c r="K44" s="115"/>
      <c r="L44" s="115"/>
      <c r="M44" s="115"/>
      <c r="N44" s="115"/>
      <c r="O44" s="115"/>
      <c r="P44" s="115"/>
      <c r="Q44" s="115"/>
      <c r="R44" s="115"/>
      <c r="S44" s="68"/>
      <c r="T44" s="68"/>
      <c r="U44" s="68"/>
      <c r="V44" s="115"/>
      <c r="W44" s="115"/>
      <c r="X44" s="115"/>
      <c r="Y44" s="115"/>
      <c r="Z44" s="115"/>
      <c r="AA44" s="115"/>
      <c r="AB44" s="109"/>
      <c r="AC44" s="111"/>
      <c r="AD44" s="115"/>
      <c r="AE44" s="115"/>
      <c r="AF44" s="115"/>
      <c r="AG44" s="115"/>
      <c r="AH44" s="109"/>
      <c r="AI44" s="110"/>
      <c r="AJ44" s="110"/>
      <c r="AK44" s="111"/>
      <c r="AL44" s="68"/>
      <c r="AM44" s="68"/>
      <c r="AN44" s="68"/>
      <c r="AO44" s="68"/>
      <c r="AP44" s="68"/>
      <c r="AQ44" s="68"/>
      <c r="AR44" s="158" t="s">
        <v>82</v>
      </c>
      <c r="AS44" s="159"/>
      <c r="AT44" s="159"/>
      <c r="AU44" s="159"/>
      <c r="AV44" s="159"/>
      <c r="AW44" s="159"/>
      <c r="AX44" s="159"/>
      <c r="AY44" s="159"/>
      <c r="AZ44" s="159"/>
      <c r="BA44" s="160"/>
    </row>
    <row r="45" spans="2:53" s="21" customFormat="1" ht="18" customHeight="1" x14ac:dyDescent="0.15">
      <c r="B45" s="115" t="s">
        <v>28</v>
      </c>
      <c r="C45" s="115"/>
      <c r="D45" s="115"/>
      <c r="E45" s="115"/>
      <c r="F45" s="115"/>
      <c r="G45" s="115"/>
      <c r="H45" s="115"/>
      <c r="I45" s="115">
        <v>7395000</v>
      </c>
      <c r="J45" s="115"/>
      <c r="K45" s="115"/>
      <c r="L45" s="115"/>
      <c r="M45" s="115">
        <v>1111000</v>
      </c>
      <c r="N45" s="115"/>
      <c r="O45" s="115"/>
      <c r="P45" s="115"/>
      <c r="Q45" s="115">
        <v>0</v>
      </c>
      <c r="R45" s="115"/>
      <c r="S45" s="68">
        <v>0</v>
      </c>
      <c r="T45" s="68"/>
      <c r="U45" s="68"/>
      <c r="V45" s="115">
        <v>0</v>
      </c>
      <c r="W45" s="115"/>
      <c r="X45" s="115">
        <f>SUM(I45:T46)</f>
        <v>8506000</v>
      </c>
      <c r="Y45" s="115"/>
      <c r="Z45" s="115"/>
      <c r="AA45" s="115"/>
      <c r="AB45" s="106">
        <v>0</v>
      </c>
      <c r="AC45" s="108"/>
      <c r="AD45" s="115">
        <f>SUM(X45:AC46)</f>
        <v>8506000</v>
      </c>
      <c r="AE45" s="115"/>
      <c r="AF45" s="115"/>
      <c r="AG45" s="115"/>
      <c r="AH45" s="106">
        <v>8504976</v>
      </c>
      <c r="AI45" s="107"/>
      <c r="AJ45" s="107"/>
      <c r="AK45" s="108"/>
      <c r="AL45" s="106">
        <v>0</v>
      </c>
      <c r="AM45" s="108"/>
      <c r="AN45" s="54">
        <f>AD45-AH45-AL45</f>
        <v>1024</v>
      </c>
      <c r="AO45" s="55"/>
      <c r="AP45" s="55"/>
      <c r="AQ45" s="70"/>
      <c r="AR45" s="83" t="s">
        <v>60</v>
      </c>
      <c r="AS45" s="84"/>
      <c r="AT45" s="84"/>
      <c r="AU45" s="84"/>
      <c r="AV45" s="84"/>
      <c r="AW45" s="84"/>
      <c r="AX45" s="84"/>
      <c r="AY45" s="84"/>
      <c r="AZ45" s="84"/>
      <c r="BA45" s="85"/>
    </row>
    <row r="46" spans="2:53" s="21" customFormat="1" ht="18" customHeight="1" x14ac:dyDescent="0.15">
      <c r="B46" s="115"/>
      <c r="C46" s="115"/>
      <c r="D46" s="115"/>
      <c r="E46" s="115"/>
      <c r="F46" s="115"/>
      <c r="G46" s="115"/>
      <c r="H46" s="115"/>
      <c r="I46" s="115"/>
      <c r="J46" s="115"/>
      <c r="K46" s="115"/>
      <c r="L46" s="115"/>
      <c r="M46" s="115"/>
      <c r="N46" s="115"/>
      <c r="O46" s="115"/>
      <c r="P46" s="115"/>
      <c r="Q46" s="115"/>
      <c r="R46" s="115"/>
      <c r="S46" s="68"/>
      <c r="T46" s="68"/>
      <c r="U46" s="68"/>
      <c r="V46" s="115"/>
      <c r="W46" s="115"/>
      <c r="X46" s="115"/>
      <c r="Y46" s="115"/>
      <c r="Z46" s="115"/>
      <c r="AA46" s="115"/>
      <c r="AB46" s="109"/>
      <c r="AC46" s="111"/>
      <c r="AD46" s="115"/>
      <c r="AE46" s="115"/>
      <c r="AF46" s="115"/>
      <c r="AG46" s="115"/>
      <c r="AH46" s="109"/>
      <c r="AI46" s="110"/>
      <c r="AJ46" s="110"/>
      <c r="AK46" s="111"/>
      <c r="AL46" s="109"/>
      <c r="AM46" s="111"/>
      <c r="AN46" s="56"/>
      <c r="AO46" s="57"/>
      <c r="AP46" s="57"/>
      <c r="AQ46" s="71"/>
      <c r="AR46" s="158" t="s">
        <v>86</v>
      </c>
      <c r="AS46" s="159"/>
      <c r="AT46" s="159"/>
      <c r="AU46" s="159"/>
      <c r="AV46" s="159"/>
      <c r="AW46" s="159"/>
      <c r="AX46" s="159"/>
      <c r="AY46" s="159"/>
      <c r="AZ46" s="159"/>
      <c r="BA46" s="160"/>
    </row>
    <row r="47" spans="2:53" s="21" customFormat="1" ht="18" customHeight="1" x14ac:dyDescent="0.15">
      <c r="B47" s="115" t="s">
        <v>29</v>
      </c>
      <c r="C47" s="115"/>
      <c r="D47" s="115"/>
      <c r="E47" s="115"/>
      <c r="F47" s="115"/>
      <c r="G47" s="115"/>
      <c r="H47" s="115"/>
      <c r="I47" s="115">
        <v>500000</v>
      </c>
      <c r="J47" s="115"/>
      <c r="K47" s="115"/>
      <c r="L47" s="115"/>
      <c r="M47" s="204"/>
      <c r="N47" s="204"/>
      <c r="O47" s="204"/>
      <c r="P47" s="204"/>
      <c r="Q47" s="115">
        <v>0</v>
      </c>
      <c r="R47" s="115"/>
      <c r="S47" s="68">
        <v>0</v>
      </c>
      <c r="T47" s="68"/>
      <c r="U47" s="68"/>
      <c r="V47" s="115">
        <v>0</v>
      </c>
      <c r="W47" s="115"/>
      <c r="X47" s="115">
        <f>SUM(I47:T48)</f>
        <v>500000</v>
      </c>
      <c r="Y47" s="115"/>
      <c r="Z47" s="115"/>
      <c r="AA47" s="115"/>
      <c r="AB47" s="106">
        <v>0</v>
      </c>
      <c r="AC47" s="108"/>
      <c r="AD47" s="115">
        <f>SUM(X47:AC48)</f>
        <v>500000</v>
      </c>
      <c r="AE47" s="115"/>
      <c r="AF47" s="115"/>
      <c r="AG47" s="115"/>
      <c r="AH47" s="106">
        <v>0</v>
      </c>
      <c r="AI47" s="107"/>
      <c r="AJ47" s="107"/>
      <c r="AK47" s="108"/>
      <c r="AL47" s="106">
        <v>0</v>
      </c>
      <c r="AM47" s="108"/>
      <c r="AN47" s="54">
        <f>AD47-AH47-AL47</f>
        <v>500000</v>
      </c>
      <c r="AO47" s="55"/>
      <c r="AP47" s="55"/>
      <c r="AQ47" s="70"/>
      <c r="AR47" s="58"/>
      <c r="AS47" s="59"/>
      <c r="AT47" s="59"/>
      <c r="AU47" s="59"/>
      <c r="AV47" s="59"/>
      <c r="AW47" s="59"/>
      <c r="AX47" s="59"/>
      <c r="AY47" s="59"/>
      <c r="AZ47" s="59"/>
      <c r="BA47" s="60"/>
    </row>
    <row r="48" spans="2:53" s="21" customFormat="1" ht="18" customHeight="1" x14ac:dyDescent="0.15">
      <c r="B48" s="115"/>
      <c r="C48" s="115"/>
      <c r="D48" s="115"/>
      <c r="E48" s="115"/>
      <c r="F48" s="115"/>
      <c r="G48" s="115"/>
      <c r="H48" s="115"/>
      <c r="I48" s="115"/>
      <c r="J48" s="115"/>
      <c r="K48" s="115"/>
      <c r="L48" s="115"/>
      <c r="M48" s="204"/>
      <c r="N48" s="204"/>
      <c r="O48" s="204"/>
      <c r="P48" s="204"/>
      <c r="Q48" s="115"/>
      <c r="R48" s="115"/>
      <c r="S48" s="68"/>
      <c r="T48" s="68"/>
      <c r="U48" s="68"/>
      <c r="V48" s="115"/>
      <c r="W48" s="115"/>
      <c r="X48" s="115"/>
      <c r="Y48" s="115"/>
      <c r="Z48" s="115"/>
      <c r="AA48" s="115"/>
      <c r="AB48" s="109"/>
      <c r="AC48" s="111"/>
      <c r="AD48" s="115"/>
      <c r="AE48" s="115"/>
      <c r="AF48" s="115"/>
      <c r="AG48" s="115"/>
      <c r="AH48" s="109"/>
      <c r="AI48" s="110"/>
      <c r="AJ48" s="110"/>
      <c r="AK48" s="111"/>
      <c r="AL48" s="109"/>
      <c r="AM48" s="111"/>
      <c r="AN48" s="56"/>
      <c r="AO48" s="57"/>
      <c r="AP48" s="57"/>
      <c r="AQ48" s="71"/>
      <c r="AR48" s="61"/>
      <c r="AS48" s="62"/>
      <c r="AT48" s="62"/>
      <c r="AU48" s="62"/>
      <c r="AV48" s="62"/>
      <c r="AW48" s="62"/>
      <c r="AX48" s="62"/>
      <c r="AY48" s="62"/>
      <c r="AZ48" s="62"/>
      <c r="BA48" s="63"/>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row>
    <row r="52" spans="2:83" s="25" customFormat="1" ht="13.5" customHeight="1" x14ac:dyDescent="0.15">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row>
    <row r="53" spans="2:83" s="25" customFormat="1" ht="13.5" customHeight="1" x14ac:dyDescent="0.15">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row>
    <row r="54" spans="2:83" s="25" customFormat="1" ht="13.5" customHeight="1" x14ac:dyDescent="0.15">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row>
    <row r="55" spans="2:83" s="25" customFormat="1" ht="13.5" customHeight="1" x14ac:dyDescent="0.15">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row>
    <row r="56" spans="2:83" s="25" customFormat="1" ht="13.5" customHeight="1" x14ac:dyDescent="0.15">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row>
    <row r="57" spans="2:83" s="25" customFormat="1" ht="12" customHeight="1" x14ac:dyDescent="0.15">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row>
    <row r="58" spans="2:83" s="25" customFormat="1" ht="13.5" hidden="1" customHeight="1" x14ac:dyDescent="0.15">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6"/>
      <c r="BV58" s="36"/>
      <c r="BW58" s="36"/>
      <c r="BX58" s="36"/>
      <c r="BY58" s="36"/>
      <c r="BZ58" s="36"/>
      <c r="CA58" s="36"/>
      <c r="CB58" s="36"/>
      <c r="CC58" s="36"/>
      <c r="CD58" s="36"/>
      <c r="CE58" s="36"/>
    </row>
    <row r="59" spans="2:83" s="25" customFormat="1" ht="13.5" hidden="1" customHeight="1" x14ac:dyDescent="0.15">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row>
    <row r="60" spans="2:83" s="25" customFormat="1" ht="13.5" customHeight="1" x14ac:dyDescent="0.15">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row>
    <row r="61" spans="2:83" s="25" customFormat="1" ht="13.5" customHeight="1" x14ac:dyDescent="0.15">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row>
    <row r="62" spans="2:83" s="25" customFormat="1" ht="13.5" customHeight="1" x14ac:dyDescent="0.15">
      <c r="B62" s="156" t="s">
        <v>30</v>
      </c>
      <c r="C62" s="156"/>
      <c r="D62" s="156"/>
      <c r="E62" s="156"/>
      <c r="F62" s="156"/>
      <c r="G62" s="156"/>
      <c r="H62" s="156"/>
      <c r="I62" s="156"/>
      <c r="J62" s="156"/>
      <c r="K62" s="156"/>
      <c r="L62" s="156"/>
      <c r="M62" s="156"/>
      <c r="N62" s="156"/>
      <c r="O62" s="36"/>
      <c r="P62" s="36"/>
      <c r="Q62" s="36"/>
      <c r="R62" s="36"/>
      <c r="S62" s="36"/>
      <c r="T62" s="36"/>
      <c r="U62" s="36"/>
      <c r="V62" s="36"/>
      <c r="W62" s="36"/>
      <c r="X62" s="36"/>
      <c r="Y62" s="36"/>
      <c r="Z62" s="36"/>
      <c r="AA62" s="36"/>
      <c r="AB62" s="36"/>
      <c r="AC62" s="36"/>
      <c r="AD62" s="36"/>
      <c r="AE62" s="36"/>
      <c r="AF62" s="36"/>
      <c r="AG62" s="36"/>
      <c r="AH62" s="36"/>
      <c r="AI62" s="36"/>
      <c r="AJ62" s="36"/>
      <c r="AK62" s="20"/>
      <c r="AL62" s="20"/>
      <c r="AM62" s="20"/>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c r="BS62" s="36"/>
      <c r="BT62" s="36"/>
      <c r="BU62" s="36"/>
      <c r="BV62" s="36"/>
      <c r="BW62" s="36"/>
      <c r="BX62" s="36"/>
      <c r="BY62" s="36"/>
      <c r="BZ62" s="36"/>
      <c r="CA62" s="36"/>
      <c r="CB62" s="36"/>
      <c r="CC62" s="36"/>
      <c r="CD62" s="36"/>
    </row>
    <row r="63" spans="2:83" s="25" customFormat="1" ht="13.5" customHeight="1" x14ac:dyDescent="0.15">
      <c r="B63" s="156"/>
      <c r="C63" s="156"/>
      <c r="D63" s="156"/>
      <c r="E63" s="156"/>
      <c r="F63" s="156"/>
      <c r="G63" s="156"/>
      <c r="H63" s="156"/>
      <c r="I63" s="156"/>
      <c r="J63" s="156"/>
      <c r="K63" s="156"/>
      <c r="L63" s="156"/>
      <c r="M63" s="156"/>
      <c r="N63" s="156"/>
      <c r="O63" s="20"/>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20"/>
      <c r="AP63" s="20"/>
      <c r="AQ63" s="20"/>
      <c r="AR63" s="26"/>
      <c r="AS63" s="26"/>
      <c r="AT63" s="26"/>
      <c r="AU63" s="26"/>
      <c r="AV63" s="26"/>
      <c r="AW63" s="26"/>
      <c r="AX63" s="26"/>
      <c r="AY63" s="26"/>
      <c r="AZ63" s="26"/>
      <c r="BA63" s="2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row>
    <row r="64" spans="2:83" s="25" customFormat="1" ht="13.5" customHeight="1" x14ac:dyDescent="0.15">
      <c r="B64" s="136" t="s">
        <v>1</v>
      </c>
      <c r="C64" s="136"/>
      <c r="D64" s="136"/>
      <c r="E64" s="136"/>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row>
    <row r="65" spans="2:82" s="25" customFormat="1" ht="13.5" customHeight="1" x14ac:dyDescent="0.15">
      <c r="B65" s="137"/>
      <c r="C65" s="137"/>
      <c r="D65" s="137"/>
      <c r="E65" s="137"/>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7" t="s">
        <v>47</v>
      </c>
      <c r="AV65" s="157"/>
      <c r="AW65" s="157"/>
      <c r="AX65" s="157"/>
      <c r="AY65" s="157"/>
      <c r="AZ65" s="157"/>
      <c r="BA65" s="157"/>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row>
    <row r="66" spans="2:82" s="21" customFormat="1" ht="13.5" customHeight="1" x14ac:dyDescent="0.15">
      <c r="B66" s="91" t="s">
        <v>2</v>
      </c>
      <c r="C66" s="92"/>
      <c r="D66" s="92"/>
      <c r="E66" s="92"/>
      <c r="F66" s="92"/>
      <c r="G66" s="92"/>
      <c r="H66" s="92"/>
      <c r="I66" s="91" t="s">
        <v>14</v>
      </c>
      <c r="J66" s="92"/>
      <c r="K66" s="92"/>
      <c r="L66" s="92"/>
      <c r="M66" s="92"/>
      <c r="N66" s="92"/>
      <c r="O66" s="92"/>
      <c r="P66" s="92"/>
      <c r="Q66" s="92"/>
      <c r="R66" s="92"/>
      <c r="S66" s="92"/>
      <c r="T66" s="92"/>
      <c r="U66" s="92"/>
      <c r="V66" s="92"/>
      <c r="W66" s="92"/>
      <c r="X66" s="92"/>
      <c r="Y66" s="92"/>
      <c r="Z66" s="92"/>
      <c r="AA66" s="92"/>
      <c r="AB66" s="92"/>
      <c r="AC66" s="92"/>
      <c r="AD66" s="92"/>
      <c r="AE66" s="114" t="s">
        <v>4</v>
      </c>
      <c r="AF66" s="114"/>
      <c r="AG66" s="114"/>
      <c r="AH66" s="114"/>
      <c r="AI66" s="100" t="s">
        <v>48</v>
      </c>
      <c r="AJ66" s="101"/>
      <c r="AK66" s="101"/>
      <c r="AL66" s="101"/>
      <c r="AM66" s="114" t="s">
        <v>6</v>
      </c>
      <c r="AN66" s="114"/>
      <c r="AO66" s="114"/>
      <c r="AP66" s="114"/>
      <c r="AQ66" s="114"/>
      <c r="AR66" s="114"/>
      <c r="AS66" s="114"/>
      <c r="AT66" s="114"/>
      <c r="AU66" s="114"/>
      <c r="AV66" s="114"/>
      <c r="AW66" s="114"/>
      <c r="AX66" s="114"/>
      <c r="AY66" s="114"/>
      <c r="AZ66" s="114"/>
      <c r="BA66" s="114"/>
    </row>
    <row r="67" spans="2:82" s="21" customFormat="1" ht="13.5" customHeight="1" x14ac:dyDescent="0.15">
      <c r="B67" s="94"/>
      <c r="C67" s="95"/>
      <c r="D67" s="95"/>
      <c r="E67" s="95"/>
      <c r="F67" s="95"/>
      <c r="G67" s="95"/>
      <c r="H67" s="95"/>
      <c r="I67" s="97"/>
      <c r="J67" s="98"/>
      <c r="K67" s="98"/>
      <c r="L67" s="98"/>
      <c r="M67" s="98"/>
      <c r="N67" s="98"/>
      <c r="O67" s="98"/>
      <c r="P67" s="98"/>
      <c r="Q67" s="98"/>
      <c r="R67" s="98"/>
      <c r="S67" s="98"/>
      <c r="T67" s="98"/>
      <c r="U67" s="98"/>
      <c r="V67" s="98"/>
      <c r="W67" s="98"/>
      <c r="X67" s="98"/>
      <c r="Y67" s="98"/>
      <c r="Z67" s="98"/>
      <c r="AA67" s="98"/>
      <c r="AB67" s="98"/>
      <c r="AC67" s="98"/>
      <c r="AD67" s="98"/>
      <c r="AE67" s="114"/>
      <c r="AF67" s="114"/>
      <c r="AG67" s="114"/>
      <c r="AH67" s="114"/>
      <c r="AI67" s="112"/>
      <c r="AJ67" s="113"/>
      <c r="AK67" s="113"/>
      <c r="AL67" s="113"/>
      <c r="AM67" s="114"/>
      <c r="AN67" s="114"/>
      <c r="AO67" s="114"/>
      <c r="AP67" s="114"/>
      <c r="AQ67" s="114"/>
      <c r="AR67" s="114"/>
      <c r="AS67" s="114"/>
      <c r="AT67" s="114"/>
      <c r="AU67" s="114"/>
      <c r="AV67" s="114"/>
      <c r="AW67" s="114"/>
      <c r="AX67" s="114"/>
      <c r="AY67" s="114"/>
      <c r="AZ67" s="114"/>
      <c r="BA67" s="114"/>
    </row>
    <row r="68" spans="2:82" s="21" customFormat="1" ht="13.5" customHeight="1" x14ac:dyDescent="0.15">
      <c r="B68" s="94"/>
      <c r="C68" s="95"/>
      <c r="D68" s="95"/>
      <c r="E68" s="95"/>
      <c r="F68" s="95"/>
      <c r="G68" s="95"/>
      <c r="H68" s="95"/>
      <c r="I68" s="91" t="s">
        <v>7</v>
      </c>
      <c r="J68" s="92"/>
      <c r="K68" s="92"/>
      <c r="L68" s="93"/>
      <c r="M68" s="91" t="s">
        <v>8</v>
      </c>
      <c r="N68" s="92"/>
      <c r="O68" s="92"/>
      <c r="P68" s="93"/>
      <c r="Q68" s="91" t="s">
        <v>31</v>
      </c>
      <c r="R68" s="92"/>
      <c r="S68" s="92"/>
      <c r="T68" s="93"/>
      <c r="U68" s="141" t="s">
        <v>32</v>
      </c>
      <c r="V68" s="142"/>
      <c r="W68" s="143"/>
      <c r="X68" s="141" t="s">
        <v>33</v>
      </c>
      <c r="Y68" s="142"/>
      <c r="Z68" s="143"/>
      <c r="AA68" s="150" t="s">
        <v>9</v>
      </c>
      <c r="AB68" s="151"/>
      <c r="AC68" s="151"/>
      <c r="AD68" s="151"/>
      <c r="AE68" s="114"/>
      <c r="AF68" s="114"/>
      <c r="AG68" s="114"/>
      <c r="AH68" s="114"/>
      <c r="AI68" s="112"/>
      <c r="AJ68" s="113"/>
      <c r="AK68" s="113"/>
      <c r="AL68" s="113"/>
      <c r="AM68" s="114"/>
      <c r="AN68" s="114"/>
      <c r="AO68" s="114"/>
      <c r="AP68" s="114"/>
      <c r="AQ68" s="114"/>
      <c r="AR68" s="114"/>
      <c r="AS68" s="114"/>
      <c r="AT68" s="114"/>
      <c r="AU68" s="114"/>
      <c r="AV68" s="114"/>
      <c r="AW68" s="114"/>
      <c r="AX68" s="114"/>
      <c r="AY68" s="114"/>
      <c r="AZ68" s="114"/>
      <c r="BA68" s="114"/>
    </row>
    <row r="69" spans="2:82" s="21" customFormat="1" ht="13.5" customHeight="1" x14ac:dyDescent="0.15">
      <c r="B69" s="94"/>
      <c r="C69" s="95"/>
      <c r="D69" s="95"/>
      <c r="E69" s="95"/>
      <c r="F69" s="95"/>
      <c r="G69" s="95"/>
      <c r="H69" s="95"/>
      <c r="I69" s="94"/>
      <c r="J69" s="95"/>
      <c r="K69" s="95"/>
      <c r="L69" s="96"/>
      <c r="M69" s="94"/>
      <c r="N69" s="95"/>
      <c r="O69" s="95"/>
      <c r="P69" s="96"/>
      <c r="Q69" s="94"/>
      <c r="R69" s="95"/>
      <c r="S69" s="95"/>
      <c r="T69" s="96"/>
      <c r="U69" s="144"/>
      <c r="V69" s="145"/>
      <c r="W69" s="146"/>
      <c r="X69" s="144"/>
      <c r="Y69" s="145"/>
      <c r="Z69" s="146"/>
      <c r="AA69" s="152"/>
      <c r="AB69" s="153"/>
      <c r="AC69" s="153"/>
      <c r="AD69" s="153"/>
      <c r="AE69" s="114"/>
      <c r="AF69" s="114"/>
      <c r="AG69" s="114"/>
      <c r="AH69" s="114"/>
      <c r="AI69" s="112"/>
      <c r="AJ69" s="113"/>
      <c r="AK69" s="113"/>
      <c r="AL69" s="113"/>
      <c r="AM69" s="114"/>
      <c r="AN69" s="114"/>
      <c r="AO69" s="114"/>
      <c r="AP69" s="114"/>
      <c r="AQ69" s="114"/>
      <c r="AR69" s="114"/>
      <c r="AS69" s="114"/>
      <c r="AT69" s="114"/>
      <c r="AU69" s="114"/>
      <c r="AV69" s="114"/>
      <c r="AW69" s="114"/>
      <c r="AX69" s="114"/>
      <c r="AY69" s="114"/>
      <c r="AZ69" s="114"/>
      <c r="BA69" s="114"/>
    </row>
    <row r="70" spans="2:82" s="21" customFormat="1" ht="13.5" customHeight="1" x14ac:dyDescent="0.15">
      <c r="B70" s="94"/>
      <c r="C70" s="95"/>
      <c r="D70" s="95"/>
      <c r="E70" s="95"/>
      <c r="F70" s="95"/>
      <c r="G70" s="95"/>
      <c r="H70" s="95"/>
      <c r="I70" s="94"/>
      <c r="J70" s="95"/>
      <c r="K70" s="95"/>
      <c r="L70" s="96"/>
      <c r="M70" s="94"/>
      <c r="N70" s="95"/>
      <c r="O70" s="95"/>
      <c r="P70" s="96"/>
      <c r="Q70" s="94"/>
      <c r="R70" s="95"/>
      <c r="S70" s="95"/>
      <c r="T70" s="96"/>
      <c r="U70" s="144"/>
      <c r="V70" s="145"/>
      <c r="W70" s="146"/>
      <c r="X70" s="144"/>
      <c r="Y70" s="145"/>
      <c r="Z70" s="146"/>
      <c r="AA70" s="152"/>
      <c r="AB70" s="153"/>
      <c r="AC70" s="153"/>
      <c r="AD70" s="153"/>
      <c r="AE70" s="114"/>
      <c r="AF70" s="114"/>
      <c r="AG70" s="114"/>
      <c r="AH70" s="114"/>
      <c r="AI70" s="112"/>
      <c r="AJ70" s="113"/>
      <c r="AK70" s="113"/>
      <c r="AL70" s="113"/>
      <c r="AM70" s="114"/>
      <c r="AN70" s="114"/>
      <c r="AO70" s="114"/>
      <c r="AP70" s="114"/>
      <c r="AQ70" s="114"/>
      <c r="AR70" s="114"/>
      <c r="AS70" s="114"/>
      <c r="AT70" s="114"/>
      <c r="AU70" s="114"/>
      <c r="AV70" s="114"/>
      <c r="AW70" s="114"/>
      <c r="AX70" s="114"/>
      <c r="AY70" s="114"/>
      <c r="AZ70" s="114"/>
      <c r="BA70" s="114"/>
    </row>
    <row r="71" spans="2:82" s="21" customFormat="1" ht="13.5" customHeight="1" x14ac:dyDescent="0.15">
      <c r="B71" s="97"/>
      <c r="C71" s="98"/>
      <c r="D71" s="98"/>
      <c r="E71" s="98"/>
      <c r="F71" s="98"/>
      <c r="G71" s="98"/>
      <c r="H71" s="98"/>
      <c r="I71" s="97"/>
      <c r="J71" s="98"/>
      <c r="K71" s="98"/>
      <c r="L71" s="99"/>
      <c r="M71" s="97"/>
      <c r="N71" s="98"/>
      <c r="O71" s="98"/>
      <c r="P71" s="99"/>
      <c r="Q71" s="97"/>
      <c r="R71" s="98"/>
      <c r="S71" s="98"/>
      <c r="T71" s="99"/>
      <c r="U71" s="147"/>
      <c r="V71" s="148"/>
      <c r="W71" s="149"/>
      <c r="X71" s="147"/>
      <c r="Y71" s="148"/>
      <c r="Z71" s="149"/>
      <c r="AA71" s="154"/>
      <c r="AB71" s="155"/>
      <c r="AC71" s="155"/>
      <c r="AD71" s="155"/>
      <c r="AE71" s="114"/>
      <c r="AF71" s="114"/>
      <c r="AG71" s="114"/>
      <c r="AH71" s="114"/>
      <c r="AI71" s="103"/>
      <c r="AJ71" s="104"/>
      <c r="AK71" s="104"/>
      <c r="AL71" s="104"/>
      <c r="AM71" s="114"/>
      <c r="AN71" s="114"/>
      <c r="AO71" s="114"/>
      <c r="AP71" s="114"/>
      <c r="AQ71" s="114"/>
      <c r="AR71" s="114"/>
      <c r="AS71" s="114"/>
      <c r="AT71" s="114"/>
      <c r="AU71" s="114"/>
      <c r="AV71" s="114"/>
      <c r="AW71" s="114"/>
      <c r="AX71" s="114"/>
      <c r="AY71" s="114"/>
      <c r="AZ71" s="114"/>
      <c r="BA71" s="114"/>
    </row>
    <row r="72" spans="2:82" s="21" customFormat="1" ht="18" customHeight="1" x14ac:dyDescent="0.15">
      <c r="B72" s="106" t="s">
        <v>34</v>
      </c>
      <c r="C72" s="107"/>
      <c r="D72" s="107"/>
      <c r="E72" s="107"/>
      <c r="F72" s="107"/>
      <c r="G72" s="107"/>
      <c r="H72" s="107"/>
      <c r="I72" s="106">
        <f>SUM(I74:L79)</f>
        <v>57001000</v>
      </c>
      <c r="J72" s="107"/>
      <c r="K72" s="107"/>
      <c r="L72" s="108"/>
      <c r="M72" s="54">
        <f>SUM(M74:P79)</f>
        <v>-17800000</v>
      </c>
      <c r="N72" s="55"/>
      <c r="O72" s="55"/>
      <c r="P72" s="70"/>
      <c r="Q72" s="54">
        <f>SUM(Q74:T79)</f>
        <v>39201000</v>
      </c>
      <c r="R72" s="55"/>
      <c r="S72" s="55"/>
      <c r="T72" s="70"/>
      <c r="U72" s="106">
        <f>SUM(U74:W79)</f>
        <v>0</v>
      </c>
      <c r="V72" s="107"/>
      <c r="W72" s="108"/>
      <c r="X72" s="106">
        <f>SUM(X74:Z79)</f>
        <v>0</v>
      </c>
      <c r="Y72" s="107"/>
      <c r="Z72" s="108"/>
      <c r="AA72" s="106">
        <f>SUM(AA74:AD79)</f>
        <v>39201000</v>
      </c>
      <c r="AB72" s="107"/>
      <c r="AC72" s="107"/>
      <c r="AD72" s="107"/>
      <c r="AE72" s="115">
        <f>SUM(AE74:AH79)</f>
        <v>38560000</v>
      </c>
      <c r="AF72" s="115"/>
      <c r="AG72" s="115"/>
      <c r="AH72" s="115"/>
      <c r="AI72" s="115">
        <f>SUM(AI74:AL79)</f>
        <v>-641000</v>
      </c>
      <c r="AJ72" s="115"/>
      <c r="AK72" s="115"/>
      <c r="AL72" s="115"/>
      <c r="AM72" s="139"/>
      <c r="AN72" s="139"/>
      <c r="AO72" s="139"/>
      <c r="AP72" s="139"/>
      <c r="AQ72" s="139"/>
      <c r="AR72" s="139"/>
      <c r="AS72" s="139"/>
      <c r="AT72" s="139"/>
      <c r="AU72" s="139"/>
      <c r="AV72" s="139"/>
      <c r="AW72" s="139"/>
      <c r="AX72" s="139"/>
      <c r="AY72" s="139"/>
      <c r="AZ72" s="139"/>
      <c r="BA72" s="139"/>
    </row>
    <row r="73" spans="2:82" s="21" customFormat="1" ht="18" customHeight="1" x14ac:dyDescent="0.15">
      <c r="B73" s="109"/>
      <c r="C73" s="110"/>
      <c r="D73" s="110"/>
      <c r="E73" s="110"/>
      <c r="F73" s="110"/>
      <c r="G73" s="110"/>
      <c r="H73" s="110"/>
      <c r="I73" s="109"/>
      <c r="J73" s="110"/>
      <c r="K73" s="110"/>
      <c r="L73" s="111"/>
      <c r="M73" s="56"/>
      <c r="N73" s="57"/>
      <c r="O73" s="57"/>
      <c r="P73" s="71"/>
      <c r="Q73" s="56"/>
      <c r="R73" s="57"/>
      <c r="S73" s="57"/>
      <c r="T73" s="71"/>
      <c r="U73" s="109"/>
      <c r="V73" s="110"/>
      <c r="W73" s="111"/>
      <c r="X73" s="109"/>
      <c r="Y73" s="110"/>
      <c r="Z73" s="111"/>
      <c r="AA73" s="109"/>
      <c r="AB73" s="110"/>
      <c r="AC73" s="110"/>
      <c r="AD73" s="110"/>
      <c r="AE73" s="115"/>
      <c r="AF73" s="115"/>
      <c r="AG73" s="115"/>
      <c r="AH73" s="115"/>
      <c r="AI73" s="115"/>
      <c r="AJ73" s="115"/>
      <c r="AK73" s="115"/>
      <c r="AL73" s="115"/>
      <c r="AM73" s="139"/>
      <c r="AN73" s="139"/>
      <c r="AO73" s="139"/>
      <c r="AP73" s="139"/>
      <c r="AQ73" s="139"/>
      <c r="AR73" s="139"/>
      <c r="AS73" s="139"/>
      <c r="AT73" s="139"/>
      <c r="AU73" s="139"/>
      <c r="AV73" s="139"/>
      <c r="AW73" s="139"/>
      <c r="AX73" s="139"/>
      <c r="AY73" s="139"/>
      <c r="AZ73" s="139"/>
      <c r="BA73" s="139"/>
    </row>
    <row r="74" spans="2:82" s="21" customFormat="1" ht="18" customHeight="1" x14ac:dyDescent="0.15">
      <c r="B74" s="106" t="s">
        <v>35</v>
      </c>
      <c r="C74" s="107"/>
      <c r="D74" s="107"/>
      <c r="E74" s="107"/>
      <c r="F74" s="107"/>
      <c r="G74" s="107"/>
      <c r="H74" s="107"/>
      <c r="I74" s="106">
        <v>1401000</v>
      </c>
      <c r="J74" s="107"/>
      <c r="K74" s="107"/>
      <c r="L74" s="108"/>
      <c r="M74" s="106">
        <v>-300000</v>
      </c>
      <c r="N74" s="107"/>
      <c r="O74" s="107"/>
      <c r="P74" s="108"/>
      <c r="Q74" s="54">
        <f>SUM(I74:P75)</f>
        <v>1101000</v>
      </c>
      <c r="R74" s="55"/>
      <c r="S74" s="55"/>
      <c r="T74" s="70"/>
      <c r="U74" s="106">
        <f>SUM(X80:Z81)</f>
        <v>0</v>
      </c>
      <c r="V74" s="107"/>
      <c r="W74" s="108"/>
      <c r="X74" s="106">
        <v>0</v>
      </c>
      <c r="Y74" s="107"/>
      <c r="Z74" s="108"/>
      <c r="AA74" s="106">
        <f>SUM(Q74:Z75)</f>
        <v>1101000</v>
      </c>
      <c r="AB74" s="107"/>
      <c r="AC74" s="107"/>
      <c r="AD74" s="107"/>
      <c r="AE74" s="115">
        <v>660000</v>
      </c>
      <c r="AF74" s="115"/>
      <c r="AG74" s="115"/>
      <c r="AH74" s="115"/>
      <c r="AI74" s="106">
        <f>AE74-AA74</f>
        <v>-441000</v>
      </c>
      <c r="AJ74" s="107"/>
      <c r="AK74" s="107"/>
      <c r="AL74" s="107"/>
      <c r="AM74" s="140" t="s">
        <v>83</v>
      </c>
      <c r="AN74" s="140"/>
      <c r="AO74" s="140"/>
      <c r="AP74" s="140"/>
      <c r="AQ74" s="140"/>
      <c r="AR74" s="140"/>
      <c r="AS74" s="140"/>
      <c r="AT74" s="140"/>
      <c r="AU74" s="140"/>
      <c r="AV74" s="140"/>
      <c r="AW74" s="140"/>
      <c r="AX74" s="140"/>
      <c r="AY74" s="140"/>
      <c r="AZ74" s="140"/>
      <c r="BA74" s="140"/>
    </row>
    <row r="75" spans="2:82" s="21" customFormat="1" ht="18" customHeight="1" x14ac:dyDescent="0.15">
      <c r="B75" s="109"/>
      <c r="C75" s="110"/>
      <c r="D75" s="110"/>
      <c r="E75" s="110"/>
      <c r="F75" s="110"/>
      <c r="G75" s="110"/>
      <c r="H75" s="110"/>
      <c r="I75" s="109"/>
      <c r="J75" s="110"/>
      <c r="K75" s="110"/>
      <c r="L75" s="111"/>
      <c r="M75" s="109"/>
      <c r="N75" s="110"/>
      <c r="O75" s="110"/>
      <c r="P75" s="111"/>
      <c r="Q75" s="56"/>
      <c r="R75" s="57"/>
      <c r="S75" s="57"/>
      <c r="T75" s="71"/>
      <c r="U75" s="109"/>
      <c r="V75" s="110"/>
      <c r="W75" s="111"/>
      <c r="X75" s="109"/>
      <c r="Y75" s="110"/>
      <c r="Z75" s="111"/>
      <c r="AA75" s="109"/>
      <c r="AB75" s="110"/>
      <c r="AC75" s="110"/>
      <c r="AD75" s="110"/>
      <c r="AE75" s="115"/>
      <c r="AF75" s="115"/>
      <c r="AG75" s="115"/>
      <c r="AH75" s="115"/>
      <c r="AI75" s="109"/>
      <c r="AJ75" s="110"/>
      <c r="AK75" s="110"/>
      <c r="AL75" s="110"/>
      <c r="AM75" s="140"/>
      <c r="AN75" s="140"/>
      <c r="AO75" s="140"/>
      <c r="AP75" s="140"/>
      <c r="AQ75" s="140"/>
      <c r="AR75" s="140"/>
      <c r="AS75" s="140"/>
      <c r="AT75" s="140"/>
      <c r="AU75" s="140"/>
      <c r="AV75" s="140"/>
      <c r="AW75" s="140"/>
      <c r="AX75" s="140"/>
      <c r="AY75" s="140"/>
      <c r="AZ75" s="140"/>
      <c r="BA75" s="140"/>
    </row>
    <row r="76" spans="2:82" s="21" customFormat="1" ht="18" customHeight="1" x14ac:dyDescent="0.15">
      <c r="B76" s="106" t="s">
        <v>51</v>
      </c>
      <c r="C76" s="107"/>
      <c r="D76" s="107"/>
      <c r="E76" s="107"/>
      <c r="F76" s="107"/>
      <c r="G76" s="107"/>
      <c r="H76" s="108"/>
      <c r="I76" s="106">
        <v>18000000</v>
      </c>
      <c r="J76" s="107"/>
      <c r="K76" s="107"/>
      <c r="L76" s="108"/>
      <c r="M76" s="54">
        <v>-4600000</v>
      </c>
      <c r="N76" s="55"/>
      <c r="O76" s="55"/>
      <c r="P76" s="70"/>
      <c r="Q76" s="54">
        <f>SUM(I76:P77)</f>
        <v>13400000</v>
      </c>
      <c r="R76" s="55"/>
      <c r="S76" s="55"/>
      <c r="T76" s="70"/>
      <c r="U76" s="106">
        <v>0</v>
      </c>
      <c r="V76" s="107"/>
      <c r="W76" s="108"/>
      <c r="X76" s="106">
        <v>0</v>
      </c>
      <c r="Y76" s="107"/>
      <c r="Z76" s="108"/>
      <c r="AA76" s="106">
        <f>SUM(Q76:Z77)</f>
        <v>13400000</v>
      </c>
      <c r="AB76" s="107"/>
      <c r="AC76" s="107"/>
      <c r="AD76" s="107"/>
      <c r="AE76" s="115">
        <v>13300000</v>
      </c>
      <c r="AF76" s="115"/>
      <c r="AG76" s="115"/>
      <c r="AH76" s="115"/>
      <c r="AI76" s="106">
        <f>AE76-AA76</f>
        <v>-100000</v>
      </c>
      <c r="AJ76" s="107"/>
      <c r="AK76" s="107"/>
      <c r="AL76" s="107"/>
      <c r="AM76" s="114"/>
      <c r="AN76" s="114"/>
      <c r="AO76" s="114"/>
      <c r="AP76" s="114"/>
      <c r="AQ76" s="114"/>
      <c r="AR76" s="114"/>
      <c r="AS76" s="114"/>
      <c r="AT76" s="114"/>
      <c r="AU76" s="114"/>
      <c r="AV76" s="114"/>
      <c r="AW76" s="114"/>
      <c r="AX76" s="114"/>
      <c r="AY76" s="114"/>
      <c r="AZ76" s="114"/>
      <c r="BA76" s="114"/>
    </row>
    <row r="77" spans="2:82" s="21" customFormat="1" ht="18" customHeight="1" x14ac:dyDescent="0.15">
      <c r="B77" s="109"/>
      <c r="C77" s="110"/>
      <c r="D77" s="110"/>
      <c r="E77" s="110"/>
      <c r="F77" s="110"/>
      <c r="G77" s="110"/>
      <c r="H77" s="111"/>
      <c r="I77" s="109"/>
      <c r="J77" s="110"/>
      <c r="K77" s="110"/>
      <c r="L77" s="111"/>
      <c r="M77" s="56"/>
      <c r="N77" s="57"/>
      <c r="O77" s="57"/>
      <c r="P77" s="71"/>
      <c r="Q77" s="56"/>
      <c r="R77" s="57"/>
      <c r="S77" s="57"/>
      <c r="T77" s="71"/>
      <c r="U77" s="109"/>
      <c r="V77" s="110"/>
      <c r="W77" s="111"/>
      <c r="X77" s="109"/>
      <c r="Y77" s="110"/>
      <c r="Z77" s="111"/>
      <c r="AA77" s="109"/>
      <c r="AB77" s="110"/>
      <c r="AC77" s="110"/>
      <c r="AD77" s="110"/>
      <c r="AE77" s="115"/>
      <c r="AF77" s="115"/>
      <c r="AG77" s="115"/>
      <c r="AH77" s="115"/>
      <c r="AI77" s="109"/>
      <c r="AJ77" s="110"/>
      <c r="AK77" s="110"/>
      <c r="AL77" s="110"/>
      <c r="AM77" s="114"/>
      <c r="AN77" s="114"/>
      <c r="AO77" s="114"/>
      <c r="AP77" s="114"/>
      <c r="AQ77" s="114"/>
      <c r="AR77" s="114"/>
      <c r="AS77" s="114"/>
      <c r="AT77" s="114"/>
      <c r="AU77" s="114"/>
      <c r="AV77" s="114"/>
      <c r="AW77" s="114"/>
      <c r="AX77" s="114"/>
      <c r="AY77" s="114"/>
      <c r="AZ77" s="114"/>
      <c r="BA77" s="114"/>
    </row>
    <row r="78" spans="2:82" s="21" customFormat="1" ht="18" customHeight="1" x14ac:dyDescent="0.15">
      <c r="B78" s="106" t="s">
        <v>52</v>
      </c>
      <c r="C78" s="107"/>
      <c r="D78" s="107"/>
      <c r="E78" s="107"/>
      <c r="F78" s="107"/>
      <c r="G78" s="107"/>
      <c r="H78" s="107"/>
      <c r="I78" s="106">
        <v>37600000</v>
      </c>
      <c r="J78" s="107"/>
      <c r="K78" s="107"/>
      <c r="L78" s="108"/>
      <c r="M78" s="106">
        <v>-12900000</v>
      </c>
      <c r="N78" s="107"/>
      <c r="O78" s="107"/>
      <c r="P78" s="108"/>
      <c r="Q78" s="54">
        <f>SUM(I78:P79)</f>
        <v>24700000</v>
      </c>
      <c r="R78" s="55"/>
      <c r="S78" s="55"/>
      <c r="T78" s="70"/>
      <c r="U78" s="106">
        <v>0</v>
      </c>
      <c r="V78" s="107"/>
      <c r="W78" s="108"/>
      <c r="X78" s="106">
        <v>0</v>
      </c>
      <c r="Y78" s="107"/>
      <c r="Z78" s="108"/>
      <c r="AA78" s="106">
        <f>SUM(Q78:Z79)</f>
        <v>24700000</v>
      </c>
      <c r="AB78" s="107"/>
      <c r="AC78" s="107"/>
      <c r="AD78" s="107"/>
      <c r="AE78" s="115">
        <v>24600000</v>
      </c>
      <c r="AF78" s="115"/>
      <c r="AG78" s="115"/>
      <c r="AH78" s="115"/>
      <c r="AI78" s="106">
        <f>AE78-AA78</f>
        <v>-100000</v>
      </c>
      <c r="AJ78" s="107"/>
      <c r="AK78" s="107"/>
      <c r="AL78" s="107"/>
      <c r="AM78" s="114"/>
      <c r="AN78" s="114"/>
      <c r="AO78" s="114"/>
      <c r="AP78" s="114"/>
      <c r="AQ78" s="114"/>
      <c r="AR78" s="114"/>
      <c r="AS78" s="114"/>
      <c r="AT78" s="114"/>
      <c r="AU78" s="114"/>
      <c r="AV78" s="114"/>
      <c r="AW78" s="114"/>
      <c r="AX78" s="114"/>
      <c r="AY78" s="114"/>
      <c r="AZ78" s="114"/>
      <c r="BA78" s="114"/>
    </row>
    <row r="79" spans="2:82" s="21" customFormat="1" ht="18" customHeight="1" x14ac:dyDescent="0.15">
      <c r="B79" s="109"/>
      <c r="C79" s="110"/>
      <c r="D79" s="110"/>
      <c r="E79" s="110"/>
      <c r="F79" s="110"/>
      <c r="G79" s="110"/>
      <c r="H79" s="110"/>
      <c r="I79" s="109"/>
      <c r="J79" s="110"/>
      <c r="K79" s="110"/>
      <c r="L79" s="111"/>
      <c r="M79" s="109"/>
      <c r="N79" s="110"/>
      <c r="O79" s="110"/>
      <c r="P79" s="111"/>
      <c r="Q79" s="56"/>
      <c r="R79" s="57"/>
      <c r="S79" s="57"/>
      <c r="T79" s="71"/>
      <c r="U79" s="109"/>
      <c r="V79" s="110"/>
      <c r="W79" s="111"/>
      <c r="X79" s="109"/>
      <c r="Y79" s="110"/>
      <c r="Z79" s="111"/>
      <c r="AA79" s="109"/>
      <c r="AB79" s="110"/>
      <c r="AC79" s="110"/>
      <c r="AD79" s="110"/>
      <c r="AE79" s="115"/>
      <c r="AF79" s="115"/>
      <c r="AG79" s="115"/>
      <c r="AH79" s="115"/>
      <c r="AI79" s="109"/>
      <c r="AJ79" s="110"/>
      <c r="AK79" s="110"/>
      <c r="AL79" s="110"/>
      <c r="AM79" s="114"/>
      <c r="AN79" s="114"/>
      <c r="AO79" s="114"/>
      <c r="AP79" s="114"/>
      <c r="AQ79" s="114"/>
      <c r="AR79" s="114"/>
      <c r="AS79" s="114"/>
      <c r="AT79" s="114"/>
      <c r="AU79" s="114"/>
      <c r="AV79" s="114"/>
      <c r="AW79" s="114"/>
      <c r="AX79" s="114"/>
      <c r="AY79" s="114"/>
      <c r="AZ79" s="114"/>
      <c r="BA79" s="114"/>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6" t="s">
        <v>13</v>
      </c>
      <c r="C81" s="136"/>
      <c r="D81" s="136"/>
      <c r="E81" s="136"/>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7"/>
      <c r="C82" s="137"/>
      <c r="D82" s="137"/>
      <c r="E82" s="137"/>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37"/>
      <c r="AU82" s="138" t="s">
        <v>47</v>
      </c>
      <c r="AV82" s="138"/>
      <c r="AW82" s="138"/>
      <c r="AX82" s="138"/>
      <c r="AY82" s="138"/>
      <c r="AZ82" s="138"/>
      <c r="BA82" s="138"/>
      <c r="CM82" s="21"/>
    </row>
    <row r="83" spans="2:91" s="21" customFormat="1" ht="13.5" customHeight="1" x14ac:dyDescent="0.15">
      <c r="B83" s="91" t="s">
        <v>2</v>
      </c>
      <c r="C83" s="92"/>
      <c r="D83" s="92"/>
      <c r="E83" s="92"/>
      <c r="F83" s="92"/>
      <c r="G83" s="92"/>
      <c r="H83" s="93"/>
      <c r="I83" s="91" t="s">
        <v>36</v>
      </c>
      <c r="J83" s="92"/>
      <c r="K83" s="92"/>
      <c r="L83" s="92"/>
      <c r="M83" s="92"/>
      <c r="N83" s="92"/>
      <c r="O83" s="92"/>
      <c r="P83" s="92"/>
      <c r="Q83" s="92"/>
      <c r="R83" s="92"/>
      <c r="S83" s="92"/>
      <c r="T83" s="92"/>
      <c r="U83" s="92"/>
      <c r="V83" s="92"/>
      <c r="W83" s="92"/>
      <c r="X83" s="92"/>
      <c r="Y83" s="92"/>
      <c r="Z83" s="92"/>
      <c r="AA83" s="92"/>
      <c r="AB83" s="92"/>
      <c r="AC83" s="92"/>
      <c r="AD83" s="92"/>
      <c r="AE83" s="92"/>
      <c r="AF83" s="91" t="s">
        <v>4</v>
      </c>
      <c r="AG83" s="92"/>
      <c r="AH83" s="92"/>
      <c r="AI83" s="93"/>
      <c r="AJ83" s="100" t="s">
        <v>37</v>
      </c>
      <c r="AK83" s="101"/>
      <c r="AL83" s="101"/>
      <c r="AM83" s="101"/>
      <c r="AN83" s="101"/>
      <c r="AO83" s="102"/>
      <c r="AP83" s="91" t="s">
        <v>17</v>
      </c>
      <c r="AQ83" s="92"/>
      <c r="AR83" s="93"/>
      <c r="AS83" s="91" t="s">
        <v>38</v>
      </c>
      <c r="AT83" s="92"/>
      <c r="AU83" s="92"/>
      <c r="AV83" s="92"/>
      <c r="AW83" s="92"/>
      <c r="AX83" s="92"/>
      <c r="AY83" s="92"/>
      <c r="AZ83" s="92"/>
      <c r="BA83" s="93"/>
    </row>
    <row r="84" spans="2:91" s="21" customFormat="1" ht="13.5" customHeight="1" x14ac:dyDescent="0.15">
      <c r="B84" s="94"/>
      <c r="C84" s="95"/>
      <c r="D84" s="95"/>
      <c r="E84" s="95"/>
      <c r="F84" s="95"/>
      <c r="G84" s="95"/>
      <c r="H84" s="96"/>
      <c r="I84" s="97"/>
      <c r="J84" s="98"/>
      <c r="K84" s="98"/>
      <c r="L84" s="98"/>
      <c r="M84" s="98"/>
      <c r="N84" s="98"/>
      <c r="O84" s="98"/>
      <c r="P84" s="98"/>
      <c r="Q84" s="98"/>
      <c r="R84" s="98"/>
      <c r="S84" s="98"/>
      <c r="T84" s="98"/>
      <c r="U84" s="98"/>
      <c r="V84" s="98"/>
      <c r="W84" s="98"/>
      <c r="X84" s="98"/>
      <c r="Y84" s="98"/>
      <c r="Z84" s="98"/>
      <c r="AA84" s="98"/>
      <c r="AB84" s="98"/>
      <c r="AC84" s="98"/>
      <c r="AD84" s="98"/>
      <c r="AE84" s="98"/>
      <c r="AF84" s="94"/>
      <c r="AG84" s="95"/>
      <c r="AH84" s="95"/>
      <c r="AI84" s="96"/>
      <c r="AJ84" s="103"/>
      <c r="AK84" s="104"/>
      <c r="AL84" s="104"/>
      <c r="AM84" s="104"/>
      <c r="AN84" s="104"/>
      <c r="AO84" s="105"/>
      <c r="AP84" s="94"/>
      <c r="AQ84" s="95"/>
      <c r="AR84" s="96"/>
      <c r="AS84" s="94"/>
      <c r="AT84" s="95"/>
      <c r="AU84" s="95"/>
      <c r="AV84" s="95"/>
      <c r="AW84" s="95"/>
      <c r="AX84" s="95"/>
      <c r="AY84" s="95"/>
      <c r="AZ84" s="95"/>
      <c r="BA84" s="96"/>
    </row>
    <row r="85" spans="2:91" s="21" customFormat="1" ht="13.5" customHeight="1" x14ac:dyDescent="0.15">
      <c r="B85" s="94"/>
      <c r="C85" s="95"/>
      <c r="D85" s="95"/>
      <c r="E85" s="95"/>
      <c r="F85" s="95"/>
      <c r="G85" s="95"/>
      <c r="H85" s="96"/>
      <c r="I85" s="91" t="s">
        <v>19</v>
      </c>
      <c r="J85" s="92"/>
      <c r="K85" s="92"/>
      <c r="L85" s="93"/>
      <c r="M85" s="91" t="s">
        <v>20</v>
      </c>
      <c r="N85" s="92"/>
      <c r="O85" s="92"/>
      <c r="P85" s="93"/>
      <c r="Q85" s="100" t="s">
        <v>39</v>
      </c>
      <c r="R85" s="101"/>
      <c r="S85" s="114" t="s">
        <v>24</v>
      </c>
      <c r="T85" s="114"/>
      <c r="U85" s="114"/>
      <c r="V85" s="114"/>
      <c r="W85" s="116" t="s">
        <v>40</v>
      </c>
      <c r="X85" s="117"/>
      <c r="Y85" s="118"/>
      <c r="Z85" s="125" t="s">
        <v>41</v>
      </c>
      <c r="AA85" s="126"/>
      <c r="AB85" s="114" t="s">
        <v>25</v>
      </c>
      <c r="AC85" s="114"/>
      <c r="AD85" s="114"/>
      <c r="AE85" s="127"/>
      <c r="AF85" s="94"/>
      <c r="AG85" s="95"/>
      <c r="AH85" s="95"/>
      <c r="AI85" s="96"/>
      <c r="AJ85" s="119" t="s">
        <v>42</v>
      </c>
      <c r="AK85" s="121"/>
      <c r="AL85" s="128" t="s">
        <v>50</v>
      </c>
      <c r="AM85" s="129"/>
      <c r="AN85" s="132" t="s">
        <v>43</v>
      </c>
      <c r="AO85" s="133"/>
      <c r="AP85" s="94"/>
      <c r="AQ85" s="95"/>
      <c r="AR85" s="96"/>
      <c r="AS85" s="94"/>
      <c r="AT85" s="95"/>
      <c r="AU85" s="95"/>
      <c r="AV85" s="95"/>
      <c r="AW85" s="95"/>
      <c r="AX85" s="95"/>
      <c r="AY85" s="95"/>
      <c r="AZ85" s="95"/>
      <c r="BA85" s="96"/>
    </row>
    <row r="86" spans="2:91" s="21" customFormat="1" ht="13.5" customHeight="1" x14ac:dyDescent="0.15">
      <c r="B86" s="94"/>
      <c r="C86" s="95"/>
      <c r="D86" s="95"/>
      <c r="E86" s="95"/>
      <c r="F86" s="95"/>
      <c r="G86" s="95"/>
      <c r="H86" s="96"/>
      <c r="I86" s="94"/>
      <c r="J86" s="95"/>
      <c r="K86" s="95"/>
      <c r="L86" s="96"/>
      <c r="M86" s="94"/>
      <c r="N86" s="95"/>
      <c r="O86" s="95"/>
      <c r="P86" s="96"/>
      <c r="Q86" s="112"/>
      <c r="R86" s="113"/>
      <c r="S86" s="114"/>
      <c r="T86" s="114"/>
      <c r="U86" s="114"/>
      <c r="V86" s="114"/>
      <c r="W86" s="119"/>
      <c r="X86" s="120"/>
      <c r="Y86" s="121"/>
      <c r="Z86" s="125"/>
      <c r="AA86" s="126"/>
      <c r="AB86" s="114"/>
      <c r="AC86" s="114"/>
      <c r="AD86" s="114"/>
      <c r="AE86" s="127"/>
      <c r="AF86" s="94"/>
      <c r="AG86" s="95"/>
      <c r="AH86" s="95"/>
      <c r="AI86" s="96"/>
      <c r="AJ86" s="119"/>
      <c r="AK86" s="121"/>
      <c r="AL86" s="128"/>
      <c r="AM86" s="129"/>
      <c r="AN86" s="132"/>
      <c r="AO86" s="133"/>
      <c r="AP86" s="94"/>
      <c r="AQ86" s="95"/>
      <c r="AR86" s="96"/>
      <c r="AS86" s="94"/>
      <c r="AT86" s="95"/>
      <c r="AU86" s="95"/>
      <c r="AV86" s="95"/>
      <c r="AW86" s="95"/>
      <c r="AX86" s="95"/>
      <c r="AY86" s="95"/>
      <c r="AZ86" s="95"/>
      <c r="BA86" s="96"/>
    </row>
    <row r="87" spans="2:91" s="21" customFormat="1" ht="13.5" customHeight="1" x14ac:dyDescent="0.15">
      <c r="B87" s="94"/>
      <c r="C87" s="95"/>
      <c r="D87" s="95"/>
      <c r="E87" s="95"/>
      <c r="F87" s="95"/>
      <c r="G87" s="95"/>
      <c r="H87" s="96"/>
      <c r="I87" s="94"/>
      <c r="J87" s="95"/>
      <c r="K87" s="95"/>
      <c r="L87" s="96"/>
      <c r="M87" s="94"/>
      <c r="N87" s="95"/>
      <c r="O87" s="95"/>
      <c r="P87" s="96"/>
      <c r="Q87" s="112"/>
      <c r="R87" s="113"/>
      <c r="S87" s="114"/>
      <c r="T87" s="114"/>
      <c r="U87" s="114"/>
      <c r="V87" s="114"/>
      <c r="W87" s="119"/>
      <c r="X87" s="120"/>
      <c r="Y87" s="121"/>
      <c r="Z87" s="125"/>
      <c r="AA87" s="126"/>
      <c r="AB87" s="114"/>
      <c r="AC87" s="114"/>
      <c r="AD87" s="114"/>
      <c r="AE87" s="127"/>
      <c r="AF87" s="94"/>
      <c r="AG87" s="95"/>
      <c r="AH87" s="95"/>
      <c r="AI87" s="96"/>
      <c r="AJ87" s="119"/>
      <c r="AK87" s="121"/>
      <c r="AL87" s="128"/>
      <c r="AM87" s="129"/>
      <c r="AN87" s="132"/>
      <c r="AO87" s="133"/>
      <c r="AP87" s="94"/>
      <c r="AQ87" s="95"/>
      <c r="AR87" s="96"/>
      <c r="AS87" s="94"/>
      <c r="AT87" s="95"/>
      <c r="AU87" s="95"/>
      <c r="AV87" s="95"/>
      <c r="AW87" s="95"/>
      <c r="AX87" s="95"/>
      <c r="AY87" s="95"/>
      <c r="AZ87" s="95"/>
      <c r="BA87" s="96"/>
    </row>
    <row r="88" spans="2:91" s="21" customFormat="1" ht="13.5" customHeight="1" x14ac:dyDescent="0.15">
      <c r="B88" s="97"/>
      <c r="C88" s="98"/>
      <c r="D88" s="98"/>
      <c r="E88" s="98"/>
      <c r="F88" s="98"/>
      <c r="G88" s="98"/>
      <c r="H88" s="99"/>
      <c r="I88" s="97"/>
      <c r="J88" s="98"/>
      <c r="K88" s="98"/>
      <c r="L88" s="99"/>
      <c r="M88" s="97"/>
      <c r="N88" s="98"/>
      <c r="O88" s="98"/>
      <c r="P88" s="99"/>
      <c r="Q88" s="103"/>
      <c r="R88" s="104"/>
      <c r="S88" s="114"/>
      <c r="T88" s="114"/>
      <c r="U88" s="114"/>
      <c r="V88" s="114"/>
      <c r="W88" s="122"/>
      <c r="X88" s="123"/>
      <c r="Y88" s="124"/>
      <c r="Z88" s="125"/>
      <c r="AA88" s="126"/>
      <c r="AB88" s="114"/>
      <c r="AC88" s="114"/>
      <c r="AD88" s="114"/>
      <c r="AE88" s="127"/>
      <c r="AF88" s="97"/>
      <c r="AG88" s="98"/>
      <c r="AH88" s="98"/>
      <c r="AI88" s="99"/>
      <c r="AJ88" s="122"/>
      <c r="AK88" s="124"/>
      <c r="AL88" s="130"/>
      <c r="AM88" s="131"/>
      <c r="AN88" s="134"/>
      <c r="AO88" s="135"/>
      <c r="AP88" s="97"/>
      <c r="AQ88" s="98"/>
      <c r="AR88" s="99"/>
      <c r="AS88" s="97"/>
      <c r="AT88" s="98"/>
      <c r="AU88" s="98"/>
      <c r="AV88" s="98"/>
      <c r="AW88" s="98"/>
      <c r="AX88" s="98"/>
      <c r="AY88" s="98"/>
      <c r="AZ88" s="98"/>
      <c r="BA88" s="99"/>
      <c r="BC88" s="21" t="s">
        <v>64</v>
      </c>
    </row>
    <row r="89" spans="2:91" s="21" customFormat="1" ht="18" customHeight="1" x14ac:dyDescent="0.15">
      <c r="B89" s="106" t="s">
        <v>44</v>
      </c>
      <c r="C89" s="107"/>
      <c r="D89" s="107"/>
      <c r="E89" s="107"/>
      <c r="F89" s="107"/>
      <c r="G89" s="107"/>
      <c r="H89" s="108"/>
      <c r="I89" s="79">
        <f>SUM(I91:L94)</f>
        <v>143831000</v>
      </c>
      <c r="J89" s="80"/>
      <c r="K89" s="80"/>
      <c r="L89" s="89"/>
      <c r="M89" s="79">
        <f>SUM(M91:P94)</f>
        <v>-17701000</v>
      </c>
      <c r="N89" s="80"/>
      <c r="O89" s="80"/>
      <c r="P89" s="89"/>
      <c r="Q89" s="79">
        <f>SUM(Q91:R94)</f>
        <v>0</v>
      </c>
      <c r="R89" s="80"/>
      <c r="S89" s="72">
        <f>SUM(S91:V94)</f>
        <v>126130000</v>
      </c>
      <c r="T89" s="72"/>
      <c r="U89" s="72"/>
      <c r="V89" s="72"/>
      <c r="W89" s="79">
        <f>SUM(W91:Y94)</f>
        <v>0</v>
      </c>
      <c r="X89" s="80"/>
      <c r="Y89" s="89"/>
      <c r="Z89" s="79">
        <f>SUM(Z91:AA94)</f>
        <v>0</v>
      </c>
      <c r="AA89" s="80"/>
      <c r="AB89" s="72">
        <f>SUM(AB91:AE94)</f>
        <v>126130000</v>
      </c>
      <c r="AC89" s="72"/>
      <c r="AD89" s="72"/>
      <c r="AE89" s="72"/>
      <c r="AF89" s="79">
        <f>SUM(AF91:AI94)</f>
        <v>118081536</v>
      </c>
      <c r="AG89" s="80"/>
      <c r="AH89" s="80"/>
      <c r="AI89" s="80"/>
      <c r="AJ89" s="79">
        <f>SUM(AJ91:AK94)</f>
        <v>7590000</v>
      </c>
      <c r="AK89" s="89"/>
      <c r="AL89" s="54">
        <f>SUM(AL91:AM94)</f>
        <v>0</v>
      </c>
      <c r="AM89" s="70"/>
      <c r="AN89" s="72">
        <f>SUM(AN91:AO94)</f>
        <v>7590000</v>
      </c>
      <c r="AO89" s="72"/>
      <c r="AP89" s="79">
        <f>SUM(AP91:AR94)</f>
        <v>458464</v>
      </c>
      <c r="AQ89" s="80"/>
      <c r="AR89" s="80"/>
      <c r="AS89" s="58"/>
      <c r="AT89" s="59"/>
      <c r="AU89" s="59"/>
      <c r="AV89" s="59"/>
      <c r="AW89" s="59"/>
      <c r="AX89" s="59"/>
      <c r="AY89" s="59"/>
      <c r="AZ89" s="59"/>
      <c r="BA89" s="60"/>
    </row>
    <row r="90" spans="2:91" s="21" customFormat="1" ht="18" customHeight="1" x14ac:dyDescent="0.15">
      <c r="B90" s="109"/>
      <c r="C90" s="110"/>
      <c r="D90" s="110"/>
      <c r="E90" s="110"/>
      <c r="F90" s="110"/>
      <c r="G90" s="110"/>
      <c r="H90" s="111"/>
      <c r="I90" s="81"/>
      <c r="J90" s="82"/>
      <c r="K90" s="82"/>
      <c r="L90" s="90"/>
      <c r="M90" s="81"/>
      <c r="N90" s="82"/>
      <c r="O90" s="82"/>
      <c r="P90" s="90"/>
      <c r="Q90" s="81"/>
      <c r="R90" s="82"/>
      <c r="S90" s="72"/>
      <c r="T90" s="72"/>
      <c r="U90" s="72"/>
      <c r="V90" s="72"/>
      <c r="W90" s="81"/>
      <c r="X90" s="82"/>
      <c r="Y90" s="90"/>
      <c r="Z90" s="81"/>
      <c r="AA90" s="82"/>
      <c r="AB90" s="72"/>
      <c r="AC90" s="72"/>
      <c r="AD90" s="72"/>
      <c r="AE90" s="72"/>
      <c r="AF90" s="81"/>
      <c r="AG90" s="82"/>
      <c r="AH90" s="82"/>
      <c r="AI90" s="82"/>
      <c r="AJ90" s="81"/>
      <c r="AK90" s="90"/>
      <c r="AL90" s="56"/>
      <c r="AM90" s="71"/>
      <c r="AN90" s="72"/>
      <c r="AO90" s="72"/>
      <c r="AP90" s="81"/>
      <c r="AQ90" s="82"/>
      <c r="AR90" s="82"/>
      <c r="AS90" s="61"/>
      <c r="AT90" s="62"/>
      <c r="AU90" s="62"/>
      <c r="AV90" s="62"/>
      <c r="AW90" s="62"/>
      <c r="AX90" s="62"/>
      <c r="AY90" s="62"/>
      <c r="AZ90" s="62"/>
      <c r="BA90" s="63"/>
      <c r="BC90" s="21" t="s">
        <v>76</v>
      </c>
      <c r="BG90" s="21" t="s">
        <v>77</v>
      </c>
    </row>
    <row r="91" spans="2:91" s="21" customFormat="1" ht="18" customHeight="1" x14ac:dyDescent="0.15">
      <c r="B91" s="106" t="s">
        <v>45</v>
      </c>
      <c r="C91" s="107"/>
      <c r="D91" s="107"/>
      <c r="E91" s="107"/>
      <c r="F91" s="107"/>
      <c r="G91" s="107"/>
      <c r="H91" s="108"/>
      <c r="I91" s="54">
        <v>106943000</v>
      </c>
      <c r="J91" s="55"/>
      <c r="K91" s="55"/>
      <c r="L91" s="70"/>
      <c r="M91" s="54">
        <v>-17701000</v>
      </c>
      <c r="N91" s="55"/>
      <c r="O91" s="55"/>
      <c r="P91" s="70"/>
      <c r="Q91" s="79">
        <f>SUM(Q95:R96)</f>
        <v>0</v>
      </c>
      <c r="R91" s="80"/>
      <c r="S91" s="68">
        <f>SUM(I91:R92)</f>
        <v>89242000</v>
      </c>
      <c r="T91" s="68"/>
      <c r="U91" s="68"/>
      <c r="V91" s="68"/>
      <c r="W91" s="68">
        <v>0</v>
      </c>
      <c r="X91" s="68"/>
      <c r="Y91" s="68"/>
      <c r="Z91" s="54">
        <v>0</v>
      </c>
      <c r="AA91" s="55"/>
      <c r="AB91" s="68">
        <f>SUM(S91:AA92)</f>
        <v>89242000</v>
      </c>
      <c r="AC91" s="68"/>
      <c r="AD91" s="68"/>
      <c r="AE91" s="68"/>
      <c r="AF91" s="54">
        <f>BG95</f>
        <v>81194421</v>
      </c>
      <c r="AG91" s="55"/>
      <c r="AH91" s="55"/>
      <c r="AI91" s="70"/>
      <c r="AJ91" s="68">
        <v>7590000</v>
      </c>
      <c r="AK91" s="68"/>
      <c r="AL91" s="54">
        <v>0</v>
      </c>
      <c r="AM91" s="70"/>
      <c r="AN91" s="72">
        <f>SUM(AJ91:AM92)</f>
        <v>7590000</v>
      </c>
      <c r="AO91" s="72"/>
      <c r="AP91" s="54">
        <f>AB91-AF91-AN91</f>
        <v>457579</v>
      </c>
      <c r="AQ91" s="55"/>
      <c r="AR91" s="55"/>
      <c r="AS91" s="83" t="s">
        <v>62</v>
      </c>
      <c r="AT91" s="84"/>
      <c r="AU91" s="84"/>
      <c r="AV91" s="84"/>
      <c r="AW91" s="84"/>
      <c r="AX91" s="84"/>
      <c r="AY91" s="84"/>
      <c r="AZ91" s="84"/>
      <c r="BA91" s="85"/>
      <c r="BC91" s="21">
        <v>15372000</v>
      </c>
    </row>
    <row r="92" spans="2:91" s="21" customFormat="1" ht="18" customHeight="1" x14ac:dyDescent="0.15">
      <c r="B92" s="109"/>
      <c r="C92" s="110"/>
      <c r="D92" s="110"/>
      <c r="E92" s="110"/>
      <c r="F92" s="110"/>
      <c r="G92" s="110"/>
      <c r="H92" s="111"/>
      <c r="I92" s="56"/>
      <c r="J92" s="57"/>
      <c r="K92" s="57"/>
      <c r="L92" s="71"/>
      <c r="M92" s="56"/>
      <c r="N92" s="57"/>
      <c r="O92" s="57"/>
      <c r="P92" s="71"/>
      <c r="Q92" s="81"/>
      <c r="R92" s="82"/>
      <c r="S92" s="68"/>
      <c r="T92" s="68"/>
      <c r="U92" s="68"/>
      <c r="V92" s="68"/>
      <c r="W92" s="68"/>
      <c r="X92" s="68"/>
      <c r="Y92" s="68"/>
      <c r="Z92" s="56"/>
      <c r="AA92" s="57"/>
      <c r="AB92" s="68"/>
      <c r="AC92" s="68"/>
      <c r="AD92" s="68"/>
      <c r="AE92" s="68"/>
      <c r="AF92" s="56"/>
      <c r="AG92" s="57"/>
      <c r="AH92" s="57"/>
      <c r="AI92" s="71"/>
      <c r="AJ92" s="68"/>
      <c r="AK92" s="68"/>
      <c r="AL92" s="56"/>
      <c r="AM92" s="71"/>
      <c r="AN92" s="72"/>
      <c r="AO92" s="72"/>
      <c r="AP92" s="56"/>
      <c r="AQ92" s="57"/>
      <c r="AR92" s="57"/>
      <c r="AS92" s="86" t="s">
        <v>84</v>
      </c>
      <c r="AT92" s="87"/>
      <c r="AU92" s="87"/>
      <c r="AV92" s="87"/>
      <c r="AW92" s="87"/>
      <c r="AX92" s="87"/>
      <c r="AY92" s="87"/>
      <c r="AZ92" s="87"/>
      <c r="BA92" s="88"/>
      <c r="BC92" s="21">
        <v>7750000</v>
      </c>
    </row>
    <row r="93" spans="2:91" s="21" customFormat="1" ht="18" customHeight="1" x14ac:dyDescent="0.15">
      <c r="B93" s="73" t="s">
        <v>46</v>
      </c>
      <c r="C93" s="74"/>
      <c r="D93" s="74"/>
      <c r="E93" s="74"/>
      <c r="F93" s="74"/>
      <c r="G93" s="74"/>
      <c r="H93" s="75"/>
      <c r="I93" s="54">
        <v>36888000</v>
      </c>
      <c r="J93" s="55"/>
      <c r="K93" s="55"/>
      <c r="L93" s="70"/>
      <c r="M93" s="54">
        <v>0</v>
      </c>
      <c r="N93" s="55"/>
      <c r="O93" s="55"/>
      <c r="P93" s="70"/>
      <c r="Q93" s="79">
        <f>SUM(Q95:R95)</f>
        <v>0</v>
      </c>
      <c r="R93" s="80"/>
      <c r="S93" s="54">
        <f>SUM(I93:R94)</f>
        <v>36888000</v>
      </c>
      <c r="T93" s="55"/>
      <c r="U93" s="55"/>
      <c r="V93" s="70"/>
      <c r="W93" s="68">
        <v>0</v>
      </c>
      <c r="X93" s="68"/>
      <c r="Y93" s="68"/>
      <c r="Z93" s="68">
        <v>0</v>
      </c>
      <c r="AA93" s="69"/>
      <c r="AB93" s="68">
        <f>SUM(S93:AA94)</f>
        <v>36888000</v>
      </c>
      <c r="AC93" s="68"/>
      <c r="AD93" s="68"/>
      <c r="AE93" s="68"/>
      <c r="AF93" s="54">
        <v>36887115</v>
      </c>
      <c r="AG93" s="55"/>
      <c r="AH93" s="55"/>
      <c r="AI93" s="70"/>
      <c r="AJ93" s="68">
        <v>0</v>
      </c>
      <c r="AK93" s="68"/>
      <c r="AL93" s="54">
        <v>0</v>
      </c>
      <c r="AM93" s="70"/>
      <c r="AN93" s="72">
        <f>SUM(AJ93:AM94)</f>
        <v>0</v>
      </c>
      <c r="AO93" s="72"/>
      <c r="AP93" s="54">
        <f>AB93-AF93-AN93</f>
        <v>885</v>
      </c>
      <c r="AQ93" s="55"/>
      <c r="AR93" s="55"/>
      <c r="AS93" s="58"/>
      <c r="AT93" s="59"/>
      <c r="AU93" s="59"/>
      <c r="AV93" s="59"/>
      <c r="AW93" s="59"/>
      <c r="AX93" s="59"/>
      <c r="AY93" s="59"/>
      <c r="AZ93" s="59"/>
      <c r="BA93" s="60"/>
      <c r="BC93" s="21">
        <v>2475000</v>
      </c>
    </row>
    <row r="94" spans="2:91" s="21" customFormat="1" ht="18" customHeight="1" x14ac:dyDescent="0.15">
      <c r="B94" s="76"/>
      <c r="C94" s="77"/>
      <c r="D94" s="77"/>
      <c r="E94" s="77"/>
      <c r="F94" s="77"/>
      <c r="G94" s="77"/>
      <c r="H94" s="78"/>
      <c r="I94" s="56"/>
      <c r="J94" s="57"/>
      <c r="K94" s="57"/>
      <c r="L94" s="71"/>
      <c r="M94" s="56"/>
      <c r="N94" s="57"/>
      <c r="O94" s="57"/>
      <c r="P94" s="71"/>
      <c r="Q94" s="81"/>
      <c r="R94" s="82"/>
      <c r="S94" s="56"/>
      <c r="T94" s="57"/>
      <c r="U94" s="57"/>
      <c r="V94" s="71"/>
      <c r="W94" s="68"/>
      <c r="X94" s="68"/>
      <c r="Y94" s="68"/>
      <c r="Z94" s="68"/>
      <c r="AA94" s="69"/>
      <c r="AB94" s="68"/>
      <c r="AC94" s="68"/>
      <c r="AD94" s="68"/>
      <c r="AE94" s="68"/>
      <c r="AF94" s="56"/>
      <c r="AG94" s="57"/>
      <c r="AH94" s="57"/>
      <c r="AI94" s="71"/>
      <c r="AJ94" s="68"/>
      <c r="AK94" s="68"/>
      <c r="AL94" s="56"/>
      <c r="AM94" s="71"/>
      <c r="AN94" s="72"/>
      <c r="AO94" s="72"/>
      <c r="AP94" s="56"/>
      <c r="AQ94" s="57"/>
      <c r="AR94" s="57"/>
      <c r="AS94" s="61"/>
      <c r="AT94" s="62"/>
      <c r="AU94" s="62"/>
      <c r="AV94" s="62"/>
      <c r="AW94" s="62"/>
      <c r="AX94" s="62"/>
      <c r="AY94" s="62"/>
      <c r="AZ94" s="62"/>
      <c r="BA94" s="63"/>
      <c r="BC94" s="21">
        <v>1754500</v>
      </c>
    </row>
    <row r="95" spans="2:91" ht="15" customHeight="1" x14ac:dyDescent="0.15">
      <c r="B95" s="64" t="s">
        <v>85</v>
      </c>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C95" s="21">
        <v>4840000</v>
      </c>
      <c r="BG95" s="36">
        <v>81194421</v>
      </c>
    </row>
    <row r="96" spans="2:91" ht="15" customHeight="1" x14ac:dyDescent="0.1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row>
    <row r="97" spans="2:55" ht="15" customHeight="1" x14ac:dyDescent="0.1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C97" s="36" t="s">
        <v>66</v>
      </c>
    </row>
    <row r="98" spans="2:55"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C98" s="36">
        <f>AE72-AF89</f>
        <v>-79521536</v>
      </c>
    </row>
    <row r="99" spans="2:55" s="18" customFormat="1" ht="13.5" customHeight="1" x14ac:dyDescent="0.15"/>
    <row r="100" spans="2:55" s="18" customFormat="1" ht="13.5" customHeight="1" x14ac:dyDescent="0.15"/>
    <row r="101" spans="2:55" s="18" customFormat="1" ht="13.5" customHeight="1" x14ac:dyDescent="0.15"/>
    <row r="102" spans="2:55" s="18" customFormat="1" ht="13.5" customHeight="1" x14ac:dyDescent="0.15"/>
    <row r="103" spans="2:55" s="18" customFormat="1" ht="13.5" customHeight="1" x14ac:dyDescent="0.15">
      <c r="AF103" s="67"/>
      <c r="AG103" s="67"/>
      <c r="AH103" s="67"/>
      <c r="AI103" s="67"/>
      <c r="AJ103" s="67"/>
    </row>
    <row r="104" spans="2:55" ht="18" customHeight="1" x14ac:dyDescent="0.15">
      <c r="D104" s="67"/>
      <c r="E104" s="67"/>
      <c r="F104" s="67"/>
      <c r="AF104" s="52"/>
      <c r="AG104" s="52"/>
      <c r="AH104" s="52"/>
      <c r="AI104" s="52"/>
      <c r="AJ104" s="52"/>
    </row>
    <row r="105" spans="2:55" ht="18" customHeight="1" x14ac:dyDescent="0.15">
      <c r="AF105" s="52"/>
      <c r="AG105" s="52"/>
      <c r="AH105" s="52"/>
      <c r="AI105" s="52"/>
      <c r="AJ105" s="52"/>
    </row>
    <row r="106" spans="2:55" ht="18" customHeight="1" x14ac:dyDescent="0.15"/>
    <row r="107" spans="2:55" ht="18" customHeight="1" x14ac:dyDescent="0.15"/>
    <row r="108" spans="2:55" ht="18" customHeight="1" x14ac:dyDescent="0.15"/>
    <row r="109" spans="2:55" ht="18" customHeight="1" x14ac:dyDescent="0.15"/>
    <row r="110" spans="2:55" ht="18" customHeight="1" x14ac:dyDescent="0.15"/>
    <row r="111" spans="2:55" ht="18" customHeight="1" x14ac:dyDescent="0.15"/>
    <row r="112" spans="2:55"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9">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F105:AJ105"/>
    <mergeCell ref="AP93:AR94"/>
    <mergeCell ref="AS93:BA94"/>
    <mergeCell ref="B95:BA97"/>
    <mergeCell ref="AF103:AJ103"/>
    <mergeCell ref="D104:F104"/>
    <mergeCell ref="AF104:AJ104"/>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93BD9F50-A5FF-4218-BE01-E10616ACA222}">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2228-F346-4A11-96B3-296DC10AF6B6}">
  <sheetPr>
    <tabColor rgb="FFFF0000"/>
  </sheetPr>
  <dimension ref="B1:CM904"/>
  <sheetViews>
    <sheetView showGridLines="0" showOutlineSymbols="0" view="pageBreakPreview" topLeftCell="B78" zoomScale="89" zoomScaleNormal="89" zoomScaleSheetLayoutView="89" workbookViewId="0">
      <selection activeCell="AF91" sqref="AF91:AI92"/>
    </sheetView>
  </sheetViews>
  <sheetFormatPr defaultRowHeight="13.5" x14ac:dyDescent="0.15"/>
  <cols>
    <col min="1" max="1" width="2.625" style="19" customWidth="1"/>
    <col min="2" max="15" width="3.125" style="19" customWidth="1"/>
    <col min="16" max="16" width="4.25" style="19" customWidth="1"/>
    <col min="17" max="37" width="3.125" style="19" customWidth="1"/>
    <col min="38" max="38" width="4.625" style="19" customWidth="1"/>
    <col min="39" max="42" width="3.125" style="19" customWidth="1"/>
    <col min="43" max="43" width="3.5" style="19" customWidth="1"/>
    <col min="44" max="53" width="3.125" style="19" customWidth="1"/>
    <col min="54" max="54" width="5.625" style="19" customWidth="1"/>
    <col min="55" max="55" width="15.25" style="19" customWidth="1"/>
    <col min="56" max="58" width="2.625" style="19" customWidth="1"/>
    <col min="59" max="59" width="10.25" style="19" bestFit="1" customWidth="1"/>
    <col min="60" max="100" width="2.625" style="19" customWidth="1"/>
    <col min="101" max="260" width="9" style="19"/>
    <col min="261" max="275" width="3.125" style="19" customWidth="1"/>
    <col min="276" max="276" width="5.5" style="19" customWidth="1"/>
    <col min="277" max="277" width="5.625" style="19" customWidth="1"/>
    <col min="278" max="293" width="3.125" style="19" customWidth="1"/>
    <col min="294" max="294" width="5.375" style="19" customWidth="1"/>
    <col min="295" max="296" width="3.125" style="19" customWidth="1"/>
    <col min="297" max="297" width="4.625" style="19" customWidth="1"/>
    <col min="298" max="298" width="3.5" style="19" customWidth="1"/>
    <col min="299" max="309" width="3.125" style="19" customWidth="1"/>
    <col min="310" max="311" width="5.625" style="19" customWidth="1"/>
    <col min="312" max="356" width="2.625" style="19" customWidth="1"/>
    <col min="357" max="516" width="9" style="19"/>
    <col min="517" max="531" width="3.125" style="19" customWidth="1"/>
    <col min="532" max="532" width="5.5" style="19" customWidth="1"/>
    <col min="533" max="533" width="5.625" style="19" customWidth="1"/>
    <col min="534" max="549" width="3.125" style="19" customWidth="1"/>
    <col min="550" max="550" width="5.375" style="19" customWidth="1"/>
    <col min="551" max="552" width="3.125" style="19" customWidth="1"/>
    <col min="553" max="553" width="4.625" style="19" customWidth="1"/>
    <col min="554" max="554" width="3.5" style="19" customWidth="1"/>
    <col min="555" max="565" width="3.125" style="19" customWidth="1"/>
    <col min="566" max="567" width="5.625" style="19" customWidth="1"/>
    <col min="568" max="612" width="2.625" style="19" customWidth="1"/>
    <col min="613" max="772" width="9" style="19"/>
    <col min="773" max="787" width="3.125" style="19" customWidth="1"/>
    <col min="788" max="788" width="5.5" style="19" customWidth="1"/>
    <col min="789" max="789" width="5.625" style="19" customWidth="1"/>
    <col min="790" max="805" width="3.125" style="19" customWidth="1"/>
    <col min="806" max="806" width="5.375" style="19" customWidth="1"/>
    <col min="807" max="808" width="3.125" style="19" customWidth="1"/>
    <col min="809" max="809" width="4.625" style="19" customWidth="1"/>
    <col min="810" max="810" width="3.5" style="19" customWidth="1"/>
    <col min="811" max="821" width="3.125" style="19" customWidth="1"/>
    <col min="822" max="823" width="5.625" style="19" customWidth="1"/>
    <col min="824" max="868" width="2.625" style="19" customWidth="1"/>
    <col min="869" max="1028" width="9" style="19"/>
    <col min="1029" max="1043" width="3.125" style="19" customWidth="1"/>
    <col min="1044" max="1044" width="5.5" style="19" customWidth="1"/>
    <col min="1045" max="1045" width="5.625" style="19" customWidth="1"/>
    <col min="1046" max="1061" width="3.125" style="19" customWidth="1"/>
    <col min="1062" max="1062" width="5.375" style="19" customWidth="1"/>
    <col min="1063" max="1064" width="3.125" style="19" customWidth="1"/>
    <col min="1065" max="1065" width="4.625" style="19" customWidth="1"/>
    <col min="1066" max="1066" width="3.5" style="19" customWidth="1"/>
    <col min="1067" max="1077" width="3.125" style="19" customWidth="1"/>
    <col min="1078" max="1079" width="5.625" style="19" customWidth="1"/>
    <col min="1080" max="1124" width="2.625" style="19" customWidth="1"/>
    <col min="1125" max="1284" width="9" style="19"/>
    <col min="1285" max="1299" width="3.125" style="19" customWidth="1"/>
    <col min="1300" max="1300" width="5.5" style="19" customWidth="1"/>
    <col min="1301" max="1301" width="5.625" style="19" customWidth="1"/>
    <col min="1302" max="1317" width="3.125" style="19" customWidth="1"/>
    <col min="1318" max="1318" width="5.375" style="19" customWidth="1"/>
    <col min="1319" max="1320" width="3.125" style="19" customWidth="1"/>
    <col min="1321" max="1321" width="4.625" style="19" customWidth="1"/>
    <col min="1322" max="1322" width="3.5" style="19" customWidth="1"/>
    <col min="1323" max="1333" width="3.125" style="19" customWidth="1"/>
    <col min="1334" max="1335" width="5.625" style="19" customWidth="1"/>
    <col min="1336" max="1380" width="2.625" style="19" customWidth="1"/>
    <col min="1381" max="1540" width="9" style="19"/>
    <col min="1541" max="1555" width="3.125" style="19" customWidth="1"/>
    <col min="1556" max="1556" width="5.5" style="19" customWidth="1"/>
    <col min="1557" max="1557" width="5.625" style="19" customWidth="1"/>
    <col min="1558" max="1573" width="3.125" style="19" customWidth="1"/>
    <col min="1574" max="1574" width="5.375" style="19" customWidth="1"/>
    <col min="1575" max="1576" width="3.125" style="19" customWidth="1"/>
    <col min="1577" max="1577" width="4.625" style="19" customWidth="1"/>
    <col min="1578" max="1578" width="3.5" style="19" customWidth="1"/>
    <col min="1579" max="1589" width="3.125" style="19" customWidth="1"/>
    <col min="1590" max="1591" width="5.625" style="19" customWidth="1"/>
    <col min="1592" max="1636" width="2.625" style="19" customWidth="1"/>
    <col min="1637" max="1796" width="9" style="19"/>
    <col min="1797" max="1811" width="3.125" style="19" customWidth="1"/>
    <col min="1812" max="1812" width="5.5" style="19" customWidth="1"/>
    <col min="1813" max="1813" width="5.625" style="19" customWidth="1"/>
    <col min="1814" max="1829" width="3.125" style="19" customWidth="1"/>
    <col min="1830" max="1830" width="5.375" style="19" customWidth="1"/>
    <col min="1831" max="1832" width="3.125" style="19" customWidth="1"/>
    <col min="1833" max="1833" width="4.625" style="19" customWidth="1"/>
    <col min="1834" max="1834" width="3.5" style="19" customWidth="1"/>
    <col min="1835" max="1845" width="3.125" style="19" customWidth="1"/>
    <col min="1846" max="1847" width="5.625" style="19" customWidth="1"/>
    <col min="1848" max="1892" width="2.625" style="19" customWidth="1"/>
    <col min="1893" max="2052" width="9" style="19"/>
    <col min="2053" max="2067" width="3.125" style="19" customWidth="1"/>
    <col min="2068" max="2068" width="5.5" style="19" customWidth="1"/>
    <col min="2069" max="2069" width="5.625" style="19" customWidth="1"/>
    <col min="2070" max="2085" width="3.125" style="19" customWidth="1"/>
    <col min="2086" max="2086" width="5.375" style="19" customWidth="1"/>
    <col min="2087" max="2088" width="3.125" style="19" customWidth="1"/>
    <col min="2089" max="2089" width="4.625" style="19" customWidth="1"/>
    <col min="2090" max="2090" width="3.5" style="19" customWidth="1"/>
    <col min="2091" max="2101" width="3.125" style="19" customWidth="1"/>
    <col min="2102" max="2103" width="5.625" style="19" customWidth="1"/>
    <col min="2104" max="2148" width="2.625" style="19" customWidth="1"/>
    <col min="2149" max="2308" width="9" style="19"/>
    <col min="2309" max="2323" width="3.125" style="19" customWidth="1"/>
    <col min="2324" max="2324" width="5.5" style="19" customWidth="1"/>
    <col min="2325" max="2325" width="5.625" style="19" customWidth="1"/>
    <col min="2326" max="2341" width="3.125" style="19" customWidth="1"/>
    <col min="2342" max="2342" width="5.375" style="19" customWidth="1"/>
    <col min="2343" max="2344" width="3.125" style="19" customWidth="1"/>
    <col min="2345" max="2345" width="4.625" style="19" customWidth="1"/>
    <col min="2346" max="2346" width="3.5" style="19" customWidth="1"/>
    <col min="2347" max="2357" width="3.125" style="19" customWidth="1"/>
    <col min="2358" max="2359" width="5.625" style="19" customWidth="1"/>
    <col min="2360" max="2404" width="2.625" style="19" customWidth="1"/>
    <col min="2405" max="2564" width="9" style="19"/>
    <col min="2565" max="2579" width="3.125" style="19" customWidth="1"/>
    <col min="2580" max="2580" width="5.5" style="19" customWidth="1"/>
    <col min="2581" max="2581" width="5.625" style="19" customWidth="1"/>
    <col min="2582" max="2597" width="3.125" style="19" customWidth="1"/>
    <col min="2598" max="2598" width="5.375" style="19" customWidth="1"/>
    <col min="2599" max="2600" width="3.125" style="19" customWidth="1"/>
    <col min="2601" max="2601" width="4.625" style="19" customWidth="1"/>
    <col min="2602" max="2602" width="3.5" style="19" customWidth="1"/>
    <col min="2603" max="2613" width="3.125" style="19" customWidth="1"/>
    <col min="2614" max="2615" width="5.625" style="19" customWidth="1"/>
    <col min="2616" max="2660" width="2.625" style="19" customWidth="1"/>
    <col min="2661" max="2820" width="9" style="19"/>
    <col min="2821" max="2835" width="3.125" style="19" customWidth="1"/>
    <col min="2836" max="2836" width="5.5" style="19" customWidth="1"/>
    <col min="2837" max="2837" width="5.625" style="19" customWidth="1"/>
    <col min="2838" max="2853" width="3.125" style="19" customWidth="1"/>
    <col min="2854" max="2854" width="5.375" style="19" customWidth="1"/>
    <col min="2855" max="2856" width="3.125" style="19" customWidth="1"/>
    <col min="2857" max="2857" width="4.625" style="19" customWidth="1"/>
    <col min="2858" max="2858" width="3.5" style="19" customWidth="1"/>
    <col min="2859" max="2869" width="3.125" style="19" customWidth="1"/>
    <col min="2870" max="2871" width="5.625" style="19" customWidth="1"/>
    <col min="2872" max="2916" width="2.625" style="19" customWidth="1"/>
    <col min="2917" max="3076" width="9" style="19"/>
    <col min="3077" max="3091" width="3.125" style="19" customWidth="1"/>
    <col min="3092" max="3092" width="5.5" style="19" customWidth="1"/>
    <col min="3093" max="3093" width="5.625" style="19" customWidth="1"/>
    <col min="3094" max="3109" width="3.125" style="19" customWidth="1"/>
    <col min="3110" max="3110" width="5.375" style="19" customWidth="1"/>
    <col min="3111" max="3112" width="3.125" style="19" customWidth="1"/>
    <col min="3113" max="3113" width="4.625" style="19" customWidth="1"/>
    <col min="3114" max="3114" width="3.5" style="19" customWidth="1"/>
    <col min="3115" max="3125" width="3.125" style="19" customWidth="1"/>
    <col min="3126" max="3127" width="5.625" style="19" customWidth="1"/>
    <col min="3128" max="3172" width="2.625" style="19" customWidth="1"/>
    <col min="3173" max="3332" width="9" style="19"/>
    <col min="3333" max="3347" width="3.125" style="19" customWidth="1"/>
    <col min="3348" max="3348" width="5.5" style="19" customWidth="1"/>
    <col min="3349" max="3349" width="5.625" style="19" customWidth="1"/>
    <col min="3350" max="3365" width="3.125" style="19" customWidth="1"/>
    <col min="3366" max="3366" width="5.375" style="19" customWidth="1"/>
    <col min="3367" max="3368" width="3.125" style="19" customWidth="1"/>
    <col min="3369" max="3369" width="4.625" style="19" customWidth="1"/>
    <col min="3370" max="3370" width="3.5" style="19" customWidth="1"/>
    <col min="3371" max="3381" width="3.125" style="19" customWidth="1"/>
    <col min="3382" max="3383" width="5.625" style="19" customWidth="1"/>
    <col min="3384" max="3428" width="2.625" style="19" customWidth="1"/>
    <col min="3429" max="3588" width="9" style="19"/>
    <col min="3589" max="3603" width="3.125" style="19" customWidth="1"/>
    <col min="3604" max="3604" width="5.5" style="19" customWidth="1"/>
    <col min="3605" max="3605" width="5.625" style="19" customWidth="1"/>
    <col min="3606" max="3621" width="3.125" style="19" customWidth="1"/>
    <col min="3622" max="3622" width="5.375" style="19" customWidth="1"/>
    <col min="3623" max="3624" width="3.125" style="19" customWidth="1"/>
    <col min="3625" max="3625" width="4.625" style="19" customWidth="1"/>
    <col min="3626" max="3626" width="3.5" style="19" customWidth="1"/>
    <col min="3627" max="3637" width="3.125" style="19" customWidth="1"/>
    <col min="3638" max="3639" width="5.625" style="19" customWidth="1"/>
    <col min="3640" max="3684" width="2.625" style="19" customWidth="1"/>
    <col min="3685" max="3844" width="9" style="19"/>
    <col min="3845" max="3859" width="3.125" style="19" customWidth="1"/>
    <col min="3860" max="3860" width="5.5" style="19" customWidth="1"/>
    <col min="3861" max="3861" width="5.625" style="19" customWidth="1"/>
    <col min="3862" max="3877" width="3.125" style="19" customWidth="1"/>
    <col min="3878" max="3878" width="5.375" style="19" customWidth="1"/>
    <col min="3879" max="3880" width="3.125" style="19" customWidth="1"/>
    <col min="3881" max="3881" width="4.625" style="19" customWidth="1"/>
    <col min="3882" max="3882" width="3.5" style="19" customWidth="1"/>
    <col min="3883" max="3893" width="3.125" style="19" customWidth="1"/>
    <col min="3894" max="3895" width="5.625" style="19" customWidth="1"/>
    <col min="3896" max="3940" width="2.625" style="19" customWidth="1"/>
    <col min="3941" max="4100" width="9" style="19"/>
    <col min="4101" max="4115" width="3.125" style="19" customWidth="1"/>
    <col min="4116" max="4116" width="5.5" style="19" customWidth="1"/>
    <col min="4117" max="4117" width="5.625" style="19" customWidth="1"/>
    <col min="4118" max="4133" width="3.125" style="19" customWidth="1"/>
    <col min="4134" max="4134" width="5.375" style="19" customWidth="1"/>
    <col min="4135" max="4136" width="3.125" style="19" customWidth="1"/>
    <col min="4137" max="4137" width="4.625" style="19" customWidth="1"/>
    <col min="4138" max="4138" width="3.5" style="19" customWidth="1"/>
    <col min="4139" max="4149" width="3.125" style="19" customWidth="1"/>
    <col min="4150" max="4151" width="5.625" style="19" customWidth="1"/>
    <col min="4152" max="4196" width="2.625" style="19" customWidth="1"/>
    <col min="4197" max="4356" width="9" style="19"/>
    <col min="4357" max="4371" width="3.125" style="19" customWidth="1"/>
    <col min="4372" max="4372" width="5.5" style="19" customWidth="1"/>
    <col min="4373" max="4373" width="5.625" style="19" customWidth="1"/>
    <col min="4374" max="4389" width="3.125" style="19" customWidth="1"/>
    <col min="4390" max="4390" width="5.375" style="19" customWidth="1"/>
    <col min="4391" max="4392" width="3.125" style="19" customWidth="1"/>
    <col min="4393" max="4393" width="4.625" style="19" customWidth="1"/>
    <col min="4394" max="4394" width="3.5" style="19" customWidth="1"/>
    <col min="4395" max="4405" width="3.125" style="19" customWidth="1"/>
    <col min="4406" max="4407" width="5.625" style="19" customWidth="1"/>
    <col min="4408" max="4452" width="2.625" style="19" customWidth="1"/>
    <col min="4453" max="4612" width="9" style="19"/>
    <col min="4613" max="4627" width="3.125" style="19" customWidth="1"/>
    <col min="4628" max="4628" width="5.5" style="19" customWidth="1"/>
    <col min="4629" max="4629" width="5.625" style="19" customWidth="1"/>
    <col min="4630" max="4645" width="3.125" style="19" customWidth="1"/>
    <col min="4646" max="4646" width="5.375" style="19" customWidth="1"/>
    <col min="4647" max="4648" width="3.125" style="19" customWidth="1"/>
    <col min="4649" max="4649" width="4.625" style="19" customWidth="1"/>
    <col min="4650" max="4650" width="3.5" style="19" customWidth="1"/>
    <col min="4651" max="4661" width="3.125" style="19" customWidth="1"/>
    <col min="4662" max="4663" width="5.625" style="19" customWidth="1"/>
    <col min="4664" max="4708" width="2.625" style="19" customWidth="1"/>
    <col min="4709" max="4868" width="9" style="19"/>
    <col min="4869" max="4883" width="3.125" style="19" customWidth="1"/>
    <col min="4884" max="4884" width="5.5" style="19" customWidth="1"/>
    <col min="4885" max="4885" width="5.625" style="19" customWidth="1"/>
    <col min="4886" max="4901" width="3.125" style="19" customWidth="1"/>
    <col min="4902" max="4902" width="5.375" style="19" customWidth="1"/>
    <col min="4903" max="4904" width="3.125" style="19" customWidth="1"/>
    <col min="4905" max="4905" width="4.625" style="19" customWidth="1"/>
    <col min="4906" max="4906" width="3.5" style="19" customWidth="1"/>
    <col min="4907" max="4917" width="3.125" style="19" customWidth="1"/>
    <col min="4918" max="4919" width="5.625" style="19" customWidth="1"/>
    <col min="4920" max="4964" width="2.625" style="19" customWidth="1"/>
    <col min="4965" max="5124" width="9" style="19"/>
    <col min="5125" max="5139" width="3.125" style="19" customWidth="1"/>
    <col min="5140" max="5140" width="5.5" style="19" customWidth="1"/>
    <col min="5141" max="5141" width="5.625" style="19" customWidth="1"/>
    <col min="5142" max="5157" width="3.125" style="19" customWidth="1"/>
    <col min="5158" max="5158" width="5.375" style="19" customWidth="1"/>
    <col min="5159" max="5160" width="3.125" style="19" customWidth="1"/>
    <col min="5161" max="5161" width="4.625" style="19" customWidth="1"/>
    <col min="5162" max="5162" width="3.5" style="19" customWidth="1"/>
    <col min="5163" max="5173" width="3.125" style="19" customWidth="1"/>
    <col min="5174" max="5175" width="5.625" style="19" customWidth="1"/>
    <col min="5176" max="5220" width="2.625" style="19" customWidth="1"/>
    <col min="5221" max="5380" width="9" style="19"/>
    <col min="5381" max="5395" width="3.125" style="19" customWidth="1"/>
    <col min="5396" max="5396" width="5.5" style="19" customWidth="1"/>
    <col min="5397" max="5397" width="5.625" style="19" customWidth="1"/>
    <col min="5398" max="5413" width="3.125" style="19" customWidth="1"/>
    <col min="5414" max="5414" width="5.375" style="19" customWidth="1"/>
    <col min="5415" max="5416" width="3.125" style="19" customWidth="1"/>
    <col min="5417" max="5417" width="4.625" style="19" customWidth="1"/>
    <col min="5418" max="5418" width="3.5" style="19" customWidth="1"/>
    <col min="5419" max="5429" width="3.125" style="19" customWidth="1"/>
    <col min="5430" max="5431" width="5.625" style="19" customWidth="1"/>
    <col min="5432" max="5476" width="2.625" style="19" customWidth="1"/>
    <col min="5477" max="5636" width="9" style="19"/>
    <col min="5637" max="5651" width="3.125" style="19" customWidth="1"/>
    <col min="5652" max="5652" width="5.5" style="19" customWidth="1"/>
    <col min="5653" max="5653" width="5.625" style="19" customWidth="1"/>
    <col min="5654" max="5669" width="3.125" style="19" customWidth="1"/>
    <col min="5670" max="5670" width="5.375" style="19" customWidth="1"/>
    <col min="5671" max="5672" width="3.125" style="19" customWidth="1"/>
    <col min="5673" max="5673" width="4.625" style="19" customWidth="1"/>
    <col min="5674" max="5674" width="3.5" style="19" customWidth="1"/>
    <col min="5675" max="5685" width="3.125" style="19" customWidth="1"/>
    <col min="5686" max="5687" width="5.625" style="19" customWidth="1"/>
    <col min="5688" max="5732" width="2.625" style="19" customWidth="1"/>
    <col min="5733" max="5892" width="9" style="19"/>
    <col min="5893" max="5907" width="3.125" style="19" customWidth="1"/>
    <col min="5908" max="5908" width="5.5" style="19" customWidth="1"/>
    <col min="5909" max="5909" width="5.625" style="19" customWidth="1"/>
    <col min="5910" max="5925" width="3.125" style="19" customWidth="1"/>
    <col min="5926" max="5926" width="5.375" style="19" customWidth="1"/>
    <col min="5927" max="5928" width="3.125" style="19" customWidth="1"/>
    <col min="5929" max="5929" width="4.625" style="19" customWidth="1"/>
    <col min="5930" max="5930" width="3.5" style="19" customWidth="1"/>
    <col min="5931" max="5941" width="3.125" style="19" customWidth="1"/>
    <col min="5942" max="5943" width="5.625" style="19" customWidth="1"/>
    <col min="5944" max="5988" width="2.625" style="19" customWidth="1"/>
    <col min="5989" max="6148" width="9" style="19"/>
    <col min="6149" max="6163" width="3.125" style="19" customWidth="1"/>
    <col min="6164" max="6164" width="5.5" style="19" customWidth="1"/>
    <col min="6165" max="6165" width="5.625" style="19" customWidth="1"/>
    <col min="6166" max="6181" width="3.125" style="19" customWidth="1"/>
    <col min="6182" max="6182" width="5.375" style="19" customWidth="1"/>
    <col min="6183" max="6184" width="3.125" style="19" customWidth="1"/>
    <col min="6185" max="6185" width="4.625" style="19" customWidth="1"/>
    <col min="6186" max="6186" width="3.5" style="19" customWidth="1"/>
    <col min="6187" max="6197" width="3.125" style="19" customWidth="1"/>
    <col min="6198" max="6199" width="5.625" style="19" customWidth="1"/>
    <col min="6200" max="6244" width="2.625" style="19" customWidth="1"/>
    <col min="6245" max="6404" width="9" style="19"/>
    <col min="6405" max="6419" width="3.125" style="19" customWidth="1"/>
    <col min="6420" max="6420" width="5.5" style="19" customWidth="1"/>
    <col min="6421" max="6421" width="5.625" style="19" customWidth="1"/>
    <col min="6422" max="6437" width="3.125" style="19" customWidth="1"/>
    <col min="6438" max="6438" width="5.375" style="19" customWidth="1"/>
    <col min="6439" max="6440" width="3.125" style="19" customWidth="1"/>
    <col min="6441" max="6441" width="4.625" style="19" customWidth="1"/>
    <col min="6442" max="6442" width="3.5" style="19" customWidth="1"/>
    <col min="6443" max="6453" width="3.125" style="19" customWidth="1"/>
    <col min="6454" max="6455" width="5.625" style="19" customWidth="1"/>
    <col min="6456" max="6500" width="2.625" style="19" customWidth="1"/>
    <col min="6501" max="6660" width="9" style="19"/>
    <col min="6661" max="6675" width="3.125" style="19" customWidth="1"/>
    <col min="6676" max="6676" width="5.5" style="19" customWidth="1"/>
    <col min="6677" max="6677" width="5.625" style="19" customWidth="1"/>
    <col min="6678" max="6693" width="3.125" style="19" customWidth="1"/>
    <col min="6694" max="6694" width="5.375" style="19" customWidth="1"/>
    <col min="6695" max="6696" width="3.125" style="19" customWidth="1"/>
    <col min="6697" max="6697" width="4.625" style="19" customWidth="1"/>
    <col min="6698" max="6698" width="3.5" style="19" customWidth="1"/>
    <col min="6699" max="6709" width="3.125" style="19" customWidth="1"/>
    <col min="6710" max="6711" width="5.625" style="19" customWidth="1"/>
    <col min="6712" max="6756" width="2.625" style="19" customWidth="1"/>
    <col min="6757" max="6916" width="9" style="19"/>
    <col min="6917" max="6931" width="3.125" style="19" customWidth="1"/>
    <col min="6932" max="6932" width="5.5" style="19" customWidth="1"/>
    <col min="6933" max="6933" width="5.625" style="19" customWidth="1"/>
    <col min="6934" max="6949" width="3.125" style="19" customWidth="1"/>
    <col min="6950" max="6950" width="5.375" style="19" customWidth="1"/>
    <col min="6951" max="6952" width="3.125" style="19" customWidth="1"/>
    <col min="6953" max="6953" width="4.625" style="19" customWidth="1"/>
    <col min="6954" max="6954" width="3.5" style="19" customWidth="1"/>
    <col min="6955" max="6965" width="3.125" style="19" customWidth="1"/>
    <col min="6966" max="6967" width="5.625" style="19" customWidth="1"/>
    <col min="6968" max="7012" width="2.625" style="19" customWidth="1"/>
    <col min="7013" max="7172" width="9" style="19"/>
    <col min="7173" max="7187" width="3.125" style="19" customWidth="1"/>
    <col min="7188" max="7188" width="5.5" style="19" customWidth="1"/>
    <col min="7189" max="7189" width="5.625" style="19" customWidth="1"/>
    <col min="7190" max="7205" width="3.125" style="19" customWidth="1"/>
    <col min="7206" max="7206" width="5.375" style="19" customWidth="1"/>
    <col min="7207" max="7208" width="3.125" style="19" customWidth="1"/>
    <col min="7209" max="7209" width="4.625" style="19" customWidth="1"/>
    <col min="7210" max="7210" width="3.5" style="19" customWidth="1"/>
    <col min="7211" max="7221" width="3.125" style="19" customWidth="1"/>
    <col min="7222" max="7223" width="5.625" style="19" customWidth="1"/>
    <col min="7224" max="7268" width="2.625" style="19" customWidth="1"/>
    <col min="7269" max="7428" width="9" style="19"/>
    <col min="7429" max="7443" width="3.125" style="19" customWidth="1"/>
    <col min="7444" max="7444" width="5.5" style="19" customWidth="1"/>
    <col min="7445" max="7445" width="5.625" style="19" customWidth="1"/>
    <col min="7446" max="7461" width="3.125" style="19" customWidth="1"/>
    <col min="7462" max="7462" width="5.375" style="19" customWidth="1"/>
    <col min="7463" max="7464" width="3.125" style="19" customWidth="1"/>
    <col min="7465" max="7465" width="4.625" style="19" customWidth="1"/>
    <col min="7466" max="7466" width="3.5" style="19" customWidth="1"/>
    <col min="7467" max="7477" width="3.125" style="19" customWidth="1"/>
    <col min="7478" max="7479" width="5.625" style="19" customWidth="1"/>
    <col min="7480" max="7524" width="2.625" style="19" customWidth="1"/>
    <col min="7525" max="7684" width="9" style="19"/>
    <col min="7685" max="7699" width="3.125" style="19" customWidth="1"/>
    <col min="7700" max="7700" width="5.5" style="19" customWidth="1"/>
    <col min="7701" max="7701" width="5.625" style="19" customWidth="1"/>
    <col min="7702" max="7717" width="3.125" style="19" customWidth="1"/>
    <col min="7718" max="7718" width="5.375" style="19" customWidth="1"/>
    <col min="7719" max="7720" width="3.125" style="19" customWidth="1"/>
    <col min="7721" max="7721" width="4.625" style="19" customWidth="1"/>
    <col min="7722" max="7722" width="3.5" style="19" customWidth="1"/>
    <col min="7723" max="7733" width="3.125" style="19" customWidth="1"/>
    <col min="7734" max="7735" width="5.625" style="19" customWidth="1"/>
    <col min="7736" max="7780" width="2.625" style="19" customWidth="1"/>
    <col min="7781" max="7940" width="9" style="19"/>
    <col min="7941" max="7955" width="3.125" style="19" customWidth="1"/>
    <col min="7956" max="7956" width="5.5" style="19" customWidth="1"/>
    <col min="7957" max="7957" width="5.625" style="19" customWidth="1"/>
    <col min="7958" max="7973" width="3.125" style="19" customWidth="1"/>
    <col min="7974" max="7974" width="5.375" style="19" customWidth="1"/>
    <col min="7975" max="7976" width="3.125" style="19" customWidth="1"/>
    <col min="7977" max="7977" width="4.625" style="19" customWidth="1"/>
    <col min="7978" max="7978" width="3.5" style="19" customWidth="1"/>
    <col min="7979" max="7989" width="3.125" style="19" customWidth="1"/>
    <col min="7990" max="7991" width="5.625" style="19" customWidth="1"/>
    <col min="7992" max="8036" width="2.625" style="19" customWidth="1"/>
    <col min="8037" max="8196" width="9" style="19"/>
    <col min="8197" max="8211" width="3.125" style="19" customWidth="1"/>
    <col min="8212" max="8212" width="5.5" style="19" customWidth="1"/>
    <col min="8213" max="8213" width="5.625" style="19" customWidth="1"/>
    <col min="8214" max="8229" width="3.125" style="19" customWidth="1"/>
    <col min="8230" max="8230" width="5.375" style="19" customWidth="1"/>
    <col min="8231" max="8232" width="3.125" style="19" customWidth="1"/>
    <col min="8233" max="8233" width="4.625" style="19" customWidth="1"/>
    <col min="8234" max="8234" width="3.5" style="19" customWidth="1"/>
    <col min="8235" max="8245" width="3.125" style="19" customWidth="1"/>
    <col min="8246" max="8247" width="5.625" style="19" customWidth="1"/>
    <col min="8248" max="8292" width="2.625" style="19" customWidth="1"/>
    <col min="8293" max="8452" width="9" style="19"/>
    <col min="8453" max="8467" width="3.125" style="19" customWidth="1"/>
    <col min="8468" max="8468" width="5.5" style="19" customWidth="1"/>
    <col min="8469" max="8469" width="5.625" style="19" customWidth="1"/>
    <col min="8470" max="8485" width="3.125" style="19" customWidth="1"/>
    <col min="8486" max="8486" width="5.375" style="19" customWidth="1"/>
    <col min="8487" max="8488" width="3.125" style="19" customWidth="1"/>
    <col min="8489" max="8489" width="4.625" style="19" customWidth="1"/>
    <col min="8490" max="8490" width="3.5" style="19" customWidth="1"/>
    <col min="8491" max="8501" width="3.125" style="19" customWidth="1"/>
    <col min="8502" max="8503" width="5.625" style="19" customWidth="1"/>
    <col min="8504" max="8548" width="2.625" style="19" customWidth="1"/>
    <col min="8549" max="8708" width="9" style="19"/>
    <col min="8709" max="8723" width="3.125" style="19" customWidth="1"/>
    <col min="8724" max="8724" width="5.5" style="19" customWidth="1"/>
    <col min="8725" max="8725" width="5.625" style="19" customWidth="1"/>
    <col min="8726" max="8741" width="3.125" style="19" customWidth="1"/>
    <col min="8742" max="8742" width="5.375" style="19" customWidth="1"/>
    <col min="8743" max="8744" width="3.125" style="19" customWidth="1"/>
    <col min="8745" max="8745" width="4.625" style="19" customWidth="1"/>
    <col min="8746" max="8746" width="3.5" style="19" customWidth="1"/>
    <col min="8747" max="8757" width="3.125" style="19" customWidth="1"/>
    <col min="8758" max="8759" width="5.625" style="19" customWidth="1"/>
    <col min="8760" max="8804" width="2.625" style="19" customWidth="1"/>
    <col min="8805" max="8964" width="9" style="19"/>
    <col min="8965" max="8979" width="3.125" style="19" customWidth="1"/>
    <col min="8980" max="8980" width="5.5" style="19" customWidth="1"/>
    <col min="8981" max="8981" width="5.625" style="19" customWidth="1"/>
    <col min="8982" max="8997" width="3.125" style="19" customWidth="1"/>
    <col min="8998" max="8998" width="5.375" style="19" customWidth="1"/>
    <col min="8999" max="9000" width="3.125" style="19" customWidth="1"/>
    <col min="9001" max="9001" width="4.625" style="19" customWidth="1"/>
    <col min="9002" max="9002" width="3.5" style="19" customWidth="1"/>
    <col min="9003" max="9013" width="3.125" style="19" customWidth="1"/>
    <col min="9014" max="9015" width="5.625" style="19" customWidth="1"/>
    <col min="9016" max="9060" width="2.625" style="19" customWidth="1"/>
    <col min="9061" max="9220" width="9" style="19"/>
    <col min="9221" max="9235" width="3.125" style="19" customWidth="1"/>
    <col min="9236" max="9236" width="5.5" style="19" customWidth="1"/>
    <col min="9237" max="9237" width="5.625" style="19" customWidth="1"/>
    <col min="9238" max="9253" width="3.125" style="19" customWidth="1"/>
    <col min="9254" max="9254" width="5.375" style="19" customWidth="1"/>
    <col min="9255" max="9256" width="3.125" style="19" customWidth="1"/>
    <col min="9257" max="9257" width="4.625" style="19" customWidth="1"/>
    <col min="9258" max="9258" width="3.5" style="19" customWidth="1"/>
    <col min="9259" max="9269" width="3.125" style="19" customWidth="1"/>
    <col min="9270" max="9271" width="5.625" style="19" customWidth="1"/>
    <col min="9272" max="9316" width="2.625" style="19" customWidth="1"/>
    <col min="9317" max="9476" width="9" style="19"/>
    <col min="9477" max="9491" width="3.125" style="19" customWidth="1"/>
    <col min="9492" max="9492" width="5.5" style="19" customWidth="1"/>
    <col min="9493" max="9493" width="5.625" style="19" customWidth="1"/>
    <col min="9494" max="9509" width="3.125" style="19" customWidth="1"/>
    <col min="9510" max="9510" width="5.375" style="19" customWidth="1"/>
    <col min="9511" max="9512" width="3.125" style="19" customWidth="1"/>
    <col min="9513" max="9513" width="4.625" style="19" customWidth="1"/>
    <col min="9514" max="9514" width="3.5" style="19" customWidth="1"/>
    <col min="9515" max="9525" width="3.125" style="19" customWidth="1"/>
    <col min="9526" max="9527" width="5.625" style="19" customWidth="1"/>
    <col min="9528" max="9572" width="2.625" style="19" customWidth="1"/>
    <col min="9573" max="9732" width="9" style="19"/>
    <col min="9733" max="9747" width="3.125" style="19" customWidth="1"/>
    <col min="9748" max="9748" width="5.5" style="19" customWidth="1"/>
    <col min="9749" max="9749" width="5.625" style="19" customWidth="1"/>
    <col min="9750" max="9765" width="3.125" style="19" customWidth="1"/>
    <col min="9766" max="9766" width="5.375" style="19" customWidth="1"/>
    <col min="9767" max="9768" width="3.125" style="19" customWidth="1"/>
    <col min="9769" max="9769" width="4.625" style="19" customWidth="1"/>
    <col min="9770" max="9770" width="3.5" style="19" customWidth="1"/>
    <col min="9771" max="9781" width="3.125" style="19" customWidth="1"/>
    <col min="9782" max="9783" width="5.625" style="19" customWidth="1"/>
    <col min="9784" max="9828" width="2.625" style="19" customWidth="1"/>
    <col min="9829" max="9988" width="9" style="19"/>
    <col min="9989" max="10003" width="3.125" style="19" customWidth="1"/>
    <col min="10004" max="10004" width="5.5" style="19" customWidth="1"/>
    <col min="10005" max="10005" width="5.625" style="19" customWidth="1"/>
    <col min="10006" max="10021" width="3.125" style="19" customWidth="1"/>
    <col min="10022" max="10022" width="5.375" style="19" customWidth="1"/>
    <col min="10023" max="10024" width="3.125" style="19" customWidth="1"/>
    <col min="10025" max="10025" width="4.625" style="19" customWidth="1"/>
    <col min="10026" max="10026" width="3.5" style="19" customWidth="1"/>
    <col min="10027" max="10037" width="3.125" style="19" customWidth="1"/>
    <col min="10038" max="10039" width="5.625" style="19" customWidth="1"/>
    <col min="10040" max="10084" width="2.625" style="19" customWidth="1"/>
    <col min="10085" max="10244" width="9" style="19"/>
    <col min="10245" max="10259" width="3.125" style="19" customWidth="1"/>
    <col min="10260" max="10260" width="5.5" style="19" customWidth="1"/>
    <col min="10261" max="10261" width="5.625" style="19" customWidth="1"/>
    <col min="10262" max="10277" width="3.125" style="19" customWidth="1"/>
    <col min="10278" max="10278" width="5.375" style="19" customWidth="1"/>
    <col min="10279" max="10280" width="3.125" style="19" customWidth="1"/>
    <col min="10281" max="10281" width="4.625" style="19" customWidth="1"/>
    <col min="10282" max="10282" width="3.5" style="19" customWidth="1"/>
    <col min="10283" max="10293" width="3.125" style="19" customWidth="1"/>
    <col min="10294" max="10295" width="5.625" style="19" customWidth="1"/>
    <col min="10296" max="10340" width="2.625" style="19" customWidth="1"/>
    <col min="10341" max="10500" width="9" style="19"/>
    <col min="10501" max="10515" width="3.125" style="19" customWidth="1"/>
    <col min="10516" max="10516" width="5.5" style="19" customWidth="1"/>
    <col min="10517" max="10517" width="5.625" style="19" customWidth="1"/>
    <col min="10518" max="10533" width="3.125" style="19" customWidth="1"/>
    <col min="10534" max="10534" width="5.375" style="19" customWidth="1"/>
    <col min="10535" max="10536" width="3.125" style="19" customWidth="1"/>
    <col min="10537" max="10537" width="4.625" style="19" customWidth="1"/>
    <col min="10538" max="10538" width="3.5" style="19" customWidth="1"/>
    <col min="10539" max="10549" width="3.125" style="19" customWidth="1"/>
    <col min="10550" max="10551" width="5.625" style="19" customWidth="1"/>
    <col min="10552" max="10596" width="2.625" style="19" customWidth="1"/>
    <col min="10597" max="10756" width="9" style="19"/>
    <col min="10757" max="10771" width="3.125" style="19" customWidth="1"/>
    <col min="10772" max="10772" width="5.5" style="19" customWidth="1"/>
    <col min="10773" max="10773" width="5.625" style="19" customWidth="1"/>
    <col min="10774" max="10789" width="3.125" style="19" customWidth="1"/>
    <col min="10790" max="10790" width="5.375" style="19" customWidth="1"/>
    <col min="10791" max="10792" width="3.125" style="19" customWidth="1"/>
    <col min="10793" max="10793" width="4.625" style="19" customWidth="1"/>
    <col min="10794" max="10794" width="3.5" style="19" customWidth="1"/>
    <col min="10795" max="10805" width="3.125" style="19" customWidth="1"/>
    <col min="10806" max="10807" width="5.625" style="19" customWidth="1"/>
    <col min="10808" max="10852" width="2.625" style="19" customWidth="1"/>
    <col min="10853" max="11012" width="9" style="19"/>
    <col min="11013" max="11027" width="3.125" style="19" customWidth="1"/>
    <col min="11028" max="11028" width="5.5" style="19" customWidth="1"/>
    <col min="11029" max="11029" width="5.625" style="19" customWidth="1"/>
    <col min="11030" max="11045" width="3.125" style="19" customWidth="1"/>
    <col min="11046" max="11046" width="5.375" style="19" customWidth="1"/>
    <col min="11047" max="11048" width="3.125" style="19" customWidth="1"/>
    <col min="11049" max="11049" width="4.625" style="19" customWidth="1"/>
    <col min="11050" max="11050" width="3.5" style="19" customWidth="1"/>
    <col min="11051" max="11061" width="3.125" style="19" customWidth="1"/>
    <col min="11062" max="11063" width="5.625" style="19" customWidth="1"/>
    <col min="11064" max="11108" width="2.625" style="19" customWidth="1"/>
    <col min="11109" max="11268" width="9" style="19"/>
    <col min="11269" max="11283" width="3.125" style="19" customWidth="1"/>
    <col min="11284" max="11284" width="5.5" style="19" customWidth="1"/>
    <col min="11285" max="11285" width="5.625" style="19" customWidth="1"/>
    <col min="11286" max="11301" width="3.125" style="19" customWidth="1"/>
    <col min="11302" max="11302" width="5.375" style="19" customWidth="1"/>
    <col min="11303" max="11304" width="3.125" style="19" customWidth="1"/>
    <col min="11305" max="11305" width="4.625" style="19" customWidth="1"/>
    <col min="11306" max="11306" width="3.5" style="19" customWidth="1"/>
    <col min="11307" max="11317" width="3.125" style="19" customWidth="1"/>
    <col min="11318" max="11319" width="5.625" style="19" customWidth="1"/>
    <col min="11320" max="11364" width="2.625" style="19" customWidth="1"/>
    <col min="11365" max="11524" width="9" style="19"/>
    <col min="11525" max="11539" width="3.125" style="19" customWidth="1"/>
    <col min="11540" max="11540" width="5.5" style="19" customWidth="1"/>
    <col min="11541" max="11541" width="5.625" style="19" customWidth="1"/>
    <col min="11542" max="11557" width="3.125" style="19" customWidth="1"/>
    <col min="11558" max="11558" width="5.375" style="19" customWidth="1"/>
    <col min="11559" max="11560" width="3.125" style="19" customWidth="1"/>
    <col min="11561" max="11561" width="4.625" style="19" customWidth="1"/>
    <col min="11562" max="11562" width="3.5" style="19" customWidth="1"/>
    <col min="11563" max="11573" width="3.125" style="19" customWidth="1"/>
    <col min="11574" max="11575" width="5.625" style="19" customWidth="1"/>
    <col min="11576" max="11620" width="2.625" style="19" customWidth="1"/>
    <col min="11621" max="11780" width="9" style="19"/>
    <col min="11781" max="11795" width="3.125" style="19" customWidth="1"/>
    <col min="11796" max="11796" width="5.5" style="19" customWidth="1"/>
    <col min="11797" max="11797" width="5.625" style="19" customWidth="1"/>
    <col min="11798" max="11813" width="3.125" style="19" customWidth="1"/>
    <col min="11814" max="11814" width="5.375" style="19" customWidth="1"/>
    <col min="11815" max="11816" width="3.125" style="19" customWidth="1"/>
    <col min="11817" max="11817" width="4.625" style="19" customWidth="1"/>
    <col min="11818" max="11818" width="3.5" style="19" customWidth="1"/>
    <col min="11819" max="11829" width="3.125" style="19" customWidth="1"/>
    <col min="11830" max="11831" width="5.625" style="19" customWidth="1"/>
    <col min="11832" max="11876" width="2.625" style="19" customWidth="1"/>
    <col min="11877" max="12036" width="9" style="19"/>
    <col min="12037" max="12051" width="3.125" style="19" customWidth="1"/>
    <col min="12052" max="12052" width="5.5" style="19" customWidth="1"/>
    <col min="12053" max="12053" width="5.625" style="19" customWidth="1"/>
    <col min="12054" max="12069" width="3.125" style="19" customWidth="1"/>
    <col min="12070" max="12070" width="5.375" style="19" customWidth="1"/>
    <col min="12071" max="12072" width="3.125" style="19" customWidth="1"/>
    <col min="12073" max="12073" width="4.625" style="19" customWidth="1"/>
    <col min="12074" max="12074" width="3.5" style="19" customWidth="1"/>
    <col min="12075" max="12085" width="3.125" style="19" customWidth="1"/>
    <col min="12086" max="12087" width="5.625" style="19" customWidth="1"/>
    <col min="12088" max="12132" width="2.625" style="19" customWidth="1"/>
    <col min="12133" max="12292" width="9" style="19"/>
    <col min="12293" max="12307" width="3.125" style="19" customWidth="1"/>
    <col min="12308" max="12308" width="5.5" style="19" customWidth="1"/>
    <col min="12309" max="12309" width="5.625" style="19" customWidth="1"/>
    <col min="12310" max="12325" width="3.125" style="19" customWidth="1"/>
    <col min="12326" max="12326" width="5.375" style="19" customWidth="1"/>
    <col min="12327" max="12328" width="3.125" style="19" customWidth="1"/>
    <col min="12329" max="12329" width="4.625" style="19" customWidth="1"/>
    <col min="12330" max="12330" width="3.5" style="19" customWidth="1"/>
    <col min="12331" max="12341" width="3.125" style="19" customWidth="1"/>
    <col min="12342" max="12343" width="5.625" style="19" customWidth="1"/>
    <col min="12344" max="12388" width="2.625" style="19" customWidth="1"/>
    <col min="12389" max="12548" width="9" style="19"/>
    <col min="12549" max="12563" width="3.125" style="19" customWidth="1"/>
    <col min="12564" max="12564" width="5.5" style="19" customWidth="1"/>
    <col min="12565" max="12565" width="5.625" style="19" customWidth="1"/>
    <col min="12566" max="12581" width="3.125" style="19" customWidth="1"/>
    <col min="12582" max="12582" width="5.375" style="19" customWidth="1"/>
    <col min="12583" max="12584" width="3.125" style="19" customWidth="1"/>
    <col min="12585" max="12585" width="4.625" style="19" customWidth="1"/>
    <col min="12586" max="12586" width="3.5" style="19" customWidth="1"/>
    <col min="12587" max="12597" width="3.125" style="19" customWidth="1"/>
    <col min="12598" max="12599" width="5.625" style="19" customWidth="1"/>
    <col min="12600" max="12644" width="2.625" style="19" customWidth="1"/>
    <col min="12645" max="12804" width="9" style="19"/>
    <col min="12805" max="12819" width="3.125" style="19" customWidth="1"/>
    <col min="12820" max="12820" width="5.5" style="19" customWidth="1"/>
    <col min="12821" max="12821" width="5.625" style="19" customWidth="1"/>
    <col min="12822" max="12837" width="3.125" style="19" customWidth="1"/>
    <col min="12838" max="12838" width="5.375" style="19" customWidth="1"/>
    <col min="12839" max="12840" width="3.125" style="19" customWidth="1"/>
    <col min="12841" max="12841" width="4.625" style="19" customWidth="1"/>
    <col min="12842" max="12842" width="3.5" style="19" customWidth="1"/>
    <col min="12843" max="12853" width="3.125" style="19" customWidth="1"/>
    <col min="12854" max="12855" width="5.625" style="19" customWidth="1"/>
    <col min="12856" max="12900" width="2.625" style="19" customWidth="1"/>
    <col min="12901" max="13060" width="9" style="19"/>
    <col min="13061" max="13075" width="3.125" style="19" customWidth="1"/>
    <col min="13076" max="13076" width="5.5" style="19" customWidth="1"/>
    <col min="13077" max="13077" width="5.625" style="19" customWidth="1"/>
    <col min="13078" max="13093" width="3.125" style="19" customWidth="1"/>
    <col min="13094" max="13094" width="5.375" style="19" customWidth="1"/>
    <col min="13095" max="13096" width="3.125" style="19" customWidth="1"/>
    <col min="13097" max="13097" width="4.625" style="19" customWidth="1"/>
    <col min="13098" max="13098" width="3.5" style="19" customWidth="1"/>
    <col min="13099" max="13109" width="3.125" style="19" customWidth="1"/>
    <col min="13110" max="13111" width="5.625" style="19" customWidth="1"/>
    <col min="13112" max="13156" width="2.625" style="19" customWidth="1"/>
    <col min="13157" max="13316" width="9" style="19"/>
    <col min="13317" max="13331" width="3.125" style="19" customWidth="1"/>
    <col min="13332" max="13332" width="5.5" style="19" customWidth="1"/>
    <col min="13333" max="13333" width="5.625" style="19" customWidth="1"/>
    <col min="13334" max="13349" width="3.125" style="19" customWidth="1"/>
    <col min="13350" max="13350" width="5.375" style="19" customWidth="1"/>
    <col min="13351" max="13352" width="3.125" style="19" customWidth="1"/>
    <col min="13353" max="13353" width="4.625" style="19" customWidth="1"/>
    <col min="13354" max="13354" width="3.5" style="19" customWidth="1"/>
    <col min="13355" max="13365" width="3.125" style="19" customWidth="1"/>
    <col min="13366" max="13367" width="5.625" style="19" customWidth="1"/>
    <col min="13368" max="13412" width="2.625" style="19" customWidth="1"/>
    <col min="13413" max="13572" width="9" style="19"/>
    <col min="13573" max="13587" width="3.125" style="19" customWidth="1"/>
    <col min="13588" max="13588" width="5.5" style="19" customWidth="1"/>
    <col min="13589" max="13589" width="5.625" style="19" customWidth="1"/>
    <col min="13590" max="13605" width="3.125" style="19" customWidth="1"/>
    <col min="13606" max="13606" width="5.375" style="19" customWidth="1"/>
    <col min="13607" max="13608" width="3.125" style="19" customWidth="1"/>
    <col min="13609" max="13609" width="4.625" style="19" customWidth="1"/>
    <col min="13610" max="13610" width="3.5" style="19" customWidth="1"/>
    <col min="13611" max="13621" width="3.125" style="19" customWidth="1"/>
    <col min="13622" max="13623" width="5.625" style="19" customWidth="1"/>
    <col min="13624" max="13668" width="2.625" style="19" customWidth="1"/>
    <col min="13669" max="13828" width="9" style="19"/>
    <col min="13829" max="13843" width="3.125" style="19" customWidth="1"/>
    <col min="13844" max="13844" width="5.5" style="19" customWidth="1"/>
    <col min="13845" max="13845" width="5.625" style="19" customWidth="1"/>
    <col min="13846" max="13861" width="3.125" style="19" customWidth="1"/>
    <col min="13862" max="13862" width="5.375" style="19" customWidth="1"/>
    <col min="13863" max="13864" width="3.125" style="19" customWidth="1"/>
    <col min="13865" max="13865" width="4.625" style="19" customWidth="1"/>
    <col min="13866" max="13866" width="3.5" style="19" customWidth="1"/>
    <col min="13867" max="13877" width="3.125" style="19" customWidth="1"/>
    <col min="13878" max="13879" width="5.625" style="19" customWidth="1"/>
    <col min="13880" max="13924" width="2.625" style="19" customWidth="1"/>
    <col min="13925" max="14084" width="9" style="19"/>
    <col min="14085" max="14099" width="3.125" style="19" customWidth="1"/>
    <col min="14100" max="14100" width="5.5" style="19" customWidth="1"/>
    <col min="14101" max="14101" width="5.625" style="19" customWidth="1"/>
    <col min="14102" max="14117" width="3.125" style="19" customWidth="1"/>
    <col min="14118" max="14118" width="5.375" style="19" customWidth="1"/>
    <col min="14119" max="14120" width="3.125" style="19" customWidth="1"/>
    <col min="14121" max="14121" width="4.625" style="19" customWidth="1"/>
    <col min="14122" max="14122" width="3.5" style="19" customWidth="1"/>
    <col min="14123" max="14133" width="3.125" style="19" customWidth="1"/>
    <col min="14134" max="14135" width="5.625" style="19" customWidth="1"/>
    <col min="14136" max="14180" width="2.625" style="19" customWidth="1"/>
    <col min="14181" max="14340" width="9" style="19"/>
    <col min="14341" max="14355" width="3.125" style="19" customWidth="1"/>
    <col min="14356" max="14356" width="5.5" style="19" customWidth="1"/>
    <col min="14357" max="14357" width="5.625" style="19" customWidth="1"/>
    <col min="14358" max="14373" width="3.125" style="19" customWidth="1"/>
    <col min="14374" max="14374" width="5.375" style="19" customWidth="1"/>
    <col min="14375" max="14376" width="3.125" style="19" customWidth="1"/>
    <col min="14377" max="14377" width="4.625" style="19" customWidth="1"/>
    <col min="14378" max="14378" width="3.5" style="19" customWidth="1"/>
    <col min="14379" max="14389" width="3.125" style="19" customWidth="1"/>
    <col min="14390" max="14391" width="5.625" style="19" customWidth="1"/>
    <col min="14392" max="14436" width="2.625" style="19" customWidth="1"/>
    <col min="14437" max="14596" width="9" style="19"/>
    <col min="14597" max="14611" width="3.125" style="19" customWidth="1"/>
    <col min="14612" max="14612" width="5.5" style="19" customWidth="1"/>
    <col min="14613" max="14613" width="5.625" style="19" customWidth="1"/>
    <col min="14614" max="14629" width="3.125" style="19" customWidth="1"/>
    <col min="14630" max="14630" width="5.375" style="19" customWidth="1"/>
    <col min="14631" max="14632" width="3.125" style="19" customWidth="1"/>
    <col min="14633" max="14633" width="4.625" style="19" customWidth="1"/>
    <col min="14634" max="14634" width="3.5" style="19" customWidth="1"/>
    <col min="14635" max="14645" width="3.125" style="19" customWidth="1"/>
    <col min="14646" max="14647" width="5.625" style="19" customWidth="1"/>
    <col min="14648" max="14692" width="2.625" style="19" customWidth="1"/>
    <col min="14693" max="14852" width="9" style="19"/>
    <col min="14853" max="14867" width="3.125" style="19" customWidth="1"/>
    <col min="14868" max="14868" width="5.5" style="19" customWidth="1"/>
    <col min="14869" max="14869" width="5.625" style="19" customWidth="1"/>
    <col min="14870" max="14885" width="3.125" style="19" customWidth="1"/>
    <col min="14886" max="14886" width="5.375" style="19" customWidth="1"/>
    <col min="14887" max="14888" width="3.125" style="19" customWidth="1"/>
    <col min="14889" max="14889" width="4.625" style="19" customWidth="1"/>
    <col min="14890" max="14890" width="3.5" style="19" customWidth="1"/>
    <col min="14891" max="14901" width="3.125" style="19" customWidth="1"/>
    <col min="14902" max="14903" width="5.625" style="19" customWidth="1"/>
    <col min="14904" max="14948" width="2.625" style="19" customWidth="1"/>
    <col min="14949" max="15108" width="9" style="19"/>
    <col min="15109" max="15123" width="3.125" style="19" customWidth="1"/>
    <col min="15124" max="15124" width="5.5" style="19" customWidth="1"/>
    <col min="15125" max="15125" width="5.625" style="19" customWidth="1"/>
    <col min="15126" max="15141" width="3.125" style="19" customWidth="1"/>
    <col min="15142" max="15142" width="5.375" style="19" customWidth="1"/>
    <col min="15143" max="15144" width="3.125" style="19" customWidth="1"/>
    <col min="15145" max="15145" width="4.625" style="19" customWidth="1"/>
    <col min="15146" max="15146" width="3.5" style="19" customWidth="1"/>
    <col min="15147" max="15157" width="3.125" style="19" customWidth="1"/>
    <col min="15158" max="15159" width="5.625" style="19" customWidth="1"/>
    <col min="15160" max="15204" width="2.625" style="19" customWidth="1"/>
    <col min="15205" max="15364" width="9" style="19"/>
    <col min="15365" max="15379" width="3.125" style="19" customWidth="1"/>
    <col min="15380" max="15380" width="5.5" style="19" customWidth="1"/>
    <col min="15381" max="15381" width="5.625" style="19" customWidth="1"/>
    <col min="15382" max="15397" width="3.125" style="19" customWidth="1"/>
    <col min="15398" max="15398" width="5.375" style="19" customWidth="1"/>
    <col min="15399" max="15400" width="3.125" style="19" customWidth="1"/>
    <col min="15401" max="15401" width="4.625" style="19" customWidth="1"/>
    <col min="15402" max="15402" width="3.5" style="19" customWidth="1"/>
    <col min="15403" max="15413" width="3.125" style="19" customWidth="1"/>
    <col min="15414" max="15415" width="5.625" style="19" customWidth="1"/>
    <col min="15416" max="15460" width="2.625" style="19" customWidth="1"/>
    <col min="15461" max="15620" width="9" style="19"/>
    <col min="15621" max="15635" width="3.125" style="19" customWidth="1"/>
    <col min="15636" max="15636" width="5.5" style="19" customWidth="1"/>
    <col min="15637" max="15637" width="5.625" style="19" customWidth="1"/>
    <col min="15638" max="15653" width="3.125" style="19" customWidth="1"/>
    <col min="15654" max="15654" width="5.375" style="19" customWidth="1"/>
    <col min="15655" max="15656" width="3.125" style="19" customWidth="1"/>
    <col min="15657" max="15657" width="4.625" style="19" customWidth="1"/>
    <col min="15658" max="15658" width="3.5" style="19" customWidth="1"/>
    <col min="15659" max="15669" width="3.125" style="19" customWidth="1"/>
    <col min="15670" max="15671" width="5.625" style="19" customWidth="1"/>
    <col min="15672" max="15716" width="2.625" style="19" customWidth="1"/>
    <col min="15717" max="15876" width="9" style="19"/>
    <col min="15877" max="15891" width="3.125" style="19" customWidth="1"/>
    <col min="15892" max="15892" width="5.5" style="19" customWidth="1"/>
    <col min="15893" max="15893" width="5.625" style="19" customWidth="1"/>
    <col min="15894" max="15909" width="3.125" style="19" customWidth="1"/>
    <col min="15910" max="15910" width="5.375" style="19" customWidth="1"/>
    <col min="15911" max="15912" width="3.125" style="19" customWidth="1"/>
    <col min="15913" max="15913" width="4.625" style="19" customWidth="1"/>
    <col min="15914" max="15914" width="3.5" style="19" customWidth="1"/>
    <col min="15915" max="15925" width="3.125" style="19" customWidth="1"/>
    <col min="15926" max="15927" width="5.625" style="19" customWidth="1"/>
    <col min="15928" max="15972" width="2.625" style="19" customWidth="1"/>
    <col min="15973" max="16132" width="9" style="19"/>
    <col min="16133" max="16147" width="3.125" style="19" customWidth="1"/>
    <col min="16148" max="16148" width="5.5" style="19" customWidth="1"/>
    <col min="16149" max="16149" width="5.625" style="19" customWidth="1"/>
    <col min="16150" max="16165" width="3.125" style="19" customWidth="1"/>
    <col min="16166" max="16166" width="5.375" style="19" customWidth="1"/>
    <col min="16167" max="16168" width="3.125" style="19" customWidth="1"/>
    <col min="16169" max="16169" width="4.625" style="19" customWidth="1"/>
    <col min="16170" max="16170" width="3.5" style="19" customWidth="1"/>
    <col min="16171" max="16181" width="3.125" style="19" customWidth="1"/>
    <col min="16182" max="16183" width="5.625" style="19" customWidth="1"/>
    <col min="16184" max="16228" width="2.625" style="19" customWidth="1"/>
    <col min="16229" max="16384" width="9" style="19"/>
  </cols>
  <sheetData>
    <row r="1" spans="2:53"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3"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3"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3"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3"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3"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3"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3"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3"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3"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3"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3"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3" ht="13.5" customHeight="1" x14ac:dyDescent="0.15">
      <c r="B13" s="174" t="s">
        <v>71</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3"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3" ht="13.5" customHeight="1" x14ac:dyDescent="0.15">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row>
    <row r="16" spans="2:53"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35"/>
      <c r="AK16" s="35"/>
      <c r="AL16" s="35"/>
      <c r="AM16" s="2"/>
      <c r="AN16" s="2"/>
      <c r="AO16" s="2"/>
      <c r="AP16" s="2"/>
      <c r="AQ16" s="2"/>
      <c r="AR16" s="2"/>
      <c r="AS16" s="2"/>
      <c r="AT16" s="2"/>
      <c r="AU16" s="2"/>
      <c r="AV16" s="2"/>
      <c r="AW16" s="2"/>
      <c r="AX16" s="2"/>
      <c r="AY16" s="2"/>
      <c r="AZ16" s="2"/>
      <c r="BA16" s="2"/>
    </row>
    <row r="17" spans="2:53" ht="13.5" customHeight="1" x14ac:dyDescent="0.15">
      <c r="B17" s="175"/>
      <c r="C17" s="175"/>
      <c r="D17" s="175"/>
      <c r="E17" s="175"/>
      <c r="F17" s="175"/>
      <c r="G17" s="175"/>
      <c r="H17" s="175"/>
      <c r="I17" s="175"/>
      <c r="J17" s="175"/>
      <c r="K17" s="175"/>
      <c r="L17" s="175"/>
      <c r="M17" s="175"/>
      <c r="N17" s="175"/>
      <c r="O17" s="35"/>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05"/>
      <c r="AS17" s="205"/>
      <c r="AT17" s="205"/>
      <c r="AU17" s="205"/>
      <c r="AV17" s="205"/>
      <c r="AW17" s="205"/>
      <c r="AX17" s="205"/>
      <c r="AY17" s="205"/>
      <c r="AZ17" s="205"/>
      <c r="BA17" s="205"/>
    </row>
    <row r="18" spans="2:53" ht="13.5" customHeight="1" x14ac:dyDescent="0.15">
      <c r="B18" s="136" t="s">
        <v>1</v>
      </c>
      <c r="C18" s="136"/>
      <c r="D18" s="136"/>
      <c r="E18" s="136"/>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3" ht="13.5" customHeight="1" x14ac:dyDescent="0.15">
      <c r="B19" s="137"/>
      <c r="C19" s="137"/>
      <c r="D19" s="137"/>
      <c r="E19" s="137"/>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7" t="s">
        <v>47</v>
      </c>
      <c r="AV19" s="157"/>
      <c r="AW19" s="157"/>
      <c r="AX19" s="157"/>
      <c r="AY19" s="157"/>
      <c r="AZ19" s="157"/>
      <c r="BA19" s="157"/>
    </row>
    <row r="20" spans="2:53" s="21" customFormat="1" ht="13.5" customHeight="1" x14ac:dyDescent="0.15">
      <c r="B20" s="91" t="s">
        <v>2</v>
      </c>
      <c r="C20" s="92"/>
      <c r="D20" s="92"/>
      <c r="E20" s="92"/>
      <c r="F20" s="92"/>
      <c r="G20" s="92"/>
      <c r="H20" s="92"/>
      <c r="I20" s="91" t="s">
        <v>3</v>
      </c>
      <c r="J20" s="92"/>
      <c r="K20" s="92"/>
      <c r="L20" s="92"/>
      <c r="M20" s="92"/>
      <c r="N20" s="92"/>
      <c r="O20" s="92"/>
      <c r="P20" s="92"/>
      <c r="Q20" s="92"/>
      <c r="R20" s="92"/>
      <c r="S20" s="92"/>
      <c r="T20" s="92"/>
      <c r="U20" s="92"/>
      <c r="V20" s="92"/>
      <c r="W20" s="92"/>
      <c r="X20" s="92"/>
      <c r="Y20" s="114" t="s">
        <v>4</v>
      </c>
      <c r="Z20" s="114"/>
      <c r="AA20" s="114"/>
      <c r="AB20" s="114"/>
      <c r="AC20" s="167" t="s">
        <v>5</v>
      </c>
      <c r="AD20" s="167"/>
      <c r="AE20" s="167"/>
      <c r="AF20" s="167"/>
      <c r="AG20" s="114" t="s">
        <v>6</v>
      </c>
      <c r="AH20" s="114"/>
      <c r="AI20" s="114"/>
      <c r="AJ20" s="114"/>
      <c r="AK20" s="114"/>
      <c r="AL20" s="114"/>
      <c r="AM20" s="114"/>
      <c r="AN20" s="114"/>
      <c r="AO20" s="114"/>
      <c r="AP20" s="114"/>
      <c r="AQ20" s="114"/>
      <c r="AR20" s="114"/>
      <c r="AS20" s="114"/>
      <c r="AT20" s="114"/>
      <c r="AU20" s="114"/>
      <c r="AV20" s="114"/>
      <c r="AW20" s="114"/>
      <c r="AX20" s="114"/>
      <c r="AY20" s="114"/>
      <c r="AZ20" s="114"/>
      <c r="BA20" s="114"/>
    </row>
    <row r="21" spans="2:53" s="21" customFormat="1" ht="13.5" customHeight="1" x14ac:dyDescent="0.15">
      <c r="B21" s="94"/>
      <c r="C21" s="95"/>
      <c r="D21" s="95"/>
      <c r="E21" s="95"/>
      <c r="F21" s="95"/>
      <c r="G21" s="95"/>
      <c r="H21" s="95"/>
      <c r="I21" s="97"/>
      <c r="J21" s="98"/>
      <c r="K21" s="98"/>
      <c r="L21" s="98"/>
      <c r="M21" s="98"/>
      <c r="N21" s="98"/>
      <c r="O21" s="98"/>
      <c r="P21" s="98"/>
      <c r="Q21" s="98"/>
      <c r="R21" s="98"/>
      <c r="S21" s="98"/>
      <c r="T21" s="98"/>
      <c r="U21" s="98"/>
      <c r="V21" s="98"/>
      <c r="W21" s="98"/>
      <c r="X21" s="98"/>
      <c r="Y21" s="114"/>
      <c r="Z21" s="114"/>
      <c r="AA21" s="114"/>
      <c r="AB21" s="114"/>
      <c r="AC21" s="167"/>
      <c r="AD21" s="167"/>
      <c r="AE21" s="167"/>
      <c r="AF21" s="167"/>
      <c r="AG21" s="114"/>
      <c r="AH21" s="114"/>
      <c r="AI21" s="114"/>
      <c r="AJ21" s="114"/>
      <c r="AK21" s="114"/>
      <c r="AL21" s="114"/>
      <c r="AM21" s="114"/>
      <c r="AN21" s="114"/>
      <c r="AO21" s="114"/>
      <c r="AP21" s="114"/>
      <c r="AQ21" s="114"/>
      <c r="AR21" s="114"/>
      <c r="AS21" s="114"/>
      <c r="AT21" s="114"/>
      <c r="AU21" s="114"/>
      <c r="AV21" s="114"/>
      <c r="AW21" s="114"/>
      <c r="AX21" s="114"/>
      <c r="AY21" s="114"/>
      <c r="AZ21" s="114"/>
      <c r="BA21" s="114"/>
    </row>
    <row r="22" spans="2:53" s="21" customFormat="1" ht="13.5" customHeight="1" x14ac:dyDescent="0.15">
      <c r="B22" s="94"/>
      <c r="C22" s="95"/>
      <c r="D22" s="95"/>
      <c r="E22" s="95"/>
      <c r="F22" s="95"/>
      <c r="G22" s="95"/>
      <c r="H22" s="95"/>
      <c r="I22" s="91" t="s">
        <v>7</v>
      </c>
      <c r="J22" s="92"/>
      <c r="K22" s="92"/>
      <c r="L22" s="92"/>
      <c r="M22" s="91" t="s">
        <v>8</v>
      </c>
      <c r="N22" s="92"/>
      <c r="O22" s="92"/>
      <c r="P22" s="93"/>
      <c r="Q22" s="116" t="s">
        <v>49</v>
      </c>
      <c r="R22" s="117"/>
      <c r="S22" s="117"/>
      <c r="T22" s="117"/>
      <c r="U22" s="91" t="s">
        <v>9</v>
      </c>
      <c r="V22" s="92"/>
      <c r="W22" s="92"/>
      <c r="X22" s="92"/>
      <c r="Y22" s="114"/>
      <c r="Z22" s="114"/>
      <c r="AA22" s="114"/>
      <c r="AB22" s="114"/>
      <c r="AC22" s="167"/>
      <c r="AD22" s="167"/>
      <c r="AE22" s="167"/>
      <c r="AF22" s="167"/>
      <c r="AG22" s="114"/>
      <c r="AH22" s="114"/>
      <c r="AI22" s="114"/>
      <c r="AJ22" s="114"/>
      <c r="AK22" s="114"/>
      <c r="AL22" s="114"/>
      <c r="AM22" s="114"/>
      <c r="AN22" s="114"/>
      <c r="AO22" s="114"/>
      <c r="AP22" s="114"/>
      <c r="AQ22" s="114"/>
      <c r="AR22" s="114"/>
      <c r="AS22" s="114"/>
      <c r="AT22" s="114"/>
      <c r="AU22" s="114"/>
      <c r="AV22" s="114"/>
      <c r="AW22" s="114"/>
      <c r="AX22" s="114"/>
      <c r="AY22" s="114"/>
      <c r="AZ22" s="114"/>
      <c r="BA22" s="114"/>
    </row>
    <row r="23" spans="2:53" s="21" customFormat="1" ht="13.5" customHeight="1" x14ac:dyDescent="0.15">
      <c r="B23" s="94"/>
      <c r="C23" s="95"/>
      <c r="D23" s="95"/>
      <c r="E23" s="95"/>
      <c r="F23" s="95"/>
      <c r="G23" s="95"/>
      <c r="H23" s="95"/>
      <c r="I23" s="94"/>
      <c r="J23" s="95"/>
      <c r="K23" s="95"/>
      <c r="L23" s="95"/>
      <c r="M23" s="94"/>
      <c r="N23" s="95"/>
      <c r="O23" s="95"/>
      <c r="P23" s="96"/>
      <c r="Q23" s="119"/>
      <c r="R23" s="120"/>
      <c r="S23" s="120"/>
      <c r="T23" s="120"/>
      <c r="U23" s="94"/>
      <c r="V23" s="95"/>
      <c r="W23" s="95"/>
      <c r="X23" s="95"/>
      <c r="Y23" s="114"/>
      <c r="Z23" s="114"/>
      <c r="AA23" s="114"/>
      <c r="AB23" s="114"/>
      <c r="AC23" s="167"/>
      <c r="AD23" s="167"/>
      <c r="AE23" s="167"/>
      <c r="AF23" s="167"/>
      <c r="AG23" s="114"/>
      <c r="AH23" s="114"/>
      <c r="AI23" s="114"/>
      <c r="AJ23" s="114"/>
      <c r="AK23" s="114"/>
      <c r="AL23" s="114"/>
      <c r="AM23" s="114"/>
      <c r="AN23" s="114"/>
      <c r="AO23" s="114"/>
      <c r="AP23" s="114"/>
      <c r="AQ23" s="114"/>
      <c r="AR23" s="114"/>
      <c r="AS23" s="114"/>
      <c r="AT23" s="114"/>
      <c r="AU23" s="114"/>
      <c r="AV23" s="114"/>
      <c r="AW23" s="114"/>
      <c r="AX23" s="114"/>
      <c r="AY23" s="114"/>
      <c r="AZ23" s="114"/>
      <c r="BA23" s="114"/>
    </row>
    <row r="24" spans="2:53" s="21" customFormat="1" ht="13.5" customHeight="1" x14ac:dyDescent="0.15">
      <c r="B24" s="94"/>
      <c r="C24" s="95"/>
      <c r="D24" s="95"/>
      <c r="E24" s="95"/>
      <c r="F24" s="95"/>
      <c r="G24" s="95"/>
      <c r="H24" s="95"/>
      <c r="I24" s="94"/>
      <c r="J24" s="95"/>
      <c r="K24" s="95"/>
      <c r="L24" s="95"/>
      <c r="M24" s="94"/>
      <c r="N24" s="95"/>
      <c r="O24" s="95"/>
      <c r="P24" s="96"/>
      <c r="Q24" s="119"/>
      <c r="R24" s="120"/>
      <c r="S24" s="120"/>
      <c r="T24" s="120"/>
      <c r="U24" s="94"/>
      <c r="V24" s="95"/>
      <c r="W24" s="95"/>
      <c r="X24" s="95"/>
      <c r="Y24" s="114"/>
      <c r="Z24" s="114"/>
      <c r="AA24" s="114"/>
      <c r="AB24" s="114"/>
      <c r="AC24" s="167"/>
      <c r="AD24" s="167"/>
      <c r="AE24" s="167"/>
      <c r="AF24" s="167"/>
      <c r="AG24" s="114"/>
      <c r="AH24" s="114"/>
      <c r="AI24" s="114"/>
      <c r="AJ24" s="114"/>
      <c r="AK24" s="114"/>
      <c r="AL24" s="114"/>
      <c r="AM24" s="114"/>
      <c r="AN24" s="114"/>
      <c r="AO24" s="114"/>
      <c r="AP24" s="114"/>
      <c r="AQ24" s="114"/>
      <c r="AR24" s="114"/>
      <c r="AS24" s="114"/>
      <c r="AT24" s="114"/>
      <c r="AU24" s="114"/>
      <c r="AV24" s="114"/>
      <c r="AW24" s="114"/>
      <c r="AX24" s="114"/>
      <c r="AY24" s="114"/>
      <c r="AZ24" s="114"/>
      <c r="BA24" s="114"/>
    </row>
    <row r="25" spans="2:53" s="21" customFormat="1" ht="13.5" customHeight="1" x14ac:dyDescent="0.15">
      <c r="B25" s="97"/>
      <c r="C25" s="98"/>
      <c r="D25" s="98"/>
      <c r="E25" s="98"/>
      <c r="F25" s="98"/>
      <c r="G25" s="98"/>
      <c r="H25" s="98"/>
      <c r="I25" s="97"/>
      <c r="J25" s="98"/>
      <c r="K25" s="98"/>
      <c r="L25" s="98"/>
      <c r="M25" s="97"/>
      <c r="N25" s="98"/>
      <c r="O25" s="98"/>
      <c r="P25" s="99"/>
      <c r="Q25" s="122"/>
      <c r="R25" s="123"/>
      <c r="S25" s="123"/>
      <c r="T25" s="123"/>
      <c r="U25" s="97"/>
      <c r="V25" s="98"/>
      <c r="W25" s="98"/>
      <c r="X25" s="98"/>
      <c r="Y25" s="114"/>
      <c r="Z25" s="114"/>
      <c r="AA25" s="114"/>
      <c r="AB25" s="114"/>
      <c r="AC25" s="167"/>
      <c r="AD25" s="167"/>
      <c r="AE25" s="167"/>
      <c r="AF25" s="167"/>
      <c r="AG25" s="114"/>
      <c r="AH25" s="114"/>
      <c r="AI25" s="114"/>
      <c r="AJ25" s="114"/>
      <c r="AK25" s="114"/>
      <c r="AL25" s="114"/>
      <c r="AM25" s="114"/>
      <c r="AN25" s="114"/>
      <c r="AO25" s="114"/>
      <c r="AP25" s="114"/>
      <c r="AQ25" s="114"/>
      <c r="AR25" s="114"/>
      <c r="AS25" s="114"/>
      <c r="AT25" s="114"/>
      <c r="AU25" s="114"/>
      <c r="AV25" s="114"/>
      <c r="AW25" s="114"/>
      <c r="AX25" s="114"/>
      <c r="AY25" s="114"/>
      <c r="AZ25" s="114"/>
      <c r="BA25" s="114"/>
    </row>
    <row r="26" spans="2:53" s="21" customFormat="1" ht="18" customHeight="1" x14ac:dyDescent="0.15">
      <c r="B26" s="106" t="s">
        <v>10</v>
      </c>
      <c r="C26" s="107"/>
      <c r="D26" s="107"/>
      <c r="E26" s="107"/>
      <c r="F26" s="107"/>
      <c r="G26" s="107"/>
      <c r="H26" s="107"/>
      <c r="I26" s="106">
        <f>SUM(I28:L31)</f>
        <v>165454000</v>
      </c>
      <c r="J26" s="107"/>
      <c r="K26" s="107"/>
      <c r="L26" s="107"/>
      <c r="M26" s="106">
        <f>SUM(M28:P31)</f>
        <v>5893000</v>
      </c>
      <c r="N26" s="107"/>
      <c r="O26" s="107"/>
      <c r="P26" s="108"/>
      <c r="Q26" s="106">
        <f t="shared" ref="Q26" si="0">SUM(Q28:T31)</f>
        <v>0</v>
      </c>
      <c r="R26" s="107"/>
      <c r="S26" s="107"/>
      <c r="T26" s="108"/>
      <c r="U26" s="106">
        <f t="shared" ref="U26" si="1">SUM(U28:X31)</f>
        <v>171347000</v>
      </c>
      <c r="V26" s="107"/>
      <c r="W26" s="107"/>
      <c r="X26" s="107"/>
      <c r="Y26" s="115">
        <f t="shared" ref="Y26" si="2">SUM(Y28:AB31)</f>
        <v>171274607</v>
      </c>
      <c r="Z26" s="115"/>
      <c r="AA26" s="115"/>
      <c r="AB26" s="115"/>
      <c r="AC26" s="107">
        <f>Y26-U26</f>
        <v>-72393</v>
      </c>
      <c r="AD26" s="107"/>
      <c r="AE26" s="107"/>
      <c r="AF26" s="107"/>
      <c r="AG26" s="114"/>
      <c r="AH26" s="114"/>
      <c r="AI26" s="114"/>
      <c r="AJ26" s="114"/>
      <c r="AK26" s="114"/>
      <c r="AL26" s="114"/>
      <c r="AM26" s="114"/>
      <c r="AN26" s="114"/>
      <c r="AO26" s="114"/>
      <c r="AP26" s="114"/>
      <c r="AQ26" s="114"/>
      <c r="AR26" s="114"/>
      <c r="AS26" s="114"/>
      <c r="AT26" s="114"/>
      <c r="AU26" s="114"/>
      <c r="AV26" s="114"/>
      <c r="AW26" s="114"/>
      <c r="AX26" s="114"/>
      <c r="AY26" s="114"/>
      <c r="AZ26" s="114"/>
      <c r="BA26" s="114"/>
    </row>
    <row r="27" spans="2:53" s="21" customFormat="1" ht="18" customHeight="1" x14ac:dyDescent="0.15">
      <c r="B27" s="109"/>
      <c r="C27" s="110"/>
      <c r="D27" s="110"/>
      <c r="E27" s="110"/>
      <c r="F27" s="110"/>
      <c r="G27" s="110"/>
      <c r="H27" s="110"/>
      <c r="I27" s="109"/>
      <c r="J27" s="110"/>
      <c r="K27" s="110"/>
      <c r="L27" s="110"/>
      <c r="M27" s="109"/>
      <c r="N27" s="110"/>
      <c r="O27" s="110"/>
      <c r="P27" s="111"/>
      <c r="Q27" s="109"/>
      <c r="R27" s="110"/>
      <c r="S27" s="110"/>
      <c r="T27" s="111"/>
      <c r="U27" s="109"/>
      <c r="V27" s="110"/>
      <c r="W27" s="110"/>
      <c r="X27" s="110"/>
      <c r="Y27" s="115"/>
      <c r="Z27" s="115"/>
      <c r="AA27" s="115"/>
      <c r="AB27" s="115"/>
      <c r="AC27" s="110"/>
      <c r="AD27" s="110"/>
      <c r="AE27" s="110"/>
      <c r="AF27" s="110"/>
      <c r="AG27" s="114"/>
      <c r="AH27" s="114"/>
      <c r="AI27" s="114"/>
      <c r="AJ27" s="114"/>
      <c r="AK27" s="114"/>
      <c r="AL27" s="114"/>
      <c r="AM27" s="114"/>
      <c r="AN27" s="114"/>
      <c r="AO27" s="114"/>
      <c r="AP27" s="114"/>
      <c r="AQ27" s="114"/>
      <c r="AR27" s="114"/>
      <c r="AS27" s="114"/>
      <c r="AT27" s="114"/>
      <c r="AU27" s="114"/>
      <c r="AV27" s="114"/>
      <c r="AW27" s="114"/>
      <c r="AX27" s="114"/>
      <c r="AY27" s="114"/>
      <c r="AZ27" s="114"/>
      <c r="BA27" s="114"/>
    </row>
    <row r="28" spans="2:53" s="21" customFormat="1" ht="18" customHeight="1" x14ac:dyDescent="0.15">
      <c r="B28" s="106" t="s">
        <v>11</v>
      </c>
      <c r="C28" s="107"/>
      <c r="D28" s="107"/>
      <c r="E28" s="107"/>
      <c r="F28" s="107"/>
      <c r="G28" s="107"/>
      <c r="H28" s="107"/>
      <c r="I28" s="106">
        <v>125523000</v>
      </c>
      <c r="J28" s="107"/>
      <c r="K28" s="107"/>
      <c r="L28" s="107"/>
      <c r="M28" s="106">
        <v>-2948000</v>
      </c>
      <c r="N28" s="107"/>
      <c r="O28" s="107"/>
      <c r="P28" s="108"/>
      <c r="Q28" s="106">
        <v>0</v>
      </c>
      <c r="R28" s="107"/>
      <c r="S28" s="107"/>
      <c r="T28" s="108"/>
      <c r="U28" s="106">
        <f>SUM(I28:T29)</f>
        <v>122575000</v>
      </c>
      <c r="V28" s="107"/>
      <c r="W28" s="107"/>
      <c r="X28" s="107"/>
      <c r="Y28" s="115">
        <v>122871869</v>
      </c>
      <c r="Z28" s="115"/>
      <c r="AA28" s="115"/>
      <c r="AB28" s="115"/>
      <c r="AC28" s="169">
        <f>Y28-U28</f>
        <v>296869</v>
      </c>
      <c r="AD28" s="170"/>
      <c r="AE28" s="170"/>
      <c r="AF28" s="170"/>
      <c r="AG28" s="73" t="s">
        <v>72</v>
      </c>
      <c r="AH28" s="74"/>
      <c r="AI28" s="74"/>
      <c r="AJ28" s="74"/>
      <c r="AK28" s="74"/>
      <c r="AL28" s="74"/>
      <c r="AM28" s="74"/>
      <c r="AN28" s="74"/>
      <c r="AO28" s="74"/>
      <c r="AP28" s="74"/>
      <c r="AQ28" s="74"/>
      <c r="AR28" s="74"/>
      <c r="AS28" s="74"/>
      <c r="AT28" s="74"/>
      <c r="AU28" s="74"/>
      <c r="AV28" s="74"/>
      <c r="AW28" s="74"/>
      <c r="AX28" s="74"/>
      <c r="AY28" s="74"/>
      <c r="AZ28" s="74"/>
      <c r="BA28" s="75"/>
    </row>
    <row r="29" spans="2:53" s="21" customFormat="1" ht="18" customHeight="1" x14ac:dyDescent="0.15">
      <c r="B29" s="109"/>
      <c r="C29" s="110"/>
      <c r="D29" s="110"/>
      <c r="E29" s="110"/>
      <c r="F29" s="110"/>
      <c r="G29" s="110"/>
      <c r="H29" s="110"/>
      <c r="I29" s="109"/>
      <c r="J29" s="110"/>
      <c r="K29" s="110"/>
      <c r="L29" s="110"/>
      <c r="M29" s="109"/>
      <c r="N29" s="110"/>
      <c r="O29" s="110"/>
      <c r="P29" s="111"/>
      <c r="Q29" s="109"/>
      <c r="R29" s="110"/>
      <c r="S29" s="110"/>
      <c r="T29" s="111"/>
      <c r="U29" s="109"/>
      <c r="V29" s="110"/>
      <c r="W29" s="110"/>
      <c r="X29" s="110"/>
      <c r="Y29" s="115"/>
      <c r="Z29" s="115"/>
      <c r="AA29" s="115"/>
      <c r="AB29" s="115"/>
      <c r="AC29" s="171"/>
      <c r="AD29" s="172"/>
      <c r="AE29" s="172"/>
      <c r="AF29" s="172"/>
      <c r="AG29" s="76"/>
      <c r="AH29" s="77"/>
      <c r="AI29" s="77"/>
      <c r="AJ29" s="77"/>
      <c r="AK29" s="77"/>
      <c r="AL29" s="77"/>
      <c r="AM29" s="77"/>
      <c r="AN29" s="77"/>
      <c r="AO29" s="77"/>
      <c r="AP29" s="77"/>
      <c r="AQ29" s="77"/>
      <c r="AR29" s="77"/>
      <c r="AS29" s="77"/>
      <c r="AT29" s="77"/>
      <c r="AU29" s="77"/>
      <c r="AV29" s="77"/>
      <c r="AW29" s="77"/>
      <c r="AX29" s="77"/>
      <c r="AY29" s="77"/>
      <c r="AZ29" s="77"/>
      <c r="BA29" s="78"/>
    </row>
    <row r="30" spans="2:53" s="21" customFormat="1" ht="18" customHeight="1" x14ac:dyDescent="0.15">
      <c r="B30" s="106" t="s">
        <v>12</v>
      </c>
      <c r="C30" s="107"/>
      <c r="D30" s="107"/>
      <c r="E30" s="107"/>
      <c r="F30" s="107"/>
      <c r="G30" s="107"/>
      <c r="H30" s="108"/>
      <c r="I30" s="106">
        <v>39931000</v>
      </c>
      <c r="J30" s="107"/>
      <c r="K30" s="107"/>
      <c r="L30" s="108"/>
      <c r="M30" s="106">
        <v>8841000</v>
      </c>
      <c r="N30" s="107"/>
      <c r="O30" s="107"/>
      <c r="P30" s="108"/>
      <c r="Q30" s="106">
        <v>0</v>
      </c>
      <c r="R30" s="107"/>
      <c r="S30" s="107"/>
      <c r="T30" s="108"/>
      <c r="U30" s="106">
        <f>SUM(I30:T31)</f>
        <v>48772000</v>
      </c>
      <c r="V30" s="107"/>
      <c r="W30" s="107"/>
      <c r="X30" s="107"/>
      <c r="Y30" s="115">
        <v>48402738</v>
      </c>
      <c r="Z30" s="115"/>
      <c r="AA30" s="115"/>
      <c r="AB30" s="115"/>
      <c r="AC30" s="106">
        <f>Y30-U30</f>
        <v>-369262</v>
      </c>
      <c r="AD30" s="107"/>
      <c r="AE30" s="107"/>
      <c r="AF30" s="107"/>
      <c r="AG30" s="139"/>
      <c r="AH30" s="139"/>
      <c r="AI30" s="139"/>
      <c r="AJ30" s="139"/>
      <c r="AK30" s="139"/>
      <c r="AL30" s="139"/>
      <c r="AM30" s="139"/>
      <c r="AN30" s="139"/>
      <c r="AO30" s="139"/>
      <c r="AP30" s="139"/>
      <c r="AQ30" s="139"/>
      <c r="AR30" s="139"/>
      <c r="AS30" s="139"/>
      <c r="AT30" s="139"/>
      <c r="AU30" s="139"/>
      <c r="AV30" s="139"/>
      <c r="AW30" s="139"/>
      <c r="AX30" s="139"/>
      <c r="AY30" s="139"/>
      <c r="AZ30" s="139"/>
      <c r="BA30" s="139"/>
    </row>
    <row r="31" spans="2:53" s="21" customFormat="1" ht="18" customHeight="1" x14ac:dyDescent="0.15">
      <c r="B31" s="109"/>
      <c r="C31" s="110"/>
      <c r="D31" s="110"/>
      <c r="E31" s="110"/>
      <c r="F31" s="110"/>
      <c r="G31" s="110"/>
      <c r="H31" s="111"/>
      <c r="I31" s="109"/>
      <c r="J31" s="110"/>
      <c r="K31" s="110"/>
      <c r="L31" s="111"/>
      <c r="M31" s="109"/>
      <c r="N31" s="110"/>
      <c r="O31" s="110"/>
      <c r="P31" s="111"/>
      <c r="Q31" s="109"/>
      <c r="R31" s="110"/>
      <c r="S31" s="110"/>
      <c r="T31" s="111"/>
      <c r="U31" s="109"/>
      <c r="V31" s="110"/>
      <c r="W31" s="110"/>
      <c r="X31" s="110"/>
      <c r="Y31" s="115"/>
      <c r="Z31" s="115"/>
      <c r="AA31" s="115"/>
      <c r="AB31" s="115"/>
      <c r="AC31" s="109"/>
      <c r="AD31" s="110"/>
      <c r="AE31" s="110"/>
      <c r="AF31" s="110"/>
      <c r="AG31" s="139"/>
      <c r="AH31" s="139"/>
      <c r="AI31" s="139"/>
      <c r="AJ31" s="139"/>
      <c r="AK31" s="139"/>
      <c r="AL31" s="139"/>
      <c r="AM31" s="139"/>
      <c r="AN31" s="139"/>
      <c r="AO31" s="139"/>
      <c r="AP31" s="139"/>
      <c r="AQ31" s="139"/>
      <c r="AR31" s="139"/>
      <c r="AS31" s="139"/>
      <c r="AT31" s="139"/>
      <c r="AU31" s="139"/>
      <c r="AV31" s="139"/>
      <c r="AW31" s="139"/>
      <c r="AX31" s="139"/>
      <c r="AY31" s="139"/>
      <c r="AZ31" s="139"/>
      <c r="BA31" s="139"/>
    </row>
    <row r="32" spans="2:53"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7"/>
      <c r="C34" s="137"/>
      <c r="D34" s="137"/>
      <c r="E34" s="137"/>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7" t="s">
        <v>47</v>
      </c>
      <c r="AV34" s="157"/>
      <c r="AW34" s="157"/>
      <c r="AX34" s="157"/>
      <c r="AY34" s="157"/>
      <c r="AZ34" s="157"/>
      <c r="BA34" s="157"/>
    </row>
    <row r="35" spans="2:53" s="21" customFormat="1" ht="13.5" customHeight="1" x14ac:dyDescent="0.15">
      <c r="B35" s="114" t="s">
        <v>2</v>
      </c>
      <c r="C35" s="114"/>
      <c r="D35" s="114"/>
      <c r="E35" s="114"/>
      <c r="F35" s="114"/>
      <c r="G35" s="114"/>
      <c r="H35" s="114"/>
      <c r="I35" s="91" t="s">
        <v>14</v>
      </c>
      <c r="J35" s="92"/>
      <c r="K35" s="92"/>
      <c r="L35" s="92"/>
      <c r="M35" s="92"/>
      <c r="N35" s="92"/>
      <c r="O35" s="92"/>
      <c r="P35" s="92"/>
      <c r="Q35" s="92"/>
      <c r="R35" s="92"/>
      <c r="S35" s="92"/>
      <c r="T35" s="92"/>
      <c r="U35" s="92"/>
      <c r="V35" s="92"/>
      <c r="W35" s="92"/>
      <c r="X35" s="92"/>
      <c r="Y35" s="92"/>
      <c r="Z35" s="92"/>
      <c r="AA35" s="92"/>
      <c r="AB35" s="92"/>
      <c r="AC35" s="92"/>
      <c r="AD35" s="92"/>
      <c r="AE35" s="92"/>
      <c r="AF35" s="92"/>
      <c r="AG35" s="93"/>
      <c r="AH35" s="91" t="s">
        <v>15</v>
      </c>
      <c r="AI35" s="92"/>
      <c r="AJ35" s="92"/>
      <c r="AK35" s="93"/>
      <c r="AL35" s="125" t="s">
        <v>16</v>
      </c>
      <c r="AM35" s="125"/>
      <c r="AN35" s="114" t="s">
        <v>17</v>
      </c>
      <c r="AO35" s="114"/>
      <c r="AP35" s="114"/>
      <c r="AQ35" s="114"/>
      <c r="AR35" s="91" t="s">
        <v>18</v>
      </c>
      <c r="AS35" s="92"/>
      <c r="AT35" s="92"/>
      <c r="AU35" s="92"/>
      <c r="AV35" s="92"/>
      <c r="AW35" s="92"/>
      <c r="AX35" s="92"/>
      <c r="AY35" s="92"/>
      <c r="AZ35" s="92"/>
      <c r="BA35" s="93"/>
    </row>
    <row r="36" spans="2:53" s="21" customFormat="1" ht="13.5" customHeight="1" x14ac:dyDescent="0.15">
      <c r="B36" s="114"/>
      <c r="C36" s="114"/>
      <c r="D36" s="114"/>
      <c r="E36" s="114"/>
      <c r="F36" s="114"/>
      <c r="G36" s="114"/>
      <c r="H36" s="114"/>
      <c r="I36" s="97"/>
      <c r="J36" s="98"/>
      <c r="K36" s="98"/>
      <c r="L36" s="98"/>
      <c r="M36" s="98"/>
      <c r="N36" s="98"/>
      <c r="O36" s="98"/>
      <c r="P36" s="98"/>
      <c r="Q36" s="98"/>
      <c r="R36" s="98"/>
      <c r="S36" s="98"/>
      <c r="T36" s="98"/>
      <c r="U36" s="98"/>
      <c r="V36" s="98"/>
      <c r="W36" s="98"/>
      <c r="X36" s="98"/>
      <c r="Y36" s="98"/>
      <c r="Z36" s="98"/>
      <c r="AA36" s="98"/>
      <c r="AB36" s="98"/>
      <c r="AC36" s="98"/>
      <c r="AD36" s="98"/>
      <c r="AE36" s="98"/>
      <c r="AF36" s="98"/>
      <c r="AG36" s="99"/>
      <c r="AH36" s="94"/>
      <c r="AI36" s="95"/>
      <c r="AJ36" s="95"/>
      <c r="AK36" s="96"/>
      <c r="AL36" s="125"/>
      <c r="AM36" s="125"/>
      <c r="AN36" s="114"/>
      <c r="AO36" s="114"/>
      <c r="AP36" s="114"/>
      <c r="AQ36" s="114"/>
      <c r="AR36" s="94"/>
      <c r="AS36" s="95"/>
      <c r="AT36" s="95"/>
      <c r="AU36" s="95"/>
      <c r="AV36" s="95"/>
      <c r="AW36" s="95"/>
      <c r="AX36" s="95"/>
      <c r="AY36" s="95"/>
      <c r="AZ36" s="95"/>
      <c r="BA36" s="96"/>
    </row>
    <row r="37" spans="2:53" s="21" customFormat="1" ht="13.5" customHeight="1" x14ac:dyDescent="0.15">
      <c r="B37" s="114"/>
      <c r="C37" s="114"/>
      <c r="D37" s="114"/>
      <c r="E37" s="114"/>
      <c r="F37" s="114"/>
      <c r="G37" s="114"/>
      <c r="H37" s="114"/>
      <c r="I37" s="114" t="s">
        <v>19</v>
      </c>
      <c r="J37" s="114"/>
      <c r="K37" s="114"/>
      <c r="L37" s="114"/>
      <c r="M37" s="114" t="s">
        <v>20</v>
      </c>
      <c r="N37" s="114"/>
      <c r="O37" s="114"/>
      <c r="P37" s="114"/>
      <c r="Q37" s="167" t="s">
        <v>21</v>
      </c>
      <c r="R37" s="167"/>
      <c r="S37" s="167" t="s">
        <v>22</v>
      </c>
      <c r="T37" s="167"/>
      <c r="U37" s="167"/>
      <c r="V37" s="125" t="s">
        <v>23</v>
      </c>
      <c r="W37" s="125"/>
      <c r="X37" s="114" t="s">
        <v>24</v>
      </c>
      <c r="Y37" s="114"/>
      <c r="Z37" s="114"/>
      <c r="AA37" s="114"/>
      <c r="AB37" s="125" t="s">
        <v>16</v>
      </c>
      <c r="AC37" s="125"/>
      <c r="AD37" s="114" t="s">
        <v>25</v>
      </c>
      <c r="AE37" s="114"/>
      <c r="AF37" s="114"/>
      <c r="AG37" s="114"/>
      <c r="AH37" s="94"/>
      <c r="AI37" s="95"/>
      <c r="AJ37" s="95"/>
      <c r="AK37" s="96"/>
      <c r="AL37" s="125"/>
      <c r="AM37" s="125"/>
      <c r="AN37" s="114"/>
      <c r="AO37" s="114"/>
      <c r="AP37" s="114"/>
      <c r="AQ37" s="114"/>
      <c r="AR37" s="94"/>
      <c r="AS37" s="95"/>
      <c r="AT37" s="95"/>
      <c r="AU37" s="95"/>
      <c r="AV37" s="95"/>
      <c r="AW37" s="95"/>
      <c r="AX37" s="95"/>
      <c r="AY37" s="95"/>
      <c r="AZ37" s="95"/>
      <c r="BA37" s="96"/>
    </row>
    <row r="38" spans="2:53" s="21" customFormat="1" ht="13.5" customHeight="1" x14ac:dyDescent="0.15">
      <c r="B38" s="114"/>
      <c r="C38" s="114"/>
      <c r="D38" s="114"/>
      <c r="E38" s="114"/>
      <c r="F38" s="114"/>
      <c r="G38" s="114"/>
      <c r="H38" s="114"/>
      <c r="I38" s="114"/>
      <c r="J38" s="114"/>
      <c r="K38" s="114"/>
      <c r="L38" s="114"/>
      <c r="M38" s="114"/>
      <c r="N38" s="114"/>
      <c r="O38" s="114"/>
      <c r="P38" s="114"/>
      <c r="Q38" s="167"/>
      <c r="R38" s="167"/>
      <c r="S38" s="167"/>
      <c r="T38" s="167"/>
      <c r="U38" s="167"/>
      <c r="V38" s="125"/>
      <c r="W38" s="125"/>
      <c r="X38" s="114"/>
      <c r="Y38" s="114"/>
      <c r="Z38" s="114"/>
      <c r="AA38" s="114"/>
      <c r="AB38" s="125"/>
      <c r="AC38" s="125"/>
      <c r="AD38" s="114"/>
      <c r="AE38" s="114"/>
      <c r="AF38" s="114"/>
      <c r="AG38" s="114"/>
      <c r="AH38" s="94"/>
      <c r="AI38" s="95"/>
      <c r="AJ38" s="95"/>
      <c r="AK38" s="96"/>
      <c r="AL38" s="125"/>
      <c r="AM38" s="125"/>
      <c r="AN38" s="114"/>
      <c r="AO38" s="114"/>
      <c r="AP38" s="114"/>
      <c r="AQ38" s="114"/>
      <c r="AR38" s="94"/>
      <c r="AS38" s="95"/>
      <c r="AT38" s="95"/>
      <c r="AU38" s="95"/>
      <c r="AV38" s="95"/>
      <c r="AW38" s="95"/>
      <c r="AX38" s="95"/>
      <c r="AY38" s="95"/>
      <c r="AZ38" s="95"/>
      <c r="BA38" s="96"/>
    </row>
    <row r="39" spans="2:53" s="21" customFormat="1" ht="13.5" customHeight="1" x14ac:dyDescent="0.15">
      <c r="B39" s="114"/>
      <c r="C39" s="114"/>
      <c r="D39" s="114"/>
      <c r="E39" s="114"/>
      <c r="F39" s="114"/>
      <c r="G39" s="114"/>
      <c r="H39" s="114"/>
      <c r="I39" s="114"/>
      <c r="J39" s="114"/>
      <c r="K39" s="114"/>
      <c r="L39" s="114"/>
      <c r="M39" s="114"/>
      <c r="N39" s="114"/>
      <c r="O39" s="114"/>
      <c r="P39" s="114"/>
      <c r="Q39" s="167"/>
      <c r="R39" s="167"/>
      <c r="S39" s="167"/>
      <c r="T39" s="167"/>
      <c r="U39" s="167"/>
      <c r="V39" s="125"/>
      <c r="W39" s="125"/>
      <c r="X39" s="114"/>
      <c r="Y39" s="114"/>
      <c r="Z39" s="114"/>
      <c r="AA39" s="114"/>
      <c r="AB39" s="125"/>
      <c r="AC39" s="125"/>
      <c r="AD39" s="114"/>
      <c r="AE39" s="114"/>
      <c r="AF39" s="114"/>
      <c r="AG39" s="114"/>
      <c r="AH39" s="94"/>
      <c r="AI39" s="95"/>
      <c r="AJ39" s="95"/>
      <c r="AK39" s="96"/>
      <c r="AL39" s="125"/>
      <c r="AM39" s="125"/>
      <c r="AN39" s="114"/>
      <c r="AO39" s="114"/>
      <c r="AP39" s="114"/>
      <c r="AQ39" s="114"/>
      <c r="AR39" s="94"/>
      <c r="AS39" s="95"/>
      <c r="AT39" s="95"/>
      <c r="AU39" s="95"/>
      <c r="AV39" s="95"/>
      <c r="AW39" s="95"/>
      <c r="AX39" s="95"/>
      <c r="AY39" s="95"/>
      <c r="AZ39" s="95"/>
      <c r="BA39" s="96"/>
    </row>
    <row r="40" spans="2:53" s="21" customFormat="1" ht="13.5" customHeight="1" x14ac:dyDescent="0.15">
      <c r="B40" s="114"/>
      <c r="C40" s="114"/>
      <c r="D40" s="114"/>
      <c r="E40" s="114"/>
      <c r="F40" s="114"/>
      <c r="G40" s="114"/>
      <c r="H40" s="114"/>
      <c r="I40" s="114"/>
      <c r="J40" s="114"/>
      <c r="K40" s="114"/>
      <c r="L40" s="114"/>
      <c r="M40" s="114"/>
      <c r="N40" s="114"/>
      <c r="O40" s="114"/>
      <c r="P40" s="114"/>
      <c r="Q40" s="167"/>
      <c r="R40" s="167"/>
      <c r="S40" s="167"/>
      <c r="T40" s="167"/>
      <c r="U40" s="167"/>
      <c r="V40" s="125"/>
      <c r="W40" s="125"/>
      <c r="X40" s="114"/>
      <c r="Y40" s="114"/>
      <c r="Z40" s="114"/>
      <c r="AA40" s="114"/>
      <c r="AB40" s="125"/>
      <c r="AC40" s="125"/>
      <c r="AD40" s="114"/>
      <c r="AE40" s="114"/>
      <c r="AF40" s="114"/>
      <c r="AG40" s="114"/>
      <c r="AH40" s="97"/>
      <c r="AI40" s="98"/>
      <c r="AJ40" s="98"/>
      <c r="AK40" s="99"/>
      <c r="AL40" s="125"/>
      <c r="AM40" s="125"/>
      <c r="AN40" s="114"/>
      <c r="AO40" s="114"/>
      <c r="AP40" s="114"/>
      <c r="AQ40" s="114"/>
      <c r="AR40" s="97"/>
      <c r="AS40" s="98"/>
      <c r="AT40" s="98"/>
      <c r="AU40" s="98"/>
      <c r="AV40" s="98"/>
      <c r="AW40" s="98"/>
      <c r="AX40" s="98"/>
      <c r="AY40" s="98"/>
      <c r="AZ40" s="98"/>
      <c r="BA40" s="99"/>
    </row>
    <row r="41" spans="2:53" s="21" customFormat="1" ht="18" customHeight="1" x14ac:dyDescent="0.15">
      <c r="B41" s="115" t="s">
        <v>26</v>
      </c>
      <c r="C41" s="115"/>
      <c r="D41" s="115"/>
      <c r="E41" s="115"/>
      <c r="F41" s="115"/>
      <c r="G41" s="115"/>
      <c r="H41" s="115"/>
      <c r="I41" s="161">
        <f>SUM(I43:L48)</f>
        <v>161383000</v>
      </c>
      <c r="J41" s="162"/>
      <c r="K41" s="162"/>
      <c r="L41" s="163"/>
      <c r="M41" s="161">
        <f>SUM(M43:P48)</f>
        <v>1890000</v>
      </c>
      <c r="N41" s="162"/>
      <c r="O41" s="162"/>
      <c r="P41" s="163"/>
      <c r="Q41" s="115">
        <f>SUM(Q43:R48)</f>
        <v>0</v>
      </c>
      <c r="R41" s="115"/>
      <c r="S41" s="115">
        <f>SUM(S43:U48)</f>
        <v>0</v>
      </c>
      <c r="T41" s="115"/>
      <c r="U41" s="115"/>
      <c r="V41" s="161">
        <f>SUM(V43:W48)</f>
        <v>0</v>
      </c>
      <c r="W41" s="163"/>
      <c r="X41" s="161">
        <f>SUM(X43:AA48)</f>
        <v>163273000</v>
      </c>
      <c r="Y41" s="162"/>
      <c r="Z41" s="162"/>
      <c r="AA41" s="163"/>
      <c r="AB41" s="106">
        <f>SUM(AB43:AC48)</f>
        <v>0</v>
      </c>
      <c r="AC41" s="107"/>
      <c r="AD41" s="161">
        <f>SUM(AD43:AG48)</f>
        <v>163273000</v>
      </c>
      <c r="AE41" s="162"/>
      <c r="AF41" s="162"/>
      <c r="AG41" s="163"/>
      <c r="AH41" s="106">
        <f>SUM(AH43:AK48)</f>
        <v>159770180</v>
      </c>
      <c r="AI41" s="107"/>
      <c r="AJ41" s="107"/>
      <c r="AK41" s="107"/>
      <c r="AL41" s="68">
        <f>SUM(AL43:AM48)</f>
        <v>0</v>
      </c>
      <c r="AM41" s="68"/>
      <c r="AN41" s="68">
        <f>SUM(AN43:AQ48)</f>
        <v>3502820</v>
      </c>
      <c r="AO41" s="68"/>
      <c r="AP41" s="68"/>
      <c r="AQ41" s="68"/>
      <c r="AR41" s="100"/>
      <c r="AS41" s="101"/>
      <c r="AT41" s="101"/>
      <c r="AU41" s="101"/>
      <c r="AV41" s="101"/>
      <c r="AW41" s="101"/>
      <c r="AX41" s="101"/>
      <c r="AY41" s="101"/>
      <c r="AZ41" s="101"/>
      <c r="BA41" s="102"/>
    </row>
    <row r="42" spans="2:53" s="21" customFormat="1" ht="18" customHeight="1" x14ac:dyDescent="0.15">
      <c r="B42" s="115"/>
      <c r="C42" s="115"/>
      <c r="D42" s="115"/>
      <c r="E42" s="115"/>
      <c r="F42" s="115"/>
      <c r="G42" s="115"/>
      <c r="H42" s="115"/>
      <c r="I42" s="164"/>
      <c r="J42" s="165"/>
      <c r="K42" s="165"/>
      <c r="L42" s="166"/>
      <c r="M42" s="164"/>
      <c r="N42" s="165"/>
      <c r="O42" s="165"/>
      <c r="P42" s="166"/>
      <c r="Q42" s="115"/>
      <c r="R42" s="115"/>
      <c r="S42" s="115"/>
      <c r="T42" s="115"/>
      <c r="U42" s="115"/>
      <c r="V42" s="164"/>
      <c r="W42" s="166"/>
      <c r="X42" s="164"/>
      <c r="Y42" s="165"/>
      <c r="Z42" s="165"/>
      <c r="AA42" s="166"/>
      <c r="AB42" s="109"/>
      <c r="AC42" s="110"/>
      <c r="AD42" s="164"/>
      <c r="AE42" s="165"/>
      <c r="AF42" s="165"/>
      <c r="AG42" s="166"/>
      <c r="AH42" s="109"/>
      <c r="AI42" s="110"/>
      <c r="AJ42" s="110"/>
      <c r="AK42" s="110"/>
      <c r="AL42" s="68"/>
      <c r="AM42" s="68"/>
      <c r="AN42" s="68"/>
      <c r="AO42" s="68"/>
      <c r="AP42" s="68"/>
      <c r="AQ42" s="68"/>
      <c r="AR42" s="103"/>
      <c r="AS42" s="104"/>
      <c r="AT42" s="104"/>
      <c r="AU42" s="104"/>
      <c r="AV42" s="104"/>
      <c r="AW42" s="104"/>
      <c r="AX42" s="104"/>
      <c r="AY42" s="104"/>
      <c r="AZ42" s="104"/>
      <c r="BA42" s="105"/>
    </row>
    <row r="43" spans="2:53" s="21" customFormat="1" ht="18" customHeight="1" x14ac:dyDescent="0.15">
      <c r="B43" s="115" t="s">
        <v>27</v>
      </c>
      <c r="C43" s="115"/>
      <c r="D43" s="115"/>
      <c r="E43" s="115"/>
      <c r="F43" s="115"/>
      <c r="G43" s="115"/>
      <c r="H43" s="115"/>
      <c r="I43" s="115">
        <v>152245000</v>
      </c>
      <c r="J43" s="115"/>
      <c r="K43" s="115"/>
      <c r="L43" s="115"/>
      <c r="M43" s="115">
        <v>4241000</v>
      </c>
      <c r="N43" s="115"/>
      <c r="O43" s="115"/>
      <c r="P43" s="115"/>
      <c r="Q43" s="115">
        <v>0</v>
      </c>
      <c r="R43" s="115"/>
      <c r="S43" s="68">
        <v>0</v>
      </c>
      <c r="T43" s="68"/>
      <c r="U43" s="68"/>
      <c r="V43" s="115">
        <v>0</v>
      </c>
      <c r="W43" s="115"/>
      <c r="X43" s="115">
        <f>SUM(I43:T44)</f>
        <v>156486000</v>
      </c>
      <c r="Y43" s="115"/>
      <c r="Z43" s="115"/>
      <c r="AA43" s="115"/>
      <c r="AB43" s="106">
        <v>0</v>
      </c>
      <c r="AC43" s="108"/>
      <c r="AD43" s="115">
        <f>SUM(X43:AC44)</f>
        <v>156486000</v>
      </c>
      <c r="AE43" s="115"/>
      <c r="AF43" s="115"/>
      <c r="AG43" s="115"/>
      <c r="AH43" s="106">
        <v>153493841</v>
      </c>
      <c r="AI43" s="107"/>
      <c r="AJ43" s="107"/>
      <c r="AK43" s="108"/>
      <c r="AL43" s="68">
        <v>0</v>
      </c>
      <c r="AM43" s="68"/>
      <c r="AN43" s="68">
        <f>AD43-AH43-AL43</f>
        <v>2992159</v>
      </c>
      <c r="AO43" s="68"/>
      <c r="AP43" s="68"/>
      <c r="AQ43" s="68"/>
      <c r="AR43" s="83" t="s">
        <v>59</v>
      </c>
      <c r="AS43" s="84"/>
      <c r="AT43" s="84"/>
      <c r="AU43" s="84"/>
      <c r="AV43" s="84"/>
      <c r="AW43" s="84"/>
      <c r="AX43" s="84"/>
      <c r="AY43" s="84"/>
      <c r="AZ43" s="84"/>
      <c r="BA43" s="85"/>
    </row>
    <row r="44" spans="2:53" s="21" customFormat="1" ht="18" customHeight="1" x14ac:dyDescent="0.15">
      <c r="B44" s="115"/>
      <c r="C44" s="115"/>
      <c r="D44" s="115"/>
      <c r="E44" s="115"/>
      <c r="F44" s="115"/>
      <c r="G44" s="115"/>
      <c r="H44" s="115"/>
      <c r="I44" s="115"/>
      <c r="J44" s="115"/>
      <c r="K44" s="115"/>
      <c r="L44" s="115"/>
      <c r="M44" s="115"/>
      <c r="N44" s="115"/>
      <c r="O44" s="115"/>
      <c r="P44" s="115"/>
      <c r="Q44" s="115"/>
      <c r="R44" s="115"/>
      <c r="S44" s="68"/>
      <c r="T44" s="68"/>
      <c r="U44" s="68"/>
      <c r="V44" s="115"/>
      <c r="W44" s="115"/>
      <c r="X44" s="115"/>
      <c r="Y44" s="115"/>
      <c r="Z44" s="115"/>
      <c r="AA44" s="115"/>
      <c r="AB44" s="109"/>
      <c r="AC44" s="111"/>
      <c r="AD44" s="115"/>
      <c r="AE44" s="115"/>
      <c r="AF44" s="115"/>
      <c r="AG44" s="115"/>
      <c r="AH44" s="109"/>
      <c r="AI44" s="110"/>
      <c r="AJ44" s="110"/>
      <c r="AK44" s="111"/>
      <c r="AL44" s="68"/>
      <c r="AM44" s="68"/>
      <c r="AN44" s="68"/>
      <c r="AO44" s="68"/>
      <c r="AP44" s="68"/>
      <c r="AQ44" s="68"/>
      <c r="AR44" s="158" t="s">
        <v>74</v>
      </c>
      <c r="AS44" s="159"/>
      <c r="AT44" s="159"/>
      <c r="AU44" s="159"/>
      <c r="AV44" s="159"/>
      <c r="AW44" s="159"/>
      <c r="AX44" s="159"/>
      <c r="AY44" s="159"/>
      <c r="AZ44" s="159"/>
      <c r="BA44" s="160"/>
    </row>
    <row r="45" spans="2:53" s="21" customFormat="1" ht="18" customHeight="1" x14ac:dyDescent="0.15">
      <c r="B45" s="115" t="s">
        <v>28</v>
      </c>
      <c r="C45" s="115"/>
      <c r="D45" s="115"/>
      <c r="E45" s="115"/>
      <c r="F45" s="115"/>
      <c r="G45" s="115"/>
      <c r="H45" s="115"/>
      <c r="I45" s="115">
        <v>8638000</v>
      </c>
      <c r="J45" s="115"/>
      <c r="K45" s="115"/>
      <c r="L45" s="115"/>
      <c r="M45" s="115">
        <v>-2351000</v>
      </c>
      <c r="N45" s="115"/>
      <c r="O45" s="115"/>
      <c r="P45" s="115"/>
      <c r="Q45" s="115">
        <v>0</v>
      </c>
      <c r="R45" s="115"/>
      <c r="S45" s="68">
        <v>0</v>
      </c>
      <c r="T45" s="68"/>
      <c r="U45" s="68"/>
      <c r="V45" s="115">
        <v>0</v>
      </c>
      <c r="W45" s="115"/>
      <c r="X45" s="115">
        <f>SUM(I45:T46)</f>
        <v>6287000</v>
      </c>
      <c r="Y45" s="115"/>
      <c r="Z45" s="115"/>
      <c r="AA45" s="115"/>
      <c r="AB45" s="106">
        <v>0</v>
      </c>
      <c r="AC45" s="108"/>
      <c r="AD45" s="115">
        <f>SUM(X45:AC46)</f>
        <v>6287000</v>
      </c>
      <c r="AE45" s="115"/>
      <c r="AF45" s="115"/>
      <c r="AG45" s="115"/>
      <c r="AH45" s="106">
        <v>6276339</v>
      </c>
      <c r="AI45" s="107"/>
      <c r="AJ45" s="107"/>
      <c r="AK45" s="108"/>
      <c r="AL45" s="106">
        <v>0</v>
      </c>
      <c r="AM45" s="108"/>
      <c r="AN45" s="54">
        <f>AD45-AH45-AL45</f>
        <v>10661</v>
      </c>
      <c r="AO45" s="55"/>
      <c r="AP45" s="55"/>
      <c r="AQ45" s="70"/>
      <c r="AR45" s="83" t="s">
        <v>60</v>
      </c>
      <c r="AS45" s="84"/>
      <c r="AT45" s="84"/>
      <c r="AU45" s="84"/>
      <c r="AV45" s="84"/>
      <c r="AW45" s="84"/>
      <c r="AX45" s="84"/>
      <c r="AY45" s="84"/>
      <c r="AZ45" s="84"/>
      <c r="BA45" s="85"/>
    </row>
    <row r="46" spans="2:53" s="21" customFormat="1" ht="18" customHeight="1" x14ac:dyDescent="0.15">
      <c r="B46" s="115"/>
      <c r="C46" s="115"/>
      <c r="D46" s="115"/>
      <c r="E46" s="115"/>
      <c r="F46" s="115"/>
      <c r="G46" s="115"/>
      <c r="H46" s="115"/>
      <c r="I46" s="115"/>
      <c r="J46" s="115"/>
      <c r="K46" s="115"/>
      <c r="L46" s="115"/>
      <c r="M46" s="115"/>
      <c r="N46" s="115"/>
      <c r="O46" s="115"/>
      <c r="P46" s="115"/>
      <c r="Q46" s="115"/>
      <c r="R46" s="115"/>
      <c r="S46" s="68"/>
      <c r="T46" s="68"/>
      <c r="U46" s="68"/>
      <c r="V46" s="115"/>
      <c r="W46" s="115"/>
      <c r="X46" s="115"/>
      <c r="Y46" s="115"/>
      <c r="Z46" s="115"/>
      <c r="AA46" s="115"/>
      <c r="AB46" s="109"/>
      <c r="AC46" s="111"/>
      <c r="AD46" s="115"/>
      <c r="AE46" s="115"/>
      <c r="AF46" s="115"/>
      <c r="AG46" s="115"/>
      <c r="AH46" s="109"/>
      <c r="AI46" s="110"/>
      <c r="AJ46" s="110"/>
      <c r="AK46" s="111"/>
      <c r="AL46" s="109"/>
      <c r="AM46" s="111"/>
      <c r="AN46" s="56"/>
      <c r="AO46" s="57"/>
      <c r="AP46" s="57"/>
      <c r="AQ46" s="71"/>
      <c r="AR46" s="158" t="s">
        <v>75</v>
      </c>
      <c r="AS46" s="159"/>
      <c r="AT46" s="159"/>
      <c r="AU46" s="159"/>
      <c r="AV46" s="159"/>
      <c r="AW46" s="159"/>
      <c r="AX46" s="159"/>
      <c r="AY46" s="159"/>
      <c r="AZ46" s="159"/>
      <c r="BA46" s="160"/>
    </row>
    <row r="47" spans="2:53" s="21" customFormat="1" ht="18" customHeight="1" x14ac:dyDescent="0.15">
      <c r="B47" s="115" t="s">
        <v>29</v>
      </c>
      <c r="C47" s="115"/>
      <c r="D47" s="115"/>
      <c r="E47" s="115"/>
      <c r="F47" s="115"/>
      <c r="G47" s="115"/>
      <c r="H47" s="115"/>
      <c r="I47" s="115">
        <v>500000</v>
      </c>
      <c r="J47" s="115"/>
      <c r="K47" s="115"/>
      <c r="L47" s="115"/>
      <c r="M47" s="115"/>
      <c r="N47" s="115"/>
      <c r="O47" s="115"/>
      <c r="P47" s="115"/>
      <c r="Q47" s="115">
        <v>0</v>
      </c>
      <c r="R47" s="115"/>
      <c r="S47" s="68">
        <v>0</v>
      </c>
      <c r="T47" s="68"/>
      <c r="U47" s="68"/>
      <c r="V47" s="115">
        <v>0</v>
      </c>
      <c r="W47" s="115"/>
      <c r="X47" s="115">
        <f>SUM(I47:T48)</f>
        <v>500000</v>
      </c>
      <c r="Y47" s="115"/>
      <c r="Z47" s="115"/>
      <c r="AA47" s="115"/>
      <c r="AB47" s="106">
        <v>0</v>
      </c>
      <c r="AC47" s="108"/>
      <c r="AD47" s="115">
        <f>SUM(X47:AC48)</f>
        <v>500000</v>
      </c>
      <c r="AE47" s="115"/>
      <c r="AF47" s="115"/>
      <c r="AG47" s="115"/>
      <c r="AH47" s="106">
        <v>0</v>
      </c>
      <c r="AI47" s="107"/>
      <c r="AJ47" s="107"/>
      <c r="AK47" s="108"/>
      <c r="AL47" s="106">
        <v>0</v>
      </c>
      <c r="AM47" s="108"/>
      <c r="AN47" s="54">
        <f>AD47-AH47-AL47</f>
        <v>500000</v>
      </c>
      <c r="AO47" s="55"/>
      <c r="AP47" s="55"/>
      <c r="AQ47" s="70"/>
      <c r="AR47" s="58"/>
      <c r="AS47" s="59"/>
      <c r="AT47" s="59"/>
      <c r="AU47" s="59"/>
      <c r="AV47" s="59"/>
      <c r="AW47" s="59"/>
      <c r="AX47" s="59"/>
      <c r="AY47" s="59"/>
      <c r="AZ47" s="59"/>
      <c r="BA47" s="60"/>
    </row>
    <row r="48" spans="2:53" s="21" customFormat="1" ht="18" customHeight="1" x14ac:dyDescent="0.15">
      <c r="B48" s="115"/>
      <c r="C48" s="115"/>
      <c r="D48" s="115"/>
      <c r="E48" s="115"/>
      <c r="F48" s="115"/>
      <c r="G48" s="115"/>
      <c r="H48" s="115"/>
      <c r="I48" s="115"/>
      <c r="J48" s="115"/>
      <c r="K48" s="115"/>
      <c r="L48" s="115"/>
      <c r="M48" s="115"/>
      <c r="N48" s="115"/>
      <c r="O48" s="115"/>
      <c r="P48" s="115"/>
      <c r="Q48" s="115"/>
      <c r="R48" s="115"/>
      <c r="S48" s="68"/>
      <c r="T48" s="68"/>
      <c r="U48" s="68"/>
      <c r="V48" s="115"/>
      <c r="W48" s="115"/>
      <c r="X48" s="115"/>
      <c r="Y48" s="115"/>
      <c r="Z48" s="115"/>
      <c r="AA48" s="115"/>
      <c r="AB48" s="109"/>
      <c r="AC48" s="111"/>
      <c r="AD48" s="115"/>
      <c r="AE48" s="115"/>
      <c r="AF48" s="115"/>
      <c r="AG48" s="115"/>
      <c r="AH48" s="109"/>
      <c r="AI48" s="110"/>
      <c r="AJ48" s="110"/>
      <c r="AK48" s="111"/>
      <c r="AL48" s="109"/>
      <c r="AM48" s="111"/>
      <c r="AN48" s="56"/>
      <c r="AO48" s="57"/>
      <c r="AP48" s="57"/>
      <c r="AQ48" s="71"/>
      <c r="AR48" s="61"/>
      <c r="AS48" s="62"/>
      <c r="AT48" s="62"/>
      <c r="AU48" s="62"/>
      <c r="AV48" s="62"/>
      <c r="AW48" s="62"/>
      <c r="AX48" s="62"/>
      <c r="AY48" s="62"/>
      <c r="AZ48" s="62"/>
      <c r="BA48" s="63"/>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row>
    <row r="52" spans="2:83" s="25" customFormat="1" ht="13.5" customHeight="1" x14ac:dyDescent="0.15">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row>
    <row r="53" spans="2:83" s="25" customFormat="1" ht="13.5" customHeight="1" x14ac:dyDescent="0.1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row>
    <row r="54" spans="2:83" s="25" customFormat="1" ht="13.5" customHeight="1" x14ac:dyDescent="0.15">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row>
    <row r="55" spans="2:83" s="25" customFormat="1" ht="13.5" customHeight="1" x14ac:dyDescent="0.15">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row>
    <row r="56" spans="2:83" s="25" customFormat="1" ht="13.5" customHeight="1" x14ac:dyDescent="0.15">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row>
    <row r="57" spans="2:83" s="25" customFormat="1" ht="12" customHeight="1" x14ac:dyDescent="0.15">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row>
    <row r="58" spans="2:83" s="25" customFormat="1" ht="13.5" hidden="1" customHeight="1" x14ac:dyDescent="0.15">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row>
    <row r="59" spans="2:83" s="25" customFormat="1" ht="13.5" hidden="1" customHeight="1" x14ac:dyDescent="0.15">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row>
    <row r="60" spans="2:83" s="25" customFormat="1" ht="13.5" customHeight="1" x14ac:dyDescent="0.15">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row>
    <row r="61" spans="2:83" s="25" customFormat="1" ht="13.5" customHeight="1" x14ac:dyDescent="0.15">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row>
    <row r="62" spans="2:83" s="25" customFormat="1" ht="13.5" customHeight="1" x14ac:dyDescent="0.15">
      <c r="B62" s="156" t="s">
        <v>30</v>
      </c>
      <c r="C62" s="156"/>
      <c r="D62" s="156"/>
      <c r="E62" s="156"/>
      <c r="F62" s="156"/>
      <c r="G62" s="156"/>
      <c r="H62" s="156"/>
      <c r="I62" s="156"/>
      <c r="J62" s="156"/>
      <c r="K62" s="156"/>
      <c r="L62" s="156"/>
      <c r="M62" s="156"/>
      <c r="N62" s="156"/>
      <c r="O62" s="19"/>
      <c r="P62" s="19"/>
      <c r="Q62" s="19"/>
      <c r="R62" s="19"/>
      <c r="S62" s="19"/>
      <c r="T62" s="19"/>
      <c r="U62" s="19"/>
      <c r="V62" s="19"/>
      <c r="W62" s="19"/>
      <c r="X62" s="19"/>
      <c r="Y62" s="19"/>
      <c r="Z62" s="19"/>
      <c r="AA62" s="19"/>
      <c r="AB62" s="19"/>
      <c r="AC62" s="19"/>
      <c r="AD62" s="19"/>
      <c r="AE62" s="19"/>
      <c r="AF62" s="19"/>
      <c r="AG62" s="19"/>
      <c r="AH62" s="19"/>
      <c r="AI62" s="19"/>
      <c r="AJ62" s="19"/>
      <c r="AK62" s="20"/>
      <c r="AL62" s="20"/>
      <c r="AM62" s="20"/>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row>
    <row r="63" spans="2:83" s="25" customFormat="1" ht="13.5" customHeight="1" x14ac:dyDescent="0.15">
      <c r="B63" s="156"/>
      <c r="C63" s="156"/>
      <c r="D63" s="156"/>
      <c r="E63" s="156"/>
      <c r="F63" s="156"/>
      <c r="G63" s="156"/>
      <c r="H63" s="156"/>
      <c r="I63" s="156"/>
      <c r="J63" s="156"/>
      <c r="K63" s="156"/>
      <c r="L63" s="156"/>
      <c r="M63" s="156"/>
      <c r="N63" s="156"/>
      <c r="O63" s="20"/>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20"/>
      <c r="AP63" s="20"/>
      <c r="AQ63" s="20"/>
      <c r="AR63" s="26"/>
      <c r="AS63" s="26"/>
      <c r="AT63" s="26"/>
      <c r="AU63" s="26"/>
      <c r="AV63" s="26"/>
      <c r="AW63" s="26"/>
      <c r="AX63" s="26"/>
      <c r="AY63" s="26"/>
      <c r="AZ63" s="26"/>
      <c r="BA63" s="26"/>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row>
    <row r="64" spans="2:83" s="25" customFormat="1" ht="13.5" customHeight="1" x14ac:dyDescent="0.15">
      <c r="B64" s="136" t="s">
        <v>1</v>
      </c>
      <c r="C64" s="136"/>
      <c r="D64" s="136"/>
      <c r="E64" s="136"/>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row>
    <row r="65" spans="2:82" s="25" customFormat="1" ht="13.5" customHeight="1" x14ac:dyDescent="0.15">
      <c r="B65" s="137"/>
      <c r="C65" s="137"/>
      <c r="D65" s="137"/>
      <c r="E65" s="137"/>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7" t="s">
        <v>47</v>
      </c>
      <c r="AV65" s="157"/>
      <c r="AW65" s="157"/>
      <c r="AX65" s="157"/>
      <c r="AY65" s="157"/>
      <c r="AZ65" s="157"/>
      <c r="BA65" s="157"/>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row>
    <row r="66" spans="2:82" s="21" customFormat="1" ht="13.5" customHeight="1" x14ac:dyDescent="0.15">
      <c r="B66" s="91" t="s">
        <v>2</v>
      </c>
      <c r="C66" s="92"/>
      <c r="D66" s="92"/>
      <c r="E66" s="92"/>
      <c r="F66" s="92"/>
      <c r="G66" s="92"/>
      <c r="H66" s="92"/>
      <c r="I66" s="91" t="s">
        <v>14</v>
      </c>
      <c r="J66" s="92"/>
      <c r="K66" s="92"/>
      <c r="L66" s="92"/>
      <c r="M66" s="92"/>
      <c r="N66" s="92"/>
      <c r="O66" s="92"/>
      <c r="P66" s="92"/>
      <c r="Q66" s="92"/>
      <c r="R66" s="92"/>
      <c r="S66" s="92"/>
      <c r="T66" s="92"/>
      <c r="U66" s="92"/>
      <c r="V66" s="92"/>
      <c r="W66" s="92"/>
      <c r="X66" s="92"/>
      <c r="Y66" s="92"/>
      <c r="Z66" s="92"/>
      <c r="AA66" s="92"/>
      <c r="AB66" s="92"/>
      <c r="AC66" s="92"/>
      <c r="AD66" s="92"/>
      <c r="AE66" s="114" t="s">
        <v>4</v>
      </c>
      <c r="AF66" s="114"/>
      <c r="AG66" s="114"/>
      <c r="AH66" s="114"/>
      <c r="AI66" s="100" t="s">
        <v>48</v>
      </c>
      <c r="AJ66" s="101"/>
      <c r="AK66" s="101"/>
      <c r="AL66" s="101"/>
      <c r="AM66" s="114" t="s">
        <v>6</v>
      </c>
      <c r="AN66" s="114"/>
      <c r="AO66" s="114"/>
      <c r="AP66" s="114"/>
      <c r="AQ66" s="114"/>
      <c r="AR66" s="114"/>
      <c r="AS66" s="114"/>
      <c r="AT66" s="114"/>
      <c r="AU66" s="114"/>
      <c r="AV66" s="114"/>
      <c r="AW66" s="114"/>
      <c r="AX66" s="114"/>
      <c r="AY66" s="114"/>
      <c r="AZ66" s="114"/>
      <c r="BA66" s="114"/>
    </row>
    <row r="67" spans="2:82" s="21" customFormat="1" ht="13.5" customHeight="1" x14ac:dyDescent="0.15">
      <c r="B67" s="94"/>
      <c r="C67" s="95"/>
      <c r="D67" s="95"/>
      <c r="E67" s="95"/>
      <c r="F67" s="95"/>
      <c r="G67" s="95"/>
      <c r="H67" s="95"/>
      <c r="I67" s="97"/>
      <c r="J67" s="98"/>
      <c r="K67" s="98"/>
      <c r="L67" s="98"/>
      <c r="M67" s="98"/>
      <c r="N67" s="98"/>
      <c r="O67" s="98"/>
      <c r="P67" s="98"/>
      <c r="Q67" s="98"/>
      <c r="R67" s="98"/>
      <c r="S67" s="98"/>
      <c r="T67" s="98"/>
      <c r="U67" s="98"/>
      <c r="V67" s="98"/>
      <c r="W67" s="98"/>
      <c r="X67" s="98"/>
      <c r="Y67" s="98"/>
      <c r="Z67" s="98"/>
      <c r="AA67" s="98"/>
      <c r="AB67" s="98"/>
      <c r="AC67" s="98"/>
      <c r="AD67" s="98"/>
      <c r="AE67" s="114"/>
      <c r="AF67" s="114"/>
      <c r="AG67" s="114"/>
      <c r="AH67" s="114"/>
      <c r="AI67" s="112"/>
      <c r="AJ67" s="113"/>
      <c r="AK67" s="113"/>
      <c r="AL67" s="113"/>
      <c r="AM67" s="114"/>
      <c r="AN67" s="114"/>
      <c r="AO67" s="114"/>
      <c r="AP67" s="114"/>
      <c r="AQ67" s="114"/>
      <c r="AR67" s="114"/>
      <c r="AS67" s="114"/>
      <c r="AT67" s="114"/>
      <c r="AU67" s="114"/>
      <c r="AV67" s="114"/>
      <c r="AW67" s="114"/>
      <c r="AX67" s="114"/>
      <c r="AY67" s="114"/>
      <c r="AZ67" s="114"/>
      <c r="BA67" s="114"/>
    </row>
    <row r="68" spans="2:82" s="21" customFormat="1" ht="13.5" customHeight="1" x14ac:dyDescent="0.15">
      <c r="B68" s="94"/>
      <c r="C68" s="95"/>
      <c r="D68" s="95"/>
      <c r="E68" s="95"/>
      <c r="F68" s="95"/>
      <c r="G68" s="95"/>
      <c r="H68" s="95"/>
      <c r="I68" s="91" t="s">
        <v>7</v>
      </c>
      <c r="J68" s="92"/>
      <c r="K68" s="92"/>
      <c r="L68" s="93"/>
      <c r="M68" s="91" t="s">
        <v>8</v>
      </c>
      <c r="N68" s="92"/>
      <c r="O68" s="92"/>
      <c r="P68" s="93"/>
      <c r="Q68" s="91" t="s">
        <v>31</v>
      </c>
      <c r="R68" s="92"/>
      <c r="S68" s="92"/>
      <c r="T68" s="93"/>
      <c r="U68" s="141" t="s">
        <v>32</v>
      </c>
      <c r="V68" s="142"/>
      <c r="W68" s="143"/>
      <c r="X68" s="141" t="s">
        <v>33</v>
      </c>
      <c r="Y68" s="142"/>
      <c r="Z68" s="143"/>
      <c r="AA68" s="150" t="s">
        <v>9</v>
      </c>
      <c r="AB68" s="151"/>
      <c r="AC68" s="151"/>
      <c r="AD68" s="151"/>
      <c r="AE68" s="114"/>
      <c r="AF68" s="114"/>
      <c r="AG68" s="114"/>
      <c r="AH68" s="114"/>
      <c r="AI68" s="112"/>
      <c r="AJ68" s="113"/>
      <c r="AK68" s="113"/>
      <c r="AL68" s="113"/>
      <c r="AM68" s="114"/>
      <c r="AN68" s="114"/>
      <c r="AO68" s="114"/>
      <c r="AP68" s="114"/>
      <c r="AQ68" s="114"/>
      <c r="AR68" s="114"/>
      <c r="AS68" s="114"/>
      <c r="AT68" s="114"/>
      <c r="AU68" s="114"/>
      <c r="AV68" s="114"/>
      <c r="AW68" s="114"/>
      <c r="AX68" s="114"/>
      <c r="AY68" s="114"/>
      <c r="AZ68" s="114"/>
      <c r="BA68" s="114"/>
    </row>
    <row r="69" spans="2:82" s="21" customFormat="1" ht="13.5" customHeight="1" x14ac:dyDescent="0.15">
      <c r="B69" s="94"/>
      <c r="C69" s="95"/>
      <c r="D69" s="95"/>
      <c r="E69" s="95"/>
      <c r="F69" s="95"/>
      <c r="G69" s="95"/>
      <c r="H69" s="95"/>
      <c r="I69" s="94"/>
      <c r="J69" s="95"/>
      <c r="K69" s="95"/>
      <c r="L69" s="96"/>
      <c r="M69" s="94"/>
      <c r="N69" s="95"/>
      <c r="O69" s="95"/>
      <c r="P69" s="96"/>
      <c r="Q69" s="94"/>
      <c r="R69" s="95"/>
      <c r="S69" s="95"/>
      <c r="T69" s="96"/>
      <c r="U69" s="144"/>
      <c r="V69" s="145"/>
      <c r="W69" s="146"/>
      <c r="X69" s="144"/>
      <c r="Y69" s="145"/>
      <c r="Z69" s="146"/>
      <c r="AA69" s="152"/>
      <c r="AB69" s="153"/>
      <c r="AC69" s="153"/>
      <c r="AD69" s="153"/>
      <c r="AE69" s="114"/>
      <c r="AF69" s="114"/>
      <c r="AG69" s="114"/>
      <c r="AH69" s="114"/>
      <c r="AI69" s="112"/>
      <c r="AJ69" s="113"/>
      <c r="AK69" s="113"/>
      <c r="AL69" s="113"/>
      <c r="AM69" s="114"/>
      <c r="AN69" s="114"/>
      <c r="AO69" s="114"/>
      <c r="AP69" s="114"/>
      <c r="AQ69" s="114"/>
      <c r="AR69" s="114"/>
      <c r="AS69" s="114"/>
      <c r="AT69" s="114"/>
      <c r="AU69" s="114"/>
      <c r="AV69" s="114"/>
      <c r="AW69" s="114"/>
      <c r="AX69" s="114"/>
      <c r="AY69" s="114"/>
      <c r="AZ69" s="114"/>
      <c r="BA69" s="114"/>
    </row>
    <row r="70" spans="2:82" s="21" customFormat="1" ht="13.5" customHeight="1" x14ac:dyDescent="0.15">
      <c r="B70" s="94"/>
      <c r="C70" s="95"/>
      <c r="D70" s="95"/>
      <c r="E70" s="95"/>
      <c r="F70" s="95"/>
      <c r="G70" s="95"/>
      <c r="H70" s="95"/>
      <c r="I70" s="94"/>
      <c r="J70" s="95"/>
      <c r="K70" s="95"/>
      <c r="L70" s="96"/>
      <c r="M70" s="94"/>
      <c r="N70" s="95"/>
      <c r="O70" s="95"/>
      <c r="P70" s="96"/>
      <c r="Q70" s="94"/>
      <c r="R70" s="95"/>
      <c r="S70" s="95"/>
      <c r="T70" s="96"/>
      <c r="U70" s="144"/>
      <c r="V70" s="145"/>
      <c r="W70" s="146"/>
      <c r="X70" s="144"/>
      <c r="Y70" s="145"/>
      <c r="Z70" s="146"/>
      <c r="AA70" s="152"/>
      <c r="AB70" s="153"/>
      <c r="AC70" s="153"/>
      <c r="AD70" s="153"/>
      <c r="AE70" s="114"/>
      <c r="AF70" s="114"/>
      <c r="AG70" s="114"/>
      <c r="AH70" s="114"/>
      <c r="AI70" s="112"/>
      <c r="AJ70" s="113"/>
      <c r="AK70" s="113"/>
      <c r="AL70" s="113"/>
      <c r="AM70" s="114"/>
      <c r="AN70" s="114"/>
      <c r="AO70" s="114"/>
      <c r="AP70" s="114"/>
      <c r="AQ70" s="114"/>
      <c r="AR70" s="114"/>
      <c r="AS70" s="114"/>
      <c r="AT70" s="114"/>
      <c r="AU70" s="114"/>
      <c r="AV70" s="114"/>
      <c r="AW70" s="114"/>
      <c r="AX70" s="114"/>
      <c r="AY70" s="114"/>
      <c r="AZ70" s="114"/>
      <c r="BA70" s="114"/>
    </row>
    <row r="71" spans="2:82" s="21" customFormat="1" ht="13.5" customHeight="1" x14ac:dyDescent="0.15">
      <c r="B71" s="97"/>
      <c r="C71" s="98"/>
      <c r="D71" s="98"/>
      <c r="E71" s="98"/>
      <c r="F71" s="98"/>
      <c r="G71" s="98"/>
      <c r="H71" s="98"/>
      <c r="I71" s="97"/>
      <c r="J71" s="98"/>
      <c r="K71" s="98"/>
      <c r="L71" s="99"/>
      <c r="M71" s="97"/>
      <c r="N71" s="98"/>
      <c r="O71" s="98"/>
      <c r="P71" s="99"/>
      <c r="Q71" s="97"/>
      <c r="R71" s="98"/>
      <c r="S71" s="98"/>
      <c r="T71" s="99"/>
      <c r="U71" s="147"/>
      <c r="V71" s="148"/>
      <c r="W71" s="149"/>
      <c r="X71" s="147"/>
      <c r="Y71" s="148"/>
      <c r="Z71" s="149"/>
      <c r="AA71" s="154"/>
      <c r="AB71" s="155"/>
      <c r="AC71" s="155"/>
      <c r="AD71" s="155"/>
      <c r="AE71" s="114"/>
      <c r="AF71" s="114"/>
      <c r="AG71" s="114"/>
      <c r="AH71" s="114"/>
      <c r="AI71" s="103"/>
      <c r="AJ71" s="104"/>
      <c r="AK71" s="104"/>
      <c r="AL71" s="104"/>
      <c r="AM71" s="114"/>
      <c r="AN71" s="114"/>
      <c r="AO71" s="114"/>
      <c r="AP71" s="114"/>
      <c r="AQ71" s="114"/>
      <c r="AR71" s="114"/>
      <c r="AS71" s="114"/>
      <c r="AT71" s="114"/>
      <c r="AU71" s="114"/>
      <c r="AV71" s="114"/>
      <c r="AW71" s="114"/>
      <c r="AX71" s="114"/>
      <c r="AY71" s="114"/>
      <c r="AZ71" s="114"/>
      <c r="BA71" s="114"/>
    </row>
    <row r="72" spans="2:82" s="21" customFormat="1" ht="18" customHeight="1" x14ac:dyDescent="0.15">
      <c r="B72" s="106" t="s">
        <v>34</v>
      </c>
      <c r="C72" s="107"/>
      <c r="D72" s="107"/>
      <c r="E72" s="107"/>
      <c r="F72" s="107"/>
      <c r="G72" s="107"/>
      <c r="H72" s="107"/>
      <c r="I72" s="106">
        <f>SUM(I74:L79)</f>
        <v>63030000</v>
      </c>
      <c r="J72" s="107"/>
      <c r="K72" s="107"/>
      <c r="L72" s="108"/>
      <c r="M72" s="54">
        <f>SUM(M74:P79)</f>
        <v>-2425000</v>
      </c>
      <c r="N72" s="55"/>
      <c r="O72" s="55"/>
      <c r="P72" s="70"/>
      <c r="Q72" s="54">
        <f>SUM(Q74:T79)</f>
        <v>60605000</v>
      </c>
      <c r="R72" s="55"/>
      <c r="S72" s="55"/>
      <c r="T72" s="70"/>
      <c r="U72" s="106">
        <f>SUM(U74:W79)</f>
        <v>0</v>
      </c>
      <c r="V72" s="107"/>
      <c r="W72" s="108"/>
      <c r="X72" s="106">
        <f>SUM(X74:Z79)</f>
        <v>0</v>
      </c>
      <c r="Y72" s="107"/>
      <c r="Z72" s="108"/>
      <c r="AA72" s="106">
        <f>SUM(AA74:AD79)</f>
        <v>60605000</v>
      </c>
      <c r="AB72" s="107"/>
      <c r="AC72" s="107"/>
      <c r="AD72" s="107"/>
      <c r="AE72" s="115">
        <f>SUM(AE74:AH79)</f>
        <v>60671400</v>
      </c>
      <c r="AF72" s="115"/>
      <c r="AG72" s="115"/>
      <c r="AH72" s="115"/>
      <c r="AI72" s="115">
        <f>SUM(AI74:AL79)</f>
        <v>66400</v>
      </c>
      <c r="AJ72" s="115"/>
      <c r="AK72" s="115"/>
      <c r="AL72" s="115"/>
      <c r="AM72" s="139"/>
      <c r="AN72" s="139"/>
      <c r="AO72" s="139"/>
      <c r="AP72" s="139"/>
      <c r="AQ72" s="139"/>
      <c r="AR72" s="139"/>
      <c r="AS72" s="139"/>
      <c r="AT72" s="139"/>
      <c r="AU72" s="139"/>
      <c r="AV72" s="139"/>
      <c r="AW72" s="139"/>
      <c r="AX72" s="139"/>
      <c r="AY72" s="139"/>
      <c r="AZ72" s="139"/>
      <c r="BA72" s="139"/>
    </row>
    <row r="73" spans="2:82" s="21" customFormat="1" ht="18" customHeight="1" x14ac:dyDescent="0.15">
      <c r="B73" s="109"/>
      <c r="C73" s="110"/>
      <c r="D73" s="110"/>
      <c r="E73" s="110"/>
      <c r="F73" s="110"/>
      <c r="G73" s="110"/>
      <c r="H73" s="110"/>
      <c r="I73" s="109"/>
      <c r="J73" s="110"/>
      <c r="K73" s="110"/>
      <c r="L73" s="111"/>
      <c r="M73" s="56"/>
      <c r="N73" s="57"/>
      <c r="O73" s="57"/>
      <c r="P73" s="71"/>
      <c r="Q73" s="56"/>
      <c r="R73" s="57"/>
      <c r="S73" s="57"/>
      <c r="T73" s="71"/>
      <c r="U73" s="109"/>
      <c r="V73" s="110"/>
      <c r="W73" s="111"/>
      <c r="X73" s="109"/>
      <c r="Y73" s="110"/>
      <c r="Z73" s="111"/>
      <c r="AA73" s="109"/>
      <c r="AB73" s="110"/>
      <c r="AC73" s="110"/>
      <c r="AD73" s="110"/>
      <c r="AE73" s="115"/>
      <c r="AF73" s="115"/>
      <c r="AG73" s="115"/>
      <c r="AH73" s="115"/>
      <c r="AI73" s="115"/>
      <c r="AJ73" s="115"/>
      <c r="AK73" s="115"/>
      <c r="AL73" s="115"/>
      <c r="AM73" s="139"/>
      <c r="AN73" s="139"/>
      <c r="AO73" s="139"/>
      <c r="AP73" s="139"/>
      <c r="AQ73" s="139"/>
      <c r="AR73" s="139"/>
      <c r="AS73" s="139"/>
      <c r="AT73" s="139"/>
      <c r="AU73" s="139"/>
      <c r="AV73" s="139"/>
      <c r="AW73" s="139"/>
      <c r="AX73" s="139"/>
      <c r="AY73" s="139"/>
      <c r="AZ73" s="139"/>
      <c r="BA73" s="139"/>
    </row>
    <row r="74" spans="2:82" s="21" customFormat="1" ht="18" customHeight="1" x14ac:dyDescent="0.15">
      <c r="B74" s="106" t="s">
        <v>35</v>
      </c>
      <c r="C74" s="107"/>
      <c r="D74" s="107"/>
      <c r="E74" s="107"/>
      <c r="F74" s="107"/>
      <c r="G74" s="107"/>
      <c r="H74" s="107"/>
      <c r="I74" s="106">
        <v>1430000</v>
      </c>
      <c r="J74" s="107"/>
      <c r="K74" s="107"/>
      <c r="L74" s="108"/>
      <c r="M74" s="106">
        <v>1775000</v>
      </c>
      <c r="N74" s="107"/>
      <c r="O74" s="107"/>
      <c r="P74" s="108"/>
      <c r="Q74" s="54">
        <f>SUM(I74:P75)</f>
        <v>3205000</v>
      </c>
      <c r="R74" s="55"/>
      <c r="S74" s="55"/>
      <c r="T74" s="70"/>
      <c r="U74" s="106">
        <f>SUM(X80:Z81)</f>
        <v>0</v>
      </c>
      <c r="V74" s="107"/>
      <c r="W74" s="108"/>
      <c r="X74" s="106">
        <v>0</v>
      </c>
      <c r="Y74" s="107"/>
      <c r="Z74" s="108"/>
      <c r="AA74" s="106">
        <f>SUM(Q74:Z75)</f>
        <v>3205000</v>
      </c>
      <c r="AB74" s="107"/>
      <c r="AC74" s="107"/>
      <c r="AD74" s="107"/>
      <c r="AE74" s="115">
        <v>3271400</v>
      </c>
      <c r="AF74" s="115"/>
      <c r="AG74" s="115"/>
      <c r="AH74" s="115"/>
      <c r="AI74" s="106">
        <f>AE74-AA74</f>
        <v>66400</v>
      </c>
      <c r="AJ74" s="107"/>
      <c r="AK74" s="107"/>
      <c r="AL74" s="107"/>
      <c r="AM74" s="140" t="s">
        <v>73</v>
      </c>
      <c r="AN74" s="140"/>
      <c r="AO74" s="140"/>
      <c r="AP74" s="140"/>
      <c r="AQ74" s="140"/>
      <c r="AR74" s="140"/>
      <c r="AS74" s="140"/>
      <c r="AT74" s="140"/>
      <c r="AU74" s="140"/>
      <c r="AV74" s="140"/>
      <c r="AW74" s="140"/>
      <c r="AX74" s="140"/>
      <c r="AY74" s="140"/>
      <c r="AZ74" s="140"/>
      <c r="BA74" s="140"/>
    </row>
    <row r="75" spans="2:82" s="21" customFormat="1" ht="18" customHeight="1" x14ac:dyDescent="0.15">
      <c r="B75" s="109"/>
      <c r="C75" s="110"/>
      <c r="D75" s="110"/>
      <c r="E75" s="110"/>
      <c r="F75" s="110"/>
      <c r="G75" s="110"/>
      <c r="H75" s="110"/>
      <c r="I75" s="109"/>
      <c r="J75" s="110"/>
      <c r="K75" s="110"/>
      <c r="L75" s="111"/>
      <c r="M75" s="109"/>
      <c r="N75" s="110"/>
      <c r="O75" s="110"/>
      <c r="P75" s="111"/>
      <c r="Q75" s="56"/>
      <c r="R75" s="57"/>
      <c r="S75" s="57"/>
      <c r="T75" s="71"/>
      <c r="U75" s="109"/>
      <c r="V75" s="110"/>
      <c r="W75" s="111"/>
      <c r="X75" s="109"/>
      <c r="Y75" s="110"/>
      <c r="Z75" s="111"/>
      <c r="AA75" s="109"/>
      <c r="AB75" s="110"/>
      <c r="AC75" s="110"/>
      <c r="AD75" s="110"/>
      <c r="AE75" s="115"/>
      <c r="AF75" s="115"/>
      <c r="AG75" s="115"/>
      <c r="AH75" s="115"/>
      <c r="AI75" s="109"/>
      <c r="AJ75" s="110"/>
      <c r="AK75" s="110"/>
      <c r="AL75" s="110"/>
      <c r="AM75" s="140"/>
      <c r="AN75" s="140"/>
      <c r="AO75" s="140"/>
      <c r="AP75" s="140"/>
      <c r="AQ75" s="140"/>
      <c r="AR75" s="140"/>
      <c r="AS75" s="140"/>
      <c r="AT75" s="140"/>
      <c r="AU75" s="140"/>
      <c r="AV75" s="140"/>
      <c r="AW75" s="140"/>
      <c r="AX75" s="140"/>
      <c r="AY75" s="140"/>
      <c r="AZ75" s="140"/>
      <c r="BA75" s="140"/>
    </row>
    <row r="76" spans="2:82" s="21" customFormat="1" ht="18" customHeight="1" x14ac:dyDescent="0.15">
      <c r="B76" s="106" t="s">
        <v>51</v>
      </c>
      <c r="C76" s="107"/>
      <c r="D76" s="107"/>
      <c r="E76" s="107"/>
      <c r="F76" s="107"/>
      <c r="G76" s="107"/>
      <c r="H76" s="108"/>
      <c r="I76" s="106">
        <v>28300000</v>
      </c>
      <c r="J76" s="107"/>
      <c r="K76" s="107"/>
      <c r="L76" s="108"/>
      <c r="M76" s="54">
        <v>-400000</v>
      </c>
      <c r="N76" s="55"/>
      <c r="O76" s="55"/>
      <c r="P76" s="70"/>
      <c r="Q76" s="54">
        <f>SUM(I76:P77)</f>
        <v>27900000</v>
      </c>
      <c r="R76" s="55"/>
      <c r="S76" s="55"/>
      <c r="T76" s="70"/>
      <c r="U76" s="106">
        <v>0</v>
      </c>
      <c r="V76" s="107"/>
      <c r="W76" s="108"/>
      <c r="X76" s="106">
        <v>0</v>
      </c>
      <c r="Y76" s="107"/>
      <c r="Z76" s="108"/>
      <c r="AA76" s="106">
        <f>SUM(Q76:Z77)</f>
        <v>27900000</v>
      </c>
      <c r="AB76" s="107"/>
      <c r="AC76" s="107"/>
      <c r="AD76" s="107"/>
      <c r="AE76" s="115">
        <v>27900000</v>
      </c>
      <c r="AF76" s="115"/>
      <c r="AG76" s="115"/>
      <c r="AH76" s="115"/>
      <c r="AI76" s="106">
        <f>AE76-AA76</f>
        <v>0</v>
      </c>
      <c r="AJ76" s="107"/>
      <c r="AK76" s="107"/>
      <c r="AL76" s="107"/>
      <c r="AM76" s="114"/>
      <c r="AN76" s="114"/>
      <c r="AO76" s="114"/>
      <c r="AP76" s="114"/>
      <c r="AQ76" s="114"/>
      <c r="AR76" s="114"/>
      <c r="AS76" s="114"/>
      <c r="AT76" s="114"/>
      <c r="AU76" s="114"/>
      <c r="AV76" s="114"/>
      <c r="AW76" s="114"/>
      <c r="AX76" s="114"/>
      <c r="AY76" s="114"/>
      <c r="AZ76" s="114"/>
      <c r="BA76" s="114"/>
    </row>
    <row r="77" spans="2:82" s="21" customFormat="1" ht="18" customHeight="1" x14ac:dyDescent="0.15">
      <c r="B77" s="109"/>
      <c r="C77" s="110"/>
      <c r="D77" s="110"/>
      <c r="E77" s="110"/>
      <c r="F77" s="110"/>
      <c r="G77" s="110"/>
      <c r="H77" s="111"/>
      <c r="I77" s="109"/>
      <c r="J77" s="110"/>
      <c r="K77" s="110"/>
      <c r="L77" s="111"/>
      <c r="M77" s="56"/>
      <c r="N77" s="57"/>
      <c r="O77" s="57"/>
      <c r="P77" s="71"/>
      <c r="Q77" s="56"/>
      <c r="R77" s="57"/>
      <c r="S77" s="57"/>
      <c r="T77" s="71"/>
      <c r="U77" s="109"/>
      <c r="V77" s="110"/>
      <c r="W77" s="111"/>
      <c r="X77" s="109"/>
      <c r="Y77" s="110"/>
      <c r="Z77" s="111"/>
      <c r="AA77" s="109"/>
      <c r="AB77" s="110"/>
      <c r="AC77" s="110"/>
      <c r="AD77" s="110"/>
      <c r="AE77" s="115"/>
      <c r="AF77" s="115"/>
      <c r="AG77" s="115"/>
      <c r="AH77" s="115"/>
      <c r="AI77" s="109"/>
      <c r="AJ77" s="110"/>
      <c r="AK77" s="110"/>
      <c r="AL77" s="110"/>
      <c r="AM77" s="114"/>
      <c r="AN77" s="114"/>
      <c r="AO77" s="114"/>
      <c r="AP77" s="114"/>
      <c r="AQ77" s="114"/>
      <c r="AR77" s="114"/>
      <c r="AS77" s="114"/>
      <c r="AT77" s="114"/>
      <c r="AU77" s="114"/>
      <c r="AV77" s="114"/>
      <c r="AW77" s="114"/>
      <c r="AX77" s="114"/>
      <c r="AY77" s="114"/>
      <c r="AZ77" s="114"/>
      <c r="BA77" s="114"/>
    </row>
    <row r="78" spans="2:82" s="21" customFormat="1" ht="18" customHeight="1" x14ac:dyDescent="0.15">
      <c r="B78" s="106" t="s">
        <v>52</v>
      </c>
      <c r="C78" s="107"/>
      <c r="D78" s="107"/>
      <c r="E78" s="107"/>
      <c r="F78" s="107"/>
      <c r="G78" s="107"/>
      <c r="H78" s="107"/>
      <c r="I78" s="106">
        <v>33300000</v>
      </c>
      <c r="J78" s="107"/>
      <c r="K78" s="107"/>
      <c r="L78" s="108"/>
      <c r="M78" s="106">
        <v>-3800000</v>
      </c>
      <c r="N78" s="107"/>
      <c r="O78" s="107"/>
      <c r="P78" s="108"/>
      <c r="Q78" s="54">
        <f>SUM(I78:P79)</f>
        <v>29500000</v>
      </c>
      <c r="R78" s="55"/>
      <c r="S78" s="55"/>
      <c r="T78" s="70"/>
      <c r="U78" s="106">
        <v>0</v>
      </c>
      <c r="V78" s="107"/>
      <c r="W78" s="108"/>
      <c r="X78" s="106">
        <v>0</v>
      </c>
      <c r="Y78" s="107"/>
      <c r="Z78" s="108"/>
      <c r="AA78" s="106">
        <f>SUM(Q78:Z79)</f>
        <v>29500000</v>
      </c>
      <c r="AB78" s="107"/>
      <c r="AC78" s="107"/>
      <c r="AD78" s="107"/>
      <c r="AE78" s="115">
        <v>29500000</v>
      </c>
      <c r="AF78" s="115"/>
      <c r="AG78" s="115"/>
      <c r="AH78" s="115"/>
      <c r="AI78" s="106">
        <f>AE78-AA78</f>
        <v>0</v>
      </c>
      <c r="AJ78" s="107"/>
      <c r="AK78" s="107"/>
      <c r="AL78" s="107"/>
      <c r="AM78" s="114"/>
      <c r="AN78" s="114"/>
      <c r="AO78" s="114"/>
      <c r="AP78" s="114"/>
      <c r="AQ78" s="114"/>
      <c r="AR78" s="114"/>
      <c r="AS78" s="114"/>
      <c r="AT78" s="114"/>
      <c r="AU78" s="114"/>
      <c r="AV78" s="114"/>
      <c r="AW78" s="114"/>
      <c r="AX78" s="114"/>
      <c r="AY78" s="114"/>
      <c r="AZ78" s="114"/>
      <c r="BA78" s="114"/>
    </row>
    <row r="79" spans="2:82" s="21" customFormat="1" ht="18" customHeight="1" x14ac:dyDescent="0.15">
      <c r="B79" s="109"/>
      <c r="C79" s="110"/>
      <c r="D79" s="110"/>
      <c r="E79" s="110"/>
      <c r="F79" s="110"/>
      <c r="G79" s="110"/>
      <c r="H79" s="110"/>
      <c r="I79" s="109"/>
      <c r="J79" s="110"/>
      <c r="K79" s="110"/>
      <c r="L79" s="111"/>
      <c r="M79" s="109"/>
      <c r="N79" s="110"/>
      <c r="O79" s="110"/>
      <c r="P79" s="111"/>
      <c r="Q79" s="56"/>
      <c r="R79" s="57"/>
      <c r="S79" s="57"/>
      <c r="T79" s="71"/>
      <c r="U79" s="109"/>
      <c r="V79" s="110"/>
      <c r="W79" s="111"/>
      <c r="X79" s="109"/>
      <c r="Y79" s="110"/>
      <c r="Z79" s="111"/>
      <c r="AA79" s="109"/>
      <c r="AB79" s="110"/>
      <c r="AC79" s="110"/>
      <c r="AD79" s="110"/>
      <c r="AE79" s="115"/>
      <c r="AF79" s="115"/>
      <c r="AG79" s="115"/>
      <c r="AH79" s="115"/>
      <c r="AI79" s="109"/>
      <c r="AJ79" s="110"/>
      <c r="AK79" s="110"/>
      <c r="AL79" s="110"/>
      <c r="AM79" s="114"/>
      <c r="AN79" s="114"/>
      <c r="AO79" s="114"/>
      <c r="AP79" s="114"/>
      <c r="AQ79" s="114"/>
      <c r="AR79" s="114"/>
      <c r="AS79" s="114"/>
      <c r="AT79" s="114"/>
      <c r="AU79" s="114"/>
      <c r="AV79" s="114"/>
      <c r="AW79" s="114"/>
      <c r="AX79" s="114"/>
      <c r="AY79" s="114"/>
      <c r="AZ79" s="114"/>
      <c r="BA79" s="114"/>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6" t="s">
        <v>13</v>
      </c>
      <c r="C81" s="136"/>
      <c r="D81" s="136"/>
      <c r="E81" s="136"/>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7"/>
      <c r="C82" s="137"/>
      <c r="D82" s="137"/>
      <c r="E82" s="137"/>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33"/>
      <c r="AU82" s="138" t="s">
        <v>47</v>
      </c>
      <c r="AV82" s="138"/>
      <c r="AW82" s="138"/>
      <c r="AX82" s="138"/>
      <c r="AY82" s="138"/>
      <c r="AZ82" s="138"/>
      <c r="BA82" s="138"/>
      <c r="CM82" s="21"/>
    </row>
    <row r="83" spans="2:91" s="21" customFormat="1" ht="13.5" customHeight="1" x14ac:dyDescent="0.15">
      <c r="B83" s="91" t="s">
        <v>2</v>
      </c>
      <c r="C83" s="92"/>
      <c r="D83" s="92"/>
      <c r="E83" s="92"/>
      <c r="F83" s="92"/>
      <c r="G83" s="92"/>
      <c r="H83" s="93"/>
      <c r="I83" s="91" t="s">
        <v>36</v>
      </c>
      <c r="J83" s="92"/>
      <c r="K83" s="92"/>
      <c r="L83" s="92"/>
      <c r="M83" s="92"/>
      <c r="N83" s="92"/>
      <c r="O83" s="92"/>
      <c r="P83" s="92"/>
      <c r="Q83" s="92"/>
      <c r="R83" s="92"/>
      <c r="S83" s="92"/>
      <c r="T83" s="92"/>
      <c r="U83" s="92"/>
      <c r="V83" s="92"/>
      <c r="W83" s="92"/>
      <c r="X83" s="92"/>
      <c r="Y83" s="92"/>
      <c r="Z83" s="92"/>
      <c r="AA83" s="92"/>
      <c r="AB83" s="92"/>
      <c r="AC83" s="92"/>
      <c r="AD83" s="92"/>
      <c r="AE83" s="92"/>
      <c r="AF83" s="91" t="s">
        <v>4</v>
      </c>
      <c r="AG83" s="92"/>
      <c r="AH83" s="92"/>
      <c r="AI83" s="93"/>
      <c r="AJ83" s="100" t="s">
        <v>37</v>
      </c>
      <c r="AK83" s="101"/>
      <c r="AL83" s="101"/>
      <c r="AM83" s="101"/>
      <c r="AN83" s="101"/>
      <c r="AO83" s="102"/>
      <c r="AP83" s="91" t="s">
        <v>17</v>
      </c>
      <c r="AQ83" s="92"/>
      <c r="AR83" s="93"/>
      <c r="AS83" s="91" t="s">
        <v>38</v>
      </c>
      <c r="AT83" s="92"/>
      <c r="AU83" s="92"/>
      <c r="AV83" s="92"/>
      <c r="AW83" s="92"/>
      <c r="AX83" s="92"/>
      <c r="AY83" s="92"/>
      <c r="AZ83" s="92"/>
      <c r="BA83" s="93"/>
    </row>
    <row r="84" spans="2:91" s="21" customFormat="1" ht="13.5" customHeight="1" x14ac:dyDescent="0.15">
      <c r="B84" s="94"/>
      <c r="C84" s="95"/>
      <c r="D84" s="95"/>
      <c r="E84" s="95"/>
      <c r="F84" s="95"/>
      <c r="G84" s="95"/>
      <c r="H84" s="96"/>
      <c r="I84" s="97"/>
      <c r="J84" s="98"/>
      <c r="K84" s="98"/>
      <c r="L84" s="98"/>
      <c r="M84" s="98"/>
      <c r="N84" s="98"/>
      <c r="O84" s="98"/>
      <c r="P84" s="98"/>
      <c r="Q84" s="98"/>
      <c r="R84" s="98"/>
      <c r="S84" s="98"/>
      <c r="T84" s="98"/>
      <c r="U84" s="98"/>
      <c r="V84" s="98"/>
      <c r="W84" s="98"/>
      <c r="X84" s="98"/>
      <c r="Y84" s="98"/>
      <c r="Z84" s="98"/>
      <c r="AA84" s="98"/>
      <c r="AB84" s="98"/>
      <c r="AC84" s="98"/>
      <c r="AD84" s="98"/>
      <c r="AE84" s="98"/>
      <c r="AF84" s="94"/>
      <c r="AG84" s="95"/>
      <c r="AH84" s="95"/>
      <c r="AI84" s="96"/>
      <c r="AJ84" s="103"/>
      <c r="AK84" s="104"/>
      <c r="AL84" s="104"/>
      <c r="AM84" s="104"/>
      <c r="AN84" s="104"/>
      <c r="AO84" s="105"/>
      <c r="AP84" s="94"/>
      <c r="AQ84" s="95"/>
      <c r="AR84" s="96"/>
      <c r="AS84" s="94"/>
      <c r="AT84" s="95"/>
      <c r="AU84" s="95"/>
      <c r="AV84" s="95"/>
      <c r="AW84" s="95"/>
      <c r="AX84" s="95"/>
      <c r="AY84" s="95"/>
      <c r="AZ84" s="95"/>
      <c r="BA84" s="96"/>
    </row>
    <row r="85" spans="2:91" s="21" customFormat="1" ht="13.5" customHeight="1" x14ac:dyDescent="0.15">
      <c r="B85" s="94"/>
      <c r="C85" s="95"/>
      <c r="D85" s="95"/>
      <c r="E85" s="95"/>
      <c r="F85" s="95"/>
      <c r="G85" s="95"/>
      <c r="H85" s="96"/>
      <c r="I85" s="91" t="s">
        <v>19</v>
      </c>
      <c r="J85" s="92"/>
      <c r="K85" s="92"/>
      <c r="L85" s="93"/>
      <c r="M85" s="91" t="s">
        <v>20</v>
      </c>
      <c r="N85" s="92"/>
      <c r="O85" s="92"/>
      <c r="P85" s="93"/>
      <c r="Q85" s="100" t="s">
        <v>39</v>
      </c>
      <c r="R85" s="101"/>
      <c r="S85" s="114" t="s">
        <v>24</v>
      </c>
      <c r="T85" s="114"/>
      <c r="U85" s="114"/>
      <c r="V85" s="114"/>
      <c r="W85" s="116" t="s">
        <v>40</v>
      </c>
      <c r="X85" s="117"/>
      <c r="Y85" s="118"/>
      <c r="Z85" s="125" t="s">
        <v>41</v>
      </c>
      <c r="AA85" s="126"/>
      <c r="AB85" s="114" t="s">
        <v>25</v>
      </c>
      <c r="AC85" s="114"/>
      <c r="AD85" s="114"/>
      <c r="AE85" s="127"/>
      <c r="AF85" s="94"/>
      <c r="AG85" s="95"/>
      <c r="AH85" s="95"/>
      <c r="AI85" s="96"/>
      <c r="AJ85" s="119" t="s">
        <v>42</v>
      </c>
      <c r="AK85" s="121"/>
      <c r="AL85" s="128" t="s">
        <v>50</v>
      </c>
      <c r="AM85" s="129"/>
      <c r="AN85" s="132" t="s">
        <v>43</v>
      </c>
      <c r="AO85" s="133"/>
      <c r="AP85" s="94"/>
      <c r="AQ85" s="95"/>
      <c r="AR85" s="96"/>
      <c r="AS85" s="94"/>
      <c r="AT85" s="95"/>
      <c r="AU85" s="95"/>
      <c r="AV85" s="95"/>
      <c r="AW85" s="95"/>
      <c r="AX85" s="95"/>
      <c r="AY85" s="95"/>
      <c r="AZ85" s="95"/>
      <c r="BA85" s="96"/>
    </row>
    <row r="86" spans="2:91" s="21" customFormat="1" ht="13.5" customHeight="1" x14ac:dyDescent="0.15">
      <c r="B86" s="94"/>
      <c r="C86" s="95"/>
      <c r="D86" s="95"/>
      <c r="E86" s="95"/>
      <c r="F86" s="95"/>
      <c r="G86" s="95"/>
      <c r="H86" s="96"/>
      <c r="I86" s="94"/>
      <c r="J86" s="95"/>
      <c r="K86" s="95"/>
      <c r="L86" s="96"/>
      <c r="M86" s="94"/>
      <c r="N86" s="95"/>
      <c r="O86" s="95"/>
      <c r="P86" s="96"/>
      <c r="Q86" s="112"/>
      <c r="R86" s="113"/>
      <c r="S86" s="114"/>
      <c r="T86" s="114"/>
      <c r="U86" s="114"/>
      <c r="V86" s="114"/>
      <c r="W86" s="119"/>
      <c r="X86" s="120"/>
      <c r="Y86" s="121"/>
      <c r="Z86" s="125"/>
      <c r="AA86" s="126"/>
      <c r="AB86" s="114"/>
      <c r="AC86" s="114"/>
      <c r="AD86" s="114"/>
      <c r="AE86" s="127"/>
      <c r="AF86" s="94"/>
      <c r="AG86" s="95"/>
      <c r="AH86" s="95"/>
      <c r="AI86" s="96"/>
      <c r="AJ86" s="119"/>
      <c r="AK86" s="121"/>
      <c r="AL86" s="128"/>
      <c r="AM86" s="129"/>
      <c r="AN86" s="132"/>
      <c r="AO86" s="133"/>
      <c r="AP86" s="94"/>
      <c r="AQ86" s="95"/>
      <c r="AR86" s="96"/>
      <c r="AS86" s="94"/>
      <c r="AT86" s="95"/>
      <c r="AU86" s="95"/>
      <c r="AV86" s="95"/>
      <c r="AW86" s="95"/>
      <c r="AX86" s="95"/>
      <c r="AY86" s="95"/>
      <c r="AZ86" s="95"/>
      <c r="BA86" s="96"/>
    </row>
    <row r="87" spans="2:91" s="21" customFormat="1" ht="13.5" customHeight="1" x14ac:dyDescent="0.15">
      <c r="B87" s="94"/>
      <c r="C87" s="95"/>
      <c r="D87" s="95"/>
      <c r="E87" s="95"/>
      <c r="F87" s="95"/>
      <c r="G87" s="95"/>
      <c r="H87" s="96"/>
      <c r="I87" s="94"/>
      <c r="J87" s="95"/>
      <c r="K87" s="95"/>
      <c r="L87" s="96"/>
      <c r="M87" s="94"/>
      <c r="N87" s="95"/>
      <c r="O87" s="95"/>
      <c r="P87" s="96"/>
      <c r="Q87" s="112"/>
      <c r="R87" s="113"/>
      <c r="S87" s="114"/>
      <c r="T87" s="114"/>
      <c r="U87" s="114"/>
      <c r="V87" s="114"/>
      <c r="W87" s="119"/>
      <c r="X87" s="120"/>
      <c r="Y87" s="121"/>
      <c r="Z87" s="125"/>
      <c r="AA87" s="126"/>
      <c r="AB87" s="114"/>
      <c r="AC87" s="114"/>
      <c r="AD87" s="114"/>
      <c r="AE87" s="127"/>
      <c r="AF87" s="94"/>
      <c r="AG87" s="95"/>
      <c r="AH87" s="95"/>
      <c r="AI87" s="96"/>
      <c r="AJ87" s="119"/>
      <c r="AK87" s="121"/>
      <c r="AL87" s="128"/>
      <c r="AM87" s="129"/>
      <c r="AN87" s="132"/>
      <c r="AO87" s="133"/>
      <c r="AP87" s="94"/>
      <c r="AQ87" s="95"/>
      <c r="AR87" s="96"/>
      <c r="AS87" s="94"/>
      <c r="AT87" s="95"/>
      <c r="AU87" s="95"/>
      <c r="AV87" s="95"/>
      <c r="AW87" s="95"/>
      <c r="AX87" s="95"/>
      <c r="AY87" s="95"/>
      <c r="AZ87" s="95"/>
      <c r="BA87" s="96"/>
    </row>
    <row r="88" spans="2:91" s="21" customFormat="1" ht="13.5" customHeight="1" x14ac:dyDescent="0.15">
      <c r="B88" s="97"/>
      <c r="C88" s="98"/>
      <c r="D88" s="98"/>
      <c r="E88" s="98"/>
      <c r="F88" s="98"/>
      <c r="G88" s="98"/>
      <c r="H88" s="99"/>
      <c r="I88" s="97"/>
      <c r="J88" s="98"/>
      <c r="K88" s="98"/>
      <c r="L88" s="99"/>
      <c r="M88" s="97"/>
      <c r="N88" s="98"/>
      <c r="O88" s="98"/>
      <c r="P88" s="99"/>
      <c r="Q88" s="103"/>
      <c r="R88" s="104"/>
      <c r="S88" s="114"/>
      <c r="T88" s="114"/>
      <c r="U88" s="114"/>
      <c r="V88" s="114"/>
      <c r="W88" s="122"/>
      <c r="X88" s="123"/>
      <c r="Y88" s="124"/>
      <c r="Z88" s="125"/>
      <c r="AA88" s="126"/>
      <c r="AB88" s="114"/>
      <c r="AC88" s="114"/>
      <c r="AD88" s="114"/>
      <c r="AE88" s="127"/>
      <c r="AF88" s="97"/>
      <c r="AG88" s="98"/>
      <c r="AH88" s="98"/>
      <c r="AI88" s="99"/>
      <c r="AJ88" s="122"/>
      <c r="AK88" s="124"/>
      <c r="AL88" s="130"/>
      <c r="AM88" s="131"/>
      <c r="AN88" s="134"/>
      <c r="AO88" s="135"/>
      <c r="AP88" s="97"/>
      <c r="AQ88" s="98"/>
      <c r="AR88" s="99"/>
      <c r="AS88" s="97"/>
      <c r="AT88" s="98"/>
      <c r="AU88" s="98"/>
      <c r="AV88" s="98"/>
      <c r="AW88" s="98"/>
      <c r="AX88" s="98"/>
      <c r="AY88" s="98"/>
      <c r="AZ88" s="98"/>
      <c r="BA88" s="99"/>
      <c r="BC88" s="21" t="s">
        <v>64</v>
      </c>
    </row>
    <row r="89" spans="2:91" s="21" customFormat="1" ht="18" customHeight="1" x14ac:dyDescent="0.15">
      <c r="B89" s="106" t="s">
        <v>44</v>
      </c>
      <c r="C89" s="107"/>
      <c r="D89" s="107"/>
      <c r="E89" s="107"/>
      <c r="F89" s="107"/>
      <c r="G89" s="107"/>
      <c r="H89" s="108"/>
      <c r="I89" s="79">
        <f>SUM(I91:L94)</f>
        <v>136079000</v>
      </c>
      <c r="J89" s="80"/>
      <c r="K89" s="80"/>
      <c r="L89" s="89"/>
      <c r="M89" s="79">
        <f>SUM(M91:P94)</f>
        <v>-12603000</v>
      </c>
      <c r="N89" s="80"/>
      <c r="O89" s="80"/>
      <c r="P89" s="89"/>
      <c r="Q89" s="79">
        <f>SUM(Q91:R94)</f>
        <v>0</v>
      </c>
      <c r="R89" s="80"/>
      <c r="S89" s="72">
        <f>SUM(S91:V94)</f>
        <v>123476000</v>
      </c>
      <c r="T89" s="72"/>
      <c r="U89" s="72"/>
      <c r="V89" s="72"/>
      <c r="W89" s="79">
        <f>SUM(W91:Y94)</f>
        <v>30186700</v>
      </c>
      <c r="X89" s="80"/>
      <c r="Y89" s="89"/>
      <c r="Z89" s="79">
        <f>SUM(Z91:AA94)</f>
        <v>0</v>
      </c>
      <c r="AA89" s="80"/>
      <c r="AB89" s="72">
        <f>SUM(AB91:AE94)</f>
        <v>153662700</v>
      </c>
      <c r="AC89" s="72"/>
      <c r="AD89" s="72"/>
      <c r="AE89" s="72"/>
      <c r="AF89" s="79">
        <f>SUM(AF91:AI94)</f>
        <v>152966371</v>
      </c>
      <c r="AG89" s="80"/>
      <c r="AH89" s="80"/>
      <c r="AI89" s="80"/>
      <c r="AJ89" s="79">
        <f>SUM(AJ91:AK94)</f>
        <v>0</v>
      </c>
      <c r="AK89" s="89"/>
      <c r="AL89" s="54">
        <f>SUM(AL91:AM94)</f>
        <v>0</v>
      </c>
      <c r="AM89" s="70"/>
      <c r="AN89" s="72">
        <f>SUM(AN91:AO94)</f>
        <v>0</v>
      </c>
      <c r="AO89" s="72"/>
      <c r="AP89" s="79">
        <f>SUM(AP91:AR94)</f>
        <v>696329</v>
      </c>
      <c r="AQ89" s="80"/>
      <c r="AR89" s="80"/>
      <c r="AS89" s="58"/>
      <c r="AT89" s="59"/>
      <c r="AU89" s="59"/>
      <c r="AV89" s="59"/>
      <c r="AW89" s="59"/>
      <c r="AX89" s="59"/>
      <c r="AY89" s="59"/>
      <c r="AZ89" s="59"/>
      <c r="BA89" s="60"/>
    </row>
    <row r="90" spans="2:91" s="21" customFormat="1" ht="18" customHeight="1" x14ac:dyDescent="0.15">
      <c r="B90" s="109"/>
      <c r="C90" s="110"/>
      <c r="D90" s="110"/>
      <c r="E90" s="110"/>
      <c r="F90" s="110"/>
      <c r="G90" s="110"/>
      <c r="H90" s="111"/>
      <c r="I90" s="81"/>
      <c r="J90" s="82"/>
      <c r="K90" s="82"/>
      <c r="L90" s="90"/>
      <c r="M90" s="81"/>
      <c r="N90" s="82"/>
      <c r="O90" s="82"/>
      <c r="P90" s="90"/>
      <c r="Q90" s="81"/>
      <c r="R90" s="82"/>
      <c r="S90" s="72"/>
      <c r="T90" s="72"/>
      <c r="U90" s="72"/>
      <c r="V90" s="72"/>
      <c r="W90" s="81"/>
      <c r="X90" s="82"/>
      <c r="Y90" s="90"/>
      <c r="Z90" s="81"/>
      <c r="AA90" s="82"/>
      <c r="AB90" s="72"/>
      <c r="AC90" s="72"/>
      <c r="AD90" s="72"/>
      <c r="AE90" s="72"/>
      <c r="AF90" s="81"/>
      <c r="AG90" s="82"/>
      <c r="AH90" s="82"/>
      <c r="AI90" s="82"/>
      <c r="AJ90" s="81"/>
      <c r="AK90" s="90"/>
      <c r="AL90" s="56"/>
      <c r="AM90" s="71"/>
      <c r="AN90" s="72"/>
      <c r="AO90" s="72"/>
      <c r="AP90" s="81"/>
      <c r="AQ90" s="82"/>
      <c r="AR90" s="82"/>
      <c r="AS90" s="61"/>
      <c r="AT90" s="62"/>
      <c r="AU90" s="62"/>
      <c r="AV90" s="62"/>
      <c r="AW90" s="62"/>
      <c r="AX90" s="62"/>
      <c r="AY90" s="62"/>
      <c r="AZ90" s="62"/>
      <c r="BA90" s="63"/>
      <c r="BC90" s="21" t="s">
        <v>76</v>
      </c>
      <c r="BG90" s="21" t="s">
        <v>77</v>
      </c>
    </row>
    <row r="91" spans="2:91" s="21" customFormat="1" ht="18" customHeight="1" x14ac:dyDescent="0.15">
      <c r="B91" s="106" t="s">
        <v>45</v>
      </c>
      <c r="C91" s="107"/>
      <c r="D91" s="107"/>
      <c r="E91" s="107"/>
      <c r="F91" s="107"/>
      <c r="G91" s="107"/>
      <c r="H91" s="108"/>
      <c r="I91" s="54">
        <v>101773000</v>
      </c>
      <c r="J91" s="55"/>
      <c r="K91" s="55"/>
      <c r="L91" s="70"/>
      <c r="M91" s="54">
        <v>-12603000</v>
      </c>
      <c r="N91" s="55"/>
      <c r="O91" s="55"/>
      <c r="P91" s="70"/>
      <c r="Q91" s="79">
        <f>SUM(Q95:R96)</f>
        <v>0</v>
      </c>
      <c r="R91" s="80"/>
      <c r="S91" s="68">
        <f>SUM(I91:R92)</f>
        <v>89170000</v>
      </c>
      <c r="T91" s="68"/>
      <c r="U91" s="68"/>
      <c r="V91" s="68"/>
      <c r="W91" s="68">
        <f>BC92+BC93</f>
        <v>30186700</v>
      </c>
      <c r="X91" s="68"/>
      <c r="Y91" s="68"/>
      <c r="Z91" s="54">
        <v>0</v>
      </c>
      <c r="AA91" s="55"/>
      <c r="AB91" s="68">
        <f>SUM(S91:AA92)</f>
        <v>119356700</v>
      </c>
      <c r="AC91" s="68"/>
      <c r="AD91" s="68"/>
      <c r="AE91" s="68"/>
      <c r="AF91" s="54">
        <f>BC94</f>
        <v>118660756</v>
      </c>
      <c r="AG91" s="55"/>
      <c r="AH91" s="55"/>
      <c r="AI91" s="70"/>
      <c r="AJ91" s="68">
        <v>0</v>
      </c>
      <c r="AK91" s="68"/>
      <c r="AL91" s="54">
        <v>0</v>
      </c>
      <c r="AM91" s="70"/>
      <c r="AN91" s="72">
        <f>SUM(AJ91:AM92)</f>
        <v>0</v>
      </c>
      <c r="AO91" s="72"/>
      <c r="AP91" s="54">
        <f>AB91-AF91-AN91</f>
        <v>695944</v>
      </c>
      <c r="AQ91" s="55"/>
      <c r="AR91" s="55"/>
      <c r="AS91" s="83" t="s">
        <v>62</v>
      </c>
      <c r="AT91" s="84"/>
      <c r="AU91" s="84"/>
      <c r="AV91" s="84"/>
      <c r="AW91" s="84"/>
      <c r="AX91" s="84"/>
      <c r="AY91" s="84"/>
      <c r="AZ91" s="84"/>
      <c r="BA91" s="85"/>
      <c r="BC91" s="21">
        <v>88474056</v>
      </c>
      <c r="BG91" s="21">
        <v>8043096</v>
      </c>
    </row>
    <row r="92" spans="2:91" s="21" customFormat="1" ht="18" customHeight="1" x14ac:dyDescent="0.15">
      <c r="B92" s="109"/>
      <c r="C92" s="110"/>
      <c r="D92" s="110"/>
      <c r="E92" s="110"/>
      <c r="F92" s="110"/>
      <c r="G92" s="110"/>
      <c r="H92" s="111"/>
      <c r="I92" s="56"/>
      <c r="J92" s="57"/>
      <c r="K92" s="57"/>
      <c r="L92" s="71"/>
      <c r="M92" s="56"/>
      <c r="N92" s="57"/>
      <c r="O92" s="57"/>
      <c r="P92" s="71"/>
      <c r="Q92" s="81"/>
      <c r="R92" s="82"/>
      <c r="S92" s="68"/>
      <c r="T92" s="68"/>
      <c r="U92" s="68"/>
      <c r="V92" s="68"/>
      <c r="W92" s="68"/>
      <c r="X92" s="68"/>
      <c r="Y92" s="68"/>
      <c r="Z92" s="56"/>
      <c r="AA92" s="57"/>
      <c r="AB92" s="68"/>
      <c r="AC92" s="68"/>
      <c r="AD92" s="68"/>
      <c r="AE92" s="68"/>
      <c r="AF92" s="56"/>
      <c r="AG92" s="57"/>
      <c r="AH92" s="57"/>
      <c r="AI92" s="71"/>
      <c r="AJ92" s="68"/>
      <c r="AK92" s="68"/>
      <c r="AL92" s="56"/>
      <c r="AM92" s="71"/>
      <c r="AN92" s="72"/>
      <c r="AO92" s="72"/>
      <c r="AP92" s="56"/>
      <c r="AQ92" s="57"/>
      <c r="AR92" s="57"/>
      <c r="AS92" s="86" t="s">
        <v>78</v>
      </c>
      <c r="AT92" s="87"/>
      <c r="AU92" s="87"/>
      <c r="AV92" s="87"/>
      <c r="AW92" s="87"/>
      <c r="AX92" s="87"/>
      <c r="AY92" s="87"/>
      <c r="AZ92" s="87"/>
      <c r="BA92" s="88"/>
      <c r="BC92" s="21">
        <v>22289700</v>
      </c>
      <c r="BG92" s="21">
        <f>1250000+776336</f>
        <v>2026336</v>
      </c>
    </row>
    <row r="93" spans="2:91" s="21" customFormat="1" ht="18" customHeight="1" x14ac:dyDescent="0.15">
      <c r="B93" s="73" t="s">
        <v>46</v>
      </c>
      <c r="C93" s="74"/>
      <c r="D93" s="74"/>
      <c r="E93" s="74"/>
      <c r="F93" s="74"/>
      <c r="G93" s="74"/>
      <c r="H93" s="75"/>
      <c r="I93" s="54">
        <v>34306000</v>
      </c>
      <c r="J93" s="55"/>
      <c r="K93" s="55"/>
      <c r="L93" s="70"/>
      <c r="M93" s="54">
        <v>0</v>
      </c>
      <c r="N93" s="55"/>
      <c r="O93" s="55"/>
      <c r="P93" s="70"/>
      <c r="Q93" s="79">
        <f>SUM(Q95:R95)</f>
        <v>0</v>
      </c>
      <c r="R93" s="80"/>
      <c r="S93" s="54">
        <f>SUM(I93:R94)</f>
        <v>34306000</v>
      </c>
      <c r="T93" s="55"/>
      <c r="U93" s="55"/>
      <c r="V93" s="70"/>
      <c r="W93" s="68">
        <v>0</v>
      </c>
      <c r="X93" s="68"/>
      <c r="Y93" s="68"/>
      <c r="Z93" s="68">
        <v>0</v>
      </c>
      <c r="AA93" s="69"/>
      <c r="AB93" s="68">
        <f>SUM(S93:AA94)</f>
        <v>34306000</v>
      </c>
      <c r="AC93" s="68"/>
      <c r="AD93" s="68"/>
      <c r="AE93" s="68"/>
      <c r="AF93" s="54">
        <v>34305615</v>
      </c>
      <c r="AG93" s="55"/>
      <c r="AH93" s="55"/>
      <c r="AI93" s="70"/>
      <c r="AJ93" s="68">
        <v>0</v>
      </c>
      <c r="AK93" s="68"/>
      <c r="AL93" s="54">
        <v>0</v>
      </c>
      <c r="AM93" s="70"/>
      <c r="AN93" s="72">
        <f>SUM(AJ93:AM94)</f>
        <v>0</v>
      </c>
      <c r="AO93" s="72"/>
      <c r="AP93" s="54">
        <f>AB93-AF93-AN93</f>
        <v>385</v>
      </c>
      <c r="AQ93" s="55"/>
      <c r="AR93" s="55"/>
      <c r="AS93" s="58"/>
      <c r="AT93" s="59"/>
      <c r="AU93" s="59"/>
      <c r="AV93" s="59"/>
      <c r="AW93" s="59"/>
      <c r="AX93" s="59"/>
      <c r="AY93" s="59"/>
      <c r="AZ93" s="59"/>
      <c r="BA93" s="60"/>
      <c r="BC93" s="21">
        <v>7897000</v>
      </c>
      <c r="BG93" s="21">
        <v>717909</v>
      </c>
    </row>
    <row r="94" spans="2:91" s="21" customFormat="1" ht="18" customHeight="1" x14ac:dyDescent="0.15">
      <c r="B94" s="76"/>
      <c r="C94" s="77"/>
      <c r="D94" s="77"/>
      <c r="E94" s="77"/>
      <c r="F94" s="77"/>
      <c r="G94" s="77"/>
      <c r="H94" s="78"/>
      <c r="I94" s="56"/>
      <c r="J94" s="57"/>
      <c r="K94" s="57"/>
      <c r="L94" s="71"/>
      <c r="M94" s="56"/>
      <c r="N94" s="57"/>
      <c r="O94" s="57"/>
      <c r="P94" s="71"/>
      <c r="Q94" s="81"/>
      <c r="R94" s="82"/>
      <c r="S94" s="56"/>
      <c r="T94" s="57"/>
      <c r="U94" s="57"/>
      <c r="V94" s="71"/>
      <c r="W94" s="68"/>
      <c r="X94" s="68"/>
      <c r="Y94" s="68"/>
      <c r="Z94" s="68"/>
      <c r="AA94" s="69"/>
      <c r="AB94" s="68"/>
      <c r="AC94" s="68"/>
      <c r="AD94" s="68"/>
      <c r="AE94" s="68"/>
      <c r="AF94" s="56"/>
      <c r="AG94" s="57"/>
      <c r="AH94" s="57"/>
      <c r="AI94" s="71"/>
      <c r="AJ94" s="68"/>
      <c r="AK94" s="68"/>
      <c r="AL94" s="56"/>
      <c r="AM94" s="71"/>
      <c r="AN94" s="72"/>
      <c r="AO94" s="72"/>
      <c r="AP94" s="56"/>
      <c r="AQ94" s="57"/>
      <c r="AR94" s="57"/>
      <c r="AS94" s="61"/>
      <c r="AT94" s="62"/>
      <c r="AU94" s="62"/>
      <c r="AV94" s="62"/>
      <c r="AW94" s="62"/>
      <c r="AX94" s="62"/>
      <c r="AY94" s="62"/>
      <c r="AZ94" s="62"/>
      <c r="BA94" s="63"/>
      <c r="BC94" s="21">
        <f>SUM(BC91:BC93)</f>
        <v>118660756</v>
      </c>
      <c r="BG94" s="21">
        <f>SUM(BG91:BG93)</f>
        <v>10787341</v>
      </c>
    </row>
    <row r="95" spans="2:91" ht="15" customHeight="1" x14ac:dyDescent="0.15">
      <c r="B95" s="64" t="s">
        <v>79</v>
      </c>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row>
    <row r="96" spans="2:91" ht="15" customHeight="1" x14ac:dyDescent="0.1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row>
    <row r="97" spans="2:55" ht="15" customHeight="1" x14ac:dyDescent="0.1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C97" s="19" t="s">
        <v>66</v>
      </c>
    </row>
    <row r="98" spans="2:55"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C98" s="19">
        <f>AE72-AF89</f>
        <v>-92294971</v>
      </c>
    </row>
    <row r="99" spans="2:55" s="18" customFormat="1" ht="13.5" customHeight="1" x14ac:dyDescent="0.15"/>
    <row r="100" spans="2:55" s="18" customFormat="1" ht="13.5" customHeight="1" x14ac:dyDescent="0.15"/>
    <row r="101" spans="2:55" s="18" customFormat="1" ht="13.5" customHeight="1" x14ac:dyDescent="0.15"/>
    <row r="102" spans="2:55" s="18" customFormat="1" ht="13.5" customHeight="1" x14ac:dyDescent="0.15"/>
    <row r="103" spans="2:55" s="18" customFormat="1" ht="13.5" customHeight="1" x14ac:dyDescent="0.15">
      <c r="AF103" s="67"/>
      <c r="AG103" s="67"/>
      <c r="AH103" s="67"/>
      <c r="AI103" s="67"/>
      <c r="AJ103" s="67"/>
    </row>
    <row r="104" spans="2:55" ht="18" customHeight="1" x14ac:dyDescent="0.15">
      <c r="D104" s="67"/>
      <c r="E104" s="67"/>
      <c r="F104" s="67"/>
      <c r="AF104" s="52"/>
      <c r="AG104" s="52"/>
      <c r="AH104" s="52"/>
      <c r="AI104" s="52"/>
      <c r="AJ104" s="52"/>
    </row>
    <row r="105" spans="2:55" ht="18" customHeight="1" x14ac:dyDescent="0.15">
      <c r="AF105" s="52"/>
      <c r="AG105" s="52"/>
      <c r="AH105" s="52"/>
      <c r="AI105" s="52"/>
      <c r="AJ105" s="52"/>
    </row>
    <row r="106" spans="2:55" ht="18" customHeight="1" x14ac:dyDescent="0.15"/>
    <row r="107" spans="2:55" ht="18" customHeight="1" x14ac:dyDescent="0.15"/>
    <row r="108" spans="2:55" ht="18" customHeight="1" x14ac:dyDescent="0.15"/>
    <row r="109" spans="2:55" ht="18" customHeight="1" x14ac:dyDescent="0.15"/>
    <row r="110" spans="2:55" ht="18" customHeight="1" x14ac:dyDescent="0.15"/>
    <row r="111" spans="2:55" ht="18" customHeight="1" x14ac:dyDescent="0.15"/>
    <row r="112" spans="2:55"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9">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F105:AJ105"/>
    <mergeCell ref="AP93:AR94"/>
    <mergeCell ref="AS93:BA94"/>
    <mergeCell ref="B95:BA97"/>
    <mergeCell ref="D104:F104"/>
    <mergeCell ref="AF104:AJ104"/>
    <mergeCell ref="AF103:AJ103"/>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disablePrompts="1" count="1">
        <x14:dataValidation imeMode="on" allowBlank="1" showInputMessage="1" showErrorMessage="1" xr:uid="{D2218595-0B63-459C-9D8B-0AB70FE1AF65}">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E07B-1AC4-44A2-97EF-5792E07CA07A}">
  <sheetPr>
    <tabColor rgb="FFFF0000"/>
  </sheetPr>
  <dimension ref="B1:CM904"/>
  <sheetViews>
    <sheetView showGridLines="0" showOutlineSymbols="0" view="pageBreakPreview" topLeftCell="A75" zoomScale="80" zoomScaleNormal="89" zoomScaleSheetLayoutView="80" workbookViewId="0">
      <selection activeCell="BC96" sqref="BC96"/>
    </sheetView>
  </sheetViews>
  <sheetFormatPr defaultRowHeight="13.5" x14ac:dyDescent="0.15"/>
  <cols>
    <col min="1" max="1" width="2.625" style="19" customWidth="1"/>
    <col min="2" max="15" width="3.125" style="19" customWidth="1"/>
    <col min="16" max="16" width="4.25" style="19" customWidth="1"/>
    <col min="17" max="37" width="3.125" style="19" customWidth="1"/>
    <col min="38" max="38" width="4.625" style="19" customWidth="1"/>
    <col min="39" max="42" width="3.125" style="19" customWidth="1"/>
    <col min="43" max="43" width="3.5" style="19" customWidth="1"/>
    <col min="44" max="53" width="3.125" style="19" customWidth="1"/>
    <col min="54" max="54" width="5.625" style="19" customWidth="1"/>
    <col min="55" max="55" width="13" style="19" customWidth="1"/>
    <col min="56" max="100" width="2.625" style="19" customWidth="1"/>
    <col min="101" max="260" width="9" style="19"/>
    <col min="261" max="275" width="3.125" style="19" customWidth="1"/>
    <col min="276" max="276" width="5.5" style="19" customWidth="1"/>
    <col min="277" max="277" width="5.625" style="19" customWidth="1"/>
    <col min="278" max="293" width="3.125" style="19" customWidth="1"/>
    <col min="294" max="294" width="5.375" style="19" customWidth="1"/>
    <col min="295" max="296" width="3.125" style="19" customWidth="1"/>
    <col min="297" max="297" width="4.625" style="19" customWidth="1"/>
    <col min="298" max="298" width="3.5" style="19" customWidth="1"/>
    <col min="299" max="309" width="3.125" style="19" customWidth="1"/>
    <col min="310" max="311" width="5.625" style="19" customWidth="1"/>
    <col min="312" max="356" width="2.625" style="19" customWidth="1"/>
    <col min="357" max="516" width="9" style="19"/>
    <col min="517" max="531" width="3.125" style="19" customWidth="1"/>
    <col min="532" max="532" width="5.5" style="19" customWidth="1"/>
    <col min="533" max="533" width="5.625" style="19" customWidth="1"/>
    <col min="534" max="549" width="3.125" style="19" customWidth="1"/>
    <col min="550" max="550" width="5.375" style="19" customWidth="1"/>
    <col min="551" max="552" width="3.125" style="19" customWidth="1"/>
    <col min="553" max="553" width="4.625" style="19" customWidth="1"/>
    <col min="554" max="554" width="3.5" style="19" customWidth="1"/>
    <col min="555" max="565" width="3.125" style="19" customWidth="1"/>
    <col min="566" max="567" width="5.625" style="19" customWidth="1"/>
    <col min="568" max="612" width="2.625" style="19" customWidth="1"/>
    <col min="613" max="772" width="9" style="19"/>
    <col min="773" max="787" width="3.125" style="19" customWidth="1"/>
    <col min="788" max="788" width="5.5" style="19" customWidth="1"/>
    <col min="789" max="789" width="5.625" style="19" customWidth="1"/>
    <col min="790" max="805" width="3.125" style="19" customWidth="1"/>
    <col min="806" max="806" width="5.375" style="19" customWidth="1"/>
    <col min="807" max="808" width="3.125" style="19" customWidth="1"/>
    <col min="809" max="809" width="4.625" style="19" customWidth="1"/>
    <col min="810" max="810" width="3.5" style="19" customWidth="1"/>
    <col min="811" max="821" width="3.125" style="19" customWidth="1"/>
    <col min="822" max="823" width="5.625" style="19" customWidth="1"/>
    <col min="824" max="868" width="2.625" style="19" customWidth="1"/>
    <col min="869" max="1028" width="9" style="19"/>
    <col min="1029" max="1043" width="3.125" style="19" customWidth="1"/>
    <col min="1044" max="1044" width="5.5" style="19" customWidth="1"/>
    <col min="1045" max="1045" width="5.625" style="19" customWidth="1"/>
    <col min="1046" max="1061" width="3.125" style="19" customWidth="1"/>
    <col min="1062" max="1062" width="5.375" style="19" customWidth="1"/>
    <col min="1063" max="1064" width="3.125" style="19" customWidth="1"/>
    <col min="1065" max="1065" width="4.625" style="19" customWidth="1"/>
    <col min="1066" max="1066" width="3.5" style="19" customWidth="1"/>
    <col min="1067" max="1077" width="3.125" style="19" customWidth="1"/>
    <col min="1078" max="1079" width="5.625" style="19" customWidth="1"/>
    <col min="1080" max="1124" width="2.625" style="19" customWidth="1"/>
    <col min="1125" max="1284" width="9" style="19"/>
    <col min="1285" max="1299" width="3.125" style="19" customWidth="1"/>
    <col min="1300" max="1300" width="5.5" style="19" customWidth="1"/>
    <col min="1301" max="1301" width="5.625" style="19" customWidth="1"/>
    <col min="1302" max="1317" width="3.125" style="19" customWidth="1"/>
    <col min="1318" max="1318" width="5.375" style="19" customWidth="1"/>
    <col min="1319" max="1320" width="3.125" style="19" customWidth="1"/>
    <col min="1321" max="1321" width="4.625" style="19" customWidth="1"/>
    <col min="1322" max="1322" width="3.5" style="19" customWidth="1"/>
    <col min="1323" max="1333" width="3.125" style="19" customWidth="1"/>
    <col min="1334" max="1335" width="5.625" style="19" customWidth="1"/>
    <col min="1336" max="1380" width="2.625" style="19" customWidth="1"/>
    <col min="1381" max="1540" width="9" style="19"/>
    <col min="1541" max="1555" width="3.125" style="19" customWidth="1"/>
    <col min="1556" max="1556" width="5.5" style="19" customWidth="1"/>
    <col min="1557" max="1557" width="5.625" style="19" customWidth="1"/>
    <col min="1558" max="1573" width="3.125" style="19" customWidth="1"/>
    <col min="1574" max="1574" width="5.375" style="19" customWidth="1"/>
    <col min="1575" max="1576" width="3.125" style="19" customWidth="1"/>
    <col min="1577" max="1577" width="4.625" style="19" customWidth="1"/>
    <col min="1578" max="1578" width="3.5" style="19" customWidth="1"/>
    <col min="1579" max="1589" width="3.125" style="19" customWidth="1"/>
    <col min="1590" max="1591" width="5.625" style="19" customWidth="1"/>
    <col min="1592" max="1636" width="2.625" style="19" customWidth="1"/>
    <col min="1637" max="1796" width="9" style="19"/>
    <col min="1797" max="1811" width="3.125" style="19" customWidth="1"/>
    <col min="1812" max="1812" width="5.5" style="19" customWidth="1"/>
    <col min="1813" max="1813" width="5.625" style="19" customWidth="1"/>
    <col min="1814" max="1829" width="3.125" style="19" customWidth="1"/>
    <col min="1830" max="1830" width="5.375" style="19" customWidth="1"/>
    <col min="1831" max="1832" width="3.125" style="19" customWidth="1"/>
    <col min="1833" max="1833" width="4.625" style="19" customWidth="1"/>
    <col min="1834" max="1834" width="3.5" style="19" customWidth="1"/>
    <col min="1835" max="1845" width="3.125" style="19" customWidth="1"/>
    <col min="1846" max="1847" width="5.625" style="19" customWidth="1"/>
    <col min="1848" max="1892" width="2.625" style="19" customWidth="1"/>
    <col min="1893" max="2052" width="9" style="19"/>
    <col min="2053" max="2067" width="3.125" style="19" customWidth="1"/>
    <col min="2068" max="2068" width="5.5" style="19" customWidth="1"/>
    <col min="2069" max="2069" width="5.625" style="19" customWidth="1"/>
    <col min="2070" max="2085" width="3.125" style="19" customWidth="1"/>
    <col min="2086" max="2086" width="5.375" style="19" customWidth="1"/>
    <col min="2087" max="2088" width="3.125" style="19" customWidth="1"/>
    <col min="2089" max="2089" width="4.625" style="19" customWidth="1"/>
    <col min="2090" max="2090" width="3.5" style="19" customWidth="1"/>
    <col min="2091" max="2101" width="3.125" style="19" customWidth="1"/>
    <col min="2102" max="2103" width="5.625" style="19" customWidth="1"/>
    <col min="2104" max="2148" width="2.625" style="19" customWidth="1"/>
    <col min="2149" max="2308" width="9" style="19"/>
    <col min="2309" max="2323" width="3.125" style="19" customWidth="1"/>
    <col min="2324" max="2324" width="5.5" style="19" customWidth="1"/>
    <col min="2325" max="2325" width="5.625" style="19" customWidth="1"/>
    <col min="2326" max="2341" width="3.125" style="19" customWidth="1"/>
    <col min="2342" max="2342" width="5.375" style="19" customWidth="1"/>
    <col min="2343" max="2344" width="3.125" style="19" customWidth="1"/>
    <col min="2345" max="2345" width="4.625" style="19" customWidth="1"/>
    <col min="2346" max="2346" width="3.5" style="19" customWidth="1"/>
    <col min="2347" max="2357" width="3.125" style="19" customWidth="1"/>
    <col min="2358" max="2359" width="5.625" style="19" customWidth="1"/>
    <col min="2360" max="2404" width="2.625" style="19" customWidth="1"/>
    <col min="2405" max="2564" width="9" style="19"/>
    <col min="2565" max="2579" width="3.125" style="19" customWidth="1"/>
    <col min="2580" max="2580" width="5.5" style="19" customWidth="1"/>
    <col min="2581" max="2581" width="5.625" style="19" customWidth="1"/>
    <col min="2582" max="2597" width="3.125" style="19" customWidth="1"/>
    <col min="2598" max="2598" width="5.375" style="19" customWidth="1"/>
    <col min="2599" max="2600" width="3.125" style="19" customWidth="1"/>
    <col min="2601" max="2601" width="4.625" style="19" customWidth="1"/>
    <col min="2602" max="2602" width="3.5" style="19" customWidth="1"/>
    <col min="2603" max="2613" width="3.125" style="19" customWidth="1"/>
    <col min="2614" max="2615" width="5.625" style="19" customWidth="1"/>
    <col min="2616" max="2660" width="2.625" style="19" customWidth="1"/>
    <col min="2661" max="2820" width="9" style="19"/>
    <col min="2821" max="2835" width="3.125" style="19" customWidth="1"/>
    <col min="2836" max="2836" width="5.5" style="19" customWidth="1"/>
    <col min="2837" max="2837" width="5.625" style="19" customWidth="1"/>
    <col min="2838" max="2853" width="3.125" style="19" customWidth="1"/>
    <col min="2854" max="2854" width="5.375" style="19" customWidth="1"/>
    <col min="2855" max="2856" width="3.125" style="19" customWidth="1"/>
    <col min="2857" max="2857" width="4.625" style="19" customWidth="1"/>
    <col min="2858" max="2858" width="3.5" style="19" customWidth="1"/>
    <col min="2859" max="2869" width="3.125" style="19" customWidth="1"/>
    <col min="2870" max="2871" width="5.625" style="19" customWidth="1"/>
    <col min="2872" max="2916" width="2.625" style="19" customWidth="1"/>
    <col min="2917" max="3076" width="9" style="19"/>
    <col min="3077" max="3091" width="3.125" style="19" customWidth="1"/>
    <col min="3092" max="3092" width="5.5" style="19" customWidth="1"/>
    <col min="3093" max="3093" width="5.625" style="19" customWidth="1"/>
    <col min="3094" max="3109" width="3.125" style="19" customWidth="1"/>
    <col min="3110" max="3110" width="5.375" style="19" customWidth="1"/>
    <col min="3111" max="3112" width="3.125" style="19" customWidth="1"/>
    <col min="3113" max="3113" width="4.625" style="19" customWidth="1"/>
    <col min="3114" max="3114" width="3.5" style="19" customWidth="1"/>
    <col min="3115" max="3125" width="3.125" style="19" customWidth="1"/>
    <col min="3126" max="3127" width="5.625" style="19" customWidth="1"/>
    <col min="3128" max="3172" width="2.625" style="19" customWidth="1"/>
    <col min="3173" max="3332" width="9" style="19"/>
    <col min="3333" max="3347" width="3.125" style="19" customWidth="1"/>
    <col min="3348" max="3348" width="5.5" style="19" customWidth="1"/>
    <col min="3349" max="3349" width="5.625" style="19" customWidth="1"/>
    <col min="3350" max="3365" width="3.125" style="19" customWidth="1"/>
    <col min="3366" max="3366" width="5.375" style="19" customWidth="1"/>
    <col min="3367" max="3368" width="3.125" style="19" customWidth="1"/>
    <col min="3369" max="3369" width="4.625" style="19" customWidth="1"/>
    <col min="3370" max="3370" width="3.5" style="19" customWidth="1"/>
    <col min="3371" max="3381" width="3.125" style="19" customWidth="1"/>
    <col min="3382" max="3383" width="5.625" style="19" customWidth="1"/>
    <col min="3384" max="3428" width="2.625" style="19" customWidth="1"/>
    <col min="3429" max="3588" width="9" style="19"/>
    <col min="3589" max="3603" width="3.125" style="19" customWidth="1"/>
    <col min="3604" max="3604" width="5.5" style="19" customWidth="1"/>
    <col min="3605" max="3605" width="5.625" style="19" customWidth="1"/>
    <col min="3606" max="3621" width="3.125" style="19" customWidth="1"/>
    <col min="3622" max="3622" width="5.375" style="19" customWidth="1"/>
    <col min="3623" max="3624" width="3.125" style="19" customWidth="1"/>
    <col min="3625" max="3625" width="4.625" style="19" customWidth="1"/>
    <col min="3626" max="3626" width="3.5" style="19" customWidth="1"/>
    <col min="3627" max="3637" width="3.125" style="19" customWidth="1"/>
    <col min="3638" max="3639" width="5.625" style="19" customWidth="1"/>
    <col min="3640" max="3684" width="2.625" style="19" customWidth="1"/>
    <col min="3685" max="3844" width="9" style="19"/>
    <col min="3845" max="3859" width="3.125" style="19" customWidth="1"/>
    <col min="3860" max="3860" width="5.5" style="19" customWidth="1"/>
    <col min="3861" max="3861" width="5.625" style="19" customWidth="1"/>
    <col min="3862" max="3877" width="3.125" style="19" customWidth="1"/>
    <col min="3878" max="3878" width="5.375" style="19" customWidth="1"/>
    <col min="3879" max="3880" width="3.125" style="19" customWidth="1"/>
    <col min="3881" max="3881" width="4.625" style="19" customWidth="1"/>
    <col min="3882" max="3882" width="3.5" style="19" customWidth="1"/>
    <col min="3883" max="3893" width="3.125" style="19" customWidth="1"/>
    <col min="3894" max="3895" width="5.625" style="19" customWidth="1"/>
    <col min="3896" max="3940" width="2.625" style="19" customWidth="1"/>
    <col min="3941" max="4100" width="9" style="19"/>
    <col min="4101" max="4115" width="3.125" style="19" customWidth="1"/>
    <col min="4116" max="4116" width="5.5" style="19" customWidth="1"/>
    <col min="4117" max="4117" width="5.625" style="19" customWidth="1"/>
    <col min="4118" max="4133" width="3.125" style="19" customWidth="1"/>
    <col min="4134" max="4134" width="5.375" style="19" customWidth="1"/>
    <col min="4135" max="4136" width="3.125" style="19" customWidth="1"/>
    <col min="4137" max="4137" width="4.625" style="19" customWidth="1"/>
    <col min="4138" max="4138" width="3.5" style="19" customWidth="1"/>
    <col min="4139" max="4149" width="3.125" style="19" customWidth="1"/>
    <col min="4150" max="4151" width="5.625" style="19" customWidth="1"/>
    <col min="4152" max="4196" width="2.625" style="19" customWidth="1"/>
    <col min="4197" max="4356" width="9" style="19"/>
    <col min="4357" max="4371" width="3.125" style="19" customWidth="1"/>
    <col min="4372" max="4372" width="5.5" style="19" customWidth="1"/>
    <col min="4373" max="4373" width="5.625" style="19" customWidth="1"/>
    <col min="4374" max="4389" width="3.125" style="19" customWidth="1"/>
    <col min="4390" max="4390" width="5.375" style="19" customWidth="1"/>
    <col min="4391" max="4392" width="3.125" style="19" customWidth="1"/>
    <col min="4393" max="4393" width="4.625" style="19" customWidth="1"/>
    <col min="4394" max="4394" width="3.5" style="19" customWidth="1"/>
    <col min="4395" max="4405" width="3.125" style="19" customWidth="1"/>
    <col min="4406" max="4407" width="5.625" style="19" customWidth="1"/>
    <col min="4408" max="4452" width="2.625" style="19" customWidth="1"/>
    <col min="4453" max="4612" width="9" style="19"/>
    <col min="4613" max="4627" width="3.125" style="19" customWidth="1"/>
    <col min="4628" max="4628" width="5.5" style="19" customWidth="1"/>
    <col min="4629" max="4629" width="5.625" style="19" customWidth="1"/>
    <col min="4630" max="4645" width="3.125" style="19" customWidth="1"/>
    <col min="4646" max="4646" width="5.375" style="19" customWidth="1"/>
    <col min="4647" max="4648" width="3.125" style="19" customWidth="1"/>
    <col min="4649" max="4649" width="4.625" style="19" customWidth="1"/>
    <col min="4650" max="4650" width="3.5" style="19" customWidth="1"/>
    <col min="4651" max="4661" width="3.125" style="19" customWidth="1"/>
    <col min="4662" max="4663" width="5.625" style="19" customWidth="1"/>
    <col min="4664" max="4708" width="2.625" style="19" customWidth="1"/>
    <col min="4709" max="4868" width="9" style="19"/>
    <col min="4869" max="4883" width="3.125" style="19" customWidth="1"/>
    <col min="4884" max="4884" width="5.5" style="19" customWidth="1"/>
    <col min="4885" max="4885" width="5.625" style="19" customWidth="1"/>
    <col min="4886" max="4901" width="3.125" style="19" customWidth="1"/>
    <col min="4902" max="4902" width="5.375" style="19" customWidth="1"/>
    <col min="4903" max="4904" width="3.125" style="19" customWidth="1"/>
    <col min="4905" max="4905" width="4.625" style="19" customWidth="1"/>
    <col min="4906" max="4906" width="3.5" style="19" customWidth="1"/>
    <col min="4907" max="4917" width="3.125" style="19" customWidth="1"/>
    <col min="4918" max="4919" width="5.625" style="19" customWidth="1"/>
    <col min="4920" max="4964" width="2.625" style="19" customWidth="1"/>
    <col min="4965" max="5124" width="9" style="19"/>
    <col min="5125" max="5139" width="3.125" style="19" customWidth="1"/>
    <col min="5140" max="5140" width="5.5" style="19" customWidth="1"/>
    <col min="5141" max="5141" width="5.625" style="19" customWidth="1"/>
    <col min="5142" max="5157" width="3.125" style="19" customWidth="1"/>
    <col min="5158" max="5158" width="5.375" style="19" customWidth="1"/>
    <col min="5159" max="5160" width="3.125" style="19" customWidth="1"/>
    <col min="5161" max="5161" width="4.625" style="19" customWidth="1"/>
    <col min="5162" max="5162" width="3.5" style="19" customWidth="1"/>
    <col min="5163" max="5173" width="3.125" style="19" customWidth="1"/>
    <col min="5174" max="5175" width="5.625" style="19" customWidth="1"/>
    <col min="5176" max="5220" width="2.625" style="19" customWidth="1"/>
    <col min="5221" max="5380" width="9" style="19"/>
    <col min="5381" max="5395" width="3.125" style="19" customWidth="1"/>
    <col min="5396" max="5396" width="5.5" style="19" customWidth="1"/>
    <col min="5397" max="5397" width="5.625" style="19" customWidth="1"/>
    <col min="5398" max="5413" width="3.125" style="19" customWidth="1"/>
    <col min="5414" max="5414" width="5.375" style="19" customWidth="1"/>
    <col min="5415" max="5416" width="3.125" style="19" customWidth="1"/>
    <col min="5417" max="5417" width="4.625" style="19" customWidth="1"/>
    <col min="5418" max="5418" width="3.5" style="19" customWidth="1"/>
    <col min="5419" max="5429" width="3.125" style="19" customWidth="1"/>
    <col min="5430" max="5431" width="5.625" style="19" customWidth="1"/>
    <col min="5432" max="5476" width="2.625" style="19" customWidth="1"/>
    <col min="5477" max="5636" width="9" style="19"/>
    <col min="5637" max="5651" width="3.125" style="19" customWidth="1"/>
    <col min="5652" max="5652" width="5.5" style="19" customWidth="1"/>
    <col min="5653" max="5653" width="5.625" style="19" customWidth="1"/>
    <col min="5654" max="5669" width="3.125" style="19" customWidth="1"/>
    <col min="5670" max="5670" width="5.375" style="19" customWidth="1"/>
    <col min="5671" max="5672" width="3.125" style="19" customWidth="1"/>
    <col min="5673" max="5673" width="4.625" style="19" customWidth="1"/>
    <col min="5674" max="5674" width="3.5" style="19" customWidth="1"/>
    <col min="5675" max="5685" width="3.125" style="19" customWidth="1"/>
    <col min="5686" max="5687" width="5.625" style="19" customWidth="1"/>
    <col min="5688" max="5732" width="2.625" style="19" customWidth="1"/>
    <col min="5733" max="5892" width="9" style="19"/>
    <col min="5893" max="5907" width="3.125" style="19" customWidth="1"/>
    <col min="5908" max="5908" width="5.5" style="19" customWidth="1"/>
    <col min="5909" max="5909" width="5.625" style="19" customWidth="1"/>
    <col min="5910" max="5925" width="3.125" style="19" customWidth="1"/>
    <col min="5926" max="5926" width="5.375" style="19" customWidth="1"/>
    <col min="5927" max="5928" width="3.125" style="19" customWidth="1"/>
    <col min="5929" max="5929" width="4.625" style="19" customWidth="1"/>
    <col min="5930" max="5930" width="3.5" style="19" customWidth="1"/>
    <col min="5931" max="5941" width="3.125" style="19" customWidth="1"/>
    <col min="5942" max="5943" width="5.625" style="19" customWidth="1"/>
    <col min="5944" max="5988" width="2.625" style="19" customWidth="1"/>
    <col min="5989" max="6148" width="9" style="19"/>
    <col min="6149" max="6163" width="3.125" style="19" customWidth="1"/>
    <col min="6164" max="6164" width="5.5" style="19" customWidth="1"/>
    <col min="6165" max="6165" width="5.625" style="19" customWidth="1"/>
    <col min="6166" max="6181" width="3.125" style="19" customWidth="1"/>
    <col min="6182" max="6182" width="5.375" style="19" customWidth="1"/>
    <col min="6183" max="6184" width="3.125" style="19" customWidth="1"/>
    <col min="6185" max="6185" width="4.625" style="19" customWidth="1"/>
    <col min="6186" max="6186" width="3.5" style="19" customWidth="1"/>
    <col min="6187" max="6197" width="3.125" style="19" customWidth="1"/>
    <col min="6198" max="6199" width="5.625" style="19" customWidth="1"/>
    <col min="6200" max="6244" width="2.625" style="19" customWidth="1"/>
    <col min="6245" max="6404" width="9" style="19"/>
    <col min="6405" max="6419" width="3.125" style="19" customWidth="1"/>
    <col min="6420" max="6420" width="5.5" style="19" customWidth="1"/>
    <col min="6421" max="6421" width="5.625" style="19" customWidth="1"/>
    <col min="6422" max="6437" width="3.125" style="19" customWidth="1"/>
    <col min="6438" max="6438" width="5.375" style="19" customWidth="1"/>
    <col min="6439" max="6440" width="3.125" style="19" customWidth="1"/>
    <col min="6441" max="6441" width="4.625" style="19" customWidth="1"/>
    <col min="6442" max="6442" width="3.5" style="19" customWidth="1"/>
    <col min="6443" max="6453" width="3.125" style="19" customWidth="1"/>
    <col min="6454" max="6455" width="5.625" style="19" customWidth="1"/>
    <col min="6456" max="6500" width="2.625" style="19" customWidth="1"/>
    <col min="6501" max="6660" width="9" style="19"/>
    <col min="6661" max="6675" width="3.125" style="19" customWidth="1"/>
    <col min="6676" max="6676" width="5.5" style="19" customWidth="1"/>
    <col min="6677" max="6677" width="5.625" style="19" customWidth="1"/>
    <col min="6678" max="6693" width="3.125" style="19" customWidth="1"/>
    <col min="6694" max="6694" width="5.375" style="19" customWidth="1"/>
    <col min="6695" max="6696" width="3.125" style="19" customWidth="1"/>
    <col min="6697" max="6697" width="4.625" style="19" customWidth="1"/>
    <col min="6698" max="6698" width="3.5" style="19" customWidth="1"/>
    <col min="6699" max="6709" width="3.125" style="19" customWidth="1"/>
    <col min="6710" max="6711" width="5.625" style="19" customWidth="1"/>
    <col min="6712" max="6756" width="2.625" style="19" customWidth="1"/>
    <col min="6757" max="6916" width="9" style="19"/>
    <col min="6917" max="6931" width="3.125" style="19" customWidth="1"/>
    <col min="6932" max="6932" width="5.5" style="19" customWidth="1"/>
    <col min="6933" max="6933" width="5.625" style="19" customWidth="1"/>
    <col min="6934" max="6949" width="3.125" style="19" customWidth="1"/>
    <col min="6950" max="6950" width="5.375" style="19" customWidth="1"/>
    <col min="6951" max="6952" width="3.125" style="19" customWidth="1"/>
    <col min="6953" max="6953" width="4.625" style="19" customWidth="1"/>
    <col min="6954" max="6954" width="3.5" style="19" customWidth="1"/>
    <col min="6955" max="6965" width="3.125" style="19" customWidth="1"/>
    <col min="6966" max="6967" width="5.625" style="19" customWidth="1"/>
    <col min="6968" max="7012" width="2.625" style="19" customWidth="1"/>
    <col min="7013" max="7172" width="9" style="19"/>
    <col min="7173" max="7187" width="3.125" style="19" customWidth="1"/>
    <col min="7188" max="7188" width="5.5" style="19" customWidth="1"/>
    <col min="7189" max="7189" width="5.625" style="19" customWidth="1"/>
    <col min="7190" max="7205" width="3.125" style="19" customWidth="1"/>
    <col min="7206" max="7206" width="5.375" style="19" customWidth="1"/>
    <col min="7207" max="7208" width="3.125" style="19" customWidth="1"/>
    <col min="7209" max="7209" width="4.625" style="19" customWidth="1"/>
    <col min="7210" max="7210" width="3.5" style="19" customWidth="1"/>
    <col min="7211" max="7221" width="3.125" style="19" customWidth="1"/>
    <col min="7222" max="7223" width="5.625" style="19" customWidth="1"/>
    <col min="7224" max="7268" width="2.625" style="19" customWidth="1"/>
    <col min="7269" max="7428" width="9" style="19"/>
    <col min="7429" max="7443" width="3.125" style="19" customWidth="1"/>
    <col min="7444" max="7444" width="5.5" style="19" customWidth="1"/>
    <col min="7445" max="7445" width="5.625" style="19" customWidth="1"/>
    <col min="7446" max="7461" width="3.125" style="19" customWidth="1"/>
    <col min="7462" max="7462" width="5.375" style="19" customWidth="1"/>
    <col min="7463" max="7464" width="3.125" style="19" customWidth="1"/>
    <col min="7465" max="7465" width="4.625" style="19" customWidth="1"/>
    <col min="7466" max="7466" width="3.5" style="19" customWidth="1"/>
    <col min="7467" max="7477" width="3.125" style="19" customWidth="1"/>
    <col min="7478" max="7479" width="5.625" style="19" customWidth="1"/>
    <col min="7480" max="7524" width="2.625" style="19" customWidth="1"/>
    <col min="7525" max="7684" width="9" style="19"/>
    <col min="7685" max="7699" width="3.125" style="19" customWidth="1"/>
    <col min="7700" max="7700" width="5.5" style="19" customWidth="1"/>
    <col min="7701" max="7701" width="5.625" style="19" customWidth="1"/>
    <col min="7702" max="7717" width="3.125" style="19" customWidth="1"/>
    <col min="7718" max="7718" width="5.375" style="19" customWidth="1"/>
    <col min="7719" max="7720" width="3.125" style="19" customWidth="1"/>
    <col min="7721" max="7721" width="4.625" style="19" customWidth="1"/>
    <col min="7722" max="7722" width="3.5" style="19" customWidth="1"/>
    <col min="7723" max="7733" width="3.125" style="19" customWidth="1"/>
    <col min="7734" max="7735" width="5.625" style="19" customWidth="1"/>
    <col min="7736" max="7780" width="2.625" style="19" customWidth="1"/>
    <col min="7781" max="7940" width="9" style="19"/>
    <col min="7941" max="7955" width="3.125" style="19" customWidth="1"/>
    <col min="7956" max="7956" width="5.5" style="19" customWidth="1"/>
    <col min="7957" max="7957" width="5.625" style="19" customWidth="1"/>
    <col min="7958" max="7973" width="3.125" style="19" customWidth="1"/>
    <col min="7974" max="7974" width="5.375" style="19" customWidth="1"/>
    <col min="7975" max="7976" width="3.125" style="19" customWidth="1"/>
    <col min="7977" max="7977" width="4.625" style="19" customWidth="1"/>
    <col min="7978" max="7978" width="3.5" style="19" customWidth="1"/>
    <col min="7979" max="7989" width="3.125" style="19" customWidth="1"/>
    <col min="7990" max="7991" width="5.625" style="19" customWidth="1"/>
    <col min="7992" max="8036" width="2.625" style="19" customWidth="1"/>
    <col min="8037" max="8196" width="9" style="19"/>
    <col min="8197" max="8211" width="3.125" style="19" customWidth="1"/>
    <col min="8212" max="8212" width="5.5" style="19" customWidth="1"/>
    <col min="8213" max="8213" width="5.625" style="19" customWidth="1"/>
    <col min="8214" max="8229" width="3.125" style="19" customWidth="1"/>
    <col min="8230" max="8230" width="5.375" style="19" customWidth="1"/>
    <col min="8231" max="8232" width="3.125" style="19" customWidth="1"/>
    <col min="8233" max="8233" width="4.625" style="19" customWidth="1"/>
    <col min="8234" max="8234" width="3.5" style="19" customWidth="1"/>
    <col min="8235" max="8245" width="3.125" style="19" customWidth="1"/>
    <col min="8246" max="8247" width="5.625" style="19" customWidth="1"/>
    <col min="8248" max="8292" width="2.625" style="19" customWidth="1"/>
    <col min="8293" max="8452" width="9" style="19"/>
    <col min="8453" max="8467" width="3.125" style="19" customWidth="1"/>
    <col min="8468" max="8468" width="5.5" style="19" customWidth="1"/>
    <col min="8469" max="8469" width="5.625" style="19" customWidth="1"/>
    <col min="8470" max="8485" width="3.125" style="19" customWidth="1"/>
    <col min="8486" max="8486" width="5.375" style="19" customWidth="1"/>
    <col min="8487" max="8488" width="3.125" style="19" customWidth="1"/>
    <col min="8489" max="8489" width="4.625" style="19" customWidth="1"/>
    <col min="8490" max="8490" width="3.5" style="19" customWidth="1"/>
    <col min="8491" max="8501" width="3.125" style="19" customWidth="1"/>
    <col min="8502" max="8503" width="5.625" style="19" customWidth="1"/>
    <col min="8504" max="8548" width="2.625" style="19" customWidth="1"/>
    <col min="8549" max="8708" width="9" style="19"/>
    <col min="8709" max="8723" width="3.125" style="19" customWidth="1"/>
    <col min="8724" max="8724" width="5.5" style="19" customWidth="1"/>
    <col min="8725" max="8725" width="5.625" style="19" customWidth="1"/>
    <col min="8726" max="8741" width="3.125" style="19" customWidth="1"/>
    <col min="8742" max="8742" width="5.375" style="19" customWidth="1"/>
    <col min="8743" max="8744" width="3.125" style="19" customWidth="1"/>
    <col min="8745" max="8745" width="4.625" style="19" customWidth="1"/>
    <col min="8746" max="8746" width="3.5" style="19" customWidth="1"/>
    <col min="8747" max="8757" width="3.125" style="19" customWidth="1"/>
    <col min="8758" max="8759" width="5.625" style="19" customWidth="1"/>
    <col min="8760" max="8804" width="2.625" style="19" customWidth="1"/>
    <col min="8805" max="8964" width="9" style="19"/>
    <col min="8965" max="8979" width="3.125" style="19" customWidth="1"/>
    <col min="8980" max="8980" width="5.5" style="19" customWidth="1"/>
    <col min="8981" max="8981" width="5.625" style="19" customWidth="1"/>
    <col min="8982" max="8997" width="3.125" style="19" customWidth="1"/>
    <col min="8998" max="8998" width="5.375" style="19" customWidth="1"/>
    <col min="8999" max="9000" width="3.125" style="19" customWidth="1"/>
    <col min="9001" max="9001" width="4.625" style="19" customWidth="1"/>
    <col min="9002" max="9002" width="3.5" style="19" customWidth="1"/>
    <col min="9003" max="9013" width="3.125" style="19" customWidth="1"/>
    <col min="9014" max="9015" width="5.625" style="19" customWidth="1"/>
    <col min="9016" max="9060" width="2.625" style="19" customWidth="1"/>
    <col min="9061" max="9220" width="9" style="19"/>
    <col min="9221" max="9235" width="3.125" style="19" customWidth="1"/>
    <col min="9236" max="9236" width="5.5" style="19" customWidth="1"/>
    <col min="9237" max="9237" width="5.625" style="19" customWidth="1"/>
    <col min="9238" max="9253" width="3.125" style="19" customWidth="1"/>
    <col min="9254" max="9254" width="5.375" style="19" customWidth="1"/>
    <col min="9255" max="9256" width="3.125" style="19" customWidth="1"/>
    <col min="9257" max="9257" width="4.625" style="19" customWidth="1"/>
    <col min="9258" max="9258" width="3.5" style="19" customWidth="1"/>
    <col min="9259" max="9269" width="3.125" style="19" customWidth="1"/>
    <col min="9270" max="9271" width="5.625" style="19" customWidth="1"/>
    <col min="9272" max="9316" width="2.625" style="19" customWidth="1"/>
    <col min="9317" max="9476" width="9" style="19"/>
    <col min="9477" max="9491" width="3.125" style="19" customWidth="1"/>
    <col min="9492" max="9492" width="5.5" style="19" customWidth="1"/>
    <col min="9493" max="9493" width="5.625" style="19" customWidth="1"/>
    <col min="9494" max="9509" width="3.125" style="19" customWidth="1"/>
    <col min="9510" max="9510" width="5.375" style="19" customWidth="1"/>
    <col min="9511" max="9512" width="3.125" style="19" customWidth="1"/>
    <col min="9513" max="9513" width="4.625" style="19" customWidth="1"/>
    <col min="9514" max="9514" width="3.5" style="19" customWidth="1"/>
    <col min="9515" max="9525" width="3.125" style="19" customWidth="1"/>
    <col min="9526" max="9527" width="5.625" style="19" customWidth="1"/>
    <col min="9528" max="9572" width="2.625" style="19" customWidth="1"/>
    <col min="9573" max="9732" width="9" style="19"/>
    <col min="9733" max="9747" width="3.125" style="19" customWidth="1"/>
    <col min="9748" max="9748" width="5.5" style="19" customWidth="1"/>
    <col min="9749" max="9749" width="5.625" style="19" customWidth="1"/>
    <col min="9750" max="9765" width="3.125" style="19" customWidth="1"/>
    <col min="9766" max="9766" width="5.375" style="19" customWidth="1"/>
    <col min="9767" max="9768" width="3.125" style="19" customWidth="1"/>
    <col min="9769" max="9769" width="4.625" style="19" customWidth="1"/>
    <col min="9770" max="9770" width="3.5" style="19" customWidth="1"/>
    <col min="9771" max="9781" width="3.125" style="19" customWidth="1"/>
    <col min="9782" max="9783" width="5.625" style="19" customWidth="1"/>
    <col min="9784" max="9828" width="2.625" style="19" customWidth="1"/>
    <col min="9829" max="9988" width="9" style="19"/>
    <col min="9989" max="10003" width="3.125" style="19" customWidth="1"/>
    <col min="10004" max="10004" width="5.5" style="19" customWidth="1"/>
    <col min="10005" max="10005" width="5.625" style="19" customWidth="1"/>
    <col min="10006" max="10021" width="3.125" style="19" customWidth="1"/>
    <col min="10022" max="10022" width="5.375" style="19" customWidth="1"/>
    <col min="10023" max="10024" width="3.125" style="19" customWidth="1"/>
    <col min="10025" max="10025" width="4.625" style="19" customWidth="1"/>
    <col min="10026" max="10026" width="3.5" style="19" customWidth="1"/>
    <col min="10027" max="10037" width="3.125" style="19" customWidth="1"/>
    <col min="10038" max="10039" width="5.625" style="19" customWidth="1"/>
    <col min="10040" max="10084" width="2.625" style="19" customWidth="1"/>
    <col min="10085" max="10244" width="9" style="19"/>
    <col min="10245" max="10259" width="3.125" style="19" customWidth="1"/>
    <col min="10260" max="10260" width="5.5" style="19" customWidth="1"/>
    <col min="10261" max="10261" width="5.625" style="19" customWidth="1"/>
    <col min="10262" max="10277" width="3.125" style="19" customWidth="1"/>
    <col min="10278" max="10278" width="5.375" style="19" customWidth="1"/>
    <col min="10279" max="10280" width="3.125" style="19" customWidth="1"/>
    <col min="10281" max="10281" width="4.625" style="19" customWidth="1"/>
    <col min="10282" max="10282" width="3.5" style="19" customWidth="1"/>
    <col min="10283" max="10293" width="3.125" style="19" customWidth="1"/>
    <col min="10294" max="10295" width="5.625" style="19" customWidth="1"/>
    <col min="10296" max="10340" width="2.625" style="19" customWidth="1"/>
    <col min="10341" max="10500" width="9" style="19"/>
    <col min="10501" max="10515" width="3.125" style="19" customWidth="1"/>
    <col min="10516" max="10516" width="5.5" style="19" customWidth="1"/>
    <col min="10517" max="10517" width="5.625" style="19" customWidth="1"/>
    <col min="10518" max="10533" width="3.125" style="19" customWidth="1"/>
    <col min="10534" max="10534" width="5.375" style="19" customWidth="1"/>
    <col min="10535" max="10536" width="3.125" style="19" customWidth="1"/>
    <col min="10537" max="10537" width="4.625" style="19" customWidth="1"/>
    <col min="10538" max="10538" width="3.5" style="19" customWidth="1"/>
    <col min="10539" max="10549" width="3.125" style="19" customWidth="1"/>
    <col min="10550" max="10551" width="5.625" style="19" customWidth="1"/>
    <col min="10552" max="10596" width="2.625" style="19" customWidth="1"/>
    <col min="10597" max="10756" width="9" style="19"/>
    <col min="10757" max="10771" width="3.125" style="19" customWidth="1"/>
    <col min="10772" max="10772" width="5.5" style="19" customWidth="1"/>
    <col min="10773" max="10773" width="5.625" style="19" customWidth="1"/>
    <col min="10774" max="10789" width="3.125" style="19" customWidth="1"/>
    <col min="10790" max="10790" width="5.375" style="19" customWidth="1"/>
    <col min="10791" max="10792" width="3.125" style="19" customWidth="1"/>
    <col min="10793" max="10793" width="4.625" style="19" customWidth="1"/>
    <col min="10794" max="10794" width="3.5" style="19" customWidth="1"/>
    <col min="10795" max="10805" width="3.125" style="19" customWidth="1"/>
    <col min="10806" max="10807" width="5.625" style="19" customWidth="1"/>
    <col min="10808" max="10852" width="2.625" style="19" customWidth="1"/>
    <col min="10853" max="11012" width="9" style="19"/>
    <col min="11013" max="11027" width="3.125" style="19" customWidth="1"/>
    <col min="11028" max="11028" width="5.5" style="19" customWidth="1"/>
    <col min="11029" max="11029" width="5.625" style="19" customWidth="1"/>
    <col min="11030" max="11045" width="3.125" style="19" customWidth="1"/>
    <col min="11046" max="11046" width="5.375" style="19" customWidth="1"/>
    <col min="11047" max="11048" width="3.125" style="19" customWidth="1"/>
    <col min="11049" max="11049" width="4.625" style="19" customWidth="1"/>
    <col min="11050" max="11050" width="3.5" style="19" customWidth="1"/>
    <col min="11051" max="11061" width="3.125" style="19" customWidth="1"/>
    <col min="11062" max="11063" width="5.625" style="19" customWidth="1"/>
    <col min="11064" max="11108" width="2.625" style="19" customWidth="1"/>
    <col min="11109" max="11268" width="9" style="19"/>
    <col min="11269" max="11283" width="3.125" style="19" customWidth="1"/>
    <col min="11284" max="11284" width="5.5" style="19" customWidth="1"/>
    <col min="11285" max="11285" width="5.625" style="19" customWidth="1"/>
    <col min="11286" max="11301" width="3.125" style="19" customWidth="1"/>
    <col min="11302" max="11302" width="5.375" style="19" customWidth="1"/>
    <col min="11303" max="11304" width="3.125" style="19" customWidth="1"/>
    <col min="11305" max="11305" width="4.625" style="19" customWidth="1"/>
    <col min="11306" max="11306" width="3.5" style="19" customWidth="1"/>
    <col min="11307" max="11317" width="3.125" style="19" customWidth="1"/>
    <col min="11318" max="11319" width="5.625" style="19" customWidth="1"/>
    <col min="11320" max="11364" width="2.625" style="19" customWidth="1"/>
    <col min="11365" max="11524" width="9" style="19"/>
    <col min="11525" max="11539" width="3.125" style="19" customWidth="1"/>
    <col min="11540" max="11540" width="5.5" style="19" customWidth="1"/>
    <col min="11541" max="11541" width="5.625" style="19" customWidth="1"/>
    <col min="11542" max="11557" width="3.125" style="19" customWidth="1"/>
    <col min="11558" max="11558" width="5.375" style="19" customWidth="1"/>
    <col min="11559" max="11560" width="3.125" style="19" customWidth="1"/>
    <col min="11561" max="11561" width="4.625" style="19" customWidth="1"/>
    <col min="11562" max="11562" width="3.5" style="19" customWidth="1"/>
    <col min="11563" max="11573" width="3.125" style="19" customWidth="1"/>
    <col min="11574" max="11575" width="5.625" style="19" customWidth="1"/>
    <col min="11576" max="11620" width="2.625" style="19" customWidth="1"/>
    <col min="11621" max="11780" width="9" style="19"/>
    <col min="11781" max="11795" width="3.125" style="19" customWidth="1"/>
    <col min="11796" max="11796" width="5.5" style="19" customWidth="1"/>
    <col min="11797" max="11797" width="5.625" style="19" customWidth="1"/>
    <col min="11798" max="11813" width="3.125" style="19" customWidth="1"/>
    <col min="11814" max="11814" width="5.375" style="19" customWidth="1"/>
    <col min="11815" max="11816" width="3.125" style="19" customWidth="1"/>
    <col min="11817" max="11817" width="4.625" style="19" customWidth="1"/>
    <col min="11818" max="11818" width="3.5" style="19" customWidth="1"/>
    <col min="11819" max="11829" width="3.125" style="19" customWidth="1"/>
    <col min="11830" max="11831" width="5.625" style="19" customWidth="1"/>
    <col min="11832" max="11876" width="2.625" style="19" customWidth="1"/>
    <col min="11877" max="12036" width="9" style="19"/>
    <col min="12037" max="12051" width="3.125" style="19" customWidth="1"/>
    <col min="12052" max="12052" width="5.5" style="19" customWidth="1"/>
    <col min="12053" max="12053" width="5.625" style="19" customWidth="1"/>
    <col min="12054" max="12069" width="3.125" style="19" customWidth="1"/>
    <col min="12070" max="12070" width="5.375" style="19" customWidth="1"/>
    <col min="12071" max="12072" width="3.125" style="19" customWidth="1"/>
    <col min="12073" max="12073" width="4.625" style="19" customWidth="1"/>
    <col min="12074" max="12074" width="3.5" style="19" customWidth="1"/>
    <col min="12075" max="12085" width="3.125" style="19" customWidth="1"/>
    <col min="12086" max="12087" width="5.625" style="19" customWidth="1"/>
    <col min="12088" max="12132" width="2.625" style="19" customWidth="1"/>
    <col min="12133" max="12292" width="9" style="19"/>
    <col min="12293" max="12307" width="3.125" style="19" customWidth="1"/>
    <col min="12308" max="12308" width="5.5" style="19" customWidth="1"/>
    <col min="12309" max="12309" width="5.625" style="19" customWidth="1"/>
    <col min="12310" max="12325" width="3.125" style="19" customWidth="1"/>
    <col min="12326" max="12326" width="5.375" style="19" customWidth="1"/>
    <col min="12327" max="12328" width="3.125" style="19" customWidth="1"/>
    <col min="12329" max="12329" width="4.625" style="19" customWidth="1"/>
    <col min="12330" max="12330" width="3.5" style="19" customWidth="1"/>
    <col min="12331" max="12341" width="3.125" style="19" customWidth="1"/>
    <col min="12342" max="12343" width="5.625" style="19" customWidth="1"/>
    <col min="12344" max="12388" width="2.625" style="19" customWidth="1"/>
    <col min="12389" max="12548" width="9" style="19"/>
    <col min="12549" max="12563" width="3.125" style="19" customWidth="1"/>
    <col min="12564" max="12564" width="5.5" style="19" customWidth="1"/>
    <col min="12565" max="12565" width="5.625" style="19" customWidth="1"/>
    <col min="12566" max="12581" width="3.125" style="19" customWidth="1"/>
    <col min="12582" max="12582" width="5.375" style="19" customWidth="1"/>
    <col min="12583" max="12584" width="3.125" style="19" customWidth="1"/>
    <col min="12585" max="12585" width="4.625" style="19" customWidth="1"/>
    <col min="12586" max="12586" width="3.5" style="19" customWidth="1"/>
    <col min="12587" max="12597" width="3.125" style="19" customWidth="1"/>
    <col min="12598" max="12599" width="5.625" style="19" customWidth="1"/>
    <col min="12600" max="12644" width="2.625" style="19" customWidth="1"/>
    <col min="12645" max="12804" width="9" style="19"/>
    <col min="12805" max="12819" width="3.125" style="19" customWidth="1"/>
    <col min="12820" max="12820" width="5.5" style="19" customWidth="1"/>
    <col min="12821" max="12821" width="5.625" style="19" customWidth="1"/>
    <col min="12822" max="12837" width="3.125" style="19" customWidth="1"/>
    <col min="12838" max="12838" width="5.375" style="19" customWidth="1"/>
    <col min="12839" max="12840" width="3.125" style="19" customWidth="1"/>
    <col min="12841" max="12841" width="4.625" style="19" customWidth="1"/>
    <col min="12842" max="12842" width="3.5" style="19" customWidth="1"/>
    <col min="12843" max="12853" width="3.125" style="19" customWidth="1"/>
    <col min="12854" max="12855" width="5.625" style="19" customWidth="1"/>
    <col min="12856" max="12900" width="2.625" style="19" customWidth="1"/>
    <col min="12901" max="13060" width="9" style="19"/>
    <col min="13061" max="13075" width="3.125" style="19" customWidth="1"/>
    <col min="13076" max="13076" width="5.5" style="19" customWidth="1"/>
    <col min="13077" max="13077" width="5.625" style="19" customWidth="1"/>
    <col min="13078" max="13093" width="3.125" style="19" customWidth="1"/>
    <col min="13094" max="13094" width="5.375" style="19" customWidth="1"/>
    <col min="13095" max="13096" width="3.125" style="19" customWidth="1"/>
    <col min="13097" max="13097" width="4.625" style="19" customWidth="1"/>
    <col min="13098" max="13098" width="3.5" style="19" customWidth="1"/>
    <col min="13099" max="13109" width="3.125" style="19" customWidth="1"/>
    <col min="13110" max="13111" width="5.625" style="19" customWidth="1"/>
    <col min="13112" max="13156" width="2.625" style="19" customWidth="1"/>
    <col min="13157" max="13316" width="9" style="19"/>
    <col min="13317" max="13331" width="3.125" style="19" customWidth="1"/>
    <col min="13332" max="13332" width="5.5" style="19" customWidth="1"/>
    <col min="13333" max="13333" width="5.625" style="19" customWidth="1"/>
    <col min="13334" max="13349" width="3.125" style="19" customWidth="1"/>
    <col min="13350" max="13350" width="5.375" style="19" customWidth="1"/>
    <col min="13351" max="13352" width="3.125" style="19" customWidth="1"/>
    <col min="13353" max="13353" width="4.625" style="19" customWidth="1"/>
    <col min="13354" max="13354" width="3.5" style="19" customWidth="1"/>
    <col min="13355" max="13365" width="3.125" style="19" customWidth="1"/>
    <col min="13366" max="13367" width="5.625" style="19" customWidth="1"/>
    <col min="13368" max="13412" width="2.625" style="19" customWidth="1"/>
    <col min="13413" max="13572" width="9" style="19"/>
    <col min="13573" max="13587" width="3.125" style="19" customWidth="1"/>
    <col min="13588" max="13588" width="5.5" style="19" customWidth="1"/>
    <col min="13589" max="13589" width="5.625" style="19" customWidth="1"/>
    <col min="13590" max="13605" width="3.125" style="19" customWidth="1"/>
    <col min="13606" max="13606" width="5.375" style="19" customWidth="1"/>
    <col min="13607" max="13608" width="3.125" style="19" customWidth="1"/>
    <col min="13609" max="13609" width="4.625" style="19" customWidth="1"/>
    <col min="13610" max="13610" width="3.5" style="19" customWidth="1"/>
    <col min="13611" max="13621" width="3.125" style="19" customWidth="1"/>
    <col min="13622" max="13623" width="5.625" style="19" customWidth="1"/>
    <col min="13624" max="13668" width="2.625" style="19" customWidth="1"/>
    <col min="13669" max="13828" width="9" style="19"/>
    <col min="13829" max="13843" width="3.125" style="19" customWidth="1"/>
    <col min="13844" max="13844" width="5.5" style="19" customWidth="1"/>
    <col min="13845" max="13845" width="5.625" style="19" customWidth="1"/>
    <col min="13846" max="13861" width="3.125" style="19" customWidth="1"/>
    <col min="13862" max="13862" width="5.375" style="19" customWidth="1"/>
    <col min="13863" max="13864" width="3.125" style="19" customWidth="1"/>
    <col min="13865" max="13865" width="4.625" style="19" customWidth="1"/>
    <col min="13866" max="13866" width="3.5" style="19" customWidth="1"/>
    <col min="13867" max="13877" width="3.125" style="19" customWidth="1"/>
    <col min="13878" max="13879" width="5.625" style="19" customWidth="1"/>
    <col min="13880" max="13924" width="2.625" style="19" customWidth="1"/>
    <col min="13925" max="14084" width="9" style="19"/>
    <col min="14085" max="14099" width="3.125" style="19" customWidth="1"/>
    <col min="14100" max="14100" width="5.5" style="19" customWidth="1"/>
    <col min="14101" max="14101" width="5.625" style="19" customWidth="1"/>
    <col min="14102" max="14117" width="3.125" style="19" customWidth="1"/>
    <col min="14118" max="14118" width="5.375" style="19" customWidth="1"/>
    <col min="14119" max="14120" width="3.125" style="19" customWidth="1"/>
    <col min="14121" max="14121" width="4.625" style="19" customWidth="1"/>
    <col min="14122" max="14122" width="3.5" style="19" customWidth="1"/>
    <col min="14123" max="14133" width="3.125" style="19" customWidth="1"/>
    <col min="14134" max="14135" width="5.625" style="19" customWidth="1"/>
    <col min="14136" max="14180" width="2.625" style="19" customWidth="1"/>
    <col min="14181" max="14340" width="9" style="19"/>
    <col min="14341" max="14355" width="3.125" style="19" customWidth="1"/>
    <col min="14356" max="14356" width="5.5" style="19" customWidth="1"/>
    <col min="14357" max="14357" width="5.625" style="19" customWidth="1"/>
    <col min="14358" max="14373" width="3.125" style="19" customWidth="1"/>
    <col min="14374" max="14374" width="5.375" style="19" customWidth="1"/>
    <col min="14375" max="14376" width="3.125" style="19" customWidth="1"/>
    <col min="14377" max="14377" width="4.625" style="19" customWidth="1"/>
    <col min="14378" max="14378" width="3.5" style="19" customWidth="1"/>
    <col min="14379" max="14389" width="3.125" style="19" customWidth="1"/>
    <col min="14390" max="14391" width="5.625" style="19" customWidth="1"/>
    <col min="14392" max="14436" width="2.625" style="19" customWidth="1"/>
    <col min="14437" max="14596" width="9" style="19"/>
    <col min="14597" max="14611" width="3.125" style="19" customWidth="1"/>
    <col min="14612" max="14612" width="5.5" style="19" customWidth="1"/>
    <col min="14613" max="14613" width="5.625" style="19" customWidth="1"/>
    <col min="14614" max="14629" width="3.125" style="19" customWidth="1"/>
    <col min="14630" max="14630" width="5.375" style="19" customWidth="1"/>
    <col min="14631" max="14632" width="3.125" style="19" customWidth="1"/>
    <col min="14633" max="14633" width="4.625" style="19" customWidth="1"/>
    <col min="14634" max="14634" width="3.5" style="19" customWidth="1"/>
    <col min="14635" max="14645" width="3.125" style="19" customWidth="1"/>
    <col min="14646" max="14647" width="5.625" style="19" customWidth="1"/>
    <col min="14648" max="14692" width="2.625" style="19" customWidth="1"/>
    <col min="14693" max="14852" width="9" style="19"/>
    <col min="14853" max="14867" width="3.125" style="19" customWidth="1"/>
    <col min="14868" max="14868" width="5.5" style="19" customWidth="1"/>
    <col min="14869" max="14869" width="5.625" style="19" customWidth="1"/>
    <col min="14870" max="14885" width="3.125" style="19" customWidth="1"/>
    <col min="14886" max="14886" width="5.375" style="19" customWidth="1"/>
    <col min="14887" max="14888" width="3.125" style="19" customWidth="1"/>
    <col min="14889" max="14889" width="4.625" style="19" customWidth="1"/>
    <col min="14890" max="14890" width="3.5" style="19" customWidth="1"/>
    <col min="14891" max="14901" width="3.125" style="19" customWidth="1"/>
    <col min="14902" max="14903" width="5.625" style="19" customWidth="1"/>
    <col min="14904" max="14948" width="2.625" style="19" customWidth="1"/>
    <col min="14949" max="15108" width="9" style="19"/>
    <col min="15109" max="15123" width="3.125" style="19" customWidth="1"/>
    <col min="15124" max="15124" width="5.5" style="19" customWidth="1"/>
    <col min="15125" max="15125" width="5.625" style="19" customWidth="1"/>
    <col min="15126" max="15141" width="3.125" style="19" customWidth="1"/>
    <col min="15142" max="15142" width="5.375" style="19" customWidth="1"/>
    <col min="15143" max="15144" width="3.125" style="19" customWidth="1"/>
    <col min="15145" max="15145" width="4.625" style="19" customWidth="1"/>
    <col min="15146" max="15146" width="3.5" style="19" customWidth="1"/>
    <col min="15147" max="15157" width="3.125" style="19" customWidth="1"/>
    <col min="15158" max="15159" width="5.625" style="19" customWidth="1"/>
    <col min="15160" max="15204" width="2.625" style="19" customWidth="1"/>
    <col min="15205" max="15364" width="9" style="19"/>
    <col min="15365" max="15379" width="3.125" style="19" customWidth="1"/>
    <col min="15380" max="15380" width="5.5" style="19" customWidth="1"/>
    <col min="15381" max="15381" width="5.625" style="19" customWidth="1"/>
    <col min="15382" max="15397" width="3.125" style="19" customWidth="1"/>
    <col min="15398" max="15398" width="5.375" style="19" customWidth="1"/>
    <col min="15399" max="15400" width="3.125" style="19" customWidth="1"/>
    <col min="15401" max="15401" width="4.625" style="19" customWidth="1"/>
    <col min="15402" max="15402" width="3.5" style="19" customWidth="1"/>
    <col min="15403" max="15413" width="3.125" style="19" customWidth="1"/>
    <col min="15414" max="15415" width="5.625" style="19" customWidth="1"/>
    <col min="15416" max="15460" width="2.625" style="19" customWidth="1"/>
    <col min="15461" max="15620" width="9" style="19"/>
    <col min="15621" max="15635" width="3.125" style="19" customWidth="1"/>
    <col min="15636" max="15636" width="5.5" style="19" customWidth="1"/>
    <col min="15637" max="15637" width="5.625" style="19" customWidth="1"/>
    <col min="15638" max="15653" width="3.125" style="19" customWidth="1"/>
    <col min="15654" max="15654" width="5.375" style="19" customWidth="1"/>
    <col min="15655" max="15656" width="3.125" style="19" customWidth="1"/>
    <col min="15657" max="15657" width="4.625" style="19" customWidth="1"/>
    <col min="15658" max="15658" width="3.5" style="19" customWidth="1"/>
    <col min="15659" max="15669" width="3.125" style="19" customWidth="1"/>
    <col min="15670" max="15671" width="5.625" style="19" customWidth="1"/>
    <col min="15672" max="15716" width="2.625" style="19" customWidth="1"/>
    <col min="15717" max="15876" width="9" style="19"/>
    <col min="15877" max="15891" width="3.125" style="19" customWidth="1"/>
    <col min="15892" max="15892" width="5.5" style="19" customWidth="1"/>
    <col min="15893" max="15893" width="5.625" style="19" customWidth="1"/>
    <col min="15894" max="15909" width="3.125" style="19" customWidth="1"/>
    <col min="15910" max="15910" width="5.375" style="19" customWidth="1"/>
    <col min="15911" max="15912" width="3.125" style="19" customWidth="1"/>
    <col min="15913" max="15913" width="4.625" style="19" customWidth="1"/>
    <col min="15914" max="15914" width="3.5" style="19" customWidth="1"/>
    <col min="15915" max="15925" width="3.125" style="19" customWidth="1"/>
    <col min="15926" max="15927" width="5.625" style="19" customWidth="1"/>
    <col min="15928" max="15972" width="2.625" style="19" customWidth="1"/>
    <col min="15973" max="16132" width="9" style="19"/>
    <col min="16133" max="16147" width="3.125" style="19" customWidth="1"/>
    <col min="16148" max="16148" width="5.5" style="19" customWidth="1"/>
    <col min="16149" max="16149" width="5.625" style="19" customWidth="1"/>
    <col min="16150" max="16165" width="3.125" style="19" customWidth="1"/>
    <col min="16166" max="16166" width="5.375" style="19" customWidth="1"/>
    <col min="16167" max="16168" width="3.125" style="19" customWidth="1"/>
    <col min="16169" max="16169" width="4.625" style="19" customWidth="1"/>
    <col min="16170" max="16170" width="3.5" style="19" customWidth="1"/>
    <col min="16171" max="16181" width="3.125" style="19" customWidth="1"/>
    <col min="16182" max="16183" width="5.625" style="19" customWidth="1"/>
    <col min="16184" max="16228" width="2.625" style="19" customWidth="1"/>
    <col min="16229" max="16384" width="9" style="19"/>
  </cols>
  <sheetData>
    <row r="1" spans="2:53"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3"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3"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3"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3"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3"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3"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3"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3"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3"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3"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3"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3" ht="13.5" customHeight="1" x14ac:dyDescent="0.15">
      <c r="B13" s="174" t="s">
        <v>63</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3"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3" ht="13.5" customHeight="1" x14ac:dyDescent="0.15">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row>
    <row r="16" spans="2:53"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31"/>
      <c r="AK16" s="31"/>
      <c r="AL16" s="31"/>
      <c r="AM16" s="2"/>
      <c r="AN16" s="2"/>
      <c r="AO16" s="2"/>
      <c r="AP16" s="2"/>
      <c r="AQ16" s="2"/>
      <c r="AR16" s="2"/>
      <c r="AS16" s="2"/>
      <c r="AT16" s="2"/>
      <c r="AU16" s="2"/>
      <c r="AV16" s="2"/>
      <c r="AW16" s="2"/>
      <c r="AX16" s="2"/>
      <c r="AY16" s="2"/>
      <c r="AZ16" s="2"/>
      <c r="BA16" s="2"/>
    </row>
    <row r="17" spans="2:53" ht="13.5" customHeight="1" x14ac:dyDescent="0.15">
      <c r="B17" s="175"/>
      <c r="C17" s="175"/>
      <c r="D17" s="175"/>
      <c r="E17" s="175"/>
      <c r="F17" s="175"/>
      <c r="G17" s="175"/>
      <c r="H17" s="175"/>
      <c r="I17" s="175"/>
      <c r="J17" s="175"/>
      <c r="K17" s="175"/>
      <c r="L17" s="175"/>
      <c r="M17" s="175"/>
      <c r="N17" s="175"/>
      <c r="O17" s="31"/>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05"/>
      <c r="AS17" s="205"/>
      <c r="AT17" s="205"/>
      <c r="AU17" s="205"/>
      <c r="AV17" s="205"/>
      <c r="AW17" s="205"/>
      <c r="AX17" s="205"/>
      <c r="AY17" s="205"/>
      <c r="AZ17" s="205"/>
      <c r="BA17" s="205"/>
    </row>
    <row r="18" spans="2:53" ht="13.5" customHeight="1" x14ac:dyDescent="0.15">
      <c r="B18" s="136" t="s">
        <v>1</v>
      </c>
      <c r="C18" s="136"/>
      <c r="D18" s="136"/>
      <c r="E18" s="136"/>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3" ht="13.5" customHeight="1" x14ac:dyDescent="0.15">
      <c r="B19" s="137"/>
      <c r="C19" s="137"/>
      <c r="D19" s="137"/>
      <c r="E19" s="137"/>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7" t="s">
        <v>47</v>
      </c>
      <c r="AV19" s="157"/>
      <c r="AW19" s="157"/>
      <c r="AX19" s="157"/>
      <c r="AY19" s="157"/>
      <c r="AZ19" s="157"/>
      <c r="BA19" s="157"/>
    </row>
    <row r="20" spans="2:53" s="21" customFormat="1" ht="13.5" customHeight="1" x14ac:dyDescent="0.15">
      <c r="B20" s="91" t="s">
        <v>2</v>
      </c>
      <c r="C20" s="92"/>
      <c r="D20" s="92"/>
      <c r="E20" s="92"/>
      <c r="F20" s="92"/>
      <c r="G20" s="92"/>
      <c r="H20" s="92"/>
      <c r="I20" s="91" t="s">
        <v>3</v>
      </c>
      <c r="J20" s="92"/>
      <c r="K20" s="92"/>
      <c r="L20" s="92"/>
      <c r="M20" s="92"/>
      <c r="N20" s="92"/>
      <c r="O20" s="92"/>
      <c r="P20" s="92"/>
      <c r="Q20" s="92"/>
      <c r="R20" s="92"/>
      <c r="S20" s="92"/>
      <c r="T20" s="92"/>
      <c r="U20" s="92"/>
      <c r="V20" s="92"/>
      <c r="W20" s="92"/>
      <c r="X20" s="92"/>
      <c r="Y20" s="114" t="s">
        <v>4</v>
      </c>
      <c r="Z20" s="114"/>
      <c r="AA20" s="114"/>
      <c r="AB20" s="114"/>
      <c r="AC20" s="167" t="s">
        <v>5</v>
      </c>
      <c r="AD20" s="167"/>
      <c r="AE20" s="167"/>
      <c r="AF20" s="167"/>
      <c r="AG20" s="114" t="s">
        <v>6</v>
      </c>
      <c r="AH20" s="114"/>
      <c r="AI20" s="114"/>
      <c r="AJ20" s="114"/>
      <c r="AK20" s="114"/>
      <c r="AL20" s="114"/>
      <c r="AM20" s="114"/>
      <c r="AN20" s="114"/>
      <c r="AO20" s="114"/>
      <c r="AP20" s="114"/>
      <c r="AQ20" s="114"/>
      <c r="AR20" s="114"/>
      <c r="AS20" s="114"/>
      <c r="AT20" s="114"/>
      <c r="AU20" s="114"/>
      <c r="AV20" s="114"/>
      <c r="AW20" s="114"/>
      <c r="AX20" s="114"/>
      <c r="AY20" s="114"/>
      <c r="AZ20" s="114"/>
      <c r="BA20" s="114"/>
    </row>
    <row r="21" spans="2:53" s="21" customFormat="1" ht="13.5" customHeight="1" x14ac:dyDescent="0.15">
      <c r="B21" s="94"/>
      <c r="C21" s="95"/>
      <c r="D21" s="95"/>
      <c r="E21" s="95"/>
      <c r="F21" s="95"/>
      <c r="G21" s="95"/>
      <c r="H21" s="95"/>
      <c r="I21" s="97"/>
      <c r="J21" s="98"/>
      <c r="K21" s="98"/>
      <c r="L21" s="98"/>
      <c r="M21" s="98"/>
      <c r="N21" s="98"/>
      <c r="O21" s="98"/>
      <c r="P21" s="98"/>
      <c r="Q21" s="98"/>
      <c r="R21" s="98"/>
      <c r="S21" s="98"/>
      <c r="T21" s="98"/>
      <c r="U21" s="98"/>
      <c r="V21" s="98"/>
      <c r="W21" s="98"/>
      <c r="X21" s="98"/>
      <c r="Y21" s="114"/>
      <c r="Z21" s="114"/>
      <c r="AA21" s="114"/>
      <c r="AB21" s="114"/>
      <c r="AC21" s="167"/>
      <c r="AD21" s="167"/>
      <c r="AE21" s="167"/>
      <c r="AF21" s="167"/>
      <c r="AG21" s="114"/>
      <c r="AH21" s="114"/>
      <c r="AI21" s="114"/>
      <c r="AJ21" s="114"/>
      <c r="AK21" s="114"/>
      <c r="AL21" s="114"/>
      <c r="AM21" s="114"/>
      <c r="AN21" s="114"/>
      <c r="AO21" s="114"/>
      <c r="AP21" s="114"/>
      <c r="AQ21" s="114"/>
      <c r="AR21" s="114"/>
      <c r="AS21" s="114"/>
      <c r="AT21" s="114"/>
      <c r="AU21" s="114"/>
      <c r="AV21" s="114"/>
      <c r="AW21" s="114"/>
      <c r="AX21" s="114"/>
      <c r="AY21" s="114"/>
      <c r="AZ21" s="114"/>
      <c r="BA21" s="114"/>
    </row>
    <row r="22" spans="2:53" s="21" customFormat="1" ht="13.5" customHeight="1" x14ac:dyDescent="0.15">
      <c r="B22" s="94"/>
      <c r="C22" s="95"/>
      <c r="D22" s="95"/>
      <c r="E22" s="95"/>
      <c r="F22" s="95"/>
      <c r="G22" s="95"/>
      <c r="H22" s="95"/>
      <c r="I22" s="91" t="s">
        <v>7</v>
      </c>
      <c r="J22" s="92"/>
      <c r="K22" s="92"/>
      <c r="L22" s="92"/>
      <c r="M22" s="91" t="s">
        <v>8</v>
      </c>
      <c r="N22" s="92"/>
      <c r="O22" s="92"/>
      <c r="P22" s="93"/>
      <c r="Q22" s="116" t="s">
        <v>49</v>
      </c>
      <c r="R22" s="117"/>
      <c r="S22" s="117"/>
      <c r="T22" s="117"/>
      <c r="U22" s="91" t="s">
        <v>9</v>
      </c>
      <c r="V22" s="92"/>
      <c r="W22" s="92"/>
      <c r="X22" s="92"/>
      <c r="Y22" s="114"/>
      <c r="Z22" s="114"/>
      <c r="AA22" s="114"/>
      <c r="AB22" s="114"/>
      <c r="AC22" s="167"/>
      <c r="AD22" s="167"/>
      <c r="AE22" s="167"/>
      <c r="AF22" s="167"/>
      <c r="AG22" s="114"/>
      <c r="AH22" s="114"/>
      <c r="AI22" s="114"/>
      <c r="AJ22" s="114"/>
      <c r="AK22" s="114"/>
      <c r="AL22" s="114"/>
      <c r="AM22" s="114"/>
      <c r="AN22" s="114"/>
      <c r="AO22" s="114"/>
      <c r="AP22" s="114"/>
      <c r="AQ22" s="114"/>
      <c r="AR22" s="114"/>
      <c r="AS22" s="114"/>
      <c r="AT22" s="114"/>
      <c r="AU22" s="114"/>
      <c r="AV22" s="114"/>
      <c r="AW22" s="114"/>
      <c r="AX22" s="114"/>
      <c r="AY22" s="114"/>
      <c r="AZ22" s="114"/>
      <c r="BA22" s="114"/>
    </row>
    <row r="23" spans="2:53" s="21" customFormat="1" ht="13.5" customHeight="1" x14ac:dyDescent="0.15">
      <c r="B23" s="94"/>
      <c r="C23" s="95"/>
      <c r="D23" s="95"/>
      <c r="E23" s="95"/>
      <c r="F23" s="95"/>
      <c r="G23" s="95"/>
      <c r="H23" s="95"/>
      <c r="I23" s="94"/>
      <c r="J23" s="95"/>
      <c r="K23" s="95"/>
      <c r="L23" s="95"/>
      <c r="M23" s="94"/>
      <c r="N23" s="95"/>
      <c r="O23" s="95"/>
      <c r="P23" s="96"/>
      <c r="Q23" s="119"/>
      <c r="R23" s="120"/>
      <c r="S23" s="120"/>
      <c r="T23" s="120"/>
      <c r="U23" s="94"/>
      <c r="V23" s="95"/>
      <c r="W23" s="95"/>
      <c r="X23" s="95"/>
      <c r="Y23" s="114"/>
      <c r="Z23" s="114"/>
      <c r="AA23" s="114"/>
      <c r="AB23" s="114"/>
      <c r="AC23" s="167"/>
      <c r="AD23" s="167"/>
      <c r="AE23" s="167"/>
      <c r="AF23" s="167"/>
      <c r="AG23" s="114"/>
      <c r="AH23" s="114"/>
      <c r="AI23" s="114"/>
      <c r="AJ23" s="114"/>
      <c r="AK23" s="114"/>
      <c r="AL23" s="114"/>
      <c r="AM23" s="114"/>
      <c r="AN23" s="114"/>
      <c r="AO23" s="114"/>
      <c r="AP23" s="114"/>
      <c r="AQ23" s="114"/>
      <c r="AR23" s="114"/>
      <c r="AS23" s="114"/>
      <c r="AT23" s="114"/>
      <c r="AU23" s="114"/>
      <c r="AV23" s="114"/>
      <c r="AW23" s="114"/>
      <c r="AX23" s="114"/>
      <c r="AY23" s="114"/>
      <c r="AZ23" s="114"/>
      <c r="BA23" s="114"/>
    </row>
    <row r="24" spans="2:53" s="21" customFormat="1" ht="13.5" customHeight="1" x14ac:dyDescent="0.15">
      <c r="B24" s="94"/>
      <c r="C24" s="95"/>
      <c r="D24" s="95"/>
      <c r="E24" s="95"/>
      <c r="F24" s="95"/>
      <c r="G24" s="95"/>
      <c r="H24" s="95"/>
      <c r="I24" s="94"/>
      <c r="J24" s="95"/>
      <c r="K24" s="95"/>
      <c r="L24" s="95"/>
      <c r="M24" s="94"/>
      <c r="N24" s="95"/>
      <c r="O24" s="95"/>
      <c r="P24" s="96"/>
      <c r="Q24" s="119"/>
      <c r="R24" s="120"/>
      <c r="S24" s="120"/>
      <c r="T24" s="120"/>
      <c r="U24" s="94"/>
      <c r="V24" s="95"/>
      <c r="W24" s="95"/>
      <c r="X24" s="95"/>
      <c r="Y24" s="114"/>
      <c r="Z24" s="114"/>
      <c r="AA24" s="114"/>
      <c r="AB24" s="114"/>
      <c r="AC24" s="167"/>
      <c r="AD24" s="167"/>
      <c r="AE24" s="167"/>
      <c r="AF24" s="167"/>
      <c r="AG24" s="114"/>
      <c r="AH24" s="114"/>
      <c r="AI24" s="114"/>
      <c r="AJ24" s="114"/>
      <c r="AK24" s="114"/>
      <c r="AL24" s="114"/>
      <c r="AM24" s="114"/>
      <c r="AN24" s="114"/>
      <c r="AO24" s="114"/>
      <c r="AP24" s="114"/>
      <c r="AQ24" s="114"/>
      <c r="AR24" s="114"/>
      <c r="AS24" s="114"/>
      <c r="AT24" s="114"/>
      <c r="AU24" s="114"/>
      <c r="AV24" s="114"/>
      <c r="AW24" s="114"/>
      <c r="AX24" s="114"/>
      <c r="AY24" s="114"/>
      <c r="AZ24" s="114"/>
      <c r="BA24" s="114"/>
    </row>
    <row r="25" spans="2:53" s="21" customFormat="1" ht="13.5" customHeight="1" x14ac:dyDescent="0.15">
      <c r="B25" s="97"/>
      <c r="C25" s="98"/>
      <c r="D25" s="98"/>
      <c r="E25" s="98"/>
      <c r="F25" s="98"/>
      <c r="G25" s="98"/>
      <c r="H25" s="98"/>
      <c r="I25" s="97"/>
      <c r="J25" s="98"/>
      <c r="K25" s="98"/>
      <c r="L25" s="98"/>
      <c r="M25" s="97"/>
      <c r="N25" s="98"/>
      <c r="O25" s="98"/>
      <c r="P25" s="99"/>
      <c r="Q25" s="122"/>
      <c r="R25" s="123"/>
      <c r="S25" s="123"/>
      <c r="T25" s="123"/>
      <c r="U25" s="97"/>
      <c r="V25" s="98"/>
      <c r="W25" s="98"/>
      <c r="X25" s="98"/>
      <c r="Y25" s="114"/>
      <c r="Z25" s="114"/>
      <c r="AA25" s="114"/>
      <c r="AB25" s="114"/>
      <c r="AC25" s="167"/>
      <c r="AD25" s="167"/>
      <c r="AE25" s="167"/>
      <c r="AF25" s="167"/>
      <c r="AG25" s="114"/>
      <c r="AH25" s="114"/>
      <c r="AI25" s="114"/>
      <c r="AJ25" s="114"/>
      <c r="AK25" s="114"/>
      <c r="AL25" s="114"/>
      <c r="AM25" s="114"/>
      <c r="AN25" s="114"/>
      <c r="AO25" s="114"/>
      <c r="AP25" s="114"/>
      <c r="AQ25" s="114"/>
      <c r="AR25" s="114"/>
      <c r="AS25" s="114"/>
      <c r="AT25" s="114"/>
      <c r="AU25" s="114"/>
      <c r="AV25" s="114"/>
      <c r="AW25" s="114"/>
      <c r="AX25" s="114"/>
      <c r="AY25" s="114"/>
      <c r="AZ25" s="114"/>
      <c r="BA25" s="114"/>
    </row>
    <row r="26" spans="2:53" s="21" customFormat="1" ht="18" customHeight="1" x14ac:dyDescent="0.15">
      <c r="B26" s="106" t="s">
        <v>10</v>
      </c>
      <c r="C26" s="107"/>
      <c r="D26" s="107"/>
      <c r="E26" s="107"/>
      <c r="F26" s="107"/>
      <c r="G26" s="107"/>
      <c r="H26" s="107"/>
      <c r="I26" s="106">
        <f>SUM(I28:L31)</f>
        <v>167525000</v>
      </c>
      <c r="J26" s="107"/>
      <c r="K26" s="107"/>
      <c r="L26" s="107"/>
      <c r="M26" s="106">
        <f>SUM(M28:P31)</f>
        <v>-2245000</v>
      </c>
      <c r="N26" s="107"/>
      <c r="O26" s="107"/>
      <c r="P26" s="108"/>
      <c r="Q26" s="106">
        <f t="shared" ref="Q26" si="0">SUM(Q28:T31)</f>
        <v>0</v>
      </c>
      <c r="R26" s="107"/>
      <c r="S26" s="107"/>
      <c r="T26" s="108"/>
      <c r="U26" s="106">
        <f t="shared" ref="U26" si="1">SUM(U28:X31)</f>
        <v>165280000</v>
      </c>
      <c r="V26" s="107"/>
      <c r="W26" s="107"/>
      <c r="X26" s="107"/>
      <c r="Y26" s="115">
        <f t="shared" ref="Y26" si="2">SUM(Y28:AB31)</f>
        <v>165263515</v>
      </c>
      <c r="Z26" s="115"/>
      <c r="AA26" s="115"/>
      <c r="AB26" s="115"/>
      <c r="AC26" s="107">
        <f>Y26-U26</f>
        <v>-16485</v>
      </c>
      <c r="AD26" s="107"/>
      <c r="AE26" s="107"/>
      <c r="AF26" s="107"/>
      <c r="AG26" s="114"/>
      <c r="AH26" s="114"/>
      <c r="AI26" s="114"/>
      <c r="AJ26" s="114"/>
      <c r="AK26" s="114"/>
      <c r="AL26" s="114"/>
      <c r="AM26" s="114"/>
      <c r="AN26" s="114"/>
      <c r="AO26" s="114"/>
      <c r="AP26" s="114"/>
      <c r="AQ26" s="114"/>
      <c r="AR26" s="114"/>
      <c r="AS26" s="114"/>
      <c r="AT26" s="114"/>
      <c r="AU26" s="114"/>
      <c r="AV26" s="114"/>
      <c r="AW26" s="114"/>
      <c r="AX26" s="114"/>
      <c r="AY26" s="114"/>
      <c r="AZ26" s="114"/>
      <c r="BA26" s="114"/>
    </row>
    <row r="27" spans="2:53" s="21" customFormat="1" ht="18" customHeight="1" x14ac:dyDescent="0.15">
      <c r="B27" s="109"/>
      <c r="C27" s="110"/>
      <c r="D27" s="110"/>
      <c r="E27" s="110"/>
      <c r="F27" s="110"/>
      <c r="G27" s="110"/>
      <c r="H27" s="110"/>
      <c r="I27" s="109"/>
      <c r="J27" s="110"/>
      <c r="K27" s="110"/>
      <c r="L27" s="110"/>
      <c r="M27" s="109"/>
      <c r="N27" s="110"/>
      <c r="O27" s="110"/>
      <c r="P27" s="111"/>
      <c r="Q27" s="109"/>
      <c r="R27" s="110"/>
      <c r="S27" s="110"/>
      <c r="T27" s="111"/>
      <c r="U27" s="109"/>
      <c r="V27" s="110"/>
      <c r="W27" s="110"/>
      <c r="X27" s="110"/>
      <c r="Y27" s="115"/>
      <c r="Z27" s="115"/>
      <c r="AA27" s="115"/>
      <c r="AB27" s="115"/>
      <c r="AC27" s="110"/>
      <c r="AD27" s="110"/>
      <c r="AE27" s="110"/>
      <c r="AF27" s="110"/>
      <c r="AG27" s="114"/>
      <c r="AH27" s="114"/>
      <c r="AI27" s="114"/>
      <c r="AJ27" s="114"/>
      <c r="AK27" s="114"/>
      <c r="AL27" s="114"/>
      <c r="AM27" s="114"/>
      <c r="AN27" s="114"/>
      <c r="AO27" s="114"/>
      <c r="AP27" s="114"/>
      <c r="AQ27" s="114"/>
      <c r="AR27" s="114"/>
      <c r="AS27" s="114"/>
      <c r="AT27" s="114"/>
      <c r="AU27" s="114"/>
      <c r="AV27" s="114"/>
      <c r="AW27" s="114"/>
      <c r="AX27" s="114"/>
      <c r="AY27" s="114"/>
      <c r="AZ27" s="114"/>
      <c r="BA27" s="114"/>
    </row>
    <row r="28" spans="2:53" s="21" customFormat="1" ht="18" customHeight="1" x14ac:dyDescent="0.15">
      <c r="B28" s="106" t="s">
        <v>11</v>
      </c>
      <c r="C28" s="107"/>
      <c r="D28" s="107"/>
      <c r="E28" s="107"/>
      <c r="F28" s="107"/>
      <c r="G28" s="107"/>
      <c r="H28" s="107"/>
      <c r="I28" s="106">
        <v>126346000</v>
      </c>
      <c r="J28" s="107"/>
      <c r="K28" s="107"/>
      <c r="L28" s="107"/>
      <c r="M28" s="106">
        <v>0</v>
      </c>
      <c r="N28" s="107"/>
      <c r="O28" s="107"/>
      <c r="P28" s="108"/>
      <c r="Q28" s="106">
        <v>0</v>
      </c>
      <c r="R28" s="107"/>
      <c r="S28" s="107"/>
      <c r="T28" s="108"/>
      <c r="U28" s="106">
        <f>SUM(I28:T29)</f>
        <v>126346000</v>
      </c>
      <c r="V28" s="107"/>
      <c r="W28" s="107"/>
      <c r="X28" s="107"/>
      <c r="Y28" s="115">
        <v>126551946</v>
      </c>
      <c r="Z28" s="115"/>
      <c r="AA28" s="115"/>
      <c r="AB28" s="115"/>
      <c r="AC28" s="169">
        <f>Y28-U28</f>
        <v>205946</v>
      </c>
      <c r="AD28" s="170"/>
      <c r="AE28" s="170"/>
      <c r="AF28" s="170"/>
      <c r="AG28" s="73" t="s">
        <v>67</v>
      </c>
      <c r="AH28" s="74"/>
      <c r="AI28" s="74"/>
      <c r="AJ28" s="74"/>
      <c r="AK28" s="74"/>
      <c r="AL28" s="74"/>
      <c r="AM28" s="74"/>
      <c r="AN28" s="74"/>
      <c r="AO28" s="74"/>
      <c r="AP28" s="74"/>
      <c r="AQ28" s="74"/>
      <c r="AR28" s="74"/>
      <c r="AS28" s="74"/>
      <c r="AT28" s="74"/>
      <c r="AU28" s="74"/>
      <c r="AV28" s="74"/>
      <c r="AW28" s="74"/>
      <c r="AX28" s="74"/>
      <c r="AY28" s="74"/>
      <c r="AZ28" s="74"/>
      <c r="BA28" s="75"/>
    </row>
    <row r="29" spans="2:53" s="21" customFormat="1" ht="18" customHeight="1" x14ac:dyDescent="0.15">
      <c r="B29" s="109"/>
      <c r="C29" s="110"/>
      <c r="D29" s="110"/>
      <c r="E29" s="110"/>
      <c r="F29" s="110"/>
      <c r="G29" s="110"/>
      <c r="H29" s="110"/>
      <c r="I29" s="109"/>
      <c r="J29" s="110"/>
      <c r="K29" s="110"/>
      <c r="L29" s="110"/>
      <c r="M29" s="109"/>
      <c r="N29" s="110"/>
      <c r="O29" s="110"/>
      <c r="P29" s="111"/>
      <c r="Q29" s="109"/>
      <c r="R29" s="110"/>
      <c r="S29" s="110"/>
      <c r="T29" s="111"/>
      <c r="U29" s="109"/>
      <c r="V29" s="110"/>
      <c r="W29" s="110"/>
      <c r="X29" s="110"/>
      <c r="Y29" s="115"/>
      <c r="Z29" s="115"/>
      <c r="AA29" s="115"/>
      <c r="AB29" s="115"/>
      <c r="AC29" s="171"/>
      <c r="AD29" s="172"/>
      <c r="AE29" s="172"/>
      <c r="AF29" s="172"/>
      <c r="AG29" s="76"/>
      <c r="AH29" s="77"/>
      <c r="AI29" s="77"/>
      <c r="AJ29" s="77"/>
      <c r="AK29" s="77"/>
      <c r="AL29" s="77"/>
      <c r="AM29" s="77"/>
      <c r="AN29" s="77"/>
      <c r="AO29" s="77"/>
      <c r="AP29" s="77"/>
      <c r="AQ29" s="77"/>
      <c r="AR29" s="77"/>
      <c r="AS29" s="77"/>
      <c r="AT29" s="77"/>
      <c r="AU29" s="77"/>
      <c r="AV29" s="77"/>
      <c r="AW29" s="77"/>
      <c r="AX29" s="77"/>
      <c r="AY29" s="77"/>
      <c r="AZ29" s="77"/>
      <c r="BA29" s="78"/>
    </row>
    <row r="30" spans="2:53" s="21" customFormat="1" ht="18" customHeight="1" x14ac:dyDescent="0.15">
      <c r="B30" s="106" t="s">
        <v>12</v>
      </c>
      <c r="C30" s="107"/>
      <c r="D30" s="107"/>
      <c r="E30" s="107"/>
      <c r="F30" s="107"/>
      <c r="G30" s="107"/>
      <c r="H30" s="108"/>
      <c r="I30" s="106">
        <v>41179000</v>
      </c>
      <c r="J30" s="107"/>
      <c r="K30" s="107"/>
      <c r="L30" s="108"/>
      <c r="M30" s="106">
        <v>-2245000</v>
      </c>
      <c r="N30" s="107"/>
      <c r="O30" s="107"/>
      <c r="P30" s="108"/>
      <c r="Q30" s="106">
        <v>0</v>
      </c>
      <c r="R30" s="107"/>
      <c r="S30" s="107"/>
      <c r="T30" s="108"/>
      <c r="U30" s="106">
        <f>SUM(I30:T31)</f>
        <v>38934000</v>
      </c>
      <c r="V30" s="107"/>
      <c r="W30" s="107"/>
      <c r="X30" s="107"/>
      <c r="Y30" s="115">
        <v>38711569</v>
      </c>
      <c r="Z30" s="115"/>
      <c r="AA30" s="115"/>
      <c r="AB30" s="115"/>
      <c r="AC30" s="106">
        <f>Y30-U30</f>
        <v>-222431</v>
      </c>
      <c r="AD30" s="107"/>
      <c r="AE30" s="107"/>
      <c r="AF30" s="107"/>
      <c r="AG30" s="139"/>
      <c r="AH30" s="139"/>
      <c r="AI30" s="139"/>
      <c r="AJ30" s="139"/>
      <c r="AK30" s="139"/>
      <c r="AL30" s="139"/>
      <c r="AM30" s="139"/>
      <c r="AN30" s="139"/>
      <c r="AO30" s="139"/>
      <c r="AP30" s="139"/>
      <c r="AQ30" s="139"/>
      <c r="AR30" s="139"/>
      <c r="AS30" s="139"/>
      <c r="AT30" s="139"/>
      <c r="AU30" s="139"/>
      <c r="AV30" s="139"/>
      <c r="AW30" s="139"/>
      <c r="AX30" s="139"/>
      <c r="AY30" s="139"/>
      <c r="AZ30" s="139"/>
      <c r="BA30" s="139"/>
    </row>
    <row r="31" spans="2:53" s="21" customFormat="1" ht="18" customHeight="1" x14ac:dyDescent="0.15">
      <c r="B31" s="109"/>
      <c r="C31" s="110"/>
      <c r="D31" s="110"/>
      <c r="E31" s="110"/>
      <c r="F31" s="110"/>
      <c r="G31" s="110"/>
      <c r="H31" s="111"/>
      <c r="I31" s="109"/>
      <c r="J31" s="110"/>
      <c r="K31" s="110"/>
      <c r="L31" s="111"/>
      <c r="M31" s="109"/>
      <c r="N31" s="110"/>
      <c r="O31" s="110"/>
      <c r="P31" s="111"/>
      <c r="Q31" s="109"/>
      <c r="R31" s="110"/>
      <c r="S31" s="110"/>
      <c r="T31" s="111"/>
      <c r="U31" s="109"/>
      <c r="V31" s="110"/>
      <c r="W31" s="110"/>
      <c r="X31" s="110"/>
      <c r="Y31" s="115"/>
      <c r="Z31" s="115"/>
      <c r="AA31" s="115"/>
      <c r="AB31" s="115"/>
      <c r="AC31" s="109"/>
      <c r="AD31" s="110"/>
      <c r="AE31" s="110"/>
      <c r="AF31" s="110"/>
      <c r="AG31" s="139"/>
      <c r="AH31" s="139"/>
      <c r="AI31" s="139"/>
      <c r="AJ31" s="139"/>
      <c r="AK31" s="139"/>
      <c r="AL31" s="139"/>
      <c r="AM31" s="139"/>
      <c r="AN31" s="139"/>
      <c r="AO31" s="139"/>
      <c r="AP31" s="139"/>
      <c r="AQ31" s="139"/>
      <c r="AR31" s="139"/>
      <c r="AS31" s="139"/>
      <c r="AT31" s="139"/>
      <c r="AU31" s="139"/>
      <c r="AV31" s="139"/>
      <c r="AW31" s="139"/>
      <c r="AX31" s="139"/>
      <c r="AY31" s="139"/>
      <c r="AZ31" s="139"/>
      <c r="BA31" s="139"/>
    </row>
    <row r="32" spans="2:53"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7"/>
      <c r="C34" s="137"/>
      <c r="D34" s="137"/>
      <c r="E34" s="137"/>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7" t="s">
        <v>47</v>
      </c>
      <c r="AV34" s="157"/>
      <c r="AW34" s="157"/>
      <c r="AX34" s="157"/>
      <c r="AY34" s="157"/>
      <c r="AZ34" s="157"/>
      <c r="BA34" s="157"/>
    </row>
    <row r="35" spans="2:53" s="21" customFormat="1" ht="13.5" customHeight="1" x14ac:dyDescent="0.15">
      <c r="B35" s="114" t="s">
        <v>2</v>
      </c>
      <c r="C35" s="114"/>
      <c r="D35" s="114"/>
      <c r="E35" s="114"/>
      <c r="F35" s="114"/>
      <c r="G35" s="114"/>
      <c r="H35" s="114"/>
      <c r="I35" s="91" t="s">
        <v>14</v>
      </c>
      <c r="J35" s="92"/>
      <c r="K35" s="92"/>
      <c r="L35" s="92"/>
      <c r="M35" s="92"/>
      <c r="N35" s="92"/>
      <c r="O35" s="92"/>
      <c r="P35" s="92"/>
      <c r="Q35" s="92"/>
      <c r="R35" s="92"/>
      <c r="S35" s="92"/>
      <c r="T35" s="92"/>
      <c r="U35" s="92"/>
      <c r="V35" s="92"/>
      <c r="W35" s="92"/>
      <c r="X35" s="92"/>
      <c r="Y35" s="92"/>
      <c r="Z35" s="92"/>
      <c r="AA35" s="92"/>
      <c r="AB35" s="92"/>
      <c r="AC35" s="92"/>
      <c r="AD35" s="92"/>
      <c r="AE35" s="92"/>
      <c r="AF35" s="92"/>
      <c r="AG35" s="93"/>
      <c r="AH35" s="91" t="s">
        <v>15</v>
      </c>
      <c r="AI35" s="92"/>
      <c r="AJ35" s="92"/>
      <c r="AK35" s="93"/>
      <c r="AL35" s="125" t="s">
        <v>16</v>
      </c>
      <c r="AM35" s="125"/>
      <c r="AN35" s="114" t="s">
        <v>17</v>
      </c>
      <c r="AO35" s="114"/>
      <c r="AP35" s="114"/>
      <c r="AQ35" s="114"/>
      <c r="AR35" s="91" t="s">
        <v>18</v>
      </c>
      <c r="AS35" s="92"/>
      <c r="AT35" s="92"/>
      <c r="AU35" s="92"/>
      <c r="AV35" s="92"/>
      <c r="AW35" s="92"/>
      <c r="AX35" s="92"/>
      <c r="AY35" s="92"/>
      <c r="AZ35" s="92"/>
      <c r="BA35" s="93"/>
    </row>
    <row r="36" spans="2:53" s="21" customFormat="1" ht="13.5" customHeight="1" x14ac:dyDescent="0.15">
      <c r="B36" s="114"/>
      <c r="C36" s="114"/>
      <c r="D36" s="114"/>
      <c r="E36" s="114"/>
      <c r="F36" s="114"/>
      <c r="G36" s="114"/>
      <c r="H36" s="114"/>
      <c r="I36" s="97"/>
      <c r="J36" s="98"/>
      <c r="K36" s="98"/>
      <c r="L36" s="98"/>
      <c r="M36" s="98"/>
      <c r="N36" s="98"/>
      <c r="O36" s="98"/>
      <c r="P36" s="98"/>
      <c r="Q36" s="98"/>
      <c r="R36" s="98"/>
      <c r="S36" s="98"/>
      <c r="T36" s="98"/>
      <c r="U36" s="98"/>
      <c r="V36" s="98"/>
      <c r="W36" s="98"/>
      <c r="X36" s="98"/>
      <c r="Y36" s="98"/>
      <c r="Z36" s="98"/>
      <c r="AA36" s="98"/>
      <c r="AB36" s="98"/>
      <c r="AC36" s="98"/>
      <c r="AD36" s="98"/>
      <c r="AE36" s="98"/>
      <c r="AF36" s="98"/>
      <c r="AG36" s="99"/>
      <c r="AH36" s="94"/>
      <c r="AI36" s="95"/>
      <c r="AJ36" s="95"/>
      <c r="AK36" s="96"/>
      <c r="AL36" s="125"/>
      <c r="AM36" s="125"/>
      <c r="AN36" s="114"/>
      <c r="AO36" s="114"/>
      <c r="AP36" s="114"/>
      <c r="AQ36" s="114"/>
      <c r="AR36" s="94"/>
      <c r="AS36" s="95"/>
      <c r="AT36" s="95"/>
      <c r="AU36" s="95"/>
      <c r="AV36" s="95"/>
      <c r="AW36" s="95"/>
      <c r="AX36" s="95"/>
      <c r="AY36" s="95"/>
      <c r="AZ36" s="95"/>
      <c r="BA36" s="96"/>
    </row>
    <row r="37" spans="2:53" s="21" customFormat="1" ht="13.5" customHeight="1" x14ac:dyDescent="0.15">
      <c r="B37" s="114"/>
      <c r="C37" s="114"/>
      <c r="D37" s="114"/>
      <c r="E37" s="114"/>
      <c r="F37" s="114"/>
      <c r="G37" s="114"/>
      <c r="H37" s="114"/>
      <c r="I37" s="114" t="s">
        <v>19</v>
      </c>
      <c r="J37" s="114"/>
      <c r="K37" s="114"/>
      <c r="L37" s="114"/>
      <c r="M37" s="114" t="s">
        <v>20</v>
      </c>
      <c r="N37" s="114"/>
      <c r="O37" s="114"/>
      <c r="P37" s="114"/>
      <c r="Q37" s="167" t="s">
        <v>21</v>
      </c>
      <c r="R37" s="167"/>
      <c r="S37" s="167" t="s">
        <v>22</v>
      </c>
      <c r="T37" s="167"/>
      <c r="U37" s="167"/>
      <c r="V37" s="125" t="s">
        <v>23</v>
      </c>
      <c r="W37" s="125"/>
      <c r="X37" s="114" t="s">
        <v>24</v>
      </c>
      <c r="Y37" s="114"/>
      <c r="Z37" s="114"/>
      <c r="AA37" s="114"/>
      <c r="AB37" s="125" t="s">
        <v>16</v>
      </c>
      <c r="AC37" s="125"/>
      <c r="AD37" s="114" t="s">
        <v>25</v>
      </c>
      <c r="AE37" s="114"/>
      <c r="AF37" s="114"/>
      <c r="AG37" s="114"/>
      <c r="AH37" s="94"/>
      <c r="AI37" s="95"/>
      <c r="AJ37" s="95"/>
      <c r="AK37" s="96"/>
      <c r="AL37" s="125"/>
      <c r="AM37" s="125"/>
      <c r="AN37" s="114"/>
      <c r="AO37" s="114"/>
      <c r="AP37" s="114"/>
      <c r="AQ37" s="114"/>
      <c r="AR37" s="94"/>
      <c r="AS37" s="95"/>
      <c r="AT37" s="95"/>
      <c r="AU37" s="95"/>
      <c r="AV37" s="95"/>
      <c r="AW37" s="95"/>
      <c r="AX37" s="95"/>
      <c r="AY37" s="95"/>
      <c r="AZ37" s="95"/>
      <c r="BA37" s="96"/>
    </row>
    <row r="38" spans="2:53" s="21" customFormat="1" ht="13.5" customHeight="1" x14ac:dyDescent="0.15">
      <c r="B38" s="114"/>
      <c r="C38" s="114"/>
      <c r="D38" s="114"/>
      <c r="E38" s="114"/>
      <c r="F38" s="114"/>
      <c r="G38" s="114"/>
      <c r="H38" s="114"/>
      <c r="I38" s="114"/>
      <c r="J38" s="114"/>
      <c r="K38" s="114"/>
      <c r="L38" s="114"/>
      <c r="M38" s="114"/>
      <c r="N38" s="114"/>
      <c r="O38" s="114"/>
      <c r="P38" s="114"/>
      <c r="Q38" s="167"/>
      <c r="R38" s="167"/>
      <c r="S38" s="167"/>
      <c r="T38" s="167"/>
      <c r="U38" s="167"/>
      <c r="V38" s="125"/>
      <c r="W38" s="125"/>
      <c r="X38" s="114"/>
      <c r="Y38" s="114"/>
      <c r="Z38" s="114"/>
      <c r="AA38" s="114"/>
      <c r="AB38" s="125"/>
      <c r="AC38" s="125"/>
      <c r="AD38" s="114"/>
      <c r="AE38" s="114"/>
      <c r="AF38" s="114"/>
      <c r="AG38" s="114"/>
      <c r="AH38" s="94"/>
      <c r="AI38" s="95"/>
      <c r="AJ38" s="95"/>
      <c r="AK38" s="96"/>
      <c r="AL38" s="125"/>
      <c r="AM38" s="125"/>
      <c r="AN38" s="114"/>
      <c r="AO38" s="114"/>
      <c r="AP38" s="114"/>
      <c r="AQ38" s="114"/>
      <c r="AR38" s="94"/>
      <c r="AS38" s="95"/>
      <c r="AT38" s="95"/>
      <c r="AU38" s="95"/>
      <c r="AV38" s="95"/>
      <c r="AW38" s="95"/>
      <c r="AX38" s="95"/>
      <c r="AY38" s="95"/>
      <c r="AZ38" s="95"/>
      <c r="BA38" s="96"/>
    </row>
    <row r="39" spans="2:53" s="21" customFormat="1" ht="13.5" customHeight="1" x14ac:dyDescent="0.15">
      <c r="B39" s="114"/>
      <c r="C39" s="114"/>
      <c r="D39" s="114"/>
      <c r="E39" s="114"/>
      <c r="F39" s="114"/>
      <c r="G39" s="114"/>
      <c r="H39" s="114"/>
      <c r="I39" s="114"/>
      <c r="J39" s="114"/>
      <c r="K39" s="114"/>
      <c r="L39" s="114"/>
      <c r="M39" s="114"/>
      <c r="N39" s="114"/>
      <c r="O39" s="114"/>
      <c r="P39" s="114"/>
      <c r="Q39" s="167"/>
      <c r="R39" s="167"/>
      <c r="S39" s="167"/>
      <c r="T39" s="167"/>
      <c r="U39" s="167"/>
      <c r="V39" s="125"/>
      <c r="W39" s="125"/>
      <c r="X39" s="114"/>
      <c r="Y39" s="114"/>
      <c r="Z39" s="114"/>
      <c r="AA39" s="114"/>
      <c r="AB39" s="125"/>
      <c r="AC39" s="125"/>
      <c r="AD39" s="114"/>
      <c r="AE39" s="114"/>
      <c r="AF39" s="114"/>
      <c r="AG39" s="114"/>
      <c r="AH39" s="94"/>
      <c r="AI39" s="95"/>
      <c r="AJ39" s="95"/>
      <c r="AK39" s="96"/>
      <c r="AL39" s="125"/>
      <c r="AM39" s="125"/>
      <c r="AN39" s="114"/>
      <c r="AO39" s="114"/>
      <c r="AP39" s="114"/>
      <c r="AQ39" s="114"/>
      <c r="AR39" s="94"/>
      <c r="AS39" s="95"/>
      <c r="AT39" s="95"/>
      <c r="AU39" s="95"/>
      <c r="AV39" s="95"/>
      <c r="AW39" s="95"/>
      <c r="AX39" s="95"/>
      <c r="AY39" s="95"/>
      <c r="AZ39" s="95"/>
      <c r="BA39" s="96"/>
    </row>
    <row r="40" spans="2:53" s="21" customFormat="1" ht="13.5" customHeight="1" x14ac:dyDescent="0.15">
      <c r="B40" s="114"/>
      <c r="C40" s="114"/>
      <c r="D40" s="114"/>
      <c r="E40" s="114"/>
      <c r="F40" s="114"/>
      <c r="G40" s="114"/>
      <c r="H40" s="114"/>
      <c r="I40" s="114"/>
      <c r="J40" s="114"/>
      <c r="K40" s="114"/>
      <c r="L40" s="114"/>
      <c r="M40" s="114"/>
      <c r="N40" s="114"/>
      <c r="O40" s="114"/>
      <c r="P40" s="114"/>
      <c r="Q40" s="167"/>
      <c r="R40" s="167"/>
      <c r="S40" s="167"/>
      <c r="T40" s="167"/>
      <c r="U40" s="167"/>
      <c r="V40" s="125"/>
      <c r="W40" s="125"/>
      <c r="X40" s="114"/>
      <c r="Y40" s="114"/>
      <c r="Z40" s="114"/>
      <c r="AA40" s="114"/>
      <c r="AB40" s="125"/>
      <c r="AC40" s="125"/>
      <c r="AD40" s="114"/>
      <c r="AE40" s="114"/>
      <c r="AF40" s="114"/>
      <c r="AG40" s="114"/>
      <c r="AH40" s="97"/>
      <c r="AI40" s="98"/>
      <c r="AJ40" s="98"/>
      <c r="AK40" s="99"/>
      <c r="AL40" s="125"/>
      <c r="AM40" s="125"/>
      <c r="AN40" s="114"/>
      <c r="AO40" s="114"/>
      <c r="AP40" s="114"/>
      <c r="AQ40" s="114"/>
      <c r="AR40" s="97"/>
      <c r="AS40" s="98"/>
      <c r="AT40" s="98"/>
      <c r="AU40" s="98"/>
      <c r="AV40" s="98"/>
      <c r="AW40" s="98"/>
      <c r="AX40" s="98"/>
      <c r="AY40" s="98"/>
      <c r="AZ40" s="98"/>
      <c r="BA40" s="99"/>
    </row>
    <row r="41" spans="2:53" s="21" customFormat="1" ht="18" customHeight="1" x14ac:dyDescent="0.15">
      <c r="B41" s="115" t="s">
        <v>26</v>
      </c>
      <c r="C41" s="115"/>
      <c r="D41" s="115"/>
      <c r="E41" s="115"/>
      <c r="F41" s="115"/>
      <c r="G41" s="115"/>
      <c r="H41" s="115"/>
      <c r="I41" s="161">
        <f>SUM(I43:L48)</f>
        <v>162571000</v>
      </c>
      <c r="J41" s="162"/>
      <c r="K41" s="162"/>
      <c r="L41" s="163"/>
      <c r="M41" s="161">
        <f>SUM(M43:P48)</f>
        <v>-3475000</v>
      </c>
      <c r="N41" s="162"/>
      <c r="O41" s="162"/>
      <c r="P41" s="163"/>
      <c r="Q41" s="115">
        <f>SUM(Q43:R48)</f>
        <v>0</v>
      </c>
      <c r="R41" s="115"/>
      <c r="S41" s="115">
        <f>SUM(S43:U48)</f>
        <v>0</v>
      </c>
      <c r="T41" s="115"/>
      <c r="U41" s="115"/>
      <c r="V41" s="161">
        <f>SUM(V43:W48)</f>
        <v>0</v>
      </c>
      <c r="W41" s="163"/>
      <c r="X41" s="161">
        <f>SUM(X43:AA48)</f>
        <v>159096000</v>
      </c>
      <c r="Y41" s="162"/>
      <c r="Z41" s="162"/>
      <c r="AA41" s="163"/>
      <c r="AB41" s="106">
        <f>SUM(AB43:AC48)</f>
        <v>0</v>
      </c>
      <c r="AC41" s="107"/>
      <c r="AD41" s="161">
        <f>SUM(AD43:AG48)</f>
        <v>159096000</v>
      </c>
      <c r="AE41" s="162"/>
      <c r="AF41" s="162"/>
      <c r="AG41" s="163"/>
      <c r="AH41" s="106">
        <f>SUM(AH43:AK48)</f>
        <v>155412933</v>
      </c>
      <c r="AI41" s="107"/>
      <c r="AJ41" s="107"/>
      <c r="AK41" s="107"/>
      <c r="AL41" s="68">
        <f>SUM(AL43:AM48)</f>
        <v>0</v>
      </c>
      <c r="AM41" s="68"/>
      <c r="AN41" s="68">
        <f>SUM(AN43:AQ48)</f>
        <v>3683067</v>
      </c>
      <c r="AO41" s="68"/>
      <c r="AP41" s="68"/>
      <c r="AQ41" s="68"/>
      <c r="AR41" s="100"/>
      <c r="AS41" s="101"/>
      <c r="AT41" s="101"/>
      <c r="AU41" s="101"/>
      <c r="AV41" s="101"/>
      <c r="AW41" s="101"/>
      <c r="AX41" s="101"/>
      <c r="AY41" s="101"/>
      <c r="AZ41" s="101"/>
      <c r="BA41" s="102"/>
    </row>
    <row r="42" spans="2:53" s="21" customFormat="1" ht="18" customHeight="1" x14ac:dyDescent="0.15">
      <c r="B42" s="115"/>
      <c r="C42" s="115"/>
      <c r="D42" s="115"/>
      <c r="E42" s="115"/>
      <c r="F42" s="115"/>
      <c r="G42" s="115"/>
      <c r="H42" s="115"/>
      <c r="I42" s="164"/>
      <c r="J42" s="165"/>
      <c r="K42" s="165"/>
      <c r="L42" s="166"/>
      <c r="M42" s="164"/>
      <c r="N42" s="165"/>
      <c r="O42" s="165"/>
      <c r="P42" s="166"/>
      <c r="Q42" s="115"/>
      <c r="R42" s="115"/>
      <c r="S42" s="115"/>
      <c r="T42" s="115"/>
      <c r="U42" s="115"/>
      <c r="V42" s="164"/>
      <c r="W42" s="166"/>
      <c r="X42" s="164"/>
      <c r="Y42" s="165"/>
      <c r="Z42" s="165"/>
      <c r="AA42" s="166"/>
      <c r="AB42" s="109"/>
      <c r="AC42" s="110"/>
      <c r="AD42" s="164"/>
      <c r="AE42" s="165"/>
      <c r="AF42" s="165"/>
      <c r="AG42" s="166"/>
      <c r="AH42" s="109"/>
      <c r="AI42" s="110"/>
      <c r="AJ42" s="110"/>
      <c r="AK42" s="110"/>
      <c r="AL42" s="68"/>
      <c r="AM42" s="68"/>
      <c r="AN42" s="68"/>
      <c r="AO42" s="68"/>
      <c r="AP42" s="68"/>
      <c r="AQ42" s="68"/>
      <c r="AR42" s="103"/>
      <c r="AS42" s="104"/>
      <c r="AT42" s="104"/>
      <c r="AU42" s="104"/>
      <c r="AV42" s="104"/>
      <c r="AW42" s="104"/>
      <c r="AX42" s="104"/>
      <c r="AY42" s="104"/>
      <c r="AZ42" s="104"/>
      <c r="BA42" s="105"/>
    </row>
    <row r="43" spans="2:53" s="21" customFormat="1" ht="18" customHeight="1" x14ac:dyDescent="0.15">
      <c r="B43" s="115" t="s">
        <v>27</v>
      </c>
      <c r="C43" s="115"/>
      <c r="D43" s="115"/>
      <c r="E43" s="115"/>
      <c r="F43" s="115"/>
      <c r="G43" s="115"/>
      <c r="H43" s="115"/>
      <c r="I43" s="115">
        <v>151483000</v>
      </c>
      <c r="J43" s="115"/>
      <c r="K43" s="115"/>
      <c r="L43" s="115"/>
      <c r="M43" s="115">
        <v>-3503000</v>
      </c>
      <c r="N43" s="115"/>
      <c r="O43" s="115"/>
      <c r="P43" s="115"/>
      <c r="Q43" s="115">
        <v>0</v>
      </c>
      <c r="R43" s="115"/>
      <c r="S43" s="68">
        <v>-2151000</v>
      </c>
      <c r="T43" s="68"/>
      <c r="U43" s="68"/>
      <c r="V43" s="115">
        <v>0</v>
      </c>
      <c r="W43" s="115"/>
      <c r="X43" s="115">
        <f>SUM(I43:T44)</f>
        <v>145829000</v>
      </c>
      <c r="Y43" s="115"/>
      <c r="Z43" s="115"/>
      <c r="AA43" s="115"/>
      <c r="AB43" s="106">
        <v>0</v>
      </c>
      <c r="AC43" s="108"/>
      <c r="AD43" s="115">
        <f>SUM(X43:AC44)</f>
        <v>145829000</v>
      </c>
      <c r="AE43" s="115"/>
      <c r="AF43" s="115"/>
      <c r="AG43" s="115"/>
      <c r="AH43" s="106">
        <v>142646786</v>
      </c>
      <c r="AI43" s="107"/>
      <c r="AJ43" s="107"/>
      <c r="AK43" s="108"/>
      <c r="AL43" s="68">
        <v>0</v>
      </c>
      <c r="AM43" s="68"/>
      <c r="AN43" s="68">
        <f>AD43-AH43-AL43</f>
        <v>3182214</v>
      </c>
      <c r="AO43" s="68"/>
      <c r="AP43" s="68"/>
      <c r="AQ43" s="68"/>
      <c r="AR43" s="83" t="s">
        <v>59</v>
      </c>
      <c r="AS43" s="84"/>
      <c r="AT43" s="84"/>
      <c r="AU43" s="84"/>
      <c r="AV43" s="84"/>
      <c r="AW43" s="84"/>
      <c r="AX43" s="84"/>
      <c r="AY43" s="84"/>
      <c r="AZ43" s="84"/>
      <c r="BA43" s="85"/>
    </row>
    <row r="44" spans="2:53" s="21" customFormat="1" ht="18" customHeight="1" x14ac:dyDescent="0.15">
      <c r="B44" s="115"/>
      <c r="C44" s="115"/>
      <c r="D44" s="115"/>
      <c r="E44" s="115"/>
      <c r="F44" s="115"/>
      <c r="G44" s="115"/>
      <c r="H44" s="115"/>
      <c r="I44" s="115"/>
      <c r="J44" s="115"/>
      <c r="K44" s="115"/>
      <c r="L44" s="115"/>
      <c r="M44" s="115"/>
      <c r="N44" s="115"/>
      <c r="O44" s="115"/>
      <c r="P44" s="115"/>
      <c r="Q44" s="115"/>
      <c r="R44" s="115"/>
      <c r="S44" s="68"/>
      <c r="T44" s="68"/>
      <c r="U44" s="68"/>
      <c r="V44" s="115"/>
      <c r="W44" s="115"/>
      <c r="X44" s="115"/>
      <c r="Y44" s="115"/>
      <c r="Z44" s="115"/>
      <c r="AA44" s="115"/>
      <c r="AB44" s="109"/>
      <c r="AC44" s="111"/>
      <c r="AD44" s="115"/>
      <c r="AE44" s="115"/>
      <c r="AF44" s="115"/>
      <c r="AG44" s="115"/>
      <c r="AH44" s="109"/>
      <c r="AI44" s="110"/>
      <c r="AJ44" s="110"/>
      <c r="AK44" s="111"/>
      <c r="AL44" s="68"/>
      <c r="AM44" s="68"/>
      <c r="AN44" s="68"/>
      <c r="AO44" s="68"/>
      <c r="AP44" s="68"/>
      <c r="AQ44" s="68"/>
      <c r="AR44" s="158" t="s">
        <v>68</v>
      </c>
      <c r="AS44" s="159"/>
      <c r="AT44" s="159"/>
      <c r="AU44" s="159"/>
      <c r="AV44" s="159"/>
      <c r="AW44" s="159"/>
      <c r="AX44" s="159"/>
      <c r="AY44" s="159"/>
      <c r="AZ44" s="159"/>
      <c r="BA44" s="160"/>
    </row>
    <row r="45" spans="2:53" s="21" customFormat="1" ht="18" customHeight="1" x14ac:dyDescent="0.15">
      <c r="B45" s="115" t="s">
        <v>28</v>
      </c>
      <c r="C45" s="115"/>
      <c r="D45" s="115"/>
      <c r="E45" s="115"/>
      <c r="F45" s="115"/>
      <c r="G45" s="115"/>
      <c r="H45" s="115"/>
      <c r="I45" s="115">
        <v>10588000</v>
      </c>
      <c r="J45" s="115"/>
      <c r="K45" s="115"/>
      <c r="L45" s="115"/>
      <c r="M45" s="115">
        <v>28000</v>
      </c>
      <c r="N45" s="115"/>
      <c r="O45" s="115"/>
      <c r="P45" s="115"/>
      <c r="Q45" s="115">
        <v>0</v>
      </c>
      <c r="R45" s="115"/>
      <c r="S45" s="68">
        <v>2151000</v>
      </c>
      <c r="T45" s="68"/>
      <c r="U45" s="68"/>
      <c r="V45" s="115">
        <v>0</v>
      </c>
      <c r="W45" s="115"/>
      <c r="X45" s="115">
        <f>SUM(I45:T46)</f>
        <v>12767000</v>
      </c>
      <c r="Y45" s="115"/>
      <c r="Z45" s="115"/>
      <c r="AA45" s="115"/>
      <c r="AB45" s="106">
        <v>0</v>
      </c>
      <c r="AC45" s="108"/>
      <c r="AD45" s="115">
        <f>SUM(X45:AC46)</f>
        <v>12767000</v>
      </c>
      <c r="AE45" s="115"/>
      <c r="AF45" s="115"/>
      <c r="AG45" s="115"/>
      <c r="AH45" s="106">
        <v>12766147</v>
      </c>
      <c r="AI45" s="107"/>
      <c r="AJ45" s="107"/>
      <c r="AK45" s="108"/>
      <c r="AL45" s="106">
        <v>0</v>
      </c>
      <c r="AM45" s="108"/>
      <c r="AN45" s="54">
        <f>AD45-AH45-AL45</f>
        <v>853</v>
      </c>
      <c r="AO45" s="55"/>
      <c r="AP45" s="55"/>
      <c r="AQ45" s="70"/>
      <c r="AR45" s="83" t="s">
        <v>60</v>
      </c>
      <c r="AS45" s="84"/>
      <c r="AT45" s="84"/>
      <c r="AU45" s="84"/>
      <c r="AV45" s="84"/>
      <c r="AW45" s="84"/>
      <c r="AX45" s="84"/>
      <c r="AY45" s="84"/>
      <c r="AZ45" s="84"/>
      <c r="BA45" s="85"/>
    </row>
    <row r="46" spans="2:53" s="21" customFormat="1" ht="18" customHeight="1" x14ac:dyDescent="0.15">
      <c r="B46" s="115"/>
      <c r="C46" s="115"/>
      <c r="D46" s="115"/>
      <c r="E46" s="115"/>
      <c r="F46" s="115"/>
      <c r="G46" s="115"/>
      <c r="H46" s="115"/>
      <c r="I46" s="115"/>
      <c r="J46" s="115"/>
      <c r="K46" s="115"/>
      <c r="L46" s="115"/>
      <c r="M46" s="115"/>
      <c r="N46" s="115"/>
      <c r="O46" s="115"/>
      <c r="P46" s="115"/>
      <c r="Q46" s="115"/>
      <c r="R46" s="115"/>
      <c r="S46" s="68"/>
      <c r="T46" s="68"/>
      <c r="U46" s="68"/>
      <c r="V46" s="115"/>
      <c r="W46" s="115"/>
      <c r="X46" s="115"/>
      <c r="Y46" s="115"/>
      <c r="Z46" s="115"/>
      <c r="AA46" s="115"/>
      <c r="AB46" s="109"/>
      <c r="AC46" s="111"/>
      <c r="AD46" s="115"/>
      <c r="AE46" s="115"/>
      <c r="AF46" s="115"/>
      <c r="AG46" s="115"/>
      <c r="AH46" s="109"/>
      <c r="AI46" s="110"/>
      <c r="AJ46" s="110"/>
      <c r="AK46" s="111"/>
      <c r="AL46" s="109"/>
      <c r="AM46" s="111"/>
      <c r="AN46" s="56"/>
      <c r="AO46" s="57"/>
      <c r="AP46" s="57"/>
      <c r="AQ46" s="71"/>
      <c r="AR46" s="158">
        <v>5898700</v>
      </c>
      <c r="AS46" s="159"/>
      <c r="AT46" s="159"/>
      <c r="AU46" s="159"/>
      <c r="AV46" s="159"/>
      <c r="AW46" s="159"/>
      <c r="AX46" s="159"/>
      <c r="AY46" s="159"/>
      <c r="AZ46" s="159"/>
      <c r="BA46" s="160"/>
    </row>
    <row r="47" spans="2:53" s="21" customFormat="1" ht="18" customHeight="1" x14ac:dyDescent="0.15">
      <c r="B47" s="115" t="s">
        <v>29</v>
      </c>
      <c r="C47" s="115"/>
      <c r="D47" s="115"/>
      <c r="E47" s="115"/>
      <c r="F47" s="115"/>
      <c r="G47" s="115"/>
      <c r="H47" s="115"/>
      <c r="I47" s="115">
        <v>500000</v>
      </c>
      <c r="J47" s="115"/>
      <c r="K47" s="115"/>
      <c r="L47" s="115"/>
      <c r="M47" s="115"/>
      <c r="N47" s="115"/>
      <c r="O47" s="115"/>
      <c r="P47" s="115"/>
      <c r="Q47" s="115">
        <v>0</v>
      </c>
      <c r="R47" s="115"/>
      <c r="S47" s="68">
        <v>0</v>
      </c>
      <c r="T47" s="68"/>
      <c r="U47" s="68"/>
      <c r="V47" s="115">
        <v>0</v>
      </c>
      <c r="W47" s="115"/>
      <c r="X47" s="115">
        <f>SUM(I47:T48)</f>
        <v>500000</v>
      </c>
      <c r="Y47" s="115"/>
      <c r="Z47" s="115"/>
      <c r="AA47" s="115"/>
      <c r="AB47" s="106">
        <v>0</v>
      </c>
      <c r="AC47" s="108"/>
      <c r="AD47" s="115">
        <f>SUM(X47:AC48)</f>
        <v>500000</v>
      </c>
      <c r="AE47" s="115"/>
      <c r="AF47" s="115"/>
      <c r="AG47" s="115"/>
      <c r="AH47" s="106">
        <v>0</v>
      </c>
      <c r="AI47" s="107"/>
      <c r="AJ47" s="107"/>
      <c r="AK47" s="108"/>
      <c r="AL47" s="106">
        <v>0</v>
      </c>
      <c r="AM47" s="108"/>
      <c r="AN47" s="54">
        <f>AD47-AH47-AL47</f>
        <v>500000</v>
      </c>
      <c r="AO47" s="55"/>
      <c r="AP47" s="55"/>
      <c r="AQ47" s="70"/>
      <c r="AR47" s="58"/>
      <c r="AS47" s="59"/>
      <c r="AT47" s="59"/>
      <c r="AU47" s="59"/>
      <c r="AV47" s="59"/>
      <c r="AW47" s="59"/>
      <c r="AX47" s="59"/>
      <c r="AY47" s="59"/>
      <c r="AZ47" s="59"/>
      <c r="BA47" s="60"/>
    </row>
    <row r="48" spans="2:53" s="21" customFormat="1" ht="18" customHeight="1" x14ac:dyDescent="0.15">
      <c r="B48" s="115"/>
      <c r="C48" s="115"/>
      <c r="D48" s="115"/>
      <c r="E48" s="115"/>
      <c r="F48" s="115"/>
      <c r="G48" s="115"/>
      <c r="H48" s="115"/>
      <c r="I48" s="115"/>
      <c r="J48" s="115"/>
      <c r="K48" s="115"/>
      <c r="L48" s="115"/>
      <c r="M48" s="115"/>
      <c r="N48" s="115"/>
      <c r="O48" s="115"/>
      <c r="P48" s="115"/>
      <c r="Q48" s="115"/>
      <c r="R48" s="115"/>
      <c r="S48" s="68"/>
      <c r="T48" s="68"/>
      <c r="U48" s="68"/>
      <c r="V48" s="115"/>
      <c r="W48" s="115"/>
      <c r="X48" s="115"/>
      <c r="Y48" s="115"/>
      <c r="Z48" s="115"/>
      <c r="AA48" s="115"/>
      <c r="AB48" s="109"/>
      <c r="AC48" s="111"/>
      <c r="AD48" s="115"/>
      <c r="AE48" s="115"/>
      <c r="AF48" s="115"/>
      <c r="AG48" s="115"/>
      <c r="AH48" s="109"/>
      <c r="AI48" s="110"/>
      <c r="AJ48" s="110"/>
      <c r="AK48" s="111"/>
      <c r="AL48" s="109"/>
      <c r="AM48" s="111"/>
      <c r="AN48" s="56"/>
      <c r="AO48" s="57"/>
      <c r="AP48" s="57"/>
      <c r="AQ48" s="71"/>
      <c r="AR48" s="61"/>
      <c r="AS48" s="62"/>
      <c r="AT48" s="62"/>
      <c r="AU48" s="62"/>
      <c r="AV48" s="62"/>
      <c r="AW48" s="62"/>
      <c r="AX48" s="62"/>
      <c r="AY48" s="62"/>
      <c r="AZ48" s="62"/>
      <c r="BA48" s="63"/>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row>
    <row r="52" spans="2:83" s="25" customFormat="1" ht="13.5" customHeight="1" x14ac:dyDescent="0.15">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row>
    <row r="53" spans="2:83" s="25" customFormat="1" ht="13.5" customHeight="1" x14ac:dyDescent="0.1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row>
    <row r="54" spans="2:83" s="25" customFormat="1" ht="13.5" customHeight="1" x14ac:dyDescent="0.15">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row>
    <row r="55" spans="2:83" s="25" customFormat="1" ht="13.5" customHeight="1" x14ac:dyDescent="0.15">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row>
    <row r="56" spans="2:83" s="25" customFormat="1" ht="13.5" customHeight="1" x14ac:dyDescent="0.15">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row>
    <row r="57" spans="2:83" s="25" customFormat="1" ht="12" customHeight="1" x14ac:dyDescent="0.15">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row>
    <row r="58" spans="2:83" s="25" customFormat="1" ht="13.5" hidden="1" customHeight="1" x14ac:dyDescent="0.15">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row>
    <row r="59" spans="2:83" s="25" customFormat="1" ht="13.5" hidden="1" customHeight="1" x14ac:dyDescent="0.15">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row>
    <row r="60" spans="2:83" s="25" customFormat="1" ht="13.5" customHeight="1" x14ac:dyDescent="0.15">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row>
    <row r="61" spans="2:83" s="25" customFormat="1" ht="13.5" customHeight="1" x14ac:dyDescent="0.15">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row>
    <row r="62" spans="2:83" s="25" customFormat="1" ht="13.5" customHeight="1" x14ac:dyDescent="0.15">
      <c r="B62" s="156" t="s">
        <v>30</v>
      </c>
      <c r="C62" s="156"/>
      <c r="D62" s="156"/>
      <c r="E62" s="156"/>
      <c r="F62" s="156"/>
      <c r="G62" s="156"/>
      <c r="H62" s="156"/>
      <c r="I62" s="156"/>
      <c r="J62" s="156"/>
      <c r="K62" s="156"/>
      <c r="L62" s="156"/>
      <c r="M62" s="156"/>
      <c r="N62" s="156"/>
      <c r="O62" s="19"/>
      <c r="P62" s="19"/>
      <c r="Q62" s="19"/>
      <c r="R62" s="19"/>
      <c r="S62" s="19"/>
      <c r="T62" s="19"/>
      <c r="U62" s="19"/>
      <c r="V62" s="19"/>
      <c r="W62" s="19"/>
      <c r="X62" s="19"/>
      <c r="Y62" s="19"/>
      <c r="Z62" s="19"/>
      <c r="AA62" s="19"/>
      <c r="AB62" s="19"/>
      <c r="AC62" s="19"/>
      <c r="AD62" s="19"/>
      <c r="AE62" s="19"/>
      <c r="AF62" s="19"/>
      <c r="AG62" s="19"/>
      <c r="AH62" s="19"/>
      <c r="AI62" s="19"/>
      <c r="AJ62" s="19"/>
      <c r="AK62" s="20"/>
      <c r="AL62" s="20"/>
      <c r="AM62" s="20"/>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row>
    <row r="63" spans="2:83" s="25" customFormat="1" ht="13.5" customHeight="1" x14ac:dyDescent="0.15">
      <c r="B63" s="156"/>
      <c r="C63" s="156"/>
      <c r="D63" s="156"/>
      <c r="E63" s="156"/>
      <c r="F63" s="156"/>
      <c r="G63" s="156"/>
      <c r="H63" s="156"/>
      <c r="I63" s="156"/>
      <c r="J63" s="156"/>
      <c r="K63" s="156"/>
      <c r="L63" s="156"/>
      <c r="M63" s="156"/>
      <c r="N63" s="156"/>
      <c r="O63" s="20"/>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20"/>
      <c r="AP63" s="20"/>
      <c r="AQ63" s="20"/>
      <c r="AR63" s="26"/>
      <c r="AS63" s="26"/>
      <c r="AT63" s="26"/>
      <c r="AU63" s="26"/>
      <c r="AV63" s="26"/>
      <c r="AW63" s="26"/>
      <c r="AX63" s="26"/>
      <c r="AY63" s="26"/>
      <c r="AZ63" s="26"/>
      <c r="BA63" s="26"/>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row>
    <row r="64" spans="2:83" s="25" customFormat="1" ht="13.5" customHeight="1" x14ac:dyDescent="0.15">
      <c r="B64" s="136" t="s">
        <v>1</v>
      </c>
      <c r="C64" s="136"/>
      <c r="D64" s="136"/>
      <c r="E64" s="136"/>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row>
    <row r="65" spans="2:82" s="25" customFormat="1" ht="13.5" customHeight="1" x14ac:dyDescent="0.15">
      <c r="B65" s="137"/>
      <c r="C65" s="137"/>
      <c r="D65" s="137"/>
      <c r="E65" s="137"/>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7" t="s">
        <v>47</v>
      </c>
      <c r="AV65" s="157"/>
      <c r="AW65" s="157"/>
      <c r="AX65" s="157"/>
      <c r="AY65" s="157"/>
      <c r="AZ65" s="157"/>
      <c r="BA65" s="157"/>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row>
    <row r="66" spans="2:82" s="21" customFormat="1" ht="13.5" customHeight="1" x14ac:dyDescent="0.15">
      <c r="B66" s="91" t="s">
        <v>2</v>
      </c>
      <c r="C66" s="92"/>
      <c r="D66" s="92"/>
      <c r="E66" s="92"/>
      <c r="F66" s="92"/>
      <c r="G66" s="92"/>
      <c r="H66" s="92"/>
      <c r="I66" s="91" t="s">
        <v>14</v>
      </c>
      <c r="J66" s="92"/>
      <c r="K66" s="92"/>
      <c r="L66" s="92"/>
      <c r="M66" s="92"/>
      <c r="N66" s="92"/>
      <c r="O66" s="92"/>
      <c r="P66" s="92"/>
      <c r="Q66" s="92"/>
      <c r="R66" s="92"/>
      <c r="S66" s="92"/>
      <c r="T66" s="92"/>
      <c r="U66" s="92"/>
      <c r="V66" s="92"/>
      <c r="W66" s="92"/>
      <c r="X66" s="92"/>
      <c r="Y66" s="92"/>
      <c r="Z66" s="92"/>
      <c r="AA66" s="92"/>
      <c r="AB66" s="92"/>
      <c r="AC66" s="92"/>
      <c r="AD66" s="92"/>
      <c r="AE66" s="114" t="s">
        <v>4</v>
      </c>
      <c r="AF66" s="114"/>
      <c r="AG66" s="114"/>
      <c r="AH66" s="114"/>
      <c r="AI66" s="100" t="s">
        <v>48</v>
      </c>
      <c r="AJ66" s="101"/>
      <c r="AK66" s="101"/>
      <c r="AL66" s="101"/>
      <c r="AM66" s="114" t="s">
        <v>6</v>
      </c>
      <c r="AN66" s="114"/>
      <c r="AO66" s="114"/>
      <c r="AP66" s="114"/>
      <c r="AQ66" s="114"/>
      <c r="AR66" s="114"/>
      <c r="AS66" s="114"/>
      <c r="AT66" s="114"/>
      <c r="AU66" s="114"/>
      <c r="AV66" s="114"/>
      <c r="AW66" s="114"/>
      <c r="AX66" s="114"/>
      <c r="AY66" s="114"/>
      <c r="AZ66" s="114"/>
      <c r="BA66" s="114"/>
    </row>
    <row r="67" spans="2:82" s="21" customFormat="1" ht="13.5" customHeight="1" x14ac:dyDescent="0.15">
      <c r="B67" s="94"/>
      <c r="C67" s="95"/>
      <c r="D67" s="95"/>
      <c r="E67" s="95"/>
      <c r="F67" s="95"/>
      <c r="G67" s="95"/>
      <c r="H67" s="95"/>
      <c r="I67" s="97"/>
      <c r="J67" s="98"/>
      <c r="K67" s="98"/>
      <c r="L67" s="98"/>
      <c r="M67" s="98"/>
      <c r="N67" s="98"/>
      <c r="O67" s="98"/>
      <c r="P67" s="98"/>
      <c r="Q67" s="98"/>
      <c r="R67" s="98"/>
      <c r="S67" s="98"/>
      <c r="T67" s="98"/>
      <c r="U67" s="98"/>
      <c r="V67" s="98"/>
      <c r="W67" s="98"/>
      <c r="X67" s="98"/>
      <c r="Y67" s="98"/>
      <c r="Z67" s="98"/>
      <c r="AA67" s="98"/>
      <c r="AB67" s="98"/>
      <c r="AC67" s="98"/>
      <c r="AD67" s="98"/>
      <c r="AE67" s="114"/>
      <c r="AF67" s="114"/>
      <c r="AG67" s="114"/>
      <c r="AH67" s="114"/>
      <c r="AI67" s="112"/>
      <c r="AJ67" s="113"/>
      <c r="AK67" s="113"/>
      <c r="AL67" s="113"/>
      <c r="AM67" s="114"/>
      <c r="AN67" s="114"/>
      <c r="AO67" s="114"/>
      <c r="AP67" s="114"/>
      <c r="AQ67" s="114"/>
      <c r="AR67" s="114"/>
      <c r="AS67" s="114"/>
      <c r="AT67" s="114"/>
      <c r="AU67" s="114"/>
      <c r="AV67" s="114"/>
      <c r="AW67" s="114"/>
      <c r="AX67" s="114"/>
      <c r="AY67" s="114"/>
      <c r="AZ67" s="114"/>
      <c r="BA67" s="114"/>
    </row>
    <row r="68" spans="2:82" s="21" customFormat="1" ht="13.5" customHeight="1" x14ac:dyDescent="0.15">
      <c r="B68" s="94"/>
      <c r="C68" s="95"/>
      <c r="D68" s="95"/>
      <c r="E68" s="95"/>
      <c r="F68" s="95"/>
      <c r="G68" s="95"/>
      <c r="H68" s="95"/>
      <c r="I68" s="91" t="s">
        <v>7</v>
      </c>
      <c r="J68" s="92"/>
      <c r="K68" s="92"/>
      <c r="L68" s="93"/>
      <c r="M68" s="91" t="s">
        <v>8</v>
      </c>
      <c r="N68" s="92"/>
      <c r="O68" s="92"/>
      <c r="P68" s="93"/>
      <c r="Q68" s="91" t="s">
        <v>31</v>
      </c>
      <c r="R68" s="92"/>
      <c r="S68" s="92"/>
      <c r="T68" s="93"/>
      <c r="U68" s="141" t="s">
        <v>32</v>
      </c>
      <c r="V68" s="142"/>
      <c r="W68" s="143"/>
      <c r="X68" s="141" t="s">
        <v>33</v>
      </c>
      <c r="Y68" s="142"/>
      <c r="Z68" s="143"/>
      <c r="AA68" s="150" t="s">
        <v>9</v>
      </c>
      <c r="AB68" s="151"/>
      <c r="AC68" s="151"/>
      <c r="AD68" s="151"/>
      <c r="AE68" s="114"/>
      <c r="AF68" s="114"/>
      <c r="AG68" s="114"/>
      <c r="AH68" s="114"/>
      <c r="AI68" s="112"/>
      <c r="AJ68" s="113"/>
      <c r="AK68" s="113"/>
      <c r="AL68" s="113"/>
      <c r="AM68" s="114"/>
      <c r="AN68" s="114"/>
      <c r="AO68" s="114"/>
      <c r="AP68" s="114"/>
      <c r="AQ68" s="114"/>
      <c r="AR68" s="114"/>
      <c r="AS68" s="114"/>
      <c r="AT68" s="114"/>
      <c r="AU68" s="114"/>
      <c r="AV68" s="114"/>
      <c r="AW68" s="114"/>
      <c r="AX68" s="114"/>
      <c r="AY68" s="114"/>
      <c r="AZ68" s="114"/>
      <c r="BA68" s="114"/>
    </row>
    <row r="69" spans="2:82" s="21" customFormat="1" ht="13.5" customHeight="1" x14ac:dyDescent="0.15">
      <c r="B69" s="94"/>
      <c r="C69" s="95"/>
      <c r="D69" s="95"/>
      <c r="E69" s="95"/>
      <c r="F69" s="95"/>
      <c r="G69" s="95"/>
      <c r="H69" s="95"/>
      <c r="I69" s="94"/>
      <c r="J69" s="95"/>
      <c r="K69" s="95"/>
      <c r="L69" s="96"/>
      <c r="M69" s="94"/>
      <c r="N69" s="95"/>
      <c r="O69" s="95"/>
      <c r="P69" s="96"/>
      <c r="Q69" s="94"/>
      <c r="R69" s="95"/>
      <c r="S69" s="95"/>
      <c r="T69" s="96"/>
      <c r="U69" s="144"/>
      <c r="V69" s="145"/>
      <c r="W69" s="146"/>
      <c r="X69" s="144"/>
      <c r="Y69" s="145"/>
      <c r="Z69" s="146"/>
      <c r="AA69" s="152"/>
      <c r="AB69" s="153"/>
      <c r="AC69" s="153"/>
      <c r="AD69" s="153"/>
      <c r="AE69" s="114"/>
      <c r="AF69" s="114"/>
      <c r="AG69" s="114"/>
      <c r="AH69" s="114"/>
      <c r="AI69" s="112"/>
      <c r="AJ69" s="113"/>
      <c r="AK69" s="113"/>
      <c r="AL69" s="113"/>
      <c r="AM69" s="114"/>
      <c r="AN69" s="114"/>
      <c r="AO69" s="114"/>
      <c r="AP69" s="114"/>
      <c r="AQ69" s="114"/>
      <c r="AR69" s="114"/>
      <c r="AS69" s="114"/>
      <c r="AT69" s="114"/>
      <c r="AU69" s="114"/>
      <c r="AV69" s="114"/>
      <c r="AW69" s="114"/>
      <c r="AX69" s="114"/>
      <c r="AY69" s="114"/>
      <c r="AZ69" s="114"/>
      <c r="BA69" s="114"/>
    </row>
    <row r="70" spans="2:82" s="21" customFormat="1" ht="13.5" customHeight="1" x14ac:dyDescent="0.15">
      <c r="B70" s="94"/>
      <c r="C70" s="95"/>
      <c r="D70" s="95"/>
      <c r="E70" s="95"/>
      <c r="F70" s="95"/>
      <c r="G70" s="95"/>
      <c r="H70" s="95"/>
      <c r="I70" s="94"/>
      <c r="J70" s="95"/>
      <c r="K70" s="95"/>
      <c r="L70" s="96"/>
      <c r="M70" s="94"/>
      <c r="N70" s="95"/>
      <c r="O70" s="95"/>
      <c r="P70" s="96"/>
      <c r="Q70" s="94"/>
      <c r="R70" s="95"/>
      <c r="S70" s="95"/>
      <c r="T70" s="96"/>
      <c r="U70" s="144"/>
      <c r="V70" s="145"/>
      <c r="W70" s="146"/>
      <c r="X70" s="144"/>
      <c r="Y70" s="145"/>
      <c r="Z70" s="146"/>
      <c r="AA70" s="152"/>
      <c r="AB70" s="153"/>
      <c r="AC70" s="153"/>
      <c r="AD70" s="153"/>
      <c r="AE70" s="114"/>
      <c r="AF70" s="114"/>
      <c r="AG70" s="114"/>
      <c r="AH70" s="114"/>
      <c r="AI70" s="112"/>
      <c r="AJ70" s="113"/>
      <c r="AK70" s="113"/>
      <c r="AL70" s="113"/>
      <c r="AM70" s="114"/>
      <c r="AN70" s="114"/>
      <c r="AO70" s="114"/>
      <c r="AP70" s="114"/>
      <c r="AQ70" s="114"/>
      <c r="AR70" s="114"/>
      <c r="AS70" s="114"/>
      <c r="AT70" s="114"/>
      <c r="AU70" s="114"/>
      <c r="AV70" s="114"/>
      <c r="AW70" s="114"/>
      <c r="AX70" s="114"/>
      <c r="AY70" s="114"/>
      <c r="AZ70" s="114"/>
      <c r="BA70" s="114"/>
    </row>
    <row r="71" spans="2:82" s="21" customFormat="1" ht="13.5" customHeight="1" x14ac:dyDescent="0.15">
      <c r="B71" s="97"/>
      <c r="C71" s="98"/>
      <c r="D71" s="98"/>
      <c r="E71" s="98"/>
      <c r="F71" s="98"/>
      <c r="G71" s="98"/>
      <c r="H71" s="98"/>
      <c r="I71" s="97"/>
      <c r="J71" s="98"/>
      <c r="K71" s="98"/>
      <c r="L71" s="99"/>
      <c r="M71" s="97"/>
      <c r="N71" s="98"/>
      <c r="O71" s="98"/>
      <c r="P71" s="99"/>
      <c r="Q71" s="97"/>
      <c r="R71" s="98"/>
      <c r="S71" s="98"/>
      <c r="T71" s="99"/>
      <c r="U71" s="147"/>
      <c r="V71" s="148"/>
      <c r="W71" s="149"/>
      <c r="X71" s="147"/>
      <c r="Y71" s="148"/>
      <c r="Z71" s="149"/>
      <c r="AA71" s="154"/>
      <c r="AB71" s="155"/>
      <c r="AC71" s="155"/>
      <c r="AD71" s="155"/>
      <c r="AE71" s="114"/>
      <c r="AF71" s="114"/>
      <c r="AG71" s="114"/>
      <c r="AH71" s="114"/>
      <c r="AI71" s="103"/>
      <c r="AJ71" s="104"/>
      <c r="AK71" s="104"/>
      <c r="AL71" s="104"/>
      <c r="AM71" s="114"/>
      <c r="AN71" s="114"/>
      <c r="AO71" s="114"/>
      <c r="AP71" s="114"/>
      <c r="AQ71" s="114"/>
      <c r="AR71" s="114"/>
      <c r="AS71" s="114"/>
      <c r="AT71" s="114"/>
      <c r="AU71" s="114"/>
      <c r="AV71" s="114"/>
      <c r="AW71" s="114"/>
      <c r="AX71" s="114"/>
      <c r="AY71" s="114"/>
      <c r="AZ71" s="114"/>
      <c r="BA71" s="114"/>
    </row>
    <row r="72" spans="2:82" s="21" customFormat="1" ht="18" customHeight="1" x14ac:dyDescent="0.15">
      <c r="B72" s="106" t="s">
        <v>34</v>
      </c>
      <c r="C72" s="107"/>
      <c r="D72" s="107"/>
      <c r="E72" s="107"/>
      <c r="F72" s="107"/>
      <c r="G72" s="107"/>
      <c r="H72" s="107"/>
      <c r="I72" s="106">
        <f>SUM(I74:L79)</f>
        <v>41136000</v>
      </c>
      <c r="J72" s="107"/>
      <c r="K72" s="107"/>
      <c r="L72" s="108"/>
      <c r="M72" s="54">
        <f>SUM(M74:P79)</f>
        <v>14403000</v>
      </c>
      <c r="N72" s="55"/>
      <c r="O72" s="55"/>
      <c r="P72" s="70"/>
      <c r="Q72" s="54">
        <f>SUM(Q74:T79)</f>
        <v>55539000</v>
      </c>
      <c r="R72" s="55"/>
      <c r="S72" s="55"/>
      <c r="T72" s="70"/>
      <c r="U72" s="106">
        <f>SUM(U74:W79)</f>
        <v>0</v>
      </c>
      <c r="V72" s="107"/>
      <c r="W72" s="108"/>
      <c r="X72" s="106">
        <f>SUM(X74:Z79)</f>
        <v>0</v>
      </c>
      <c r="Y72" s="107"/>
      <c r="Z72" s="108"/>
      <c r="AA72" s="106">
        <f>SUM(AA74:AD79)</f>
        <v>55539000</v>
      </c>
      <c r="AB72" s="107"/>
      <c r="AC72" s="107"/>
      <c r="AD72" s="107"/>
      <c r="AE72" s="115">
        <f>SUM(AE74:AH79)</f>
        <v>55711465</v>
      </c>
      <c r="AF72" s="115"/>
      <c r="AG72" s="115"/>
      <c r="AH72" s="115"/>
      <c r="AI72" s="115">
        <f>SUM(AI74:AL79)</f>
        <v>172465</v>
      </c>
      <c r="AJ72" s="115"/>
      <c r="AK72" s="115"/>
      <c r="AL72" s="115"/>
      <c r="AM72" s="139"/>
      <c r="AN72" s="139"/>
      <c r="AO72" s="139"/>
      <c r="AP72" s="139"/>
      <c r="AQ72" s="139"/>
      <c r="AR72" s="139"/>
      <c r="AS72" s="139"/>
      <c r="AT72" s="139"/>
      <c r="AU72" s="139"/>
      <c r="AV72" s="139"/>
      <c r="AW72" s="139"/>
      <c r="AX72" s="139"/>
      <c r="AY72" s="139"/>
      <c r="AZ72" s="139"/>
      <c r="BA72" s="139"/>
    </row>
    <row r="73" spans="2:82" s="21" customFormat="1" ht="18" customHeight="1" x14ac:dyDescent="0.15">
      <c r="B73" s="109"/>
      <c r="C73" s="110"/>
      <c r="D73" s="110"/>
      <c r="E73" s="110"/>
      <c r="F73" s="110"/>
      <c r="G73" s="110"/>
      <c r="H73" s="110"/>
      <c r="I73" s="109"/>
      <c r="J73" s="110"/>
      <c r="K73" s="110"/>
      <c r="L73" s="111"/>
      <c r="M73" s="56"/>
      <c r="N73" s="57"/>
      <c r="O73" s="57"/>
      <c r="P73" s="71"/>
      <c r="Q73" s="56"/>
      <c r="R73" s="57"/>
      <c r="S73" s="57"/>
      <c r="T73" s="71"/>
      <c r="U73" s="109"/>
      <c r="V73" s="110"/>
      <c r="W73" s="111"/>
      <c r="X73" s="109"/>
      <c r="Y73" s="110"/>
      <c r="Z73" s="111"/>
      <c r="AA73" s="109"/>
      <c r="AB73" s="110"/>
      <c r="AC73" s="110"/>
      <c r="AD73" s="110"/>
      <c r="AE73" s="115"/>
      <c r="AF73" s="115"/>
      <c r="AG73" s="115"/>
      <c r="AH73" s="115"/>
      <c r="AI73" s="115"/>
      <c r="AJ73" s="115"/>
      <c r="AK73" s="115"/>
      <c r="AL73" s="115"/>
      <c r="AM73" s="139"/>
      <c r="AN73" s="139"/>
      <c r="AO73" s="139"/>
      <c r="AP73" s="139"/>
      <c r="AQ73" s="139"/>
      <c r="AR73" s="139"/>
      <c r="AS73" s="139"/>
      <c r="AT73" s="139"/>
      <c r="AU73" s="139"/>
      <c r="AV73" s="139"/>
      <c r="AW73" s="139"/>
      <c r="AX73" s="139"/>
      <c r="AY73" s="139"/>
      <c r="AZ73" s="139"/>
      <c r="BA73" s="139"/>
    </row>
    <row r="74" spans="2:82" s="21" customFormat="1" ht="18" customHeight="1" x14ac:dyDescent="0.15">
      <c r="B74" s="106" t="s">
        <v>35</v>
      </c>
      <c r="C74" s="107"/>
      <c r="D74" s="107"/>
      <c r="E74" s="107"/>
      <c r="F74" s="107"/>
      <c r="G74" s="107"/>
      <c r="H74" s="107"/>
      <c r="I74" s="106">
        <v>11336000</v>
      </c>
      <c r="J74" s="107"/>
      <c r="K74" s="107"/>
      <c r="L74" s="108"/>
      <c r="M74" s="106">
        <v>7203000</v>
      </c>
      <c r="N74" s="107"/>
      <c r="O74" s="107"/>
      <c r="P74" s="108"/>
      <c r="Q74" s="54">
        <f>SUM(I74:P75)</f>
        <v>18539000</v>
      </c>
      <c r="R74" s="55"/>
      <c r="S74" s="55"/>
      <c r="T74" s="70"/>
      <c r="U74" s="106">
        <f>SUM(X80:Z81)</f>
        <v>0</v>
      </c>
      <c r="V74" s="107"/>
      <c r="W74" s="108"/>
      <c r="X74" s="106">
        <v>0</v>
      </c>
      <c r="Y74" s="107"/>
      <c r="Z74" s="108"/>
      <c r="AA74" s="106">
        <f>SUM(Q74:Z75)</f>
        <v>18539000</v>
      </c>
      <c r="AB74" s="107"/>
      <c r="AC74" s="107"/>
      <c r="AD74" s="107"/>
      <c r="AE74" s="115">
        <v>18711465</v>
      </c>
      <c r="AF74" s="115"/>
      <c r="AG74" s="115"/>
      <c r="AH74" s="115"/>
      <c r="AI74" s="106">
        <f>AE74-AA74</f>
        <v>172465</v>
      </c>
      <c r="AJ74" s="107"/>
      <c r="AK74" s="107"/>
      <c r="AL74" s="107"/>
      <c r="AM74" s="140" t="s">
        <v>65</v>
      </c>
      <c r="AN74" s="140"/>
      <c r="AO74" s="140"/>
      <c r="AP74" s="140"/>
      <c r="AQ74" s="140"/>
      <c r="AR74" s="140"/>
      <c r="AS74" s="140"/>
      <c r="AT74" s="140"/>
      <c r="AU74" s="140"/>
      <c r="AV74" s="140"/>
      <c r="AW74" s="140"/>
      <c r="AX74" s="140"/>
      <c r="AY74" s="140"/>
      <c r="AZ74" s="140"/>
      <c r="BA74" s="140"/>
    </row>
    <row r="75" spans="2:82" s="21" customFormat="1" ht="18" customHeight="1" x14ac:dyDescent="0.15">
      <c r="B75" s="109"/>
      <c r="C75" s="110"/>
      <c r="D75" s="110"/>
      <c r="E75" s="110"/>
      <c r="F75" s="110"/>
      <c r="G75" s="110"/>
      <c r="H75" s="110"/>
      <c r="I75" s="109"/>
      <c r="J75" s="110"/>
      <c r="K75" s="110"/>
      <c r="L75" s="111"/>
      <c r="M75" s="109"/>
      <c r="N75" s="110"/>
      <c r="O75" s="110"/>
      <c r="P75" s="111"/>
      <c r="Q75" s="56"/>
      <c r="R75" s="57"/>
      <c r="S75" s="57"/>
      <c r="T75" s="71"/>
      <c r="U75" s="109"/>
      <c r="V75" s="110"/>
      <c r="W75" s="111"/>
      <c r="X75" s="109"/>
      <c r="Y75" s="110"/>
      <c r="Z75" s="111"/>
      <c r="AA75" s="109"/>
      <c r="AB75" s="110"/>
      <c r="AC75" s="110"/>
      <c r="AD75" s="110"/>
      <c r="AE75" s="115"/>
      <c r="AF75" s="115"/>
      <c r="AG75" s="115"/>
      <c r="AH75" s="115"/>
      <c r="AI75" s="109"/>
      <c r="AJ75" s="110"/>
      <c r="AK75" s="110"/>
      <c r="AL75" s="110"/>
      <c r="AM75" s="140"/>
      <c r="AN75" s="140"/>
      <c r="AO75" s="140"/>
      <c r="AP75" s="140"/>
      <c r="AQ75" s="140"/>
      <c r="AR75" s="140"/>
      <c r="AS75" s="140"/>
      <c r="AT75" s="140"/>
      <c r="AU75" s="140"/>
      <c r="AV75" s="140"/>
      <c r="AW75" s="140"/>
      <c r="AX75" s="140"/>
      <c r="AY75" s="140"/>
      <c r="AZ75" s="140"/>
      <c r="BA75" s="140"/>
    </row>
    <row r="76" spans="2:82" s="21" customFormat="1" ht="18" customHeight="1" x14ac:dyDescent="0.15">
      <c r="B76" s="106" t="s">
        <v>51</v>
      </c>
      <c r="C76" s="107"/>
      <c r="D76" s="107"/>
      <c r="E76" s="107"/>
      <c r="F76" s="107"/>
      <c r="G76" s="107"/>
      <c r="H76" s="108"/>
      <c r="I76" s="106">
        <v>13000000</v>
      </c>
      <c r="J76" s="107"/>
      <c r="K76" s="107"/>
      <c r="L76" s="108"/>
      <c r="M76" s="54">
        <v>-300000</v>
      </c>
      <c r="N76" s="55"/>
      <c r="O76" s="55"/>
      <c r="P76" s="70"/>
      <c r="Q76" s="54">
        <f>SUM(I76:P77)</f>
        <v>12700000</v>
      </c>
      <c r="R76" s="55"/>
      <c r="S76" s="55"/>
      <c r="T76" s="70"/>
      <c r="U76" s="106">
        <v>0</v>
      </c>
      <c r="V76" s="107"/>
      <c r="W76" s="108"/>
      <c r="X76" s="106">
        <v>0</v>
      </c>
      <c r="Y76" s="107"/>
      <c r="Z76" s="108"/>
      <c r="AA76" s="106">
        <f>SUM(Q76:Z77)</f>
        <v>12700000</v>
      </c>
      <c r="AB76" s="107"/>
      <c r="AC76" s="107"/>
      <c r="AD76" s="107"/>
      <c r="AE76" s="115">
        <v>12700000</v>
      </c>
      <c r="AF76" s="115"/>
      <c r="AG76" s="115"/>
      <c r="AH76" s="115"/>
      <c r="AI76" s="106">
        <f>AE76-AA76</f>
        <v>0</v>
      </c>
      <c r="AJ76" s="107"/>
      <c r="AK76" s="107"/>
      <c r="AL76" s="107"/>
      <c r="AM76" s="114"/>
      <c r="AN76" s="114"/>
      <c r="AO76" s="114"/>
      <c r="AP76" s="114"/>
      <c r="AQ76" s="114"/>
      <c r="AR76" s="114"/>
      <c r="AS76" s="114"/>
      <c r="AT76" s="114"/>
      <c r="AU76" s="114"/>
      <c r="AV76" s="114"/>
      <c r="AW76" s="114"/>
      <c r="AX76" s="114"/>
      <c r="AY76" s="114"/>
      <c r="AZ76" s="114"/>
      <c r="BA76" s="114"/>
    </row>
    <row r="77" spans="2:82" s="21" customFormat="1" ht="18" customHeight="1" x14ac:dyDescent="0.15">
      <c r="B77" s="109"/>
      <c r="C77" s="110"/>
      <c r="D77" s="110"/>
      <c r="E77" s="110"/>
      <c r="F77" s="110"/>
      <c r="G77" s="110"/>
      <c r="H77" s="111"/>
      <c r="I77" s="109"/>
      <c r="J77" s="110"/>
      <c r="K77" s="110"/>
      <c r="L77" s="111"/>
      <c r="M77" s="56"/>
      <c r="N77" s="57"/>
      <c r="O77" s="57"/>
      <c r="P77" s="71"/>
      <c r="Q77" s="56"/>
      <c r="R77" s="57"/>
      <c r="S77" s="57"/>
      <c r="T77" s="71"/>
      <c r="U77" s="109"/>
      <c r="V77" s="110"/>
      <c r="W77" s="111"/>
      <c r="X77" s="109"/>
      <c r="Y77" s="110"/>
      <c r="Z77" s="111"/>
      <c r="AA77" s="109"/>
      <c r="AB77" s="110"/>
      <c r="AC77" s="110"/>
      <c r="AD77" s="110"/>
      <c r="AE77" s="115"/>
      <c r="AF77" s="115"/>
      <c r="AG77" s="115"/>
      <c r="AH77" s="115"/>
      <c r="AI77" s="109"/>
      <c r="AJ77" s="110"/>
      <c r="AK77" s="110"/>
      <c r="AL77" s="110"/>
      <c r="AM77" s="114"/>
      <c r="AN77" s="114"/>
      <c r="AO77" s="114"/>
      <c r="AP77" s="114"/>
      <c r="AQ77" s="114"/>
      <c r="AR77" s="114"/>
      <c r="AS77" s="114"/>
      <c r="AT77" s="114"/>
      <c r="AU77" s="114"/>
      <c r="AV77" s="114"/>
      <c r="AW77" s="114"/>
      <c r="AX77" s="114"/>
      <c r="AY77" s="114"/>
      <c r="AZ77" s="114"/>
      <c r="BA77" s="114"/>
    </row>
    <row r="78" spans="2:82" s="21" customFormat="1" ht="18" customHeight="1" x14ac:dyDescent="0.15">
      <c r="B78" s="106" t="s">
        <v>52</v>
      </c>
      <c r="C78" s="107"/>
      <c r="D78" s="107"/>
      <c r="E78" s="107"/>
      <c r="F78" s="107"/>
      <c r="G78" s="107"/>
      <c r="H78" s="107"/>
      <c r="I78" s="106">
        <v>16800000</v>
      </c>
      <c r="J78" s="107"/>
      <c r="K78" s="107"/>
      <c r="L78" s="108"/>
      <c r="M78" s="106">
        <v>7500000</v>
      </c>
      <c r="N78" s="107"/>
      <c r="O78" s="107"/>
      <c r="P78" s="108"/>
      <c r="Q78" s="54">
        <f>SUM(I78:P79)</f>
        <v>24300000</v>
      </c>
      <c r="R78" s="55"/>
      <c r="S78" s="55"/>
      <c r="T78" s="70"/>
      <c r="U78" s="106">
        <v>0</v>
      </c>
      <c r="V78" s="107"/>
      <c r="W78" s="108"/>
      <c r="X78" s="106">
        <v>0</v>
      </c>
      <c r="Y78" s="107"/>
      <c r="Z78" s="108"/>
      <c r="AA78" s="106">
        <f>SUM(Q78:Z79)</f>
        <v>24300000</v>
      </c>
      <c r="AB78" s="107"/>
      <c r="AC78" s="107"/>
      <c r="AD78" s="107"/>
      <c r="AE78" s="115">
        <v>24300000</v>
      </c>
      <c r="AF78" s="115"/>
      <c r="AG78" s="115"/>
      <c r="AH78" s="115"/>
      <c r="AI78" s="106">
        <f>AE78-AA78</f>
        <v>0</v>
      </c>
      <c r="AJ78" s="107"/>
      <c r="AK78" s="107"/>
      <c r="AL78" s="107"/>
      <c r="AM78" s="114"/>
      <c r="AN78" s="114"/>
      <c r="AO78" s="114"/>
      <c r="AP78" s="114"/>
      <c r="AQ78" s="114"/>
      <c r="AR78" s="114"/>
      <c r="AS78" s="114"/>
      <c r="AT78" s="114"/>
      <c r="AU78" s="114"/>
      <c r="AV78" s="114"/>
      <c r="AW78" s="114"/>
      <c r="AX78" s="114"/>
      <c r="AY78" s="114"/>
      <c r="AZ78" s="114"/>
      <c r="BA78" s="114"/>
    </row>
    <row r="79" spans="2:82" s="21" customFormat="1" ht="18" customHeight="1" x14ac:dyDescent="0.15">
      <c r="B79" s="109"/>
      <c r="C79" s="110"/>
      <c r="D79" s="110"/>
      <c r="E79" s="110"/>
      <c r="F79" s="110"/>
      <c r="G79" s="110"/>
      <c r="H79" s="110"/>
      <c r="I79" s="109"/>
      <c r="J79" s="110"/>
      <c r="K79" s="110"/>
      <c r="L79" s="111"/>
      <c r="M79" s="109"/>
      <c r="N79" s="110"/>
      <c r="O79" s="110"/>
      <c r="P79" s="111"/>
      <c r="Q79" s="56"/>
      <c r="R79" s="57"/>
      <c r="S79" s="57"/>
      <c r="T79" s="71"/>
      <c r="U79" s="109"/>
      <c r="V79" s="110"/>
      <c r="W79" s="111"/>
      <c r="X79" s="109"/>
      <c r="Y79" s="110"/>
      <c r="Z79" s="111"/>
      <c r="AA79" s="109"/>
      <c r="AB79" s="110"/>
      <c r="AC79" s="110"/>
      <c r="AD79" s="110"/>
      <c r="AE79" s="115"/>
      <c r="AF79" s="115"/>
      <c r="AG79" s="115"/>
      <c r="AH79" s="115"/>
      <c r="AI79" s="109"/>
      <c r="AJ79" s="110"/>
      <c r="AK79" s="110"/>
      <c r="AL79" s="110"/>
      <c r="AM79" s="114"/>
      <c r="AN79" s="114"/>
      <c r="AO79" s="114"/>
      <c r="AP79" s="114"/>
      <c r="AQ79" s="114"/>
      <c r="AR79" s="114"/>
      <c r="AS79" s="114"/>
      <c r="AT79" s="114"/>
      <c r="AU79" s="114"/>
      <c r="AV79" s="114"/>
      <c r="AW79" s="114"/>
      <c r="AX79" s="114"/>
      <c r="AY79" s="114"/>
      <c r="AZ79" s="114"/>
      <c r="BA79" s="114"/>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6" t="s">
        <v>13</v>
      </c>
      <c r="C81" s="136"/>
      <c r="D81" s="136"/>
      <c r="E81" s="136"/>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7"/>
      <c r="C82" s="137"/>
      <c r="D82" s="137"/>
      <c r="E82" s="137"/>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32"/>
      <c r="AU82" s="138" t="s">
        <v>47</v>
      </c>
      <c r="AV82" s="138"/>
      <c r="AW82" s="138"/>
      <c r="AX82" s="138"/>
      <c r="AY82" s="138"/>
      <c r="AZ82" s="138"/>
      <c r="BA82" s="138"/>
      <c r="CM82" s="21"/>
    </row>
    <row r="83" spans="2:91" s="21" customFormat="1" ht="13.5" customHeight="1" x14ac:dyDescent="0.15">
      <c r="B83" s="91" t="s">
        <v>2</v>
      </c>
      <c r="C83" s="92"/>
      <c r="D83" s="92"/>
      <c r="E83" s="92"/>
      <c r="F83" s="92"/>
      <c r="G83" s="92"/>
      <c r="H83" s="93"/>
      <c r="I83" s="91" t="s">
        <v>36</v>
      </c>
      <c r="J83" s="92"/>
      <c r="K83" s="92"/>
      <c r="L83" s="92"/>
      <c r="M83" s="92"/>
      <c r="N83" s="92"/>
      <c r="O83" s="92"/>
      <c r="P83" s="92"/>
      <c r="Q83" s="92"/>
      <c r="R83" s="92"/>
      <c r="S83" s="92"/>
      <c r="T83" s="92"/>
      <c r="U83" s="92"/>
      <c r="V83" s="92"/>
      <c r="W83" s="92"/>
      <c r="X83" s="92"/>
      <c r="Y83" s="92"/>
      <c r="Z83" s="92"/>
      <c r="AA83" s="92"/>
      <c r="AB83" s="92"/>
      <c r="AC83" s="92"/>
      <c r="AD83" s="92"/>
      <c r="AE83" s="92"/>
      <c r="AF83" s="91" t="s">
        <v>4</v>
      </c>
      <c r="AG83" s="92"/>
      <c r="AH83" s="92"/>
      <c r="AI83" s="93"/>
      <c r="AJ83" s="100" t="s">
        <v>37</v>
      </c>
      <c r="AK83" s="101"/>
      <c r="AL83" s="101"/>
      <c r="AM83" s="101"/>
      <c r="AN83" s="101"/>
      <c r="AO83" s="102"/>
      <c r="AP83" s="91" t="s">
        <v>17</v>
      </c>
      <c r="AQ83" s="92"/>
      <c r="AR83" s="93"/>
      <c r="AS83" s="91" t="s">
        <v>38</v>
      </c>
      <c r="AT83" s="92"/>
      <c r="AU83" s="92"/>
      <c r="AV83" s="92"/>
      <c r="AW83" s="92"/>
      <c r="AX83" s="92"/>
      <c r="AY83" s="92"/>
      <c r="AZ83" s="92"/>
      <c r="BA83" s="93"/>
    </row>
    <row r="84" spans="2:91" s="21" customFormat="1" ht="13.5" customHeight="1" x14ac:dyDescent="0.15">
      <c r="B84" s="94"/>
      <c r="C84" s="95"/>
      <c r="D84" s="95"/>
      <c r="E84" s="95"/>
      <c r="F84" s="95"/>
      <c r="G84" s="95"/>
      <c r="H84" s="96"/>
      <c r="I84" s="97"/>
      <c r="J84" s="98"/>
      <c r="K84" s="98"/>
      <c r="L84" s="98"/>
      <c r="M84" s="98"/>
      <c r="N84" s="98"/>
      <c r="O84" s="98"/>
      <c r="P84" s="98"/>
      <c r="Q84" s="98"/>
      <c r="R84" s="98"/>
      <c r="S84" s="98"/>
      <c r="T84" s="98"/>
      <c r="U84" s="98"/>
      <c r="V84" s="98"/>
      <c r="W84" s="98"/>
      <c r="X84" s="98"/>
      <c r="Y84" s="98"/>
      <c r="Z84" s="98"/>
      <c r="AA84" s="98"/>
      <c r="AB84" s="98"/>
      <c r="AC84" s="98"/>
      <c r="AD84" s="98"/>
      <c r="AE84" s="98"/>
      <c r="AF84" s="94"/>
      <c r="AG84" s="95"/>
      <c r="AH84" s="95"/>
      <c r="AI84" s="96"/>
      <c r="AJ84" s="103"/>
      <c r="AK84" s="104"/>
      <c r="AL84" s="104"/>
      <c r="AM84" s="104"/>
      <c r="AN84" s="104"/>
      <c r="AO84" s="105"/>
      <c r="AP84" s="94"/>
      <c r="AQ84" s="95"/>
      <c r="AR84" s="96"/>
      <c r="AS84" s="94"/>
      <c r="AT84" s="95"/>
      <c r="AU84" s="95"/>
      <c r="AV84" s="95"/>
      <c r="AW84" s="95"/>
      <c r="AX84" s="95"/>
      <c r="AY84" s="95"/>
      <c r="AZ84" s="95"/>
      <c r="BA84" s="96"/>
    </row>
    <row r="85" spans="2:91" s="21" customFormat="1" ht="13.5" customHeight="1" x14ac:dyDescent="0.15">
      <c r="B85" s="94"/>
      <c r="C85" s="95"/>
      <c r="D85" s="95"/>
      <c r="E85" s="95"/>
      <c r="F85" s="95"/>
      <c r="G85" s="95"/>
      <c r="H85" s="96"/>
      <c r="I85" s="91" t="s">
        <v>19</v>
      </c>
      <c r="J85" s="92"/>
      <c r="K85" s="92"/>
      <c r="L85" s="93"/>
      <c r="M85" s="91" t="s">
        <v>20</v>
      </c>
      <c r="N85" s="92"/>
      <c r="O85" s="92"/>
      <c r="P85" s="93"/>
      <c r="Q85" s="100" t="s">
        <v>39</v>
      </c>
      <c r="R85" s="101"/>
      <c r="S85" s="114" t="s">
        <v>24</v>
      </c>
      <c r="T85" s="114"/>
      <c r="U85" s="114"/>
      <c r="V85" s="114"/>
      <c r="W85" s="116" t="s">
        <v>40</v>
      </c>
      <c r="X85" s="117"/>
      <c r="Y85" s="118"/>
      <c r="Z85" s="125" t="s">
        <v>41</v>
      </c>
      <c r="AA85" s="126"/>
      <c r="AB85" s="114" t="s">
        <v>25</v>
      </c>
      <c r="AC85" s="114"/>
      <c r="AD85" s="114"/>
      <c r="AE85" s="127"/>
      <c r="AF85" s="94"/>
      <c r="AG85" s="95"/>
      <c r="AH85" s="95"/>
      <c r="AI85" s="96"/>
      <c r="AJ85" s="119" t="s">
        <v>42</v>
      </c>
      <c r="AK85" s="121"/>
      <c r="AL85" s="128" t="s">
        <v>50</v>
      </c>
      <c r="AM85" s="129"/>
      <c r="AN85" s="132" t="s">
        <v>43</v>
      </c>
      <c r="AO85" s="133"/>
      <c r="AP85" s="94"/>
      <c r="AQ85" s="95"/>
      <c r="AR85" s="96"/>
      <c r="AS85" s="94"/>
      <c r="AT85" s="95"/>
      <c r="AU85" s="95"/>
      <c r="AV85" s="95"/>
      <c r="AW85" s="95"/>
      <c r="AX85" s="95"/>
      <c r="AY85" s="95"/>
      <c r="AZ85" s="95"/>
      <c r="BA85" s="96"/>
    </row>
    <row r="86" spans="2:91" s="21" customFormat="1" ht="13.5" customHeight="1" x14ac:dyDescent="0.15">
      <c r="B86" s="94"/>
      <c r="C86" s="95"/>
      <c r="D86" s="95"/>
      <c r="E86" s="95"/>
      <c r="F86" s="95"/>
      <c r="G86" s="95"/>
      <c r="H86" s="96"/>
      <c r="I86" s="94"/>
      <c r="J86" s="95"/>
      <c r="K86" s="95"/>
      <c r="L86" s="96"/>
      <c r="M86" s="94"/>
      <c r="N86" s="95"/>
      <c r="O86" s="95"/>
      <c r="P86" s="96"/>
      <c r="Q86" s="112"/>
      <c r="R86" s="113"/>
      <c r="S86" s="114"/>
      <c r="T86" s="114"/>
      <c r="U86" s="114"/>
      <c r="V86" s="114"/>
      <c r="W86" s="119"/>
      <c r="X86" s="120"/>
      <c r="Y86" s="121"/>
      <c r="Z86" s="125"/>
      <c r="AA86" s="126"/>
      <c r="AB86" s="114"/>
      <c r="AC86" s="114"/>
      <c r="AD86" s="114"/>
      <c r="AE86" s="127"/>
      <c r="AF86" s="94"/>
      <c r="AG86" s="95"/>
      <c r="AH86" s="95"/>
      <c r="AI86" s="96"/>
      <c r="AJ86" s="119"/>
      <c r="AK86" s="121"/>
      <c r="AL86" s="128"/>
      <c r="AM86" s="129"/>
      <c r="AN86" s="132"/>
      <c r="AO86" s="133"/>
      <c r="AP86" s="94"/>
      <c r="AQ86" s="95"/>
      <c r="AR86" s="96"/>
      <c r="AS86" s="94"/>
      <c r="AT86" s="95"/>
      <c r="AU86" s="95"/>
      <c r="AV86" s="95"/>
      <c r="AW86" s="95"/>
      <c r="AX86" s="95"/>
      <c r="AY86" s="95"/>
      <c r="AZ86" s="95"/>
      <c r="BA86" s="96"/>
    </row>
    <row r="87" spans="2:91" s="21" customFormat="1" ht="13.5" customHeight="1" x14ac:dyDescent="0.15">
      <c r="B87" s="94"/>
      <c r="C87" s="95"/>
      <c r="D87" s="95"/>
      <c r="E87" s="95"/>
      <c r="F87" s="95"/>
      <c r="G87" s="95"/>
      <c r="H87" s="96"/>
      <c r="I87" s="94"/>
      <c r="J87" s="95"/>
      <c r="K87" s="95"/>
      <c r="L87" s="96"/>
      <c r="M87" s="94"/>
      <c r="N87" s="95"/>
      <c r="O87" s="95"/>
      <c r="P87" s="96"/>
      <c r="Q87" s="112"/>
      <c r="R87" s="113"/>
      <c r="S87" s="114"/>
      <c r="T87" s="114"/>
      <c r="U87" s="114"/>
      <c r="V87" s="114"/>
      <c r="W87" s="119"/>
      <c r="X87" s="120"/>
      <c r="Y87" s="121"/>
      <c r="Z87" s="125"/>
      <c r="AA87" s="126"/>
      <c r="AB87" s="114"/>
      <c r="AC87" s="114"/>
      <c r="AD87" s="114"/>
      <c r="AE87" s="127"/>
      <c r="AF87" s="94"/>
      <c r="AG87" s="95"/>
      <c r="AH87" s="95"/>
      <c r="AI87" s="96"/>
      <c r="AJ87" s="119"/>
      <c r="AK87" s="121"/>
      <c r="AL87" s="128"/>
      <c r="AM87" s="129"/>
      <c r="AN87" s="132"/>
      <c r="AO87" s="133"/>
      <c r="AP87" s="94"/>
      <c r="AQ87" s="95"/>
      <c r="AR87" s="96"/>
      <c r="AS87" s="94"/>
      <c r="AT87" s="95"/>
      <c r="AU87" s="95"/>
      <c r="AV87" s="95"/>
      <c r="AW87" s="95"/>
      <c r="AX87" s="95"/>
      <c r="AY87" s="95"/>
      <c r="AZ87" s="95"/>
      <c r="BA87" s="96"/>
    </row>
    <row r="88" spans="2:91" s="21" customFormat="1" ht="13.5" customHeight="1" x14ac:dyDescent="0.15">
      <c r="B88" s="97"/>
      <c r="C88" s="98"/>
      <c r="D88" s="98"/>
      <c r="E88" s="98"/>
      <c r="F88" s="98"/>
      <c r="G88" s="98"/>
      <c r="H88" s="99"/>
      <c r="I88" s="97"/>
      <c r="J88" s="98"/>
      <c r="K88" s="98"/>
      <c r="L88" s="99"/>
      <c r="M88" s="97"/>
      <c r="N88" s="98"/>
      <c r="O88" s="98"/>
      <c r="P88" s="99"/>
      <c r="Q88" s="103"/>
      <c r="R88" s="104"/>
      <c r="S88" s="114"/>
      <c r="T88" s="114"/>
      <c r="U88" s="114"/>
      <c r="V88" s="114"/>
      <c r="W88" s="122"/>
      <c r="X88" s="123"/>
      <c r="Y88" s="124"/>
      <c r="Z88" s="125"/>
      <c r="AA88" s="126"/>
      <c r="AB88" s="114"/>
      <c r="AC88" s="114"/>
      <c r="AD88" s="114"/>
      <c r="AE88" s="127"/>
      <c r="AF88" s="97"/>
      <c r="AG88" s="98"/>
      <c r="AH88" s="98"/>
      <c r="AI88" s="99"/>
      <c r="AJ88" s="122"/>
      <c r="AK88" s="124"/>
      <c r="AL88" s="130"/>
      <c r="AM88" s="131"/>
      <c r="AN88" s="134"/>
      <c r="AO88" s="135"/>
      <c r="AP88" s="97"/>
      <c r="AQ88" s="98"/>
      <c r="AR88" s="99"/>
      <c r="AS88" s="97"/>
      <c r="AT88" s="98"/>
      <c r="AU88" s="98"/>
      <c r="AV88" s="98"/>
      <c r="AW88" s="98"/>
      <c r="AX88" s="98"/>
      <c r="AY88" s="98"/>
      <c r="AZ88" s="98"/>
      <c r="BA88" s="99"/>
    </row>
    <row r="89" spans="2:91" s="21" customFormat="1" ht="18" customHeight="1" x14ac:dyDescent="0.15">
      <c r="B89" s="106" t="s">
        <v>44</v>
      </c>
      <c r="C89" s="107"/>
      <c r="D89" s="107"/>
      <c r="E89" s="107"/>
      <c r="F89" s="107"/>
      <c r="G89" s="107"/>
      <c r="H89" s="108"/>
      <c r="I89" s="79">
        <f>SUM(I91:L94)</f>
        <v>107979000</v>
      </c>
      <c r="J89" s="80"/>
      <c r="K89" s="80"/>
      <c r="L89" s="89"/>
      <c r="M89" s="79">
        <f>SUM(M91:P94)</f>
        <v>15092000</v>
      </c>
      <c r="N89" s="80"/>
      <c r="O89" s="80"/>
      <c r="P89" s="89"/>
      <c r="Q89" s="79">
        <f>SUM(Q91:R94)</f>
        <v>0</v>
      </c>
      <c r="R89" s="80"/>
      <c r="S89" s="72">
        <f>SUM(S91:V94)</f>
        <v>123071000</v>
      </c>
      <c r="T89" s="72"/>
      <c r="U89" s="72"/>
      <c r="V89" s="72"/>
      <c r="W89" s="79">
        <f>SUM(W91:Y94)</f>
        <v>0</v>
      </c>
      <c r="X89" s="80"/>
      <c r="Y89" s="89"/>
      <c r="Z89" s="79">
        <f>SUM(Z91:AA94)</f>
        <v>0</v>
      </c>
      <c r="AA89" s="80"/>
      <c r="AB89" s="72">
        <f>SUM(AB91:AE94)</f>
        <v>123071000</v>
      </c>
      <c r="AC89" s="72"/>
      <c r="AD89" s="72"/>
      <c r="AE89" s="72"/>
      <c r="AF89" s="79">
        <f>SUM(AF91:AI94)</f>
        <v>98387448</v>
      </c>
      <c r="AG89" s="80"/>
      <c r="AH89" s="80"/>
      <c r="AI89" s="80"/>
      <c r="AJ89" s="79">
        <f>SUM(AJ91:AK94)</f>
        <v>22289700</v>
      </c>
      <c r="AK89" s="89"/>
      <c r="AL89" s="54">
        <f>SUM(AL91:AM94)</f>
        <v>0</v>
      </c>
      <c r="AM89" s="70"/>
      <c r="AN89" s="72">
        <f>SUM(AN91:AO94)</f>
        <v>22289700</v>
      </c>
      <c r="AO89" s="72"/>
      <c r="AP89" s="79">
        <f>SUM(AP91:AR94)</f>
        <v>2393852</v>
      </c>
      <c r="AQ89" s="80"/>
      <c r="AR89" s="80"/>
      <c r="AS89" s="58"/>
      <c r="AT89" s="59"/>
      <c r="AU89" s="59"/>
      <c r="AV89" s="59"/>
      <c r="AW89" s="59"/>
      <c r="AX89" s="59"/>
      <c r="AY89" s="59"/>
      <c r="AZ89" s="59"/>
      <c r="BA89" s="60"/>
    </row>
    <row r="90" spans="2:91" s="21" customFormat="1" ht="18" customHeight="1" x14ac:dyDescent="0.15">
      <c r="B90" s="109"/>
      <c r="C90" s="110"/>
      <c r="D90" s="110"/>
      <c r="E90" s="110"/>
      <c r="F90" s="110"/>
      <c r="G90" s="110"/>
      <c r="H90" s="111"/>
      <c r="I90" s="81"/>
      <c r="J90" s="82"/>
      <c r="K90" s="82"/>
      <c r="L90" s="90"/>
      <c r="M90" s="81"/>
      <c r="N90" s="82"/>
      <c r="O90" s="82"/>
      <c r="P90" s="90"/>
      <c r="Q90" s="81"/>
      <c r="R90" s="82"/>
      <c r="S90" s="72"/>
      <c r="T90" s="72"/>
      <c r="U90" s="72"/>
      <c r="V90" s="72"/>
      <c r="W90" s="81"/>
      <c r="X90" s="82"/>
      <c r="Y90" s="90"/>
      <c r="Z90" s="81"/>
      <c r="AA90" s="82"/>
      <c r="AB90" s="72"/>
      <c r="AC90" s="72"/>
      <c r="AD90" s="72"/>
      <c r="AE90" s="72"/>
      <c r="AF90" s="81"/>
      <c r="AG90" s="82"/>
      <c r="AH90" s="82"/>
      <c r="AI90" s="82"/>
      <c r="AJ90" s="81"/>
      <c r="AK90" s="90"/>
      <c r="AL90" s="56"/>
      <c r="AM90" s="71"/>
      <c r="AN90" s="72"/>
      <c r="AO90" s="72"/>
      <c r="AP90" s="81"/>
      <c r="AQ90" s="82"/>
      <c r="AR90" s="82"/>
      <c r="AS90" s="61"/>
      <c r="AT90" s="62"/>
      <c r="AU90" s="62"/>
      <c r="AV90" s="62"/>
      <c r="AW90" s="62"/>
      <c r="AX90" s="62"/>
      <c r="AY90" s="62"/>
      <c r="AZ90" s="62"/>
      <c r="BA90" s="63"/>
    </row>
    <row r="91" spans="2:91" s="21" customFormat="1" ht="18" customHeight="1" x14ac:dyDescent="0.15">
      <c r="B91" s="106" t="s">
        <v>45</v>
      </c>
      <c r="C91" s="107"/>
      <c r="D91" s="107"/>
      <c r="E91" s="107"/>
      <c r="F91" s="107"/>
      <c r="G91" s="107"/>
      <c r="H91" s="108"/>
      <c r="I91" s="54">
        <v>76883000</v>
      </c>
      <c r="J91" s="55"/>
      <c r="K91" s="55"/>
      <c r="L91" s="70"/>
      <c r="M91" s="54">
        <v>15092000</v>
      </c>
      <c r="N91" s="55"/>
      <c r="O91" s="55"/>
      <c r="P91" s="70"/>
      <c r="Q91" s="79">
        <f>SUM(Q95:R96)</f>
        <v>0</v>
      </c>
      <c r="R91" s="80"/>
      <c r="S91" s="68">
        <f>SUM(I91:R92)</f>
        <v>91975000</v>
      </c>
      <c r="T91" s="68"/>
      <c r="U91" s="68"/>
      <c r="V91" s="68"/>
      <c r="W91" s="68">
        <v>0</v>
      </c>
      <c r="X91" s="68"/>
      <c r="Y91" s="68"/>
      <c r="Z91" s="54">
        <v>0</v>
      </c>
      <c r="AA91" s="55"/>
      <c r="AB91" s="68">
        <f>SUM(S91:AA92)</f>
        <v>91975000</v>
      </c>
      <c r="AC91" s="68"/>
      <c r="AD91" s="68"/>
      <c r="AE91" s="68"/>
      <c r="AF91" s="54">
        <v>67292100</v>
      </c>
      <c r="AG91" s="55"/>
      <c r="AH91" s="55"/>
      <c r="AI91" s="70"/>
      <c r="AJ91" s="68">
        <v>22289700</v>
      </c>
      <c r="AK91" s="68"/>
      <c r="AL91" s="54">
        <v>0</v>
      </c>
      <c r="AM91" s="70"/>
      <c r="AN91" s="72">
        <f>SUM(AJ91:AM92)</f>
        <v>22289700</v>
      </c>
      <c r="AO91" s="72"/>
      <c r="AP91" s="54">
        <f>AB91-AF91-AN91</f>
        <v>2393200</v>
      </c>
      <c r="AQ91" s="55"/>
      <c r="AR91" s="55"/>
      <c r="AS91" s="83" t="s">
        <v>62</v>
      </c>
      <c r="AT91" s="84"/>
      <c r="AU91" s="84"/>
      <c r="AV91" s="84"/>
      <c r="AW91" s="84"/>
      <c r="AX91" s="84"/>
      <c r="AY91" s="84"/>
      <c r="AZ91" s="84"/>
      <c r="BA91" s="85"/>
    </row>
    <row r="92" spans="2:91" s="21" customFormat="1" ht="18" customHeight="1" x14ac:dyDescent="0.15">
      <c r="B92" s="109"/>
      <c r="C92" s="110"/>
      <c r="D92" s="110"/>
      <c r="E92" s="110"/>
      <c r="F92" s="110"/>
      <c r="G92" s="110"/>
      <c r="H92" s="111"/>
      <c r="I92" s="56"/>
      <c r="J92" s="57"/>
      <c r="K92" s="57"/>
      <c r="L92" s="71"/>
      <c r="M92" s="56"/>
      <c r="N92" s="57"/>
      <c r="O92" s="57"/>
      <c r="P92" s="71"/>
      <c r="Q92" s="81"/>
      <c r="R92" s="82"/>
      <c r="S92" s="68"/>
      <c r="T92" s="68"/>
      <c r="U92" s="68"/>
      <c r="V92" s="68"/>
      <c r="W92" s="68"/>
      <c r="X92" s="68"/>
      <c r="Y92" s="68"/>
      <c r="Z92" s="56"/>
      <c r="AA92" s="57"/>
      <c r="AB92" s="68"/>
      <c r="AC92" s="68"/>
      <c r="AD92" s="68"/>
      <c r="AE92" s="68"/>
      <c r="AF92" s="56"/>
      <c r="AG92" s="57"/>
      <c r="AH92" s="57"/>
      <c r="AI92" s="71"/>
      <c r="AJ92" s="68"/>
      <c r="AK92" s="68"/>
      <c r="AL92" s="56"/>
      <c r="AM92" s="71"/>
      <c r="AN92" s="72"/>
      <c r="AO92" s="72"/>
      <c r="AP92" s="56"/>
      <c r="AQ92" s="57"/>
      <c r="AR92" s="57"/>
      <c r="AS92" s="86" t="s">
        <v>69</v>
      </c>
      <c r="AT92" s="87"/>
      <c r="AU92" s="87"/>
      <c r="AV92" s="87"/>
      <c r="AW92" s="87"/>
      <c r="AX92" s="87"/>
      <c r="AY92" s="87"/>
      <c r="AZ92" s="87"/>
      <c r="BA92" s="88"/>
      <c r="BC92" s="21" t="s">
        <v>64</v>
      </c>
    </row>
    <row r="93" spans="2:91" s="21" customFormat="1" ht="18" customHeight="1" x14ac:dyDescent="0.15">
      <c r="B93" s="73" t="s">
        <v>46</v>
      </c>
      <c r="C93" s="74"/>
      <c r="D93" s="74"/>
      <c r="E93" s="74"/>
      <c r="F93" s="74"/>
      <c r="G93" s="74"/>
      <c r="H93" s="75"/>
      <c r="I93" s="54">
        <v>31096000</v>
      </c>
      <c r="J93" s="55"/>
      <c r="K93" s="55"/>
      <c r="L93" s="70"/>
      <c r="M93" s="54">
        <v>0</v>
      </c>
      <c r="N93" s="55"/>
      <c r="O93" s="55"/>
      <c r="P93" s="70"/>
      <c r="Q93" s="79">
        <f>SUM(Q95:R95)</f>
        <v>0</v>
      </c>
      <c r="R93" s="80"/>
      <c r="S93" s="54">
        <f>SUM(I93:R94)</f>
        <v>31096000</v>
      </c>
      <c r="T93" s="55"/>
      <c r="U93" s="55"/>
      <c r="V93" s="70"/>
      <c r="W93" s="68">
        <v>0</v>
      </c>
      <c r="X93" s="68"/>
      <c r="Y93" s="68"/>
      <c r="Z93" s="68">
        <v>0</v>
      </c>
      <c r="AA93" s="69"/>
      <c r="AB93" s="68">
        <f>SUM(S93:AA94)</f>
        <v>31096000</v>
      </c>
      <c r="AC93" s="68"/>
      <c r="AD93" s="68"/>
      <c r="AE93" s="68"/>
      <c r="AF93" s="54">
        <v>31095348</v>
      </c>
      <c r="AG93" s="55"/>
      <c r="AH93" s="55"/>
      <c r="AI93" s="70"/>
      <c r="AJ93" s="68">
        <v>0</v>
      </c>
      <c r="AK93" s="68"/>
      <c r="AL93" s="54">
        <v>0</v>
      </c>
      <c r="AM93" s="70"/>
      <c r="AN93" s="72">
        <f>SUM(AJ93:AM94)</f>
        <v>0</v>
      </c>
      <c r="AO93" s="72"/>
      <c r="AP93" s="54">
        <f>AB93-AF93-AN93</f>
        <v>652</v>
      </c>
      <c r="AQ93" s="55"/>
      <c r="AR93" s="55"/>
      <c r="AS93" s="58"/>
      <c r="AT93" s="59"/>
      <c r="AU93" s="59"/>
      <c r="AV93" s="59"/>
      <c r="AW93" s="59"/>
      <c r="AX93" s="59"/>
      <c r="AY93" s="59"/>
      <c r="AZ93" s="59"/>
      <c r="BA93" s="60"/>
    </row>
    <row r="94" spans="2:91" s="21" customFormat="1" ht="18" customHeight="1" x14ac:dyDescent="0.15">
      <c r="B94" s="76"/>
      <c r="C94" s="77"/>
      <c r="D94" s="77"/>
      <c r="E94" s="77"/>
      <c r="F94" s="77"/>
      <c r="G94" s="77"/>
      <c r="H94" s="78"/>
      <c r="I94" s="56"/>
      <c r="J94" s="57"/>
      <c r="K94" s="57"/>
      <c r="L94" s="71"/>
      <c r="M94" s="56"/>
      <c r="N94" s="57"/>
      <c r="O94" s="57"/>
      <c r="P94" s="71"/>
      <c r="Q94" s="81"/>
      <c r="R94" s="82"/>
      <c r="S94" s="56"/>
      <c r="T94" s="57"/>
      <c r="U94" s="57"/>
      <c r="V94" s="71"/>
      <c r="W94" s="68"/>
      <c r="X94" s="68"/>
      <c r="Y94" s="68"/>
      <c r="Z94" s="68"/>
      <c r="AA94" s="69"/>
      <c r="AB94" s="68"/>
      <c r="AC94" s="68"/>
      <c r="AD94" s="68"/>
      <c r="AE94" s="68"/>
      <c r="AF94" s="56"/>
      <c r="AG94" s="57"/>
      <c r="AH94" s="57"/>
      <c r="AI94" s="71"/>
      <c r="AJ94" s="68"/>
      <c r="AK94" s="68"/>
      <c r="AL94" s="56"/>
      <c r="AM94" s="71"/>
      <c r="AN94" s="72"/>
      <c r="AO94" s="72"/>
      <c r="AP94" s="56"/>
      <c r="AQ94" s="57"/>
      <c r="AR94" s="57"/>
      <c r="AS94" s="61"/>
      <c r="AT94" s="62"/>
      <c r="AU94" s="62"/>
      <c r="AV94" s="62"/>
      <c r="AW94" s="62"/>
      <c r="AX94" s="62"/>
      <c r="AY94" s="62"/>
      <c r="AZ94" s="62"/>
      <c r="BA94" s="63"/>
    </row>
    <row r="95" spans="2:91" ht="15" customHeight="1" x14ac:dyDescent="0.15">
      <c r="B95" s="64" t="s">
        <v>70</v>
      </c>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C95" s="19" t="s">
        <v>66</v>
      </c>
    </row>
    <row r="96" spans="2:91" ht="15" customHeight="1" x14ac:dyDescent="0.1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C96" s="19">
        <f>AE72-AF89</f>
        <v>-42675983</v>
      </c>
    </row>
    <row r="97" spans="2:53" ht="15" customHeight="1" x14ac:dyDescent="0.1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row>
    <row r="98" spans="2:53"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row>
    <row r="99" spans="2:53" s="18" customFormat="1" ht="13.5" customHeight="1" x14ac:dyDescent="0.15"/>
    <row r="100" spans="2:53" s="18" customFormat="1" ht="13.5" customHeight="1" x14ac:dyDescent="0.15"/>
    <row r="101" spans="2:53" s="18" customFormat="1" ht="13.5" customHeight="1" x14ac:dyDescent="0.15"/>
    <row r="102" spans="2:53" s="18" customFormat="1" ht="13.5" customHeight="1" x14ac:dyDescent="0.15"/>
    <row r="103" spans="2:53" s="18" customFormat="1" ht="13.5" customHeight="1" x14ac:dyDescent="0.15"/>
    <row r="104" spans="2:53" ht="18" customHeight="1" x14ac:dyDescent="0.15">
      <c r="D104" s="67"/>
      <c r="E104" s="67"/>
      <c r="F104" s="67"/>
    </row>
    <row r="105" spans="2:53" ht="18" customHeight="1" x14ac:dyDescent="0.15"/>
    <row r="106" spans="2:53" ht="18" customHeight="1" x14ac:dyDescent="0.15"/>
    <row r="107" spans="2:53" ht="18" customHeight="1" x14ac:dyDescent="0.15"/>
    <row r="108" spans="2:53" ht="18" customHeight="1" x14ac:dyDescent="0.15"/>
    <row r="109" spans="2:53" ht="18" customHeight="1" x14ac:dyDescent="0.15"/>
    <row r="110" spans="2:53" ht="18" customHeight="1" x14ac:dyDescent="0.15"/>
    <row r="111" spans="2:53" ht="18" customHeight="1" x14ac:dyDescent="0.15"/>
    <row r="112" spans="2:53"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6">
    <mergeCell ref="D104:F104"/>
    <mergeCell ref="B95:BA97"/>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P93:AR94"/>
    <mergeCell ref="AS93:BA94"/>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49D1C237-A653-4CEC-A07A-684266B8B06F}">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1:CM904"/>
  <sheetViews>
    <sheetView showGridLines="0" showOutlineSymbols="0" view="pageBreakPreview" topLeftCell="A81" zoomScale="89" zoomScaleNormal="89" zoomScaleSheetLayoutView="89" workbookViewId="0">
      <selection activeCell="AJ91" sqref="AJ91:AK92"/>
    </sheetView>
  </sheetViews>
  <sheetFormatPr defaultRowHeight="13.5" x14ac:dyDescent="0.15"/>
  <cols>
    <col min="1" max="1" width="2.625" style="2" customWidth="1"/>
    <col min="2" max="15" width="3.125" style="2" customWidth="1"/>
    <col min="16" max="16" width="4.25" style="2" customWidth="1"/>
    <col min="17" max="37" width="3.125" style="2" customWidth="1"/>
    <col min="38" max="38" width="4.625" style="2" customWidth="1"/>
    <col min="39" max="42" width="3.125" style="2" customWidth="1"/>
    <col min="43" max="43" width="3.5" style="2" customWidth="1"/>
    <col min="44" max="53" width="3.125" style="2" customWidth="1"/>
    <col min="54" max="55" width="5.625" style="2" customWidth="1"/>
    <col min="56" max="100" width="2.625" style="2" customWidth="1"/>
    <col min="101" max="260" width="9" style="2"/>
    <col min="261" max="275" width="3.125" style="2" customWidth="1"/>
    <col min="276" max="276" width="5.5" style="2" customWidth="1"/>
    <col min="277" max="277" width="5.625" style="2" customWidth="1"/>
    <col min="278" max="293" width="3.125" style="2" customWidth="1"/>
    <col min="294" max="294" width="5.375" style="2" customWidth="1"/>
    <col min="295" max="296" width="3.125" style="2" customWidth="1"/>
    <col min="297" max="297" width="4.625" style="2" customWidth="1"/>
    <col min="298" max="298" width="3.5" style="2" customWidth="1"/>
    <col min="299" max="309" width="3.125" style="2" customWidth="1"/>
    <col min="310" max="311" width="5.625" style="2" customWidth="1"/>
    <col min="312" max="356" width="2.625" style="2" customWidth="1"/>
    <col min="357" max="516" width="9" style="2"/>
    <col min="517" max="531" width="3.125" style="2" customWidth="1"/>
    <col min="532" max="532" width="5.5" style="2" customWidth="1"/>
    <col min="533" max="533" width="5.625" style="2" customWidth="1"/>
    <col min="534" max="549" width="3.125" style="2" customWidth="1"/>
    <col min="550" max="550" width="5.375" style="2" customWidth="1"/>
    <col min="551" max="552" width="3.125" style="2" customWidth="1"/>
    <col min="553" max="553" width="4.625" style="2" customWidth="1"/>
    <col min="554" max="554" width="3.5" style="2" customWidth="1"/>
    <col min="555" max="565" width="3.125" style="2" customWidth="1"/>
    <col min="566" max="567" width="5.625" style="2" customWidth="1"/>
    <col min="568" max="612" width="2.625" style="2" customWidth="1"/>
    <col min="613" max="772" width="9" style="2"/>
    <col min="773" max="787" width="3.125" style="2" customWidth="1"/>
    <col min="788" max="788" width="5.5" style="2" customWidth="1"/>
    <col min="789" max="789" width="5.625" style="2" customWidth="1"/>
    <col min="790" max="805" width="3.125" style="2" customWidth="1"/>
    <col min="806" max="806" width="5.375" style="2" customWidth="1"/>
    <col min="807" max="808" width="3.125" style="2" customWidth="1"/>
    <col min="809" max="809" width="4.625" style="2" customWidth="1"/>
    <col min="810" max="810" width="3.5" style="2" customWidth="1"/>
    <col min="811" max="821" width="3.125" style="2" customWidth="1"/>
    <col min="822" max="823" width="5.625" style="2" customWidth="1"/>
    <col min="824" max="868" width="2.625" style="2" customWidth="1"/>
    <col min="869" max="1028" width="9" style="2"/>
    <col min="1029" max="1043" width="3.125" style="2" customWidth="1"/>
    <col min="1044" max="1044" width="5.5" style="2" customWidth="1"/>
    <col min="1045" max="1045" width="5.625" style="2" customWidth="1"/>
    <col min="1046" max="1061" width="3.125" style="2" customWidth="1"/>
    <col min="1062" max="1062" width="5.375" style="2" customWidth="1"/>
    <col min="1063" max="1064" width="3.125" style="2" customWidth="1"/>
    <col min="1065" max="1065" width="4.625" style="2" customWidth="1"/>
    <col min="1066" max="1066" width="3.5" style="2" customWidth="1"/>
    <col min="1067" max="1077" width="3.125" style="2" customWidth="1"/>
    <col min="1078" max="1079" width="5.625" style="2" customWidth="1"/>
    <col min="1080" max="1124" width="2.625" style="2" customWidth="1"/>
    <col min="1125" max="1284" width="9" style="2"/>
    <col min="1285" max="1299" width="3.125" style="2" customWidth="1"/>
    <col min="1300" max="1300" width="5.5" style="2" customWidth="1"/>
    <col min="1301" max="1301" width="5.625" style="2" customWidth="1"/>
    <col min="1302" max="1317" width="3.125" style="2" customWidth="1"/>
    <col min="1318" max="1318" width="5.375" style="2" customWidth="1"/>
    <col min="1319" max="1320" width="3.125" style="2" customWidth="1"/>
    <col min="1321" max="1321" width="4.625" style="2" customWidth="1"/>
    <col min="1322" max="1322" width="3.5" style="2" customWidth="1"/>
    <col min="1323" max="1333" width="3.125" style="2" customWidth="1"/>
    <col min="1334" max="1335" width="5.625" style="2" customWidth="1"/>
    <col min="1336" max="1380" width="2.625" style="2" customWidth="1"/>
    <col min="1381" max="1540" width="9" style="2"/>
    <col min="1541" max="1555" width="3.125" style="2" customWidth="1"/>
    <col min="1556" max="1556" width="5.5" style="2" customWidth="1"/>
    <col min="1557" max="1557" width="5.625" style="2" customWidth="1"/>
    <col min="1558" max="1573" width="3.125" style="2" customWidth="1"/>
    <col min="1574" max="1574" width="5.375" style="2" customWidth="1"/>
    <col min="1575" max="1576" width="3.125" style="2" customWidth="1"/>
    <col min="1577" max="1577" width="4.625" style="2" customWidth="1"/>
    <col min="1578" max="1578" width="3.5" style="2" customWidth="1"/>
    <col min="1579" max="1589" width="3.125" style="2" customWidth="1"/>
    <col min="1590" max="1591" width="5.625" style="2" customWidth="1"/>
    <col min="1592" max="1636" width="2.625" style="2" customWidth="1"/>
    <col min="1637" max="1796" width="9" style="2"/>
    <col min="1797" max="1811" width="3.125" style="2" customWidth="1"/>
    <col min="1812" max="1812" width="5.5" style="2" customWidth="1"/>
    <col min="1813" max="1813" width="5.625" style="2" customWidth="1"/>
    <col min="1814" max="1829" width="3.125" style="2" customWidth="1"/>
    <col min="1830" max="1830" width="5.375" style="2" customWidth="1"/>
    <col min="1831" max="1832" width="3.125" style="2" customWidth="1"/>
    <col min="1833" max="1833" width="4.625" style="2" customWidth="1"/>
    <col min="1834" max="1834" width="3.5" style="2" customWidth="1"/>
    <col min="1835" max="1845" width="3.125" style="2" customWidth="1"/>
    <col min="1846" max="1847" width="5.625" style="2" customWidth="1"/>
    <col min="1848" max="1892" width="2.625" style="2" customWidth="1"/>
    <col min="1893" max="2052" width="9" style="2"/>
    <col min="2053" max="2067" width="3.125" style="2" customWidth="1"/>
    <col min="2068" max="2068" width="5.5" style="2" customWidth="1"/>
    <col min="2069" max="2069" width="5.625" style="2" customWidth="1"/>
    <col min="2070" max="2085" width="3.125" style="2" customWidth="1"/>
    <col min="2086" max="2086" width="5.375" style="2" customWidth="1"/>
    <col min="2087" max="2088" width="3.125" style="2" customWidth="1"/>
    <col min="2089" max="2089" width="4.625" style="2" customWidth="1"/>
    <col min="2090" max="2090" width="3.5" style="2" customWidth="1"/>
    <col min="2091" max="2101" width="3.125" style="2" customWidth="1"/>
    <col min="2102" max="2103" width="5.625" style="2" customWidth="1"/>
    <col min="2104" max="2148" width="2.625" style="2" customWidth="1"/>
    <col min="2149" max="2308" width="9" style="2"/>
    <col min="2309" max="2323" width="3.125" style="2" customWidth="1"/>
    <col min="2324" max="2324" width="5.5" style="2" customWidth="1"/>
    <col min="2325" max="2325" width="5.625" style="2" customWidth="1"/>
    <col min="2326" max="2341" width="3.125" style="2" customWidth="1"/>
    <col min="2342" max="2342" width="5.375" style="2" customWidth="1"/>
    <col min="2343" max="2344" width="3.125" style="2" customWidth="1"/>
    <col min="2345" max="2345" width="4.625" style="2" customWidth="1"/>
    <col min="2346" max="2346" width="3.5" style="2" customWidth="1"/>
    <col min="2347" max="2357" width="3.125" style="2" customWidth="1"/>
    <col min="2358" max="2359" width="5.625" style="2" customWidth="1"/>
    <col min="2360" max="2404" width="2.625" style="2" customWidth="1"/>
    <col min="2405" max="2564" width="9" style="2"/>
    <col min="2565" max="2579" width="3.125" style="2" customWidth="1"/>
    <col min="2580" max="2580" width="5.5" style="2" customWidth="1"/>
    <col min="2581" max="2581" width="5.625" style="2" customWidth="1"/>
    <col min="2582" max="2597" width="3.125" style="2" customWidth="1"/>
    <col min="2598" max="2598" width="5.375" style="2" customWidth="1"/>
    <col min="2599" max="2600" width="3.125" style="2" customWidth="1"/>
    <col min="2601" max="2601" width="4.625" style="2" customWidth="1"/>
    <col min="2602" max="2602" width="3.5" style="2" customWidth="1"/>
    <col min="2603" max="2613" width="3.125" style="2" customWidth="1"/>
    <col min="2614" max="2615" width="5.625" style="2" customWidth="1"/>
    <col min="2616" max="2660" width="2.625" style="2" customWidth="1"/>
    <col min="2661" max="2820" width="9" style="2"/>
    <col min="2821" max="2835" width="3.125" style="2" customWidth="1"/>
    <col min="2836" max="2836" width="5.5" style="2" customWidth="1"/>
    <col min="2837" max="2837" width="5.625" style="2" customWidth="1"/>
    <col min="2838" max="2853" width="3.125" style="2" customWidth="1"/>
    <col min="2854" max="2854" width="5.375" style="2" customWidth="1"/>
    <col min="2855" max="2856" width="3.125" style="2" customWidth="1"/>
    <col min="2857" max="2857" width="4.625" style="2" customWidth="1"/>
    <col min="2858" max="2858" width="3.5" style="2" customWidth="1"/>
    <col min="2859" max="2869" width="3.125" style="2" customWidth="1"/>
    <col min="2870" max="2871" width="5.625" style="2" customWidth="1"/>
    <col min="2872" max="2916" width="2.625" style="2" customWidth="1"/>
    <col min="2917" max="3076" width="9" style="2"/>
    <col min="3077" max="3091" width="3.125" style="2" customWidth="1"/>
    <col min="3092" max="3092" width="5.5" style="2" customWidth="1"/>
    <col min="3093" max="3093" width="5.625" style="2" customWidth="1"/>
    <col min="3094" max="3109" width="3.125" style="2" customWidth="1"/>
    <col min="3110" max="3110" width="5.375" style="2" customWidth="1"/>
    <col min="3111" max="3112" width="3.125" style="2" customWidth="1"/>
    <col min="3113" max="3113" width="4.625" style="2" customWidth="1"/>
    <col min="3114" max="3114" width="3.5" style="2" customWidth="1"/>
    <col min="3115" max="3125" width="3.125" style="2" customWidth="1"/>
    <col min="3126" max="3127" width="5.625" style="2" customWidth="1"/>
    <col min="3128" max="3172" width="2.625" style="2" customWidth="1"/>
    <col min="3173" max="3332" width="9" style="2"/>
    <col min="3333" max="3347" width="3.125" style="2" customWidth="1"/>
    <col min="3348" max="3348" width="5.5" style="2" customWidth="1"/>
    <col min="3349" max="3349" width="5.625" style="2" customWidth="1"/>
    <col min="3350" max="3365" width="3.125" style="2" customWidth="1"/>
    <col min="3366" max="3366" width="5.375" style="2" customWidth="1"/>
    <col min="3367" max="3368" width="3.125" style="2" customWidth="1"/>
    <col min="3369" max="3369" width="4.625" style="2" customWidth="1"/>
    <col min="3370" max="3370" width="3.5" style="2" customWidth="1"/>
    <col min="3371" max="3381" width="3.125" style="2" customWidth="1"/>
    <col min="3382" max="3383" width="5.625" style="2" customWidth="1"/>
    <col min="3384" max="3428" width="2.625" style="2" customWidth="1"/>
    <col min="3429" max="3588" width="9" style="2"/>
    <col min="3589" max="3603" width="3.125" style="2" customWidth="1"/>
    <col min="3604" max="3604" width="5.5" style="2" customWidth="1"/>
    <col min="3605" max="3605" width="5.625" style="2" customWidth="1"/>
    <col min="3606" max="3621" width="3.125" style="2" customWidth="1"/>
    <col min="3622" max="3622" width="5.375" style="2" customWidth="1"/>
    <col min="3623" max="3624" width="3.125" style="2" customWidth="1"/>
    <col min="3625" max="3625" width="4.625" style="2" customWidth="1"/>
    <col min="3626" max="3626" width="3.5" style="2" customWidth="1"/>
    <col min="3627" max="3637" width="3.125" style="2" customWidth="1"/>
    <col min="3638" max="3639" width="5.625" style="2" customWidth="1"/>
    <col min="3640" max="3684" width="2.625" style="2" customWidth="1"/>
    <col min="3685" max="3844" width="9" style="2"/>
    <col min="3845" max="3859" width="3.125" style="2" customWidth="1"/>
    <col min="3860" max="3860" width="5.5" style="2" customWidth="1"/>
    <col min="3861" max="3861" width="5.625" style="2" customWidth="1"/>
    <col min="3862" max="3877" width="3.125" style="2" customWidth="1"/>
    <col min="3878" max="3878" width="5.375" style="2" customWidth="1"/>
    <col min="3879" max="3880" width="3.125" style="2" customWidth="1"/>
    <col min="3881" max="3881" width="4.625" style="2" customWidth="1"/>
    <col min="3882" max="3882" width="3.5" style="2" customWidth="1"/>
    <col min="3883" max="3893" width="3.125" style="2" customWidth="1"/>
    <col min="3894" max="3895" width="5.625" style="2" customWidth="1"/>
    <col min="3896" max="3940" width="2.625" style="2" customWidth="1"/>
    <col min="3941" max="4100" width="9" style="2"/>
    <col min="4101" max="4115" width="3.125" style="2" customWidth="1"/>
    <col min="4116" max="4116" width="5.5" style="2" customWidth="1"/>
    <col min="4117" max="4117" width="5.625" style="2" customWidth="1"/>
    <col min="4118" max="4133" width="3.125" style="2" customWidth="1"/>
    <col min="4134" max="4134" width="5.375" style="2" customWidth="1"/>
    <col min="4135" max="4136" width="3.125" style="2" customWidth="1"/>
    <col min="4137" max="4137" width="4.625" style="2" customWidth="1"/>
    <col min="4138" max="4138" width="3.5" style="2" customWidth="1"/>
    <col min="4139" max="4149" width="3.125" style="2" customWidth="1"/>
    <col min="4150" max="4151" width="5.625" style="2" customWidth="1"/>
    <col min="4152" max="4196" width="2.625" style="2" customWidth="1"/>
    <col min="4197" max="4356" width="9" style="2"/>
    <col min="4357" max="4371" width="3.125" style="2" customWidth="1"/>
    <col min="4372" max="4372" width="5.5" style="2" customWidth="1"/>
    <col min="4373" max="4373" width="5.625" style="2" customWidth="1"/>
    <col min="4374" max="4389" width="3.125" style="2" customWidth="1"/>
    <col min="4390" max="4390" width="5.375" style="2" customWidth="1"/>
    <col min="4391" max="4392" width="3.125" style="2" customWidth="1"/>
    <col min="4393" max="4393" width="4.625" style="2" customWidth="1"/>
    <col min="4394" max="4394" width="3.5" style="2" customWidth="1"/>
    <col min="4395" max="4405" width="3.125" style="2" customWidth="1"/>
    <col min="4406" max="4407" width="5.625" style="2" customWidth="1"/>
    <col min="4408" max="4452" width="2.625" style="2" customWidth="1"/>
    <col min="4453" max="4612" width="9" style="2"/>
    <col min="4613" max="4627" width="3.125" style="2" customWidth="1"/>
    <col min="4628" max="4628" width="5.5" style="2" customWidth="1"/>
    <col min="4629" max="4629" width="5.625" style="2" customWidth="1"/>
    <col min="4630" max="4645" width="3.125" style="2" customWidth="1"/>
    <col min="4646" max="4646" width="5.375" style="2" customWidth="1"/>
    <col min="4647" max="4648" width="3.125" style="2" customWidth="1"/>
    <col min="4649" max="4649" width="4.625" style="2" customWidth="1"/>
    <col min="4650" max="4650" width="3.5" style="2" customWidth="1"/>
    <col min="4651" max="4661" width="3.125" style="2" customWidth="1"/>
    <col min="4662" max="4663" width="5.625" style="2" customWidth="1"/>
    <col min="4664" max="4708" width="2.625" style="2" customWidth="1"/>
    <col min="4709" max="4868" width="9" style="2"/>
    <col min="4869" max="4883" width="3.125" style="2" customWidth="1"/>
    <col min="4884" max="4884" width="5.5" style="2" customWidth="1"/>
    <col min="4885" max="4885" width="5.625" style="2" customWidth="1"/>
    <col min="4886" max="4901" width="3.125" style="2" customWidth="1"/>
    <col min="4902" max="4902" width="5.375" style="2" customWidth="1"/>
    <col min="4903" max="4904" width="3.125" style="2" customWidth="1"/>
    <col min="4905" max="4905" width="4.625" style="2" customWidth="1"/>
    <col min="4906" max="4906" width="3.5" style="2" customWidth="1"/>
    <col min="4907" max="4917" width="3.125" style="2" customWidth="1"/>
    <col min="4918" max="4919" width="5.625" style="2" customWidth="1"/>
    <col min="4920" max="4964" width="2.625" style="2" customWidth="1"/>
    <col min="4965" max="5124" width="9" style="2"/>
    <col min="5125" max="5139" width="3.125" style="2" customWidth="1"/>
    <col min="5140" max="5140" width="5.5" style="2" customWidth="1"/>
    <col min="5141" max="5141" width="5.625" style="2" customWidth="1"/>
    <col min="5142" max="5157" width="3.125" style="2" customWidth="1"/>
    <col min="5158" max="5158" width="5.375" style="2" customWidth="1"/>
    <col min="5159" max="5160" width="3.125" style="2" customWidth="1"/>
    <col min="5161" max="5161" width="4.625" style="2" customWidth="1"/>
    <col min="5162" max="5162" width="3.5" style="2" customWidth="1"/>
    <col min="5163" max="5173" width="3.125" style="2" customWidth="1"/>
    <col min="5174" max="5175" width="5.625" style="2" customWidth="1"/>
    <col min="5176" max="5220" width="2.625" style="2" customWidth="1"/>
    <col min="5221" max="5380" width="9" style="2"/>
    <col min="5381" max="5395" width="3.125" style="2" customWidth="1"/>
    <col min="5396" max="5396" width="5.5" style="2" customWidth="1"/>
    <col min="5397" max="5397" width="5.625" style="2" customWidth="1"/>
    <col min="5398" max="5413" width="3.125" style="2" customWidth="1"/>
    <col min="5414" max="5414" width="5.375" style="2" customWidth="1"/>
    <col min="5415" max="5416" width="3.125" style="2" customWidth="1"/>
    <col min="5417" max="5417" width="4.625" style="2" customWidth="1"/>
    <col min="5418" max="5418" width="3.5" style="2" customWidth="1"/>
    <col min="5419" max="5429" width="3.125" style="2" customWidth="1"/>
    <col min="5430" max="5431" width="5.625" style="2" customWidth="1"/>
    <col min="5432" max="5476" width="2.625" style="2" customWidth="1"/>
    <col min="5477" max="5636" width="9" style="2"/>
    <col min="5637" max="5651" width="3.125" style="2" customWidth="1"/>
    <col min="5652" max="5652" width="5.5" style="2" customWidth="1"/>
    <col min="5653" max="5653" width="5.625" style="2" customWidth="1"/>
    <col min="5654" max="5669" width="3.125" style="2" customWidth="1"/>
    <col min="5670" max="5670" width="5.375" style="2" customWidth="1"/>
    <col min="5671" max="5672" width="3.125" style="2" customWidth="1"/>
    <col min="5673" max="5673" width="4.625" style="2" customWidth="1"/>
    <col min="5674" max="5674" width="3.5" style="2" customWidth="1"/>
    <col min="5675" max="5685" width="3.125" style="2" customWidth="1"/>
    <col min="5686" max="5687" width="5.625" style="2" customWidth="1"/>
    <col min="5688" max="5732" width="2.625" style="2" customWidth="1"/>
    <col min="5733" max="5892" width="9" style="2"/>
    <col min="5893" max="5907" width="3.125" style="2" customWidth="1"/>
    <col min="5908" max="5908" width="5.5" style="2" customWidth="1"/>
    <col min="5909" max="5909" width="5.625" style="2" customWidth="1"/>
    <col min="5910" max="5925" width="3.125" style="2" customWidth="1"/>
    <col min="5926" max="5926" width="5.375" style="2" customWidth="1"/>
    <col min="5927" max="5928" width="3.125" style="2" customWidth="1"/>
    <col min="5929" max="5929" width="4.625" style="2" customWidth="1"/>
    <col min="5930" max="5930" width="3.5" style="2" customWidth="1"/>
    <col min="5931" max="5941" width="3.125" style="2" customWidth="1"/>
    <col min="5942" max="5943" width="5.625" style="2" customWidth="1"/>
    <col min="5944" max="5988" width="2.625" style="2" customWidth="1"/>
    <col min="5989" max="6148" width="9" style="2"/>
    <col min="6149" max="6163" width="3.125" style="2" customWidth="1"/>
    <col min="6164" max="6164" width="5.5" style="2" customWidth="1"/>
    <col min="6165" max="6165" width="5.625" style="2" customWidth="1"/>
    <col min="6166" max="6181" width="3.125" style="2" customWidth="1"/>
    <col min="6182" max="6182" width="5.375" style="2" customWidth="1"/>
    <col min="6183" max="6184" width="3.125" style="2" customWidth="1"/>
    <col min="6185" max="6185" width="4.625" style="2" customWidth="1"/>
    <col min="6186" max="6186" width="3.5" style="2" customWidth="1"/>
    <col min="6187" max="6197" width="3.125" style="2" customWidth="1"/>
    <col min="6198" max="6199" width="5.625" style="2" customWidth="1"/>
    <col min="6200" max="6244" width="2.625" style="2" customWidth="1"/>
    <col min="6245" max="6404" width="9" style="2"/>
    <col min="6405" max="6419" width="3.125" style="2" customWidth="1"/>
    <col min="6420" max="6420" width="5.5" style="2" customWidth="1"/>
    <col min="6421" max="6421" width="5.625" style="2" customWidth="1"/>
    <col min="6422" max="6437" width="3.125" style="2" customWidth="1"/>
    <col min="6438" max="6438" width="5.375" style="2" customWidth="1"/>
    <col min="6439" max="6440" width="3.125" style="2" customWidth="1"/>
    <col min="6441" max="6441" width="4.625" style="2" customWidth="1"/>
    <col min="6442" max="6442" width="3.5" style="2" customWidth="1"/>
    <col min="6443" max="6453" width="3.125" style="2" customWidth="1"/>
    <col min="6454" max="6455" width="5.625" style="2" customWidth="1"/>
    <col min="6456" max="6500" width="2.625" style="2" customWidth="1"/>
    <col min="6501" max="6660" width="9" style="2"/>
    <col min="6661" max="6675" width="3.125" style="2" customWidth="1"/>
    <col min="6676" max="6676" width="5.5" style="2" customWidth="1"/>
    <col min="6677" max="6677" width="5.625" style="2" customWidth="1"/>
    <col min="6678" max="6693" width="3.125" style="2" customWidth="1"/>
    <col min="6694" max="6694" width="5.375" style="2" customWidth="1"/>
    <col min="6695" max="6696" width="3.125" style="2" customWidth="1"/>
    <col min="6697" max="6697" width="4.625" style="2" customWidth="1"/>
    <col min="6698" max="6698" width="3.5" style="2" customWidth="1"/>
    <col min="6699" max="6709" width="3.125" style="2" customWidth="1"/>
    <col min="6710" max="6711" width="5.625" style="2" customWidth="1"/>
    <col min="6712" max="6756" width="2.625" style="2" customWidth="1"/>
    <col min="6757" max="6916" width="9" style="2"/>
    <col min="6917" max="6931" width="3.125" style="2" customWidth="1"/>
    <col min="6932" max="6932" width="5.5" style="2" customWidth="1"/>
    <col min="6933" max="6933" width="5.625" style="2" customWidth="1"/>
    <col min="6934" max="6949" width="3.125" style="2" customWidth="1"/>
    <col min="6950" max="6950" width="5.375" style="2" customWidth="1"/>
    <col min="6951" max="6952" width="3.125" style="2" customWidth="1"/>
    <col min="6953" max="6953" width="4.625" style="2" customWidth="1"/>
    <col min="6954" max="6954" width="3.5" style="2" customWidth="1"/>
    <col min="6955" max="6965" width="3.125" style="2" customWidth="1"/>
    <col min="6966" max="6967" width="5.625" style="2" customWidth="1"/>
    <col min="6968" max="7012" width="2.625" style="2" customWidth="1"/>
    <col min="7013" max="7172" width="9" style="2"/>
    <col min="7173" max="7187" width="3.125" style="2" customWidth="1"/>
    <col min="7188" max="7188" width="5.5" style="2" customWidth="1"/>
    <col min="7189" max="7189" width="5.625" style="2" customWidth="1"/>
    <col min="7190" max="7205" width="3.125" style="2" customWidth="1"/>
    <col min="7206" max="7206" width="5.375" style="2" customWidth="1"/>
    <col min="7207" max="7208" width="3.125" style="2" customWidth="1"/>
    <col min="7209" max="7209" width="4.625" style="2" customWidth="1"/>
    <col min="7210" max="7210" width="3.5" style="2" customWidth="1"/>
    <col min="7211" max="7221" width="3.125" style="2" customWidth="1"/>
    <col min="7222" max="7223" width="5.625" style="2" customWidth="1"/>
    <col min="7224" max="7268" width="2.625" style="2" customWidth="1"/>
    <col min="7269" max="7428" width="9" style="2"/>
    <col min="7429" max="7443" width="3.125" style="2" customWidth="1"/>
    <col min="7444" max="7444" width="5.5" style="2" customWidth="1"/>
    <col min="7445" max="7445" width="5.625" style="2" customWidth="1"/>
    <col min="7446" max="7461" width="3.125" style="2" customWidth="1"/>
    <col min="7462" max="7462" width="5.375" style="2" customWidth="1"/>
    <col min="7463" max="7464" width="3.125" style="2" customWidth="1"/>
    <col min="7465" max="7465" width="4.625" style="2" customWidth="1"/>
    <col min="7466" max="7466" width="3.5" style="2" customWidth="1"/>
    <col min="7467" max="7477" width="3.125" style="2" customWidth="1"/>
    <col min="7478" max="7479" width="5.625" style="2" customWidth="1"/>
    <col min="7480" max="7524" width="2.625" style="2" customWidth="1"/>
    <col min="7525" max="7684" width="9" style="2"/>
    <col min="7685" max="7699" width="3.125" style="2" customWidth="1"/>
    <col min="7700" max="7700" width="5.5" style="2" customWidth="1"/>
    <col min="7701" max="7701" width="5.625" style="2" customWidth="1"/>
    <col min="7702" max="7717" width="3.125" style="2" customWidth="1"/>
    <col min="7718" max="7718" width="5.375" style="2" customWidth="1"/>
    <col min="7719" max="7720" width="3.125" style="2" customWidth="1"/>
    <col min="7721" max="7721" width="4.625" style="2" customWidth="1"/>
    <col min="7722" max="7722" width="3.5" style="2" customWidth="1"/>
    <col min="7723" max="7733" width="3.125" style="2" customWidth="1"/>
    <col min="7734" max="7735" width="5.625" style="2" customWidth="1"/>
    <col min="7736" max="7780" width="2.625" style="2" customWidth="1"/>
    <col min="7781" max="7940" width="9" style="2"/>
    <col min="7941" max="7955" width="3.125" style="2" customWidth="1"/>
    <col min="7956" max="7956" width="5.5" style="2" customWidth="1"/>
    <col min="7957" max="7957" width="5.625" style="2" customWidth="1"/>
    <col min="7958" max="7973" width="3.125" style="2" customWidth="1"/>
    <col min="7974" max="7974" width="5.375" style="2" customWidth="1"/>
    <col min="7975" max="7976" width="3.125" style="2" customWidth="1"/>
    <col min="7977" max="7977" width="4.625" style="2" customWidth="1"/>
    <col min="7978" max="7978" width="3.5" style="2" customWidth="1"/>
    <col min="7979" max="7989" width="3.125" style="2" customWidth="1"/>
    <col min="7990" max="7991" width="5.625" style="2" customWidth="1"/>
    <col min="7992" max="8036" width="2.625" style="2" customWidth="1"/>
    <col min="8037" max="8196" width="9" style="2"/>
    <col min="8197" max="8211" width="3.125" style="2" customWidth="1"/>
    <col min="8212" max="8212" width="5.5" style="2" customWidth="1"/>
    <col min="8213" max="8213" width="5.625" style="2" customWidth="1"/>
    <col min="8214" max="8229" width="3.125" style="2" customWidth="1"/>
    <col min="8230" max="8230" width="5.375" style="2" customWidth="1"/>
    <col min="8231" max="8232" width="3.125" style="2" customWidth="1"/>
    <col min="8233" max="8233" width="4.625" style="2" customWidth="1"/>
    <col min="8234" max="8234" width="3.5" style="2" customWidth="1"/>
    <col min="8235" max="8245" width="3.125" style="2" customWidth="1"/>
    <col min="8246" max="8247" width="5.625" style="2" customWidth="1"/>
    <col min="8248" max="8292" width="2.625" style="2" customWidth="1"/>
    <col min="8293" max="8452" width="9" style="2"/>
    <col min="8453" max="8467" width="3.125" style="2" customWidth="1"/>
    <col min="8468" max="8468" width="5.5" style="2" customWidth="1"/>
    <col min="8469" max="8469" width="5.625" style="2" customWidth="1"/>
    <col min="8470" max="8485" width="3.125" style="2" customWidth="1"/>
    <col min="8486" max="8486" width="5.375" style="2" customWidth="1"/>
    <col min="8487" max="8488" width="3.125" style="2" customWidth="1"/>
    <col min="8489" max="8489" width="4.625" style="2" customWidth="1"/>
    <col min="8490" max="8490" width="3.5" style="2" customWidth="1"/>
    <col min="8491" max="8501" width="3.125" style="2" customWidth="1"/>
    <col min="8502" max="8503" width="5.625" style="2" customWidth="1"/>
    <col min="8504" max="8548" width="2.625" style="2" customWidth="1"/>
    <col min="8549" max="8708" width="9" style="2"/>
    <col min="8709" max="8723" width="3.125" style="2" customWidth="1"/>
    <col min="8724" max="8724" width="5.5" style="2" customWidth="1"/>
    <col min="8725" max="8725" width="5.625" style="2" customWidth="1"/>
    <col min="8726" max="8741" width="3.125" style="2" customWidth="1"/>
    <col min="8742" max="8742" width="5.375" style="2" customWidth="1"/>
    <col min="8743" max="8744" width="3.125" style="2" customWidth="1"/>
    <col min="8745" max="8745" width="4.625" style="2" customWidth="1"/>
    <col min="8746" max="8746" width="3.5" style="2" customWidth="1"/>
    <col min="8747" max="8757" width="3.125" style="2" customWidth="1"/>
    <col min="8758" max="8759" width="5.625" style="2" customWidth="1"/>
    <col min="8760" max="8804" width="2.625" style="2" customWidth="1"/>
    <col min="8805" max="8964" width="9" style="2"/>
    <col min="8965" max="8979" width="3.125" style="2" customWidth="1"/>
    <col min="8980" max="8980" width="5.5" style="2" customWidth="1"/>
    <col min="8981" max="8981" width="5.625" style="2" customWidth="1"/>
    <col min="8982" max="8997" width="3.125" style="2" customWidth="1"/>
    <col min="8998" max="8998" width="5.375" style="2" customWidth="1"/>
    <col min="8999" max="9000" width="3.125" style="2" customWidth="1"/>
    <col min="9001" max="9001" width="4.625" style="2" customWidth="1"/>
    <col min="9002" max="9002" width="3.5" style="2" customWidth="1"/>
    <col min="9003" max="9013" width="3.125" style="2" customWidth="1"/>
    <col min="9014" max="9015" width="5.625" style="2" customWidth="1"/>
    <col min="9016" max="9060" width="2.625" style="2" customWidth="1"/>
    <col min="9061" max="9220" width="9" style="2"/>
    <col min="9221" max="9235" width="3.125" style="2" customWidth="1"/>
    <col min="9236" max="9236" width="5.5" style="2" customWidth="1"/>
    <col min="9237" max="9237" width="5.625" style="2" customWidth="1"/>
    <col min="9238" max="9253" width="3.125" style="2" customWidth="1"/>
    <col min="9254" max="9254" width="5.375" style="2" customWidth="1"/>
    <col min="9255" max="9256" width="3.125" style="2" customWidth="1"/>
    <col min="9257" max="9257" width="4.625" style="2" customWidth="1"/>
    <col min="9258" max="9258" width="3.5" style="2" customWidth="1"/>
    <col min="9259" max="9269" width="3.125" style="2" customWidth="1"/>
    <col min="9270" max="9271" width="5.625" style="2" customWidth="1"/>
    <col min="9272" max="9316" width="2.625" style="2" customWidth="1"/>
    <col min="9317" max="9476" width="9" style="2"/>
    <col min="9477" max="9491" width="3.125" style="2" customWidth="1"/>
    <col min="9492" max="9492" width="5.5" style="2" customWidth="1"/>
    <col min="9493" max="9493" width="5.625" style="2" customWidth="1"/>
    <col min="9494" max="9509" width="3.125" style="2" customWidth="1"/>
    <col min="9510" max="9510" width="5.375" style="2" customWidth="1"/>
    <col min="9511" max="9512" width="3.125" style="2" customWidth="1"/>
    <col min="9513" max="9513" width="4.625" style="2" customWidth="1"/>
    <col min="9514" max="9514" width="3.5" style="2" customWidth="1"/>
    <col min="9515" max="9525" width="3.125" style="2" customWidth="1"/>
    <col min="9526" max="9527" width="5.625" style="2" customWidth="1"/>
    <col min="9528" max="9572" width="2.625" style="2" customWidth="1"/>
    <col min="9573" max="9732" width="9" style="2"/>
    <col min="9733" max="9747" width="3.125" style="2" customWidth="1"/>
    <col min="9748" max="9748" width="5.5" style="2" customWidth="1"/>
    <col min="9749" max="9749" width="5.625" style="2" customWidth="1"/>
    <col min="9750" max="9765" width="3.125" style="2" customWidth="1"/>
    <col min="9766" max="9766" width="5.375" style="2" customWidth="1"/>
    <col min="9767" max="9768" width="3.125" style="2" customWidth="1"/>
    <col min="9769" max="9769" width="4.625" style="2" customWidth="1"/>
    <col min="9770" max="9770" width="3.5" style="2" customWidth="1"/>
    <col min="9771" max="9781" width="3.125" style="2" customWidth="1"/>
    <col min="9782" max="9783" width="5.625" style="2" customWidth="1"/>
    <col min="9784" max="9828" width="2.625" style="2" customWidth="1"/>
    <col min="9829" max="9988" width="9" style="2"/>
    <col min="9989" max="10003" width="3.125" style="2" customWidth="1"/>
    <col min="10004" max="10004" width="5.5" style="2" customWidth="1"/>
    <col min="10005" max="10005" width="5.625" style="2" customWidth="1"/>
    <col min="10006" max="10021" width="3.125" style="2" customWidth="1"/>
    <col min="10022" max="10022" width="5.375" style="2" customWidth="1"/>
    <col min="10023" max="10024" width="3.125" style="2" customWidth="1"/>
    <col min="10025" max="10025" width="4.625" style="2" customWidth="1"/>
    <col min="10026" max="10026" width="3.5" style="2" customWidth="1"/>
    <col min="10027" max="10037" width="3.125" style="2" customWidth="1"/>
    <col min="10038" max="10039" width="5.625" style="2" customWidth="1"/>
    <col min="10040" max="10084" width="2.625" style="2" customWidth="1"/>
    <col min="10085" max="10244" width="9" style="2"/>
    <col min="10245" max="10259" width="3.125" style="2" customWidth="1"/>
    <col min="10260" max="10260" width="5.5" style="2" customWidth="1"/>
    <col min="10261" max="10261" width="5.625" style="2" customWidth="1"/>
    <col min="10262" max="10277" width="3.125" style="2" customWidth="1"/>
    <col min="10278" max="10278" width="5.375" style="2" customWidth="1"/>
    <col min="10279" max="10280" width="3.125" style="2" customWidth="1"/>
    <col min="10281" max="10281" width="4.625" style="2" customWidth="1"/>
    <col min="10282" max="10282" width="3.5" style="2" customWidth="1"/>
    <col min="10283" max="10293" width="3.125" style="2" customWidth="1"/>
    <col min="10294" max="10295" width="5.625" style="2" customWidth="1"/>
    <col min="10296" max="10340" width="2.625" style="2" customWidth="1"/>
    <col min="10341" max="10500" width="9" style="2"/>
    <col min="10501" max="10515" width="3.125" style="2" customWidth="1"/>
    <col min="10516" max="10516" width="5.5" style="2" customWidth="1"/>
    <col min="10517" max="10517" width="5.625" style="2" customWidth="1"/>
    <col min="10518" max="10533" width="3.125" style="2" customWidth="1"/>
    <col min="10534" max="10534" width="5.375" style="2" customWidth="1"/>
    <col min="10535" max="10536" width="3.125" style="2" customWidth="1"/>
    <col min="10537" max="10537" width="4.625" style="2" customWidth="1"/>
    <col min="10538" max="10538" width="3.5" style="2" customWidth="1"/>
    <col min="10539" max="10549" width="3.125" style="2" customWidth="1"/>
    <col min="10550" max="10551" width="5.625" style="2" customWidth="1"/>
    <col min="10552" max="10596" width="2.625" style="2" customWidth="1"/>
    <col min="10597" max="10756" width="9" style="2"/>
    <col min="10757" max="10771" width="3.125" style="2" customWidth="1"/>
    <col min="10772" max="10772" width="5.5" style="2" customWidth="1"/>
    <col min="10773" max="10773" width="5.625" style="2" customWidth="1"/>
    <col min="10774" max="10789" width="3.125" style="2" customWidth="1"/>
    <col min="10790" max="10790" width="5.375" style="2" customWidth="1"/>
    <col min="10791" max="10792" width="3.125" style="2" customWidth="1"/>
    <col min="10793" max="10793" width="4.625" style="2" customWidth="1"/>
    <col min="10794" max="10794" width="3.5" style="2" customWidth="1"/>
    <col min="10795" max="10805" width="3.125" style="2" customWidth="1"/>
    <col min="10806" max="10807" width="5.625" style="2" customWidth="1"/>
    <col min="10808" max="10852" width="2.625" style="2" customWidth="1"/>
    <col min="10853" max="11012" width="9" style="2"/>
    <col min="11013" max="11027" width="3.125" style="2" customWidth="1"/>
    <col min="11028" max="11028" width="5.5" style="2" customWidth="1"/>
    <col min="11029" max="11029" width="5.625" style="2" customWidth="1"/>
    <col min="11030" max="11045" width="3.125" style="2" customWidth="1"/>
    <col min="11046" max="11046" width="5.375" style="2" customWidth="1"/>
    <col min="11047" max="11048" width="3.125" style="2" customWidth="1"/>
    <col min="11049" max="11049" width="4.625" style="2" customWidth="1"/>
    <col min="11050" max="11050" width="3.5" style="2" customWidth="1"/>
    <col min="11051" max="11061" width="3.125" style="2" customWidth="1"/>
    <col min="11062" max="11063" width="5.625" style="2" customWidth="1"/>
    <col min="11064" max="11108" width="2.625" style="2" customWidth="1"/>
    <col min="11109" max="11268" width="9" style="2"/>
    <col min="11269" max="11283" width="3.125" style="2" customWidth="1"/>
    <col min="11284" max="11284" width="5.5" style="2" customWidth="1"/>
    <col min="11285" max="11285" width="5.625" style="2" customWidth="1"/>
    <col min="11286" max="11301" width="3.125" style="2" customWidth="1"/>
    <col min="11302" max="11302" width="5.375" style="2" customWidth="1"/>
    <col min="11303" max="11304" width="3.125" style="2" customWidth="1"/>
    <col min="11305" max="11305" width="4.625" style="2" customWidth="1"/>
    <col min="11306" max="11306" width="3.5" style="2" customWidth="1"/>
    <col min="11307" max="11317" width="3.125" style="2" customWidth="1"/>
    <col min="11318" max="11319" width="5.625" style="2" customWidth="1"/>
    <col min="11320" max="11364" width="2.625" style="2" customWidth="1"/>
    <col min="11365" max="11524" width="9" style="2"/>
    <col min="11525" max="11539" width="3.125" style="2" customWidth="1"/>
    <col min="11540" max="11540" width="5.5" style="2" customWidth="1"/>
    <col min="11541" max="11541" width="5.625" style="2" customWidth="1"/>
    <col min="11542" max="11557" width="3.125" style="2" customWidth="1"/>
    <col min="11558" max="11558" width="5.375" style="2" customWidth="1"/>
    <col min="11559" max="11560" width="3.125" style="2" customWidth="1"/>
    <col min="11561" max="11561" width="4.625" style="2" customWidth="1"/>
    <col min="11562" max="11562" width="3.5" style="2" customWidth="1"/>
    <col min="11563" max="11573" width="3.125" style="2" customWidth="1"/>
    <col min="11574" max="11575" width="5.625" style="2" customWidth="1"/>
    <col min="11576" max="11620" width="2.625" style="2" customWidth="1"/>
    <col min="11621" max="11780" width="9" style="2"/>
    <col min="11781" max="11795" width="3.125" style="2" customWidth="1"/>
    <col min="11796" max="11796" width="5.5" style="2" customWidth="1"/>
    <col min="11797" max="11797" width="5.625" style="2" customWidth="1"/>
    <col min="11798" max="11813" width="3.125" style="2" customWidth="1"/>
    <col min="11814" max="11814" width="5.375" style="2" customWidth="1"/>
    <col min="11815" max="11816" width="3.125" style="2" customWidth="1"/>
    <col min="11817" max="11817" width="4.625" style="2" customWidth="1"/>
    <col min="11818" max="11818" width="3.5" style="2" customWidth="1"/>
    <col min="11819" max="11829" width="3.125" style="2" customWidth="1"/>
    <col min="11830" max="11831" width="5.625" style="2" customWidth="1"/>
    <col min="11832" max="11876" width="2.625" style="2" customWidth="1"/>
    <col min="11877" max="12036" width="9" style="2"/>
    <col min="12037" max="12051" width="3.125" style="2" customWidth="1"/>
    <col min="12052" max="12052" width="5.5" style="2" customWidth="1"/>
    <col min="12053" max="12053" width="5.625" style="2" customWidth="1"/>
    <col min="12054" max="12069" width="3.125" style="2" customWidth="1"/>
    <col min="12070" max="12070" width="5.375" style="2" customWidth="1"/>
    <col min="12071" max="12072" width="3.125" style="2" customWidth="1"/>
    <col min="12073" max="12073" width="4.625" style="2" customWidth="1"/>
    <col min="12074" max="12074" width="3.5" style="2" customWidth="1"/>
    <col min="12075" max="12085" width="3.125" style="2" customWidth="1"/>
    <col min="12086" max="12087" width="5.625" style="2" customWidth="1"/>
    <col min="12088" max="12132" width="2.625" style="2" customWidth="1"/>
    <col min="12133" max="12292" width="9" style="2"/>
    <col min="12293" max="12307" width="3.125" style="2" customWidth="1"/>
    <col min="12308" max="12308" width="5.5" style="2" customWidth="1"/>
    <col min="12309" max="12309" width="5.625" style="2" customWidth="1"/>
    <col min="12310" max="12325" width="3.125" style="2" customWidth="1"/>
    <col min="12326" max="12326" width="5.375" style="2" customWidth="1"/>
    <col min="12327" max="12328" width="3.125" style="2" customWidth="1"/>
    <col min="12329" max="12329" width="4.625" style="2" customWidth="1"/>
    <col min="12330" max="12330" width="3.5" style="2" customWidth="1"/>
    <col min="12331" max="12341" width="3.125" style="2" customWidth="1"/>
    <col min="12342" max="12343" width="5.625" style="2" customWidth="1"/>
    <col min="12344" max="12388" width="2.625" style="2" customWidth="1"/>
    <col min="12389" max="12548" width="9" style="2"/>
    <col min="12549" max="12563" width="3.125" style="2" customWidth="1"/>
    <col min="12564" max="12564" width="5.5" style="2" customWidth="1"/>
    <col min="12565" max="12565" width="5.625" style="2" customWidth="1"/>
    <col min="12566" max="12581" width="3.125" style="2" customWidth="1"/>
    <col min="12582" max="12582" width="5.375" style="2" customWidth="1"/>
    <col min="12583" max="12584" width="3.125" style="2" customWidth="1"/>
    <col min="12585" max="12585" width="4.625" style="2" customWidth="1"/>
    <col min="12586" max="12586" width="3.5" style="2" customWidth="1"/>
    <col min="12587" max="12597" width="3.125" style="2" customWidth="1"/>
    <col min="12598" max="12599" width="5.625" style="2" customWidth="1"/>
    <col min="12600" max="12644" width="2.625" style="2" customWidth="1"/>
    <col min="12645" max="12804" width="9" style="2"/>
    <col min="12805" max="12819" width="3.125" style="2" customWidth="1"/>
    <col min="12820" max="12820" width="5.5" style="2" customWidth="1"/>
    <col min="12821" max="12821" width="5.625" style="2" customWidth="1"/>
    <col min="12822" max="12837" width="3.125" style="2" customWidth="1"/>
    <col min="12838" max="12838" width="5.375" style="2" customWidth="1"/>
    <col min="12839" max="12840" width="3.125" style="2" customWidth="1"/>
    <col min="12841" max="12841" width="4.625" style="2" customWidth="1"/>
    <col min="12842" max="12842" width="3.5" style="2" customWidth="1"/>
    <col min="12843" max="12853" width="3.125" style="2" customWidth="1"/>
    <col min="12854" max="12855" width="5.625" style="2" customWidth="1"/>
    <col min="12856" max="12900" width="2.625" style="2" customWidth="1"/>
    <col min="12901" max="13060" width="9" style="2"/>
    <col min="13061" max="13075" width="3.125" style="2" customWidth="1"/>
    <col min="13076" max="13076" width="5.5" style="2" customWidth="1"/>
    <col min="13077" max="13077" width="5.625" style="2" customWidth="1"/>
    <col min="13078" max="13093" width="3.125" style="2" customWidth="1"/>
    <col min="13094" max="13094" width="5.375" style="2" customWidth="1"/>
    <col min="13095" max="13096" width="3.125" style="2" customWidth="1"/>
    <col min="13097" max="13097" width="4.625" style="2" customWidth="1"/>
    <col min="13098" max="13098" width="3.5" style="2" customWidth="1"/>
    <col min="13099" max="13109" width="3.125" style="2" customWidth="1"/>
    <col min="13110" max="13111" width="5.625" style="2" customWidth="1"/>
    <col min="13112" max="13156" width="2.625" style="2" customWidth="1"/>
    <col min="13157" max="13316" width="9" style="2"/>
    <col min="13317" max="13331" width="3.125" style="2" customWidth="1"/>
    <col min="13332" max="13332" width="5.5" style="2" customWidth="1"/>
    <col min="13333" max="13333" width="5.625" style="2" customWidth="1"/>
    <col min="13334" max="13349" width="3.125" style="2" customWidth="1"/>
    <col min="13350" max="13350" width="5.375" style="2" customWidth="1"/>
    <col min="13351" max="13352" width="3.125" style="2" customWidth="1"/>
    <col min="13353" max="13353" width="4.625" style="2" customWidth="1"/>
    <col min="13354" max="13354" width="3.5" style="2" customWidth="1"/>
    <col min="13355" max="13365" width="3.125" style="2" customWidth="1"/>
    <col min="13366" max="13367" width="5.625" style="2" customWidth="1"/>
    <col min="13368" max="13412" width="2.625" style="2" customWidth="1"/>
    <col min="13413" max="13572" width="9" style="2"/>
    <col min="13573" max="13587" width="3.125" style="2" customWidth="1"/>
    <col min="13588" max="13588" width="5.5" style="2" customWidth="1"/>
    <col min="13589" max="13589" width="5.625" style="2" customWidth="1"/>
    <col min="13590" max="13605" width="3.125" style="2" customWidth="1"/>
    <col min="13606" max="13606" width="5.375" style="2" customWidth="1"/>
    <col min="13607" max="13608" width="3.125" style="2" customWidth="1"/>
    <col min="13609" max="13609" width="4.625" style="2" customWidth="1"/>
    <col min="13610" max="13610" width="3.5" style="2" customWidth="1"/>
    <col min="13611" max="13621" width="3.125" style="2" customWidth="1"/>
    <col min="13622" max="13623" width="5.625" style="2" customWidth="1"/>
    <col min="13624" max="13668" width="2.625" style="2" customWidth="1"/>
    <col min="13669" max="13828" width="9" style="2"/>
    <col min="13829" max="13843" width="3.125" style="2" customWidth="1"/>
    <col min="13844" max="13844" width="5.5" style="2" customWidth="1"/>
    <col min="13845" max="13845" width="5.625" style="2" customWidth="1"/>
    <col min="13846" max="13861" width="3.125" style="2" customWidth="1"/>
    <col min="13862" max="13862" width="5.375" style="2" customWidth="1"/>
    <col min="13863" max="13864" width="3.125" style="2" customWidth="1"/>
    <col min="13865" max="13865" width="4.625" style="2" customWidth="1"/>
    <col min="13866" max="13866" width="3.5" style="2" customWidth="1"/>
    <col min="13867" max="13877" width="3.125" style="2" customWidth="1"/>
    <col min="13878" max="13879" width="5.625" style="2" customWidth="1"/>
    <col min="13880" max="13924" width="2.625" style="2" customWidth="1"/>
    <col min="13925" max="14084" width="9" style="2"/>
    <col min="14085" max="14099" width="3.125" style="2" customWidth="1"/>
    <col min="14100" max="14100" width="5.5" style="2" customWidth="1"/>
    <col min="14101" max="14101" width="5.625" style="2" customWidth="1"/>
    <col min="14102" max="14117" width="3.125" style="2" customWidth="1"/>
    <col min="14118" max="14118" width="5.375" style="2" customWidth="1"/>
    <col min="14119" max="14120" width="3.125" style="2" customWidth="1"/>
    <col min="14121" max="14121" width="4.625" style="2" customWidth="1"/>
    <col min="14122" max="14122" width="3.5" style="2" customWidth="1"/>
    <col min="14123" max="14133" width="3.125" style="2" customWidth="1"/>
    <col min="14134" max="14135" width="5.625" style="2" customWidth="1"/>
    <col min="14136" max="14180" width="2.625" style="2" customWidth="1"/>
    <col min="14181" max="14340" width="9" style="2"/>
    <col min="14341" max="14355" width="3.125" style="2" customWidth="1"/>
    <col min="14356" max="14356" width="5.5" style="2" customWidth="1"/>
    <col min="14357" max="14357" width="5.625" style="2" customWidth="1"/>
    <col min="14358" max="14373" width="3.125" style="2" customWidth="1"/>
    <col min="14374" max="14374" width="5.375" style="2" customWidth="1"/>
    <col min="14375" max="14376" width="3.125" style="2" customWidth="1"/>
    <col min="14377" max="14377" width="4.625" style="2" customWidth="1"/>
    <col min="14378" max="14378" width="3.5" style="2" customWidth="1"/>
    <col min="14379" max="14389" width="3.125" style="2" customWidth="1"/>
    <col min="14390" max="14391" width="5.625" style="2" customWidth="1"/>
    <col min="14392" max="14436" width="2.625" style="2" customWidth="1"/>
    <col min="14437" max="14596" width="9" style="2"/>
    <col min="14597" max="14611" width="3.125" style="2" customWidth="1"/>
    <col min="14612" max="14612" width="5.5" style="2" customWidth="1"/>
    <col min="14613" max="14613" width="5.625" style="2" customWidth="1"/>
    <col min="14614" max="14629" width="3.125" style="2" customWidth="1"/>
    <col min="14630" max="14630" width="5.375" style="2" customWidth="1"/>
    <col min="14631" max="14632" width="3.125" style="2" customWidth="1"/>
    <col min="14633" max="14633" width="4.625" style="2" customWidth="1"/>
    <col min="14634" max="14634" width="3.5" style="2" customWidth="1"/>
    <col min="14635" max="14645" width="3.125" style="2" customWidth="1"/>
    <col min="14646" max="14647" width="5.625" style="2" customWidth="1"/>
    <col min="14648" max="14692" width="2.625" style="2" customWidth="1"/>
    <col min="14693" max="14852" width="9" style="2"/>
    <col min="14853" max="14867" width="3.125" style="2" customWidth="1"/>
    <col min="14868" max="14868" width="5.5" style="2" customWidth="1"/>
    <col min="14869" max="14869" width="5.625" style="2" customWidth="1"/>
    <col min="14870" max="14885" width="3.125" style="2" customWidth="1"/>
    <col min="14886" max="14886" width="5.375" style="2" customWidth="1"/>
    <col min="14887" max="14888" width="3.125" style="2" customWidth="1"/>
    <col min="14889" max="14889" width="4.625" style="2" customWidth="1"/>
    <col min="14890" max="14890" width="3.5" style="2" customWidth="1"/>
    <col min="14891" max="14901" width="3.125" style="2" customWidth="1"/>
    <col min="14902" max="14903" width="5.625" style="2" customWidth="1"/>
    <col min="14904" max="14948" width="2.625" style="2" customWidth="1"/>
    <col min="14949" max="15108" width="9" style="2"/>
    <col min="15109" max="15123" width="3.125" style="2" customWidth="1"/>
    <col min="15124" max="15124" width="5.5" style="2" customWidth="1"/>
    <col min="15125" max="15125" width="5.625" style="2" customWidth="1"/>
    <col min="15126" max="15141" width="3.125" style="2" customWidth="1"/>
    <col min="15142" max="15142" width="5.375" style="2" customWidth="1"/>
    <col min="15143" max="15144" width="3.125" style="2" customWidth="1"/>
    <col min="15145" max="15145" width="4.625" style="2" customWidth="1"/>
    <col min="15146" max="15146" width="3.5" style="2" customWidth="1"/>
    <col min="15147" max="15157" width="3.125" style="2" customWidth="1"/>
    <col min="15158" max="15159" width="5.625" style="2" customWidth="1"/>
    <col min="15160" max="15204" width="2.625" style="2" customWidth="1"/>
    <col min="15205" max="15364" width="9" style="2"/>
    <col min="15365" max="15379" width="3.125" style="2" customWidth="1"/>
    <col min="15380" max="15380" width="5.5" style="2" customWidth="1"/>
    <col min="15381" max="15381" width="5.625" style="2" customWidth="1"/>
    <col min="15382" max="15397" width="3.125" style="2" customWidth="1"/>
    <col min="15398" max="15398" width="5.375" style="2" customWidth="1"/>
    <col min="15399" max="15400" width="3.125" style="2" customWidth="1"/>
    <col min="15401" max="15401" width="4.625" style="2" customWidth="1"/>
    <col min="15402" max="15402" width="3.5" style="2" customWidth="1"/>
    <col min="15403" max="15413" width="3.125" style="2" customWidth="1"/>
    <col min="15414" max="15415" width="5.625" style="2" customWidth="1"/>
    <col min="15416" max="15460" width="2.625" style="2" customWidth="1"/>
    <col min="15461" max="15620" width="9" style="2"/>
    <col min="15621" max="15635" width="3.125" style="2" customWidth="1"/>
    <col min="15636" max="15636" width="5.5" style="2" customWidth="1"/>
    <col min="15637" max="15637" width="5.625" style="2" customWidth="1"/>
    <col min="15638" max="15653" width="3.125" style="2" customWidth="1"/>
    <col min="15654" max="15654" width="5.375" style="2" customWidth="1"/>
    <col min="15655" max="15656" width="3.125" style="2" customWidth="1"/>
    <col min="15657" max="15657" width="4.625" style="2" customWidth="1"/>
    <col min="15658" max="15658" width="3.5" style="2" customWidth="1"/>
    <col min="15659" max="15669" width="3.125" style="2" customWidth="1"/>
    <col min="15670" max="15671" width="5.625" style="2" customWidth="1"/>
    <col min="15672" max="15716" width="2.625" style="2" customWidth="1"/>
    <col min="15717" max="15876" width="9" style="2"/>
    <col min="15877" max="15891" width="3.125" style="2" customWidth="1"/>
    <col min="15892" max="15892" width="5.5" style="2" customWidth="1"/>
    <col min="15893" max="15893" width="5.625" style="2" customWidth="1"/>
    <col min="15894" max="15909" width="3.125" style="2" customWidth="1"/>
    <col min="15910" max="15910" width="5.375" style="2" customWidth="1"/>
    <col min="15911" max="15912" width="3.125" style="2" customWidth="1"/>
    <col min="15913" max="15913" width="4.625" style="2" customWidth="1"/>
    <col min="15914" max="15914" width="3.5" style="2" customWidth="1"/>
    <col min="15915" max="15925" width="3.125" style="2" customWidth="1"/>
    <col min="15926" max="15927" width="5.625" style="2" customWidth="1"/>
    <col min="15928" max="15972" width="2.625" style="2" customWidth="1"/>
    <col min="15973" max="16132" width="9" style="2"/>
    <col min="16133" max="16147" width="3.125" style="2" customWidth="1"/>
    <col min="16148" max="16148" width="5.5" style="2" customWidth="1"/>
    <col min="16149" max="16149" width="5.625" style="2" customWidth="1"/>
    <col min="16150" max="16165" width="3.125" style="2" customWidth="1"/>
    <col min="16166" max="16166" width="5.375" style="2" customWidth="1"/>
    <col min="16167" max="16168" width="3.125" style="2" customWidth="1"/>
    <col min="16169" max="16169" width="4.625" style="2" customWidth="1"/>
    <col min="16170" max="16170" width="3.5" style="2" customWidth="1"/>
    <col min="16171" max="16181" width="3.125" style="2" customWidth="1"/>
    <col min="16182" max="16183" width="5.625" style="2" customWidth="1"/>
    <col min="16184" max="16228" width="2.625" style="2" customWidth="1"/>
    <col min="16229" max="16384" width="9" style="2"/>
  </cols>
  <sheetData>
    <row r="1" spans="2:53" s="1" customFormat="1" ht="13.5" customHeight="1" x14ac:dyDescent="0.15"/>
    <row r="2" spans="2:53" s="1" customFormat="1" ht="2.25" customHeight="1" x14ac:dyDescent="0.15"/>
    <row r="3" spans="2:53" s="1" customFormat="1" ht="13.5" hidden="1" customHeight="1" x14ac:dyDescent="0.15"/>
    <row r="4" spans="2:53" s="1" customFormat="1" ht="13.5" hidden="1" customHeight="1" x14ac:dyDescent="0.15"/>
    <row r="5" spans="2:53" s="1" customFormat="1" ht="13.5" hidden="1" customHeight="1" x14ac:dyDescent="0.15"/>
    <row r="6" spans="2:53" s="1" customFormat="1" ht="13.5" hidden="1" customHeight="1" x14ac:dyDescent="0.15"/>
    <row r="7" spans="2:53" s="1" customFormat="1" ht="13.5" hidden="1" customHeight="1" x14ac:dyDescent="0.15"/>
    <row r="8" spans="2:53" s="1" customFormat="1" ht="13.5" customHeight="1" x14ac:dyDescent="0.15"/>
    <row r="9" spans="2:53" s="1" customFormat="1" ht="3.75" customHeight="1" x14ac:dyDescent="0.15"/>
    <row r="10" spans="2:53" s="1" customFormat="1" ht="13.5" customHeight="1" x14ac:dyDescent="0.15"/>
    <row r="11" spans="2:53" s="1" customFormat="1" ht="13.5" customHeight="1" x14ac:dyDescent="0.15">
      <c r="B11" s="206"/>
      <c r="C11" s="206"/>
      <c r="D11" s="206"/>
      <c r="E11" s="206"/>
      <c r="F11" s="206"/>
      <c r="G11" s="206"/>
      <c r="H11" s="206"/>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2:53" s="1" customFormat="1" ht="13.5" customHeight="1" x14ac:dyDescent="0.15">
      <c r="B12" s="206"/>
      <c r="C12" s="206"/>
      <c r="D12" s="206"/>
      <c r="E12" s="206"/>
      <c r="F12" s="206"/>
      <c r="G12" s="206"/>
      <c r="H12" s="206"/>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row>
    <row r="13" spans="2:53" ht="13.5" customHeight="1" x14ac:dyDescent="0.15">
      <c r="B13" s="207" t="s">
        <v>53</v>
      </c>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7"/>
      <c r="AC13" s="207"/>
      <c r="AD13" s="207"/>
      <c r="AE13" s="207"/>
      <c r="AF13" s="207"/>
      <c r="AG13" s="207"/>
      <c r="AH13" s="207"/>
      <c r="AI13" s="207"/>
      <c r="AJ13" s="207"/>
      <c r="AK13" s="207"/>
      <c r="AL13" s="207"/>
      <c r="AM13" s="207"/>
      <c r="AN13" s="207"/>
      <c r="AO13" s="207"/>
      <c r="AP13" s="207"/>
      <c r="AQ13" s="207"/>
      <c r="AR13" s="207"/>
      <c r="AS13" s="207"/>
      <c r="AT13" s="207"/>
      <c r="AU13" s="207"/>
      <c r="AV13" s="207"/>
      <c r="AW13" s="207"/>
      <c r="AX13" s="207"/>
      <c r="AY13" s="207"/>
      <c r="AZ13" s="207"/>
      <c r="BA13" s="207"/>
    </row>
    <row r="14" spans="2:53" ht="13.5" customHeight="1" x14ac:dyDescent="0.15">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row>
    <row r="15" spans="2:53" ht="13.5" customHeight="1" x14ac:dyDescent="0.1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row>
    <row r="16" spans="2:53" ht="13.5" customHeight="1" x14ac:dyDescent="0.15">
      <c r="B16" s="208" t="s">
        <v>0</v>
      </c>
      <c r="C16" s="208"/>
      <c r="D16" s="208"/>
      <c r="E16" s="208"/>
      <c r="F16" s="208"/>
      <c r="G16" s="208"/>
      <c r="H16" s="208"/>
      <c r="I16" s="208"/>
      <c r="J16" s="208"/>
      <c r="K16" s="208"/>
      <c r="L16" s="208"/>
      <c r="M16" s="208"/>
      <c r="N16" s="208"/>
      <c r="O16" s="7"/>
      <c r="P16" s="7"/>
      <c r="Q16" s="7"/>
      <c r="R16" s="7"/>
      <c r="S16" s="7"/>
      <c r="T16" s="7"/>
      <c r="U16" s="7"/>
      <c r="V16" s="7"/>
      <c r="W16" s="7"/>
      <c r="X16" s="7"/>
      <c r="Y16" s="7"/>
      <c r="Z16" s="7"/>
      <c r="AA16" s="7"/>
      <c r="AB16" s="7"/>
      <c r="AC16" s="7"/>
      <c r="AD16" s="7"/>
      <c r="AE16" s="7"/>
      <c r="AF16" s="7"/>
      <c r="AG16" s="7"/>
      <c r="AH16" s="7"/>
      <c r="AI16" s="7"/>
      <c r="AJ16" s="8"/>
      <c r="AK16" s="8"/>
      <c r="AL16" s="8"/>
      <c r="AM16" s="7"/>
      <c r="AN16" s="7"/>
      <c r="AO16" s="7"/>
      <c r="AP16" s="7"/>
      <c r="AQ16" s="7"/>
      <c r="AR16" s="7"/>
      <c r="AS16" s="7"/>
      <c r="AT16" s="7"/>
      <c r="AU16" s="7"/>
      <c r="AV16" s="7"/>
      <c r="AW16" s="7"/>
      <c r="AX16" s="7"/>
      <c r="AY16" s="7"/>
      <c r="AZ16" s="7"/>
      <c r="BA16" s="7"/>
    </row>
    <row r="17" spans="2:53" ht="13.5" customHeight="1" x14ac:dyDescent="0.15">
      <c r="B17" s="208"/>
      <c r="C17" s="208"/>
      <c r="D17" s="208"/>
      <c r="E17" s="208"/>
      <c r="F17" s="208"/>
      <c r="G17" s="208"/>
      <c r="H17" s="208"/>
      <c r="I17" s="208"/>
      <c r="J17" s="208"/>
      <c r="K17" s="208"/>
      <c r="L17" s="208"/>
      <c r="M17" s="208"/>
      <c r="N17" s="208"/>
      <c r="O17" s="8"/>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209"/>
      <c r="AS17" s="209"/>
      <c r="AT17" s="209"/>
      <c r="AU17" s="209"/>
      <c r="AV17" s="209"/>
      <c r="AW17" s="209"/>
      <c r="AX17" s="209"/>
      <c r="AY17" s="209"/>
      <c r="AZ17" s="209"/>
      <c r="BA17" s="209"/>
    </row>
    <row r="18" spans="2:53" ht="13.5" customHeight="1" x14ac:dyDescent="0.15">
      <c r="B18" s="210" t="s">
        <v>1</v>
      </c>
      <c r="C18" s="210"/>
      <c r="D18" s="210"/>
      <c r="E18" s="210"/>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row>
    <row r="19" spans="2:53" ht="13.5" customHeight="1" x14ac:dyDescent="0.15">
      <c r="B19" s="211"/>
      <c r="C19" s="211"/>
      <c r="D19" s="211"/>
      <c r="E19" s="211"/>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9"/>
      <c r="AS19" s="9"/>
      <c r="AT19" s="9"/>
      <c r="AU19" s="212" t="s">
        <v>47</v>
      </c>
      <c r="AV19" s="212"/>
      <c r="AW19" s="212"/>
      <c r="AX19" s="212"/>
      <c r="AY19" s="212"/>
      <c r="AZ19" s="212"/>
      <c r="BA19" s="212"/>
    </row>
    <row r="20" spans="2:53" s="4" customFormat="1" ht="13.5" customHeight="1" x14ac:dyDescent="0.15">
      <c r="B20" s="213" t="s">
        <v>2</v>
      </c>
      <c r="C20" s="214"/>
      <c r="D20" s="214"/>
      <c r="E20" s="214"/>
      <c r="F20" s="214"/>
      <c r="G20" s="214"/>
      <c r="H20" s="214"/>
      <c r="I20" s="213" t="s">
        <v>3</v>
      </c>
      <c r="J20" s="214"/>
      <c r="K20" s="214"/>
      <c r="L20" s="214"/>
      <c r="M20" s="214"/>
      <c r="N20" s="214"/>
      <c r="O20" s="214"/>
      <c r="P20" s="214"/>
      <c r="Q20" s="214"/>
      <c r="R20" s="214"/>
      <c r="S20" s="214"/>
      <c r="T20" s="214"/>
      <c r="U20" s="214"/>
      <c r="V20" s="214"/>
      <c r="W20" s="214"/>
      <c r="X20" s="214"/>
      <c r="Y20" s="219" t="s">
        <v>4</v>
      </c>
      <c r="Z20" s="219"/>
      <c r="AA20" s="219"/>
      <c r="AB20" s="219"/>
      <c r="AC20" s="220" t="s">
        <v>5</v>
      </c>
      <c r="AD20" s="220"/>
      <c r="AE20" s="220"/>
      <c r="AF20" s="220"/>
      <c r="AG20" s="219" t="s">
        <v>6</v>
      </c>
      <c r="AH20" s="219"/>
      <c r="AI20" s="219"/>
      <c r="AJ20" s="219"/>
      <c r="AK20" s="219"/>
      <c r="AL20" s="219"/>
      <c r="AM20" s="219"/>
      <c r="AN20" s="219"/>
      <c r="AO20" s="219"/>
      <c r="AP20" s="219"/>
      <c r="AQ20" s="219"/>
      <c r="AR20" s="219"/>
      <c r="AS20" s="219"/>
      <c r="AT20" s="219"/>
      <c r="AU20" s="219"/>
      <c r="AV20" s="219"/>
      <c r="AW20" s="219"/>
      <c r="AX20" s="219"/>
      <c r="AY20" s="219"/>
      <c r="AZ20" s="219"/>
      <c r="BA20" s="219"/>
    </row>
    <row r="21" spans="2:53" s="4" customFormat="1" ht="13.5" customHeight="1" x14ac:dyDescent="0.15">
      <c r="B21" s="215"/>
      <c r="C21" s="216"/>
      <c r="D21" s="216"/>
      <c r="E21" s="216"/>
      <c r="F21" s="216"/>
      <c r="G21" s="216"/>
      <c r="H21" s="216"/>
      <c r="I21" s="217"/>
      <c r="J21" s="218"/>
      <c r="K21" s="218"/>
      <c r="L21" s="218"/>
      <c r="M21" s="218"/>
      <c r="N21" s="218"/>
      <c r="O21" s="218"/>
      <c r="P21" s="218"/>
      <c r="Q21" s="218"/>
      <c r="R21" s="218"/>
      <c r="S21" s="218"/>
      <c r="T21" s="218"/>
      <c r="U21" s="218"/>
      <c r="V21" s="218"/>
      <c r="W21" s="218"/>
      <c r="X21" s="218"/>
      <c r="Y21" s="219"/>
      <c r="Z21" s="219"/>
      <c r="AA21" s="219"/>
      <c r="AB21" s="219"/>
      <c r="AC21" s="220"/>
      <c r="AD21" s="220"/>
      <c r="AE21" s="220"/>
      <c r="AF21" s="220"/>
      <c r="AG21" s="219"/>
      <c r="AH21" s="219"/>
      <c r="AI21" s="219"/>
      <c r="AJ21" s="219"/>
      <c r="AK21" s="219"/>
      <c r="AL21" s="219"/>
      <c r="AM21" s="219"/>
      <c r="AN21" s="219"/>
      <c r="AO21" s="219"/>
      <c r="AP21" s="219"/>
      <c r="AQ21" s="219"/>
      <c r="AR21" s="219"/>
      <c r="AS21" s="219"/>
      <c r="AT21" s="219"/>
      <c r="AU21" s="219"/>
      <c r="AV21" s="219"/>
      <c r="AW21" s="219"/>
      <c r="AX21" s="219"/>
      <c r="AY21" s="219"/>
      <c r="AZ21" s="219"/>
      <c r="BA21" s="219"/>
    </row>
    <row r="22" spans="2:53" s="4" customFormat="1" ht="13.5" customHeight="1" x14ac:dyDescent="0.15">
      <c r="B22" s="215"/>
      <c r="C22" s="216"/>
      <c r="D22" s="216"/>
      <c r="E22" s="216"/>
      <c r="F22" s="216"/>
      <c r="G22" s="216"/>
      <c r="H22" s="216"/>
      <c r="I22" s="213" t="s">
        <v>7</v>
      </c>
      <c r="J22" s="214"/>
      <c r="K22" s="214"/>
      <c r="L22" s="214"/>
      <c r="M22" s="213" t="s">
        <v>8</v>
      </c>
      <c r="N22" s="214"/>
      <c r="O22" s="214"/>
      <c r="P22" s="221"/>
      <c r="Q22" s="224" t="s">
        <v>49</v>
      </c>
      <c r="R22" s="225"/>
      <c r="S22" s="225"/>
      <c r="T22" s="225"/>
      <c r="U22" s="213" t="s">
        <v>9</v>
      </c>
      <c r="V22" s="214"/>
      <c r="W22" s="214"/>
      <c r="X22" s="214"/>
      <c r="Y22" s="219"/>
      <c r="Z22" s="219"/>
      <c r="AA22" s="219"/>
      <c r="AB22" s="219"/>
      <c r="AC22" s="220"/>
      <c r="AD22" s="220"/>
      <c r="AE22" s="220"/>
      <c r="AF22" s="220"/>
      <c r="AG22" s="219"/>
      <c r="AH22" s="219"/>
      <c r="AI22" s="219"/>
      <c r="AJ22" s="219"/>
      <c r="AK22" s="219"/>
      <c r="AL22" s="219"/>
      <c r="AM22" s="219"/>
      <c r="AN22" s="219"/>
      <c r="AO22" s="219"/>
      <c r="AP22" s="219"/>
      <c r="AQ22" s="219"/>
      <c r="AR22" s="219"/>
      <c r="AS22" s="219"/>
      <c r="AT22" s="219"/>
      <c r="AU22" s="219"/>
      <c r="AV22" s="219"/>
      <c r="AW22" s="219"/>
      <c r="AX22" s="219"/>
      <c r="AY22" s="219"/>
      <c r="AZ22" s="219"/>
      <c r="BA22" s="219"/>
    </row>
    <row r="23" spans="2:53" s="4" customFormat="1" ht="13.5" customHeight="1" x14ac:dyDescent="0.15">
      <c r="B23" s="215"/>
      <c r="C23" s="216"/>
      <c r="D23" s="216"/>
      <c r="E23" s="216"/>
      <c r="F23" s="216"/>
      <c r="G23" s="216"/>
      <c r="H23" s="216"/>
      <c r="I23" s="215"/>
      <c r="J23" s="216"/>
      <c r="K23" s="216"/>
      <c r="L23" s="216"/>
      <c r="M23" s="215"/>
      <c r="N23" s="216"/>
      <c r="O23" s="216"/>
      <c r="P23" s="222"/>
      <c r="Q23" s="226"/>
      <c r="R23" s="227"/>
      <c r="S23" s="227"/>
      <c r="T23" s="227"/>
      <c r="U23" s="215"/>
      <c r="V23" s="216"/>
      <c r="W23" s="216"/>
      <c r="X23" s="216"/>
      <c r="Y23" s="219"/>
      <c r="Z23" s="219"/>
      <c r="AA23" s="219"/>
      <c r="AB23" s="219"/>
      <c r="AC23" s="220"/>
      <c r="AD23" s="220"/>
      <c r="AE23" s="220"/>
      <c r="AF23" s="220"/>
      <c r="AG23" s="219"/>
      <c r="AH23" s="219"/>
      <c r="AI23" s="219"/>
      <c r="AJ23" s="219"/>
      <c r="AK23" s="219"/>
      <c r="AL23" s="219"/>
      <c r="AM23" s="219"/>
      <c r="AN23" s="219"/>
      <c r="AO23" s="219"/>
      <c r="AP23" s="219"/>
      <c r="AQ23" s="219"/>
      <c r="AR23" s="219"/>
      <c r="AS23" s="219"/>
      <c r="AT23" s="219"/>
      <c r="AU23" s="219"/>
      <c r="AV23" s="219"/>
      <c r="AW23" s="219"/>
      <c r="AX23" s="219"/>
      <c r="AY23" s="219"/>
      <c r="AZ23" s="219"/>
      <c r="BA23" s="219"/>
    </row>
    <row r="24" spans="2:53" s="4" customFormat="1" ht="13.5" customHeight="1" x14ac:dyDescent="0.15">
      <c r="B24" s="215"/>
      <c r="C24" s="216"/>
      <c r="D24" s="216"/>
      <c r="E24" s="216"/>
      <c r="F24" s="216"/>
      <c r="G24" s="216"/>
      <c r="H24" s="216"/>
      <c r="I24" s="215"/>
      <c r="J24" s="216"/>
      <c r="K24" s="216"/>
      <c r="L24" s="216"/>
      <c r="M24" s="215"/>
      <c r="N24" s="216"/>
      <c r="O24" s="216"/>
      <c r="P24" s="222"/>
      <c r="Q24" s="226"/>
      <c r="R24" s="227"/>
      <c r="S24" s="227"/>
      <c r="T24" s="227"/>
      <c r="U24" s="215"/>
      <c r="V24" s="216"/>
      <c r="W24" s="216"/>
      <c r="X24" s="216"/>
      <c r="Y24" s="219"/>
      <c r="Z24" s="219"/>
      <c r="AA24" s="219"/>
      <c r="AB24" s="219"/>
      <c r="AC24" s="220"/>
      <c r="AD24" s="220"/>
      <c r="AE24" s="220"/>
      <c r="AF24" s="220"/>
      <c r="AG24" s="219"/>
      <c r="AH24" s="219"/>
      <c r="AI24" s="219"/>
      <c r="AJ24" s="219"/>
      <c r="AK24" s="219"/>
      <c r="AL24" s="219"/>
      <c r="AM24" s="219"/>
      <c r="AN24" s="219"/>
      <c r="AO24" s="219"/>
      <c r="AP24" s="219"/>
      <c r="AQ24" s="219"/>
      <c r="AR24" s="219"/>
      <c r="AS24" s="219"/>
      <c r="AT24" s="219"/>
      <c r="AU24" s="219"/>
      <c r="AV24" s="219"/>
      <c r="AW24" s="219"/>
      <c r="AX24" s="219"/>
      <c r="AY24" s="219"/>
      <c r="AZ24" s="219"/>
      <c r="BA24" s="219"/>
    </row>
    <row r="25" spans="2:53" s="4" customFormat="1" ht="13.5" customHeight="1" x14ac:dyDescent="0.15">
      <c r="B25" s="217"/>
      <c r="C25" s="218"/>
      <c r="D25" s="218"/>
      <c r="E25" s="218"/>
      <c r="F25" s="218"/>
      <c r="G25" s="218"/>
      <c r="H25" s="218"/>
      <c r="I25" s="217"/>
      <c r="J25" s="218"/>
      <c r="K25" s="218"/>
      <c r="L25" s="218"/>
      <c r="M25" s="217"/>
      <c r="N25" s="218"/>
      <c r="O25" s="218"/>
      <c r="P25" s="223"/>
      <c r="Q25" s="228"/>
      <c r="R25" s="229"/>
      <c r="S25" s="229"/>
      <c r="T25" s="229"/>
      <c r="U25" s="217"/>
      <c r="V25" s="218"/>
      <c r="W25" s="218"/>
      <c r="X25" s="218"/>
      <c r="Y25" s="219"/>
      <c r="Z25" s="219"/>
      <c r="AA25" s="219"/>
      <c r="AB25" s="219"/>
      <c r="AC25" s="220"/>
      <c r="AD25" s="220"/>
      <c r="AE25" s="220"/>
      <c r="AF25" s="220"/>
      <c r="AG25" s="219"/>
      <c r="AH25" s="219"/>
      <c r="AI25" s="219"/>
      <c r="AJ25" s="219"/>
      <c r="AK25" s="219"/>
      <c r="AL25" s="219"/>
      <c r="AM25" s="219"/>
      <c r="AN25" s="219"/>
      <c r="AO25" s="219"/>
      <c r="AP25" s="219"/>
      <c r="AQ25" s="219"/>
      <c r="AR25" s="219"/>
      <c r="AS25" s="219"/>
      <c r="AT25" s="219"/>
      <c r="AU25" s="219"/>
      <c r="AV25" s="219"/>
      <c r="AW25" s="219"/>
      <c r="AX25" s="219"/>
      <c r="AY25" s="219"/>
      <c r="AZ25" s="219"/>
      <c r="BA25" s="219"/>
    </row>
    <row r="26" spans="2:53" s="4" customFormat="1" ht="18" customHeight="1" x14ac:dyDescent="0.15">
      <c r="B26" s="232" t="s">
        <v>10</v>
      </c>
      <c r="C26" s="230"/>
      <c r="D26" s="230"/>
      <c r="E26" s="230"/>
      <c r="F26" s="230"/>
      <c r="G26" s="230"/>
      <c r="H26" s="230"/>
      <c r="I26" s="232">
        <f>SUM(I28:L31)</f>
        <v>167168000</v>
      </c>
      <c r="J26" s="230"/>
      <c r="K26" s="230"/>
      <c r="L26" s="230"/>
      <c r="M26" s="232">
        <f>SUM(M28:P31)</f>
        <v>27000</v>
      </c>
      <c r="N26" s="230"/>
      <c r="O26" s="230"/>
      <c r="P26" s="234"/>
      <c r="Q26" s="232">
        <f t="shared" ref="Q26" si="0">SUM(Q28:T31)</f>
        <v>0</v>
      </c>
      <c r="R26" s="230"/>
      <c r="S26" s="230"/>
      <c r="T26" s="234"/>
      <c r="U26" s="232">
        <f t="shared" ref="U26" si="1">SUM(U28:X31)</f>
        <v>167195000</v>
      </c>
      <c r="V26" s="230"/>
      <c r="W26" s="230"/>
      <c r="X26" s="230"/>
      <c r="Y26" s="236">
        <f t="shared" ref="Y26" si="2">SUM(Y28:AB31)</f>
        <v>167758483</v>
      </c>
      <c r="Z26" s="236"/>
      <c r="AA26" s="236"/>
      <c r="AB26" s="236"/>
      <c r="AC26" s="230">
        <f>Y26-U26</f>
        <v>563483</v>
      </c>
      <c r="AD26" s="230"/>
      <c r="AE26" s="230"/>
      <c r="AF26" s="230"/>
      <c r="AG26" s="219"/>
      <c r="AH26" s="219"/>
      <c r="AI26" s="219"/>
      <c r="AJ26" s="219"/>
      <c r="AK26" s="219"/>
      <c r="AL26" s="219"/>
      <c r="AM26" s="219"/>
      <c r="AN26" s="219"/>
      <c r="AO26" s="219"/>
      <c r="AP26" s="219"/>
      <c r="AQ26" s="219"/>
      <c r="AR26" s="219"/>
      <c r="AS26" s="219"/>
      <c r="AT26" s="219"/>
      <c r="AU26" s="219"/>
      <c r="AV26" s="219"/>
      <c r="AW26" s="219"/>
      <c r="AX26" s="219"/>
      <c r="AY26" s="219"/>
      <c r="AZ26" s="219"/>
      <c r="BA26" s="219"/>
    </row>
    <row r="27" spans="2:53" s="4" customFormat="1" ht="18" customHeight="1" x14ac:dyDescent="0.15">
      <c r="B27" s="233"/>
      <c r="C27" s="231"/>
      <c r="D27" s="231"/>
      <c r="E27" s="231"/>
      <c r="F27" s="231"/>
      <c r="G27" s="231"/>
      <c r="H27" s="231"/>
      <c r="I27" s="233"/>
      <c r="J27" s="231"/>
      <c r="K27" s="231"/>
      <c r="L27" s="231"/>
      <c r="M27" s="233"/>
      <c r="N27" s="231"/>
      <c r="O27" s="231"/>
      <c r="P27" s="235"/>
      <c r="Q27" s="233"/>
      <c r="R27" s="231"/>
      <c r="S27" s="231"/>
      <c r="T27" s="235"/>
      <c r="U27" s="233"/>
      <c r="V27" s="231"/>
      <c r="W27" s="231"/>
      <c r="X27" s="231"/>
      <c r="Y27" s="236"/>
      <c r="Z27" s="236"/>
      <c r="AA27" s="236"/>
      <c r="AB27" s="236"/>
      <c r="AC27" s="231"/>
      <c r="AD27" s="231"/>
      <c r="AE27" s="231"/>
      <c r="AF27" s="231"/>
      <c r="AG27" s="219"/>
      <c r="AH27" s="219"/>
      <c r="AI27" s="219"/>
      <c r="AJ27" s="219"/>
      <c r="AK27" s="219"/>
      <c r="AL27" s="219"/>
      <c r="AM27" s="219"/>
      <c r="AN27" s="219"/>
      <c r="AO27" s="219"/>
      <c r="AP27" s="219"/>
      <c r="AQ27" s="219"/>
      <c r="AR27" s="219"/>
      <c r="AS27" s="219"/>
      <c r="AT27" s="219"/>
      <c r="AU27" s="219"/>
      <c r="AV27" s="219"/>
      <c r="AW27" s="219"/>
      <c r="AX27" s="219"/>
      <c r="AY27" s="219"/>
      <c r="AZ27" s="219"/>
      <c r="BA27" s="219"/>
    </row>
    <row r="28" spans="2:53" s="4" customFormat="1" ht="18" customHeight="1" x14ac:dyDescent="0.15">
      <c r="B28" s="232" t="s">
        <v>11</v>
      </c>
      <c r="C28" s="230"/>
      <c r="D28" s="230"/>
      <c r="E28" s="230"/>
      <c r="F28" s="230"/>
      <c r="G28" s="230"/>
      <c r="H28" s="230"/>
      <c r="I28" s="232">
        <v>126487000</v>
      </c>
      <c r="J28" s="230"/>
      <c r="K28" s="230"/>
      <c r="L28" s="230"/>
      <c r="M28" s="232">
        <v>-3000000</v>
      </c>
      <c r="N28" s="230"/>
      <c r="O28" s="230"/>
      <c r="P28" s="234"/>
      <c r="Q28" s="232">
        <v>0</v>
      </c>
      <c r="R28" s="230"/>
      <c r="S28" s="230"/>
      <c r="T28" s="234"/>
      <c r="U28" s="232">
        <f>SUM(I28:T29)</f>
        <v>123487000</v>
      </c>
      <c r="V28" s="230"/>
      <c r="W28" s="230"/>
      <c r="X28" s="230"/>
      <c r="Y28" s="236">
        <v>124023029</v>
      </c>
      <c r="Z28" s="236"/>
      <c r="AA28" s="236"/>
      <c r="AB28" s="236"/>
      <c r="AC28" s="237">
        <f>Y28-U28</f>
        <v>536029</v>
      </c>
      <c r="AD28" s="238"/>
      <c r="AE28" s="238"/>
      <c r="AF28" s="238"/>
      <c r="AG28" s="241" t="s">
        <v>58</v>
      </c>
      <c r="AH28" s="242"/>
      <c r="AI28" s="242"/>
      <c r="AJ28" s="242"/>
      <c r="AK28" s="242"/>
      <c r="AL28" s="242"/>
      <c r="AM28" s="242"/>
      <c r="AN28" s="242"/>
      <c r="AO28" s="242"/>
      <c r="AP28" s="242"/>
      <c r="AQ28" s="242"/>
      <c r="AR28" s="242"/>
      <c r="AS28" s="242"/>
      <c r="AT28" s="242"/>
      <c r="AU28" s="242"/>
      <c r="AV28" s="242"/>
      <c r="AW28" s="242"/>
      <c r="AX28" s="242"/>
      <c r="AY28" s="242"/>
      <c r="AZ28" s="242"/>
      <c r="BA28" s="243"/>
    </row>
    <row r="29" spans="2:53" s="4" customFormat="1" ht="18" customHeight="1" x14ac:dyDescent="0.15">
      <c r="B29" s="233"/>
      <c r="C29" s="231"/>
      <c r="D29" s="231"/>
      <c r="E29" s="231"/>
      <c r="F29" s="231"/>
      <c r="G29" s="231"/>
      <c r="H29" s="231"/>
      <c r="I29" s="233"/>
      <c r="J29" s="231"/>
      <c r="K29" s="231"/>
      <c r="L29" s="231"/>
      <c r="M29" s="233"/>
      <c r="N29" s="231"/>
      <c r="O29" s="231"/>
      <c r="P29" s="235"/>
      <c r="Q29" s="233"/>
      <c r="R29" s="231"/>
      <c r="S29" s="231"/>
      <c r="T29" s="235"/>
      <c r="U29" s="233"/>
      <c r="V29" s="231"/>
      <c r="W29" s="231"/>
      <c r="X29" s="231"/>
      <c r="Y29" s="236"/>
      <c r="Z29" s="236"/>
      <c r="AA29" s="236"/>
      <c r="AB29" s="236"/>
      <c r="AC29" s="239"/>
      <c r="AD29" s="240"/>
      <c r="AE29" s="240"/>
      <c r="AF29" s="240"/>
      <c r="AG29" s="244"/>
      <c r="AH29" s="245"/>
      <c r="AI29" s="245"/>
      <c r="AJ29" s="245"/>
      <c r="AK29" s="245"/>
      <c r="AL29" s="245"/>
      <c r="AM29" s="245"/>
      <c r="AN29" s="245"/>
      <c r="AO29" s="245"/>
      <c r="AP29" s="245"/>
      <c r="AQ29" s="245"/>
      <c r="AR29" s="245"/>
      <c r="AS29" s="245"/>
      <c r="AT29" s="245"/>
      <c r="AU29" s="245"/>
      <c r="AV29" s="245"/>
      <c r="AW29" s="245"/>
      <c r="AX29" s="245"/>
      <c r="AY29" s="245"/>
      <c r="AZ29" s="245"/>
      <c r="BA29" s="246"/>
    </row>
    <row r="30" spans="2:53" s="4" customFormat="1" ht="18" customHeight="1" x14ac:dyDescent="0.15">
      <c r="B30" s="232" t="s">
        <v>12</v>
      </c>
      <c r="C30" s="230"/>
      <c r="D30" s="230"/>
      <c r="E30" s="230"/>
      <c r="F30" s="230"/>
      <c r="G30" s="230"/>
      <c r="H30" s="234"/>
      <c r="I30" s="232">
        <v>40681000</v>
      </c>
      <c r="J30" s="230"/>
      <c r="K30" s="230"/>
      <c r="L30" s="234"/>
      <c r="M30" s="232">
        <v>3027000</v>
      </c>
      <c r="N30" s="230"/>
      <c r="O30" s="230"/>
      <c r="P30" s="234"/>
      <c r="Q30" s="232">
        <v>0</v>
      </c>
      <c r="R30" s="230"/>
      <c r="S30" s="230"/>
      <c r="T30" s="234"/>
      <c r="U30" s="232">
        <f>SUM(I30:T31)</f>
        <v>43708000</v>
      </c>
      <c r="V30" s="230"/>
      <c r="W30" s="230"/>
      <c r="X30" s="230"/>
      <c r="Y30" s="236">
        <v>43735454</v>
      </c>
      <c r="Z30" s="236"/>
      <c r="AA30" s="236"/>
      <c r="AB30" s="236"/>
      <c r="AC30" s="232">
        <f>Y30-U30</f>
        <v>27454</v>
      </c>
      <c r="AD30" s="230"/>
      <c r="AE30" s="230"/>
      <c r="AF30" s="230"/>
      <c r="AG30" s="248"/>
      <c r="AH30" s="248"/>
      <c r="AI30" s="248"/>
      <c r="AJ30" s="248"/>
      <c r="AK30" s="248"/>
      <c r="AL30" s="248"/>
      <c r="AM30" s="248"/>
      <c r="AN30" s="248"/>
      <c r="AO30" s="248"/>
      <c r="AP30" s="248"/>
      <c r="AQ30" s="248"/>
      <c r="AR30" s="248"/>
      <c r="AS30" s="248"/>
      <c r="AT30" s="248"/>
      <c r="AU30" s="248"/>
      <c r="AV30" s="248"/>
      <c r="AW30" s="248"/>
      <c r="AX30" s="248"/>
      <c r="AY30" s="248"/>
      <c r="AZ30" s="248"/>
      <c r="BA30" s="248"/>
    </row>
    <row r="31" spans="2:53" s="4" customFormat="1" ht="18" customHeight="1" x14ac:dyDescent="0.15">
      <c r="B31" s="233"/>
      <c r="C31" s="231"/>
      <c r="D31" s="231"/>
      <c r="E31" s="231"/>
      <c r="F31" s="231"/>
      <c r="G31" s="231"/>
      <c r="H31" s="235"/>
      <c r="I31" s="233"/>
      <c r="J31" s="231"/>
      <c r="K31" s="231"/>
      <c r="L31" s="235"/>
      <c r="M31" s="233"/>
      <c r="N31" s="231"/>
      <c r="O31" s="231"/>
      <c r="P31" s="235"/>
      <c r="Q31" s="233"/>
      <c r="R31" s="231"/>
      <c r="S31" s="231"/>
      <c r="T31" s="235"/>
      <c r="U31" s="233"/>
      <c r="V31" s="231"/>
      <c r="W31" s="231"/>
      <c r="X31" s="231"/>
      <c r="Y31" s="236"/>
      <c r="Z31" s="236"/>
      <c r="AA31" s="236"/>
      <c r="AB31" s="236"/>
      <c r="AC31" s="233"/>
      <c r="AD31" s="231"/>
      <c r="AE31" s="231"/>
      <c r="AF31" s="231"/>
      <c r="AG31" s="248"/>
      <c r="AH31" s="248"/>
      <c r="AI31" s="248"/>
      <c r="AJ31" s="248"/>
      <c r="AK31" s="248"/>
      <c r="AL31" s="248"/>
      <c r="AM31" s="248"/>
      <c r="AN31" s="248"/>
      <c r="AO31" s="248"/>
      <c r="AP31" s="248"/>
      <c r="AQ31" s="248"/>
      <c r="AR31" s="248"/>
      <c r="AS31" s="248"/>
      <c r="AT31" s="248"/>
      <c r="AU31" s="248"/>
      <c r="AV31" s="248"/>
      <c r="AW31" s="248"/>
      <c r="AX31" s="248"/>
      <c r="AY31" s="248"/>
      <c r="AZ31" s="248"/>
      <c r="BA31" s="248"/>
    </row>
    <row r="32" spans="2:53" ht="13.5" customHeight="1" x14ac:dyDescent="0.15">
      <c r="B32" s="249" t="s">
        <v>13</v>
      </c>
      <c r="C32" s="249"/>
      <c r="D32" s="249"/>
      <c r="E32" s="249"/>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2:53" ht="13.5" customHeight="1" x14ac:dyDescent="0.15">
      <c r="B33" s="249"/>
      <c r="C33" s="249"/>
      <c r="D33" s="249"/>
      <c r="E33" s="249"/>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row>
    <row r="34" spans="2:53" ht="13.5" customHeight="1" x14ac:dyDescent="0.15">
      <c r="B34" s="211"/>
      <c r="C34" s="211"/>
      <c r="D34" s="211"/>
      <c r="E34" s="211"/>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9"/>
      <c r="AU34" s="212" t="s">
        <v>47</v>
      </c>
      <c r="AV34" s="212"/>
      <c r="AW34" s="212"/>
      <c r="AX34" s="212"/>
      <c r="AY34" s="212"/>
      <c r="AZ34" s="212"/>
      <c r="BA34" s="212"/>
    </row>
    <row r="35" spans="2:53" s="4" customFormat="1" ht="13.5" customHeight="1" x14ac:dyDescent="0.15">
      <c r="B35" s="219" t="s">
        <v>2</v>
      </c>
      <c r="C35" s="219"/>
      <c r="D35" s="219"/>
      <c r="E35" s="219"/>
      <c r="F35" s="219"/>
      <c r="G35" s="219"/>
      <c r="H35" s="219"/>
      <c r="I35" s="213" t="s">
        <v>14</v>
      </c>
      <c r="J35" s="214"/>
      <c r="K35" s="214"/>
      <c r="L35" s="214"/>
      <c r="M35" s="214"/>
      <c r="N35" s="214"/>
      <c r="O35" s="214"/>
      <c r="P35" s="214"/>
      <c r="Q35" s="214"/>
      <c r="R35" s="214"/>
      <c r="S35" s="214"/>
      <c r="T35" s="214"/>
      <c r="U35" s="214"/>
      <c r="V35" s="214"/>
      <c r="W35" s="214"/>
      <c r="X35" s="214"/>
      <c r="Y35" s="214"/>
      <c r="Z35" s="214"/>
      <c r="AA35" s="214"/>
      <c r="AB35" s="214"/>
      <c r="AC35" s="214"/>
      <c r="AD35" s="214"/>
      <c r="AE35" s="214"/>
      <c r="AF35" s="214"/>
      <c r="AG35" s="221"/>
      <c r="AH35" s="213" t="s">
        <v>15</v>
      </c>
      <c r="AI35" s="214"/>
      <c r="AJ35" s="214"/>
      <c r="AK35" s="221"/>
      <c r="AL35" s="247" t="s">
        <v>16</v>
      </c>
      <c r="AM35" s="247"/>
      <c r="AN35" s="219" t="s">
        <v>17</v>
      </c>
      <c r="AO35" s="219"/>
      <c r="AP35" s="219"/>
      <c r="AQ35" s="219"/>
      <c r="AR35" s="213" t="s">
        <v>18</v>
      </c>
      <c r="AS35" s="214"/>
      <c r="AT35" s="214"/>
      <c r="AU35" s="214"/>
      <c r="AV35" s="214"/>
      <c r="AW35" s="214"/>
      <c r="AX35" s="214"/>
      <c r="AY35" s="214"/>
      <c r="AZ35" s="214"/>
      <c r="BA35" s="221"/>
    </row>
    <row r="36" spans="2:53" s="4" customFormat="1" ht="13.5" customHeight="1" x14ac:dyDescent="0.15">
      <c r="B36" s="219"/>
      <c r="C36" s="219"/>
      <c r="D36" s="219"/>
      <c r="E36" s="219"/>
      <c r="F36" s="219"/>
      <c r="G36" s="219"/>
      <c r="H36" s="219"/>
      <c r="I36" s="217"/>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23"/>
      <c r="AH36" s="215"/>
      <c r="AI36" s="216"/>
      <c r="AJ36" s="216"/>
      <c r="AK36" s="222"/>
      <c r="AL36" s="247"/>
      <c r="AM36" s="247"/>
      <c r="AN36" s="219"/>
      <c r="AO36" s="219"/>
      <c r="AP36" s="219"/>
      <c r="AQ36" s="219"/>
      <c r="AR36" s="215"/>
      <c r="AS36" s="216"/>
      <c r="AT36" s="216"/>
      <c r="AU36" s="216"/>
      <c r="AV36" s="216"/>
      <c r="AW36" s="216"/>
      <c r="AX36" s="216"/>
      <c r="AY36" s="216"/>
      <c r="AZ36" s="216"/>
      <c r="BA36" s="222"/>
    </row>
    <row r="37" spans="2:53" s="4" customFormat="1" ht="13.5" customHeight="1" x14ac:dyDescent="0.15">
      <c r="B37" s="219"/>
      <c r="C37" s="219"/>
      <c r="D37" s="219"/>
      <c r="E37" s="219"/>
      <c r="F37" s="219"/>
      <c r="G37" s="219"/>
      <c r="H37" s="219"/>
      <c r="I37" s="219" t="s">
        <v>19</v>
      </c>
      <c r="J37" s="219"/>
      <c r="K37" s="219"/>
      <c r="L37" s="219"/>
      <c r="M37" s="219" t="s">
        <v>20</v>
      </c>
      <c r="N37" s="219"/>
      <c r="O37" s="219"/>
      <c r="P37" s="219"/>
      <c r="Q37" s="220" t="s">
        <v>21</v>
      </c>
      <c r="R37" s="220"/>
      <c r="S37" s="220" t="s">
        <v>22</v>
      </c>
      <c r="T37" s="220"/>
      <c r="U37" s="220"/>
      <c r="V37" s="247" t="s">
        <v>23</v>
      </c>
      <c r="W37" s="247"/>
      <c r="X37" s="219" t="s">
        <v>24</v>
      </c>
      <c r="Y37" s="219"/>
      <c r="Z37" s="219"/>
      <c r="AA37" s="219"/>
      <c r="AB37" s="247" t="s">
        <v>16</v>
      </c>
      <c r="AC37" s="247"/>
      <c r="AD37" s="219" t="s">
        <v>25</v>
      </c>
      <c r="AE37" s="219"/>
      <c r="AF37" s="219"/>
      <c r="AG37" s="219"/>
      <c r="AH37" s="215"/>
      <c r="AI37" s="216"/>
      <c r="AJ37" s="216"/>
      <c r="AK37" s="222"/>
      <c r="AL37" s="247"/>
      <c r="AM37" s="247"/>
      <c r="AN37" s="219"/>
      <c r="AO37" s="219"/>
      <c r="AP37" s="219"/>
      <c r="AQ37" s="219"/>
      <c r="AR37" s="215"/>
      <c r="AS37" s="216"/>
      <c r="AT37" s="216"/>
      <c r="AU37" s="216"/>
      <c r="AV37" s="216"/>
      <c r="AW37" s="216"/>
      <c r="AX37" s="216"/>
      <c r="AY37" s="216"/>
      <c r="AZ37" s="216"/>
      <c r="BA37" s="222"/>
    </row>
    <row r="38" spans="2:53" s="4" customFormat="1" ht="13.5" customHeight="1" x14ac:dyDescent="0.15">
      <c r="B38" s="219"/>
      <c r="C38" s="219"/>
      <c r="D38" s="219"/>
      <c r="E38" s="219"/>
      <c r="F38" s="219"/>
      <c r="G38" s="219"/>
      <c r="H38" s="219"/>
      <c r="I38" s="219"/>
      <c r="J38" s="219"/>
      <c r="K38" s="219"/>
      <c r="L38" s="219"/>
      <c r="M38" s="219"/>
      <c r="N38" s="219"/>
      <c r="O38" s="219"/>
      <c r="P38" s="219"/>
      <c r="Q38" s="220"/>
      <c r="R38" s="220"/>
      <c r="S38" s="220"/>
      <c r="T38" s="220"/>
      <c r="U38" s="220"/>
      <c r="V38" s="247"/>
      <c r="W38" s="247"/>
      <c r="X38" s="219"/>
      <c r="Y38" s="219"/>
      <c r="Z38" s="219"/>
      <c r="AA38" s="219"/>
      <c r="AB38" s="247"/>
      <c r="AC38" s="247"/>
      <c r="AD38" s="219"/>
      <c r="AE38" s="219"/>
      <c r="AF38" s="219"/>
      <c r="AG38" s="219"/>
      <c r="AH38" s="215"/>
      <c r="AI38" s="216"/>
      <c r="AJ38" s="216"/>
      <c r="AK38" s="222"/>
      <c r="AL38" s="247"/>
      <c r="AM38" s="247"/>
      <c r="AN38" s="219"/>
      <c r="AO38" s="219"/>
      <c r="AP38" s="219"/>
      <c r="AQ38" s="219"/>
      <c r="AR38" s="215"/>
      <c r="AS38" s="216"/>
      <c r="AT38" s="216"/>
      <c r="AU38" s="216"/>
      <c r="AV38" s="216"/>
      <c r="AW38" s="216"/>
      <c r="AX38" s="216"/>
      <c r="AY38" s="216"/>
      <c r="AZ38" s="216"/>
      <c r="BA38" s="222"/>
    </row>
    <row r="39" spans="2:53" s="4" customFormat="1" ht="13.5" customHeight="1" x14ac:dyDescent="0.15">
      <c r="B39" s="219"/>
      <c r="C39" s="219"/>
      <c r="D39" s="219"/>
      <c r="E39" s="219"/>
      <c r="F39" s="219"/>
      <c r="G39" s="219"/>
      <c r="H39" s="219"/>
      <c r="I39" s="219"/>
      <c r="J39" s="219"/>
      <c r="K39" s="219"/>
      <c r="L39" s="219"/>
      <c r="M39" s="219"/>
      <c r="N39" s="219"/>
      <c r="O39" s="219"/>
      <c r="P39" s="219"/>
      <c r="Q39" s="220"/>
      <c r="R39" s="220"/>
      <c r="S39" s="220"/>
      <c r="T39" s="220"/>
      <c r="U39" s="220"/>
      <c r="V39" s="247"/>
      <c r="W39" s="247"/>
      <c r="X39" s="219"/>
      <c r="Y39" s="219"/>
      <c r="Z39" s="219"/>
      <c r="AA39" s="219"/>
      <c r="AB39" s="247"/>
      <c r="AC39" s="247"/>
      <c r="AD39" s="219"/>
      <c r="AE39" s="219"/>
      <c r="AF39" s="219"/>
      <c r="AG39" s="219"/>
      <c r="AH39" s="215"/>
      <c r="AI39" s="216"/>
      <c r="AJ39" s="216"/>
      <c r="AK39" s="222"/>
      <c r="AL39" s="247"/>
      <c r="AM39" s="247"/>
      <c r="AN39" s="219"/>
      <c r="AO39" s="219"/>
      <c r="AP39" s="219"/>
      <c r="AQ39" s="219"/>
      <c r="AR39" s="215"/>
      <c r="AS39" s="216"/>
      <c r="AT39" s="216"/>
      <c r="AU39" s="216"/>
      <c r="AV39" s="216"/>
      <c r="AW39" s="216"/>
      <c r="AX39" s="216"/>
      <c r="AY39" s="216"/>
      <c r="AZ39" s="216"/>
      <c r="BA39" s="222"/>
    </row>
    <row r="40" spans="2:53" s="4" customFormat="1" ht="13.5" customHeight="1" x14ac:dyDescent="0.15">
      <c r="B40" s="219"/>
      <c r="C40" s="219"/>
      <c r="D40" s="219"/>
      <c r="E40" s="219"/>
      <c r="F40" s="219"/>
      <c r="G40" s="219"/>
      <c r="H40" s="219"/>
      <c r="I40" s="219"/>
      <c r="J40" s="219"/>
      <c r="K40" s="219"/>
      <c r="L40" s="219"/>
      <c r="M40" s="219"/>
      <c r="N40" s="219"/>
      <c r="O40" s="219"/>
      <c r="P40" s="219"/>
      <c r="Q40" s="220"/>
      <c r="R40" s="220"/>
      <c r="S40" s="220"/>
      <c r="T40" s="220"/>
      <c r="U40" s="220"/>
      <c r="V40" s="247"/>
      <c r="W40" s="247"/>
      <c r="X40" s="219"/>
      <c r="Y40" s="219"/>
      <c r="Z40" s="219"/>
      <c r="AA40" s="219"/>
      <c r="AB40" s="247"/>
      <c r="AC40" s="247"/>
      <c r="AD40" s="219"/>
      <c r="AE40" s="219"/>
      <c r="AF40" s="219"/>
      <c r="AG40" s="219"/>
      <c r="AH40" s="217"/>
      <c r="AI40" s="218"/>
      <c r="AJ40" s="218"/>
      <c r="AK40" s="223"/>
      <c r="AL40" s="247"/>
      <c r="AM40" s="247"/>
      <c r="AN40" s="219"/>
      <c r="AO40" s="219"/>
      <c r="AP40" s="219"/>
      <c r="AQ40" s="219"/>
      <c r="AR40" s="217"/>
      <c r="AS40" s="218"/>
      <c r="AT40" s="218"/>
      <c r="AU40" s="218"/>
      <c r="AV40" s="218"/>
      <c r="AW40" s="218"/>
      <c r="AX40" s="218"/>
      <c r="AY40" s="218"/>
      <c r="AZ40" s="218"/>
      <c r="BA40" s="223"/>
    </row>
    <row r="41" spans="2:53" s="4" customFormat="1" ht="18" customHeight="1" x14ac:dyDescent="0.15">
      <c r="B41" s="236" t="s">
        <v>26</v>
      </c>
      <c r="C41" s="236"/>
      <c r="D41" s="236"/>
      <c r="E41" s="236"/>
      <c r="F41" s="236"/>
      <c r="G41" s="236"/>
      <c r="H41" s="236"/>
      <c r="I41" s="250">
        <f>SUM(I43:L48)</f>
        <v>161976000</v>
      </c>
      <c r="J41" s="251"/>
      <c r="K41" s="251"/>
      <c r="L41" s="252"/>
      <c r="M41" s="250">
        <f>SUM(M43:P48)</f>
        <v>-563000</v>
      </c>
      <c r="N41" s="251"/>
      <c r="O41" s="251"/>
      <c r="P41" s="252"/>
      <c r="Q41" s="236">
        <f>SUM(Q43:R48)</f>
        <v>0</v>
      </c>
      <c r="R41" s="236"/>
      <c r="S41" s="236">
        <f>SUM(S43:U48)</f>
        <v>0</v>
      </c>
      <c r="T41" s="236"/>
      <c r="U41" s="236"/>
      <c r="V41" s="250">
        <f>SUM(V43:W48)</f>
        <v>0</v>
      </c>
      <c r="W41" s="252"/>
      <c r="X41" s="250">
        <f>SUM(X43:AA48)</f>
        <v>161413000</v>
      </c>
      <c r="Y41" s="251"/>
      <c r="Z41" s="251"/>
      <c r="AA41" s="252"/>
      <c r="AB41" s="232">
        <f>SUM(AB43:AC48)</f>
        <v>0</v>
      </c>
      <c r="AC41" s="230"/>
      <c r="AD41" s="250">
        <f>SUM(AD43:AG48)</f>
        <v>161413000</v>
      </c>
      <c r="AE41" s="251"/>
      <c r="AF41" s="251"/>
      <c r="AG41" s="252"/>
      <c r="AH41" s="232">
        <f>SUM(AH43:AK48)</f>
        <v>151955427</v>
      </c>
      <c r="AI41" s="230"/>
      <c r="AJ41" s="230"/>
      <c r="AK41" s="230"/>
      <c r="AL41" s="256">
        <f>SUM(AL43:AM48)</f>
        <v>0</v>
      </c>
      <c r="AM41" s="256"/>
      <c r="AN41" s="256">
        <f>SUM(AN43:AQ48)</f>
        <v>9457573</v>
      </c>
      <c r="AO41" s="256"/>
      <c r="AP41" s="256"/>
      <c r="AQ41" s="256"/>
      <c r="AR41" s="257"/>
      <c r="AS41" s="258"/>
      <c r="AT41" s="258"/>
      <c r="AU41" s="258"/>
      <c r="AV41" s="258"/>
      <c r="AW41" s="258"/>
      <c r="AX41" s="258"/>
      <c r="AY41" s="258"/>
      <c r="AZ41" s="258"/>
      <c r="BA41" s="259"/>
    </row>
    <row r="42" spans="2:53" s="4" customFormat="1" ht="18" customHeight="1" x14ac:dyDescent="0.15">
      <c r="B42" s="236"/>
      <c r="C42" s="236"/>
      <c r="D42" s="236"/>
      <c r="E42" s="236"/>
      <c r="F42" s="236"/>
      <c r="G42" s="236"/>
      <c r="H42" s="236"/>
      <c r="I42" s="253"/>
      <c r="J42" s="254"/>
      <c r="K42" s="254"/>
      <c r="L42" s="255"/>
      <c r="M42" s="253"/>
      <c r="N42" s="254"/>
      <c r="O42" s="254"/>
      <c r="P42" s="255"/>
      <c r="Q42" s="236"/>
      <c r="R42" s="236"/>
      <c r="S42" s="236"/>
      <c r="T42" s="236"/>
      <c r="U42" s="236"/>
      <c r="V42" s="253"/>
      <c r="W42" s="255"/>
      <c r="X42" s="253"/>
      <c r="Y42" s="254"/>
      <c r="Z42" s="254"/>
      <c r="AA42" s="255"/>
      <c r="AB42" s="233"/>
      <c r="AC42" s="231"/>
      <c r="AD42" s="253"/>
      <c r="AE42" s="254"/>
      <c r="AF42" s="254"/>
      <c r="AG42" s="255"/>
      <c r="AH42" s="233"/>
      <c r="AI42" s="231"/>
      <c r="AJ42" s="231"/>
      <c r="AK42" s="231"/>
      <c r="AL42" s="256"/>
      <c r="AM42" s="256"/>
      <c r="AN42" s="256"/>
      <c r="AO42" s="256"/>
      <c r="AP42" s="256"/>
      <c r="AQ42" s="256"/>
      <c r="AR42" s="260"/>
      <c r="AS42" s="261"/>
      <c r="AT42" s="261"/>
      <c r="AU42" s="261"/>
      <c r="AV42" s="261"/>
      <c r="AW42" s="261"/>
      <c r="AX42" s="261"/>
      <c r="AY42" s="261"/>
      <c r="AZ42" s="261"/>
      <c r="BA42" s="262"/>
    </row>
    <row r="43" spans="2:53" s="4" customFormat="1" ht="18" customHeight="1" x14ac:dyDescent="0.15">
      <c r="B43" s="236" t="s">
        <v>27</v>
      </c>
      <c r="C43" s="236"/>
      <c r="D43" s="236"/>
      <c r="E43" s="236"/>
      <c r="F43" s="236"/>
      <c r="G43" s="236"/>
      <c r="H43" s="236"/>
      <c r="I43" s="236">
        <v>150979000</v>
      </c>
      <c r="J43" s="236"/>
      <c r="K43" s="236"/>
      <c r="L43" s="236"/>
      <c r="M43" s="236">
        <v>-2077000</v>
      </c>
      <c r="N43" s="236"/>
      <c r="O43" s="236"/>
      <c r="P43" s="236"/>
      <c r="Q43" s="236">
        <v>0</v>
      </c>
      <c r="R43" s="236"/>
      <c r="S43" s="256">
        <v>0</v>
      </c>
      <c r="T43" s="256"/>
      <c r="U43" s="256"/>
      <c r="V43" s="236">
        <v>0</v>
      </c>
      <c r="W43" s="236"/>
      <c r="X43" s="236">
        <f>SUM(I43:T44)</f>
        <v>148902000</v>
      </c>
      <c r="Y43" s="236"/>
      <c r="Z43" s="236"/>
      <c r="AA43" s="236"/>
      <c r="AB43" s="232">
        <v>0</v>
      </c>
      <c r="AC43" s="234"/>
      <c r="AD43" s="236">
        <f>SUM(X43:AC44)</f>
        <v>148902000</v>
      </c>
      <c r="AE43" s="236"/>
      <c r="AF43" s="236"/>
      <c r="AG43" s="236"/>
      <c r="AH43" s="232">
        <v>139468424</v>
      </c>
      <c r="AI43" s="230"/>
      <c r="AJ43" s="230"/>
      <c r="AK43" s="234"/>
      <c r="AL43" s="256">
        <v>0</v>
      </c>
      <c r="AM43" s="256"/>
      <c r="AN43" s="256">
        <f>AD43-AH43-AL43</f>
        <v>9433576</v>
      </c>
      <c r="AO43" s="256"/>
      <c r="AP43" s="256"/>
      <c r="AQ43" s="256"/>
      <c r="AR43" s="269" t="s">
        <v>59</v>
      </c>
      <c r="AS43" s="270"/>
      <c r="AT43" s="270"/>
      <c r="AU43" s="270"/>
      <c r="AV43" s="270"/>
      <c r="AW43" s="270"/>
      <c r="AX43" s="270"/>
      <c r="AY43" s="270"/>
      <c r="AZ43" s="270"/>
      <c r="BA43" s="271"/>
    </row>
    <row r="44" spans="2:53" s="4" customFormat="1" ht="18" customHeight="1" x14ac:dyDescent="0.15">
      <c r="B44" s="236"/>
      <c r="C44" s="236"/>
      <c r="D44" s="236"/>
      <c r="E44" s="236"/>
      <c r="F44" s="236"/>
      <c r="G44" s="236"/>
      <c r="H44" s="236"/>
      <c r="I44" s="236"/>
      <c r="J44" s="236"/>
      <c r="K44" s="236"/>
      <c r="L44" s="236"/>
      <c r="M44" s="236"/>
      <c r="N44" s="236"/>
      <c r="O44" s="236"/>
      <c r="P44" s="236"/>
      <c r="Q44" s="236"/>
      <c r="R44" s="236"/>
      <c r="S44" s="256"/>
      <c r="T44" s="256"/>
      <c r="U44" s="256"/>
      <c r="V44" s="236"/>
      <c r="W44" s="236"/>
      <c r="X44" s="236"/>
      <c r="Y44" s="236"/>
      <c r="Z44" s="236"/>
      <c r="AA44" s="236"/>
      <c r="AB44" s="233"/>
      <c r="AC44" s="235"/>
      <c r="AD44" s="236"/>
      <c r="AE44" s="236"/>
      <c r="AF44" s="236"/>
      <c r="AG44" s="236"/>
      <c r="AH44" s="233"/>
      <c r="AI44" s="231"/>
      <c r="AJ44" s="231"/>
      <c r="AK44" s="235"/>
      <c r="AL44" s="256"/>
      <c r="AM44" s="256"/>
      <c r="AN44" s="256"/>
      <c r="AO44" s="256"/>
      <c r="AP44" s="256"/>
      <c r="AQ44" s="256"/>
      <c r="AR44" s="272" t="s">
        <v>54</v>
      </c>
      <c r="AS44" s="273"/>
      <c r="AT44" s="273"/>
      <c r="AU44" s="273"/>
      <c r="AV44" s="273"/>
      <c r="AW44" s="273"/>
      <c r="AX44" s="273"/>
      <c r="AY44" s="273"/>
      <c r="AZ44" s="273"/>
      <c r="BA44" s="274"/>
    </row>
    <row r="45" spans="2:53" s="4" customFormat="1" ht="18" customHeight="1" x14ac:dyDescent="0.15">
      <c r="B45" s="236" t="s">
        <v>28</v>
      </c>
      <c r="C45" s="236"/>
      <c r="D45" s="236"/>
      <c r="E45" s="236"/>
      <c r="F45" s="236"/>
      <c r="G45" s="236"/>
      <c r="H45" s="236"/>
      <c r="I45" s="236">
        <v>10497000</v>
      </c>
      <c r="J45" s="236"/>
      <c r="K45" s="236"/>
      <c r="L45" s="236"/>
      <c r="M45" s="236">
        <v>1514000</v>
      </c>
      <c r="N45" s="236"/>
      <c r="O45" s="236"/>
      <c r="P45" s="236"/>
      <c r="Q45" s="236">
        <v>0</v>
      </c>
      <c r="R45" s="236"/>
      <c r="S45" s="256">
        <v>0</v>
      </c>
      <c r="T45" s="256"/>
      <c r="U45" s="256"/>
      <c r="V45" s="236">
        <v>0</v>
      </c>
      <c r="W45" s="236"/>
      <c r="X45" s="236">
        <f>SUM(I45:T46)</f>
        <v>12011000</v>
      </c>
      <c r="Y45" s="236"/>
      <c r="Z45" s="236"/>
      <c r="AA45" s="236"/>
      <c r="AB45" s="232">
        <v>0</v>
      </c>
      <c r="AC45" s="234"/>
      <c r="AD45" s="236">
        <f>SUM(X45:AC46)</f>
        <v>12011000</v>
      </c>
      <c r="AE45" s="236"/>
      <c r="AF45" s="236"/>
      <c r="AG45" s="236"/>
      <c r="AH45" s="232">
        <v>12487003</v>
      </c>
      <c r="AI45" s="230"/>
      <c r="AJ45" s="230"/>
      <c r="AK45" s="234"/>
      <c r="AL45" s="232">
        <v>0</v>
      </c>
      <c r="AM45" s="234"/>
      <c r="AN45" s="263">
        <f>AD45-AH45-AL45</f>
        <v>-476003</v>
      </c>
      <c r="AO45" s="264"/>
      <c r="AP45" s="264"/>
      <c r="AQ45" s="265"/>
      <c r="AR45" s="269" t="s">
        <v>60</v>
      </c>
      <c r="AS45" s="270"/>
      <c r="AT45" s="270"/>
      <c r="AU45" s="270"/>
      <c r="AV45" s="270"/>
      <c r="AW45" s="270"/>
      <c r="AX45" s="270"/>
      <c r="AY45" s="270"/>
      <c r="AZ45" s="270"/>
      <c r="BA45" s="271"/>
    </row>
    <row r="46" spans="2:53" s="4" customFormat="1" ht="18" customHeight="1" x14ac:dyDescent="0.15">
      <c r="B46" s="236"/>
      <c r="C46" s="236"/>
      <c r="D46" s="236"/>
      <c r="E46" s="236"/>
      <c r="F46" s="236"/>
      <c r="G46" s="236"/>
      <c r="H46" s="236"/>
      <c r="I46" s="236"/>
      <c r="J46" s="236"/>
      <c r="K46" s="236"/>
      <c r="L46" s="236"/>
      <c r="M46" s="236"/>
      <c r="N46" s="236"/>
      <c r="O46" s="236"/>
      <c r="P46" s="236"/>
      <c r="Q46" s="236"/>
      <c r="R46" s="236"/>
      <c r="S46" s="256"/>
      <c r="T46" s="256"/>
      <c r="U46" s="256"/>
      <c r="V46" s="236"/>
      <c r="W46" s="236"/>
      <c r="X46" s="236"/>
      <c r="Y46" s="236"/>
      <c r="Z46" s="236"/>
      <c r="AA46" s="236"/>
      <c r="AB46" s="233"/>
      <c r="AC46" s="235"/>
      <c r="AD46" s="236"/>
      <c r="AE46" s="236"/>
      <c r="AF46" s="236"/>
      <c r="AG46" s="236"/>
      <c r="AH46" s="233"/>
      <c r="AI46" s="231"/>
      <c r="AJ46" s="231"/>
      <c r="AK46" s="235"/>
      <c r="AL46" s="233"/>
      <c r="AM46" s="235"/>
      <c r="AN46" s="266"/>
      <c r="AO46" s="267"/>
      <c r="AP46" s="267"/>
      <c r="AQ46" s="268"/>
      <c r="AR46" s="272" t="s">
        <v>55</v>
      </c>
      <c r="AS46" s="273"/>
      <c r="AT46" s="273"/>
      <c r="AU46" s="273"/>
      <c r="AV46" s="273"/>
      <c r="AW46" s="273"/>
      <c r="AX46" s="273"/>
      <c r="AY46" s="273"/>
      <c r="AZ46" s="273"/>
      <c r="BA46" s="274"/>
    </row>
    <row r="47" spans="2:53" s="4" customFormat="1" ht="18" customHeight="1" x14ac:dyDescent="0.15">
      <c r="B47" s="236" t="s">
        <v>29</v>
      </c>
      <c r="C47" s="236"/>
      <c r="D47" s="236"/>
      <c r="E47" s="236"/>
      <c r="F47" s="236"/>
      <c r="G47" s="236"/>
      <c r="H47" s="236"/>
      <c r="I47" s="236">
        <v>500000</v>
      </c>
      <c r="J47" s="236"/>
      <c r="K47" s="236"/>
      <c r="L47" s="236"/>
      <c r="M47" s="236">
        <v>0</v>
      </c>
      <c r="N47" s="236"/>
      <c r="O47" s="236"/>
      <c r="P47" s="236"/>
      <c r="Q47" s="236">
        <v>0</v>
      </c>
      <c r="R47" s="236"/>
      <c r="S47" s="256">
        <v>0</v>
      </c>
      <c r="T47" s="256"/>
      <c r="U47" s="256"/>
      <c r="V47" s="236">
        <v>0</v>
      </c>
      <c r="W47" s="236"/>
      <c r="X47" s="236">
        <f>SUM(I47:T48)</f>
        <v>500000</v>
      </c>
      <c r="Y47" s="236"/>
      <c r="Z47" s="236"/>
      <c r="AA47" s="236"/>
      <c r="AB47" s="232">
        <v>0</v>
      </c>
      <c r="AC47" s="234"/>
      <c r="AD47" s="236">
        <f>SUM(X47:AC48)</f>
        <v>500000</v>
      </c>
      <c r="AE47" s="236"/>
      <c r="AF47" s="236"/>
      <c r="AG47" s="236"/>
      <c r="AH47" s="232">
        <v>0</v>
      </c>
      <c r="AI47" s="230"/>
      <c r="AJ47" s="230"/>
      <c r="AK47" s="234"/>
      <c r="AL47" s="232">
        <v>0</v>
      </c>
      <c r="AM47" s="234"/>
      <c r="AN47" s="263">
        <f>AD47-AH47-AL47</f>
        <v>500000</v>
      </c>
      <c r="AO47" s="264"/>
      <c r="AP47" s="264"/>
      <c r="AQ47" s="265"/>
      <c r="AR47" s="275"/>
      <c r="AS47" s="276"/>
      <c r="AT47" s="276"/>
      <c r="AU47" s="276"/>
      <c r="AV47" s="276"/>
      <c r="AW47" s="276"/>
      <c r="AX47" s="276"/>
      <c r="AY47" s="276"/>
      <c r="AZ47" s="276"/>
      <c r="BA47" s="277"/>
    </row>
    <row r="48" spans="2:53" s="4" customFormat="1" ht="18" customHeight="1" x14ac:dyDescent="0.15">
      <c r="B48" s="236"/>
      <c r="C48" s="236"/>
      <c r="D48" s="236"/>
      <c r="E48" s="236"/>
      <c r="F48" s="236"/>
      <c r="G48" s="236"/>
      <c r="H48" s="236"/>
      <c r="I48" s="236"/>
      <c r="J48" s="236"/>
      <c r="K48" s="236"/>
      <c r="L48" s="236"/>
      <c r="M48" s="236"/>
      <c r="N48" s="236"/>
      <c r="O48" s="236"/>
      <c r="P48" s="236"/>
      <c r="Q48" s="236"/>
      <c r="R48" s="236"/>
      <c r="S48" s="256"/>
      <c r="T48" s="256"/>
      <c r="U48" s="256"/>
      <c r="V48" s="236"/>
      <c r="W48" s="236"/>
      <c r="X48" s="236"/>
      <c r="Y48" s="236"/>
      <c r="Z48" s="236"/>
      <c r="AA48" s="236"/>
      <c r="AB48" s="233"/>
      <c r="AC48" s="235"/>
      <c r="AD48" s="236"/>
      <c r="AE48" s="236"/>
      <c r="AF48" s="236"/>
      <c r="AG48" s="236"/>
      <c r="AH48" s="233"/>
      <c r="AI48" s="231"/>
      <c r="AJ48" s="231"/>
      <c r="AK48" s="235"/>
      <c r="AL48" s="233"/>
      <c r="AM48" s="235"/>
      <c r="AN48" s="266"/>
      <c r="AO48" s="267"/>
      <c r="AP48" s="267"/>
      <c r="AQ48" s="268"/>
      <c r="AR48" s="278"/>
      <c r="AS48" s="279"/>
      <c r="AT48" s="279"/>
      <c r="AU48" s="279"/>
      <c r="AV48" s="279"/>
      <c r="AW48" s="279"/>
      <c r="AX48" s="279"/>
      <c r="AY48" s="279"/>
      <c r="AZ48" s="279"/>
      <c r="BA48" s="280"/>
    </row>
    <row r="49" spans="2:83" s="3" customFormat="1" ht="13.5" customHeight="1" x14ac:dyDescent="0.15">
      <c r="B49" s="10"/>
      <c r="C49" s="10"/>
      <c r="D49" s="10"/>
      <c r="E49" s="10"/>
      <c r="F49" s="10"/>
      <c r="G49" s="10"/>
      <c r="H49" s="10"/>
      <c r="I49" s="10"/>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2"/>
      <c r="AW49" s="12"/>
      <c r="AX49" s="12"/>
      <c r="AY49" s="12"/>
      <c r="AZ49" s="12"/>
      <c r="BA49" s="1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row>
    <row r="50" spans="2:83" s="3" customFormat="1" ht="13.5" customHeight="1" x14ac:dyDescent="0.15">
      <c r="B50" s="10"/>
      <c r="C50" s="10"/>
      <c r="D50" s="10"/>
      <c r="E50" s="10"/>
      <c r="F50" s="10"/>
      <c r="G50" s="10"/>
      <c r="H50" s="10"/>
      <c r="I50" s="10"/>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2"/>
      <c r="AW50" s="12"/>
      <c r="AX50" s="12"/>
      <c r="AY50" s="12"/>
      <c r="AZ50" s="12"/>
      <c r="BA50" s="1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row>
    <row r="51" spans="2:83" s="3" customFormat="1" ht="13.5" customHeight="1" x14ac:dyDescent="0.15">
      <c r="B51" s="10"/>
      <c r="C51" s="10"/>
      <c r="D51" s="10"/>
      <c r="E51" s="10"/>
      <c r="F51" s="10"/>
      <c r="G51" s="10"/>
      <c r="H51" s="10"/>
      <c r="I51" s="10"/>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2"/>
      <c r="AW51" s="12"/>
      <c r="AX51" s="12"/>
      <c r="AY51" s="12"/>
      <c r="AZ51" s="12"/>
      <c r="BA51" s="1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row>
    <row r="52" spans="2:83" s="3" customFormat="1" ht="13.5" customHeight="1" x14ac:dyDescent="0.1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row>
    <row r="53" spans="2:83" s="3" customFormat="1" ht="13.5" customHeight="1" x14ac:dyDescent="0.1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row>
    <row r="54" spans="2:83" s="3" customFormat="1" ht="13.5" customHeight="1" x14ac:dyDescent="0.1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row>
    <row r="55" spans="2:83" s="3" customFormat="1" ht="13.5" customHeight="1" x14ac:dyDescent="0.1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row>
    <row r="56" spans="2:83" s="3" customFormat="1" ht="13.5" customHeight="1" x14ac:dyDescent="0.1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row>
    <row r="57" spans="2:83" s="3" customFormat="1" ht="12" customHeight="1" x14ac:dyDescent="0.1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row>
    <row r="58" spans="2:83" s="3" customFormat="1" ht="13.5" hidden="1" customHeight="1" x14ac:dyDescent="0.1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row>
    <row r="59" spans="2:83" s="3" customFormat="1" ht="13.5" hidden="1" customHeight="1" x14ac:dyDescent="0.1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row>
    <row r="60" spans="2:83" s="3" customFormat="1" ht="13.5" customHeight="1" x14ac:dyDescent="0.1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row>
    <row r="61" spans="2:83" s="3" customFormat="1" ht="13.5" customHeight="1" x14ac:dyDescent="0.1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row>
    <row r="62" spans="2:83" s="3" customFormat="1" ht="13.5" customHeight="1" x14ac:dyDescent="0.15">
      <c r="B62" s="281" t="s">
        <v>30</v>
      </c>
      <c r="C62" s="281"/>
      <c r="D62" s="281"/>
      <c r="E62" s="281"/>
      <c r="F62" s="281"/>
      <c r="G62" s="281"/>
      <c r="H62" s="281"/>
      <c r="I62" s="281"/>
      <c r="J62" s="281"/>
      <c r="K62" s="281"/>
      <c r="L62" s="281"/>
      <c r="M62" s="281"/>
      <c r="N62" s="281"/>
      <c r="O62" s="7"/>
      <c r="P62" s="7"/>
      <c r="Q62" s="7"/>
      <c r="R62" s="7"/>
      <c r="S62" s="7"/>
      <c r="T62" s="7"/>
      <c r="U62" s="7"/>
      <c r="V62" s="7"/>
      <c r="W62" s="7"/>
      <c r="X62" s="7"/>
      <c r="Y62" s="7"/>
      <c r="Z62" s="7"/>
      <c r="AA62" s="7"/>
      <c r="AB62" s="7"/>
      <c r="AC62" s="7"/>
      <c r="AD62" s="7"/>
      <c r="AE62" s="7"/>
      <c r="AF62" s="7"/>
      <c r="AG62" s="7"/>
      <c r="AH62" s="7"/>
      <c r="AI62" s="7"/>
      <c r="AJ62" s="7"/>
      <c r="AK62" s="8"/>
      <c r="AL62" s="8"/>
      <c r="AM62" s="8"/>
      <c r="AN62" s="7"/>
      <c r="AO62" s="7"/>
      <c r="AP62" s="7"/>
      <c r="AQ62" s="7"/>
      <c r="AR62" s="7"/>
      <c r="AS62" s="7"/>
      <c r="AT62" s="7"/>
      <c r="AU62" s="7"/>
      <c r="AV62" s="7"/>
      <c r="AW62" s="7"/>
      <c r="AX62" s="7"/>
      <c r="AY62" s="7"/>
      <c r="AZ62" s="7"/>
      <c r="BA62" s="7"/>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row>
    <row r="63" spans="2:83" s="3" customFormat="1" ht="13.5" customHeight="1" x14ac:dyDescent="0.15">
      <c r="B63" s="281"/>
      <c r="C63" s="281"/>
      <c r="D63" s="281"/>
      <c r="E63" s="281"/>
      <c r="F63" s="281"/>
      <c r="G63" s="281"/>
      <c r="H63" s="281"/>
      <c r="I63" s="281"/>
      <c r="J63" s="281"/>
      <c r="K63" s="281"/>
      <c r="L63" s="281"/>
      <c r="M63" s="281"/>
      <c r="N63" s="281"/>
      <c r="O63" s="8"/>
      <c r="P63" s="7"/>
      <c r="Q63" s="7"/>
      <c r="R63" s="7"/>
      <c r="S63" s="7"/>
      <c r="T63" s="7"/>
      <c r="U63" s="7"/>
      <c r="V63" s="7"/>
      <c r="W63" s="7"/>
      <c r="X63" s="7"/>
      <c r="Y63" s="7"/>
      <c r="Z63" s="7"/>
      <c r="AA63" s="7"/>
      <c r="AB63" s="7"/>
      <c r="AC63" s="7"/>
      <c r="AD63" s="7"/>
      <c r="AE63" s="7"/>
      <c r="AF63" s="7"/>
      <c r="AG63" s="7"/>
      <c r="AH63" s="7"/>
      <c r="AI63" s="7"/>
      <c r="AJ63" s="7"/>
      <c r="AK63" s="7"/>
      <c r="AL63" s="7"/>
      <c r="AM63" s="7"/>
      <c r="AN63" s="7"/>
      <c r="AO63" s="8"/>
      <c r="AP63" s="8"/>
      <c r="AQ63" s="8"/>
      <c r="AR63" s="13"/>
      <c r="AS63" s="13"/>
      <c r="AT63" s="13"/>
      <c r="AU63" s="13"/>
      <c r="AV63" s="13"/>
      <c r="AW63" s="13"/>
      <c r="AX63" s="13"/>
      <c r="AY63" s="13"/>
      <c r="AZ63" s="13"/>
      <c r="BA63" s="13"/>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row>
    <row r="64" spans="2:83" s="3" customFormat="1" ht="13.5" customHeight="1" x14ac:dyDescent="0.15">
      <c r="B64" s="210" t="s">
        <v>1</v>
      </c>
      <c r="C64" s="210"/>
      <c r="D64" s="210"/>
      <c r="E64" s="210"/>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row>
    <row r="65" spans="2:82" s="3" customFormat="1" ht="13.5" customHeight="1" x14ac:dyDescent="0.15">
      <c r="B65" s="211"/>
      <c r="C65" s="211"/>
      <c r="D65" s="211"/>
      <c r="E65" s="211"/>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9"/>
      <c r="AP65" s="9"/>
      <c r="AQ65" s="9"/>
      <c r="AR65" s="9"/>
      <c r="AS65" s="7"/>
      <c r="AT65" s="7"/>
      <c r="AU65" s="212" t="s">
        <v>47</v>
      </c>
      <c r="AV65" s="212"/>
      <c r="AW65" s="212"/>
      <c r="AX65" s="212"/>
      <c r="AY65" s="212"/>
      <c r="AZ65" s="212"/>
      <c r="BA65" s="21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row>
    <row r="66" spans="2:82" s="4" customFormat="1" ht="13.5" customHeight="1" x14ac:dyDescent="0.15">
      <c r="B66" s="213" t="s">
        <v>2</v>
      </c>
      <c r="C66" s="214"/>
      <c r="D66" s="214"/>
      <c r="E66" s="214"/>
      <c r="F66" s="214"/>
      <c r="G66" s="214"/>
      <c r="H66" s="214"/>
      <c r="I66" s="213" t="s">
        <v>14</v>
      </c>
      <c r="J66" s="214"/>
      <c r="K66" s="214"/>
      <c r="L66" s="214"/>
      <c r="M66" s="214"/>
      <c r="N66" s="214"/>
      <c r="O66" s="214"/>
      <c r="P66" s="214"/>
      <c r="Q66" s="214"/>
      <c r="R66" s="214"/>
      <c r="S66" s="214"/>
      <c r="T66" s="214"/>
      <c r="U66" s="214"/>
      <c r="V66" s="214"/>
      <c r="W66" s="214"/>
      <c r="X66" s="214"/>
      <c r="Y66" s="214"/>
      <c r="Z66" s="214"/>
      <c r="AA66" s="214"/>
      <c r="AB66" s="214"/>
      <c r="AC66" s="214"/>
      <c r="AD66" s="214"/>
      <c r="AE66" s="219" t="s">
        <v>4</v>
      </c>
      <c r="AF66" s="219"/>
      <c r="AG66" s="219"/>
      <c r="AH66" s="219"/>
      <c r="AI66" s="257" t="s">
        <v>48</v>
      </c>
      <c r="AJ66" s="258"/>
      <c r="AK66" s="258"/>
      <c r="AL66" s="258"/>
      <c r="AM66" s="219" t="s">
        <v>6</v>
      </c>
      <c r="AN66" s="219"/>
      <c r="AO66" s="219"/>
      <c r="AP66" s="219"/>
      <c r="AQ66" s="219"/>
      <c r="AR66" s="219"/>
      <c r="AS66" s="219"/>
      <c r="AT66" s="219"/>
      <c r="AU66" s="219"/>
      <c r="AV66" s="219"/>
      <c r="AW66" s="219"/>
      <c r="AX66" s="219"/>
      <c r="AY66" s="219"/>
      <c r="AZ66" s="219"/>
      <c r="BA66" s="219"/>
    </row>
    <row r="67" spans="2:82" s="4" customFormat="1" ht="13.5" customHeight="1" x14ac:dyDescent="0.15">
      <c r="B67" s="215"/>
      <c r="C67" s="216"/>
      <c r="D67" s="216"/>
      <c r="E67" s="216"/>
      <c r="F67" s="216"/>
      <c r="G67" s="216"/>
      <c r="H67" s="216"/>
      <c r="I67" s="217"/>
      <c r="J67" s="218"/>
      <c r="K67" s="218"/>
      <c r="L67" s="218"/>
      <c r="M67" s="218"/>
      <c r="N67" s="218"/>
      <c r="O67" s="218"/>
      <c r="P67" s="218"/>
      <c r="Q67" s="218"/>
      <c r="R67" s="218"/>
      <c r="S67" s="218"/>
      <c r="T67" s="218"/>
      <c r="U67" s="218"/>
      <c r="V67" s="218"/>
      <c r="W67" s="218"/>
      <c r="X67" s="218"/>
      <c r="Y67" s="218"/>
      <c r="Z67" s="218"/>
      <c r="AA67" s="218"/>
      <c r="AB67" s="218"/>
      <c r="AC67" s="218"/>
      <c r="AD67" s="218"/>
      <c r="AE67" s="219"/>
      <c r="AF67" s="219"/>
      <c r="AG67" s="219"/>
      <c r="AH67" s="219"/>
      <c r="AI67" s="282"/>
      <c r="AJ67" s="283"/>
      <c r="AK67" s="283"/>
      <c r="AL67" s="283"/>
      <c r="AM67" s="219"/>
      <c r="AN67" s="219"/>
      <c r="AO67" s="219"/>
      <c r="AP67" s="219"/>
      <c r="AQ67" s="219"/>
      <c r="AR67" s="219"/>
      <c r="AS67" s="219"/>
      <c r="AT67" s="219"/>
      <c r="AU67" s="219"/>
      <c r="AV67" s="219"/>
      <c r="AW67" s="219"/>
      <c r="AX67" s="219"/>
      <c r="AY67" s="219"/>
      <c r="AZ67" s="219"/>
      <c r="BA67" s="219"/>
    </row>
    <row r="68" spans="2:82" s="4" customFormat="1" ht="13.5" customHeight="1" x14ac:dyDescent="0.15">
      <c r="B68" s="215"/>
      <c r="C68" s="216"/>
      <c r="D68" s="216"/>
      <c r="E68" s="216"/>
      <c r="F68" s="216"/>
      <c r="G68" s="216"/>
      <c r="H68" s="216"/>
      <c r="I68" s="213" t="s">
        <v>7</v>
      </c>
      <c r="J68" s="214"/>
      <c r="K68" s="214"/>
      <c r="L68" s="221"/>
      <c r="M68" s="213" t="s">
        <v>8</v>
      </c>
      <c r="N68" s="214"/>
      <c r="O68" s="214"/>
      <c r="P68" s="221"/>
      <c r="Q68" s="213" t="s">
        <v>31</v>
      </c>
      <c r="R68" s="214"/>
      <c r="S68" s="214"/>
      <c r="T68" s="221"/>
      <c r="U68" s="284" t="s">
        <v>32</v>
      </c>
      <c r="V68" s="285"/>
      <c r="W68" s="286"/>
      <c r="X68" s="284" t="s">
        <v>33</v>
      </c>
      <c r="Y68" s="285"/>
      <c r="Z68" s="286"/>
      <c r="AA68" s="293" t="s">
        <v>9</v>
      </c>
      <c r="AB68" s="294"/>
      <c r="AC68" s="294"/>
      <c r="AD68" s="294"/>
      <c r="AE68" s="219"/>
      <c r="AF68" s="219"/>
      <c r="AG68" s="219"/>
      <c r="AH68" s="219"/>
      <c r="AI68" s="282"/>
      <c r="AJ68" s="283"/>
      <c r="AK68" s="283"/>
      <c r="AL68" s="283"/>
      <c r="AM68" s="219"/>
      <c r="AN68" s="219"/>
      <c r="AO68" s="219"/>
      <c r="AP68" s="219"/>
      <c r="AQ68" s="219"/>
      <c r="AR68" s="219"/>
      <c r="AS68" s="219"/>
      <c r="AT68" s="219"/>
      <c r="AU68" s="219"/>
      <c r="AV68" s="219"/>
      <c r="AW68" s="219"/>
      <c r="AX68" s="219"/>
      <c r="AY68" s="219"/>
      <c r="AZ68" s="219"/>
      <c r="BA68" s="219"/>
    </row>
    <row r="69" spans="2:82" s="4" customFormat="1" ht="13.5" customHeight="1" x14ac:dyDescent="0.15">
      <c r="B69" s="215"/>
      <c r="C69" s="216"/>
      <c r="D69" s="216"/>
      <c r="E69" s="216"/>
      <c r="F69" s="216"/>
      <c r="G69" s="216"/>
      <c r="H69" s="216"/>
      <c r="I69" s="215"/>
      <c r="J69" s="216"/>
      <c r="K69" s="216"/>
      <c r="L69" s="222"/>
      <c r="M69" s="215"/>
      <c r="N69" s="216"/>
      <c r="O69" s="216"/>
      <c r="P69" s="222"/>
      <c r="Q69" s="215"/>
      <c r="R69" s="216"/>
      <c r="S69" s="216"/>
      <c r="T69" s="222"/>
      <c r="U69" s="287"/>
      <c r="V69" s="288"/>
      <c r="W69" s="289"/>
      <c r="X69" s="287"/>
      <c r="Y69" s="288"/>
      <c r="Z69" s="289"/>
      <c r="AA69" s="295"/>
      <c r="AB69" s="296"/>
      <c r="AC69" s="296"/>
      <c r="AD69" s="296"/>
      <c r="AE69" s="219"/>
      <c r="AF69" s="219"/>
      <c r="AG69" s="219"/>
      <c r="AH69" s="219"/>
      <c r="AI69" s="282"/>
      <c r="AJ69" s="283"/>
      <c r="AK69" s="283"/>
      <c r="AL69" s="283"/>
      <c r="AM69" s="219"/>
      <c r="AN69" s="219"/>
      <c r="AO69" s="219"/>
      <c r="AP69" s="219"/>
      <c r="AQ69" s="219"/>
      <c r="AR69" s="219"/>
      <c r="AS69" s="219"/>
      <c r="AT69" s="219"/>
      <c r="AU69" s="219"/>
      <c r="AV69" s="219"/>
      <c r="AW69" s="219"/>
      <c r="AX69" s="219"/>
      <c r="AY69" s="219"/>
      <c r="AZ69" s="219"/>
      <c r="BA69" s="219"/>
    </row>
    <row r="70" spans="2:82" s="4" customFormat="1" ht="13.5" customHeight="1" x14ac:dyDescent="0.15">
      <c r="B70" s="215"/>
      <c r="C70" s="216"/>
      <c r="D70" s="216"/>
      <c r="E70" s="216"/>
      <c r="F70" s="216"/>
      <c r="G70" s="216"/>
      <c r="H70" s="216"/>
      <c r="I70" s="215"/>
      <c r="J70" s="216"/>
      <c r="K70" s="216"/>
      <c r="L70" s="222"/>
      <c r="M70" s="215"/>
      <c r="N70" s="216"/>
      <c r="O70" s="216"/>
      <c r="P70" s="222"/>
      <c r="Q70" s="215"/>
      <c r="R70" s="216"/>
      <c r="S70" s="216"/>
      <c r="T70" s="222"/>
      <c r="U70" s="287"/>
      <c r="V70" s="288"/>
      <c r="W70" s="289"/>
      <c r="X70" s="287"/>
      <c r="Y70" s="288"/>
      <c r="Z70" s="289"/>
      <c r="AA70" s="295"/>
      <c r="AB70" s="296"/>
      <c r="AC70" s="296"/>
      <c r="AD70" s="296"/>
      <c r="AE70" s="219"/>
      <c r="AF70" s="219"/>
      <c r="AG70" s="219"/>
      <c r="AH70" s="219"/>
      <c r="AI70" s="282"/>
      <c r="AJ70" s="283"/>
      <c r="AK70" s="283"/>
      <c r="AL70" s="283"/>
      <c r="AM70" s="219"/>
      <c r="AN70" s="219"/>
      <c r="AO70" s="219"/>
      <c r="AP70" s="219"/>
      <c r="AQ70" s="219"/>
      <c r="AR70" s="219"/>
      <c r="AS70" s="219"/>
      <c r="AT70" s="219"/>
      <c r="AU70" s="219"/>
      <c r="AV70" s="219"/>
      <c r="AW70" s="219"/>
      <c r="AX70" s="219"/>
      <c r="AY70" s="219"/>
      <c r="AZ70" s="219"/>
      <c r="BA70" s="219"/>
    </row>
    <row r="71" spans="2:82" s="4" customFormat="1" ht="13.5" customHeight="1" x14ac:dyDescent="0.15">
      <c r="B71" s="217"/>
      <c r="C71" s="218"/>
      <c r="D71" s="218"/>
      <c r="E71" s="218"/>
      <c r="F71" s="218"/>
      <c r="G71" s="218"/>
      <c r="H71" s="218"/>
      <c r="I71" s="217"/>
      <c r="J71" s="218"/>
      <c r="K71" s="218"/>
      <c r="L71" s="223"/>
      <c r="M71" s="217"/>
      <c r="N71" s="218"/>
      <c r="O71" s="218"/>
      <c r="P71" s="223"/>
      <c r="Q71" s="217"/>
      <c r="R71" s="218"/>
      <c r="S71" s="218"/>
      <c r="T71" s="223"/>
      <c r="U71" s="290"/>
      <c r="V71" s="291"/>
      <c r="W71" s="292"/>
      <c r="X71" s="290"/>
      <c r="Y71" s="291"/>
      <c r="Z71" s="292"/>
      <c r="AA71" s="297"/>
      <c r="AB71" s="298"/>
      <c r="AC71" s="298"/>
      <c r="AD71" s="298"/>
      <c r="AE71" s="219"/>
      <c r="AF71" s="219"/>
      <c r="AG71" s="219"/>
      <c r="AH71" s="219"/>
      <c r="AI71" s="260"/>
      <c r="AJ71" s="261"/>
      <c r="AK71" s="261"/>
      <c r="AL71" s="261"/>
      <c r="AM71" s="219"/>
      <c r="AN71" s="219"/>
      <c r="AO71" s="219"/>
      <c r="AP71" s="219"/>
      <c r="AQ71" s="219"/>
      <c r="AR71" s="219"/>
      <c r="AS71" s="219"/>
      <c r="AT71" s="219"/>
      <c r="AU71" s="219"/>
      <c r="AV71" s="219"/>
      <c r="AW71" s="219"/>
      <c r="AX71" s="219"/>
      <c r="AY71" s="219"/>
      <c r="AZ71" s="219"/>
      <c r="BA71" s="219"/>
    </row>
    <row r="72" spans="2:82" s="4" customFormat="1" ht="18" customHeight="1" x14ac:dyDescent="0.15">
      <c r="B72" s="232" t="s">
        <v>34</v>
      </c>
      <c r="C72" s="230"/>
      <c r="D72" s="230"/>
      <c r="E72" s="230"/>
      <c r="F72" s="230"/>
      <c r="G72" s="230"/>
      <c r="H72" s="230"/>
      <c r="I72" s="232">
        <f>SUM(I74:L79)</f>
        <v>59329000</v>
      </c>
      <c r="J72" s="230"/>
      <c r="K72" s="230"/>
      <c r="L72" s="234"/>
      <c r="M72" s="263">
        <f>SUM(M74:P79)</f>
        <v>-15873000</v>
      </c>
      <c r="N72" s="264"/>
      <c r="O72" s="264"/>
      <c r="P72" s="265"/>
      <c r="Q72" s="263">
        <f>SUM(Q74:T79)</f>
        <v>43456000</v>
      </c>
      <c r="R72" s="264"/>
      <c r="S72" s="264"/>
      <c r="T72" s="265"/>
      <c r="U72" s="232">
        <f>SUM(U74:W79)</f>
        <v>0</v>
      </c>
      <c r="V72" s="230"/>
      <c r="W72" s="234"/>
      <c r="X72" s="232">
        <f>SUM(X74:Z79)</f>
        <v>0</v>
      </c>
      <c r="Y72" s="230"/>
      <c r="Z72" s="234"/>
      <c r="AA72" s="232">
        <f>SUM(AA74:AD79)</f>
        <v>43456000</v>
      </c>
      <c r="AB72" s="230"/>
      <c r="AC72" s="230"/>
      <c r="AD72" s="230"/>
      <c r="AE72" s="236">
        <f>SUM(AE74:AH79)</f>
        <v>43567050</v>
      </c>
      <c r="AF72" s="236"/>
      <c r="AG72" s="236"/>
      <c r="AH72" s="236"/>
      <c r="AI72" s="236">
        <f>SUM(AI74:AL79)</f>
        <v>111050</v>
      </c>
      <c r="AJ72" s="236"/>
      <c r="AK72" s="236"/>
      <c r="AL72" s="236"/>
      <c r="AM72" s="248"/>
      <c r="AN72" s="248"/>
      <c r="AO72" s="248"/>
      <c r="AP72" s="248"/>
      <c r="AQ72" s="248"/>
      <c r="AR72" s="248"/>
      <c r="AS72" s="248"/>
      <c r="AT72" s="248"/>
      <c r="AU72" s="248"/>
      <c r="AV72" s="248"/>
      <c r="AW72" s="248"/>
      <c r="AX72" s="248"/>
      <c r="AY72" s="248"/>
      <c r="AZ72" s="248"/>
      <c r="BA72" s="248"/>
    </row>
    <row r="73" spans="2:82" s="4" customFormat="1" ht="18" customHeight="1" x14ac:dyDescent="0.15">
      <c r="B73" s="233"/>
      <c r="C73" s="231"/>
      <c r="D73" s="231"/>
      <c r="E73" s="231"/>
      <c r="F73" s="231"/>
      <c r="G73" s="231"/>
      <c r="H73" s="231"/>
      <c r="I73" s="233"/>
      <c r="J73" s="231"/>
      <c r="K73" s="231"/>
      <c r="L73" s="235"/>
      <c r="M73" s="266"/>
      <c r="N73" s="267"/>
      <c r="O73" s="267"/>
      <c r="P73" s="268"/>
      <c r="Q73" s="266"/>
      <c r="R73" s="267"/>
      <c r="S73" s="267"/>
      <c r="T73" s="268"/>
      <c r="U73" s="233"/>
      <c r="V73" s="231"/>
      <c r="W73" s="235"/>
      <c r="X73" s="233"/>
      <c r="Y73" s="231"/>
      <c r="Z73" s="235"/>
      <c r="AA73" s="233"/>
      <c r="AB73" s="231"/>
      <c r="AC73" s="231"/>
      <c r="AD73" s="231"/>
      <c r="AE73" s="236"/>
      <c r="AF73" s="236"/>
      <c r="AG73" s="236"/>
      <c r="AH73" s="236"/>
      <c r="AI73" s="236"/>
      <c r="AJ73" s="236"/>
      <c r="AK73" s="236"/>
      <c r="AL73" s="236"/>
      <c r="AM73" s="248"/>
      <c r="AN73" s="248"/>
      <c r="AO73" s="248"/>
      <c r="AP73" s="248"/>
      <c r="AQ73" s="248"/>
      <c r="AR73" s="248"/>
      <c r="AS73" s="248"/>
      <c r="AT73" s="248"/>
      <c r="AU73" s="248"/>
      <c r="AV73" s="248"/>
      <c r="AW73" s="248"/>
      <c r="AX73" s="248"/>
      <c r="AY73" s="248"/>
      <c r="AZ73" s="248"/>
      <c r="BA73" s="248"/>
    </row>
    <row r="74" spans="2:82" s="4" customFormat="1" ht="18" customHeight="1" x14ac:dyDescent="0.15">
      <c r="B74" s="232" t="s">
        <v>35</v>
      </c>
      <c r="C74" s="230"/>
      <c r="D74" s="230"/>
      <c r="E74" s="230"/>
      <c r="F74" s="230"/>
      <c r="G74" s="230"/>
      <c r="H74" s="230"/>
      <c r="I74" s="232">
        <v>23929000</v>
      </c>
      <c r="J74" s="230"/>
      <c r="K74" s="230"/>
      <c r="L74" s="234"/>
      <c r="M74" s="232">
        <v>-10173000</v>
      </c>
      <c r="N74" s="230"/>
      <c r="O74" s="230"/>
      <c r="P74" s="234"/>
      <c r="Q74" s="263">
        <f>SUM(I74:P75)</f>
        <v>13756000</v>
      </c>
      <c r="R74" s="264"/>
      <c r="S74" s="264"/>
      <c r="T74" s="265"/>
      <c r="U74" s="232">
        <f>SUM(X80:Z81)</f>
        <v>0</v>
      </c>
      <c r="V74" s="230"/>
      <c r="W74" s="234"/>
      <c r="X74" s="232">
        <v>0</v>
      </c>
      <c r="Y74" s="230"/>
      <c r="Z74" s="234"/>
      <c r="AA74" s="232">
        <f>SUM(Q74:Z75)</f>
        <v>13756000</v>
      </c>
      <c r="AB74" s="230"/>
      <c r="AC74" s="230"/>
      <c r="AD74" s="230"/>
      <c r="AE74" s="236">
        <v>13867050</v>
      </c>
      <c r="AF74" s="236"/>
      <c r="AG74" s="236"/>
      <c r="AH74" s="236"/>
      <c r="AI74" s="232">
        <f>AE74-AA74</f>
        <v>111050</v>
      </c>
      <c r="AJ74" s="230"/>
      <c r="AK74" s="230"/>
      <c r="AL74" s="230"/>
      <c r="AM74" s="299" t="s">
        <v>61</v>
      </c>
      <c r="AN74" s="299"/>
      <c r="AO74" s="299"/>
      <c r="AP74" s="299"/>
      <c r="AQ74" s="299"/>
      <c r="AR74" s="299"/>
      <c r="AS74" s="299"/>
      <c r="AT74" s="299"/>
      <c r="AU74" s="299"/>
      <c r="AV74" s="299"/>
      <c r="AW74" s="299"/>
      <c r="AX74" s="299"/>
      <c r="AY74" s="299"/>
      <c r="AZ74" s="299"/>
      <c r="BA74" s="299"/>
    </row>
    <row r="75" spans="2:82" s="4" customFormat="1" ht="18" customHeight="1" x14ac:dyDescent="0.15">
      <c r="B75" s="233"/>
      <c r="C75" s="231"/>
      <c r="D75" s="231"/>
      <c r="E75" s="231"/>
      <c r="F75" s="231"/>
      <c r="G75" s="231"/>
      <c r="H75" s="231"/>
      <c r="I75" s="233"/>
      <c r="J75" s="231"/>
      <c r="K75" s="231"/>
      <c r="L75" s="235"/>
      <c r="M75" s="233"/>
      <c r="N75" s="231"/>
      <c r="O75" s="231"/>
      <c r="P75" s="235"/>
      <c r="Q75" s="266"/>
      <c r="R75" s="267"/>
      <c r="S75" s="267"/>
      <c r="T75" s="268"/>
      <c r="U75" s="233"/>
      <c r="V75" s="231"/>
      <c r="W75" s="235"/>
      <c r="X75" s="233"/>
      <c r="Y75" s="231"/>
      <c r="Z75" s="235"/>
      <c r="AA75" s="233"/>
      <c r="AB75" s="231"/>
      <c r="AC75" s="231"/>
      <c r="AD75" s="231"/>
      <c r="AE75" s="236"/>
      <c r="AF75" s="236"/>
      <c r="AG75" s="236"/>
      <c r="AH75" s="236"/>
      <c r="AI75" s="233"/>
      <c r="AJ75" s="231"/>
      <c r="AK75" s="231"/>
      <c r="AL75" s="231"/>
      <c r="AM75" s="299"/>
      <c r="AN75" s="299"/>
      <c r="AO75" s="299"/>
      <c r="AP75" s="299"/>
      <c r="AQ75" s="299"/>
      <c r="AR75" s="299"/>
      <c r="AS75" s="299"/>
      <c r="AT75" s="299"/>
      <c r="AU75" s="299"/>
      <c r="AV75" s="299"/>
      <c r="AW75" s="299"/>
      <c r="AX75" s="299"/>
      <c r="AY75" s="299"/>
      <c r="AZ75" s="299"/>
      <c r="BA75" s="299"/>
    </row>
    <row r="76" spans="2:82" s="4" customFormat="1" ht="18" customHeight="1" x14ac:dyDescent="0.15">
      <c r="B76" s="232" t="s">
        <v>51</v>
      </c>
      <c r="C76" s="230"/>
      <c r="D76" s="230"/>
      <c r="E76" s="230"/>
      <c r="F76" s="230"/>
      <c r="G76" s="230"/>
      <c r="H76" s="234"/>
      <c r="I76" s="232">
        <v>18900000</v>
      </c>
      <c r="J76" s="230"/>
      <c r="K76" s="230"/>
      <c r="L76" s="234"/>
      <c r="M76" s="263">
        <v>-2900000</v>
      </c>
      <c r="N76" s="264"/>
      <c r="O76" s="264"/>
      <c r="P76" s="265"/>
      <c r="Q76" s="263">
        <f>SUM(I76:P77)</f>
        <v>16000000</v>
      </c>
      <c r="R76" s="264"/>
      <c r="S76" s="264"/>
      <c r="T76" s="265"/>
      <c r="U76" s="232">
        <v>0</v>
      </c>
      <c r="V76" s="230"/>
      <c r="W76" s="234"/>
      <c r="X76" s="232">
        <v>0</v>
      </c>
      <c r="Y76" s="230"/>
      <c r="Z76" s="234"/>
      <c r="AA76" s="232">
        <f>SUM(Q76:Z77)</f>
        <v>16000000</v>
      </c>
      <c r="AB76" s="230"/>
      <c r="AC76" s="230"/>
      <c r="AD76" s="230"/>
      <c r="AE76" s="236">
        <v>16000000</v>
      </c>
      <c r="AF76" s="236"/>
      <c r="AG76" s="236"/>
      <c r="AH76" s="236"/>
      <c r="AI76" s="232">
        <f>AE76-AA76</f>
        <v>0</v>
      </c>
      <c r="AJ76" s="230"/>
      <c r="AK76" s="230"/>
      <c r="AL76" s="230"/>
      <c r="AM76" s="219"/>
      <c r="AN76" s="219"/>
      <c r="AO76" s="219"/>
      <c r="AP76" s="219"/>
      <c r="AQ76" s="219"/>
      <c r="AR76" s="219"/>
      <c r="AS76" s="219"/>
      <c r="AT76" s="219"/>
      <c r="AU76" s="219"/>
      <c r="AV76" s="219"/>
      <c r="AW76" s="219"/>
      <c r="AX76" s="219"/>
      <c r="AY76" s="219"/>
      <c r="AZ76" s="219"/>
      <c r="BA76" s="219"/>
    </row>
    <row r="77" spans="2:82" s="4" customFormat="1" ht="18" customHeight="1" x14ac:dyDescent="0.15">
      <c r="B77" s="233"/>
      <c r="C77" s="231"/>
      <c r="D77" s="231"/>
      <c r="E77" s="231"/>
      <c r="F77" s="231"/>
      <c r="G77" s="231"/>
      <c r="H77" s="235"/>
      <c r="I77" s="233"/>
      <c r="J77" s="231"/>
      <c r="K77" s="231"/>
      <c r="L77" s="235"/>
      <c r="M77" s="266"/>
      <c r="N77" s="267"/>
      <c r="O77" s="267"/>
      <c r="P77" s="268"/>
      <c r="Q77" s="266"/>
      <c r="R77" s="267"/>
      <c r="S77" s="267"/>
      <c r="T77" s="268"/>
      <c r="U77" s="233"/>
      <c r="V77" s="231"/>
      <c r="W77" s="235"/>
      <c r="X77" s="233"/>
      <c r="Y77" s="231"/>
      <c r="Z77" s="235"/>
      <c r="AA77" s="233"/>
      <c r="AB77" s="231"/>
      <c r="AC77" s="231"/>
      <c r="AD77" s="231"/>
      <c r="AE77" s="236"/>
      <c r="AF77" s="236"/>
      <c r="AG77" s="236"/>
      <c r="AH77" s="236"/>
      <c r="AI77" s="233"/>
      <c r="AJ77" s="231"/>
      <c r="AK77" s="231"/>
      <c r="AL77" s="231"/>
      <c r="AM77" s="219"/>
      <c r="AN77" s="219"/>
      <c r="AO77" s="219"/>
      <c r="AP77" s="219"/>
      <c r="AQ77" s="219"/>
      <c r="AR77" s="219"/>
      <c r="AS77" s="219"/>
      <c r="AT77" s="219"/>
      <c r="AU77" s="219"/>
      <c r="AV77" s="219"/>
      <c r="AW77" s="219"/>
      <c r="AX77" s="219"/>
      <c r="AY77" s="219"/>
      <c r="AZ77" s="219"/>
      <c r="BA77" s="219"/>
    </row>
    <row r="78" spans="2:82" s="4" customFormat="1" ht="18" customHeight="1" x14ac:dyDescent="0.15">
      <c r="B78" s="232" t="s">
        <v>52</v>
      </c>
      <c r="C78" s="230"/>
      <c r="D78" s="230"/>
      <c r="E78" s="230"/>
      <c r="F78" s="230"/>
      <c r="G78" s="230"/>
      <c r="H78" s="230"/>
      <c r="I78" s="232">
        <v>16500000</v>
      </c>
      <c r="J78" s="230"/>
      <c r="K78" s="230"/>
      <c r="L78" s="234"/>
      <c r="M78" s="232">
        <v>-2800000</v>
      </c>
      <c r="N78" s="230"/>
      <c r="O78" s="230"/>
      <c r="P78" s="234"/>
      <c r="Q78" s="263">
        <f>SUM(I78:P79)</f>
        <v>13700000</v>
      </c>
      <c r="R78" s="264"/>
      <c r="S78" s="264"/>
      <c r="T78" s="265"/>
      <c r="U78" s="232">
        <v>0</v>
      </c>
      <c r="V78" s="230"/>
      <c r="W78" s="234"/>
      <c r="X78" s="232">
        <v>0</v>
      </c>
      <c r="Y78" s="230"/>
      <c r="Z78" s="234"/>
      <c r="AA78" s="232">
        <f>SUM(Q78:Z79)</f>
        <v>13700000</v>
      </c>
      <c r="AB78" s="230"/>
      <c r="AC78" s="230"/>
      <c r="AD78" s="230"/>
      <c r="AE78" s="236">
        <v>13700000</v>
      </c>
      <c r="AF78" s="236"/>
      <c r="AG78" s="236"/>
      <c r="AH78" s="236"/>
      <c r="AI78" s="232">
        <f>AE78-AA78</f>
        <v>0</v>
      </c>
      <c r="AJ78" s="230"/>
      <c r="AK78" s="230"/>
      <c r="AL78" s="230"/>
      <c r="AM78" s="219"/>
      <c r="AN78" s="219"/>
      <c r="AO78" s="219"/>
      <c r="AP78" s="219"/>
      <c r="AQ78" s="219"/>
      <c r="AR78" s="219"/>
      <c r="AS78" s="219"/>
      <c r="AT78" s="219"/>
      <c r="AU78" s="219"/>
      <c r="AV78" s="219"/>
      <c r="AW78" s="219"/>
      <c r="AX78" s="219"/>
      <c r="AY78" s="219"/>
      <c r="AZ78" s="219"/>
      <c r="BA78" s="219"/>
    </row>
    <row r="79" spans="2:82" s="4" customFormat="1" ht="18" customHeight="1" x14ac:dyDescent="0.15">
      <c r="B79" s="233"/>
      <c r="C79" s="231"/>
      <c r="D79" s="231"/>
      <c r="E79" s="231"/>
      <c r="F79" s="231"/>
      <c r="G79" s="231"/>
      <c r="H79" s="231"/>
      <c r="I79" s="233"/>
      <c r="J79" s="231"/>
      <c r="K79" s="231"/>
      <c r="L79" s="235"/>
      <c r="M79" s="233"/>
      <c r="N79" s="231"/>
      <c r="O79" s="231"/>
      <c r="P79" s="235"/>
      <c r="Q79" s="266"/>
      <c r="R79" s="267"/>
      <c r="S79" s="267"/>
      <c r="T79" s="268"/>
      <c r="U79" s="233"/>
      <c r="V79" s="231"/>
      <c r="W79" s="235"/>
      <c r="X79" s="233"/>
      <c r="Y79" s="231"/>
      <c r="Z79" s="235"/>
      <c r="AA79" s="233"/>
      <c r="AB79" s="231"/>
      <c r="AC79" s="231"/>
      <c r="AD79" s="231"/>
      <c r="AE79" s="236"/>
      <c r="AF79" s="236"/>
      <c r="AG79" s="236"/>
      <c r="AH79" s="236"/>
      <c r="AI79" s="233"/>
      <c r="AJ79" s="231"/>
      <c r="AK79" s="231"/>
      <c r="AL79" s="231"/>
      <c r="AM79" s="219"/>
      <c r="AN79" s="219"/>
      <c r="AO79" s="219"/>
      <c r="AP79" s="219"/>
      <c r="AQ79" s="219"/>
      <c r="AR79" s="219"/>
      <c r="AS79" s="219"/>
      <c r="AT79" s="219"/>
      <c r="AU79" s="219"/>
      <c r="AV79" s="219"/>
      <c r="AW79" s="219"/>
      <c r="AX79" s="219"/>
      <c r="AY79" s="219"/>
      <c r="AZ79" s="219"/>
      <c r="BA79" s="219"/>
    </row>
    <row r="80" spans="2:82" s="4" customFormat="1" ht="13.5" customHeight="1" x14ac:dyDescent="0.15">
      <c r="B80" s="10"/>
      <c r="C80" s="10"/>
      <c r="D80" s="10"/>
      <c r="E80" s="10"/>
      <c r="F80" s="10"/>
      <c r="G80" s="10"/>
      <c r="H80" s="10"/>
      <c r="I80" s="10"/>
      <c r="J80" s="10"/>
      <c r="K80" s="10"/>
      <c r="L80" s="10"/>
      <c r="M80" s="10"/>
      <c r="N80" s="10"/>
      <c r="O80" s="10"/>
      <c r="P80" s="10"/>
      <c r="Q80" s="10"/>
      <c r="R80" s="10"/>
      <c r="S80" s="10"/>
      <c r="T80" s="10"/>
      <c r="U80" s="10"/>
      <c r="V80" s="10"/>
      <c r="W80" s="14"/>
      <c r="X80" s="14"/>
      <c r="Y80" s="14"/>
      <c r="Z80" s="14"/>
      <c r="AA80" s="14"/>
      <c r="AB80" s="14"/>
      <c r="AC80" s="14"/>
      <c r="AD80" s="14"/>
      <c r="AE80" s="14"/>
      <c r="AF80" s="14"/>
      <c r="AG80" s="14"/>
      <c r="AH80" s="14"/>
      <c r="AI80" s="10"/>
      <c r="AJ80" s="10"/>
      <c r="AK80" s="10"/>
      <c r="AL80" s="10"/>
      <c r="AM80" s="10"/>
      <c r="AN80" s="10"/>
      <c r="AO80" s="10"/>
      <c r="AP80" s="10"/>
      <c r="AQ80" s="10"/>
      <c r="AR80" s="10"/>
      <c r="AS80" s="15"/>
      <c r="AT80" s="15"/>
      <c r="AU80" s="15"/>
      <c r="AV80" s="15"/>
      <c r="AW80" s="15"/>
      <c r="AX80" s="15"/>
      <c r="AY80" s="15"/>
      <c r="AZ80" s="15"/>
      <c r="BA80" s="15"/>
    </row>
    <row r="81" spans="2:91" ht="13.5" customHeight="1" x14ac:dyDescent="0.15">
      <c r="B81" s="210" t="s">
        <v>13</v>
      </c>
      <c r="C81" s="210"/>
      <c r="D81" s="210"/>
      <c r="E81" s="210"/>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CM81" s="4"/>
    </row>
    <row r="82" spans="2:91" ht="13.5" customHeight="1" x14ac:dyDescent="0.15">
      <c r="B82" s="211"/>
      <c r="C82" s="211"/>
      <c r="D82" s="211"/>
      <c r="E82" s="211"/>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16"/>
      <c r="AU82" s="300" t="s">
        <v>47</v>
      </c>
      <c r="AV82" s="300"/>
      <c r="AW82" s="300"/>
      <c r="AX82" s="300"/>
      <c r="AY82" s="300"/>
      <c r="AZ82" s="300"/>
      <c r="BA82" s="300"/>
      <c r="CM82" s="4"/>
    </row>
    <row r="83" spans="2:91" s="4" customFormat="1" ht="13.5" customHeight="1" x14ac:dyDescent="0.15">
      <c r="B83" s="213" t="s">
        <v>2</v>
      </c>
      <c r="C83" s="214"/>
      <c r="D83" s="214"/>
      <c r="E83" s="214"/>
      <c r="F83" s="214"/>
      <c r="G83" s="214"/>
      <c r="H83" s="221"/>
      <c r="I83" s="213" t="s">
        <v>36</v>
      </c>
      <c r="J83" s="214"/>
      <c r="K83" s="214"/>
      <c r="L83" s="214"/>
      <c r="M83" s="214"/>
      <c r="N83" s="214"/>
      <c r="O83" s="214"/>
      <c r="P83" s="214"/>
      <c r="Q83" s="214"/>
      <c r="R83" s="214"/>
      <c r="S83" s="214"/>
      <c r="T83" s="214"/>
      <c r="U83" s="214"/>
      <c r="V83" s="214"/>
      <c r="W83" s="214"/>
      <c r="X83" s="214"/>
      <c r="Y83" s="214"/>
      <c r="Z83" s="214"/>
      <c r="AA83" s="214"/>
      <c r="AB83" s="214"/>
      <c r="AC83" s="214"/>
      <c r="AD83" s="214"/>
      <c r="AE83" s="214"/>
      <c r="AF83" s="213" t="s">
        <v>4</v>
      </c>
      <c r="AG83" s="214"/>
      <c r="AH83" s="214"/>
      <c r="AI83" s="221"/>
      <c r="AJ83" s="257" t="s">
        <v>37</v>
      </c>
      <c r="AK83" s="258"/>
      <c r="AL83" s="258"/>
      <c r="AM83" s="258"/>
      <c r="AN83" s="258"/>
      <c r="AO83" s="259"/>
      <c r="AP83" s="213" t="s">
        <v>17</v>
      </c>
      <c r="AQ83" s="214"/>
      <c r="AR83" s="221"/>
      <c r="AS83" s="213" t="s">
        <v>38</v>
      </c>
      <c r="AT83" s="214"/>
      <c r="AU83" s="214"/>
      <c r="AV83" s="214"/>
      <c r="AW83" s="214"/>
      <c r="AX83" s="214"/>
      <c r="AY83" s="214"/>
      <c r="AZ83" s="214"/>
      <c r="BA83" s="221"/>
    </row>
    <row r="84" spans="2:91" s="4" customFormat="1" ht="13.5" customHeight="1" x14ac:dyDescent="0.15">
      <c r="B84" s="215"/>
      <c r="C84" s="216"/>
      <c r="D84" s="216"/>
      <c r="E84" s="216"/>
      <c r="F84" s="216"/>
      <c r="G84" s="216"/>
      <c r="H84" s="222"/>
      <c r="I84" s="217"/>
      <c r="J84" s="218"/>
      <c r="K84" s="218"/>
      <c r="L84" s="218"/>
      <c r="M84" s="218"/>
      <c r="N84" s="218"/>
      <c r="O84" s="218"/>
      <c r="P84" s="218"/>
      <c r="Q84" s="218"/>
      <c r="R84" s="218"/>
      <c r="S84" s="218"/>
      <c r="T84" s="218"/>
      <c r="U84" s="218"/>
      <c r="V84" s="218"/>
      <c r="W84" s="218"/>
      <c r="X84" s="218"/>
      <c r="Y84" s="218"/>
      <c r="Z84" s="218"/>
      <c r="AA84" s="218"/>
      <c r="AB84" s="218"/>
      <c r="AC84" s="218"/>
      <c r="AD84" s="218"/>
      <c r="AE84" s="218"/>
      <c r="AF84" s="215"/>
      <c r="AG84" s="216"/>
      <c r="AH84" s="216"/>
      <c r="AI84" s="222"/>
      <c r="AJ84" s="260"/>
      <c r="AK84" s="261"/>
      <c r="AL84" s="261"/>
      <c r="AM84" s="261"/>
      <c r="AN84" s="261"/>
      <c r="AO84" s="262"/>
      <c r="AP84" s="215"/>
      <c r="AQ84" s="216"/>
      <c r="AR84" s="222"/>
      <c r="AS84" s="215"/>
      <c r="AT84" s="216"/>
      <c r="AU84" s="216"/>
      <c r="AV84" s="216"/>
      <c r="AW84" s="216"/>
      <c r="AX84" s="216"/>
      <c r="AY84" s="216"/>
      <c r="AZ84" s="216"/>
      <c r="BA84" s="222"/>
    </row>
    <row r="85" spans="2:91" s="4" customFormat="1" ht="13.5" customHeight="1" x14ac:dyDescent="0.15">
      <c r="B85" s="215"/>
      <c r="C85" s="216"/>
      <c r="D85" s="216"/>
      <c r="E85" s="216"/>
      <c r="F85" s="216"/>
      <c r="G85" s="216"/>
      <c r="H85" s="222"/>
      <c r="I85" s="213" t="s">
        <v>19</v>
      </c>
      <c r="J85" s="214"/>
      <c r="K85" s="214"/>
      <c r="L85" s="221"/>
      <c r="M85" s="213" t="s">
        <v>20</v>
      </c>
      <c r="N85" s="214"/>
      <c r="O85" s="214"/>
      <c r="P85" s="221"/>
      <c r="Q85" s="257" t="s">
        <v>39</v>
      </c>
      <c r="R85" s="258"/>
      <c r="S85" s="219" t="s">
        <v>24</v>
      </c>
      <c r="T85" s="219"/>
      <c r="U85" s="219"/>
      <c r="V85" s="219"/>
      <c r="W85" s="224" t="s">
        <v>40</v>
      </c>
      <c r="X85" s="225"/>
      <c r="Y85" s="301"/>
      <c r="Z85" s="247" t="s">
        <v>41</v>
      </c>
      <c r="AA85" s="304"/>
      <c r="AB85" s="219" t="s">
        <v>25</v>
      </c>
      <c r="AC85" s="219"/>
      <c r="AD85" s="219"/>
      <c r="AE85" s="305"/>
      <c r="AF85" s="215"/>
      <c r="AG85" s="216"/>
      <c r="AH85" s="216"/>
      <c r="AI85" s="222"/>
      <c r="AJ85" s="226" t="s">
        <v>42</v>
      </c>
      <c r="AK85" s="302"/>
      <c r="AL85" s="306" t="s">
        <v>50</v>
      </c>
      <c r="AM85" s="307"/>
      <c r="AN85" s="310" t="s">
        <v>43</v>
      </c>
      <c r="AO85" s="311"/>
      <c r="AP85" s="215"/>
      <c r="AQ85" s="216"/>
      <c r="AR85" s="222"/>
      <c r="AS85" s="215"/>
      <c r="AT85" s="216"/>
      <c r="AU85" s="216"/>
      <c r="AV85" s="216"/>
      <c r="AW85" s="216"/>
      <c r="AX85" s="216"/>
      <c r="AY85" s="216"/>
      <c r="AZ85" s="216"/>
      <c r="BA85" s="222"/>
    </row>
    <row r="86" spans="2:91" s="4" customFormat="1" ht="13.5" customHeight="1" x14ac:dyDescent="0.15">
      <c r="B86" s="215"/>
      <c r="C86" s="216"/>
      <c r="D86" s="216"/>
      <c r="E86" s="216"/>
      <c r="F86" s="216"/>
      <c r="G86" s="216"/>
      <c r="H86" s="222"/>
      <c r="I86" s="215"/>
      <c r="J86" s="216"/>
      <c r="K86" s="216"/>
      <c r="L86" s="222"/>
      <c r="M86" s="215"/>
      <c r="N86" s="216"/>
      <c r="O86" s="216"/>
      <c r="P86" s="222"/>
      <c r="Q86" s="282"/>
      <c r="R86" s="283"/>
      <c r="S86" s="219"/>
      <c r="T86" s="219"/>
      <c r="U86" s="219"/>
      <c r="V86" s="219"/>
      <c r="W86" s="226"/>
      <c r="X86" s="227"/>
      <c r="Y86" s="302"/>
      <c r="Z86" s="247"/>
      <c r="AA86" s="304"/>
      <c r="AB86" s="219"/>
      <c r="AC86" s="219"/>
      <c r="AD86" s="219"/>
      <c r="AE86" s="305"/>
      <c r="AF86" s="215"/>
      <c r="AG86" s="216"/>
      <c r="AH86" s="216"/>
      <c r="AI86" s="222"/>
      <c r="AJ86" s="226"/>
      <c r="AK86" s="302"/>
      <c r="AL86" s="306"/>
      <c r="AM86" s="307"/>
      <c r="AN86" s="310"/>
      <c r="AO86" s="311"/>
      <c r="AP86" s="215"/>
      <c r="AQ86" s="216"/>
      <c r="AR86" s="222"/>
      <c r="AS86" s="215"/>
      <c r="AT86" s="216"/>
      <c r="AU86" s="216"/>
      <c r="AV86" s="216"/>
      <c r="AW86" s="216"/>
      <c r="AX86" s="216"/>
      <c r="AY86" s="216"/>
      <c r="AZ86" s="216"/>
      <c r="BA86" s="222"/>
    </row>
    <row r="87" spans="2:91" s="4" customFormat="1" ht="13.5" customHeight="1" x14ac:dyDescent="0.15">
      <c r="B87" s="215"/>
      <c r="C87" s="216"/>
      <c r="D87" s="216"/>
      <c r="E87" s="216"/>
      <c r="F87" s="216"/>
      <c r="G87" s="216"/>
      <c r="H87" s="222"/>
      <c r="I87" s="215"/>
      <c r="J87" s="216"/>
      <c r="K87" s="216"/>
      <c r="L87" s="222"/>
      <c r="M87" s="215"/>
      <c r="N87" s="216"/>
      <c r="O87" s="216"/>
      <c r="P87" s="222"/>
      <c r="Q87" s="282"/>
      <c r="R87" s="283"/>
      <c r="S87" s="219"/>
      <c r="T87" s="219"/>
      <c r="U87" s="219"/>
      <c r="V87" s="219"/>
      <c r="W87" s="226"/>
      <c r="X87" s="227"/>
      <c r="Y87" s="302"/>
      <c r="Z87" s="247"/>
      <c r="AA87" s="304"/>
      <c r="AB87" s="219"/>
      <c r="AC87" s="219"/>
      <c r="AD87" s="219"/>
      <c r="AE87" s="305"/>
      <c r="AF87" s="215"/>
      <c r="AG87" s="216"/>
      <c r="AH87" s="216"/>
      <c r="AI87" s="222"/>
      <c r="AJ87" s="226"/>
      <c r="AK87" s="302"/>
      <c r="AL87" s="306"/>
      <c r="AM87" s="307"/>
      <c r="AN87" s="310"/>
      <c r="AO87" s="311"/>
      <c r="AP87" s="215"/>
      <c r="AQ87" s="216"/>
      <c r="AR87" s="222"/>
      <c r="AS87" s="215"/>
      <c r="AT87" s="216"/>
      <c r="AU87" s="216"/>
      <c r="AV87" s="216"/>
      <c r="AW87" s="216"/>
      <c r="AX87" s="216"/>
      <c r="AY87" s="216"/>
      <c r="AZ87" s="216"/>
      <c r="BA87" s="222"/>
    </row>
    <row r="88" spans="2:91" s="4" customFormat="1" ht="13.5" customHeight="1" x14ac:dyDescent="0.15">
      <c r="B88" s="217"/>
      <c r="C88" s="218"/>
      <c r="D88" s="218"/>
      <c r="E88" s="218"/>
      <c r="F88" s="218"/>
      <c r="G88" s="218"/>
      <c r="H88" s="223"/>
      <c r="I88" s="217"/>
      <c r="J88" s="218"/>
      <c r="K88" s="218"/>
      <c r="L88" s="223"/>
      <c r="M88" s="217"/>
      <c r="N88" s="218"/>
      <c r="O88" s="218"/>
      <c r="P88" s="223"/>
      <c r="Q88" s="260"/>
      <c r="R88" s="261"/>
      <c r="S88" s="219"/>
      <c r="T88" s="219"/>
      <c r="U88" s="219"/>
      <c r="V88" s="219"/>
      <c r="W88" s="228"/>
      <c r="X88" s="229"/>
      <c r="Y88" s="303"/>
      <c r="Z88" s="247"/>
      <c r="AA88" s="304"/>
      <c r="AB88" s="219"/>
      <c r="AC88" s="219"/>
      <c r="AD88" s="219"/>
      <c r="AE88" s="305"/>
      <c r="AF88" s="217"/>
      <c r="AG88" s="218"/>
      <c r="AH88" s="218"/>
      <c r="AI88" s="223"/>
      <c r="AJ88" s="228"/>
      <c r="AK88" s="303"/>
      <c r="AL88" s="308"/>
      <c r="AM88" s="309"/>
      <c r="AN88" s="312"/>
      <c r="AO88" s="313"/>
      <c r="AP88" s="217"/>
      <c r="AQ88" s="218"/>
      <c r="AR88" s="223"/>
      <c r="AS88" s="217"/>
      <c r="AT88" s="218"/>
      <c r="AU88" s="218"/>
      <c r="AV88" s="218"/>
      <c r="AW88" s="218"/>
      <c r="AX88" s="218"/>
      <c r="AY88" s="218"/>
      <c r="AZ88" s="218"/>
      <c r="BA88" s="223"/>
    </row>
    <row r="89" spans="2:91" s="4" customFormat="1" ht="18" customHeight="1" x14ac:dyDescent="0.15">
      <c r="B89" s="232" t="s">
        <v>44</v>
      </c>
      <c r="C89" s="230"/>
      <c r="D89" s="230"/>
      <c r="E89" s="230"/>
      <c r="F89" s="230"/>
      <c r="G89" s="230"/>
      <c r="H89" s="234"/>
      <c r="I89" s="314">
        <f>SUM(I91:L94)</f>
        <v>123334000</v>
      </c>
      <c r="J89" s="315"/>
      <c r="K89" s="315"/>
      <c r="L89" s="319"/>
      <c r="M89" s="314">
        <f>SUM(M91:P94)</f>
        <v>-16383000</v>
      </c>
      <c r="N89" s="315"/>
      <c r="O89" s="315"/>
      <c r="P89" s="319"/>
      <c r="Q89" s="314">
        <f>SUM(Q91:R94)</f>
        <v>0</v>
      </c>
      <c r="R89" s="315"/>
      <c r="S89" s="318">
        <f>SUM(S91:V94)</f>
        <v>106951000</v>
      </c>
      <c r="T89" s="318"/>
      <c r="U89" s="318"/>
      <c r="V89" s="318"/>
      <c r="W89" s="314">
        <f>SUM(W91:Y94)</f>
        <v>0</v>
      </c>
      <c r="X89" s="315"/>
      <c r="Y89" s="319"/>
      <c r="Z89" s="314">
        <f>SUM(Z91:AA94)</f>
        <v>0</v>
      </c>
      <c r="AA89" s="315"/>
      <c r="AB89" s="318">
        <f>SUM(AB91:AE94)</f>
        <v>106951000</v>
      </c>
      <c r="AC89" s="318"/>
      <c r="AD89" s="318"/>
      <c r="AE89" s="318"/>
      <c r="AF89" s="314">
        <f>SUM(AF91:AI94)</f>
        <v>97233244</v>
      </c>
      <c r="AG89" s="315"/>
      <c r="AH89" s="315"/>
      <c r="AI89" s="315"/>
      <c r="AJ89" s="314">
        <f>SUM(AJ91:AK94)</f>
        <v>7897000</v>
      </c>
      <c r="AK89" s="319"/>
      <c r="AL89" s="263">
        <f>SUM(AL91:AM94)</f>
        <v>0</v>
      </c>
      <c r="AM89" s="265"/>
      <c r="AN89" s="318">
        <f>SUM(AN91:AO94)</f>
        <v>7897000</v>
      </c>
      <c r="AO89" s="318"/>
      <c r="AP89" s="314">
        <f>SUM(AP91:AR94)</f>
        <v>1820756</v>
      </c>
      <c r="AQ89" s="315"/>
      <c r="AR89" s="315"/>
      <c r="AS89" s="275"/>
      <c r="AT89" s="276"/>
      <c r="AU89" s="276"/>
      <c r="AV89" s="276"/>
      <c r="AW89" s="276"/>
      <c r="AX89" s="276"/>
      <c r="AY89" s="276"/>
      <c r="AZ89" s="276"/>
      <c r="BA89" s="277"/>
    </row>
    <row r="90" spans="2:91" s="4" customFormat="1" ht="18" customHeight="1" x14ac:dyDescent="0.15">
      <c r="B90" s="233"/>
      <c r="C90" s="231"/>
      <c r="D90" s="231"/>
      <c r="E90" s="231"/>
      <c r="F90" s="231"/>
      <c r="G90" s="231"/>
      <c r="H90" s="235"/>
      <c r="I90" s="316"/>
      <c r="J90" s="317"/>
      <c r="K90" s="317"/>
      <c r="L90" s="320"/>
      <c r="M90" s="316"/>
      <c r="N90" s="317"/>
      <c r="O90" s="317"/>
      <c r="P90" s="320"/>
      <c r="Q90" s="316"/>
      <c r="R90" s="317"/>
      <c r="S90" s="318"/>
      <c r="T90" s="318"/>
      <c r="U90" s="318"/>
      <c r="V90" s="318"/>
      <c r="W90" s="316"/>
      <c r="X90" s="317"/>
      <c r="Y90" s="320"/>
      <c r="Z90" s="316"/>
      <c r="AA90" s="317"/>
      <c r="AB90" s="318"/>
      <c r="AC90" s="318"/>
      <c r="AD90" s="318"/>
      <c r="AE90" s="318"/>
      <c r="AF90" s="316"/>
      <c r="AG90" s="317"/>
      <c r="AH90" s="317"/>
      <c r="AI90" s="317"/>
      <c r="AJ90" s="316"/>
      <c r="AK90" s="320"/>
      <c r="AL90" s="266"/>
      <c r="AM90" s="268"/>
      <c r="AN90" s="318"/>
      <c r="AO90" s="318"/>
      <c r="AP90" s="316"/>
      <c r="AQ90" s="317"/>
      <c r="AR90" s="317"/>
      <c r="AS90" s="278"/>
      <c r="AT90" s="279"/>
      <c r="AU90" s="279"/>
      <c r="AV90" s="279"/>
      <c r="AW90" s="279"/>
      <c r="AX90" s="279"/>
      <c r="AY90" s="279"/>
      <c r="AZ90" s="279"/>
      <c r="BA90" s="280"/>
    </row>
    <row r="91" spans="2:91" s="4" customFormat="1" ht="18" customHeight="1" x14ac:dyDescent="0.15">
      <c r="B91" s="232" t="s">
        <v>45</v>
      </c>
      <c r="C91" s="230"/>
      <c r="D91" s="230"/>
      <c r="E91" s="230"/>
      <c r="F91" s="230"/>
      <c r="G91" s="230"/>
      <c r="H91" s="234"/>
      <c r="I91" s="263">
        <v>94971000</v>
      </c>
      <c r="J91" s="264"/>
      <c r="K91" s="264"/>
      <c r="L91" s="265"/>
      <c r="M91" s="263">
        <v>-16383000</v>
      </c>
      <c r="N91" s="264"/>
      <c r="O91" s="264"/>
      <c r="P91" s="265"/>
      <c r="Q91" s="314">
        <f>SUM(Q95:R96)</f>
        <v>0</v>
      </c>
      <c r="R91" s="315"/>
      <c r="S91" s="256">
        <f>SUM(I91:R92)</f>
        <v>78588000</v>
      </c>
      <c r="T91" s="256"/>
      <c r="U91" s="256"/>
      <c r="V91" s="256"/>
      <c r="W91" s="256">
        <v>0</v>
      </c>
      <c r="X91" s="256"/>
      <c r="Y91" s="256"/>
      <c r="Z91" s="263">
        <v>0</v>
      </c>
      <c r="AA91" s="264"/>
      <c r="AB91" s="256">
        <f>SUM(S91:AA92)</f>
        <v>78588000</v>
      </c>
      <c r="AC91" s="256"/>
      <c r="AD91" s="256"/>
      <c r="AE91" s="256"/>
      <c r="AF91" s="263">
        <v>68872099</v>
      </c>
      <c r="AG91" s="264"/>
      <c r="AH91" s="264"/>
      <c r="AI91" s="265"/>
      <c r="AJ91" s="256">
        <v>7897000</v>
      </c>
      <c r="AK91" s="256"/>
      <c r="AL91" s="263">
        <v>0</v>
      </c>
      <c r="AM91" s="265"/>
      <c r="AN91" s="318">
        <f>SUM(AJ91:AM92)</f>
        <v>7897000</v>
      </c>
      <c r="AO91" s="318"/>
      <c r="AP91" s="263">
        <f>AB91-AF91-AN91</f>
        <v>1818901</v>
      </c>
      <c r="AQ91" s="264"/>
      <c r="AR91" s="264"/>
      <c r="AS91" s="269" t="s">
        <v>62</v>
      </c>
      <c r="AT91" s="270"/>
      <c r="AU91" s="270"/>
      <c r="AV91" s="270"/>
      <c r="AW91" s="270"/>
      <c r="AX91" s="270"/>
      <c r="AY91" s="270"/>
      <c r="AZ91" s="270"/>
      <c r="BA91" s="271"/>
    </row>
    <row r="92" spans="2:91" s="4" customFormat="1" ht="18" customHeight="1" x14ac:dyDescent="0.15">
      <c r="B92" s="233"/>
      <c r="C92" s="231"/>
      <c r="D92" s="231"/>
      <c r="E92" s="231"/>
      <c r="F92" s="231"/>
      <c r="G92" s="231"/>
      <c r="H92" s="235"/>
      <c r="I92" s="266"/>
      <c r="J92" s="267"/>
      <c r="K92" s="267"/>
      <c r="L92" s="268"/>
      <c r="M92" s="266"/>
      <c r="N92" s="267"/>
      <c r="O92" s="267"/>
      <c r="P92" s="268"/>
      <c r="Q92" s="316"/>
      <c r="R92" s="317"/>
      <c r="S92" s="256"/>
      <c r="T92" s="256"/>
      <c r="U92" s="256"/>
      <c r="V92" s="256"/>
      <c r="W92" s="256"/>
      <c r="X92" s="256"/>
      <c r="Y92" s="256"/>
      <c r="Z92" s="266"/>
      <c r="AA92" s="267"/>
      <c r="AB92" s="256"/>
      <c r="AC92" s="256"/>
      <c r="AD92" s="256"/>
      <c r="AE92" s="256"/>
      <c r="AF92" s="266"/>
      <c r="AG92" s="267"/>
      <c r="AH92" s="267"/>
      <c r="AI92" s="268"/>
      <c r="AJ92" s="256"/>
      <c r="AK92" s="256"/>
      <c r="AL92" s="266"/>
      <c r="AM92" s="268"/>
      <c r="AN92" s="318"/>
      <c r="AO92" s="318"/>
      <c r="AP92" s="266"/>
      <c r="AQ92" s="267"/>
      <c r="AR92" s="267"/>
      <c r="AS92" s="321" t="s">
        <v>56</v>
      </c>
      <c r="AT92" s="322"/>
      <c r="AU92" s="322"/>
      <c r="AV92" s="322"/>
      <c r="AW92" s="322"/>
      <c r="AX92" s="322"/>
      <c r="AY92" s="322"/>
      <c r="AZ92" s="322"/>
      <c r="BA92" s="323"/>
    </row>
    <row r="93" spans="2:91" s="4" customFormat="1" ht="18" customHeight="1" x14ac:dyDescent="0.15">
      <c r="B93" s="241" t="s">
        <v>46</v>
      </c>
      <c r="C93" s="242"/>
      <c r="D93" s="242"/>
      <c r="E93" s="242"/>
      <c r="F93" s="242"/>
      <c r="G93" s="242"/>
      <c r="H93" s="243"/>
      <c r="I93" s="263">
        <v>28363000</v>
      </c>
      <c r="J93" s="264"/>
      <c r="K93" s="264"/>
      <c r="L93" s="265"/>
      <c r="M93" s="263">
        <v>0</v>
      </c>
      <c r="N93" s="264"/>
      <c r="O93" s="264"/>
      <c r="P93" s="265"/>
      <c r="Q93" s="314">
        <f>SUM(Q95:R95)</f>
        <v>0</v>
      </c>
      <c r="R93" s="315"/>
      <c r="S93" s="263">
        <f>SUM(I93:R94)</f>
        <v>28363000</v>
      </c>
      <c r="T93" s="264"/>
      <c r="U93" s="264"/>
      <c r="V93" s="265"/>
      <c r="W93" s="256">
        <v>0</v>
      </c>
      <c r="X93" s="256"/>
      <c r="Y93" s="256"/>
      <c r="Z93" s="256">
        <v>0</v>
      </c>
      <c r="AA93" s="324"/>
      <c r="AB93" s="256">
        <f>SUM(S93:AA94)</f>
        <v>28363000</v>
      </c>
      <c r="AC93" s="256"/>
      <c r="AD93" s="256"/>
      <c r="AE93" s="256"/>
      <c r="AF93" s="263">
        <v>28361145</v>
      </c>
      <c r="AG93" s="264"/>
      <c r="AH93" s="264"/>
      <c r="AI93" s="265"/>
      <c r="AJ93" s="256">
        <v>0</v>
      </c>
      <c r="AK93" s="256"/>
      <c r="AL93" s="263">
        <v>0</v>
      </c>
      <c r="AM93" s="265"/>
      <c r="AN93" s="318">
        <f>SUM(AJ93:AM94)</f>
        <v>0</v>
      </c>
      <c r="AO93" s="318"/>
      <c r="AP93" s="263">
        <f>AB93-AF93-AN93</f>
        <v>1855</v>
      </c>
      <c r="AQ93" s="264"/>
      <c r="AR93" s="264"/>
      <c r="AS93" s="275"/>
      <c r="AT93" s="276"/>
      <c r="AU93" s="276"/>
      <c r="AV93" s="276"/>
      <c r="AW93" s="276"/>
      <c r="AX93" s="276"/>
      <c r="AY93" s="276"/>
      <c r="AZ93" s="276"/>
      <c r="BA93" s="277"/>
    </row>
    <row r="94" spans="2:91" s="4" customFormat="1" ht="18" customHeight="1" x14ac:dyDescent="0.15">
      <c r="B94" s="244"/>
      <c r="C94" s="245"/>
      <c r="D94" s="245"/>
      <c r="E94" s="245"/>
      <c r="F94" s="245"/>
      <c r="G94" s="245"/>
      <c r="H94" s="246"/>
      <c r="I94" s="266"/>
      <c r="J94" s="267"/>
      <c r="K94" s="267"/>
      <c r="L94" s="268"/>
      <c r="M94" s="266"/>
      <c r="N94" s="267"/>
      <c r="O94" s="267"/>
      <c r="P94" s="268"/>
      <c r="Q94" s="316"/>
      <c r="R94" s="317"/>
      <c r="S94" s="266"/>
      <c r="T94" s="267"/>
      <c r="U94" s="267"/>
      <c r="V94" s="268"/>
      <c r="W94" s="256"/>
      <c r="X94" s="256"/>
      <c r="Y94" s="256"/>
      <c r="Z94" s="256"/>
      <c r="AA94" s="324"/>
      <c r="AB94" s="256"/>
      <c r="AC94" s="256"/>
      <c r="AD94" s="256"/>
      <c r="AE94" s="256"/>
      <c r="AF94" s="266"/>
      <c r="AG94" s="267"/>
      <c r="AH94" s="267"/>
      <c r="AI94" s="268"/>
      <c r="AJ94" s="256"/>
      <c r="AK94" s="256"/>
      <c r="AL94" s="266"/>
      <c r="AM94" s="268"/>
      <c r="AN94" s="318"/>
      <c r="AO94" s="318"/>
      <c r="AP94" s="266"/>
      <c r="AQ94" s="267"/>
      <c r="AR94" s="267"/>
      <c r="AS94" s="278"/>
      <c r="AT94" s="279"/>
      <c r="AU94" s="279"/>
      <c r="AV94" s="279"/>
      <c r="AW94" s="279"/>
      <c r="AX94" s="279"/>
      <c r="AY94" s="279"/>
      <c r="AZ94" s="279"/>
      <c r="BA94" s="280"/>
    </row>
    <row r="95" spans="2:91" ht="15" customHeight="1" x14ac:dyDescent="0.15">
      <c r="B95" s="64" t="s">
        <v>57</v>
      </c>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row>
    <row r="96" spans="2:91" ht="15" customHeight="1" x14ac:dyDescent="0.1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row>
    <row r="97" spans="2:53" ht="15" customHeight="1" x14ac:dyDescent="0.15">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row>
    <row r="98" spans="2:53" ht="13.5" customHeight="1" x14ac:dyDescent="0.15">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row>
    <row r="99" spans="2:53" s="1" customFormat="1" ht="13.5" customHeight="1" x14ac:dyDescent="0.1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row>
    <row r="100" spans="2:53" s="1" customFormat="1" ht="13.5" customHeight="1" x14ac:dyDescent="0.1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row>
    <row r="101" spans="2:53" s="1" customFormat="1" ht="13.5" customHeight="1" x14ac:dyDescent="0.15"/>
    <row r="102" spans="2:53" s="1" customFormat="1" ht="13.5" customHeight="1" x14ac:dyDescent="0.15"/>
    <row r="103" spans="2:53" s="1" customFormat="1" ht="13.5" customHeight="1" x14ac:dyDescent="0.15"/>
    <row r="104" spans="2:53" ht="18" customHeight="1" x14ac:dyDescent="0.15"/>
    <row r="105" spans="2:53" ht="18" customHeight="1" x14ac:dyDescent="0.15"/>
    <row r="106" spans="2:53" ht="18" customHeight="1" x14ac:dyDescent="0.15"/>
    <row r="107" spans="2:53" ht="18" customHeight="1" x14ac:dyDescent="0.15"/>
    <row r="108" spans="2:53" ht="18" customHeight="1" x14ac:dyDescent="0.15"/>
    <row r="109" spans="2:53" ht="18" customHeight="1" x14ac:dyDescent="0.15"/>
    <row r="110" spans="2:53" ht="18" customHeight="1" x14ac:dyDescent="0.15"/>
    <row r="111" spans="2:53" ht="18" customHeight="1" x14ac:dyDescent="0.15"/>
    <row r="112" spans="2:53"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5">
    <mergeCell ref="AP93:AR94"/>
    <mergeCell ref="AS93:BA94"/>
    <mergeCell ref="B95:BA96"/>
    <mergeCell ref="Z93:AA94"/>
    <mergeCell ref="AB93:AE94"/>
    <mergeCell ref="AF93:AI94"/>
    <mergeCell ref="AJ93:AK94"/>
    <mergeCell ref="AL93:AM94"/>
    <mergeCell ref="AN93:AO94"/>
    <mergeCell ref="B93:H94"/>
    <mergeCell ref="I93:L94"/>
    <mergeCell ref="M93:P94"/>
    <mergeCell ref="Q93:R94"/>
    <mergeCell ref="S93:V94"/>
    <mergeCell ref="W93:Y94"/>
    <mergeCell ref="AP91:AR92"/>
    <mergeCell ref="AS91:BA91"/>
    <mergeCell ref="AS92:BA92"/>
    <mergeCell ref="AP89:AR90"/>
    <mergeCell ref="AS89:BA90"/>
    <mergeCell ref="AF89:AI90"/>
    <mergeCell ref="AJ89:AK90"/>
    <mergeCell ref="AL89:AM90"/>
    <mergeCell ref="AN89:AO90"/>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U68:W71"/>
    <mergeCell ref="X68:Z71"/>
    <mergeCell ref="AA68:AD71"/>
    <mergeCell ref="B72:H73"/>
    <mergeCell ref="I72:L73"/>
    <mergeCell ref="M72:P73"/>
    <mergeCell ref="Q72:T73"/>
    <mergeCell ref="U72:W73"/>
    <mergeCell ref="X72:Z73"/>
    <mergeCell ref="AA72:AD73"/>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B45:H46"/>
    <mergeCell ref="I45:L46"/>
    <mergeCell ref="M45:P46"/>
    <mergeCell ref="Q45:R46"/>
    <mergeCell ref="S45:U46"/>
    <mergeCell ref="V45:W46"/>
    <mergeCell ref="X45:AA46"/>
    <mergeCell ref="V43:W44"/>
    <mergeCell ref="X43:AA44"/>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000-000000000000}">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E20" sqref="E20"/>
    </sheetView>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7</vt:i4>
      </vt:variant>
    </vt:vector>
  </HeadingPairs>
  <TitlesOfParts>
    <vt:vector size="15" baseType="lpstr">
      <vt:lpstr>070804修正中R6決算書（議案番号無し）財政提出</vt:lpstr>
      <vt:lpstr>R6決算書（議案番号無し）財政提出</vt:lpstr>
      <vt:lpstr>R6決算書（議案番号無し）決算統計</vt:lpstr>
      <vt:lpstr>R5決算書（議案番号無し）</vt:lpstr>
      <vt:lpstr>R4決算書（議案番号無し）</vt:lpstr>
      <vt:lpstr>R3決算書（議案番号無し）</vt:lpstr>
      <vt:lpstr>R2決算書（議案番号無し）</vt:lpstr>
      <vt:lpstr>Sheet1</vt:lpstr>
      <vt:lpstr>'070804修正中R6決算書（議案番号無し）財政提出'!Print_Area</vt:lpstr>
      <vt:lpstr>'R2決算書（議案番号無し）'!Print_Area</vt:lpstr>
      <vt:lpstr>'R3決算書（議案番号無し）'!Print_Area</vt:lpstr>
      <vt:lpstr>'R4決算書（議案番号無し）'!Print_Area</vt:lpstr>
      <vt:lpstr>'R5決算書（議案番号無し）'!Print_Area</vt:lpstr>
      <vt:lpstr>'R6決算書（議案番号無し）決算統計'!Print_Area</vt:lpstr>
      <vt:lpstr>'R6決算書（議案番号無し）財政提出'!Print_Area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2025-08-05T05:45:37Z</dcterms:modified>
</cp:coreProperties>
</file>