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10.152.26.11\令和6年度\11.水道\B.上水道\2.予算決算\04 予算\R7当初予算\1 提出\"/>
    </mc:Choice>
  </mc:AlternateContent>
  <xr:revisionPtr revIDLastSave="0" documentId="13_ncr:1_{672AEFA0-F4A1-4E6D-8020-DB88FBF4C366}" xr6:coauthVersionLast="45" xr6:coauthVersionMax="45" xr10:uidLastSave="{00000000-0000-0000-0000-000000000000}"/>
  <bookViews>
    <workbookView xWindow="0" yWindow="600" windowWidth="20490" windowHeight="10920" xr2:uid="{00000000-000D-0000-FFFF-FFFF00000000}"/>
  </bookViews>
  <sheets>
    <sheet name="R7年度3月水道会計" sheetId="7" r:id="rId1"/>
    <sheet name="R5年度3月水道会計 " sheetId="8" r:id="rId2"/>
    <sheet name="R4年度3月水道会計 " sheetId="5" r:id="rId3"/>
  </sheets>
  <definedNames>
    <definedName name="_xlnm.Print_Area" localSheetId="2">'R4年度3月水道会計 '!$A$1:$I$9</definedName>
    <definedName name="_xlnm.Print_Area" localSheetId="1">'R5年度3月水道会計 '!$A$1:$I$9</definedName>
    <definedName name="_xlnm.Print_Area" localSheetId="0">'R7年度3月水道会計'!$A$1:$I$9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8" i="7" l="1"/>
  <c r="H8" i="7"/>
  <c r="I7" i="7"/>
  <c r="I6" i="7" s="1"/>
  <c r="I8" i="7" s="1"/>
  <c r="E6" i="7" l="1"/>
  <c r="I7" i="8" l="1"/>
  <c r="I6" i="8" s="1"/>
  <c r="I8" i="8" s="1"/>
  <c r="H6" i="8"/>
  <c r="H8" i="8" s="1"/>
  <c r="G6" i="8"/>
  <c r="G8" i="8" s="1"/>
  <c r="F6" i="8"/>
  <c r="F8" i="8" s="1"/>
  <c r="E6" i="8"/>
  <c r="E8" i="8" s="1"/>
  <c r="H6" i="7" l="1"/>
  <c r="G6" i="7"/>
  <c r="F6" i="7"/>
  <c r="F8" i="7" s="1"/>
  <c r="E8" i="7"/>
  <c r="I7" i="5" l="1"/>
  <c r="I6" i="5" s="1"/>
  <c r="I8" i="5" s="1"/>
  <c r="H6" i="5"/>
  <c r="H8" i="5" s="1"/>
  <c r="G6" i="5"/>
  <c r="G8" i="5" s="1"/>
  <c r="F6" i="5"/>
  <c r="F8" i="5" s="1"/>
  <c r="E6" i="5"/>
  <c r="E8" i="5" s="1"/>
</calcChain>
</file>

<file path=xl/sharedStrings.xml><?xml version="1.0" encoding="utf-8"?>
<sst xmlns="http://schemas.openxmlformats.org/spreadsheetml/2006/main" count="57" uniqueCount="25">
  <si>
    <t>地方債の前々年度末における現在高並びに前年度末及び当該年度末における現在高の見込額に関する調書</t>
    <rPh sb="0" eb="2">
      <t>チホウ</t>
    </rPh>
    <rPh sb="2" eb="3">
      <t>サイ</t>
    </rPh>
    <rPh sb="4" eb="6">
      <t>マエマエ</t>
    </rPh>
    <rPh sb="6" eb="9">
      <t>ネンドマツ</t>
    </rPh>
    <rPh sb="13" eb="15">
      <t>ゲンザイ</t>
    </rPh>
    <rPh sb="15" eb="16">
      <t>ダカ</t>
    </rPh>
    <rPh sb="16" eb="17">
      <t>ナラ</t>
    </rPh>
    <rPh sb="19" eb="22">
      <t>ゼンネンド</t>
    </rPh>
    <rPh sb="22" eb="23">
      <t>マツ</t>
    </rPh>
    <rPh sb="23" eb="24">
      <t>オヨ</t>
    </rPh>
    <rPh sb="25" eb="27">
      <t>トウガイ</t>
    </rPh>
    <rPh sb="27" eb="30">
      <t>ネンドマツ</t>
    </rPh>
    <rPh sb="34" eb="36">
      <t>ゲンザイ</t>
    </rPh>
    <rPh sb="36" eb="37">
      <t>ダカ</t>
    </rPh>
    <rPh sb="38" eb="41">
      <t>ミコミガク</t>
    </rPh>
    <rPh sb="42" eb="43">
      <t>カン</t>
    </rPh>
    <rPh sb="45" eb="47">
      <t>チョウショ</t>
    </rPh>
    <phoneticPr fontId="3"/>
  </si>
  <si>
    <t>（単位 千円）</t>
    <rPh sb="1" eb="3">
      <t>タンイ</t>
    </rPh>
    <rPh sb="4" eb="6">
      <t>センエン</t>
    </rPh>
    <phoneticPr fontId="3"/>
  </si>
  <si>
    <t>区           分</t>
    <rPh sb="0" eb="1">
      <t>ク</t>
    </rPh>
    <rPh sb="12" eb="13">
      <t>ブン</t>
    </rPh>
    <phoneticPr fontId="3"/>
  </si>
  <si>
    <t>前々年度末
現在高</t>
    <rPh sb="0" eb="2">
      <t>ゼンゼン</t>
    </rPh>
    <rPh sb="2" eb="4">
      <t>ネンド</t>
    </rPh>
    <rPh sb="4" eb="5">
      <t>マツ</t>
    </rPh>
    <phoneticPr fontId="3"/>
  </si>
  <si>
    <t>前年度末
現在高</t>
    <rPh sb="0" eb="1">
      <t>マエ</t>
    </rPh>
    <rPh sb="1" eb="3">
      <t>ネンド</t>
    </rPh>
    <rPh sb="3" eb="4">
      <t>マツ</t>
    </rPh>
    <phoneticPr fontId="3"/>
  </si>
  <si>
    <t>当該年度中増減見込</t>
    <rPh sb="0" eb="2">
      <t>トウガイ</t>
    </rPh>
    <rPh sb="2" eb="4">
      <t>ネンド</t>
    </rPh>
    <rPh sb="4" eb="5">
      <t>チュウ</t>
    </rPh>
    <rPh sb="5" eb="7">
      <t>ゾウゲン</t>
    </rPh>
    <rPh sb="7" eb="9">
      <t>ミコ</t>
    </rPh>
    <phoneticPr fontId="3"/>
  </si>
  <si>
    <t>当該年度末
現在高見込額</t>
    <rPh sb="0" eb="2">
      <t>トウガイ</t>
    </rPh>
    <rPh sb="2" eb="4">
      <t>ネンド</t>
    </rPh>
    <rPh sb="4" eb="5">
      <t>マツ</t>
    </rPh>
    <phoneticPr fontId="3"/>
  </si>
  <si>
    <t>当該年度中</t>
    <rPh sb="0" eb="2">
      <t>トウガイ</t>
    </rPh>
    <rPh sb="2" eb="4">
      <t>ネンド</t>
    </rPh>
    <rPh sb="4" eb="5">
      <t>チュウ</t>
    </rPh>
    <phoneticPr fontId="3"/>
  </si>
  <si>
    <t>起債見込額</t>
    <rPh sb="0" eb="2">
      <t>キサイ</t>
    </rPh>
    <rPh sb="2" eb="4">
      <t>ミコ</t>
    </rPh>
    <rPh sb="4" eb="5">
      <t>ガク</t>
    </rPh>
    <phoneticPr fontId="3"/>
  </si>
  <si>
    <t>元金償還見込額</t>
    <rPh sb="0" eb="2">
      <t>ガンキン</t>
    </rPh>
    <rPh sb="2" eb="4">
      <t>ショウカン</t>
    </rPh>
    <rPh sb="4" eb="7">
      <t>ミコミガク</t>
    </rPh>
    <phoneticPr fontId="3"/>
  </si>
  <si>
    <t>公営企業債</t>
    <rPh sb="0" eb="2">
      <t>コウエイ</t>
    </rPh>
    <rPh sb="2" eb="4">
      <t>キギョウ</t>
    </rPh>
    <rPh sb="4" eb="5">
      <t>サイ</t>
    </rPh>
    <phoneticPr fontId="3"/>
  </si>
  <si>
    <t>合        計</t>
    <rPh sb="0" eb="1">
      <t>ゴウ</t>
    </rPh>
    <rPh sb="9" eb="10">
      <t>ケイ</t>
    </rPh>
    <phoneticPr fontId="3"/>
  </si>
  <si>
    <t>上水道事業債</t>
    <rPh sb="0" eb="3">
      <t>ジョウスイドウ</t>
    </rPh>
    <rPh sb="3" eb="5">
      <t>ジギョウ</t>
    </rPh>
    <rPh sb="5" eb="6">
      <t>サイ</t>
    </rPh>
    <phoneticPr fontId="3"/>
  </si>
  <si>
    <t>令和2年度末</t>
    <rPh sb="0" eb="2">
      <t>レイワ</t>
    </rPh>
    <rPh sb="3" eb="5">
      <t>ネンド</t>
    </rPh>
    <rPh sb="5" eb="6">
      <t>マツ</t>
    </rPh>
    <phoneticPr fontId="3"/>
  </si>
  <si>
    <t>令和3年度末</t>
    <rPh sb="0" eb="2">
      <t>レイワ</t>
    </rPh>
    <rPh sb="3" eb="5">
      <t>ネンド</t>
    </rPh>
    <rPh sb="5" eb="6">
      <t>マツ</t>
    </rPh>
    <phoneticPr fontId="3"/>
  </si>
  <si>
    <t>令和4年度借入額</t>
    <rPh sb="0" eb="2">
      <t>レイワ</t>
    </rPh>
    <rPh sb="3" eb="5">
      <t>ネンド</t>
    </rPh>
    <rPh sb="5" eb="7">
      <t>カリイレ</t>
    </rPh>
    <rPh sb="7" eb="8">
      <t>ガク</t>
    </rPh>
    <phoneticPr fontId="1"/>
  </si>
  <si>
    <t>令和5年度償還額</t>
    <rPh sb="0" eb="2">
      <t>レイワ</t>
    </rPh>
    <rPh sb="3" eb="5">
      <t>ネンド</t>
    </rPh>
    <rPh sb="5" eb="7">
      <t>ショウカン</t>
    </rPh>
    <rPh sb="7" eb="8">
      <t>ガク</t>
    </rPh>
    <phoneticPr fontId="1"/>
  </si>
  <si>
    <t>令和5年度末</t>
    <rPh sb="0" eb="2">
      <t>レイワ</t>
    </rPh>
    <rPh sb="3" eb="5">
      <t>ネンド</t>
    </rPh>
    <rPh sb="5" eb="6">
      <t>マツ</t>
    </rPh>
    <phoneticPr fontId="3"/>
  </si>
  <si>
    <t>令和4年度末</t>
    <rPh sb="0" eb="2">
      <t>レイワ</t>
    </rPh>
    <rPh sb="3" eb="5">
      <t>ネンド</t>
    </rPh>
    <rPh sb="5" eb="6">
      <t>マツ</t>
    </rPh>
    <phoneticPr fontId="3"/>
  </si>
  <si>
    <t>令和5年度借入額</t>
    <rPh sb="0" eb="2">
      <t>レイワ</t>
    </rPh>
    <rPh sb="3" eb="5">
      <t>ネンド</t>
    </rPh>
    <rPh sb="5" eb="7">
      <t>カリイレ</t>
    </rPh>
    <rPh sb="7" eb="8">
      <t>ガク</t>
    </rPh>
    <phoneticPr fontId="1"/>
  </si>
  <si>
    <t>令和4年度償還額</t>
    <rPh sb="0" eb="2">
      <t>レイワ</t>
    </rPh>
    <rPh sb="3" eb="5">
      <t>ネンド</t>
    </rPh>
    <rPh sb="5" eb="7">
      <t>ショウカン</t>
    </rPh>
    <rPh sb="7" eb="8">
      <t>ガク</t>
    </rPh>
    <phoneticPr fontId="1"/>
  </si>
  <si>
    <t>令和6年度末</t>
    <rPh sb="0" eb="2">
      <t>レイワ</t>
    </rPh>
    <rPh sb="3" eb="5">
      <t>ネンド</t>
    </rPh>
    <rPh sb="5" eb="6">
      <t>マツ</t>
    </rPh>
    <phoneticPr fontId="3"/>
  </si>
  <si>
    <t>令和7年度借入額</t>
    <rPh sb="0" eb="2">
      <t>レイワ</t>
    </rPh>
    <rPh sb="3" eb="5">
      <t>ネンド</t>
    </rPh>
    <rPh sb="5" eb="7">
      <t>カリイレ</t>
    </rPh>
    <rPh sb="7" eb="8">
      <t>ガク</t>
    </rPh>
    <phoneticPr fontId="1"/>
  </si>
  <si>
    <t>令和7年度償還額</t>
    <rPh sb="0" eb="2">
      <t>レイワ</t>
    </rPh>
    <rPh sb="3" eb="5">
      <t>ネンド</t>
    </rPh>
    <rPh sb="5" eb="7">
      <t>ショウカン</t>
    </rPh>
    <rPh sb="7" eb="8">
      <t>ガク</t>
    </rPh>
    <phoneticPr fontId="1"/>
  </si>
  <si>
    <t>令和7年度末</t>
    <rPh sb="0" eb="2">
      <t>レイワ</t>
    </rPh>
    <rPh sb="3" eb="5">
      <t>ネンド</t>
    </rPh>
    <rPh sb="5" eb="6">
      <t>マツ</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</si>
</sst>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0\)"/>
    <numFmt numFmtId="177" formatCode="#,##0_ "/>
    <numFmt numFmtId="178" formatCode="0_);[Red]\(0\)"/>
  </numFmts>
  <fonts count="9" x14ac:knownFonts="1">
    <font>
      <sz val="11"/>
      <color theme="1"/>
      <name val="游ゴシック"/>
      <family val="2"/>
      <charset val="128"/>
      <scheme val="minor"/>
    </font>
    <font>
      <sz val="6"/>
      <name val="游ゴシック"/>
      <family val="2"/>
      <charset val="128"/>
      <scheme val="minor"/>
    </font>
    <font>
      <sz val="11"/>
      <name val="ＭＳ Ｐゴシック"/>
      <family val="3"/>
      <charset val="128"/>
    </font>
    <font>
      <sz val="6"/>
      <name val="ＭＳ Ｐゴシック"/>
      <family val="3"/>
      <charset val="128"/>
    </font>
    <font>
      <sz val="11"/>
      <name val="ＭＳ 明朝"/>
      <family val="1"/>
      <charset val="128"/>
    </font>
    <font>
      <sz val="8"/>
      <name val="ＭＳ 明朝"/>
      <family val="1"/>
      <charset val="128"/>
    </font>
    <font>
      <sz val="10"/>
      <name val="ＭＳ 明朝"/>
      <family val="1"/>
      <charset val="128"/>
    </font>
    <font>
      <sz val="9"/>
      <name val="ＭＳ 明朝"/>
      <family val="1"/>
      <charset val="128"/>
    </font>
    <font>
      <sz val="12"/>
      <name val="ＭＳ 明朝"/>
      <family val="1"/>
      <charset val="128"/>
    </font>
  </fonts>
  <fills count="2">
    <fill>
      <patternFill patternType="none"/>
    </fill>
    <fill>
      <patternFill patternType="gray125"/>
    </fill>
  </fills>
  <borders count="31">
    <border>
      <left/>
      <right/>
      <top/>
      <bottom/>
      <diagonal/>
    </border>
    <border>
      <left style="thin">
        <color auto="1"/>
      </left>
      <right/>
      <top style="medium">
        <color auto="1"/>
      </top>
      <bottom style="thin">
        <color auto="1"/>
      </bottom>
      <diagonal/>
    </border>
    <border>
      <left/>
      <right/>
      <top style="medium">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alignment vertical="center"/>
    </xf>
    <xf numFmtId="0" fontId="2" fillId="0" borderId="0"/>
    <xf numFmtId="38" fontId="2" fillId="0" borderId="0" applyFont="0" applyFill="0" applyBorder="0" applyAlignment="0" applyProtection="0"/>
  </cellStyleXfs>
  <cellXfs count="104">
    <xf numFmtId="0" fontId="0" fillId="0" borderId="0" xfId="0">
      <alignment vertical="center"/>
    </xf>
    <xf numFmtId="0" fontId="4" fillId="0" borderId="0" xfId="1" applyFont="1" applyFill="1"/>
    <xf numFmtId="0" fontId="5" fillId="0" borderId="0" xfId="1" applyFont="1" applyFill="1" applyAlignment="1">
      <alignment shrinkToFit="1"/>
    </xf>
    <xf numFmtId="176" fontId="4" fillId="0" borderId="0" xfId="1" applyNumberFormat="1" applyFont="1" applyFill="1"/>
    <xf numFmtId="177" fontId="4" fillId="0" borderId="0" xfId="1" applyNumberFormat="1" applyFont="1" applyFill="1"/>
    <xf numFmtId="0" fontId="6" fillId="0" borderId="0" xfId="1" applyFont="1" applyFill="1" applyAlignment="1">
      <alignment horizontal="right"/>
    </xf>
    <xf numFmtId="0" fontId="4" fillId="0" borderId="0" xfId="1" applyFont="1" applyFill="1" applyAlignment="1">
      <alignment vertical="center"/>
    </xf>
    <xf numFmtId="0" fontId="5" fillId="0" borderId="0" xfId="1" applyFont="1" applyFill="1" applyAlignment="1">
      <alignment vertical="center" shrinkToFit="1"/>
    </xf>
    <xf numFmtId="0" fontId="6" fillId="0" borderId="21" xfId="1" applyFont="1" applyFill="1" applyBorder="1" applyAlignment="1">
      <alignment vertical="center"/>
    </xf>
    <xf numFmtId="0" fontId="6" fillId="0" borderId="23" xfId="1" applyFont="1" applyFill="1" applyBorder="1" applyAlignment="1">
      <alignment horizontal="distributed" vertical="center"/>
    </xf>
    <xf numFmtId="0" fontId="6" fillId="0" borderId="24" xfId="1" applyFont="1" applyFill="1" applyBorder="1" applyAlignment="1">
      <alignment vertical="center"/>
    </xf>
    <xf numFmtId="176" fontId="6" fillId="0" borderId="25" xfId="1" applyNumberFormat="1" applyFont="1" applyFill="1" applyBorder="1" applyAlignment="1">
      <alignment vertical="center"/>
    </xf>
    <xf numFmtId="0" fontId="6" fillId="0" borderId="25" xfId="1" applyFont="1" applyFill="1" applyBorder="1" applyAlignment="1">
      <alignment horizontal="distributed" vertical="center"/>
    </xf>
    <xf numFmtId="0" fontId="6" fillId="0" borderId="4" xfId="1" applyFont="1" applyFill="1" applyBorder="1" applyAlignment="1">
      <alignment horizontal="distributed" vertical="center"/>
    </xf>
    <xf numFmtId="176" fontId="4" fillId="0" borderId="0" xfId="1" applyNumberFormat="1" applyFont="1" applyFill="1" applyAlignment="1">
      <alignment vertical="center"/>
    </xf>
    <xf numFmtId="177" fontId="4" fillId="0" borderId="0" xfId="1" applyNumberFormat="1" applyFont="1" applyFill="1" applyAlignment="1">
      <alignment vertical="center"/>
    </xf>
    <xf numFmtId="176" fontId="4" fillId="0" borderId="0" xfId="1" applyNumberFormat="1" applyFont="1" applyFill="1" applyAlignment="1">
      <alignment horizontal="center" vertical="center"/>
    </xf>
    <xf numFmtId="38" fontId="4" fillId="0" borderId="0" xfId="2" applyFont="1" applyFill="1"/>
    <xf numFmtId="177" fontId="7" fillId="0" borderId="3" xfId="1" applyNumberFormat="1" applyFont="1" applyFill="1" applyBorder="1" applyAlignment="1">
      <alignment horizontal="center"/>
    </xf>
    <xf numFmtId="0" fontId="7" fillId="0" borderId="3" xfId="1" applyFont="1" applyFill="1" applyBorder="1" applyAlignment="1">
      <alignment horizontal="center"/>
    </xf>
    <xf numFmtId="177" fontId="7" fillId="0" borderId="0" xfId="1" applyNumberFormat="1" applyFont="1" applyFill="1" applyAlignment="1">
      <alignment horizontal="center"/>
    </xf>
    <xf numFmtId="0" fontId="7" fillId="0" borderId="0" xfId="1" applyFont="1" applyFill="1" applyAlignment="1">
      <alignment horizontal="center"/>
    </xf>
    <xf numFmtId="177" fontId="4" fillId="0" borderId="3" xfId="1" applyNumberFormat="1" applyFont="1" applyFill="1" applyBorder="1" applyAlignment="1">
      <alignment vertical="center"/>
    </xf>
    <xf numFmtId="177" fontId="4" fillId="0" borderId="6" xfId="1" applyNumberFormat="1" applyFont="1" applyFill="1" applyBorder="1" applyAlignment="1">
      <alignment vertical="center"/>
    </xf>
    <xf numFmtId="177" fontId="4" fillId="0" borderId="5" xfId="1" applyNumberFormat="1" applyFont="1" applyFill="1" applyBorder="1" applyAlignment="1">
      <alignment vertical="center"/>
    </xf>
    <xf numFmtId="177" fontId="4" fillId="0" borderId="3" xfId="1" applyNumberFormat="1" applyFont="1" applyFill="1" applyBorder="1" applyAlignment="1" applyProtection="1">
      <alignment vertical="center"/>
      <protection locked="0"/>
    </xf>
    <xf numFmtId="177" fontId="4" fillId="0" borderId="29" xfId="1" applyNumberFormat="1" applyFont="1" applyFill="1" applyBorder="1" applyAlignment="1">
      <alignment vertical="center"/>
    </xf>
    <xf numFmtId="177" fontId="4" fillId="0" borderId="30" xfId="1" applyNumberFormat="1" applyFont="1" applyFill="1" applyBorder="1" applyAlignment="1">
      <alignment vertical="center"/>
    </xf>
    <xf numFmtId="177" fontId="4" fillId="0" borderId="14" xfId="1" applyNumberFormat="1" applyFont="1" applyFill="1" applyBorder="1" applyAlignment="1">
      <alignment horizontal="distributed" vertical="center"/>
    </xf>
    <xf numFmtId="0" fontId="4" fillId="0" borderId="0" xfId="1" applyFont="1" applyFill="1" applyBorder="1" applyAlignment="1">
      <alignment horizontal="distributed" vertical="center"/>
    </xf>
    <xf numFmtId="177" fontId="4" fillId="0" borderId="19" xfId="1" applyNumberFormat="1" applyFont="1" applyFill="1" applyBorder="1" applyAlignment="1">
      <alignment horizontal="distributed" vertical="center"/>
    </xf>
    <xf numFmtId="0" fontId="4" fillId="0" borderId="17" xfId="1" applyFont="1" applyFill="1" applyBorder="1" applyAlignment="1">
      <alignment horizontal="distributed" vertical="center"/>
    </xf>
    <xf numFmtId="0" fontId="4" fillId="0" borderId="0" xfId="1" applyFont="1"/>
    <xf numFmtId="0" fontId="5" fillId="0" borderId="0" xfId="1" applyFont="1" applyAlignment="1">
      <alignment shrinkToFit="1"/>
    </xf>
    <xf numFmtId="176" fontId="4" fillId="0" borderId="0" xfId="1" applyNumberFormat="1" applyFont="1"/>
    <xf numFmtId="177" fontId="4" fillId="0" borderId="0" xfId="1" applyNumberFormat="1" applyFont="1"/>
    <xf numFmtId="0" fontId="6" fillId="0" borderId="0" xfId="1" applyFont="1" applyAlignment="1">
      <alignment horizontal="right"/>
    </xf>
    <xf numFmtId="0" fontId="4" fillId="0" borderId="0" xfId="1" applyFont="1" applyAlignment="1">
      <alignment vertical="center"/>
    </xf>
    <xf numFmtId="0" fontId="5" fillId="0" borderId="0" xfId="1" applyFont="1" applyAlignment="1">
      <alignment vertical="center" shrinkToFit="1"/>
    </xf>
    <xf numFmtId="177" fontId="4" fillId="0" borderId="14" xfId="1" applyNumberFormat="1" applyFont="1" applyBorder="1" applyAlignment="1">
      <alignment horizontal="distributed" vertical="center"/>
    </xf>
    <xf numFmtId="0" fontId="4" fillId="0" borderId="0" xfId="1" applyFont="1" applyAlignment="1">
      <alignment horizontal="distributed" vertical="center"/>
    </xf>
    <xf numFmtId="177" fontId="4" fillId="0" borderId="19" xfId="1" applyNumberFormat="1" applyFont="1" applyBorder="1" applyAlignment="1">
      <alignment horizontal="distributed" vertical="center"/>
    </xf>
    <xf numFmtId="0" fontId="4" fillId="0" borderId="17" xfId="1" applyFont="1" applyBorder="1" applyAlignment="1">
      <alignment horizontal="distributed" vertical="center"/>
    </xf>
    <xf numFmtId="0" fontId="6" fillId="0" borderId="21" xfId="1" applyFont="1" applyBorder="1" applyAlignment="1">
      <alignment vertical="center"/>
    </xf>
    <xf numFmtId="0" fontId="6" fillId="0" borderId="23" xfId="1" applyFont="1" applyBorder="1" applyAlignment="1">
      <alignment horizontal="distributed" vertical="center"/>
    </xf>
    <xf numFmtId="177" fontId="4" fillId="0" borderId="3" xfId="1" applyNumberFormat="1" applyFont="1" applyBorder="1" applyAlignment="1">
      <alignment vertical="center"/>
    </xf>
    <xf numFmtId="177" fontId="4" fillId="0" borderId="6" xfId="1" applyNumberFormat="1" applyFont="1" applyBorder="1" applyAlignment="1">
      <alignment vertical="center"/>
    </xf>
    <xf numFmtId="0" fontId="6" fillId="0" borderId="24" xfId="1" applyFont="1" applyBorder="1" applyAlignment="1">
      <alignment vertical="center"/>
    </xf>
    <xf numFmtId="176" fontId="6" fillId="0" borderId="25" xfId="1" applyNumberFormat="1" applyFont="1" applyBorder="1" applyAlignment="1">
      <alignment vertical="center"/>
    </xf>
    <xf numFmtId="0" fontId="6" fillId="0" borderId="25" xfId="1" applyFont="1" applyBorder="1" applyAlignment="1">
      <alignment horizontal="distributed" vertical="center"/>
    </xf>
    <xf numFmtId="0" fontId="6" fillId="0" borderId="4" xfId="1" applyFont="1" applyBorder="1" applyAlignment="1">
      <alignment horizontal="distributed" vertical="center"/>
    </xf>
    <xf numFmtId="177" fontId="4" fillId="0" borderId="5" xfId="1" applyNumberFormat="1" applyFont="1" applyBorder="1" applyAlignment="1">
      <alignment vertical="center"/>
    </xf>
    <xf numFmtId="177" fontId="4" fillId="0" borderId="3" xfId="1" applyNumberFormat="1" applyFont="1" applyBorder="1" applyAlignment="1" applyProtection="1">
      <alignment vertical="center"/>
      <protection locked="0"/>
    </xf>
    <xf numFmtId="177" fontId="4" fillId="0" borderId="29" xfId="1" applyNumberFormat="1" applyFont="1" applyBorder="1" applyAlignment="1">
      <alignment vertical="center"/>
    </xf>
    <xf numFmtId="177" fontId="4" fillId="0" borderId="30" xfId="1" applyNumberFormat="1" applyFont="1" applyBorder="1" applyAlignment="1">
      <alignment vertical="center"/>
    </xf>
    <xf numFmtId="176" fontId="4" fillId="0" borderId="0" xfId="1" applyNumberFormat="1" applyFont="1" applyAlignment="1">
      <alignment vertical="center"/>
    </xf>
    <xf numFmtId="177" fontId="4" fillId="0" borderId="0" xfId="1" applyNumberFormat="1" applyFont="1" applyAlignment="1">
      <alignment vertical="center"/>
    </xf>
    <xf numFmtId="176" fontId="4" fillId="0" borderId="0" xfId="1" applyNumberFormat="1" applyFont="1" applyAlignment="1">
      <alignment horizontal="center" vertical="center"/>
    </xf>
    <xf numFmtId="0" fontId="7" fillId="0" borderId="3" xfId="1" applyFont="1" applyBorder="1" applyAlignment="1">
      <alignment horizontal="center"/>
    </xf>
    <xf numFmtId="177" fontId="7" fillId="0" borderId="3" xfId="1" applyNumberFormat="1" applyFont="1" applyBorder="1" applyAlignment="1">
      <alignment horizontal="center"/>
    </xf>
    <xf numFmtId="177" fontId="7" fillId="0" borderId="0" xfId="1" applyNumberFormat="1" applyFont="1" applyAlignment="1">
      <alignment horizontal="center"/>
    </xf>
    <xf numFmtId="0" fontId="7" fillId="0" borderId="0" xfId="1" applyFont="1" applyAlignment="1">
      <alignment horizontal="center"/>
    </xf>
    <xf numFmtId="178" fontId="6" fillId="0" borderId="22" xfId="1" applyNumberFormat="1" applyFont="1" applyFill="1" applyBorder="1" applyAlignment="1">
      <alignment horizontal="distributed" vertical="center"/>
    </xf>
    <xf numFmtId="0" fontId="6" fillId="0" borderId="22" xfId="1" applyFont="1" applyFill="1" applyBorder="1" applyAlignment="1">
      <alignment horizontal="distributed" vertical="center"/>
    </xf>
    <xf numFmtId="0" fontId="6" fillId="0" borderId="26" xfId="1" applyFont="1" applyFill="1" applyBorder="1" applyAlignment="1">
      <alignment horizontal="center" vertical="center"/>
    </xf>
    <xf numFmtId="0" fontId="6" fillId="0" borderId="27" xfId="1" applyFont="1" applyFill="1" applyBorder="1" applyAlignment="1">
      <alignment horizontal="center" vertical="center"/>
    </xf>
    <xf numFmtId="0" fontId="6" fillId="0" borderId="28" xfId="1" applyFont="1" applyFill="1" applyBorder="1" applyAlignment="1">
      <alignment horizontal="center" vertical="center"/>
    </xf>
    <xf numFmtId="0" fontId="8" fillId="0" borderId="0" xfId="1" applyFont="1" applyFill="1" applyAlignment="1">
      <alignment horizontal="center" shrinkToFit="1"/>
    </xf>
    <xf numFmtId="0" fontId="4" fillId="0" borderId="7" xfId="1" applyFont="1" applyFill="1" applyBorder="1" applyAlignment="1">
      <alignment horizontal="center" vertical="center"/>
    </xf>
    <xf numFmtId="0" fontId="4" fillId="0" borderId="2" xfId="1" applyFont="1" applyFill="1" applyBorder="1" applyAlignment="1">
      <alignment horizontal="center" vertical="center"/>
    </xf>
    <xf numFmtId="0" fontId="4" fillId="0" borderId="8" xfId="1" applyFont="1" applyFill="1" applyBorder="1" applyAlignment="1">
      <alignment horizontal="center" vertical="center"/>
    </xf>
    <xf numFmtId="0" fontId="4" fillId="0" borderId="12" xfId="1" applyFont="1" applyFill="1" applyBorder="1" applyAlignment="1">
      <alignment horizontal="center" vertical="center"/>
    </xf>
    <xf numFmtId="0" fontId="4" fillId="0" borderId="0" xfId="1" applyFont="1" applyFill="1" applyBorder="1" applyAlignment="1">
      <alignment horizontal="center" vertical="center"/>
    </xf>
    <xf numFmtId="0" fontId="4" fillId="0" borderId="13" xfId="1" applyFont="1" applyFill="1" applyBorder="1" applyAlignment="1">
      <alignment horizontal="center" vertical="center"/>
    </xf>
    <xf numFmtId="0" fontId="4" fillId="0" borderId="16" xfId="1" applyFont="1" applyFill="1" applyBorder="1" applyAlignment="1">
      <alignment horizontal="center" vertical="center"/>
    </xf>
    <xf numFmtId="0" fontId="4" fillId="0" borderId="17" xfId="1" applyFont="1" applyFill="1" applyBorder="1" applyAlignment="1">
      <alignment horizontal="center" vertical="center"/>
    </xf>
    <xf numFmtId="0" fontId="4" fillId="0" borderId="18" xfId="1" applyFont="1" applyFill="1" applyBorder="1" applyAlignment="1">
      <alignment horizontal="center" vertical="center"/>
    </xf>
    <xf numFmtId="177" fontId="4" fillId="0" borderId="9" xfId="1" applyNumberFormat="1" applyFont="1" applyFill="1" applyBorder="1" applyAlignment="1">
      <alignment horizontal="distributed" vertical="center" wrapText="1"/>
    </xf>
    <xf numFmtId="0" fontId="4" fillId="0" borderId="14" xfId="1" applyFont="1" applyBorder="1"/>
    <xf numFmtId="0" fontId="4" fillId="0" borderId="19" xfId="1" applyFont="1" applyBorder="1"/>
    <xf numFmtId="177" fontId="4" fillId="0" borderId="1" xfId="1" applyNumberFormat="1" applyFont="1" applyFill="1" applyBorder="1" applyAlignment="1">
      <alignment horizontal="center" vertical="center"/>
    </xf>
    <xf numFmtId="177" fontId="4" fillId="0" borderId="10" xfId="1" applyNumberFormat="1" applyFont="1" applyFill="1" applyBorder="1" applyAlignment="1">
      <alignment horizontal="center" vertical="center"/>
    </xf>
    <xf numFmtId="0" fontId="4" fillId="0" borderId="11" xfId="1" applyFont="1" applyFill="1" applyBorder="1" applyAlignment="1">
      <alignment horizontal="distributed" vertical="center" wrapText="1"/>
    </xf>
    <xf numFmtId="0" fontId="4" fillId="0" borderId="15" xfId="1" applyFont="1" applyBorder="1" applyAlignment="1">
      <alignment horizontal="distributed" vertical="center"/>
    </xf>
    <xf numFmtId="0" fontId="4" fillId="0" borderId="20" xfId="1" applyFont="1" applyBorder="1" applyAlignment="1">
      <alignment horizontal="distributed" vertical="center"/>
    </xf>
    <xf numFmtId="178" fontId="6" fillId="0" borderId="22" xfId="1" applyNumberFormat="1" applyFont="1" applyBorder="1" applyAlignment="1">
      <alignment horizontal="distributed" vertical="center"/>
    </xf>
    <xf numFmtId="0" fontId="6" fillId="0" borderId="22" xfId="1" applyFont="1" applyBorder="1" applyAlignment="1">
      <alignment horizontal="distributed" vertical="center"/>
    </xf>
    <xf numFmtId="0" fontId="6" fillId="0" borderId="26" xfId="1" applyFont="1" applyBorder="1" applyAlignment="1">
      <alignment horizontal="center" vertical="center"/>
    </xf>
    <xf numFmtId="0" fontId="6" fillId="0" borderId="27" xfId="1" applyFont="1" applyBorder="1" applyAlignment="1">
      <alignment horizontal="center" vertical="center"/>
    </xf>
    <xf numFmtId="0" fontId="6" fillId="0" borderId="28" xfId="1" applyFont="1" applyBorder="1" applyAlignment="1">
      <alignment horizontal="center" vertical="center"/>
    </xf>
    <xf numFmtId="0" fontId="8" fillId="0" borderId="0" xfId="1" applyFont="1" applyAlignment="1">
      <alignment horizontal="center" shrinkToFit="1"/>
    </xf>
    <xf numFmtId="0" fontId="4" fillId="0" borderId="7" xfId="1" applyFont="1" applyBorder="1" applyAlignment="1">
      <alignment horizontal="center" vertical="center"/>
    </xf>
    <xf numFmtId="0" fontId="4" fillId="0" borderId="2" xfId="1" applyFont="1" applyBorder="1" applyAlignment="1">
      <alignment horizontal="center" vertical="center"/>
    </xf>
    <xf numFmtId="0" fontId="4" fillId="0" borderId="8" xfId="1" applyFont="1" applyBorder="1" applyAlignment="1">
      <alignment horizontal="center" vertical="center"/>
    </xf>
    <xf numFmtId="0" fontId="4" fillId="0" borderId="12" xfId="1" applyFont="1" applyBorder="1" applyAlignment="1">
      <alignment horizontal="center" vertical="center"/>
    </xf>
    <xf numFmtId="0" fontId="4" fillId="0" borderId="0" xfId="1" applyFont="1" applyAlignment="1">
      <alignment horizontal="center" vertical="center"/>
    </xf>
    <xf numFmtId="0" fontId="4" fillId="0" borderId="13" xfId="1" applyFont="1" applyBorder="1" applyAlignment="1">
      <alignment horizontal="center" vertical="center"/>
    </xf>
    <xf numFmtId="0" fontId="4" fillId="0" borderId="16" xfId="1" applyFont="1" applyBorder="1" applyAlignment="1">
      <alignment horizontal="center" vertical="center"/>
    </xf>
    <xf numFmtId="0" fontId="4" fillId="0" borderId="17" xfId="1" applyFont="1" applyBorder="1" applyAlignment="1">
      <alignment horizontal="center" vertical="center"/>
    </xf>
    <xf numFmtId="0" fontId="4" fillId="0" borderId="18" xfId="1" applyFont="1" applyBorder="1" applyAlignment="1">
      <alignment horizontal="center" vertical="center"/>
    </xf>
    <xf numFmtId="177" fontId="4" fillId="0" borderId="9" xfId="1" applyNumberFormat="1" applyFont="1" applyBorder="1" applyAlignment="1">
      <alignment horizontal="distributed" vertical="center" wrapText="1"/>
    </xf>
    <xf numFmtId="177" fontId="4" fillId="0" borderId="1" xfId="1" applyNumberFormat="1" applyFont="1" applyBorder="1" applyAlignment="1">
      <alignment horizontal="center" vertical="center"/>
    </xf>
    <xf numFmtId="177" fontId="4" fillId="0" borderId="10" xfId="1" applyNumberFormat="1" applyFont="1" applyBorder="1" applyAlignment="1">
      <alignment horizontal="center" vertical="center"/>
    </xf>
    <xf numFmtId="0" fontId="4" fillId="0" borderId="11" xfId="1" applyFont="1" applyBorder="1" applyAlignment="1">
      <alignment horizontal="distributed" vertical="center" wrapText="1"/>
    </xf>
  </cellXfs>
  <cellStyles count="3">
    <cellStyle name="桁区切り 2" xfId="2" xr:uid="{00000000-0005-0000-0000-000000000000}"/>
    <cellStyle name="標準" xfId="0" builtinId="0"/>
    <cellStyle name="標準 2" xfId="1" xr:uid="{00000000-0005-0000-0000-000002000000}"/>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3D663-AA13-446B-906F-CF5E3E10D51E}">
  <sheetPr>
    <tabColor rgb="FF0000CC"/>
    <pageSetUpPr fitToPage="1"/>
  </sheetPr>
  <dimension ref="A1:K14"/>
  <sheetViews>
    <sheetView tabSelected="1" view="pageBreakPreview" zoomScale="90" zoomScaleNormal="90" zoomScaleSheetLayoutView="90" workbookViewId="0">
      <pane xSplit="6" ySplit="5" topLeftCell="G6" activePane="bottomRight" state="frozen"/>
      <selection pane="topRight" activeCell="G1" sqref="G1"/>
      <selection pane="bottomLeft" activeCell="A6" sqref="A6"/>
      <selection pane="bottomRight" activeCell="G7" sqref="G7"/>
    </sheetView>
  </sheetViews>
  <sheetFormatPr defaultRowHeight="13.5" x14ac:dyDescent="0.15"/>
  <cols>
    <col min="1" max="1" width="3.375" style="1" customWidth="1"/>
    <col min="2" max="2" width="4" style="3" customWidth="1"/>
    <col min="3" max="3" width="20.25" style="1" customWidth="1"/>
    <col min="4" max="4" width="2.875" style="1" customWidth="1"/>
    <col min="5" max="7" width="18.125" style="4" customWidth="1"/>
    <col min="8" max="9" width="18.125" style="1" customWidth="1"/>
    <col min="10" max="10" width="5.75" style="1" customWidth="1"/>
    <col min="11" max="11" width="15.125" style="2" bestFit="1" customWidth="1"/>
    <col min="12" max="16384" width="9" style="1"/>
  </cols>
  <sheetData>
    <row r="1" spans="1:11" ht="30" customHeight="1" x14ac:dyDescent="0.15">
      <c r="A1" s="67" t="s">
        <v>0</v>
      </c>
      <c r="B1" s="67"/>
      <c r="C1" s="67"/>
      <c r="D1" s="67"/>
      <c r="E1" s="67"/>
      <c r="F1" s="67"/>
      <c r="G1" s="67"/>
      <c r="H1" s="67"/>
      <c r="I1" s="67"/>
    </row>
    <row r="2" spans="1:11" ht="30" customHeight="1" thickBot="1" x14ac:dyDescent="0.2">
      <c r="I2" s="5" t="s">
        <v>1</v>
      </c>
    </row>
    <row r="3" spans="1:11" s="6" customFormat="1" ht="20.100000000000001" customHeight="1" x14ac:dyDescent="0.4">
      <c r="A3" s="68" t="s">
        <v>2</v>
      </c>
      <c r="B3" s="69"/>
      <c r="C3" s="69"/>
      <c r="D3" s="70"/>
      <c r="E3" s="77" t="s">
        <v>3</v>
      </c>
      <c r="F3" s="77" t="s">
        <v>4</v>
      </c>
      <c r="G3" s="80" t="s">
        <v>5</v>
      </c>
      <c r="H3" s="81"/>
      <c r="I3" s="82" t="s">
        <v>6</v>
      </c>
      <c r="K3" s="7"/>
    </row>
    <row r="4" spans="1:11" s="6" customFormat="1" ht="20.100000000000001" customHeight="1" x14ac:dyDescent="0.4">
      <c r="A4" s="71"/>
      <c r="B4" s="72"/>
      <c r="C4" s="72"/>
      <c r="D4" s="73"/>
      <c r="E4" s="78"/>
      <c r="F4" s="78"/>
      <c r="G4" s="28" t="s">
        <v>7</v>
      </c>
      <c r="H4" s="29" t="s">
        <v>7</v>
      </c>
      <c r="I4" s="83"/>
      <c r="K4" s="7"/>
    </row>
    <row r="5" spans="1:11" s="6" customFormat="1" ht="20.100000000000001" customHeight="1" x14ac:dyDescent="0.4">
      <c r="A5" s="74"/>
      <c r="B5" s="75"/>
      <c r="C5" s="75"/>
      <c r="D5" s="76"/>
      <c r="E5" s="79"/>
      <c r="F5" s="79"/>
      <c r="G5" s="30" t="s">
        <v>8</v>
      </c>
      <c r="H5" s="31" t="s">
        <v>9</v>
      </c>
      <c r="I5" s="84"/>
      <c r="K5" s="7"/>
    </row>
    <row r="6" spans="1:11" s="6" customFormat="1" ht="20.100000000000001" customHeight="1" x14ac:dyDescent="0.4">
      <c r="A6" s="8">
        <v>1</v>
      </c>
      <c r="B6" s="62" t="s">
        <v>10</v>
      </c>
      <c r="C6" s="63"/>
      <c r="D6" s="9"/>
      <c r="E6" s="22">
        <f>SUM(E7:E7)</f>
        <v>388076</v>
      </c>
      <c r="F6" s="22">
        <f>SUM(F7:F7)</f>
        <v>378695</v>
      </c>
      <c r="G6" s="22">
        <f>SUM(G7:G7)</f>
        <v>9000</v>
      </c>
      <c r="H6" s="22">
        <f>SUM(H7:H7)</f>
        <v>38276</v>
      </c>
      <c r="I6" s="23">
        <f>SUM(I7:I7)</f>
        <v>349419</v>
      </c>
      <c r="K6" s="7"/>
    </row>
    <row r="7" spans="1:11" s="6" customFormat="1" ht="20.100000000000001" customHeight="1" x14ac:dyDescent="0.4">
      <c r="A7" s="10"/>
      <c r="B7" s="11">
        <v>-1</v>
      </c>
      <c r="C7" s="12" t="s">
        <v>12</v>
      </c>
      <c r="D7" s="13"/>
      <c r="E7" s="24">
        <v>388076</v>
      </c>
      <c r="F7" s="24">
        <v>378695</v>
      </c>
      <c r="G7" s="25">
        <v>9000</v>
      </c>
      <c r="H7" s="25">
        <v>38276</v>
      </c>
      <c r="I7" s="23">
        <f>F7+G7-H7</f>
        <v>349419</v>
      </c>
      <c r="K7" s="7"/>
    </row>
    <row r="8" spans="1:11" s="6" customFormat="1" ht="20.100000000000001" customHeight="1" thickBot="1" x14ac:dyDescent="0.45">
      <c r="A8" s="64" t="s">
        <v>11</v>
      </c>
      <c r="B8" s="65"/>
      <c r="C8" s="65"/>
      <c r="D8" s="66"/>
      <c r="E8" s="26">
        <f>E6</f>
        <v>388076</v>
      </c>
      <c r="F8" s="26">
        <f>F6</f>
        <v>378695</v>
      </c>
      <c r="G8" s="26">
        <f>G6</f>
        <v>9000</v>
      </c>
      <c r="H8" s="26">
        <f>H6</f>
        <v>38276</v>
      </c>
      <c r="I8" s="27">
        <f>I6</f>
        <v>349419</v>
      </c>
      <c r="K8" s="7"/>
    </row>
    <row r="9" spans="1:11" s="6" customFormat="1" ht="30" customHeight="1" x14ac:dyDescent="0.4">
      <c r="B9" s="14"/>
      <c r="E9" s="15"/>
      <c r="F9" s="15"/>
      <c r="G9" s="15"/>
      <c r="K9" s="7"/>
    </row>
    <row r="10" spans="1:11" s="6" customFormat="1" ht="20.100000000000001" customHeight="1" x14ac:dyDescent="0.15">
      <c r="B10" s="16"/>
      <c r="E10" s="18" t="s">
        <v>17</v>
      </c>
      <c r="F10" s="18" t="s">
        <v>21</v>
      </c>
      <c r="G10" s="18" t="s">
        <v>22</v>
      </c>
      <c r="H10" s="19" t="s">
        <v>23</v>
      </c>
      <c r="I10" s="19" t="s">
        <v>24</v>
      </c>
      <c r="K10" s="7"/>
    </row>
    <row r="11" spans="1:11" ht="20.100000000000001" customHeight="1" x14ac:dyDescent="0.15">
      <c r="E11" s="17"/>
      <c r="F11" s="17"/>
      <c r="G11" s="17"/>
      <c r="H11" s="17"/>
      <c r="I11" s="17"/>
    </row>
    <row r="12" spans="1:11" x14ac:dyDescent="0.15">
      <c r="E12" s="17"/>
      <c r="F12" s="17"/>
      <c r="G12" s="17"/>
      <c r="H12" s="17"/>
      <c r="I12" s="17"/>
    </row>
    <row r="14" spans="1:11" x14ac:dyDescent="0.15">
      <c r="E14" s="20"/>
      <c r="F14" s="20"/>
      <c r="G14" s="20"/>
      <c r="H14" s="21"/>
      <c r="I14" s="21"/>
    </row>
  </sheetData>
  <mergeCells count="8">
    <mergeCell ref="B6:C6"/>
    <mergeCell ref="A8:D8"/>
    <mergeCell ref="A1:I1"/>
    <mergeCell ref="A3:D5"/>
    <mergeCell ref="E3:E5"/>
    <mergeCell ref="F3:F5"/>
    <mergeCell ref="G3:H3"/>
    <mergeCell ref="I3:I5"/>
  </mergeCells>
  <phoneticPr fontId="1"/>
  <pageMargins left="0.44" right="0.15748031496062992" top="0.78740157480314965" bottom="3.2283464566929134" header="0.31496062992125984" footer="0.51181102362204722"/>
  <pageSetup paperSize="9" fitToHeight="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3816F-9776-4723-8DB7-DA070A00A309}">
  <sheetPr>
    <pageSetUpPr fitToPage="1"/>
  </sheetPr>
  <dimension ref="A1:K14"/>
  <sheetViews>
    <sheetView view="pageBreakPreview" zoomScale="90" zoomScaleNormal="90" zoomScaleSheetLayoutView="90" workbookViewId="0">
      <pane xSplit="6" ySplit="5" topLeftCell="G6" activePane="bottomRight" state="frozen"/>
      <selection pane="topRight" activeCell="G1" sqref="G1"/>
      <selection pane="bottomLeft" activeCell="A6" sqref="A6"/>
      <selection pane="bottomRight" activeCell="E19" sqref="E19"/>
    </sheetView>
  </sheetViews>
  <sheetFormatPr defaultRowHeight="13.5" x14ac:dyDescent="0.15"/>
  <cols>
    <col min="1" max="1" width="3.375" style="32" customWidth="1"/>
    <col min="2" max="2" width="4" style="34" customWidth="1"/>
    <col min="3" max="3" width="20.25" style="32" customWidth="1"/>
    <col min="4" max="4" width="2.875" style="32" customWidth="1"/>
    <col min="5" max="7" width="18.125" style="35" customWidth="1"/>
    <col min="8" max="9" width="18.125" style="32" customWidth="1"/>
    <col min="10" max="10" width="5.75" style="32" customWidth="1"/>
    <col min="11" max="11" width="15.125" style="33" bestFit="1" customWidth="1"/>
    <col min="12" max="16384" width="9" style="32"/>
  </cols>
  <sheetData>
    <row r="1" spans="1:11" ht="30" customHeight="1" x14ac:dyDescent="0.15">
      <c r="A1" s="90" t="s">
        <v>0</v>
      </c>
      <c r="B1" s="90"/>
      <c r="C1" s="90"/>
      <c r="D1" s="90"/>
      <c r="E1" s="90"/>
      <c r="F1" s="90"/>
      <c r="G1" s="90"/>
      <c r="H1" s="90"/>
      <c r="I1" s="90"/>
    </row>
    <row r="2" spans="1:11" ht="30" customHeight="1" thickBot="1" x14ac:dyDescent="0.2">
      <c r="I2" s="36" t="s">
        <v>1</v>
      </c>
    </row>
    <row r="3" spans="1:11" s="37" customFormat="1" ht="20.100000000000001" customHeight="1" x14ac:dyDescent="0.4">
      <c r="A3" s="91" t="s">
        <v>2</v>
      </c>
      <c r="B3" s="92"/>
      <c r="C3" s="92"/>
      <c r="D3" s="93"/>
      <c r="E3" s="100" t="s">
        <v>3</v>
      </c>
      <c r="F3" s="100" t="s">
        <v>4</v>
      </c>
      <c r="G3" s="101" t="s">
        <v>5</v>
      </c>
      <c r="H3" s="102"/>
      <c r="I3" s="103" t="s">
        <v>6</v>
      </c>
      <c r="K3" s="38"/>
    </row>
    <row r="4" spans="1:11" s="37" customFormat="1" ht="20.100000000000001" customHeight="1" x14ac:dyDescent="0.4">
      <c r="A4" s="94"/>
      <c r="B4" s="95"/>
      <c r="C4" s="95"/>
      <c r="D4" s="96"/>
      <c r="E4" s="78"/>
      <c r="F4" s="78"/>
      <c r="G4" s="39" t="s">
        <v>7</v>
      </c>
      <c r="H4" s="40" t="s">
        <v>7</v>
      </c>
      <c r="I4" s="83"/>
      <c r="K4" s="38"/>
    </row>
    <row r="5" spans="1:11" s="37" customFormat="1" ht="20.100000000000001" customHeight="1" x14ac:dyDescent="0.4">
      <c r="A5" s="97"/>
      <c r="B5" s="98"/>
      <c r="C5" s="98"/>
      <c r="D5" s="99"/>
      <c r="E5" s="79"/>
      <c r="F5" s="79"/>
      <c r="G5" s="41" t="s">
        <v>8</v>
      </c>
      <c r="H5" s="42" t="s">
        <v>9</v>
      </c>
      <c r="I5" s="84"/>
      <c r="K5" s="38"/>
    </row>
    <row r="6" spans="1:11" s="37" customFormat="1" ht="20.100000000000001" customHeight="1" x14ac:dyDescent="0.4">
      <c r="A6" s="43">
        <v>1</v>
      </c>
      <c r="B6" s="85" t="s">
        <v>10</v>
      </c>
      <c r="C6" s="86"/>
      <c r="D6" s="44"/>
      <c r="E6" s="45">
        <f>SUM(E7:E7)</f>
        <v>415202</v>
      </c>
      <c r="F6" s="45">
        <f>SUM(F7:F7)</f>
        <v>410219</v>
      </c>
      <c r="G6" s="45">
        <f>SUM(G7:G7)</f>
        <v>13400</v>
      </c>
      <c r="H6" s="45">
        <f>SUM(H7:H7)</f>
        <v>35443</v>
      </c>
      <c r="I6" s="46">
        <f>SUM(I7:I7)</f>
        <v>388176</v>
      </c>
      <c r="K6" s="38"/>
    </row>
    <row r="7" spans="1:11" s="37" customFormat="1" ht="20.100000000000001" customHeight="1" x14ac:dyDescent="0.4">
      <c r="A7" s="47"/>
      <c r="B7" s="48">
        <v>-1</v>
      </c>
      <c r="C7" s="49" t="s">
        <v>12</v>
      </c>
      <c r="D7" s="50"/>
      <c r="E7" s="51">
        <v>415202</v>
      </c>
      <c r="F7" s="51">
        <v>410219</v>
      </c>
      <c r="G7" s="52">
        <v>13400</v>
      </c>
      <c r="H7" s="52">
        <v>35443</v>
      </c>
      <c r="I7" s="46">
        <f>F7+G7-H7</f>
        <v>388176</v>
      </c>
      <c r="K7" s="38"/>
    </row>
    <row r="8" spans="1:11" s="37" customFormat="1" ht="20.100000000000001" customHeight="1" thickBot="1" x14ac:dyDescent="0.45">
      <c r="A8" s="87" t="s">
        <v>11</v>
      </c>
      <c r="B8" s="88"/>
      <c r="C8" s="88"/>
      <c r="D8" s="89"/>
      <c r="E8" s="53">
        <f>E6</f>
        <v>415202</v>
      </c>
      <c r="F8" s="53">
        <f>F6</f>
        <v>410219</v>
      </c>
      <c r="G8" s="53">
        <f>G6</f>
        <v>13400</v>
      </c>
      <c r="H8" s="53">
        <f>H6</f>
        <v>35443</v>
      </c>
      <c r="I8" s="54">
        <f>I6</f>
        <v>388176</v>
      </c>
      <c r="K8" s="38"/>
    </row>
    <row r="9" spans="1:11" s="37" customFormat="1" ht="30" customHeight="1" x14ac:dyDescent="0.4">
      <c r="B9" s="55"/>
      <c r="E9" s="56"/>
      <c r="F9" s="56"/>
      <c r="G9" s="56"/>
      <c r="K9" s="38"/>
    </row>
    <row r="10" spans="1:11" s="37" customFormat="1" ht="20.100000000000001" customHeight="1" x14ac:dyDescent="0.15">
      <c r="B10" s="57"/>
      <c r="E10" s="58" t="s">
        <v>14</v>
      </c>
      <c r="F10" s="58" t="s">
        <v>18</v>
      </c>
      <c r="G10" s="59" t="s">
        <v>19</v>
      </c>
      <c r="H10" s="58" t="s">
        <v>16</v>
      </c>
      <c r="I10" s="58" t="s">
        <v>17</v>
      </c>
      <c r="K10" s="38"/>
    </row>
    <row r="11" spans="1:11" ht="20.100000000000001" customHeight="1" x14ac:dyDescent="0.15">
      <c r="E11" s="17"/>
      <c r="F11" s="17"/>
      <c r="G11" s="17"/>
      <c r="H11" s="17"/>
      <c r="I11" s="17"/>
    </row>
    <row r="12" spans="1:11" x14ac:dyDescent="0.15">
      <c r="E12" s="17"/>
      <c r="F12" s="17"/>
      <c r="G12" s="17"/>
      <c r="H12" s="17"/>
      <c r="I12" s="17"/>
    </row>
    <row r="14" spans="1:11" x14ac:dyDescent="0.15">
      <c r="E14" s="60"/>
      <c r="F14" s="60"/>
      <c r="G14" s="60"/>
      <c r="H14" s="61"/>
      <c r="I14" s="61"/>
    </row>
  </sheetData>
  <mergeCells count="8">
    <mergeCell ref="B6:C6"/>
    <mergeCell ref="A8:D8"/>
    <mergeCell ref="A1:I1"/>
    <mergeCell ref="A3:D5"/>
    <mergeCell ref="E3:E5"/>
    <mergeCell ref="F3:F5"/>
    <mergeCell ref="G3:H3"/>
    <mergeCell ref="I3:I5"/>
  </mergeCells>
  <phoneticPr fontId="1"/>
  <pageMargins left="0.44" right="0.15748031496062992" top="0.78740157480314965" bottom="3.2283464566929134" header="0.31496062992125984" footer="0.51181102362204722"/>
  <pageSetup paperSize="9" fitToHeight="0"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CF878-D700-4AFA-ACD1-615FA59B8819}">
  <sheetPr>
    <pageSetUpPr fitToPage="1"/>
  </sheetPr>
  <dimension ref="A1:K14"/>
  <sheetViews>
    <sheetView view="pageBreakPreview" zoomScale="90" zoomScaleNormal="90" zoomScaleSheetLayoutView="90" workbookViewId="0">
      <pane xSplit="6" ySplit="5" topLeftCell="G6" activePane="bottomRight" state="frozen"/>
      <selection pane="topRight" activeCell="G1" sqref="G1"/>
      <selection pane="bottomLeft" activeCell="A6" sqref="A6"/>
      <selection pane="bottomRight" activeCell="F16" sqref="F16"/>
    </sheetView>
  </sheetViews>
  <sheetFormatPr defaultRowHeight="13.5" x14ac:dyDescent="0.15"/>
  <cols>
    <col min="1" max="1" width="3.375" style="1" customWidth="1"/>
    <col min="2" max="2" width="4" style="3" customWidth="1"/>
    <col min="3" max="3" width="20.25" style="1" customWidth="1"/>
    <col min="4" max="4" width="2.875" style="1" customWidth="1"/>
    <col min="5" max="7" width="18.125" style="4" customWidth="1"/>
    <col min="8" max="9" width="18.125" style="1" customWidth="1"/>
    <col min="10" max="10" width="5.75" style="1" customWidth="1"/>
    <col min="11" max="11" width="15.125" style="2" bestFit="1" customWidth="1"/>
    <col min="12" max="16384" width="9" style="1"/>
  </cols>
  <sheetData>
    <row r="1" spans="1:11" ht="30" customHeight="1" x14ac:dyDescent="0.15">
      <c r="A1" s="67" t="s">
        <v>0</v>
      </c>
      <c r="B1" s="67"/>
      <c r="C1" s="67"/>
      <c r="D1" s="67"/>
      <c r="E1" s="67"/>
      <c r="F1" s="67"/>
      <c r="G1" s="67"/>
      <c r="H1" s="67"/>
      <c r="I1" s="67"/>
    </row>
    <row r="2" spans="1:11" ht="30" customHeight="1" thickBot="1" x14ac:dyDescent="0.2">
      <c r="I2" s="5" t="s">
        <v>1</v>
      </c>
    </row>
    <row r="3" spans="1:11" s="6" customFormat="1" ht="20.100000000000001" customHeight="1" x14ac:dyDescent="0.4">
      <c r="A3" s="68" t="s">
        <v>2</v>
      </c>
      <c r="B3" s="69"/>
      <c r="C3" s="69"/>
      <c r="D3" s="70"/>
      <c r="E3" s="77" t="s">
        <v>3</v>
      </c>
      <c r="F3" s="77" t="s">
        <v>4</v>
      </c>
      <c r="G3" s="80" t="s">
        <v>5</v>
      </c>
      <c r="H3" s="81"/>
      <c r="I3" s="82" t="s">
        <v>6</v>
      </c>
      <c r="K3" s="7"/>
    </row>
    <row r="4" spans="1:11" s="6" customFormat="1" ht="20.100000000000001" customHeight="1" x14ac:dyDescent="0.4">
      <c r="A4" s="71"/>
      <c r="B4" s="72"/>
      <c r="C4" s="72"/>
      <c r="D4" s="73"/>
      <c r="E4" s="78"/>
      <c r="F4" s="78"/>
      <c r="G4" s="28" t="s">
        <v>7</v>
      </c>
      <c r="H4" s="29" t="s">
        <v>7</v>
      </c>
      <c r="I4" s="83"/>
      <c r="K4" s="7"/>
    </row>
    <row r="5" spans="1:11" s="6" customFormat="1" ht="20.100000000000001" customHeight="1" x14ac:dyDescent="0.4">
      <c r="A5" s="74"/>
      <c r="B5" s="75"/>
      <c r="C5" s="75"/>
      <c r="D5" s="76"/>
      <c r="E5" s="79"/>
      <c r="F5" s="79"/>
      <c r="G5" s="30" t="s">
        <v>8</v>
      </c>
      <c r="H5" s="31" t="s">
        <v>9</v>
      </c>
      <c r="I5" s="84"/>
      <c r="K5" s="7"/>
    </row>
    <row r="6" spans="1:11" s="6" customFormat="1" ht="20.100000000000001" customHeight="1" x14ac:dyDescent="0.4">
      <c r="A6" s="8">
        <v>1</v>
      </c>
      <c r="B6" s="62" t="s">
        <v>10</v>
      </c>
      <c r="C6" s="63"/>
      <c r="D6" s="9"/>
      <c r="E6" s="22">
        <f>SUM(E7:E7)</f>
        <v>432196</v>
      </c>
      <c r="F6" s="22">
        <f>SUM(F7:F7)</f>
        <v>415202</v>
      </c>
      <c r="G6" s="22">
        <f>SUM(G7:G7)</f>
        <v>27900</v>
      </c>
      <c r="H6" s="22">
        <f>SUM(H7:H7)</f>
        <v>32883</v>
      </c>
      <c r="I6" s="23">
        <f>SUM(I7:I7)</f>
        <v>410219</v>
      </c>
      <c r="K6" s="7"/>
    </row>
    <row r="7" spans="1:11" s="6" customFormat="1" ht="20.100000000000001" customHeight="1" x14ac:dyDescent="0.4">
      <c r="A7" s="10"/>
      <c r="B7" s="11">
        <v>-1</v>
      </c>
      <c r="C7" s="12" t="s">
        <v>12</v>
      </c>
      <c r="D7" s="13"/>
      <c r="E7" s="24">
        <v>432196</v>
      </c>
      <c r="F7" s="24">
        <v>415202</v>
      </c>
      <c r="G7" s="25">
        <v>27900</v>
      </c>
      <c r="H7" s="25">
        <v>32883</v>
      </c>
      <c r="I7" s="23">
        <f>F7+G7-H7</f>
        <v>410219</v>
      </c>
      <c r="K7" s="7"/>
    </row>
    <row r="8" spans="1:11" s="6" customFormat="1" ht="20.100000000000001" customHeight="1" thickBot="1" x14ac:dyDescent="0.45">
      <c r="A8" s="64" t="s">
        <v>11</v>
      </c>
      <c r="B8" s="65"/>
      <c r="C8" s="65"/>
      <c r="D8" s="66"/>
      <c r="E8" s="26">
        <f>E6</f>
        <v>432196</v>
      </c>
      <c r="F8" s="26">
        <f>F6</f>
        <v>415202</v>
      </c>
      <c r="G8" s="26">
        <f>G6</f>
        <v>27900</v>
      </c>
      <c r="H8" s="26">
        <f>H6</f>
        <v>32883</v>
      </c>
      <c r="I8" s="27">
        <f>I6</f>
        <v>410219</v>
      </c>
      <c r="K8" s="7"/>
    </row>
    <row r="9" spans="1:11" s="6" customFormat="1" ht="30" customHeight="1" x14ac:dyDescent="0.4">
      <c r="B9" s="14"/>
      <c r="E9" s="15"/>
      <c r="F9" s="15"/>
      <c r="G9" s="15"/>
      <c r="K9" s="7"/>
    </row>
    <row r="10" spans="1:11" s="6" customFormat="1" ht="20.100000000000001" customHeight="1" x14ac:dyDescent="0.15">
      <c r="B10" s="16"/>
      <c r="E10" s="18" t="s">
        <v>13</v>
      </c>
      <c r="F10" s="18" t="s">
        <v>14</v>
      </c>
      <c r="G10" s="18" t="s">
        <v>15</v>
      </c>
      <c r="H10" s="19" t="s">
        <v>20</v>
      </c>
      <c r="I10" s="19" t="s">
        <v>18</v>
      </c>
      <c r="K10" s="7"/>
    </row>
    <row r="11" spans="1:11" ht="20.100000000000001" customHeight="1" x14ac:dyDescent="0.15">
      <c r="E11" s="17"/>
      <c r="F11" s="17"/>
      <c r="G11" s="17"/>
      <c r="H11" s="17"/>
      <c r="I11" s="17"/>
    </row>
    <row r="12" spans="1:11" x14ac:dyDescent="0.15">
      <c r="E12" s="17"/>
      <c r="F12" s="17"/>
      <c r="G12" s="17"/>
      <c r="H12" s="17"/>
      <c r="I12" s="17"/>
    </row>
    <row r="14" spans="1:11" x14ac:dyDescent="0.15">
      <c r="E14" s="20"/>
      <c r="F14" s="20"/>
      <c r="G14" s="20"/>
      <c r="H14" s="21"/>
      <c r="I14" s="21"/>
    </row>
  </sheetData>
  <mergeCells count="8">
    <mergeCell ref="B6:C6"/>
    <mergeCell ref="A8:D8"/>
    <mergeCell ref="A1:I1"/>
    <mergeCell ref="A3:D5"/>
    <mergeCell ref="E3:E5"/>
    <mergeCell ref="F3:F5"/>
    <mergeCell ref="G3:H3"/>
    <mergeCell ref="I3:I5"/>
  </mergeCells>
  <phoneticPr fontId="1"/>
  <pageMargins left="0.44" right="0.15748031496062992" top="0.78740157480314965" bottom="3.2283464566929134" header="0.31496062992125984" footer="0.51181102362204722"/>
  <pageSetup paperSize="9" fitToHeight="0"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R7年度3月水道会計</vt:lpstr>
      <vt:lpstr>R5年度3月水道会計 </vt:lpstr>
      <vt:lpstr>R4年度3月水道会計 </vt:lpstr>
      <vt:lpstr>'R4年度3月水道会計 '!Print_Area</vt:lpstr>
      <vt:lpstr>'R5年度3月水道会計 '!Print_Area</vt:lpstr>
      <vt:lpstr>'R7年度3月水道会計'!Print_Area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上遠野友昭</dc:creator>
  <cp:lastModifiedBy>s.sato02</cp:lastModifiedBy>
  <cp:lastPrinted>2025-01-31T05:43:21Z</cp:lastPrinted>
  <dcterms:created xsi:type="dcterms:W3CDTF">2018-10-18T10:05:58Z</dcterms:created>
  <dcterms:modified xsi:type="dcterms:W3CDTF">2025-01-31T05:43:22Z</dcterms:modified>
</cp:coreProperties>
</file>