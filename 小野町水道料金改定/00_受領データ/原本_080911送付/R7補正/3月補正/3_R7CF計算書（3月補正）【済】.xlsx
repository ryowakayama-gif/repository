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 filterPrivacy="1" defaultThemeVersion="124226"/>
  <xr:revisionPtr revIDLastSave="0" documentId="13_ncr:1_{68B229F7-C384-4419-B0D9-E1DFE437C13C}" xr6:coauthVersionLast="45" xr6:coauthVersionMax="45" xr10:uidLastSave="{00000000-0000-0000-0000-000000000000}"/>
  <bookViews>
    <workbookView xWindow="-120" yWindow="-120" windowWidth="20730" windowHeight="11160" tabRatio="719" xr2:uid="{00000000-000D-0000-FFFF-FFFF00000000}"/>
  </bookViews>
  <sheets>
    <sheet name="ＣＦ (提出用・千円)" sheetId="5" r:id="rId1"/>
    <sheet name="ＣＦ（資料・円）" sheetId="7" r:id="rId2"/>
    <sheet name="入力シート" sheetId="1" r:id="rId3"/>
    <sheet name="ＣＦ（参考・円）" sheetId="4" r:id="rId4"/>
    <sheet name="様式" sheetId="2" r:id="rId5"/>
    <sheet name="Sheet3" sheetId="3" r:id="rId6"/>
    <sheet name="Sheet1" sheetId="8" r:id="rId7"/>
  </sheets>
  <definedNames>
    <definedName name="_xlnm.Print_Area" localSheetId="0">'ＣＦ (提出用・千円)'!$B$1:$AA$20</definedName>
    <definedName name="_xlnm.Print_Area" localSheetId="3">'ＣＦ（参考・円）'!$A$1:$V$43</definedName>
    <definedName name="_xlnm.Print_Area" localSheetId="1">'ＣＦ（資料・円）'!$A$1:$Z$44</definedName>
    <definedName name="_xlnm.Print_Area" localSheetId="2">入力シート!$A$1:$W$51</definedName>
  </definedNames>
  <calcPr calcId="191029"/>
</workbook>
</file>

<file path=xl/calcChain.xml><?xml version="1.0" encoding="utf-8"?>
<calcChain xmlns="http://schemas.openxmlformats.org/spreadsheetml/2006/main">
  <c r="W36" i="1" l="1"/>
  <c r="U16" i="1"/>
  <c r="F9" i="1"/>
  <c r="E3" i="1"/>
  <c r="E4" i="1"/>
  <c r="V48" i="1" l="1"/>
  <c r="W48" i="1"/>
  <c r="K13" i="5" l="1"/>
  <c r="K9" i="5"/>
  <c r="E11" i="1"/>
  <c r="K18" i="5" l="1"/>
  <c r="K11" i="5"/>
  <c r="F12" i="1" l="1"/>
  <c r="E8" i="1"/>
  <c r="E7" i="1"/>
  <c r="F3" i="1" l="1"/>
  <c r="W12" i="1"/>
  <c r="U30" i="1" l="1"/>
  <c r="W19" i="1"/>
  <c r="F6" i="1" l="1"/>
  <c r="W9" i="1" l="1"/>
  <c r="T16" i="1"/>
  <c r="T43" i="1" s="1"/>
  <c r="W43" i="1" s="1"/>
  <c r="X14" i="5" s="1"/>
  <c r="X18" i="5"/>
  <c r="S16" i="1"/>
  <c r="S42" i="1" s="1"/>
  <c r="W42" i="1" s="1"/>
  <c r="L32" i="1"/>
  <c r="W32" i="1"/>
  <c r="K31" i="1"/>
  <c r="F11" i="1"/>
  <c r="N11" i="1" s="1"/>
  <c r="N27" i="1" s="1"/>
  <c r="W27" i="1" s="1"/>
  <c r="N6" i="1"/>
  <c r="N26" i="1" s="1"/>
  <c r="W26" i="1" s="1"/>
  <c r="W24" i="1"/>
  <c r="W23" i="1"/>
  <c r="J16" i="1"/>
  <c r="J22" i="1" s="1"/>
  <c r="W22" i="1" s="1"/>
  <c r="F4" i="1"/>
  <c r="F15" i="1"/>
  <c r="U15" i="1" s="1"/>
  <c r="H4" i="1" l="1"/>
  <c r="O3" i="1"/>
  <c r="O16" i="1" s="1"/>
  <c r="Q16" i="1"/>
  <c r="Q38" i="1" s="1"/>
  <c r="O36" i="1" l="1"/>
  <c r="X7" i="5" s="1"/>
  <c r="W3" i="1"/>
  <c r="H16" i="1"/>
  <c r="H20" i="1" s="1"/>
  <c r="W20" i="1" s="1"/>
  <c r="K8" i="5" s="1"/>
  <c r="D10" i="8"/>
  <c r="E16" i="1" l="1"/>
  <c r="B9" i="8"/>
  <c r="K10" i="5" l="1"/>
  <c r="D11" i="3"/>
  <c r="X8" i="5" l="1"/>
  <c r="Z23" i="7" l="1"/>
  <c r="Z38" i="7" l="1"/>
  <c r="Z37" i="7"/>
  <c r="X21" i="7"/>
  <c r="Z16" i="7"/>
  <c r="Z10" i="7"/>
  <c r="D16" i="1" l="1"/>
  <c r="R16" i="1" l="1"/>
  <c r="P16" i="1"/>
  <c r="M16" i="1"/>
  <c r="L16" i="1"/>
  <c r="I16" i="1"/>
  <c r="W31" i="1" l="1"/>
  <c r="R21" i="7" l="1"/>
  <c r="K17" i="5"/>
  <c r="S45" i="1"/>
  <c r="N39" i="1"/>
  <c r="K7" i="5"/>
  <c r="P37" i="1"/>
  <c r="W37" i="1" s="1"/>
  <c r="W38" i="1"/>
  <c r="X9" i="5" s="1"/>
  <c r="X10" i="5" s="1"/>
  <c r="X17" i="5" s="1"/>
  <c r="V49" i="1"/>
  <c r="F5" i="1"/>
  <c r="W35" i="1"/>
  <c r="W34" i="1"/>
  <c r="W21" i="1"/>
  <c r="W25" i="1"/>
  <c r="W41" i="1"/>
  <c r="X13" i="5"/>
  <c r="W44" i="1"/>
  <c r="R36" i="4" s="1"/>
  <c r="W40" i="1"/>
  <c r="R21" i="4"/>
  <c r="E47" i="1"/>
  <c r="F47" i="1"/>
  <c r="G47" i="1"/>
  <c r="D47" i="1"/>
  <c r="I30" i="1"/>
  <c r="I33" i="1" s="1"/>
  <c r="I47" i="1" s="1"/>
  <c r="I49" i="1" s="1"/>
  <c r="K30" i="1"/>
  <c r="L30" i="1"/>
  <c r="L33" i="1" s="1"/>
  <c r="L47" i="1" s="1"/>
  <c r="L49" i="1" s="1"/>
  <c r="M30" i="1"/>
  <c r="M33" i="1" s="1"/>
  <c r="M47" i="1" s="1"/>
  <c r="M49" i="1" s="1"/>
  <c r="O30" i="1"/>
  <c r="O33" i="1" s="1"/>
  <c r="P30" i="1"/>
  <c r="P33" i="1" s="1"/>
  <c r="Q30" i="1"/>
  <c r="Q33" i="1" s="1"/>
  <c r="R30" i="1"/>
  <c r="R33" i="1" s="1"/>
  <c r="R47" i="1" s="1"/>
  <c r="R49" i="1" s="1"/>
  <c r="S30" i="1"/>
  <c r="S33" i="1" s="1"/>
  <c r="T30" i="1"/>
  <c r="T33" i="1" s="1"/>
  <c r="V30" i="1"/>
  <c r="V33" i="1" s="1"/>
  <c r="F10" i="1"/>
  <c r="W10" i="1" s="1"/>
  <c r="F13" i="1"/>
  <c r="W13" i="1" s="1"/>
  <c r="F14" i="1"/>
  <c r="W14" i="1" s="1"/>
  <c r="F7" i="1"/>
  <c r="N7" i="1" s="1"/>
  <c r="F8" i="1"/>
  <c r="N8" i="1" s="1"/>
  <c r="N29" i="1" s="1"/>
  <c r="W29" i="1" s="1"/>
  <c r="K15" i="5" s="1"/>
  <c r="V5" i="1" l="1"/>
  <c r="V16" i="1" s="1"/>
  <c r="N28" i="1"/>
  <c r="W28" i="1" s="1"/>
  <c r="F16" i="1"/>
  <c r="R31" i="7"/>
  <c r="R15" i="7"/>
  <c r="R15" i="4"/>
  <c r="R11" i="4"/>
  <c r="R11" i="7"/>
  <c r="R29" i="4"/>
  <c r="R30" i="7"/>
  <c r="R13" i="4"/>
  <c r="R13" i="7"/>
  <c r="R14" i="4"/>
  <c r="R14" i="7"/>
  <c r="R22" i="4"/>
  <c r="R22" i="7"/>
  <c r="R34" i="4"/>
  <c r="R35" i="7"/>
  <c r="R40" i="4"/>
  <c r="R41" i="7"/>
  <c r="K33" i="1"/>
  <c r="K47" i="1" s="1"/>
  <c r="K49" i="1" s="1"/>
  <c r="S47" i="1"/>
  <c r="S49" i="1" s="1"/>
  <c r="W4" i="1"/>
  <c r="W11" i="1"/>
  <c r="W15" i="1"/>
  <c r="P39" i="1"/>
  <c r="P47" i="1" s="1"/>
  <c r="P49" i="1" s="1"/>
  <c r="Q39" i="1"/>
  <c r="Q47" i="1" s="1"/>
  <c r="Q49" i="1" s="1"/>
  <c r="R30" i="4"/>
  <c r="W5" i="1" l="1"/>
  <c r="R9" i="7"/>
  <c r="R12" i="4"/>
  <c r="R12" i="7"/>
  <c r="R17" i="4"/>
  <c r="R17" i="7"/>
  <c r="R19" i="4"/>
  <c r="R19" i="7"/>
  <c r="W7" i="1"/>
  <c r="K14" i="5"/>
  <c r="K12" i="5"/>
  <c r="K16" i="5" s="1"/>
  <c r="K19" i="5" s="1"/>
  <c r="W8" i="1"/>
  <c r="N16" i="1"/>
  <c r="W16" i="1" s="1"/>
  <c r="J30" i="1"/>
  <c r="J33" i="1" s="1"/>
  <c r="J47" i="1" s="1"/>
  <c r="J49" i="1" s="1"/>
  <c r="H30" i="1"/>
  <c r="W6" i="1"/>
  <c r="R9" i="4"/>
  <c r="R16" i="4" l="1"/>
  <c r="R16" i="7"/>
  <c r="R18" i="4"/>
  <c r="R18" i="7"/>
  <c r="R10" i="4"/>
  <c r="R10" i="7"/>
  <c r="N30" i="1"/>
  <c r="N33" i="1" s="1"/>
  <c r="N47" i="1" s="1"/>
  <c r="N49" i="1" s="1"/>
  <c r="H33" i="1"/>
  <c r="H47" i="1" s="1"/>
  <c r="H49" i="1" s="1"/>
  <c r="O39" i="1"/>
  <c r="W39" i="1" s="1"/>
  <c r="R32" i="7" s="1"/>
  <c r="T45" i="1"/>
  <c r="T47" i="1" s="1"/>
  <c r="U33" i="1"/>
  <c r="U47" i="1" s="1"/>
  <c r="X15" i="5" l="1"/>
  <c r="X19" i="5" s="1"/>
  <c r="R35" i="4"/>
  <c r="R36" i="7"/>
  <c r="R28" i="4"/>
  <c r="R29" i="7"/>
  <c r="W30" i="1"/>
  <c r="W33" i="1"/>
  <c r="O47" i="1"/>
  <c r="O49" i="1" s="1"/>
  <c r="W49" i="1" s="1"/>
  <c r="W45" i="1"/>
  <c r="T49" i="1"/>
  <c r="U49" i="1"/>
  <c r="R31" i="4"/>
  <c r="R23" i="7" l="1"/>
  <c r="W47" i="1"/>
  <c r="R37" i="4"/>
  <c r="R37" i="7"/>
  <c r="R38" i="7"/>
  <c r="R20" i="4"/>
  <c r="R20" i="7"/>
  <c r="R23" i="4"/>
  <c r="R39" i="4" l="1"/>
  <c r="R40" i="7"/>
  <c r="R41" i="4"/>
  <c r="R42" i="7"/>
  <c r="K1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D3" authorId="0" shapeId="0" xr:uid="{1A534A06-CE87-4855-8AE7-05F18E3F8622}">
      <text>
        <r>
          <rPr>
            <b/>
            <sz val="12"/>
            <color indexed="81"/>
            <rFont val="MS P ゴシック"/>
            <family val="3"/>
            <charset val="128"/>
          </rPr>
          <t>貸借対照表の固定資産取得額に、無形固定資産の減価償却額4,726,365円を足す</t>
        </r>
      </text>
    </comment>
    <comment ref="E3" authorId="0" shapeId="0" xr:uid="{00000000-0006-0000-0200-000001000000}">
      <text>
        <r>
          <rPr>
            <b/>
            <sz val="12"/>
            <color indexed="81"/>
            <rFont val="MS P ゴシック"/>
            <family val="3"/>
            <charset val="128"/>
          </rPr>
          <t>貸借対照表の固定資産取得額に、無形固定資産の減価償却額4,726,365円を足す</t>
        </r>
      </text>
    </comment>
    <comment ref="D4" authorId="0" shapeId="0" xr:uid="{11F4BF1B-8121-43F7-8D7D-FBA7EB9B3247}">
      <text>
        <r>
          <rPr>
            <b/>
            <sz val="12"/>
            <color indexed="81"/>
            <rFont val="MS P ゴシック"/>
            <family val="3"/>
            <charset val="128"/>
          </rPr>
          <t xml:space="preserve">貸借対照表の固定資産減価償却累計額に、無形固定資産の減価償却額4,726,365円を足す
</t>
        </r>
      </text>
    </comment>
    <comment ref="E4" authorId="0" shapeId="0" xr:uid="{E579A85D-51ED-4BF5-9A6A-53B24CFE4F43}">
      <text>
        <r>
          <rPr>
            <b/>
            <sz val="12"/>
            <color indexed="81"/>
            <rFont val="MS P ゴシック"/>
            <family val="3"/>
            <charset val="128"/>
          </rPr>
          <t xml:space="preserve">貸借対照表の固定資産減価償却累計額に、無形固定資産の減価償却額4,726,365円を足す
</t>
        </r>
      </text>
    </comment>
    <comment ref="D8" authorId="0" shapeId="0" xr:uid="{5A2463FE-7CE2-4353-B4D9-5EC26BF7A0F0}">
      <text>
        <r>
          <rPr>
            <b/>
            <sz val="9"/>
            <color indexed="81"/>
            <rFont val="MS P ゴシック"/>
            <family val="3"/>
            <charset val="128"/>
          </rPr>
          <t xml:space="preserve"> 貸倒引当金の累計額
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E8" authorId="0" shapeId="0" xr:uid="{6D1A512A-3DB6-4FFE-ADB8-DE768F8AB6A1}">
      <text>
        <r>
          <rPr>
            <b/>
            <sz val="9"/>
            <color indexed="81"/>
            <rFont val="MS P ゴシック"/>
            <family val="3"/>
            <charset val="128"/>
          </rPr>
          <t xml:space="preserve"> 貸倒引当金の累計額
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C9" authorId="0" shapeId="0" xr:uid="{00000000-0006-0000-0200-000003000000}">
      <text>
        <r>
          <rPr>
            <sz val="9"/>
            <color indexed="81"/>
            <rFont val="MS P ゴシック"/>
            <family val="3"/>
            <charset val="128"/>
          </rPr>
          <t xml:space="preserve">固定負債＋流動負債
の企業債及び他会計借入金合計を計上
</t>
        </r>
      </text>
    </comment>
    <comment ref="C11" authorId="0" shapeId="0" xr:uid="{00000000-0006-0000-0200-000004000000}">
      <text>
        <r>
          <rPr>
            <sz val="9"/>
            <color indexed="81"/>
            <rFont val="MS P ゴシック"/>
            <family val="3"/>
            <charset val="128"/>
          </rPr>
          <t>流動負債のうち、企業債及び他会計借入金を除いた額を計上</t>
        </r>
      </text>
    </comment>
    <comment ref="Q12" authorId="0" shapeId="0" xr:uid="{DA38146C-5E6F-4C63-93F2-949B479BEF7F}">
      <text>
        <r>
          <rPr>
            <b/>
            <sz val="9"/>
            <color indexed="81"/>
            <rFont val="MS P ゴシック"/>
            <family val="3"/>
            <charset val="128"/>
          </rPr>
          <t>作成者:</t>
        </r>
        <r>
          <rPr>
            <sz val="9"/>
            <color indexed="81"/>
            <rFont val="MS P ゴシック"/>
            <family val="3"/>
            <charset val="128"/>
          </rPr>
          <t xml:space="preserve">
資本的収入
負担区分による工事負担金：2,333,100円
負担区分によらない工事負担金：1,056,000円
国庫補助金：0円
他会計補助金：34,200,000円
（2,333,100＋1,056,000＋34,200,000）×10/11
</t>
        </r>
      </text>
    </comment>
    <comment ref="W16" authorId="0" shapeId="0" xr:uid="{00000000-0006-0000-0200-000005000000}">
      <text>
        <r>
          <rPr>
            <b/>
            <sz val="12"/>
            <color indexed="81"/>
            <rFont val="MS P ゴシック"/>
            <family val="3"/>
            <charset val="128"/>
          </rPr>
          <t>必ずゼロになる</t>
        </r>
      </text>
    </comment>
  </commentList>
</comments>
</file>

<file path=xl/sharedStrings.xml><?xml version="1.0" encoding="utf-8"?>
<sst xmlns="http://schemas.openxmlformats.org/spreadsheetml/2006/main" count="234" uniqueCount="128">
  <si>
    <t>キャッシュフロー計算書ワークシート(間接法)</t>
    <rPh sb="8" eb="11">
      <t>ケイサンショ</t>
    </rPh>
    <rPh sb="18" eb="20">
      <t>カンセツ</t>
    </rPh>
    <rPh sb="20" eb="21">
      <t>ホウ</t>
    </rPh>
    <phoneticPr fontId="1"/>
  </si>
  <si>
    <t>貸借対照表</t>
    <rPh sb="0" eb="2">
      <t>タイシャク</t>
    </rPh>
    <rPh sb="2" eb="5">
      <t>タイショウヒョウ</t>
    </rPh>
    <phoneticPr fontId="1"/>
  </si>
  <si>
    <t>現金及び預金</t>
    <rPh sb="0" eb="2">
      <t>ゲンキン</t>
    </rPh>
    <rPh sb="2" eb="3">
      <t>オヨ</t>
    </rPh>
    <rPh sb="4" eb="6">
      <t>ヨキン</t>
    </rPh>
    <phoneticPr fontId="1"/>
  </si>
  <si>
    <t>未収金</t>
    <rPh sb="0" eb="3">
      <t>ミシュウキン</t>
    </rPh>
    <phoneticPr fontId="1"/>
  </si>
  <si>
    <t>貯蔵品</t>
    <rPh sb="0" eb="3">
      <t>チョゾウヒン</t>
    </rPh>
    <phoneticPr fontId="1"/>
  </si>
  <si>
    <t>建設改良による企業債</t>
    <rPh sb="0" eb="2">
      <t>ケンセツ</t>
    </rPh>
    <rPh sb="2" eb="4">
      <t>カイリョウ</t>
    </rPh>
    <rPh sb="7" eb="10">
      <t>キギョウサイ</t>
    </rPh>
    <phoneticPr fontId="1"/>
  </si>
  <si>
    <t>長期前受金</t>
    <rPh sb="0" eb="2">
      <t>チョウキ</t>
    </rPh>
    <rPh sb="2" eb="5">
      <t>マエウケキン</t>
    </rPh>
    <phoneticPr fontId="1"/>
  </si>
  <si>
    <t>資本金</t>
    <rPh sb="0" eb="3">
      <t>シホンキン</t>
    </rPh>
    <phoneticPr fontId="1"/>
  </si>
  <si>
    <t>利益剰余金</t>
    <rPh sb="0" eb="2">
      <t>リエキ</t>
    </rPh>
    <rPh sb="2" eb="5">
      <t>ジョウヨキン</t>
    </rPh>
    <phoneticPr fontId="1"/>
  </si>
  <si>
    <t>増減</t>
    <rPh sb="0" eb="2">
      <t>ゾウゲン</t>
    </rPh>
    <phoneticPr fontId="1"/>
  </si>
  <si>
    <t>減価償却費</t>
    <rPh sb="0" eb="2">
      <t>ゲンカ</t>
    </rPh>
    <rPh sb="2" eb="5">
      <t>ショウキャクヒ</t>
    </rPh>
    <phoneticPr fontId="1"/>
  </si>
  <si>
    <t>受取利息</t>
    <rPh sb="0" eb="2">
      <t>ウケトリ</t>
    </rPh>
    <rPh sb="2" eb="4">
      <t>リソク</t>
    </rPh>
    <phoneticPr fontId="1"/>
  </si>
  <si>
    <t>支払利息</t>
    <rPh sb="0" eb="2">
      <t>シハラ</t>
    </rPh>
    <rPh sb="2" eb="4">
      <t>リソク</t>
    </rPh>
    <phoneticPr fontId="1"/>
  </si>
  <si>
    <t>固定資産除却</t>
    <rPh sb="0" eb="2">
      <t>コテイ</t>
    </rPh>
    <rPh sb="2" eb="4">
      <t>シサン</t>
    </rPh>
    <rPh sb="4" eb="6">
      <t>ジョキャク</t>
    </rPh>
    <phoneticPr fontId="1"/>
  </si>
  <si>
    <t>固定資産取得</t>
    <rPh sb="0" eb="4">
      <t>コテイシサン</t>
    </rPh>
    <rPh sb="4" eb="6">
      <t>シュトク</t>
    </rPh>
    <phoneticPr fontId="1"/>
  </si>
  <si>
    <t>国庫補助金</t>
    <rPh sb="0" eb="2">
      <t>コッコ</t>
    </rPh>
    <rPh sb="2" eb="5">
      <t>ホジョキン</t>
    </rPh>
    <phoneticPr fontId="1"/>
  </si>
  <si>
    <t>他会計負担金</t>
    <rPh sb="0" eb="3">
      <t>タカイケイ</t>
    </rPh>
    <rPh sb="3" eb="6">
      <t>フタンキン</t>
    </rPh>
    <phoneticPr fontId="1"/>
  </si>
  <si>
    <t>他会計出資金</t>
    <rPh sb="0" eb="3">
      <t>タカイケイ</t>
    </rPh>
    <rPh sb="3" eb="6">
      <t>シュッシキン</t>
    </rPh>
    <phoneticPr fontId="1"/>
  </si>
  <si>
    <t>企業債発行</t>
    <rPh sb="0" eb="3">
      <t>キギョウサイ</t>
    </rPh>
    <rPh sb="3" eb="5">
      <t>ハッコウ</t>
    </rPh>
    <phoneticPr fontId="1"/>
  </si>
  <si>
    <t>企業債償還</t>
    <rPh sb="0" eb="3">
      <t>キギョウサイ</t>
    </rPh>
    <rPh sb="3" eb="5">
      <t>ショウカン</t>
    </rPh>
    <phoneticPr fontId="1"/>
  </si>
  <si>
    <t>現金及び預金振替</t>
    <rPh sb="0" eb="2">
      <t>ゲンキン</t>
    </rPh>
    <rPh sb="2" eb="3">
      <t>オヨ</t>
    </rPh>
    <rPh sb="4" eb="6">
      <t>ヨキン</t>
    </rPh>
    <rPh sb="6" eb="8">
      <t>フリカエ</t>
    </rPh>
    <phoneticPr fontId="1"/>
  </si>
  <si>
    <t>合計</t>
    <rPh sb="0" eb="2">
      <t>ゴウケイ</t>
    </rPh>
    <phoneticPr fontId="1"/>
  </si>
  <si>
    <t>（単位：千円）</t>
    <rPh sb="1" eb="3">
      <t>タンイ</t>
    </rPh>
    <rPh sb="4" eb="6">
      <t>センエン</t>
    </rPh>
    <phoneticPr fontId="1"/>
  </si>
  <si>
    <t>キャッシュフロー計算書</t>
    <rPh sb="8" eb="11">
      <t>ケイサンショ</t>
    </rPh>
    <phoneticPr fontId="1"/>
  </si>
  <si>
    <t>当年度純利益</t>
    <rPh sb="0" eb="3">
      <t>トウネンド</t>
    </rPh>
    <rPh sb="3" eb="6">
      <t>ジュンリエキ</t>
    </rPh>
    <phoneticPr fontId="1"/>
  </si>
  <si>
    <t>退職給付引当金の減少額</t>
    <rPh sb="0" eb="2">
      <t>タイショク</t>
    </rPh>
    <rPh sb="2" eb="4">
      <t>キュウフ</t>
    </rPh>
    <rPh sb="4" eb="7">
      <t>ヒキアテキン</t>
    </rPh>
    <rPh sb="8" eb="11">
      <t>ゲンショウガク</t>
    </rPh>
    <phoneticPr fontId="1"/>
  </si>
  <si>
    <t>長期前受金戻入額</t>
    <rPh sb="0" eb="2">
      <t>チョウキ</t>
    </rPh>
    <rPh sb="2" eb="5">
      <t>マエウケキン</t>
    </rPh>
    <rPh sb="5" eb="6">
      <t>モド</t>
    </rPh>
    <rPh sb="6" eb="7">
      <t>イ</t>
    </rPh>
    <rPh sb="7" eb="8">
      <t>ガク</t>
    </rPh>
    <phoneticPr fontId="1"/>
  </si>
  <si>
    <t>受取利息及び受取配当金</t>
    <rPh sb="0" eb="2">
      <t>ウケトリ</t>
    </rPh>
    <rPh sb="2" eb="4">
      <t>リソク</t>
    </rPh>
    <rPh sb="4" eb="5">
      <t>オヨ</t>
    </rPh>
    <rPh sb="6" eb="8">
      <t>ウケトリ</t>
    </rPh>
    <rPh sb="8" eb="11">
      <t>ハイトウキン</t>
    </rPh>
    <phoneticPr fontId="1"/>
  </si>
  <si>
    <t>固定資産除却損</t>
    <rPh sb="0" eb="4">
      <t>コテイシサン</t>
    </rPh>
    <rPh sb="4" eb="6">
      <t>ジョキャク</t>
    </rPh>
    <rPh sb="6" eb="7">
      <t>ゾン</t>
    </rPh>
    <phoneticPr fontId="1"/>
  </si>
  <si>
    <t>未収金の減少額</t>
    <rPh sb="0" eb="3">
      <t>ミシュウキン</t>
    </rPh>
    <rPh sb="4" eb="7">
      <t>ゲンショウガク</t>
    </rPh>
    <phoneticPr fontId="1"/>
  </si>
  <si>
    <t>未払金の増加額</t>
    <rPh sb="0" eb="3">
      <t>ミバライキン</t>
    </rPh>
    <rPh sb="4" eb="6">
      <t>ゾウカ</t>
    </rPh>
    <rPh sb="6" eb="7">
      <t>ガク</t>
    </rPh>
    <phoneticPr fontId="1"/>
  </si>
  <si>
    <t>たな卸資産の減少額</t>
    <rPh sb="2" eb="3">
      <t>オロシ</t>
    </rPh>
    <rPh sb="3" eb="5">
      <t>シサン</t>
    </rPh>
    <rPh sb="6" eb="9">
      <t>ゲンショウガク</t>
    </rPh>
    <phoneticPr fontId="1"/>
  </si>
  <si>
    <t>前払金の増加額</t>
    <rPh sb="0" eb="3">
      <t>マエバライキン</t>
    </rPh>
    <rPh sb="4" eb="7">
      <t>ゾウカガク</t>
    </rPh>
    <phoneticPr fontId="1"/>
  </si>
  <si>
    <t>小計</t>
    <rPh sb="0" eb="2">
      <t>ショウケイ</t>
    </rPh>
    <phoneticPr fontId="1"/>
  </si>
  <si>
    <t>利息及び配当金の受取額</t>
    <rPh sb="0" eb="2">
      <t>リソク</t>
    </rPh>
    <rPh sb="2" eb="3">
      <t>オヨ</t>
    </rPh>
    <rPh sb="4" eb="7">
      <t>ハイトウキン</t>
    </rPh>
    <rPh sb="8" eb="10">
      <t>ウケトリ</t>
    </rPh>
    <rPh sb="10" eb="11">
      <t>ガク</t>
    </rPh>
    <phoneticPr fontId="1"/>
  </si>
  <si>
    <t>利息の支払額</t>
    <rPh sb="0" eb="2">
      <t>リソク</t>
    </rPh>
    <rPh sb="3" eb="5">
      <t>シハラ</t>
    </rPh>
    <rPh sb="5" eb="6">
      <t>ガク</t>
    </rPh>
    <phoneticPr fontId="1"/>
  </si>
  <si>
    <t>営業活動によるキャッシュ・フロー</t>
    <rPh sb="0" eb="2">
      <t>エイギョウ</t>
    </rPh>
    <rPh sb="2" eb="4">
      <t>カツドウ</t>
    </rPh>
    <phoneticPr fontId="1"/>
  </si>
  <si>
    <t>Ⅰ営業活動によるキャッシュ・フロー：</t>
    <rPh sb="1" eb="3">
      <t>エイギョウ</t>
    </rPh>
    <rPh sb="3" eb="5">
      <t>カツドウ</t>
    </rPh>
    <phoneticPr fontId="1"/>
  </si>
  <si>
    <t>Ⅱ投資活動によるキャッシュ・フロー</t>
    <rPh sb="1" eb="3">
      <t>トウシ</t>
    </rPh>
    <rPh sb="3" eb="5">
      <t>カツドウ</t>
    </rPh>
    <phoneticPr fontId="1"/>
  </si>
  <si>
    <t>有形固定資産取得による支出</t>
    <rPh sb="0" eb="2">
      <t>ユウケイ</t>
    </rPh>
    <rPh sb="2" eb="4">
      <t>コテイ</t>
    </rPh>
    <rPh sb="4" eb="6">
      <t>シサン</t>
    </rPh>
    <rPh sb="6" eb="8">
      <t>シュトク</t>
    </rPh>
    <rPh sb="11" eb="13">
      <t>シシュツ</t>
    </rPh>
    <phoneticPr fontId="1"/>
  </si>
  <si>
    <t>国庫補助金等による収入</t>
    <rPh sb="0" eb="2">
      <t>コッコ</t>
    </rPh>
    <rPh sb="2" eb="5">
      <t>ホジョキン</t>
    </rPh>
    <rPh sb="5" eb="6">
      <t>トウ</t>
    </rPh>
    <rPh sb="9" eb="11">
      <t>シュウニュウ</t>
    </rPh>
    <phoneticPr fontId="1"/>
  </si>
  <si>
    <t>一般会計又は他の特別会計からの繰入金による収入</t>
    <rPh sb="0" eb="2">
      <t>イッパン</t>
    </rPh>
    <rPh sb="2" eb="4">
      <t>カイケイ</t>
    </rPh>
    <rPh sb="4" eb="5">
      <t>マタ</t>
    </rPh>
    <rPh sb="6" eb="7">
      <t>ホカ</t>
    </rPh>
    <rPh sb="8" eb="10">
      <t>トクベツ</t>
    </rPh>
    <rPh sb="10" eb="12">
      <t>カイケイ</t>
    </rPh>
    <rPh sb="15" eb="18">
      <t>クリイレキン</t>
    </rPh>
    <rPh sb="21" eb="23">
      <t>シュウニュウ</t>
    </rPh>
    <phoneticPr fontId="1"/>
  </si>
  <si>
    <t>投資活動によるキャッシュ・フロー</t>
    <phoneticPr fontId="1"/>
  </si>
  <si>
    <t>Ⅲ財務活動によるキャッシュ・フロー</t>
    <rPh sb="1" eb="3">
      <t>ザイム</t>
    </rPh>
    <rPh sb="3" eb="5">
      <t>カツドウ</t>
    </rPh>
    <phoneticPr fontId="1"/>
  </si>
  <si>
    <t>建設企業債による収入</t>
    <rPh sb="0" eb="2">
      <t>ケンセツ</t>
    </rPh>
    <rPh sb="2" eb="4">
      <t>キギョウ</t>
    </rPh>
    <rPh sb="4" eb="5">
      <t>サイ</t>
    </rPh>
    <rPh sb="8" eb="10">
      <t>シュウニュウ</t>
    </rPh>
    <phoneticPr fontId="1"/>
  </si>
  <si>
    <t>建設企業債の償還による支出</t>
    <rPh sb="6" eb="8">
      <t>ショウカン</t>
    </rPh>
    <rPh sb="11" eb="13">
      <t>シシュツ</t>
    </rPh>
    <phoneticPr fontId="1"/>
  </si>
  <si>
    <t>他会計からの出資による収入</t>
    <rPh sb="0" eb="3">
      <t>タカイケイ</t>
    </rPh>
    <rPh sb="6" eb="8">
      <t>シュッシ</t>
    </rPh>
    <rPh sb="11" eb="13">
      <t>シュウニュウ</t>
    </rPh>
    <phoneticPr fontId="1"/>
  </si>
  <si>
    <t>財務活動によるキャッシュ・フロー</t>
    <phoneticPr fontId="1"/>
  </si>
  <si>
    <t>Ⅳ資金増加(減少)額</t>
    <rPh sb="1" eb="3">
      <t>シキン</t>
    </rPh>
    <rPh sb="3" eb="5">
      <t>ゾウカ</t>
    </rPh>
    <rPh sb="6" eb="8">
      <t>ゲンショウ</t>
    </rPh>
    <rPh sb="9" eb="10">
      <t>ガク</t>
    </rPh>
    <phoneticPr fontId="1"/>
  </si>
  <si>
    <t>Ⅴ資金期首残高</t>
    <rPh sb="1" eb="3">
      <t>シキン</t>
    </rPh>
    <rPh sb="3" eb="5">
      <t>キシュ</t>
    </rPh>
    <rPh sb="5" eb="7">
      <t>ザンダカ</t>
    </rPh>
    <phoneticPr fontId="1"/>
  </si>
  <si>
    <t>Ⅵ資金期末残高</t>
    <rPh sb="1" eb="3">
      <t>シキン</t>
    </rPh>
    <rPh sb="3" eb="5">
      <t>キマツ</t>
    </rPh>
    <rPh sb="5" eb="7">
      <t>ザンダカ</t>
    </rPh>
    <phoneticPr fontId="1"/>
  </si>
  <si>
    <t>間接法</t>
    <rPh sb="0" eb="2">
      <t>カンセツ</t>
    </rPh>
    <rPh sb="2" eb="3">
      <t>ホウ</t>
    </rPh>
    <phoneticPr fontId="1"/>
  </si>
  <si>
    <t>平成２６年４月１日～平成２７年３月３１日</t>
    <rPh sb="0" eb="2">
      <t>ヘイセイ</t>
    </rPh>
    <rPh sb="4" eb="5">
      <t>ネン</t>
    </rPh>
    <rPh sb="6" eb="7">
      <t>ガツ</t>
    </rPh>
    <rPh sb="8" eb="9">
      <t>ニチ</t>
    </rPh>
    <rPh sb="10" eb="12">
      <t>ヘイセイ</t>
    </rPh>
    <rPh sb="14" eb="15">
      <t>ネン</t>
    </rPh>
    <rPh sb="16" eb="17">
      <t>ガツ</t>
    </rPh>
    <rPh sb="19" eb="20">
      <t>ニチ</t>
    </rPh>
    <phoneticPr fontId="1"/>
  </si>
  <si>
    <t>２投資活動によるキャッシュ・フロー</t>
    <rPh sb="1" eb="3">
      <t>トウシ</t>
    </rPh>
    <rPh sb="3" eb="5">
      <t>カツドウ</t>
    </rPh>
    <phoneticPr fontId="1"/>
  </si>
  <si>
    <t>３財務活動によるキャッシュ・フロー</t>
    <rPh sb="1" eb="3">
      <t>ザイム</t>
    </rPh>
    <rPh sb="3" eb="5">
      <t>カツドウ</t>
    </rPh>
    <phoneticPr fontId="1"/>
  </si>
  <si>
    <t>１　業務活動によるキャッシュ・フロー</t>
    <rPh sb="2" eb="4">
      <t>ギョウム</t>
    </rPh>
    <rPh sb="4" eb="6">
      <t>カツドウ</t>
    </rPh>
    <phoneticPr fontId="1"/>
  </si>
  <si>
    <t>　　　当年度純利益</t>
    <rPh sb="3" eb="6">
      <t>トウネンド</t>
    </rPh>
    <rPh sb="6" eb="9">
      <t>ジュンリエキ</t>
    </rPh>
    <phoneticPr fontId="1"/>
  </si>
  <si>
    <t>　　　減価償却費</t>
    <rPh sb="3" eb="5">
      <t>ゲンカ</t>
    </rPh>
    <rPh sb="5" eb="8">
      <t>ショウキャクヒ</t>
    </rPh>
    <phoneticPr fontId="1"/>
  </si>
  <si>
    <t>　　　退職給付引当金の減少額</t>
    <rPh sb="3" eb="5">
      <t>タイショク</t>
    </rPh>
    <rPh sb="5" eb="7">
      <t>キュウフ</t>
    </rPh>
    <rPh sb="7" eb="10">
      <t>ヒキアテキン</t>
    </rPh>
    <rPh sb="11" eb="14">
      <t>ゲンショウガク</t>
    </rPh>
    <phoneticPr fontId="1"/>
  </si>
  <si>
    <t>　　　長期前受金戻入額</t>
    <rPh sb="3" eb="5">
      <t>チョウキ</t>
    </rPh>
    <rPh sb="5" eb="8">
      <t>マエウケキン</t>
    </rPh>
    <rPh sb="8" eb="9">
      <t>モド</t>
    </rPh>
    <rPh sb="9" eb="10">
      <t>イ</t>
    </rPh>
    <rPh sb="10" eb="11">
      <t>ガク</t>
    </rPh>
    <phoneticPr fontId="1"/>
  </si>
  <si>
    <t>(単位：千円)</t>
    <rPh sb="1" eb="3">
      <t>タンイ</t>
    </rPh>
    <rPh sb="4" eb="6">
      <t>センエン</t>
    </rPh>
    <phoneticPr fontId="1"/>
  </si>
  <si>
    <t>２　投資活動によるキャッシュ・フロー</t>
    <rPh sb="2" eb="4">
      <t>トウシ</t>
    </rPh>
    <rPh sb="4" eb="6">
      <t>カツドウ</t>
    </rPh>
    <phoneticPr fontId="1"/>
  </si>
  <si>
    <t>３　財務活動によるキャッシュ・フロー</t>
    <rPh sb="2" eb="4">
      <t>ザイム</t>
    </rPh>
    <rPh sb="4" eb="6">
      <t>カツドウ</t>
    </rPh>
    <phoneticPr fontId="1"/>
  </si>
  <si>
    <t>建設改良企業債による収入</t>
    <rPh sb="0" eb="2">
      <t>ケンセツ</t>
    </rPh>
    <rPh sb="2" eb="4">
      <t>カイリョウ</t>
    </rPh>
    <rPh sb="4" eb="6">
      <t>キギョウ</t>
    </rPh>
    <rPh sb="6" eb="7">
      <t>サイ</t>
    </rPh>
    <rPh sb="10" eb="12">
      <t>シュウニュウ</t>
    </rPh>
    <phoneticPr fontId="1"/>
  </si>
  <si>
    <t>建設改良企業債の償還による支出</t>
    <rPh sb="2" eb="4">
      <t>カイリョウ</t>
    </rPh>
    <rPh sb="8" eb="10">
      <t>ショウカン</t>
    </rPh>
    <rPh sb="13" eb="15">
      <t>シシュツ</t>
    </rPh>
    <phoneticPr fontId="1"/>
  </si>
  <si>
    <t>　　資金期首残高</t>
    <rPh sb="2" eb="4">
      <t>シキン</t>
    </rPh>
    <rPh sb="4" eb="6">
      <t>キシュ</t>
    </rPh>
    <rPh sb="6" eb="8">
      <t>ザンダカ</t>
    </rPh>
    <phoneticPr fontId="1"/>
  </si>
  <si>
    <t>　　資金期末残高</t>
    <rPh sb="2" eb="4">
      <t>シキン</t>
    </rPh>
    <rPh sb="4" eb="6">
      <t>キマツ</t>
    </rPh>
    <rPh sb="6" eb="8">
      <t>ザンダカ</t>
    </rPh>
    <phoneticPr fontId="1"/>
  </si>
  <si>
    <t>業務活動によるキャッシュ・フロー</t>
    <rPh sb="0" eb="2">
      <t>ギョウム</t>
    </rPh>
    <rPh sb="2" eb="4">
      <t>カツドウ</t>
    </rPh>
    <phoneticPr fontId="1"/>
  </si>
  <si>
    <t>投資活動によるキャッシュ・フロー</t>
    <phoneticPr fontId="1"/>
  </si>
  <si>
    <t>財務活動によるキャッシュ・フロー</t>
    <phoneticPr fontId="1"/>
  </si>
  <si>
    <t>前払金・その他流動資産</t>
    <rPh sb="0" eb="2">
      <t>マエバラ</t>
    </rPh>
    <rPh sb="2" eb="3">
      <t>キン</t>
    </rPh>
    <rPh sb="6" eb="7">
      <t>タ</t>
    </rPh>
    <rPh sb="7" eb="9">
      <t>リュウドウ</t>
    </rPh>
    <rPh sb="9" eb="11">
      <t>シサン</t>
    </rPh>
    <phoneticPr fontId="1"/>
  </si>
  <si>
    <t>退職給付引当金</t>
    <rPh sb="0" eb="2">
      <t>タイショク</t>
    </rPh>
    <rPh sb="2" eb="4">
      <t>キュウフ</t>
    </rPh>
    <rPh sb="4" eb="6">
      <t>ヒキアテ</t>
    </rPh>
    <rPh sb="6" eb="7">
      <t>キン</t>
    </rPh>
    <phoneticPr fontId="1"/>
  </si>
  <si>
    <t>受贈財産評価額等</t>
    <rPh sb="0" eb="2">
      <t>ジュゾウ</t>
    </rPh>
    <rPh sb="2" eb="4">
      <t>ザイサン</t>
    </rPh>
    <rPh sb="4" eb="7">
      <t>ヒョウカガク</t>
    </rPh>
    <rPh sb="7" eb="8">
      <t>ナド</t>
    </rPh>
    <phoneticPr fontId="1"/>
  </si>
  <si>
    <t>固定資産・取得価格</t>
    <rPh sb="0" eb="2">
      <t>コテイ</t>
    </rPh>
    <rPh sb="2" eb="4">
      <t>シサン</t>
    </rPh>
    <rPh sb="5" eb="7">
      <t>シュトク</t>
    </rPh>
    <rPh sb="7" eb="9">
      <t>カカク</t>
    </rPh>
    <phoneticPr fontId="1"/>
  </si>
  <si>
    <t>固定資産・減価償却累計額</t>
    <rPh sb="0" eb="2">
      <t>コテイ</t>
    </rPh>
    <rPh sb="2" eb="4">
      <t>シサン</t>
    </rPh>
    <rPh sb="5" eb="7">
      <t>ゲンカ</t>
    </rPh>
    <rPh sb="7" eb="9">
      <t>ショウキャク</t>
    </rPh>
    <rPh sb="9" eb="11">
      <t>ルイケイ</t>
    </rPh>
    <rPh sb="11" eb="12">
      <t>ガク</t>
    </rPh>
    <phoneticPr fontId="1"/>
  </si>
  <si>
    <t>未払金・前受金・その他流動負債</t>
    <rPh sb="0" eb="3">
      <t>ミバライキン</t>
    </rPh>
    <rPh sb="4" eb="6">
      <t>マエウ</t>
    </rPh>
    <rPh sb="6" eb="7">
      <t>キン</t>
    </rPh>
    <rPh sb="10" eb="11">
      <t>タ</t>
    </rPh>
    <rPh sb="11" eb="13">
      <t>リュウドウ</t>
    </rPh>
    <rPh sb="13" eb="15">
      <t>フサイ</t>
    </rPh>
    <phoneticPr fontId="1"/>
  </si>
  <si>
    <t>資産の部</t>
    <rPh sb="0" eb="2">
      <t>シサン</t>
    </rPh>
    <rPh sb="3" eb="4">
      <t>ブ</t>
    </rPh>
    <phoneticPr fontId="1"/>
  </si>
  <si>
    <t>資本の部</t>
    <rPh sb="0" eb="2">
      <t>シホン</t>
    </rPh>
    <rPh sb="3" eb="4">
      <t>ブ</t>
    </rPh>
    <phoneticPr fontId="1"/>
  </si>
  <si>
    <t>負債の部</t>
    <rPh sb="0" eb="2">
      <t>フサイ</t>
    </rPh>
    <rPh sb="3" eb="4">
      <t>ブ</t>
    </rPh>
    <phoneticPr fontId="1"/>
  </si>
  <si>
    <t>退職給付
引当金</t>
    <rPh sb="0" eb="2">
      <t>タイショク</t>
    </rPh>
    <rPh sb="2" eb="4">
      <t>キュウフ</t>
    </rPh>
    <rPh sb="5" eb="8">
      <t>ヒキアテキン</t>
    </rPh>
    <phoneticPr fontId="1"/>
  </si>
  <si>
    <t>長期前受金
戻入</t>
    <rPh sb="0" eb="2">
      <t>チョウキ</t>
    </rPh>
    <rPh sb="2" eb="5">
      <t>マエウケキン</t>
    </rPh>
    <rPh sb="6" eb="8">
      <t>レイニュウ</t>
    </rPh>
    <phoneticPr fontId="1"/>
  </si>
  <si>
    <t>資産・負債
増減</t>
    <rPh sb="0" eb="2">
      <t>シサン</t>
    </rPh>
    <rPh sb="3" eb="5">
      <t>フサイ</t>
    </rPh>
    <rPh sb="6" eb="8">
      <t>ゾウゲン</t>
    </rPh>
    <phoneticPr fontId="1"/>
  </si>
  <si>
    <t>固定資産取得による支出</t>
    <rPh sb="0" eb="2">
      <t>コテイ</t>
    </rPh>
    <rPh sb="2" eb="4">
      <t>シサン</t>
    </rPh>
    <rPh sb="4" eb="6">
      <t>シュトク</t>
    </rPh>
    <rPh sb="9" eb="11">
      <t>シシュツ</t>
    </rPh>
    <phoneticPr fontId="1"/>
  </si>
  <si>
    <t>たな卸資産の増加額</t>
    <rPh sb="2" eb="3">
      <t>オロシ</t>
    </rPh>
    <rPh sb="3" eb="5">
      <t>シサン</t>
    </rPh>
    <rPh sb="6" eb="8">
      <t>ゾウカ</t>
    </rPh>
    <rPh sb="8" eb="9">
      <t>ガク</t>
    </rPh>
    <phoneticPr fontId="1"/>
  </si>
  <si>
    <t>前払金・その他流動資産の減少額</t>
    <rPh sb="0" eb="3">
      <t>マエバライキン</t>
    </rPh>
    <rPh sb="6" eb="7">
      <t>タ</t>
    </rPh>
    <rPh sb="7" eb="9">
      <t>リュウドウ</t>
    </rPh>
    <rPh sb="9" eb="11">
      <t>シサン</t>
    </rPh>
    <rPh sb="12" eb="15">
      <t>ゲンショウガク</t>
    </rPh>
    <phoneticPr fontId="1"/>
  </si>
  <si>
    <t>未払金・その他流動負債の減少額</t>
    <rPh sb="0" eb="3">
      <t>ミバライキン</t>
    </rPh>
    <rPh sb="6" eb="7">
      <t>タ</t>
    </rPh>
    <rPh sb="7" eb="9">
      <t>リュウドウ</t>
    </rPh>
    <rPh sb="9" eb="11">
      <t>フサイ</t>
    </rPh>
    <rPh sb="12" eb="13">
      <t>ゲン</t>
    </rPh>
    <rPh sb="13" eb="14">
      <t>ショウ</t>
    </rPh>
    <rPh sb="14" eb="15">
      <t>ガク</t>
    </rPh>
    <phoneticPr fontId="1"/>
  </si>
  <si>
    <t>①</t>
    <phoneticPr fontId="1"/>
  </si>
  <si>
    <t>②</t>
    <phoneticPr fontId="1"/>
  </si>
  <si>
    <t>③</t>
    <phoneticPr fontId="1"/>
  </si>
  <si>
    <t>　　資金増減額（①+②+③）</t>
    <rPh sb="2" eb="4">
      <t>シキン</t>
    </rPh>
    <rPh sb="4" eb="6">
      <t>ゾウゲン</t>
    </rPh>
    <rPh sb="6" eb="7">
      <t>ガク</t>
    </rPh>
    <phoneticPr fontId="1"/>
  </si>
  <si>
    <t>国庫補助金による収入</t>
    <rPh sb="0" eb="2">
      <t>コッコ</t>
    </rPh>
    <rPh sb="2" eb="5">
      <t>ホジョキン</t>
    </rPh>
    <rPh sb="8" eb="10">
      <t>シュウニュウ</t>
    </rPh>
    <phoneticPr fontId="1"/>
  </si>
  <si>
    <t>前払金・その他流動資産の減少額</t>
    <rPh sb="12" eb="13">
      <t>ゲン</t>
    </rPh>
    <rPh sb="13" eb="14">
      <t>ショウ</t>
    </rPh>
    <phoneticPr fontId="1"/>
  </si>
  <si>
    <t>未収金の増加額</t>
    <rPh sb="0" eb="3">
      <t>ミシュウキン</t>
    </rPh>
    <rPh sb="4" eb="6">
      <t>ゾウカ</t>
    </rPh>
    <rPh sb="6" eb="7">
      <t>ガク</t>
    </rPh>
    <phoneticPr fontId="1"/>
  </si>
  <si>
    <t>　　　予定キャッシュ・フロー計算書</t>
    <rPh sb="3" eb="5">
      <t>ヨテイ</t>
    </rPh>
    <rPh sb="14" eb="17">
      <t>ケイサンショ</t>
    </rPh>
    <phoneticPr fontId="1"/>
  </si>
  <si>
    <t>未払金の減→現金を支出した→ＣＦではマイナス</t>
    <rPh sb="0" eb="1">
      <t>ミ</t>
    </rPh>
    <rPh sb="1" eb="2">
      <t>バラ</t>
    </rPh>
    <rPh sb="2" eb="3">
      <t>キン</t>
    </rPh>
    <rPh sb="4" eb="5">
      <t>ゲン</t>
    </rPh>
    <rPh sb="6" eb="8">
      <t>ゲンキン</t>
    </rPh>
    <rPh sb="9" eb="11">
      <t>シシュツ</t>
    </rPh>
    <phoneticPr fontId="1"/>
  </si>
  <si>
    <t>貯蔵品の増→現金を支出した→ＣＦではマイナス</t>
    <rPh sb="0" eb="3">
      <t>チョゾウヒン</t>
    </rPh>
    <rPh sb="4" eb="5">
      <t>ゾウ</t>
    </rPh>
    <rPh sb="6" eb="8">
      <t>ゲンキン</t>
    </rPh>
    <rPh sb="9" eb="11">
      <t>シシュツ</t>
    </rPh>
    <phoneticPr fontId="1"/>
  </si>
  <si>
    <t>貸倒引当金→現金支出なし→ＣＦではプラス</t>
    <rPh sb="0" eb="5">
      <t>カシダオレヒキアテキン</t>
    </rPh>
    <rPh sb="6" eb="8">
      <t>ゲンキン</t>
    </rPh>
    <rPh sb="8" eb="10">
      <t>シシュツ</t>
    </rPh>
    <phoneticPr fontId="1"/>
  </si>
  <si>
    <t>(単位：円)</t>
    <rPh sb="1" eb="3">
      <t>タンイ</t>
    </rPh>
    <rPh sb="4" eb="5">
      <t>エン</t>
    </rPh>
    <phoneticPr fontId="1"/>
  </si>
  <si>
    <t>減価償却　予算</t>
    <rPh sb="0" eb="2">
      <t>ゲンカ</t>
    </rPh>
    <rPh sb="2" eb="4">
      <t>ショウキャク</t>
    </rPh>
    <rPh sb="5" eb="7">
      <t>ヨサン</t>
    </rPh>
    <phoneticPr fontId="1"/>
  </si>
  <si>
    <t>有形</t>
    <rPh sb="0" eb="1">
      <t>ユウ</t>
    </rPh>
    <rPh sb="1" eb="2">
      <t>ケイ</t>
    </rPh>
    <phoneticPr fontId="1"/>
  </si>
  <si>
    <t>無形</t>
    <rPh sb="0" eb="2">
      <t>ムケイ</t>
    </rPh>
    <phoneticPr fontId="1"/>
  </si>
  <si>
    <t>計</t>
    <rPh sb="0" eb="1">
      <t>ケイ</t>
    </rPh>
    <phoneticPr fontId="1"/>
  </si>
  <si>
    <t>小計</t>
    <rPh sb="0" eb="1">
      <t>ショウ</t>
    </rPh>
    <rPh sb="1" eb="2">
      <t>ケイ</t>
    </rPh>
    <phoneticPr fontId="1"/>
  </si>
  <si>
    <t>長期前受金　予算</t>
    <rPh sb="6" eb="8">
      <t>ヨサン</t>
    </rPh>
    <phoneticPr fontId="1"/>
  </si>
  <si>
    <t>利息　予算</t>
    <rPh sb="0" eb="2">
      <t>リソク</t>
    </rPh>
    <rPh sb="3" eb="5">
      <t>ヨサン</t>
    </rPh>
    <phoneticPr fontId="1"/>
  </si>
  <si>
    <t>企業債</t>
    <rPh sb="0" eb="1">
      <t>キ</t>
    </rPh>
    <rPh sb="1" eb="2">
      <t>ギョウ</t>
    </rPh>
    <rPh sb="2" eb="3">
      <t>サイ</t>
    </rPh>
    <phoneticPr fontId="1"/>
  </si>
  <si>
    <t>一般会計</t>
    <rPh sb="0" eb="2">
      <t>イッパン</t>
    </rPh>
    <rPh sb="2" eb="4">
      <t>カイケイ</t>
    </rPh>
    <phoneticPr fontId="1"/>
  </si>
  <si>
    <t>貸倒引当金　予算</t>
    <rPh sb="0" eb="1">
      <t>カ</t>
    </rPh>
    <rPh sb="1" eb="2">
      <t>タオ</t>
    </rPh>
    <rPh sb="2" eb="4">
      <t>ヒキアテ</t>
    </rPh>
    <rPh sb="4" eb="5">
      <t>キン</t>
    </rPh>
    <rPh sb="6" eb="8">
      <t>ヨサン</t>
    </rPh>
    <phoneticPr fontId="1"/>
  </si>
  <si>
    <t>①</t>
    <phoneticPr fontId="1"/>
  </si>
  <si>
    <t>投資活動によるキャッシュ・フロー</t>
    <phoneticPr fontId="1"/>
  </si>
  <si>
    <t>企業債　予算</t>
    <rPh sb="0" eb="1">
      <t>キ</t>
    </rPh>
    <rPh sb="1" eb="2">
      <t>ギョウ</t>
    </rPh>
    <rPh sb="2" eb="3">
      <t>サイ</t>
    </rPh>
    <rPh sb="4" eb="6">
      <t>ヨサン</t>
    </rPh>
    <phoneticPr fontId="1"/>
  </si>
  <si>
    <t>償還金　予算</t>
    <rPh sb="0" eb="3">
      <t>ショウカンキン</t>
    </rPh>
    <rPh sb="4" eb="6">
      <t>ヨサン</t>
    </rPh>
    <phoneticPr fontId="1"/>
  </si>
  <si>
    <t>財務活動によるキャッシュ・フロー</t>
    <phoneticPr fontId="1"/>
  </si>
  <si>
    <t>償還利息　予算</t>
    <rPh sb="0" eb="2">
      <t>ショウカン</t>
    </rPh>
    <rPh sb="2" eb="4">
      <t>リソク</t>
    </rPh>
    <rPh sb="5" eb="7">
      <t>ヨサン</t>
    </rPh>
    <phoneticPr fontId="1"/>
  </si>
  <si>
    <t>(平成３１年４月１日～平成３２年３月３１日)</t>
    <rPh sb="1" eb="3">
      <t>ヘイセイ</t>
    </rPh>
    <rPh sb="5" eb="6">
      <t>ネン</t>
    </rPh>
    <rPh sb="7" eb="8">
      <t>ガツ</t>
    </rPh>
    <rPh sb="9" eb="10">
      <t>ニチ</t>
    </rPh>
    <rPh sb="11" eb="13">
      <t>ヘイセイ</t>
    </rPh>
    <rPh sb="15" eb="16">
      <t>ネン</t>
    </rPh>
    <rPh sb="17" eb="18">
      <t>ガツ</t>
    </rPh>
    <rPh sb="20" eb="21">
      <t>ニチ</t>
    </rPh>
    <phoneticPr fontId="1"/>
  </si>
  <si>
    <t>平成30年度決算金額</t>
    <rPh sb="0" eb="2">
      <t>ヘイセイ</t>
    </rPh>
    <rPh sb="4" eb="6">
      <t>ネンド</t>
    </rPh>
    <rPh sb="6" eb="8">
      <t>ケッサン</t>
    </rPh>
    <rPh sb="8" eb="10">
      <t>キンガク</t>
    </rPh>
    <phoneticPr fontId="1"/>
  </si>
  <si>
    <t>一般会計からの繰入金等による収入</t>
    <rPh sb="0" eb="2">
      <t>イッパン</t>
    </rPh>
    <rPh sb="2" eb="4">
      <t>カイケイ</t>
    </rPh>
    <rPh sb="7" eb="10">
      <t>クリイレキン</t>
    </rPh>
    <rPh sb="10" eb="11">
      <t>トウ</t>
    </rPh>
    <rPh sb="14" eb="16">
      <t>シュウニュウ</t>
    </rPh>
    <phoneticPr fontId="1"/>
  </si>
  <si>
    <t>未収金の減少額</t>
    <rPh sb="0" eb="3">
      <t>ミシュウキン</t>
    </rPh>
    <rPh sb="4" eb="6">
      <t>ゲンショウ</t>
    </rPh>
    <rPh sb="6" eb="7">
      <t>ガク</t>
    </rPh>
    <phoneticPr fontId="1"/>
  </si>
  <si>
    <t>未収金の減→現金が収入になった→ＣＦではプラス</t>
    <rPh sb="0" eb="3">
      <t>ミシュウキン</t>
    </rPh>
    <rPh sb="4" eb="5">
      <t>ゲン</t>
    </rPh>
    <rPh sb="6" eb="8">
      <t>ゲンキン</t>
    </rPh>
    <rPh sb="9" eb="11">
      <t>シュウニュウ</t>
    </rPh>
    <phoneticPr fontId="1"/>
  </si>
  <si>
    <t>未払金・その他流動負債の増加額</t>
    <rPh sb="0" eb="3">
      <t>ミバライキン</t>
    </rPh>
    <rPh sb="6" eb="7">
      <t>タ</t>
    </rPh>
    <rPh sb="7" eb="9">
      <t>リュウドウ</t>
    </rPh>
    <rPh sb="9" eb="11">
      <t>フサイ</t>
    </rPh>
    <rPh sb="12" eb="14">
      <t>ゾウカ</t>
    </rPh>
    <rPh sb="14" eb="15">
      <t>ガク</t>
    </rPh>
    <phoneticPr fontId="1"/>
  </si>
  <si>
    <t>当年度純損失</t>
    <rPh sb="0" eb="3">
      <t>トウネンド</t>
    </rPh>
    <rPh sb="3" eb="4">
      <t>ジュン</t>
    </rPh>
    <rPh sb="4" eb="6">
      <t>ソンシツ</t>
    </rPh>
    <phoneticPr fontId="1"/>
  </si>
  <si>
    <t>◎「減価償却費、長期前受金戻入額、受取利息及び受取配当金、支払利息、建設改良企業債の償還による支出」は、予算書の数値（千円単位）と一致するようにすること
◎「当年度純利益、資金期末残高」は損益計算書、貸借対照表の数値を四捨五入したものと一致させること
◎純利益と純損失の計算に注意すること。</t>
    <rPh sb="2" eb="4">
      <t>ゲンカ</t>
    </rPh>
    <rPh sb="4" eb="6">
      <t>ショウキャク</t>
    </rPh>
    <rPh sb="6" eb="7">
      <t>ヒ</t>
    </rPh>
    <rPh sb="8" eb="10">
      <t>チョウキ</t>
    </rPh>
    <rPh sb="10" eb="12">
      <t>マエウケ</t>
    </rPh>
    <rPh sb="12" eb="13">
      <t>キン</t>
    </rPh>
    <rPh sb="13" eb="14">
      <t>モド</t>
    </rPh>
    <rPh sb="14" eb="15">
      <t>イ</t>
    </rPh>
    <rPh sb="15" eb="16">
      <t>ガク</t>
    </rPh>
    <rPh sb="17" eb="19">
      <t>ウケトリ</t>
    </rPh>
    <rPh sb="19" eb="21">
      <t>リソク</t>
    </rPh>
    <rPh sb="21" eb="22">
      <t>オヨ</t>
    </rPh>
    <rPh sb="23" eb="25">
      <t>ウケトリ</t>
    </rPh>
    <rPh sb="25" eb="28">
      <t>ハイトウキン</t>
    </rPh>
    <rPh sb="30" eb="31">
      <t>ハラ</t>
    </rPh>
    <rPh sb="31" eb="33">
      <t>リソク</t>
    </rPh>
    <rPh sb="52" eb="54">
      <t>ヨサン</t>
    </rPh>
    <rPh sb="54" eb="55">
      <t>ショ</t>
    </rPh>
    <rPh sb="56" eb="58">
      <t>スウチ</t>
    </rPh>
    <rPh sb="59" eb="61">
      <t>センエン</t>
    </rPh>
    <rPh sb="61" eb="63">
      <t>タンイ</t>
    </rPh>
    <rPh sb="65" eb="67">
      <t>イッチ</t>
    </rPh>
    <rPh sb="80" eb="81">
      <t>トウ</t>
    </rPh>
    <rPh sb="81" eb="83">
      <t>ネンド</t>
    </rPh>
    <rPh sb="83" eb="86">
      <t>ジュンリエキ</t>
    </rPh>
    <rPh sb="87" eb="89">
      <t>シキン</t>
    </rPh>
    <rPh sb="95" eb="97">
      <t>ソンエキ</t>
    </rPh>
    <rPh sb="97" eb="100">
      <t>ケイサンショ</t>
    </rPh>
    <rPh sb="101" eb="103">
      <t>タイシャク</t>
    </rPh>
    <rPh sb="103" eb="106">
      <t>タイショウヒョウ</t>
    </rPh>
    <rPh sb="107" eb="109">
      <t>スウチ</t>
    </rPh>
    <rPh sb="110" eb="114">
      <t>シシャゴニュウ</t>
    </rPh>
    <rPh sb="119" eb="121">
      <t>イッチ</t>
    </rPh>
    <rPh sb="129" eb="132">
      <t>ジュンリエキ</t>
    </rPh>
    <rPh sb="133" eb="136">
      <t>ジュンソンシツ</t>
    </rPh>
    <rPh sb="137" eb="139">
      <t>ケイサン</t>
    </rPh>
    <rPh sb="140" eb="142">
      <t>チュウイ</t>
    </rPh>
    <phoneticPr fontId="1"/>
  </si>
  <si>
    <t>(令和６年４月１日～令和７年３月３１日)</t>
    <rPh sb="1" eb="3">
      <t>レイワ</t>
    </rPh>
    <rPh sb="4" eb="5">
      <t>ネン</t>
    </rPh>
    <rPh sb="5" eb="6">
      <t>ヘイネン</t>
    </rPh>
    <rPh sb="6" eb="7">
      <t>ガツ</t>
    </rPh>
    <rPh sb="8" eb="9">
      <t>ニチ</t>
    </rPh>
    <rPh sb="10" eb="12">
      <t>レイワ</t>
    </rPh>
    <rPh sb="13" eb="14">
      <t>ネン</t>
    </rPh>
    <rPh sb="15" eb="16">
      <t>ガツ</t>
    </rPh>
    <rPh sb="18" eb="19">
      <t>ニチ</t>
    </rPh>
    <phoneticPr fontId="1"/>
  </si>
  <si>
    <t>当年度純利益</t>
    <rPh sb="0" eb="3">
      <t>トウネンド</t>
    </rPh>
    <rPh sb="3" eb="4">
      <t>ジュン</t>
    </rPh>
    <rPh sb="4" eb="6">
      <t>リエキ</t>
    </rPh>
    <phoneticPr fontId="1"/>
  </si>
  <si>
    <t>令和７年度小野町水道事業 予定キャッシュ・フロー計算書</t>
    <rPh sb="0" eb="2">
      <t>レイワ</t>
    </rPh>
    <rPh sb="3" eb="5">
      <t>ネンド</t>
    </rPh>
    <rPh sb="5" eb="8">
      <t>オノマチ</t>
    </rPh>
    <rPh sb="8" eb="10">
      <t>スイドウ</t>
    </rPh>
    <rPh sb="10" eb="12">
      <t>ジギョウ</t>
    </rPh>
    <rPh sb="13" eb="15">
      <t>ヨテイ</t>
    </rPh>
    <rPh sb="24" eb="27">
      <t>ケイサンショ</t>
    </rPh>
    <phoneticPr fontId="1"/>
  </si>
  <si>
    <t>(令和７年４月１日～令和８年３月３１日)</t>
    <rPh sb="1" eb="3">
      <t>レイワ</t>
    </rPh>
    <rPh sb="4" eb="5">
      <t>ネン</t>
    </rPh>
    <rPh sb="5" eb="6">
      <t>ヘイネン</t>
    </rPh>
    <rPh sb="6" eb="7">
      <t>ガツ</t>
    </rPh>
    <rPh sb="8" eb="9">
      <t>ニチ</t>
    </rPh>
    <rPh sb="10" eb="12">
      <t>レイワ</t>
    </rPh>
    <rPh sb="13" eb="14">
      <t>ネン</t>
    </rPh>
    <rPh sb="14" eb="15">
      <t>ヘイネン</t>
    </rPh>
    <rPh sb="15" eb="16">
      <t>ガツ</t>
    </rPh>
    <rPh sb="18" eb="19">
      <t>ニチ</t>
    </rPh>
    <phoneticPr fontId="1"/>
  </si>
  <si>
    <t>赤字は3月入力済</t>
    <rPh sb="0" eb="2">
      <t>アカジ</t>
    </rPh>
    <rPh sb="4" eb="5">
      <t>ガツ</t>
    </rPh>
    <rPh sb="5" eb="8">
      <t>ニュウリョクスミ</t>
    </rPh>
    <phoneticPr fontId="1"/>
  </si>
  <si>
    <t>91,717,598になる（差919,860円）</t>
    <rPh sb="14" eb="15">
      <t>サ</t>
    </rPh>
    <rPh sb="22" eb="23">
      <t>エン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</si>
</sst>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,##0_);\(#,##0\)"/>
    <numFmt numFmtId="177" formatCode="#,##0;&quot;△ &quot;#,##0"/>
    <numFmt numFmtId="178" formatCode="#,##0;#,##0"/>
  </numFmts>
  <fonts count="2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rgb="FFFF0000"/>
      <name val="ＭＳ Ｐゴシック"/>
      <family val="2"/>
      <charset val="128"/>
      <scheme val="minor"/>
    </font>
    <font>
      <b/>
      <sz val="11"/>
      <color theme="1"/>
      <name val="ＭＳ 明朝"/>
      <family val="1"/>
      <charset val="128"/>
    </font>
    <font>
      <b/>
      <sz val="14"/>
      <color theme="1"/>
      <name val="ＭＳ 明朝"/>
      <family val="1"/>
      <charset val="128"/>
    </font>
    <font>
      <b/>
      <sz val="11"/>
      <color rgb="FFFF0000"/>
      <name val="ＭＳ 明朝"/>
      <family val="1"/>
      <charset val="128"/>
    </font>
    <font>
      <b/>
      <sz val="12"/>
      <color indexed="81"/>
      <name val="MS P ゴシック"/>
      <family val="3"/>
      <charset val="128"/>
    </font>
    <font>
      <b/>
      <sz val="12"/>
      <color theme="1"/>
      <name val="ＭＳ 明朝"/>
      <family val="1"/>
      <charset val="128"/>
    </font>
    <font>
      <sz val="9"/>
      <color indexed="81"/>
      <name val="MS P ゴシック"/>
      <family val="3"/>
      <charset val="128"/>
    </font>
    <font>
      <b/>
      <sz val="16"/>
      <color theme="1"/>
      <name val="ＭＳ 明朝"/>
      <family val="1"/>
      <charset val="128"/>
    </font>
    <font>
      <b/>
      <sz val="11"/>
      <name val="ＭＳ 明朝"/>
      <family val="1"/>
      <charset val="128"/>
    </font>
    <font>
      <b/>
      <sz val="11"/>
      <color rgb="FF0070C0"/>
      <name val="ＭＳ 明朝"/>
      <family val="1"/>
      <charset val="128"/>
    </font>
    <font>
      <b/>
      <sz val="10"/>
      <color rgb="FFFF0000"/>
      <name val="ＭＳ 明朝"/>
      <family val="1"/>
      <charset val="128"/>
    </font>
    <font>
      <b/>
      <sz val="12"/>
      <color rgb="FFFFFF00"/>
      <name val="ＭＳ 明朝"/>
      <family val="1"/>
      <charset val="128"/>
    </font>
    <font>
      <sz val="11"/>
      <name val="ＭＳ Ｐゴシック"/>
      <family val="3"/>
      <charset val="128"/>
    </font>
    <font>
      <b/>
      <sz val="9"/>
      <color indexed="81"/>
      <name val="MS P ゴシック"/>
      <family val="3"/>
      <charset val="128"/>
    </font>
    <font>
      <sz val="11"/>
      <color rgb="FF00B0F0"/>
      <name val="ＭＳ Ｐゴシック"/>
      <family val="2"/>
      <charset val="128"/>
      <scheme val="minor"/>
    </font>
    <font>
      <b/>
      <sz val="12"/>
      <color rgb="FFFF0000"/>
      <name val="ＭＳ 明朝"/>
      <family val="1"/>
      <charset val="128"/>
    </font>
    <font>
      <b/>
      <sz val="12"/>
      <name val="ＭＳ 明朝"/>
      <family val="1"/>
      <charset val="128"/>
    </font>
    <font>
      <sz val="11"/>
      <color rgb="FF0070C0"/>
      <name val="ＭＳ Ｐゴシック"/>
      <family val="2"/>
      <charset val="128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CCFF66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38" fontId="15" fillId="0" borderId="0" applyFont="0" applyFill="0" applyBorder="0" applyAlignment="0" applyProtection="0"/>
  </cellStyleXfs>
  <cellXfs count="141">
    <xf numFmtId="0" fontId="0" fillId="0" borderId="0" xfId="0">
      <alignment vertical="center"/>
    </xf>
    <xf numFmtId="176" fontId="0" fillId="0" borderId="1" xfId="1" applyNumberFormat="1" applyFont="1" applyBorder="1">
      <alignment vertical="center"/>
    </xf>
    <xf numFmtId="176" fontId="0" fillId="0" borderId="1" xfId="0" applyNumberFormat="1" applyBorder="1">
      <alignment vertical="center"/>
    </xf>
    <xf numFmtId="38" fontId="0" fillId="0" borderId="0" xfId="1" applyFont="1">
      <alignment vertical="center"/>
    </xf>
    <xf numFmtId="176" fontId="0" fillId="4" borderId="2" xfId="1" applyNumberFormat="1" applyFont="1" applyFill="1" applyBorder="1">
      <alignment vertical="center"/>
    </xf>
    <xf numFmtId="176" fontId="0" fillId="4" borderId="1" xfId="0" applyNumberFormat="1" applyFill="1" applyBorder="1">
      <alignment vertical="center"/>
    </xf>
    <xf numFmtId="176" fontId="0" fillId="6" borderId="1" xfId="1" applyNumberFormat="1" applyFont="1" applyFill="1" applyBorder="1">
      <alignment vertical="center"/>
    </xf>
    <xf numFmtId="176" fontId="0" fillId="7" borderId="1" xfId="0" applyNumberFormat="1" applyFill="1" applyBorder="1">
      <alignment vertical="center"/>
    </xf>
    <xf numFmtId="0" fontId="0" fillId="0" borderId="0" xfId="0" applyAlignment="1">
      <alignment vertical="center"/>
    </xf>
    <xf numFmtId="176" fontId="0" fillId="9" borderId="1" xfId="0" applyNumberFormat="1" applyFill="1" applyBorder="1">
      <alignment vertical="center"/>
    </xf>
    <xf numFmtId="176" fontId="0" fillId="0" borderId="0" xfId="0" applyNumberFormat="1">
      <alignment vertical="center"/>
    </xf>
    <xf numFmtId="176" fontId="0" fillId="3" borderId="1" xfId="0" applyNumberFormat="1" applyFill="1" applyBorder="1" applyAlignment="1">
      <alignment horizontal="center" vertical="center"/>
    </xf>
    <xf numFmtId="176" fontId="0" fillId="5" borderId="1" xfId="0" applyNumberFormat="1" applyFill="1" applyBorder="1">
      <alignment vertical="center"/>
    </xf>
    <xf numFmtId="176" fontId="0" fillId="4" borderId="2" xfId="0" applyNumberFormat="1" applyFill="1" applyBorder="1">
      <alignment vertical="center"/>
    </xf>
    <xf numFmtId="176" fontId="0" fillId="5" borderId="2" xfId="0" applyNumberFormat="1" applyFill="1" applyBorder="1">
      <alignment vertical="center"/>
    </xf>
    <xf numFmtId="176" fontId="0" fillId="2" borderId="1" xfId="0" applyNumberFormat="1" applyFill="1" applyBorder="1">
      <alignment vertical="center"/>
    </xf>
    <xf numFmtId="176" fontId="0" fillId="6" borderId="1" xfId="0" applyNumberFormat="1" applyFill="1" applyBorder="1">
      <alignment vertical="center"/>
    </xf>
    <xf numFmtId="176" fontId="0" fillId="8" borderId="1" xfId="0" applyNumberFormat="1" applyFill="1" applyBorder="1">
      <alignment vertical="center"/>
    </xf>
    <xf numFmtId="176" fontId="0" fillId="8" borderId="1" xfId="1" applyNumberFormat="1" applyFont="1" applyFill="1" applyBorder="1">
      <alignment vertical="center"/>
    </xf>
    <xf numFmtId="14" fontId="0" fillId="3" borderId="1" xfId="0" applyNumberFormat="1" applyFill="1" applyBorder="1">
      <alignment vertical="center"/>
    </xf>
    <xf numFmtId="176" fontId="3" fillId="0" borderId="0" xfId="0" applyNumberFormat="1" applyFont="1">
      <alignment vertical="center"/>
    </xf>
    <xf numFmtId="176" fontId="0" fillId="3" borderId="1" xfId="0" applyNumberFormat="1" applyFill="1" applyBorder="1" applyAlignment="1">
      <alignment horizontal="center" vertical="center" wrapText="1"/>
    </xf>
    <xf numFmtId="0" fontId="4" fillId="0" borderId="0" xfId="0" applyFont="1" applyBorder="1">
      <alignment vertical="center"/>
    </xf>
    <xf numFmtId="0" fontId="4" fillId="0" borderId="0" xfId="0" applyFont="1" applyBorder="1" applyAlignment="1">
      <alignment vertical="center"/>
    </xf>
    <xf numFmtId="0" fontId="4" fillId="0" borderId="3" xfId="0" applyFont="1" applyBorder="1">
      <alignment vertical="center"/>
    </xf>
    <xf numFmtId="0" fontId="4" fillId="0" borderId="3" xfId="0" applyFont="1" applyBorder="1" applyAlignment="1">
      <alignment vertical="center"/>
    </xf>
    <xf numFmtId="38" fontId="4" fillId="0" borderId="0" xfId="1" applyFont="1" applyBorder="1" applyAlignment="1">
      <alignment horizontal="right" vertical="center"/>
    </xf>
    <xf numFmtId="0" fontId="4" fillId="0" borderId="6" xfId="0" applyFont="1" applyBorder="1">
      <alignment vertical="center"/>
    </xf>
    <xf numFmtId="0" fontId="4" fillId="0" borderId="6" xfId="0" applyFont="1" applyBorder="1" applyAlignment="1">
      <alignment vertical="center"/>
    </xf>
    <xf numFmtId="0" fontId="4" fillId="0" borderId="0" xfId="0" applyFont="1" applyBorder="1" applyAlignment="1">
      <alignment horizontal="left" vertical="center"/>
    </xf>
    <xf numFmtId="0" fontId="4" fillId="0" borderId="5" xfId="0" applyFont="1" applyBorder="1">
      <alignment vertical="center"/>
    </xf>
    <xf numFmtId="0" fontId="4" fillId="0" borderId="7" xfId="0" applyFont="1" applyBorder="1">
      <alignment vertical="center"/>
    </xf>
    <xf numFmtId="0" fontId="4" fillId="0" borderId="0" xfId="0" applyFont="1">
      <alignment vertical="center"/>
    </xf>
    <xf numFmtId="0" fontId="4" fillId="0" borderId="8" xfId="0" applyFont="1" applyBorder="1">
      <alignment vertical="center"/>
    </xf>
    <xf numFmtId="0" fontId="4" fillId="0" borderId="9" xfId="0" applyFont="1" applyBorder="1">
      <alignment vertical="center"/>
    </xf>
    <xf numFmtId="0" fontId="4" fillId="0" borderId="11" xfId="0" applyFont="1" applyBorder="1">
      <alignment vertical="center"/>
    </xf>
    <xf numFmtId="0" fontId="4" fillId="0" borderId="10" xfId="0" applyFont="1" applyBorder="1">
      <alignment vertical="center"/>
    </xf>
    <xf numFmtId="0" fontId="4" fillId="0" borderId="8" xfId="0" applyFont="1" applyBorder="1" applyAlignment="1">
      <alignment vertical="center"/>
    </xf>
    <xf numFmtId="0" fontId="6" fillId="0" borderId="0" xfId="0" applyFont="1">
      <alignment vertical="center"/>
    </xf>
    <xf numFmtId="38" fontId="4" fillId="0" borderId="0" xfId="1" applyFont="1">
      <alignment vertical="center"/>
    </xf>
    <xf numFmtId="0" fontId="4" fillId="0" borderId="0" xfId="0" applyFont="1" applyBorder="1" applyAlignment="1">
      <alignment horizontal="right" vertical="center"/>
    </xf>
    <xf numFmtId="0" fontId="4" fillId="0" borderId="3" xfId="0" applyFont="1" applyBorder="1" applyAlignment="1">
      <alignment horizontal="right" vertical="center"/>
    </xf>
    <xf numFmtId="176" fontId="3" fillId="0" borderId="1" xfId="1" applyNumberFormat="1" applyFont="1" applyBorder="1" applyAlignment="1">
      <alignment vertical="center" shrinkToFit="1"/>
    </xf>
    <xf numFmtId="176" fontId="0" fillId="0" borderId="1" xfId="1" applyNumberFormat="1" applyFont="1" applyBorder="1" applyAlignment="1">
      <alignment vertical="center" shrinkToFit="1"/>
    </xf>
    <xf numFmtId="177" fontId="8" fillId="0" borderId="0" xfId="0" applyNumberFormat="1" applyFont="1" applyBorder="1">
      <alignment vertical="center"/>
    </xf>
    <xf numFmtId="38" fontId="4" fillId="0" borderId="0" xfId="1" applyFont="1" applyBorder="1" applyAlignment="1">
      <alignment horizontal="right" vertical="center"/>
    </xf>
    <xf numFmtId="0" fontId="4" fillId="0" borderId="3" xfId="0" applyFont="1" applyBorder="1" applyAlignment="1">
      <alignment horizontal="right" vertical="center"/>
    </xf>
    <xf numFmtId="38" fontId="4" fillId="0" borderId="3" xfId="1" applyFont="1" applyBorder="1" applyAlignment="1">
      <alignment horizontal="right" vertical="center"/>
    </xf>
    <xf numFmtId="0" fontId="4" fillId="0" borderId="0" xfId="0" applyFont="1" applyBorder="1" applyAlignment="1">
      <alignment horizontal="right" vertical="center"/>
    </xf>
    <xf numFmtId="38" fontId="4" fillId="0" borderId="0" xfId="1" applyFont="1" applyAlignment="1">
      <alignment vertical="center"/>
    </xf>
    <xf numFmtId="0" fontId="4" fillId="0" borderId="1" xfId="0" applyFont="1" applyBorder="1">
      <alignment vertical="center"/>
    </xf>
    <xf numFmtId="38" fontId="4" fillId="0" borderId="1" xfId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38" fontId="6" fillId="0" borderId="1" xfId="1" applyFont="1" applyBorder="1" applyAlignment="1">
      <alignment vertical="center"/>
    </xf>
    <xf numFmtId="38" fontId="6" fillId="0" borderId="1" xfId="0" applyNumberFormat="1" applyFont="1" applyBorder="1">
      <alignment vertical="center"/>
    </xf>
    <xf numFmtId="0" fontId="4" fillId="0" borderId="2" xfId="0" applyFont="1" applyBorder="1">
      <alignment vertical="center"/>
    </xf>
    <xf numFmtId="38" fontId="6" fillId="0" borderId="2" xfId="1" applyFont="1" applyBorder="1" applyAlignment="1">
      <alignment vertical="center"/>
    </xf>
    <xf numFmtId="38" fontId="4" fillId="0" borderId="1" xfId="1" applyFont="1" applyBorder="1" applyAlignment="1">
      <alignment vertical="center"/>
    </xf>
    <xf numFmtId="0" fontId="11" fillId="0" borderId="2" xfId="0" applyFont="1" applyBorder="1">
      <alignment vertical="center"/>
    </xf>
    <xf numFmtId="38" fontId="11" fillId="0" borderId="2" xfId="1" applyFont="1" applyBorder="1" applyAlignment="1">
      <alignment vertical="center"/>
    </xf>
    <xf numFmtId="38" fontId="11" fillId="0" borderId="0" xfId="1" applyFont="1" applyAlignment="1">
      <alignment vertical="center"/>
    </xf>
    <xf numFmtId="0" fontId="11" fillId="0" borderId="0" xfId="0" applyFont="1">
      <alignment vertical="center"/>
    </xf>
    <xf numFmtId="38" fontId="11" fillId="0" borderId="1" xfId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38" fontId="12" fillId="0" borderId="0" xfId="1" applyFont="1">
      <alignment vertical="center"/>
    </xf>
    <xf numFmtId="38" fontId="12" fillId="0" borderId="0" xfId="1" applyFont="1" applyAlignment="1">
      <alignment vertical="center"/>
    </xf>
    <xf numFmtId="0" fontId="11" fillId="0" borderId="0" xfId="0" applyFont="1" applyBorder="1" applyAlignment="1">
      <alignment horizontal="center" vertical="center"/>
    </xf>
    <xf numFmtId="38" fontId="11" fillId="0" borderId="0" xfId="1" applyFont="1" applyBorder="1" applyAlignment="1">
      <alignment vertical="center"/>
    </xf>
    <xf numFmtId="38" fontId="13" fillId="0" borderId="1" xfId="1" applyFont="1" applyBorder="1" applyAlignment="1">
      <alignment vertical="center"/>
    </xf>
    <xf numFmtId="38" fontId="13" fillId="0" borderId="1" xfId="0" applyNumberFormat="1" applyFont="1" applyBorder="1">
      <alignment vertical="center"/>
    </xf>
    <xf numFmtId="1" fontId="0" fillId="0" borderId="0" xfId="0" applyNumberFormat="1">
      <alignment vertical="center"/>
    </xf>
    <xf numFmtId="177" fontId="8" fillId="11" borderId="5" xfId="0" applyNumberFormat="1" applyFont="1" applyFill="1" applyBorder="1">
      <alignment vertical="center"/>
    </xf>
    <xf numFmtId="177" fontId="8" fillId="11" borderId="6" xfId="0" applyNumberFormat="1" applyFont="1" applyFill="1" applyBorder="1">
      <alignment vertical="center"/>
    </xf>
    <xf numFmtId="177" fontId="8" fillId="11" borderId="7" xfId="0" applyNumberFormat="1" applyFont="1" applyFill="1" applyBorder="1">
      <alignment vertical="center"/>
    </xf>
    <xf numFmtId="177" fontId="8" fillId="11" borderId="11" xfId="0" applyNumberFormat="1" applyFont="1" applyFill="1" applyBorder="1">
      <alignment vertical="center"/>
    </xf>
    <xf numFmtId="177" fontId="8" fillId="11" borderId="3" xfId="0" applyNumberFormat="1" applyFont="1" applyFill="1" applyBorder="1">
      <alignment vertical="center"/>
    </xf>
    <xf numFmtId="177" fontId="8" fillId="11" borderId="8" xfId="0" applyNumberFormat="1" applyFont="1" applyFill="1" applyBorder="1">
      <alignment vertical="center"/>
    </xf>
    <xf numFmtId="177" fontId="8" fillId="11" borderId="0" xfId="0" applyNumberFormat="1" applyFont="1" applyFill="1" applyBorder="1">
      <alignment vertical="center"/>
    </xf>
    <xf numFmtId="177" fontId="8" fillId="11" borderId="0" xfId="0" applyNumberFormat="1" applyFont="1" applyFill="1" applyBorder="1" applyAlignment="1">
      <alignment vertical="center"/>
    </xf>
    <xf numFmtId="177" fontId="8" fillId="11" borderId="9" xfId="0" applyNumberFormat="1" applyFont="1" applyFill="1" applyBorder="1">
      <alignment vertical="center"/>
    </xf>
    <xf numFmtId="177" fontId="8" fillId="11" borderId="8" xfId="0" applyNumberFormat="1" applyFont="1" applyFill="1" applyBorder="1" applyAlignment="1">
      <alignment vertical="center"/>
    </xf>
    <xf numFmtId="177" fontId="8" fillId="11" borderId="0" xfId="0" applyNumberFormat="1" applyFont="1" applyFill="1" applyBorder="1" applyAlignment="1">
      <alignment horizontal="left" vertical="center"/>
    </xf>
    <xf numFmtId="177" fontId="8" fillId="11" borderId="0" xfId="0" applyNumberFormat="1" applyFont="1" applyFill="1" applyBorder="1" applyAlignment="1">
      <alignment horizontal="right" vertical="center"/>
    </xf>
    <xf numFmtId="177" fontId="8" fillId="11" borderId="3" xfId="1" applyNumberFormat="1" applyFont="1" applyFill="1" applyBorder="1" applyAlignment="1">
      <alignment horizontal="right" vertical="center"/>
    </xf>
    <xf numFmtId="176" fontId="0" fillId="11" borderId="1" xfId="0" applyNumberFormat="1" applyFont="1" applyFill="1" applyBorder="1">
      <alignment vertical="center"/>
    </xf>
    <xf numFmtId="176" fontId="0" fillId="11" borderId="1" xfId="0" applyNumberFormat="1" applyFill="1" applyBorder="1">
      <alignment vertical="center"/>
    </xf>
    <xf numFmtId="177" fontId="8" fillId="11" borderId="3" xfId="0" applyNumberFormat="1" applyFont="1" applyFill="1" applyBorder="1" applyAlignment="1">
      <alignment horizontal="right" vertical="center"/>
    </xf>
    <xf numFmtId="177" fontId="8" fillId="11" borderId="3" xfId="0" applyNumberFormat="1" applyFont="1" applyFill="1" applyBorder="1" applyAlignment="1">
      <alignment vertical="center"/>
    </xf>
    <xf numFmtId="177" fontId="8" fillId="11" borderId="3" xfId="0" applyNumberFormat="1" applyFont="1" applyFill="1" applyBorder="1" applyAlignment="1">
      <alignment horizontal="left" vertical="center"/>
    </xf>
    <xf numFmtId="177" fontId="8" fillId="11" borderId="10" xfId="0" applyNumberFormat="1" applyFont="1" applyFill="1" applyBorder="1">
      <alignment vertical="center"/>
    </xf>
    <xf numFmtId="176" fontId="17" fillId="0" borderId="1" xfId="1" applyNumberFormat="1" applyFont="1" applyBorder="1" applyAlignment="1">
      <alignment vertical="center" shrinkToFit="1"/>
    </xf>
    <xf numFmtId="176" fontId="17" fillId="10" borderId="1" xfId="0" applyNumberFormat="1" applyFont="1" applyFill="1" applyBorder="1">
      <alignment vertical="center"/>
    </xf>
    <xf numFmtId="176" fontId="17" fillId="10" borderId="1" xfId="1" applyNumberFormat="1" applyFont="1" applyFill="1" applyBorder="1">
      <alignment vertical="center"/>
    </xf>
    <xf numFmtId="177" fontId="8" fillId="0" borderId="8" xfId="0" applyNumberFormat="1" applyFont="1" applyBorder="1" applyAlignment="1">
      <alignment horizontal="center" vertical="center"/>
    </xf>
    <xf numFmtId="177" fontId="8" fillId="0" borderId="0" xfId="0" applyNumberFormat="1" applyFont="1" applyBorder="1" applyAlignment="1">
      <alignment horizontal="center" vertical="center"/>
    </xf>
    <xf numFmtId="177" fontId="8" fillId="11" borderId="0" xfId="1" applyNumberFormat="1" applyFont="1" applyFill="1" applyBorder="1" applyAlignment="1">
      <alignment horizontal="right" vertical="center"/>
    </xf>
    <xf numFmtId="177" fontId="14" fillId="0" borderId="12" xfId="0" applyNumberFormat="1" applyFont="1" applyBorder="1" applyAlignment="1">
      <alignment vertical="center" wrapText="1"/>
    </xf>
    <xf numFmtId="177" fontId="14" fillId="0" borderId="13" xfId="0" applyNumberFormat="1" applyFont="1" applyBorder="1" applyAlignment="1">
      <alignment vertical="center" wrapText="1"/>
    </xf>
    <xf numFmtId="177" fontId="14" fillId="0" borderId="14" xfId="0" applyNumberFormat="1" applyFont="1" applyBorder="1" applyAlignment="1">
      <alignment vertical="center" wrapText="1"/>
    </xf>
    <xf numFmtId="177" fontId="14" fillId="0" borderId="15" xfId="0" applyNumberFormat="1" applyFont="1" applyBorder="1" applyAlignment="1">
      <alignment vertical="center" wrapText="1"/>
    </xf>
    <xf numFmtId="177" fontId="14" fillId="0" borderId="0" xfId="0" applyNumberFormat="1" applyFont="1" applyBorder="1" applyAlignment="1">
      <alignment vertical="center" wrapText="1"/>
    </xf>
    <xf numFmtId="177" fontId="14" fillId="0" borderId="16" xfId="0" applyNumberFormat="1" applyFont="1" applyBorder="1" applyAlignment="1">
      <alignment vertical="center" wrapText="1"/>
    </xf>
    <xf numFmtId="177" fontId="14" fillId="0" borderId="17" xfId="0" applyNumberFormat="1" applyFont="1" applyBorder="1" applyAlignment="1">
      <alignment vertical="center" wrapText="1"/>
    </xf>
    <xf numFmtId="177" fontId="14" fillId="0" borderId="18" xfId="0" applyNumberFormat="1" applyFont="1" applyBorder="1" applyAlignment="1">
      <alignment vertical="center" wrapText="1"/>
    </xf>
    <xf numFmtId="177" fontId="14" fillId="0" borderId="19" xfId="0" applyNumberFormat="1" applyFont="1" applyBorder="1" applyAlignment="1">
      <alignment vertical="center" wrapText="1"/>
    </xf>
    <xf numFmtId="177" fontId="19" fillId="11" borderId="0" xfId="1" applyNumberFormat="1" applyFont="1" applyFill="1" applyBorder="1" applyAlignment="1">
      <alignment horizontal="right" vertical="center"/>
    </xf>
    <xf numFmtId="177" fontId="19" fillId="11" borderId="3" xfId="1" applyNumberFormat="1" applyFont="1" applyFill="1" applyBorder="1" applyAlignment="1">
      <alignment horizontal="right" vertical="center"/>
    </xf>
    <xf numFmtId="177" fontId="19" fillId="11" borderId="4" xfId="1" applyNumberFormat="1" applyFont="1" applyFill="1" applyBorder="1" applyAlignment="1">
      <alignment horizontal="right" vertical="center"/>
    </xf>
    <xf numFmtId="177" fontId="18" fillId="0" borderId="8" xfId="0" applyNumberFormat="1" applyFont="1" applyBorder="1" applyAlignment="1">
      <alignment horizontal="center" vertical="center" shrinkToFit="1"/>
    </xf>
    <xf numFmtId="177" fontId="18" fillId="0" borderId="0" xfId="0" applyNumberFormat="1" applyFont="1" applyBorder="1" applyAlignment="1">
      <alignment horizontal="center" vertical="center" shrinkToFit="1"/>
    </xf>
    <xf numFmtId="177" fontId="8" fillId="11" borderId="4" xfId="1" applyNumberFormat="1" applyFont="1" applyFill="1" applyBorder="1" applyAlignment="1">
      <alignment horizontal="right" vertical="center"/>
    </xf>
    <xf numFmtId="177" fontId="8" fillId="11" borderId="0" xfId="0" applyNumberFormat="1" applyFont="1" applyFill="1" applyBorder="1" applyAlignment="1">
      <alignment horizontal="right" vertical="center"/>
    </xf>
    <xf numFmtId="177" fontId="10" fillId="11" borderId="8" xfId="0" applyNumberFormat="1" applyFont="1" applyFill="1" applyBorder="1" applyAlignment="1">
      <alignment horizontal="center" vertical="center"/>
    </xf>
    <xf numFmtId="177" fontId="10" fillId="11" borderId="0" xfId="0" applyNumberFormat="1" applyFont="1" applyFill="1" applyBorder="1" applyAlignment="1">
      <alignment horizontal="center" vertical="center"/>
    </xf>
    <xf numFmtId="177" fontId="10" fillId="11" borderId="9" xfId="0" applyNumberFormat="1" applyFont="1" applyFill="1" applyBorder="1" applyAlignment="1">
      <alignment horizontal="center" vertical="center"/>
    </xf>
    <xf numFmtId="177" fontId="8" fillId="11" borderId="8" xfId="0" applyNumberFormat="1" applyFont="1" applyFill="1" applyBorder="1" applyAlignment="1">
      <alignment horizontal="center" vertical="center"/>
    </xf>
    <xf numFmtId="177" fontId="8" fillId="11" borderId="0" xfId="0" applyNumberFormat="1" applyFont="1" applyFill="1" applyBorder="1" applyAlignment="1">
      <alignment horizontal="center" vertical="center"/>
    </xf>
    <xf numFmtId="177" fontId="8" fillId="11" borderId="9" xfId="0" applyNumberFormat="1" applyFont="1" applyFill="1" applyBorder="1" applyAlignment="1">
      <alignment horizontal="center" vertical="center"/>
    </xf>
    <xf numFmtId="177" fontId="8" fillId="11" borderId="3" xfId="0" applyNumberFormat="1" applyFont="1" applyFill="1" applyBorder="1" applyAlignment="1">
      <alignment horizontal="center" vertical="center"/>
    </xf>
    <xf numFmtId="177" fontId="8" fillId="11" borderId="10" xfId="0" applyNumberFormat="1" applyFont="1" applyFill="1" applyBorder="1" applyAlignment="1">
      <alignment horizontal="center" vertical="center"/>
    </xf>
    <xf numFmtId="178" fontId="19" fillId="11" borderId="0" xfId="1" applyNumberFormat="1" applyFont="1" applyFill="1" applyBorder="1" applyAlignment="1">
      <alignment horizontal="right" vertical="center"/>
    </xf>
    <xf numFmtId="177" fontId="8" fillId="11" borderId="3" xfId="1" applyNumberFormat="1" applyFont="1" applyFill="1" applyBorder="1" applyAlignment="1">
      <alignment horizontal="right" vertical="center"/>
    </xf>
    <xf numFmtId="38" fontId="4" fillId="0" borderId="0" xfId="1" applyFont="1" applyBorder="1" applyAlignment="1">
      <alignment horizontal="right" vertical="center"/>
    </xf>
    <xf numFmtId="0" fontId="5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3" xfId="0" applyFont="1" applyBorder="1" applyAlignment="1">
      <alignment horizontal="right" vertical="center"/>
    </xf>
    <xf numFmtId="178" fontId="4" fillId="0" borderId="0" xfId="1" applyNumberFormat="1" applyFont="1" applyBorder="1" applyAlignment="1">
      <alignment horizontal="right" vertical="center"/>
    </xf>
    <xf numFmtId="38" fontId="4" fillId="0" borderId="6" xfId="1" applyFont="1" applyBorder="1" applyAlignment="1">
      <alignment horizontal="right" vertical="center"/>
    </xf>
    <xf numFmtId="177" fontId="4" fillId="0" borderId="0" xfId="1" applyNumberFormat="1" applyFont="1" applyBorder="1" applyAlignment="1">
      <alignment horizontal="right" vertical="center"/>
    </xf>
    <xf numFmtId="177" fontId="4" fillId="0" borderId="3" xfId="1" applyNumberFormat="1" applyFont="1" applyBorder="1" applyAlignment="1">
      <alignment horizontal="right" vertical="center"/>
    </xf>
    <xf numFmtId="38" fontId="4" fillId="0" borderId="4" xfId="1" applyFont="1" applyBorder="1" applyAlignment="1">
      <alignment horizontal="right" vertical="center"/>
    </xf>
    <xf numFmtId="38" fontId="4" fillId="0" borderId="3" xfId="1" applyFont="1" applyBorder="1" applyAlignment="1">
      <alignment horizontal="right" vertical="center"/>
    </xf>
    <xf numFmtId="177" fontId="4" fillId="0" borderId="6" xfId="1" applyNumberFormat="1" applyFont="1" applyBorder="1" applyAlignment="1">
      <alignment horizontal="right" vertical="center"/>
    </xf>
    <xf numFmtId="0" fontId="4" fillId="0" borderId="0" xfId="0" applyFont="1" applyBorder="1" applyAlignment="1">
      <alignment horizontal="right" vertical="center"/>
    </xf>
    <xf numFmtId="0" fontId="4" fillId="0" borderId="0" xfId="0" applyFont="1" applyAlignment="1">
      <alignment horizontal="right" vertical="center"/>
    </xf>
    <xf numFmtId="176" fontId="0" fillId="2" borderId="1" xfId="0" applyNumberFormat="1" applyFill="1" applyBorder="1" applyAlignment="1">
      <alignment horizontal="center" vertical="center" textRotation="255"/>
    </xf>
    <xf numFmtId="176" fontId="0" fillId="2" borderId="1" xfId="0" applyNumberFormat="1" applyFill="1" applyBorder="1" applyAlignment="1">
      <alignment horizontal="center" vertical="center"/>
    </xf>
    <xf numFmtId="0" fontId="0" fillId="0" borderId="0" xfId="0" applyAlignment="1">
      <alignment horizontal="right" vertical="center"/>
    </xf>
    <xf numFmtId="176" fontId="3" fillId="2" borderId="1" xfId="1" applyNumberFormat="1" applyFont="1" applyFill="1" applyBorder="1" applyAlignment="1">
      <alignment vertical="center" shrinkToFit="1"/>
    </xf>
    <xf numFmtId="176" fontId="3" fillId="0" borderId="1" xfId="0" applyNumberFormat="1" applyFont="1" applyBorder="1">
      <alignment vertical="center"/>
    </xf>
    <xf numFmtId="176" fontId="20" fillId="8" borderId="1" xfId="0" applyNumberFormat="1" applyFont="1" applyFill="1" applyBorder="1">
      <alignment vertical="center"/>
    </xf>
  </cellXfs>
  <cellStyles count="3">
    <cellStyle name="桁区切り" xfId="1" builtinId="6"/>
    <cellStyle name="桁区切り 2" xfId="2" xr:uid="{DD111FD9-ADA5-4B54-BEDD-426FA243B045}"/>
    <cellStyle name="標準" xfId="0" builtinId="0"/>
  </cellStyles>
  <dxfs count="0"/>
  <tableStyles count="0" defaultTableStyle="TableStyleMedium9" defaultPivotStyle="PivotStyleLight16"/>
  <colors>
    <mruColors>
      <color rgb="FFFF7C80"/>
      <color rgb="FFCC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AH32"/>
  <sheetViews>
    <sheetView showGridLines="0" tabSelected="1" view="pageBreakPreview" zoomScaleNormal="100" zoomScaleSheetLayoutView="100" workbookViewId="0">
      <selection activeCell="X7" sqref="X7:Z7"/>
    </sheetView>
  </sheetViews>
  <sheetFormatPr defaultRowHeight="14.25"/>
  <cols>
    <col min="1" max="1" width="9" style="44"/>
    <col min="2" max="2" width="2.625" style="44" customWidth="1"/>
    <col min="3" max="13" width="5.625" style="44" customWidth="1"/>
    <col min="14" max="15" width="3.125" style="44" customWidth="1"/>
    <col min="16" max="26" width="5.625" style="44" customWidth="1"/>
    <col min="27" max="27" width="2.625" style="44" customWidth="1"/>
    <col min="28" max="31" width="5.625" style="44" customWidth="1"/>
    <col min="32" max="16384" width="9" style="44"/>
  </cols>
  <sheetData>
    <row r="1" spans="1:34" ht="9.9499999999999993" customHeight="1">
      <c r="B1" s="71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  <c r="Z1" s="72"/>
      <c r="AA1" s="73"/>
    </row>
    <row r="2" spans="1:34" ht="35.1" customHeight="1">
      <c r="B2" s="112" t="s">
        <v>124</v>
      </c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  <c r="P2" s="113"/>
      <c r="Q2" s="113"/>
      <c r="R2" s="113"/>
      <c r="S2" s="113"/>
      <c r="T2" s="113"/>
      <c r="U2" s="113"/>
      <c r="V2" s="113"/>
      <c r="W2" s="113"/>
      <c r="X2" s="113"/>
      <c r="Y2" s="113"/>
      <c r="Z2" s="113"/>
      <c r="AA2" s="114"/>
    </row>
    <row r="3" spans="1:34" ht="24.95" customHeight="1">
      <c r="B3" s="115" t="s">
        <v>125</v>
      </c>
      <c r="C3" s="116"/>
      <c r="D3" s="116"/>
      <c r="E3" s="116"/>
      <c r="F3" s="116"/>
      <c r="G3" s="116"/>
      <c r="H3" s="116"/>
      <c r="I3" s="116"/>
      <c r="J3" s="116"/>
      <c r="K3" s="116"/>
      <c r="L3" s="116"/>
      <c r="M3" s="116"/>
      <c r="N3" s="116"/>
      <c r="O3" s="116"/>
      <c r="P3" s="116"/>
      <c r="Q3" s="116"/>
      <c r="R3" s="116"/>
      <c r="S3" s="116"/>
      <c r="T3" s="116"/>
      <c r="U3" s="116"/>
      <c r="V3" s="116"/>
      <c r="W3" s="116"/>
      <c r="X3" s="116"/>
      <c r="Y3" s="116"/>
      <c r="Z3" s="116"/>
      <c r="AA3" s="117"/>
    </row>
    <row r="4" spans="1:34" ht="19.5" customHeight="1">
      <c r="B4" s="74"/>
      <c r="C4" s="75"/>
      <c r="D4" s="75"/>
      <c r="E4" s="75"/>
      <c r="F4" s="75"/>
      <c r="G4" s="75"/>
      <c r="H4" s="75"/>
      <c r="I4" s="75"/>
      <c r="J4" s="75"/>
      <c r="K4" s="75"/>
      <c r="L4" s="75"/>
      <c r="M4" s="75"/>
      <c r="N4" s="75"/>
      <c r="O4" s="75"/>
      <c r="P4" s="75"/>
      <c r="Q4" s="75"/>
      <c r="R4" s="75"/>
      <c r="S4" s="75"/>
      <c r="T4" s="75"/>
      <c r="U4" s="75"/>
      <c r="V4" s="75"/>
      <c r="W4" s="75"/>
      <c r="X4" s="118" t="s">
        <v>60</v>
      </c>
      <c r="Y4" s="118"/>
      <c r="Z4" s="118"/>
      <c r="AA4" s="119"/>
    </row>
    <row r="5" spans="1:34" ht="15" customHeight="1" thickBot="1">
      <c r="B5" s="76"/>
      <c r="C5" s="77"/>
      <c r="D5" s="77"/>
      <c r="E5" s="77"/>
      <c r="F5" s="77"/>
      <c r="G5" s="77"/>
      <c r="H5" s="77"/>
      <c r="I5" s="77"/>
      <c r="J5" s="77"/>
      <c r="K5" s="77"/>
      <c r="L5" s="77"/>
      <c r="M5" s="77"/>
      <c r="N5" s="77"/>
      <c r="O5" s="77"/>
      <c r="P5" s="77"/>
      <c r="Q5" s="77"/>
      <c r="R5" s="77"/>
      <c r="S5" s="77"/>
      <c r="T5" s="77"/>
      <c r="U5" s="78"/>
      <c r="V5" s="78"/>
      <c r="W5" s="78"/>
      <c r="X5" s="95"/>
      <c r="Y5" s="95"/>
      <c r="Z5" s="95"/>
      <c r="AA5" s="79"/>
    </row>
    <row r="6" spans="1:34" ht="30" customHeight="1">
      <c r="B6" s="76"/>
      <c r="C6" s="77" t="s">
        <v>55</v>
      </c>
      <c r="D6" s="77"/>
      <c r="E6" s="77"/>
      <c r="F6" s="77"/>
      <c r="G6" s="77"/>
      <c r="H6" s="77"/>
      <c r="I6" s="77"/>
      <c r="J6" s="77"/>
      <c r="K6" s="77"/>
      <c r="L6" s="77"/>
      <c r="M6" s="77"/>
      <c r="N6" s="77"/>
      <c r="O6" s="76"/>
      <c r="P6" s="77" t="s">
        <v>61</v>
      </c>
      <c r="Q6" s="77"/>
      <c r="R6" s="77"/>
      <c r="S6" s="77"/>
      <c r="T6" s="77"/>
      <c r="U6" s="78"/>
      <c r="V6" s="78"/>
      <c r="W6" s="78"/>
      <c r="X6" s="95"/>
      <c r="Y6" s="95"/>
      <c r="Z6" s="95"/>
      <c r="AA6" s="79"/>
      <c r="AC6" s="96" t="s">
        <v>121</v>
      </c>
      <c r="AD6" s="97"/>
      <c r="AE6" s="97"/>
      <c r="AF6" s="97"/>
      <c r="AG6" s="97"/>
      <c r="AH6" s="98"/>
    </row>
    <row r="7" spans="1:34" ht="30" customHeight="1">
      <c r="B7" s="76"/>
      <c r="C7" s="77"/>
      <c r="D7" s="78" t="s">
        <v>123</v>
      </c>
      <c r="E7" s="77"/>
      <c r="F7" s="77"/>
      <c r="G7" s="77"/>
      <c r="H7" s="77"/>
      <c r="I7" s="77"/>
      <c r="J7" s="77"/>
      <c r="K7" s="120">
        <f>ROUND(入力シート!W19/1000,1)</f>
        <v>9059.1</v>
      </c>
      <c r="L7" s="120"/>
      <c r="M7" s="120"/>
      <c r="N7" s="77"/>
      <c r="O7" s="76"/>
      <c r="P7" s="77"/>
      <c r="Q7" s="77" t="s">
        <v>82</v>
      </c>
      <c r="R7" s="77"/>
      <c r="S7" s="77"/>
      <c r="T7" s="77"/>
      <c r="U7" s="78"/>
      <c r="V7" s="78"/>
      <c r="W7" s="78"/>
      <c r="X7" s="105">
        <f>ROUND(入力シート!W36/1000,1)</f>
        <v>-47478.3</v>
      </c>
      <c r="Y7" s="105"/>
      <c r="Z7" s="105"/>
      <c r="AA7" s="79"/>
      <c r="AC7" s="99"/>
      <c r="AD7" s="100"/>
      <c r="AE7" s="100"/>
      <c r="AF7" s="100"/>
      <c r="AG7" s="100"/>
      <c r="AH7" s="101"/>
    </row>
    <row r="8" spans="1:34" ht="30" customHeight="1">
      <c r="B8" s="76"/>
      <c r="C8" s="77"/>
      <c r="D8" s="77" t="s">
        <v>10</v>
      </c>
      <c r="E8" s="77"/>
      <c r="F8" s="77"/>
      <c r="G8" s="77"/>
      <c r="H8" s="77"/>
      <c r="I8" s="77"/>
      <c r="J8" s="77"/>
      <c r="K8" s="105">
        <f>ROUND(入力シート!W20/1000,1)+1</f>
        <v>77977.399999999994</v>
      </c>
      <c r="L8" s="105"/>
      <c r="M8" s="105"/>
      <c r="N8" s="77"/>
      <c r="O8" s="76"/>
      <c r="P8" s="77"/>
      <c r="Q8" s="77" t="s">
        <v>90</v>
      </c>
      <c r="R8" s="77"/>
      <c r="S8" s="77"/>
      <c r="T8" s="77"/>
      <c r="U8" s="78"/>
      <c r="V8" s="78"/>
      <c r="W8" s="78"/>
      <c r="X8" s="95">
        <f>ROUND(入力シート!W37/1000,1)</f>
        <v>0</v>
      </c>
      <c r="Y8" s="95"/>
      <c r="Z8" s="95"/>
      <c r="AA8" s="79"/>
      <c r="AC8" s="99"/>
      <c r="AD8" s="100"/>
      <c r="AE8" s="100"/>
      <c r="AF8" s="100"/>
      <c r="AG8" s="100"/>
      <c r="AH8" s="101"/>
    </row>
    <row r="9" spans="1:34" ht="30" customHeight="1">
      <c r="B9" s="80"/>
      <c r="C9" s="78"/>
      <c r="D9" s="77" t="s">
        <v>26</v>
      </c>
      <c r="E9" s="78"/>
      <c r="F9" s="78"/>
      <c r="G9" s="78"/>
      <c r="H9" s="78"/>
      <c r="I9" s="78"/>
      <c r="J9" s="78"/>
      <c r="K9" s="105">
        <f>ROUND(入力シート!W22/1000,1)</f>
        <v>-27053</v>
      </c>
      <c r="L9" s="105"/>
      <c r="M9" s="105"/>
      <c r="N9" s="77"/>
      <c r="O9" s="76"/>
      <c r="P9" s="77"/>
      <c r="Q9" s="77" t="s">
        <v>116</v>
      </c>
      <c r="R9" s="77"/>
      <c r="S9" s="77"/>
      <c r="T9" s="77"/>
      <c r="U9" s="78"/>
      <c r="V9" s="78"/>
      <c r="W9" s="78"/>
      <c r="X9" s="106">
        <f>ROUNDDOWN(入力シート!W38/1000,0)</f>
        <v>29435</v>
      </c>
      <c r="Y9" s="106"/>
      <c r="Z9" s="106"/>
      <c r="AA9" s="79"/>
      <c r="AC9" s="99"/>
      <c r="AD9" s="100"/>
      <c r="AE9" s="100"/>
      <c r="AF9" s="100"/>
      <c r="AG9" s="100"/>
      <c r="AH9" s="101"/>
    </row>
    <row r="10" spans="1:34" ht="30" customHeight="1">
      <c r="B10" s="76"/>
      <c r="C10" s="77"/>
      <c r="D10" s="78" t="s">
        <v>27</v>
      </c>
      <c r="E10" s="77"/>
      <c r="F10" s="77"/>
      <c r="G10" s="77"/>
      <c r="H10" s="77"/>
      <c r="I10" s="78"/>
      <c r="J10" s="78"/>
      <c r="K10" s="105">
        <f>ROUND(入力シート!W23/1000,1)</f>
        <v>-1</v>
      </c>
      <c r="L10" s="105"/>
      <c r="M10" s="105"/>
      <c r="N10" s="77"/>
      <c r="O10" s="76"/>
      <c r="P10" s="82" t="s">
        <v>87</v>
      </c>
      <c r="Q10" s="77" t="s">
        <v>68</v>
      </c>
      <c r="R10" s="77"/>
      <c r="S10" s="77"/>
      <c r="T10" s="77"/>
      <c r="U10" s="78"/>
      <c r="V10" s="78"/>
      <c r="W10" s="78"/>
      <c r="X10" s="95">
        <f>X7+X8+X9</f>
        <v>-18043.300000000003</v>
      </c>
      <c r="Y10" s="95"/>
      <c r="Z10" s="95"/>
      <c r="AA10" s="79"/>
      <c r="AC10" s="99"/>
      <c r="AD10" s="100"/>
      <c r="AE10" s="100"/>
      <c r="AF10" s="100"/>
      <c r="AG10" s="100"/>
      <c r="AH10" s="101"/>
    </row>
    <row r="11" spans="1:34" ht="30" customHeight="1">
      <c r="B11" s="76"/>
      <c r="C11" s="77"/>
      <c r="D11" s="77" t="s">
        <v>12</v>
      </c>
      <c r="E11" s="77"/>
      <c r="F11" s="77"/>
      <c r="G11" s="77"/>
      <c r="H11" s="77"/>
      <c r="I11" s="78"/>
      <c r="J11" s="78"/>
      <c r="K11" s="105">
        <f>ROUND(入力シート!W24/1000,1)+1</f>
        <v>4721.7</v>
      </c>
      <c r="L11" s="105"/>
      <c r="M11" s="105"/>
      <c r="N11" s="77"/>
      <c r="O11" s="76"/>
      <c r="P11" s="77"/>
      <c r="Q11" s="77"/>
      <c r="R11" s="77"/>
      <c r="S11" s="77"/>
      <c r="T11" s="77"/>
      <c r="U11" s="111"/>
      <c r="V11" s="111"/>
      <c r="W11" s="111"/>
      <c r="X11" s="95"/>
      <c r="Y11" s="95"/>
      <c r="Z11" s="95"/>
      <c r="AA11" s="79"/>
      <c r="AC11" s="99"/>
      <c r="AD11" s="100"/>
      <c r="AE11" s="100"/>
      <c r="AF11" s="100"/>
      <c r="AG11" s="100"/>
      <c r="AH11" s="101"/>
    </row>
    <row r="12" spans="1:34" ht="30" customHeight="1">
      <c r="A12" s="44">
        <v>1</v>
      </c>
      <c r="B12" s="80"/>
      <c r="C12" s="78"/>
      <c r="D12" s="77" t="s">
        <v>92</v>
      </c>
      <c r="E12" s="78"/>
      <c r="F12" s="77"/>
      <c r="G12" s="77"/>
      <c r="H12" s="77"/>
      <c r="I12" s="78"/>
      <c r="J12" s="78"/>
      <c r="K12" s="105">
        <f>ROUNDDOWN(入力シート!W26/1000,1)</f>
        <v>-14174.7</v>
      </c>
      <c r="L12" s="105"/>
      <c r="M12" s="105"/>
      <c r="N12" s="77"/>
      <c r="O12" s="76"/>
      <c r="P12" s="77" t="s">
        <v>62</v>
      </c>
      <c r="Q12" s="77"/>
      <c r="R12" s="77"/>
      <c r="S12" s="77"/>
      <c r="T12" s="77"/>
      <c r="U12" s="78"/>
      <c r="V12" s="78"/>
      <c r="W12" s="78"/>
      <c r="X12" s="95"/>
      <c r="Y12" s="95"/>
      <c r="Z12" s="95"/>
      <c r="AA12" s="79"/>
      <c r="AC12" s="99"/>
      <c r="AD12" s="100"/>
      <c r="AE12" s="100"/>
      <c r="AF12" s="100"/>
      <c r="AG12" s="100"/>
      <c r="AH12" s="101"/>
    </row>
    <row r="13" spans="1:34" ht="30" customHeight="1" thickBot="1">
      <c r="A13" s="44">
        <v>2</v>
      </c>
      <c r="B13" s="76"/>
      <c r="C13" s="77"/>
      <c r="D13" s="77" t="s">
        <v>119</v>
      </c>
      <c r="E13" s="77"/>
      <c r="F13" s="77"/>
      <c r="G13" s="77"/>
      <c r="H13" s="77"/>
      <c r="I13" s="78"/>
      <c r="J13" s="78"/>
      <c r="K13" s="105">
        <f>ROUND(入力シート!W27/1000,1)+1</f>
        <v>6849.9</v>
      </c>
      <c r="L13" s="105"/>
      <c r="M13" s="105"/>
      <c r="N13" s="77"/>
      <c r="O13" s="76"/>
      <c r="P13" s="77"/>
      <c r="Q13" s="77" t="s">
        <v>63</v>
      </c>
      <c r="R13" s="77"/>
      <c r="S13" s="77"/>
      <c r="T13" s="77"/>
      <c r="U13" s="78"/>
      <c r="V13" s="78"/>
      <c r="W13" s="78"/>
      <c r="X13" s="121">
        <f>ROUND(入力シート!W42/1000,1)</f>
        <v>9000</v>
      </c>
      <c r="Y13" s="121"/>
      <c r="Z13" s="121"/>
      <c r="AA13" s="79"/>
      <c r="AC13" s="102"/>
      <c r="AD13" s="103"/>
      <c r="AE13" s="103"/>
      <c r="AF13" s="103"/>
      <c r="AG13" s="103"/>
      <c r="AH13" s="104"/>
    </row>
    <row r="14" spans="1:34" ht="30" customHeight="1">
      <c r="A14" s="44">
        <v>1</v>
      </c>
      <c r="B14" s="76"/>
      <c r="C14" s="77"/>
      <c r="D14" s="77" t="s">
        <v>83</v>
      </c>
      <c r="E14" s="77"/>
      <c r="F14" s="77"/>
      <c r="G14" s="77"/>
      <c r="H14" s="77"/>
      <c r="I14" s="78"/>
      <c r="J14" s="78"/>
      <c r="K14" s="105">
        <f>ROUND(入力シート!W28/1000,1)</f>
        <v>-275.5</v>
      </c>
      <c r="L14" s="105"/>
      <c r="M14" s="105"/>
      <c r="N14" s="77"/>
      <c r="O14" s="76"/>
      <c r="P14" s="77"/>
      <c r="Q14" s="77" t="s">
        <v>64</v>
      </c>
      <c r="R14" s="77"/>
      <c r="S14" s="77"/>
      <c r="T14" s="77"/>
      <c r="U14" s="78"/>
      <c r="V14" s="78"/>
      <c r="W14" s="78"/>
      <c r="X14" s="107">
        <f>ROUNDUP(入力シート!W43/1000,0)</f>
        <v>-38276</v>
      </c>
      <c r="Y14" s="107"/>
      <c r="Z14" s="107"/>
      <c r="AA14" s="79"/>
    </row>
    <row r="15" spans="1:34" ht="30" customHeight="1">
      <c r="B15" s="76"/>
      <c r="C15" s="77"/>
      <c r="D15" s="77" t="s">
        <v>84</v>
      </c>
      <c r="E15" s="77"/>
      <c r="F15" s="77"/>
      <c r="G15" s="77"/>
      <c r="H15" s="77"/>
      <c r="I15" s="78"/>
      <c r="J15" s="78"/>
      <c r="K15" s="106">
        <f>ROUND(入力シート!W29/1000,1)</f>
        <v>1240</v>
      </c>
      <c r="L15" s="106"/>
      <c r="M15" s="106"/>
      <c r="N15" s="77"/>
      <c r="O15" s="76"/>
      <c r="P15" s="82" t="s">
        <v>88</v>
      </c>
      <c r="Q15" s="77" t="s">
        <v>69</v>
      </c>
      <c r="R15" s="77"/>
      <c r="S15" s="77"/>
      <c r="T15" s="77"/>
      <c r="U15" s="78"/>
      <c r="V15" s="78"/>
      <c r="W15" s="78"/>
      <c r="X15" s="95">
        <f>SUM(X12:Z14)</f>
        <v>-29276</v>
      </c>
      <c r="Y15" s="95"/>
      <c r="Z15" s="95"/>
      <c r="AA15" s="79"/>
    </row>
    <row r="16" spans="1:34" ht="30" customHeight="1">
      <c r="B16" s="76"/>
      <c r="C16" s="77"/>
      <c r="D16" s="77" t="s">
        <v>33</v>
      </c>
      <c r="E16" s="77"/>
      <c r="F16" s="77"/>
      <c r="G16" s="77"/>
      <c r="H16" s="77"/>
      <c r="I16" s="78"/>
      <c r="J16" s="78"/>
      <c r="K16" s="105">
        <f>ROUNDDOWN(SUM(K7:M15),0)</f>
        <v>58343</v>
      </c>
      <c r="L16" s="105"/>
      <c r="M16" s="105"/>
      <c r="N16" s="77"/>
      <c r="O16" s="76"/>
      <c r="P16" s="77"/>
      <c r="Q16" s="77"/>
      <c r="R16" s="77"/>
      <c r="S16" s="77"/>
      <c r="T16" s="77"/>
      <c r="U16" s="111"/>
      <c r="V16" s="111"/>
      <c r="W16" s="111"/>
      <c r="X16" s="95"/>
      <c r="Y16" s="95"/>
      <c r="Z16" s="95"/>
      <c r="AA16" s="79"/>
    </row>
    <row r="17" spans="2:32" ht="30" customHeight="1">
      <c r="B17" s="76"/>
      <c r="C17" s="77"/>
      <c r="D17" s="77" t="s">
        <v>34</v>
      </c>
      <c r="E17" s="77"/>
      <c r="F17" s="77"/>
      <c r="G17" s="77"/>
      <c r="H17" s="77"/>
      <c r="I17" s="78"/>
      <c r="J17" s="78"/>
      <c r="K17" s="105">
        <f>ROUND(入力シート!W31/1000,1)</f>
        <v>1</v>
      </c>
      <c r="L17" s="105"/>
      <c r="M17" s="105"/>
      <c r="N17" s="77"/>
      <c r="O17" s="76"/>
      <c r="P17" s="81" t="s">
        <v>89</v>
      </c>
      <c r="Q17" s="77"/>
      <c r="R17" s="77"/>
      <c r="S17" s="77"/>
      <c r="T17" s="77"/>
      <c r="U17" s="111"/>
      <c r="V17" s="111"/>
      <c r="W17" s="111"/>
      <c r="X17" s="95">
        <f>ROUND(K19+X10+X15,0)</f>
        <v>6303</v>
      </c>
      <c r="Y17" s="95"/>
      <c r="Z17" s="95"/>
      <c r="AA17" s="79"/>
    </row>
    <row r="18" spans="2:32" ht="30" customHeight="1">
      <c r="B18" s="76"/>
      <c r="C18" s="77"/>
      <c r="D18" s="77" t="s">
        <v>35</v>
      </c>
      <c r="E18" s="77"/>
      <c r="F18" s="77"/>
      <c r="G18" s="77"/>
      <c r="H18" s="77"/>
      <c r="I18" s="78"/>
      <c r="J18" s="78"/>
      <c r="K18" s="106">
        <f>ROUND(入力シート!W32/1000,0)-1</f>
        <v>-4722</v>
      </c>
      <c r="L18" s="106"/>
      <c r="M18" s="106"/>
      <c r="N18" s="77"/>
      <c r="O18" s="76"/>
      <c r="P18" s="81" t="s">
        <v>65</v>
      </c>
      <c r="Q18" s="77"/>
      <c r="R18" s="77"/>
      <c r="S18" s="77"/>
      <c r="T18" s="77"/>
      <c r="U18" s="111"/>
      <c r="V18" s="111"/>
      <c r="W18" s="111"/>
      <c r="X18" s="95">
        <f>ROUND(入力シート!W48/1000,0)</f>
        <v>85414</v>
      </c>
      <c r="Y18" s="95"/>
      <c r="Z18" s="95"/>
      <c r="AA18" s="79"/>
    </row>
    <row r="19" spans="2:32" ht="30" customHeight="1">
      <c r="B19" s="76"/>
      <c r="C19" s="82" t="s">
        <v>86</v>
      </c>
      <c r="D19" s="77" t="s">
        <v>67</v>
      </c>
      <c r="E19" s="77"/>
      <c r="F19" s="77"/>
      <c r="G19" s="77"/>
      <c r="H19" s="77"/>
      <c r="I19" s="78"/>
      <c r="J19" s="78"/>
      <c r="K19" s="107">
        <f>SUM(K16:M18)</f>
        <v>53622</v>
      </c>
      <c r="L19" s="107"/>
      <c r="M19" s="107"/>
      <c r="N19" s="77"/>
      <c r="O19" s="76"/>
      <c r="P19" s="81" t="s">
        <v>66</v>
      </c>
      <c r="Q19" s="77"/>
      <c r="R19" s="77"/>
      <c r="S19" s="77"/>
      <c r="T19" s="77"/>
      <c r="U19" s="111"/>
      <c r="V19" s="111"/>
      <c r="W19" s="111"/>
      <c r="X19" s="110">
        <f>SUM(X17:Z18)</f>
        <v>91717</v>
      </c>
      <c r="Y19" s="110"/>
      <c r="Z19" s="110"/>
      <c r="AA19" s="79"/>
      <c r="AB19" s="108"/>
      <c r="AC19" s="109"/>
      <c r="AD19" s="109"/>
      <c r="AE19" s="109"/>
      <c r="AF19" s="109"/>
    </row>
    <row r="20" spans="2:32" ht="15" customHeight="1">
      <c r="B20" s="74"/>
      <c r="C20" s="86"/>
      <c r="D20" s="75"/>
      <c r="E20" s="75"/>
      <c r="F20" s="75"/>
      <c r="G20" s="75"/>
      <c r="H20" s="75"/>
      <c r="I20" s="87"/>
      <c r="J20" s="87"/>
      <c r="K20" s="83"/>
      <c r="L20" s="83"/>
      <c r="M20" s="83"/>
      <c r="N20" s="75"/>
      <c r="O20" s="75"/>
      <c r="P20" s="88"/>
      <c r="Q20" s="75"/>
      <c r="R20" s="75"/>
      <c r="S20" s="75"/>
      <c r="T20" s="75"/>
      <c r="U20" s="86"/>
      <c r="V20" s="86"/>
      <c r="W20" s="86"/>
      <c r="X20" s="83"/>
      <c r="Y20" s="83"/>
      <c r="Z20" s="83"/>
      <c r="AA20" s="89"/>
      <c r="AB20" s="93"/>
      <c r="AC20" s="94"/>
    </row>
    <row r="21" spans="2:32" ht="30" customHeight="1"/>
    <row r="22" spans="2:32" ht="30" customHeight="1"/>
    <row r="23" spans="2:32" ht="30" customHeight="1"/>
    <row r="24" spans="2:32" ht="30" customHeight="1"/>
    <row r="25" spans="2:32" ht="30" customHeight="1"/>
    <row r="26" spans="2:32" ht="30" customHeight="1"/>
    <row r="27" spans="2:32" ht="30" customHeight="1"/>
    <row r="28" spans="2:32" ht="30" customHeight="1"/>
    <row r="29" spans="2:32" ht="30" customHeight="1"/>
    <row r="30" spans="2:32" ht="30" customHeight="1"/>
    <row r="31" spans="2:32" ht="30" customHeight="1"/>
    <row r="32" spans="2:32" ht="30" customHeight="1"/>
  </sheetData>
  <mergeCells count="39">
    <mergeCell ref="B2:AA2"/>
    <mergeCell ref="B3:AA3"/>
    <mergeCell ref="X4:AA4"/>
    <mergeCell ref="U16:W16"/>
    <mergeCell ref="X16:Z16"/>
    <mergeCell ref="U11:W11"/>
    <mergeCell ref="X11:Z11"/>
    <mergeCell ref="X12:Z12"/>
    <mergeCell ref="X5:Z5"/>
    <mergeCell ref="X6:Z6"/>
    <mergeCell ref="K7:M7"/>
    <mergeCell ref="K8:M8"/>
    <mergeCell ref="K9:M9"/>
    <mergeCell ref="X14:Z14"/>
    <mergeCell ref="X10:Z10"/>
    <mergeCell ref="X13:Z13"/>
    <mergeCell ref="U17:W17"/>
    <mergeCell ref="X17:Z17"/>
    <mergeCell ref="U18:W18"/>
    <mergeCell ref="X18:Z18"/>
    <mergeCell ref="U19:W19"/>
    <mergeCell ref="K17:M17"/>
    <mergeCell ref="K18:M18"/>
    <mergeCell ref="K19:M19"/>
    <mergeCell ref="K10:M10"/>
    <mergeCell ref="K11:M11"/>
    <mergeCell ref="K12:M12"/>
    <mergeCell ref="K13:M13"/>
    <mergeCell ref="K14:M14"/>
    <mergeCell ref="K15:M15"/>
    <mergeCell ref="K16:M16"/>
    <mergeCell ref="AB20:AC20"/>
    <mergeCell ref="X15:Z15"/>
    <mergeCell ref="AC6:AH13"/>
    <mergeCell ref="X7:Z7"/>
    <mergeCell ref="X8:Z8"/>
    <mergeCell ref="X9:Z9"/>
    <mergeCell ref="AB19:AF19"/>
    <mergeCell ref="X19:Z19"/>
  </mergeCells>
  <phoneticPr fontId="1"/>
  <printOptions horizontalCentered="1"/>
  <pageMargins left="0.70866141732283472" right="0.70866141732283472" top="1.299212598425197" bottom="0.31496062992125984" header="0.31496062992125984" footer="0.31496062992125984"/>
  <pageSetup paperSize="9" scale="93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AA44"/>
  <sheetViews>
    <sheetView showGridLines="0" view="pageBreakPreview" topLeftCell="A7" zoomScaleNormal="100" zoomScaleSheetLayoutView="100" workbookViewId="0">
      <selection activeCell="J21" sqref="J21"/>
    </sheetView>
  </sheetViews>
  <sheetFormatPr defaultRowHeight="13.5"/>
  <cols>
    <col min="1" max="1" width="3.625" style="32" customWidth="1"/>
    <col min="2" max="2" width="2.125" style="32" customWidth="1"/>
    <col min="3" max="20" width="5.625" style="32" customWidth="1"/>
    <col min="21" max="21" width="1.5" style="32" customWidth="1"/>
    <col min="22" max="22" width="3.625" style="32" customWidth="1"/>
    <col min="23" max="23" width="17.375" style="32" customWidth="1"/>
    <col min="24" max="25" width="10.625" style="49" customWidth="1"/>
    <col min="26" max="26" width="10.625" style="32" customWidth="1"/>
    <col min="27" max="16384" width="9" style="32"/>
  </cols>
  <sheetData>
    <row r="2" spans="2:26" ht="10.5" customHeight="1">
      <c r="B2" s="30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31"/>
    </row>
    <row r="3" spans="2:26" ht="17.25">
      <c r="B3" s="33"/>
      <c r="C3" s="22"/>
      <c r="D3" s="123" t="s">
        <v>93</v>
      </c>
      <c r="E3" s="123"/>
      <c r="F3" s="123"/>
      <c r="G3" s="123"/>
      <c r="H3" s="123"/>
      <c r="I3" s="123"/>
      <c r="J3" s="123"/>
      <c r="K3" s="123"/>
      <c r="L3" s="123"/>
      <c r="M3" s="123"/>
      <c r="N3" s="123"/>
      <c r="O3" s="123"/>
      <c r="P3" s="123"/>
      <c r="Q3" s="123"/>
      <c r="R3" s="123"/>
      <c r="S3" s="22"/>
      <c r="T3" s="22"/>
      <c r="U3" s="34"/>
    </row>
    <row r="4" spans="2:26" ht="23.25" customHeight="1">
      <c r="B4" s="33"/>
      <c r="C4" s="22"/>
      <c r="D4" s="124" t="s">
        <v>122</v>
      </c>
      <c r="E4" s="124"/>
      <c r="F4" s="124"/>
      <c r="G4" s="124"/>
      <c r="H4" s="124"/>
      <c r="I4" s="124"/>
      <c r="J4" s="124"/>
      <c r="K4" s="124"/>
      <c r="L4" s="124"/>
      <c r="M4" s="124"/>
      <c r="N4" s="124"/>
      <c r="O4" s="124"/>
      <c r="P4" s="124"/>
      <c r="Q4" s="124"/>
      <c r="R4" s="124"/>
      <c r="S4" s="124"/>
      <c r="T4" s="22"/>
      <c r="U4" s="34"/>
    </row>
    <row r="5" spans="2:26" ht="5.25" customHeight="1">
      <c r="B5" s="33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34"/>
    </row>
    <row r="6" spans="2:26">
      <c r="B6" s="35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125" t="s">
        <v>97</v>
      </c>
      <c r="S6" s="125"/>
      <c r="T6" s="125"/>
      <c r="U6" s="36"/>
    </row>
    <row r="7" spans="2:26" ht="6" customHeight="1">
      <c r="B7" s="33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34"/>
    </row>
    <row r="8" spans="2:26" ht="21.75" customHeight="1">
      <c r="B8" s="33"/>
      <c r="C8" s="22" t="s">
        <v>55</v>
      </c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34"/>
    </row>
    <row r="9" spans="2:26" ht="21.75" customHeight="1">
      <c r="B9" s="33"/>
      <c r="C9" s="22"/>
      <c r="D9" s="23" t="s">
        <v>24</v>
      </c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126">
        <f>入力シート!W19</f>
        <v>9059142</v>
      </c>
      <c r="S9" s="126"/>
      <c r="T9" s="126"/>
      <c r="U9" s="34"/>
      <c r="W9" s="50" t="s">
        <v>98</v>
      </c>
      <c r="X9" s="51" t="s">
        <v>99</v>
      </c>
      <c r="Y9" s="51" t="s">
        <v>100</v>
      </c>
      <c r="Z9" s="52" t="s">
        <v>101</v>
      </c>
    </row>
    <row r="10" spans="2:26" ht="21.75" customHeight="1">
      <c r="B10" s="33"/>
      <c r="C10" s="22"/>
      <c r="D10" s="22" t="s">
        <v>10</v>
      </c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122">
        <f>入力シート!W20</f>
        <v>77976444</v>
      </c>
      <c r="S10" s="122"/>
      <c r="T10" s="122"/>
      <c r="U10" s="34"/>
      <c r="W10" s="52" t="s">
        <v>102</v>
      </c>
      <c r="X10" s="68">
        <v>78358225</v>
      </c>
      <c r="Y10" s="68">
        <v>4726365</v>
      </c>
      <c r="Z10" s="69">
        <f>SUM(X10:Y10)</f>
        <v>83084590</v>
      </c>
    </row>
    <row r="11" spans="2:26" ht="21.75" hidden="1" customHeight="1">
      <c r="B11" s="33"/>
      <c r="C11" s="22"/>
      <c r="D11" s="22" t="s">
        <v>25</v>
      </c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122">
        <f>入力シート!W21</f>
        <v>0</v>
      </c>
      <c r="S11" s="122"/>
      <c r="T11" s="122"/>
      <c r="U11" s="34"/>
    </row>
    <row r="12" spans="2:26" ht="21.75" customHeight="1">
      <c r="B12" s="37"/>
      <c r="C12" s="23"/>
      <c r="D12" s="22" t="s">
        <v>26</v>
      </c>
      <c r="E12" s="23"/>
      <c r="F12" s="23"/>
      <c r="G12" s="23"/>
      <c r="H12" s="23"/>
      <c r="I12" s="23"/>
      <c r="J12" s="22"/>
      <c r="K12" s="22"/>
      <c r="L12" s="22"/>
      <c r="M12" s="22"/>
      <c r="N12" s="22"/>
      <c r="O12" s="22"/>
      <c r="P12" s="22"/>
      <c r="Q12" s="22"/>
      <c r="R12" s="128">
        <f>入力シート!W22</f>
        <v>-27053042</v>
      </c>
      <c r="S12" s="128"/>
      <c r="T12" s="128"/>
      <c r="U12" s="34"/>
      <c r="W12" s="50" t="s">
        <v>103</v>
      </c>
      <c r="X12" s="68">
        <v>23178218</v>
      </c>
    </row>
    <row r="13" spans="2:26" ht="21.75" customHeight="1">
      <c r="B13" s="33"/>
      <c r="C13" s="22"/>
      <c r="D13" s="23" t="s">
        <v>27</v>
      </c>
      <c r="E13" s="22"/>
      <c r="F13" s="22"/>
      <c r="G13" s="22"/>
      <c r="H13" s="23"/>
      <c r="I13" s="23"/>
      <c r="J13" s="22"/>
      <c r="K13" s="22"/>
      <c r="L13" s="22"/>
      <c r="M13" s="22"/>
      <c r="N13" s="22"/>
      <c r="O13" s="22"/>
      <c r="P13" s="22"/>
      <c r="Q13" s="22"/>
      <c r="R13" s="128">
        <f>入力シート!W23</f>
        <v>-1000</v>
      </c>
      <c r="S13" s="128"/>
      <c r="T13" s="128"/>
      <c r="U13" s="34"/>
      <c r="W13" s="55" t="s">
        <v>104</v>
      </c>
      <c r="X13" s="56">
        <v>1000</v>
      </c>
    </row>
    <row r="14" spans="2:26" ht="21.75" customHeight="1">
      <c r="B14" s="33"/>
      <c r="C14" s="22"/>
      <c r="D14" s="22" t="s">
        <v>12</v>
      </c>
      <c r="E14" s="22"/>
      <c r="F14" s="22"/>
      <c r="G14" s="22"/>
      <c r="H14" s="23"/>
      <c r="I14" s="23"/>
      <c r="J14" s="22"/>
      <c r="K14" s="22"/>
      <c r="L14" s="22"/>
      <c r="M14" s="22"/>
      <c r="N14" s="22"/>
      <c r="O14" s="22"/>
      <c r="P14" s="22"/>
      <c r="Q14" s="22"/>
      <c r="R14" s="128">
        <f>入力シート!W24</f>
        <v>4720739</v>
      </c>
      <c r="S14" s="128"/>
      <c r="T14" s="128"/>
      <c r="U14" s="34"/>
      <c r="W14" s="50" t="s">
        <v>113</v>
      </c>
      <c r="X14" s="51" t="s">
        <v>105</v>
      </c>
      <c r="Y14" s="51" t="s">
        <v>106</v>
      </c>
      <c r="Z14" s="52" t="s">
        <v>101</v>
      </c>
    </row>
    <row r="15" spans="2:26" ht="21.75" hidden="1" customHeight="1">
      <c r="B15" s="33"/>
      <c r="C15" s="22"/>
      <c r="D15" s="22" t="s">
        <v>28</v>
      </c>
      <c r="E15" s="22"/>
      <c r="F15" s="22"/>
      <c r="G15" s="22"/>
      <c r="H15" s="23"/>
      <c r="I15" s="23"/>
      <c r="J15" s="22"/>
      <c r="K15" s="22"/>
      <c r="L15" s="22"/>
      <c r="M15" s="22"/>
      <c r="N15" s="22"/>
      <c r="O15" s="22"/>
      <c r="P15" s="22"/>
      <c r="Q15" s="22"/>
      <c r="R15" s="122">
        <f>入力シート!W25</f>
        <v>0</v>
      </c>
      <c r="S15" s="122"/>
      <c r="T15" s="122"/>
      <c r="U15" s="34"/>
      <c r="W15" s="50"/>
      <c r="X15" s="57"/>
      <c r="Y15" s="57"/>
      <c r="Z15" s="50"/>
    </row>
    <row r="16" spans="2:26" ht="21.75" customHeight="1">
      <c r="B16" s="37"/>
      <c r="C16" s="23"/>
      <c r="D16" s="22" t="s">
        <v>92</v>
      </c>
      <c r="E16" s="23"/>
      <c r="F16" s="22"/>
      <c r="G16" s="22"/>
      <c r="H16" s="23"/>
      <c r="I16" s="23"/>
      <c r="J16" s="22"/>
      <c r="K16" s="22"/>
      <c r="L16" s="22"/>
      <c r="M16" s="22"/>
      <c r="N16" s="22"/>
      <c r="O16" s="22"/>
      <c r="P16" s="22"/>
      <c r="Q16" s="22"/>
      <c r="R16" s="128">
        <f>入力シート!W26</f>
        <v>-14174755</v>
      </c>
      <c r="S16" s="128"/>
      <c r="T16" s="128"/>
      <c r="U16" s="34"/>
      <c r="W16" s="52" t="s">
        <v>102</v>
      </c>
      <c r="X16" s="68">
        <v>7936172</v>
      </c>
      <c r="Y16" s="68">
        <v>138221</v>
      </c>
      <c r="Z16" s="69">
        <f>SUM(X16:Y16)</f>
        <v>8074393</v>
      </c>
    </row>
    <row r="17" spans="2:27" ht="21.75" customHeight="1">
      <c r="B17" s="33"/>
      <c r="C17" s="22"/>
      <c r="D17" s="22" t="s">
        <v>85</v>
      </c>
      <c r="E17" s="22"/>
      <c r="F17" s="22"/>
      <c r="G17" s="22"/>
      <c r="H17" s="23"/>
      <c r="I17" s="23"/>
      <c r="J17" s="22"/>
      <c r="K17" s="22"/>
      <c r="L17" s="22"/>
      <c r="M17" s="22"/>
      <c r="N17" s="22"/>
      <c r="O17" s="22"/>
      <c r="P17" s="22"/>
      <c r="Q17" s="22"/>
      <c r="R17" s="128">
        <f>入力シート!W27</f>
        <v>6848883</v>
      </c>
      <c r="S17" s="128"/>
      <c r="T17" s="128"/>
      <c r="U17" s="34"/>
    </row>
    <row r="18" spans="2:27" ht="21.75" customHeight="1">
      <c r="B18" s="33"/>
      <c r="C18" s="22"/>
      <c r="D18" s="22" t="s">
        <v>83</v>
      </c>
      <c r="E18" s="22"/>
      <c r="F18" s="22"/>
      <c r="G18" s="22"/>
      <c r="H18" s="23"/>
      <c r="I18" s="23"/>
      <c r="J18" s="22"/>
      <c r="K18" s="22"/>
      <c r="L18" s="22"/>
      <c r="M18" s="22"/>
      <c r="N18" s="22"/>
      <c r="O18" s="22"/>
      <c r="P18" s="22"/>
      <c r="Q18" s="22"/>
      <c r="R18" s="128">
        <f>入力シート!W28</f>
        <v>-275455</v>
      </c>
      <c r="S18" s="128"/>
      <c r="T18" s="128"/>
      <c r="U18" s="34"/>
    </row>
    <row r="19" spans="2:27" ht="21.75" customHeight="1">
      <c r="B19" s="33"/>
      <c r="C19" s="22"/>
      <c r="D19" s="22" t="s">
        <v>84</v>
      </c>
      <c r="E19" s="22"/>
      <c r="F19" s="22"/>
      <c r="G19" s="22"/>
      <c r="H19" s="23"/>
      <c r="I19" s="23"/>
      <c r="J19" s="22"/>
      <c r="K19" s="22"/>
      <c r="L19" s="22"/>
      <c r="M19" s="22"/>
      <c r="N19" s="22"/>
      <c r="O19" s="22"/>
      <c r="P19" s="22"/>
      <c r="Q19" s="22"/>
      <c r="R19" s="129">
        <f>入力シート!W29</f>
        <v>1240000</v>
      </c>
      <c r="S19" s="129"/>
      <c r="T19" s="129"/>
      <c r="U19" s="34"/>
      <c r="W19" s="50" t="s">
        <v>107</v>
      </c>
      <c r="X19" s="68">
        <v>1298000</v>
      </c>
    </row>
    <row r="20" spans="2:27" ht="21.75" customHeight="1">
      <c r="B20" s="33"/>
      <c r="C20" s="22"/>
      <c r="D20" s="22" t="s">
        <v>33</v>
      </c>
      <c r="E20" s="22"/>
      <c r="F20" s="22"/>
      <c r="G20" s="22"/>
      <c r="H20" s="23"/>
      <c r="I20" s="23"/>
      <c r="J20" s="22"/>
      <c r="K20" s="22"/>
      <c r="L20" s="22"/>
      <c r="M20" s="22"/>
      <c r="N20" s="22"/>
      <c r="O20" s="22"/>
      <c r="P20" s="22"/>
      <c r="Q20" s="22"/>
      <c r="R20" s="127">
        <f>入力シート!W30</f>
        <v>58340956</v>
      </c>
      <c r="S20" s="127"/>
      <c r="T20" s="127"/>
      <c r="U20" s="34"/>
    </row>
    <row r="21" spans="2:27" ht="21.75" customHeight="1">
      <c r="B21" s="33"/>
      <c r="C21" s="22"/>
      <c r="D21" s="22" t="s">
        <v>34</v>
      </c>
      <c r="E21" s="22"/>
      <c r="F21" s="22"/>
      <c r="G21" s="22"/>
      <c r="H21" s="23"/>
      <c r="I21" s="23"/>
      <c r="J21" s="22"/>
      <c r="K21" s="22"/>
      <c r="L21" s="22"/>
      <c r="M21" s="22"/>
      <c r="N21" s="22"/>
      <c r="O21" s="22"/>
      <c r="P21" s="22"/>
      <c r="Q21" s="22"/>
      <c r="R21" s="122">
        <f>入力シート!W31</f>
        <v>1000</v>
      </c>
      <c r="S21" s="122"/>
      <c r="T21" s="122"/>
      <c r="U21" s="34"/>
      <c r="W21" s="58" t="s">
        <v>104</v>
      </c>
      <c r="X21" s="59">
        <f>X13</f>
        <v>1000</v>
      </c>
      <c r="Y21" s="60"/>
      <c r="Z21" s="61"/>
      <c r="AA21" s="61"/>
    </row>
    <row r="22" spans="2:27" ht="21.75" customHeight="1">
      <c r="B22" s="33"/>
      <c r="C22" s="22"/>
      <c r="D22" s="22" t="s">
        <v>35</v>
      </c>
      <c r="E22" s="22"/>
      <c r="F22" s="22"/>
      <c r="G22" s="22"/>
      <c r="H22" s="23"/>
      <c r="I22" s="23"/>
      <c r="J22" s="22"/>
      <c r="K22" s="22"/>
      <c r="L22" s="22"/>
      <c r="M22" s="22"/>
      <c r="N22" s="22"/>
      <c r="O22" s="22"/>
      <c r="P22" s="22"/>
      <c r="Q22" s="22"/>
      <c r="R22" s="129">
        <f>入力シート!W32</f>
        <v>-4720739</v>
      </c>
      <c r="S22" s="129"/>
      <c r="T22" s="129"/>
      <c r="U22" s="34"/>
      <c r="W22" s="50" t="s">
        <v>113</v>
      </c>
      <c r="X22" s="62" t="s">
        <v>105</v>
      </c>
      <c r="Y22" s="62" t="s">
        <v>106</v>
      </c>
      <c r="Z22" s="63" t="s">
        <v>101</v>
      </c>
      <c r="AA22" s="61"/>
    </row>
    <row r="23" spans="2:27" ht="21.75" customHeight="1">
      <c r="B23" s="33"/>
      <c r="C23" s="48" t="s">
        <v>108</v>
      </c>
      <c r="D23" s="22" t="s">
        <v>67</v>
      </c>
      <c r="E23" s="22"/>
      <c r="F23" s="22"/>
      <c r="G23" s="22"/>
      <c r="H23" s="23"/>
      <c r="I23" s="23"/>
      <c r="J23" s="22"/>
      <c r="K23" s="22"/>
      <c r="L23" s="22"/>
      <c r="M23" s="22"/>
      <c r="N23" s="22"/>
      <c r="O23" s="22"/>
      <c r="P23" s="22"/>
      <c r="Q23" s="22"/>
      <c r="R23" s="127">
        <f>入力シート!W33</f>
        <v>53621217</v>
      </c>
      <c r="S23" s="127"/>
      <c r="T23" s="127"/>
      <c r="U23" s="34"/>
      <c r="W23" s="63" t="s">
        <v>102</v>
      </c>
      <c r="X23" s="68">
        <v>7936172</v>
      </c>
      <c r="Y23" s="68">
        <v>138221</v>
      </c>
      <c r="Z23" s="69">
        <f>SUM(X23:Y23)</f>
        <v>8074393</v>
      </c>
      <c r="AA23" s="61"/>
    </row>
    <row r="24" spans="2:27" ht="21.75" customHeight="1">
      <c r="B24" s="35"/>
      <c r="C24" s="46"/>
      <c r="D24" s="24"/>
      <c r="E24" s="24"/>
      <c r="F24" s="24"/>
      <c r="G24" s="24"/>
      <c r="H24" s="25"/>
      <c r="I24" s="25"/>
      <c r="J24" s="24"/>
      <c r="K24" s="24"/>
      <c r="L24" s="24"/>
      <c r="M24" s="24"/>
      <c r="N24" s="24"/>
      <c r="O24" s="24"/>
      <c r="P24" s="24"/>
      <c r="Q24" s="24"/>
      <c r="R24" s="47"/>
      <c r="S24" s="47"/>
      <c r="T24" s="47"/>
      <c r="U24" s="36"/>
      <c r="W24" s="66"/>
      <c r="X24" s="67"/>
      <c r="Y24" s="67"/>
      <c r="Z24" s="67"/>
      <c r="AA24" s="61"/>
    </row>
    <row r="25" spans="2:27" ht="21.75" customHeight="1">
      <c r="B25" s="22"/>
      <c r="C25" s="22"/>
      <c r="D25" s="22"/>
      <c r="E25" s="22"/>
      <c r="F25" s="22"/>
      <c r="G25" s="22"/>
      <c r="H25" s="23"/>
      <c r="I25" s="23"/>
      <c r="J25" s="22"/>
      <c r="K25" s="22"/>
      <c r="L25" s="22"/>
      <c r="M25" s="22"/>
      <c r="N25" s="22"/>
      <c r="O25" s="22"/>
      <c r="P25" s="22"/>
      <c r="Q25" s="22"/>
      <c r="R25" s="45"/>
      <c r="S25" s="45"/>
      <c r="T25" s="45"/>
      <c r="U25" s="22"/>
      <c r="W25" s="61"/>
      <c r="X25" s="60"/>
      <c r="Y25" s="60"/>
      <c r="Z25" s="61"/>
      <c r="AA25" s="61"/>
    </row>
    <row r="26" spans="2:27" ht="14.25" customHeight="1">
      <c r="B26" s="24"/>
      <c r="C26" s="22"/>
      <c r="D26" s="22"/>
      <c r="E26" s="22"/>
      <c r="F26" s="22"/>
      <c r="G26" s="22"/>
      <c r="H26" s="23"/>
      <c r="I26" s="23"/>
      <c r="J26" s="22"/>
      <c r="K26" s="22"/>
      <c r="L26" s="22"/>
      <c r="M26" s="22"/>
      <c r="N26" s="22"/>
      <c r="O26" s="22"/>
      <c r="P26" s="22"/>
      <c r="Q26" s="22"/>
      <c r="R26" s="45"/>
      <c r="S26" s="45"/>
      <c r="T26" s="45"/>
      <c r="U26" s="22"/>
      <c r="V26" s="22"/>
    </row>
    <row r="27" spans="2:27" ht="11.25" customHeight="1">
      <c r="B27" s="30"/>
      <c r="C27" s="27"/>
      <c r="D27" s="27"/>
      <c r="E27" s="27"/>
      <c r="F27" s="27"/>
      <c r="G27" s="27"/>
      <c r="H27" s="28"/>
      <c r="I27" s="28"/>
      <c r="J27" s="27"/>
      <c r="K27" s="27"/>
      <c r="L27" s="27"/>
      <c r="M27" s="27"/>
      <c r="N27" s="27"/>
      <c r="O27" s="27"/>
      <c r="P27" s="27"/>
      <c r="Q27" s="27"/>
      <c r="R27" s="127"/>
      <c r="S27" s="127"/>
      <c r="T27" s="127"/>
      <c r="U27" s="31"/>
    </row>
    <row r="28" spans="2:27" ht="21" customHeight="1">
      <c r="B28" s="33"/>
      <c r="C28" s="22" t="s">
        <v>61</v>
      </c>
      <c r="D28" s="22"/>
      <c r="E28" s="22"/>
      <c r="F28" s="22"/>
      <c r="G28" s="22"/>
      <c r="H28" s="23"/>
      <c r="I28" s="23"/>
      <c r="J28" s="22"/>
      <c r="K28" s="22"/>
      <c r="L28" s="22"/>
      <c r="M28" s="22"/>
      <c r="N28" s="22"/>
      <c r="O28" s="22"/>
      <c r="P28" s="22"/>
      <c r="Q28" s="22"/>
      <c r="R28" s="122"/>
      <c r="S28" s="122"/>
      <c r="T28" s="122"/>
      <c r="U28" s="34"/>
    </row>
    <row r="29" spans="2:27" ht="21" customHeight="1">
      <c r="B29" s="33"/>
      <c r="C29" s="22"/>
      <c r="D29" s="22" t="s">
        <v>82</v>
      </c>
      <c r="E29" s="22"/>
      <c r="F29" s="22"/>
      <c r="G29" s="22"/>
      <c r="H29" s="23"/>
      <c r="I29" s="23"/>
      <c r="J29" s="22"/>
      <c r="K29" s="22"/>
      <c r="L29" s="22"/>
      <c r="M29" s="22"/>
      <c r="N29" s="22"/>
      <c r="O29" s="22"/>
      <c r="P29" s="22"/>
      <c r="Q29" s="22"/>
      <c r="R29" s="128">
        <f>入力シート!W36</f>
        <v>-47478344</v>
      </c>
      <c r="S29" s="128"/>
      <c r="T29" s="128"/>
      <c r="U29" s="34"/>
    </row>
    <row r="30" spans="2:27" ht="21" customHeight="1">
      <c r="B30" s="33"/>
      <c r="C30" s="22"/>
      <c r="D30" s="22" t="s">
        <v>40</v>
      </c>
      <c r="E30" s="22"/>
      <c r="F30" s="22"/>
      <c r="G30" s="22"/>
      <c r="H30" s="23"/>
      <c r="I30" s="23"/>
      <c r="J30" s="22"/>
      <c r="K30" s="22"/>
      <c r="L30" s="22"/>
      <c r="M30" s="22"/>
      <c r="N30" s="22"/>
      <c r="O30" s="22"/>
      <c r="P30" s="22"/>
      <c r="Q30" s="22"/>
      <c r="R30" s="122">
        <f>入力シート!W37</f>
        <v>0</v>
      </c>
      <c r="S30" s="122"/>
      <c r="T30" s="122"/>
      <c r="U30" s="34"/>
    </row>
    <row r="31" spans="2:27" ht="21" customHeight="1">
      <c r="B31" s="33"/>
      <c r="C31" s="22"/>
      <c r="D31" s="22" t="s">
        <v>41</v>
      </c>
      <c r="E31" s="22"/>
      <c r="F31" s="22"/>
      <c r="G31" s="22"/>
      <c r="H31" s="23"/>
      <c r="I31" s="23"/>
      <c r="J31" s="22"/>
      <c r="K31" s="22"/>
      <c r="L31" s="22"/>
      <c r="M31" s="22"/>
      <c r="N31" s="22"/>
      <c r="O31" s="22"/>
      <c r="P31" s="22"/>
      <c r="Q31" s="22"/>
      <c r="R31" s="131">
        <f>入力シート!W38</f>
        <v>29435594</v>
      </c>
      <c r="S31" s="131"/>
      <c r="T31" s="131"/>
      <c r="U31" s="34"/>
    </row>
    <row r="32" spans="2:27" ht="21" customHeight="1">
      <c r="B32" s="33"/>
      <c r="C32" s="48" t="s">
        <v>87</v>
      </c>
      <c r="D32" s="22" t="s">
        <v>109</v>
      </c>
      <c r="E32" s="22"/>
      <c r="F32" s="22"/>
      <c r="G32" s="22"/>
      <c r="H32" s="23"/>
      <c r="I32" s="23"/>
      <c r="J32" s="22"/>
      <c r="K32" s="22"/>
      <c r="L32" s="22"/>
      <c r="M32" s="22"/>
      <c r="N32" s="22"/>
      <c r="O32" s="22"/>
      <c r="P32" s="22"/>
      <c r="Q32" s="22"/>
      <c r="R32" s="132">
        <f>入力シート!W39</f>
        <v>-18042750</v>
      </c>
      <c r="S32" s="132"/>
      <c r="T32" s="132"/>
      <c r="U32" s="34"/>
    </row>
    <row r="33" spans="2:26" ht="12" customHeight="1">
      <c r="B33" s="33"/>
      <c r="C33" s="22"/>
      <c r="D33" s="22"/>
      <c r="E33" s="22"/>
      <c r="F33" s="22"/>
      <c r="G33" s="22"/>
      <c r="H33" s="133"/>
      <c r="I33" s="133"/>
      <c r="J33" s="22"/>
      <c r="K33" s="22"/>
      <c r="L33" s="22"/>
      <c r="M33" s="22"/>
      <c r="N33" s="22"/>
      <c r="O33" s="22"/>
      <c r="P33" s="22"/>
      <c r="Q33" s="22"/>
      <c r="R33" s="122"/>
      <c r="S33" s="122"/>
      <c r="T33" s="122"/>
      <c r="U33" s="34"/>
    </row>
    <row r="34" spans="2:26" ht="21" customHeight="1">
      <c r="B34" s="33"/>
      <c r="C34" s="22" t="s">
        <v>62</v>
      </c>
      <c r="D34" s="22"/>
      <c r="E34" s="22"/>
      <c r="F34" s="22"/>
      <c r="G34" s="22"/>
      <c r="H34" s="23"/>
      <c r="I34" s="23"/>
      <c r="J34" s="22"/>
      <c r="K34" s="22"/>
      <c r="L34" s="22"/>
      <c r="M34" s="22"/>
      <c r="N34" s="22"/>
      <c r="O34" s="22"/>
      <c r="P34" s="22"/>
      <c r="Q34" s="22"/>
      <c r="R34" s="122"/>
      <c r="S34" s="122"/>
      <c r="T34" s="122"/>
      <c r="U34" s="34"/>
    </row>
    <row r="35" spans="2:26" ht="21" customHeight="1">
      <c r="B35" s="33"/>
      <c r="C35" s="22"/>
      <c r="D35" s="22" t="s">
        <v>63</v>
      </c>
      <c r="E35" s="22"/>
      <c r="F35" s="22"/>
      <c r="G35" s="22"/>
      <c r="H35" s="23"/>
      <c r="I35" s="23"/>
      <c r="J35" s="22"/>
      <c r="K35" s="22"/>
      <c r="L35" s="22"/>
      <c r="M35" s="22"/>
      <c r="N35" s="22"/>
      <c r="O35" s="22"/>
      <c r="P35" s="22"/>
      <c r="Q35" s="22"/>
      <c r="R35" s="122">
        <f>入力シート!W42</f>
        <v>9000000</v>
      </c>
      <c r="S35" s="122"/>
      <c r="T35" s="122"/>
      <c r="U35" s="34"/>
      <c r="W35" s="50" t="s">
        <v>110</v>
      </c>
      <c r="X35" s="68">
        <v>11900000</v>
      </c>
    </row>
    <row r="36" spans="2:26" ht="21" customHeight="1">
      <c r="B36" s="33"/>
      <c r="C36" s="22"/>
      <c r="D36" s="22" t="s">
        <v>64</v>
      </c>
      <c r="E36" s="22"/>
      <c r="F36" s="22"/>
      <c r="G36" s="22"/>
      <c r="H36" s="23"/>
      <c r="I36" s="23"/>
      <c r="J36" s="22"/>
      <c r="K36" s="22"/>
      <c r="L36" s="22"/>
      <c r="M36" s="22"/>
      <c r="N36" s="22"/>
      <c r="O36" s="22"/>
      <c r="P36" s="22"/>
      <c r="Q36" s="22"/>
      <c r="R36" s="129">
        <f>入力シート!W43</f>
        <v>-38275211</v>
      </c>
      <c r="S36" s="129"/>
      <c r="T36" s="129"/>
      <c r="U36" s="34"/>
      <c r="W36" s="50" t="s">
        <v>111</v>
      </c>
      <c r="X36" s="62" t="s">
        <v>105</v>
      </c>
      <c r="Y36" s="62" t="s">
        <v>106</v>
      </c>
      <c r="Z36" s="63" t="s">
        <v>101</v>
      </c>
    </row>
    <row r="37" spans="2:26" ht="21" hidden="1" customHeight="1">
      <c r="B37" s="33"/>
      <c r="C37" s="22"/>
      <c r="D37" s="22" t="s">
        <v>46</v>
      </c>
      <c r="E37" s="22"/>
      <c r="F37" s="22"/>
      <c r="G37" s="22"/>
      <c r="H37" s="23"/>
      <c r="I37" s="23"/>
      <c r="J37" s="22"/>
      <c r="K37" s="22"/>
      <c r="L37" s="22"/>
      <c r="M37" s="22"/>
      <c r="N37" s="22"/>
      <c r="O37" s="22"/>
      <c r="P37" s="22"/>
      <c r="Q37" s="22"/>
      <c r="R37" s="130">
        <f>入力シート!W45</f>
        <v>-29275211</v>
      </c>
      <c r="S37" s="130"/>
      <c r="T37" s="130"/>
      <c r="U37" s="34"/>
      <c r="W37" s="52" t="s">
        <v>102</v>
      </c>
      <c r="X37" s="53">
        <v>74382</v>
      </c>
      <c r="Y37" s="53">
        <v>4727</v>
      </c>
      <c r="Z37" s="54">
        <f>SUM(X37:Y37)</f>
        <v>79109</v>
      </c>
    </row>
    <row r="38" spans="2:26" ht="21" customHeight="1">
      <c r="B38" s="33"/>
      <c r="C38" s="48" t="s">
        <v>88</v>
      </c>
      <c r="D38" s="22" t="s">
        <v>112</v>
      </c>
      <c r="E38" s="22"/>
      <c r="F38" s="22"/>
      <c r="G38" s="22"/>
      <c r="H38" s="23"/>
      <c r="I38" s="23"/>
      <c r="J38" s="22"/>
      <c r="K38" s="22"/>
      <c r="L38" s="22"/>
      <c r="M38" s="22"/>
      <c r="N38" s="22"/>
      <c r="O38" s="22"/>
      <c r="P38" s="22"/>
      <c r="Q38" s="22"/>
      <c r="R38" s="132">
        <f>入力シート!W45</f>
        <v>-29275211</v>
      </c>
      <c r="S38" s="132"/>
      <c r="T38" s="132"/>
      <c r="U38" s="34"/>
      <c r="W38" s="52" t="s">
        <v>102</v>
      </c>
      <c r="X38" s="68">
        <v>26371383</v>
      </c>
      <c r="Y38" s="68">
        <v>1360667</v>
      </c>
      <c r="Z38" s="69">
        <f>SUM(X38:Y38)</f>
        <v>27732050</v>
      </c>
    </row>
    <row r="39" spans="2:26" ht="14.25" customHeight="1">
      <c r="B39" s="33"/>
      <c r="C39" s="22"/>
      <c r="D39" s="22"/>
      <c r="E39" s="22"/>
      <c r="F39" s="22"/>
      <c r="G39" s="22"/>
      <c r="H39" s="133"/>
      <c r="I39" s="133"/>
      <c r="J39" s="22"/>
      <c r="K39" s="22"/>
      <c r="L39" s="22"/>
      <c r="M39" s="22"/>
      <c r="N39" s="22"/>
      <c r="O39" s="22"/>
      <c r="P39" s="22"/>
      <c r="Q39" s="22"/>
      <c r="R39" s="122"/>
      <c r="S39" s="122"/>
      <c r="T39" s="122"/>
      <c r="U39" s="34"/>
      <c r="W39" s="39"/>
    </row>
    <row r="40" spans="2:26" ht="21" customHeight="1">
      <c r="B40" s="33"/>
      <c r="C40" s="29" t="s">
        <v>89</v>
      </c>
      <c r="D40" s="22"/>
      <c r="E40" s="22"/>
      <c r="F40" s="22"/>
      <c r="G40" s="22"/>
      <c r="H40" s="133"/>
      <c r="I40" s="133"/>
      <c r="J40" s="22"/>
      <c r="K40" s="22"/>
      <c r="L40" s="22"/>
      <c r="M40" s="22"/>
      <c r="N40" s="22"/>
      <c r="O40" s="22"/>
      <c r="P40" s="22"/>
      <c r="Q40" s="22"/>
      <c r="R40" s="128">
        <f>入力シート!W47</f>
        <v>6303256</v>
      </c>
      <c r="S40" s="128"/>
      <c r="T40" s="128"/>
      <c r="U40" s="34"/>
      <c r="W40" s="39"/>
    </row>
    <row r="41" spans="2:26" ht="21" customHeight="1">
      <c r="B41" s="33"/>
      <c r="C41" s="29" t="s">
        <v>65</v>
      </c>
      <c r="D41" s="22"/>
      <c r="E41" s="22"/>
      <c r="F41" s="22"/>
      <c r="G41" s="22"/>
      <c r="H41" s="133"/>
      <c r="I41" s="133"/>
      <c r="J41" s="22"/>
      <c r="K41" s="22"/>
      <c r="L41" s="22"/>
      <c r="M41" s="22"/>
      <c r="N41" s="22"/>
      <c r="O41" s="22"/>
      <c r="P41" s="22"/>
      <c r="Q41" s="22"/>
      <c r="R41" s="131">
        <f>入力シート!W48</f>
        <v>85414342</v>
      </c>
      <c r="S41" s="131"/>
      <c r="T41" s="131"/>
      <c r="U41" s="34"/>
      <c r="W41" s="64">
        <v>98450472</v>
      </c>
      <c r="X41" s="65" t="s">
        <v>115</v>
      </c>
    </row>
    <row r="42" spans="2:26" ht="21" customHeight="1">
      <c r="B42" s="33"/>
      <c r="C42" s="29" t="s">
        <v>66</v>
      </c>
      <c r="D42" s="22"/>
      <c r="E42" s="22"/>
      <c r="F42" s="22"/>
      <c r="G42" s="22"/>
      <c r="H42" s="133"/>
      <c r="I42" s="133"/>
      <c r="J42" s="22"/>
      <c r="K42" s="22"/>
      <c r="L42" s="22"/>
      <c r="M42" s="22"/>
      <c r="N42" s="22"/>
      <c r="O42" s="22"/>
      <c r="P42" s="22"/>
      <c r="Q42" s="22"/>
      <c r="R42" s="130">
        <f>入力シート!W49</f>
        <v>91717598</v>
      </c>
      <c r="S42" s="130"/>
      <c r="T42" s="130"/>
      <c r="U42" s="34"/>
    </row>
    <row r="43" spans="2:26">
      <c r="B43" s="35"/>
      <c r="C43" s="24"/>
      <c r="D43" s="24"/>
      <c r="E43" s="24"/>
      <c r="F43" s="24"/>
      <c r="G43" s="24"/>
      <c r="H43" s="125"/>
      <c r="I43" s="125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36"/>
    </row>
    <row r="44" spans="2:26">
      <c r="H44" s="134"/>
      <c r="I44" s="134"/>
    </row>
  </sheetData>
  <mergeCells count="41">
    <mergeCell ref="H42:I42"/>
    <mergeCell ref="R42:T42"/>
    <mergeCell ref="H43:I43"/>
    <mergeCell ref="H44:I44"/>
    <mergeCell ref="R38:T38"/>
    <mergeCell ref="H39:I39"/>
    <mergeCell ref="R39:T39"/>
    <mergeCell ref="H40:I40"/>
    <mergeCell ref="R40:T40"/>
    <mergeCell ref="H41:I41"/>
    <mergeCell ref="R41:T41"/>
    <mergeCell ref="H33:I33"/>
    <mergeCell ref="R33:T33"/>
    <mergeCell ref="R34:T34"/>
    <mergeCell ref="R35:T35"/>
    <mergeCell ref="R36:T36"/>
    <mergeCell ref="R37:T37"/>
    <mergeCell ref="R27:T27"/>
    <mergeCell ref="R28:T28"/>
    <mergeCell ref="R29:T29"/>
    <mergeCell ref="R30:T30"/>
    <mergeCell ref="R31:T31"/>
    <mergeCell ref="R32:T32"/>
    <mergeCell ref="R23:T23"/>
    <mergeCell ref="R12:T12"/>
    <mergeCell ref="R13:T13"/>
    <mergeCell ref="R14:T14"/>
    <mergeCell ref="R15:T15"/>
    <mergeCell ref="R16:T16"/>
    <mergeCell ref="R17:T17"/>
    <mergeCell ref="R18:T18"/>
    <mergeCell ref="R19:T19"/>
    <mergeCell ref="R20:T20"/>
    <mergeCell ref="R21:T21"/>
    <mergeCell ref="R22:T22"/>
    <mergeCell ref="R11:T11"/>
    <mergeCell ref="D3:R3"/>
    <mergeCell ref="D4:S4"/>
    <mergeCell ref="R6:T6"/>
    <mergeCell ref="R9:T9"/>
    <mergeCell ref="R10:T10"/>
  </mergeCells>
  <phoneticPr fontId="1"/>
  <printOptions horizontalCentered="1"/>
  <pageMargins left="0.70866141732283472" right="0.70866141732283472" top="1.0629921259842521" bottom="0.74803149606299213" header="0.31496062992125984" footer="0.31496062992125984"/>
  <pageSetup paperSize="9" scale="66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X51"/>
  <sheetViews>
    <sheetView view="pageBreakPreview" topLeftCell="B1" zoomScale="78" zoomScaleNormal="78" zoomScaleSheetLayoutView="78" workbookViewId="0">
      <pane xSplit="6" ySplit="2" topLeftCell="L3" activePane="bottomRight" state="frozen"/>
      <selection activeCell="B1" sqref="B1"/>
      <selection pane="topRight" activeCell="G1" sqref="G1"/>
      <selection pane="bottomLeft" activeCell="B3" sqref="B3"/>
      <selection pane="bottomRight" activeCell="E4" sqref="E4"/>
    </sheetView>
  </sheetViews>
  <sheetFormatPr defaultRowHeight="13.5"/>
  <cols>
    <col min="1" max="1" width="9" style="10"/>
    <col min="2" max="2" width="6.375" style="10" customWidth="1"/>
    <col min="3" max="3" width="29.75" style="10" customWidth="1"/>
    <col min="4" max="4" width="12.125" style="10" customWidth="1"/>
    <col min="5" max="5" width="12.75" style="10" customWidth="1"/>
    <col min="6" max="6" width="13.5" style="10" customWidth="1"/>
    <col min="7" max="7" width="1.125" style="10" customWidth="1"/>
    <col min="8" max="8" width="12" style="10" customWidth="1"/>
    <col min="9" max="12" width="11.5" style="10" customWidth="1"/>
    <col min="13" max="13" width="16.375" style="10" customWidth="1"/>
    <col min="14" max="14" width="11.5" style="10" customWidth="1"/>
    <col min="15" max="15" width="13.625" style="10" bestFit="1" customWidth="1"/>
    <col min="16" max="23" width="11.5" style="10" customWidth="1"/>
    <col min="24" max="16384" width="9" style="10"/>
  </cols>
  <sheetData>
    <row r="1" spans="1:24">
      <c r="A1" s="10" t="s">
        <v>0</v>
      </c>
      <c r="D1" s="10" t="s">
        <v>22</v>
      </c>
      <c r="E1" s="10" t="s">
        <v>126</v>
      </c>
    </row>
    <row r="2" spans="1:24" ht="31.5" customHeight="1">
      <c r="B2" s="136" t="s">
        <v>1</v>
      </c>
      <c r="C2" s="136"/>
      <c r="D2" s="19">
        <v>45747</v>
      </c>
      <c r="E2" s="19">
        <v>46112</v>
      </c>
      <c r="F2" s="11" t="s">
        <v>9</v>
      </c>
      <c r="G2" s="12"/>
      <c r="H2" s="21" t="s">
        <v>10</v>
      </c>
      <c r="I2" s="21" t="s">
        <v>79</v>
      </c>
      <c r="J2" s="21" t="s">
        <v>80</v>
      </c>
      <c r="K2" s="21" t="s">
        <v>11</v>
      </c>
      <c r="L2" s="21" t="s">
        <v>12</v>
      </c>
      <c r="M2" s="21" t="s">
        <v>13</v>
      </c>
      <c r="N2" s="21" t="s">
        <v>81</v>
      </c>
      <c r="O2" s="21" t="s">
        <v>14</v>
      </c>
      <c r="P2" s="21" t="s">
        <v>15</v>
      </c>
      <c r="Q2" s="21" t="s">
        <v>16</v>
      </c>
      <c r="R2" s="21" t="s">
        <v>17</v>
      </c>
      <c r="S2" s="21" t="s">
        <v>18</v>
      </c>
      <c r="T2" s="21" t="s">
        <v>19</v>
      </c>
      <c r="U2" s="21" t="s">
        <v>8</v>
      </c>
      <c r="V2" s="21" t="s">
        <v>20</v>
      </c>
      <c r="W2" s="21" t="s">
        <v>21</v>
      </c>
    </row>
    <row r="3" spans="1:24" ht="27.75" customHeight="1">
      <c r="B3" s="135" t="s">
        <v>76</v>
      </c>
      <c r="C3" s="5" t="s">
        <v>73</v>
      </c>
      <c r="D3" s="42">
        <v>4132066682</v>
      </c>
      <c r="E3" s="42">
        <f>4132066682+53820344-6342000</f>
        <v>4179545026</v>
      </c>
      <c r="F3" s="84">
        <f>E3-D3</f>
        <v>47478344</v>
      </c>
      <c r="G3" s="12"/>
      <c r="H3" s="2"/>
      <c r="I3" s="2"/>
      <c r="J3" s="2"/>
      <c r="K3" s="2"/>
      <c r="L3" s="2"/>
      <c r="M3" s="2"/>
      <c r="N3" s="2"/>
      <c r="O3" s="2">
        <f>-F3</f>
        <v>-47478344</v>
      </c>
      <c r="P3" s="2"/>
      <c r="Q3" s="2"/>
      <c r="R3" s="2"/>
      <c r="S3" s="2"/>
      <c r="T3" s="2"/>
      <c r="U3" s="2"/>
      <c r="V3" s="2"/>
      <c r="W3" s="2">
        <f>F3+SUM(H3:V3)</f>
        <v>0</v>
      </c>
    </row>
    <row r="4" spans="1:24" ht="27.75" customHeight="1">
      <c r="B4" s="135"/>
      <c r="C4" s="5" t="s">
        <v>74</v>
      </c>
      <c r="D4" s="90">
        <v>-2511104850</v>
      </c>
      <c r="E4" s="42">
        <f>-2511104850+-77956621+-19823</f>
        <v>-2589081294</v>
      </c>
      <c r="F4" s="84">
        <f>E4-D4</f>
        <v>-77976444</v>
      </c>
      <c r="G4" s="12"/>
      <c r="H4" s="2">
        <f>-F4</f>
        <v>77976444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>
        <f t="shared" ref="W4:W15" si="0">F4+SUM(H4:V4)</f>
        <v>0</v>
      </c>
    </row>
    <row r="5" spans="1:24" ht="27.75" customHeight="1">
      <c r="B5" s="135"/>
      <c r="C5" s="5" t="s">
        <v>2</v>
      </c>
      <c r="D5" s="90">
        <v>85414342</v>
      </c>
      <c r="E5" s="138">
        <v>91717598</v>
      </c>
      <c r="F5" s="85">
        <f>E5-D5</f>
        <v>6303256</v>
      </c>
      <c r="G5" s="12"/>
      <c r="H5" s="2"/>
      <c r="I5" s="2"/>
      <c r="J5" s="2"/>
      <c r="K5" s="2"/>
      <c r="L5" s="1"/>
      <c r="M5" s="2"/>
      <c r="N5" s="2"/>
      <c r="O5" s="2"/>
      <c r="P5" s="2"/>
      <c r="Q5" s="2"/>
      <c r="R5" s="2"/>
      <c r="S5" s="2"/>
      <c r="T5" s="2"/>
      <c r="U5" s="2"/>
      <c r="V5" s="2">
        <f>-F5</f>
        <v>-6303256</v>
      </c>
      <c r="W5" s="2">
        <f>F5+SUM(H5:V5)</f>
        <v>0</v>
      </c>
    </row>
    <row r="6" spans="1:24" ht="27.75" customHeight="1">
      <c r="B6" s="135"/>
      <c r="C6" s="5" t="s">
        <v>3</v>
      </c>
      <c r="D6" s="90">
        <v>103144075</v>
      </c>
      <c r="E6" s="138">
        <v>117318830</v>
      </c>
      <c r="F6" s="85">
        <f>E6-D6</f>
        <v>14174755</v>
      </c>
      <c r="G6" s="12"/>
      <c r="H6" s="2"/>
      <c r="I6" s="2"/>
      <c r="J6" s="2"/>
      <c r="K6" s="2"/>
      <c r="L6" s="2"/>
      <c r="M6" s="2"/>
      <c r="N6" s="2">
        <f>-F6</f>
        <v>-14174755</v>
      </c>
      <c r="O6" s="2"/>
      <c r="P6" s="2"/>
      <c r="Q6" s="2"/>
      <c r="R6" s="2"/>
      <c r="S6" s="2"/>
      <c r="T6" s="2"/>
      <c r="U6" s="2"/>
      <c r="V6" s="2"/>
      <c r="W6" s="2">
        <f t="shared" si="0"/>
        <v>0</v>
      </c>
    </row>
    <row r="7" spans="1:24" ht="27.75" customHeight="1">
      <c r="B7" s="135"/>
      <c r="C7" s="5" t="s">
        <v>4</v>
      </c>
      <c r="D7" s="90">
        <v>2165552</v>
      </c>
      <c r="E7" s="90">
        <f>2165552+275455</f>
        <v>2441007</v>
      </c>
      <c r="F7" s="85">
        <f t="shared" ref="F7:F14" si="1">E7-D7</f>
        <v>275455</v>
      </c>
      <c r="G7" s="12"/>
      <c r="H7" s="2"/>
      <c r="I7" s="2"/>
      <c r="J7" s="2"/>
      <c r="K7" s="2"/>
      <c r="L7" s="2"/>
      <c r="M7" s="2"/>
      <c r="N7" s="2">
        <f>-F7</f>
        <v>-275455</v>
      </c>
      <c r="O7" s="2"/>
      <c r="P7" s="2"/>
      <c r="Q7" s="2"/>
      <c r="R7" s="2"/>
      <c r="S7" s="2"/>
      <c r="T7" s="2"/>
      <c r="U7" s="2"/>
      <c r="V7" s="2"/>
      <c r="W7" s="2">
        <f t="shared" si="0"/>
        <v>0</v>
      </c>
    </row>
    <row r="8" spans="1:24" ht="27.75" customHeight="1">
      <c r="B8" s="135"/>
      <c r="C8" s="5" t="s">
        <v>70</v>
      </c>
      <c r="D8" s="90">
        <v>-15242370</v>
      </c>
      <c r="E8" s="90">
        <f>-15242370+-1240000</f>
        <v>-16482370</v>
      </c>
      <c r="F8" s="85">
        <f t="shared" si="1"/>
        <v>-1240000</v>
      </c>
      <c r="G8" s="12"/>
      <c r="H8" s="2"/>
      <c r="I8" s="2"/>
      <c r="J8" s="2"/>
      <c r="K8" s="2"/>
      <c r="L8" s="2"/>
      <c r="M8" s="2"/>
      <c r="N8" s="2">
        <f>-F8</f>
        <v>1240000</v>
      </c>
      <c r="O8" s="1"/>
      <c r="P8" s="2"/>
      <c r="Q8" s="2"/>
      <c r="R8" s="2"/>
      <c r="S8" s="2"/>
      <c r="T8" s="2"/>
      <c r="U8" s="2"/>
      <c r="V8" s="2"/>
      <c r="W8" s="2">
        <f t="shared" si="0"/>
        <v>0</v>
      </c>
    </row>
    <row r="9" spans="1:24" ht="27.75" customHeight="1">
      <c r="B9" s="135" t="s">
        <v>78</v>
      </c>
      <c r="C9" s="5" t="s">
        <v>5</v>
      </c>
      <c r="D9" s="90">
        <v>-380242597</v>
      </c>
      <c r="E9" s="90">
        <v>-350967386</v>
      </c>
      <c r="F9" s="84">
        <f>E9-D9</f>
        <v>29275211</v>
      </c>
      <c r="G9" s="1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92">
        <v>9000000</v>
      </c>
      <c r="T9" s="91">
        <v>-38275211</v>
      </c>
      <c r="U9" s="2"/>
      <c r="V9" s="2"/>
      <c r="W9" s="2">
        <f>F9+SUM(H9:V9)</f>
        <v>0</v>
      </c>
    </row>
    <row r="10" spans="1:24" ht="27.75" customHeight="1">
      <c r="B10" s="135"/>
      <c r="C10" s="5" t="s">
        <v>71</v>
      </c>
      <c r="D10" s="43">
        <v>0</v>
      </c>
      <c r="E10" s="43">
        <v>0</v>
      </c>
      <c r="F10" s="85">
        <f t="shared" si="1"/>
        <v>0</v>
      </c>
      <c r="G10" s="1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>
        <f t="shared" si="0"/>
        <v>0</v>
      </c>
    </row>
    <row r="11" spans="1:24" ht="27.75" customHeight="1">
      <c r="B11" s="135"/>
      <c r="C11" s="5" t="s">
        <v>75</v>
      </c>
      <c r="D11" s="90">
        <v>-71674328</v>
      </c>
      <c r="E11" s="90">
        <f>-79796211+1273000</f>
        <v>-78523211</v>
      </c>
      <c r="F11" s="84">
        <f>E11-D11</f>
        <v>-6848883</v>
      </c>
      <c r="G11" s="12"/>
      <c r="H11" s="2"/>
      <c r="I11" s="2"/>
      <c r="J11" s="2"/>
      <c r="K11" s="2"/>
      <c r="L11" s="2"/>
      <c r="M11" s="2"/>
      <c r="N11" s="2">
        <f>-F11</f>
        <v>6848883</v>
      </c>
      <c r="O11" s="2"/>
      <c r="P11" s="2"/>
      <c r="Q11" s="2"/>
      <c r="R11" s="2"/>
      <c r="S11" s="2"/>
      <c r="T11" s="2"/>
      <c r="U11" s="2"/>
      <c r="V11" s="2"/>
      <c r="W11" s="2">
        <f t="shared" si="0"/>
        <v>0</v>
      </c>
    </row>
    <row r="12" spans="1:24" ht="27.75" customHeight="1">
      <c r="B12" s="135"/>
      <c r="C12" s="5" t="s">
        <v>6</v>
      </c>
      <c r="D12" s="90">
        <v>-515343971</v>
      </c>
      <c r="E12" s="90">
        <v>-518646383</v>
      </c>
      <c r="F12" s="85">
        <f>E12-D12</f>
        <v>-3302412</v>
      </c>
      <c r="G12" s="12"/>
      <c r="H12" s="2"/>
      <c r="I12" s="2"/>
      <c r="J12" s="92">
        <v>-27053042</v>
      </c>
      <c r="K12" s="2"/>
      <c r="L12" s="2"/>
      <c r="M12" s="2"/>
      <c r="N12" s="2"/>
      <c r="O12" s="2"/>
      <c r="P12" s="1"/>
      <c r="Q12" s="92">
        <v>29435594</v>
      </c>
      <c r="R12" s="1"/>
      <c r="S12" s="2"/>
      <c r="T12" s="2"/>
      <c r="U12" s="2"/>
      <c r="V12" s="2"/>
      <c r="W12" s="2">
        <f>F12+SUM(H12:V12)</f>
        <v>-919860</v>
      </c>
    </row>
    <row r="13" spans="1:24" ht="27.75" customHeight="1">
      <c r="B13" s="135" t="s">
        <v>77</v>
      </c>
      <c r="C13" s="5" t="s">
        <v>7</v>
      </c>
      <c r="D13" s="90">
        <v>-652165550</v>
      </c>
      <c r="E13" s="90">
        <v>-652165550</v>
      </c>
      <c r="F13" s="85">
        <f t="shared" si="1"/>
        <v>0</v>
      </c>
      <c r="G13" s="12"/>
      <c r="H13" s="2"/>
      <c r="I13" s="2"/>
      <c r="J13" s="2"/>
      <c r="K13" s="2"/>
      <c r="L13" s="2"/>
      <c r="M13" s="2"/>
      <c r="N13" s="1"/>
      <c r="O13" s="2"/>
      <c r="P13" s="2"/>
      <c r="Q13" s="2"/>
      <c r="R13" s="2"/>
      <c r="S13" s="2"/>
      <c r="T13" s="2"/>
      <c r="U13" s="2"/>
      <c r="V13" s="2"/>
      <c r="W13" s="2">
        <f t="shared" si="0"/>
        <v>0</v>
      </c>
    </row>
    <row r="14" spans="1:24" ht="27.75" customHeight="1">
      <c r="B14" s="135"/>
      <c r="C14" s="5" t="s">
        <v>72</v>
      </c>
      <c r="D14" s="90">
        <v>-61231146</v>
      </c>
      <c r="E14" s="90">
        <v>-61231146</v>
      </c>
      <c r="F14" s="85">
        <f t="shared" si="1"/>
        <v>0</v>
      </c>
      <c r="G14" s="12"/>
      <c r="H14" s="2"/>
      <c r="I14" s="2"/>
      <c r="J14" s="2"/>
      <c r="K14" s="2"/>
      <c r="L14" s="2"/>
      <c r="M14" s="2"/>
      <c r="N14" s="2"/>
      <c r="O14" s="2">
        <v>0</v>
      </c>
      <c r="P14" s="2"/>
      <c r="Q14" s="2"/>
      <c r="R14" s="2"/>
      <c r="S14" s="2"/>
      <c r="T14" s="2"/>
      <c r="U14" s="2"/>
      <c r="V14" s="2"/>
      <c r="W14" s="2">
        <f t="shared" si="0"/>
        <v>0</v>
      </c>
    </row>
    <row r="15" spans="1:24" ht="27.75" customHeight="1">
      <c r="B15" s="135"/>
      <c r="C15" s="5" t="s">
        <v>8</v>
      </c>
      <c r="D15" s="90">
        <v>-116332357</v>
      </c>
      <c r="E15" s="42">
        <v>-125391499</v>
      </c>
      <c r="F15" s="85">
        <f>E15-D15</f>
        <v>-9059142</v>
      </c>
      <c r="G15" s="1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>
        <f>-F15</f>
        <v>9059142</v>
      </c>
      <c r="V15" s="2"/>
      <c r="W15" s="2">
        <f t="shared" si="0"/>
        <v>0</v>
      </c>
      <c r="X15" s="20"/>
    </row>
    <row r="16" spans="1:24" ht="27.75" customHeight="1">
      <c r="C16" s="13"/>
      <c r="D16" s="4">
        <f>SUM(D3:D15)</f>
        <v>-546518</v>
      </c>
      <c r="E16" s="4">
        <f>SUM(E3:E15)</f>
        <v>-1466378</v>
      </c>
      <c r="F16" s="13">
        <f>SUM(F3:F15)</f>
        <v>-919860</v>
      </c>
      <c r="G16" s="14"/>
      <c r="H16" s="4">
        <f>SUM(H3:H15)</f>
        <v>77976444</v>
      </c>
      <c r="I16" s="4">
        <f t="shared" ref="I16:U16" si="2">SUM(I3:I15)</f>
        <v>0</v>
      </c>
      <c r="J16" s="4">
        <f>SUM(J3:J15)</f>
        <v>-27053042</v>
      </c>
      <c r="K16" s="4">
        <f t="shared" si="2"/>
        <v>0</v>
      </c>
      <c r="L16" s="4">
        <f t="shared" si="2"/>
        <v>0</v>
      </c>
      <c r="M16" s="4">
        <f t="shared" si="2"/>
        <v>0</v>
      </c>
      <c r="N16" s="4">
        <f t="shared" si="2"/>
        <v>-6361327</v>
      </c>
      <c r="O16" s="4">
        <f>SUM(O3:O15)</f>
        <v>-47478344</v>
      </c>
      <c r="P16" s="4">
        <f t="shared" si="2"/>
        <v>0</v>
      </c>
      <c r="Q16" s="4">
        <f>SUM(Q3:Q15)</f>
        <v>29435594</v>
      </c>
      <c r="R16" s="4">
        <f t="shared" si="2"/>
        <v>0</v>
      </c>
      <c r="S16" s="4">
        <f>SUM(S3:S15)</f>
        <v>9000000</v>
      </c>
      <c r="T16" s="4">
        <f>SUM(T3:T15)</f>
        <v>-38275211</v>
      </c>
      <c r="U16" s="4">
        <f>SUM(U3:U15)</f>
        <v>9059142</v>
      </c>
      <c r="V16" s="4">
        <f>SUM(V3:V15)</f>
        <v>-6303256</v>
      </c>
      <c r="W16" s="5">
        <f>F16+SUM(H16:V16)</f>
        <v>-919860</v>
      </c>
      <c r="X16" s="20"/>
    </row>
    <row r="17" spans="3:23" ht="23.25" customHeight="1">
      <c r="C17" s="15" t="s">
        <v>23</v>
      </c>
      <c r="D17" s="15"/>
      <c r="E17" s="15"/>
      <c r="F17" s="15"/>
      <c r="G17" s="12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</row>
    <row r="18" spans="3:23" ht="18" customHeight="1">
      <c r="C18" s="16" t="s">
        <v>37</v>
      </c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</row>
    <row r="19" spans="3:23" ht="18" customHeight="1">
      <c r="C19" s="2" t="s">
        <v>24</v>
      </c>
      <c r="D19" s="2"/>
      <c r="E19" s="2"/>
      <c r="F19" s="2"/>
      <c r="G19" s="12"/>
      <c r="H19" s="2"/>
      <c r="I19" s="2"/>
      <c r="J19" s="2"/>
      <c r="K19" s="2"/>
      <c r="L19" s="2"/>
      <c r="M19" s="2"/>
      <c r="N19" s="1"/>
      <c r="O19" s="2"/>
      <c r="P19" s="2"/>
      <c r="Q19" s="2"/>
      <c r="R19" s="2"/>
      <c r="S19" s="2"/>
      <c r="T19" s="2"/>
      <c r="U19" s="139">
        <v>9059142</v>
      </c>
      <c r="V19" s="2"/>
      <c r="W19" s="2">
        <f>SUM(H19:V19)</f>
        <v>9059142</v>
      </c>
    </row>
    <row r="20" spans="3:23" ht="18" customHeight="1">
      <c r="C20" s="2" t="s">
        <v>10</v>
      </c>
      <c r="D20" s="2"/>
      <c r="E20" s="2"/>
      <c r="F20" s="2"/>
      <c r="G20" s="12"/>
      <c r="H20" s="2">
        <f>H16</f>
        <v>77976444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>
        <f>SUM(H20:V20)</f>
        <v>77976444</v>
      </c>
    </row>
    <row r="21" spans="3:23" ht="18" customHeight="1">
      <c r="C21" s="2" t="s">
        <v>25</v>
      </c>
      <c r="D21" s="2"/>
      <c r="E21" s="2"/>
      <c r="F21" s="2"/>
      <c r="G21" s="1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>
        <f t="shared" ref="W21:W25" si="3">SUM(H21:V21)</f>
        <v>0</v>
      </c>
    </row>
    <row r="22" spans="3:23" ht="18" customHeight="1">
      <c r="C22" s="2" t="s">
        <v>26</v>
      </c>
      <c r="D22" s="2"/>
      <c r="E22" s="2"/>
      <c r="F22" s="2"/>
      <c r="G22" s="12"/>
      <c r="H22" s="2"/>
      <c r="I22" s="2"/>
      <c r="J22" s="2">
        <f>J16</f>
        <v>-27053042</v>
      </c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>
        <f>SUM(H22:V22)</f>
        <v>-27053042</v>
      </c>
    </row>
    <row r="23" spans="3:23" ht="18" customHeight="1">
      <c r="C23" s="2" t="s">
        <v>27</v>
      </c>
      <c r="D23" s="2"/>
      <c r="E23" s="2"/>
      <c r="F23" s="2"/>
      <c r="G23" s="12"/>
      <c r="H23" s="2"/>
      <c r="I23" s="2"/>
      <c r="J23" s="2"/>
      <c r="K23" s="91">
        <v>-1000</v>
      </c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>
        <f>SUM(H23:V23)</f>
        <v>-1000</v>
      </c>
    </row>
    <row r="24" spans="3:23" ht="18" customHeight="1">
      <c r="C24" s="2" t="s">
        <v>12</v>
      </c>
      <c r="D24" s="2"/>
      <c r="E24" s="2"/>
      <c r="F24" s="2"/>
      <c r="G24" s="12"/>
      <c r="H24" s="2"/>
      <c r="I24" s="2"/>
      <c r="J24" s="2"/>
      <c r="K24" s="2"/>
      <c r="L24" s="92">
        <v>4720739</v>
      </c>
      <c r="M24" s="2"/>
      <c r="N24" s="2"/>
      <c r="O24" s="2"/>
      <c r="P24" s="2"/>
      <c r="Q24" s="2"/>
      <c r="R24" s="2"/>
      <c r="S24" s="2"/>
      <c r="T24" s="2"/>
      <c r="U24" s="2"/>
      <c r="V24" s="2"/>
      <c r="W24" s="2">
        <f>SUM(H24:V24)</f>
        <v>4720739</v>
      </c>
    </row>
    <row r="25" spans="3:23" ht="18" customHeight="1">
      <c r="C25" s="2" t="s">
        <v>28</v>
      </c>
      <c r="D25" s="2"/>
      <c r="E25" s="2"/>
      <c r="F25" s="2"/>
      <c r="G25" s="1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>
        <f t="shared" si="3"/>
        <v>0</v>
      </c>
    </row>
    <row r="26" spans="3:23" ht="18" customHeight="1">
      <c r="C26" s="2" t="s">
        <v>92</v>
      </c>
      <c r="D26" s="2"/>
      <c r="E26" s="2"/>
      <c r="F26" s="2"/>
      <c r="G26" s="12"/>
      <c r="H26" s="2"/>
      <c r="I26" s="2"/>
      <c r="J26" s="2"/>
      <c r="K26" s="2"/>
      <c r="L26" s="2"/>
      <c r="M26" s="2"/>
      <c r="N26" s="2">
        <f>N6</f>
        <v>-14174755</v>
      </c>
      <c r="O26" s="2"/>
      <c r="P26" s="2"/>
      <c r="Q26" s="2"/>
      <c r="R26" s="2"/>
      <c r="S26" s="2"/>
      <c r="T26" s="2"/>
      <c r="U26" s="2"/>
      <c r="V26" s="2"/>
      <c r="W26" s="2">
        <f t="shared" ref="W26:W34" si="4">SUM(H26:V26)</f>
        <v>-14174755</v>
      </c>
    </row>
    <row r="27" spans="3:23" ht="18" customHeight="1">
      <c r="C27" s="2" t="s">
        <v>30</v>
      </c>
      <c r="D27" s="2"/>
      <c r="E27" s="2"/>
      <c r="F27" s="2"/>
      <c r="G27" s="12"/>
      <c r="H27" s="2"/>
      <c r="I27" s="2"/>
      <c r="J27" s="2"/>
      <c r="K27" s="2"/>
      <c r="L27" s="2"/>
      <c r="M27" s="2"/>
      <c r="N27" s="1">
        <f>N11</f>
        <v>6848883</v>
      </c>
      <c r="O27" s="2"/>
      <c r="P27" s="2"/>
      <c r="Q27" s="2"/>
      <c r="R27" s="2"/>
      <c r="S27" s="2"/>
      <c r="T27" s="2"/>
      <c r="U27" s="2"/>
      <c r="V27" s="2"/>
      <c r="W27" s="2">
        <f>SUM(H27:V27)</f>
        <v>6848883</v>
      </c>
    </row>
    <row r="28" spans="3:23" ht="18" customHeight="1">
      <c r="C28" s="2" t="s">
        <v>83</v>
      </c>
      <c r="D28" s="2"/>
      <c r="E28" s="2"/>
      <c r="F28" s="2"/>
      <c r="G28" s="12"/>
      <c r="H28" s="2"/>
      <c r="I28" s="2"/>
      <c r="J28" s="2"/>
      <c r="K28" s="2"/>
      <c r="L28" s="2"/>
      <c r="M28" s="2"/>
      <c r="N28" s="2">
        <f>N7</f>
        <v>-275455</v>
      </c>
      <c r="O28" s="2"/>
      <c r="P28" s="2"/>
      <c r="Q28" s="2"/>
      <c r="R28" s="2"/>
      <c r="S28" s="2"/>
      <c r="T28" s="2"/>
      <c r="U28" s="2"/>
      <c r="V28" s="2"/>
      <c r="W28" s="2">
        <f t="shared" si="4"/>
        <v>-275455</v>
      </c>
    </row>
    <row r="29" spans="3:23" ht="18" customHeight="1">
      <c r="C29" s="2" t="s">
        <v>91</v>
      </c>
      <c r="D29" s="2"/>
      <c r="E29" s="2"/>
      <c r="F29" s="2"/>
      <c r="G29" s="12"/>
      <c r="H29" s="2"/>
      <c r="I29" s="2"/>
      <c r="J29" s="2"/>
      <c r="K29" s="2"/>
      <c r="L29" s="2"/>
      <c r="M29" s="2"/>
      <c r="N29" s="2">
        <f>N8</f>
        <v>1240000</v>
      </c>
      <c r="O29" s="2"/>
      <c r="P29" s="2"/>
      <c r="Q29" s="2"/>
      <c r="R29" s="2"/>
      <c r="S29" s="2"/>
      <c r="T29" s="2"/>
      <c r="U29" s="2"/>
      <c r="V29" s="2"/>
      <c r="W29" s="2">
        <f t="shared" si="4"/>
        <v>1240000</v>
      </c>
    </row>
    <row r="30" spans="3:23" ht="18" customHeight="1">
      <c r="C30" s="16" t="s">
        <v>33</v>
      </c>
      <c r="D30" s="16"/>
      <c r="E30" s="16"/>
      <c r="F30" s="16"/>
      <c r="G30" s="12"/>
      <c r="H30" s="6">
        <f>SUM(H19:H29)</f>
        <v>77976444</v>
      </c>
      <c r="I30" s="6">
        <f t="shared" ref="I30:V30" si="5">SUM(I19:I29)</f>
        <v>0</v>
      </c>
      <c r="J30" s="6">
        <f t="shared" si="5"/>
        <v>-27053042</v>
      </c>
      <c r="K30" s="6">
        <f t="shared" si="5"/>
        <v>-1000</v>
      </c>
      <c r="L30" s="6">
        <f t="shared" si="5"/>
        <v>4720739</v>
      </c>
      <c r="M30" s="6">
        <f t="shared" si="5"/>
        <v>0</v>
      </c>
      <c r="N30" s="6">
        <f>SUM(N19:N29)</f>
        <v>-6361327</v>
      </c>
      <c r="O30" s="6">
        <f t="shared" si="5"/>
        <v>0</v>
      </c>
      <c r="P30" s="6">
        <f t="shared" si="5"/>
        <v>0</v>
      </c>
      <c r="Q30" s="6">
        <f t="shared" si="5"/>
        <v>0</v>
      </c>
      <c r="R30" s="6">
        <f t="shared" si="5"/>
        <v>0</v>
      </c>
      <c r="S30" s="6">
        <f t="shared" si="5"/>
        <v>0</v>
      </c>
      <c r="T30" s="6">
        <f t="shared" si="5"/>
        <v>0</v>
      </c>
      <c r="U30" s="6">
        <f>SUM(U19:U29)</f>
        <v>9059142</v>
      </c>
      <c r="V30" s="6">
        <f t="shared" si="5"/>
        <v>0</v>
      </c>
      <c r="W30" s="16">
        <f t="shared" si="4"/>
        <v>58340956</v>
      </c>
    </row>
    <row r="31" spans="3:23" ht="18" customHeight="1">
      <c r="C31" s="2" t="s">
        <v>34</v>
      </c>
      <c r="D31" s="2"/>
      <c r="E31" s="2"/>
      <c r="F31" s="2"/>
      <c r="G31" s="12"/>
      <c r="H31" s="2"/>
      <c r="I31" s="2"/>
      <c r="J31" s="2"/>
      <c r="K31" s="2">
        <f>-K23</f>
        <v>1000</v>
      </c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>
        <f t="shared" si="4"/>
        <v>1000</v>
      </c>
    </row>
    <row r="32" spans="3:23" ht="18" customHeight="1">
      <c r="C32" s="2" t="s">
        <v>35</v>
      </c>
      <c r="D32" s="2"/>
      <c r="E32" s="2"/>
      <c r="F32" s="2"/>
      <c r="G32" s="12"/>
      <c r="H32" s="2"/>
      <c r="I32" s="2"/>
      <c r="J32" s="2"/>
      <c r="K32" s="2"/>
      <c r="L32" s="2">
        <f>-L24</f>
        <v>-4720739</v>
      </c>
      <c r="M32" s="2"/>
      <c r="N32" s="2"/>
      <c r="O32" s="2"/>
      <c r="P32" s="2"/>
      <c r="Q32" s="2"/>
      <c r="R32" s="2"/>
      <c r="S32" s="2"/>
      <c r="T32" s="2"/>
      <c r="U32" s="2"/>
      <c r="V32" s="2"/>
      <c r="W32" s="2">
        <f t="shared" si="4"/>
        <v>-4720739</v>
      </c>
    </row>
    <row r="33" spans="3:23" ht="18" customHeight="1">
      <c r="C33" s="7" t="s">
        <v>36</v>
      </c>
      <c r="D33" s="7"/>
      <c r="E33" s="7"/>
      <c r="F33" s="7"/>
      <c r="G33" s="12"/>
      <c r="H33" s="7">
        <f>H30</f>
        <v>77976444</v>
      </c>
      <c r="I33" s="7">
        <f t="shared" ref="I33:V33" si="6">I30</f>
        <v>0</v>
      </c>
      <c r="J33" s="7">
        <f t="shared" si="6"/>
        <v>-27053042</v>
      </c>
      <c r="K33" s="7">
        <f>K30+K31</f>
        <v>0</v>
      </c>
      <c r="L33" s="7">
        <f>L30+L32</f>
        <v>0</v>
      </c>
      <c r="M33" s="7">
        <f t="shared" si="6"/>
        <v>0</v>
      </c>
      <c r="N33" s="7">
        <f t="shared" si="6"/>
        <v>-6361327</v>
      </c>
      <c r="O33" s="7">
        <f t="shared" si="6"/>
        <v>0</v>
      </c>
      <c r="P33" s="7">
        <f t="shared" si="6"/>
        <v>0</v>
      </c>
      <c r="Q33" s="7">
        <f t="shared" si="6"/>
        <v>0</v>
      </c>
      <c r="R33" s="7">
        <f t="shared" si="6"/>
        <v>0</v>
      </c>
      <c r="S33" s="7">
        <f t="shared" si="6"/>
        <v>0</v>
      </c>
      <c r="T33" s="7">
        <f t="shared" si="6"/>
        <v>0</v>
      </c>
      <c r="U33" s="7">
        <f t="shared" si="6"/>
        <v>9059142</v>
      </c>
      <c r="V33" s="7">
        <f t="shared" si="6"/>
        <v>0</v>
      </c>
      <c r="W33" s="7">
        <f t="shared" si="4"/>
        <v>53621217</v>
      </c>
    </row>
    <row r="34" spans="3:23" ht="18" customHeight="1">
      <c r="C34" s="2"/>
      <c r="D34" s="2"/>
      <c r="E34" s="2"/>
      <c r="F34" s="2"/>
      <c r="G34" s="1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1">
        <f t="shared" si="4"/>
        <v>0</v>
      </c>
    </row>
    <row r="35" spans="3:23" ht="18" customHeight="1">
      <c r="C35" s="2" t="s">
        <v>38</v>
      </c>
      <c r="D35" s="2"/>
      <c r="E35" s="2"/>
      <c r="F35" s="2"/>
      <c r="G35" s="1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1">
        <f t="shared" ref="W35:W38" si="7">SUM(H35:V35)</f>
        <v>0</v>
      </c>
    </row>
    <row r="36" spans="3:23" ht="18" customHeight="1">
      <c r="C36" s="2" t="s">
        <v>82</v>
      </c>
      <c r="D36" s="2"/>
      <c r="E36" s="2"/>
      <c r="F36" s="2"/>
      <c r="G36" s="12"/>
      <c r="H36" s="2"/>
      <c r="I36" s="2"/>
      <c r="J36" s="2"/>
      <c r="K36" s="2"/>
      <c r="L36" s="2"/>
      <c r="M36" s="2"/>
      <c r="N36" s="2"/>
      <c r="O36" s="2">
        <f>O16</f>
        <v>-47478344</v>
      </c>
      <c r="P36" s="2"/>
      <c r="Q36" s="2"/>
      <c r="R36" s="2"/>
      <c r="S36" s="2"/>
      <c r="T36" s="2"/>
      <c r="U36" s="2"/>
      <c r="V36" s="2"/>
      <c r="W36" s="1">
        <f>SUM(H36:V36)</f>
        <v>-47478344</v>
      </c>
    </row>
    <row r="37" spans="3:23" ht="18" customHeight="1">
      <c r="C37" s="2" t="s">
        <v>40</v>
      </c>
      <c r="D37" s="2"/>
      <c r="E37" s="2"/>
      <c r="F37" s="2"/>
      <c r="G37" s="12"/>
      <c r="H37" s="2"/>
      <c r="I37" s="2"/>
      <c r="J37" s="2"/>
      <c r="K37" s="2"/>
      <c r="L37" s="2"/>
      <c r="M37" s="2"/>
      <c r="N37" s="2"/>
      <c r="O37" s="2"/>
      <c r="P37" s="2">
        <f>P16</f>
        <v>0</v>
      </c>
      <c r="Q37" s="2"/>
      <c r="R37" s="2"/>
      <c r="S37" s="2"/>
      <c r="T37" s="2"/>
      <c r="U37" s="2"/>
      <c r="V37" s="2"/>
      <c r="W37" s="1">
        <f t="shared" si="7"/>
        <v>0</v>
      </c>
    </row>
    <row r="38" spans="3:23" ht="18" customHeight="1">
      <c r="C38" s="2" t="s">
        <v>41</v>
      </c>
      <c r="D38" s="2"/>
      <c r="E38" s="2"/>
      <c r="F38" s="2"/>
      <c r="G38" s="12"/>
      <c r="H38" s="2"/>
      <c r="I38" s="2"/>
      <c r="J38" s="2"/>
      <c r="K38" s="2"/>
      <c r="L38" s="2"/>
      <c r="M38" s="2"/>
      <c r="N38" s="1"/>
      <c r="O38" s="2"/>
      <c r="P38" s="2"/>
      <c r="Q38" s="2">
        <f>Q16</f>
        <v>29435594</v>
      </c>
      <c r="R38" s="2"/>
      <c r="S38" s="2"/>
      <c r="T38" s="2"/>
      <c r="U38" s="2"/>
      <c r="V38" s="2"/>
      <c r="W38" s="1">
        <f t="shared" si="7"/>
        <v>29435594</v>
      </c>
    </row>
    <row r="39" spans="3:23" ht="18" customHeight="1">
      <c r="C39" s="9" t="s">
        <v>42</v>
      </c>
      <c r="D39" s="9"/>
      <c r="E39" s="9"/>
      <c r="F39" s="9"/>
      <c r="G39" s="9"/>
      <c r="H39" s="9"/>
      <c r="I39" s="9"/>
      <c r="J39" s="9"/>
      <c r="K39" s="9"/>
      <c r="L39" s="9"/>
      <c r="M39" s="9"/>
      <c r="N39" s="9">
        <f>SUM(N36:N38)</f>
        <v>0</v>
      </c>
      <c r="O39" s="9">
        <f>SUM(O36:O38)</f>
        <v>-47478344</v>
      </c>
      <c r="P39" s="9">
        <f>SUM(P36:P38)</f>
        <v>0</v>
      </c>
      <c r="Q39" s="9">
        <f>SUM(Q36:Q38)</f>
        <v>29435594</v>
      </c>
      <c r="R39" s="9"/>
      <c r="S39" s="9"/>
      <c r="T39" s="9"/>
      <c r="U39" s="9"/>
      <c r="V39" s="9"/>
      <c r="W39" s="9">
        <f>SUM(H39:V39)</f>
        <v>-18042750</v>
      </c>
    </row>
    <row r="40" spans="3:23" ht="18" customHeight="1">
      <c r="C40" s="2"/>
      <c r="D40" s="2"/>
      <c r="E40" s="2"/>
      <c r="F40" s="2"/>
      <c r="G40" s="1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>
        <f>SUM(H40:V40)</f>
        <v>0</v>
      </c>
    </row>
    <row r="41" spans="3:23" ht="18" customHeight="1">
      <c r="C41" s="2" t="s">
        <v>43</v>
      </c>
      <c r="D41" s="2"/>
      <c r="E41" s="2"/>
      <c r="F41" s="2"/>
      <c r="G41" s="1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>
        <f t="shared" ref="W41:W44" si="8">SUM(H41:V41)</f>
        <v>0</v>
      </c>
    </row>
    <row r="42" spans="3:23" ht="18" customHeight="1">
      <c r="C42" s="2" t="s">
        <v>44</v>
      </c>
      <c r="D42" s="2"/>
      <c r="E42" s="2"/>
      <c r="F42" s="2"/>
      <c r="G42" s="1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1">
        <f>S16</f>
        <v>9000000</v>
      </c>
      <c r="T42" s="2"/>
      <c r="U42" s="2"/>
      <c r="V42" s="2"/>
      <c r="W42" s="2">
        <f>SUM(H42:V42)</f>
        <v>9000000</v>
      </c>
    </row>
    <row r="43" spans="3:23" ht="18" customHeight="1">
      <c r="C43" s="2" t="s">
        <v>45</v>
      </c>
      <c r="D43" s="2"/>
      <c r="E43" s="2"/>
      <c r="F43" s="2"/>
      <c r="G43" s="1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>
        <f>T16</f>
        <v>-38275211</v>
      </c>
      <c r="U43" s="2"/>
      <c r="V43" s="2"/>
      <c r="W43" s="2">
        <f>SUM(H43:V43)</f>
        <v>-38275211</v>
      </c>
    </row>
    <row r="44" spans="3:23" ht="18" customHeight="1">
      <c r="C44" s="2" t="s">
        <v>46</v>
      </c>
      <c r="D44" s="2"/>
      <c r="E44" s="2"/>
      <c r="F44" s="2"/>
      <c r="G44" s="1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>
        <f t="shared" si="8"/>
        <v>0</v>
      </c>
    </row>
    <row r="45" spans="3:23" ht="18" customHeight="1">
      <c r="C45" s="7" t="s">
        <v>47</v>
      </c>
      <c r="D45" s="7"/>
      <c r="E45" s="7"/>
      <c r="F45" s="7"/>
      <c r="G45" s="12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>
        <f>SUM(S42:S44)</f>
        <v>9000000</v>
      </c>
      <c r="T45" s="7">
        <f>SUM(T42:T44)</f>
        <v>-38275211</v>
      </c>
      <c r="U45" s="7"/>
      <c r="V45" s="7"/>
      <c r="W45" s="7">
        <f>SUM(H45:V45)</f>
        <v>-29275211</v>
      </c>
    </row>
    <row r="46" spans="3:23" ht="18" customHeight="1">
      <c r="C46" s="2"/>
      <c r="D46" s="2"/>
      <c r="E46" s="2"/>
      <c r="F46" s="2"/>
      <c r="G46" s="1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 spans="3:23" ht="18" customHeight="1">
      <c r="C47" s="17" t="s">
        <v>48</v>
      </c>
      <c r="D47" s="17">
        <f>D33+D39+D45</f>
        <v>0</v>
      </c>
      <c r="E47" s="17">
        <f t="shared" ref="E47:S47" si="9">E33+E39+E45</f>
        <v>0</v>
      </c>
      <c r="F47" s="17">
        <f t="shared" si="9"/>
        <v>0</v>
      </c>
      <c r="G47" s="12">
        <f t="shared" si="9"/>
        <v>0</v>
      </c>
      <c r="H47" s="18">
        <f t="shared" si="9"/>
        <v>77976444</v>
      </c>
      <c r="I47" s="17">
        <f t="shared" si="9"/>
        <v>0</v>
      </c>
      <c r="J47" s="17">
        <f>J33+J39+J45</f>
        <v>-27053042</v>
      </c>
      <c r="K47" s="17">
        <f t="shared" si="9"/>
        <v>0</v>
      </c>
      <c r="L47" s="17">
        <f t="shared" si="9"/>
        <v>0</v>
      </c>
      <c r="M47" s="17">
        <f t="shared" si="9"/>
        <v>0</v>
      </c>
      <c r="N47" s="17">
        <f>N33+N39+N45</f>
        <v>-6361327</v>
      </c>
      <c r="O47" s="17">
        <f>O33+O39+O45</f>
        <v>-47478344</v>
      </c>
      <c r="P47" s="18">
        <f t="shared" si="9"/>
        <v>0</v>
      </c>
      <c r="Q47" s="18">
        <f t="shared" si="9"/>
        <v>29435594</v>
      </c>
      <c r="R47" s="17">
        <f t="shared" si="9"/>
        <v>0</v>
      </c>
      <c r="S47" s="18">
        <f t="shared" si="9"/>
        <v>9000000</v>
      </c>
      <c r="T47" s="17">
        <f>T33+T39+T45</f>
        <v>-38275211</v>
      </c>
      <c r="U47" s="17">
        <f>U33+U39+U45</f>
        <v>9059142</v>
      </c>
      <c r="V47" s="17"/>
      <c r="W47" s="17">
        <f>W33+W39+W45</f>
        <v>6303256</v>
      </c>
    </row>
    <row r="48" spans="3:23" ht="18" customHeight="1">
      <c r="C48" s="17" t="s">
        <v>49</v>
      </c>
      <c r="D48" s="17"/>
      <c r="E48" s="17"/>
      <c r="F48" s="17"/>
      <c r="G48" s="12"/>
      <c r="H48" s="18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8">
        <f>D5</f>
        <v>85414342</v>
      </c>
      <c r="W48" s="17">
        <f>SUM(H48:V48)</f>
        <v>85414342</v>
      </c>
    </row>
    <row r="49" spans="3:24" ht="18" customHeight="1">
      <c r="C49" s="17" t="s">
        <v>50</v>
      </c>
      <c r="D49" s="17"/>
      <c r="E49" s="17"/>
      <c r="F49" s="17"/>
      <c r="G49" s="12"/>
      <c r="H49" s="18">
        <f>H47</f>
        <v>77976444</v>
      </c>
      <c r="I49" s="17">
        <f t="shared" ref="I49:U49" si="10">I47</f>
        <v>0</v>
      </c>
      <c r="J49" s="17">
        <f t="shared" si="10"/>
        <v>-27053042</v>
      </c>
      <c r="K49" s="17">
        <f t="shared" si="10"/>
        <v>0</v>
      </c>
      <c r="L49" s="17">
        <f t="shared" si="10"/>
        <v>0</v>
      </c>
      <c r="M49" s="17">
        <f t="shared" si="10"/>
        <v>0</v>
      </c>
      <c r="N49" s="140">
        <f t="shared" si="10"/>
        <v>-6361327</v>
      </c>
      <c r="O49" s="140">
        <f>O47</f>
        <v>-47478344</v>
      </c>
      <c r="P49" s="17">
        <f t="shared" si="10"/>
        <v>0</v>
      </c>
      <c r="Q49" s="140">
        <f t="shared" si="10"/>
        <v>29435594</v>
      </c>
      <c r="R49" s="17">
        <f t="shared" si="10"/>
        <v>0</v>
      </c>
      <c r="S49" s="17">
        <f t="shared" si="10"/>
        <v>9000000</v>
      </c>
      <c r="T49" s="17">
        <f t="shared" si="10"/>
        <v>-38275211</v>
      </c>
      <c r="U49" s="17">
        <f t="shared" si="10"/>
        <v>9059142</v>
      </c>
      <c r="V49" s="17">
        <f>V48</f>
        <v>85414342</v>
      </c>
      <c r="W49" s="17">
        <f>SUM(H49:V49)</f>
        <v>91717598</v>
      </c>
      <c r="X49" s="20" t="s">
        <v>127</v>
      </c>
    </row>
    <row r="50" spans="3:24">
      <c r="C50" s="2"/>
      <c r="D50" s="2"/>
      <c r="E50" s="2"/>
      <c r="F50" s="2"/>
      <c r="G50" s="1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</row>
    <row r="51" spans="3:24">
      <c r="C51" s="2"/>
      <c r="D51" s="2"/>
      <c r="E51" s="2"/>
      <c r="F51" s="2"/>
      <c r="G51" s="1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</row>
  </sheetData>
  <mergeCells count="4">
    <mergeCell ref="B3:B8"/>
    <mergeCell ref="B13:B15"/>
    <mergeCell ref="B9:B12"/>
    <mergeCell ref="B2:C2"/>
  </mergeCells>
  <phoneticPr fontId="1"/>
  <pageMargins left="0.70866141732283472" right="0.70866141732283472" top="0.74803149606299213" bottom="0.74803149606299213" header="0.31496062992125984" footer="0.31496062992125984"/>
  <pageSetup paperSize="8" scale="69" orientation="landscape" horizontalDpi="300" verticalDpi="30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X43"/>
  <sheetViews>
    <sheetView view="pageBreakPreview" zoomScale="85" zoomScaleNormal="100" zoomScaleSheetLayoutView="85" workbookViewId="0">
      <selection activeCell="R9" sqref="R9:T9"/>
    </sheetView>
  </sheetViews>
  <sheetFormatPr defaultRowHeight="13.5"/>
  <cols>
    <col min="1" max="1" width="3.625" style="32" customWidth="1"/>
    <col min="2" max="2" width="2.125" style="32" customWidth="1"/>
    <col min="3" max="20" width="5.625" style="32" customWidth="1"/>
    <col min="21" max="21" width="1.5" style="32" customWidth="1"/>
    <col min="22" max="22" width="3.625" style="32" customWidth="1"/>
    <col min="23" max="23" width="8.5" style="32" bestFit="1" customWidth="1"/>
    <col min="24" max="16384" width="9" style="32"/>
  </cols>
  <sheetData>
    <row r="2" spans="2:24" ht="10.5" customHeight="1">
      <c r="B2" s="30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31"/>
    </row>
    <row r="3" spans="2:24" ht="17.25">
      <c r="B3" s="33"/>
      <c r="C3" s="22"/>
      <c r="D3" s="123" t="s">
        <v>93</v>
      </c>
      <c r="E3" s="123"/>
      <c r="F3" s="123"/>
      <c r="G3" s="123"/>
      <c r="H3" s="123"/>
      <c r="I3" s="123"/>
      <c r="J3" s="123"/>
      <c r="K3" s="123"/>
      <c r="L3" s="123"/>
      <c r="M3" s="123"/>
      <c r="N3" s="123"/>
      <c r="O3" s="123"/>
      <c r="P3" s="123"/>
      <c r="Q3" s="123"/>
      <c r="R3" s="123"/>
      <c r="S3" s="22"/>
      <c r="T3" s="22"/>
      <c r="U3" s="34"/>
    </row>
    <row r="4" spans="2:24" ht="23.25" customHeight="1">
      <c r="B4" s="33"/>
      <c r="C4" s="22"/>
      <c r="D4" s="124" t="s">
        <v>114</v>
      </c>
      <c r="E4" s="124"/>
      <c r="F4" s="124"/>
      <c r="G4" s="124"/>
      <c r="H4" s="124"/>
      <c r="I4" s="124"/>
      <c r="J4" s="124"/>
      <c r="K4" s="124"/>
      <c r="L4" s="124"/>
      <c r="M4" s="124"/>
      <c r="N4" s="124"/>
      <c r="O4" s="124"/>
      <c r="P4" s="124"/>
      <c r="Q4" s="124"/>
      <c r="R4" s="124"/>
      <c r="S4" s="124"/>
      <c r="T4" s="22"/>
      <c r="U4" s="34"/>
    </row>
    <row r="5" spans="2:24" ht="5.25" customHeight="1">
      <c r="B5" s="33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34"/>
    </row>
    <row r="6" spans="2:24">
      <c r="B6" s="35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125" t="s">
        <v>60</v>
      </c>
      <c r="S6" s="125"/>
      <c r="T6" s="125"/>
      <c r="U6" s="36"/>
    </row>
    <row r="7" spans="2:24" ht="6" customHeight="1">
      <c r="B7" s="33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34"/>
    </row>
    <row r="8" spans="2:24" ht="21.75" customHeight="1">
      <c r="B8" s="33"/>
      <c r="C8" s="22" t="s">
        <v>55</v>
      </c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34"/>
    </row>
    <row r="9" spans="2:24" ht="21.75" customHeight="1">
      <c r="B9" s="33"/>
      <c r="C9" s="22"/>
      <c r="D9" s="23" t="s">
        <v>120</v>
      </c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128">
        <f>入力シート!W19</f>
        <v>9059142</v>
      </c>
      <c r="S9" s="128"/>
      <c r="T9" s="128"/>
      <c r="U9" s="34"/>
    </row>
    <row r="10" spans="2:24" ht="21.75" customHeight="1">
      <c r="B10" s="33"/>
      <c r="C10" s="22"/>
      <c r="D10" s="22" t="s">
        <v>10</v>
      </c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122">
        <f>入力シート!W20</f>
        <v>77976444</v>
      </c>
      <c r="S10" s="122"/>
      <c r="T10" s="122"/>
      <c r="U10" s="34"/>
    </row>
    <row r="11" spans="2:24" ht="21.75" hidden="1" customHeight="1">
      <c r="B11" s="33"/>
      <c r="C11" s="22"/>
      <c r="D11" s="22" t="s">
        <v>25</v>
      </c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122">
        <f>入力シート!W21</f>
        <v>0</v>
      </c>
      <c r="S11" s="122"/>
      <c r="T11" s="122"/>
      <c r="U11" s="34"/>
    </row>
    <row r="12" spans="2:24" ht="21.75" customHeight="1">
      <c r="B12" s="37"/>
      <c r="C12" s="23"/>
      <c r="D12" s="22" t="s">
        <v>26</v>
      </c>
      <c r="E12" s="23"/>
      <c r="F12" s="23"/>
      <c r="G12" s="23"/>
      <c r="H12" s="23"/>
      <c r="I12" s="23"/>
      <c r="J12" s="22"/>
      <c r="K12" s="22"/>
      <c r="L12" s="22"/>
      <c r="M12" s="22"/>
      <c r="N12" s="22"/>
      <c r="O12" s="22"/>
      <c r="P12" s="22"/>
      <c r="Q12" s="22"/>
      <c r="R12" s="128">
        <f>入力シート!W22</f>
        <v>-27053042</v>
      </c>
      <c r="S12" s="128"/>
      <c r="T12" s="128"/>
      <c r="U12" s="34"/>
    </row>
    <row r="13" spans="2:24" ht="21.75" customHeight="1">
      <c r="B13" s="33"/>
      <c r="C13" s="22"/>
      <c r="D13" s="23" t="s">
        <v>27</v>
      </c>
      <c r="E13" s="22"/>
      <c r="F13" s="22"/>
      <c r="G13" s="22"/>
      <c r="H13" s="23"/>
      <c r="I13" s="23"/>
      <c r="J13" s="22"/>
      <c r="K13" s="22"/>
      <c r="L13" s="22"/>
      <c r="M13" s="22"/>
      <c r="N13" s="22"/>
      <c r="O13" s="22"/>
      <c r="P13" s="22"/>
      <c r="Q13" s="22"/>
      <c r="R13" s="128">
        <f>入力シート!W23</f>
        <v>-1000</v>
      </c>
      <c r="S13" s="128"/>
      <c r="T13" s="128"/>
      <c r="U13" s="34"/>
    </row>
    <row r="14" spans="2:24" ht="21.75" customHeight="1">
      <c r="B14" s="33"/>
      <c r="C14" s="22"/>
      <c r="D14" s="22" t="s">
        <v>12</v>
      </c>
      <c r="E14" s="22"/>
      <c r="F14" s="22"/>
      <c r="G14" s="22"/>
      <c r="H14" s="23"/>
      <c r="I14" s="23"/>
      <c r="J14" s="22"/>
      <c r="K14" s="22"/>
      <c r="L14" s="22"/>
      <c r="M14" s="22"/>
      <c r="N14" s="22"/>
      <c r="O14" s="22"/>
      <c r="P14" s="22"/>
      <c r="Q14" s="22"/>
      <c r="R14" s="128">
        <f>入力シート!W24</f>
        <v>4720739</v>
      </c>
      <c r="S14" s="128"/>
      <c r="T14" s="128"/>
      <c r="U14" s="34"/>
    </row>
    <row r="15" spans="2:24" ht="21.75" hidden="1" customHeight="1">
      <c r="B15" s="33"/>
      <c r="C15" s="22"/>
      <c r="D15" s="22" t="s">
        <v>28</v>
      </c>
      <c r="E15" s="22"/>
      <c r="F15" s="22"/>
      <c r="G15" s="22"/>
      <c r="H15" s="23"/>
      <c r="I15" s="23"/>
      <c r="J15" s="22"/>
      <c r="K15" s="22"/>
      <c r="L15" s="22"/>
      <c r="M15" s="22"/>
      <c r="N15" s="22"/>
      <c r="O15" s="22"/>
      <c r="P15" s="22"/>
      <c r="Q15" s="22"/>
      <c r="R15" s="122">
        <f>入力シート!W25</f>
        <v>0</v>
      </c>
      <c r="S15" s="122"/>
      <c r="T15" s="122"/>
      <c r="U15" s="34"/>
    </row>
    <row r="16" spans="2:24" ht="21.75" customHeight="1">
      <c r="B16" s="37"/>
      <c r="C16" s="23"/>
      <c r="D16" s="22" t="s">
        <v>117</v>
      </c>
      <c r="E16" s="23"/>
      <c r="F16" s="22"/>
      <c r="G16" s="22"/>
      <c r="H16" s="23"/>
      <c r="I16" s="23"/>
      <c r="J16" s="22"/>
      <c r="K16" s="22"/>
      <c r="L16" s="22"/>
      <c r="M16" s="22"/>
      <c r="N16" s="22"/>
      <c r="O16" s="22"/>
      <c r="P16" s="22"/>
      <c r="Q16" s="22"/>
      <c r="R16" s="128">
        <f>入力シート!W26</f>
        <v>-14174755</v>
      </c>
      <c r="S16" s="128"/>
      <c r="T16" s="128"/>
      <c r="U16" s="34"/>
      <c r="W16" s="32" t="s">
        <v>118</v>
      </c>
      <c r="X16" s="38"/>
    </row>
    <row r="17" spans="2:24" ht="21.75" customHeight="1">
      <c r="B17" s="33"/>
      <c r="C17" s="22"/>
      <c r="D17" s="22" t="s">
        <v>85</v>
      </c>
      <c r="E17" s="22"/>
      <c r="F17" s="22"/>
      <c r="G17" s="22"/>
      <c r="H17" s="23"/>
      <c r="I17" s="23"/>
      <c r="J17" s="22"/>
      <c r="K17" s="22"/>
      <c r="L17" s="22"/>
      <c r="M17" s="22"/>
      <c r="N17" s="22"/>
      <c r="O17" s="22"/>
      <c r="P17" s="22"/>
      <c r="Q17" s="22"/>
      <c r="R17" s="128">
        <f>入力シート!W27</f>
        <v>6848883</v>
      </c>
      <c r="S17" s="128"/>
      <c r="T17" s="128"/>
      <c r="U17" s="34"/>
      <c r="W17" s="32" t="s">
        <v>94</v>
      </c>
    </row>
    <row r="18" spans="2:24" ht="21.75" customHeight="1">
      <c r="B18" s="33"/>
      <c r="C18" s="22"/>
      <c r="D18" s="22" t="s">
        <v>83</v>
      </c>
      <c r="E18" s="22"/>
      <c r="F18" s="22"/>
      <c r="G18" s="22"/>
      <c r="H18" s="23"/>
      <c r="I18" s="23"/>
      <c r="J18" s="22"/>
      <c r="K18" s="22"/>
      <c r="L18" s="22"/>
      <c r="M18" s="22"/>
      <c r="N18" s="22"/>
      <c r="O18" s="22"/>
      <c r="P18" s="22"/>
      <c r="Q18" s="22"/>
      <c r="R18" s="128">
        <f>入力シート!W28</f>
        <v>-275455</v>
      </c>
      <c r="S18" s="128"/>
      <c r="T18" s="128"/>
      <c r="U18" s="34"/>
      <c r="W18" s="32" t="s">
        <v>95</v>
      </c>
    </row>
    <row r="19" spans="2:24" ht="21.75" customHeight="1">
      <c r="B19" s="33"/>
      <c r="C19" s="22"/>
      <c r="D19" s="22" t="s">
        <v>84</v>
      </c>
      <c r="E19" s="22"/>
      <c r="F19" s="22"/>
      <c r="G19" s="22"/>
      <c r="H19" s="23"/>
      <c r="I19" s="23"/>
      <c r="J19" s="22"/>
      <c r="K19" s="22"/>
      <c r="L19" s="22"/>
      <c r="M19" s="22"/>
      <c r="N19" s="22"/>
      <c r="O19" s="22"/>
      <c r="P19" s="22"/>
      <c r="Q19" s="22"/>
      <c r="R19" s="129">
        <f>入力シート!W29</f>
        <v>1240000</v>
      </c>
      <c r="S19" s="129"/>
      <c r="T19" s="129"/>
      <c r="U19" s="34"/>
      <c r="W19" s="32" t="s">
        <v>96</v>
      </c>
    </row>
    <row r="20" spans="2:24" ht="21.75" customHeight="1">
      <c r="B20" s="33"/>
      <c r="C20" s="22"/>
      <c r="D20" s="22" t="s">
        <v>33</v>
      </c>
      <c r="E20" s="22"/>
      <c r="F20" s="22"/>
      <c r="G20" s="22"/>
      <c r="H20" s="23"/>
      <c r="I20" s="23"/>
      <c r="J20" s="22"/>
      <c r="K20" s="22"/>
      <c r="L20" s="22"/>
      <c r="M20" s="22"/>
      <c r="N20" s="22"/>
      <c r="O20" s="22"/>
      <c r="P20" s="22"/>
      <c r="Q20" s="22"/>
      <c r="R20" s="122">
        <f>入力シート!W30</f>
        <v>58340956</v>
      </c>
      <c r="S20" s="122"/>
      <c r="T20" s="122"/>
      <c r="U20" s="34"/>
    </row>
    <row r="21" spans="2:24" ht="21.75" customHeight="1">
      <c r="B21" s="33"/>
      <c r="C21" s="22"/>
      <c r="D21" s="22" t="s">
        <v>34</v>
      </c>
      <c r="E21" s="22"/>
      <c r="F21" s="22"/>
      <c r="G21" s="22"/>
      <c r="H21" s="23"/>
      <c r="I21" s="23"/>
      <c r="J21" s="22"/>
      <c r="K21" s="22"/>
      <c r="L21" s="22"/>
      <c r="M21" s="22"/>
      <c r="N21" s="22"/>
      <c r="O21" s="22"/>
      <c r="P21" s="22"/>
      <c r="Q21" s="22"/>
      <c r="R21" s="122">
        <f>入力シート!W31</f>
        <v>1000</v>
      </c>
      <c r="S21" s="122"/>
      <c r="T21" s="122"/>
      <c r="U21" s="34"/>
    </row>
    <row r="22" spans="2:24" ht="21.75" customHeight="1">
      <c r="B22" s="33"/>
      <c r="C22" s="22"/>
      <c r="D22" s="22" t="s">
        <v>35</v>
      </c>
      <c r="E22" s="22"/>
      <c r="F22" s="22"/>
      <c r="G22" s="22"/>
      <c r="H22" s="23"/>
      <c r="I22" s="23"/>
      <c r="J22" s="22"/>
      <c r="K22" s="22"/>
      <c r="L22" s="22"/>
      <c r="M22" s="22"/>
      <c r="N22" s="22"/>
      <c r="O22" s="22"/>
      <c r="P22" s="22"/>
      <c r="Q22" s="22"/>
      <c r="R22" s="129">
        <f>入力シート!W32</f>
        <v>-4720739</v>
      </c>
      <c r="S22" s="129"/>
      <c r="T22" s="129"/>
      <c r="U22" s="34"/>
      <c r="X22" s="38"/>
    </row>
    <row r="23" spans="2:24" ht="21.75" customHeight="1">
      <c r="B23" s="35"/>
      <c r="C23" s="41" t="s">
        <v>86</v>
      </c>
      <c r="D23" s="24" t="s">
        <v>67</v>
      </c>
      <c r="E23" s="24"/>
      <c r="F23" s="24"/>
      <c r="G23" s="24"/>
      <c r="H23" s="25"/>
      <c r="I23" s="25"/>
      <c r="J23" s="24"/>
      <c r="K23" s="24"/>
      <c r="L23" s="24"/>
      <c r="M23" s="24"/>
      <c r="N23" s="24"/>
      <c r="O23" s="24"/>
      <c r="P23" s="24"/>
      <c r="Q23" s="24"/>
      <c r="R23" s="131">
        <f>入力シート!W33</f>
        <v>53621217</v>
      </c>
      <c r="S23" s="131"/>
      <c r="T23" s="131"/>
      <c r="U23" s="36"/>
    </row>
    <row r="24" spans="2:24" ht="21.75" customHeight="1">
      <c r="B24" s="22"/>
      <c r="C24" s="22"/>
      <c r="D24" s="22"/>
      <c r="E24" s="22"/>
      <c r="F24" s="22"/>
      <c r="G24" s="22"/>
      <c r="H24" s="23"/>
      <c r="I24" s="23"/>
      <c r="J24" s="22"/>
      <c r="K24" s="22"/>
      <c r="L24" s="22"/>
      <c r="M24" s="22"/>
      <c r="N24" s="22"/>
      <c r="O24" s="22"/>
      <c r="P24" s="22"/>
      <c r="Q24" s="22"/>
      <c r="R24" s="26"/>
      <c r="S24" s="26"/>
      <c r="T24" s="26"/>
      <c r="U24" s="22"/>
    </row>
    <row r="25" spans="2:24" ht="14.25" customHeight="1">
      <c r="B25" s="24"/>
      <c r="C25" s="22"/>
      <c r="D25" s="22"/>
      <c r="E25" s="22"/>
      <c r="F25" s="22"/>
      <c r="G25" s="22"/>
      <c r="H25" s="23"/>
      <c r="I25" s="23"/>
      <c r="J25" s="22"/>
      <c r="K25" s="22"/>
      <c r="L25" s="22"/>
      <c r="M25" s="22"/>
      <c r="N25" s="22"/>
      <c r="O25" s="22"/>
      <c r="P25" s="22"/>
      <c r="Q25" s="22"/>
      <c r="R25" s="26"/>
      <c r="S25" s="26"/>
      <c r="T25" s="26"/>
      <c r="U25" s="22"/>
      <c r="V25" s="22"/>
    </row>
    <row r="26" spans="2:24" ht="11.25" customHeight="1">
      <c r="B26" s="30"/>
      <c r="C26" s="27"/>
      <c r="D26" s="27"/>
      <c r="E26" s="27"/>
      <c r="F26" s="27"/>
      <c r="G26" s="27"/>
      <c r="H26" s="28"/>
      <c r="I26" s="28"/>
      <c r="J26" s="27"/>
      <c r="K26" s="27"/>
      <c r="L26" s="27"/>
      <c r="M26" s="27"/>
      <c r="N26" s="27"/>
      <c r="O26" s="27"/>
      <c r="P26" s="27"/>
      <c r="Q26" s="27"/>
      <c r="R26" s="127"/>
      <c r="S26" s="127"/>
      <c r="T26" s="127"/>
      <c r="U26" s="31"/>
    </row>
    <row r="27" spans="2:24" ht="21" customHeight="1">
      <c r="B27" s="33"/>
      <c r="C27" s="22" t="s">
        <v>61</v>
      </c>
      <c r="D27" s="22"/>
      <c r="E27" s="22"/>
      <c r="F27" s="22"/>
      <c r="G27" s="22"/>
      <c r="H27" s="23"/>
      <c r="I27" s="23"/>
      <c r="J27" s="22"/>
      <c r="K27" s="22"/>
      <c r="L27" s="22"/>
      <c r="M27" s="22"/>
      <c r="N27" s="22"/>
      <c r="O27" s="22"/>
      <c r="P27" s="22"/>
      <c r="Q27" s="22"/>
      <c r="R27" s="122"/>
      <c r="S27" s="122"/>
      <c r="T27" s="122"/>
      <c r="U27" s="34"/>
    </row>
    <row r="28" spans="2:24" ht="21" customHeight="1">
      <c r="B28" s="33"/>
      <c r="C28" s="22"/>
      <c r="D28" s="22" t="s">
        <v>82</v>
      </c>
      <c r="E28" s="22"/>
      <c r="F28" s="22"/>
      <c r="G28" s="22"/>
      <c r="H28" s="23"/>
      <c r="I28" s="23"/>
      <c r="J28" s="22"/>
      <c r="K28" s="22"/>
      <c r="L28" s="22"/>
      <c r="M28" s="22"/>
      <c r="N28" s="22"/>
      <c r="O28" s="22"/>
      <c r="P28" s="22"/>
      <c r="Q28" s="22"/>
      <c r="R28" s="128">
        <f>入力シート!W36</f>
        <v>-47478344</v>
      </c>
      <c r="S28" s="128"/>
      <c r="T28" s="128"/>
      <c r="U28" s="34"/>
    </row>
    <row r="29" spans="2:24" ht="21" customHeight="1">
      <c r="B29" s="33"/>
      <c r="C29" s="22"/>
      <c r="D29" s="22" t="s">
        <v>40</v>
      </c>
      <c r="E29" s="22"/>
      <c r="F29" s="22"/>
      <c r="G29" s="22"/>
      <c r="H29" s="23"/>
      <c r="I29" s="23"/>
      <c r="J29" s="22"/>
      <c r="K29" s="22"/>
      <c r="L29" s="22"/>
      <c r="M29" s="22"/>
      <c r="N29" s="22"/>
      <c r="O29" s="22"/>
      <c r="P29" s="22"/>
      <c r="Q29" s="22"/>
      <c r="R29" s="122">
        <f>入力シート!W37</f>
        <v>0</v>
      </c>
      <c r="S29" s="122"/>
      <c r="T29" s="122"/>
      <c r="U29" s="34"/>
    </row>
    <row r="30" spans="2:24" ht="21" customHeight="1">
      <c r="B30" s="33"/>
      <c r="C30" s="22"/>
      <c r="D30" s="22" t="s">
        <v>41</v>
      </c>
      <c r="E30" s="22"/>
      <c r="F30" s="22"/>
      <c r="G30" s="22"/>
      <c r="H30" s="23"/>
      <c r="I30" s="23"/>
      <c r="J30" s="22"/>
      <c r="K30" s="22"/>
      <c r="L30" s="22"/>
      <c r="M30" s="22"/>
      <c r="N30" s="22"/>
      <c r="O30" s="22"/>
      <c r="P30" s="22"/>
      <c r="Q30" s="22"/>
      <c r="R30" s="131">
        <f>入力シート!W38</f>
        <v>29435594</v>
      </c>
      <c r="S30" s="131"/>
      <c r="T30" s="131"/>
      <c r="U30" s="34"/>
    </row>
    <row r="31" spans="2:24" ht="21" customHeight="1">
      <c r="B31" s="33"/>
      <c r="C31" s="40" t="s">
        <v>87</v>
      </c>
      <c r="D31" s="22" t="s">
        <v>68</v>
      </c>
      <c r="E31" s="22"/>
      <c r="F31" s="22"/>
      <c r="G31" s="22"/>
      <c r="H31" s="23"/>
      <c r="I31" s="23"/>
      <c r="J31" s="22"/>
      <c r="K31" s="22"/>
      <c r="L31" s="22"/>
      <c r="M31" s="22"/>
      <c r="N31" s="22"/>
      <c r="O31" s="22"/>
      <c r="P31" s="22"/>
      <c r="Q31" s="22"/>
      <c r="R31" s="128">
        <f>入力シート!W39</f>
        <v>-18042750</v>
      </c>
      <c r="S31" s="128"/>
      <c r="T31" s="128"/>
      <c r="U31" s="34"/>
    </row>
    <row r="32" spans="2:24" ht="12" customHeight="1">
      <c r="B32" s="33"/>
      <c r="C32" s="22"/>
      <c r="D32" s="22"/>
      <c r="E32" s="22"/>
      <c r="F32" s="22"/>
      <c r="G32" s="22"/>
      <c r="H32" s="133"/>
      <c r="I32" s="133"/>
      <c r="J32" s="22"/>
      <c r="K32" s="22"/>
      <c r="L32" s="22"/>
      <c r="M32" s="22"/>
      <c r="N32" s="22"/>
      <c r="O32" s="22"/>
      <c r="P32" s="22"/>
      <c r="Q32" s="22"/>
      <c r="R32" s="122"/>
      <c r="S32" s="122"/>
      <c r="T32" s="122"/>
      <c r="U32" s="34"/>
    </row>
    <row r="33" spans="2:23" ht="21" customHeight="1">
      <c r="B33" s="33"/>
      <c r="C33" s="22" t="s">
        <v>62</v>
      </c>
      <c r="D33" s="22"/>
      <c r="E33" s="22"/>
      <c r="F33" s="22"/>
      <c r="G33" s="22"/>
      <c r="H33" s="23"/>
      <c r="I33" s="23"/>
      <c r="J33" s="22"/>
      <c r="K33" s="22"/>
      <c r="L33" s="22"/>
      <c r="M33" s="22"/>
      <c r="N33" s="22"/>
      <c r="O33" s="22"/>
      <c r="P33" s="22"/>
      <c r="Q33" s="22"/>
      <c r="R33" s="122"/>
      <c r="S33" s="122"/>
      <c r="T33" s="122"/>
      <c r="U33" s="34"/>
    </row>
    <row r="34" spans="2:23" ht="21" customHeight="1">
      <c r="B34" s="33"/>
      <c r="C34" s="22"/>
      <c r="D34" s="22" t="s">
        <v>63</v>
      </c>
      <c r="E34" s="22"/>
      <c r="F34" s="22"/>
      <c r="G34" s="22"/>
      <c r="H34" s="23"/>
      <c r="I34" s="23"/>
      <c r="J34" s="22"/>
      <c r="K34" s="22"/>
      <c r="L34" s="22"/>
      <c r="M34" s="22"/>
      <c r="N34" s="22"/>
      <c r="O34" s="22"/>
      <c r="P34" s="22"/>
      <c r="Q34" s="22"/>
      <c r="R34" s="122">
        <f>入力シート!W42</f>
        <v>9000000</v>
      </c>
      <c r="S34" s="122"/>
      <c r="T34" s="122"/>
      <c r="U34" s="34"/>
    </row>
    <row r="35" spans="2:23" ht="21" customHeight="1">
      <c r="B35" s="33"/>
      <c r="C35" s="22"/>
      <c r="D35" s="22" t="s">
        <v>64</v>
      </c>
      <c r="E35" s="22"/>
      <c r="F35" s="22"/>
      <c r="G35" s="22"/>
      <c r="H35" s="23"/>
      <c r="I35" s="23"/>
      <c r="J35" s="22"/>
      <c r="K35" s="22"/>
      <c r="L35" s="22"/>
      <c r="M35" s="22"/>
      <c r="N35" s="22"/>
      <c r="O35" s="22"/>
      <c r="P35" s="22"/>
      <c r="Q35" s="22"/>
      <c r="R35" s="129">
        <f>入力シート!W43</f>
        <v>-38275211</v>
      </c>
      <c r="S35" s="129"/>
      <c r="T35" s="129"/>
      <c r="U35" s="34"/>
    </row>
    <row r="36" spans="2:23" ht="21" hidden="1" customHeight="1">
      <c r="B36" s="33"/>
      <c r="C36" s="22"/>
      <c r="D36" s="22" t="s">
        <v>46</v>
      </c>
      <c r="E36" s="22"/>
      <c r="F36" s="22"/>
      <c r="G36" s="22"/>
      <c r="H36" s="23"/>
      <c r="I36" s="23"/>
      <c r="J36" s="22"/>
      <c r="K36" s="22"/>
      <c r="L36" s="22"/>
      <c r="M36" s="22"/>
      <c r="N36" s="22"/>
      <c r="O36" s="22"/>
      <c r="P36" s="22"/>
      <c r="Q36" s="22"/>
      <c r="R36" s="131">
        <f>入力シート!W44</f>
        <v>0</v>
      </c>
      <c r="S36" s="131"/>
      <c r="T36" s="131"/>
      <c r="U36" s="34"/>
    </row>
    <row r="37" spans="2:23" ht="21" customHeight="1">
      <c r="B37" s="33"/>
      <c r="C37" s="40" t="s">
        <v>88</v>
      </c>
      <c r="D37" s="22" t="s">
        <v>69</v>
      </c>
      <c r="E37" s="22"/>
      <c r="F37" s="22"/>
      <c r="G37" s="22"/>
      <c r="H37" s="23"/>
      <c r="I37" s="23"/>
      <c r="J37" s="22"/>
      <c r="K37" s="22"/>
      <c r="L37" s="22"/>
      <c r="M37" s="22"/>
      <c r="N37" s="22"/>
      <c r="O37" s="22"/>
      <c r="P37" s="22"/>
      <c r="Q37" s="22"/>
      <c r="R37" s="128">
        <f>入力シート!W45</f>
        <v>-29275211</v>
      </c>
      <c r="S37" s="128"/>
      <c r="T37" s="128"/>
      <c r="U37" s="34"/>
    </row>
    <row r="38" spans="2:23" ht="14.25" customHeight="1">
      <c r="B38" s="33"/>
      <c r="C38" s="22"/>
      <c r="D38" s="22"/>
      <c r="E38" s="22"/>
      <c r="F38" s="22"/>
      <c r="G38" s="22"/>
      <c r="H38" s="133"/>
      <c r="I38" s="133"/>
      <c r="J38" s="22"/>
      <c r="K38" s="22"/>
      <c r="L38" s="22"/>
      <c r="M38" s="22"/>
      <c r="N38" s="22"/>
      <c r="O38" s="22"/>
      <c r="P38" s="22"/>
      <c r="Q38" s="22"/>
      <c r="R38" s="122"/>
      <c r="S38" s="122"/>
      <c r="T38" s="122"/>
      <c r="U38" s="34"/>
    </row>
    <row r="39" spans="2:23" ht="21" customHeight="1">
      <c r="B39" s="33"/>
      <c r="C39" s="29" t="s">
        <v>89</v>
      </c>
      <c r="D39" s="22"/>
      <c r="E39" s="22"/>
      <c r="F39" s="22"/>
      <c r="G39" s="22"/>
      <c r="H39" s="133"/>
      <c r="I39" s="133"/>
      <c r="J39" s="22"/>
      <c r="K39" s="22"/>
      <c r="L39" s="22"/>
      <c r="M39" s="22"/>
      <c r="N39" s="22"/>
      <c r="O39" s="22"/>
      <c r="P39" s="22"/>
      <c r="Q39" s="22"/>
      <c r="R39" s="128">
        <f>入力シート!W47</f>
        <v>6303256</v>
      </c>
      <c r="S39" s="128"/>
      <c r="T39" s="128"/>
      <c r="U39" s="34"/>
      <c r="W39" s="39"/>
    </row>
    <row r="40" spans="2:23" ht="21" customHeight="1">
      <c r="B40" s="33"/>
      <c r="C40" s="29" t="s">
        <v>65</v>
      </c>
      <c r="D40" s="22"/>
      <c r="E40" s="22"/>
      <c r="F40" s="22"/>
      <c r="G40" s="22"/>
      <c r="H40" s="133"/>
      <c r="I40" s="133"/>
      <c r="J40" s="22"/>
      <c r="K40" s="22"/>
      <c r="L40" s="22"/>
      <c r="M40" s="22"/>
      <c r="N40" s="22"/>
      <c r="O40" s="22"/>
      <c r="P40" s="22"/>
      <c r="Q40" s="22"/>
      <c r="R40" s="131">
        <f>入力シート!W48</f>
        <v>85414342</v>
      </c>
      <c r="S40" s="131"/>
      <c r="T40" s="131"/>
      <c r="U40" s="34"/>
      <c r="W40" s="39"/>
    </row>
    <row r="41" spans="2:23" ht="21" customHeight="1">
      <c r="B41" s="33"/>
      <c r="C41" s="29" t="s">
        <v>66</v>
      </c>
      <c r="D41" s="22"/>
      <c r="E41" s="22"/>
      <c r="F41" s="22"/>
      <c r="G41" s="22"/>
      <c r="H41" s="133"/>
      <c r="I41" s="133"/>
      <c r="J41" s="22"/>
      <c r="K41" s="22"/>
      <c r="L41" s="22"/>
      <c r="M41" s="22"/>
      <c r="N41" s="22"/>
      <c r="O41" s="22"/>
      <c r="P41" s="22"/>
      <c r="Q41" s="22"/>
      <c r="R41" s="130">
        <f>入力シート!W49</f>
        <v>91717598</v>
      </c>
      <c r="S41" s="130"/>
      <c r="T41" s="130"/>
      <c r="U41" s="34"/>
      <c r="W41" s="39"/>
    </row>
    <row r="42" spans="2:23">
      <c r="B42" s="35"/>
      <c r="C42" s="24"/>
      <c r="D42" s="24"/>
      <c r="E42" s="24"/>
      <c r="F42" s="24"/>
      <c r="G42" s="24"/>
      <c r="H42" s="125"/>
      <c r="I42" s="125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36"/>
    </row>
    <row r="43" spans="2:23">
      <c r="H43" s="134"/>
      <c r="I43" s="134"/>
    </row>
  </sheetData>
  <mergeCells count="41">
    <mergeCell ref="R28:T28"/>
    <mergeCell ref="H43:I43"/>
    <mergeCell ref="R9:T9"/>
    <mergeCell ref="R10:T10"/>
    <mergeCell ref="R11:T11"/>
    <mergeCell ref="R12:T12"/>
    <mergeCell ref="R13:T13"/>
    <mergeCell ref="R14:T14"/>
    <mergeCell ref="R15:T15"/>
    <mergeCell ref="H38:I38"/>
    <mergeCell ref="H39:I39"/>
    <mergeCell ref="H40:I40"/>
    <mergeCell ref="H41:I41"/>
    <mergeCell ref="H42:I42"/>
    <mergeCell ref="H32:I32"/>
    <mergeCell ref="R21:T21"/>
    <mergeCell ref="R22:T22"/>
    <mergeCell ref="R23:T23"/>
    <mergeCell ref="R26:T26"/>
    <mergeCell ref="R27:T27"/>
    <mergeCell ref="R16:T16"/>
    <mergeCell ref="R17:T17"/>
    <mergeCell ref="R18:T18"/>
    <mergeCell ref="R19:T19"/>
    <mergeCell ref="R20:T20"/>
    <mergeCell ref="D3:R3"/>
    <mergeCell ref="D4:S4"/>
    <mergeCell ref="R6:T6"/>
    <mergeCell ref="R41:T41"/>
    <mergeCell ref="R30:T30"/>
    <mergeCell ref="R31:T31"/>
    <mergeCell ref="R32:T32"/>
    <mergeCell ref="R33:T33"/>
    <mergeCell ref="R34:T34"/>
    <mergeCell ref="R35:T35"/>
    <mergeCell ref="R36:T36"/>
    <mergeCell ref="R37:T37"/>
    <mergeCell ref="R38:T38"/>
    <mergeCell ref="R39:T39"/>
    <mergeCell ref="R40:T40"/>
    <mergeCell ref="R29:T29"/>
  </mergeCells>
  <phoneticPr fontId="1"/>
  <printOptions horizontalCentered="1"/>
  <pageMargins left="0.70866141732283472" right="0.70866141732283472" top="1.0629921259842521" bottom="0.74803149606299213" header="0.31496062992125984" footer="0.31496062992125984"/>
  <pageSetup paperSize="9" scale="115" orientation="landscape" horizontalDpi="300" verticalDpi="300" r:id="rId1"/>
  <rowBreaks count="1" manualBreakCount="1">
    <brk id="24" max="21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I37"/>
  <sheetViews>
    <sheetView workbookViewId="0">
      <selection activeCell="B30" sqref="B30"/>
    </sheetView>
  </sheetViews>
  <sheetFormatPr defaultRowHeight="13.5"/>
  <cols>
    <col min="1" max="1" width="10.25" customWidth="1"/>
    <col min="9" max="9" width="7.125" customWidth="1"/>
  </cols>
  <sheetData>
    <row r="2" spans="2:9">
      <c r="B2" t="s">
        <v>51</v>
      </c>
    </row>
    <row r="3" spans="2:9">
      <c r="C3" t="s">
        <v>23</v>
      </c>
    </row>
    <row r="4" spans="2:9">
      <c r="C4" t="s">
        <v>52</v>
      </c>
    </row>
    <row r="6" spans="2:9">
      <c r="B6" t="s">
        <v>55</v>
      </c>
    </row>
    <row r="7" spans="2:9">
      <c r="B7" s="8" t="s">
        <v>56</v>
      </c>
      <c r="C7" s="8"/>
      <c r="D7" s="8"/>
      <c r="E7" s="8"/>
      <c r="F7" s="8"/>
      <c r="G7" s="8"/>
      <c r="H7" s="137"/>
      <c r="I7" s="137"/>
    </row>
    <row r="8" spans="2:9">
      <c r="B8" t="s">
        <v>57</v>
      </c>
      <c r="H8" s="137"/>
      <c r="I8" s="137"/>
    </row>
    <row r="9" spans="2:9">
      <c r="B9" t="s">
        <v>58</v>
      </c>
      <c r="H9" s="137"/>
      <c r="I9" s="137"/>
    </row>
    <row r="10" spans="2:9">
      <c r="B10" t="s">
        <v>59</v>
      </c>
      <c r="H10" s="137"/>
      <c r="I10" s="137"/>
    </row>
    <row r="11" spans="2:9">
      <c r="B11" s="8" t="s">
        <v>27</v>
      </c>
      <c r="C11" s="8"/>
      <c r="D11" s="8"/>
      <c r="E11" s="8"/>
      <c r="H11" s="137"/>
      <c r="I11" s="137"/>
    </row>
    <row r="12" spans="2:9">
      <c r="B12" t="s">
        <v>12</v>
      </c>
      <c r="H12" s="137"/>
      <c r="I12" s="137"/>
    </row>
    <row r="13" spans="2:9">
      <c r="B13" t="s">
        <v>28</v>
      </c>
      <c r="H13" s="137"/>
      <c r="I13" s="137"/>
    </row>
    <row r="14" spans="2:9">
      <c r="B14" t="s">
        <v>29</v>
      </c>
      <c r="H14" s="137"/>
      <c r="I14" s="137"/>
    </row>
    <row r="15" spans="2:9">
      <c r="B15" t="s">
        <v>30</v>
      </c>
      <c r="H15" s="137"/>
      <c r="I15" s="137"/>
    </row>
    <row r="16" spans="2:9">
      <c r="B16" t="s">
        <v>31</v>
      </c>
      <c r="H16" s="137"/>
      <c r="I16" s="137"/>
    </row>
    <row r="17" spans="2:9">
      <c r="B17" t="s">
        <v>32</v>
      </c>
      <c r="H17" s="137"/>
      <c r="I17" s="137"/>
    </row>
    <row r="18" spans="2:9">
      <c r="B18" t="s">
        <v>33</v>
      </c>
      <c r="H18" s="137"/>
      <c r="I18" s="137"/>
    </row>
    <row r="19" spans="2:9">
      <c r="B19" t="s">
        <v>34</v>
      </c>
      <c r="H19" s="137"/>
      <c r="I19" s="137"/>
    </row>
    <row r="20" spans="2:9">
      <c r="B20" t="s">
        <v>35</v>
      </c>
      <c r="H20" s="137"/>
      <c r="I20" s="137"/>
    </row>
    <row r="21" spans="2:9">
      <c r="B21" t="s">
        <v>36</v>
      </c>
      <c r="H21" s="137"/>
      <c r="I21" s="137"/>
    </row>
    <row r="22" spans="2:9">
      <c r="H22" s="137"/>
      <c r="I22" s="137"/>
    </row>
    <row r="23" spans="2:9">
      <c r="B23" t="s">
        <v>53</v>
      </c>
      <c r="H23" s="137"/>
      <c r="I23" s="137"/>
    </row>
    <row r="24" spans="2:9">
      <c r="B24" t="s">
        <v>39</v>
      </c>
      <c r="H24" s="137"/>
      <c r="I24" s="137"/>
    </row>
    <row r="25" spans="2:9">
      <c r="B25" t="s">
        <v>40</v>
      </c>
      <c r="H25" s="137"/>
      <c r="I25" s="137"/>
    </row>
    <row r="26" spans="2:9">
      <c r="B26" t="s">
        <v>41</v>
      </c>
      <c r="H26" s="137"/>
      <c r="I26" s="137"/>
    </row>
    <row r="27" spans="2:9">
      <c r="B27" t="s">
        <v>42</v>
      </c>
      <c r="H27" s="137"/>
      <c r="I27" s="137"/>
    </row>
    <row r="28" spans="2:9">
      <c r="H28" s="137"/>
      <c r="I28" s="137"/>
    </row>
    <row r="29" spans="2:9">
      <c r="B29" t="s">
        <v>54</v>
      </c>
      <c r="H29" s="137"/>
      <c r="I29" s="137"/>
    </row>
    <row r="30" spans="2:9">
      <c r="B30" t="s">
        <v>44</v>
      </c>
      <c r="H30" s="137"/>
      <c r="I30" s="137"/>
    </row>
    <row r="31" spans="2:9">
      <c r="B31" t="s">
        <v>45</v>
      </c>
      <c r="H31" s="137"/>
      <c r="I31" s="137"/>
    </row>
    <row r="32" spans="2:9">
      <c r="B32" t="s">
        <v>46</v>
      </c>
      <c r="H32" s="137"/>
      <c r="I32" s="137"/>
    </row>
    <row r="33" spans="2:9">
      <c r="B33" t="s">
        <v>47</v>
      </c>
      <c r="H33" s="137"/>
      <c r="I33" s="137"/>
    </row>
    <row r="34" spans="2:9">
      <c r="H34" s="137"/>
      <c r="I34" s="137"/>
    </row>
    <row r="35" spans="2:9">
      <c r="B35" t="s">
        <v>48</v>
      </c>
      <c r="H35" s="137"/>
      <c r="I35" s="137"/>
    </row>
    <row r="36" spans="2:9">
      <c r="B36" t="s">
        <v>49</v>
      </c>
      <c r="H36" s="137"/>
      <c r="I36" s="137"/>
    </row>
    <row r="37" spans="2:9">
      <c r="B37" t="s">
        <v>50</v>
      </c>
    </row>
  </sheetData>
  <mergeCells count="30">
    <mergeCell ref="H12:I12"/>
    <mergeCell ref="H7:I7"/>
    <mergeCell ref="H8:I8"/>
    <mergeCell ref="H9:I9"/>
    <mergeCell ref="H10:I10"/>
    <mergeCell ref="H11:I11"/>
    <mergeCell ref="H24:I24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36:I36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  <mergeCell ref="H34:I34"/>
    <mergeCell ref="H35:I35"/>
  </mergeCells>
  <phoneticPr fontId="1"/>
  <pageMargins left="0.7" right="0.7" top="0.75" bottom="0.75" header="0.3" footer="0.3"/>
  <pageSetup paperSize="9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I16"/>
  <sheetViews>
    <sheetView workbookViewId="0">
      <selection activeCell="B2" sqref="B2:D10"/>
    </sheetView>
  </sheetViews>
  <sheetFormatPr defaultRowHeight="13.5"/>
  <cols>
    <col min="4" max="4" width="9.875" bestFit="1" customWidth="1"/>
    <col min="9" max="9" width="11.375" bestFit="1" customWidth="1"/>
  </cols>
  <sheetData>
    <row r="2" spans="2:9">
      <c r="B2" s="70">
        <v>-969.6</v>
      </c>
      <c r="D2" s="70">
        <v>-969.6</v>
      </c>
      <c r="F2">
        <v>-969.6</v>
      </c>
      <c r="I2" s="3">
        <v>36430000</v>
      </c>
    </row>
    <row r="3" spans="2:9">
      <c r="B3" s="70">
        <v>92488.9</v>
      </c>
      <c r="D3" s="70">
        <v>92488.9</v>
      </c>
      <c r="F3">
        <v>92488.9</v>
      </c>
      <c r="I3" s="3">
        <v>-17300000</v>
      </c>
    </row>
    <row r="4" spans="2:9">
      <c r="B4" s="70">
        <v>-25935.1</v>
      </c>
      <c r="D4" s="70">
        <v>-25935.1</v>
      </c>
      <c r="F4">
        <v>-25935.1</v>
      </c>
      <c r="I4" s="3">
        <v>1000000</v>
      </c>
    </row>
    <row r="5" spans="2:9">
      <c r="B5" s="70">
        <v>-1</v>
      </c>
      <c r="D5" s="70">
        <v>-1</v>
      </c>
      <c r="F5">
        <v>-1</v>
      </c>
      <c r="I5" s="3">
        <v>160000</v>
      </c>
    </row>
    <row r="6" spans="2:9">
      <c r="B6" s="70">
        <v>5793.5</v>
      </c>
      <c r="D6" s="70">
        <v>5793.5</v>
      </c>
      <c r="F6">
        <v>5793.5</v>
      </c>
      <c r="I6" s="3">
        <v>11000</v>
      </c>
    </row>
    <row r="7" spans="2:9">
      <c r="B7" s="70">
        <v>-4217.5</v>
      </c>
      <c r="D7" s="70">
        <v>-4217.5</v>
      </c>
      <c r="F7">
        <v>-4217.5</v>
      </c>
      <c r="I7" s="3">
        <v>1000</v>
      </c>
    </row>
    <row r="8" spans="2:9">
      <c r="B8" s="70">
        <v>-2075.3000000000002</v>
      </c>
      <c r="D8" s="70">
        <v>-2075.3000000000002</v>
      </c>
      <c r="F8">
        <v>-2075.3000000000002</v>
      </c>
      <c r="I8" s="3">
        <v>-6550000</v>
      </c>
    </row>
    <row r="9" spans="2:9">
      <c r="B9" s="70">
        <v>-275.5</v>
      </c>
      <c r="D9" s="70">
        <v>-275.5</v>
      </c>
      <c r="F9">
        <v>-275.5</v>
      </c>
      <c r="I9" s="3">
        <v>-720000</v>
      </c>
    </row>
    <row r="10" spans="2:9">
      <c r="B10" s="70">
        <v>-2192.6999999999998</v>
      </c>
      <c r="D10" s="70">
        <v>-2192.6999999999998</v>
      </c>
      <c r="F10">
        <v>-2192.6999999999998</v>
      </c>
      <c r="I10" s="3">
        <v>-239000</v>
      </c>
    </row>
    <row r="11" spans="2:9">
      <c r="D11">
        <f>SUM(D2:D10)</f>
        <v>62615.699999999983</v>
      </c>
      <c r="I11" s="3">
        <v>-4586000</v>
      </c>
    </row>
    <row r="12" spans="2:9">
      <c r="I12" s="3">
        <v>-6760000</v>
      </c>
    </row>
    <row r="13" spans="2:9">
      <c r="I13" s="3">
        <v>-1207000</v>
      </c>
    </row>
    <row r="14" spans="2:9">
      <c r="I14" s="3">
        <v>-240000</v>
      </c>
    </row>
    <row r="16" spans="2:9">
      <c r="I16" s="3">
        <v>0</v>
      </c>
    </row>
  </sheetData>
  <phoneticPr fontId="1"/>
  <pageMargins left="0.7" right="0.7" top="0.75" bottom="0.75" header="0.3" footer="0.3"/>
  <pageSetup paperSize="9"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663AB-5105-40FC-8DBD-AB5E0DFD1C97}">
  <dimension ref="B1:D11"/>
  <sheetViews>
    <sheetView workbookViewId="0">
      <selection activeCell="F9" sqref="F9"/>
    </sheetView>
  </sheetViews>
  <sheetFormatPr defaultRowHeight="13.5"/>
  <cols>
    <col min="2" max="2" width="12.875" bestFit="1" customWidth="1"/>
    <col min="4" max="4" width="9.875" style="70" bestFit="1" customWidth="1"/>
  </cols>
  <sheetData>
    <row r="1" spans="2:4">
      <c r="B1" s="3">
        <v>73957218</v>
      </c>
      <c r="D1" s="70">
        <v>9371</v>
      </c>
    </row>
    <row r="2" spans="2:4">
      <c r="B2" s="3">
        <v>318421865</v>
      </c>
      <c r="D2" s="70">
        <v>59575.9</v>
      </c>
    </row>
    <row r="3" spans="2:4">
      <c r="B3" s="3">
        <v>2592782828</v>
      </c>
      <c r="D3" s="70">
        <v>-26463.200000000001</v>
      </c>
    </row>
    <row r="4" spans="2:4">
      <c r="B4" s="3">
        <v>912617682</v>
      </c>
      <c r="D4" s="70">
        <v>-1</v>
      </c>
    </row>
    <row r="5" spans="2:4">
      <c r="B5" s="3">
        <v>6546238</v>
      </c>
      <c r="D5" s="70">
        <v>5793.5</v>
      </c>
    </row>
    <row r="6" spans="2:4">
      <c r="B6" s="3">
        <v>14284605</v>
      </c>
      <c r="D6" s="70">
        <v>-13399.9</v>
      </c>
    </row>
    <row r="7" spans="2:4">
      <c r="B7" s="3">
        <v>30331088</v>
      </c>
      <c r="D7" s="70">
        <v>4588.3999999999996</v>
      </c>
    </row>
    <row r="8" spans="2:4">
      <c r="B8" s="3"/>
      <c r="D8" s="70">
        <v>-275.5</v>
      </c>
    </row>
    <row r="9" spans="2:4">
      <c r="B9" s="3">
        <f>SUM(B1:B8)</f>
        <v>3948941524</v>
      </c>
      <c r="D9" s="70">
        <v>-132.30000000000001</v>
      </c>
    </row>
    <row r="10" spans="2:4">
      <c r="D10" s="70">
        <f>SUM(D1:D9)</f>
        <v>39056.899999999994</v>
      </c>
    </row>
    <row r="11" spans="2:4">
      <c r="B11">
        <v>3948941524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7</vt:i4>
      </vt:variant>
      <vt:variant>
        <vt:lpstr>名前付き一覧</vt:lpstr>
      </vt:variant>
      <vt:variant>
        <vt:i4>4</vt:i4>
      </vt:variant>
    </vt:vector>
  </HeadingPairs>
  <TitlesOfParts>
    <vt:vector size="11" baseType="lpstr">
      <vt:lpstr>ＣＦ (提出用・千円)</vt:lpstr>
      <vt:lpstr>ＣＦ（資料・円）</vt:lpstr>
      <vt:lpstr>入力シート</vt:lpstr>
      <vt:lpstr>ＣＦ（参考・円）</vt:lpstr>
      <vt:lpstr>様式</vt:lpstr>
      <vt:lpstr>Sheet3</vt:lpstr>
      <vt:lpstr>Sheet1</vt:lpstr>
      <vt:lpstr>'ＣＦ (提出用・千円)'!Print_Area</vt:lpstr>
      <vt:lpstr>'ＣＦ（参考・円）'!Print_Area</vt:lpstr>
      <vt:lpstr>'ＣＦ（資料・円）'!Print_Area</vt:lpstr>
      <vt:lpstr>入力シート!Print_Area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2006-09-13T11:12:02Z</dcterms:created>
  <dcterms:modified xsi:type="dcterms:W3CDTF">2026-02-12T03:04:02Z</dcterms:modified>
</cp:coreProperties>
</file>