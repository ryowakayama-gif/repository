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FA964459-6002-487E-8712-3CCE4084A044}" xr6:coauthVersionLast="45" xr6:coauthVersionMax="45" xr10:uidLastSave="{00000000-0000-0000-0000-000000000000}"/>
  <bookViews>
    <workbookView xWindow="-120" yWindow="-120" windowWidth="20730" windowHeight="11160" tabRatio="719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U47" i="1" l="1"/>
  <c r="V48" i="1"/>
  <c r="W48" i="1"/>
  <c r="K13" i="5" l="1"/>
  <c r="K9" i="5"/>
  <c r="E11" i="1"/>
  <c r="K18" i="5" l="1"/>
  <c r="K11" i="5"/>
  <c r="K8" i="5"/>
  <c r="F12" i="1" l="1"/>
  <c r="E8" i="1"/>
  <c r="E7" i="1"/>
  <c r="E4" i="1"/>
  <c r="E3" i="1"/>
  <c r="F3" i="1" l="1"/>
  <c r="W12" i="1"/>
  <c r="U30" i="1" l="1"/>
  <c r="W19" i="1"/>
  <c r="F6" i="1" l="1"/>
  <c r="F9" i="1" l="1"/>
  <c r="W9" i="1" s="1"/>
  <c r="T16" i="1"/>
  <c r="T43" i="1" s="1"/>
  <c r="W43" i="1" s="1"/>
  <c r="X14" i="5" s="1"/>
  <c r="X18" i="5"/>
  <c r="S16" i="1"/>
  <c r="S42" i="1" s="1"/>
  <c r="W42" i="1" s="1"/>
  <c r="L32" i="1"/>
  <c r="W32" i="1"/>
  <c r="K31" i="1"/>
  <c r="F11" i="1"/>
  <c r="N11" i="1" s="1"/>
  <c r="N27" i="1" s="1"/>
  <c r="W27" i="1" s="1"/>
  <c r="N6" i="1"/>
  <c r="N26" i="1" s="1"/>
  <c r="W26" i="1" s="1"/>
  <c r="W24" i="1"/>
  <c r="W23" i="1"/>
  <c r="J16" i="1"/>
  <c r="J22" i="1" s="1"/>
  <c r="W22" i="1" s="1"/>
  <c r="F4" i="1"/>
  <c r="F15" i="1"/>
  <c r="U15" i="1" s="1"/>
  <c r="H4" i="1" l="1"/>
  <c r="O3" i="1"/>
  <c r="O16" i="1" s="1"/>
  <c r="Q16" i="1"/>
  <c r="Q38" i="1" s="1"/>
  <c r="O36" i="1" l="1"/>
  <c r="W36" i="1" s="1"/>
  <c r="X7" i="5" s="1"/>
  <c r="W3" i="1"/>
  <c r="H16" i="1"/>
  <c r="H20" i="1" s="1"/>
  <c r="W20" i="1" s="1"/>
  <c r="D10" i="8"/>
  <c r="E16" i="1" l="1"/>
  <c r="B9" i="8"/>
  <c r="K10" i="5" l="1"/>
  <c r="D11" i="3"/>
  <c r="X8" i="5" l="1"/>
  <c r="Z23" i="7" l="1"/>
  <c r="Z38" i="7" l="1"/>
  <c r="Z37" i="7"/>
  <c r="X21" i="7"/>
  <c r="Z16" i="7"/>
  <c r="Z10" i="7"/>
  <c r="D16" i="1" l="1"/>
  <c r="R16" i="1" l="1"/>
  <c r="P16" i="1"/>
  <c r="M16" i="1"/>
  <c r="L16" i="1"/>
  <c r="I16" i="1"/>
  <c r="W31" i="1" l="1"/>
  <c r="R21" i="7" l="1"/>
  <c r="K17" i="5"/>
  <c r="S45" i="1"/>
  <c r="N39" i="1"/>
  <c r="U16" i="1"/>
  <c r="K7" i="5" s="1"/>
  <c r="P37" i="1"/>
  <c r="W37" i="1" s="1"/>
  <c r="W38" i="1"/>
  <c r="X9" i="5" s="1"/>
  <c r="X10" i="5" s="1"/>
  <c r="V49" i="1"/>
  <c r="F5" i="1"/>
  <c r="W35" i="1"/>
  <c r="W34" i="1"/>
  <c r="W21" i="1"/>
  <c r="W25" i="1"/>
  <c r="W41" i="1"/>
  <c r="X13" i="5"/>
  <c r="W44" i="1"/>
  <c r="R36" i="4" s="1"/>
  <c r="W40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L47" i="1" s="1"/>
  <c r="L49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10" i="1"/>
  <c r="W10" i="1" s="1"/>
  <c r="F13" i="1"/>
  <c r="W13" i="1" s="1"/>
  <c r="F14" i="1"/>
  <c r="W14" i="1" s="1"/>
  <c r="F7" i="1"/>
  <c r="N7" i="1" s="1"/>
  <c r="F8" i="1"/>
  <c r="N8" i="1" s="1"/>
  <c r="N29" i="1" s="1"/>
  <c r="W29" i="1" s="1"/>
  <c r="K15" i="5" s="1"/>
  <c r="V5" i="1" l="1"/>
  <c r="V16" i="1" s="1"/>
  <c r="N28" i="1"/>
  <c r="W28" i="1" s="1"/>
  <c r="F16" i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W5" i="1" l="1"/>
  <c r="R9" i="7"/>
  <c r="R12" i="4"/>
  <c r="R12" i="7"/>
  <c r="R17" i="4"/>
  <c r="R17" i="7"/>
  <c r="R19" i="4"/>
  <c r="R19" i="7"/>
  <c r="W7" i="1"/>
  <c r="K14" i="5"/>
  <c r="K12" i="5"/>
  <c r="K16" i="5" s="1"/>
  <c r="K19" i="5" s="1"/>
  <c r="W8" i="1"/>
  <c r="N16" i="1"/>
  <c r="W16" i="1" s="1"/>
  <c r="J30" i="1"/>
  <c r="J33" i="1" s="1"/>
  <c r="J47" i="1" s="1"/>
  <c r="J49" i="1" s="1"/>
  <c r="H30" i="1"/>
  <c r="W6" i="1"/>
  <c r="R9" i="4"/>
  <c r="R16" i="4" l="1"/>
  <c r="R16" i="7"/>
  <c r="R18" i="4"/>
  <c r="R18" i="7"/>
  <c r="R10" i="4"/>
  <c r="R10" i="7"/>
  <c r="N30" i="1"/>
  <c r="N33" i="1" s="1"/>
  <c r="N47" i="1" s="1"/>
  <c r="N49" i="1" s="1"/>
  <c r="W49" i="1" s="1"/>
  <c r="H33" i="1"/>
  <c r="H47" i="1" s="1"/>
  <c r="H49" i="1" s="1"/>
  <c r="O39" i="1"/>
  <c r="W39" i="1" s="1"/>
  <c r="R32" i="7" s="1"/>
  <c r="T45" i="1"/>
  <c r="T47" i="1" s="1"/>
  <c r="U33" i="1"/>
  <c r="X15" i="5" l="1"/>
  <c r="X17" i="5" s="1"/>
  <c r="X19" i="5" s="1"/>
  <c r="R35" i="4"/>
  <c r="R36" i="7"/>
  <c r="R28" i="4"/>
  <c r="R29" i="7"/>
  <c r="W30" i="1"/>
  <c r="W33" i="1"/>
  <c r="O47" i="1"/>
  <c r="O49" i="1" s="1"/>
  <c r="W45" i="1"/>
  <c r="T49" i="1"/>
  <c r="U49" i="1"/>
  <c r="R31" i="4"/>
  <c r="R23" i="7" l="1"/>
  <c r="W47" i="1"/>
  <c r="R37" i="4"/>
  <c r="R37" i="7"/>
  <c r="R38" i="7"/>
  <c r="R20" i="4"/>
  <c r="R20" i="7"/>
  <c r="R23" i="4"/>
  <c r="R39" i="4" l="1"/>
  <c r="R40" i="7"/>
  <c r="R41" i="4"/>
  <c r="R42" i="7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" authorId="0" shapeId="0" xr:uid="{1A534A06-CE87-4855-8AE7-05F18E3F8622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D4" authorId="0" shapeId="0" xr:uid="{11F4BF1B-8121-43F7-8D7D-FBA7EB9B3247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E4" authorId="0" shapeId="0" xr:uid="{E579A85D-51ED-4BF5-9A6A-53B24CFE4F43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D8" authorId="0" shapeId="0" xr:uid="{5A2463FE-7CE2-4353-B4D9-5EC26BF7A0F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8" authorId="0" shapeId="0" xr:uid="{6D1A512A-3DB6-4FFE-ADB8-DE768F8AB6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Q12" authorId="0" shapeId="0" xr:uid="{DA38146C-5E6F-4C63-93F2-949B479BEF7F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資本的収入
負担区分による工事負担金：2,333,100円
負担区分によらない工事負担金：1,056,000円
国庫補助金：0円
他会計補助金：34,200,000円
（2,333,100＋1,056,000＋34,200,000）×10/11
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<sst xmlns="http://schemas.openxmlformats.org/spreadsheetml/2006/main" count="233" uniqueCount="127">
  <si>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</si>
  <si>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</si>
  <si>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</si>
  <si>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</si>
  <si>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</si>
  <si>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</si>
  <si>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</si>
  <si>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</si>
  <si>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</si>
  <si>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</si>
  <si>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</si>
  <si>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</si>
  <si>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</si>
  <si>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</si>
  <si>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</si>
  <si>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</si>
  <si>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</si>
  <si>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</si>
  <si>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</si>
  <si>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</si>
  <si>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</si>
  <si>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</si>
  <si>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</si>
  <si>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</si>
  <si>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</si>
  <si>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</si>
  <si>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</si>
  <si>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</si>
  <si>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</si>
  <si>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</si>
  <si>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</si>
  <si>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</si>
  <si>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</si>
  <si>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</si>
  <si>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</si>
  <si>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</si>
  <si>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</si>
  <si>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</si>
  <si>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</si>
  <si>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</si>
  <si>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</si>
  <si>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</si>
  <si>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</si>
  <si>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</si>
  <si>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</si>
  <si>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</si>
  <si>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</si>
  <si>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</si>
  <si>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</si>
  <si>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</si>
  <si>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</si>
  <si>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</si>
  <si>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</si>
  <si>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</si>
  <si>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</si>
  <si>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</si>
  <si>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</si>
  <si>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</si>
  <si>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</si>
  <si>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</si>
  <si>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</si>
  <si>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</si>
  <si>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</si>
  <si>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</si>
  <si>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</si>
  <si>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</si>
  <si>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</si>
  <si>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</si>
  <si>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</si>
  <si>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</si>
  <si>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</si>
  <si>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</si>
  <si>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</si>
  <si>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</si>
  <si>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</si>
  <si>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</si>
  <si>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</si>
  <si>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</si>
  <si>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</si>
  <si>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</si>
  <si>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</si>
  <si>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</si>
  <si>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</si>
  <si>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</si>
  <si>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</si>
  <si>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</si>
  <si>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</si>
  <si>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</si>
  <si>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</si>
  <si>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</si>
  <si>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</si>
  <si>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</si>
  <si>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</si>
  <si>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</si>
  <si>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</si>
  <si>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</si>
  <si>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</si>
  <si>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</si>
  <si>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</si>
  <si>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</si>
  <si>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</si>
  <si>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</si>
  <si>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</si>
  <si>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</si>
  <si>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</si>
  <si>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</si>
  <si>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</si>
  <si>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</si>
  <si>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</si>
  <si>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</si>
  <si>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</si>
  <si>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</si>
  <si>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</si>
  <si>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</si>
  <si>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</si>
  <si>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</si>
  <si>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</si>
  <si>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</si>
  <si>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</si>
  <si>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</si>
  <si>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</si>
  <si>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</si>
  <si>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</si>
  <si>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</si>
  <si>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令和７年度小野町水道事業 予定キャッシュ・フロー計算書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13" eb="15">
      <t>ヨテイ</t>
    </rPh>
    <rPh sb="24" eb="27">
      <t>ケイサンショ</t>
    </rPh>
    <phoneticPr fontId="1"/>
  </si>
  <si>
    <t>(令和７年４月１日～令和８年３月３１日)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</si>
  <si>
    <t>86,738,598になる（差1,273千円）</t>
    <rPh sb="14" eb="15">
      <t>サ</t>
    </rPh>
    <rPh sb="20" eb="22">
      <t>センエン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</si>
</sst>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2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39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3" fillId="0" borderId="1" xfId="1" applyNumberFormat="1" applyFont="1" applyBorder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" fontId="0" fillId="0" borderId="0" xfId="0" applyNumberFormat="1">
      <alignment vertical="center"/>
    </xf>
    <xf numFmtId="177" fontId="8" fillId="11" borderId="5" xfId="0" applyNumberFormat="1" applyFont="1" applyFill="1" applyBorder="1">
      <alignment vertical="center"/>
    </xf>
    <xf numFmtId="177" fontId="8" fillId="11" borderId="6" xfId="0" applyNumberFormat="1" applyFont="1" applyFill="1" applyBorder="1">
      <alignment vertical="center"/>
    </xf>
    <xf numFmtId="177" fontId="8" fillId="11" borderId="7" xfId="0" applyNumberFormat="1" applyFont="1" applyFill="1" applyBorder="1">
      <alignment vertical="center"/>
    </xf>
    <xf numFmtId="177" fontId="8" fillId="11" borderId="11" xfId="0" applyNumberFormat="1" applyFont="1" applyFill="1" applyBorder="1">
      <alignment vertical="center"/>
    </xf>
    <xf numFmtId="177" fontId="8" fillId="11" borderId="3" xfId="0" applyNumberFormat="1" applyFont="1" applyFill="1" applyBorder="1">
      <alignment vertical="center"/>
    </xf>
    <xf numFmtId="177" fontId="8" fillId="11" borderId="8" xfId="0" applyNumberFormat="1" applyFon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9" xfId="0" applyNumberFormat="1" applyFont="1" applyFill="1" applyBorder="1">
      <alignment vertical="center"/>
    </xf>
    <xf numFmtId="177" fontId="8" fillId="11" borderId="8" xfId="0" applyNumberFormat="1" applyFont="1" applyFill="1" applyBorder="1" applyAlignment="1">
      <alignment vertical="center"/>
    </xf>
    <xf numFmtId="177" fontId="8" fillId="11" borderId="0" xfId="0" applyNumberFormat="1" applyFont="1" applyFill="1" applyBorder="1" applyAlignment="1">
      <alignment horizontal="lef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3" xfId="0" applyNumberFormat="1" applyFont="1" applyFill="1" applyBorder="1" applyAlignment="1">
      <alignment horizontal="right" vertical="center"/>
    </xf>
    <xf numFmtId="177" fontId="8" fillId="11" borderId="3" xfId="0" applyNumberFormat="1" applyFont="1" applyFill="1" applyBorder="1" applyAlignment="1">
      <alignment vertical="center"/>
    </xf>
    <xf numFmtId="177" fontId="8" fillId="11" borderId="3" xfId="0" applyNumberFormat="1" applyFont="1" applyFill="1" applyBorder="1" applyAlignment="1">
      <alignment horizontal="left" vertical="center"/>
    </xf>
    <xf numFmtId="177" fontId="8" fillId="11" borderId="10" xfId="0" applyNumberFormat="1" applyFont="1" applyFill="1" applyBorder="1">
      <alignment vertical="center"/>
    </xf>
    <xf numFmtId="176" fontId="17" fillId="0" borderId="1" xfId="1" applyNumberFormat="1" applyFont="1" applyBorder="1" applyAlignment="1">
      <alignment vertical="center" shrinkToFit="1"/>
    </xf>
    <xf numFmtId="176" fontId="17" fillId="10" borderId="1" xfId="0" applyNumberFormat="1" applyFont="1" applyFill="1" applyBorder="1">
      <alignment vertical="center"/>
    </xf>
    <xf numFmtId="176" fontId="17" fillId="10" borderId="1" xfId="1" applyNumberFormat="1" applyFont="1" applyFill="1" applyBorder="1">
      <alignment vertical="center"/>
    </xf>
    <xf numFmtId="176" fontId="17" fillId="2" borderId="1" xfId="1" applyNumberFormat="1" applyFont="1" applyFill="1" applyBorder="1" applyAlignment="1">
      <alignment vertical="center" shrinkToFit="1"/>
    </xf>
    <xf numFmtId="177" fontId="10" fillId="11" borderId="8" xfId="0" applyNumberFormat="1" applyFont="1" applyFill="1" applyBorder="1" applyAlignment="1">
      <alignment horizontal="center" vertical="center"/>
    </xf>
    <xf numFmtId="177" fontId="10" fillId="11" borderId="0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center" vertical="center"/>
    </xf>
    <xf numFmtId="177" fontId="8" fillId="11" borderId="9" xfId="0" applyNumberFormat="1" applyFont="1" applyFill="1" applyBorder="1" applyAlignment="1">
      <alignment horizontal="center" vertical="center"/>
    </xf>
    <xf numFmtId="177" fontId="8" fillId="11" borderId="3" xfId="0" applyNumberFormat="1" applyFont="1" applyFill="1" applyBorder="1" applyAlignment="1">
      <alignment horizontal="center" vertical="center"/>
    </xf>
    <xf numFmtId="177" fontId="8" fillId="11" borderId="10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0" xfId="1" applyNumberFormat="1" applyFont="1" applyFill="1" applyBorder="1" applyAlignment="1">
      <alignment horizontal="right" vertical="center"/>
    </xf>
    <xf numFmtId="178" fontId="19" fillId="11" borderId="0" xfId="1" applyNumberFormat="1" applyFont="1" applyFill="1" applyBorder="1" applyAlignment="1">
      <alignment horizontal="right" vertical="center"/>
    </xf>
    <xf numFmtId="177" fontId="19" fillId="11" borderId="0" xfId="1" applyNumberFormat="1" applyFont="1" applyFill="1" applyBorder="1" applyAlignment="1">
      <alignment horizontal="right" vertical="center"/>
    </xf>
    <xf numFmtId="177" fontId="18" fillId="0" borderId="8" xfId="0" applyNumberFormat="1" applyFont="1" applyBorder="1" applyAlignment="1">
      <alignment horizontal="center" vertical="center" shrinkToFit="1"/>
    </xf>
    <xf numFmtId="177" fontId="18" fillId="0" borderId="0" xfId="0" applyNumberFormat="1" applyFont="1" applyBorder="1" applyAlignment="1">
      <alignment horizontal="center" vertical="center" shrinkToFit="1"/>
    </xf>
    <xf numFmtId="177" fontId="8" fillId="11" borderId="4" xfId="1" applyNumberFormat="1" applyFont="1" applyFill="1" applyBorder="1" applyAlignment="1">
      <alignment horizontal="right" vertical="center"/>
    </xf>
    <xf numFmtId="177" fontId="19" fillId="11" borderId="3" xfId="1" applyNumberFormat="1" applyFont="1" applyFill="1" applyBorder="1" applyAlignment="1">
      <alignment horizontal="right" vertical="center"/>
    </xf>
    <xf numFmtId="177" fontId="19" fillId="11" borderId="4" xfId="1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38" fontId="4" fillId="0" borderId="0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8" fontId="4" fillId="0" borderId="0" xfId="1" applyNumberFormat="1" applyFont="1" applyBorder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tabSelected="1" view="pageBreakPreview" topLeftCell="G1" zoomScaleNormal="100" zoomScaleSheetLayoutView="100" workbookViewId="0">
      <selection activeCell="AB20" sqref="AB20:AC20"/>
    </sheetView>
  </sheetViews>
  <sheetFormatPr defaultRowHeight="14.25"/>
  <cols>
    <col min="1" max="1" width="9" style="44"/>
    <col min="2" max="2" width="2.625" style="44" customWidth="1"/>
    <col min="3" max="13" width="5.625" style="44" customWidth="1"/>
    <col min="14" max="15" width="3.125" style="44" customWidth="1"/>
    <col min="16" max="26" width="5.625" style="44" customWidth="1"/>
    <col min="27" max="27" width="2.625" style="44" customWidth="1"/>
    <col min="28" max="31" width="5.625" style="44" customWidth="1"/>
    <col min="32" max="16384" width="9" style="44"/>
  </cols>
  <sheetData>
    <row r="1" spans="1:34" ht="9.9499999999999993" customHeight="1">
      <c r="B1" s="7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3"/>
    </row>
    <row r="2" spans="1:34" ht="35.1" customHeight="1">
      <c r="B2" s="94" t="s">
        <v>124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6"/>
    </row>
    <row r="3" spans="1:34" ht="24.95" customHeight="1">
      <c r="B3" s="97" t="s">
        <v>125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9"/>
    </row>
    <row r="4" spans="1:34" ht="19.5" customHeight="1"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100" t="s">
        <v>60</v>
      </c>
      <c r="Y4" s="100"/>
      <c r="Z4" s="100"/>
      <c r="AA4" s="101"/>
    </row>
    <row r="5" spans="1:34" ht="15" customHeight="1" thickBot="1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8"/>
      <c r="V5" s="78"/>
      <c r="W5" s="78"/>
      <c r="X5" s="103"/>
      <c r="Y5" s="103"/>
      <c r="Z5" s="103"/>
      <c r="AA5" s="79"/>
    </row>
    <row r="6" spans="1:34" ht="30" customHeight="1">
      <c r="B6" s="76"/>
      <c r="C6" s="77" t="s">
        <v>55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6"/>
      <c r="P6" s="77" t="s">
        <v>61</v>
      </c>
      <c r="Q6" s="77"/>
      <c r="R6" s="77"/>
      <c r="S6" s="77"/>
      <c r="T6" s="77"/>
      <c r="U6" s="78"/>
      <c r="V6" s="78"/>
      <c r="W6" s="78"/>
      <c r="X6" s="103"/>
      <c r="Y6" s="103"/>
      <c r="Z6" s="103"/>
      <c r="AA6" s="79"/>
      <c r="AC6" s="114" t="s">
        <v>121</v>
      </c>
      <c r="AD6" s="115"/>
      <c r="AE6" s="115"/>
      <c r="AF6" s="115"/>
      <c r="AG6" s="115"/>
      <c r="AH6" s="116"/>
    </row>
    <row r="7" spans="1:34" ht="30" customHeight="1">
      <c r="B7" s="76"/>
      <c r="C7" s="77"/>
      <c r="D7" s="78" t="s">
        <v>123</v>
      </c>
      <c r="E7" s="77"/>
      <c r="F7" s="77"/>
      <c r="G7" s="77"/>
      <c r="H7" s="77"/>
      <c r="I7" s="77"/>
      <c r="J7" s="77"/>
      <c r="K7" s="104">
        <f>ROUND(入力シート!W19/1000,1)</f>
        <v>9823.4</v>
      </c>
      <c r="L7" s="104"/>
      <c r="M7" s="104"/>
      <c r="N7" s="77"/>
      <c r="O7" s="76"/>
      <c r="P7" s="77"/>
      <c r="Q7" s="77" t="s">
        <v>82</v>
      </c>
      <c r="R7" s="77"/>
      <c r="S7" s="77"/>
      <c r="T7" s="77"/>
      <c r="U7" s="78"/>
      <c r="V7" s="78"/>
      <c r="W7" s="78"/>
      <c r="X7" s="105">
        <f>ROUND(入力シート!W36/1000,1)</f>
        <v>-53820.3</v>
      </c>
      <c r="Y7" s="105"/>
      <c r="Z7" s="105"/>
      <c r="AA7" s="79"/>
      <c r="AC7" s="117"/>
      <c r="AD7" s="118"/>
      <c r="AE7" s="118"/>
      <c r="AF7" s="118"/>
      <c r="AG7" s="118"/>
      <c r="AH7" s="119"/>
    </row>
    <row r="8" spans="1:34" ht="30" customHeight="1">
      <c r="B8" s="76"/>
      <c r="C8" s="77"/>
      <c r="D8" s="77" t="s">
        <v>10</v>
      </c>
      <c r="E8" s="77"/>
      <c r="F8" s="77"/>
      <c r="G8" s="77"/>
      <c r="H8" s="77"/>
      <c r="I8" s="77"/>
      <c r="J8" s="77"/>
      <c r="K8" s="105">
        <f>ROUND(入力シート!W20/1000,1)+1</f>
        <v>77957.600000000006</v>
      </c>
      <c r="L8" s="105"/>
      <c r="M8" s="105"/>
      <c r="N8" s="77"/>
      <c r="O8" s="76"/>
      <c r="P8" s="77"/>
      <c r="Q8" s="77" t="s">
        <v>90</v>
      </c>
      <c r="R8" s="77"/>
      <c r="S8" s="77"/>
      <c r="T8" s="77"/>
      <c r="U8" s="78"/>
      <c r="V8" s="78"/>
      <c r="W8" s="78"/>
      <c r="X8" s="103">
        <f>ROUND(入力シート!W37/1000,1)</f>
        <v>0</v>
      </c>
      <c r="Y8" s="103"/>
      <c r="Z8" s="103"/>
      <c r="AA8" s="79"/>
      <c r="AC8" s="117"/>
      <c r="AD8" s="118"/>
      <c r="AE8" s="118"/>
      <c r="AF8" s="118"/>
      <c r="AG8" s="118"/>
      <c r="AH8" s="119"/>
    </row>
    <row r="9" spans="1:34" ht="30" customHeight="1">
      <c r="B9" s="80"/>
      <c r="C9" s="78"/>
      <c r="D9" s="77" t="s">
        <v>26</v>
      </c>
      <c r="E9" s="78"/>
      <c r="F9" s="78"/>
      <c r="G9" s="78"/>
      <c r="H9" s="78"/>
      <c r="I9" s="78"/>
      <c r="J9" s="78"/>
      <c r="K9" s="105">
        <f>ROUND(入力シート!W22/1000,1)</f>
        <v>-27053</v>
      </c>
      <c r="L9" s="105"/>
      <c r="M9" s="105"/>
      <c r="N9" s="77"/>
      <c r="O9" s="76"/>
      <c r="P9" s="77"/>
      <c r="Q9" s="77" t="s">
        <v>116</v>
      </c>
      <c r="R9" s="77"/>
      <c r="S9" s="77"/>
      <c r="T9" s="77"/>
      <c r="U9" s="78"/>
      <c r="V9" s="78"/>
      <c r="W9" s="78"/>
      <c r="X9" s="109">
        <f>ROUNDDOWN(入力シート!W38/1000,0)</f>
        <v>30355</v>
      </c>
      <c r="Y9" s="109"/>
      <c r="Z9" s="109"/>
      <c r="AA9" s="79"/>
      <c r="AC9" s="117"/>
      <c r="AD9" s="118"/>
      <c r="AE9" s="118"/>
      <c r="AF9" s="118"/>
      <c r="AG9" s="118"/>
      <c r="AH9" s="119"/>
    </row>
    <row r="10" spans="1:34" ht="30" customHeight="1">
      <c r="B10" s="76"/>
      <c r="C10" s="77"/>
      <c r="D10" s="78" t="s">
        <v>27</v>
      </c>
      <c r="E10" s="77"/>
      <c r="F10" s="77"/>
      <c r="G10" s="77"/>
      <c r="H10" s="77"/>
      <c r="I10" s="78"/>
      <c r="J10" s="78"/>
      <c r="K10" s="105">
        <f>ROUND(入力シート!W23/1000,1)</f>
        <v>-1</v>
      </c>
      <c r="L10" s="105"/>
      <c r="M10" s="105"/>
      <c r="N10" s="77"/>
      <c r="O10" s="76"/>
      <c r="P10" s="82" t="s">
        <v>87</v>
      </c>
      <c r="Q10" s="77" t="s">
        <v>68</v>
      </c>
      <c r="R10" s="77"/>
      <c r="S10" s="77"/>
      <c r="T10" s="77"/>
      <c r="U10" s="78"/>
      <c r="V10" s="78"/>
      <c r="W10" s="78"/>
      <c r="X10" s="103">
        <f>X7+X8+X9</f>
        <v>-23465.300000000003</v>
      </c>
      <c r="Y10" s="103"/>
      <c r="Z10" s="103"/>
      <c r="AA10" s="79"/>
      <c r="AC10" s="117"/>
      <c r="AD10" s="118"/>
      <c r="AE10" s="118"/>
      <c r="AF10" s="118"/>
      <c r="AG10" s="118"/>
      <c r="AH10" s="119"/>
    </row>
    <row r="11" spans="1:34" ht="30" customHeight="1">
      <c r="B11" s="76"/>
      <c r="C11" s="77"/>
      <c r="D11" s="77" t="s">
        <v>12</v>
      </c>
      <c r="E11" s="77"/>
      <c r="F11" s="77"/>
      <c r="G11" s="77"/>
      <c r="H11" s="77"/>
      <c r="I11" s="78"/>
      <c r="J11" s="78"/>
      <c r="K11" s="105">
        <f>ROUND(入力シート!W24/1000,1)+1</f>
        <v>4721.7</v>
      </c>
      <c r="L11" s="105"/>
      <c r="M11" s="105"/>
      <c r="N11" s="77"/>
      <c r="O11" s="76"/>
      <c r="P11" s="77"/>
      <c r="Q11" s="77"/>
      <c r="R11" s="77"/>
      <c r="S11" s="77"/>
      <c r="T11" s="77"/>
      <c r="U11" s="102"/>
      <c r="V11" s="102"/>
      <c r="W11" s="102"/>
      <c r="X11" s="103"/>
      <c r="Y11" s="103"/>
      <c r="Z11" s="103"/>
      <c r="AA11" s="79"/>
      <c r="AC11" s="117"/>
      <c r="AD11" s="118"/>
      <c r="AE11" s="118"/>
      <c r="AF11" s="118"/>
      <c r="AG11" s="118"/>
      <c r="AH11" s="119"/>
    </row>
    <row r="12" spans="1:34" ht="30" customHeight="1">
      <c r="A12" s="44">
        <v>1</v>
      </c>
      <c r="B12" s="80"/>
      <c r="C12" s="78"/>
      <c r="D12" s="77" t="s">
        <v>92</v>
      </c>
      <c r="E12" s="78"/>
      <c r="F12" s="77"/>
      <c r="G12" s="77"/>
      <c r="H12" s="77"/>
      <c r="I12" s="78"/>
      <c r="J12" s="78"/>
      <c r="K12" s="105">
        <f>ROUNDDOWN(入力シート!W26/1000,1)</f>
        <v>-14476</v>
      </c>
      <c r="L12" s="105"/>
      <c r="M12" s="105"/>
      <c r="N12" s="77"/>
      <c r="O12" s="76"/>
      <c r="P12" s="77" t="s">
        <v>62</v>
      </c>
      <c r="Q12" s="77"/>
      <c r="R12" s="77"/>
      <c r="S12" s="77"/>
      <c r="T12" s="77"/>
      <c r="U12" s="78"/>
      <c r="V12" s="78"/>
      <c r="W12" s="78"/>
      <c r="X12" s="103"/>
      <c r="Y12" s="103"/>
      <c r="Z12" s="103"/>
      <c r="AA12" s="79"/>
      <c r="AC12" s="117"/>
      <c r="AD12" s="118"/>
      <c r="AE12" s="118"/>
      <c r="AF12" s="118"/>
      <c r="AG12" s="118"/>
      <c r="AH12" s="119"/>
    </row>
    <row r="13" spans="1:34" ht="30" customHeight="1" thickBot="1">
      <c r="A13" s="44">
        <v>2</v>
      </c>
      <c r="B13" s="76"/>
      <c r="C13" s="77"/>
      <c r="D13" s="77" t="s">
        <v>119</v>
      </c>
      <c r="E13" s="77"/>
      <c r="F13" s="77"/>
      <c r="G13" s="77"/>
      <c r="H13" s="77"/>
      <c r="I13" s="78"/>
      <c r="J13" s="78"/>
      <c r="K13" s="105">
        <f>ROUND(入力シート!W27/1000,1)+1</f>
        <v>6849.9</v>
      </c>
      <c r="L13" s="105"/>
      <c r="M13" s="105"/>
      <c r="N13" s="77"/>
      <c r="O13" s="76"/>
      <c r="P13" s="77"/>
      <c r="Q13" s="77" t="s">
        <v>63</v>
      </c>
      <c r="R13" s="77"/>
      <c r="S13" s="77"/>
      <c r="T13" s="77"/>
      <c r="U13" s="78"/>
      <c r="V13" s="78"/>
      <c r="W13" s="78"/>
      <c r="X13" s="111">
        <f>ROUND(入力シート!W42/1000,1)</f>
        <v>9000</v>
      </c>
      <c r="Y13" s="111"/>
      <c r="Z13" s="111"/>
      <c r="AA13" s="79"/>
      <c r="AC13" s="120"/>
      <c r="AD13" s="121"/>
      <c r="AE13" s="121"/>
      <c r="AF13" s="121"/>
      <c r="AG13" s="121"/>
      <c r="AH13" s="122"/>
    </row>
    <row r="14" spans="1:34" ht="30" customHeight="1">
      <c r="A14" s="44">
        <v>1</v>
      </c>
      <c r="B14" s="76"/>
      <c r="C14" s="77"/>
      <c r="D14" s="77" t="s">
        <v>83</v>
      </c>
      <c r="E14" s="77"/>
      <c r="F14" s="77"/>
      <c r="G14" s="77"/>
      <c r="H14" s="77"/>
      <c r="I14" s="78"/>
      <c r="J14" s="78"/>
      <c r="K14" s="105">
        <f>ROUND(入力シート!W28/1000,1)</f>
        <v>-275.5</v>
      </c>
      <c r="L14" s="105"/>
      <c r="M14" s="105"/>
      <c r="N14" s="77"/>
      <c r="O14" s="76"/>
      <c r="P14" s="77"/>
      <c r="Q14" s="77" t="s">
        <v>64</v>
      </c>
      <c r="R14" s="77"/>
      <c r="S14" s="77"/>
      <c r="T14" s="77"/>
      <c r="U14" s="78"/>
      <c r="V14" s="78"/>
      <c r="W14" s="78"/>
      <c r="X14" s="110">
        <f>ROUNDUP(入力シート!W43/1000,0)</f>
        <v>-38276</v>
      </c>
      <c r="Y14" s="110"/>
      <c r="Z14" s="110"/>
      <c r="AA14" s="79"/>
    </row>
    <row r="15" spans="1:34" ht="30" customHeight="1">
      <c r="B15" s="76"/>
      <c r="C15" s="77"/>
      <c r="D15" s="77" t="s">
        <v>84</v>
      </c>
      <c r="E15" s="77"/>
      <c r="F15" s="77"/>
      <c r="G15" s="77"/>
      <c r="H15" s="77"/>
      <c r="I15" s="78"/>
      <c r="J15" s="78"/>
      <c r="K15" s="109">
        <f>ROUND(入力シート!W29/1000,1)</f>
        <v>1240</v>
      </c>
      <c r="L15" s="109"/>
      <c r="M15" s="109"/>
      <c r="N15" s="77"/>
      <c r="O15" s="76"/>
      <c r="P15" s="82" t="s">
        <v>88</v>
      </c>
      <c r="Q15" s="77" t="s">
        <v>69</v>
      </c>
      <c r="R15" s="77"/>
      <c r="S15" s="77"/>
      <c r="T15" s="77"/>
      <c r="U15" s="78"/>
      <c r="V15" s="78"/>
      <c r="W15" s="78"/>
      <c r="X15" s="103">
        <f>SUM(X12:Z14)</f>
        <v>-29276</v>
      </c>
      <c r="Y15" s="103"/>
      <c r="Z15" s="103"/>
      <c r="AA15" s="79"/>
    </row>
    <row r="16" spans="1:34" ht="30" customHeight="1">
      <c r="B16" s="76"/>
      <c r="C16" s="77"/>
      <c r="D16" s="77" t="s">
        <v>33</v>
      </c>
      <c r="E16" s="77"/>
      <c r="F16" s="77"/>
      <c r="G16" s="77"/>
      <c r="H16" s="77"/>
      <c r="I16" s="78"/>
      <c r="J16" s="78"/>
      <c r="K16" s="105">
        <f>ROUNDDOWN(SUM(K7:M15),0)</f>
        <v>58787</v>
      </c>
      <c r="L16" s="105"/>
      <c r="M16" s="105"/>
      <c r="N16" s="77"/>
      <c r="O16" s="76"/>
      <c r="P16" s="77"/>
      <c r="Q16" s="77"/>
      <c r="R16" s="77"/>
      <c r="S16" s="77"/>
      <c r="T16" s="77"/>
      <c r="U16" s="102"/>
      <c r="V16" s="102"/>
      <c r="W16" s="102"/>
      <c r="X16" s="103"/>
      <c r="Y16" s="103"/>
      <c r="Z16" s="103"/>
      <c r="AA16" s="79"/>
    </row>
    <row r="17" spans="2:32" ht="30" customHeight="1">
      <c r="B17" s="76"/>
      <c r="C17" s="77"/>
      <c r="D17" s="77" t="s">
        <v>34</v>
      </c>
      <c r="E17" s="77"/>
      <c r="F17" s="77"/>
      <c r="G17" s="77"/>
      <c r="H17" s="77"/>
      <c r="I17" s="78"/>
      <c r="J17" s="78"/>
      <c r="K17" s="105">
        <f>ROUND(入力シート!W31/1000,1)</f>
        <v>1</v>
      </c>
      <c r="L17" s="105"/>
      <c r="M17" s="105"/>
      <c r="N17" s="77"/>
      <c r="O17" s="76"/>
      <c r="P17" s="81" t="s">
        <v>89</v>
      </c>
      <c r="Q17" s="77"/>
      <c r="R17" s="77"/>
      <c r="S17" s="77"/>
      <c r="T17" s="77"/>
      <c r="U17" s="102"/>
      <c r="V17" s="102"/>
      <c r="W17" s="102"/>
      <c r="X17" s="103">
        <f>ROUND(K19+X10+X15,0)</f>
        <v>1325</v>
      </c>
      <c r="Y17" s="103"/>
      <c r="Z17" s="103"/>
      <c r="AA17" s="79"/>
    </row>
    <row r="18" spans="2:32" ht="30" customHeight="1">
      <c r="B18" s="76"/>
      <c r="C18" s="77"/>
      <c r="D18" s="77" t="s">
        <v>35</v>
      </c>
      <c r="E18" s="77"/>
      <c r="F18" s="77"/>
      <c r="G18" s="77"/>
      <c r="H18" s="77"/>
      <c r="I18" s="78"/>
      <c r="J18" s="78"/>
      <c r="K18" s="109">
        <f>ROUND(入力シート!W32/1000,0)-1</f>
        <v>-4722</v>
      </c>
      <c r="L18" s="109"/>
      <c r="M18" s="109"/>
      <c r="N18" s="77"/>
      <c r="O18" s="76"/>
      <c r="P18" s="81" t="s">
        <v>65</v>
      </c>
      <c r="Q18" s="77"/>
      <c r="R18" s="77"/>
      <c r="S18" s="77"/>
      <c r="T18" s="77"/>
      <c r="U18" s="102"/>
      <c r="V18" s="102"/>
      <c r="W18" s="102"/>
      <c r="X18" s="103">
        <f>ROUND(入力シート!W48/1000,0)</f>
        <v>85414</v>
      </c>
      <c r="Y18" s="103"/>
      <c r="Z18" s="103"/>
      <c r="AA18" s="79"/>
    </row>
    <row r="19" spans="2:32" ht="30" customHeight="1">
      <c r="B19" s="76"/>
      <c r="C19" s="82" t="s">
        <v>86</v>
      </c>
      <c r="D19" s="77" t="s">
        <v>67</v>
      </c>
      <c r="E19" s="77"/>
      <c r="F19" s="77"/>
      <c r="G19" s="77"/>
      <c r="H19" s="77"/>
      <c r="I19" s="78"/>
      <c r="J19" s="78"/>
      <c r="K19" s="110">
        <f>SUM(K16:M18)</f>
        <v>54066</v>
      </c>
      <c r="L19" s="110"/>
      <c r="M19" s="110"/>
      <c r="N19" s="77"/>
      <c r="O19" s="76"/>
      <c r="P19" s="81" t="s">
        <v>66</v>
      </c>
      <c r="Q19" s="77"/>
      <c r="R19" s="77"/>
      <c r="S19" s="77"/>
      <c r="T19" s="77"/>
      <c r="U19" s="102"/>
      <c r="V19" s="102"/>
      <c r="W19" s="102"/>
      <c r="X19" s="108">
        <f>SUM(X17:Z18)</f>
        <v>86739</v>
      </c>
      <c r="Y19" s="108"/>
      <c r="Z19" s="108"/>
      <c r="AA19" s="79"/>
      <c r="AB19" s="106"/>
      <c r="AC19" s="107"/>
      <c r="AD19" s="107"/>
      <c r="AE19" s="107"/>
      <c r="AF19" s="107"/>
    </row>
    <row r="20" spans="2:32" ht="15" customHeight="1">
      <c r="B20" s="74"/>
      <c r="C20" s="86"/>
      <c r="D20" s="75"/>
      <c r="E20" s="75"/>
      <c r="F20" s="75"/>
      <c r="G20" s="75"/>
      <c r="H20" s="75"/>
      <c r="I20" s="87"/>
      <c r="J20" s="87"/>
      <c r="K20" s="83"/>
      <c r="L20" s="83"/>
      <c r="M20" s="83"/>
      <c r="N20" s="75"/>
      <c r="O20" s="75"/>
      <c r="P20" s="88"/>
      <c r="Q20" s="75"/>
      <c r="R20" s="75"/>
      <c r="S20" s="75"/>
      <c r="T20" s="75"/>
      <c r="U20" s="86"/>
      <c r="V20" s="86"/>
      <c r="W20" s="86"/>
      <c r="X20" s="83"/>
      <c r="Y20" s="83"/>
      <c r="Z20" s="83"/>
      <c r="AA20" s="89"/>
      <c r="AB20" s="112"/>
      <c r="AC20" s="113"/>
    </row>
    <row r="21" spans="2:32" ht="30" customHeight="1"/>
    <row r="22" spans="2:32" ht="30" customHeight="1"/>
    <row r="23" spans="2:32" ht="30" customHeight="1"/>
    <row r="24" spans="2:32" ht="30" customHeight="1"/>
    <row r="25" spans="2:32" ht="30" customHeight="1"/>
    <row r="26" spans="2:32" ht="30" customHeight="1"/>
    <row r="27" spans="2:32" ht="30" customHeight="1"/>
    <row r="28" spans="2:32" ht="30" customHeight="1"/>
    <row r="29" spans="2:32" ht="30" customHeight="1"/>
    <row r="30" spans="2:32" ht="30" customHeight="1"/>
    <row r="31" spans="2:32" ht="30" customHeight="1"/>
    <row r="32" spans="2:32" ht="30" customHeight="1"/>
  </sheetData>
  <mergeCells count="39">
    <mergeCell ref="AB20:AC20"/>
    <mergeCell ref="X15:Z15"/>
    <mergeCell ref="AC6:AH13"/>
    <mergeCell ref="X7:Z7"/>
    <mergeCell ref="X8:Z8"/>
    <mergeCell ref="X9:Z9"/>
    <mergeCell ref="K17:M17"/>
    <mergeCell ref="K18:M18"/>
    <mergeCell ref="K19:M19"/>
    <mergeCell ref="K10:M10"/>
    <mergeCell ref="K11:M11"/>
    <mergeCell ref="K12:M12"/>
    <mergeCell ref="K13:M13"/>
    <mergeCell ref="K14:M14"/>
    <mergeCell ref="K15:M15"/>
    <mergeCell ref="K16:M16"/>
    <mergeCell ref="AB19:AF19"/>
    <mergeCell ref="X19:Z19"/>
    <mergeCell ref="U17:W17"/>
    <mergeCell ref="X17:Z17"/>
    <mergeCell ref="U18:W18"/>
    <mergeCell ref="X18:Z18"/>
    <mergeCell ref="U19:W19"/>
    <mergeCell ref="B2:AA2"/>
    <mergeCell ref="B3:AA3"/>
    <mergeCell ref="X4:AA4"/>
    <mergeCell ref="U16:W16"/>
    <mergeCell ref="X16:Z16"/>
    <mergeCell ref="U11:W11"/>
    <mergeCell ref="X11:Z11"/>
    <mergeCell ref="X12:Z12"/>
    <mergeCell ref="X5:Z5"/>
    <mergeCell ref="X6:Z6"/>
    <mergeCell ref="K7:M7"/>
    <mergeCell ref="K8:M8"/>
    <mergeCell ref="K9:M9"/>
    <mergeCell ref="X14:Z14"/>
    <mergeCell ref="X10:Z10"/>
    <mergeCell ref="X13:Z13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topLeftCell="A7" zoomScaleNormal="100" zoomScaleSheetLayoutView="100" workbookViewId="0">
      <selection activeCell="J21" sqref="J21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49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33" t="s">
        <v>93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22"/>
      <c r="T3" s="22"/>
      <c r="U3" s="34"/>
    </row>
    <row r="4" spans="2:26" ht="23.25" customHeight="1">
      <c r="B4" s="33"/>
      <c r="C4" s="22"/>
      <c r="D4" s="134" t="s">
        <v>122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97</v>
      </c>
      <c r="S6" s="125"/>
      <c r="T6" s="125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35">
        <f>入力シート!W19</f>
        <v>9823378</v>
      </c>
      <c r="S9" s="135"/>
      <c r="T9" s="135"/>
      <c r="U9" s="34"/>
      <c r="W9" s="50" t="s">
        <v>98</v>
      </c>
      <c r="X9" s="51" t="s">
        <v>99</v>
      </c>
      <c r="Y9" s="51" t="s">
        <v>100</v>
      </c>
      <c r="Z9" s="52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8">
        <f>入力シート!W20</f>
        <v>77956621</v>
      </c>
      <c r="S10" s="128"/>
      <c r="T10" s="128"/>
      <c r="U10" s="34"/>
      <c r="W10" s="52" t="s">
        <v>102</v>
      </c>
      <c r="X10" s="68">
        <v>78358225</v>
      </c>
      <c r="Y10" s="68">
        <v>4726365</v>
      </c>
      <c r="Z10" s="69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8">
        <f>入力シート!W21</f>
        <v>0</v>
      </c>
      <c r="S11" s="128"/>
      <c r="T11" s="128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9">
        <f>入力シート!W22</f>
        <v>-27053042</v>
      </c>
      <c r="S12" s="129"/>
      <c r="T12" s="129"/>
      <c r="U12" s="34"/>
      <c r="W12" s="50" t="s">
        <v>103</v>
      </c>
      <c r="X12" s="68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9">
        <f>入力シート!W23</f>
        <v>-1000</v>
      </c>
      <c r="S13" s="129"/>
      <c r="T13" s="129"/>
      <c r="U13" s="34"/>
      <c r="W13" s="55" t="s">
        <v>104</v>
      </c>
      <c r="X13" s="56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9">
        <f>入力シート!W24</f>
        <v>4720739</v>
      </c>
      <c r="S14" s="129"/>
      <c r="T14" s="129"/>
      <c r="U14" s="34"/>
      <c r="W14" s="50" t="s">
        <v>113</v>
      </c>
      <c r="X14" s="51" t="s">
        <v>105</v>
      </c>
      <c r="Y14" s="51" t="s">
        <v>106</v>
      </c>
      <c r="Z14" s="52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8">
        <f>入力シート!W25</f>
        <v>0</v>
      </c>
      <c r="S15" s="128"/>
      <c r="T15" s="128"/>
      <c r="U15" s="34"/>
      <c r="W15" s="50"/>
      <c r="X15" s="57"/>
      <c r="Y15" s="57"/>
      <c r="Z15" s="50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9">
        <f>入力シート!W26</f>
        <v>-14476028</v>
      </c>
      <c r="S16" s="129"/>
      <c r="T16" s="129"/>
      <c r="U16" s="34"/>
      <c r="W16" s="52" t="s">
        <v>102</v>
      </c>
      <c r="X16" s="68">
        <v>7936172</v>
      </c>
      <c r="Y16" s="68">
        <v>138221</v>
      </c>
      <c r="Z16" s="69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9">
        <f>入力シート!W27</f>
        <v>6848883</v>
      </c>
      <c r="S17" s="129"/>
      <c r="T17" s="129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9">
        <f>入力シート!W28</f>
        <v>-275455</v>
      </c>
      <c r="S18" s="129"/>
      <c r="T18" s="129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1">
        <f>入力シート!W29</f>
        <v>1240000</v>
      </c>
      <c r="S19" s="131"/>
      <c r="T19" s="131"/>
      <c r="U19" s="34"/>
      <c r="W19" s="50" t="s">
        <v>107</v>
      </c>
      <c r="X19" s="68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32">
        <f>入力シート!W30</f>
        <v>58784096</v>
      </c>
      <c r="S20" s="132"/>
      <c r="T20" s="132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8">
        <f>入力シート!W31</f>
        <v>1000</v>
      </c>
      <c r="S21" s="128"/>
      <c r="T21" s="128"/>
      <c r="U21" s="34"/>
      <c r="W21" s="58" t="s">
        <v>104</v>
      </c>
      <c r="X21" s="59">
        <f>X13</f>
        <v>1000</v>
      </c>
      <c r="Y21" s="60"/>
      <c r="Z21" s="61"/>
      <c r="AA21" s="61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1">
        <f>入力シート!W32</f>
        <v>-4720739</v>
      </c>
      <c r="S22" s="131"/>
      <c r="T22" s="131"/>
      <c r="U22" s="34"/>
      <c r="W22" s="50" t="s">
        <v>113</v>
      </c>
      <c r="X22" s="62" t="s">
        <v>105</v>
      </c>
      <c r="Y22" s="62" t="s">
        <v>106</v>
      </c>
      <c r="Z22" s="63" t="s">
        <v>101</v>
      </c>
      <c r="AA22" s="61"/>
    </row>
    <row r="23" spans="2:27" ht="21.75" customHeight="1">
      <c r="B23" s="33"/>
      <c r="C23" s="48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32">
        <f>入力シート!W33</f>
        <v>54064357</v>
      </c>
      <c r="S23" s="132"/>
      <c r="T23" s="132"/>
      <c r="U23" s="34"/>
      <c r="W23" s="63" t="s">
        <v>102</v>
      </c>
      <c r="X23" s="68">
        <v>7936172</v>
      </c>
      <c r="Y23" s="68">
        <v>138221</v>
      </c>
      <c r="Z23" s="69">
        <f>SUM(X23:Y23)</f>
        <v>8074393</v>
      </c>
      <c r="AA23" s="61"/>
    </row>
    <row r="24" spans="2:27" ht="21.75" customHeight="1">
      <c r="B24" s="35"/>
      <c r="C24" s="46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7"/>
      <c r="S24" s="47"/>
      <c r="T24" s="47"/>
      <c r="U24" s="36"/>
      <c r="W24" s="66"/>
      <c r="X24" s="67"/>
      <c r="Y24" s="67"/>
      <c r="Z24" s="67"/>
      <c r="AA24" s="61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45"/>
      <c r="S25" s="45"/>
      <c r="T25" s="45"/>
      <c r="U25" s="22"/>
      <c r="W25" s="61"/>
      <c r="X25" s="60"/>
      <c r="Y25" s="60"/>
      <c r="Z25" s="61"/>
      <c r="AA25" s="61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45"/>
      <c r="S26" s="45"/>
      <c r="T26" s="45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32"/>
      <c r="S27" s="132"/>
      <c r="T27" s="132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8"/>
      <c r="S28" s="128"/>
      <c r="T28" s="128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9">
        <f>入力シート!W36</f>
        <v>-53820344</v>
      </c>
      <c r="S29" s="129"/>
      <c r="T29" s="129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28">
        <f>入力シート!W37</f>
        <v>0</v>
      </c>
      <c r="S30" s="128"/>
      <c r="T30" s="128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0">
        <f>入力シート!W38</f>
        <v>30355454</v>
      </c>
      <c r="S31" s="130"/>
      <c r="T31" s="130"/>
      <c r="U31" s="34"/>
    </row>
    <row r="32" spans="2:27" ht="21" customHeight="1">
      <c r="B32" s="33"/>
      <c r="C32" s="48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27">
        <f>入力シート!W39</f>
        <v>-23464890</v>
      </c>
      <c r="S32" s="127"/>
      <c r="T32" s="127"/>
      <c r="U32" s="34"/>
    </row>
    <row r="33" spans="2:26" ht="12" customHeight="1">
      <c r="B33" s="33"/>
      <c r="C33" s="22"/>
      <c r="D33" s="22"/>
      <c r="E33" s="22"/>
      <c r="F33" s="22"/>
      <c r="G33" s="22"/>
      <c r="H33" s="123"/>
      <c r="I33" s="123"/>
      <c r="J33" s="22"/>
      <c r="K33" s="22"/>
      <c r="L33" s="22"/>
      <c r="M33" s="22"/>
      <c r="N33" s="22"/>
      <c r="O33" s="22"/>
      <c r="P33" s="22"/>
      <c r="Q33" s="22"/>
      <c r="R33" s="128"/>
      <c r="S33" s="128"/>
      <c r="T33" s="128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8"/>
      <c r="S34" s="128"/>
      <c r="T34" s="128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8">
        <f>入力シート!W42</f>
        <v>9000000</v>
      </c>
      <c r="S35" s="128"/>
      <c r="T35" s="128"/>
      <c r="U35" s="34"/>
      <c r="W35" s="50" t="s">
        <v>110</v>
      </c>
      <c r="X35" s="68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1">
        <f>入力シート!W43</f>
        <v>-38275211</v>
      </c>
      <c r="S36" s="131"/>
      <c r="T36" s="131"/>
      <c r="U36" s="34"/>
      <c r="W36" s="50" t="s">
        <v>111</v>
      </c>
      <c r="X36" s="62" t="s">
        <v>105</v>
      </c>
      <c r="Y36" s="62" t="s">
        <v>106</v>
      </c>
      <c r="Z36" s="63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4">
        <f>入力シート!W45</f>
        <v>-29275211</v>
      </c>
      <c r="S37" s="124"/>
      <c r="T37" s="124"/>
      <c r="U37" s="34"/>
      <c r="W37" s="52" t="s">
        <v>102</v>
      </c>
      <c r="X37" s="53">
        <v>74382</v>
      </c>
      <c r="Y37" s="53">
        <v>4727</v>
      </c>
      <c r="Z37" s="54">
        <f>SUM(X37:Y37)</f>
        <v>79109</v>
      </c>
    </row>
    <row r="38" spans="2:26" ht="21" customHeight="1">
      <c r="B38" s="33"/>
      <c r="C38" s="48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27">
        <f>入力シート!W45</f>
        <v>-29275211</v>
      </c>
      <c r="S38" s="127"/>
      <c r="T38" s="127"/>
      <c r="U38" s="34"/>
      <c r="W38" s="52" t="s">
        <v>102</v>
      </c>
      <c r="X38" s="68">
        <v>26371383</v>
      </c>
      <c r="Y38" s="68">
        <v>1360667</v>
      </c>
      <c r="Z38" s="69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23"/>
      <c r="I39" s="123"/>
      <c r="J39" s="22"/>
      <c r="K39" s="22"/>
      <c r="L39" s="22"/>
      <c r="M39" s="22"/>
      <c r="N39" s="22"/>
      <c r="O39" s="22"/>
      <c r="P39" s="22"/>
      <c r="Q39" s="22"/>
      <c r="R39" s="128"/>
      <c r="S39" s="128"/>
      <c r="T39" s="128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23"/>
      <c r="I40" s="123"/>
      <c r="J40" s="22"/>
      <c r="K40" s="22"/>
      <c r="L40" s="22"/>
      <c r="M40" s="22"/>
      <c r="N40" s="22"/>
      <c r="O40" s="22"/>
      <c r="P40" s="22"/>
      <c r="Q40" s="22"/>
      <c r="R40" s="129">
        <f>入力シート!W47</f>
        <v>1324256</v>
      </c>
      <c r="S40" s="129"/>
      <c r="T40" s="129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23"/>
      <c r="I41" s="123"/>
      <c r="J41" s="22"/>
      <c r="K41" s="22"/>
      <c r="L41" s="22"/>
      <c r="M41" s="22"/>
      <c r="N41" s="22"/>
      <c r="O41" s="22"/>
      <c r="P41" s="22"/>
      <c r="Q41" s="22"/>
      <c r="R41" s="130">
        <f>入力シート!W48</f>
        <v>85414342</v>
      </c>
      <c r="S41" s="130"/>
      <c r="T41" s="130"/>
      <c r="U41" s="34"/>
      <c r="W41" s="64">
        <v>98450472</v>
      </c>
      <c r="X41" s="65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23"/>
      <c r="I42" s="123"/>
      <c r="J42" s="22"/>
      <c r="K42" s="22"/>
      <c r="L42" s="22"/>
      <c r="M42" s="22"/>
      <c r="N42" s="22"/>
      <c r="O42" s="22"/>
      <c r="P42" s="22"/>
      <c r="Q42" s="22"/>
      <c r="R42" s="124">
        <f>入力シート!W49</f>
        <v>86738598</v>
      </c>
      <c r="S42" s="124"/>
      <c r="T42" s="124"/>
      <c r="U42" s="34"/>
    </row>
    <row r="43" spans="2:26">
      <c r="B43" s="35"/>
      <c r="C43" s="24"/>
      <c r="D43" s="24"/>
      <c r="E43" s="24"/>
      <c r="F43" s="24"/>
      <c r="G43" s="24"/>
      <c r="H43" s="125"/>
      <c r="I43" s="125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26"/>
      <c r="I44" s="126"/>
    </row>
  </sheetData>
  <mergeCells count="41">
    <mergeCell ref="R11:T11"/>
    <mergeCell ref="D3:R3"/>
    <mergeCell ref="D4:S4"/>
    <mergeCell ref="R6:T6"/>
    <mergeCell ref="R9:T9"/>
    <mergeCell ref="R10:T10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37:T37"/>
    <mergeCell ref="R27:T27"/>
    <mergeCell ref="R28:T28"/>
    <mergeCell ref="R29:T29"/>
    <mergeCell ref="R30:T30"/>
    <mergeCell ref="R31:T31"/>
    <mergeCell ref="R32:T32"/>
    <mergeCell ref="H33:I33"/>
    <mergeCell ref="R33:T33"/>
    <mergeCell ref="R34:T34"/>
    <mergeCell ref="R35:T35"/>
    <mergeCell ref="R36:T36"/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view="pageBreakPreview" topLeftCell="B1" zoomScale="78" zoomScaleNormal="78" zoomScaleSheetLayoutView="78" workbookViewId="0">
      <pane xSplit="6" ySplit="2" topLeftCell="K21" activePane="bottomRight" state="frozen"/>
      <selection activeCell="B1" sqref="B1"/>
      <selection pane="topRight" activeCell="G1" sqref="G1"/>
      <selection pane="bottomLeft" activeCell="B3" sqref="B3"/>
      <selection pane="bottomRight" activeCell="K24" sqref="K24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3.5" style="10" customWidth="1"/>
    <col min="7" max="7" width="1.125" style="10" customWidth="1"/>
    <col min="8" max="8" width="12" style="10" customWidth="1"/>
    <col min="9" max="12" width="11.5" style="10" customWidth="1"/>
    <col min="13" max="13" width="16.375" style="10" customWidth="1"/>
    <col min="14" max="14" width="11.5" style="10" customWidth="1"/>
    <col min="15" max="15" width="13.625" style="10" bestFit="1" customWidth="1"/>
    <col min="16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</row>
    <row r="2" spans="1:24" ht="31.5" customHeight="1">
      <c r="B2" s="137" t="s">
        <v>1</v>
      </c>
      <c r="C2" s="137"/>
      <c r="D2" s="19">
        <v>45747</v>
      </c>
      <c r="E2" s="19">
        <v>46112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36" t="s">
        <v>76</v>
      </c>
      <c r="C3" s="5" t="s">
        <v>73</v>
      </c>
      <c r="D3" s="42">
        <v>4132066682</v>
      </c>
      <c r="E3" s="42">
        <f>4132066682+53820344</f>
        <v>4185887026</v>
      </c>
      <c r="F3" s="84">
        <f>E3-D3</f>
        <v>53820344</v>
      </c>
      <c r="G3" s="12"/>
      <c r="H3" s="2"/>
      <c r="I3" s="2"/>
      <c r="J3" s="2"/>
      <c r="K3" s="2"/>
      <c r="L3" s="2"/>
      <c r="M3" s="2"/>
      <c r="N3" s="2"/>
      <c r="O3" s="2">
        <f>-F3</f>
        <v>-53820344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36"/>
      <c r="C4" s="5" t="s">
        <v>74</v>
      </c>
      <c r="D4" s="90">
        <v>-2511104850</v>
      </c>
      <c r="E4" s="90">
        <f>-2511104850+-77956621</f>
        <v>-2589061471</v>
      </c>
      <c r="F4" s="84">
        <f>E4-D4</f>
        <v>-77956621</v>
      </c>
      <c r="G4" s="12"/>
      <c r="H4" s="2">
        <f>-F4</f>
        <v>77956621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36"/>
      <c r="C5" s="5" t="s">
        <v>2</v>
      </c>
      <c r="D5" s="90">
        <v>85414342</v>
      </c>
      <c r="E5" s="93">
        <v>86738598</v>
      </c>
      <c r="F5" s="85">
        <f>E5-D5</f>
        <v>1324256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-1324256</v>
      </c>
      <c r="W5" s="2">
        <f>F5+SUM(H5:V5)</f>
        <v>0</v>
      </c>
    </row>
    <row r="6" spans="1:24" ht="27.75" customHeight="1">
      <c r="B6" s="136"/>
      <c r="C6" s="5" t="s">
        <v>3</v>
      </c>
      <c r="D6" s="90">
        <v>103144075</v>
      </c>
      <c r="E6" s="93">
        <v>117620103</v>
      </c>
      <c r="F6" s="85">
        <f>E6-D6</f>
        <v>14476028</v>
      </c>
      <c r="G6" s="12"/>
      <c r="H6" s="2"/>
      <c r="I6" s="2"/>
      <c r="J6" s="2"/>
      <c r="K6" s="2"/>
      <c r="L6" s="2"/>
      <c r="M6" s="2"/>
      <c r="N6" s="2">
        <f>-F6</f>
        <v>-14476028</v>
      </c>
      <c r="O6" s="2"/>
      <c r="P6" s="2"/>
      <c r="Q6" s="2"/>
      <c r="R6" s="2"/>
      <c r="S6" s="2"/>
      <c r="T6" s="2"/>
      <c r="U6" s="2"/>
      <c r="V6" s="2"/>
      <c r="W6" s="2">
        <f t="shared" si="0"/>
        <v>0</v>
      </c>
    </row>
    <row r="7" spans="1:24" ht="27.75" customHeight="1">
      <c r="B7" s="136"/>
      <c r="C7" s="5" t="s">
        <v>4</v>
      </c>
      <c r="D7" s="90">
        <v>2165552</v>
      </c>
      <c r="E7" s="90">
        <f>2165552+275455</f>
        <v>2441007</v>
      </c>
      <c r="F7" s="85">
        <f t="shared" ref="F7:F14" si="1">E7-D7</f>
        <v>275455</v>
      </c>
      <c r="G7" s="12"/>
      <c r="H7" s="2"/>
      <c r="I7" s="2"/>
      <c r="J7" s="2"/>
      <c r="K7" s="2"/>
      <c r="L7" s="2"/>
      <c r="M7" s="2"/>
      <c r="N7" s="2">
        <f>-F7</f>
        <v>-275455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36"/>
      <c r="C8" s="5" t="s">
        <v>70</v>
      </c>
      <c r="D8" s="90">
        <v>-15242370</v>
      </c>
      <c r="E8" s="90">
        <f>-15242370+-1240000</f>
        <v>-16482370</v>
      </c>
      <c r="F8" s="85">
        <f t="shared" si="1"/>
        <v>-1240000</v>
      </c>
      <c r="G8" s="12"/>
      <c r="H8" s="2"/>
      <c r="I8" s="2"/>
      <c r="J8" s="2"/>
      <c r="K8" s="2"/>
      <c r="L8" s="2"/>
      <c r="M8" s="2"/>
      <c r="N8" s="2">
        <f>-F8</f>
        <v>1240000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36" t="s">
        <v>78</v>
      </c>
      <c r="C9" s="5" t="s">
        <v>5</v>
      </c>
      <c r="D9" s="90">
        <v>-380242597</v>
      </c>
      <c r="E9" s="90">
        <v>-350967386</v>
      </c>
      <c r="F9" s="84">
        <f>E9-D9</f>
        <v>29275211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92">
        <v>9000000</v>
      </c>
      <c r="T9" s="91">
        <v>-38275211</v>
      </c>
      <c r="U9" s="2"/>
      <c r="V9" s="2"/>
      <c r="W9" s="2">
        <f>F9+SUM(H9:V9)</f>
        <v>0</v>
      </c>
    </row>
    <row r="10" spans="1:24" ht="27.75" customHeight="1">
      <c r="B10" s="136"/>
      <c r="C10" s="5" t="s">
        <v>71</v>
      </c>
      <c r="D10" s="43">
        <v>0</v>
      </c>
      <c r="E10" s="43">
        <v>0</v>
      </c>
      <c r="F10" s="85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36"/>
      <c r="C11" s="5" t="s">
        <v>75</v>
      </c>
      <c r="D11" s="90">
        <v>-71674328</v>
      </c>
      <c r="E11" s="90">
        <f>-79796211+1273000</f>
        <v>-78523211</v>
      </c>
      <c r="F11" s="84">
        <f>E11-D11</f>
        <v>-6848883</v>
      </c>
      <c r="G11" s="12"/>
      <c r="H11" s="2"/>
      <c r="I11" s="2"/>
      <c r="J11" s="2"/>
      <c r="K11" s="2"/>
      <c r="L11" s="2"/>
      <c r="M11" s="2"/>
      <c r="N11" s="2">
        <f>-F11</f>
        <v>6848883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36"/>
      <c r="C12" s="5" t="s">
        <v>6</v>
      </c>
      <c r="D12" s="90">
        <v>-515343971</v>
      </c>
      <c r="E12" s="90">
        <v>-518646383</v>
      </c>
      <c r="F12" s="85">
        <f>E12-D12</f>
        <v>-3302412</v>
      </c>
      <c r="G12" s="12"/>
      <c r="H12" s="2"/>
      <c r="I12" s="2"/>
      <c r="J12" s="92">
        <v>-27053042</v>
      </c>
      <c r="K12" s="2"/>
      <c r="L12" s="2"/>
      <c r="M12" s="2"/>
      <c r="N12" s="2"/>
      <c r="O12" s="2"/>
      <c r="P12" s="1"/>
      <c r="Q12" s="92">
        <v>30355454</v>
      </c>
      <c r="R12" s="1"/>
      <c r="S12" s="2"/>
      <c r="T12" s="2"/>
      <c r="U12" s="2"/>
      <c r="V12" s="2"/>
      <c r="W12" s="2">
        <f>F12+SUM(H12:V12)</f>
        <v>0</v>
      </c>
    </row>
    <row r="13" spans="1:24" ht="27.75" customHeight="1">
      <c r="B13" s="136" t="s">
        <v>77</v>
      </c>
      <c r="C13" s="5" t="s">
        <v>7</v>
      </c>
      <c r="D13" s="90">
        <v>-652165550</v>
      </c>
      <c r="E13" s="90">
        <v>-652165550</v>
      </c>
      <c r="F13" s="85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36"/>
      <c r="C14" s="5" t="s">
        <v>72</v>
      </c>
      <c r="D14" s="90">
        <v>-61231146</v>
      </c>
      <c r="E14" s="90">
        <v>-61231146</v>
      </c>
      <c r="F14" s="85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36"/>
      <c r="C15" s="5" t="s">
        <v>8</v>
      </c>
      <c r="D15" s="90">
        <v>-116332357</v>
      </c>
      <c r="E15" s="90">
        <v>-126155735</v>
      </c>
      <c r="F15" s="85">
        <f>E15-D15</f>
        <v>-9823378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9823378</v>
      </c>
      <c r="V15" s="2"/>
      <c r="W15" s="2">
        <f t="shared" si="0"/>
        <v>0</v>
      </c>
      <c r="X15" s="20"/>
    </row>
    <row r="16" spans="1:24" ht="27.75" customHeight="1">
      <c r="C16" s="13"/>
      <c r="D16" s="4">
        <f>SUM(D3:D15)</f>
        <v>-546518</v>
      </c>
      <c r="E16" s="4">
        <f>SUM(E3:E15)</f>
        <v>-546518</v>
      </c>
      <c r="F16" s="13">
        <f>SUM(F3:F15)</f>
        <v>0</v>
      </c>
      <c r="G16" s="14"/>
      <c r="H16" s="4">
        <f>SUM(H3:H15)</f>
        <v>77956621</v>
      </c>
      <c r="I16" s="4">
        <f t="shared" ref="I16:U16" si="2">SUM(I3:I15)</f>
        <v>0</v>
      </c>
      <c r="J16" s="4">
        <f>SUM(J3:J15)</f>
        <v>-27053042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-6662600</v>
      </c>
      <c r="O16" s="4">
        <f>SUM(O3:O15)</f>
        <v>-53820344</v>
      </c>
      <c r="P16" s="4">
        <f t="shared" si="2"/>
        <v>0</v>
      </c>
      <c r="Q16" s="4">
        <f>SUM(Q3:Q15)</f>
        <v>30355454</v>
      </c>
      <c r="R16" s="4">
        <f t="shared" si="2"/>
        <v>0</v>
      </c>
      <c r="S16" s="4">
        <f>SUM(S3:S15)</f>
        <v>9000000</v>
      </c>
      <c r="T16" s="4">
        <f>SUM(T3:T15)</f>
        <v>-38275211</v>
      </c>
      <c r="U16" s="4">
        <f t="shared" si="2"/>
        <v>9823378</v>
      </c>
      <c r="V16" s="4">
        <f>SUM(V3:V15)</f>
        <v>-1324256</v>
      </c>
      <c r="W16" s="5">
        <f>F16+SUM(H16:V16)</f>
        <v>0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2">
        <v>9823378</v>
      </c>
      <c r="V19" s="2"/>
      <c r="W19" s="2">
        <f>SUM(H19:V19)</f>
        <v>9823378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77956621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77956621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5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-27053042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>SUM(H22:V22)</f>
        <v>-27053042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91">
        <v>-1000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>SUM(H23:V23)</f>
        <v>-1000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92">
        <v>4720739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>SUM(H24:V24)</f>
        <v>4720739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-14476028</v>
      </c>
      <c r="O26" s="2"/>
      <c r="P26" s="2"/>
      <c r="Q26" s="2"/>
      <c r="R26" s="2"/>
      <c r="S26" s="2"/>
      <c r="T26" s="2"/>
      <c r="U26" s="2"/>
      <c r="V26" s="2"/>
      <c r="W26" s="2">
        <f t="shared" ref="W26:W34" si="4">SUM(H26:V26)</f>
        <v>-14476028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6848883</v>
      </c>
      <c r="O27" s="2"/>
      <c r="P27" s="2"/>
      <c r="Q27" s="2"/>
      <c r="R27" s="2"/>
      <c r="S27" s="2"/>
      <c r="T27" s="2"/>
      <c r="U27" s="2"/>
      <c r="V27" s="2"/>
      <c r="W27" s="2">
        <f>SUM(H27:V27)</f>
        <v>6848883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-275455</v>
      </c>
      <c r="O28" s="2"/>
      <c r="P28" s="2"/>
      <c r="Q28" s="2"/>
      <c r="R28" s="2"/>
      <c r="S28" s="2"/>
      <c r="T28" s="2"/>
      <c r="U28" s="2"/>
      <c r="V28" s="2"/>
      <c r="W28" s="2">
        <f t="shared" si="4"/>
        <v>-275455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1240000</v>
      </c>
      <c r="O29" s="2"/>
      <c r="P29" s="2"/>
      <c r="Q29" s="2"/>
      <c r="R29" s="2"/>
      <c r="S29" s="2"/>
      <c r="T29" s="2"/>
      <c r="U29" s="2"/>
      <c r="V29" s="2"/>
      <c r="W29" s="2">
        <f t="shared" si="4"/>
        <v>1240000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77956621</v>
      </c>
      <c r="I30" s="6">
        <f t="shared" ref="I30:V30" si="5">SUM(I19:I29)</f>
        <v>0</v>
      </c>
      <c r="J30" s="6">
        <f t="shared" si="5"/>
        <v>-27053042</v>
      </c>
      <c r="K30" s="6">
        <f t="shared" si="5"/>
        <v>-1000</v>
      </c>
      <c r="L30" s="6">
        <f t="shared" si="5"/>
        <v>4720739</v>
      </c>
      <c r="M30" s="6">
        <f t="shared" si="5"/>
        <v>0</v>
      </c>
      <c r="N30" s="6">
        <f>SUM(N19:N29)</f>
        <v>-6662600</v>
      </c>
      <c r="O30" s="6">
        <f t="shared" si="5"/>
        <v>0</v>
      </c>
      <c r="P30" s="6">
        <f t="shared" si="5"/>
        <v>0</v>
      </c>
      <c r="Q30" s="6">
        <f t="shared" si="5"/>
        <v>0</v>
      </c>
      <c r="R30" s="6">
        <f t="shared" si="5"/>
        <v>0</v>
      </c>
      <c r="S30" s="6">
        <f t="shared" si="5"/>
        <v>0</v>
      </c>
      <c r="T30" s="6">
        <f t="shared" si="5"/>
        <v>0</v>
      </c>
      <c r="U30" s="6">
        <f>SUM(U19:U29)</f>
        <v>9823378</v>
      </c>
      <c r="V30" s="6">
        <f t="shared" si="5"/>
        <v>0</v>
      </c>
      <c r="W30" s="16">
        <f t="shared" si="4"/>
        <v>58784096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1000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 t="shared" si="4"/>
        <v>1000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-4720739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 t="shared" si="4"/>
        <v>-4720739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77956621</v>
      </c>
      <c r="I33" s="7">
        <f t="shared" ref="I33:V33" si="6">I30</f>
        <v>0</v>
      </c>
      <c r="J33" s="7">
        <f t="shared" si="6"/>
        <v>-27053042</v>
      </c>
      <c r="K33" s="7">
        <f>K30+K31</f>
        <v>0</v>
      </c>
      <c r="L33" s="7">
        <f>L30+L32</f>
        <v>0</v>
      </c>
      <c r="M33" s="7">
        <f t="shared" si="6"/>
        <v>0</v>
      </c>
      <c r="N33" s="7">
        <f t="shared" si="6"/>
        <v>-6662600</v>
      </c>
      <c r="O33" s="7">
        <f t="shared" si="6"/>
        <v>0</v>
      </c>
      <c r="P33" s="7">
        <f t="shared" si="6"/>
        <v>0</v>
      </c>
      <c r="Q33" s="7">
        <f t="shared" si="6"/>
        <v>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f t="shared" si="6"/>
        <v>9823378</v>
      </c>
      <c r="V33" s="7">
        <f t="shared" si="6"/>
        <v>0</v>
      </c>
      <c r="W33" s="7">
        <f t="shared" si="4"/>
        <v>54064357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 t="shared" si="4"/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8" si="7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-53820344</v>
      </c>
      <c r="P36" s="2"/>
      <c r="Q36" s="2"/>
      <c r="R36" s="2"/>
      <c r="S36" s="2"/>
      <c r="T36" s="2"/>
      <c r="U36" s="2"/>
      <c r="V36" s="2"/>
      <c r="W36" s="1">
        <f>SUM(H36:V36)</f>
        <v>-53820344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7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30355454</v>
      </c>
      <c r="R38" s="2"/>
      <c r="S38" s="2"/>
      <c r="T38" s="2"/>
      <c r="U38" s="2"/>
      <c r="V38" s="2"/>
      <c r="W38" s="1">
        <f t="shared" si="7"/>
        <v>30355454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-53820344</v>
      </c>
      <c r="P39" s="9">
        <f>SUM(P36:P38)</f>
        <v>0</v>
      </c>
      <c r="Q39" s="9">
        <f>SUM(Q36:Q38)</f>
        <v>30355454</v>
      </c>
      <c r="R39" s="9"/>
      <c r="S39" s="9"/>
      <c r="T39" s="9"/>
      <c r="U39" s="9"/>
      <c r="V39" s="9"/>
      <c r="W39" s="9">
        <f>SUM(H39:V39)</f>
        <v>-23464890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8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9000000</v>
      </c>
      <c r="T42" s="2"/>
      <c r="U42" s="2"/>
      <c r="V42" s="2"/>
      <c r="W42" s="2">
        <f>SUM(H42:V42)</f>
        <v>9000000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-38275211</v>
      </c>
      <c r="U43" s="2"/>
      <c r="V43" s="2"/>
      <c r="W43" s="2">
        <f>SUM(H43:V43)</f>
        <v>-38275211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8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9000000</v>
      </c>
      <c r="T45" s="7">
        <f>SUM(T42:T44)</f>
        <v>-38275211</v>
      </c>
      <c r="U45" s="7"/>
      <c r="V45" s="7"/>
      <c r="W45" s="7">
        <f>SUM(H45:V45)</f>
        <v>-29275211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9">E33+E39+E45</f>
        <v>0</v>
      </c>
      <c r="F47" s="17">
        <f t="shared" si="9"/>
        <v>0</v>
      </c>
      <c r="G47" s="12">
        <f t="shared" si="9"/>
        <v>0</v>
      </c>
      <c r="H47" s="18">
        <f t="shared" si="9"/>
        <v>77956621</v>
      </c>
      <c r="I47" s="17">
        <f t="shared" si="9"/>
        <v>0</v>
      </c>
      <c r="J47" s="17">
        <f>J33+J39+J45</f>
        <v>-27053042</v>
      </c>
      <c r="K47" s="17">
        <f t="shared" si="9"/>
        <v>0</v>
      </c>
      <c r="L47" s="17">
        <f t="shared" si="9"/>
        <v>0</v>
      </c>
      <c r="M47" s="17">
        <f t="shared" si="9"/>
        <v>0</v>
      </c>
      <c r="N47" s="17">
        <f>N33+N39+N45</f>
        <v>-6662600</v>
      </c>
      <c r="O47" s="17">
        <f>O33+O39+O45</f>
        <v>-53820344</v>
      </c>
      <c r="P47" s="18">
        <f t="shared" si="9"/>
        <v>0</v>
      </c>
      <c r="Q47" s="18">
        <f t="shared" si="9"/>
        <v>30355454</v>
      </c>
      <c r="R47" s="17">
        <f t="shared" si="9"/>
        <v>0</v>
      </c>
      <c r="S47" s="18">
        <f t="shared" si="9"/>
        <v>9000000</v>
      </c>
      <c r="T47" s="17">
        <f>T33+T39+T45</f>
        <v>-38275211</v>
      </c>
      <c r="U47" s="17">
        <f>U33+U39+U45</f>
        <v>9823378</v>
      </c>
      <c r="V47" s="17"/>
      <c r="W47" s="17">
        <f>W33+W39+W45</f>
        <v>1324256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85414342</v>
      </c>
      <c r="W48" s="17">
        <f>SUM(H48:V48)</f>
        <v>85414342</v>
      </c>
    </row>
    <row r="49" spans="3:24" ht="18" customHeight="1">
      <c r="C49" s="17" t="s">
        <v>50</v>
      </c>
      <c r="D49" s="17"/>
      <c r="E49" s="17"/>
      <c r="F49" s="17"/>
      <c r="G49" s="12"/>
      <c r="H49" s="18">
        <f>H47</f>
        <v>77956621</v>
      </c>
      <c r="I49" s="17">
        <f t="shared" ref="I49:U49" si="10">I47</f>
        <v>0</v>
      </c>
      <c r="J49" s="17">
        <f t="shared" si="10"/>
        <v>-27053042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17">
        <f t="shared" si="10"/>
        <v>-6662600</v>
      </c>
      <c r="O49" s="17">
        <f>O47</f>
        <v>-53820344</v>
      </c>
      <c r="P49" s="17">
        <f t="shared" si="10"/>
        <v>0</v>
      </c>
      <c r="Q49" s="17">
        <f t="shared" si="10"/>
        <v>30355454</v>
      </c>
      <c r="R49" s="17">
        <f t="shared" si="10"/>
        <v>0</v>
      </c>
      <c r="S49" s="17">
        <f t="shared" si="10"/>
        <v>9000000</v>
      </c>
      <c r="T49" s="17">
        <f t="shared" si="10"/>
        <v>-38275211</v>
      </c>
      <c r="U49" s="17">
        <f t="shared" si="10"/>
        <v>9823378</v>
      </c>
      <c r="V49" s="17">
        <f>V48</f>
        <v>85414342</v>
      </c>
      <c r="W49" s="17">
        <f>SUM(H49:V49)</f>
        <v>86738598</v>
      </c>
      <c r="X49" s="10" t="s">
        <v>126</v>
      </c>
    </row>
    <row r="50" spans="3:24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4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33" t="s">
        <v>93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22"/>
      <c r="T3" s="22"/>
      <c r="U3" s="34"/>
    </row>
    <row r="4" spans="2:24" ht="23.25" customHeight="1">
      <c r="B4" s="33"/>
      <c r="C4" s="22"/>
      <c r="D4" s="134" t="s">
        <v>114</v>
      </c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5" t="s">
        <v>60</v>
      </c>
      <c r="S6" s="125"/>
      <c r="T6" s="125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9">
        <f>入力シート!W19</f>
        <v>9823378</v>
      </c>
      <c r="S9" s="129"/>
      <c r="T9" s="129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8">
        <f>入力シート!W20</f>
        <v>77956621</v>
      </c>
      <c r="S10" s="128"/>
      <c r="T10" s="128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8">
        <f>入力シート!W21</f>
        <v>0</v>
      </c>
      <c r="S11" s="128"/>
      <c r="T11" s="128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29">
        <f>入力シート!W22</f>
        <v>-27053042</v>
      </c>
      <c r="S12" s="129"/>
      <c r="T12" s="129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29">
        <f>入力シート!W23</f>
        <v>-1000</v>
      </c>
      <c r="S13" s="129"/>
      <c r="T13" s="129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29">
        <f>入力シート!W24</f>
        <v>4720739</v>
      </c>
      <c r="S14" s="129"/>
      <c r="T14" s="129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8">
        <f>入力シート!W25</f>
        <v>0</v>
      </c>
      <c r="S15" s="128"/>
      <c r="T15" s="128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29">
        <f>入力シート!W26</f>
        <v>-14476028</v>
      </c>
      <c r="S16" s="129"/>
      <c r="T16" s="129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29">
        <f>入力シート!W27</f>
        <v>6848883</v>
      </c>
      <c r="S17" s="129"/>
      <c r="T17" s="129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29">
        <f>入力シート!W28</f>
        <v>-275455</v>
      </c>
      <c r="S18" s="129"/>
      <c r="T18" s="129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1">
        <f>入力シート!W29</f>
        <v>1240000</v>
      </c>
      <c r="S19" s="131"/>
      <c r="T19" s="131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8">
        <f>入力シート!W30</f>
        <v>58784096</v>
      </c>
      <c r="S20" s="128"/>
      <c r="T20" s="128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8">
        <f>入力シート!W31</f>
        <v>1000</v>
      </c>
      <c r="S21" s="128"/>
      <c r="T21" s="128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1">
        <f>入力シート!W32</f>
        <v>-4720739</v>
      </c>
      <c r="S22" s="131"/>
      <c r="T22" s="131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30">
        <f>入力シート!W33</f>
        <v>54064357</v>
      </c>
      <c r="S23" s="130"/>
      <c r="T23" s="130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32"/>
      <c r="S26" s="132"/>
      <c r="T26" s="132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28"/>
      <c r="S27" s="128"/>
      <c r="T27" s="128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9">
        <f>入力シート!W36</f>
        <v>-53820344</v>
      </c>
      <c r="S28" s="129"/>
      <c r="T28" s="129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8">
        <f>入力シート!W37</f>
        <v>0</v>
      </c>
      <c r="S29" s="128"/>
      <c r="T29" s="128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0">
        <f>入力シート!W38</f>
        <v>30355454</v>
      </c>
      <c r="S30" s="130"/>
      <c r="T30" s="130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29">
        <f>入力シート!W39</f>
        <v>-23464890</v>
      </c>
      <c r="S31" s="129"/>
      <c r="T31" s="129"/>
      <c r="U31" s="34"/>
    </row>
    <row r="32" spans="2:24" ht="12" customHeight="1">
      <c r="B32" s="33"/>
      <c r="C32" s="22"/>
      <c r="D32" s="22"/>
      <c r="E32" s="22"/>
      <c r="F32" s="22"/>
      <c r="G32" s="22"/>
      <c r="H32" s="123"/>
      <c r="I32" s="123"/>
      <c r="J32" s="22"/>
      <c r="K32" s="22"/>
      <c r="L32" s="22"/>
      <c r="M32" s="22"/>
      <c r="N32" s="22"/>
      <c r="O32" s="22"/>
      <c r="P32" s="22"/>
      <c r="Q32" s="22"/>
      <c r="R32" s="128"/>
      <c r="S32" s="128"/>
      <c r="T32" s="128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28"/>
      <c r="S33" s="128"/>
      <c r="T33" s="128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8">
        <f>入力シート!W42</f>
        <v>9000000</v>
      </c>
      <c r="S34" s="128"/>
      <c r="T34" s="128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31">
        <f>入力シート!W43</f>
        <v>-38275211</v>
      </c>
      <c r="S35" s="131"/>
      <c r="T35" s="131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0">
        <f>入力シート!W44</f>
        <v>0</v>
      </c>
      <c r="S36" s="130"/>
      <c r="T36" s="130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29">
        <f>入力シート!W45</f>
        <v>-29275211</v>
      </c>
      <c r="S37" s="129"/>
      <c r="T37" s="129"/>
      <c r="U37" s="34"/>
    </row>
    <row r="38" spans="2:23" ht="14.25" customHeight="1">
      <c r="B38" s="33"/>
      <c r="C38" s="22"/>
      <c r="D38" s="22"/>
      <c r="E38" s="22"/>
      <c r="F38" s="22"/>
      <c r="G38" s="22"/>
      <c r="H38" s="123"/>
      <c r="I38" s="123"/>
      <c r="J38" s="22"/>
      <c r="K38" s="22"/>
      <c r="L38" s="22"/>
      <c r="M38" s="22"/>
      <c r="N38" s="22"/>
      <c r="O38" s="22"/>
      <c r="P38" s="22"/>
      <c r="Q38" s="22"/>
      <c r="R38" s="128"/>
      <c r="S38" s="128"/>
      <c r="T38" s="128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23"/>
      <c r="I39" s="123"/>
      <c r="J39" s="22"/>
      <c r="K39" s="22"/>
      <c r="L39" s="22"/>
      <c r="M39" s="22"/>
      <c r="N39" s="22"/>
      <c r="O39" s="22"/>
      <c r="P39" s="22"/>
      <c r="Q39" s="22"/>
      <c r="R39" s="129">
        <f>入力シート!W47</f>
        <v>1324256</v>
      </c>
      <c r="S39" s="129"/>
      <c r="T39" s="129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23"/>
      <c r="I40" s="123"/>
      <c r="J40" s="22"/>
      <c r="K40" s="22"/>
      <c r="L40" s="22"/>
      <c r="M40" s="22"/>
      <c r="N40" s="22"/>
      <c r="O40" s="22"/>
      <c r="P40" s="22"/>
      <c r="Q40" s="22"/>
      <c r="R40" s="130">
        <f>入力シート!W48</f>
        <v>85414342</v>
      </c>
      <c r="S40" s="130"/>
      <c r="T40" s="130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23"/>
      <c r="I41" s="123"/>
      <c r="J41" s="22"/>
      <c r="K41" s="22"/>
      <c r="L41" s="22"/>
      <c r="M41" s="22"/>
      <c r="N41" s="22"/>
      <c r="O41" s="22"/>
      <c r="P41" s="22"/>
      <c r="Q41" s="22"/>
      <c r="R41" s="124">
        <f>入力シート!W49</f>
        <v>86738598</v>
      </c>
      <c r="S41" s="124"/>
      <c r="T41" s="124"/>
      <c r="U41" s="34"/>
      <c r="W41" s="39"/>
    </row>
    <row r="42" spans="2:23">
      <c r="B42" s="35"/>
      <c r="C42" s="24"/>
      <c r="D42" s="24"/>
      <c r="E42" s="24"/>
      <c r="F42" s="24"/>
      <c r="G42" s="24"/>
      <c r="H42" s="125"/>
      <c r="I42" s="125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26"/>
      <c r="I43" s="126"/>
    </row>
  </sheetData>
  <mergeCells count="41"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38"/>
      <c r="I7" s="138"/>
    </row>
    <row r="8" spans="2:9">
      <c r="B8" t="s">
        <v>57</v>
      </c>
      <c r="H8" s="138"/>
      <c r="I8" s="138"/>
    </row>
    <row r="9" spans="2:9">
      <c r="B9" t="s">
        <v>58</v>
      </c>
      <c r="H9" s="138"/>
      <c r="I9" s="138"/>
    </row>
    <row r="10" spans="2:9">
      <c r="B10" t="s">
        <v>59</v>
      </c>
      <c r="H10" s="138"/>
      <c r="I10" s="138"/>
    </row>
    <row r="11" spans="2:9">
      <c r="B11" s="8" t="s">
        <v>27</v>
      </c>
      <c r="C11" s="8"/>
      <c r="D11" s="8"/>
      <c r="E11" s="8"/>
      <c r="H11" s="138"/>
      <c r="I11" s="138"/>
    </row>
    <row r="12" spans="2:9">
      <c r="B12" t="s">
        <v>12</v>
      </c>
      <c r="H12" s="138"/>
      <c r="I12" s="138"/>
    </row>
    <row r="13" spans="2:9">
      <c r="B13" t="s">
        <v>28</v>
      </c>
      <c r="H13" s="138"/>
      <c r="I13" s="138"/>
    </row>
    <row r="14" spans="2:9">
      <c r="B14" t="s">
        <v>29</v>
      </c>
      <c r="H14" s="138"/>
      <c r="I14" s="138"/>
    </row>
    <row r="15" spans="2:9">
      <c r="B15" t="s">
        <v>30</v>
      </c>
      <c r="H15" s="138"/>
      <c r="I15" s="138"/>
    </row>
    <row r="16" spans="2:9">
      <c r="B16" t="s">
        <v>31</v>
      </c>
      <c r="H16" s="138"/>
      <c r="I16" s="138"/>
    </row>
    <row r="17" spans="2:9">
      <c r="B17" t="s">
        <v>32</v>
      </c>
      <c r="H17" s="138"/>
      <c r="I17" s="138"/>
    </row>
    <row r="18" spans="2:9">
      <c r="B18" t="s">
        <v>33</v>
      </c>
      <c r="H18" s="138"/>
      <c r="I18" s="138"/>
    </row>
    <row r="19" spans="2:9">
      <c r="B19" t="s">
        <v>34</v>
      </c>
      <c r="H19" s="138"/>
      <c r="I19" s="138"/>
    </row>
    <row r="20" spans="2:9">
      <c r="B20" t="s">
        <v>35</v>
      </c>
      <c r="H20" s="138"/>
      <c r="I20" s="138"/>
    </row>
    <row r="21" spans="2:9">
      <c r="B21" t="s">
        <v>36</v>
      </c>
      <c r="H21" s="138"/>
      <c r="I21" s="138"/>
    </row>
    <row r="22" spans="2:9">
      <c r="H22" s="138"/>
      <c r="I22" s="138"/>
    </row>
    <row r="23" spans="2:9">
      <c r="B23" t="s">
        <v>53</v>
      </c>
      <c r="H23" s="138"/>
      <c r="I23" s="138"/>
    </row>
    <row r="24" spans="2:9">
      <c r="B24" t="s">
        <v>39</v>
      </c>
      <c r="H24" s="138"/>
      <c r="I24" s="138"/>
    </row>
    <row r="25" spans="2:9">
      <c r="B25" t="s">
        <v>40</v>
      </c>
      <c r="H25" s="138"/>
      <c r="I25" s="138"/>
    </row>
    <row r="26" spans="2:9">
      <c r="B26" t="s">
        <v>41</v>
      </c>
      <c r="H26" s="138"/>
      <c r="I26" s="138"/>
    </row>
    <row r="27" spans="2:9">
      <c r="B27" t="s">
        <v>42</v>
      </c>
      <c r="H27" s="138"/>
      <c r="I27" s="138"/>
    </row>
    <row r="28" spans="2:9">
      <c r="H28" s="138"/>
      <c r="I28" s="138"/>
    </row>
    <row r="29" spans="2:9">
      <c r="B29" t="s">
        <v>54</v>
      </c>
      <c r="H29" s="138"/>
      <c r="I29" s="138"/>
    </row>
    <row r="30" spans="2:9">
      <c r="B30" t="s">
        <v>44</v>
      </c>
      <c r="H30" s="138"/>
      <c r="I30" s="138"/>
    </row>
    <row r="31" spans="2:9">
      <c r="B31" t="s">
        <v>45</v>
      </c>
      <c r="H31" s="138"/>
      <c r="I31" s="138"/>
    </row>
    <row r="32" spans="2:9">
      <c r="B32" t="s">
        <v>46</v>
      </c>
      <c r="H32" s="138"/>
      <c r="I32" s="138"/>
    </row>
    <row r="33" spans="2:9">
      <c r="B33" t="s">
        <v>47</v>
      </c>
      <c r="H33" s="138"/>
      <c r="I33" s="138"/>
    </row>
    <row r="34" spans="2:9">
      <c r="H34" s="138"/>
      <c r="I34" s="138"/>
    </row>
    <row r="35" spans="2:9">
      <c r="B35" t="s">
        <v>48</v>
      </c>
      <c r="H35" s="138"/>
      <c r="I35" s="138"/>
    </row>
    <row r="36" spans="2:9">
      <c r="B36" t="s">
        <v>49</v>
      </c>
      <c r="H36" s="138"/>
      <c r="I36" s="138"/>
    </row>
    <row r="37" spans="2:9">
      <c r="B37" t="s">
        <v>50</v>
      </c>
    </row>
  </sheetData>
  <mergeCells count="30"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12:I12"/>
    <mergeCell ref="H7:I7"/>
    <mergeCell ref="H8:I8"/>
    <mergeCell ref="H9:I9"/>
    <mergeCell ref="H10:I10"/>
    <mergeCell ref="H11:I1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70">
        <v>-969.6</v>
      </c>
      <c r="D2" s="70">
        <v>-969.6</v>
      </c>
      <c r="F2">
        <v>-969.6</v>
      </c>
      <c r="I2" s="3">
        <v>36430000</v>
      </c>
    </row>
    <row r="3" spans="2:9">
      <c r="B3" s="70">
        <v>92488.9</v>
      </c>
      <c r="D3" s="70">
        <v>92488.9</v>
      </c>
      <c r="F3">
        <v>92488.9</v>
      </c>
      <c r="I3" s="3">
        <v>-17300000</v>
      </c>
    </row>
    <row r="4" spans="2:9">
      <c r="B4" s="70">
        <v>-25935.1</v>
      </c>
      <c r="D4" s="70">
        <v>-25935.1</v>
      </c>
      <c r="F4">
        <v>-25935.1</v>
      </c>
      <c r="I4" s="3">
        <v>1000000</v>
      </c>
    </row>
    <row r="5" spans="2:9">
      <c r="B5" s="70">
        <v>-1</v>
      </c>
      <c r="D5" s="70">
        <v>-1</v>
      </c>
      <c r="F5">
        <v>-1</v>
      </c>
      <c r="I5" s="3">
        <v>160000</v>
      </c>
    </row>
    <row r="6" spans="2:9">
      <c r="B6" s="70">
        <v>5793.5</v>
      </c>
      <c r="D6" s="70">
        <v>5793.5</v>
      </c>
      <c r="F6">
        <v>5793.5</v>
      </c>
      <c r="I6" s="3">
        <v>11000</v>
      </c>
    </row>
    <row r="7" spans="2:9">
      <c r="B7" s="70">
        <v>-4217.5</v>
      </c>
      <c r="D7" s="70">
        <v>-4217.5</v>
      </c>
      <c r="F7">
        <v>-4217.5</v>
      </c>
      <c r="I7" s="3">
        <v>1000</v>
      </c>
    </row>
    <row r="8" spans="2:9">
      <c r="B8" s="70">
        <v>-2075.3000000000002</v>
      </c>
      <c r="D8" s="70">
        <v>-2075.3000000000002</v>
      </c>
      <c r="F8">
        <v>-2075.3000000000002</v>
      </c>
      <c r="I8" s="3">
        <v>-6550000</v>
      </c>
    </row>
    <row r="9" spans="2:9">
      <c r="B9" s="70">
        <v>-275.5</v>
      </c>
      <c r="D9" s="70">
        <v>-275.5</v>
      </c>
      <c r="F9">
        <v>-275.5</v>
      </c>
      <c r="I9" s="3">
        <v>-720000</v>
      </c>
    </row>
    <row r="10" spans="2:9">
      <c r="B10" s="70">
        <v>-2192.6999999999998</v>
      </c>
      <c r="D10" s="70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70" bestFit="1" customWidth="1"/>
  </cols>
  <sheetData>
    <row r="1" spans="2:4">
      <c r="B1" s="3">
        <v>73957218</v>
      </c>
      <c r="D1" s="70">
        <v>9371</v>
      </c>
    </row>
    <row r="2" spans="2:4">
      <c r="B2" s="3">
        <v>318421865</v>
      </c>
      <c r="D2" s="70">
        <v>59575.9</v>
      </c>
    </row>
    <row r="3" spans="2:4">
      <c r="B3" s="3">
        <v>2592782828</v>
      </c>
      <c r="D3" s="70">
        <v>-26463.200000000001</v>
      </c>
    </row>
    <row r="4" spans="2:4">
      <c r="B4" s="3">
        <v>912617682</v>
      </c>
      <c r="D4" s="70">
        <v>-1</v>
      </c>
    </row>
    <row r="5" spans="2:4">
      <c r="B5" s="3">
        <v>6546238</v>
      </c>
      <c r="D5" s="70">
        <v>5793.5</v>
      </c>
    </row>
    <row r="6" spans="2:4">
      <c r="B6" s="3">
        <v>14284605</v>
      </c>
      <c r="D6" s="70">
        <v>-13399.9</v>
      </c>
    </row>
    <row r="7" spans="2:4">
      <c r="B7" s="3">
        <v>30331088</v>
      </c>
      <c r="D7" s="70">
        <v>4588.3999999999996</v>
      </c>
    </row>
    <row r="8" spans="2:4">
      <c r="B8" s="3"/>
      <c r="D8" s="70">
        <v>-275.5</v>
      </c>
    </row>
    <row r="9" spans="2:4">
      <c r="B9" s="3">
        <f>SUM(B1:B8)</f>
        <v>3948941524</v>
      </c>
      <c r="D9" s="70">
        <v>-132.30000000000001</v>
      </c>
    </row>
    <row r="10" spans="2:4">
      <c r="D10" s="70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2025-11-19T07:12:17Z</dcterms:modified>
</cp:coreProperties>
</file>