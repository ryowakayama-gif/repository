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0" documentId="13_ncr:1_{307EDAD4-DCEC-42EB-8F1A-859EDD6DE59D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<sst xmlns="http://schemas.openxmlformats.org/spreadsheetml/2006/main" count="1160" uniqueCount="904">
  <si>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</si>
  <si>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</si>
  <si>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</si>
  <si>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</si>
  <si>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</si>
  <si>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</si>
  <si>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</si>
  <si>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</si>
  <si>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</si>
  <si>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</si>
  <si>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</si>
  <si>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</si>
  <si>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</si>
  <si>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</si>
  <si>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</si>
  <si>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</si>
  <si>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</si>
  <si>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</si>
  <si>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</si>
  <si>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</si>
  <si>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</si>
  <si>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</si>
  <si>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</si>
  <si>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</si>
  <si>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</si>
  <si>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</si>
  <si>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</si>
  <si>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</si>
  <si>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</si>
  <si>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</si>
  <si>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</si>
  <si>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</si>
  <si>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</si>
  <si>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</si>
  <si>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</si>
  <si>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</si>
  <si>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</si>
  <si>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</si>
  <si>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</si>
  <si>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</si>
  <si>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</si>
  <si>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</si>
  <si>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</si>
  <si>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</si>
  <si>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</si>
  <si>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</si>
  <si>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</si>
  <si>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</si>
  <si>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</si>
  <si>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</si>
  <si>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</si>
  <si>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</si>
  <si>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</si>
  <si>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</si>
  <si>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</si>
  <si>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</si>
  <si>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</si>
  <si>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</si>
  <si>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</si>
  <si>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</si>
  <si>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</si>
  <si>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</si>
  <si>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</si>
  <si>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</si>
  <si>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</si>
  <si>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</si>
  <si>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</si>
  <si>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</si>
  <si>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</si>
  <si>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</si>
  <si>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</si>
  <si>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</si>
  <si>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</si>
  <si>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</si>
  <si>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</si>
  <si>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</si>
  <si>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</si>
  <si>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</si>
  <si>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</si>
  <si>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</si>
  <si>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</si>
  <si>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</si>
  <si>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</si>
  <si>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</si>
  <si>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</si>
  <si>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</si>
  <si>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</si>
  <si>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</si>
  <si>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</si>
  <si>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</si>
  <si>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</si>
  <si>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</si>
  <si>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</si>
  <si>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</si>
  <si>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</si>
  <si>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</si>
  <si>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</si>
  <si>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</si>
  <si>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</si>
  <si>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</si>
  <si>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</si>
  <si>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</si>
  <si>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</si>
  <si>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</si>
  <si>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</si>
  <si>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</si>
  <si>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</si>
  <si>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</si>
  <si>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</si>
  <si>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</si>
  <si>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</si>
  <si>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</si>
  <si>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</si>
  <si>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</si>
  <si>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</si>
  <si>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</si>
  <si>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</si>
  <si>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</si>
  <si>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</si>
  <si>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</si>
  <si>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</si>
  <si>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</si>
  <si>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</si>
  <si>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</si>
  <si>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</si>
  <si>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</si>
  <si>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</si>
  <si>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</si>
  <si>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</si>
  <si>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</si>
  <si>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</si>
  <si>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</si>
  <si>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</si>
  <si>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</si>
  <si>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</si>
  <si>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</si>
  <si>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</si>
  <si>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</si>
  <si>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</si>
  <si>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</si>
  <si>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</si>
  <si>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</si>
  <si>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</si>
  <si>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</si>
  <si>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</si>
  <si>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</si>
  <si>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</si>
  <si>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</si>
  <si>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</si>
  <si>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</si>
  <si>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</si>
  <si>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</si>
  <si>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</si>
  <si>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</si>
  <si>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</si>
  <si>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</si>
  <si>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</si>
  <si>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</si>
  <si>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</si>
  <si>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</si>
  <si>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</si>
  <si>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</si>
  <si>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</si>
  <si>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</si>
  <si>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</si>
  <si>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</si>
  <si>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</si>
  <si>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</si>
  <si>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</si>
  <si>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</si>
  <si>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</si>
  <si>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</si>
  <si>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</si>
  <si>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</si>
  <si>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</si>
  <si>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</si>
  <si>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</si>
  <si>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</si>
  <si>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</si>
  <si>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</si>
  <si>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</si>
  <si>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</si>
  <si>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</si>
  <si>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</si>
  <si>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</si>
  <si>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</si>
  <si>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</si>
  <si>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</si>
  <si>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</si>
  <si>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</si>
  <si>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</si>
  <si>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</si>
  <si>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</si>
  <si>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</si>
  <si>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</si>
  <si>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</si>
  <si>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</si>
  <si>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</si>
  <si>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</si>
  <si>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</si>
  <si>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</si>
  <si>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</si>
  <si>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</si>
  <si>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</si>
  <si>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</si>
  <si>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</si>
  <si>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</si>
  <si>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</si>
  <si>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</si>
  <si>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</si>
  <si>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</si>
  <si>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</si>
  <si>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</si>
  <si>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</si>
  <si>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</si>
  <si>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</si>
  <si>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</si>
  <si>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</si>
  <si>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</si>
  <si>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</si>
  <si>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</si>
  <si>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</si>
  <si>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</si>
  <si>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</si>
  <si>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</si>
  <si>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</si>
  <si>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</si>
  <si>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</si>
  <si>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</si>
  <si>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</si>
  <si>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</si>
  <si>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</si>
  <si>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</si>
  <si>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</si>
  <si>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</si>
  <si>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</si>
  <si>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</si>
  <si>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</si>
  <si>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</si>
  <si>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</si>
  <si>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</si>
  <si>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</si>
  <si>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</si>
  <si>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</si>
  <si>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</si>
  <si>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</si>
  <si>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</si>
  <si>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</si>
  <si>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</si>
  <si>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</si>
  <si>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</si>
  <si>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</si>
  <si>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</si>
  <si>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</si>
  <si>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</si>
  <si>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</si>
  <si>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</si>
  <si>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</si>
  <si>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</si>
  <si>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</si>
  <si>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</si>
  <si>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</si>
  <si>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</si>
  <si>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</si>
  <si>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</si>
  <si>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</si>
  <si>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</si>
  <si>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</si>
  <si>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</si>
  <si>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</si>
  <si>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</si>
  <si>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</si>
  <si>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</si>
  <si>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</si>
  <si>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</si>
  <si>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</si>
  <si>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</si>
  <si>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</si>
  <si>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</si>
  <si>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</si>
  <si>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</si>
  <si>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</si>
  <si>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</si>
  <si>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</si>
  <si>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</si>
  <si>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</si>
  <si>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</si>
  <si>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</si>
  <si>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</si>
  <si>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</si>
  <si>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</si>
  <si>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</si>
  <si>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</si>
  <si>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</si>
  <si>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</si>
  <si>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</si>
  <si>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</si>
  <si>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</si>
  <si>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</si>
  <si>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</si>
  <si>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</si>
  <si>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</si>
  <si>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</si>
  <si>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</si>
  <si>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</si>
  <si>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</si>
  <si>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</si>
  <si>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</si>
  <si>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</si>
  <si>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</si>
  <si>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</si>
  <si>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</si>
  <si>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</si>
  <si>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</si>
  <si>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</si>
  <si>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</si>
  <si>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</si>
  <si>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</si>
  <si>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</si>
  <si>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</si>
  <si>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</si>
  <si>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</si>
  <si>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</si>
  <si>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</si>
  <si>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</si>
  <si>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</si>
  <si>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</si>
  <si>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</si>
  <si>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</si>
  <si>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</si>
  <si>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</si>
  <si>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</si>
  <si>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</si>
  <si>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</si>
  <si>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</si>
  <si>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</si>
  <si>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</si>
  <si>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</si>
  <si>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</si>
  <si>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</si>
  <si>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</si>
  <si>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</si>
  <si>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</si>
  <si>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</si>
  <si>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</si>
  <si>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</si>
  <si>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</si>
  <si>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</si>
  <si>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</si>
  <si>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</si>
  <si>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</si>
  <si>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</si>
  <si>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</si>
  <si>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</si>
  <si>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</si>
  <si>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</si>
  <si>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</si>
  <si>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</si>
  <si>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</si>
  <si>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</si>
  <si>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</si>
  <si>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</si>
  <si>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</si>
  <si>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</si>
  <si>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</si>
  <si>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</si>
  <si>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</si>
  <si>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</si>
  <si>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</si>
  <si>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</si>
  <si>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</si>
  <si>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</si>
  <si>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</si>
  <si>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</si>
  <si>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</si>
  <si>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</si>
  <si>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</si>
  <si>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</si>
  <si>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</si>
  <si>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</si>
  <si>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</si>
  <si>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</si>
  <si>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</si>
  <si>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</si>
  <si>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</si>
  <si>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</si>
  <si>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</si>
  <si>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</si>
  <si>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</si>
  <si>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</si>
  <si>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</si>
  <si>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</si>
  <si>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</si>
  <si>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</si>
  <si>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</si>
  <si>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</si>
  <si>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</si>
  <si>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</si>
  <si>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</si>
  <si>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</si>
  <si>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</si>
  <si>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</si>
  <si>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</si>
  <si>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</si>
  <si>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</si>
  <si>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</si>
  <si>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</si>
  <si>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</si>
  <si>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</si>
  <si>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</si>
  <si>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</si>
  <si>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</si>
  <si>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</si>
  <si>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</si>
  <si>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</si>
  <si>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</si>
  <si>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</si>
  <si>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</si>
  <si>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</si>
  <si>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</si>
  <si>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</si>
  <si>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</si>
  <si>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</si>
  <si>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</si>
  <si>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</si>
  <si>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</si>
  <si>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</si>
  <si>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</si>
  <si>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</si>
  <si>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</si>
  <si>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</si>
  <si>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</si>
  <si>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</si>
  <si>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</si>
  <si>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</si>
  <si>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</si>
  <si>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</si>
  <si>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</si>
  <si>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</si>
  <si>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</si>
  <si>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</si>
  <si>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</si>
  <si>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</si>
  <si>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</si>
  <si>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</si>
  <si>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</si>
  <si>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</si>
  <si>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</si>
  <si>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</si>
  <si>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</si>
  <si>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</si>
  <si>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</si>
  <si>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</si>
  <si>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</si>
  <si>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</si>
  <si>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</si>
  <si>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</si>
  <si>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</si>
  <si>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</si>
  <si>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</si>
  <si>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</si>
  <si>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</si>
  <si>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</si>
  <si>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</si>
  <si>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</si>
  <si>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</si>
  <si>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</si>
  <si>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</si>
  <si>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</si>
  <si>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</si>
  <si>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</si>
  <si>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</si>
  <si>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</si>
  <si>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</si>
  <si>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</si>
  <si>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</si>
  <si>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</si>
  <si>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</si>
  <si>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</si>
  <si>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</si>
  <si>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</si>
  <si>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</si>
  <si>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</si>
  <si>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</si>
  <si>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</si>
  <si>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</si>
  <si>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</si>
  <si>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</si>
  <si>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</si>
  <si>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</si>
  <si>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</si>
  <si>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</si>
  <si>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</si>
  <si>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</si>
  <si>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</si>
  <si>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</si>
  <si>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</si>
  <si>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</si>
  <si>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</si>
  <si>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</si>
  <si>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</si>
  <si>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</si>
  <si>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</si>
  <si>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</si>
  <si>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</si>
  <si>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</si>
  <si>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</si>
  <si>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</si>
  <si>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</si>
  <si>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</si>
  <si>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</si>
  <si>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</si>
  <si>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</si>
  <si>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</si>
  <si>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</si>
  <si>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</si>
  <si>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</si>
  <si>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</si>
  <si>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</si>
  <si>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</si>
  <si>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</si>
  <si>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</si>
  <si>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</si>
  <si>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</si>
  <si>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</si>
  <si>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</si>
  <si>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</si>
  <si>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</si>
  <si>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</si>
  <si>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</si>
  <si>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</si>
  <si>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</si>
  <si>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</si>
  <si>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</si>
  <si>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</si>
  <si>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</si>
  <si>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</si>
  <si>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</si>
  <si>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</si>
  <si>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</si>
  <si>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</si>
  <si>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</si>
  <si>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</si>
  <si>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</si>
  <si>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</si>
  <si>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</si>
  <si>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</si>
  <si>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</si>
  <si>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</si>
  <si>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</si>
  <si>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</si>
  <si>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</si>
  <si>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</si>
  <si>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</si>
  <si>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</si>
  <si>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</si>
  <si>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</si>
  <si>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</si>
  <si>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</si>
  <si>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</si>
  <si>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</si>
  <si>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</si>
  <si>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</si>
  <si>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</si>
  <si>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</si>
  <si>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</si>
  <si>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</si>
  <si>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</si>
  <si>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</si>
  <si>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</si>
  <si>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</si>
  <si>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</si>
  <si>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</si>
  <si>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</si>
  <si>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</si>
  <si>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</si>
  <si>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</si>
  <si>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</si>
  <si>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</si>
  <si>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</si>
  <si>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</si>
  <si>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</si>
  <si>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</si>
  <si>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</si>
  <si>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</si>
  <si>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</si>
  <si>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</si>
  <si>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</si>
  <si>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</si>
  <si>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</si>
  <si>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</si>
  <si>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</si>
  <si>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</si>
  <si>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</si>
  <si>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</si>
  <si>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</si>
  <si>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</si>
  <si>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</si>
  <si>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</si>
  <si>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</si>
  <si>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</si>
  <si>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</si>
  <si>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</si>
  <si>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</si>
  <si>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</si>
  <si>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</si>
  <si>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</si>
  <si>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</si>
  <si>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</si>
  <si>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</si>
  <si>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</si>
  <si>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</si>
  <si>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</si>
  <si>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</si>
  <si>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</si>
  <si>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</si>
  <si>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</si>
  <si>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</si>
  <si>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</si>
  <si>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</si>
  <si>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</si>
  <si>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</si>
  <si>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</si>
  <si>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</si>
  <si>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</si>
  <si>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</si>
  <si>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</si>
  <si>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</si>
  <si>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</si>
  <si>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</si>
  <si>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</si>
  <si>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</si>
  <si>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</si>
  <si>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</si>
  <si>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</si>
  <si>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</si>
  <si>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</si>
  <si>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</si>
  <si>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</si>
  <si>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</si>
  <si>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</si>
  <si>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</si>
  <si>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</si>
  <si>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</si>
  <si>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</si>
  <si>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</si>
  <si>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</si>
  <si>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</si>
  <si>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</si>
  <si>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</si>
  <si>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</si>
  <si>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</si>
  <si>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</si>
  <si>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</si>
  <si>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</si>
  <si>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</si>
  <si>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</si>
  <si>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</si>
  <si>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</si>
  <si>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</si>
  <si>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</si>
  <si>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</si>
  <si>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</si>
  <si>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</si>
  <si>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</si>
  <si>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</si>
  <si>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</si>
  <si>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</si>
  <si>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</si>
  <si>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</si>
  <si>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</si>
  <si>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</si>
  <si>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</si>
  <si>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</si>
  <si>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</si>
  <si>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</si>
  <si>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</si>
  <si>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</si>
  <si>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</si>
  <si>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</si>
  <si>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</si>
  <si>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</si>
  <si>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</si>
  <si>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</si>
  <si>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</si>
  <si>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</si>
  <si>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</si>
  <si>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</si>
  <si>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</si>
  <si>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</si>
  <si>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</si>
  <si>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</si>
  <si>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</si>
  <si>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</si>
  <si>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</si>
  <si>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</si>
  <si>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</si>
  <si>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</si>
  <si>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</si>
  <si>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</si>
  <si>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</si>
  <si>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</si>
  <si>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</si>
  <si>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</si>
  <si>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</si>
  <si>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</si>
  <si>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</si>
  <si>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</si>
  <si>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</si>
  <si>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</si>
  <si>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</si>
  <si>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</si>
  <si>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</si>
  <si>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</si>
  <si>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</si>
  <si>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</si>
  <si>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</si>
  <si>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</si>
  <si>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</si>
  <si>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</si>
  <si>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</si>
  <si>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</si>
  <si>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</si>
  <si>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</si>
  <si>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</si>
  <si>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</si>
  <si>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</si>
  <si>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</si>
  <si>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</si>
  <si>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</si>
  <si>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</si>
  <si>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</si>
  <si>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</si>
  <si>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</si>
  <si>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</si>
  <si>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</si>
  <si>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</si>
  <si>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</si>
  <si>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</si>
  <si>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</si>
  <si>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</si>
  <si>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</si>
  <si>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</si>
  <si>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</si>
  <si>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</si>
  <si>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</si>
  <si>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</si>
  <si>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</si>
  <si>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</si>
  <si>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</si>
  <si>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</si>
  <si>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</si>
  <si>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</si>
  <si>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</si>
  <si>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</si>
  <si>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</si>
  <si>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</si>
  <si>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</si>
  <si>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</si>
  <si>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</si>
  <si>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</si>
  <si>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</si>
  <si>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</si>
  <si>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</si>
  <si>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</si>
  <si>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</si>
  <si>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</si>
  <si>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</si>
  <si>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</si>
  <si>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</si>
  <si>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</si>
  <si>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</si>
  <si>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</si>
  <si>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</si>
  <si>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</si>
  <si>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</si>
  <si>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</si>
  <si>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</si>
  <si>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</si>
  <si>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</si>
  <si>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</si>
  <si>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</si>
  <si>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</si>
  <si>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</si>
  <si>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</si>
  <si>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</si>
  <si>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</si>
  <si>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</si>
  <si>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</si>
  <si>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</si>
  <si>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</si>
  <si>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</si>
  <si>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</si>
  <si>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</si>
  <si>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</si>
  <si>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</si>
  <si>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</si>
  <si>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</si>
  <si>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</si>
  <si>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</si>
  <si>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</si>
  <si>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</si>
  <si>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</si>
  <si>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</si>
  <si>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</si>
  <si>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</si>
  <si>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</si>
  <si>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</si>
  <si>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</si>
  <si>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</si>
  <si>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</si>
  <si>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</si>
  <si>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</si>
  <si>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</si>
  <si>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</si>
  <si>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</si>
  <si>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</si>
  <si>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</si>
  <si>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</si>
  <si>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</si>
  <si>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</si>
  <si>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</si>
  <si>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</si>
  <si>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</si>
  <si>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</si>
  <si>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</si>
  <si>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</si>
  <si>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</si>
  <si>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</si>
  <si>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</si>
  <si>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</si>
  <si>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</si>
  <si>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</si>
  <si>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</si>
  <si>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説明文</t>
    <rPh sb="0" eb="3">
      <t>セツメイブン</t>
    </rPh>
    <phoneticPr fontId="1"/>
  </si>
  <si>
    <t>北塩原村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</si>
  <si>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</si>
  <si>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</si>
  <si>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</si>
  <si>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</si>
  <si>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</si>
  <si>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</si>
  <si>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</si>
  <si>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</si>
  <si>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</si>
  <si>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</si>
  <si>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</si>
  <si>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</si>
  <si>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</si>
  <si>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</si>
  <si>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</si>
  <si>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</si>
  <si>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</si>
  <si>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</si>
  <si>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</si>
  <si>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</si>
  <si>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</si>
  <si>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</si>
  <si>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</si>
  <si>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</si>
  <si>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</si>
  <si>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</si>
  <si>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</si>
  <si>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</si>
  <si>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</si>
  <si>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</si>
  <si>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</si>
  <si>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</si>
  <si>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</si>
  <si>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</si>
  <si>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</si>
  <si>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</si>
  <si>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</si>
  <si>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</si>
  <si>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</si>
  <si>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</si>
  <si>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</si>
  <si>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</si>
  <si>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</si>
  <si>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</si>
  <si>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</si>
  <si>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</si>
  <si>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</si>
  <si>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小野町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</si>
  <si>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</si>
  <si>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</si>
  <si>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</si>
  <si>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</si>
  <si>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</si>
  <si>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</si>
  <si>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</si>
  <si>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</si>
  <si>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</si>
  <si>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</si>
  <si>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介護サービス自給率（短期入所系）</t>
  </si>
  <si>
    <t>介護サービス自給率（短期入所系）［地域比較］</t>
  </si>
  <si>
    <t>令和7年(2025年)</t>
  </si>
  <si>
    <t>介護サービス自給率</t>
  </si>
  <si>
    <t>％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</si>
  <si>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</si>
  <si>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</si>
  <si>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出力日:2026/09/29</t>
  </si>
  <si>
    <t>-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</si>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</sst>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074607450384493"/>
          <c:y val="0.20185651793525813"/>
          <c:w val="0.76581631326696342"/>
          <c:h val="0.43280402449693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#,##0.0_ ;[Red]\-#,##0.0\ 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7.7126275882181392E-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37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0.89746</cdr:y>
    </cdr:from>
    <cdr:to>
      <cdr:x>0.88106</cdr:x>
      <cdr:y>0.96041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0" y="6154781"/>
          <a:ext cx="7653592" cy="4317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</cdr:x>
      <cdr:y>0.92868</cdr:y>
    </cdr:from>
    <cdr:to>
      <cdr:x>0.97209</cdr:x>
      <cdr:y>0.99032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0" y="6368910"/>
          <a:ext cx="8444351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0.00585</cdr:x>
      <cdr:y>0.00787</cdr:y>
    </cdr:from>
    <cdr:to>
      <cdr:x>0.88691</cdr:x>
      <cdr:y>0.07082</cdr:y>
    </cdr:to>
    <cdr:sp macro="" textlink="">
      <cdr:nvSpPr>
        <cdr:cNvPr id="5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39A204A9-E807-88CD-FCC0-78204A896B4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7653592" cy="4065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0.00877</cdr:x>
      <cdr:y>0.83968</cdr:y>
    </cdr:from>
    <cdr:to>
      <cdr:x>0.97209</cdr:x>
      <cdr:y>0.90132</cdr:y>
    </cdr:to>
    <cdr:sp macro="" textlink="'グラフ設定（地域別）'!$K$2">
      <cdr:nvSpPr>
        <cdr:cNvPr id="6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D5BDBEAD-8E01-05A7-64A8-17B331C8205B}"/>
            </a:ext>
          </a:extLst>
        </cdr:cNvPr>
        <cdr:cNvSpPr txBox="1"/>
      </cdr:nvSpPr>
      <cdr:spPr>
        <a:xfrm xmlns:a="http://schemas.openxmlformats.org/drawingml/2006/main">
          <a:off x="76183" y="5758503"/>
          <a:ext cx="8368168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CD3716C8-AE5C-4621-B80E-E0655C6757BC}" type="TxLink">
            <a:rPr kumimoji="1" lang="ja-JP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 panose="020B0604030504040204" pitchFamily="50" charset="-128"/>
            </a:rPr>
            <a:pPr/>
            <a:t> 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IF('表形式（地域別）'!A1="","",'表形式（地域別）'!A1)</f>
        <v>出力日:2026/09/29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3" max="61" customWidth="true" style="3" width="14.6640625" collapsed="true"/>
    <col min="1" max="1" customWidth="true" style="3" width="9.0" collapsed="false"/>
    <col min="2" max="2" customWidth="true" style="19" width="36.4375" collapsed="false" bestFit="true"/>
    <col min="62" max="62" customWidth="true" style="3" width="14.6640625" collapsed="false" hidden="true"/>
    <col min="223" max="223" style="3" width="14.6640625" collapsed="false" hidden="true"/>
  </cols>
  <sheetData>
    <row r="2" spans="2:257" s="14" customFormat="1" x14ac:dyDescent="0.2">
      <c r="B2" s="17"/>
      <c r="C2" s="27" t="s">
        <v>835</v>
      </c>
      <c r="D2" s="27" t="s">
        <v>836</v>
      </c>
      <c r="E2" s="27" t="s">
        <v>837</v>
      </c>
      <c r="F2" s="27" t="s">
        <v>838</v>
      </c>
      <c r="G2" s="27" t="s">
        <v>839</v>
      </c>
      <c r="H2" s="27" t="s">
        <v>840</v>
      </c>
      <c r="I2" s="27" t="s">
        <v>841</v>
      </c>
      <c r="J2" s="27" t="s">
        <v>842</v>
      </c>
      <c r="K2" s="27" t="s">
        <v>843</v>
      </c>
      <c r="L2" s="27" t="s">
        <v>844</v>
      </c>
      <c r="M2" s="27" t="s">
        <v>845</v>
      </c>
      <c r="N2" s="27" t="s">
        <v>846</v>
      </c>
      <c r="O2" s="27" t="s">
        <v>847</v>
      </c>
      <c r="P2" s="27" t="s">
        <v>848</v>
      </c>
      <c r="Q2" s="27" t="s">
        <v>849</v>
      </c>
      <c r="R2" s="27" t="s">
        <v>850</v>
      </c>
      <c r="S2" s="27" t="s">
        <v>851</v>
      </c>
      <c r="T2" s="27" t="s">
        <v>852</v>
      </c>
      <c r="U2" s="27" t="s">
        <v>853</v>
      </c>
      <c r="V2" s="27" t="s">
        <v>854</v>
      </c>
      <c r="W2" s="27" t="s">
        <v>855</v>
      </c>
      <c r="X2" s="27" t="s">
        <v>856</v>
      </c>
      <c r="Y2" s="27" t="s">
        <v>857</v>
      </c>
      <c r="Z2" s="27" t="s">
        <v>858</v>
      </c>
      <c r="AA2" s="27" t="s">
        <v>859</v>
      </c>
      <c r="AB2" s="27" t="s">
        <v>860</v>
      </c>
      <c r="AC2" s="27" t="s">
        <v>861</v>
      </c>
      <c r="AD2" s="27" t="s">
        <v>862</v>
      </c>
      <c r="AE2" s="27" t="s">
        <v>863</v>
      </c>
      <c r="AF2" s="27" t="s">
        <v>864</v>
      </c>
      <c r="AG2" s="27" t="s">
        <v>865</v>
      </c>
      <c r="AH2" s="27" t="s">
        <v>866</v>
      </c>
      <c r="AI2" s="27" t="s">
        <v>867</v>
      </c>
      <c r="AJ2" s="27" t="s">
        <v>868</v>
      </c>
      <c r="AK2" s="27" t="s">
        <v>869</v>
      </c>
      <c r="AL2" s="27" t="s">
        <v>870</v>
      </c>
      <c r="AM2" s="27" t="s">
        <v>871</v>
      </c>
      <c r="AN2" s="27" t="s">
        <v>872</v>
      </c>
      <c r="AO2" s="27" t="s">
        <v>873</v>
      </c>
      <c r="AP2" s="27" t="s">
        <v>874</v>
      </c>
      <c r="AQ2" s="27" t="s">
        <v>875</v>
      </c>
      <c r="AR2" s="27" t="s">
        <v>876</v>
      </c>
      <c r="AS2" s="27" t="s">
        <v>877</v>
      </c>
      <c r="AT2" s="27" t="s">
        <v>878</v>
      </c>
      <c r="AU2" s="27" t="s">
        <v>879</v>
      </c>
      <c r="AV2" s="27" t="s">
        <v>880</v>
      </c>
      <c r="AW2" s="27" t="s">
        <v>881</v>
      </c>
      <c r="AX2" s="27" t="s">
        <v>882</v>
      </c>
      <c r="AY2" s="27" t="s">
        <v>883</v>
      </c>
      <c r="AZ2" s="27" t="s">
        <v>884</v>
      </c>
      <c r="BA2" s="27" t="s">
        <v>885</v>
      </c>
      <c r="BB2" s="27" t="s">
        <v>886</v>
      </c>
      <c r="BC2" s="27" t="s">
        <v>887</v>
      </c>
      <c r="BD2" s="27" t="s">
        <v>888</v>
      </c>
      <c r="BE2" s="27" t="s">
        <v>889</v>
      </c>
      <c r="BF2" s="27" t="s">
        <v>890</v>
      </c>
      <c r="BG2" s="27" t="s">
        <v>891</v>
      </c>
      <c r="BH2" s="27" t="s">
        <v>892</v>
      </c>
      <c r="BI2" s="27" t="s">
        <v>893</v>
      </c>
      <c r="BJ2" s="15" t="s">
        <v>638</v>
      </c>
      <c r="BK2" s="15" t="s">
        <v>639</v>
      </c>
      <c r="BL2" s="15" t="s">
        <v>640</v>
      </c>
      <c r="BM2" s="15" t="s">
        <v>641</v>
      </c>
      <c r="BN2" s="15" t="s">
        <v>642</v>
      </c>
      <c r="BO2" s="15" t="s">
        <v>643</v>
      </c>
      <c r="BP2" s="15" t="s">
        <v>644</v>
      </c>
      <c r="BQ2" s="15" t="s">
        <v>645</v>
      </c>
      <c r="BR2" s="15" t="s">
        <v>646</v>
      </c>
      <c r="BS2" s="15" t="s">
        <v>647</v>
      </c>
      <c r="BT2" s="15" t="s">
        <v>648</v>
      </c>
      <c r="BU2" s="15" t="s">
        <v>649</v>
      </c>
      <c r="BV2" s="15" t="s">
        <v>650</v>
      </c>
      <c r="BW2" s="15" t="s">
        <v>651</v>
      </c>
      <c r="BX2" s="15" t="s">
        <v>652</v>
      </c>
      <c r="BY2" s="15" t="s">
        <v>653</v>
      </c>
      <c r="BZ2" s="15" t="s">
        <v>654</v>
      </c>
      <c r="CA2" s="15" t="s">
        <v>655</v>
      </c>
      <c r="CB2" s="15" t="s">
        <v>656</v>
      </c>
      <c r="CC2" s="15" t="s">
        <v>657</v>
      </c>
      <c r="CD2" s="15" t="s">
        <v>658</v>
      </c>
      <c r="CE2" s="15" t="s">
        <v>659</v>
      </c>
      <c r="CF2" s="15" t="s">
        <v>660</v>
      </c>
      <c r="CG2" s="15" t="s">
        <v>661</v>
      </c>
      <c r="CH2" s="15" t="s">
        <v>662</v>
      </c>
      <c r="CI2" s="15" t="s">
        <v>663</v>
      </c>
      <c r="CJ2" s="15" t="s">
        <v>664</v>
      </c>
      <c r="CK2" s="15" t="s">
        <v>665</v>
      </c>
      <c r="CL2" s="15" t="s">
        <v>666</v>
      </c>
      <c r="CM2" s="15" t="s">
        <v>667</v>
      </c>
      <c r="CN2" s="15" t="s">
        <v>668</v>
      </c>
      <c r="CO2" s="15" t="s">
        <v>669</v>
      </c>
      <c r="CP2" s="15" t="s">
        <v>670</v>
      </c>
      <c r="CQ2" s="15" t="s">
        <v>671</v>
      </c>
      <c r="CR2" s="15" t="s">
        <v>672</v>
      </c>
      <c r="CS2" s="15" t="s">
        <v>673</v>
      </c>
      <c r="CT2" s="15" t="s">
        <v>674</v>
      </c>
      <c r="CU2" s="15" t="s">
        <v>675</v>
      </c>
      <c r="CV2" s="15" t="s">
        <v>676</v>
      </c>
      <c r="CW2" s="15" t="s">
        <v>677</v>
      </c>
      <c r="CX2" s="15" t="s">
        <v>678</v>
      </c>
      <c r="CY2" s="15" t="s">
        <v>679</v>
      </c>
      <c r="CZ2" s="15" t="s">
        <v>680</v>
      </c>
      <c r="DA2" s="15" t="s">
        <v>681</v>
      </c>
      <c r="DB2" s="15" t="s">
        <v>682</v>
      </c>
      <c r="DC2" s="15" t="s">
        <v>683</v>
      </c>
      <c r="DD2" s="15" t="s">
        <v>684</v>
      </c>
      <c r="DE2" s="15" t="s">
        <v>685</v>
      </c>
      <c r="DF2" s="15" t="s">
        <v>686</v>
      </c>
      <c r="DG2" s="15" t="s">
        <v>687</v>
      </c>
      <c r="DH2" s="15" t="s">
        <v>688</v>
      </c>
      <c r="DI2" s="15" t="s">
        <v>689</v>
      </c>
      <c r="DJ2" s="15" t="s">
        <v>690</v>
      </c>
      <c r="DK2" s="15" t="s">
        <v>691</v>
      </c>
      <c r="DL2" s="15" t="s">
        <v>692</v>
      </c>
      <c r="DM2" s="15" t="s">
        <v>693</v>
      </c>
      <c r="DN2" s="15" t="s">
        <v>694</v>
      </c>
      <c r="DO2" s="15" t="s">
        <v>695</v>
      </c>
      <c r="DP2" s="15" t="s">
        <v>696</v>
      </c>
      <c r="DQ2" s="15" t="s">
        <v>697</v>
      </c>
      <c r="DR2" s="15" t="s">
        <v>698</v>
      </c>
      <c r="DS2" s="15" t="s">
        <v>699</v>
      </c>
      <c r="DT2" s="15" t="s">
        <v>700</v>
      </c>
      <c r="DU2" s="15" t="s">
        <v>701</v>
      </c>
      <c r="DV2" s="15" t="s">
        <v>702</v>
      </c>
      <c r="DW2" s="15" t="s">
        <v>703</v>
      </c>
      <c r="DX2" s="15" t="s">
        <v>704</v>
      </c>
      <c r="DY2" s="15" t="s">
        <v>705</v>
      </c>
      <c r="DZ2" s="15" t="s">
        <v>706</v>
      </c>
      <c r="EA2" s="15" t="s">
        <v>707</v>
      </c>
      <c r="EB2" s="15" t="s">
        <v>708</v>
      </c>
      <c r="EC2" s="15" t="s">
        <v>709</v>
      </c>
      <c r="ED2" s="15" t="s">
        <v>710</v>
      </c>
      <c r="EE2" s="15" t="s">
        <v>711</v>
      </c>
      <c r="EF2" s="15" t="s">
        <v>712</v>
      </c>
      <c r="EG2" s="15" t="s">
        <v>713</v>
      </c>
      <c r="EH2" s="15" t="s">
        <v>714</v>
      </c>
      <c r="EI2" s="15" t="s">
        <v>715</v>
      </c>
      <c r="EJ2" s="15" t="s">
        <v>716</v>
      </c>
      <c r="EK2" s="15" t="s">
        <v>717</v>
      </c>
      <c r="EL2" s="15" t="s">
        <v>718</v>
      </c>
      <c r="EM2" s="15" t="s">
        <v>719</v>
      </c>
      <c r="EN2" s="15" t="s">
        <v>720</v>
      </c>
      <c r="EO2" s="15" t="s">
        <v>721</v>
      </c>
      <c r="EP2" s="15" t="s">
        <v>722</v>
      </c>
      <c r="EQ2" s="15" t="s">
        <v>723</v>
      </c>
      <c r="ER2" s="15" t="s">
        <v>724</v>
      </c>
      <c r="ES2" s="15" t="s">
        <v>725</v>
      </c>
      <c r="ET2" s="15" t="s">
        <v>726</v>
      </c>
      <c r="EU2" s="15" t="s">
        <v>727</v>
      </c>
      <c r="EV2" s="15" t="s">
        <v>728</v>
      </c>
      <c r="EW2" s="15" t="s">
        <v>729</v>
      </c>
      <c r="EX2" s="15" t="s">
        <v>730</v>
      </c>
      <c r="EY2" s="15" t="s">
        <v>731</v>
      </c>
      <c r="EZ2" s="15" t="s">
        <v>732</v>
      </c>
      <c r="FA2" s="15" t="s">
        <v>733</v>
      </c>
      <c r="FB2" s="15" t="s">
        <v>734</v>
      </c>
      <c r="FC2" s="15" t="s">
        <v>735</v>
      </c>
      <c r="FD2" s="15" t="s">
        <v>736</v>
      </c>
      <c r="FE2" s="15" t="s">
        <v>737</v>
      </c>
      <c r="FF2" s="15" t="s">
        <v>738</v>
      </c>
      <c r="FG2" s="15" t="s">
        <v>739</v>
      </c>
      <c r="FH2" s="15" t="s">
        <v>740</v>
      </c>
      <c r="FI2" s="15" t="s">
        <v>741</v>
      </c>
      <c r="FJ2" s="15" t="s">
        <v>742</v>
      </c>
      <c r="FK2" s="15" t="s">
        <v>743</v>
      </c>
      <c r="FL2" s="15" t="s">
        <v>744</v>
      </c>
      <c r="FM2" s="15" t="s">
        <v>745</v>
      </c>
      <c r="FN2" s="15" t="s">
        <v>746</v>
      </c>
      <c r="FO2" s="15" t="s">
        <v>747</v>
      </c>
      <c r="FP2" s="15" t="s">
        <v>748</v>
      </c>
      <c r="FQ2" s="15" t="s">
        <v>749</v>
      </c>
      <c r="FR2" s="15" t="s">
        <v>750</v>
      </c>
      <c r="FS2" s="15" t="s">
        <v>751</v>
      </c>
      <c r="FT2" s="15" t="s">
        <v>752</v>
      </c>
      <c r="FU2" s="15" t="s">
        <v>753</v>
      </c>
      <c r="FV2" s="15" t="s">
        <v>754</v>
      </c>
      <c r="FW2" s="15" t="s">
        <v>755</v>
      </c>
      <c r="FX2" s="15" t="s">
        <v>756</v>
      </c>
      <c r="FY2" s="15" t="s">
        <v>757</v>
      </c>
      <c r="FZ2" s="15" t="s">
        <v>758</v>
      </c>
      <c r="GA2" s="15" t="s">
        <v>759</v>
      </c>
      <c r="GB2" s="15" t="s">
        <v>760</v>
      </c>
      <c r="GC2" s="15" t="s">
        <v>761</v>
      </c>
      <c r="GD2" s="15" t="s">
        <v>762</v>
      </c>
      <c r="GE2" s="15" t="s">
        <v>763</v>
      </c>
      <c r="GF2" s="15" t="s">
        <v>764</v>
      </c>
      <c r="GG2" s="15" t="s">
        <v>765</v>
      </c>
      <c r="GH2" s="15" t="s">
        <v>766</v>
      </c>
      <c r="GI2" s="15" t="s">
        <v>767</v>
      </c>
      <c r="GJ2" s="15" t="s">
        <v>768</v>
      </c>
      <c r="GK2" s="15" t="s">
        <v>769</v>
      </c>
      <c r="GL2" s="15" t="s">
        <v>770</v>
      </c>
      <c r="GM2" s="15" t="s">
        <v>771</v>
      </c>
      <c r="GN2" s="15" t="s">
        <v>772</v>
      </c>
      <c r="GO2" s="15" t="s">
        <v>773</v>
      </c>
      <c r="GP2" s="15" t="s">
        <v>774</v>
      </c>
      <c r="GQ2" s="15" t="s">
        <v>775</v>
      </c>
      <c r="GR2" s="15" t="s">
        <v>776</v>
      </c>
      <c r="GS2" s="15" t="s">
        <v>777</v>
      </c>
      <c r="GT2" s="15" t="s">
        <v>778</v>
      </c>
      <c r="GU2" s="15" t="s">
        <v>779</v>
      </c>
      <c r="GV2" s="15" t="s">
        <v>780</v>
      </c>
      <c r="GW2" s="15" t="s">
        <v>781</v>
      </c>
      <c r="GX2" s="15" t="s">
        <v>782</v>
      </c>
      <c r="GY2" s="15" t="s">
        <v>783</v>
      </c>
      <c r="GZ2" s="15" t="s">
        <v>784</v>
      </c>
      <c r="HA2" s="15" t="s">
        <v>785</v>
      </c>
      <c r="HB2" s="15" t="s">
        <v>786</v>
      </c>
      <c r="HC2" s="15" t="s">
        <v>787</v>
      </c>
      <c r="HD2" s="15" t="s">
        <v>788</v>
      </c>
      <c r="HE2" s="15" t="s">
        <v>789</v>
      </c>
      <c r="HF2" s="15" t="s">
        <v>790</v>
      </c>
      <c r="HG2" s="15" t="s">
        <v>791</v>
      </c>
      <c r="HH2" s="15" t="s">
        <v>792</v>
      </c>
      <c r="HI2" s="15" t="s">
        <v>793</v>
      </c>
      <c r="HJ2" s="15" t="s">
        <v>794</v>
      </c>
      <c r="HK2" s="15" t="s">
        <v>795</v>
      </c>
      <c r="HL2" s="15" t="s">
        <v>796</v>
      </c>
      <c r="HM2" s="15" t="s">
        <v>797</v>
      </c>
      <c r="HN2" s="15" t="s">
        <v>798</v>
      </c>
      <c r="HO2" s="15" t="s">
        <v>799</v>
      </c>
      <c r="HP2" s="15" t="s">
        <v>800</v>
      </c>
      <c r="HQ2" s="15" t="s">
        <v>801</v>
      </c>
      <c r="HR2" s="15" t="s">
        <v>802</v>
      </c>
      <c r="HS2" s="15" t="s">
        <v>803</v>
      </c>
      <c r="HT2" s="15" t="s">
        <v>804</v>
      </c>
      <c r="HU2" s="15" t="s">
        <v>805</v>
      </c>
      <c r="HV2" s="15" t="s">
        <v>806</v>
      </c>
      <c r="HW2" s="15" t="s">
        <v>807</v>
      </c>
      <c r="HX2" s="15" t="s">
        <v>808</v>
      </c>
      <c r="HY2" s="15" t="s">
        <v>809</v>
      </c>
      <c r="HZ2" s="15" t="s">
        <v>810</v>
      </c>
      <c r="IA2" s="15" t="s">
        <v>811</v>
      </c>
      <c r="IB2" s="15" t="s">
        <v>812</v>
      </c>
      <c r="IC2" s="15" t="s">
        <v>813</v>
      </c>
      <c r="ID2" s="15" t="s">
        <v>814</v>
      </c>
      <c r="IE2" s="15" t="s">
        <v>815</v>
      </c>
      <c r="IF2" s="15" t="s">
        <v>816</v>
      </c>
      <c r="IG2" s="15" t="s">
        <v>817</v>
      </c>
      <c r="IH2" s="15" t="s">
        <v>818</v>
      </c>
      <c r="II2" s="15" t="s">
        <v>819</v>
      </c>
      <c r="IJ2" s="15" t="s">
        <v>820</v>
      </c>
      <c r="IK2" s="15" t="s">
        <v>821</v>
      </c>
      <c r="IL2" s="15" t="s">
        <v>822</v>
      </c>
      <c r="IM2" s="15" t="s">
        <v>823</v>
      </c>
      <c r="IN2" s="15" t="s">
        <v>824</v>
      </c>
      <c r="IO2" s="15" t="s">
        <v>825</v>
      </c>
      <c r="IP2" s="15" t="s">
        <v>826</v>
      </c>
      <c r="IQ2" s="15" t="s">
        <v>827</v>
      </c>
      <c r="IR2" s="15" t="s">
        <v>828</v>
      </c>
      <c r="IS2" s="15" t="s">
        <v>829</v>
      </c>
      <c r="IT2" s="15" t="s">
        <v>830</v>
      </c>
      <c r="IU2" s="15" t="s">
        <v>831</v>
      </c>
      <c r="IV2" s="15" t="s">
        <v>832</v>
      </c>
      <c r="IW2" s="15" t="s">
        <v>833</v>
      </c>
    </row>
    <row r="3" spans="2:257" x14ac:dyDescent="0.2">
      <c r="B3" s="18" t="s">
        <v>894</v>
      </c>
      <c r="C3" s="30" t="n">
        <v>0.0</v>
      </c>
      <c r="D3" s="29" t="n">
        <v>95.66</v>
      </c>
      <c r="E3" s="29" t="n">
        <v>85.15</v>
      </c>
      <c r="F3" s="29" t="n">
        <v>95.5</v>
      </c>
      <c r="G3" s="29" t="n">
        <v>95.6</v>
      </c>
      <c r="H3" s="29" t="n">
        <v>71.61</v>
      </c>
      <c r="I3" s="29" t="n">
        <v>69.86</v>
      </c>
      <c r="J3" s="29" t="n">
        <v>58.87</v>
      </c>
      <c r="K3" s="29" t="n">
        <v>72.93</v>
      </c>
      <c r="L3" s="29" t="n">
        <v>87.33</v>
      </c>
      <c r="M3" s="29" t="n">
        <v>81.84</v>
      </c>
      <c r="N3" s="29" t="n">
        <v>86.64</v>
      </c>
      <c r="O3" s="29" t="n">
        <v>90.06</v>
      </c>
      <c r="P3" s="29" t="n">
        <v>60.39</v>
      </c>
      <c r="Q3" s="29" t="n">
        <v>56.93</v>
      </c>
      <c r="R3" s="29" t="n">
        <v>22.23</v>
      </c>
      <c r="S3" s="29" t="n">
        <v>90.78</v>
      </c>
      <c r="T3" s="29" t="n">
        <v>32.46</v>
      </c>
      <c r="U3" s="29" t="n">
        <v>25.9</v>
      </c>
      <c r="V3" s="29" t="n">
        <v>62.57</v>
      </c>
      <c r="W3" s="29" t="n">
        <v>44.47</v>
      </c>
      <c r="X3" s="30" t="n">
        <v>0.0</v>
      </c>
      <c r="Y3" s="29" t="n">
        <v>92.73</v>
      </c>
      <c r="Z3" s="29" t="n">
        <v>90.07</v>
      </c>
      <c r="AA3" s="29" t="n">
        <v>87.87</v>
      </c>
      <c r="AB3" s="29" t="n">
        <v>96.68</v>
      </c>
      <c r="AC3" s="29" t="n">
        <v>91.66</v>
      </c>
      <c r="AD3" s="29" t="n">
        <v>65.39</v>
      </c>
      <c r="AE3" s="29" t="n">
        <v>51.12</v>
      </c>
      <c r="AF3" s="29" t="n">
        <v>40.62</v>
      </c>
      <c r="AG3" s="29" t="n">
        <v>69.1</v>
      </c>
      <c r="AH3" s="29" t="n">
        <v>98.66</v>
      </c>
      <c r="AI3" s="29" t="n">
        <v>97.24</v>
      </c>
      <c r="AJ3" s="29" t="n">
        <v>75.16</v>
      </c>
      <c r="AK3" s="29" t="n">
        <v>39.17</v>
      </c>
      <c r="AL3" s="29" t="n">
        <v>41.7</v>
      </c>
      <c r="AM3" s="29" t="n">
        <v>23.53</v>
      </c>
      <c r="AN3" s="29" t="n">
        <v>64.58</v>
      </c>
      <c r="AO3" s="29" t="n">
        <v>65.99</v>
      </c>
      <c r="AP3" s="29" t="n">
        <v>56.83</v>
      </c>
      <c r="AQ3" s="29" t="n">
        <v>57.96</v>
      </c>
      <c r="AR3" s="29" t="n">
        <v>9.57</v>
      </c>
      <c r="AS3" s="29" t="n">
        <v>51.24</v>
      </c>
      <c r="AT3" s="29" t="n">
        <v>72.32</v>
      </c>
      <c r="AU3" s="29" t="n">
        <v>74.98</v>
      </c>
      <c r="AV3" s="29" t="n">
        <v>72.46</v>
      </c>
      <c r="AW3" s="29" t="n">
        <v>73.67</v>
      </c>
      <c r="AX3" s="29" t="n">
        <v>26.65</v>
      </c>
      <c r="AY3" s="29" t="n">
        <v>68.03</v>
      </c>
      <c r="AZ3" s="30" t="n">
        <v>0.0</v>
      </c>
      <c r="BA3" s="29" t="n">
        <v>56.47</v>
      </c>
      <c r="BB3" s="29" t="n">
        <v>15.81</v>
      </c>
      <c r="BC3" s="29" t="n">
        <v>42.56</v>
      </c>
      <c r="BD3" s="30" t="n">
        <v>0.0</v>
      </c>
      <c r="BE3" s="29" t="n">
        <v>1.87</v>
      </c>
      <c r="BF3" s="29" t="n">
        <v>5.14</v>
      </c>
      <c r="BG3" s="30" t="n">
        <v>0.0</v>
      </c>
      <c r="BH3" s="29" t="n">
        <v>83.57</v>
      </c>
      <c r="BI3" s="30" t="n">
        <v>0.0</v>
      </c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</row>
    <row r="4" spans="2:257" x14ac:dyDescent="0.2" hidden="true">
      <c r="B4" s="18" t="s">
        <v>335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</row>
    <row r="5" spans="2:257" x14ac:dyDescent="0.2" hidden="true">
      <c r="B5" s="18" t="s">
        <v>336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</row>
    <row r="6" spans="2:257" x14ac:dyDescent="0.2" hidden="true">
      <c r="B6" s="18" t="s">
        <v>337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</row>
    <row r="7" spans="2:257" x14ac:dyDescent="0.2" hidden="true">
      <c r="B7" s="18" t="s">
        <v>338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</row>
    <row r="8" spans="2:257" x14ac:dyDescent="0.2" hidden="true">
      <c r="B8" s="18" t="s">
        <v>339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</row>
    <row r="9" spans="2:257" x14ac:dyDescent="0.2" hidden="true">
      <c r="B9" s="18" t="s">
        <v>340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</row>
    <row r="10" spans="2:257" x14ac:dyDescent="0.2" hidden="true">
      <c r="B10" s="18" t="s">
        <v>341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</row>
    <row r="11" spans="2:257" x14ac:dyDescent="0.2" hidden="true">
      <c r="B11" s="18" t="s">
        <v>342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</row>
    <row r="12" spans="2:257" x14ac:dyDescent="0.2" hidden="true">
      <c r="B12" s="18" t="s">
        <v>343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</row>
    <row r="13" spans="2:257" x14ac:dyDescent="0.2" hidden="true">
      <c r="B13" s="18" t="s">
        <v>344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</row>
    <row r="14" spans="2:257" x14ac:dyDescent="0.2" hidden="true">
      <c r="B14" s="18" t="s">
        <v>345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</row>
    <row r="15" spans="2:257" x14ac:dyDescent="0.2" hidden="true">
      <c r="B15" s="18" t="s">
        <v>346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</row>
    <row r="16" spans="2:257" x14ac:dyDescent="0.2" hidden="true">
      <c r="B16" s="18" t="s">
        <v>347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</row>
    <row r="17" spans="2:257" x14ac:dyDescent="0.2" hidden="true">
      <c r="B17" s="18" t="s">
        <v>348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</row>
    <row r="18" spans="2:257" x14ac:dyDescent="0.2" hidden="true">
      <c r="B18" s="18" t="s">
        <v>349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</row>
    <row r="19" spans="2:257" x14ac:dyDescent="0.2" hidden="true">
      <c r="B19" s="18" t="s">
        <v>350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</row>
    <row r="20" spans="2:257" x14ac:dyDescent="0.2" hidden="true">
      <c r="B20" s="18" t="s">
        <v>351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</row>
    <row r="21" spans="2:257" x14ac:dyDescent="0.2" hidden="true">
      <c r="B21" s="18" t="s">
        <v>352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</row>
    <row r="22" spans="2:257" x14ac:dyDescent="0.2" hidden="true">
      <c r="B22" s="18" t="s">
        <v>353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</row>
    <row r="23" spans="2:257" x14ac:dyDescent="0.2" hidden="true">
      <c r="B23" s="18" t="s">
        <v>354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</row>
    <row r="24" spans="2:257" x14ac:dyDescent="0.2" hidden="true">
      <c r="B24" s="18" t="s">
        <v>355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</row>
    <row r="25" spans="2:257" x14ac:dyDescent="0.2" hidden="true">
      <c r="B25" s="18" t="s">
        <v>356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</row>
    <row r="26" spans="2:257" x14ac:dyDescent="0.2" hidden="true">
      <c r="B26" s="18" t="s">
        <v>357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</row>
    <row r="27" spans="2:257" x14ac:dyDescent="0.2" hidden="true">
      <c r="B27" s="18" t="s">
        <v>358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</row>
    <row r="28" spans="2:257" x14ac:dyDescent="0.2" hidden="true">
      <c r="B28" s="18" t="s">
        <v>359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</row>
    <row r="29" spans="2:257" x14ac:dyDescent="0.2" hidden="true">
      <c r="B29" s="18" t="s">
        <v>360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</row>
    <row r="30" spans="2:257" x14ac:dyDescent="0.2" hidden="true">
      <c r="B30" s="18" t="s">
        <v>361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</row>
    <row r="31" spans="2:257" x14ac:dyDescent="0.2" hidden="true">
      <c r="B31" s="18" t="s">
        <v>362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</row>
    <row r="32" spans="2:257" x14ac:dyDescent="0.2" hidden="true">
      <c r="B32" s="18" t="s">
        <v>363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</row>
    <row r="33" spans="2:257" x14ac:dyDescent="0.2" hidden="true">
      <c r="B33" s="18" t="s">
        <v>364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</row>
    <row r="34" spans="2:257" x14ac:dyDescent="0.2" hidden="true">
      <c r="B34" s="18" t="s">
        <v>365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</row>
    <row r="35" spans="2:257" x14ac:dyDescent="0.2" hidden="true">
      <c r="B35" s="18" t="s">
        <v>366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</row>
    <row r="36" spans="2:257" x14ac:dyDescent="0.2" hidden="true">
      <c r="B36" s="18" t="s">
        <v>367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</row>
    <row r="37" spans="2:257" x14ac:dyDescent="0.2" hidden="true">
      <c r="B37" s="18" t="s">
        <v>368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</row>
    <row r="38" spans="2:257" x14ac:dyDescent="0.2" hidden="true">
      <c r="B38" s="18" t="s">
        <v>369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</row>
    <row r="39" spans="2:257" x14ac:dyDescent="0.2" hidden="true">
      <c r="B39" s="18" t="s">
        <v>370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</row>
    <row r="40" spans="2:257" x14ac:dyDescent="0.2" hidden="true">
      <c r="B40" s="18" t="s">
        <v>371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</row>
    <row r="41" spans="2:257" x14ac:dyDescent="0.2" hidden="true">
      <c r="B41" s="18" t="s">
        <v>372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</row>
    <row r="42" spans="2:257" x14ac:dyDescent="0.2" hidden="true">
      <c r="B42" s="18" t="s">
        <v>373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</row>
    <row r="43" spans="2:257" x14ac:dyDescent="0.2" hidden="true">
      <c r="B43" s="18" t="s">
        <v>374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</row>
    <row r="44" spans="2:257" x14ac:dyDescent="0.2" hidden="true">
      <c r="B44" s="18" t="s">
        <v>375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</row>
    <row r="45" spans="2:257" x14ac:dyDescent="0.2" hidden="true">
      <c r="B45" s="18" t="s">
        <v>376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</row>
    <row r="46" spans="2:257" x14ac:dyDescent="0.2" hidden="true">
      <c r="B46" s="18" t="s">
        <v>377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</row>
    <row r="47" spans="2:257" x14ac:dyDescent="0.2" hidden="true">
      <c r="B47" s="18" t="s">
        <v>378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</row>
    <row r="48" spans="2:257" x14ac:dyDescent="0.2" hidden="true">
      <c r="B48" s="18" t="s">
        <v>379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</row>
    <row r="49" spans="2:257" x14ac:dyDescent="0.2" hidden="true">
      <c r="B49" s="18" t="s">
        <v>380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</row>
    <row r="50" spans="2:257" x14ac:dyDescent="0.2" hidden="true">
      <c r="B50" s="18" t="s">
        <v>381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</row>
    <row r="51" spans="2:257" x14ac:dyDescent="0.2" hidden="true">
      <c r="B51" s="18" t="s">
        <v>382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</row>
    <row r="52" spans="2:257" x14ac:dyDescent="0.2" hidden="true">
      <c r="B52" s="18" t="s">
        <v>383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</row>
    <row r="53" spans="2:257" x14ac:dyDescent="0.2" hidden="true">
      <c r="B53" s="18" t="s">
        <v>384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</row>
    <row r="54" spans="2:257" x14ac:dyDescent="0.2" hidden="true">
      <c r="B54" s="18" t="s">
        <v>385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</row>
    <row r="55" spans="2:257" x14ac:dyDescent="0.2" hidden="true">
      <c r="B55" s="18" t="s">
        <v>386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</row>
    <row r="56" spans="2:257" x14ac:dyDescent="0.2" hidden="true">
      <c r="B56" s="18" t="s">
        <v>387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</row>
    <row r="57" spans="2:257" x14ac:dyDescent="0.2" hidden="true">
      <c r="B57" s="18" t="s">
        <v>388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20"/>
      <c r="IV57" s="20"/>
      <c r="IW57" s="20"/>
    </row>
    <row r="58" spans="2:257" x14ac:dyDescent="0.2" hidden="true">
      <c r="B58" s="18" t="s">
        <v>389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20"/>
      <c r="IV58" s="20"/>
      <c r="IW58" s="20"/>
    </row>
    <row r="59" spans="2:257" x14ac:dyDescent="0.2" hidden="true">
      <c r="B59" s="18" t="s">
        <v>390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20"/>
      <c r="IV59" s="20"/>
      <c r="IW59" s="20"/>
    </row>
    <row r="60" spans="2:257" x14ac:dyDescent="0.2" hidden="true">
      <c r="B60" s="18" t="s">
        <v>391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</row>
    <row r="61" spans="2:257" x14ac:dyDescent="0.2" hidden="true">
      <c r="B61" s="18" t="s">
        <v>392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</row>
    <row r="62" spans="2:257" x14ac:dyDescent="0.2" hidden="true">
      <c r="B62" s="18" t="s">
        <v>393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</row>
    <row r="63" spans="2:257" x14ac:dyDescent="0.2" hidden="true">
      <c r="B63" s="18" t="s">
        <v>394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</row>
    <row r="64" spans="2:257" x14ac:dyDescent="0.2" hidden="true">
      <c r="B64" s="18" t="s">
        <v>395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</row>
    <row r="65" spans="2:257" x14ac:dyDescent="0.2" hidden="true">
      <c r="B65" s="18" t="s">
        <v>396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</row>
    <row r="66" spans="2:257" x14ac:dyDescent="0.2" hidden="true">
      <c r="B66" s="18" t="s">
        <v>397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</row>
    <row r="67" spans="2:257" x14ac:dyDescent="0.2" hidden="true">
      <c r="B67" s="18" t="s">
        <v>398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</row>
    <row r="68" spans="2:257" x14ac:dyDescent="0.2" hidden="true">
      <c r="B68" s="18" t="s">
        <v>399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</row>
    <row r="69" spans="2:257" x14ac:dyDescent="0.2" hidden="true">
      <c r="B69" s="18" t="s">
        <v>400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</row>
    <row r="70" spans="2:257" x14ac:dyDescent="0.2" hidden="true">
      <c r="B70" s="18" t="s">
        <v>401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</row>
    <row r="71" spans="2:257" x14ac:dyDescent="0.2" hidden="true">
      <c r="B71" s="18" t="s">
        <v>402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</row>
    <row r="72" spans="2:257" x14ac:dyDescent="0.2" hidden="true">
      <c r="B72" s="18" t="s">
        <v>403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</row>
    <row r="73" spans="2:257" x14ac:dyDescent="0.2" hidden="true">
      <c r="B73" s="18" t="s">
        <v>404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</row>
    <row r="74" spans="2:257" x14ac:dyDescent="0.2" hidden="true">
      <c r="B74" s="18" t="s">
        <v>405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</row>
    <row r="75" spans="2:257" x14ac:dyDescent="0.2" hidden="true">
      <c r="B75" s="18" t="s">
        <v>406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</row>
    <row r="76" spans="2:257" x14ac:dyDescent="0.2" hidden="true">
      <c r="B76" s="18" t="s">
        <v>407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</row>
    <row r="77" spans="2:257" x14ac:dyDescent="0.2" hidden="true">
      <c r="B77" s="18" t="s">
        <v>408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</row>
    <row r="78" spans="2:257" x14ac:dyDescent="0.2" hidden="true">
      <c r="B78" s="18" t="s">
        <v>409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</row>
    <row r="79" spans="2:257" x14ac:dyDescent="0.2" hidden="true">
      <c r="B79" s="18" t="s">
        <v>410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</row>
    <row r="80" spans="2:257" x14ac:dyDescent="0.2" hidden="true">
      <c r="B80" s="18" t="s">
        <v>411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</row>
    <row r="81" spans="2:257" x14ac:dyDescent="0.2" hidden="true">
      <c r="B81" s="18" t="s">
        <v>412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</row>
    <row r="82" spans="2:257" x14ac:dyDescent="0.2" hidden="true">
      <c r="B82" s="18" t="s">
        <v>413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</row>
    <row r="83" spans="2:257" x14ac:dyDescent="0.2" hidden="true">
      <c r="B83" s="18" t="s">
        <v>414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</row>
    <row r="84" spans="2:257" x14ac:dyDescent="0.2" hidden="true">
      <c r="B84" s="18" t="s">
        <v>415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</row>
    <row r="85" spans="2:257" x14ac:dyDescent="0.2" hidden="true">
      <c r="B85" s="18" t="s">
        <v>416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</row>
    <row r="86" spans="2:257" x14ac:dyDescent="0.2" hidden="true">
      <c r="B86" s="18" t="s">
        <v>417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</row>
    <row r="87" spans="2:257" x14ac:dyDescent="0.2" hidden="true">
      <c r="B87" s="18" t="s">
        <v>418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</row>
    <row r="88" spans="2:257" x14ac:dyDescent="0.2" hidden="true">
      <c r="B88" s="18" t="s">
        <v>419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</row>
    <row r="89" spans="2:257" x14ac:dyDescent="0.2" hidden="true">
      <c r="B89" s="18" t="s">
        <v>420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</row>
    <row r="90" spans="2:257" x14ac:dyDescent="0.2" hidden="true">
      <c r="B90" s="18" t="s">
        <v>421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</row>
    <row r="91" spans="2:257" x14ac:dyDescent="0.2" hidden="true">
      <c r="B91" s="18" t="s">
        <v>422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</row>
    <row r="92" spans="2:257" x14ac:dyDescent="0.2" hidden="true">
      <c r="B92" s="18" t="s">
        <v>423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</row>
    <row r="93" spans="2:257" x14ac:dyDescent="0.2" hidden="true">
      <c r="B93" s="18" t="s">
        <v>424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</row>
    <row r="94" spans="2:257" x14ac:dyDescent="0.2" hidden="true">
      <c r="B94" s="18" t="s">
        <v>425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</row>
    <row r="95" spans="2:257" x14ac:dyDescent="0.2" hidden="true">
      <c r="B95" s="18" t="s">
        <v>426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</row>
    <row r="96" spans="2:257" x14ac:dyDescent="0.2" hidden="true">
      <c r="B96" s="18" t="s">
        <v>427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/>
    </row>
    <row r="97" spans="2:257" x14ac:dyDescent="0.2" hidden="true">
      <c r="B97" s="18" t="s">
        <v>428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</row>
    <row r="98" spans="2:257" x14ac:dyDescent="0.2" hidden="true">
      <c r="B98" s="18" t="s">
        <v>429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</row>
    <row r="99" spans="2:257" x14ac:dyDescent="0.2" hidden="true">
      <c r="B99" s="18" t="s">
        <v>430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</row>
    <row r="100" spans="2:257" x14ac:dyDescent="0.2" hidden="true">
      <c r="B100" s="18" t="s">
        <v>431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</row>
    <row r="101" spans="2:257" x14ac:dyDescent="0.2" hidden="true">
      <c r="B101" s="18" t="s">
        <v>432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</row>
    <row r="102" spans="2:257" x14ac:dyDescent="0.2" hidden="true">
      <c r="B102" s="18" t="s">
        <v>433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</row>
    <row r="103" spans="2:257" x14ac:dyDescent="0.2" hidden="true">
      <c r="B103" s="18" t="s">
        <v>434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</row>
    <row r="104" spans="2:257" x14ac:dyDescent="0.2" hidden="true">
      <c r="B104" s="18" t="s">
        <v>435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</row>
    <row r="105" spans="2:257" x14ac:dyDescent="0.2" hidden="true">
      <c r="B105" s="18" t="s">
        <v>436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</row>
    <row r="106" spans="2:257" x14ac:dyDescent="0.2" hidden="true">
      <c r="B106" s="18" t="s">
        <v>437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</row>
    <row r="107" spans="2:257" x14ac:dyDescent="0.2" hidden="true">
      <c r="B107" s="18" t="s">
        <v>438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</row>
    <row r="108" spans="2:257" x14ac:dyDescent="0.2" hidden="true">
      <c r="B108" s="18" t="s">
        <v>439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</row>
    <row r="109" spans="2:257" x14ac:dyDescent="0.2" hidden="true">
      <c r="B109" s="18" t="s">
        <v>440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</row>
    <row r="110" spans="2:257" x14ac:dyDescent="0.2" hidden="true">
      <c r="B110" s="18" t="s">
        <v>441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</row>
    <row r="111" spans="2:257" x14ac:dyDescent="0.2" hidden="true">
      <c r="B111" s="18" t="s">
        <v>442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</row>
    <row r="112" spans="2:257" x14ac:dyDescent="0.2" hidden="true">
      <c r="B112" s="18" t="s">
        <v>443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</row>
    <row r="113" spans="2:257" x14ac:dyDescent="0.2" hidden="true">
      <c r="B113" s="18" t="s">
        <v>444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  <c r="IW113" s="20"/>
    </row>
    <row r="114" spans="2:257" x14ac:dyDescent="0.2" hidden="true">
      <c r="B114" s="18" t="s">
        <v>445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  <c r="IW114" s="20"/>
    </row>
    <row r="115" spans="2:257" x14ac:dyDescent="0.2" hidden="true">
      <c r="B115" s="18" t="s">
        <v>446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  <c r="IW115" s="20"/>
    </row>
    <row r="116" spans="2:257" x14ac:dyDescent="0.2" hidden="true">
      <c r="B116" s="18" t="s">
        <v>447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  <c r="IW116" s="20"/>
    </row>
    <row r="117" spans="2:257" x14ac:dyDescent="0.2" hidden="true">
      <c r="B117" s="18" t="s">
        <v>448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  <c r="IW117" s="20"/>
    </row>
    <row r="118" spans="2:257" x14ac:dyDescent="0.2" hidden="true">
      <c r="B118" s="18" t="s">
        <v>449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</row>
    <row r="119" spans="2:257" x14ac:dyDescent="0.2" hidden="true">
      <c r="B119" s="18" t="s">
        <v>450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  <c r="IW119" s="20"/>
    </row>
    <row r="120" spans="2:257" x14ac:dyDescent="0.2" hidden="true">
      <c r="B120" s="18" t="s">
        <v>451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</row>
    <row r="121" spans="2:257" x14ac:dyDescent="0.2" hidden="true">
      <c r="B121" s="18" t="s">
        <v>452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</row>
    <row r="122" spans="2:257" x14ac:dyDescent="0.2" hidden="true">
      <c r="B122" s="18" t="s">
        <v>453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</row>
    <row r="123" spans="2:257" x14ac:dyDescent="0.2" hidden="true">
      <c r="B123" s="18" t="s">
        <v>454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</row>
    <row r="124" spans="2:257" x14ac:dyDescent="0.2" hidden="true">
      <c r="B124" s="18" t="s">
        <v>455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</row>
    <row r="125" spans="2:257" x14ac:dyDescent="0.2" hidden="true">
      <c r="B125" s="18" t="s">
        <v>456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  <c r="IW125" s="20"/>
    </row>
    <row r="126" spans="2:257" x14ac:dyDescent="0.2" hidden="true">
      <c r="B126" s="18" t="s">
        <v>457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</row>
    <row r="127" spans="2:257" x14ac:dyDescent="0.2" hidden="true">
      <c r="B127" s="18" t="s">
        <v>458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</row>
    <row r="128" spans="2:257" x14ac:dyDescent="0.2" hidden="true">
      <c r="B128" s="18" t="s">
        <v>459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</row>
    <row r="129" spans="2:257" x14ac:dyDescent="0.2" hidden="true">
      <c r="B129" s="18" t="s">
        <v>460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</row>
    <row r="130" spans="2:257" x14ac:dyDescent="0.2" hidden="true">
      <c r="B130" s="18" t="s">
        <v>461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  <c r="IW130" s="20"/>
    </row>
    <row r="131" spans="2:257" x14ac:dyDescent="0.2" hidden="true">
      <c r="B131" s="18" t="s">
        <v>462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20"/>
      <c r="HJ131" s="20"/>
      <c r="HK131" s="20"/>
      <c r="HL131" s="20"/>
      <c r="HM131" s="20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0"/>
      <c r="HY131" s="20"/>
      <c r="HZ131" s="20"/>
      <c r="IA131" s="20"/>
      <c r="IB131" s="20"/>
      <c r="IC131" s="20"/>
      <c r="ID131" s="20"/>
      <c r="IE131" s="20"/>
      <c r="IF131" s="20"/>
      <c r="IG131" s="20"/>
      <c r="IH131" s="20"/>
      <c r="II131" s="20"/>
      <c r="IJ131" s="20"/>
      <c r="IK131" s="20"/>
      <c r="IL131" s="20"/>
      <c r="IM131" s="20"/>
      <c r="IN131" s="20"/>
      <c r="IO131" s="20"/>
      <c r="IP131" s="20"/>
      <c r="IQ131" s="20"/>
      <c r="IR131" s="20"/>
      <c r="IS131" s="20"/>
      <c r="IT131" s="20"/>
      <c r="IU131" s="20"/>
      <c r="IV131" s="20"/>
      <c r="IW131" s="20"/>
    </row>
    <row r="132" spans="2:257" x14ac:dyDescent="0.2" hidden="true">
      <c r="B132" s="18" t="s">
        <v>463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  <c r="IW132" s="20"/>
    </row>
    <row r="133" spans="2:257" x14ac:dyDescent="0.2" hidden="true">
      <c r="B133" s="18" t="s">
        <v>464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  <c r="IE133" s="20"/>
      <c r="IF133" s="20"/>
      <c r="IG133" s="20"/>
      <c r="IH133" s="20"/>
      <c r="II133" s="20"/>
      <c r="IJ133" s="20"/>
      <c r="IK133" s="20"/>
      <c r="IL133" s="20"/>
      <c r="IM133" s="20"/>
      <c r="IN133" s="20"/>
      <c r="IO133" s="20"/>
      <c r="IP133" s="20"/>
      <c r="IQ133" s="20"/>
      <c r="IR133" s="20"/>
      <c r="IS133" s="20"/>
      <c r="IT133" s="20"/>
      <c r="IU133" s="20"/>
      <c r="IV133" s="20"/>
      <c r="IW133" s="20"/>
    </row>
    <row r="134" spans="2:257" x14ac:dyDescent="0.2" hidden="true">
      <c r="B134" s="18" t="s">
        <v>465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  <c r="IW134" s="20"/>
    </row>
    <row r="135" spans="2:257" x14ac:dyDescent="0.2" hidden="true">
      <c r="B135" s="18" t="s">
        <v>466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  <c r="IW135" s="20"/>
    </row>
    <row r="136" spans="2:257" x14ac:dyDescent="0.2" hidden="true">
      <c r="B136" s="18" t="s">
        <v>467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  <c r="IW136" s="20"/>
    </row>
    <row r="137" spans="2:257" x14ac:dyDescent="0.2" hidden="true">
      <c r="B137" s="18" t="s">
        <v>468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  <c r="IW137" s="20"/>
    </row>
    <row r="138" spans="2:257" x14ac:dyDescent="0.2" hidden="true">
      <c r="B138" s="18" t="s">
        <v>469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  <c r="IW138" s="20"/>
    </row>
    <row r="139" spans="2:257" x14ac:dyDescent="0.2" hidden="true">
      <c r="B139" s="18" t="s">
        <v>470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  <c r="IW139" s="20"/>
    </row>
    <row r="140" spans="2:257" x14ac:dyDescent="0.2" hidden="true">
      <c r="B140" s="18" t="s">
        <v>471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</row>
    <row r="141" spans="2:257" x14ac:dyDescent="0.2" hidden="true">
      <c r="B141" s="18" t="s">
        <v>472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  <c r="IW141" s="20"/>
    </row>
    <row r="142" spans="2:257" x14ac:dyDescent="0.2" hidden="true">
      <c r="B142" s="18" t="s">
        <v>473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</row>
    <row r="143" spans="2:257" x14ac:dyDescent="0.2" hidden="true">
      <c r="B143" s="18" t="s">
        <v>474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  <c r="IW143" s="20"/>
    </row>
    <row r="144" spans="2:257" x14ac:dyDescent="0.2" hidden="true">
      <c r="B144" s="18" t="s">
        <v>475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  <c r="IW144" s="20"/>
    </row>
    <row r="145" spans="2:257" x14ac:dyDescent="0.2" hidden="true">
      <c r="B145" s="18" t="s">
        <v>476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  <c r="IW145" s="20"/>
    </row>
    <row r="146" spans="2:257" x14ac:dyDescent="0.2" hidden="true">
      <c r="B146" s="18" t="s">
        <v>477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  <c r="IW146" s="20"/>
    </row>
    <row r="147" spans="2:257" x14ac:dyDescent="0.2" hidden="true">
      <c r="B147" s="18" t="s">
        <v>478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  <c r="IW147" s="20"/>
    </row>
    <row r="148" spans="2:257" x14ac:dyDescent="0.2" hidden="true">
      <c r="B148" s="18" t="s">
        <v>479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20"/>
      <c r="IW148" s="20"/>
    </row>
    <row r="149" spans="2:257" x14ac:dyDescent="0.2" hidden="true">
      <c r="B149" s="18" t="s">
        <v>480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  <c r="IW149" s="20"/>
    </row>
    <row r="150" spans="2:257" x14ac:dyDescent="0.2" hidden="true">
      <c r="B150" s="18" t="s">
        <v>481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  <c r="IW150" s="20"/>
    </row>
    <row r="151" spans="2:257" x14ac:dyDescent="0.2" hidden="true">
      <c r="B151" s="18" t="s">
        <v>482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/>
      <c r="GQ151" s="20"/>
      <c r="GR151" s="20"/>
      <c r="GS151" s="20"/>
      <c r="GT151" s="20"/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0"/>
      <c r="HY151" s="20"/>
      <c r="HZ151" s="20"/>
      <c r="IA151" s="20"/>
      <c r="IB151" s="20"/>
      <c r="IC151" s="20"/>
      <c r="ID151" s="20"/>
      <c r="IE151" s="20"/>
      <c r="IF151" s="20"/>
      <c r="IG151" s="20"/>
      <c r="IH151" s="20"/>
      <c r="II151" s="20"/>
      <c r="IJ151" s="20"/>
      <c r="IK151" s="20"/>
      <c r="IL151" s="20"/>
      <c r="IM151" s="20"/>
      <c r="IN151" s="20"/>
      <c r="IO151" s="20"/>
      <c r="IP151" s="20"/>
      <c r="IQ151" s="20"/>
      <c r="IR151" s="20"/>
      <c r="IS151" s="20"/>
      <c r="IT151" s="20"/>
      <c r="IU151" s="20"/>
      <c r="IV151" s="20"/>
      <c r="IW151" s="20"/>
    </row>
    <row r="152" spans="2:257" x14ac:dyDescent="0.2" hidden="true">
      <c r="B152" s="18" t="s">
        <v>483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/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  <c r="IE152" s="20"/>
      <c r="IF152" s="20"/>
      <c r="IG152" s="20"/>
      <c r="IH152" s="20"/>
      <c r="II152" s="20"/>
      <c r="IJ152" s="20"/>
      <c r="IK152" s="20"/>
      <c r="IL152" s="20"/>
      <c r="IM152" s="20"/>
      <c r="IN152" s="20"/>
      <c r="IO152" s="20"/>
      <c r="IP152" s="20"/>
      <c r="IQ152" s="20"/>
      <c r="IR152" s="20"/>
      <c r="IS152" s="20"/>
      <c r="IT152" s="20"/>
      <c r="IU152" s="20"/>
      <c r="IV152" s="20"/>
      <c r="IW152" s="20"/>
    </row>
    <row r="153" spans="2:257" x14ac:dyDescent="0.2" hidden="true">
      <c r="B153" s="18" t="s">
        <v>484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  <c r="IE153" s="20"/>
      <c r="IF153" s="20"/>
      <c r="IG153" s="20"/>
      <c r="IH153" s="20"/>
      <c r="II153" s="20"/>
      <c r="IJ153" s="20"/>
      <c r="IK153" s="20"/>
      <c r="IL153" s="20"/>
      <c r="IM153" s="20"/>
      <c r="IN153" s="20"/>
      <c r="IO153" s="20"/>
      <c r="IP153" s="20"/>
      <c r="IQ153" s="20"/>
      <c r="IR153" s="20"/>
      <c r="IS153" s="20"/>
      <c r="IT153" s="20"/>
      <c r="IU153" s="20"/>
      <c r="IV153" s="20"/>
      <c r="IW153" s="20"/>
    </row>
    <row r="154" spans="2:257" x14ac:dyDescent="0.2" hidden="true">
      <c r="B154" s="18" t="s">
        <v>485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  <c r="IE154" s="20"/>
      <c r="IF154" s="20"/>
      <c r="IG154" s="20"/>
      <c r="IH154" s="20"/>
      <c r="II154" s="20"/>
      <c r="IJ154" s="20"/>
      <c r="IK154" s="20"/>
      <c r="IL154" s="20"/>
      <c r="IM154" s="20"/>
      <c r="IN154" s="20"/>
      <c r="IO154" s="20"/>
      <c r="IP154" s="20"/>
      <c r="IQ154" s="20"/>
      <c r="IR154" s="20"/>
      <c r="IS154" s="20"/>
      <c r="IT154" s="20"/>
      <c r="IU154" s="20"/>
      <c r="IV154" s="20"/>
      <c r="IW154" s="20"/>
    </row>
    <row r="155" spans="2:257" x14ac:dyDescent="0.2" hidden="true">
      <c r="B155" s="18" t="s">
        <v>486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20"/>
      <c r="IO155" s="20"/>
      <c r="IP155" s="20"/>
      <c r="IQ155" s="20"/>
      <c r="IR155" s="20"/>
      <c r="IS155" s="20"/>
      <c r="IT155" s="20"/>
      <c r="IU155" s="20"/>
      <c r="IV155" s="20"/>
      <c r="IW155" s="20"/>
    </row>
    <row r="156" spans="2:257" x14ac:dyDescent="0.2" hidden="true">
      <c r="B156" s="18" t="s">
        <v>487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20"/>
      <c r="IO156" s="20"/>
      <c r="IP156" s="20"/>
      <c r="IQ156" s="20"/>
      <c r="IR156" s="20"/>
      <c r="IS156" s="20"/>
      <c r="IT156" s="20"/>
      <c r="IU156" s="20"/>
      <c r="IV156" s="20"/>
      <c r="IW156" s="20"/>
    </row>
    <row r="157" spans="2:257" x14ac:dyDescent="0.2" hidden="true">
      <c r="B157" s="18" t="s">
        <v>488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  <c r="IW157" s="20"/>
    </row>
    <row r="158" spans="2:257" x14ac:dyDescent="0.2" hidden="true">
      <c r="B158" s="18" t="s">
        <v>489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20"/>
      <c r="IO158" s="20"/>
      <c r="IP158" s="20"/>
      <c r="IQ158" s="20"/>
      <c r="IR158" s="20"/>
      <c r="IS158" s="20"/>
      <c r="IT158" s="20"/>
      <c r="IU158" s="20"/>
      <c r="IV158" s="20"/>
      <c r="IW158" s="20"/>
    </row>
    <row r="159" spans="2:257" x14ac:dyDescent="0.2" hidden="true">
      <c r="B159" s="18" t="s">
        <v>490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  <c r="IW159" s="20"/>
    </row>
    <row r="160" spans="2:257" x14ac:dyDescent="0.2" hidden="true">
      <c r="B160" s="18" t="s">
        <v>491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  <c r="IW160" s="20"/>
    </row>
    <row r="161" spans="2:257" x14ac:dyDescent="0.2" hidden="true">
      <c r="B161" s="18" t="s">
        <v>492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  <c r="IW161" s="20"/>
    </row>
    <row r="162" spans="2:257" x14ac:dyDescent="0.2" hidden="true">
      <c r="B162" s="18" t="s">
        <v>493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  <c r="IW162" s="20"/>
    </row>
    <row r="163" spans="2:257" x14ac:dyDescent="0.2" hidden="true">
      <c r="B163" s="18" t="s">
        <v>494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  <c r="IW163" s="20"/>
    </row>
    <row r="164" spans="2:257" x14ac:dyDescent="0.2" hidden="true">
      <c r="B164" s="18" t="s">
        <v>495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  <c r="IW164" s="20"/>
    </row>
    <row r="165" spans="2:257" x14ac:dyDescent="0.2" hidden="true">
      <c r="B165" s="18" t="s">
        <v>496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  <c r="IW165" s="20"/>
    </row>
    <row r="166" spans="2:257" x14ac:dyDescent="0.2" hidden="true">
      <c r="B166" s="18" t="s">
        <v>497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  <c r="IW166" s="20"/>
    </row>
    <row r="167" spans="2:257" x14ac:dyDescent="0.2" hidden="true">
      <c r="B167" s="18" t="s">
        <v>498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  <c r="IW167" s="20"/>
    </row>
    <row r="168" spans="2:257" x14ac:dyDescent="0.2" hidden="true">
      <c r="B168" s="18" t="s">
        <v>499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20"/>
      <c r="IO168" s="20"/>
      <c r="IP168" s="20"/>
      <c r="IQ168" s="20"/>
      <c r="IR168" s="20"/>
      <c r="IS168" s="20"/>
      <c r="IT168" s="20"/>
      <c r="IU168" s="20"/>
      <c r="IV168" s="20"/>
      <c r="IW168" s="20"/>
    </row>
    <row r="169" spans="2:257" x14ac:dyDescent="0.2" hidden="true">
      <c r="B169" s="18" t="s">
        <v>500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  <c r="IW169" s="20"/>
    </row>
    <row r="170" spans="2:257" x14ac:dyDescent="0.2" hidden="true">
      <c r="B170" s="18" t="s">
        <v>501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  <c r="IW170" s="20"/>
    </row>
    <row r="171" spans="2:257" x14ac:dyDescent="0.2" hidden="true">
      <c r="B171" s="18" t="s">
        <v>502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  <c r="IW171" s="20"/>
    </row>
    <row r="172" spans="2:257" x14ac:dyDescent="0.2" hidden="true">
      <c r="B172" s="18" t="s">
        <v>503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  <c r="IW172" s="20"/>
    </row>
    <row r="173" spans="2:257" x14ac:dyDescent="0.2" hidden="true">
      <c r="B173" s="18" t="s">
        <v>504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  <c r="IW173" s="20"/>
    </row>
    <row r="174" spans="2:257" x14ac:dyDescent="0.2" hidden="true">
      <c r="B174" s="18" t="s">
        <v>505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  <c r="IW174" s="20"/>
    </row>
    <row r="175" spans="2:257" x14ac:dyDescent="0.2" hidden="true">
      <c r="B175" s="18" t="s">
        <v>506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  <c r="IW175" s="20"/>
    </row>
    <row r="176" spans="2:257" x14ac:dyDescent="0.2" hidden="true">
      <c r="B176" s="18" t="s">
        <v>507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</row>
    <row r="177" spans="2:257" x14ac:dyDescent="0.2" hidden="true">
      <c r="B177" s="18" t="s">
        <v>508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</row>
    <row r="178" spans="2:257" x14ac:dyDescent="0.2" hidden="true">
      <c r="B178" s="18" t="s">
        <v>509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</row>
    <row r="179" spans="2:257" x14ac:dyDescent="0.2" hidden="true">
      <c r="B179" s="18" t="s">
        <v>510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  <c r="IW179" s="20"/>
    </row>
    <row r="180" spans="2:257" x14ac:dyDescent="0.2" hidden="true">
      <c r="B180" s="18" t="s">
        <v>511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  <c r="IW180" s="20"/>
    </row>
    <row r="181" spans="2:257" x14ac:dyDescent="0.2" hidden="true">
      <c r="B181" s="18" t="s">
        <v>512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  <c r="IW181" s="20"/>
    </row>
    <row r="182" spans="2:257" x14ac:dyDescent="0.2" hidden="true">
      <c r="B182" s="18" t="s">
        <v>513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  <c r="IW182" s="20"/>
    </row>
    <row r="183" spans="2:257" x14ac:dyDescent="0.2" hidden="true">
      <c r="B183" s="18" t="s">
        <v>514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  <c r="IW183" s="20"/>
    </row>
    <row r="184" spans="2:257" x14ac:dyDescent="0.2" hidden="true">
      <c r="B184" s="18" t="s">
        <v>515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  <c r="IW184" s="20"/>
    </row>
    <row r="185" spans="2:257" x14ac:dyDescent="0.2" hidden="true">
      <c r="B185" s="18" t="s">
        <v>516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20"/>
      <c r="HJ185" s="20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  <c r="IE185" s="20"/>
      <c r="IF185" s="20"/>
      <c r="IG185" s="20"/>
      <c r="IH185" s="20"/>
      <c r="II185" s="20"/>
      <c r="IJ185" s="20"/>
      <c r="IK185" s="20"/>
      <c r="IL185" s="20"/>
      <c r="IM185" s="20"/>
      <c r="IN185" s="20"/>
      <c r="IO185" s="20"/>
      <c r="IP185" s="20"/>
      <c r="IQ185" s="20"/>
      <c r="IR185" s="20"/>
      <c r="IS185" s="20"/>
      <c r="IT185" s="20"/>
      <c r="IU185" s="20"/>
      <c r="IV185" s="20"/>
      <c r="IW185" s="20"/>
    </row>
    <row r="186" spans="2:257" x14ac:dyDescent="0.2" hidden="true">
      <c r="B186" s="18" t="s">
        <v>517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  <c r="IW186" s="20"/>
    </row>
    <row r="187" spans="2:257" x14ac:dyDescent="0.2" hidden="true">
      <c r="B187" s="18" t="s">
        <v>518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  <c r="IW187" s="20"/>
    </row>
    <row r="188" spans="2:257" x14ac:dyDescent="0.2" hidden="true">
      <c r="B188" s="18" t="s">
        <v>519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  <c r="IW188" s="20"/>
    </row>
    <row r="189" spans="2:257" x14ac:dyDescent="0.2" hidden="true">
      <c r="B189" s="18" t="s">
        <v>520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  <c r="IW189" s="20"/>
    </row>
    <row r="190" spans="2:257" x14ac:dyDescent="0.2" hidden="true">
      <c r="B190" s="18" t="s">
        <v>521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  <c r="IW190" s="20"/>
    </row>
    <row r="191" spans="2:257" x14ac:dyDescent="0.2" hidden="true">
      <c r="B191" s="18" t="s">
        <v>522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  <c r="IW191" s="20"/>
    </row>
    <row r="192" spans="2:257" x14ac:dyDescent="0.2" hidden="true">
      <c r="B192" s="18" t="s">
        <v>523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  <c r="IW192" s="20"/>
    </row>
    <row r="193" spans="2:257" x14ac:dyDescent="0.2" hidden="true">
      <c r="B193" s="18" t="s">
        <v>524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  <c r="IW193" s="20"/>
    </row>
    <row r="194" spans="2:257" x14ac:dyDescent="0.2" hidden="true">
      <c r="B194" s="18" t="s">
        <v>525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  <c r="IW194" s="20"/>
    </row>
    <row r="195" spans="2:257" x14ac:dyDescent="0.2" hidden="true">
      <c r="B195" s="18" t="s">
        <v>526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  <c r="IW195" s="20"/>
    </row>
    <row r="196" spans="2:257" x14ac:dyDescent="0.2" hidden="true">
      <c r="B196" s="18" t="s">
        <v>527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  <c r="IW196" s="20"/>
    </row>
    <row r="197" spans="2:257" x14ac:dyDescent="0.2" hidden="true">
      <c r="B197" s="18" t="s">
        <v>528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/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20"/>
      <c r="IO197" s="20"/>
      <c r="IP197" s="20"/>
      <c r="IQ197" s="20"/>
      <c r="IR197" s="20"/>
      <c r="IS197" s="20"/>
      <c r="IT197" s="20"/>
      <c r="IU197" s="20"/>
      <c r="IV197" s="20"/>
      <c r="IW197" s="20"/>
    </row>
    <row r="198" spans="2:257" x14ac:dyDescent="0.2" hidden="true">
      <c r="B198" s="18" t="s">
        <v>529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20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20"/>
      <c r="HJ198" s="20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  <c r="IE198" s="20"/>
      <c r="IF198" s="20"/>
      <c r="IG198" s="20"/>
      <c r="IH198" s="20"/>
      <c r="II198" s="20"/>
      <c r="IJ198" s="20"/>
      <c r="IK198" s="20"/>
      <c r="IL198" s="20"/>
      <c r="IM198" s="20"/>
      <c r="IN198" s="20"/>
      <c r="IO198" s="20"/>
      <c r="IP198" s="20"/>
      <c r="IQ198" s="20"/>
      <c r="IR198" s="20"/>
      <c r="IS198" s="20"/>
      <c r="IT198" s="20"/>
      <c r="IU198" s="20"/>
      <c r="IV198" s="20"/>
      <c r="IW198" s="20"/>
    </row>
    <row r="199" spans="2:257" x14ac:dyDescent="0.2" hidden="true">
      <c r="B199" s="18" t="s">
        <v>530</v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20"/>
      <c r="HJ199" s="20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  <c r="IE199" s="20"/>
      <c r="IF199" s="20"/>
      <c r="IG199" s="20"/>
      <c r="IH199" s="20"/>
      <c r="II199" s="20"/>
      <c r="IJ199" s="20"/>
      <c r="IK199" s="20"/>
      <c r="IL199" s="20"/>
      <c r="IM199" s="20"/>
      <c r="IN199" s="20"/>
      <c r="IO199" s="20"/>
      <c r="IP199" s="20"/>
      <c r="IQ199" s="20"/>
      <c r="IR199" s="20"/>
      <c r="IS199" s="20"/>
      <c r="IT199" s="20"/>
      <c r="IU199" s="20"/>
      <c r="IV199" s="20"/>
      <c r="IW199" s="20"/>
    </row>
    <row r="200" spans="2:257" x14ac:dyDescent="0.2" hidden="true">
      <c r="B200" s="18" t="s">
        <v>531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20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20"/>
      <c r="HJ200" s="20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  <c r="IE200" s="20"/>
      <c r="IF200" s="20"/>
      <c r="IG200" s="20"/>
      <c r="IH200" s="20"/>
      <c r="II200" s="20"/>
      <c r="IJ200" s="20"/>
      <c r="IK200" s="20"/>
      <c r="IL200" s="20"/>
      <c r="IM200" s="20"/>
      <c r="IN200" s="20"/>
      <c r="IO200" s="20"/>
      <c r="IP200" s="20"/>
      <c r="IQ200" s="20"/>
      <c r="IR200" s="20"/>
      <c r="IS200" s="20"/>
      <c r="IT200" s="20"/>
      <c r="IU200" s="20"/>
      <c r="IV200" s="20"/>
      <c r="IW200" s="20"/>
    </row>
    <row r="201" spans="2:257" x14ac:dyDescent="0.2" hidden="true">
      <c r="B201" s="18" t="s">
        <v>532</v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20"/>
      <c r="IO201" s="20"/>
      <c r="IP201" s="20"/>
      <c r="IQ201" s="20"/>
      <c r="IR201" s="20"/>
      <c r="IS201" s="20"/>
      <c r="IT201" s="20"/>
      <c r="IU201" s="20"/>
      <c r="IV201" s="20"/>
      <c r="IW201" s="20"/>
    </row>
    <row r="202" spans="2:257" x14ac:dyDescent="0.2" hidden="true">
      <c r="B202" s="18" t="s">
        <v>533</v>
      </c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20"/>
      <c r="GE202" s="20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20"/>
      <c r="HJ202" s="20"/>
      <c r="HK202" s="20"/>
      <c r="HL202" s="20"/>
      <c r="HM202" s="20"/>
      <c r="HN202" s="20"/>
      <c r="HO202" s="20"/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  <c r="IE202" s="20"/>
      <c r="IF202" s="20"/>
      <c r="IG202" s="20"/>
      <c r="IH202" s="20"/>
      <c r="II202" s="20"/>
      <c r="IJ202" s="20"/>
      <c r="IK202" s="20"/>
      <c r="IL202" s="20"/>
      <c r="IM202" s="20"/>
      <c r="IN202" s="20"/>
      <c r="IO202" s="20"/>
      <c r="IP202" s="20"/>
      <c r="IQ202" s="20"/>
      <c r="IR202" s="20"/>
      <c r="IS202" s="20"/>
      <c r="IT202" s="20"/>
      <c r="IU202" s="20"/>
      <c r="IV202" s="20"/>
      <c r="IW202" s="20"/>
    </row>
    <row r="203" spans="2:257" x14ac:dyDescent="0.2" hidden="true">
      <c r="B203" s="18" t="s">
        <v>534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20"/>
      <c r="HJ203" s="20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  <c r="IE203" s="20"/>
      <c r="IF203" s="20"/>
      <c r="IG203" s="20"/>
      <c r="IH203" s="20"/>
      <c r="II203" s="20"/>
      <c r="IJ203" s="20"/>
      <c r="IK203" s="20"/>
      <c r="IL203" s="20"/>
      <c r="IM203" s="20"/>
      <c r="IN203" s="20"/>
      <c r="IO203" s="20"/>
      <c r="IP203" s="20"/>
      <c r="IQ203" s="20"/>
      <c r="IR203" s="20"/>
      <c r="IS203" s="20"/>
      <c r="IT203" s="20"/>
      <c r="IU203" s="20"/>
      <c r="IV203" s="20"/>
      <c r="IW203" s="20"/>
    </row>
    <row r="204" spans="2:257" x14ac:dyDescent="0.2" hidden="true">
      <c r="B204" s="18" t="s">
        <v>535</v>
      </c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20"/>
      <c r="IO204" s="20"/>
      <c r="IP204" s="20"/>
      <c r="IQ204" s="20"/>
      <c r="IR204" s="20"/>
      <c r="IS204" s="20"/>
      <c r="IT204" s="20"/>
      <c r="IU204" s="20"/>
      <c r="IV204" s="20"/>
      <c r="IW204" s="20"/>
    </row>
    <row r="205" spans="2:257" x14ac:dyDescent="0.2" hidden="true">
      <c r="B205" s="18" t="s">
        <v>536</v>
      </c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20"/>
      <c r="IO205" s="20"/>
      <c r="IP205" s="20"/>
      <c r="IQ205" s="20"/>
      <c r="IR205" s="20"/>
      <c r="IS205" s="20"/>
      <c r="IT205" s="20"/>
      <c r="IU205" s="20"/>
      <c r="IV205" s="20"/>
      <c r="IW205" s="20"/>
    </row>
    <row r="206" spans="2:257" x14ac:dyDescent="0.2" hidden="true">
      <c r="B206" s="18" t="s">
        <v>537</v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20"/>
      <c r="IO206" s="20"/>
      <c r="IP206" s="20"/>
      <c r="IQ206" s="20"/>
      <c r="IR206" s="20"/>
      <c r="IS206" s="20"/>
      <c r="IT206" s="20"/>
      <c r="IU206" s="20"/>
      <c r="IV206" s="20"/>
      <c r="IW206" s="20"/>
    </row>
    <row r="207" spans="2:257" x14ac:dyDescent="0.2" hidden="true">
      <c r="B207" s="18" t="s">
        <v>538</v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20"/>
      <c r="IO207" s="20"/>
      <c r="IP207" s="20"/>
      <c r="IQ207" s="20"/>
      <c r="IR207" s="20"/>
      <c r="IS207" s="20"/>
      <c r="IT207" s="20"/>
      <c r="IU207" s="20"/>
      <c r="IV207" s="20"/>
      <c r="IW207" s="20"/>
    </row>
    <row r="208" spans="2:257" x14ac:dyDescent="0.2" hidden="true">
      <c r="B208" s="18" t="s">
        <v>539</v>
      </c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</row>
    <row r="209" spans="2:257" x14ac:dyDescent="0.2" hidden="true">
      <c r="B209" s="18" t="s">
        <v>540</v>
      </c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20"/>
      <c r="HJ209" s="20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20"/>
      <c r="IO209" s="20"/>
      <c r="IP209" s="20"/>
      <c r="IQ209" s="20"/>
      <c r="IR209" s="20"/>
      <c r="IS209" s="20"/>
      <c r="IT209" s="20"/>
      <c r="IU209" s="20"/>
      <c r="IV209" s="20"/>
      <c r="IW209" s="20"/>
    </row>
    <row r="210" spans="2:257" x14ac:dyDescent="0.2" hidden="true">
      <c r="B210" s="18" t="s">
        <v>541</v>
      </c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20"/>
      <c r="GF210" s="20"/>
      <c r="GG210" s="20"/>
      <c r="GH210" s="20"/>
      <c r="GI210" s="20"/>
      <c r="GJ210" s="20"/>
      <c r="GK210" s="20"/>
      <c r="GL210" s="20"/>
      <c r="GM210" s="20"/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20"/>
      <c r="IO210" s="20"/>
      <c r="IP210" s="20"/>
      <c r="IQ210" s="20"/>
      <c r="IR210" s="20"/>
      <c r="IS210" s="20"/>
      <c r="IT210" s="20"/>
      <c r="IU210" s="20"/>
      <c r="IV210" s="20"/>
      <c r="IW210" s="20"/>
    </row>
    <row r="211" spans="2:257" x14ac:dyDescent="0.2" hidden="true">
      <c r="B211" s="18" t="s">
        <v>542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20"/>
      <c r="GF211" s="20"/>
      <c r="GG211" s="20"/>
      <c r="GH211" s="20"/>
      <c r="GI211" s="20"/>
      <c r="GJ211" s="20"/>
      <c r="GK211" s="20"/>
      <c r="GL211" s="20"/>
      <c r="GM211" s="20"/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20"/>
      <c r="IO211" s="20"/>
      <c r="IP211" s="20"/>
      <c r="IQ211" s="20"/>
      <c r="IR211" s="20"/>
      <c r="IS211" s="20"/>
      <c r="IT211" s="20"/>
      <c r="IU211" s="20"/>
      <c r="IV211" s="20"/>
      <c r="IW211" s="20"/>
    </row>
    <row r="212" spans="2:257" x14ac:dyDescent="0.2" hidden="true">
      <c r="B212" s="18" t="s">
        <v>543</v>
      </c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/>
      <c r="HG212" s="20"/>
      <c r="HH212" s="20"/>
      <c r="HI212" s="20"/>
      <c r="HJ212" s="20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  <c r="IE212" s="20"/>
      <c r="IF212" s="20"/>
      <c r="IG212" s="20"/>
      <c r="IH212" s="20"/>
      <c r="II212" s="20"/>
      <c r="IJ212" s="20"/>
      <c r="IK212" s="20"/>
      <c r="IL212" s="20"/>
      <c r="IM212" s="20"/>
      <c r="IN212" s="20"/>
      <c r="IO212" s="20"/>
      <c r="IP212" s="20"/>
      <c r="IQ212" s="20"/>
      <c r="IR212" s="20"/>
      <c r="IS212" s="20"/>
      <c r="IT212" s="20"/>
      <c r="IU212" s="20"/>
      <c r="IV212" s="20"/>
      <c r="IW212" s="20"/>
    </row>
    <row r="213" spans="2:257" x14ac:dyDescent="0.2" hidden="true">
      <c r="B213" s="18" t="s">
        <v>544</v>
      </c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20"/>
      <c r="HJ213" s="20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  <c r="IE213" s="20"/>
      <c r="IF213" s="20"/>
      <c r="IG213" s="20"/>
      <c r="IH213" s="20"/>
      <c r="II213" s="20"/>
      <c r="IJ213" s="20"/>
      <c r="IK213" s="20"/>
      <c r="IL213" s="20"/>
      <c r="IM213" s="20"/>
      <c r="IN213" s="20"/>
      <c r="IO213" s="20"/>
      <c r="IP213" s="20"/>
      <c r="IQ213" s="20"/>
      <c r="IR213" s="20"/>
      <c r="IS213" s="20"/>
      <c r="IT213" s="20"/>
      <c r="IU213" s="20"/>
      <c r="IV213" s="20"/>
      <c r="IW213" s="20"/>
    </row>
    <row r="214" spans="2:257" x14ac:dyDescent="0.2" hidden="true">
      <c r="B214" s="18" t="s">
        <v>545</v>
      </c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20"/>
      <c r="HJ214" s="20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  <c r="IE214" s="20"/>
      <c r="IF214" s="20"/>
      <c r="IG214" s="20"/>
      <c r="IH214" s="20"/>
      <c r="II214" s="20"/>
      <c r="IJ214" s="20"/>
      <c r="IK214" s="20"/>
      <c r="IL214" s="20"/>
      <c r="IM214" s="20"/>
      <c r="IN214" s="20"/>
      <c r="IO214" s="20"/>
      <c r="IP214" s="20"/>
      <c r="IQ214" s="20"/>
      <c r="IR214" s="20"/>
      <c r="IS214" s="20"/>
      <c r="IT214" s="20"/>
      <c r="IU214" s="20"/>
      <c r="IV214" s="20"/>
      <c r="IW214" s="20"/>
    </row>
    <row r="215" spans="2:257" x14ac:dyDescent="0.2" hidden="true">
      <c r="B215" s="18" t="s">
        <v>546</v>
      </c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/>
      <c r="GZ215" s="20"/>
      <c r="HA215" s="20"/>
      <c r="HB215" s="20"/>
      <c r="HC215" s="20"/>
      <c r="HD215" s="20"/>
      <c r="HE215" s="20"/>
      <c r="HF215" s="20"/>
      <c r="HG215" s="20"/>
      <c r="HH215" s="20"/>
      <c r="HI215" s="20"/>
      <c r="HJ215" s="20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  <c r="IE215" s="20"/>
      <c r="IF215" s="20"/>
      <c r="IG215" s="20"/>
      <c r="IH215" s="20"/>
      <c r="II215" s="20"/>
      <c r="IJ215" s="20"/>
      <c r="IK215" s="20"/>
      <c r="IL215" s="20"/>
      <c r="IM215" s="20"/>
      <c r="IN215" s="20"/>
      <c r="IO215" s="20"/>
      <c r="IP215" s="20"/>
      <c r="IQ215" s="20"/>
      <c r="IR215" s="20"/>
      <c r="IS215" s="20"/>
      <c r="IT215" s="20"/>
      <c r="IU215" s="20"/>
      <c r="IV215" s="20"/>
      <c r="IW215" s="20"/>
    </row>
    <row r="216" spans="2:257" x14ac:dyDescent="0.2" hidden="true">
      <c r="B216" s="18" t="s">
        <v>547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20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20"/>
      <c r="HJ216" s="20"/>
      <c r="HK216" s="20"/>
      <c r="HL216" s="20"/>
      <c r="HM216" s="20"/>
      <c r="HN216" s="20"/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  <c r="IE216" s="20"/>
      <c r="IF216" s="20"/>
      <c r="IG216" s="20"/>
      <c r="IH216" s="20"/>
      <c r="II216" s="20"/>
      <c r="IJ216" s="20"/>
      <c r="IK216" s="20"/>
      <c r="IL216" s="20"/>
      <c r="IM216" s="20"/>
      <c r="IN216" s="20"/>
      <c r="IO216" s="20"/>
      <c r="IP216" s="20"/>
      <c r="IQ216" s="20"/>
      <c r="IR216" s="20"/>
      <c r="IS216" s="20"/>
      <c r="IT216" s="20"/>
      <c r="IU216" s="20"/>
      <c r="IV216" s="20"/>
      <c r="IW216" s="20"/>
    </row>
    <row r="217" spans="2:257" x14ac:dyDescent="0.2" hidden="true">
      <c r="B217" s="18" t="s">
        <v>548</v>
      </c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20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20"/>
      <c r="HJ217" s="20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  <c r="IE217" s="20"/>
      <c r="IF217" s="20"/>
      <c r="IG217" s="20"/>
      <c r="IH217" s="20"/>
      <c r="II217" s="20"/>
      <c r="IJ217" s="20"/>
      <c r="IK217" s="20"/>
      <c r="IL217" s="20"/>
      <c r="IM217" s="20"/>
      <c r="IN217" s="20"/>
      <c r="IO217" s="20"/>
      <c r="IP217" s="20"/>
      <c r="IQ217" s="20"/>
      <c r="IR217" s="20"/>
      <c r="IS217" s="20"/>
      <c r="IT217" s="20"/>
      <c r="IU217" s="20"/>
      <c r="IV217" s="20"/>
      <c r="IW217" s="20"/>
    </row>
    <row r="218" spans="2:257" x14ac:dyDescent="0.2" hidden="true">
      <c r="B218" s="18" t="s">
        <v>549</v>
      </c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20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20"/>
      <c r="HJ218" s="20"/>
      <c r="HK218" s="20"/>
      <c r="HL218" s="20"/>
      <c r="HM218" s="20"/>
      <c r="HN218" s="20"/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  <c r="IE218" s="20"/>
      <c r="IF218" s="20"/>
      <c r="IG218" s="20"/>
      <c r="IH218" s="20"/>
      <c r="II218" s="20"/>
      <c r="IJ218" s="20"/>
      <c r="IK218" s="20"/>
      <c r="IL218" s="20"/>
      <c r="IM218" s="20"/>
      <c r="IN218" s="20"/>
      <c r="IO218" s="20"/>
      <c r="IP218" s="20"/>
      <c r="IQ218" s="20"/>
      <c r="IR218" s="20"/>
      <c r="IS218" s="20"/>
      <c r="IT218" s="20"/>
      <c r="IU218" s="20"/>
      <c r="IV218" s="20"/>
      <c r="IW218" s="20"/>
    </row>
    <row r="219" spans="2:257" x14ac:dyDescent="0.2" hidden="true">
      <c r="B219" s="18" t="s">
        <v>550</v>
      </c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20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20"/>
      <c r="HJ219" s="20"/>
      <c r="HK219" s="20"/>
      <c r="HL219" s="20"/>
      <c r="HM219" s="20"/>
      <c r="HN219" s="20"/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  <c r="IE219" s="20"/>
      <c r="IF219" s="20"/>
      <c r="IG219" s="20"/>
      <c r="IH219" s="20"/>
      <c r="II219" s="20"/>
      <c r="IJ219" s="20"/>
      <c r="IK219" s="20"/>
      <c r="IL219" s="20"/>
      <c r="IM219" s="20"/>
      <c r="IN219" s="20"/>
      <c r="IO219" s="20"/>
      <c r="IP219" s="20"/>
      <c r="IQ219" s="20"/>
      <c r="IR219" s="20"/>
      <c r="IS219" s="20"/>
      <c r="IT219" s="20"/>
      <c r="IU219" s="20"/>
      <c r="IV219" s="20"/>
      <c r="IW219" s="20"/>
    </row>
    <row r="220" spans="2:257" x14ac:dyDescent="0.2" hidden="true">
      <c r="B220" s="18" t="s">
        <v>551</v>
      </c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20"/>
      <c r="GE220" s="20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20"/>
      <c r="HJ220" s="20"/>
      <c r="HK220" s="20"/>
      <c r="HL220" s="20"/>
      <c r="HM220" s="20"/>
      <c r="HN220" s="20"/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  <c r="IE220" s="20"/>
      <c r="IF220" s="20"/>
      <c r="IG220" s="20"/>
      <c r="IH220" s="20"/>
      <c r="II220" s="20"/>
      <c r="IJ220" s="20"/>
      <c r="IK220" s="20"/>
      <c r="IL220" s="20"/>
      <c r="IM220" s="20"/>
      <c r="IN220" s="20"/>
      <c r="IO220" s="20"/>
      <c r="IP220" s="20"/>
      <c r="IQ220" s="20"/>
      <c r="IR220" s="20"/>
      <c r="IS220" s="20"/>
      <c r="IT220" s="20"/>
      <c r="IU220" s="20"/>
      <c r="IV220" s="20"/>
      <c r="IW220" s="20"/>
    </row>
    <row r="221" spans="2:257" x14ac:dyDescent="0.2" hidden="true">
      <c r="B221" s="18" t="s">
        <v>552</v>
      </c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  <c r="GB221" s="20"/>
      <c r="GC221" s="20"/>
      <c r="GD221" s="20"/>
      <c r="GE221" s="20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20"/>
      <c r="HJ221" s="20"/>
      <c r="HK221" s="20"/>
      <c r="HL221" s="20"/>
      <c r="HM221" s="20"/>
      <c r="HN221" s="20"/>
      <c r="HO221" s="20"/>
      <c r="HP221" s="20"/>
      <c r="HQ221" s="20"/>
      <c r="HR221" s="20"/>
      <c r="HS221" s="20"/>
      <c r="HT221" s="20"/>
      <c r="HU221" s="20"/>
      <c r="HV221" s="20"/>
      <c r="HW221" s="20"/>
      <c r="HX221" s="20"/>
      <c r="HY221" s="20"/>
      <c r="HZ221" s="20"/>
      <c r="IA221" s="20"/>
      <c r="IB221" s="20"/>
      <c r="IC221" s="20"/>
      <c r="ID221" s="20"/>
      <c r="IE221" s="20"/>
      <c r="IF221" s="20"/>
      <c r="IG221" s="20"/>
      <c r="IH221" s="20"/>
      <c r="II221" s="20"/>
      <c r="IJ221" s="20"/>
      <c r="IK221" s="20"/>
      <c r="IL221" s="20"/>
      <c r="IM221" s="20"/>
      <c r="IN221" s="20"/>
      <c r="IO221" s="20"/>
      <c r="IP221" s="20"/>
      <c r="IQ221" s="20"/>
      <c r="IR221" s="20"/>
      <c r="IS221" s="20"/>
      <c r="IT221" s="20"/>
      <c r="IU221" s="20"/>
      <c r="IV221" s="20"/>
      <c r="IW221" s="20"/>
    </row>
    <row r="222" spans="2:257" x14ac:dyDescent="0.2" hidden="true">
      <c r="B222" s="18" t="s">
        <v>553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  <c r="GB222" s="20"/>
      <c r="GC222" s="20"/>
      <c r="GD222" s="20"/>
      <c r="GE222" s="20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20"/>
      <c r="HJ222" s="20"/>
      <c r="HK222" s="20"/>
      <c r="HL222" s="20"/>
      <c r="HM222" s="20"/>
      <c r="HN222" s="20"/>
      <c r="HO222" s="20"/>
      <c r="HP222" s="20"/>
      <c r="HQ222" s="20"/>
      <c r="HR222" s="20"/>
      <c r="HS222" s="20"/>
      <c r="HT222" s="20"/>
      <c r="HU222" s="20"/>
      <c r="HV222" s="20"/>
      <c r="HW222" s="20"/>
      <c r="HX222" s="20"/>
      <c r="HY222" s="20"/>
      <c r="HZ222" s="20"/>
      <c r="IA222" s="20"/>
      <c r="IB222" s="20"/>
      <c r="IC222" s="20"/>
      <c r="ID222" s="20"/>
      <c r="IE222" s="20"/>
      <c r="IF222" s="20"/>
      <c r="IG222" s="20"/>
      <c r="IH222" s="20"/>
      <c r="II222" s="20"/>
      <c r="IJ222" s="20"/>
      <c r="IK222" s="20"/>
      <c r="IL222" s="20"/>
      <c r="IM222" s="20"/>
      <c r="IN222" s="20"/>
      <c r="IO222" s="20"/>
      <c r="IP222" s="20"/>
      <c r="IQ222" s="20"/>
      <c r="IR222" s="20"/>
      <c r="IS222" s="20"/>
      <c r="IT222" s="20"/>
      <c r="IU222" s="20"/>
      <c r="IV222" s="20"/>
      <c r="IW222" s="20"/>
    </row>
    <row r="223" spans="2:257" x14ac:dyDescent="0.2" hidden="true">
      <c r="B223" s="18" t="s">
        <v>554</v>
      </c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  <c r="GB223" s="20"/>
      <c r="GC223" s="20"/>
      <c r="GD223" s="20"/>
      <c r="GE223" s="20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20"/>
      <c r="HJ223" s="20"/>
      <c r="HK223" s="20"/>
      <c r="HL223" s="20"/>
      <c r="HM223" s="20"/>
      <c r="HN223" s="20"/>
      <c r="HO223" s="20"/>
      <c r="HP223" s="20"/>
      <c r="HQ223" s="20"/>
      <c r="HR223" s="20"/>
      <c r="HS223" s="20"/>
      <c r="HT223" s="20"/>
      <c r="HU223" s="20"/>
      <c r="HV223" s="20"/>
      <c r="HW223" s="20"/>
      <c r="HX223" s="20"/>
      <c r="HY223" s="20"/>
      <c r="HZ223" s="20"/>
      <c r="IA223" s="20"/>
      <c r="IB223" s="20"/>
      <c r="IC223" s="20"/>
      <c r="ID223" s="20"/>
      <c r="IE223" s="20"/>
      <c r="IF223" s="20"/>
      <c r="IG223" s="20"/>
      <c r="IH223" s="20"/>
      <c r="II223" s="20"/>
      <c r="IJ223" s="20"/>
      <c r="IK223" s="20"/>
      <c r="IL223" s="20"/>
      <c r="IM223" s="20"/>
      <c r="IN223" s="20"/>
      <c r="IO223" s="20"/>
      <c r="IP223" s="20"/>
      <c r="IQ223" s="20"/>
      <c r="IR223" s="20"/>
      <c r="IS223" s="20"/>
      <c r="IT223" s="20"/>
      <c r="IU223" s="20"/>
      <c r="IV223" s="20"/>
      <c r="IW223" s="20"/>
    </row>
    <row r="224" spans="2:257" x14ac:dyDescent="0.2" hidden="true">
      <c r="B224" s="18" t="s">
        <v>555</v>
      </c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  <c r="GB224" s="20"/>
      <c r="GC224" s="20"/>
      <c r="GD224" s="20"/>
      <c r="GE224" s="20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20"/>
      <c r="HJ224" s="20"/>
      <c r="HK224" s="20"/>
      <c r="HL224" s="20"/>
      <c r="HM224" s="20"/>
      <c r="HN224" s="20"/>
      <c r="HO224" s="20"/>
      <c r="HP224" s="20"/>
      <c r="HQ224" s="20"/>
      <c r="HR224" s="20"/>
      <c r="HS224" s="20"/>
      <c r="HT224" s="20"/>
      <c r="HU224" s="20"/>
      <c r="HV224" s="20"/>
      <c r="HW224" s="20"/>
      <c r="HX224" s="20"/>
      <c r="HY224" s="20"/>
      <c r="HZ224" s="20"/>
      <c r="IA224" s="20"/>
      <c r="IB224" s="20"/>
      <c r="IC224" s="20"/>
      <c r="ID224" s="20"/>
      <c r="IE224" s="20"/>
      <c r="IF224" s="20"/>
      <c r="IG224" s="20"/>
      <c r="IH224" s="20"/>
      <c r="II224" s="20"/>
      <c r="IJ224" s="20"/>
      <c r="IK224" s="20"/>
      <c r="IL224" s="20"/>
      <c r="IM224" s="20"/>
      <c r="IN224" s="20"/>
      <c r="IO224" s="20"/>
      <c r="IP224" s="20"/>
      <c r="IQ224" s="20"/>
      <c r="IR224" s="20"/>
      <c r="IS224" s="20"/>
      <c r="IT224" s="20"/>
      <c r="IU224" s="20"/>
      <c r="IV224" s="20"/>
      <c r="IW224" s="20"/>
    </row>
    <row r="225" spans="2:257" x14ac:dyDescent="0.2" hidden="true">
      <c r="B225" s="18" t="s">
        <v>556</v>
      </c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  <c r="GB225" s="20"/>
      <c r="GC225" s="20"/>
      <c r="GD225" s="20"/>
      <c r="GE225" s="20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20"/>
      <c r="HJ225" s="20"/>
      <c r="HK225" s="20"/>
      <c r="HL225" s="20"/>
      <c r="HM225" s="20"/>
      <c r="HN225" s="20"/>
      <c r="HO225" s="20"/>
      <c r="HP225" s="20"/>
      <c r="HQ225" s="20"/>
      <c r="HR225" s="20"/>
      <c r="HS225" s="20"/>
      <c r="HT225" s="20"/>
      <c r="HU225" s="20"/>
      <c r="HV225" s="20"/>
      <c r="HW225" s="20"/>
      <c r="HX225" s="20"/>
      <c r="HY225" s="20"/>
      <c r="HZ225" s="20"/>
      <c r="IA225" s="20"/>
      <c r="IB225" s="20"/>
      <c r="IC225" s="20"/>
      <c r="ID225" s="20"/>
      <c r="IE225" s="20"/>
      <c r="IF225" s="20"/>
      <c r="IG225" s="20"/>
      <c r="IH225" s="20"/>
      <c r="II225" s="20"/>
      <c r="IJ225" s="20"/>
      <c r="IK225" s="20"/>
      <c r="IL225" s="20"/>
      <c r="IM225" s="20"/>
      <c r="IN225" s="20"/>
      <c r="IO225" s="20"/>
      <c r="IP225" s="20"/>
      <c r="IQ225" s="20"/>
      <c r="IR225" s="20"/>
      <c r="IS225" s="20"/>
      <c r="IT225" s="20"/>
      <c r="IU225" s="20"/>
      <c r="IV225" s="20"/>
      <c r="IW225" s="20"/>
    </row>
    <row r="226" spans="2:257" x14ac:dyDescent="0.2" hidden="true">
      <c r="B226" s="18" t="s">
        <v>557</v>
      </c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  <c r="IV226" s="20"/>
      <c r="IW226" s="20"/>
    </row>
    <row r="227" spans="2:257" x14ac:dyDescent="0.2" hidden="true">
      <c r="B227" s="18" t="s">
        <v>558</v>
      </c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  <c r="IV227" s="20"/>
      <c r="IW227" s="20"/>
    </row>
    <row r="228" spans="2:257" x14ac:dyDescent="0.2" hidden="true">
      <c r="B228" s="18" t="s">
        <v>559</v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  <c r="HN228" s="20"/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20"/>
      <c r="IO228" s="20"/>
      <c r="IP228" s="20"/>
      <c r="IQ228" s="20"/>
      <c r="IR228" s="20"/>
      <c r="IS228" s="20"/>
      <c r="IT228" s="20"/>
      <c r="IU228" s="20"/>
      <c r="IV228" s="20"/>
      <c r="IW228" s="20"/>
    </row>
    <row r="229" spans="2:257" x14ac:dyDescent="0.2" hidden="true">
      <c r="B229" s="18" t="s">
        <v>560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</row>
    <row r="230" spans="2:257" x14ac:dyDescent="0.2" hidden="true">
      <c r="B230" s="18" t="s">
        <v>561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</row>
    <row r="231" spans="2:257" x14ac:dyDescent="0.2" hidden="true">
      <c r="B231" s="18" t="s">
        <v>562</v>
      </c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20"/>
      <c r="GE231" s="20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20"/>
      <c r="HJ231" s="20"/>
      <c r="HK231" s="20"/>
      <c r="HL231" s="20"/>
      <c r="HM231" s="20"/>
      <c r="HN231" s="20"/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20"/>
      <c r="IO231" s="20"/>
      <c r="IP231" s="20"/>
      <c r="IQ231" s="20"/>
      <c r="IR231" s="20"/>
      <c r="IS231" s="20"/>
      <c r="IT231" s="20"/>
      <c r="IU231" s="20"/>
      <c r="IV231" s="20"/>
      <c r="IW231" s="20"/>
    </row>
    <row r="232" spans="2:257" x14ac:dyDescent="0.2" hidden="true">
      <c r="B232" s="18" t="s">
        <v>563</v>
      </c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</row>
    <row r="233" spans="2:257" x14ac:dyDescent="0.2" hidden="true">
      <c r="B233" s="18" t="s">
        <v>564</v>
      </c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</row>
    <row r="234" spans="2:257" x14ac:dyDescent="0.2" hidden="true">
      <c r="B234" s="18" t="s">
        <v>565</v>
      </c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  <c r="HN234" s="20"/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20"/>
      <c r="IO234" s="20"/>
      <c r="IP234" s="20"/>
      <c r="IQ234" s="20"/>
      <c r="IR234" s="20"/>
      <c r="IS234" s="20"/>
      <c r="IT234" s="20"/>
      <c r="IU234" s="20"/>
      <c r="IV234" s="20"/>
      <c r="IW234" s="20"/>
    </row>
    <row r="235" spans="2:257" x14ac:dyDescent="0.2" hidden="true">
      <c r="B235" s="18" t="s">
        <v>566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  <c r="HN235" s="20"/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20"/>
      <c r="IO235" s="20"/>
      <c r="IP235" s="20"/>
      <c r="IQ235" s="20"/>
      <c r="IR235" s="20"/>
      <c r="IS235" s="20"/>
      <c r="IT235" s="20"/>
      <c r="IU235" s="20"/>
      <c r="IV235" s="20"/>
      <c r="IW235" s="20"/>
    </row>
    <row r="236" spans="2:257" x14ac:dyDescent="0.2" hidden="true">
      <c r="B236" s="18" t="s">
        <v>567</v>
      </c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  <c r="HN236" s="20"/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20"/>
      <c r="IO236" s="20"/>
      <c r="IP236" s="20"/>
      <c r="IQ236" s="20"/>
      <c r="IR236" s="20"/>
      <c r="IS236" s="20"/>
      <c r="IT236" s="20"/>
      <c r="IU236" s="20"/>
      <c r="IV236" s="20"/>
      <c r="IW236" s="20"/>
    </row>
    <row r="237" spans="2:257" x14ac:dyDescent="0.2" hidden="true">
      <c r="B237" s="18" t="s">
        <v>568</v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</row>
    <row r="238" spans="2:257" x14ac:dyDescent="0.2" hidden="true">
      <c r="B238" s="18" t="s">
        <v>569</v>
      </c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</row>
    <row r="239" spans="2:257" x14ac:dyDescent="0.2" hidden="true">
      <c r="B239" s="18" t="s">
        <v>570</v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</row>
    <row r="240" spans="2:257" x14ac:dyDescent="0.2" hidden="true">
      <c r="B240" s="18" t="s">
        <v>571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  <c r="HN240" s="20"/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20"/>
      <c r="IO240" s="20"/>
      <c r="IP240" s="20"/>
      <c r="IQ240" s="20"/>
      <c r="IR240" s="20"/>
      <c r="IS240" s="20"/>
      <c r="IT240" s="20"/>
      <c r="IU240" s="20"/>
      <c r="IV240" s="20"/>
      <c r="IW240" s="20"/>
    </row>
    <row r="241" spans="2:257" x14ac:dyDescent="0.2" hidden="true">
      <c r="B241" s="18" t="s">
        <v>572</v>
      </c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</row>
    <row r="242" spans="2:257" x14ac:dyDescent="0.2" hidden="true">
      <c r="B242" s="18" t="s">
        <v>573</v>
      </c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</row>
    <row r="243" spans="2:257" x14ac:dyDescent="0.2" hidden="true">
      <c r="B243" s="18" t="s">
        <v>574</v>
      </c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</row>
    <row r="244" spans="2:257" x14ac:dyDescent="0.2" hidden="true">
      <c r="B244" s="18" t="s">
        <v>575</v>
      </c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20"/>
      <c r="GE244" s="20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20"/>
      <c r="HJ244" s="20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20"/>
      <c r="IO244" s="20"/>
      <c r="IP244" s="20"/>
      <c r="IQ244" s="20"/>
      <c r="IR244" s="20"/>
      <c r="IS244" s="20"/>
      <c r="IT244" s="20"/>
      <c r="IU244" s="20"/>
      <c r="IV244" s="20"/>
      <c r="IW244" s="20"/>
    </row>
    <row r="245" spans="2:257" x14ac:dyDescent="0.2" hidden="true">
      <c r="B245" s="18" t="s">
        <v>576</v>
      </c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20"/>
      <c r="GE245" s="20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20"/>
      <c r="HJ245" s="20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20"/>
      <c r="IO245" s="20"/>
      <c r="IP245" s="20"/>
      <c r="IQ245" s="20"/>
      <c r="IR245" s="20"/>
      <c r="IS245" s="20"/>
      <c r="IT245" s="20"/>
      <c r="IU245" s="20"/>
      <c r="IV245" s="20"/>
      <c r="IW245" s="20"/>
    </row>
    <row r="246" spans="2:257" x14ac:dyDescent="0.2" hidden="true">
      <c r="B246" s="18" t="s">
        <v>577</v>
      </c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20"/>
      <c r="IO246" s="20"/>
      <c r="IP246" s="20"/>
      <c r="IQ246" s="20"/>
      <c r="IR246" s="20"/>
      <c r="IS246" s="20"/>
      <c r="IT246" s="20"/>
      <c r="IU246" s="20"/>
      <c r="IV246" s="20"/>
      <c r="IW246" s="20"/>
    </row>
    <row r="247" spans="2:257" x14ac:dyDescent="0.2" hidden="true">
      <c r="B247" s="18" t="s">
        <v>578</v>
      </c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20"/>
      <c r="IO247" s="20"/>
      <c r="IP247" s="20"/>
      <c r="IQ247" s="20"/>
      <c r="IR247" s="20"/>
      <c r="IS247" s="20"/>
      <c r="IT247" s="20"/>
      <c r="IU247" s="20"/>
      <c r="IV247" s="20"/>
      <c r="IW247" s="20"/>
    </row>
    <row r="248" spans="2:257" x14ac:dyDescent="0.2" hidden="true">
      <c r="B248" s="18" t="s">
        <v>579</v>
      </c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</row>
    <row r="249" spans="2:257" x14ac:dyDescent="0.2" hidden="true">
      <c r="B249" s="18" t="s">
        <v>580</v>
      </c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</row>
    <row r="250" spans="2:257" x14ac:dyDescent="0.2" hidden="true">
      <c r="B250" s="18" t="s">
        <v>581</v>
      </c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</row>
    <row r="251" spans="2:257" x14ac:dyDescent="0.2" hidden="true">
      <c r="B251" s="18" t="s">
        <v>582</v>
      </c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/>
      <c r="IM251" s="20"/>
      <c r="IN251" s="20"/>
      <c r="IO251" s="20"/>
      <c r="IP251" s="20"/>
      <c r="IQ251" s="20"/>
      <c r="IR251" s="20"/>
      <c r="IS251" s="20"/>
      <c r="IT251" s="20"/>
      <c r="IU251" s="20"/>
      <c r="IV251" s="20"/>
      <c r="IW251" s="20"/>
    </row>
    <row r="252" spans="2:257" x14ac:dyDescent="0.2" hidden="true">
      <c r="B252" s="18" t="s">
        <v>583</v>
      </c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20"/>
      <c r="GE252" s="20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20"/>
      <c r="HJ252" s="20"/>
      <c r="HK252" s="20"/>
      <c r="HL252" s="20"/>
      <c r="HM252" s="20"/>
      <c r="HN252" s="20"/>
      <c r="HO252" s="20"/>
      <c r="HP252" s="20"/>
      <c r="HQ252" s="20"/>
      <c r="HR252" s="20"/>
      <c r="HS252" s="20"/>
      <c r="HT252" s="20"/>
      <c r="HU252" s="20"/>
      <c r="HV252" s="20"/>
      <c r="HW252" s="20"/>
      <c r="HX252" s="20"/>
      <c r="HY252" s="20"/>
      <c r="HZ252" s="20"/>
      <c r="IA252" s="20"/>
      <c r="IB252" s="20"/>
      <c r="IC252" s="20"/>
      <c r="ID252" s="20"/>
      <c r="IE252" s="20"/>
      <c r="IF252" s="20"/>
      <c r="IG252" s="20"/>
      <c r="IH252" s="20"/>
      <c r="II252" s="20"/>
      <c r="IJ252" s="20"/>
      <c r="IK252" s="20"/>
      <c r="IL252" s="20"/>
      <c r="IM252" s="20"/>
      <c r="IN252" s="20"/>
      <c r="IO252" s="20"/>
      <c r="IP252" s="20"/>
      <c r="IQ252" s="20"/>
      <c r="IR252" s="20"/>
      <c r="IS252" s="20"/>
      <c r="IT252" s="20"/>
      <c r="IU252" s="20"/>
      <c r="IV252" s="20"/>
      <c r="IW252" s="20"/>
    </row>
    <row r="253" spans="2:257" x14ac:dyDescent="0.2" hidden="true">
      <c r="B253" s="18" t="s">
        <v>584</v>
      </c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  <c r="FZ253" s="20"/>
      <c r="GA253" s="20"/>
      <c r="GB253" s="20"/>
      <c r="GC253" s="20"/>
      <c r="GD253" s="20"/>
      <c r="GE253" s="20"/>
      <c r="GF253" s="20"/>
      <c r="GG253" s="20"/>
      <c r="GH253" s="20"/>
      <c r="GI253" s="20"/>
      <c r="GJ253" s="20"/>
      <c r="GK253" s="20"/>
      <c r="GL253" s="20"/>
      <c r="GM253" s="20"/>
      <c r="GN253" s="20"/>
      <c r="GO253" s="20"/>
      <c r="GP253" s="20"/>
      <c r="GQ253" s="20"/>
      <c r="GR253" s="20"/>
      <c r="GS253" s="20"/>
      <c r="GT253" s="20"/>
      <c r="GU253" s="20"/>
      <c r="GV253" s="20"/>
      <c r="GW253" s="20"/>
      <c r="GX253" s="20"/>
      <c r="GY253" s="20"/>
      <c r="GZ253" s="20"/>
      <c r="HA253" s="20"/>
      <c r="HB253" s="20"/>
      <c r="HC253" s="20"/>
      <c r="HD253" s="20"/>
      <c r="HE253" s="20"/>
      <c r="HF253" s="20"/>
      <c r="HG253" s="20"/>
      <c r="HH253" s="20"/>
      <c r="HI253" s="20"/>
      <c r="HJ253" s="20"/>
      <c r="HK253" s="20"/>
      <c r="HL253" s="20"/>
      <c r="HM253" s="20"/>
      <c r="HN253" s="20"/>
      <c r="HO253" s="20"/>
      <c r="HP253" s="20"/>
      <c r="HQ253" s="20"/>
      <c r="HR253" s="20"/>
      <c r="HS253" s="20"/>
      <c r="HT253" s="20"/>
      <c r="HU253" s="20"/>
      <c r="HV253" s="20"/>
      <c r="HW253" s="20"/>
      <c r="HX253" s="20"/>
      <c r="HY253" s="20"/>
      <c r="HZ253" s="20"/>
      <c r="IA253" s="20"/>
      <c r="IB253" s="20"/>
      <c r="IC253" s="20"/>
      <c r="ID253" s="20"/>
      <c r="IE253" s="20"/>
      <c r="IF253" s="20"/>
      <c r="IG253" s="20"/>
      <c r="IH253" s="20"/>
      <c r="II253" s="20"/>
      <c r="IJ253" s="20"/>
      <c r="IK253" s="20"/>
      <c r="IL253" s="20"/>
      <c r="IM253" s="20"/>
      <c r="IN253" s="20"/>
      <c r="IO253" s="20"/>
      <c r="IP253" s="20"/>
      <c r="IQ253" s="20"/>
      <c r="IR253" s="20"/>
      <c r="IS253" s="20"/>
      <c r="IT253" s="20"/>
      <c r="IU253" s="20"/>
      <c r="IV253" s="20"/>
      <c r="IW253" s="20"/>
    </row>
    <row r="254" spans="2:257" x14ac:dyDescent="0.2" hidden="true">
      <c r="B254" s="18" t="s">
        <v>585</v>
      </c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  <c r="GB254" s="20"/>
      <c r="GC254" s="20"/>
      <c r="GD254" s="20"/>
      <c r="GE254" s="20"/>
      <c r="GF254" s="20"/>
      <c r="GG254" s="20"/>
      <c r="GH254" s="20"/>
      <c r="GI254" s="20"/>
      <c r="GJ254" s="20"/>
      <c r="GK254" s="20"/>
      <c r="GL254" s="20"/>
      <c r="GM254" s="20"/>
      <c r="GN254" s="20"/>
      <c r="GO254" s="20"/>
      <c r="GP254" s="20"/>
      <c r="GQ254" s="20"/>
      <c r="GR254" s="20"/>
      <c r="GS254" s="20"/>
      <c r="GT254" s="20"/>
      <c r="GU254" s="20"/>
      <c r="GV254" s="20"/>
      <c r="GW254" s="20"/>
      <c r="GX254" s="20"/>
      <c r="GY254" s="20"/>
      <c r="GZ254" s="20"/>
      <c r="HA254" s="20"/>
      <c r="HB254" s="20"/>
      <c r="HC254" s="20"/>
      <c r="HD254" s="20"/>
      <c r="HE254" s="20"/>
      <c r="HF254" s="20"/>
      <c r="HG254" s="20"/>
      <c r="HH254" s="20"/>
      <c r="HI254" s="20"/>
      <c r="HJ254" s="20"/>
      <c r="HK254" s="20"/>
      <c r="HL254" s="20"/>
      <c r="HM254" s="20"/>
      <c r="HN254" s="20"/>
      <c r="HO254" s="20"/>
      <c r="HP254" s="20"/>
      <c r="HQ254" s="20"/>
      <c r="HR254" s="20"/>
      <c r="HS254" s="20"/>
      <c r="HT254" s="20"/>
      <c r="HU254" s="20"/>
      <c r="HV254" s="20"/>
      <c r="HW254" s="20"/>
      <c r="HX254" s="20"/>
      <c r="HY254" s="20"/>
      <c r="HZ254" s="20"/>
      <c r="IA254" s="20"/>
      <c r="IB254" s="20"/>
      <c r="IC254" s="20"/>
      <c r="ID254" s="20"/>
      <c r="IE254" s="20"/>
      <c r="IF254" s="20"/>
      <c r="IG254" s="20"/>
      <c r="IH254" s="20"/>
      <c r="II254" s="20"/>
      <c r="IJ254" s="20"/>
      <c r="IK254" s="20"/>
      <c r="IL254" s="20"/>
      <c r="IM254" s="20"/>
      <c r="IN254" s="20"/>
      <c r="IO254" s="20"/>
      <c r="IP254" s="20"/>
      <c r="IQ254" s="20"/>
      <c r="IR254" s="20"/>
      <c r="IS254" s="20"/>
      <c r="IT254" s="20"/>
      <c r="IU254" s="20"/>
      <c r="IV254" s="20"/>
      <c r="IW254" s="20"/>
    </row>
    <row r="255" spans="2:257" x14ac:dyDescent="0.2" hidden="true">
      <c r="B255" s="18" t="s">
        <v>586</v>
      </c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  <c r="GB255" s="20"/>
      <c r="GC255" s="20"/>
      <c r="GD255" s="20"/>
      <c r="GE255" s="20"/>
      <c r="GF255" s="20"/>
      <c r="GG255" s="20"/>
      <c r="GH255" s="20"/>
      <c r="GI255" s="20"/>
      <c r="GJ255" s="20"/>
      <c r="GK255" s="20"/>
      <c r="GL255" s="20"/>
      <c r="GM255" s="20"/>
      <c r="GN255" s="20"/>
      <c r="GO255" s="20"/>
      <c r="GP255" s="20"/>
      <c r="GQ255" s="20"/>
      <c r="GR255" s="20"/>
      <c r="GS255" s="20"/>
      <c r="GT255" s="20"/>
      <c r="GU255" s="20"/>
      <c r="GV255" s="20"/>
      <c r="GW255" s="20"/>
      <c r="GX255" s="20"/>
      <c r="GY255" s="20"/>
      <c r="GZ255" s="20"/>
      <c r="HA255" s="20"/>
      <c r="HB255" s="20"/>
      <c r="HC255" s="20"/>
      <c r="HD255" s="20"/>
      <c r="HE255" s="20"/>
      <c r="HF255" s="20"/>
      <c r="HG255" s="20"/>
      <c r="HH255" s="20"/>
      <c r="HI255" s="20"/>
      <c r="HJ255" s="20"/>
      <c r="HK255" s="20"/>
      <c r="HL255" s="20"/>
      <c r="HM255" s="20"/>
      <c r="HN255" s="20"/>
      <c r="HO255" s="20"/>
      <c r="HP255" s="20"/>
      <c r="HQ255" s="20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20"/>
      <c r="ID255" s="20"/>
      <c r="IE255" s="20"/>
      <c r="IF255" s="20"/>
      <c r="IG255" s="20"/>
      <c r="IH255" s="20"/>
      <c r="II255" s="20"/>
      <c r="IJ255" s="20"/>
      <c r="IK255" s="20"/>
      <c r="IL255" s="20"/>
      <c r="IM255" s="20"/>
      <c r="IN255" s="20"/>
      <c r="IO255" s="20"/>
      <c r="IP255" s="20"/>
      <c r="IQ255" s="20"/>
      <c r="IR255" s="20"/>
      <c r="IS255" s="20"/>
      <c r="IT255" s="20"/>
      <c r="IU255" s="20"/>
      <c r="IV255" s="20"/>
      <c r="IW255" s="20"/>
    </row>
    <row r="256" spans="2:257" x14ac:dyDescent="0.2" hidden="true">
      <c r="B256" s="18" t="s">
        <v>587</v>
      </c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  <c r="FZ256" s="20"/>
      <c r="GA256" s="20"/>
      <c r="GB256" s="20"/>
      <c r="GC256" s="20"/>
      <c r="GD256" s="20"/>
      <c r="GE256" s="20"/>
      <c r="GF256" s="20"/>
      <c r="GG256" s="20"/>
      <c r="GH256" s="20"/>
      <c r="GI256" s="20"/>
      <c r="GJ256" s="20"/>
      <c r="GK256" s="20"/>
      <c r="GL256" s="20"/>
      <c r="GM256" s="20"/>
      <c r="GN256" s="20"/>
      <c r="GO256" s="20"/>
      <c r="GP256" s="20"/>
      <c r="GQ256" s="20"/>
      <c r="GR256" s="20"/>
      <c r="GS256" s="20"/>
      <c r="GT256" s="20"/>
      <c r="GU256" s="20"/>
      <c r="GV256" s="20"/>
      <c r="GW256" s="20"/>
      <c r="GX256" s="20"/>
      <c r="GY256" s="20"/>
      <c r="GZ256" s="20"/>
      <c r="HA256" s="20"/>
      <c r="HB256" s="20"/>
      <c r="HC256" s="20"/>
      <c r="HD256" s="20"/>
      <c r="HE256" s="20"/>
      <c r="HF256" s="20"/>
      <c r="HG256" s="20"/>
      <c r="HH256" s="20"/>
      <c r="HI256" s="20"/>
      <c r="HJ256" s="20"/>
      <c r="HK256" s="20"/>
      <c r="HL256" s="20"/>
      <c r="HM256" s="20"/>
      <c r="HN256" s="20"/>
      <c r="HO256" s="20"/>
      <c r="HP256" s="20"/>
      <c r="HQ256" s="20"/>
      <c r="HR256" s="20"/>
      <c r="HS256" s="20"/>
      <c r="HT256" s="20"/>
      <c r="HU256" s="20"/>
      <c r="HV256" s="20"/>
      <c r="HW256" s="20"/>
      <c r="HX256" s="20"/>
      <c r="HY256" s="20"/>
      <c r="HZ256" s="20"/>
      <c r="IA256" s="20"/>
      <c r="IB256" s="20"/>
      <c r="IC256" s="20"/>
      <c r="ID256" s="20"/>
      <c r="IE256" s="20"/>
      <c r="IF256" s="20"/>
      <c r="IG256" s="20"/>
      <c r="IH256" s="20"/>
      <c r="II256" s="20"/>
      <c r="IJ256" s="20"/>
      <c r="IK256" s="20"/>
      <c r="IL256" s="20"/>
      <c r="IM256" s="20"/>
      <c r="IN256" s="20"/>
      <c r="IO256" s="20"/>
      <c r="IP256" s="20"/>
      <c r="IQ256" s="20"/>
      <c r="IR256" s="20"/>
      <c r="IS256" s="20"/>
      <c r="IT256" s="20"/>
      <c r="IU256" s="20"/>
      <c r="IV256" s="20"/>
      <c r="IW256" s="20"/>
    </row>
    <row r="257" spans="2:257" x14ac:dyDescent="0.2" hidden="true">
      <c r="B257" s="18" t="s">
        <v>588</v>
      </c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  <c r="FM257" s="20"/>
      <c r="FN257" s="20"/>
      <c r="FO257" s="20"/>
      <c r="FP257" s="20"/>
      <c r="FQ257" s="20"/>
      <c r="FR257" s="20"/>
      <c r="FS257" s="20"/>
      <c r="FT257" s="20"/>
      <c r="FU257" s="20"/>
      <c r="FV257" s="20"/>
      <c r="FW257" s="20"/>
      <c r="FX257" s="20"/>
      <c r="FY257" s="20"/>
      <c r="FZ257" s="20"/>
      <c r="GA257" s="20"/>
      <c r="GB257" s="20"/>
      <c r="GC257" s="20"/>
      <c r="GD257" s="20"/>
      <c r="GE257" s="20"/>
      <c r="GF257" s="20"/>
      <c r="GG257" s="20"/>
      <c r="GH257" s="20"/>
      <c r="GI257" s="20"/>
      <c r="GJ257" s="20"/>
      <c r="GK257" s="20"/>
      <c r="GL257" s="20"/>
      <c r="GM257" s="20"/>
      <c r="GN257" s="20"/>
      <c r="GO257" s="20"/>
      <c r="GP257" s="20"/>
      <c r="GQ257" s="20"/>
      <c r="GR257" s="20"/>
      <c r="GS257" s="20"/>
      <c r="GT257" s="20"/>
      <c r="GU257" s="20"/>
      <c r="GV257" s="20"/>
      <c r="GW257" s="20"/>
      <c r="GX257" s="20"/>
      <c r="GY257" s="20"/>
      <c r="GZ257" s="20"/>
      <c r="HA257" s="20"/>
      <c r="HB257" s="20"/>
      <c r="HC257" s="20"/>
      <c r="HD257" s="20"/>
      <c r="HE257" s="20"/>
      <c r="HF257" s="20"/>
      <c r="HG257" s="20"/>
      <c r="HH257" s="20"/>
      <c r="HI257" s="20"/>
      <c r="HJ257" s="20"/>
      <c r="HK257" s="20"/>
      <c r="HL257" s="20"/>
      <c r="HM257" s="20"/>
      <c r="HN257" s="20"/>
      <c r="HO257" s="20"/>
      <c r="HP257" s="20"/>
      <c r="HQ257" s="20"/>
      <c r="HR257" s="20"/>
      <c r="HS257" s="20"/>
      <c r="HT257" s="20"/>
      <c r="HU257" s="20"/>
      <c r="HV257" s="20"/>
      <c r="HW257" s="20"/>
      <c r="HX257" s="20"/>
      <c r="HY257" s="20"/>
      <c r="HZ257" s="20"/>
      <c r="IA257" s="20"/>
      <c r="IB257" s="20"/>
      <c r="IC257" s="20"/>
      <c r="ID257" s="20"/>
      <c r="IE257" s="20"/>
      <c r="IF257" s="20"/>
      <c r="IG257" s="20"/>
      <c r="IH257" s="20"/>
      <c r="II257" s="20"/>
      <c r="IJ257" s="20"/>
      <c r="IK257" s="20"/>
      <c r="IL257" s="20"/>
      <c r="IM257" s="20"/>
      <c r="IN257" s="20"/>
      <c r="IO257" s="20"/>
      <c r="IP257" s="20"/>
      <c r="IQ257" s="20"/>
      <c r="IR257" s="20"/>
      <c r="IS257" s="20"/>
      <c r="IT257" s="20"/>
      <c r="IU257" s="20"/>
      <c r="IV257" s="20"/>
      <c r="IW257" s="20"/>
    </row>
    <row r="258" spans="2:257" x14ac:dyDescent="0.2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4"/>
      <c r="N258" s="5"/>
      <c r="O258" s="5"/>
    </row>
    <row r="259" spans="2:257" ht="15" customHeight="1" x14ac:dyDescent="0.2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6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5.21875" collapsed="false"/>
    <col min="2" max="2" customWidth="true" hidden="true" style="10" width="11.66406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0.0" collapsed="false"/>
    <col min="11" max="11" customWidth="true" style="10" width="32.886718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8</v>
      </c>
      <c r="K1" s="8" t="s">
        <v>834</v>
      </c>
    </row>
    <row r="2" spans="1:11" x14ac:dyDescent="0.2">
      <c r="A2" s="10" t="str">
        <f>C2&amp;"（"&amp;D2&amp;"）"</f>
        <v>介護サービス自給率（短期入所系）［地域比較］（令和7年(2025年)）</v>
      </c>
      <c r="B2" s="10" t="str">
        <f>"（時点）"&amp;D2</f>
        <v>（時点）令和7年(2025年)</v>
      </c>
      <c r="C2" s="11" t="s">
        <v>895</v>
      </c>
      <c r="D2" s="11" t="s">
        <v>896</v>
      </c>
      <c r="E2" s="11" t="s">
        <v>835</v>
      </c>
      <c r="F2" s="11" t="str">
        <f>IF(H2="",G2,G2 &amp; "（" &amp; H2 &amp; "）")</f>
        <v>介護サービス自給率（％）</v>
      </c>
      <c r="G2" s="11" t="s">
        <v>897</v>
      </c>
      <c r="H2" s="11" t="s">
        <v>898</v>
      </c>
      <c r="I2" s="11" t="s">
        <v>899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900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640625" defaultRowHeight="17.399999999999999" x14ac:dyDescent="0.2"/>
  <cols>
    <col min="259" max="16384" style="3" width="14.6640625" collapsed="true"/>
    <col min="258" max="258" style="3" width="14.6640625" collapsed="true" hidden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4" max="62" customWidth="true" style="3" width="14.6640625" collapsed="true"/>
    <col min="1" max="1" customWidth="true" style="3" width="9.0" collapsed="false"/>
    <col min="2" max="2" customWidth="true" style="14" width="36.4375" collapsed="false" bestFit="true"/>
    <col min="3" max="3" customWidth="true" style="14" width="7.90625" collapsed="false" bestFit="true"/>
    <col min="63" max="63" customWidth="true" style="3" width="14.6640625" collapsed="false" hidden="true"/>
    <col min="64" max="64" style="3" width="14.6640625" collapsed="false" hidden="true"/>
  </cols>
  <sheetData>
    <row r="1">
      <c r="A1" t="s">
        <v>901</v>
      </c>
    </row>
    <row r="2" spans="2:258" s="14" customFormat="1" x14ac:dyDescent="0.2">
      <c r="B2" s="12"/>
      <c r="C2" s="12"/>
      <c r="D2" s="35" t="s">
        <v>835</v>
      </c>
      <c r="E2" s="35" t="s">
        <v>836</v>
      </c>
      <c r="F2" s="35" t="s">
        <v>837</v>
      </c>
      <c r="G2" s="35" t="s">
        <v>838</v>
      </c>
      <c r="H2" s="35" t="s">
        <v>839</v>
      </c>
      <c r="I2" s="35" t="s">
        <v>840</v>
      </c>
      <c r="J2" s="35" t="s">
        <v>841</v>
      </c>
      <c r="K2" s="35" t="s">
        <v>842</v>
      </c>
      <c r="L2" s="35" t="s">
        <v>843</v>
      </c>
      <c r="M2" s="35" t="s">
        <v>844</v>
      </c>
      <c r="N2" s="35" t="s">
        <v>845</v>
      </c>
      <c r="O2" s="35" t="s">
        <v>846</v>
      </c>
      <c r="P2" s="35" t="s">
        <v>847</v>
      </c>
      <c r="Q2" s="35" t="s">
        <v>848</v>
      </c>
      <c r="R2" s="35" t="s">
        <v>849</v>
      </c>
      <c r="S2" s="35" t="s">
        <v>850</v>
      </c>
      <c r="T2" s="35" t="s">
        <v>851</v>
      </c>
      <c r="U2" s="35" t="s">
        <v>852</v>
      </c>
      <c r="V2" s="35" t="s">
        <v>853</v>
      </c>
      <c r="W2" s="35" t="s">
        <v>854</v>
      </c>
      <c r="X2" s="35" t="s">
        <v>855</v>
      </c>
      <c r="Y2" s="35" t="s">
        <v>856</v>
      </c>
      <c r="Z2" s="35" t="s">
        <v>857</v>
      </c>
      <c r="AA2" s="35" t="s">
        <v>858</v>
      </c>
      <c r="AB2" s="35" t="s">
        <v>859</v>
      </c>
      <c r="AC2" s="35" t="s">
        <v>860</v>
      </c>
      <c r="AD2" s="35" t="s">
        <v>861</v>
      </c>
      <c r="AE2" s="35" t="s">
        <v>862</v>
      </c>
      <c r="AF2" s="35" t="s">
        <v>863</v>
      </c>
      <c r="AG2" s="35" t="s">
        <v>864</v>
      </c>
      <c r="AH2" s="35" t="s">
        <v>865</v>
      </c>
      <c r="AI2" s="35" t="s">
        <v>866</v>
      </c>
      <c r="AJ2" s="35" t="s">
        <v>867</v>
      </c>
      <c r="AK2" s="35" t="s">
        <v>868</v>
      </c>
      <c r="AL2" s="35" t="s">
        <v>869</v>
      </c>
      <c r="AM2" s="35" t="s">
        <v>870</v>
      </c>
      <c r="AN2" s="35" t="s">
        <v>871</v>
      </c>
      <c r="AO2" s="35" t="s">
        <v>872</v>
      </c>
      <c r="AP2" s="35" t="s">
        <v>873</v>
      </c>
      <c r="AQ2" s="35" t="s">
        <v>874</v>
      </c>
      <c r="AR2" s="35" t="s">
        <v>875</v>
      </c>
      <c r="AS2" s="35" t="s">
        <v>876</v>
      </c>
      <c r="AT2" s="35" t="s">
        <v>877</v>
      </c>
      <c r="AU2" s="35" t="s">
        <v>878</v>
      </c>
      <c r="AV2" s="35" t="s">
        <v>879</v>
      </c>
      <c r="AW2" s="35" t="s">
        <v>880</v>
      </c>
      <c r="AX2" s="35" t="s">
        <v>881</v>
      </c>
      <c r="AY2" s="35" t="s">
        <v>882</v>
      </c>
      <c r="AZ2" s="35" t="s">
        <v>883</v>
      </c>
      <c r="BA2" s="35" t="s">
        <v>884</v>
      </c>
      <c r="BB2" s="35" t="s">
        <v>885</v>
      </c>
      <c r="BC2" s="35" t="s">
        <v>886</v>
      </c>
      <c r="BD2" s="35" t="s">
        <v>887</v>
      </c>
      <c r="BE2" s="35" t="s">
        <v>888</v>
      </c>
      <c r="BF2" s="35" t="s">
        <v>889</v>
      </c>
      <c r="BG2" s="35" t="s">
        <v>890</v>
      </c>
      <c r="BH2" s="35" t="s">
        <v>891</v>
      </c>
      <c r="BI2" s="35" t="s">
        <v>892</v>
      </c>
      <c r="BJ2" s="35" t="s">
        <v>893</v>
      </c>
      <c r="BK2" s="13" t="s">
        <v>69</v>
      </c>
      <c r="BL2" s="13" t="s">
        <v>639</v>
      </c>
      <c r="BM2" s="13" t="s">
        <v>640</v>
      </c>
      <c r="BN2" s="13" t="s">
        <v>641</v>
      </c>
      <c r="BO2" s="13" t="s">
        <v>642</v>
      </c>
      <c r="BP2" s="13" t="s">
        <v>643</v>
      </c>
      <c r="BQ2" s="13" t="s">
        <v>644</v>
      </c>
      <c r="BR2" s="13" t="s">
        <v>645</v>
      </c>
      <c r="BS2" s="13" t="s">
        <v>646</v>
      </c>
      <c r="BT2" s="13" t="s">
        <v>647</v>
      </c>
      <c r="BU2" s="13" t="s">
        <v>648</v>
      </c>
      <c r="BV2" s="13" t="s">
        <v>649</v>
      </c>
      <c r="BW2" s="13" t="s">
        <v>650</v>
      </c>
      <c r="BX2" s="13" t="s">
        <v>651</v>
      </c>
      <c r="BY2" s="13" t="s">
        <v>652</v>
      </c>
      <c r="BZ2" s="13" t="s">
        <v>653</v>
      </c>
      <c r="CA2" s="13" t="s">
        <v>654</v>
      </c>
      <c r="CB2" s="13" t="s">
        <v>655</v>
      </c>
      <c r="CC2" s="13" t="s">
        <v>656</v>
      </c>
      <c r="CD2" s="13" t="s">
        <v>657</v>
      </c>
      <c r="CE2" s="13" t="s">
        <v>658</v>
      </c>
      <c r="CF2" s="13" t="s">
        <v>659</v>
      </c>
      <c r="CG2" s="13" t="s">
        <v>660</v>
      </c>
      <c r="CH2" s="13" t="s">
        <v>661</v>
      </c>
      <c r="CI2" s="13" t="s">
        <v>662</v>
      </c>
      <c r="CJ2" s="13" t="s">
        <v>663</v>
      </c>
      <c r="CK2" s="13" t="s">
        <v>664</v>
      </c>
      <c r="CL2" s="13" t="s">
        <v>665</v>
      </c>
      <c r="CM2" s="13" t="s">
        <v>666</v>
      </c>
      <c r="CN2" s="13" t="s">
        <v>667</v>
      </c>
      <c r="CO2" s="13" t="s">
        <v>668</v>
      </c>
      <c r="CP2" s="13" t="s">
        <v>669</v>
      </c>
      <c r="CQ2" s="13" t="s">
        <v>670</v>
      </c>
      <c r="CR2" s="13" t="s">
        <v>671</v>
      </c>
      <c r="CS2" s="13" t="s">
        <v>672</v>
      </c>
      <c r="CT2" s="13" t="s">
        <v>673</v>
      </c>
      <c r="CU2" s="13" t="s">
        <v>674</v>
      </c>
      <c r="CV2" s="13" t="s">
        <v>675</v>
      </c>
      <c r="CW2" s="13" t="s">
        <v>676</v>
      </c>
      <c r="CX2" s="13" t="s">
        <v>677</v>
      </c>
      <c r="CY2" s="13" t="s">
        <v>678</v>
      </c>
      <c r="CZ2" s="13" t="s">
        <v>679</v>
      </c>
      <c r="DA2" s="13" t="s">
        <v>680</v>
      </c>
      <c r="DB2" s="13" t="s">
        <v>681</v>
      </c>
      <c r="DC2" s="13" t="s">
        <v>682</v>
      </c>
      <c r="DD2" s="13" t="s">
        <v>683</v>
      </c>
      <c r="DE2" s="13" t="s">
        <v>684</v>
      </c>
      <c r="DF2" s="13" t="s">
        <v>685</v>
      </c>
      <c r="DG2" s="13" t="s">
        <v>686</v>
      </c>
      <c r="DH2" s="13" t="s">
        <v>687</v>
      </c>
      <c r="DI2" s="13" t="s">
        <v>688</v>
      </c>
      <c r="DJ2" s="13" t="s">
        <v>689</v>
      </c>
      <c r="DK2" s="13" t="s">
        <v>690</v>
      </c>
      <c r="DL2" s="13" t="s">
        <v>691</v>
      </c>
      <c r="DM2" s="13" t="s">
        <v>692</v>
      </c>
      <c r="DN2" s="13" t="s">
        <v>693</v>
      </c>
      <c r="DO2" s="13" t="s">
        <v>694</v>
      </c>
      <c r="DP2" s="13" t="s">
        <v>695</v>
      </c>
      <c r="DQ2" s="13" t="s">
        <v>696</v>
      </c>
      <c r="DR2" s="13" t="s">
        <v>697</v>
      </c>
      <c r="DS2" s="13" t="s">
        <v>698</v>
      </c>
      <c r="DT2" s="13" t="s">
        <v>699</v>
      </c>
      <c r="DU2" s="13" t="s">
        <v>700</v>
      </c>
      <c r="DV2" s="13" t="s">
        <v>701</v>
      </c>
      <c r="DW2" s="13" t="s">
        <v>702</v>
      </c>
      <c r="DX2" s="13" t="s">
        <v>703</v>
      </c>
      <c r="DY2" s="13" t="s">
        <v>704</v>
      </c>
      <c r="DZ2" s="13" t="s">
        <v>705</v>
      </c>
      <c r="EA2" s="13" t="s">
        <v>706</v>
      </c>
      <c r="EB2" s="13" t="s">
        <v>707</v>
      </c>
      <c r="EC2" s="13" t="s">
        <v>708</v>
      </c>
      <c r="ED2" s="13" t="s">
        <v>709</v>
      </c>
      <c r="EE2" s="13" t="s">
        <v>710</v>
      </c>
      <c r="EF2" s="13" t="s">
        <v>711</v>
      </c>
      <c r="EG2" s="13" t="s">
        <v>712</v>
      </c>
      <c r="EH2" s="13" t="s">
        <v>713</v>
      </c>
      <c r="EI2" s="13" t="s">
        <v>714</v>
      </c>
      <c r="EJ2" s="13" t="s">
        <v>715</v>
      </c>
      <c r="EK2" s="13" t="s">
        <v>716</v>
      </c>
      <c r="EL2" s="13" t="s">
        <v>717</v>
      </c>
      <c r="EM2" s="13" t="s">
        <v>718</v>
      </c>
      <c r="EN2" s="13" t="s">
        <v>719</v>
      </c>
      <c r="EO2" s="13" t="s">
        <v>720</v>
      </c>
      <c r="EP2" s="13" t="s">
        <v>721</v>
      </c>
      <c r="EQ2" s="13" t="s">
        <v>722</v>
      </c>
      <c r="ER2" s="13" t="s">
        <v>723</v>
      </c>
      <c r="ES2" s="13" t="s">
        <v>724</v>
      </c>
      <c r="ET2" s="13" t="s">
        <v>725</v>
      </c>
      <c r="EU2" s="13" t="s">
        <v>726</v>
      </c>
      <c r="EV2" s="13" t="s">
        <v>727</v>
      </c>
      <c r="EW2" s="13" t="s">
        <v>728</v>
      </c>
      <c r="EX2" s="13" t="s">
        <v>729</v>
      </c>
      <c r="EY2" s="13" t="s">
        <v>730</v>
      </c>
      <c r="EZ2" s="13" t="s">
        <v>731</v>
      </c>
      <c r="FA2" s="13" t="s">
        <v>732</v>
      </c>
      <c r="FB2" s="13" t="s">
        <v>733</v>
      </c>
      <c r="FC2" s="13" t="s">
        <v>734</v>
      </c>
      <c r="FD2" s="13" t="s">
        <v>735</v>
      </c>
      <c r="FE2" s="13" t="s">
        <v>736</v>
      </c>
      <c r="FF2" s="13" t="s">
        <v>737</v>
      </c>
      <c r="FG2" s="13" t="s">
        <v>738</v>
      </c>
      <c r="FH2" s="13" t="s">
        <v>739</v>
      </c>
      <c r="FI2" s="13" t="s">
        <v>740</v>
      </c>
      <c r="FJ2" s="13" t="s">
        <v>741</v>
      </c>
      <c r="FK2" s="13" t="s">
        <v>742</v>
      </c>
      <c r="FL2" s="13" t="s">
        <v>743</v>
      </c>
      <c r="FM2" s="13" t="s">
        <v>744</v>
      </c>
      <c r="FN2" s="13" t="s">
        <v>745</v>
      </c>
      <c r="FO2" s="13" t="s">
        <v>746</v>
      </c>
      <c r="FP2" s="13" t="s">
        <v>747</v>
      </c>
      <c r="FQ2" s="13" t="s">
        <v>748</v>
      </c>
      <c r="FR2" s="13" t="s">
        <v>749</v>
      </c>
      <c r="FS2" s="13" t="s">
        <v>750</v>
      </c>
      <c r="FT2" s="13" t="s">
        <v>751</v>
      </c>
      <c r="FU2" s="13" t="s">
        <v>752</v>
      </c>
      <c r="FV2" s="13" t="s">
        <v>753</v>
      </c>
      <c r="FW2" s="13" t="s">
        <v>754</v>
      </c>
      <c r="FX2" s="13" t="s">
        <v>755</v>
      </c>
      <c r="FY2" s="13" t="s">
        <v>756</v>
      </c>
      <c r="FZ2" s="13" t="s">
        <v>757</v>
      </c>
      <c r="GA2" s="13" t="s">
        <v>758</v>
      </c>
      <c r="GB2" s="13" t="s">
        <v>759</v>
      </c>
      <c r="GC2" s="13" t="s">
        <v>760</v>
      </c>
      <c r="GD2" s="13" t="s">
        <v>761</v>
      </c>
      <c r="GE2" s="13" t="s">
        <v>762</v>
      </c>
      <c r="GF2" s="13" t="s">
        <v>763</v>
      </c>
      <c r="GG2" s="13" t="s">
        <v>764</v>
      </c>
      <c r="GH2" s="13" t="s">
        <v>765</v>
      </c>
      <c r="GI2" s="13" t="s">
        <v>766</v>
      </c>
      <c r="GJ2" s="13" t="s">
        <v>767</v>
      </c>
      <c r="GK2" s="13" t="s">
        <v>768</v>
      </c>
      <c r="GL2" s="13" t="s">
        <v>769</v>
      </c>
      <c r="GM2" s="13" t="s">
        <v>770</v>
      </c>
      <c r="GN2" s="13" t="s">
        <v>771</v>
      </c>
      <c r="GO2" s="13" t="s">
        <v>772</v>
      </c>
      <c r="GP2" s="13" t="s">
        <v>773</v>
      </c>
      <c r="GQ2" s="13" t="s">
        <v>774</v>
      </c>
      <c r="GR2" s="13" t="s">
        <v>775</v>
      </c>
      <c r="GS2" s="13" t="s">
        <v>776</v>
      </c>
      <c r="GT2" s="13" t="s">
        <v>777</v>
      </c>
      <c r="GU2" s="13" t="s">
        <v>778</v>
      </c>
      <c r="GV2" s="13" t="s">
        <v>779</v>
      </c>
      <c r="GW2" s="13" t="s">
        <v>780</v>
      </c>
      <c r="GX2" s="13" t="s">
        <v>781</v>
      </c>
      <c r="GY2" s="13" t="s">
        <v>782</v>
      </c>
      <c r="GZ2" s="13" t="s">
        <v>783</v>
      </c>
      <c r="HA2" s="13" t="s">
        <v>784</v>
      </c>
      <c r="HB2" s="13" t="s">
        <v>785</v>
      </c>
      <c r="HC2" s="13" t="s">
        <v>786</v>
      </c>
      <c r="HD2" s="13" t="s">
        <v>787</v>
      </c>
      <c r="HE2" s="13" t="s">
        <v>788</v>
      </c>
      <c r="HF2" s="13" t="s">
        <v>789</v>
      </c>
      <c r="HG2" s="13" t="s">
        <v>790</v>
      </c>
      <c r="HH2" s="13" t="s">
        <v>791</v>
      </c>
      <c r="HI2" s="13" t="s">
        <v>792</v>
      </c>
      <c r="HJ2" s="13" t="s">
        <v>793</v>
      </c>
      <c r="HK2" s="13" t="s">
        <v>794</v>
      </c>
      <c r="HL2" s="13" t="s">
        <v>795</v>
      </c>
      <c r="HM2" s="13" t="s">
        <v>796</v>
      </c>
      <c r="HN2" s="13" t="s">
        <v>797</v>
      </c>
      <c r="HO2" s="13" t="s">
        <v>798</v>
      </c>
      <c r="HP2" s="13" t="s">
        <v>799</v>
      </c>
      <c r="HQ2" s="13" t="s">
        <v>800</v>
      </c>
      <c r="HR2" s="13" t="s">
        <v>801</v>
      </c>
      <c r="HS2" s="13" t="s">
        <v>802</v>
      </c>
      <c r="HT2" s="13" t="s">
        <v>803</v>
      </c>
      <c r="HU2" s="13" t="s">
        <v>804</v>
      </c>
      <c r="HV2" s="13" t="s">
        <v>805</v>
      </c>
      <c r="HW2" s="13" t="s">
        <v>806</v>
      </c>
      <c r="HX2" s="13" t="s">
        <v>807</v>
      </c>
      <c r="HY2" s="13" t="s">
        <v>808</v>
      </c>
      <c r="HZ2" s="13" t="s">
        <v>809</v>
      </c>
      <c r="IA2" s="13" t="s">
        <v>810</v>
      </c>
      <c r="IB2" s="13" t="s">
        <v>811</v>
      </c>
      <c r="IC2" s="13" t="s">
        <v>812</v>
      </c>
      <c r="ID2" s="13" t="s">
        <v>813</v>
      </c>
      <c r="IE2" s="13" t="s">
        <v>814</v>
      </c>
      <c r="IF2" s="13" t="s">
        <v>815</v>
      </c>
      <c r="IG2" s="13" t="s">
        <v>816</v>
      </c>
      <c r="IH2" s="13" t="s">
        <v>817</v>
      </c>
      <c r="II2" s="13" t="s">
        <v>818</v>
      </c>
      <c r="IJ2" s="13" t="s">
        <v>819</v>
      </c>
      <c r="IK2" s="13" t="s">
        <v>820</v>
      </c>
      <c r="IL2" s="13" t="s">
        <v>821</v>
      </c>
      <c r="IM2" s="13" t="s">
        <v>822</v>
      </c>
      <c r="IN2" s="13" t="s">
        <v>823</v>
      </c>
      <c r="IO2" s="13" t="s">
        <v>824</v>
      </c>
      <c r="IP2" s="13" t="s">
        <v>825</v>
      </c>
      <c r="IQ2" s="13" t="s">
        <v>826</v>
      </c>
      <c r="IR2" s="13" t="s">
        <v>827</v>
      </c>
      <c r="IS2" s="13" t="s">
        <v>828</v>
      </c>
      <c r="IT2" s="13" t="s">
        <v>829</v>
      </c>
      <c r="IU2" s="13" t="s">
        <v>830</v>
      </c>
      <c r="IV2" s="13" t="s">
        <v>831</v>
      </c>
      <c r="IW2" s="13" t="s">
        <v>832</v>
      </c>
      <c r="IX2" s="13" t="s">
        <v>833</v>
      </c>
    </row>
    <row r="3" spans="2:258" x14ac:dyDescent="0.2">
      <c r="B3" s="16" t="s">
        <v>894</v>
      </c>
      <c r="C3" s="13" t="s">
        <v>903</v>
      </c>
      <c r="D3" s="37" t="n">
        <v>0.0</v>
      </c>
      <c r="E3" s="37" t="n">
        <v>95.66</v>
      </c>
      <c r="F3" s="37" t="n">
        <v>85.15</v>
      </c>
      <c r="G3" s="37" t="n">
        <v>95.5</v>
      </c>
      <c r="H3" s="37" t="n">
        <v>95.6</v>
      </c>
      <c r="I3" s="37" t="n">
        <v>71.61</v>
      </c>
      <c r="J3" s="37" t="n">
        <v>69.86</v>
      </c>
      <c r="K3" s="37" t="n">
        <v>58.87</v>
      </c>
      <c r="L3" s="37" t="n">
        <v>72.93</v>
      </c>
      <c r="M3" s="37" t="n">
        <v>87.33</v>
      </c>
      <c r="N3" s="37" t="n">
        <v>81.84</v>
      </c>
      <c r="O3" s="37" t="n">
        <v>86.64</v>
      </c>
      <c r="P3" s="37" t="n">
        <v>90.06</v>
      </c>
      <c r="Q3" s="37" t="n">
        <v>60.39</v>
      </c>
      <c r="R3" s="37" t="n">
        <v>56.93</v>
      </c>
      <c r="S3" s="37" t="n">
        <v>22.23</v>
      </c>
      <c r="T3" s="37" t="n">
        <v>90.78</v>
      </c>
      <c r="U3" s="37" t="n">
        <v>32.46</v>
      </c>
      <c r="V3" s="37" t="n">
        <v>25.9</v>
      </c>
      <c r="W3" s="37" t="n">
        <v>62.57</v>
      </c>
      <c r="X3" s="37" t="n">
        <v>44.47</v>
      </c>
      <c r="Y3" s="40" t="s">
        <v>902</v>
      </c>
      <c r="Z3" s="37" t="n">
        <v>92.73</v>
      </c>
      <c r="AA3" s="37" t="n">
        <v>90.07</v>
      </c>
      <c r="AB3" s="37" t="n">
        <v>87.87</v>
      </c>
      <c r="AC3" s="37" t="n">
        <v>96.68</v>
      </c>
      <c r="AD3" s="37" t="n">
        <v>91.66</v>
      </c>
      <c r="AE3" s="37" t="n">
        <v>65.39</v>
      </c>
      <c r="AF3" s="37" t="n">
        <v>51.12</v>
      </c>
      <c r="AG3" s="37" t="n">
        <v>40.62</v>
      </c>
      <c r="AH3" s="37" t="n">
        <v>69.1</v>
      </c>
      <c r="AI3" s="37" t="n">
        <v>98.66</v>
      </c>
      <c r="AJ3" s="37" t="n">
        <v>97.24</v>
      </c>
      <c r="AK3" s="37" t="n">
        <v>75.16</v>
      </c>
      <c r="AL3" s="37" t="n">
        <v>39.17</v>
      </c>
      <c r="AM3" s="37" t="n">
        <v>41.7</v>
      </c>
      <c r="AN3" s="37" t="n">
        <v>23.53</v>
      </c>
      <c r="AO3" s="37" t="n">
        <v>64.58</v>
      </c>
      <c r="AP3" s="37" t="n">
        <v>65.99</v>
      </c>
      <c r="AQ3" s="37" t="n">
        <v>56.83</v>
      </c>
      <c r="AR3" s="37" t="n">
        <v>57.96</v>
      </c>
      <c r="AS3" s="37" t="n">
        <v>9.57</v>
      </c>
      <c r="AT3" s="37" t="n">
        <v>51.24</v>
      </c>
      <c r="AU3" s="37" t="n">
        <v>72.32</v>
      </c>
      <c r="AV3" s="37" t="n">
        <v>74.98</v>
      </c>
      <c r="AW3" s="37" t="n">
        <v>72.46</v>
      </c>
      <c r="AX3" s="37" t="n">
        <v>73.67</v>
      </c>
      <c r="AY3" s="37" t="n">
        <v>26.65</v>
      </c>
      <c r="AZ3" s="37" t="n">
        <v>68.03</v>
      </c>
      <c r="BA3" s="37" t="n">
        <v>0.0</v>
      </c>
      <c r="BB3" s="37" t="n">
        <v>56.47</v>
      </c>
      <c r="BC3" s="37" t="n">
        <v>15.81</v>
      </c>
      <c r="BD3" s="37" t="n">
        <v>42.56</v>
      </c>
      <c r="BE3" s="37" t="n">
        <v>0.0</v>
      </c>
      <c r="BF3" s="37" t="n">
        <v>1.87</v>
      </c>
      <c r="BG3" s="37" t="n">
        <v>5.14</v>
      </c>
      <c r="BH3" s="37" t="n">
        <v>0.0</v>
      </c>
      <c r="BI3" s="37" t="n">
        <v>83.57</v>
      </c>
      <c r="BJ3" s="37" t="n">
        <v>0.0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2" hidden="true">
      <c r="B4" s="16" t="s">
        <v>70</v>
      </c>
      <c r="C4" s="13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2" hidden="true">
      <c r="B5" s="16" t="s">
        <v>71</v>
      </c>
      <c r="C5" s="13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2" hidden="true">
      <c r="B6" s="16" t="s">
        <v>72</v>
      </c>
      <c r="C6" s="13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2" hidden="true">
      <c r="B7" s="16" t="s">
        <v>73</v>
      </c>
      <c r="C7" s="13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2" hidden="true">
      <c r="B8" s="16" t="s">
        <v>74</v>
      </c>
      <c r="C8" s="13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2" hidden="true">
      <c r="B9" s="16" t="s">
        <v>75</v>
      </c>
      <c r="C9" s="13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2" hidden="true">
      <c r="B10" s="16" t="s">
        <v>76</v>
      </c>
      <c r="C10" s="13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2" hidden="true">
      <c r="B11" s="16" t="s">
        <v>77</v>
      </c>
      <c r="C11" s="1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2" hidden="true">
      <c r="B12" s="16" t="s">
        <v>78</v>
      </c>
      <c r="C12" s="1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2" hidden="true">
      <c r="B13" s="16" t="s">
        <v>79</v>
      </c>
      <c r="C13" s="13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2" hidden="true">
      <c r="B14" s="16" t="s">
        <v>80</v>
      </c>
      <c r="C14" s="13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2" hidden="true">
      <c r="B15" s="16" t="s">
        <v>81</v>
      </c>
      <c r="C15" s="1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2" hidden="true">
      <c r="B16" s="16" t="s">
        <v>82</v>
      </c>
      <c r="C16" s="13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2" hidden="true">
      <c r="B17" s="16" t="s">
        <v>83</v>
      </c>
      <c r="C17" s="13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2" hidden="true">
      <c r="B18" s="16" t="s">
        <v>84</v>
      </c>
      <c r="C18" s="13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2" hidden="true">
      <c r="B19" s="16" t="s">
        <v>85</v>
      </c>
      <c r="C19" s="13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2" hidden="true">
      <c r="B20" s="16" t="s">
        <v>86</v>
      </c>
      <c r="C20" s="13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2" hidden="true">
      <c r="B21" s="16" t="s">
        <v>87</v>
      </c>
      <c r="C21" s="1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2" hidden="true">
      <c r="B22" s="16" t="s">
        <v>88</v>
      </c>
      <c r="C22" s="13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2" hidden="true">
      <c r="B23" s="16" t="s">
        <v>89</v>
      </c>
      <c r="C23" s="13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2" hidden="true">
      <c r="B24" s="16" t="s">
        <v>90</v>
      </c>
      <c r="C24" s="13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2" hidden="true">
      <c r="B25" s="16" t="s">
        <v>91</v>
      </c>
      <c r="C25" s="13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2" hidden="true">
      <c r="B26" s="16" t="s">
        <v>92</v>
      </c>
      <c r="C26" s="1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2" hidden="true">
      <c r="B27" s="16" t="s">
        <v>93</v>
      </c>
      <c r="C27" s="13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2" hidden="true">
      <c r="B28" s="16" t="s">
        <v>94</v>
      </c>
      <c r="C28" s="13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2" hidden="true">
      <c r="B29" s="16" t="s">
        <v>95</v>
      </c>
      <c r="C29" s="13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2" hidden="true">
      <c r="B30" s="16" t="s">
        <v>96</v>
      </c>
      <c r="C30" s="1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2" hidden="true">
      <c r="B31" s="16" t="s">
        <v>97</v>
      </c>
      <c r="C31" s="13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2" hidden="true">
      <c r="B32" s="16" t="s">
        <v>98</v>
      </c>
      <c r="C32" s="1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2" hidden="true">
      <c r="B33" s="16" t="s">
        <v>99</v>
      </c>
      <c r="C33" s="1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2" hidden="true">
      <c r="B34" s="16" t="s">
        <v>100</v>
      </c>
      <c r="C34" s="13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2" hidden="true">
      <c r="B35" s="16" t="s">
        <v>101</v>
      </c>
      <c r="C35" s="13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2" hidden="true">
      <c r="B36" s="16" t="s">
        <v>102</v>
      </c>
      <c r="C36" s="1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2" hidden="true">
      <c r="B37" s="16" t="s">
        <v>103</v>
      </c>
      <c r="C37" s="13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2" hidden="true">
      <c r="B38" s="16" t="s">
        <v>104</v>
      </c>
      <c r="C38" s="13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2" hidden="true">
      <c r="B39" s="16" t="s">
        <v>105</v>
      </c>
      <c r="C39" s="1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2" hidden="true">
      <c r="B40" s="16" t="s">
        <v>106</v>
      </c>
      <c r="C40" s="13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2" hidden="true">
      <c r="B41" s="16" t="s">
        <v>107</v>
      </c>
      <c r="C41" s="13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2" hidden="true">
      <c r="B42" s="16" t="s">
        <v>108</v>
      </c>
      <c r="C42" s="1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2" hidden="true">
      <c r="B43" s="16" t="s">
        <v>109</v>
      </c>
      <c r="C43" s="13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2" hidden="true">
      <c r="B44" s="16" t="s">
        <v>110</v>
      </c>
      <c r="C44" s="1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2" hidden="true">
      <c r="B45" s="16" t="s">
        <v>111</v>
      </c>
      <c r="C45" s="1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2" hidden="true">
      <c r="B46" s="16" t="s">
        <v>112</v>
      </c>
      <c r="C46" s="1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2" hidden="true">
      <c r="B47" s="16" t="s">
        <v>113</v>
      </c>
      <c r="C47" s="1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2" hidden="true">
      <c r="B48" s="16" t="s">
        <v>114</v>
      </c>
      <c r="C48" s="13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2" hidden="true">
      <c r="B49" s="16" t="s">
        <v>115</v>
      </c>
      <c r="C49" s="13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2" hidden="true">
      <c r="B50" s="16" t="s">
        <v>116</v>
      </c>
      <c r="C50" s="1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2" hidden="true">
      <c r="B51" s="16" t="s">
        <v>117</v>
      </c>
      <c r="C51" s="1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2" hidden="true">
      <c r="B52" s="16" t="s">
        <v>118</v>
      </c>
      <c r="C52" s="1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2" hidden="true">
      <c r="B53" s="16" t="s">
        <v>119</v>
      </c>
      <c r="C53" s="1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2" hidden="true">
      <c r="B54" s="16" t="s">
        <v>120</v>
      </c>
      <c r="C54" s="13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2" hidden="true">
      <c r="B55" s="16" t="s">
        <v>121</v>
      </c>
      <c r="C55" s="1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2" hidden="true">
      <c r="B56" s="16" t="s">
        <v>122</v>
      </c>
      <c r="C56" s="13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2" hidden="true">
      <c r="B57" s="16" t="s">
        <v>123</v>
      </c>
      <c r="C57" s="13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2" hidden="true">
      <c r="B58" s="16" t="s">
        <v>124</v>
      </c>
      <c r="C58" s="1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2" hidden="true">
      <c r="B59" s="16" t="s">
        <v>125</v>
      </c>
      <c r="C59" s="13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2" hidden="true">
      <c r="B60" s="16" t="s">
        <v>126</v>
      </c>
      <c r="C60" s="13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2" hidden="true">
      <c r="B61" s="16" t="s">
        <v>127</v>
      </c>
      <c r="C61" s="1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2" hidden="true">
      <c r="B62" s="16" t="s">
        <v>128</v>
      </c>
      <c r="C62" s="13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2" hidden="true">
      <c r="B63" s="16" t="s">
        <v>129</v>
      </c>
      <c r="C63" s="13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2" hidden="true">
      <c r="B64" s="16" t="s">
        <v>130</v>
      </c>
      <c r="C64" s="13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2" hidden="true">
      <c r="B65" s="16" t="s">
        <v>131</v>
      </c>
      <c r="C65" s="13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2" hidden="true">
      <c r="B66" s="16" t="s">
        <v>132</v>
      </c>
      <c r="C66" s="13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2" hidden="true">
      <c r="B67" s="16" t="s">
        <v>133</v>
      </c>
      <c r="C67" s="13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2" hidden="true">
      <c r="B68" s="16" t="s">
        <v>134</v>
      </c>
      <c r="C68" s="13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2" hidden="true">
      <c r="B69" s="16" t="s">
        <v>135</v>
      </c>
      <c r="C69" s="13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2" hidden="true">
      <c r="B70" s="16" t="s">
        <v>136</v>
      </c>
      <c r="C70" s="13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2" hidden="true">
      <c r="B71" s="16" t="s">
        <v>137</v>
      </c>
      <c r="C71" s="13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2" hidden="true">
      <c r="B72" s="16" t="s">
        <v>138</v>
      </c>
      <c r="C72" s="13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2" hidden="true">
      <c r="B73" s="16" t="s">
        <v>139</v>
      </c>
      <c r="C73" s="13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2" hidden="true">
      <c r="B74" s="16" t="s">
        <v>140</v>
      </c>
      <c r="C74" s="13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2" hidden="true">
      <c r="B75" s="16" t="s">
        <v>141</v>
      </c>
      <c r="C75" s="13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2" hidden="true">
      <c r="B76" s="16" t="s">
        <v>142</v>
      </c>
      <c r="C76" s="13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2" hidden="true">
      <c r="B77" s="16" t="s">
        <v>143</v>
      </c>
      <c r="C77" s="13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2" hidden="true">
      <c r="B78" s="16" t="s">
        <v>144</v>
      </c>
      <c r="C78" s="13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2" hidden="true">
      <c r="B79" s="16" t="s">
        <v>145</v>
      </c>
      <c r="C79" s="13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2" hidden="true">
      <c r="B80" s="16" t="s">
        <v>146</v>
      </c>
      <c r="C80" s="13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2" hidden="true">
      <c r="B81" s="16" t="s">
        <v>147</v>
      </c>
      <c r="C81" s="13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2" hidden="true">
      <c r="B82" s="16" t="s">
        <v>148</v>
      </c>
      <c r="C82" s="13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2" hidden="true">
      <c r="B83" s="16" t="s">
        <v>149</v>
      </c>
      <c r="C83" s="13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2" hidden="true">
      <c r="B84" s="16" t="s">
        <v>150</v>
      </c>
      <c r="C84" s="13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2" hidden="true">
      <c r="B85" s="16" t="s">
        <v>151</v>
      </c>
      <c r="C85" s="13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2" hidden="true">
      <c r="B86" s="16" t="s">
        <v>152</v>
      </c>
      <c r="C86" s="13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2" hidden="true">
      <c r="B87" s="16" t="s">
        <v>153</v>
      </c>
      <c r="C87" s="13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2" hidden="true">
      <c r="B88" s="16" t="s">
        <v>154</v>
      </c>
      <c r="C88" s="13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2" hidden="true">
      <c r="B89" s="16" t="s">
        <v>155</v>
      </c>
      <c r="C89" s="13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2" hidden="true">
      <c r="B90" s="16" t="s">
        <v>156</v>
      </c>
      <c r="C90" s="13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2" hidden="true">
      <c r="B91" s="16" t="s">
        <v>157</v>
      </c>
      <c r="C91" s="13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2" hidden="true">
      <c r="B92" s="16" t="s">
        <v>158</v>
      </c>
      <c r="C92" s="13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2" hidden="true">
      <c r="B93" s="16" t="s">
        <v>159</v>
      </c>
      <c r="C93" s="13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2" hidden="true">
      <c r="B94" s="16" t="s">
        <v>160</v>
      </c>
      <c r="C94" s="13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2" hidden="true">
      <c r="B95" s="16" t="s">
        <v>161</v>
      </c>
      <c r="C95" s="13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2" hidden="true">
      <c r="B96" s="16" t="s">
        <v>162</v>
      </c>
      <c r="C96" s="13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2" hidden="true">
      <c r="B97" s="16" t="s">
        <v>163</v>
      </c>
      <c r="C97" s="13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2" hidden="true">
      <c r="B98" s="16" t="s">
        <v>164</v>
      </c>
      <c r="C98" s="13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2" hidden="true">
      <c r="B99" s="16" t="s">
        <v>165</v>
      </c>
      <c r="C99" s="13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2" hidden="true">
      <c r="B100" s="16" t="s">
        <v>166</v>
      </c>
      <c r="C100" s="13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2" hidden="true">
      <c r="B101" s="16" t="s">
        <v>167</v>
      </c>
      <c r="C101" s="13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2" hidden="true">
      <c r="B102" s="16" t="s">
        <v>168</v>
      </c>
      <c r="C102" s="13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2" hidden="true">
      <c r="B103" s="16" t="s">
        <v>169</v>
      </c>
      <c r="C103" s="13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2" hidden="true">
      <c r="B104" s="16" t="s">
        <v>170</v>
      </c>
      <c r="C104" s="13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2" hidden="true">
      <c r="B105" s="16" t="s">
        <v>171</v>
      </c>
      <c r="C105" s="13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2" hidden="true">
      <c r="B106" s="16" t="s">
        <v>172</v>
      </c>
      <c r="C106" s="13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2" hidden="true">
      <c r="B107" s="16" t="s">
        <v>173</v>
      </c>
      <c r="C107" s="13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2" hidden="true">
      <c r="B108" s="16" t="s">
        <v>174</v>
      </c>
      <c r="C108" s="13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2" hidden="true">
      <c r="B109" s="16" t="s">
        <v>175</v>
      </c>
      <c r="C109" s="13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2" hidden="true">
      <c r="B110" s="16" t="s">
        <v>176</v>
      </c>
      <c r="C110" s="13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2" hidden="true">
      <c r="B111" s="16" t="s">
        <v>177</v>
      </c>
      <c r="C111" s="13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2" hidden="true">
      <c r="B112" s="16" t="s">
        <v>178</v>
      </c>
      <c r="C112" s="13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2" hidden="true">
      <c r="B113" s="16" t="s">
        <v>179</v>
      </c>
      <c r="C113" s="13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2" hidden="true">
      <c r="B114" s="16" t="s">
        <v>180</v>
      </c>
      <c r="C114" s="13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2" hidden="true">
      <c r="B115" s="16" t="s">
        <v>181</v>
      </c>
      <c r="C115" s="13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2" hidden="true">
      <c r="B116" s="16" t="s">
        <v>182</v>
      </c>
      <c r="C116" s="13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2" hidden="true">
      <c r="B117" s="16" t="s">
        <v>183</v>
      </c>
      <c r="C117" s="13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2" hidden="true">
      <c r="B118" s="16" t="s">
        <v>184</v>
      </c>
      <c r="C118" s="13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2" hidden="true">
      <c r="B119" s="16" t="s">
        <v>185</v>
      </c>
      <c r="C119" s="13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2" hidden="true">
      <c r="B120" s="16" t="s">
        <v>186</v>
      </c>
      <c r="C120" s="13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2" hidden="true">
      <c r="B121" s="16" t="s">
        <v>187</v>
      </c>
      <c r="C121" s="13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2" hidden="true">
      <c r="B122" s="16" t="s">
        <v>188</v>
      </c>
      <c r="C122" s="13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2" hidden="true">
      <c r="B123" s="16" t="s">
        <v>189</v>
      </c>
      <c r="C123" s="13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2" hidden="true">
      <c r="B124" s="16" t="s">
        <v>190</v>
      </c>
      <c r="C124" s="13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2" hidden="true">
      <c r="B125" s="16" t="s">
        <v>191</v>
      </c>
      <c r="C125" s="13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2" hidden="true">
      <c r="B126" s="16" t="s">
        <v>192</v>
      </c>
      <c r="C126" s="13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2" hidden="true">
      <c r="B127" s="16" t="s">
        <v>193</v>
      </c>
      <c r="C127" s="13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2" hidden="true">
      <c r="B128" s="16" t="s">
        <v>194</v>
      </c>
      <c r="C128" s="13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2" hidden="true">
      <c r="B129" s="16" t="s">
        <v>195</v>
      </c>
      <c r="C129" s="13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2" hidden="true">
      <c r="B130" s="16" t="s">
        <v>196</v>
      </c>
      <c r="C130" s="13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2" hidden="true">
      <c r="B131" s="16" t="s">
        <v>197</v>
      </c>
      <c r="C131" s="13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2" hidden="true">
      <c r="B132" s="16" t="s">
        <v>198</v>
      </c>
      <c r="C132" s="13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2" hidden="true">
      <c r="B133" s="16" t="s">
        <v>199</v>
      </c>
      <c r="C133" s="13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2" hidden="true">
      <c r="B134" s="16" t="s">
        <v>200</v>
      </c>
      <c r="C134" s="13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2" hidden="true">
      <c r="B135" s="16" t="s">
        <v>201</v>
      </c>
      <c r="C135" s="13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2" hidden="true">
      <c r="B136" s="16" t="s">
        <v>202</v>
      </c>
      <c r="C136" s="13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2" hidden="true">
      <c r="B137" s="16" t="s">
        <v>203</v>
      </c>
      <c r="C137" s="13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2" hidden="true">
      <c r="B138" s="16" t="s">
        <v>204</v>
      </c>
      <c r="C138" s="13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2" hidden="true">
      <c r="B139" s="16" t="s">
        <v>205</v>
      </c>
      <c r="C139" s="13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2" hidden="true">
      <c r="B140" s="16" t="s">
        <v>206</v>
      </c>
      <c r="C140" s="13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2" hidden="true">
      <c r="B141" s="16" t="s">
        <v>207</v>
      </c>
      <c r="C141" s="13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2" hidden="true">
      <c r="B142" s="16" t="s">
        <v>208</v>
      </c>
      <c r="C142" s="13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2" hidden="true">
      <c r="B143" s="16" t="s">
        <v>209</v>
      </c>
      <c r="C143" s="13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2" hidden="true">
      <c r="B144" s="16" t="s">
        <v>210</v>
      </c>
      <c r="C144" s="13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2" hidden="true">
      <c r="B145" s="16" t="s">
        <v>211</v>
      </c>
      <c r="C145" s="13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2" hidden="true">
      <c r="B146" s="16" t="s">
        <v>212</v>
      </c>
      <c r="C146" s="13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2" hidden="true">
      <c r="B147" s="16" t="s">
        <v>213</v>
      </c>
      <c r="C147" s="13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2" hidden="true">
      <c r="B148" s="16" t="s">
        <v>214</v>
      </c>
      <c r="C148" s="13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2" hidden="true">
      <c r="B149" s="16" t="s">
        <v>215</v>
      </c>
      <c r="C149" s="13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2" hidden="true">
      <c r="B150" s="16" t="s">
        <v>216</v>
      </c>
      <c r="C150" s="13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2" hidden="true">
      <c r="B151" s="16" t="s">
        <v>217</v>
      </c>
      <c r="C151" s="13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2" hidden="true">
      <c r="B152" s="16" t="s">
        <v>218</v>
      </c>
      <c r="C152" s="13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2" hidden="true">
      <c r="B153" s="16" t="s">
        <v>219</v>
      </c>
      <c r="C153" s="13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2" hidden="true">
      <c r="B154" s="16" t="s">
        <v>220</v>
      </c>
      <c r="C154" s="13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2" hidden="true">
      <c r="B155" s="16" t="s">
        <v>221</v>
      </c>
      <c r="C155" s="13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2" hidden="true">
      <c r="B156" s="16" t="s">
        <v>222</v>
      </c>
      <c r="C156" s="13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2" hidden="true">
      <c r="B157" s="16" t="s">
        <v>223</v>
      </c>
      <c r="C157" s="13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2" hidden="true">
      <c r="B158" s="16" t="s">
        <v>224</v>
      </c>
      <c r="C158" s="13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2" hidden="true">
      <c r="B159" s="16" t="s">
        <v>225</v>
      </c>
      <c r="C159" s="13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2" hidden="true">
      <c r="B160" s="16" t="s">
        <v>226</v>
      </c>
      <c r="C160" s="13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2" hidden="true">
      <c r="B161" s="16" t="s">
        <v>227</v>
      </c>
      <c r="C161" s="13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2" hidden="true">
      <c r="B162" s="16" t="s">
        <v>228</v>
      </c>
      <c r="C162" s="13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2" hidden="true">
      <c r="B163" s="16" t="s">
        <v>229</v>
      </c>
      <c r="C163" s="13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2" hidden="true">
      <c r="B164" s="16" t="s">
        <v>230</v>
      </c>
      <c r="C164" s="13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2" hidden="true">
      <c r="B165" s="16" t="s">
        <v>231</v>
      </c>
      <c r="C165" s="13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2" hidden="true">
      <c r="B166" s="16" t="s">
        <v>232</v>
      </c>
      <c r="C166" s="13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2" hidden="true">
      <c r="B167" s="16" t="s">
        <v>233</v>
      </c>
      <c r="C167" s="13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2" hidden="true">
      <c r="B168" s="16" t="s">
        <v>234</v>
      </c>
      <c r="C168" s="13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2" hidden="true">
      <c r="B169" s="16" t="s">
        <v>235</v>
      </c>
      <c r="C169" s="13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2" hidden="true">
      <c r="B170" s="16" t="s">
        <v>236</v>
      </c>
      <c r="C170" s="13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2" hidden="true">
      <c r="B171" s="16" t="s">
        <v>237</v>
      </c>
      <c r="C171" s="13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2" hidden="true">
      <c r="B172" s="16" t="s">
        <v>238</v>
      </c>
      <c r="C172" s="13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2" hidden="true">
      <c r="B173" s="16" t="s">
        <v>239</v>
      </c>
      <c r="C173" s="13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2" hidden="true">
      <c r="B174" s="16" t="s">
        <v>240</v>
      </c>
      <c r="C174" s="13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2" hidden="true">
      <c r="B175" s="16" t="s">
        <v>241</v>
      </c>
      <c r="C175" s="13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2" hidden="true">
      <c r="B176" s="16" t="s">
        <v>242</v>
      </c>
      <c r="C176" s="13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2" hidden="true">
      <c r="B177" s="16" t="s">
        <v>243</v>
      </c>
      <c r="C177" s="13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2" hidden="true">
      <c r="B178" s="16" t="s">
        <v>244</v>
      </c>
      <c r="C178" s="13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2" hidden="true">
      <c r="B179" s="16" t="s">
        <v>245</v>
      </c>
      <c r="C179" s="13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2" hidden="true">
      <c r="B180" s="16" t="s">
        <v>246</v>
      </c>
      <c r="C180" s="13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2" hidden="true">
      <c r="B181" s="16" t="s">
        <v>247</v>
      </c>
      <c r="C181" s="13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2" hidden="true">
      <c r="B182" s="16" t="s">
        <v>248</v>
      </c>
      <c r="C182" s="13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2" hidden="true">
      <c r="B183" s="16" t="s">
        <v>249</v>
      </c>
      <c r="C183" s="13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2" hidden="true">
      <c r="B184" s="16" t="s">
        <v>250</v>
      </c>
      <c r="C184" s="13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2" hidden="true">
      <c r="B185" s="16" t="s">
        <v>251</v>
      </c>
      <c r="C185" s="13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2" hidden="true">
      <c r="B186" s="16" t="s">
        <v>252</v>
      </c>
      <c r="C186" s="13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2" hidden="true">
      <c r="B187" s="16" t="s">
        <v>253</v>
      </c>
      <c r="C187" s="13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2" hidden="true">
      <c r="B188" s="16" t="s">
        <v>254</v>
      </c>
      <c r="C188" s="13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2" hidden="true">
      <c r="B189" s="16" t="s">
        <v>255</v>
      </c>
      <c r="C189" s="13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2" hidden="true">
      <c r="B190" s="16" t="s">
        <v>256</v>
      </c>
      <c r="C190" s="13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2" hidden="true">
      <c r="B191" s="16" t="s">
        <v>257</v>
      </c>
      <c r="C191" s="13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2" hidden="true">
      <c r="B192" s="16" t="s">
        <v>258</v>
      </c>
      <c r="C192" s="13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2" hidden="true">
      <c r="B193" s="16" t="s">
        <v>259</v>
      </c>
      <c r="C193" s="13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2" hidden="true">
      <c r="B194" s="16" t="s">
        <v>260</v>
      </c>
      <c r="C194" s="13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2" hidden="true">
      <c r="B195" s="16" t="s">
        <v>261</v>
      </c>
      <c r="C195" s="13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2" hidden="true">
      <c r="B196" s="16" t="s">
        <v>262</v>
      </c>
      <c r="C196" s="13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2" hidden="true">
      <c r="B197" s="16" t="s">
        <v>263</v>
      </c>
      <c r="C197" s="13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2" hidden="true">
      <c r="B198" s="16" t="s">
        <v>264</v>
      </c>
      <c r="C198" s="13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2" hidden="true">
      <c r="B199" s="16" t="s">
        <v>265</v>
      </c>
      <c r="C199" s="13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2" hidden="true">
      <c r="B200" s="16" t="s">
        <v>266</v>
      </c>
      <c r="C200" s="13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2" hidden="true">
      <c r="B201" s="16" t="s">
        <v>267</v>
      </c>
      <c r="C201" s="13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2" hidden="true">
      <c r="B202" s="16" t="s">
        <v>268</v>
      </c>
      <c r="C202" s="13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2" hidden="true">
      <c r="B203" s="16" t="s">
        <v>269</v>
      </c>
      <c r="C203" s="13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2" hidden="true">
      <c r="B204" s="16" t="s">
        <v>270</v>
      </c>
      <c r="C204" s="13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2" hidden="true">
      <c r="B205" s="16" t="s">
        <v>271</v>
      </c>
      <c r="C205" s="13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2" hidden="true">
      <c r="B206" s="16" t="s">
        <v>272</v>
      </c>
      <c r="C206" s="13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2" hidden="true">
      <c r="B207" s="16" t="s">
        <v>273</v>
      </c>
      <c r="C207" s="13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2" hidden="true">
      <c r="B208" s="16" t="s">
        <v>274</v>
      </c>
      <c r="C208" s="13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2" hidden="true">
      <c r="B209" s="16" t="s">
        <v>275</v>
      </c>
      <c r="C209" s="13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2" hidden="true">
      <c r="B210" s="16" t="s">
        <v>276</v>
      </c>
      <c r="C210" s="13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2" hidden="true">
      <c r="B211" s="16" t="s">
        <v>277</v>
      </c>
      <c r="C211" s="13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2" hidden="true">
      <c r="B212" s="16" t="s">
        <v>278</v>
      </c>
      <c r="C212" s="13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2" hidden="true">
      <c r="B213" s="16" t="s">
        <v>279</v>
      </c>
      <c r="C213" s="13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2" hidden="true">
      <c r="B214" s="16" t="s">
        <v>280</v>
      </c>
      <c r="C214" s="13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2" hidden="true">
      <c r="B215" s="16" t="s">
        <v>281</v>
      </c>
      <c r="C215" s="13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2" hidden="true">
      <c r="B216" s="16" t="s">
        <v>282</v>
      </c>
      <c r="C216" s="13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2" hidden="true">
      <c r="B217" s="16" t="s">
        <v>283</v>
      </c>
      <c r="C217" s="13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2" hidden="true">
      <c r="B218" s="16" t="s">
        <v>284</v>
      </c>
      <c r="C218" s="13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2" hidden="true">
      <c r="B219" s="16" t="s">
        <v>285</v>
      </c>
      <c r="C219" s="13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2" hidden="true">
      <c r="B220" s="16" t="s">
        <v>286</v>
      </c>
      <c r="C220" s="13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2" hidden="true">
      <c r="B221" s="16" t="s">
        <v>287</v>
      </c>
      <c r="C221" s="13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2" hidden="true">
      <c r="B222" s="16" t="s">
        <v>288</v>
      </c>
      <c r="C222" s="13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2" hidden="true">
      <c r="B223" s="16" t="s">
        <v>289</v>
      </c>
      <c r="C223" s="13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2" hidden="true">
      <c r="B224" s="16" t="s">
        <v>290</v>
      </c>
      <c r="C224" s="13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2" hidden="true">
      <c r="B225" s="16" t="s">
        <v>291</v>
      </c>
      <c r="C225" s="13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2" hidden="true">
      <c r="B226" s="16" t="s">
        <v>292</v>
      </c>
      <c r="C226" s="13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2" hidden="true">
      <c r="B227" s="16" t="s">
        <v>293</v>
      </c>
      <c r="C227" s="13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2" hidden="true">
      <c r="B228" s="16" t="s">
        <v>294</v>
      </c>
      <c r="C228" s="13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2" hidden="true">
      <c r="B229" s="16" t="s">
        <v>295</v>
      </c>
      <c r="C229" s="13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2" hidden="true">
      <c r="B230" s="16" t="s">
        <v>296</v>
      </c>
      <c r="C230" s="13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2" hidden="true">
      <c r="B231" s="16" t="s">
        <v>297</v>
      </c>
      <c r="C231" s="13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2" hidden="true">
      <c r="B232" s="16" t="s">
        <v>298</v>
      </c>
      <c r="C232" s="13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2" hidden="true">
      <c r="B233" s="16" t="s">
        <v>299</v>
      </c>
      <c r="C233" s="13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2" hidden="true">
      <c r="B234" s="16" t="s">
        <v>300</v>
      </c>
      <c r="C234" s="13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2" hidden="true">
      <c r="B235" s="16" t="s">
        <v>301</v>
      </c>
      <c r="C235" s="13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2" hidden="true">
      <c r="B236" s="16" t="s">
        <v>302</v>
      </c>
      <c r="C236" s="13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2" hidden="true">
      <c r="B237" s="16" t="s">
        <v>303</v>
      </c>
      <c r="C237" s="13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2" hidden="true">
      <c r="B238" s="16" t="s">
        <v>304</v>
      </c>
      <c r="C238" s="13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2" hidden="true">
      <c r="B239" s="16" t="s">
        <v>305</v>
      </c>
      <c r="C239" s="13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2" hidden="true">
      <c r="B240" s="16" t="s">
        <v>306</v>
      </c>
      <c r="C240" s="13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2" hidden="true">
      <c r="B241" s="16" t="s">
        <v>307</v>
      </c>
      <c r="C241" s="13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2" hidden="true">
      <c r="B242" s="16" t="s">
        <v>308</v>
      </c>
      <c r="C242" s="13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2" hidden="true">
      <c r="B243" s="16" t="s">
        <v>309</v>
      </c>
      <c r="C243" s="13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2" hidden="true">
      <c r="B244" s="16" t="s">
        <v>310</v>
      </c>
      <c r="C244" s="13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2" hidden="true">
      <c r="B245" s="16" t="s">
        <v>311</v>
      </c>
      <c r="C245" s="13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2" hidden="true">
      <c r="B246" s="16" t="s">
        <v>312</v>
      </c>
      <c r="C246" s="13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2" hidden="true">
      <c r="B247" s="16" t="s">
        <v>313</v>
      </c>
      <c r="C247" s="13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2" hidden="true">
      <c r="B248" s="16" t="s">
        <v>314</v>
      </c>
      <c r="C248" s="13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2" hidden="true">
      <c r="B249" s="16" t="s">
        <v>315</v>
      </c>
      <c r="C249" s="13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2" hidden="true">
      <c r="B250" s="16" t="s">
        <v>316</v>
      </c>
      <c r="C250" s="13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2" hidden="true">
      <c r="B251" s="16" t="s">
        <v>317</v>
      </c>
      <c r="C251" s="13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2" hidden="true">
      <c r="B252" s="16" t="s">
        <v>318</v>
      </c>
      <c r="C252" s="13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2" hidden="true">
      <c r="B253" s="16" t="s">
        <v>319</v>
      </c>
      <c r="C253" s="13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2" hidden="true">
      <c r="B254" s="16" t="s">
        <v>320</v>
      </c>
      <c r="C254" s="13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2" hidden="true">
      <c r="B255" s="16" t="s">
        <v>321</v>
      </c>
      <c r="C255" s="13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2" hidden="true">
      <c r="B256" s="16" t="s">
        <v>322</v>
      </c>
      <c r="C256" s="13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2" hidden="true">
      <c r="B257" s="16" t="s">
        <v>323</v>
      </c>
      <c r="C257" s="13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2">
      <c r="G258" s="5"/>
      <c r="H258" s="5"/>
      <c r="I258" s="5"/>
      <c r="J258" s="5"/>
      <c r="K258" s="5"/>
    </row>
    <row r="259" spans="2:258" ht="18" customHeight="1" x14ac:dyDescent="0.2">
      <c r="B259" s="22" t="str">
        <f>'グラフ設定（地域別）'!B2</f>
        <v>（時点）令和7年(2025年)</v>
      </c>
      <c r="C259" s="22"/>
      <c r="D259" s="22"/>
      <c r="E259" s="22"/>
      <c r="F259" s="22"/>
    </row>
    <row r="260" spans="2:258" ht="60.75" customHeight="1" x14ac:dyDescent="0.2">
      <c r="B260" s="24" t="str">
        <f>'グラフ設定（地域別）'!J2</f>
        <v>（出典）厚生労働省「介護保険総合データベース」　※本指標は自治体向けのため取り扱いに注意してください。</v>
      </c>
      <c r="C260" s="24"/>
      <c r="D260" s="24"/>
      <c r="E260" s="24"/>
      <c r="F260" s="24"/>
      <c r="G260" s="24"/>
      <c r="H260" s="24"/>
      <c r="I260" s="24"/>
      <c r="J260" s="24"/>
      <c r="K260" s="24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2026-04-15T07:44:30Z</dcterms:modified>
</cp:coreProperties>
</file>