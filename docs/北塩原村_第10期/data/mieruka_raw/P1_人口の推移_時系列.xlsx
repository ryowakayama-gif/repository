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codeName="ThisWorkbook"/>
  <xr:revisionPtr revIDLastSave="0" documentId="13_ncr:1_{EF53B87E-2864-4B70-8C6E-7B8935B06FF8}" xr6:coauthVersionLast="47" xr6:coauthVersionMax="47" xr10:uidLastSave="{00000000-0000-0000-0000-000000000000}"/>
  <bookViews>
    <workbookView xWindow="-120" yWindow="-120" windowWidth="29040" windowHeight="15990" tabRatio="761" xr2:uid="{00000000-000D-0000-FFFF-FFFF00000000}"/>
  </bookViews>
  <sheets>
    <sheet name="グラフ" sheetId="2" r:id="rId1"/>
    <sheet name="表" sheetId="22" r:id="rId2"/>
    <sheet name="順位" sheetId="24" r:id="rId3"/>
    <sheet name="設定" sheetId="23" r:id="rId4"/>
  </sheets>
  <definedNames>
    <definedName name="_xlnm.Print_Area" localSheetId="0">グラフ!$A$1:$S$31</definedName>
    <definedName name="_xlnm.Print_Area" localSheetId="2">順位!$A$1:$E$12</definedName>
    <definedName name="_xlnm.Print_Area" localSheetId="3">設定!$A$1:$L$11</definedName>
    <definedName name="_xlnm.Print_Area" localSheetId="1">表!$A$1:$N$21</definedName>
  </definedNames>
  <calcPr calcId="181029"/>
</workbook>
</file>

<file path=xl/calcChain.xml><?xml version="1.0" encoding="utf-8"?>
<calcChain xmlns="http://schemas.openxmlformats.org/spreadsheetml/2006/main">
  <c r="D11" i="24" l="1"/>
  <c r="C11" i="24"/>
  <c r="D10" i="24"/>
  <c r="C10" i="24"/>
  <c r="D8" i="24"/>
  <c r="C8" i="24"/>
  <c r="D7" i="24"/>
  <c r="C7" i="24"/>
  <c r="D5" i="24"/>
  <c r="C5" i="24"/>
  <c r="D4" i="24"/>
  <c r="C4" i="24"/>
  <c r="B13" i="22" l="1"/>
  <c r="B11" i="24" l="1"/>
  <c r="B8" i="24"/>
  <c r="B5" i="24"/>
  <c r="D11" i="22" l="1"/>
  <c r="B10" i="24" l="1"/>
  <c r="B7" i="24"/>
  <c r="B4" i="24"/>
  <c r="B2" i="24" l="1"/>
  <c r="D13" i="22" l="1"/>
  <c r="D14" i="22"/>
  <c r="D12" i="22"/>
  <c r="D4" i="22"/>
  <c r="D5" i="22"/>
  <c r="D6" i="22"/>
  <c r="D7" i="22"/>
  <c r="D8" i="22"/>
  <c r="D9" i="22"/>
  <c r="D10" i="22"/>
  <c r="D3" i="22"/>
  <c r="D3" i="23"/>
  <c r="A3" i="23" l="1"/>
  <c r="M33" i="22"/>
  <c r="E33" i="22"/>
  <c r="E34" i="22"/>
  <c r="F34" i="22"/>
  <c r="G34" i="22"/>
  <c r="H34" i="22"/>
  <c r="I34" i="22"/>
  <c r="J34" i="22"/>
  <c r="K34" i="22"/>
  <c r="L34" i="22"/>
  <c r="M34" i="22"/>
  <c r="E35" i="22"/>
  <c r="F35" i="22"/>
  <c r="G35" i="22"/>
  <c r="H35" i="22"/>
  <c r="I35" i="22"/>
  <c r="J35" i="22"/>
  <c r="K35" i="22"/>
  <c r="L35" i="22"/>
  <c r="M35" i="22"/>
  <c r="F33" i="22"/>
  <c r="G33" i="22"/>
  <c r="H33" i="22"/>
  <c r="I33" i="22"/>
  <c r="J33" i="22"/>
  <c r="K33" i="22"/>
  <c r="L33" i="22"/>
  <c r="D4" i="23" l="1"/>
</calcChain>
</file>

<file path=xl/sharedStrings.xml><?xml version="1.0" encoding="utf-8"?>
<sst xmlns="http://schemas.openxmlformats.org/spreadsheetml/2006/main" count="63" uniqueCount="52">
  <si>
    <t>タイトル</t>
    <phoneticPr fontId="1"/>
  </si>
  <si>
    <t>軸ラベル</t>
    <rPh sb="0" eb="1">
      <t>ジク</t>
    </rPh>
    <phoneticPr fontId="1"/>
  </si>
  <si>
    <t>%</t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</si>
  <si>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</si>
  <si>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</si>
  <si>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</si>
  <si>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人</t>
    <rPh sb="0" eb="1">
      <t>ニン</t>
    </rPh>
    <phoneticPr fontId="1"/>
  </si>
  <si>
    <t>15歳未満</t>
    <rPh sb="2" eb="3">
      <t>サイ</t>
    </rPh>
    <rPh sb="3" eb="5">
      <t>ミマン</t>
    </rPh>
    <phoneticPr fontId="1"/>
  </si>
  <si>
    <t>15歳～40歳</t>
    <rPh sb="2" eb="3">
      <t>サイ</t>
    </rPh>
    <rPh sb="6" eb="7">
      <t>サイ</t>
    </rPh>
    <phoneticPr fontId="1"/>
  </si>
  <si>
    <t>40歳～65歳</t>
    <rPh sb="2" eb="3">
      <t>サイ</t>
    </rPh>
    <rPh sb="6" eb="7">
      <t>サイ</t>
    </rPh>
    <phoneticPr fontId="1"/>
  </si>
  <si>
    <t>75歳以上</t>
    <rPh sb="2" eb="5">
      <t>サイイジョウ</t>
    </rPh>
    <phoneticPr fontId="1"/>
  </si>
  <si>
    <t>高齢化率</t>
    <rPh sb="0" eb="3">
      <t>コウレイカ</t>
    </rPh>
    <rPh sb="3" eb="4">
      <t>リツ</t>
    </rPh>
    <phoneticPr fontId="1"/>
  </si>
  <si>
    <t>人口の推移</t>
    <rPh sb="0" eb="2">
      <t>ジンコウ</t>
    </rPh>
    <rPh sb="3" eb="5">
      <t>スイイ</t>
    </rPh>
    <phoneticPr fontId="1"/>
  </si>
  <si>
    <t>人口</t>
    <rPh sb="0" eb="2">
      <t>ジンコウ</t>
    </rPh>
    <phoneticPr fontId="1"/>
  </si>
  <si>
    <t>人口割合</t>
    <rPh sb="0" eb="2">
      <t>ジンコウ</t>
    </rPh>
    <rPh sb="2" eb="4">
      <t>ワリアイ</t>
    </rPh>
    <phoneticPr fontId="1"/>
  </si>
  <si>
    <t>人口</t>
    <rPh sb="0" eb="2">
      <t>ジンコウ</t>
    </rPh>
    <phoneticPr fontId="1"/>
  </si>
  <si>
    <t>高齢化率（全国）</t>
    <rPh sb="0" eb="3">
      <t>コウレイカ</t>
    </rPh>
    <rPh sb="3" eb="4">
      <t>リツ</t>
    </rPh>
    <rPh sb="5" eb="7">
      <t>ゼンコク</t>
    </rPh>
    <phoneticPr fontId="1"/>
  </si>
  <si>
    <t>生産年齢人口</t>
    <rPh sb="0" eb="2">
      <t>セイサン</t>
    </rPh>
    <rPh sb="2" eb="4">
      <t>ネンレイ</t>
    </rPh>
    <rPh sb="4" eb="6">
      <t>ジンコウ</t>
    </rPh>
    <phoneticPr fontId="1"/>
  </si>
  <si>
    <t>高齢者人口</t>
    <rPh sb="0" eb="3">
      <t>コウレイシャ</t>
    </rPh>
    <rPh sb="3" eb="5">
      <t>ジンコウ</t>
    </rPh>
    <phoneticPr fontId="1"/>
  </si>
  <si>
    <t>都道府県</t>
    <rPh sb="0" eb="4">
      <t>トドウフケン</t>
    </rPh>
    <phoneticPr fontId="1"/>
  </si>
  <si>
    <t>順位単位</t>
    <rPh sb="0" eb="2">
      <t>ジュンイ</t>
    </rPh>
    <rPh sb="2" eb="4">
      <t>タンイ</t>
    </rPh>
    <phoneticPr fontId="1"/>
  </si>
  <si>
    <t>順位地域</t>
    <rPh sb="0" eb="2">
      <t>ジュンイ</t>
    </rPh>
    <rPh sb="2" eb="4">
      <t>チイキ</t>
    </rPh>
    <phoneticPr fontId="1"/>
  </si>
  <si>
    <t>グラフ表示用セル</t>
    <rPh sb="3" eb="6">
      <t>ヒョウジヨウ</t>
    </rPh>
    <phoneticPr fontId="1"/>
  </si>
  <si>
    <t>生産年齢人口割合</t>
    <rPh sb="5" eb="6">
      <t>クチ</t>
    </rPh>
    <phoneticPr fontId="1"/>
  </si>
  <si>
    <t>サブタイトル</t>
    <phoneticPr fontId="1"/>
  </si>
  <si>
    <t xml:space="preserve"> </t>
    <phoneticPr fontId="1"/>
  </si>
  <si>
    <t xml:space="preserve"> </t>
    <phoneticPr fontId="1"/>
  </si>
  <si>
    <t xml:space="preserve"> </t>
    <phoneticPr fontId="1"/>
  </si>
  <si>
    <t>（2025年の推計値）</t>
    <phoneticPr fontId="1"/>
  </si>
  <si>
    <t>（2040年の推計値）</t>
    <phoneticPr fontId="1"/>
  </si>
  <si>
    <t>順位情報（2025年）</t>
    <rPh sb="0" eb="2">
      <t>ジュンイ</t>
    </rPh>
    <rPh sb="2" eb="4">
      <t>ジョウホウ</t>
    </rPh>
    <rPh sb="9" eb="10">
      <t>ネン</t>
    </rPh>
    <phoneticPr fontId="1"/>
  </si>
  <si>
    <t>順位情報（2040年）</t>
    <rPh sb="0" eb="2">
      <t>ジュンイ</t>
    </rPh>
    <rPh sb="2" eb="4">
      <t>ジョウホウ</t>
    </rPh>
    <rPh sb="9" eb="10">
      <t>ネン</t>
    </rPh>
    <phoneticPr fontId="1"/>
  </si>
  <si>
    <t>15歳～40歳未満</t>
    <rPh sb="2" eb="3">
      <t>サイ</t>
    </rPh>
    <rPh sb="6" eb="7">
      <t>サイ</t>
    </rPh>
    <phoneticPr fontId="1"/>
  </si>
  <si>
    <t>40歳～65歳未満</t>
    <rPh sb="2" eb="3">
      <t>サイ</t>
    </rPh>
    <rPh sb="6" eb="7">
      <t>サイ</t>
    </rPh>
    <phoneticPr fontId="1"/>
  </si>
  <si>
    <t>65歳～75歳未満</t>
    <rPh sb="2" eb="3">
      <t>サイ</t>
    </rPh>
    <rPh sb="6" eb="7">
      <t>サイ</t>
    </rPh>
    <phoneticPr fontId="1"/>
  </si>
  <si>
    <t>（2020年10月時点）</t>
    <phoneticPr fontId="1"/>
  </si>
  <si>
    <t>順位情報（2020年）</t>
    <rPh sb="0" eb="2">
      <t>ジュンイ</t>
    </rPh>
    <rPh sb="2" eb="4">
      <t>ジョウホウ</t>
    </rPh>
    <rPh sb="9" eb="10">
      <t>ネン</t>
    </rPh>
    <phoneticPr fontId="1"/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</si>
  <si>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</si>
  <si>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</si>
  <si>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</si>
  <si>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</si>
  <si>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</si>
  <si>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</si>
  <si>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</si>
  <si>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</si>
  <si>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</si>
  <si>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（出典）2000年～2020年まで：総務省「国勢調査」
　　　　2025年以降：国立社会保障・人口問題研究所「日本の地域別将来推計人口（令和5（2023）年推計）」</t>
  </si>
  <si>
    <t>北塩原村</t>
  </si>
  <si>
    <t>福島県</t>
  </si>
  <si>
    <t>番目</t>
  </si>
  <si>
    <t>保険者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</si>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</sst>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_ "/>
    <numFmt numFmtId="177" formatCode="#,##0_);\(#,##0\)"/>
    <numFmt numFmtId="178" formatCode="#,##0_ "/>
    <numFmt numFmtId="179" formatCode="#,##0;[Red]#,##0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2" applyFont="1" applyFill="1" applyBorder="1">
      <alignment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" xfId="2" applyFont="1" applyFill="1" applyBorder="1">
      <alignment vertical="center"/>
    </xf>
    <xf numFmtId="0" fontId="3" fillId="6" borderId="7" xfId="2" applyFont="1" applyFill="1" applyBorder="1">
      <alignment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2" applyFont="1" applyFill="1" applyBorder="1">
      <alignment vertical="center"/>
    </xf>
    <xf numFmtId="0" fontId="3" fillId="6" borderId="2" xfId="2" applyFont="1" applyFill="1" applyBorder="1">
      <alignment vertical="center"/>
    </xf>
    <xf numFmtId="0" fontId="3" fillId="6" borderId="4" xfId="2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1" xfId="2" applyFont="1" applyFill="1" applyBorder="1" applyProtection="1">
      <alignment vertical="center"/>
    </xf>
    <xf numFmtId="0" fontId="6" fillId="5" borderId="0" xfId="0" applyFont="1" applyFill="1">
      <alignment vertical="center"/>
    </xf>
    <xf numFmtId="0" fontId="6" fillId="5" borderId="0" xfId="0" applyFont="1" applyFill="1" applyAlignment="1">
      <alignment horizontal="right" vertical="center"/>
    </xf>
    <xf numFmtId="0" fontId="3" fillId="6" borderId="2" xfId="2" applyFont="1" applyFill="1" applyBorder="1" applyAlignment="1">
      <alignment horizontal="left" vertical="center"/>
    </xf>
    <xf numFmtId="0" fontId="3" fillId="6" borderId="3" xfId="2" applyFont="1" applyFill="1" applyBorder="1" applyAlignment="1">
      <alignment horizontal="left" vertical="center"/>
    </xf>
    <xf numFmtId="179" fontId="5" fillId="5" borderId="1" xfId="0" applyNumberFormat="1" applyFont="1" applyFill="1" applyBorder="1">
      <alignment vertical="center"/>
    </xf>
    <xf numFmtId="179" fontId="5" fillId="5" borderId="1" xfId="0" applyNumberFormat="1" applyFont="1" applyFill="1" applyBorder="1" applyProtection="1">
      <alignment vertical="center"/>
      <protection locked="0"/>
    </xf>
    <xf numFmtId="177" fontId="3" fillId="5" borderId="4" xfId="3" applyNumberFormat="1" applyFont="1" applyFill="1" applyBorder="1" applyAlignment="1">
      <alignment vertical="center" shrinkToFit="1"/>
    </xf>
    <xf numFmtId="177" fontId="3" fillId="5" borderId="1" xfId="3" applyNumberFormat="1" applyFont="1" applyFill="1" applyBorder="1" applyAlignment="1">
      <alignment vertical="center" shrinkToFit="1"/>
    </xf>
    <xf numFmtId="176" fontId="3" fillId="5" borderId="1" xfId="0" applyNumberFormat="1" applyFont="1" applyFill="1" applyBorder="1" applyAlignment="1">
      <alignment vertical="center" shrinkToFit="1" horizontal="right"/>
    </xf>
    <xf numFmtId="176" fontId="3" fillId="5" borderId="4" xfId="0" applyNumberFormat="1" applyFont="1" applyFill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178" fontId="3" fillId="0" borderId="1" xfId="0" applyNumberFormat="1" applyFont="1" applyBorder="1" applyAlignment="1">
      <alignment horizontal="right" vertical="center" shrinkToFit="1"/>
    </xf>
    <xf numFmtId="0" fontId="3" fillId="0" borderId="0" xfId="0" applyFont="1" applyAlignment="1">
      <alignment vertical="center" shrinkToFit="1"/>
    </xf>
    <xf numFmtId="0" fontId="5" fillId="5" borderId="0" xfId="0" applyFont="1" applyFill="1" applyAlignment="1">
      <alignment horizontal="left" vertical="center"/>
    </xf>
    <xf numFmtId="0" fontId="5" fillId="6" borderId="2" xfId="2" applyFont="1" applyFill="1" applyBorder="1" applyAlignment="1" applyProtection="1">
      <alignment horizontal="center" vertical="center"/>
    </xf>
    <xf numFmtId="0" fontId="5" fillId="6" borderId="3" xfId="2" applyFont="1" applyFill="1" applyBorder="1" applyAlignment="1" applyProtection="1">
      <alignment horizontal="center" vertical="center"/>
    </xf>
    <xf numFmtId="0" fontId="5" fillId="6" borderId="4" xfId="2" applyFont="1" applyFill="1" applyBorder="1" applyAlignment="1" applyProtection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2" xfId="2" applyFont="1" applyFill="1" applyBorder="1" applyAlignment="1">
      <alignment horizontal="left" vertical="center"/>
    </xf>
    <xf numFmtId="0" fontId="3" fillId="6" borderId="3" xfId="2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</cellXfs>
  <cellStyles count="4">
    <cellStyle name="20% - アクセント 1" xfId="1" builtinId="30"/>
    <cellStyle name="20% - アクセント 6" xfId="2" builtinId="50"/>
    <cellStyle name="桁区切り" xfId="3" builtinId="6"/>
    <cellStyle name="標準" xfId="0" builtinId="0"/>
  </cellStyles>
  <dxfs count="0"/>
  <tableStyles count="0" defaultTableStyle="TableStyleMedium2" defaultPivotStyle="PivotStyleLight16"/>
  <colors>
    <mruColors>
      <color rgb="FFC0504D"/>
      <color rgb="FF00FF80"/>
      <color rgb="FFEE683C"/>
      <color rgb="FFA8CFF7"/>
      <color rgb="FF5B93EE"/>
      <color rgb="FF114BB0"/>
      <color rgb="FFE798BF"/>
      <color rgb="FFBE2C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設定!$A$3</c:f>
          <c:strCache>
            <c:ptCount val="1"/>
            <c:pt idx="0">
              <c:v>の人口の推移</c:v>
            </c:pt>
          </c:strCache>
        </c:strRef>
      </c:tx>
      <c:layout>
        <c:manualLayout>
          <c:xMode val="edge"/>
          <c:yMode val="edge"/>
          <c:x val="0.41458989990272782"/>
          <c:y val="1.34881723669716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34169143935811"/>
          <c:y val="0.16740715842507545"/>
          <c:w val="0.49459492325303211"/>
          <c:h val="0.59173656023359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表!$C$6</c:f>
              <c:strCache>
                <c:ptCount val="1"/>
                <c:pt idx="0">
                  <c:v>40歳～65歳未満</c:v>
                </c:pt>
              </c:strCache>
            </c:strRef>
          </c:tx>
          <c:spPr>
            <a:solidFill>
              <a:srgbClr val="114BB0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表!$E$35:$M$35</c:f>
              <c:numCache>
                <c:formatCode>#,##0;[Red]#,##0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3-4C0B-AA52-67E8D48B6499}"/>
            </c:ext>
          </c:extLst>
        </c:ser>
        <c:ser>
          <c:idx val="1"/>
          <c:order val="1"/>
          <c:tx>
            <c:strRef>
              <c:f>表!$C$5</c:f>
              <c:strCache>
                <c:ptCount val="1"/>
                <c:pt idx="0">
                  <c:v>15歳～40歳未満</c:v>
                </c:pt>
              </c:strCache>
            </c:strRef>
          </c:tx>
          <c:spPr>
            <a:solidFill>
              <a:srgbClr val="5B93EE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表!$E$34:$M$34</c:f>
              <c:numCache>
                <c:formatCode>#,##0;[Red]#,##0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3-4C0B-AA52-67E8D48B6499}"/>
            </c:ext>
          </c:extLst>
        </c:ser>
        <c:ser>
          <c:idx val="0"/>
          <c:order val="2"/>
          <c:tx>
            <c:strRef>
              <c:f>表!$C$4</c:f>
              <c:strCache>
                <c:ptCount val="1"/>
                <c:pt idx="0">
                  <c:v>15歳未満</c:v>
                </c:pt>
              </c:strCache>
            </c:strRef>
          </c:tx>
          <c:spPr>
            <a:solidFill>
              <a:srgbClr val="A8CFF7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表!$E$33:$M$33</c:f>
              <c:numCache>
                <c:formatCode>#,##0;[Red]#,##0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3-4C0B-AA52-67E8D48B6499}"/>
            </c:ext>
          </c:extLst>
        </c:ser>
        <c:ser>
          <c:idx val="3"/>
          <c:order val="3"/>
          <c:tx>
            <c:strRef>
              <c:f>表!$C$7</c:f>
              <c:strCache>
                <c:ptCount val="1"/>
                <c:pt idx="0">
                  <c:v>65歳～75歳未満</c:v>
                </c:pt>
              </c:strCache>
            </c:strRef>
          </c:tx>
          <c:spPr>
            <a:solidFill>
              <a:srgbClr val="E798BF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表!$E$7:$M$7</c:f>
              <c:numCache>
                <c:formatCode>#,##0_);\(#,##0\)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1DC3-4C0B-AA52-67E8D48B6499}"/>
            </c:ext>
          </c:extLst>
        </c:ser>
        <c:ser>
          <c:idx val="4"/>
          <c:order val="4"/>
          <c:tx>
            <c:strRef>
              <c:f>表!$C$8</c:f>
              <c:strCache>
                <c:ptCount val="1"/>
                <c:pt idx="0">
                  <c:v>75歳以上</c:v>
                </c:pt>
              </c:strCache>
            </c:strRef>
          </c:tx>
          <c:spPr>
            <a:solidFill>
              <a:srgbClr val="BE2C75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表!$E$8:$M$8</c:f>
              <c:numCache>
                <c:formatCode>#,##0_);\(#,##0\)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1DC3-4C0B-AA52-67E8D48B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461456"/>
        <c:axId val="368467616"/>
      </c:barChart>
      <c:lineChart>
        <c:grouping val="standard"/>
        <c:varyColors val="0"/>
        <c:ser>
          <c:idx val="7"/>
          <c:order val="5"/>
          <c:tx>
            <c:strRef>
              <c:f>表!$B$12</c:f>
              <c:strCache>
                <c:ptCount val="1"/>
                <c:pt idx="0">
                  <c:v>高齢化率</c:v>
                </c:pt>
              </c:strCache>
            </c:strRef>
          </c:tx>
          <c:spPr>
            <a:ln>
              <a:solidFill>
                <a:srgbClr val="EE683C"/>
              </a:solidFill>
            </a:ln>
          </c:spPr>
          <c:marker>
            <c:symbol val="circle"/>
            <c:size val="8"/>
            <c:spPr>
              <a:solidFill>
                <a:srgbClr val="EE683C"/>
              </a:solidFill>
              <a:ln>
                <a:solidFill>
                  <a:srgbClr val="EE683C"/>
                </a:solidFill>
              </a:ln>
            </c:spPr>
          </c:marker>
          <c:val>
            <c:numRef>
              <c:f>表!$E$12:$M$12</c:f>
              <c:numCache>
                <c:formatCode>#,##0.0_ 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C3-4C0B-AA52-67E8D48B6499}"/>
            </c:ext>
          </c:extLst>
        </c:ser>
        <c:ser>
          <c:idx val="5"/>
          <c:order val="6"/>
          <c:tx>
            <c:strRef>
              <c:f>表!$B$11</c:f>
              <c:strCache>
                <c:ptCount val="1"/>
                <c:pt idx="0">
                  <c:v>生産年齢人口割合</c:v>
                </c:pt>
              </c:strCache>
            </c:strRef>
          </c:tx>
          <c:spPr>
            <a:ln>
              <a:solidFill>
                <a:srgbClr val="00FF80"/>
              </a:solidFill>
            </a:ln>
          </c:spPr>
          <c:marker>
            <c:symbol val="x"/>
            <c:size val="7"/>
            <c:spPr>
              <a:solidFill>
                <a:srgbClr val="00FF80"/>
              </a:solidFill>
              <a:ln>
                <a:solidFill>
                  <a:srgbClr val="00FF80"/>
                </a:solidFill>
              </a:ln>
            </c:spPr>
          </c:marker>
          <c:val>
            <c:numRef>
              <c:f>表!$E$11:$M$11</c:f>
              <c:numCache>
                <c:formatCode>#,##0.0_ 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C3-4C0B-AA52-67E8D48B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462016"/>
        <c:axId val="368462576"/>
      </c:lineChart>
      <c:catAx>
        <c:axId val="36846145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low"/>
        <c:spPr>
          <a:ln>
            <a:noFill/>
            <a:prstDash val="sysDot"/>
          </a:ln>
        </c:spPr>
        <c:txPr>
          <a:bodyPr rot="0" vert="horz"/>
          <a:lstStyle/>
          <a:p>
            <a:pPr>
              <a:defRPr/>
            </a:pPr>
            <a:endParaRPr lang="ja-JP"/>
          </a:p>
        </c:txPr>
        <c:crossAx val="368467616"/>
        <c:crosses val="max"/>
        <c:auto val="1"/>
        <c:lblAlgn val="ctr"/>
        <c:lblOffset val="100"/>
        <c:noMultiLvlLbl val="0"/>
      </c:catAx>
      <c:valAx>
        <c:axId val="368467616"/>
        <c:scaling>
          <c:orientation val="minMax"/>
        </c:scaling>
        <c:delete val="0"/>
        <c:axPos val="l"/>
        <c:majorGridlines/>
        <c:title>
          <c:tx>
            <c:strRef>
              <c:f>設定!$D$3</c:f>
              <c:strCache>
                <c:ptCount val="1"/>
                <c:pt idx="0">
                  <c:v>人口(人)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_);#,##0" sourceLinked="0"/>
        <c:majorTickMark val="out"/>
        <c:minorTickMark val="none"/>
        <c:tickLblPos val="nextTo"/>
        <c:crossAx val="368461456"/>
        <c:crosses val="autoZero"/>
        <c:crossBetween val="between"/>
      </c:valAx>
      <c:valAx>
        <c:axId val="368462576"/>
        <c:scaling>
          <c:orientation val="minMax"/>
        </c:scaling>
        <c:delete val="0"/>
        <c:axPos val="r"/>
        <c:title>
          <c:tx>
            <c:strRef>
              <c:f>設定!$D$4</c:f>
              <c:strCache>
                <c:ptCount val="1"/>
                <c:pt idx="0">
                  <c:v>人口割合(%)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\ " sourceLinked="0"/>
        <c:majorTickMark val="out"/>
        <c:minorTickMark val="none"/>
        <c:tickLblPos val="nextTo"/>
        <c:crossAx val="368462016"/>
        <c:crosses val="max"/>
        <c:crossBetween val="between"/>
      </c:valAx>
      <c:catAx>
        <c:axId val="368462016"/>
        <c:scaling>
          <c:orientation val="minMax"/>
        </c:scaling>
        <c:delete val="1"/>
        <c:axPos val="b"/>
        <c:majorTickMark val="out"/>
        <c:minorTickMark val="none"/>
        <c:tickLblPos val="none"/>
        <c:crossAx val="36846257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708436504822731"/>
          <c:y val="0.51118355205599297"/>
          <c:w val="0.14666668206474354"/>
          <c:h val="0.33794891895127993"/>
        </c:manualLayout>
      </c:layout>
      <c:overlay val="1"/>
    </c:legend>
    <c:plotVisOnly val="0"/>
    <c:dispBlanksAs val="gap"/>
    <c:showDLblsOverMax val="0"/>
  </c:chart>
  <c:spPr>
    <a:noFill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media/image1.emf" Type="http://schemas.openxmlformats.org/officeDocument/2006/relationships/image"/>
</Relationships>

</file>

<file path=xl/drawings/_rels/vmlDrawing1.vml.rels><?xml version="1.0" encoding="UTF-8" standalone="no"?>
<Relationships xmlns="http://schemas.openxmlformats.org/package/2006/relationships">
<Relationship Id="rId1" Target="../media/image2.emf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493059</xdr:colOff>
      <xdr:row>1</xdr:row>
      <xdr:rowOff>89647</xdr:rowOff>
    </xdr:from>
    <xdr:to>
      <xdr:col>18</xdr:col>
      <xdr:colOff>11205</xdr:colOff>
      <xdr:row>29</xdr:row>
      <xdr:rowOff>156882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595594</xdr:colOff>
          <xdr:row>5</xdr:row>
          <xdr:rowOff>87404</xdr:rowOff>
        </xdr:from>
        <xdr:to>
          <xdr:col>17</xdr:col>
          <xdr:colOff>226047</xdr:colOff>
          <xdr:row>15</xdr:row>
          <xdr:rowOff>89945</xdr:rowOff>
        </xdr:to>
        <xdr:pic>
          <xdr:nvPicPr>
            <xdr:cNvPr id="1049" name="Picture 25">
              <a:extLs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順位!$B$2:$D$11" spid="_x0000_s115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151035" y="1095933"/>
              <a:ext cx="2577600" cy="2019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0.3451</cdr:x>
      <cdr:y>0.16481</cdr:y>
    </cdr:from>
    <cdr:to>
      <cdr:x>0.34627</cdr:x>
      <cdr:y>0.77031</cdr:y>
    </cdr:to>
    <cdr:cxnSp macro="">
      <cdr:nvCxnSpPr>
        <cdr:cNvPr id="5" name="直線コネクタ 4">
          <a:extLst xmlns:a="http://schemas.openxmlformats.org/drawingml/2006/main">
            <a:ext uri="{FF2B5EF4-FFF2-40B4-BE49-F238E27FC236}">
              <a16:creationId xmlns:a16="http://schemas.microsoft.com/office/drawing/2014/main" id="{841F296F-C724-BB0E-815A-C65AFB129C7F}"/>
            </a:ext>
          </a:extLst>
        </cdr:cNvPr>
        <cdr:cNvCxnSpPr/>
      </cdr:nvCxnSpPr>
      <cdr:spPr>
        <a:xfrm xmlns:a="http://schemas.openxmlformats.org/drawingml/2006/main" flipH="1">
          <a:off x="3287115" y="941885"/>
          <a:ext cx="11144" cy="346043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504D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0.31166</cdr:x>
      <cdr:y>0.224</cdr:y>
    </cdr:from>
    <cdr:to>
      <cdr:x>0.37854</cdr:x>
      <cdr:y>0.224</cdr:y>
    </cdr:to>
    <cdr:cxnSp macro="">
      <cdr:nvCxnSpPr>
        <cdr:cNvPr id="7" name="直線矢印コネクタ 6">
          <a:extLst xmlns:a="http://schemas.openxmlformats.org/drawingml/2006/main">
            <a:ext uri="{FF2B5EF4-FFF2-40B4-BE49-F238E27FC236}">
              <a16:creationId xmlns:a16="http://schemas.microsoft.com/office/drawing/2014/main" id="{9FF78E49-8C98-15D5-B13C-2FCA4FE54467}"/>
            </a:ext>
          </a:extLst>
        </cdr:cNvPr>
        <cdr:cNvCxnSpPr/>
      </cdr:nvCxnSpPr>
      <cdr:spPr>
        <a:xfrm xmlns:a="http://schemas.openxmlformats.org/drawingml/2006/main">
          <a:off x="2968599" y="1280155"/>
          <a:ext cx="637032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ysClr val="windowText" lastClr="000000"/>
          </a:solidFill>
          <a:prstDash val="sysDash"/>
          <a:headEnd type="triangle" w="lg" len="lg"/>
          <a:tailEnd type="triangle" w="lg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0.00118</cdr:x>
      <cdr:y>0.85263</cdr:y>
    </cdr:from>
    <cdr:to>
      <cdr:x>0.98941</cdr:x>
      <cdr:y>1</cdr:y>
    </cdr:to>
    <cdr:sp macro="" textlink="表!$B$15">
      <cdr:nvSpPr>
        <cdr:cNvPr id="8" name="テキスト ボックス 1"/>
        <cdr:cNvSpPr txBox="1"/>
      </cdr:nvSpPr>
      <cdr:spPr>
        <a:xfrm xmlns:a="http://schemas.openxmlformats.org/drawingml/2006/main">
          <a:off x="11239" y="4872780"/>
          <a:ext cx="9412890" cy="8422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CD59BB4-32C4-4DEC-A768-F49A8F147929}" type="TxLink">
            <a:rPr kumimoji="1" lang="en-US" altLang="en-US" sz="11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0.29112</cdr:x>
      <cdr:y>0.16838</cdr:y>
    </cdr:from>
    <cdr:to>
      <cdr:x>0.34849</cdr:x>
      <cdr:y>0.21158</cdr:y>
    </cdr:to>
    <cdr:sp macro="" textlink="">
      <cdr:nvSpPr>
        <cdr:cNvPr id="12" name="テキスト ボックス 8"/>
        <cdr:cNvSpPr txBox="1"/>
      </cdr:nvSpPr>
      <cdr:spPr>
        <a:xfrm xmlns:a="http://schemas.openxmlformats.org/drawingml/2006/main">
          <a:off x="2772955" y="962287"/>
          <a:ext cx="546450" cy="2468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r>
            <a:rPr kumimoji="1" lang="ja-JP" altLang="en-US" sz="800" b="0" i="0" u="none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実績値</a:t>
          </a:r>
        </a:p>
      </cdr:txBody>
    </cdr:sp>
  </cdr:relSizeAnchor>
  <cdr:relSizeAnchor xmlns:cdr="http://schemas.openxmlformats.org/drawingml/2006/chartDrawing">
    <cdr:from>
      <cdr:x>0.35291</cdr:x>
      <cdr:y>0.16838</cdr:y>
    </cdr:from>
    <cdr:to>
      <cdr:x>0.41028</cdr:x>
      <cdr:y>0.21158</cdr:y>
    </cdr:to>
    <cdr:sp macro="" textlink="">
      <cdr:nvSpPr>
        <cdr:cNvPr id="13" name="テキスト ボックス 1"/>
        <cdr:cNvSpPr txBox="1"/>
      </cdr:nvSpPr>
      <cdr:spPr>
        <a:xfrm xmlns:a="http://schemas.openxmlformats.org/drawingml/2006/main">
          <a:off x="3361505" y="962287"/>
          <a:ext cx="546449" cy="2468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800" b="0" i="0" u="none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推計値</a:t>
          </a: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Relationship Id="rId3" Target="../drawings/vmlDrawing1.vml" Type="http://schemas.openxmlformats.org/officeDocument/2006/relationships/vml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27:C27"/>
  <sheetViews>
    <sheetView tabSelected="1" view="pageBreakPreview" zoomScale="85" zoomScaleNormal="85" zoomScaleSheetLayoutView="85" workbookViewId="0">
      <selection activeCell="U9" sqref="U9"/>
    </sheetView>
  </sheetViews>
  <sheetFormatPr defaultColWidth="6.625" defaultRowHeight="15.75" x14ac:dyDescent="0.15"/>
  <cols>
    <col min="1" max="4" customWidth="true" style="22" width="6.625" collapsed="false"/>
    <col min="5" max="5" style="22" width="6.625" collapsed="false"/>
    <col min="6" max="6" customWidth="true" style="22" width="6.625" collapsed="false"/>
    <col min="7" max="13" style="22" width="6.625" collapsed="false"/>
    <col min="14" max="14" customWidth="true" style="22" width="10.0" collapsed="false"/>
    <col min="15" max="16" customWidth="true" style="22" width="9.0" collapsed="false"/>
    <col min="17" max="17" customWidth="true" style="22" width="10.75" collapsed="false"/>
    <col min="18" max="21" style="22" width="6.625" collapsed="false"/>
    <col min="22" max="22" customWidth="true" style="22" width="10.25" collapsed="false"/>
    <col min="23" max="16384" style="22" width="6.625" collapsed="false"/>
  </cols>
  <sheetData>
    <row r="27" spans="2:2" x14ac:dyDescent="0.15">
      <c r="B27" s="23"/>
    </row>
  </sheetData>
  <phoneticPr fontId="1"/>
  <pageMargins left="0.7" right="0.7" top="0.75" bottom="0.75" header="0.3" footer="0.3"/>
  <pageSetup paperSize="9" scale="96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N36"/>
  <sheetViews>
    <sheetView view="pageBreakPreview" zoomScale="85" zoomScaleNormal="85" zoomScaleSheetLayoutView="85" workbookViewId="0"/>
  </sheetViews>
  <sheetFormatPr defaultRowHeight="15.75" x14ac:dyDescent="0.15"/>
  <cols>
    <col min="1" max="1" style="18" width="9.0" collapsed="false"/>
    <col min="2" max="2" customWidth="true" style="18" width="6.5" collapsed="false"/>
    <col min="3" max="3" customWidth="true" style="18" width="15.125" collapsed="false"/>
    <col min="4" max="4" customWidth="true" style="18" width="7.25" collapsed="false"/>
    <col min="5" max="13" customWidth="true" style="18" width="14.625" collapsed="false"/>
    <col min="14" max="23" style="18" width="9.0" collapsed="false"/>
    <col min="24" max="34" customWidth="true" style="18" width="9.0" collapsed="false"/>
    <col min="35" max="16384" style="18" width="9.0" collapsed="false"/>
  </cols>
  <sheetData>
    <row r="1" spans="2:13" x14ac:dyDescent="0.15">
      <c r="C1" s="19"/>
      <c r="D1" s="19"/>
    </row>
    <row r="2" spans="2:13" s="20" customFormat="1" ht="18.75" x14ac:dyDescent="0.15">
      <c r="B2" s="39"/>
      <c r="C2" s="40"/>
      <c r="D2" s="41"/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</row>
    <row r="3" spans="2:13" s="20" customFormat="1" ht="18.75" x14ac:dyDescent="0.15">
      <c r="B3" s="6" t="s">
        <v>15</v>
      </c>
      <c r="C3" s="7"/>
      <c r="D3" s="8" t="str">
        <f>"（"&amp;設定!$F$3&amp;")"</f>
        <v>（人)</v>
      </c>
      <c r="E3" s="28" t="n">
        <v>3185.0</v>
      </c>
      <c r="F3" s="29" t="n">
        <v>2831.0</v>
      </c>
      <c r="G3" s="29" t="n">
        <v>2556.0</v>
      </c>
      <c r="H3" s="29" t="n">
        <v>2315.0</v>
      </c>
      <c r="I3" s="29" t="n">
        <v>2075.0</v>
      </c>
      <c r="J3" s="29" t="n">
        <v>1863.0</v>
      </c>
      <c r="K3" s="29" t="n">
        <v>1654.0</v>
      </c>
      <c r="L3" s="29" t="n">
        <v>1447.0</v>
      </c>
      <c r="M3" s="29" t="n">
        <v>1259.0</v>
      </c>
    </row>
    <row r="4" spans="2:13" ht="18.75" x14ac:dyDescent="0.15">
      <c r="B4" s="9"/>
      <c r="C4" s="10" t="s">
        <v>7</v>
      </c>
      <c r="D4" s="8" t="str">
        <f>"（"&amp;設定!$F$3&amp;")"</f>
        <v>（人)</v>
      </c>
      <c r="E4" s="28" t="n">
        <v>415.0</v>
      </c>
      <c r="F4" s="29" t="n">
        <v>324.0</v>
      </c>
      <c r="G4" s="29" t="n">
        <v>258.0</v>
      </c>
      <c r="H4" s="29" t="n">
        <v>186.0</v>
      </c>
      <c r="I4" s="29" t="n">
        <v>156.0</v>
      </c>
      <c r="J4" s="29" t="n">
        <v>132.0</v>
      </c>
      <c r="K4" s="29" t="n">
        <v>119.0</v>
      </c>
      <c r="L4" s="29" t="n">
        <v>104.0</v>
      </c>
      <c r="M4" s="29" t="n">
        <v>86.0</v>
      </c>
    </row>
    <row r="5" spans="2:13" ht="18.75" x14ac:dyDescent="0.15">
      <c r="B5" s="9"/>
      <c r="C5" s="10" t="s">
        <v>32</v>
      </c>
      <c r="D5" s="8" t="str">
        <f>"（"&amp;設定!$F$3&amp;")"</f>
        <v>（人)</v>
      </c>
      <c r="E5" s="28" t="n">
        <v>713.0</v>
      </c>
      <c r="F5" s="29" t="n">
        <v>588.0</v>
      </c>
      <c r="G5" s="29" t="n">
        <v>511.0</v>
      </c>
      <c r="H5" s="29" t="n">
        <v>451.0</v>
      </c>
      <c r="I5" s="29" t="n">
        <v>395.0</v>
      </c>
      <c r="J5" s="29" t="n">
        <v>345.0</v>
      </c>
      <c r="K5" s="29" t="n">
        <v>280.0</v>
      </c>
      <c r="L5" s="29" t="n">
        <v>224.0</v>
      </c>
      <c r="M5" s="29" t="n">
        <v>176.0</v>
      </c>
    </row>
    <row r="6" spans="2:13" ht="18.75" x14ac:dyDescent="0.15">
      <c r="B6" s="9"/>
      <c r="C6" s="10" t="s">
        <v>33</v>
      </c>
      <c r="D6" s="8" t="str">
        <f>"（"&amp;設定!$F$3&amp;")"</f>
        <v>（人)</v>
      </c>
      <c r="E6" s="28" t="n">
        <v>1166.0</v>
      </c>
      <c r="F6" s="29" t="n">
        <v>1020.0</v>
      </c>
      <c r="G6" s="29" t="n">
        <v>838.0</v>
      </c>
      <c r="H6" s="29" t="n">
        <v>741.0</v>
      </c>
      <c r="I6" s="29" t="n">
        <v>613.0</v>
      </c>
      <c r="J6" s="29" t="n">
        <v>543.0</v>
      </c>
      <c r="K6" s="29" t="n">
        <v>490.0</v>
      </c>
      <c r="L6" s="29" t="n">
        <v>427.0</v>
      </c>
      <c r="M6" s="29" t="n">
        <v>378.0</v>
      </c>
    </row>
    <row r="7" spans="2:13" ht="18.75" x14ac:dyDescent="0.15">
      <c r="B7" s="9"/>
      <c r="C7" s="10" t="s">
        <v>34</v>
      </c>
      <c r="D7" s="8" t="str">
        <f>"（"&amp;設定!$F$3&amp;")"</f>
        <v>（人)</v>
      </c>
      <c r="E7" s="28" t="n">
        <v>345.0</v>
      </c>
      <c r="F7" s="29" t="n">
        <v>399.0</v>
      </c>
      <c r="G7" s="29" t="n">
        <v>507.0</v>
      </c>
      <c r="H7" s="29" t="n">
        <v>457.0</v>
      </c>
      <c r="I7" s="29" t="n">
        <v>360.0</v>
      </c>
      <c r="J7" s="29" t="n">
        <v>302.0</v>
      </c>
      <c r="K7" s="29" t="n">
        <v>246.0</v>
      </c>
      <c r="L7" s="29" t="n">
        <v>235.0</v>
      </c>
      <c r="M7" s="29" t="n">
        <v>221.0</v>
      </c>
    </row>
    <row r="8" spans="2:13" ht="18.75" x14ac:dyDescent="0.15">
      <c r="B8" s="9"/>
      <c r="C8" s="11" t="s">
        <v>10</v>
      </c>
      <c r="D8" s="8" t="str">
        <f>"（"&amp;設定!$F$3&amp;")"</f>
        <v>（人)</v>
      </c>
      <c r="E8" s="28" t="n">
        <v>546.0</v>
      </c>
      <c r="F8" s="29" t="n">
        <v>500.0</v>
      </c>
      <c r="G8" s="29" t="n">
        <v>441.0</v>
      </c>
      <c r="H8" s="29" t="n">
        <v>480.0</v>
      </c>
      <c r="I8" s="29" t="n">
        <v>551.0</v>
      </c>
      <c r="J8" s="29" t="n">
        <v>541.0</v>
      </c>
      <c r="K8" s="29" t="n">
        <v>519.0</v>
      </c>
      <c r="L8" s="29" t="n">
        <v>457.0</v>
      </c>
      <c r="M8" s="29" t="n">
        <v>398.0</v>
      </c>
    </row>
    <row r="9" spans="2:13" ht="18.75" x14ac:dyDescent="0.15">
      <c r="B9" s="12"/>
      <c r="C9" s="13" t="s">
        <v>17</v>
      </c>
      <c r="D9" s="8" t="str">
        <f>"（"&amp;設定!$F$3&amp;")"</f>
        <v>（人)</v>
      </c>
      <c r="E9" s="28" t="n">
        <v>1879.0</v>
      </c>
      <c r="F9" s="28" t="n">
        <v>1608.0</v>
      </c>
      <c r="G9" s="28" t="n">
        <v>1349.0</v>
      </c>
      <c r="H9" s="28" t="n">
        <v>1192.0</v>
      </c>
      <c r="I9" s="28" t="n">
        <v>1008.0</v>
      </c>
      <c r="J9" s="28" t="n">
        <v>888.0</v>
      </c>
      <c r="K9" s="28" t="n">
        <v>770.0</v>
      </c>
      <c r="L9" s="28" t="n">
        <v>651.0</v>
      </c>
      <c r="M9" s="28" t="n">
        <v>554.0</v>
      </c>
    </row>
    <row r="10" spans="2:13" ht="18.75" x14ac:dyDescent="0.15">
      <c r="B10" s="12"/>
      <c r="C10" s="14" t="s">
        <v>18</v>
      </c>
      <c r="D10" s="8" t="str">
        <f>"（"&amp;設定!$F$3&amp;")"</f>
        <v>（人)</v>
      </c>
      <c r="E10" s="28" t="n">
        <v>891.0</v>
      </c>
      <c r="F10" s="28" t="n">
        <v>899.0</v>
      </c>
      <c r="G10" s="28" t="n">
        <v>948.0</v>
      </c>
      <c r="H10" s="28" t="n">
        <v>937.0</v>
      </c>
      <c r="I10" s="28" t="n">
        <v>911.0</v>
      </c>
      <c r="J10" s="28" t="n">
        <v>843.0</v>
      </c>
      <c r="K10" s="28" t="n">
        <v>765.0</v>
      </c>
      <c r="L10" s="28" t="n">
        <v>692.0</v>
      </c>
      <c r="M10" s="28" t="n">
        <v>619.0</v>
      </c>
    </row>
    <row r="11" spans="2:13" ht="18.75" customHeight="1" x14ac:dyDescent="0.15">
      <c r="B11" s="24" t="s">
        <v>23</v>
      </c>
      <c r="C11" s="25"/>
      <c r="D11" s="15" t="str">
        <f>"（"&amp;設定!$F$4&amp;"）"</f>
        <v>（%）</v>
      </c>
      <c r="E11" s="30" t="n">
        <v>59.0</v>
      </c>
      <c r="F11" s="30" t="n">
        <v>56.8</v>
      </c>
      <c r="G11" s="30" t="n">
        <v>52.8</v>
      </c>
      <c r="H11" s="30" t="n">
        <v>51.5</v>
      </c>
      <c r="I11" s="30" t="n">
        <v>48.6</v>
      </c>
      <c r="J11" s="30" t="n">
        <v>47.7</v>
      </c>
      <c r="K11" s="30" t="n">
        <v>46.6</v>
      </c>
      <c r="L11" s="30" t="n">
        <v>45.0</v>
      </c>
      <c r="M11" s="30" t="n">
        <v>44.0</v>
      </c>
    </row>
    <row r="12" spans="2:13" ht="18.75" x14ac:dyDescent="0.15">
      <c r="B12" s="42" t="s">
        <v>11</v>
      </c>
      <c r="C12" s="43"/>
      <c r="D12" s="15" t="str">
        <f>"（"&amp;設定!$F$4&amp;"）"</f>
        <v>（%）</v>
      </c>
      <c r="E12" s="30" t="n">
        <v>28.0</v>
      </c>
      <c r="F12" s="30" t="n">
        <v>31.8</v>
      </c>
      <c r="G12" s="30" t="n">
        <v>37.1</v>
      </c>
      <c r="H12" s="30" t="n">
        <v>40.5</v>
      </c>
      <c r="I12" s="30" t="n">
        <v>43.9</v>
      </c>
      <c r="J12" s="30" t="n">
        <v>45.2</v>
      </c>
      <c r="K12" s="30" t="n">
        <v>46.3</v>
      </c>
      <c r="L12" s="30" t="n">
        <v>47.8</v>
      </c>
      <c r="M12" s="30" t="n">
        <v>49.2</v>
      </c>
    </row>
    <row r="13" spans="2:13" ht="18.75" customHeight="1" x14ac:dyDescent="0.15">
      <c r="B13" s="42" t="str">
        <f>"高齢化率（"&amp;設定!G3&amp;"）"</f>
        <v>高齢化率（福島県）</v>
      </c>
      <c r="C13" s="43"/>
      <c r="D13" s="15" t="str">
        <f>"（"&amp;設定!$F$4&amp;"）"</f>
        <v>（%）</v>
      </c>
      <c r="E13" s="30" t="n">
        <v>24.9</v>
      </c>
      <c r="F13" s="30" t="n">
        <v>28.3</v>
      </c>
      <c r="G13" s="30" t="n">
        <v>31.2</v>
      </c>
      <c r="H13" s="30" t="n">
        <v>34.2</v>
      </c>
      <c r="I13" s="30" t="n">
        <v>36.1</v>
      </c>
      <c r="J13" s="30" t="n">
        <v>37.7</v>
      </c>
      <c r="K13" s="30" t="n">
        <v>40.3</v>
      </c>
      <c r="L13" s="30" t="n">
        <v>42.5</v>
      </c>
      <c r="M13" s="30" t="n">
        <v>44.2</v>
      </c>
    </row>
    <row r="14" spans="2:13" ht="15.75" customHeight="1" x14ac:dyDescent="0.15">
      <c r="B14" s="42" t="s">
        <v>16</v>
      </c>
      <c r="C14" s="43"/>
      <c r="D14" s="15" t="str">
        <f>"（"&amp;設定!$F$4&amp;"）"</f>
        <v>（%）</v>
      </c>
      <c r="E14" s="30" t="n">
        <v>22.8</v>
      </c>
      <c r="F14" s="30" t="n">
        <v>26.3</v>
      </c>
      <c r="G14" s="30" t="n">
        <v>28.0</v>
      </c>
      <c r="H14" s="30" t="n">
        <v>29.6</v>
      </c>
      <c r="I14" s="30" t="n">
        <v>30.8</v>
      </c>
      <c r="J14" s="30" t="n">
        <v>32.3</v>
      </c>
      <c r="K14" s="30" t="n">
        <v>34.8</v>
      </c>
      <c r="L14" s="30" t="n">
        <v>36.3</v>
      </c>
      <c r="M14" s="30" t="n">
        <v>37.1</v>
      </c>
    </row>
    <row r="15" spans="2:13" ht="38.25" customHeight="1" x14ac:dyDescent="0.15">
      <c r="B15" s="44" t="s">
        <v>46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</row>
    <row r="16" spans="2:13" ht="15.75" customHeight="1" x14ac:dyDescent="0.15"/>
    <row r="17" spans="3:13" ht="15.75" customHeight="1" x14ac:dyDescent="0.15"/>
    <row r="18" spans="3:13" ht="15.75" customHeight="1" x14ac:dyDescent="0.15"/>
    <row r="19" spans="3:13" ht="15.75" customHeight="1" x14ac:dyDescent="0.15"/>
    <row r="20" spans="3:13" ht="15.75" customHeight="1" x14ac:dyDescent="0.15"/>
    <row r="21" spans="3:13" ht="15.75" customHeight="1" x14ac:dyDescent="0.15"/>
    <row r="22" spans="3:13" ht="15.75" customHeight="1" x14ac:dyDescent="0.15"/>
    <row r="23" spans="3:13" ht="15.75" customHeight="1" x14ac:dyDescent="0.15"/>
    <row r="24" spans="3:13" ht="15.75" customHeight="1" x14ac:dyDescent="0.15"/>
    <row r="25" spans="3:13" ht="15.75" customHeight="1" x14ac:dyDescent="0.15"/>
    <row r="26" spans="3:13" ht="15.75" customHeight="1" x14ac:dyDescent="0.15"/>
    <row r="27" spans="3:13" ht="15.75" customHeight="1" x14ac:dyDescent="0.15"/>
    <row r="28" spans="3:13" ht="15.75" customHeight="1" x14ac:dyDescent="0.15"/>
    <row r="29" spans="3:13" ht="15.75" customHeight="1" x14ac:dyDescent="0.15"/>
    <row r="30" spans="3:13" ht="15.75" customHeight="1" x14ac:dyDescent="0.15"/>
    <row r="31" spans="3:13" ht="15.75" customHeight="1" x14ac:dyDescent="0.15"/>
    <row r="32" spans="3:13" x14ac:dyDescent="0.15">
      <c r="C32" s="36" t="s">
        <v>22</v>
      </c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2:13" x14ac:dyDescent="0.15">
      <c r="C33" s="21" t="s">
        <v>7</v>
      </c>
      <c r="D33" s="21"/>
      <c r="E33" s="26" t="n">
        <f>E4*-1</f>
        <v>-415.0</v>
      </c>
      <c r="F33" s="26" t="n">
        <f t="shared" ref="F33:M33" si="0">F4*-1</f>
        <v>-324.0</v>
      </c>
      <c r="G33" s="26" t="n">
        <f t="shared" si="0"/>
        <v>-258.0</v>
      </c>
      <c r="H33" s="26" t="n">
        <f t="shared" si="0"/>
        <v>-186.0</v>
      </c>
      <c r="I33" s="26" t="n">
        <f t="shared" si="0"/>
        <v>-156.0</v>
      </c>
      <c r="J33" s="26" t="n">
        <f t="shared" si="0"/>
        <v>-132.0</v>
      </c>
      <c r="K33" s="26" t="n">
        <f t="shared" si="0"/>
        <v>-119.0</v>
      </c>
      <c r="L33" s="26" t="n">
        <f t="shared" si="0"/>
        <v>-104.0</v>
      </c>
      <c r="M33" s="27" t="n">
        <f t="shared" si="0"/>
        <v>-86.0</v>
      </c>
    </row>
    <row r="34" spans="2:13" x14ac:dyDescent="0.15">
      <c r="C34" s="21" t="s">
        <v>8</v>
      </c>
      <c r="D34" s="21"/>
      <c r="E34" s="26" t="n">
        <f t="shared" ref="E34:M34" si="1">E5*-1</f>
        <v>-713.0</v>
      </c>
      <c r="F34" s="26" t="n">
        <f t="shared" si="1"/>
        <v>-588.0</v>
      </c>
      <c r="G34" s="26" t="n">
        <f t="shared" si="1"/>
        <v>-511.0</v>
      </c>
      <c r="H34" s="26" t="n">
        <f t="shared" si="1"/>
        <v>-451.0</v>
      </c>
      <c r="I34" s="26" t="n">
        <f t="shared" si="1"/>
        <v>-395.0</v>
      </c>
      <c r="J34" s="26" t="n">
        <f t="shared" si="1"/>
        <v>-345.0</v>
      </c>
      <c r="K34" s="26" t="n">
        <f t="shared" si="1"/>
        <v>-280.0</v>
      </c>
      <c r="L34" s="26" t="n">
        <f t="shared" si="1"/>
        <v>-224.0</v>
      </c>
      <c r="M34" s="26" t="n">
        <f t="shared" si="1"/>
        <v>-176.0</v>
      </c>
    </row>
    <row r="35" spans="2:13" x14ac:dyDescent="0.15">
      <c r="C35" s="21" t="s">
        <v>9</v>
      </c>
      <c r="D35" s="21"/>
      <c r="E35" s="26" t="n">
        <f t="shared" ref="E35:M35" si="2">E6*-1</f>
        <v>-1166.0</v>
      </c>
      <c r="F35" s="26" t="n">
        <f t="shared" si="2"/>
        <v>-1020.0</v>
      </c>
      <c r="G35" s="26" t="n">
        <f t="shared" si="2"/>
        <v>-838.0</v>
      </c>
      <c r="H35" s="26" t="n">
        <f t="shared" si="2"/>
        <v>-741.0</v>
      </c>
      <c r="I35" s="26" t="n">
        <f t="shared" si="2"/>
        <v>-613.0</v>
      </c>
      <c r="J35" s="26" t="n">
        <f t="shared" si="2"/>
        <v>-543.0</v>
      </c>
      <c r="K35" s="26" t="n">
        <f t="shared" si="2"/>
        <v>-490.0</v>
      </c>
      <c r="L35" s="26" t="n">
        <f t="shared" si="2"/>
        <v>-427.0</v>
      </c>
      <c r="M35" s="26" t="n">
        <f t="shared" si="2"/>
        <v>-378.0</v>
      </c>
    </row>
    <row r="36" spans="2:13" x14ac:dyDescent="0.1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heetProtection selectLockedCells="1" selectUnlockedCells="1"/>
  <mergeCells count="7">
    <mergeCell ref="B36:M36"/>
    <mergeCell ref="C32:M32"/>
    <mergeCell ref="B2:D2"/>
    <mergeCell ref="B12:C12"/>
    <mergeCell ref="B13:C13"/>
    <mergeCell ref="B14:C14"/>
    <mergeCell ref="B15:M15"/>
  </mergeCells>
  <phoneticPr fontId="1"/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F11"/>
  <sheetViews>
    <sheetView view="pageBreakPreview" zoomScale="85" zoomScaleNormal="85" zoomScaleSheetLayoutView="85" workbookViewId="0">
      <selection activeCell="H11" sqref="H11"/>
    </sheetView>
  </sheetViews>
  <sheetFormatPr defaultRowHeight="15.75" x14ac:dyDescent="0.15"/>
  <cols>
    <col min="1" max="1" style="17" width="9.0" collapsed="false"/>
    <col min="2" max="2" customWidth="true" style="17" width="15.625" collapsed="false"/>
    <col min="3" max="4" customWidth="true" style="17" width="12.125" collapsed="false"/>
    <col min="5" max="5" customWidth="true" style="17" width="8.125" collapsed="false"/>
    <col min="6" max="7" customWidth="true" style="17" width="8.875" collapsed="false"/>
    <col min="8" max="8" bestFit="true" customWidth="true" style="17" width="11.375" collapsed="false"/>
    <col min="9" max="9" customWidth="true" style="17" width="11.375" collapsed="false"/>
    <col min="10" max="10" bestFit="true" customWidth="true" style="17" width="11.375" collapsed="false"/>
    <col min="11" max="16384" style="17" width="9.0" collapsed="false"/>
  </cols>
  <sheetData>
    <row r="2" spans="2:5" ht="18.75" x14ac:dyDescent="0.15">
      <c r="B2" s="46" t="str">
        <f>設定!C3&amp;"の高齢化率の降順"</f>
        <v>北塩原村の高齢化率の降順</v>
      </c>
      <c r="C2" s="47"/>
      <c r="D2" s="48"/>
    </row>
    <row r="3" spans="2:5" ht="18.75" x14ac:dyDescent="0.15">
      <c r="B3" s="49" t="s">
        <v>35</v>
      </c>
      <c r="C3" s="50"/>
      <c r="D3" s="51"/>
    </row>
    <row r="4" spans="2:5" ht="18.75" x14ac:dyDescent="0.15">
      <c r="B4" s="1" t="str">
        <f>設定!I3&amp;"内"</f>
        <v>福島県内</v>
      </c>
      <c r="C4" s="1" t="str">
        <f>IF(設定!J3="-","-",TEXT(設定!J3,"#,##0"))&amp;設定!H3</f>
        <v>24番目</v>
      </c>
      <c r="D4" s="1" t="str">
        <f>IF(設定!K3="-","-",TEXT(設定!K3,"#,##0"))&amp;設定!H4</f>
        <v>58保険者</v>
      </c>
      <c r="E4" s="17" t="s">
        <v>26</v>
      </c>
    </row>
    <row r="5" spans="2:5" ht="18.75" x14ac:dyDescent="0.15">
      <c r="B5" s="1" t="str">
        <f>設定!I4</f>
        <v>全国</v>
      </c>
      <c r="C5" s="1" t="str">
        <f>IF(設定!J4="-","-",TEXT(設定!J4,"#,##0"))&amp;設定!H3</f>
        <v>593番目</v>
      </c>
      <c r="D5" s="1" t="str">
        <f>IF(設定!K4="-","-",TEXT(設定!K4,"#,##0"))&amp;設定!H4</f>
        <v>1,570保険者</v>
      </c>
      <c r="E5" s="17" t="s">
        <v>26</v>
      </c>
    </row>
    <row r="6" spans="2:5" ht="18.75" x14ac:dyDescent="0.15">
      <c r="B6" s="49" t="s">
        <v>28</v>
      </c>
      <c r="C6" s="50"/>
      <c r="D6" s="51"/>
    </row>
    <row r="7" spans="2:5" ht="18.75" x14ac:dyDescent="0.15">
      <c r="B7" s="1" t="str">
        <f>設定!I3&amp;"内"</f>
        <v>福島県内</v>
      </c>
      <c r="C7" s="1" t="str">
        <f>IF(設定!J6="-","-",TEXT(設定!J6,"#,##0"))&amp;設定!H3</f>
        <v>22番目</v>
      </c>
      <c r="D7" s="1" t="str">
        <f>IF(設定!K6="-","-",TEXT(設定!K6,"#,##0"))&amp;設定!H4</f>
        <v>46保険者</v>
      </c>
      <c r="E7" s="17" t="s">
        <v>26</v>
      </c>
    </row>
    <row r="8" spans="2:5" ht="18.75" x14ac:dyDescent="0.15">
      <c r="B8" s="1" t="str">
        <f>設定!I4</f>
        <v>全国</v>
      </c>
      <c r="C8" s="1" t="str">
        <f>IF(設定!J7="-","-",TEXT(設定!J7,"#,##0"))&amp;設定!H3</f>
        <v>538番目</v>
      </c>
      <c r="D8" s="1" t="str">
        <f>IF(設定!K7="-","-",TEXT(設定!K7,"#,##0"))&amp;設定!H4</f>
        <v>1,558保険者</v>
      </c>
      <c r="E8" s="17" t="s">
        <v>26</v>
      </c>
    </row>
    <row r="9" spans="2:5" ht="18.75" x14ac:dyDescent="0.15">
      <c r="B9" s="49" t="s">
        <v>29</v>
      </c>
      <c r="C9" s="50"/>
      <c r="D9" s="51"/>
    </row>
    <row r="10" spans="2:5" ht="18.75" x14ac:dyDescent="0.15">
      <c r="B10" s="1" t="str">
        <f>設定!I3&amp;"内"</f>
        <v>福島県内</v>
      </c>
      <c r="C10" s="1" t="str">
        <f>IF(設定!J9="-","-",TEXT(設定!J9,"#,##0"))&amp;設定!H3</f>
        <v>22番目</v>
      </c>
      <c r="D10" s="1" t="str">
        <f>IF(設定!K9="-","-",TEXT(設定!K9,"#,##0"))&amp;設定!H4</f>
        <v>46保険者</v>
      </c>
      <c r="E10" s="17" t="s">
        <v>26</v>
      </c>
    </row>
    <row r="11" spans="2:5" ht="18.75" x14ac:dyDescent="0.15">
      <c r="B11" s="1" t="str">
        <f>設定!I4</f>
        <v>全国</v>
      </c>
      <c r="C11" s="1" t="str">
        <f>IF(設定!J10="-","-",TEXT(設定!J10,"#,##0"))&amp;設定!H3</f>
        <v>533番目</v>
      </c>
      <c r="D11" s="1" t="str">
        <f>IF(設定!K10="-","-",TEXT(設定!K10,"#,##0"))&amp;設定!H4</f>
        <v>1,558保険者</v>
      </c>
      <c r="E11" s="17" t="s">
        <v>26</v>
      </c>
    </row>
  </sheetData>
  <mergeCells count="4">
    <mergeCell ref="B2:D2"/>
    <mergeCell ref="B3:D3"/>
    <mergeCell ref="B6:D6"/>
    <mergeCell ref="B9:D9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2:M10"/>
  <sheetViews>
    <sheetView view="pageBreakPreview" topLeftCell="B1" zoomScale="85" zoomScaleNormal="100" zoomScaleSheetLayoutView="85" workbookViewId="0">
      <selection activeCell="G25" sqref="G25"/>
    </sheetView>
  </sheetViews>
  <sheetFormatPr defaultRowHeight="15.75" x14ac:dyDescent="0.15"/>
  <cols>
    <col min="1" max="1" customWidth="true" hidden="true" style="17" width="10.75" collapsed="false"/>
    <col min="2" max="2" customWidth="true" style="17" width="32.0" collapsed="false"/>
    <col min="3" max="3" customWidth="true" style="17" width="16.25" collapsed="false"/>
    <col min="4" max="4" customWidth="true" hidden="true" style="17" width="10.125" collapsed="false"/>
    <col min="5" max="5" customWidth="true" style="17" width="10.375" collapsed="false"/>
    <col min="6" max="6" customWidth="true" style="17" width="7.625" collapsed="false"/>
    <col min="7" max="7" customWidth="true" style="17" width="14.0" collapsed="false"/>
    <col min="8" max="8" customWidth="true" style="17" width="11.875" collapsed="false"/>
    <col min="9" max="9" customWidth="true" style="17" width="11.625" collapsed="false"/>
    <col min="10" max="16384" style="17" width="9.0" collapsed="false"/>
  </cols>
  <sheetData>
    <row r="2" spans="1:12" s="16" customFormat="1" ht="18.75" x14ac:dyDescent="0.15">
      <c r="A2" s="16" t="s">
        <v>3</v>
      </c>
      <c r="B2" s="2" t="s">
        <v>0</v>
      </c>
      <c r="C2" s="2" t="s">
        <v>24</v>
      </c>
      <c r="D2" s="3" t="s">
        <v>5</v>
      </c>
      <c r="E2" s="2" t="s">
        <v>1</v>
      </c>
      <c r="F2" s="2" t="s">
        <v>4</v>
      </c>
      <c r="G2" s="2" t="s">
        <v>19</v>
      </c>
      <c r="H2" s="2" t="s">
        <v>20</v>
      </c>
      <c r="I2" s="2" t="s">
        <v>21</v>
      </c>
      <c r="J2" s="52" t="s">
        <v>36</v>
      </c>
      <c r="K2" s="53"/>
    </row>
    <row r="3" spans="1:12" ht="18.75" x14ac:dyDescent="0.15">
      <c r="A3" s="17" t="str">
        <f>C3&amp;"の"&amp;B3</f>
        <v>北塩原村の人口の推移</v>
      </c>
      <c r="B3" s="1" t="s">
        <v>12</v>
      </c>
      <c r="C3" s="32" t="s">
        <v>47</v>
      </c>
      <c r="D3" s="32" t="str">
        <f>E3&amp;"("&amp;F3&amp;")"</f>
        <v>人口(人)</v>
      </c>
      <c r="E3" s="32" t="s">
        <v>13</v>
      </c>
      <c r="F3" s="32" t="s">
        <v>6</v>
      </c>
      <c r="G3" s="32" t="s">
        <v>48</v>
      </c>
      <c r="H3" s="32" t="s">
        <v>49</v>
      </c>
      <c r="I3" s="32" t="s">
        <v>48</v>
      </c>
      <c r="J3" s="33" t="n">
        <v>24.0</v>
      </c>
      <c r="K3" s="33" t="n">
        <v>58.0</v>
      </c>
      <c r="L3" s="17" t="s">
        <v>26</v>
      </c>
    </row>
    <row r="4" spans="1:12" ht="18.75" x14ac:dyDescent="0.15">
      <c r="B4" s="4"/>
      <c r="C4" s="34"/>
      <c r="D4" s="32" t="str">
        <f>E4&amp;"("&amp;F4&amp;")"</f>
        <v>人口割合(%)</v>
      </c>
      <c r="E4" s="32" t="s">
        <v>14</v>
      </c>
      <c r="F4" s="32" t="s">
        <v>2</v>
      </c>
      <c r="G4" s="34"/>
      <c r="H4" s="32" t="s">
        <v>50</v>
      </c>
      <c r="I4" s="32" t="s">
        <v>51</v>
      </c>
      <c r="J4" s="33" t="n">
        <v>593.0</v>
      </c>
      <c r="K4" s="33" t="n">
        <v>1570.0</v>
      </c>
      <c r="L4" s="17" t="s">
        <v>25</v>
      </c>
    </row>
    <row r="5" spans="1:12" ht="18.75" x14ac:dyDescent="0.15">
      <c r="B5" s="4"/>
      <c r="C5" s="34"/>
      <c r="D5" s="34"/>
      <c r="E5" s="34"/>
      <c r="F5" s="34"/>
      <c r="G5" s="34"/>
      <c r="H5" s="34"/>
      <c r="I5" s="34"/>
      <c r="J5" s="54" t="s">
        <v>30</v>
      </c>
      <c r="K5" s="54"/>
      <c r="L5" s="16"/>
    </row>
    <row r="6" spans="1:12" ht="18.75" x14ac:dyDescent="0.15">
      <c r="B6" s="4"/>
      <c r="C6" s="34"/>
      <c r="D6" s="34"/>
      <c r="E6" s="34"/>
      <c r="F6" s="34"/>
      <c r="G6" s="34"/>
      <c r="H6" s="34"/>
      <c r="I6" s="34"/>
      <c r="J6" s="33" t="n">
        <v>22.0</v>
      </c>
      <c r="K6" s="33" t="n">
        <v>46.0</v>
      </c>
      <c r="L6" s="17" t="s">
        <v>26</v>
      </c>
    </row>
    <row r="7" spans="1:12" ht="18.75" x14ac:dyDescent="0.15">
      <c r="B7" s="4"/>
      <c r="C7" s="34"/>
      <c r="D7" s="34"/>
      <c r="E7" s="34"/>
      <c r="F7" s="34"/>
      <c r="G7" s="34"/>
      <c r="H7" s="34"/>
      <c r="I7" s="34"/>
      <c r="J7" s="33" t="n">
        <v>538.0</v>
      </c>
      <c r="K7" s="33" t="n">
        <v>1558.0</v>
      </c>
      <c r="L7" s="17" t="s">
        <v>27</v>
      </c>
    </row>
    <row r="8" spans="1:12" ht="18.75" x14ac:dyDescent="0.15">
      <c r="B8" s="4"/>
      <c r="C8" s="34"/>
      <c r="D8" s="34"/>
      <c r="E8" s="34"/>
      <c r="F8" s="34"/>
      <c r="G8" s="34"/>
      <c r="H8" s="34"/>
      <c r="I8" s="34"/>
      <c r="J8" s="54" t="s">
        <v>31</v>
      </c>
      <c r="K8" s="54"/>
      <c r="L8" s="16"/>
    </row>
    <row r="9" spans="1:12" ht="18.75" x14ac:dyDescent="0.15">
      <c r="B9" s="4"/>
      <c r="C9" s="34"/>
      <c r="D9" s="34"/>
      <c r="E9" s="34"/>
      <c r="F9" s="34"/>
      <c r="G9" s="34"/>
      <c r="H9" s="34"/>
      <c r="I9" s="34"/>
      <c r="J9" s="33" t="n">
        <v>22.0</v>
      </c>
      <c r="K9" s="33" t="n">
        <v>46.0</v>
      </c>
      <c r="L9" s="17" t="s">
        <v>26</v>
      </c>
    </row>
    <row r="10" spans="1:12" ht="18.75" x14ac:dyDescent="0.15">
      <c r="B10" s="4"/>
      <c r="C10" s="34"/>
      <c r="D10" s="34"/>
      <c r="E10" s="34"/>
      <c r="F10" s="34"/>
      <c r="G10" s="34"/>
      <c r="H10" s="34"/>
      <c r="I10" s="34"/>
      <c r="J10" s="33" t="n">
        <v>533.0</v>
      </c>
      <c r="K10" s="33" t="n">
        <v>1558.0</v>
      </c>
      <c r="L10" s="17" t="s">
        <v>25</v>
      </c>
    </row>
  </sheetData>
  <mergeCells count="3">
    <mergeCell ref="J2:K2"/>
    <mergeCell ref="J5:K5"/>
    <mergeCell ref="J8:K8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グラフ</vt:lpstr>
      <vt:lpstr>表</vt:lpstr>
      <vt:lpstr>順位</vt:lpstr>
      <vt:lpstr>設定</vt:lpstr>
      <vt:lpstr>グラフ!Print_Area</vt:lpstr>
      <vt:lpstr>順位!Print_Area</vt:lpstr>
      <vt:lpstr>設定!Print_Area</vt:lpstr>
      <vt:lpstr>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2015-10-08T04:05:18Z</dcterms:created>
  <dcterms:modified xsi:type="dcterms:W3CDTF">2023-11-06T01:51:03Z</dcterms:modified>
</cp:coreProperties>
</file>