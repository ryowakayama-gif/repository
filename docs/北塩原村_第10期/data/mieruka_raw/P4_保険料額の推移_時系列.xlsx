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codeName="ThisWorkbook"/>
  <xr:revisionPtr revIDLastSave="0" documentId="13_ncr:1_{8CCD3ABD-E8C0-40EA-A50D-15E27D41ED0C}" xr6:coauthVersionLast="47" xr6:coauthVersionMax="47" xr10:uidLastSave="{00000000-0000-0000-0000-000000000000}"/>
  <bookViews>
    <workbookView xWindow="-120" yWindow="-120" windowWidth="29040" windowHeight="15990" tabRatio="761" xr2:uid="{00000000-000D-0000-FFFF-FFFF00000000}"/>
  </bookViews>
  <sheets>
    <sheet name="グラフ" sheetId="2" r:id="rId1"/>
    <sheet name="表" sheetId="22" r:id="rId2"/>
    <sheet name="順位" sheetId="24" r:id="rId3"/>
    <sheet name="設定" sheetId="23" r:id="rId4"/>
  </sheets>
  <definedNames>
    <definedName name="_xlnm.Print_Area" localSheetId="0">グラフ!$A$1:$U$32</definedName>
    <definedName name="_xlnm.Print_Area" localSheetId="2">順位!$A$1:$E$6</definedName>
    <definedName name="_xlnm.Print_Area" localSheetId="1">表!$A$1:$N$13</definedName>
  </definedNames>
  <calcPr calcId="181029"/>
</workbook>
</file>

<file path=xl/calcChain.xml><?xml version="1.0" encoding="utf-8"?>
<calcChain xmlns="http://schemas.openxmlformats.org/spreadsheetml/2006/main">
  <c r="B3" i="24" l="1"/>
  <c r="D5" i="24"/>
  <c r="C5" i="24"/>
  <c r="C4" i="24"/>
  <c r="D4" i="24"/>
  <c r="L24" i="22" l="1"/>
  <c r="M24" i="22"/>
  <c r="L25" i="22"/>
  <c r="M25" i="22"/>
  <c r="L26" i="22"/>
  <c r="M26" i="22"/>
  <c r="L27" i="22"/>
  <c r="M27" i="22"/>
  <c r="K27" i="22" l="1"/>
  <c r="J27" i="22"/>
  <c r="I27" i="22"/>
  <c r="H27" i="22"/>
  <c r="G27" i="22"/>
  <c r="F27" i="22"/>
  <c r="E27" i="22"/>
  <c r="C27" i="22"/>
  <c r="K26" i="22"/>
  <c r="J26" i="22"/>
  <c r="I26" i="22"/>
  <c r="H26" i="22"/>
  <c r="G26" i="22"/>
  <c r="F26" i="22"/>
  <c r="E26" i="22"/>
  <c r="C26" i="22"/>
  <c r="K25" i="22"/>
  <c r="J25" i="22"/>
  <c r="I25" i="22"/>
  <c r="H25" i="22"/>
  <c r="G25" i="22"/>
  <c r="F25" i="22"/>
  <c r="E25" i="22"/>
  <c r="C25" i="22"/>
  <c r="K24" i="22"/>
  <c r="J24" i="22"/>
  <c r="I24" i="22"/>
  <c r="H24" i="22"/>
  <c r="G24" i="22"/>
  <c r="F24" i="22"/>
  <c r="E24" i="22"/>
  <c r="C24" i="22"/>
  <c r="B2" i="24" l="1"/>
  <c r="B5" i="24" l="1"/>
  <c r="B4" i="24"/>
  <c r="B10" i="22" l="1"/>
  <c r="A4" i="23" l="1"/>
  <c r="D3" i="23" l="1"/>
  <c r="A3" i="23"/>
</calcChain>
</file>

<file path=xl/sharedStrings.xml><?xml version="1.0" encoding="utf-8"?>
<sst xmlns="http://schemas.openxmlformats.org/spreadsheetml/2006/main" count="54" uniqueCount="46">
  <si>
    <t>タイトル</t>
    <phoneticPr fontId="1"/>
  </si>
  <si>
    <t>軸ラベル</t>
    <rPh sb="0" eb="1">
      <t>ジク</t>
    </rPh>
    <phoneticPr fontId="1"/>
  </si>
  <si>
    <t>サブタイトル</t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</si>
  <si>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</si>
  <si>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</si>
  <si>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</si>
  <si>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（円）</t>
    <rPh sb="1" eb="2">
      <t>エン</t>
    </rPh>
    <phoneticPr fontId="1"/>
  </si>
  <si>
    <t>円</t>
    <rPh sb="0" eb="1">
      <t>エン</t>
    </rPh>
    <phoneticPr fontId="1"/>
  </si>
  <si>
    <t>必要保険料額（在宅サービス）</t>
    <rPh sb="0" eb="2">
      <t>ヒツヨウ</t>
    </rPh>
    <rPh sb="2" eb="5">
      <t>ホケンリョウ</t>
    </rPh>
    <rPh sb="5" eb="6">
      <t>ガク</t>
    </rPh>
    <rPh sb="7" eb="9">
      <t>ザイタク</t>
    </rPh>
    <phoneticPr fontId="1"/>
  </si>
  <si>
    <t>必要保険料額（居住系サービス）</t>
    <rPh sb="0" eb="2">
      <t>ヒツヨウ</t>
    </rPh>
    <rPh sb="2" eb="5">
      <t>ホケンリョウ</t>
    </rPh>
    <rPh sb="5" eb="6">
      <t>ガク</t>
    </rPh>
    <rPh sb="7" eb="9">
      <t>キョジュウ</t>
    </rPh>
    <rPh sb="9" eb="10">
      <t>ケイ</t>
    </rPh>
    <phoneticPr fontId="1"/>
  </si>
  <si>
    <t>必要保険料額（施設サービス）</t>
    <rPh sb="0" eb="2">
      <t>ヒツヨウ</t>
    </rPh>
    <rPh sb="2" eb="5">
      <t>ホケンリョウ</t>
    </rPh>
    <rPh sb="5" eb="6">
      <t>ガク</t>
    </rPh>
    <rPh sb="7" eb="9">
      <t>シセツ</t>
    </rPh>
    <phoneticPr fontId="1"/>
  </si>
  <si>
    <t>保険料基準額</t>
    <rPh sb="0" eb="3">
      <t>ホケンリョウ</t>
    </rPh>
    <rPh sb="3" eb="5">
      <t>キジュン</t>
    </rPh>
    <rPh sb="5" eb="6">
      <t>ガク</t>
    </rPh>
    <phoneticPr fontId="1"/>
  </si>
  <si>
    <t>保険料基準額（全国）</t>
    <rPh sb="0" eb="3">
      <t>ホケンリョウ</t>
    </rPh>
    <rPh sb="3" eb="5">
      <t>キジュン</t>
    </rPh>
    <rPh sb="5" eb="6">
      <t>ガク</t>
    </rPh>
    <rPh sb="7" eb="9">
      <t>ゼンコク</t>
    </rPh>
    <phoneticPr fontId="1"/>
  </si>
  <si>
    <t>必要保険料額（その他）</t>
    <rPh sb="0" eb="2">
      <t>ヒツヨウ</t>
    </rPh>
    <rPh sb="2" eb="5">
      <t>ホケンリョウ</t>
    </rPh>
    <rPh sb="5" eb="6">
      <t>ガク</t>
    </rPh>
    <rPh sb="9" eb="10">
      <t>タ</t>
    </rPh>
    <phoneticPr fontId="1"/>
  </si>
  <si>
    <t>金額</t>
    <rPh sb="0" eb="2">
      <t>キンガク</t>
    </rPh>
    <phoneticPr fontId="1"/>
  </si>
  <si>
    <t>都道府県</t>
    <rPh sb="0" eb="4">
      <t>トドウフケン</t>
    </rPh>
    <phoneticPr fontId="1"/>
  </si>
  <si>
    <t>順位単位</t>
    <rPh sb="0" eb="2">
      <t>ジュンイ</t>
    </rPh>
    <rPh sb="2" eb="4">
      <t>タンイ</t>
    </rPh>
    <phoneticPr fontId="1"/>
  </si>
  <si>
    <t>順位地域</t>
    <rPh sb="0" eb="2">
      <t>ジュンイ</t>
    </rPh>
    <rPh sb="2" eb="4">
      <t>チイキ</t>
    </rPh>
    <phoneticPr fontId="1"/>
  </si>
  <si>
    <t>保険料額の推移</t>
    <rPh sb="0" eb="3">
      <t>ホケンリョウ</t>
    </rPh>
    <rPh sb="3" eb="4">
      <t>ガク</t>
    </rPh>
    <rPh sb="5" eb="7">
      <t>スイイ</t>
    </rPh>
    <phoneticPr fontId="1"/>
  </si>
  <si>
    <t>順位情報</t>
    <rPh sb="0" eb="2">
      <t>ジュンイ</t>
    </rPh>
    <rPh sb="2" eb="4">
      <t>ジョウホウ</t>
    </rPh>
    <phoneticPr fontId="1"/>
  </si>
  <si>
    <t>順位表示時点：年次</t>
    <rPh sb="0" eb="2">
      <t>ジュンイ</t>
    </rPh>
    <rPh sb="2" eb="4">
      <t>ヒョウジ</t>
    </rPh>
    <rPh sb="4" eb="6">
      <t>ジテン</t>
    </rPh>
    <rPh sb="7" eb="9">
      <t>ネンジ</t>
    </rPh>
    <phoneticPr fontId="1"/>
  </si>
  <si>
    <t>順位表示時点：月次</t>
    <rPh sb="0" eb="2">
      <t>ジュンイ</t>
    </rPh>
    <rPh sb="2" eb="4">
      <t>ヒョウジ</t>
    </rPh>
    <rPh sb="4" eb="6">
      <t>ジテン</t>
    </rPh>
    <rPh sb="7" eb="9">
      <t>ゲツジ</t>
    </rPh>
    <phoneticPr fontId="1"/>
  </si>
  <si>
    <t xml:space="preserve"> </t>
    <phoneticPr fontId="1"/>
  </si>
  <si>
    <t xml:space="preserve"> </t>
    <phoneticPr fontId="1"/>
  </si>
  <si>
    <t>必要保険料額（合計）</t>
    <rPh sb="0" eb="2">
      <t>ヒツヨウ</t>
    </rPh>
    <rPh sb="2" eb="5">
      <t>ホケンリョウ</t>
    </rPh>
    <rPh sb="5" eb="6">
      <t>ガク</t>
    </rPh>
    <phoneticPr fontId="1"/>
  </si>
  <si>
    <t>グラフ表示用</t>
    <rPh sb="3" eb="6">
      <t>ヒョウジヨウ</t>
    </rPh>
    <phoneticPr fontId="1"/>
  </si>
  <si>
    <t>平成30年度</t>
  </si>
  <si>
    <t>令和元年度</t>
  </si>
  <si>
    <t>令和2年度</t>
  </si>
  <si>
    <t>令和3年度</t>
  </si>
  <si>
    <t>令和4年度</t>
  </si>
  <si>
    <t>令和5年度</t>
  </si>
  <si>
    <t>令和6年度
(R7/2月
サービス
提供分まで)</t>
  </si>
  <si>
    <t>令和7年度
(R8/2月
サービス
提供分まで)</t>
  </si>
  <si>
    <t>令和8年度
(R8/3月
サービス
提供分まで)</t>
  </si>
  <si>
    <t>（出典）【必要保険料額】平成30年度から令和5年度：厚生労働省「介護保険事業状況報告（年報）」、令和6年度から令和7年度：「介護保険事業状況報告（月報）」の１２か月累計および介護保険事業計画に係る保険者からの報告値、令和8年度：直近月までの「介護保険事業状況報告（月報）」の累計および介護保険事業計画に係る保険者からの報告値
　　　　【保険料基準額】介護保険事業計画に係る保険者からの報告値</t>
  </si>
  <si>
    <t>第7期</t>
  </si>
  <si>
    <t>第8期</t>
  </si>
  <si>
    <t>第9期</t>
  </si>
  <si>
    <t>北塩原村</t>
  </si>
  <si>
    <t>福島県</t>
  </si>
  <si>
    <t>番目</t>
  </si>
  <si>
    <t>保険者</t>
  </si>
  <si>
    <t>全国</t>
  </si>
  <si>
    <t xml:space="preserve"> 8</t>
  </si>
  <si>
    <t xml:space="preserve">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</si>
</sst>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3" fillId="5" borderId="0" xfId="0" applyFont="1" applyFill="1">
      <alignment vertical="center"/>
    </xf>
    <xf numFmtId="0" fontId="3" fillId="5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>
      <alignment vertical="center"/>
    </xf>
    <xf numFmtId="0" fontId="4" fillId="5" borderId="5" xfId="0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7" xfId="2" applyFont="1" applyFill="1" applyBorder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6" xfId="2" applyFont="1" applyFill="1" applyBorder="1">
      <alignment vertical="center"/>
    </xf>
    <xf numFmtId="0" fontId="5" fillId="6" borderId="3" xfId="2" applyFont="1" applyFill="1" applyBorder="1">
      <alignment vertical="center"/>
    </xf>
    <xf numFmtId="0" fontId="5" fillId="6" borderId="5" xfId="2" applyFont="1" applyFill="1" applyBorder="1">
      <alignment vertical="center"/>
    </xf>
    <xf numFmtId="0" fontId="5" fillId="6" borderId="11" xfId="2" applyFont="1" applyFill="1" applyBorder="1">
      <alignment vertical="center"/>
    </xf>
    <xf numFmtId="0" fontId="5" fillId="6" borderId="2" xfId="2" applyFont="1" applyFill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5" fillId="6" borderId="3" xfId="0" applyFont="1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left" vertical="center"/>
    </xf>
    <xf numFmtId="0" fontId="6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176" fontId="5" fillId="5" borderId="4" xfId="1" applyNumberFormat="1" applyFont="1" applyFill="1" applyBorder="1" applyAlignment="1">
      <alignment horizontal="right" vertical="center" shrinkToFit="1"/>
    </xf>
    <xf numFmtId="176" fontId="5" fillId="5" borderId="4" xfId="0" applyNumberFormat="1" applyFont="1" applyFill="1" applyBorder="1" applyAlignment="1">
      <alignment horizontal="right" vertical="center" shrinkToFi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left" vertical="center"/>
    </xf>
    <xf numFmtId="0" fontId="5" fillId="6" borderId="3" xfId="2" applyFont="1" applyFill="1" applyBorder="1" applyAlignment="1">
      <alignment horizontal="left" vertical="center"/>
    </xf>
    <xf numFmtId="0" fontId="5" fillId="6" borderId="8" xfId="2" applyFont="1" applyFill="1" applyBorder="1" applyAlignment="1">
      <alignment horizontal="left" vertical="center"/>
    </xf>
    <xf numFmtId="0" fontId="5" fillId="6" borderId="9" xfId="2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3">
    <cellStyle name="20% - アクセント 1" xfId="1" builtinId="30"/>
    <cellStyle name="20% - アクセント 6" xfId="2" builtinId="50"/>
    <cellStyle name="標準" xfId="0" builtinId="0"/>
  </cellStyles>
  <dxfs count="0"/>
  <tableStyles count="0" defaultTableStyle="TableStyleMedium2" defaultPivotStyle="PivotStyleLight16"/>
  <colors>
    <mruColors>
      <color rgb="FFDA4594"/>
      <color rgb="FFDBDB64"/>
      <color rgb="FF8CD674"/>
      <color rgb="FF60BB8D"/>
      <color rgb="FF53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設定!$A$4</c:f>
          <c:strCache>
            <c:ptCount val="1"/>
            <c:pt idx="0">
              <c:v>の保険料額の推移</c:v>
            </c:pt>
          </c:strCache>
        </c:strRef>
      </c:tx>
      <c:layout>
        <c:manualLayout>
          <c:xMode val="edge"/>
          <c:yMode val="edge"/>
          <c:x val="0.37673353525049597"/>
          <c:y val="2.05109283998221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825694694950998E-2"/>
          <c:y val="0.12460498871177472"/>
          <c:w val="0.6445070354063821"/>
          <c:h val="0.47784910453230828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表!$C$5</c:f>
              <c:strCache>
                <c:ptCount val="1"/>
                <c:pt idx="0">
                  <c:v>必要保険料額（在宅サービス）</c:v>
                </c:pt>
              </c:strCache>
            </c:strRef>
          </c:tx>
          <c:spPr>
            <a:solidFill>
              <a:srgbClr val="DBDB64"/>
            </a:solidFill>
            <a:ln>
              <a:solidFill>
                <a:schemeClr val="bg1"/>
              </a:solidFill>
            </a:ln>
          </c:spPr>
          <c:invertIfNegative val="0"/>
          <c:cat>
            <c:multiLvlStrRef>
              <c:f>表!$E$2:$M$3</c:f>
            </c:multiLvlStrRef>
          </c:cat>
          <c:val>
            <c:numRef>
              <c:f>表!$E$24:$M$24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806-B648-969037CE49EC}"/>
            </c:ext>
          </c:extLst>
        </c:ser>
        <c:ser>
          <c:idx val="3"/>
          <c:order val="1"/>
          <c:tx>
            <c:strRef>
              <c:f>表!$C$6</c:f>
              <c:strCache>
                <c:ptCount val="1"/>
                <c:pt idx="0">
                  <c:v>必要保険料額（居住系サービス）</c:v>
                </c:pt>
              </c:strCache>
            </c:strRef>
          </c:tx>
          <c:spPr>
            <a:solidFill>
              <a:srgbClr val="8CD674"/>
            </a:solidFill>
            <a:ln>
              <a:solidFill>
                <a:schemeClr val="bg1"/>
              </a:solidFill>
            </a:ln>
          </c:spPr>
          <c:invertIfNegative val="0"/>
          <c:cat>
            <c:multiLvlStrRef>
              <c:f>表!$E$2:$M$3</c:f>
            </c:multiLvlStrRef>
          </c:cat>
          <c:val>
            <c:numRef>
              <c:f>表!$E$25:$M$25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806-B648-969037CE49EC}"/>
            </c:ext>
          </c:extLst>
        </c:ser>
        <c:ser>
          <c:idx val="0"/>
          <c:order val="2"/>
          <c:tx>
            <c:strRef>
              <c:f>表!$C$7</c:f>
              <c:strCache>
                <c:ptCount val="1"/>
                <c:pt idx="0">
                  <c:v>必要保険料額（施設サービス）</c:v>
                </c:pt>
              </c:strCache>
            </c:strRef>
          </c:tx>
          <c:spPr>
            <a:solidFill>
              <a:srgbClr val="60BB8D"/>
            </a:solidFill>
            <a:ln>
              <a:solidFill>
                <a:schemeClr val="bg1"/>
              </a:solidFill>
            </a:ln>
          </c:spPr>
          <c:invertIfNegative val="0"/>
          <c:cat>
            <c:multiLvlStrRef>
              <c:f>表!$E$2:$M$3</c:f>
            </c:multiLvlStrRef>
          </c:cat>
          <c:val>
            <c:numRef>
              <c:f>表!$E$26:$M$26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806-B648-969037CE49EC}"/>
            </c:ext>
          </c:extLst>
        </c:ser>
        <c:ser>
          <c:idx val="4"/>
          <c:order val="3"/>
          <c:tx>
            <c:strRef>
              <c:f>表!$C$8</c:f>
              <c:strCache>
                <c:ptCount val="1"/>
                <c:pt idx="0">
                  <c:v>必要保険料額（その他）</c:v>
                </c:pt>
              </c:strCache>
            </c:strRef>
          </c:tx>
          <c:spPr>
            <a:solidFill>
              <a:srgbClr val="5395D7"/>
            </a:solidFill>
            <a:ln>
              <a:solidFill>
                <a:schemeClr val="bg1"/>
              </a:solidFill>
            </a:ln>
          </c:spPr>
          <c:invertIfNegative val="0"/>
          <c:cat>
            <c:multiLvlStrRef>
              <c:f>表!$E$2:$M$3</c:f>
            </c:multiLvlStrRef>
          </c:cat>
          <c:val>
            <c:numRef>
              <c:f>表!$E$27:$M$27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806-B648-969037CE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756160"/>
        <c:axId val="46027904"/>
      </c:barChart>
      <c:lineChart>
        <c:grouping val="standard"/>
        <c:varyColors val="0"/>
        <c:ser>
          <c:idx val="7"/>
          <c:order val="4"/>
          <c:tx>
            <c:strRef>
              <c:f>表!$B$9</c:f>
              <c:strCache>
                <c:ptCount val="1"/>
                <c:pt idx="0">
                  <c:v>保険料基準額</c:v>
                </c:pt>
              </c:strCache>
            </c:strRef>
          </c:tx>
          <c:spPr>
            <a:ln w="38100">
              <a:solidFill>
                <a:srgbClr val="DA4594"/>
              </a:solidFill>
            </a:ln>
          </c:spPr>
          <c:marker>
            <c:symbol val="circle"/>
            <c:size val="8"/>
            <c:spPr>
              <a:solidFill>
                <a:srgbClr val="DA4594"/>
              </a:solidFill>
              <a:ln w="38100">
                <a:solidFill>
                  <a:srgbClr val="DA4594"/>
                </a:solidFill>
              </a:ln>
            </c:spPr>
          </c:marker>
          <c:val>
            <c:numRef>
              <c:f>表!$E$9:$G$9</c:f>
              <c:numCache>
                <c:formatCode>#,##0_ 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F-4806-B648-969037CE49EC}"/>
            </c:ext>
          </c:extLst>
        </c:ser>
        <c:ser>
          <c:idx val="1"/>
          <c:order val="5"/>
          <c:tx>
            <c:strRef>
              <c:f>表!$B$9</c:f>
              <c:strCache>
                <c:ptCount val="1"/>
                <c:pt idx="0">
                  <c:v>保険料基準額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12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val>
            <c:numRef>
              <c:f>(表!$N$9,表!$N$9,表!$N$9,表!$H$9,表!$I$9,表!$J$9)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5F-4806-B648-969037CE49EC}"/>
            </c:ext>
          </c:extLst>
        </c:ser>
        <c:ser>
          <c:idx val="5"/>
          <c:order val="6"/>
          <c:tx>
            <c:strRef>
              <c:f>表!$B$9</c:f>
              <c:strCache>
                <c:ptCount val="1"/>
                <c:pt idx="0">
                  <c:v>保険料基準額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12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6-D25F-4806-B648-969037CE49EC}"/>
              </c:ext>
            </c:extLst>
          </c:dPt>
          <c:val>
            <c:numRef>
              <c:f>(表!$N$9,表!$N$9,表!$N$9,表!$N$9,表!$N$9,表!$N$9,表!$K$9,表!$L$9,表!$M$9)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5F-4806-B648-969037CE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56160"/>
        <c:axId val="46027904"/>
      </c:lineChart>
      <c:catAx>
        <c:axId val="437561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low"/>
        <c:spPr>
          <a:ln>
            <a:noFill/>
            <a:prstDash val="sysDot"/>
          </a:ln>
        </c:spPr>
        <c:txPr>
          <a:bodyPr rot="0" vert="horz"/>
          <a:lstStyle/>
          <a:p>
            <a:pPr>
              <a:defRPr sz="800"/>
            </a:pPr>
            <a:endParaRPr lang="ja-JP"/>
          </a:p>
        </c:txPr>
        <c:crossAx val="46027904"/>
        <c:crosses val="max"/>
        <c:auto val="1"/>
        <c:lblAlgn val="ctr"/>
        <c:lblOffset val="100"/>
        <c:noMultiLvlLbl val="0"/>
      </c:catAx>
      <c:valAx>
        <c:axId val="46027904"/>
        <c:scaling>
          <c:orientation val="minMax"/>
        </c:scaling>
        <c:delete val="0"/>
        <c:axPos val="l"/>
        <c:majorGridlines/>
        <c:title>
          <c:tx>
            <c:strRef>
              <c:f>設定!$D$3</c:f>
              <c:strCache>
                <c:ptCount val="1"/>
                <c:pt idx="0">
                  <c:v>金額(円)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\ " sourceLinked="0"/>
        <c:majorTickMark val="out"/>
        <c:minorTickMark val="none"/>
        <c:tickLblPos val="nextTo"/>
        <c:crossAx val="43756160"/>
        <c:crosses val="autoZero"/>
        <c:crossBetween val="between"/>
      </c:valAx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5914956545988788"/>
          <c:y val="0.51633989931886271"/>
          <c:w val="0.18196506626990358"/>
          <c:h val="0.21315307976029466"/>
        </c:manualLayout>
      </c:layout>
      <c:overlay val="1"/>
    </c:legend>
    <c:plotVisOnly val="0"/>
    <c:dispBlanksAs val="gap"/>
    <c:showDLblsOverMax val="0"/>
  </c:chart>
  <c:spPr>
    <a:noFill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media/image1.emf" Type="http://schemas.openxmlformats.org/officeDocument/2006/relationships/image"/>
</Relationships>

</file>

<file path=xl/drawings/_rels/vmlDrawing1.vml.rels><?xml version="1.0" encoding="UTF-8" standalone="no"?>
<Relationships xmlns="http://schemas.openxmlformats.org/package/2006/relationships">
<Relationship Id="rId1" Target="../media/image2.emf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491217</xdr:colOff>
      <xdr:row>1</xdr:row>
      <xdr:rowOff>40823</xdr:rowOff>
    </xdr:from>
    <xdr:to>
      <xdr:col>20</xdr:col>
      <xdr:colOff>15875</xdr:colOff>
      <xdr:row>30</xdr:row>
      <xdr:rowOff>190500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1428751</xdr:colOff>
          <xdr:row>4</xdr:row>
          <xdr:rowOff>163285</xdr:rowOff>
        </xdr:from>
        <xdr:to>
          <xdr:col>19</xdr:col>
          <xdr:colOff>395808</xdr:colOff>
          <xdr:row>9</xdr:row>
          <xdr:rowOff>103950</xdr:rowOff>
        </xdr:to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順位!$B$2:$D$5" spid="_x0000_s111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511394" y="979714"/>
              <a:ext cx="3049200" cy="961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0.00706</cdr:x>
      <cdr:y>0.78924</cdr:y>
    </cdr:from>
    <cdr:to>
      <cdr:x>1</cdr:x>
      <cdr:y>0.99103</cdr:y>
    </cdr:to>
    <cdr:sp macro="" textlink="表!$B$12">
      <cdr:nvSpPr>
        <cdr:cNvPr id="2" name="テキスト ボックス 1"/>
        <cdr:cNvSpPr txBox="1"/>
      </cdr:nvSpPr>
      <cdr:spPr>
        <a:xfrm xmlns:a="http://schemas.openxmlformats.org/drawingml/2006/main">
          <a:off x="87715" y="4789727"/>
          <a:ext cx="12336514" cy="12246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738E34AB-E140-4712-91E0-9E4AADF16396}" type="TxLink">
            <a:rPr kumimoji="1" lang="en-US" altLang="en-US" sz="11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0.30182</cdr:x>
      <cdr:y>0.74685</cdr:y>
    </cdr:from>
    <cdr:to>
      <cdr:x>0.49016</cdr:x>
      <cdr:y>0.74685</cdr:y>
    </cdr:to>
    <cdr:cxnSp macro="">
      <cdr:nvCxnSpPr>
        <cdr:cNvPr id="18" name="直線矢印コネクタ 17">
          <a:extLst xmlns:a="http://schemas.openxmlformats.org/drawingml/2006/main">
            <a:ext uri="{FF2B5EF4-FFF2-40B4-BE49-F238E27FC236}">
              <a16:creationId xmlns:a16="http://schemas.microsoft.com/office/drawing/2014/main" id="{C7696A21-C9B6-B382-E474-C945ECA49488}"/>
            </a:ext>
          </a:extLst>
        </cdr:cNvPr>
        <cdr:cNvCxnSpPr/>
      </cdr:nvCxnSpPr>
      <cdr:spPr>
        <a:xfrm xmlns:a="http://schemas.openxmlformats.org/drawingml/2006/main">
          <a:off x="3749881" y="4532449"/>
          <a:ext cx="2339979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headEnd type="none" w="med" len="med"/>
          <a:tailEnd type="none" w="med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0.52111</cdr:x>
      <cdr:y>0.74685</cdr:y>
    </cdr:from>
    <cdr:to>
      <cdr:x>0.70945</cdr:x>
      <cdr:y>0.74685</cdr:y>
    </cdr:to>
    <cdr:cxnSp macro="">
      <cdr:nvCxnSpPr>
        <cdr:cNvPr id="19" name="直線矢印コネクタ 18">
          <a:extLst xmlns:a="http://schemas.openxmlformats.org/drawingml/2006/main">
            <a:ext uri="{FF2B5EF4-FFF2-40B4-BE49-F238E27FC236}">
              <a16:creationId xmlns:a16="http://schemas.microsoft.com/office/drawing/2014/main" id="{49F6704B-3B30-D355-FDB4-F8ED7F85A3BB}"/>
            </a:ext>
          </a:extLst>
        </cdr:cNvPr>
        <cdr:cNvCxnSpPr/>
      </cdr:nvCxnSpPr>
      <cdr:spPr>
        <a:xfrm xmlns:a="http://schemas.openxmlformats.org/drawingml/2006/main">
          <a:off x="6474390" y="4532449"/>
          <a:ext cx="2339979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headEnd type="none" w="med" len="med"/>
          <a:tailEnd type="none" w="med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0.08832</cdr:x>
      <cdr:y>0.74685</cdr:y>
    </cdr:from>
    <cdr:to>
      <cdr:x>0.27087</cdr:x>
      <cdr:y>0.74685</cdr:y>
    </cdr:to>
    <cdr:cxnSp macro="">
      <cdr:nvCxnSpPr>
        <cdr:cNvPr id="20" name="直線矢印コネクタ 19">
          <a:extLst xmlns:a="http://schemas.openxmlformats.org/drawingml/2006/main">
            <a:ext uri="{FF2B5EF4-FFF2-40B4-BE49-F238E27FC236}">
              <a16:creationId xmlns:a16="http://schemas.microsoft.com/office/drawing/2014/main" id="{A2FEF841-C104-140D-54C8-D1AB6BF75A14}"/>
            </a:ext>
          </a:extLst>
        </cdr:cNvPr>
        <cdr:cNvCxnSpPr/>
      </cdr:nvCxnSpPr>
      <cdr:spPr>
        <a:xfrm xmlns:a="http://schemas.openxmlformats.org/drawingml/2006/main">
          <a:off x="1097308" y="4532449"/>
          <a:ext cx="2268043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headEnd type="none" w="med" len="med"/>
          <a:tailEnd type="none" w="med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Relationship Id="rId3" Target="../drawings/vmlDrawing1.vml" Type="http://schemas.openxmlformats.org/officeDocument/2006/relationships/vml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1:C21"/>
  <sheetViews>
    <sheetView tabSelected="1" view="pageBreakPreview" zoomScale="70" zoomScaleNormal="70" zoomScaleSheetLayoutView="7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4" style="1" width="6.625" collapsed="false"/>
    <col min="15" max="15" customWidth="true" style="1" width="13.625" collapsed="false"/>
    <col min="16" max="16" customWidth="true" style="1" width="19.375" collapsed="false"/>
    <col min="17" max="17" customWidth="true" style="1" width="10.125" collapsed="false"/>
    <col min="18" max="19" customWidth="true" style="1" width="12.0" collapsed="false"/>
    <col min="20" max="20" customWidth="true" style="1" width="9.625" collapsed="false"/>
    <col min="21" max="21" customWidth="true" style="1" width="6.625" collapsed="false"/>
    <col min="22" max="22" customWidth="true" style="1" width="11.125" collapsed="false"/>
    <col min="23" max="23" customWidth="true" style="1" width="15.875" collapsed="false"/>
    <col min="24" max="25" style="1" width="6.625" collapsed="false"/>
    <col min="26" max="26" customWidth="true" style="1" width="14.25" collapsed="false"/>
    <col min="27" max="16384" style="1" width="6.625" collapsed="false"/>
  </cols>
  <sheetData>
    <row r="21" spans="2:2" x14ac:dyDescent="0.15">
      <c r="B21" s="2"/>
    </row>
  </sheetData>
  <phoneticPr fontId="1"/>
  <pageMargins left="0.7" right="0.7" top="0.75" bottom="0.75" header="0.3" footer="0.3"/>
  <pageSetup paperSize="9" scale="50" orientation="portrait" r:id="rId1"/>
  <colBreaks count="1" manualBreakCount="1">
    <brk id="21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view="pageBreakPreview" zoomScale="85" zoomScaleNormal="85" zoomScaleSheetLayoutView="85" workbookViewId="0"/>
  </sheetViews>
  <sheetFormatPr defaultRowHeight="15.75" x14ac:dyDescent="0.15"/>
  <cols>
    <col min="1" max="2" style="7" width="9.0" collapsed="false"/>
    <col min="3" max="3" customWidth="true" style="7" width="26.625" collapsed="false"/>
    <col min="4" max="4" customWidth="true" style="7" width="9.375" collapsed="false"/>
    <col min="5" max="13" customWidth="true" style="7" width="14.625" collapsed="false"/>
    <col min="14" max="14" customWidth="true" style="7" width="9.0" collapsed="false"/>
    <col min="15" max="15" customWidth="true" style="7" width="14.0" collapsed="false"/>
    <col min="16" max="16" customWidth="true" style="7" width="17.0" collapsed="false"/>
    <col min="17" max="20" style="7" width="9.0" collapsed="false"/>
    <col min="21" max="31" customWidth="true" style="7" width="9.0" collapsed="false"/>
    <col min="32" max="16384" style="7" width="9.0" collapsed="false"/>
  </cols>
  <sheetData>
    <row r="2" spans="2:13" s="5" customFormat="1" ht="18.75" x14ac:dyDescent="0.15">
      <c r="E2" s="25" t="s">
        <v>36</v>
      </c>
      <c r="F2" s="25"/>
      <c r="G2" s="25"/>
      <c r="H2" s="25" t="s">
        <v>37</v>
      </c>
      <c r="I2" s="25"/>
      <c r="J2" s="25"/>
      <c r="K2" s="25" t="s">
        <v>38</v>
      </c>
      <c r="L2" s="25"/>
      <c r="M2" s="25"/>
    </row>
    <row r="3" spans="2:13" s="6" customFormat="1" ht="18.75" x14ac:dyDescent="0.15">
      <c r="B3" s="34"/>
      <c r="C3" s="35"/>
      <c r="D3" s="36"/>
      <c r="E3" s="9" t="s">
        <v>26</v>
      </c>
      <c r="F3" s="9" t="s">
        <v>27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32</v>
      </c>
      <c r="L3" s="9" t="s">
        <v>33</v>
      </c>
      <c r="M3" s="9" t="s">
        <v>34</v>
      </c>
    </row>
    <row r="4" spans="2:13" s="6" customFormat="1" ht="18.75" x14ac:dyDescent="0.15">
      <c r="B4" s="10" t="s">
        <v>24</v>
      </c>
      <c r="C4" s="24"/>
      <c r="D4" s="11" t="s">
        <v>6</v>
      </c>
      <c r="E4" s="28" t="n">
        <v>6012.0</v>
      </c>
      <c r="F4" s="28" t="n">
        <v>6011.0</v>
      </c>
      <c r="G4" s="28" t="n">
        <v>5830.0</v>
      </c>
      <c r="H4" s="29" t="n">
        <v>5451.0</v>
      </c>
      <c r="I4" s="29" t="n">
        <v>6007.0</v>
      </c>
      <c r="J4" s="29" t="n">
        <v>6335.0</v>
      </c>
      <c r="K4" s="29" t="n">
        <v>5991.0</v>
      </c>
      <c r="L4" s="29" t="n">
        <v>6501.0</v>
      </c>
      <c r="M4" s="29" t="n">
        <v>6530.0</v>
      </c>
    </row>
    <row r="5" spans="2:13" ht="18.75" x14ac:dyDescent="0.15">
      <c r="B5" s="12"/>
      <c r="C5" s="13" t="s">
        <v>8</v>
      </c>
      <c r="D5" s="11" t="s">
        <v>6</v>
      </c>
      <c r="E5" s="29" t="n">
        <v>1492.0</v>
      </c>
      <c r="F5" s="29" t="n">
        <v>1362.0</v>
      </c>
      <c r="G5" s="29" t="n">
        <v>1409.0</v>
      </c>
      <c r="H5" s="29" t="n">
        <v>1459.0</v>
      </c>
      <c r="I5" s="29" t="n">
        <v>1337.0</v>
      </c>
      <c r="J5" s="29" t="n">
        <v>1399.0</v>
      </c>
      <c r="K5" s="29" t="n">
        <v>1504.0</v>
      </c>
      <c r="L5" s="29" t="n">
        <v>1752.0</v>
      </c>
      <c r="M5" s="29" t="n">
        <v>1572.0</v>
      </c>
    </row>
    <row r="6" spans="2:13" ht="18.75" x14ac:dyDescent="0.15">
      <c r="B6" s="12"/>
      <c r="C6" s="13" t="s">
        <v>9</v>
      </c>
      <c r="D6" s="11" t="s">
        <v>6</v>
      </c>
      <c r="E6" s="29" t="n">
        <v>975.0</v>
      </c>
      <c r="F6" s="29" t="n">
        <v>1146.0</v>
      </c>
      <c r="G6" s="29" t="n">
        <v>1206.0</v>
      </c>
      <c r="H6" s="29" t="n">
        <v>1057.0</v>
      </c>
      <c r="I6" s="29" t="n">
        <v>1221.0</v>
      </c>
      <c r="J6" s="29" t="n">
        <v>1384.0</v>
      </c>
      <c r="K6" s="29" t="n">
        <v>1423.0</v>
      </c>
      <c r="L6" s="29" t="n">
        <v>1652.0</v>
      </c>
      <c r="M6" s="29" t="n">
        <v>1929.0</v>
      </c>
    </row>
    <row r="7" spans="2:13" ht="18.75" x14ac:dyDescent="0.15">
      <c r="B7" s="12"/>
      <c r="C7" s="14" t="s">
        <v>10</v>
      </c>
      <c r="D7" s="11" t="s">
        <v>6</v>
      </c>
      <c r="E7" s="29" t="n">
        <v>2338.0</v>
      </c>
      <c r="F7" s="29" t="n">
        <v>2274.0</v>
      </c>
      <c r="G7" s="29" t="n">
        <v>2033.0</v>
      </c>
      <c r="H7" s="29" t="n">
        <v>1943.0</v>
      </c>
      <c r="I7" s="29" t="n">
        <v>2296.0</v>
      </c>
      <c r="J7" s="29" t="n">
        <v>2456.0</v>
      </c>
      <c r="K7" s="29" t="n">
        <v>2120.0</v>
      </c>
      <c r="L7" s="29" t="n">
        <v>2180.0</v>
      </c>
      <c r="M7" s="29" t="n">
        <v>2157.0</v>
      </c>
    </row>
    <row r="8" spans="2:13" ht="18.75" x14ac:dyDescent="0.15">
      <c r="B8" s="15"/>
      <c r="C8" s="16" t="s">
        <v>13</v>
      </c>
      <c r="D8" s="11" t="s">
        <v>6</v>
      </c>
      <c r="E8" s="29" t="n">
        <v>1207.0</v>
      </c>
      <c r="F8" s="29" t="n">
        <v>1229.0</v>
      </c>
      <c r="G8" s="29" t="n">
        <v>1182.0</v>
      </c>
      <c r="H8" s="29" t="n">
        <v>992.0</v>
      </c>
      <c r="I8" s="29" t="n">
        <v>1153.0</v>
      </c>
      <c r="J8" s="29" t="n">
        <v>1096.0</v>
      </c>
      <c r="K8" s="29" t="n">
        <v>944.0</v>
      </c>
      <c r="L8" s="29" t="n">
        <v>917.0</v>
      </c>
      <c r="M8" s="29" t="n">
        <v>872.0</v>
      </c>
    </row>
    <row r="9" spans="2:13" ht="18.75" x14ac:dyDescent="0.15">
      <c r="B9" s="37" t="s">
        <v>11</v>
      </c>
      <c r="C9" s="38"/>
      <c r="D9" s="11" t="s">
        <v>6</v>
      </c>
      <c r="E9" s="29" t="n">
        <v>5900.0</v>
      </c>
      <c r="F9" s="29" t="n">
        <v>5900.0</v>
      </c>
      <c r="G9" s="29" t="n">
        <v>5900.0</v>
      </c>
      <c r="H9" s="29" t="n">
        <v>6300.0</v>
      </c>
      <c r="I9" s="29" t="n">
        <v>6300.0</v>
      </c>
      <c r="J9" s="29" t="n">
        <v>6300.0</v>
      </c>
      <c r="K9" s="29" t="n">
        <v>6700.0</v>
      </c>
      <c r="L9" s="29" t="n">
        <v>6700.0</v>
      </c>
      <c r="M9" s="29" t="n">
        <v>6700.0</v>
      </c>
    </row>
    <row r="10" spans="2:13" ht="18.75" x14ac:dyDescent="0.15">
      <c r="B10" s="39" t="str">
        <f>"保険料基準額（"&amp;設定!G3&amp;"）"</f>
        <v>保険料基準額（福島県）</v>
      </c>
      <c r="C10" s="40"/>
      <c r="D10" s="11" t="s">
        <v>6</v>
      </c>
      <c r="E10" s="29" t="n">
        <v>6061.0</v>
      </c>
      <c r="F10" s="29" t="n">
        <v>6061.0</v>
      </c>
      <c r="G10" s="29" t="n">
        <v>6061.0</v>
      </c>
      <c r="H10" s="29" t="n">
        <v>6108.0</v>
      </c>
      <c r="I10" s="29" t="n">
        <v>6108.0</v>
      </c>
      <c r="J10" s="29" t="n">
        <v>6108.0</v>
      </c>
      <c r="K10" s="29" t="n">
        <v>6340.0</v>
      </c>
      <c r="L10" s="29" t="n">
        <v>6340.0</v>
      </c>
      <c r="M10" s="29" t="n">
        <v>6340.0</v>
      </c>
    </row>
    <row r="11" spans="2:13" ht="18.75" x14ac:dyDescent="0.15">
      <c r="B11" s="39" t="s">
        <v>12</v>
      </c>
      <c r="C11" s="40"/>
      <c r="D11" s="11" t="s">
        <v>6</v>
      </c>
      <c r="E11" s="29" t="n">
        <v>5784.0</v>
      </c>
      <c r="F11" s="29" t="n">
        <v>5784.0</v>
      </c>
      <c r="G11" s="29" t="n">
        <v>5784.0</v>
      </c>
      <c r="H11" s="29" t="n">
        <v>6014.0</v>
      </c>
      <c r="I11" s="29" t="n">
        <v>6014.0</v>
      </c>
      <c r="J11" s="29" t="n">
        <v>6014.0</v>
      </c>
      <c r="K11" s="29" t="n">
        <v>6225.0</v>
      </c>
      <c r="L11" s="29" t="n">
        <v>6225.0</v>
      </c>
      <c r="M11" s="29" t="n">
        <v>6225.0</v>
      </c>
    </row>
    <row r="12" spans="2:13" ht="97.5" customHeight="1" x14ac:dyDescent="0.15">
      <c r="B12" s="33" t="s">
        <v>35</v>
      </c>
      <c r="C12" s="33"/>
      <c r="D12" s="33"/>
      <c r="E12" s="33"/>
      <c r="F12" s="33"/>
      <c r="G12" s="33"/>
      <c r="H12" s="33"/>
      <c r="I12" s="33"/>
      <c r="J12" s="33"/>
      <c r="K12" s="33"/>
      <c r="L12" s="8"/>
      <c r="M12" s="8"/>
    </row>
    <row r="23" spans="3:13" ht="18.75" x14ac:dyDescent="0.15">
      <c r="C23" s="30" t="s">
        <v>25</v>
      </c>
      <c r="D23" s="31"/>
      <c r="E23" s="31"/>
      <c r="F23" s="31"/>
      <c r="G23" s="31"/>
      <c r="H23" s="31"/>
      <c r="I23" s="31"/>
      <c r="J23" s="31"/>
      <c r="K23" s="31"/>
      <c r="L23" s="31"/>
      <c r="M23" s="32"/>
    </row>
    <row r="24" spans="3:13" ht="18.75" x14ac:dyDescent="0.15">
      <c r="C24" s="26" t="str">
        <f>C5</f>
        <v>必要保険料額（在宅サービス）</v>
      </c>
      <c r="D24" s="26"/>
      <c r="E24" s="27" t="n">
        <f>IF(E5&gt;0,E5,0)</f>
        <v>1492.0</v>
      </c>
      <c r="F24" s="27" t="n">
        <f t="shared" ref="F24:K27" si="0">IF(F5&gt;0,F5,0)</f>
        <v>1362.0</v>
      </c>
      <c r="G24" s="27" t="n">
        <f t="shared" si="0"/>
        <v>1409.0</v>
      </c>
      <c r="H24" s="27" t="n">
        <f t="shared" si="0"/>
        <v>1459.0</v>
      </c>
      <c r="I24" s="27" t="n">
        <f t="shared" si="0"/>
        <v>1337.0</v>
      </c>
      <c r="J24" s="27" t="n">
        <f t="shared" si="0"/>
        <v>1399.0</v>
      </c>
      <c r="K24" s="27" t="n">
        <f t="shared" si="0"/>
        <v>1504.0</v>
      </c>
      <c r="L24" s="27" t="n">
        <f t="shared" ref="L24:M24" si="1">IF(L5&gt;0,L5,0)</f>
        <v>1752.0</v>
      </c>
      <c r="M24" s="27" t="n">
        <f t="shared" si="1"/>
        <v>1572.0</v>
      </c>
    </row>
    <row r="25" spans="3:13" ht="18.75" x14ac:dyDescent="0.15">
      <c r="C25" s="26" t="str">
        <f t="shared" ref="C25:C27" si="2">C6</f>
        <v>必要保険料額（居住系サービス）</v>
      </c>
      <c r="D25" s="26"/>
      <c r="E25" s="27" t="n">
        <f t="shared" ref="E25:E27" si="3">IF(E6&gt;0,E6,0)</f>
        <v>975.0</v>
      </c>
      <c r="F25" s="27" t="n">
        <f t="shared" si="0"/>
        <v>1146.0</v>
      </c>
      <c r="G25" s="27" t="n">
        <f t="shared" si="0"/>
        <v>1206.0</v>
      </c>
      <c r="H25" s="27" t="n">
        <f t="shared" si="0"/>
        <v>1057.0</v>
      </c>
      <c r="I25" s="27" t="n">
        <f t="shared" si="0"/>
        <v>1221.0</v>
      </c>
      <c r="J25" s="27" t="n">
        <f t="shared" si="0"/>
        <v>1384.0</v>
      </c>
      <c r="K25" s="27" t="n">
        <f t="shared" si="0"/>
        <v>1423.0</v>
      </c>
      <c r="L25" s="27" t="n">
        <f t="shared" ref="L25:M25" si="4">IF(L6&gt;0,L6,0)</f>
        <v>1652.0</v>
      </c>
      <c r="M25" s="27" t="n">
        <f t="shared" si="4"/>
        <v>1929.0</v>
      </c>
    </row>
    <row r="26" spans="3:13" ht="18.75" x14ac:dyDescent="0.15">
      <c r="C26" s="26" t="str">
        <f t="shared" si="2"/>
        <v>必要保険料額（施設サービス）</v>
      </c>
      <c r="D26" s="26"/>
      <c r="E26" s="27" t="n">
        <f t="shared" si="3"/>
        <v>2338.0</v>
      </c>
      <c r="F26" s="27" t="n">
        <f t="shared" si="0"/>
        <v>2274.0</v>
      </c>
      <c r="G26" s="27" t="n">
        <f t="shared" si="0"/>
        <v>2033.0</v>
      </c>
      <c r="H26" s="27" t="n">
        <f t="shared" si="0"/>
        <v>1943.0</v>
      </c>
      <c r="I26" s="27" t="n">
        <f t="shared" si="0"/>
        <v>2296.0</v>
      </c>
      <c r="J26" s="27" t="n">
        <f t="shared" si="0"/>
        <v>2456.0</v>
      </c>
      <c r="K26" s="27" t="n">
        <f t="shared" si="0"/>
        <v>2120.0</v>
      </c>
      <c r="L26" s="27" t="n">
        <f t="shared" ref="L26:M26" si="5">IF(L7&gt;0,L7,0)</f>
        <v>2180.0</v>
      </c>
      <c r="M26" s="27" t="n">
        <f t="shared" si="5"/>
        <v>2157.0</v>
      </c>
    </row>
    <row r="27" spans="3:13" ht="18.75" x14ac:dyDescent="0.15">
      <c r="C27" s="26" t="str">
        <f t="shared" si="2"/>
        <v>必要保険料額（その他）</v>
      </c>
      <c r="D27" s="26"/>
      <c r="E27" s="27" t="n">
        <f t="shared" si="3"/>
        <v>1207.0</v>
      </c>
      <c r="F27" s="27" t="n">
        <f t="shared" si="0"/>
        <v>1229.0</v>
      </c>
      <c r="G27" s="27" t="n">
        <f t="shared" si="0"/>
        <v>1182.0</v>
      </c>
      <c r="H27" s="27" t="n">
        <f t="shared" si="0"/>
        <v>992.0</v>
      </c>
      <c r="I27" s="27" t="n">
        <f t="shared" si="0"/>
        <v>1153.0</v>
      </c>
      <c r="J27" s="27" t="n">
        <f t="shared" si="0"/>
        <v>1096.0</v>
      </c>
      <c r="K27" s="27" t="n">
        <f t="shared" si="0"/>
        <v>944.0</v>
      </c>
      <c r="L27" s="27" t="n">
        <f t="shared" ref="L27:M27" si="6">IF(L8&gt;0,L8,0)</f>
        <v>917.0</v>
      </c>
      <c r="M27" s="27" t="n">
        <f t="shared" si="6"/>
        <v>872.0</v>
      </c>
    </row>
  </sheetData>
  <mergeCells count="6">
    <mergeCell ref="C23:M23"/>
    <mergeCell ref="B12:K12"/>
    <mergeCell ref="B3:D3"/>
    <mergeCell ref="B9:C9"/>
    <mergeCell ref="B10:C10"/>
    <mergeCell ref="B11:C11"/>
  </mergeCells>
  <phoneticPr fontId="1"/>
  <pageMargins left="0.7" right="0.7" top="0.75" bottom="0.75" header="0.3" footer="0.3"/>
  <pageSetup paperSize="9" scale="44" orientation="portrait" r:id="rId1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"/>
  <sheetViews>
    <sheetView view="pageBreakPreview" zoomScale="85" zoomScaleNormal="85" zoomScaleSheetLayoutView="85" workbookViewId="0"/>
  </sheetViews>
  <sheetFormatPr defaultRowHeight="15.75" x14ac:dyDescent="0.15"/>
  <cols>
    <col min="1" max="1" style="4" width="9.0" collapsed="false"/>
    <col min="2" max="4" customWidth="true" style="4" width="15.625" collapsed="false"/>
    <col min="5" max="5" style="4" width="9.0" collapsed="false"/>
    <col min="6" max="6" customWidth="true" style="4" width="10.875" collapsed="false"/>
    <col min="7" max="16384" style="4" width="9.0" collapsed="false"/>
  </cols>
  <sheetData>
    <row r="2" spans="2:5" ht="18.75" x14ac:dyDescent="0.15">
      <c r="B2" s="44" t="str">
        <f>設定!C3&amp;"の必要保険料額の降順"</f>
        <v>北塩原村の必要保険料額の降順</v>
      </c>
      <c r="C2" s="45"/>
      <c r="D2" s="46"/>
    </row>
    <row r="3" spans="2:5" ht="18.75" x14ac:dyDescent="0.15">
      <c r="B3" s="41" t="str">
        <f>"（令和"&amp;設定!L3&amp;"年"&amp;設定!M3&amp;"月末時点）"</f>
        <v>（令和 8年 3月末時点）</v>
      </c>
      <c r="C3" s="42"/>
      <c r="D3" s="43"/>
    </row>
    <row r="4" spans="2:5" ht="18.75" x14ac:dyDescent="0.15">
      <c r="B4" s="18" t="str">
        <f>設定!I3&amp;"内"</f>
        <v>福島県内</v>
      </c>
      <c r="C4" s="18" t="str">
        <f>IF(設定!J3="-","-",TEXT(設定!J3,"#,##0"))&amp;設定!H3</f>
        <v>33番目</v>
      </c>
      <c r="D4" s="18" t="str">
        <f>IF(設定!K3="-","-",TEXT(設定!K3,"#,##0"))&amp;設定!H4</f>
        <v>59保険者</v>
      </c>
      <c r="E4" s="4" t="s">
        <v>22</v>
      </c>
    </row>
    <row r="5" spans="2:5" ht="18.75" x14ac:dyDescent="0.15">
      <c r="B5" s="18" t="str">
        <f>設定!I4</f>
        <v>全国</v>
      </c>
      <c r="C5" s="18" t="str">
        <f>IF(設定!J4="-","-",TEXT(設定!J4,"#,##0"))&amp;設定!H3</f>
        <v>605番目</v>
      </c>
      <c r="D5" s="18" t="str">
        <f>IF(設定!K4="-","-",TEXT(設定!K4,"#,##0"))&amp;設定!H4</f>
        <v>1,571保険者</v>
      </c>
      <c r="E5" s="4" t="s">
        <v>23</v>
      </c>
    </row>
  </sheetData>
  <mergeCells count="2">
    <mergeCell ref="B3:D3"/>
    <mergeCell ref="B2:D2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topLeftCell="B1" zoomScale="85" zoomScaleNormal="85" workbookViewId="0">
      <selection activeCell="B1" sqref="B1"/>
    </sheetView>
  </sheetViews>
  <sheetFormatPr defaultRowHeight="15.75" x14ac:dyDescent="0.15"/>
  <cols>
    <col min="1" max="1" customWidth="true" hidden="true" style="4" width="44.375" collapsed="false"/>
    <col min="2" max="2" customWidth="true" style="4" width="47.125" collapsed="false"/>
    <col min="3" max="3" customWidth="true" style="4" width="14.875" collapsed="false"/>
    <col min="4" max="4" customWidth="true" style="4" width="0.125" collapsed="false"/>
    <col min="5" max="5" customWidth="true" style="4" width="10.375" collapsed="false"/>
    <col min="6" max="6" customWidth="true" style="4" width="10.25" collapsed="false"/>
    <col min="7" max="7" customWidth="true" style="4" width="14.0" collapsed="false"/>
    <col min="8" max="11" style="4" width="9.0" collapsed="false"/>
    <col min="12" max="13" customWidth="true" style="4" width="17.375" collapsed="false"/>
    <col min="14" max="16384" style="4" width="9.0" collapsed="false"/>
  </cols>
  <sheetData>
    <row r="1" spans="1:13" ht="18.75" x14ac:dyDescent="0.1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3" customFormat="1" ht="18.75" x14ac:dyDescent="0.15">
      <c r="A2" s="19" t="s">
        <v>3</v>
      </c>
      <c r="B2" s="20" t="s">
        <v>0</v>
      </c>
      <c r="C2" s="20" t="s">
        <v>2</v>
      </c>
      <c r="D2" s="21" t="s">
        <v>5</v>
      </c>
      <c r="E2" s="20" t="s">
        <v>1</v>
      </c>
      <c r="F2" s="20" t="s">
        <v>4</v>
      </c>
      <c r="G2" s="20" t="s">
        <v>15</v>
      </c>
      <c r="H2" s="20" t="s">
        <v>16</v>
      </c>
      <c r="I2" s="20" t="s">
        <v>17</v>
      </c>
      <c r="J2" s="47" t="s">
        <v>19</v>
      </c>
      <c r="K2" s="48"/>
      <c r="L2" s="20" t="s">
        <v>20</v>
      </c>
      <c r="M2" s="20" t="s">
        <v>21</v>
      </c>
    </row>
    <row r="3" spans="1:13" ht="18.75" x14ac:dyDescent="0.15">
      <c r="A3" s="17" t="e">
        <f>#REF!&amp;"（"&amp;#REF!&amp;"）"</f>
        <v>#REF!</v>
      </c>
      <c r="B3" s="18" t="s">
        <v>18</v>
      </c>
      <c r="C3" s="18" t="s">
        <v>39</v>
      </c>
      <c r="D3" s="18" t="str">
        <f>E3&amp;"("&amp;F3&amp;")"</f>
        <v>金額(円)</v>
      </c>
      <c r="E3" s="18" t="s">
        <v>14</v>
      </c>
      <c r="F3" s="18" t="s">
        <v>7</v>
      </c>
      <c r="G3" s="18" t="s">
        <v>40</v>
      </c>
      <c r="H3" s="18" t="s">
        <v>41</v>
      </c>
      <c r="I3" s="18" t="s">
        <v>40</v>
      </c>
      <c r="J3" s="23" t="n">
        <v>33.0</v>
      </c>
      <c r="K3" s="23" t="n">
        <v>59.0</v>
      </c>
      <c r="L3" s="22" t="s">
        <v>44</v>
      </c>
      <c r="M3" s="22" t="s">
        <v>45</v>
      </c>
    </row>
    <row r="4" spans="1:13" ht="18.75" x14ac:dyDescent="0.15">
      <c r="A4" s="17" t="str">
        <f>C3&amp;"の"&amp;B3</f>
        <v>北塩原村の保険料額の推移</v>
      </c>
      <c r="B4" s="17"/>
      <c r="C4" s="17"/>
      <c r="D4" s="17"/>
      <c r="E4" s="17"/>
      <c r="F4" s="17"/>
      <c r="G4" s="17"/>
      <c r="H4" s="18" t="s">
        <v>42</v>
      </c>
      <c r="I4" s="18" t="s">
        <v>43</v>
      </c>
      <c r="J4" s="23" t="n">
        <v>605.0</v>
      </c>
      <c r="K4" s="23" t="n">
        <v>1571.0</v>
      </c>
      <c r="L4" s="17"/>
      <c r="M4" s="17"/>
    </row>
  </sheetData>
  <mergeCells count="1">
    <mergeCell ref="J2:K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グラフ</vt:lpstr>
      <vt:lpstr>表</vt:lpstr>
      <vt:lpstr>順位</vt:lpstr>
      <vt:lpstr>設定</vt:lpstr>
      <vt:lpstr>グラフ!Print_Area</vt:lpstr>
      <vt:lpstr>順位!Print_Area</vt:lpstr>
      <vt:lpstr>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2015-10-08T04:11:06Z</dcterms:created>
  <dcterms:modified xsi:type="dcterms:W3CDTF">2023-11-06T01:53:40Z</dcterms:modified>
</cp:coreProperties>
</file>