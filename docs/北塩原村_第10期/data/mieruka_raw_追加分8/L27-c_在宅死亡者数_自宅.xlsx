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<sst xmlns="http://schemas.openxmlformats.org/spreadsheetml/2006/main" count="1041" uniqueCount="878">
  <si>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</si>
  <si>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</si>
  <si>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</si>
  <si>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</si>
  <si>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</si>
  <si>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</si>
  <si>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</si>
  <si>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</si>
  <si>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</si>
  <si>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</si>
  <si>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</si>
  <si>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</si>
  <si>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</si>
  <si>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</si>
  <si>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</si>
  <si>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</si>
  <si>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</si>
  <si>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</si>
  <si>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</si>
  <si>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</si>
  <si>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</si>
  <si>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</si>
  <si>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</si>
  <si>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</si>
  <si>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</si>
  <si>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</si>
  <si>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</si>
  <si>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</si>
  <si>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</si>
  <si>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</si>
  <si>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</si>
  <si>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</si>
  <si>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</si>
  <si>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</si>
  <si>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</si>
  <si>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</si>
  <si>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</si>
  <si>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</si>
  <si>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</si>
  <si>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</si>
  <si>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</si>
  <si>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</si>
  <si>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</si>
  <si>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</si>
  <si>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</si>
  <si>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</si>
  <si>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</si>
  <si>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</si>
  <si>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</si>
  <si>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</si>
  <si>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</si>
  <si>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</si>
  <si>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</si>
  <si>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</si>
  <si>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</si>
  <si>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</si>
  <si>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</si>
  <si>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</si>
  <si>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</si>
  <si>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</si>
  <si>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</si>
  <si>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</si>
  <si>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</si>
  <si>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</si>
  <si>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</si>
  <si>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</si>
  <si>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</si>
  <si>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</si>
  <si>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</si>
  <si>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</si>
  <si>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</si>
  <si>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</si>
  <si>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</si>
  <si>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</si>
  <si>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</si>
  <si>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</si>
  <si>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</si>
  <si>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</si>
  <si>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</si>
  <si>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</si>
  <si>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</si>
  <si>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</si>
  <si>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</si>
  <si>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</si>
  <si>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</si>
  <si>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</si>
  <si>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</si>
  <si>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</si>
  <si>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</si>
  <si>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</si>
  <si>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</si>
  <si>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</si>
  <si>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</si>
  <si>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</si>
  <si>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</si>
  <si>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</si>
  <si>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</si>
  <si>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</si>
  <si>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</si>
  <si>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</si>
  <si>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</si>
  <si>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</si>
  <si>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</si>
  <si>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</si>
  <si>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</si>
  <si>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</si>
  <si>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</si>
  <si>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</si>
  <si>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</si>
  <si>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</si>
  <si>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</si>
  <si>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</si>
  <si>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</si>
  <si>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</si>
  <si>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</si>
  <si>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</si>
  <si>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</si>
  <si>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</si>
  <si>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</si>
  <si>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</si>
  <si>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</si>
  <si>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</si>
  <si>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</si>
  <si>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</si>
  <si>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</si>
  <si>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</si>
  <si>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</si>
  <si>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</si>
  <si>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</si>
  <si>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</si>
  <si>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</si>
  <si>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</si>
  <si>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</si>
  <si>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</si>
  <si>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</si>
  <si>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</si>
  <si>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</si>
  <si>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</si>
  <si>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</si>
  <si>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</si>
  <si>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</si>
  <si>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</si>
  <si>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</si>
  <si>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</si>
  <si>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</si>
  <si>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</si>
  <si>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</si>
  <si>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</si>
  <si>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</si>
  <si>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</si>
  <si>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</si>
  <si>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</si>
  <si>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</si>
  <si>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</si>
  <si>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</si>
  <si>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</si>
  <si>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</si>
  <si>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</si>
  <si>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</si>
  <si>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</si>
  <si>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</si>
  <si>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</si>
  <si>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</si>
  <si>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</si>
  <si>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</si>
  <si>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</si>
  <si>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</si>
  <si>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</si>
  <si>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</si>
  <si>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</si>
  <si>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</si>
  <si>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</si>
  <si>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</si>
  <si>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</si>
  <si>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</si>
  <si>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</si>
  <si>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</si>
  <si>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</si>
  <si>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</si>
  <si>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</si>
  <si>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</si>
  <si>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</si>
  <si>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</si>
  <si>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</si>
  <si>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</si>
  <si>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</si>
  <si>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</si>
  <si>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</si>
  <si>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</si>
  <si>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</si>
  <si>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</si>
  <si>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</si>
  <si>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</si>
  <si>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</si>
  <si>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</si>
  <si>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</si>
  <si>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</si>
  <si>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</si>
  <si>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</si>
  <si>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</si>
  <si>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</si>
  <si>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</si>
  <si>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</si>
  <si>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</si>
  <si>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</si>
  <si>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</si>
  <si>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</si>
  <si>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</si>
  <si>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</si>
  <si>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</si>
  <si>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</si>
  <si>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</si>
  <si>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</si>
  <si>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</si>
  <si>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</si>
  <si>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</si>
  <si>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</si>
  <si>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</si>
  <si>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</si>
  <si>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</si>
  <si>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</si>
  <si>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</si>
  <si>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</si>
  <si>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</si>
  <si>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</si>
  <si>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</si>
  <si>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</si>
  <si>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</si>
  <si>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</si>
  <si>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</si>
  <si>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</si>
  <si>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</si>
  <si>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</si>
  <si>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</si>
  <si>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</si>
  <si>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</si>
  <si>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</si>
  <si>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</si>
  <si>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</si>
  <si>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</si>
  <si>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</si>
  <si>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</si>
  <si>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</si>
  <si>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</si>
  <si>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</si>
  <si>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</si>
  <si>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</si>
  <si>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</si>
  <si>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</si>
  <si>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</si>
  <si>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</si>
  <si>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</si>
  <si>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</si>
  <si>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</si>
  <si>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</si>
  <si>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</si>
  <si>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</si>
  <si>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</si>
  <si>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</si>
  <si>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</si>
  <si>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</si>
  <si>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</si>
  <si>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</si>
  <si>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</si>
  <si>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</si>
  <si>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</si>
  <si>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</si>
  <si>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</si>
  <si>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</si>
  <si>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</si>
  <si>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</si>
  <si>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</si>
  <si>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</si>
  <si>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</si>
  <si>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</si>
  <si>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</si>
  <si>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</si>
  <si>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</si>
  <si>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</si>
  <si>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</si>
  <si>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</si>
  <si>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</si>
  <si>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</si>
  <si>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</si>
  <si>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</si>
  <si>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</si>
  <si>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</si>
  <si>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</si>
  <si>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</si>
  <si>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</si>
  <si>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</si>
  <si>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</si>
  <si>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</si>
  <si>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</si>
  <si>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</si>
  <si>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</si>
  <si>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</si>
  <si>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</si>
  <si>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</si>
  <si>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</si>
  <si>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</si>
  <si>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</si>
  <si>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</si>
  <si>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</si>
  <si>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</si>
  <si>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</si>
  <si>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</si>
  <si>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</si>
  <si>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</si>
  <si>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</si>
  <si>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</si>
  <si>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</si>
  <si>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</si>
  <si>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</si>
  <si>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</si>
  <si>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</si>
  <si>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</si>
  <si>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</si>
  <si>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</si>
  <si>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</si>
  <si>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</si>
  <si>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</si>
  <si>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</si>
  <si>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</si>
  <si>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</si>
  <si>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</si>
  <si>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</si>
  <si>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</si>
  <si>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</si>
  <si>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</si>
  <si>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</si>
  <si>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</si>
  <si>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</si>
  <si>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</si>
  <si>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</si>
  <si>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</si>
  <si>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</si>
  <si>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</si>
  <si>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</si>
  <si>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</si>
  <si>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</si>
  <si>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</si>
  <si>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</si>
  <si>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</si>
  <si>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</si>
  <si>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</si>
  <si>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</si>
  <si>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</si>
  <si>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</si>
  <si>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</si>
  <si>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</si>
  <si>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</si>
  <si>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</si>
  <si>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</si>
  <si>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</si>
  <si>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</si>
  <si>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</si>
  <si>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</si>
  <si>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</si>
  <si>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</si>
  <si>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</si>
  <si>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</si>
  <si>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</si>
  <si>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</si>
  <si>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</si>
  <si>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</si>
  <si>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</si>
  <si>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</si>
  <si>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</si>
  <si>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</si>
  <si>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</si>
  <si>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</si>
  <si>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</si>
  <si>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</si>
  <si>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</si>
  <si>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</si>
  <si>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</si>
  <si>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</si>
  <si>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</si>
  <si>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</si>
  <si>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</si>
  <si>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</si>
  <si>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</si>
  <si>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</si>
  <si>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</si>
  <si>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</si>
  <si>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</si>
  <si>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</si>
  <si>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</si>
  <si>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</si>
  <si>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</si>
  <si>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</si>
  <si>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</si>
  <si>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</si>
  <si>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</si>
  <si>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</si>
  <si>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</si>
  <si>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</si>
  <si>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</si>
  <si>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</si>
  <si>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</si>
  <si>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</si>
  <si>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</si>
  <si>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</si>
  <si>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</si>
  <si>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</si>
  <si>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</si>
  <si>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</si>
  <si>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</si>
  <si>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</si>
  <si>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</si>
  <si>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</si>
  <si>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</si>
  <si>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</si>
  <si>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</si>
  <si>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</si>
  <si>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</si>
  <si>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</si>
  <si>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</si>
  <si>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</si>
  <si>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</si>
  <si>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</si>
  <si>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</si>
  <si>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</si>
  <si>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</si>
  <si>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</si>
  <si>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</si>
  <si>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</si>
  <si>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</si>
  <si>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</si>
  <si>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</si>
  <si>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</si>
  <si>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</si>
  <si>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</si>
  <si>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</si>
  <si>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</si>
  <si>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</si>
  <si>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</si>
  <si>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</si>
  <si>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</si>
  <si>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</si>
  <si>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</si>
  <si>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</si>
  <si>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</si>
  <si>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</si>
  <si>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</si>
  <si>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</si>
  <si>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</si>
  <si>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</si>
  <si>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</si>
  <si>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</si>
  <si>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</si>
  <si>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</si>
  <si>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</si>
  <si>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</si>
  <si>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</si>
  <si>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</si>
  <si>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</si>
  <si>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</si>
  <si>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</si>
  <si>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</si>
  <si>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</si>
  <si>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</si>
  <si>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</si>
  <si>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</si>
  <si>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</si>
  <si>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</si>
  <si>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</si>
  <si>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</si>
  <si>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</si>
  <si>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</si>
  <si>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</si>
  <si>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</si>
  <si>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</si>
  <si>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</si>
  <si>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</si>
  <si>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</si>
  <si>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</si>
  <si>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</si>
  <si>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</si>
  <si>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</si>
  <si>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</si>
  <si>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</si>
  <si>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</si>
  <si>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</si>
  <si>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</si>
  <si>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</si>
  <si>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</si>
  <si>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</si>
  <si>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</si>
  <si>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</si>
  <si>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</si>
  <si>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</si>
  <si>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</si>
  <si>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</si>
  <si>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</si>
  <si>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</si>
  <si>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</si>
  <si>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</si>
  <si>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</si>
  <si>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</si>
  <si>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</si>
  <si>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</si>
  <si>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</si>
  <si>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</si>
  <si>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</si>
  <si>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</si>
  <si>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</si>
  <si>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</si>
  <si>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</si>
  <si>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</si>
  <si>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</si>
  <si>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</si>
  <si>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</si>
  <si>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</si>
  <si>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</si>
  <si>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</si>
  <si>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</si>
  <si>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</si>
  <si>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</si>
  <si>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</si>
  <si>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</si>
  <si>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</si>
  <si>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</si>
  <si>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</si>
  <si>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</si>
  <si>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</si>
  <si>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</si>
  <si>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</si>
  <si>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</si>
  <si>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</si>
  <si>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</si>
  <si>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</si>
  <si>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</si>
  <si>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</si>
  <si>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</si>
  <si>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</si>
  <si>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</si>
  <si>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</si>
  <si>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</si>
  <si>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</si>
  <si>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</si>
  <si>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</si>
  <si>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</si>
  <si>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</si>
  <si>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</si>
  <si>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</si>
  <si>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</si>
  <si>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</si>
  <si>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</si>
  <si>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</si>
  <si>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</si>
  <si>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</si>
  <si>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</si>
  <si>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</si>
  <si>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</si>
  <si>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</si>
  <si>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</si>
  <si>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</si>
  <si>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</si>
  <si>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</si>
  <si>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</si>
  <si>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</si>
  <si>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</si>
  <si>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</si>
  <si>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</si>
  <si>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</si>
  <si>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</si>
  <si>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</si>
  <si>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</si>
  <si>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</si>
  <si>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</si>
  <si>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</si>
  <si>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</si>
  <si>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</si>
  <si>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</si>
  <si>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</si>
  <si>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</si>
  <si>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</si>
  <si>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</si>
  <si>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</si>
  <si>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</si>
  <si>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</si>
  <si>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</si>
  <si>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</si>
  <si>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</si>
  <si>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</si>
  <si>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</si>
  <si>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</si>
  <si>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</si>
  <si>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</si>
  <si>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</si>
  <si>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</si>
  <si>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</si>
  <si>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</si>
  <si>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</si>
  <si>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</si>
  <si>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</si>
  <si>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</si>
  <si>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</si>
  <si>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</si>
  <si>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</si>
  <si>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</si>
  <si>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</si>
  <si>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</si>
  <si>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</si>
  <si>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</si>
  <si>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</si>
  <si>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</si>
  <si>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</si>
  <si>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</si>
  <si>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</si>
  <si>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</si>
  <si>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</si>
  <si>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</si>
  <si>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</si>
  <si>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</si>
  <si>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</si>
  <si>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</si>
  <si>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</si>
  <si>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</si>
  <si>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</si>
  <si>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</si>
  <si>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</si>
  <si>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</si>
  <si>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</si>
  <si>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</si>
  <si>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</si>
  <si>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</si>
  <si>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</si>
  <si>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</si>
  <si>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</si>
  <si>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</si>
  <si>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</si>
  <si>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</si>
  <si>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</si>
  <si>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</si>
  <si>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</si>
  <si>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</si>
  <si>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</si>
  <si>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</si>
  <si>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</si>
  <si>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</si>
  <si>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</si>
  <si>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</si>
  <si>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</si>
  <si>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</si>
  <si>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</si>
  <si>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</si>
  <si>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</si>
  <si>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</si>
  <si>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</si>
  <si>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</si>
  <si>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</si>
  <si>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</si>
  <si>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</si>
  <si>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</si>
  <si>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</si>
  <si>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</si>
  <si>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</si>
  <si>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</si>
  <si>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</si>
  <si>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</si>
  <si>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</si>
  <si>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</si>
  <si>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</si>
  <si>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</si>
  <si>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</si>
  <si>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</si>
  <si>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</si>
  <si>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</si>
  <si>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</si>
  <si>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</si>
  <si>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</si>
  <si>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</si>
  <si>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</si>
  <si>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</si>
  <si>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</si>
  <si>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</si>
  <si>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</si>
  <si>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</si>
  <si>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</si>
  <si>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</si>
  <si>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</si>
  <si>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</si>
  <si>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</si>
  <si>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</si>
  <si>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</si>
  <si>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</si>
  <si>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</si>
  <si>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</si>
  <si>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</si>
  <si>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</si>
  <si>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</si>
  <si>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</si>
  <si>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</si>
  <si>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</si>
  <si>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</si>
  <si>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</si>
  <si>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</si>
  <si>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</si>
  <si>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</si>
  <si>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</si>
  <si>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</si>
  <si>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</si>
  <si>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</si>
  <si>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</si>
  <si>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</si>
  <si>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</si>
  <si>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</si>
  <si>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</si>
  <si>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</si>
  <si>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</si>
  <si>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</si>
  <si>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</si>
  <si>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</si>
  <si>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</si>
  <si>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</si>
  <si>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</si>
  <si>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</si>
  <si>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</si>
  <si>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</si>
  <si>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</si>
  <si>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</si>
  <si>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</si>
  <si>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</si>
  <si>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</si>
  <si>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</si>
  <si>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</si>
  <si>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</si>
  <si>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</si>
  <si>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</si>
  <si>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</si>
  <si>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</si>
  <si>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</si>
  <si>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</si>
  <si>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</si>
  <si>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</si>
  <si>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</si>
  <si>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</si>
  <si>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</si>
  <si>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</si>
  <si>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</si>
  <si>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</si>
  <si>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</si>
  <si>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</si>
  <si>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</si>
  <si>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</si>
  <si>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</si>
  <si>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</si>
  <si>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</si>
  <si>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</si>
  <si>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</si>
  <si>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</si>
  <si>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</si>
  <si>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</si>
  <si>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</si>
  <si>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</si>
  <si>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</si>
  <si>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</si>
  <si>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</si>
  <si>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</si>
  <si>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</si>
  <si>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</si>
  <si>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</si>
  <si>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</si>
  <si>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</si>
  <si>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</si>
  <si>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</si>
  <si>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</si>
  <si>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</si>
  <si>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</si>
  <si>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</si>
  <si>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</si>
  <si>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</si>
  <si>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</si>
  <si>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</si>
  <si>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</si>
  <si>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</si>
  <si>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</si>
  <si>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</si>
  <si>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</si>
  <si>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</si>
  <si>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</si>
  <si>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</si>
  <si>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</si>
  <si>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</si>
  <si>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</si>
  <si>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</si>
  <si>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</si>
  <si>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</si>
  <si>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</si>
  <si>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</si>
  <si>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</si>
  <si>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</si>
  <si>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</si>
  <si>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</si>
  <si>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</si>
  <si>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</si>
  <si>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</si>
  <si>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</si>
  <si>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</si>
  <si>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</si>
  <si>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</si>
  <si>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</si>
  <si>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</si>
  <si>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</si>
  <si>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</si>
  <si>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</si>
  <si>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</si>
  <si>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</si>
  <si>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</si>
  <si>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</si>
  <si>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</si>
  <si>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</si>
  <si>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</si>
  <si>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</si>
  <si>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</si>
  <si>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</si>
  <si>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</si>
  <si>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</si>
  <si>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</si>
  <si>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</si>
  <si>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</si>
  <si>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</si>
  <si>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</si>
  <si>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</si>
  <si>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</si>
  <si>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</si>
  <si>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</si>
  <si>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</si>
  <si>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</si>
  <si>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</si>
  <si>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</si>
  <si>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</si>
  <si>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</si>
  <si>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</si>
  <si>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</si>
  <si>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</si>
  <si>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</si>
  <si>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</si>
  <si>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</si>
  <si>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</si>
  <si>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</si>
  <si>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</si>
  <si>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</si>
  <si>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</si>
  <si>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</si>
  <si>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</si>
  <si>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</si>
  <si>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</si>
  <si>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</si>
  <si>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</si>
  <si>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</si>
  <si>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</si>
  <si>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</si>
  <si>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</si>
  <si>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</si>
  <si>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</si>
  <si>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</si>
  <si>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</si>
  <si>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</si>
  <si>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</si>
  <si>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</si>
  <si>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</si>
  <si>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</si>
  <si>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</si>
  <si>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平成30
年度</t>
  </si>
  <si>
    <t>令和元
年度</t>
  </si>
  <si>
    <t>在宅死亡者数（自宅）[人口１０万対]</t>
  </si>
  <si>
    <t>在宅死亡者数（自宅）</t>
  </si>
  <si>
    <t>令和元年(2019年)</t>
  </si>
  <si>
    <t>北塩原村</t>
  </si>
  <si>
    <t>死亡者数</t>
  </si>
  <si>
    <t>人[人口１０万対]</t>
  </si>
  <si>
    <t>厚生労働省「人口動態調査」（医療計画作成支援データブック）および総務省「住民基本台帳に基づく人口、人口動態及び世帯数調査」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</si>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</sst>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8" fillId="7" borderId="5" xfId="0" applyBorder="true" applyFont="true" applyFill="true">
      <alignment wrapText="true" vertical="center" horizontal="center"/>
    </xf>
    <xf numFmtId="0" fontId="8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出力日:2026/10/19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6" max="6" customWidth="true" style="3" width="14.625" collapsed="true" hidden="true"/>
    <col min="3" max="4" customWidth="true" style="3" width="14.625" collapsed="true"/>
    <col min="1" max="1" style="3" width="9.0" collapsed="false"/>
    <col min="2" max="2" customWidth="true" style="14" width="38.37109375" collapsed="false" bestFit="true"/>
    <col min="5" max="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9" t="s">
        <v>9</v>
      </c>
      <c r="F2" s="9" t="s">
        <v>10</v>
      </c>
      <c r="G2" s="9" t="s">
        <v>11</v>
      </c>
      <c r="H2" s="9" t="s">
        <v>43</v>
      </c>
      <c r="I2" s="9" t="s">
        <v>44</v>
      </c>
      <c r="J2" s="9" t="s">
        <v>45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869</v>
      </c>
      <c r="C3" s="32" t="n">
        <v>36.0</v>
      </c>
      <c r="D3" s="31" t="n">
        <v>36.7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 hidden="true">
      <c r="B256" s="16" t="s">
        <v>515</v>
      </c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 hidden="true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876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在宅死亡者数（自宅）（北塩原村）</v>
      </c>
      <c r="B2" s="7" t="str">
        <f>"（注目する地域）" &amp; E2</f>
        <v>（注目する地域）北塩原村</v>
      </c>
      <c r="C2" s="8" t="s">
        <v>870</v>
      </c>
      <c r="D2" s="8" t="s">
        <v>871</v>
      </c>
      <c r="E2" s="8" t="s">
        <v>872</v>
      </c>
      <c r="F2" s="8" t="str">
        <f>IF(H2="",G2,G2 &amp; "（" &amp; H2 &amp; "）")</f>
        <v>死亡者数（人[人口１０万対]）</v>
      </c>
      <c r="G2" s="8" t="s">
        <v>873</v>
      </c>
      <c r="H2" s="8" t="s">
        <v>874</v>
      </c>
      <c r="I2" s="8" t="s">
        <v>875</v>
      </c>
      <c r="J2" s="7" t="str">
        <f>"（出典）" &amp; I2</f>
        <v>（出典）厚生労働省「人口動態調査」（医療計画作成支援データブック）および総務省「住民基本台帳に基づく人口、人口動態及び世帯数調査」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5" max="6" customWidth="true" style="3" width="14.625" collapsed="true"/>
    <col min="1" max="1" customWidth="true" style="3" width="9.0" collapsed="false"/>
    <col min="2" max="2" customWidth="true" style="10" width="7.53515625" collapsed="false" bestFit="true"/>
    <col min="3" max="3" customWidth="true" style="10" width="2.3515625" collapsed="false" bestFit="true"/>
    <col min="4" max="4" customWidth="true" style="10" width="2.3515625" collapsed="false" bestFit="true"/>
    <col min="7" max="7" customWidth="true" style="3" width="14.625" collapsed="false" hidden="true"/>
    <col min="99" max="99" style="3" width="14.625" collapsed="false" hidden="true"/>
  </cols>
  <sheetData>
    <row r="1">
      <c r="A1" t="s">
        <v>877</v>
      </c>
    </row>
    <row r="2" spans="2:259" s="10" customFormat="1" x14ac:dyDescent="0.15">
      <c r="B2" s="11"/>
      <c r="C2" s="11"/>
      <c r="D2" s="11"/>
      <c r="E2" s="37" t="s">
        <v>867</v>
      </c>
      <c r="F2" s="37" t="s">
        <v>868</v>
      </c>
      <c r="G2" s="12" t="s">
        <v>774</v>
      </c>
      <c r="H2" s="12" t="s">
        <v>775</v>
      </c>
      <c r="I2" s="12" t="s">
        <v>776</v>
      </c>
      <c r="J2" s="12" t="s">
        <v>777</v>
      </c>
      <c r="K2" s="12" t="s">
        <v>778</v>
      </c>
      <c r="L2" s="12" t="s">
        <v>779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 hidden="true">
      <c r="B3" s="17" t="s">
        <v>517</v>
      </c>
      <c r="C3" s="17"/>
      <c r="D3" s="1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 hidden="true">
      <c r="B4" s="17" t="s">
        <v>518</v>
      </c>
      <c r="C4" s="17"/>
      <c r="D4" s="1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 hidden="true">
      <c r="B5" s="17" t="s">
        <v>519</v>
      </c>
      <c r="C5" s="17"/>
      <c r="D5" s="1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 hidden="true">
      <c r="B6" s="17" t="s">
        <v>520</v>
      </c>
      <c r="C6" s="17"/>
      <c r="D6" s="1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 hidden="true">
      <c r="B7" s="17" t="s">
        <v>521</v>
      </c>
      <c r="C7" s="17"/>
      <c r="D7" s="1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 hidden="true">
      <c r="B8" s="17" t="s">
        <v>522</v>
      </c>
      <c r="C8" s="17"/>
      <c r="D8" s="1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 hidden="true">
      <c r="B9" s="17" t="s">
        <v>523</v>
      </c>
      <c r="C9" s="17"/>
      <c r="D9" s="1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 hidden="true">
      <c r="B10" s="17" t="s">
        <v>524</v>
      </c>
      <c r="C10" s="17"/>
      <c r="D10" s="1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 hidden="true">
      <c r="B11" s="17" t="s">
        <v>525</v>
      </c>
      <c r="C11" s="17"/>
      <c r="D11" s="1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 hidden="true">
      <c r="B12" s="17" t="s">
        <v>526</v>
      </c>
      <c r="C12" s="17"/>
      <c r="D12" s="1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 hidden="true">
      <c r="B13" s="17" t="s">
        <v>527</v>
      </c>
      <c r="C13" s="17"/>
      <c r="D13" s="1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 hidden="true">
      <c r="B14" s="17" t="s">
        <v>528</v>
      </c>
      <c r="C14" s="17"/>
      <c r="D14" s="1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 hidden="true">
      <c r="B15" s="17" t="s">
        <v>529</v>
      </c>
      <c r="C15" s="17"/>
      <c r="D15" s="1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 hidden="true">
      <c r="B16" s="17" t="s">
        <v>530</v>
      </c>
      <c r="C16" s="17"/>
      <c r="D16" s="1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 hidden="true">
      <c r="B17" s="17" t="s">
        <v>531</v>
      </c>
      <c r="C17" s="17"/>
      <c r="D17" s="1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 hidden="true">
      <c r="B18" s="17" t="s">
        <v>532</v>
      </c>
      <c r="C18" s="17"/>
      <c r="D18" s="1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 hidden="true">
      <c r="B19" s="17" t="s">
        <v>533</v>
      </c>
      <c r="C19" s="17"/>
      <c r="D19" s="1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 hidden="true">
      <c r="B20" s="17" t="s">
        <v>534</v>
      </c>
      <c r="C20" s="17"/>
      <c r="D20" s="1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 hidden="true">
      <c r="B21" s="17" t="s">
        <v>535</v>
      </c>
      <c r="C21" s="17"/>
      <c r="D21" s="1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（注目する地域）北塩原村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（出典）厚生労働省「人口動態調査」（医療計画作成支援データブック）および総務省「住民基本台帳に基づく人口、人口動態及び世帯数調査」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