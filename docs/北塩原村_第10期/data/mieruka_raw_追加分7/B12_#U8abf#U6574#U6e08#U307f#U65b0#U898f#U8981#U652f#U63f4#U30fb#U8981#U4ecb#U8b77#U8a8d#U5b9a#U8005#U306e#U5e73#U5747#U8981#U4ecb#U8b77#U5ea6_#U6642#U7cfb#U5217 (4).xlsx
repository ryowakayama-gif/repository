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<sst xmlns="http://schemas.openxmlformats.org/spreadsheetml/2006/main" count="1064" uniqueCount="889">
  <si>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</si>
  <si>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</si>
  <si>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</si>
  <si>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</si>
  <si>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</si>
  <si>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</si>
  <si>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</si>
  <si>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</si>
  <si>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</si>
  <si>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</si>
  <si>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</si>
  <si>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</si>
  <si>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</si>
  <si>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</si>
  <si>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</si>
  <si>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</si>
  <si>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</si>
  <si>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</si>
  <si>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</si>
  <si>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</si>
  <si>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</si>
  <si>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</si>
  <si>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</si>
  <si>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</si>
  <si>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</si>
  <si>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</si>
  <si>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</si>
  <si>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</si>
  <si>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</si>
  <si>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</si>
  <si>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</si>
  <si>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</si>
  <si>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</si>
  <si>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</si>
  <si>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</si>
  <si>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</si>
  <si>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</si>
  <si>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</si>
  <si>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</si>
  <si>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</si>
  <si>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</si>
  <si>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</si>
  <si>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</si>
  <si>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</si>
  <si>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</si>
  <si>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</si>
  <si>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</si>
  <si>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</si>
  <si>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</si>
  <si>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</si>
  <si>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</si>
  <si>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</si>
  <si>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</si>
  <si>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</si>
  <si>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</si>
  <si>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</si>
  <si>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</si>
  <si>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</si>
  <si>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</si>
  <si>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</si>
  <si>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</si>
  <si>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</si>
  <si>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</si>
  <si>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</si>
  <si>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</si>
  <si>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</si>
  <si>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</si>
  <si>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</si>
  <si>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</si>
  <si>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</si>
  <si>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</si>
  <si>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</si>
  <si>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</si>
  <si>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</si>
  <si>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</si>
  <si>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</si>
  <si>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</si>
  <si>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</si>
  <si>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</si>
  <si>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</si>
  <si>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</si>
  <si>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</si>
  <si>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</si>
  <si>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</si>
  <si>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</si>
  <si>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</si>
  <si>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</si>
  <si>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</si>
  <si>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</si>
  <si>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</si>
  <si>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</si>
  <si>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</si>
  <si>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</si>
  <si>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</si>
  <si>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</si>
  <si>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</si>
  <si>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</si>
  <si>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</si>
  <si>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</si>
  <si>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</si>
  <si>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</si>
  <si>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</si>
  <si>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</si>
  <si>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</si>
  <si>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</si>
  <si>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</si>
  <si>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</si>
  <si>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</si>
  <si>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</si>
  <si>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</si>
  <si>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</si>
  <si>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</si>
  <si>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</si>
  <si>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</si>
  <si>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</si>
  <si>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</si>
  <si>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</si>
  <si>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</si>
  <si>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</si>
  <si>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</si>
  <si>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</si>
  <si>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</si>
  <si>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</si>
  <si>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</si>
  <si>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</si>
  <si>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</si>
  <si>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</si>
  <si>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</si>
  <si>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</si>
  <si>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</si>
  <si>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</si>
  <si>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</si>
  <si>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</si>
  <si>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</si>
  <si>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</si>
  <si>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</si>
  <si>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</si>
  <si>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</si>
  <si>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</si>
  <si>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</si>
  <si>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</si>
  <si>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</si>
  <si>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</si>
  <si>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</si>
  <si>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</si>
  <si>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</si>
  <si>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</si>
  <si>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</si>
  <si>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</si>
  <si>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</si>
  <si>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</si>
  <si>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</si>
  <si>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</si>
  <si>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</si>
  <si>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</si>
  <si>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</si>
  <si>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</si>
  <si>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</si>
  <si>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</si>
  <si>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</si>
  <si>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</si>
  <si>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</si>
  <si>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</si>
  <si>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</si>
  <si>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</si>
  <si>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</si>
  <si>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</si>
  <si>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</si>
  <si>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</si>
  <si>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</si>
  <si>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</si>
  <si>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</si>
  <si>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</si>
  <si>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</si>
  <si>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</si>
  <si>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</si>
  <si>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</si>
  <si>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</si>
  <si>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</si>
  <si>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</si>
  <si>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</si>
  <si>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</si>
  <si>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</si>
  <si>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</si>
  <si>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</si>
  <si>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</si>
  <si>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</si>
  <si>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</si>
  <si>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</si>
  <si>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</si>
  <si>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</si>
  <si>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</si>
  <si>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</si>
  <si>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</si>
  <si>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</si>
  <si>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</si>
  <si>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</si>
  <si>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</si>
  <si>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</si>
  <si>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</si>
  <si>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</si>
  <si>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</si>
  <si>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</si>
  <si>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</si>
  <si>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</si>
  <si>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</si>
  <si>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</si>
  <si>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</si>
  <si>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</si>
  <si>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</si>
  <si>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</si>
  <si>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</si>
  <si>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</si>
  <si>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</si>
  <si>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</si>
  <si>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</si>
  <si>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</si>
  <si>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</si>
  <si>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</si>
  <si>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</si>
  <si>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</si>
  <si>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</si>
  <si>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</si>
  <si>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</si>
  <si>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</si>
  <si>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</si>
  <si>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</si>
  <si>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</si>
  <si>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</si>
  <si>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</si>
  <si>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</si>
  <si>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</si>
  <si>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</si>
  <si>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</si>
  <si>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</si>
  <si>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</si>
  <si>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</si>
  <si>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</si>
  <si>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</si>
  <si>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</si>
  <si>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</si>
  <si>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</si>
  <si>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</si>
  <si>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</si>
  <si>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</si>
  <si>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</si>
  <si>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</si>
  <si>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</si>
  <si>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</si>
  <si>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</si>
  <si>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</si>
  <si>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</si>
  <si>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</si>
  <si>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</si>
  <si>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</si>
  <si>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</si>
  <si>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</si>
  <si>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</si>
  <si>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</si>
  <si>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</si>
  <si>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</si>
  <si>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</si>
  <si>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</si>
  <si>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</si>
  <si>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</si>
  <si>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</si>
  <si>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</si>
  <si>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</si>
  <si>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</si>
  <si>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</si>
  <si>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</si>
  <si>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</si>
  <si>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</si>
  <si>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</si>
  <si>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</si>
  <si>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</si>
  <si>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</si>
  <si>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</si>
  <si>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</si>
  <si>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</si>
  <si>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</si>
  <si>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</si>
  <si>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</si>
  <si>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</si>
  <si>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</si>
  <si>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</si>
  <si>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</si>
  <si>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</si>
  <si>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</si>
  <si>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</si>
  <si>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</si>
  <si>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</si>
  <si>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</si>
  <si>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</si>
  <si>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</si>
  <si>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</si>
  <si>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</si>
  <si>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</si>
  <si>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</si>
  <si>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</si>
  <si>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</si>
  <si>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</si>
  <si>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</si>
  <si>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</si>
  <si>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</si>
  <si>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</si>
  <si>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</si>
  <si>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</si>
  <si>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</si>
  <si>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</si>
  <si>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</si>
  <si>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</si>
  <si>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</si>
  <si>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</si>
  <si>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</si>
  <si>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</si>
  <si>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</si>
  <si>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</si>
  <si>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</si>
  <si>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</si>
  <si>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</si>
  <si>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</si>
  <si>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</si>
  <si>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</si>
  <si>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</si>
  <si>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</si>
  <si>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</si>
  <si>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</si>
  <si>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</si>
  <si>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</si>
  <si>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</si>
  <si>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</si>
  <si>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</si>
  <si>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</si>
  <si>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</si>
  <si>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</si>
  <si>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</si>
  <si>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</si>
  <si>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</si>
  <si>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</si>
  <si>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</si>
  <si>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</si>
  <si>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</si>
  <si>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</si>
  <si>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</si>
  <si>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</si>
  <si>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</si>
  <si>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</si>
  <si>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</si>
  <si>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</si>
  <si>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</si>
  <si>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</si>
  <si>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</si>
  <si>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</si>
  <si>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</si>
  <si>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</si>
  <si>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</si>
  <si>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</si>
  <si>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</si>
  <si>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</si>
  <si>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</si>
  <si>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</si>
  <si>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</si>
  <si>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</si>
  <si>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</si>
  <si>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</si>
  <si>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</si>
  <si>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</si>
  <si>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</si>
  <si>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</si>
  <si>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</si>
  <si>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</si>
  <si>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</si>
  <si>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</si>
  <si>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</si>
  <si>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</si>
  <si>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</si>
  <si>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</si>
  <si>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</si>
  <si>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</si>
  <si>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</si>
  <si>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</si>
  <si>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</si>
  <si>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</si>
  <si>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</si>
  <si>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</si>
  <si>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</si>
  <si>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</si>
  <si>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</si>
  <si>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</si>
  <si>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</si>
  <si>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</si>
  <si>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</si>
  <si>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</si>
  <si>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</si>
  <si>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</si>
  <si>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</si>
  <si>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</si>
  <si>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</si>
  <si>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</si>
  <si>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</si>
  <si>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</si>
  <si>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</si>
  <si>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</si>
  <si>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</si>
  <si>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</si>
  <si>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</si>
  <si>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</si>
  <si>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</si>
  <si>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</si>
  <si>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</si>
  <si>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</si>
  <si>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</si>
  <si>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</si>
  <si>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</si>
  <si>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</si>
  <si>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</si>
  <si>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</si>
  <si>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</si>
  <si>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</si>
  <si>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</si>
  <si>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</si>
  <si>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</si>
  <si>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</si>
  <si>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</si>
  <si>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</si>
  <si>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</si>
  <si>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</si>
  <si>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</si>
  <si>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</si>
  <si>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</si>
  <si>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</si>
  <si>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</si>
  <si>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</si>
  <si>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</si>
  <si>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</si>
  <si>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</si>
  <si>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</si>
  <si>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</si>
  <si>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</si>
  <si>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</si>
  <si>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</si>
  <si>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</si>
  <si>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</si>
  <si>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</si>
  <si>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</si>
  <si>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</si>
  <si>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</si>
  <si>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</si>
  <si>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</si>
  <si>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</si>
  <si>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</si>
  <si>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</si>
  <si>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</si>
  <si>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</si>
  <si>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</si>
  <si>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</si>
  <si>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</si>
  <si>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</si>
  <si>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</si>
  <si>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</si>
  <si>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</si>
  <si>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</si>
  <si>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</si>
  <si>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</si>
  <si>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</si>
  <si>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</si>
  <si>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</si>
  <si>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</si>
  <si>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</si>
  <si>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</si>
  <si>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</si>
  <si>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</si>
  <si>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</si>
  <si>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</si>
  <si>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</si>
  <si>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</si>
  <si>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</si>
  <si>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</si>
  <si>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</si>
  <si>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</si>
  <si>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</si>
  <si>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</si>
  <si>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</si>
  <si>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</si>
  <si>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</si>
  <si>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</si>
  <si>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</si>
  <si>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</si>
  <si>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</si>
  <si>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</si>
  <si>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</si>
  <si>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</si>
  <si>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</si>
  <si>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</si>
  <si>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</si>
  <si>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</si>
  <si>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</si>
  <si>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</si>
  <si>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</si>
  <si>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</si>
  <si>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</si>
  <si>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</si>
  <si>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</si>
  <si>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</si>
  <si>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</si>
  <si>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</si>
  <si>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</si>
  <si>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</si>
  <si>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</si>
  <si>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</si>
  <si>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</si>
  <si>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</si>
  <si>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</si>
  <si>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</si>
  <si>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</si>
  <si>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</si>
  <si>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</si>
  <si>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</si>
  <si>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</si>
  <si>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</si>
  <si>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</si>
  <si>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</si>
  <si>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</si>
  <si>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</si>
  <si>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</si>
  <si>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</si>
  <si>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</si>
  <si>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</si>
  <si>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</si>
  <si>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</si>
  <si>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</si>
  <si>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</si>
  <si>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</si>
  <si>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</si>
  <si>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</si>
  <si>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</si>
  <si>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</si>
  <si>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</si>
  <si>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</si>
  <si>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</si>
  <si>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</si>
  <si>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</si>
  <si>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</si>
  <si>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</si>
  <si>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</si>
  <si>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</si>
  <si>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</si>
  <si>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</si>
  <si>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</si>
  <si>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</si>
  <si>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</si>
  <si>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</si>
  <si>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</si>
  <si>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</si>
  <si>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</si>
  <si>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</si>
  <si>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</si>
  <si>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</si>
  <si>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</si>
  <si>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</si>
  <si>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</si>
  <si>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</si>
  <si>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</si>
  <si>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</si>
  <si>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</si>
  <si>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</si>
  <si>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</si>
  <si>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</si>
  <si>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</si>
  <si>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</si>
  <si>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</si>
  <si>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</si>
  <si>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</si>
  <si>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</si>
  <si>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</si>
  <si>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</si>
  <si>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</si>
  <si>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</si>
  <si>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</si>
  <si>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</si>
  <si>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</si>
  <si>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</si>
  <si>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</si>
  <si>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</si>
  <si>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</si>
  <si>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</si>
  <si>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</si>
  <si>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</si>
  <si>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</si>
  <si>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</si>
  <si>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</si>
  <si>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</si>
  <si>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</si>
  <si>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</si>
  <si>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</si>
  <si>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</si>
  <si>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</si>
  <si>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</si>
  <si>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</si>
  <si>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</si>
  <si>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</si>
  <si>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</si>
  <si>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</si>
  <si>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</si>
  <si>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</si>
  <si>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</si>
  <si>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</si>
  <si>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</si>
  <si>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</si>
  <si>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</si>
  <si>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</si>
  <si>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</si>
  <si>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</si>
  <si>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</si>
  <si>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</si>
  <si>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</si>
  <si>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</si>
  <si>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</si>
  <si>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</si>
  <si>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</si>
  <si>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</si>
  <si>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</si>
  <si>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</si>
  <si>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</si>
  <si>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</si>
  <si>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</si>
  <si>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</si>
  <si>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</si>
  <si>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</si>
  <si>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</si>
  <si>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</si>
  <si>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</si>
  <si>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</si>
  <si>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</si>
  <si>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</si>
  <si>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</si>
  <si>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</si>
  <si>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</si>
  <si>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</si>
  <si>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</si>
  <si>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</si>
  <si>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</si>
  <si>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</si>
  <si>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</si>
  <si>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</si>
  <si>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</si>
  <si>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</si>
  <si>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</si>
  <si>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</si>
  <si>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</si>
  <si>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</si>
  <si>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</si>
  <si>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</si>
  <si>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</si>
  <si>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</si>
  <si>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</si>
  <si>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</si>
  <si>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</si>
  <si>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</si>
  <si>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</si>
  <si>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</si>
  <si>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</si>
  <si>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</si>
  <si>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</si>
  <si>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</si>
  <si>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</si>
  <si>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</si>
  <si>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</si>
  <si>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</si>
  <si>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</si>
  <si>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</si>
  <si>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</si>
  <si>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</si>
  <si>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</si>
  <si>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</si>
  <si>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</si>
  <si>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</si>
  <si>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</si>
  <si>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</si>
  <si>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</si>
  <si>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</si>
  <si>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</si>
  <si>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</si>
  <si>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</si>
  <si>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</si>
  <si>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</si>
  <si>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</si>
  <si>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</si>
  <si>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</si>
  <si>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</si>
  <si>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</si>
  <si>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</si>
  <si>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</si>
  <si>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</si>
  <si>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</si>
  <si>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</si>
  <si>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</si>
  <si>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</si>
  <si>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</si>
  <si>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</si>
  <si>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</si>
  <si>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</si>
  <si>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</si>
  <si>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</si>
  <si>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</si>
  <si>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</si>
  <si>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</si>
  <si>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</si>
  <si>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</si>
  <si>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</si>
  <si>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</si>
  <si>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</si>
  <si>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</si>
  <si>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</si>
  <si>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</si>
  <si>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</si>
  <si>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</si>
  <si>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</si>
  <si>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</si>
  <si>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</si>
  <si>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</si>
  <si>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</si>
  <si>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</si>
  <si>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</si>
  <si>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</si>
  <si>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</si>
  <si>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</si>
  <si>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</si>
  <si>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</si>
  <si>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</si>
  <si>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</si>
  <si>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</si>
  <si>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</si>
  <si>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</si>
  <si>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</si>
  <si>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</si>
  <si>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</si>
  <si>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</si>
  <si>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</si>
  <si>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</si>
  <si>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</si>
  <si>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</si>
  <si>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</si>
  <si>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</si>
  <si>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</si>
  <si>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</si>
  <si>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</si>
  <si>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</si>
  <si>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</si>
  <si>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</si>
  <si>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</si>
  <si>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</si>
  <si>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</si>
  <si>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</si>
  <si>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</si>
  <si>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</si>
  <si>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</si>
  <si>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</si>
  <si>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</si>
  <si>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</si>
  <si>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</si>
  <si>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</si>
  <si>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</si>
  <si>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</si>
  <si>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</si>
  <si>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</si>
  <si>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</si>
  <si>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</si>
  <si>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</si>
  <si>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</si>
  <si>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</si>
  <si>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</si>
  <si>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</si>
  <si>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</si>
  <si>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</si>
  <si>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</si>
  <si>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</si>
  <si>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</si>
  <si>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</si>
  <si>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</si>
  <si>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</si>
  <si>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</si>
  <si>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</si>
  <si>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</si>
  <si>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</si>
  <si>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</si>
  <si>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</si>
  <si>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</si>
  <si>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</si>
  <si>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</si>
  <si>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</si>
  <si>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</si>
  <si>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</si>
  <si>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</si>
  <si>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</si>
  <si>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</si>
  <si>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</si>
  <si>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</si>
  <si>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</si>
  <si>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</si>
  <si>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</si>
  <si>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</si>
  <si>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</si>
  <si>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</si>
  <si>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</si>
  <si>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</si>
  <si>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</si>
  <si>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</si>
  <si>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</si>
  <si>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</si>
  <si>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</si>
  <si>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</si>
  <si>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</si>
  <si>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</si>
  <si>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</si>
  <si>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</si>
  <si>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</si>
  <si>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</si>
  <si>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</si>
  <si>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</si>
  <si>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</si>
  <si>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</si>
  <si>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</si>
  <si>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</si>
  <si>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</si>
  <si>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</si>
  <si>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</si>
  <si>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</si>
  <si>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</si>
  <si>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</si>
  <si>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</si>
  <si>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</si>
  <si>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</si>
  <si>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</si>
  <si>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</si>
  <si>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</si>
  <si>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</si>
  <si>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</si>
  <si>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</si>
  <si>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</si>
  <si>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</si>
  <si>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</si>
  <si>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</si>
  <si>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</si>
  <si>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</si>
  <si>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</si>
  <si>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</si>
  <si>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</si>
  <si>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</si>
  <si>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</si>
  <si>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</si>
  <si>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</si>
  <si>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</si>
  <si>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</si>
  <si>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</si>
  <si>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</si>
  <si>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</si>
  <si>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</si>
  <si>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</si>
  <si>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</si>
  <si>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</si>
  <si>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</si>
  <si>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</si>
  <si>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</si>
  <si>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</si>
  <si>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</si>
  <si>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</si>
  <si>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</si>
  <si>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</si>
  <si>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</si>
  <si>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</si>
  <si>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</si>
  <si>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</si>
  <si>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</si>
  <si>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</si>
  <si>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</si>
  <si>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</si>
  <si>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</si>
  <si>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</si>
  <si>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調整済み新規認定者の平均要介護度</t>
  </si>
  <si>
    <t>調整済み新規要支援・要介護認定者の平均要介護度</t>
  </si>
  <si>
    <t>令和6年(2024年)</t>
  </si>
  <si>
    <t>北塩原村</t>
  </si>
  <si>
    <t>平均要介護度</t>
  </si>
  <si>
    <t>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</si>
  <si>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</si>
  <si>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</si>
  <si>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【注目する地域のみ】調整済み新規要支援・要介護認定者の平均要介護度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</si>
</sst>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36.43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1.5</v>
      </c>
      <c r="D3" s="32" t="n">
        <v>2.0</v>
      </c>
      <c r="E3" s="31" t="n">
        <v>1.8</v>
      </c>
      <c r="F3" s="31" t="n">
        <v>1.5</v>
      </c>
      <c r="G3" s="31" t="n">
        <v>1.7</v>
      </c>
      <c r="H3" s="31" t="n">
        <v>1.4</v>
      </c>
      <c r="I3" s="31" t="n">
        <v>1.5</v>
      </c>
      <c r="J3" s="31" t="n">
        <v>1.3</v>
      </c>
      <c r="K3" s="31" t="n">
        <v>1.6</v>
      </c>
      <c r="L3" s="31" t="n">
        <v>1.1</v>
      </c>
      <c r="M3" s="31" t="n">
        <v>1.6</v>
      </c>
      <c r="N3" s="31" t="n">
        <v>1.3</v>
      </c>
      <c r="O3" s="31" t="n">
        <v>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調整済み新規要支援・要介護認定者の平均要介護度（北塩原村）</v>
      </c>
      <c r="B2" s="7" t="str">
        <f>"（注目する地域）" &amp; E2</f>
        <v>（注目する地域）北塩原村</v>
      </c>
      <c r="C2" s="8" t="s">
        <v>881</v>
      </c>
      <c r="D2" s="8" t="s">
        <v>882</v>
      </c>
      <c r="E2" s="8" t="s">
        <v>883</v>
      </c>
      <c r="F2" s="8" t="str">
        <f>IF(H2="",G2,G2 &amp; "（" &amp; H2 &amp; "）")</f>
        <v>平均要介護度</v>
      </c>
      <c r="G2" s="8" t="s">
        <v>884</v>
      </c>
      <c r="H2" s="8"/>
      <c r="I2" s="8" t="s">
        <v>885</v>
      </c>
      <c r="J2" s="7" t="str">
        <f>"（出典）" &amp; I2</f>
        <v>（出典）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10.03515625" collapsed="false" bestFit="true"/>
    <col min="3" max="3" customWidth="true" style="10" width="73.8359375" collapsed="false" bestFit="true"/>
    <col min="4" max="4" customWidth="true" style="10" width="2.3515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887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37" t="s">
        <v>869</v>
      </c>
      <c r="H2" s="37" t="s">
        <v>870</v>
      </c>
      <c r="I2" s="37" t="s">
        <v>871</v>
      </c>
      <c r="J2" s="37" t="s">
        <v>872</v>
      </c>
      <c r="K2" s="37" t="s">
        <v>873</v>
      </c>
      <c r="L2" s="37" t="s">
        <v>874</v>
      </c>
      <c r="M2" s="37" t="s">
        <v>875</v>
      </c>
      <c r="N2" s="37" t="s">
        <v>876</v>
      </c>
      <c r="O2" s="37" t="s">
        <v>877</v>
      </c>
      <c r="P2" s="37" t="s">
        <v>878</v>
      </c>
      <c r="Q2" s="37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883</v>
      </c>
      <c r="C3" s="17" t="s">
        <v>888</v>
      </c>
      <c r="D3" s="12"/>
      <c r="E3" s="39" t="n">
        <v>1.5</v>
      </c>
      <c r="F3" s="39" t="n">
        <v>2.0</v>
      </c>
      <c r="G3" s="39" t="n">
        <v>1.8</v>
      </c>
      <c r="H3" s="39" t="n">
        <v>1.5</v>
      </c>
      <c r="I3" s="39" t="n">
        <v>1.7</v>
      </c>
      <c r="J3" s="39" t="n">
        <v>1.4</v>
      </c>
      <c r="K3" s="39" t="n">
        <v>1.5</v>
      </c>
      <c r="L3" s="39" t="n">
        <v>1.3</v>
      </c>
      <c r="M3" s="39" t="n">
        <v>1.6</v>
      </c>
      <c r="N3" s="39" t="n">
        <v>1.1</v>
      </c>
      <c r="O3" s="39" t="n">
        <v>1.6</v>
      </c>
      <c r="P3" s="39" t="n">
        <v>1.3</v>
      </c>
      <c r="Q3" s="39" t="n">
        <v>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（令和7年9月10日時点データにて集計）および厚生労働省「介護保険事業状況報告」年報（令和6年度のみ「介護保険事業状況報告」月報）および総務省「住民基本台帳人口・世帯数」　※本指標は自治体向けのため取り扱いに注意してください。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