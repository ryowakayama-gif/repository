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526033FB-552E-4680-AD5D-29D65DDC4E9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6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6" l="1"/>
  <c r="L2" i="23"/>
  <c r="B259" i="25" s="1"/>
  <c r="B2" i="23" l="1"/>
  <c r="F2" i="23" l="1"/>
  <c r="J2" i="23" l="1"/>
  <c r="B261" i="25" s="1"/>
  <c r="B260" i="25"/>
  <c r="A2" i="23"/>
</calcChain>
</file>

<file path=xl/sharedStrings.xml><?xml version="1.0" encoding="utf-8"?>
<sst xmlns="http://schemas.openxmlformats.org/spreadsheetml/2006/main" count="1163" uniqueCount="723">
  <si>
    <t>タイトル</t>
    <phoneticPr fontId="1"/>
  </si>
  <si>
    <t>軸ラベル</t>
    <rPh sb="0" eb="1">
      <t>ジク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</si>
  <si>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</si>
  <si>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</si>
  <si>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月報出典</t>
    <rPh sb="0" eb="2">
      <t>ゲッポウ</t>
    </rPh>
    <rPh sb="2" eb="4">
      <t>シュッテン</t>
    </rPh>
    <phoneticPr fontId="1"/>
  </si>
  <si>
    <t>タイトル表示用</t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</si>
  <si>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</si>
  <si>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</si>
  <si>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</si>
  <si>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</si>
  <si>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</si>
  <si>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</si>
  <si>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</si>
  <si>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</si>
  <si>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</si>
  <si>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</si>
  <si>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</si>
  <si>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</si>
  <si>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</si>
  <si>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</si>
  <si>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</si>
  <si>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</si>
  <si>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</si>
  <si>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</si>
  <si>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</si>
  <si>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</si>
  <si>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</si>
  <si>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</si>
  <si>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</si>
  <si>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</si>
  <si>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</si>
  <si>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</si>
  <si>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</si>
  <si>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</si>
  <si>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</si>
  <si>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</si>
  <si>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</si>
  <si>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</si>
  <si>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</si>
  <si>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</si>
  <si>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</si>
  <si>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</si>
  <si>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</si>
  <si>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</si>
  <si>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</si>
  <si>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</si>
  <si>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</si>
  <si>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</si>
  <si>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</si>
  <si>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</si>
  <si>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</si>
  <si>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</si>
  <si>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</si>
  <si>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</si>
  <si>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</si>
  <si>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</si>
  <si>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</si>
  <si>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</si>
  <si>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</si>
  <si>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</si>
  <si>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</si>
  <si>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</si>
  <si>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</si>
  <si>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</si>
  <si>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</si>
  <si>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</si>
  <si>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</si>
  <si>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</si>
  <si>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</si>
  <si>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</si>
  <si>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</si>
  <si>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</si>
  <si>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</si>
  <si>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</si>
  <si>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</si>
  <si>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</si>
  <si>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</si>
  <si>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</si>
  <si>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</si>
  <si>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</si>
  <si>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</si>
  <si>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</si>
  <si>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</si>
  <si>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</si>
  <si>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</si>
  <si>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</si>
  <si>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</si>
  <si>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</si>
  <si>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</si>
  <si>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</si>
  <si>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</si>
  <si>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</si>
  <si>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</si>
  <si>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</si>
  <si>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</si>
  <si>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</si>
  <si>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</si>
  <si>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</si>
  <si>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</si>
  <si>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</si>
  <si>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</si>
  <si>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</si>
  <si>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</si>
  <si>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</si>
  <si>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</si>
  <si>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</si>
  <si>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</si>
  <si>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</si>
  <si>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</si>
  <si>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</si>
  <si>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</si>
  <si>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</si>
  <si>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</si>
  <si>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</si>
  <si>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</si>
  <si>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</si>
  <si>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</si>
  <si>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</si>
  <si>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</si>
  <si>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</si>
  <si>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</si>
  <si>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</si>
  <si>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</si>
  <si>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</si>
  <si>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</si>
  <si>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</si>
  <si>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</si>
  <si>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</si>
  <si>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</si>
  <si>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</si>
  <si>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</si>
  <si>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</si>
  <si>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</si>
  <si>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</si>
  <si>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</si>
  <si>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</si>
  <si>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</si>
  <si>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</si>
  <si>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</si>
  <si>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</si>
  <si>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</si>
  <si>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</si>
  <si>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</si>
  <si>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</si>
  <si>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</si>
  <si>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</si>
  <si>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</si>
  <si>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</si>
  <si>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</si>
  <si>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</si>
  <si>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</si>
  <si>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</si>
  <si>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</si>
  <si>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</si>
  <si>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</si>
  <si>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</si>
  <si>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</si>
  <si>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</si>
  <si>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</si>
  <si>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</si>
  <si>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</si>
  <si>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</si>
  <si>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</si>
  <si>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</si>
  <si>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</si>
  <si>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</si>
  <si>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</si>
  <si>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</si>
  <si>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</si>
  <si>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</si>
  <si>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</si>
  <si>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</si>
  <si>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</si>
  <si>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</si>
  <si>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</si>
  <si>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</si>
  <si>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</si>
  <si>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</si>
  <si>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</si>
  <si>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</si>
  <si>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</si>
  <si>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</si>
  <si>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</si>
  <si>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</si>
  <si>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</si>
  <si>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</si>
  <si>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</si>
  <si>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</si>
  <si>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</si>
  <si>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</si>
  <si>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</si>
  <si>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</si>
  <si>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</si>
  <si>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</si>
  <si>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</si>
  <si>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</si>
  <si>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</si>
  <si>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</si>
  <si>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</si>
  <si>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</si>
  <si>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</si>
  <si>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</si>
  <si>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</si>
  <si>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</si>
  <si>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</si>
  <si>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</si>
  <si>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</si>
  <si>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</si>
  <si>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</si>
  <si>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</si>
  <si>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</si>
  <si>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</si>
  <si>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</si>
  <si>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</si>
  <si>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</si>
  <si>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</si>
  <si>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</si>
  <si>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</si>
  <si>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</si>
  <si>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</si>
  <si>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</si>
  <si>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</si>
  <si>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</si>
  <si>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</si>
  <si>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</si>
  <si>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</si>
  <si>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</si>
  <si>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</si>
  <si>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</si>
  <si>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</si>
  <si>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</si>
  <si>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</si>
  <si>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</si>
  <si>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</si>
  <si>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</si>
  <si>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</si>
  <si>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</si>
  <si>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</si>
  <si>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</si>
  <si>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</si>
  <si>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</si>
  <si>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</si>
  <si>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</si>
  <si>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</si>
  <si>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</si>
  <si>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</si>
  <si>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</si>
  <si>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</si>
  <si>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</si>
  <si>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</si>
  <si>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</si>
  <si>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</si>
  <si>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</si>
  <si>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</si>
  <si>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</si>
  <si>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</si>
  <si>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</si>
  <si>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</si>
  <si>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</si>
  <si>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</si>
  <si>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</si>
  <si>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</si>
  <si>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</si>
  <si>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</si>
  <si>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</si>
  <si>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</si>
  <si>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</si>
  <si>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</si>
  <si>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</si>
  <si>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</si>
  <si>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</si>
  <si>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</si>
  <si>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</si>
  <si>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</si>
  <si>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</si>
  <si>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</si>
  <si>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</si>
  <si>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</si>
  <si>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</si>
  <si>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</si>
  <si>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</si>
  <si>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</si>
  <si>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</si>
  <si>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</si>
  <si>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</si>
  <si>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</si>
  <si>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</si>
  <si>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</si>
  <si>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</si>
  <si>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</si>
  <si>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</si>
  <si>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</si>
  <si>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</si>
  <si>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</si>
  <si>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</si>
  <si>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</si>
  <si>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</si>
  <si>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</si>
  <si>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</si>
  <si>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</si>
  <si>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</si>
  <si>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</si>
  <si>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</si>
  <si>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</si>
  <si>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</si>
  <si>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</si>
  <si>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</si>
  <si>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</si>
  <si>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</si>
  <si>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</si>
  <si>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</si>
  <si>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</si>
  <si>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</si>
  <si>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</si>
  <si>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</si>
  <si>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</si>
  <si>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</si>
  <si>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</si>
  <si>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</si>
  <si>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</si>
  <si>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</si>
  <si>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</si>
  <si>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</si>
  <si>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</si>
  <si>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</si>
  <si>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</si>
  <si>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</si>
  <si>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</si>
  <si>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</si>
  <si>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</si>
  <si>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</si>
  <si>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</si>
  <si>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</si>
  <si>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</si>
  <si>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</si>
  <si>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</si>
  <si>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</si>
  <si>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</si>
  <si>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</si>
  <si>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</si>
  <si>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</si>
  <si>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</si>
  <si>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</si>
  <si>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</si>
  <si>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</si>
  <si>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</si>
  <si>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</si>
  <si>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</si>
  <si>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</si>
  <si>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</si>
  <si>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</si>
  <si>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</si>
  <si>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</si>
  <si>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</si>
  <si>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</si>
  <si>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</si>
  <si>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</si>
  <si>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</si>
  <si>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</si>
  <si>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</si>
  <si>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</si>
  <si>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</si>
  <si>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</si>
  <si>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</si>
  <si>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</si>
  <si>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</si>
  <si>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</si>
  <si>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</si>
  <si>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</si>
  <si>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</si>
  <si>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</si>
  <si>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</si>
  <si>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</si>
  <si>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</si>
  <si>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</si>
  <si>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</si>
  <si>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</si>
  <si>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</si>
  <si>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</si>
  <si>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</si>
  <si>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</si>
  <si>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</si>
  <si>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</si>
  <si>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</si>
  <si>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</si>
  <si>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</si>
  <si>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</si>
  <si>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</si>
  <si>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</si>
  <si>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</si>
  <si>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</si>
  <si>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</si>
  <si>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</si>
  <si>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</si>
  <si>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</si>
  <si>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</si>
  <si>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</si>
  <si>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</si>
  <si>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</si>
  <si>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</si>
  <si>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</si>
  <si>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</si>
  <si>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</si>
  <si>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</si>
  <si>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</si>
  <si>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</si>
  <si>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</si>
  <si>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</si>
  <si>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</si>
  <si>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</si>
  <si>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</si>
  <si>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</si>
  <si>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</si>
  <si>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</si>
  <si>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</si>
  <si>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</si>
  <si>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</si>
  <si>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</si>
  <si>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</si>
  <si>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</si>
  <si>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</si>
  <si>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</si>
  <si>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</si>
  <si>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</si>
  <si>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</si>
  <si>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</si>
  <si>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</si>
  <si>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</si>
  <si>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</si>
  <si>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</si>
  <si>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</si>
  <si>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</si>
  <si>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</si>
  <si>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</si>
  <si>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</si>
  <si>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</si>
  <si>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</si>
  <si>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</si>
  <si>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</si>
  <si>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</si>
  <si>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</si>
  <si>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</si>
  <si>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</si>
  <si>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</si>
  <si>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</si>
  <si>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</si>
  <si>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</si>
  <si>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</si>
  <si>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</si>
  <si>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</si>
  <si>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</si>
  <si>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</si>
  <si>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</si>
  <si>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</si>
  <si>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</si>
  <si>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</si>
  <si>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</si>
  <si>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</si>
  <si>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</si>
  <si>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</si>
  <si>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</si>
  <si>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</si>
  <si>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</si>
  <si>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</si>
  <si>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</si>
  <si>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</si>
  <si>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</si>
  <si>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</si>
  <si>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</si>
  <si>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</si>
  <si>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</si>
  <si>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</si>
  <si>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</si>
  <si>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</si>
  <si>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</si>
  <si>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</si>
  <si>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</si>
  <si>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</si>
  <si>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</si>
  <si>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</si>
  <si>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</si>
  <si>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</si>
  <si>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</si>
  <si>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</si>
  <si>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</si>
  <si>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</si>
  <si>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</si>
  <si>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</si>
  <si>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</si>
  <si>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</si>
  <si>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</si>
  <si>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</si>
  <si>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</si>
  <si>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</si>
  <si>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</si>
  <si>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</si>
  <si>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</si>
  <si>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</si>
  <si>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</si>
  <si>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</si>
  <si>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</si>
  <si>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</si>
  <si>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</si>
  <si>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</si>
  <si>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</si>
  <si>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</si>
  <si>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</si>
  <si>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</si>
  <si>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</si>
  <si>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</si>
  <si>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</si>
  <si>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</si>
  <si>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</si>
  <si>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</si>
  <si>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</si>
  <si>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</si>
  <si>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</si>
  <si>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</si>
  <si>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</si>
  <si>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</si>
  <si>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</si>
  <si>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</si>
  <si>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</si>
  <si>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</si>
  <si>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</si>
  <si>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</si>
  <si>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</si>
  <si>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</si>
  <si>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</si>
  <si>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</si>
  <si>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</si>
  <si>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</si>
  <si>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</si>
  <si>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</si>
  <si>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</si>
  <si>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</si>
  <si>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</si>
  <si>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</si>
  <si>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</si>
  <si>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</si>
  <si>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</si>
  <si>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</si>
  <si>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</si>
  <si>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</si>
  <si>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</si>
  <si>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</si>
  <si>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</si>
  <si>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</si>
  <si>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</si>
  <si>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</si>
  <si>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</si>
  <si>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</si>
  <si>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</si>
  <si>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</si>
  <si>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</si>
  <si>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</si>
  <si>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</si>
  <si>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</si>
  <si>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</si>
  <si>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</si>
  <si>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</si>
  <si>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</si>
  <si>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</si>
  <si>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</si>
  <si>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</si>
  <si>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</si>
  <si>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</si>
  <si>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</si>
  <si>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</si>
  <si>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</si>
  <si>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</si>
  <si>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</si>
  <si>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</si>
  <si>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</si>
  <si>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</si>
  <si>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</si>
  <si>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</si>
  <si>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</si>
  <si>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</si>
  <si>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</si>
  <si>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</si>
  <si>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</si>
  <si>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</si>
  <si>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</si>
  <si>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</si>
  <si>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</si>
  <si>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</si>
  <si>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</si>
  <si>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</si>
  <si>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</si>
  <si>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</si>
  <si>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</si>
  <si>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</si>
  <si>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</si>
  <si>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</si>
  <si>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</si>
  <si>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</si>
  <si>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</si>
  <si>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</si>
  <si>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</si>
  <si>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</si>
  <si>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</si>
  <si>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</si>
  <si>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</si>
  <si>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</si>
  <si>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</si>
  <si>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</si>
  <si>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</si>
  <si>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</si>
  <si>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</si>
  <si>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</si>
  <si>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</si>
  <si>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</si>
  <si>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</si>
  <si>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</si>
  <si>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</si>
  <si>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</si>
  <si>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</si>
  <si>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</si>
  <si>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</si>
  <si>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</si>
  <si>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</si>
  <si>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</si>
  <si>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</si>
  <si>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</si>
  <si>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</si>
  <si>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</si>
  <si>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</si>
  <si>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</si>
  <si>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</si>
  <si>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</si>
  <si>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</si>
  <si>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</si>
  <si>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</si>
  <si>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</si>
  <si>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</si>
  <si>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</si>
  <si>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</si>
  <si>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</si>
  <si>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</si>
  <si>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</si>
  <si>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</si>
  <si>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</si>
  <si>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</si>
  <si>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</si>
  <si>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</si>
  <si>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</si>
  <si>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</si>
  <si>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</si>
  <si>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</si>
  <si>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</si>
  <si>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</si>
  <si>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サブタイトル（時点）</t>
    <phoneticPr fontId="1"/>
  </si>
  <si>
    <t>サブタイトル（注目する地域）</t>
    <phoneticPr fontId="1"/>
  </si>
  <si>
    <t>E指標ラベル</t>
    <rPh sb="1" eb="3">
      <t>シヒョウ</t>
    </rPh>
    <phoneticPr fontId="1"/>
  </si>
  <si>
    <t>表示用</t>
    <rPh sb="0" eb="1">
      <t>ヒョウ</t>
    </rPh>
    <rPh sb="1" eb="2">
      <t>ジ</t>
    </rPh>
    <rPh sb="2" eb="3">
      <t>ヨウ</t>
    </rPh>
    <phoneticPr fontId="1"/>
  </si>
  <si>
    <t>平成24年
4月末</t>
  </si>
  <si>
    <t>平成24年
10月末</t>
  </si>
  <si>
    <t>平成25年
4月末</t>
  </si>
  <si>
    <t>平成25年
10月末</t>
  </si>
  <si>
    <t>平成26年
4月末</t>
  </si>
  <si>
    <t>平成26年
10月末</t>
  </si>
  <si>
    <t>平成27年
4月末</t>
  </si>
  <si>
    <t>平成27年
10月末</t>
  </si>
  <si>
    <t>平成28年
4月末</t>
  </si>
  <si>
    <t>平成28年
10月末</t>
  </si>
  <si>
    <t>平成29年
4月末</t>
  </si>
  <si>
    <t>平成29年
10月末</t>
  </si>
  <si>
    <t>平成30年
4月末</t>
  </si>
  <si>
    <t>平成30年
10月末</t>
  </si>
  <si>
    <t>平成31年
4月末</t>
  </si>
  <si>
    <t>令和元年
10月末</t>
  </si>
  <si>
    <t>令和2年
4月末</t>
  </si>
  <si>
    <t>令和2年
10月末</t>
  </si>
  <si>
    <t>令和3年
4月末</t>
  </si>
  <si>
    <t>令和3年
10月末</t>
  </si>
  <si>
    <t>令和4年
4月末</t>
  </si>
  <si>
    <t>令和4年
10月末</t>
  </si>
  <si>
    <t>令和5年
4月末</t>
  </si>
  <si>
    <t>令和5年
10月末</t>
  </si>
  <si>
    <t>令和6年
4月末</t>
  </si>
  <si>
    <t>令和6年
10月末</t>
  </si>
  <si>
    <t>令和7年
4月末</t>
  </si>
  <si>
    <t>令和7年
10月末</t>
  </si>
  <si>
    <t>令和8年
4月末</t>
  </si>
  <si>
    <t>自立</t>
  </si>
  <si>
    <t>Ｊ１</t>
  </si>
  <si>
    <t>Ｊ２</t>
  </si>
  <si>
    <t>Ａ１</t>
  </si>
  <si>
    <t>Ａ２</t>
  </si>
  <si>
    <t>Ｂ１</t>
  </si>
  <si>
    <t>Ｂ２</t>
  </si>
  <si>
    <t>Ｃ１</t>
  </si>
  <si>
    <t>Ｃ２</t>
  </si>
  <si>
    <t>障害高齢者自立度の状況</t>
  </si>
  <si>
    <t>令和8年4月(2026年4月)</t>
  </si>
  <si>
    <t>北塩原村</t>
  </si>
  <si>
    <t>各障害高齢者自立度の占める割合</t>
  </si>
  <si>
    <t>%</t>
  </si>
  <si>
    <t>厚生労働省「介護保険総合データベース」（令和8年8月10日時点データにて集計）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</si>
  <si>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</si>
  <si>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出力日:2026/10/19</t>
  </si>
  <si>
    <t>障害高齢者自立度（自立）</t>
  </si>
  <si>
    <t>（%）</t>
  </si>
  <si>
    <t>障害高齢者自立度（Ｊ１）</t>
  </si>
  <si>
    <t>障害高齢者自立度（Ｊ２）</t>
  </si>
  <si>
    <t>障害高齢者自立度（Ａ１）</t>
  </si>
  <si>
    <t>障害高齢者自立度（Ａ２）</t>
  </si>
  <si>
    <t>障害高齢者自立度（Ｂ１）</t>
  </si>
  <si>
    <t>障害高齢者自立度（Ｂ２）</t>
  </si>
  <si>
    <t>障害高齢者自立度（Ｃ１）</t>
  </si>
  <si>
    <t>障害高齢者自立度（Ｃ２）</t>
  </si>
  <si>
    <t>障害高齢者自立度（自立）の認定者数</t>
  </si>
  <si>
    <t>（人）</t>
  </si>
  <si>
    <t>障害高齢者自立度（Ｊ１）の認定者数</t>
  </si>
  <si>
    <t>障害高齢者自立度（Ｊ２）の認定者数</t>
  </si>
  <si>
    <t>障害高齢者自立度（Ａ１）の認定者数</t>
  </si>
  <si>
    <t>障害高齢者自立度（Ａ２）の認定者数</t>
  </si>
  <si>
    <t>障害高齢者自立度（Ｂ１）の認定者数</t>
  </si>
  <si>
    <t>障害高齢者自立度（Ｂ２）の認定者数</t>
  </si>
  <si>
    <t>障害高齢者自立度（Ｃ１）の認定者数</t>
  </si>
  <si>
    <t>障害高齢者自立度（Ｃ２）の認定者数</t>
  </si>
  <si>
    <t>認定者数合計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</si>
</sst>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3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47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6" fillId="4" borderId="0" xfId="1" applyFont="1" applyFill="1" applyBorder="1">
      <alignment vertical="center"/>
    </xf>
    <xf numFmtId="176" fontId="4" fillId="4" borderId="0" xfId="0" applyNumberFormat="1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4" borderId="0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left"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1" xfId="0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7" fillId="0" borderId="5" xfId="0" applyBorder="true" applyFont="true"/>
    <xf numFmtId="0" fontId="7" fillId="0" borderId="5" xfId="0" applyBorder="true" applyFont="true"/>
    <xf numFmtId="0" fontId="7" fillId="7" borderId="5" xfId="0" applyBorder="true" applyFont="true" applyFill="true">
      <alignment wrapText="true" vertical="center" horizontal="center"/>
    </xf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177" fontId="10" fillId="0" borderId="5" xfId="0" applyBorder="true" applyFont="true" applyNumberFormat="true">
      <alignment shrinkToFit="true"/>
    </xf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177" fontId="12" fillId="0" borderId="5" xfId="0" applyBorder="true" applyFont="true" applyNumberFormat="true">
      <alignment shrinkToFit="true"/>
    </xf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177" fontId="15" fillId="0" borderId="5" xfId="0" applyBorder="true" applyFont="true" applyNumberFormat="true">
      <alignment shrinkToFit="true"/>
    </xf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177" fontId="16" fillId="0" borderId="5" xfId="0" applyBorder="true" applyFont="true" applyNumberFormat="true">
      <alignment shrinkToFit="true"/>
    </xf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7" borderId="5" xfId="0" applyBorder="true" applyFont="true" applyFill="true">
      <alignment wrapText="true" vertical="center" horizontal="center"/>
    </xf>
    <xf numFmtId="0" fontId="17" fillId="0" borderId="5" xfId="0" applyBorder="true" applyFont="true"/>
    <xf numFmtId="177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177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177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177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177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177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177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177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177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395D7"/>
      <color rgb="FFDAEEF3"/>
      <color rgb="FF5769E3"/>
      <color rgb="FF5E51B9"/>
      <color rgb="FF5A3580"/>
      <color rgb="FF561456"/>
      <color rgb="FF561656"/>
      <color rgb="FF60BB8D"/>
      <color rgb="FF8CD6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32D1-41ED-8CCA-5672C1D2C45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32D1-41ED-8CCA-5672C1D2C45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32D1-41ED-8CCA-5672C1D2C45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32D1-41ED-8CCA-5672C1D2C45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32D1-41ED-8CCA-5672C1D2C45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32D1-41ED-8CCA-5672C1D2C45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32D1-41ED-8CCA-5672C1D2C45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32D1-41ED-8CCA-5672C1D2C457}"/>
            </c:ext>
          </c:extLst>
        </c:ser>
        <c:ser>
          <c:idx val="9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32D1-41ED-8CCA-5672C1D2C457}"/>
            </c:ext>
          </c:extLst>
        </c:ser>
        <c:ser>
          <c:idx val="10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32D1-41ED-8CCA-5672C1D2C457}"/>
            </c:ext>
          </c:extLst>
        </c:ser>
        <c:ser>
          <c:idx val="11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32D1-41ED-8CCA-5672C1D2C457}"/>
            </c:ext>
          </c:extLst>
        </c:ser>
        <c:ser>
          <c:idx val="12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32D1-41ED-8CCA-5672C1D2C457}"/>
            </c:ext>
          </c:extLst>
        </c:ser>
        <c:ser>
          <c:idx val="13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32D1-41ED-8CCA-5672C1D2C457}"/>
            </c:ext>
          </c:extLst>
        </c:ser>
        <c:ser>
          <c:idx val="14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32D1-41ED-8CCA-5672C1D2C457}"/>
            </c:ext>
          </c:extLst>
        </c:ser>
        <c:ser>
          <c:idx val="15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32D1-41ED-8CCA-5672C1D2C457}"/>
            </c:ext>
          </c:extLst>
        </c:ser>
        <c:ser>
          <c:idx val="16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32D1-41ED-8CCA-5672C1D2C457}"/>
            </c:ext>
          </c:extLst>
        </c:ser>
        <c:ser>
          <c:idx val="17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32D1-41ED-8CCA-5672C1D2C457}"/>
            </c:ext>
          </c:extLst>
        </c:ser>
        <c:ser>
          <c:idx val="18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32D1-41ED-8CCA-5672C1D2C457}"/>
            </c:ext>
          </c:extLst>
        </c:ser>
        <c:ser>
          <c:idx val="19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32D1-41ED-8CCA-5672C1D2C457}"/>
            </c:ext>
          </c:extLst>
        </c:ser>
        <c:ser>
          <c:idx val="20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32D1-41ED-8CCA-5672C1D2C457}"/>
            </c:ext>
          </c:extLst>
        </c:ser>
        <c:ser>
          <c:idx val="21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32D1-41ED-8CCA-5672C1D2C457}"/>
            </c:ext>
          </c:extLst>
        </c:ser>
        <c:ser>
          <c:idx val="22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32D1-41ED-8CCA-5672C1D2C457}"/>
            </c:ext>
          </c:extLst>
        </c:ser>
        <c:ser>
          <c:idx val="23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32D1-41ED-8CCA-5672C1D2C457}"/>
            </c:ext>
          </c:extLst>
        </c:ser>
        <c:ser>
          <c:idx val="24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32D1-41ED-8CCA-5672C1D2C457}"/>
            </c:ext>
          </c:extLst>
        </c:ser>
        <c:ser>
          <c:idx val="25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32D1-41ED-8CCA-5672C1D2C457}"/>
            </c:ext>
          </c:extLst>
        </c:ser>
        <c:ser>
          <c:idx val="26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32D1-41ED-8CCA-5672C1D2C457}"/>
            </c:ext>
          </c:extLst>
        </c:ser>
        <c:ser>
          <c:idx val="27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32D1-41ED-8CCA-5672C1D2C457}"/>
            </c:ext>
          </c:extLst>
        </c:ser>
        <c:ser>
          <c:idx val="28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32D1-41ED-8CCA-5672C1D2C457}"/>
            </c:ext>
          </c:extLst>
        </c:ser>
        <c:ser>
          <c:idx val="29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32D1-41ED-8CCA-5672C1D2C457}"/>
            </c:ext>
          </c:extLst>
        </c:ser>
        <c:ser>
          <c:idx val="30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32D1-41ED-8CCA-5672C1D2C457}"/>
            </c:ext>
          </c:extLst>
        </c:ser>
        <c:ser>
          <c:idx val="31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32D1-41ED-8CCA-5672C1D2C457}"/>
            </c:ext>
          </c:extLst>
        </c:ser>
        <c:ser>
          <c:idx val="32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32D1-41ED-8CCA-5672C1D2C457}"/>
            </c:ext>
          </c:extLst>
        </c:ser>
        <c:ser>
          <c:idx val="33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32D1-41ED-8CCA-5672C1D2C457}"/>
            </c:ext>
          </c:extLst>
        </c:ser>
        <c:ser>
          <c:idx val="34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32D1-41ED-8CCA-5672C1D2C457}"/>
            </c:ext>
          </c:extLst>
        </c:ser>
        <c:ser>
          <c:idx val="35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32D1-41ED-8CCA-5672C1D2C457}"/>
            </c:ext>
          </c:extLst>
        </c:ser>
        <c:ser>
          <c:idx val="36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32D1-41ED-8CCA-5672C1D2C457}"/>
            </c:ext>
          </c:extLst>
        </c:ser>
        <c:ser>
          <c:idx val="37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32D1-41ED-8CCA-5672C1D2C457}"/>
            </c:ext>
          </c:extLst>
        </c:ser>
        <c:ser>
          <c:idx val="38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32D1-41ED-8CCA-5672C1D2C457}"/>
            </c:ext>
          </c:extLst>
        </c:ser>
        <c:ser>
          <c:idx val="39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32D1-41ED-8CCA-5672C1D2C457}"/>
            </c:ext>
          </c:extLst>
        </c:ser>
        <c:ser>
          <c:idx val="40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32D1-41ED-8CCA-5672C1D2C457}"/>
            </c:ext>
          </c:extLst>
        </c:ser>
        <c:ser>
          <c:idx val="41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32D1-41ED-8CCA-5672C1D2C457}"/>
            </c:ext>
          </c:extLst>
        </c:ser>
        <c:ser>
          <c:idx val="42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32D1-41ED-8CCA-5672C1D2C457}"/>
            </c:ext>
          </c:extLst>
        </c:ser>
        <c:ser>
          <c:idx val="43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32D1-41ED-8CCA-5672C1D2C457}"/>
            </c:ext>
          </c:extLst>
        </c:ser>
        <c:ser>
          <c:idx val="44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32D1-41ED-8CCA-5672C1D2C457}"/>
            </c:ext>
          </c:extLst>
        </c:ser>
        <c:ser>
          <c:idx val="45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32D1-41ED-8CCA-5672C1D2C457}"/>
            </c:ext>
          </c:extLst>
        </c:ser>
        <c:ser>
          <c:idx val="46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32D1-41ED-8CCA-5672C1D2C457}"/>
            </c:ext>
          </c:extLst>
        </c:ser>
        <c:ser>
          <c:idx val="47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32D1-41ED-8CCA-5672C1D2C457}"/>
            </c:ext>
          </c:extLst>
        </c:ser>
        <c:ser>
          <c:idx val="48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32D1-41ED-8CCA-5672C1D2C457}"/>
            </c:ext>
          </c:extLst>
        </c:ser>
        <c:ser>
          <c:idx val="49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32D1-41ED-8CCA-5672C1D2C457}"/>
            </c:ext>
          </c:extLst>
        </c:ser>
        <c:ser>
          <c:idx val="50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32D1-41ED-8CCA-5672C1D2C457}"/>
            </c:ext>
          </c:extLst>
        </c:ser>
        <c:ser>
          <c:idx val="51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32D1-41ED-8CCA-5672C1D2C457}"/>
            </c:ext>
          </c:extLst>
        </c:ser>
        <c:ser>
          <c:idx val="52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32D1-41ED-8CCA-5672C1D2C457}"/>
            </c:ext>
          </c:extLst>
        </c:ser>
        <c:ser>
          <c:idx val="53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32D1-41ED-8CCA-5672C1D2C457}"/>
            </c:ext>
          </c:extLst>
        </c:ser>
        <c:ser>
          <c:idx val="54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32D1-41ED-8CCA-5672C1D2C457}"/>
            </c:ext>
          </c:extLst>
        </c:ser>
        <c:ser>
          <c:idx val="55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32D1-41ED-8CCA-5672C1D2C457}"/>
            </c:ext>
          </c:extLst>
        </c:ser>
        <c:ser>
          <c:idx val="56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32D1-41ED-8CCA-5672C1D2C457}"/>
            </c:ext>
          </c:extLst>
        </c:ser>
        <c:ser>
          <c:idx val="57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32D1-41ED-8CCA-5672C1D2C457}"/>
            </c:ext>
          </c:extLst>
        </c:ser>
        <c:ser>
          <c:idx val="58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32D1-41ED-8CCA-5672C1D2C457}"/>
            </c:ext>
          </c:extLst>
        </c:ser>
        <c:ser>
          <c:idx val="59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32D1-41ED-8CCA-5672C1D2C457}"/>
            </c:ext>
          </c:extLst>
        </c:ser>
        <c:ser>
          <c:idx val="60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32D1-41ED-8CCA-5672C1D2C457}"/>
            </c:ext>
          </c:extLst>
        </c:ser>
        <c:ser>
          <c:idx val="61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32D1-41ED-8CCA-5672C1D2C457}"/>
            </c:ext>
          </c:extLst>
        </c:ser>
        <c:ser>
          <c:idx val="62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32D1-41ED-8CCA-5672C1D2C457}"/>
            </c:ext>
          </c:extLst>
        </c:ser>
        <c:ser>
          <c:idx val="63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32D1-41ED-8CCA-5672C1D2C457}"/>
            </c:ext>
          </c:extLst>
        </c:ser>
        <c:ser>
          <c:idx val="64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32D1-41ED-8CCA-5672C1D2C457}"/>
            </c:ext>
          </c:extLst>
        </c:ser>
        <c:ser>
          <c:idx val="65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32D1-41ED-8CCA-5672C1D2C457}"/>
            </c:ext>
          </c:extLst>
        </c:ser>
        <c:ser>
          <c:idx val="66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32D1-41ED-8CCA-5672C1D2C457}"/>
            </c:ext>
          </c:extLst>
        </c:ser>
        <c:ser>
          <c:idx val="67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32D1-41ED-8CCA-5672C1D2C457}"/>
            </c:ext>
          </c:extLst>
        </c:ser>
        <c:ser>
          <c:idx val="68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32D1-41ED-8CCA-5672C1D2C457}"/>
            </c:ext>
          </c:extLst>
        </c:ser>
        <c:ser>
          <c:idx val="69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32D1-41ED-8CCA-5672C1D2C457}"/>
            </c:ext>
          </c:extLst>
        </c:ser>
        <c:ser>
          <c:idx val="70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32D1-41ED-8CCA-5672C1D2C457}"/>
            </c:ext>
          </c:extLst>
        </c:ser>
        <c:ser>
          <c:idx val="71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32D1-41ED-8CCA-5672C1D2C457}"/>
            </c:ext>
          </c:extLst>
        </c:ser>
        <c:ser>
          <c:idx val="72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32D1-41ED-8CCA-5672C1D2C457}"/>
            </c:ext>
          </c:extLst>
        </c:ser>
        <c:ser>
          <c:idx val="73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32D1-41ED-8CCA-5672C1D2C457}"/>
            </c:ext>
          </c:extLst>
        </c:ser>
        <c:ser>
          <c:idx val="74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32D1-41ED-8CCA-5672C1D2C457}"/>
            </c:ext>
          </c:extLst>
        </c:ser>
        <c:ser>
          <c:idx val="75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32D1-41ED-8CCA-5672C1D2C457}"/>
            </c:ext>
          </c:extLst>
        </c:ser>
        <c:ser>
          <c:idx val="76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32D1-41ED-8CCA-5672C1D2C457}"/>
            </c:ext>
          </c:extLst>
        </c:ser>
        <c:ser>
          <c:idx val="77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32D1-41ED-8CCA-5672C1D2C457}"/>
            </c:ext>
          </c:extLst>
        </c:ser>
        <c:ser>
          <c:idx val="78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32D1-41ED-8CCA-5672C1D2C457}"/>
            </c:ext>
          </c:extLst>
        </c:ser>
        <c:ser>
          <c:idx val="79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32D1-41ED-8CCA-5672C1D2C457}"/>
            </c:ext>
          </c:extLst>
        </c:ser>
        <c:ser>
          <c:idx val="80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32D1-41ED-8CCA-5672C1D2C457}"/>
            </c:ext>
          </c:extLst>
        </c:ser>
        <c:ser>
          <c:idx val="81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32D1-41ED-8CCA-5672C1D2C457}"/>
            </c:ext>
          </c:extLst>
        </c:ser>
        <c:ser>
          <c:idx val="82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32D1-41ED-8CCA-5672C1D2C457}"/>
            </c:ext>
          </c:extLst>
        </c:ser>
        <c:ser>
          <c:idx val="83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32D1-41ED-8CCA-5672C1D2C457}"/>
            </c:ext>
          </c:extLst>
        </c:ser>
        <c:ser>
          <c:idx val="84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32D1-41ED-8CCA-5672C1D2C457}"/>
            </c:ext>
          </c:extLst>
        </c:ser>
        <c:ser>
          <c:idx val="85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32D1-41ED-8CCA-5672C1D2C457}"/>
            </c:ext>
          </c:extLst>
        </c:ser>
        <c:ser>
          <c:idx val="86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32D1-41ED-8CCA-5672C1D2C457}"/>
            </c:ext>
          </c:extLst>
        </c:ser>
        <c:ser>
          <c:idx val="87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32D1-41ED-8CCA-5672C1D2C457}"/>
            </c:ext>
          </c:extLst>
        </c:ser>
        <c:ser>
          <c:idx val="88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32D1-41ED-8CCA-5672C1D2C457}"/>
            </c:ext>
          </c:extLst>
        </c:ser>
        <c:ser>
          <c:idx val="89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32D1-41ED-8CCA-5672C1D2C457}"/>
            </c:ext>
          </c:extLst>
        </c:ser>
        <c:ser>
          <c:idx val="90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32D1-41ED-8CCA-5672C1D2C457}"/>
            </c:ext>
          </c:extLst>
        </c:ser>
        <c:ser>
          <c:idx val="91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32D1-41ED-8CCA-5672C1D2C457}"/>
            </c:ext>
          </c:extLst>
        </c:ser>
        <c:ser>
          <c:idx val="92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32D1-41ED-8CCA-5672C1D2C457}"/>
            </c:ext>
          </c:extLst>
        </c:ser>
        <c:ser>
          <c:idx val="93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32D1-41ED-8CCA-5672C1D2C457}"/>
            </c:ext>
          </c:extLst>
        </c:ser>
        <c:ser>
          <c:idx val="94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32D1-41ED-8CCA-5672C1D2C457}"/>
            </c:ext>
          </c:extLst>
        </c:ser>
        <c:ser>
          <c:idx val="95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32D1-41ED-8CCA-5672C1D2C457}"/>
            </c:ext>
          </c:extLst>
        </c:ser>
        <c:ser>
          <c:idx val="96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32D1-41ED-8CCA-5672C1D2C457}"/>
            </c:ext>
          </c:extLst>
        </c:ser>
        <c:ser>
          <c:idx val="97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32D1-41ED-8CCA-5672C1D2C457}"/>
            </c:ext>
          </c:extLst>
        </c:ser>
        <c:ser>
          <c:idx val="98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32D1-41ED-8CCA-5672C1D2C457}"/>
            </c:ext>
          </c:extLst>
        </c:ser>
        <c:ser>
          <c:idx val="99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32D1-41ED-8CCA-5672C1D2C457}"/>
            </c:ext>
          </c:extLst>
        </c:ser>
        <c:ser>
          <c:idx val="100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32D1-41ED-8CCA-5672C1D2C457}"/>
            </c:ext>
          </c:extLst>
        </c:ser>
        <c:ser>
          <c:idx val="101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32D1-41ED-8CCA-5672C1D2C457}"/>
            </c:ext>
          </c:extLst>
        </c:ser>
        <c:ser>
          <c:idx val="102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32D1-41ED-8CCA-5672C1D2C457}"/>
            </c:ext>
          </c:extLst>
        </c:ser>
        <c:ser>
          <c:idx val="103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32D1-41ED-8CCA-5672C1D2C457}"/>
            </c:ext>
          </c:extLst>
        </c:ser>
        <c:ser>
          <c:idx val="104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32D1-41ED-8CCA-5672C1D2C457}"/>
            </c:ext>
          </c:extLst>
        </c:ser>
        <c:ser>
          <c:idx val="105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32D1-41ED-8CCA-5672C1D2C457}"/>
            </c:ext>
          </c:extLst>
        </c:ser>
        <c:ser>
          <c:idx val="106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32D1-41ED-8CCA-5672C1D2C457}"/>
            </c:ext>
          </c:extLst>
        </c:ser>
        <c:ser>
          <c:idx val="107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32D1-41ED-8CCA-5672C1D2C457}"/>
            </c:ext>
          </c:extLst>
        </c:ser>
        <c:ser>
          <c:idx val="108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32D1-41ED-8CCA-5672C1D2C457}"/>
            </c:ext>
          </c:extLst>
        </c:ser>
        <c:ser>
          <c:idx val="109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32D1-41ED-8CCA-5672C1D2C457}"/>
            </c:ext>
          </c:extLst>
        </c:ser>
        <c:ser>
          <c:idx val="110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32D1-41ED-8CCA-5672C1D2C457}"/>
            </c:ext>
          </c:extLst>
        </c:ser>
        <c:ser>
          <c:idx val="111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32D1-41ED-8CCA-5672C1D2C457}"/>
            </c:ext>
          </c:extLst>
        </c:ser>
        <c:ser>
          <c:idx val="112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32D1-41ED-8CCA-5672C1D2C457}"/>
            </c:ext>
          </c:extLst>
        </c:ser>
        <c:ser>
          <c:idx val="113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32D1-41ED-8CCA-5672C1D2C457}"/>
            </c:ext>
          </c:extLst>
        </c:ser>
        <c:ser>
          <c:idx val="114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32D1-41ED-8CCA-5672C1D2C457}"/>
            </c:ext>
          </c:extLst>
        </c:ser>
        <c:ser>
          <c:idx val="115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32D1-41ED-8CCA-5672C1D2C457}"/>
            </c:ext>
          </c:extLst>
        </c:ser>
        <c:ser>
          <c:idx val="116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32D1-41ED-8CCA-5672C1D2C457}"/>
            </c:ext>
          </c:extLst>
        </c:ser>
        <c:ser>
          <c:idx val="117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32D1-41ED-8CCA-5672C1D2C457}"/>
            </c:ext>
          </c:extLst>
        </c:ser>
        <c:ser>
          <c:idx val="118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32D1-41ED-8CCA-5672C1D2C457}"/>
            </c:ext>
          </c:extLst>
        </c:ser>
        <c:ser>
          <c:idx val="119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32D1-41ED-8CCA-5672C1D2C457}"/>
            </c:ext>
          </c:extLst>
        </c:ser>
        <c:ser>
          <c:idx val="120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32D1-41ED-8CCA-5672C1D2C457}"/>
            </c:ext>
          </c:extLst>
        </c:ser>
        <c:ser>
          <c:idx val="121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32D1-41ED-8CCA-5672C1D2C457}"/>
            </c:ext>
          </c:extLst>
        </c:ser>
        <c:ser>
          <c:idx val="122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32D1-41ED-8CCA-5672C1D2C457}"/>
            </c:ext>
          </c:extLst>
        </c:ser>
        <c:ser>
          <c:idx val="123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32D1-41ED-8CCA-5672C1D2C457}"/>
            </c:ext>
          </c:extLst>
        </c:ser>
        <c:ser>
          <c:idx val="124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32D1-41ED-8CCA-5672C1D2C457}"/>
            </c:ext>
          </c:extLst>
        </c:ser>
        <c:ser>
          <c:idx val="125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32D1-41ED-8CCA-5672C1D2C457}"/>
            </c:ext>
          </c:extLst>
        </c:ser>
        <c:ser>
          <c:idx val="126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32D1-41ED-8CCA-5672C1D2C457}"/>
            </c:ext>
          </c:extLst>
        </c:ser>
        <c:ser>
          <c:idx val="127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32D1-41ED-8CCA-5672C1D2C457}"/>
            </c:ext>
          </c:extLst>
        </c:ser>
        <c:ser>
          <c:idx val="128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32D1-41ED-8CCA-5672C1D2C457}"/>
            </c:ext>
          </c:extLst>
        </c:ser>
        <c:ser>
          <c:idx val="129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32D1-41ED-8CCA-5672C1D2C457}"/>
            </c:ext>
          </c:extLst>
        </c:ser>
        <c:ser>
          <c:idx val="130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32D1-41ED-8CCA-5672C1D2C457}"/>
            </c:ext>
          </c:extLst>
        </c:ser>
        <c:ser>
          <c:idx val="131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32D1-41ED-8CCA-5672C1D2C457}"/>
            </c:ext>
          </c:extLst>
        </c:ser>
        <c:ser>
          <c:idx val="132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32D1-41ED-8CCA-5672C1D2C457}"/>
            </c:ext>
          </c:extLst>
        </c:ser>
        <c:ser>
          <c:idx val="133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32D1-41ED-8CCA-5672C1D2C457}"/>
            </c:ext>
          </c:extLst>
        </c:ser>
        <c:ser>
          <c:idx val="134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32D1-41ED-8CCA-5672C1D2C457}"/>
            </c:ext>
          </c:extLst>
        </c:ser>
        <c:ser>
          <c:idx val="135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32D1-41ED-8CCA-5672C1D2C457}"/>
            </c:ext>
          </c:extLst>
        </c:ser>
        <c:ser>
          <c:idx val="136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32D1-41ED-8CCA-5672C1D2C457}"/>
            </c:ext>
          </c:extLst>
        </c:ser>
        <c:ser>
          <c:idx val="137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32D1-41ED-8CCA-5672C1D2C457}"/>
            </c:ext>
          </c:extLst>
        </c:ser>
        <c:ser>
          <c:idx val="138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32D1-41ED-8CCA-5672C1D2C457}"/>
            </c:ext>
          </c:extLst>
        </c:ser>
        <c:ser>
          <c:idx val="139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32D1-41ED-8CCA-5672C1D2C457}"/>
            </c:ext>
          </c:extLst>
        </c:ser>
        <c:ser>
          <c:idx val="140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32D1-41ED-8CCA-5672C1D2C457}"/>
            </c:ext>
          </c:extLst>
        </c:ser>
        <c:ser>
          <c:idx val="141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32D1-41ED-8CCA-5672C1D2C457}"/>
            </c:ext>
          </c:extLst>
        </c:ser>
        <c:ser>
          <c:idx val="142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32D1-41ED-8CCA-5672C1D2C457}"/>
            </c:ext>
          </c:extLst>
        </c:ser>
        <c:ser>
          <c:idx val="143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32D1-41ED-8CCA-5672C1D2C457}"/>
            </c:ext>
          </c:extLst>
        </c:ser>
        <c:ser>
          <c:idx val="144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32D1-41ED-8CCA-5672C1D2C457}"/>
            </c:ext>
          </c:extLst>
        </c:ser>
        <c:ser>
          <c:idx val="145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32D1-41ED-8CCA-5672C1D2C457}"/>
            </c:ext>
          </c:extLst>
        </c:ser>
        <c:ser>
          <c:idx val="146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32D1-41ED-8CCA-5672C1D2C457}"/>
            </c:ext>
          </c:extLst>
        </c:ser>
        <c:ser>
          <c:idx val="147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32D1-41ED-8CCA-5672C1D2C457}"/>
            </c:ext>
          </c:extLst>
        </c:ser>
        <c:ser>
          <c:idx val="148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32D1-41ED-8CCA-5672C1D2C457}"/>
            </c:ext>
          </c:extLst>
        </c:ser>
        <c:ser>
          <c:idx val="149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32D1-41ED-8CCA-5672C1D2C457}"/>
            </c:ext>
          </c:extLst>
        </c:ser>
        <c:ser>
          <c:idx val="150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32D1-41ED-8CCA-5672C1D2C457}"/>
            </c:ext>
          </c:extLst>
        </c:ser>
        <c:ser>
          <c:idx val="151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32D1-41ED-8CCA-5672C1D2C457}"/>
            </c:ext>
          </c:extLst>
        </c:ser>
        <c:ser>
          <c:idx val="152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32D1-41ED-8CCA-5672C1D2C457}"/>
            </c:ext>
          </c:extLst>
        </c:ser>
        <c:ser>
          <c:idx val="153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32D1-41ED-8CCA-5672C1D2C457}"/>
            </c:ext>
          </c:extLst>
        </c:ser>
        <c:ser>
          <c:idx val="154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32D1-41ED-8CCA-5672C1D2C457}"/>
            </c:ext>
          </c:extLst>
        </c:ser>
        <c:ser>
          <c:idx val="155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32D1-41ED-8CCA-5672C1D2C457}"/>
            </c:ext>
          </c:extLst>
        </c:ser>
        <c:ser>
          <c:idx val="156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32D1-41ED-8CCA-5672C1D2C457}"/>
            </c:ext>
          </c:extLst>
        </c:ser>
        <c:ser>
          <c:idx val="157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32D1-41ED-8CCA-5672C1D2C457}"/>
            </c:ext>
          </c:extLst>
        </c:ser>
        <c:ser>
          <c:idx val="158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32D1-41ED-8CCA-5672C1D2C457}"/>
            </c:ext>
          </c:extLst>
        </c:ser>
        <c:ser>
          <c:idx val="159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32D1-41ED-8CCA-5672C1D2C457}"/>
            </c:ext>
          </c:extLst>
        </c:ser>
        <c:ser>
          <c:idx val="160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32D1-41ED-8CCA-5672C1D2C457}"/>
            </c:ext>
          </c:extLst>
        </c:ser>
        <c:ser>
          <c:idx val="161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32D1-41ED-8CCA-5672C1D2C457}"/>
            </c:ext>
          </c:extLst>
        </c:ser>
        <c:ser>
          <c:idx val="162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32D1-41ED-8CCA-5672C1D2C457}"/>
            </c:ext>
          </c:extLst>
        </c:ser>
        <c:ser>
          <c:idx val="163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32D1-41ED-8CCA-5672C1D2C457}"/>
            </c:ext>
          </c:extLst>
        </c:ser>
        <c:ser>
          <c:idx val="164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32D1-41ED-8CCA-5672C1D2C457}"/>
            </c:ext>
          </c:extLst>
        </c:ser>
        <c:ser>
          <c:idx val="165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32D1-41ED-8CCA-5672C1D2C457}"/>
            </c:ext>
          </c:extLst>
        </c:ser>
        <c:ser>
          <c:idx val="166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32D1-41ED-8CCA-5672C1D2C457}"/>
            </c:ext>
          </c:extLst>
        </c:ser>
        <c:ser>
          <c:idx val="167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32D1-41ED-8CCA-5672C1D2C457}"/>
            </c:ext>
          </c:extLst>
        </c:ser>
        <c:ser>
          <c:idx val="168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32D1-41ED-8CCA-5672C1D2C457}"/>
            </c:ext>
          </c:extLst>
        </c:ser>
        <c:ser>
          <c:idx val="169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32D1-41ED-8CCA-5672C1D2C457}"/>
            </c:ext>
          </c:extLst>
        </c:ser>
        <c:ser>
          <c:idx val="170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32D1-41ED-8CCA-5672C1D2C457}"/>
            </c:ext>
          </c:extLst>
        </c:ser>
        <c:ser>
          <c:idx val="171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32D1-41ED-8CCA-5672C1D2C457}"/>
            </c:ext>
          </c:extLst>
        </c:ser>
        <c:ser>
          <c:idx val="172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32D1-41ED-8CCA-5672C1D2C457}"/>
            </c:ext>
          </c:extLst>
        </c:ser>
        <c:ser>
          <c:idx val="173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32D1-41ED-8CCA-5672C1D2C457}"/>
            </c:ext>
          </c:extLst>
        </c:ser>
        <c:ser>
          <c:idx val="174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32D1-41ED-8CCA-5672C1D2C457}"/>
            </c:ext>
          </c:extLst>
        </c:ser>
        <c:ser>
          <c:idx val="175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32D1-41ED-8CCA-5672C1D2C457}"/>
            </c:ext>
          </c:extLst>
        </c:ser>
        <c:ser>
          <c:idx val="176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32D1-41ED-8CCA-5672C1D2C457}"/>
            </c:ext>
          </c:extLst>
        </c:ser>
        <c:ser>
          <c:idx val="177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32D1-41ED-8CCA-5672C1D2C457}"/>
            </c:ext>
          </c:extLst>
        </c:ser>
        <c:ser>
          <c:idx val="178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32D1-41ED-8CCA-5672C1D2C457}"/>
            </c:ext>
          </c:extLst>
        </c:ser>
        <c:ser>
          <c:idx val="179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32D1-41ED-8CCA-5672C1D2C457}"/>
            </c:ext>
          </c:extLst>
        </c:ser>
        <c:ser>
          <c:idx val="180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32D1-41ED-8CCA-5672C1D2C457}"/>
            </c:ext>
          </c:extLst>
        </c:ser>
        <c:ser>
          <c:idx val="181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32D1-41ED-8CCA-5672C1D2C457}"/>
            </c:ext>
          </c:extLst>
        </c:ser>
        <c:ser>
          <c:idx val="182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32D1-41ED-8CCA-5672C1D2C457}"/>
            </c:ext>
          </c:extLst>
        </c:ser>
        <c:ser>
          <c:idx val="183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32D1-41ED-8CCA-5672C1D2C457}"/>
            </c:ext>
          </c:extLst>
        </c:ser>
        <c:ser>
          <c:idx val="184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32D1-41ED-8CCA-5672C1D2C457}"/>
            </c:ext>
          </c:extLst>
        </c:ser>
        <c:ser>
          <c:idx val="185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32D1-41ED-8CCA-5672C1D2C457}"/>
            </c:ext>
          </c:extLst>
        </c:ser>
        <c:ser>
          <c:idx val="186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32D1-41ED-8CCA-5672C1D2C457}"/>
            </c:ext>
          </c:extLst>
        </c:ser>
        <c:ser>
          <c:idx val="187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32D1-41ED-8CCA-5672C1D2C457}"/>
            </c:ext>
          </c:extLst>
        </c:ser>
        <c:ser>
          <c:idx val="188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32D1-41ED-8CCA-5672C1D2C457}"/>
            </c:ext>
          </c:extLst>
        </c:ser>
        <c:ser>
          <c:idx val="189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32D1-41ED-8CCA-5672C1D2C457}"/>
            </c:ext>
          </c:extLst>
        </c:ser>
        <c:ser>
          <c:idx val="190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32D1-41ED-8CCA-5672C1D2C457}"/>
            </c:ext>
          </c:extLst>
        </c:ser>
        <c:ser>
          <c:idx val="191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32D1-41ED-8CCA-5672C1D2C457}"/>
            </c:ext>
          </c:extLst>
        </c:ser>
        <c:ser>
          <c:idx val="192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32D1-41ED-8CCA-5672C1D2C457}"/>
            </c:ext>
          </c:extLst>
        </c:ser>
        <c:ser>
          <c:idx val="193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32D1-41ED-8CCA-5672C1D2C457}"/>
            </c:ext>
          </c:extLst>
        </c:ser>
        <c:ser>
          <c:idx val="194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32D1-41ED-8CCA-5672C1D2C457}"/>
            </c:ext>
          </c:extLst>
        </c:ser>
        <c:ser>
          <c:idx val="195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32D1-41ED-8CCA-5672C1D2C457}"/>
            </c:ext>
          </c:extLst>
        </c:ser>
        <c:ser>
          <c:idx val="196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32D1-41ED-8CCA-5672C1D2C457}"/>
            </c:ext>
          </c:extLst>
        </c:ser>
        <c:ser>
          <c:idx val="197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32D1-41ED-8CCA-5672C1D2C457}"/>
            </c:ext>
          </c:extLst>
        </c:ser>
        <c:ser>
          <c:idx val="198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32D1-41ED-8CCA-5672C1D2C457}"/>
            </c:ext>
          </c:extLst>
        </c:ser>
        <c:ser>
          <c:idx val="199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32D1-41ED-8CCA-5672C1D2C457}"/>
            </c:ext>
          </c:extLst>
        </c:ser>
        <c:ser>
          <c:idx val="200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32D1-41ED-8CCA-5672C1D2C457}"/>
            </c:ext>
          </c:extLst>
        </c:ser>
        <c:ser>
          <c:idx val="201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32D1-41ED-8CCA-5672C1D2C457}"/>
            </c:ext>
          </c:extLst>
        </c:ser>
        <c:ser>
          <c:idx val="202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32D1-41ED-8CCA-5672C1D2C457}"/>
            </c:ext>
          </c:extLst>
        </c:ser>
        <c:ser>
          <c:idx val="203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32D1-41ED-8CCA-5672C1D2C457}"/>
            </c:ext>
          </c:extLst>
        </c:ser>
        <c:ser>
          <c:idx val="204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32D1-41ED-8CCA-5672C1D2C457}"/>
            </c:ext>
          </c:extLst>
        </c:ser>
        <c:ser>
          <c:idx val="205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32D1-41ED-8CCA-5672C1D2C457}"/>
            </c:ext>
          </c:extLst>
        </c:ser>
        <c:ser>
          <c:idx val="206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32D1-41ED-8CCA-5672C1D2C457}"/>
            </c:ext>
          </c:extLst>
        </c:ser>
        <c:ser>
          <c:idx val="207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32D1-41ED-8CCA-5672C1D2C457}"/>
            </c:ext>
          </c:extLst>
        </c:ser>
        <c:ser>
          <c:idx val="208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32D1-41ED-8CCA-5672C1D2C457}"/>
            </c:ext>
          </c:extLst>
        </c:ser>
        <c:ser>
          <c:idx val="209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32D1-41ED-8CCA-5672C1D2C457}"/>
            </c:ext>
          </c:extLst>
        </c:ser>
        <c:ser>
          <c:idx val="210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32D1-41ED-8CCA-5672C1D2C457}"/>
            </c:ext>
          </c:extLst>
        </c:ser>
        <c:ser>
          <c:idx val="211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32D1-41ED-8CCA-5672C1D2C457}"/>
            </c:ext>
          </c:extLst>
        </c:ser>
        <c:ser>
          <c:idx val="212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32D1-41ED-8CCA-5672C1D2C457}"/>
            </c:ext>
          </c:extLst>
        </c:ser>
        <c:ser>
          <c:idx val="213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32D1-41ED-8CCA-5672C1D2C457}"/>
            </c:ext>
          </c:extLst>
        </c:ser>
        <c:ser>
          <c:idx val="214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32D1-41ED-8CCA-5672C1D2C457}"/>
            </c:ext>
          </c:extLst>
        </c:ser>
        <c:ser>
          <c:idx val="215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32D1-41ED-8CCA-5672C1D2C457}"/>
            </c:ext>
          </c:extLst>
        </c:ser>
        <c:ser>
          <c:idx val="216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32D1-41ED-8CCA-5672C1D2C457}"/>
            </c:ext>
          </c:extLst>
        </c:ser>
        <c:ser>
          <c:idx val="217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32D1-41ED-8CCA-5672C1D2C457}"/>
            </c:ext>
          </c:extLst>
        </c:ser>
        <c:ser>
          <c:idx val="218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32D1-41ED-8CCA-5672C1D2C457}"/>
            </c:ext>
          </c:extLst>
        </c:ser>
        <c:ser>
          <c:idx val="219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32D1-41ED-8CCA-5672C1D2C457}"/>
            </c:ext>
          </c:extLst>
        </c:ser>
        <c:ser>
          <c:idx val="220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32D1-41ED-8CCA-5672C1D2C457}"/>
            </c:ext>
          </c:extLst>
        </c:ser>
        <c:ser>
          <c:idx val="221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32D1-41ED-8CCA-5672C1D2C457}"/>
            </c:ext>
          </c:extLst>
        </c:ser>
        <c:ser>
          <c:idx val="222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32D1-41ED-8CCA-5672C1D2C457}"/>
            </c:ext>
          </c:extLst>
        </c:ser>
        <c:ser>
          <c:idx val="223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32D1-41ED-8CCA-5672C1D2C457}"/>
            </c:ext>
          </c:extLst>
        </c:ser>
        <c:ser>
          <c:idx val="224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32D1-41ED-8CCA-5672C1D2C457}"/>
            </c:ext>
          </c:extLst>
        </c:ser>
        <c:ser>
          <c:idx val="225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32D1-41ED-8CCA-5672C1D2C457}"/>
            </c:ext>
          </c:extLst>
        </c:ser>
        <c:ser>
          <c:idx val="226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32D1-41ED-8CCA-5672C1D2C457}"/>
            </c:ext>
          </c:extLst>
        </c:ser>
        <c:ser>
          <c:idx val="227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32D1-41ED-8CCA-5672C1D2C457}"/>
            </c:ext>
          </c:extLst>
        </c:ser>
        <c:ser>
          <c:idx val="228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32D1-41ED-8CCA-5672C1D2C457}"/>
            </c:ext>
          </c:extLst>
        </c:ser>
        <c:ser>
          <c:idx val="229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32D1-41ED-8CCA-5672C1D2C457}"/>
            </c:ext>
          </c:extLst>
        </c:ser>
        <c:ser>
          <c:idx val="230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32D1-41ED-8CCA-5672C1D2C457}"/>
            </c:ext>
          </c:extLst>
        </c:ser>
        <c:ser>
          <c:idx val="231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32D1-41ED-8CCA-5672C1D2C457}"/>
            </c:ext>
          </c:extLst>
        </c:ser>
        <c:ser>
          <c:idx val="232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32D1-41ED-8CCA-5672C1D2C457}"/>
            </c:ext>
          </c:extLst>
        </c:ser>
        <c:ser>
          <c:idx val="233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32D1-41ED-8CCA-5672C1D2C457}"/>
            </c:ext>
          </c:extLst>
        </c:ser>
        <c:ser>
          <c:idx val="234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32D1-41ED-8CCA-5672C1D2C457}"/>
            </c:ext>
          </c:extLst>
        </c:ser>
        <c:ser>
          <c:idx val="235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32D1-41ED-8CCA-5672C1D2C457}"/>
            </c:ext>
          </c:extLst>
        </c:ser>
        <c:ser>
          <c:idx val="236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32D1-41ED-8CCA-5672C1D2C457}"/>
            </c:ext>
          </c:extLst>
        </c:ser>
        <c:ser>
          <c:idx val="237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32D1-41ED-8CCA-5672C1D2C457}"/>
            </c:ext>
          </c:extLst>
        </c:ser>
        <c:ser>
          <c:idx val="238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32D1-41ED-8CCA-5672C1D2C457}"/>
            </c:ext>
          </c:extLst>
        </c:ser>
        <c:ser>
          <c:idx val="239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32D1-41ED-8CCA-5672C1D2C457}"/>
            </c:ext>
          </c:extLst>
        </c:ser>
        <c:ser>
          <c:idx val="240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32D1-41ED-8CCA-5672C1D2C457}"/>
            </c:ext>
          </c:extLst>
        </c:ser>
        <c:ser>
          <c:idx val="241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32D1-41ED-8CCA-5672C1D2C457}"/>
            </c:ext>
          </c:extLst>
        </c:ser>
        <c:ser>
          <c:idx val="242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32D1-41ED-8CCA-5672C1D2C457}"/>
            </c:ext>
          </c:extLst>
        </c:ser>
        <c:ser>
          <c:idx val="243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32D1-41ED-8CCA-5672C1D2C457}"/>
            </c:ext>
          </c:extLst>
        </c:ser>
        <c:ser>
          <c:idx val="244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32D1-41ED-8CCA-5672C1D2C457}"/>
            </c:ext>
          </c:extLst>
        </c:ser>
        <c:ser>
          <c:idx val="245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32D1-41ED-8CCA-5672C1D2C457}"/>
            </c:ext>
          </c:extLst>
        </c:ser>
        <c:ser>
          <c:idx val="246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32D1-41ED-8CCA-5672C1D2C457}"/>
            </c:ext>
          </c:extLst>
        </c:ser>
        <c:ser>
          <c:idx val="247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32D1-41ED-8CCA-5672C1D2C457}"/>
            </c:ext>
          </c:extLst>
        </c:ser>
        <c:ser>
          <c:idx val="248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32D1-41ED-8CCA-5672C1D2C457}"/>
            </c:ext>
          </c:extLst>
        </c:ser>
        <c:ser>
          <c:idx val="249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32D1-41ED-8CCA-5672C1D2C457}"/>
            </c:ext>
          </c:extLst>
        </c:ser>
        <c:ser>
          <c:idx val="250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32D1-41ED-8CCA-5672C1D2C457}"/>
            </c:ext>
          </c:extLst>
        </c:ser>
        <c:ser>
          <c:idx val="251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32D1-41ED-8CCA-5672C1D2C457}"/>
            </c:ext>
          </c:extLst>
        </c:ser>
        <c:ser>
          <c:idx val="252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32D1-41ED-8CCA-5672C1D2C457}"/>
            </c:ext>
          </c:extLst>
        </c:ser>
        <c:ser>
          <c:idx val="253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32D1-41ED-8CCA-5672C1D2C457}"/>
            </c:ext>
          </c:extLst>
        </c:ser>
        <c:ser>
          <c:idx val="254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32D1-41ED-8CCA-5672C1D2C457}"/>
            </c:ext>
          </c:extLst>
        </c:ser>
        <c:ser>
          <c:idx val="8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32D1-41ED-8CCA-5672C1D2C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725243136"/>
        <c:axId val="725243696"/>
      </c:barChart>
      <c:catAx>
        <c:axId val="725243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725243696"/>
        <c:crosses val="autoZero"/>
        <c:auto val="1"/>
        <c:lblAlgn val="ctr"/>
        <c:lblOffset val="100"/>
        <c:tickLblSkip val="1"/>
        <c:noMultiLvlLbl val="0"/>
      </c:catAx>
      <c:valAx>
        <c:axId val="725243696"/>
        <c:scaling>
          <c:orientation val="minMax"/>
          <c:max val="1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725243136"/>
        <c:crosses val="autoZero"/>
        <c:crossBetween val="between"/>
        <c:majorUnit val="50"/>
      </c:valAx>
    </c:plotArea>
    <c:legend>
      <c:legendPos val="b"/>
      <c:layout>
        <c:manualLayout>
          <c:xMode val="edge"/>
          <c:yMode val="edge"/>
          <c:x val="0.17235856311869119"/>
          <c:y val="0.12065862860892389"/>
          <c:w val="0.64189532791664161"/>
          <c:h val="0.12854166666666669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119064</xdr:colOff>
      <xdr:row>1</xdr:row>
      <xdr:rowOff>142874</xdr:rowOff>
    </xdr:from>
    <xdr:to>
      <xdr:col>2</xdr:col>
      <xdr:colOff>2</xdr:colOff>
      <xdr:row>27</xdr:row>
      <xdr:rowOff>178593</xdr:rowOff>
    </xdr:to>
    <xdr:sp macro="" textlink="'グラフ設定（時系列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19127" y="345280"/>
          <a:ext cx="381000" cy="52982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3ECD8EB6-D835-4D1D-9161-2A1C35486CCC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97985" y="5402519"/>
          <a:ext cx="8392359" cy="3837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7B81FFC2-ADD7-42C0-B2CD-248D4EB1D8EA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時系列）'!$J$2">
      <cdr:nvSpPr>
        <cdr:cNvPr id="3" name="テキスト ボックス 1"/>
        <cdr:cNvSpPr txBox="1"/>
      </cdr:nvSpPr>
      <cdr:spPr>
        <a:xfrm xmlns:a="http://schemas.openxmlformats.org/drawingml/2006/main">
          <a:off x="91617" y="5625023"/>
          <a:ext cx="9231738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564275B3-BF6A-44E4-A722-9C481D6C515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0.01662</cdr:x>
      <cdr:y>0.85013</cdr:y>
    </cdr:from>
    <cdr:to>
      <cdr:x>0.89967</cdr:x>
      <cdr:y>0.91308</cdr:y>
    </cdr:to>
    <cdr:sp macro="" textlink="'グラフ設定（時系列）'!$L$2">
      <cdr:nvSpPr>
        <cdr:cNvPr id="5" name="テキスト ボックス 1"/>
        <cdr:cNvSpPr txBox="1"/>
      </cdr:nvSpPr>
      <cdr:spPr>
        <a:xfrm xmlns:a="http://schemas.openxmlformats.org/drawingml/2006/main">
          <a:off x="157980" y="5182389"/>
          <a:ext cx="8392360" cy="3837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7143ED56-80E8-42B8-8CAC-CC017CB96EA2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出力日:2026/10/19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 tint="0.39997558519241921"/>
  </sheetPr>
  <dimension ref="B2:IX259"/>
  <sheetViews>
    <sheetView zoomScaleNormal="100"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" max="31" customWidth="true" style="3" width="14.625" collapsed="true"/>
    <col min="1" max="1" customWidth="true" style="3" width="9.0" collapsed="false"/>
    <col min="2" max="2" customWidth="true" style="15" width="7.53515625" collapsed="false" bestFit="true"/>
    <col min="32" max="32" customWidth="true" style="3" width="14.625" collapsed="false" hidden="true"/>
    <col min="123" max="123" style="3" width="14.625" collapsed="false" hidden="true"/>
  </cols>
  <sheetData>
    <row r="2" spans="2:257" s="13" customFormat="1" x14ac:dyDescent="0.15">
      <c r="B2" s="17"/>
      <c r="C2" s="29" t="s">
        <v>656</v>
      </c>
      <c r="D2" s="29" t="s">
        <v>657</v>
      </c>
      <c r="E2" s="29" t="s">
        <v>658</v>
      </c>
      <c r="F2" s="29" t="s">
        <v>659</v>
      </c>
      <c r="G2" s="29" t="s">
        <v>660</v>
      </c>
      <c r="H2" s="29" t="s">
        <v>661</v>
      </c>
      <c r="I2" s="29" t="s">
        <v>662</v>
      </c>
      <c r="J2" s="29" t="s">
        <v>663</v>
      </c>
      <c r="K2" s="29" t="s">
        <v>664</v>
      </c>
      <c r="L2" s="29" t="s">
        <v>665</v>
      </c>
      <c r="M2" s="29" t="s">
        <v>666</v>
      </c>
      <c r="N2" s="29" t="s">
        <v>667</v>
      </c>
      <c r="O2" s="29" t="s">
        <v>668</v>
      </c>
      <c r="P2" s="29" t="s">
        <v>669</v>
      </c>
      <c r="Q2" s="29" t="s">
        <v>670</v>
      </c>
      <c r="R2" s="29" t="s">
        <v>671</v>
      </c>
      <c r="S2" s="29" t="s">
        <v>672</v>
      </c>
      <c r="T2" s="29" t="s">
        <v>673</v>
      </c>
      <c r="U2" s="29" t="s">
        <v>674</v>
      </c>
      <c r="V2" s="29" t="s">
        <v>675</v>
      </c>
      <c r="W2" s="29" t="s">
        <v>676</v>
      </c>
      <c r="X2" s="29" t="s">
        <v>677</v>
      </c>
      <c r="Y2" s="29" t="s">
        <v>678</v>
      </c>
      <c r="Z2" s="29" t="s">
        <v>679</v>
      </c>
      <c r="AA2" s="29" t="s">
        <v>680</v>
      </c>
      <c r="AB2" s="29" t="s">
        <v>681</v>
      </c>
      <c r="AC2" s="29" t="s">
        <v>682</v>
      </c>
      <c r="AD2" s="29" t="s">
        <v>683</v>
      </c>
      <c r="AE2" s="29" t="s">
        <v>684</v>
      </c>
      <c r="AF2" s="12" t="s">
        <v>36</v>
      </c>
      <c r="AG2" s="12" t="s">
        <v>37</v>
      </c>
      <c r="AH2" s="12" t="s">
        <v>38</v>
      </c>
      <c r="AI2" s="12" t="s">
        <v>39</v>
      </c>
      <c r="AJ2" s="12" t="s">
        <v>40</v>
      </c>
      <c r="AK2" s="12" t="s">
        <v>41</v>
      </c>
      <c r="AL2" s="12" t="s">
        <v>42</v>
      </c>
      <c r="AM2" s="12" t="s">
        <v>43</v>
      </c>
      <c r="AN2" s="12" t="s">
        <v>44</v>
      </c>
      <c r="AO2" s="12" t="s">
        <v>45</v>
      </c>
      <c r="AP2" s="12" t="s">
        <v>46</v>
      </c>
      <c r="AQ2" s="12" t="s">
        <v>47</v>
      </c>
      <c r="AR2" s="12" t="s">
        <v>48</v>
      </c>
      <c r="AS2" s="12" t="s">
        <v>49</v>
      </c>
      <c r="AT2" s="12" t="s">
        <v>50</v>
      </c>
      <c r="AU2" s="12" t="s">
        <v>51</v>
      </c>
      <c r="AV2" s="12" t="s">
        <v>52</v>
      </c>
      <c r="AW2" s="12" t="s">
        <v>53</v>
      </c>
      <c r="AX2" s="12" t="s">
        <v>54</v>
      </c>
      <c r="AY2" s="12" t="s">
        <v>73</v>
      </c>
      <c r="AZ2" s="12" t="s">
        <v>74</v>
      </c>
      <c r="BA2" s="12" t="s">
        <v>75</v>
      </c>
      <c r="BB2" s="12" t="s">
        <v>76</v>
      </c>
      <c r="BC2" s="12" t="s">
        <v>77</v>
      </c>
      <c r="BD2" s="12" t="s">
        <v>78</v>
      </c>
      <c r="BE2" s="12" t="s">
        <v>79</v>
      </c>
      <c r="BF2" s="12" t="s">
        <v>80</v>
      </c>
      <c r="BG2" s="12" t="s">
        <v>81</v>
      </c>
      <c r="BH2" s="12" t="s">
        <v>82</v>
      </c>
      <c r="BI2" s="12" t="s">
        <v>83</v>
      </c>
      <c r="BJ2" s="12" t="s">
        <v>84</v>
      </c>
      <c r="BK2" s="12" t="s">
        <v>85</v>
      </c>
      <c r="BL2" s="12" t="s">
        <v>86</v>
      </c>
      <c r="BM2" s="12" t="s">
        <v>87</v>
      </c>
      <c r="BN2" s="12" t="s">
        <v>88</v>
      </c>
      <c r="BO2" s="12" t="s">
        <v>89</v>
      </c>
      <c r="BP2" s="12" t="s">
        <v>90</v>
      </c>
      <c r="BQ2" s="12" t="s">
        <v>91</v>
      </c>
      <c r="BR2" s="12" t="s">
        <v>92</v>
      </c>
      <c r="BS2" s="12" t="s">
        <v>93</v>
      </c>
      <c r="BT2" s="12" t="s">
        <v>94</v>
      </c>
      <c r="BU2" s="12" t="s">
        <v>95</v>
      </c>
      <c r="BV2" s="12" t="s">
        <v>96</v>
      </c>
      <c r="BW2" s="12" t="s">
        <v>97</v>
      </c>
      <c r="BX2" s="12" t="s">
        <v>98</v>
      </c>
      <c r="BY2" s="12" t="s">
        <v>99</v>
      </c>
      <c r="BZ2" s="12" t="s">
        <v>100</v>
      </c>
      <c r="CA2" s="12" t="s">
        <v>101</v>
      </c>
      <c r="CB2" s="12" t="s">
        <v>102</v>
      </c>
      <c r="CC2" s="12" t="s">
        <v>103</v>
      </c>
      <c r="CD2" s="12" t="s">
        <v>104</v>
      </c>
      <c r="CE2" s="12" t="s">
        <v>105</v>
      </c>
      <c r="CF2" s="12" t="s">
        <v>106</v>
      </c>
      <c r="CG2" s="12" t="s">
        <v>107</v>
      </c>
      <c r="CH2" s="12" t="s">
        <v>108</v>
      </c>
      <c r="CI2" s="12" t="s">
        <v>109</v>
      </c>
      <c r="CJ2" s="12" t="s">
        <v>110</v>
      </c>
      <c r="CK2" s="12" t="s">
        <v>111</v>
      </c>
      <c r="CL2" s="12" t="s">
        <v>112</v>
      </c>
      <c r="CM2" s="12" t="s">
        <v>113</v>
      </c>
      <c r="CN2" s="12" t="s">
        <v>114</v>
      </c>
      <c r="CO2" s="12" t="s">
        <v>115</v>
      </c>
      <c r="CP2" s="12" t="s">
        <v>116</v>
      </c>
      <c r="CQ2" s="12" t="s">
        <v>117</v>
      </c>
      <c r="CR2" s="12" t="s">
        <v>118</v>
      </c>
      <c r="CS2" s="12" t="s">
        <v>119</v>
      </c>
      <c r="CT2" s="12" t="s">
        <v>120</v>
      </c>
      <c r="CU2" s="12" t="s">
        <v>121</v>
      </c>
      <c r="CV2" s="12" t="s">
        <v>122</v>
      </c>
      <c r="CW2" s="12" t="s">
        <v>123</v>
      </c>
      <c r="CX2" s="12" t="s">
        <v>124</v>
      </c>
      <c r="CY2" s="12" t="s">
        <v>125</v>
      </c>
      <c r="CZ2" s="12" t="s">
        <v>126</v>
      </c>
      <c r="DA2" s="12" t="s">
        <v>127</v>
      </c>
      <c r="DB2" s="12" t="s">
        <v>128</v>
      </c>
      <c r="DC2" s="12" t="s">
        <v>129</v>
      </c>
      <c r="DD2" s="12" t="s">
        <v>130</v>
      </c>
      <c r="DE2" s="12" t="s">
        <v>131</v>
      </c>
      <c r="DF2" s="12" t="s">
        <v>132</v>
      </c>
      <c r="DG2" s="12" t="s">
        <v>133</v>
      </c>
      <c r="DH2" s="12" t="s">
        <v>134</v>
      </c>
      <c r="DI2" s="12" t="s">
        <v>135</v>
      </c>
      <c r="DJ2" s="12" t="s">
        <v>136</v>
      </c>
      <c r="DK2" s="12" t="s">
        <v>137</v>
      </c>
      <c r="DL2" s="12" t="s">
        <v>138</v>
      </c>
      <c r="DM2" s="12" t="s">
        <v>139</v>
      </c>
      <c r="DN2" s="12" t="s">
        <v>140</v>
      </c>
      <c r="DO2" s="12" t="s">
        <v>141</v>
      </c>
      <c r="DP2" s="12" t="s">
        <v>142</v>
      </c>
      <c r="DQ2" s="12" t="s">
        <v>143</v>
      </c>
      <c r="DR2" s="12" t="s">
        <v>144</v>
      </c>
      <c r="DS2" s="12" t="s">
        <v>145</v>
      </c>
      <c r="DT2" s="12" t="s">
        <v>146</v>
      </c>
      <c r="DU2" s="12" t="s">
        <v>147</v>
      </c>
      <c r="DV2" s="12" t="s">
        <v>148</v>
      </c>
      <c r="DW2" s="12" t="s">
        <v>149</v>
      </c>
      <c r="DX2" s="12" t="s">
        <v>150</v>
      </c>
      <c r="DY2" s="12" t="s">
        <v>151</v>
      </c>
      <c r="DZ2" s="12" t="s">
        <v>152</v>
      </c>
      <c r="EA2" s="12" t="s">
        <v>525</v>
      </c>
      <c r="EB2" s="12" t="s">
        <v>526</v>
      </c>
      <c r="EC2" s="12" t="s">
        <v>527</v>
      </c>
      <c r="ED2" s="12" t="s">
        <v>528</v>
      </c>
      <c r="EE2" s="12" t="s">
        <v>529</v>
      </c>
      <c r="EF2" s="12" t="s">
        <v>530</v>
      </c>
      <c r="EG2" s="12" t="s">
        <v>531</v>
      </c>
      <c r="EH2" s="12" t="s">
        <v>532</v>
      </c>
      <c r="EI2" s="12" t="s">
        <v>533</v>
      </c>
      <c r="EJ2" s="12" t="s">
        <v>534</v>
      </c>
      <c r="EK2" s="12" t="s">
        <v>535</v>
      </c>
      <c r="EL2" s="12" t="s">
        <v>536</v>
      </c>
      <c r="EM2" s="12" t="s">
        <v>537</v>
      </c>
      <c r="EN2" s="12" t="s">
        <v>538</v>
      </c>
      <c r="EO2" s="12" t="s">
        <v>539</v>
      </c>
      <c r="EP2" s="12" t="s">
        <v>540</v>
      </c>
      <c r="EQ2" s="12" t="s">
        <v>541</v>
      </c>
      <c r="ER2" s="12" t="s">
        <v>542</v>
      </c>
      <c r="ES2" s="12" t="s">
        <v>543</v>
      </c>
      <c r="ET2" s="12" t="s">
        <v>544</v>
      </c>
      <c r="EU2" s="12" t="s">
        <v>545</v>
      </c>
      <c r="EV2" s="12" t="s">
        <v>546</v>
      </c>
      <c r="EW2" s="12" t="s">
        <v>547</v>
      </c>
      <c r="EX2" s="12" t="s">
        <v>548</v>
      </c>
      <c r="EY2" s="12" t="s">
        <v>549</v>
      </c>
      <c r="EZ2" s="12" t="s">
        <v>550</v>
      </c>
      <c r="FA2" s="12" t="s">
        <v>551</v>
      </c>
      <c r="FB2" s="12" t="s">
        <v>552</v>
      </c>
      <c r="FC2" s="12" t="s">
        <v>553</v>
      </c>
      <c r="FD2" s="12" t="s">
        <v>554</v>
      </c>
      <c r="FE2" s="12" t="s">
        <v>555</v>
      </c>
      <c r="FF2" s="12" t="s">
        <v>556</v>
      </c>
      <c r="FG2" s="12" t="s">
        <v>557</v>
      </c>
      <c r="FH2" s="12" t="s">
        <v>558</v>
      </c>
      <c r="FI2" s="12" t="s">
        <v>559</v>
      </c>
      <c r="FJ2" s="12" t="s">
        <v>560</v>
      </c>
      <c r="FK2" s="12" t="s">
        <v>561</v>
      </c>
      <c r="FL2" s="12" t="s">
        <v>562</v>
      </c>
      <c r="FM2" s="12" t="s">
        <v>563</v>
      </c>
      <c r="FN2" s="12" t="s">
        <v>564</v>
      </c>
      <c r="FO2" s="12" t="s">
        <v>565</v>
      </c>
      <c r="FP2" s="12" t="s">
        <v>566</v>
      </c>
      <c r="FQ2" s="12" t="s">
        <v>567</v>
      </c>
      <c r="FR2" s="12" t="s">
        <v>568</v>
      </c>
      <c r="FS2" s="12" t="s">
        <v>569</v>
      </c>
      <c r="FT2" s="12" t="s">
        <v>570</v>
      </c>
      <c r="FU2" s="12" t="s">
        <v>571</v>
      </c>
      <c r="FV2" s="12" t="s">
        <v>572</v>
      </c>
      <c r="FW2" s="12" t="s">
        <v>573</v>
      </c>
      <c r="FX2" s="12" t="s">
        <v>574</v>
      </c>
      <c r="FY2" s="12" t="s">
        <v>575</v>
      </c>
      <c r="FZ2" s="12" t="s">
        <v>576</v>
      </c>
      <c r="GA2" s="12" t="s">
        <v>577</v>
      </c>
      <c r="GB2" s="12" t="s">
        <v>578</v>
      </c>
      <c r="GC2" s="12" t="s">
        <v>579</v>
      </c>
      <c r="GD2" s="12" t="s">
        <v>580</v>
      </c>
      <c r="GE2" s="12" t="s">
        <v>581</v>
      </c>
      <c r="GF2" s="12" t="s">
        <v>582</v>
      </c>
      <c r="GG2" s="12" t="s">
        <v>583</v>
      </c>
      <c r="GH2" s="12" t="s">
        <v>584</v>
      </c>
      <c r="GI2" s="12" t="s">
        <v>585</v>
      </c>
      <c r="GJ2" s="12" t="s">
        <v>586</v>
      </c>
      <c r="GK2" s="12" t="s">
        <v>587</v>
      </c>
      <c r="GL2" s="12" t="s">
        <v>588</v>
      </c>
      <c r="GM2" s="12" t="s">
        <v>589</v>
      </c>
      <c r="GN2" s="12" t="s">
        <v>590</v>
      </c>
      <c r="GO2" s="12" t="s">
        <v>591</v>
      </c>
      <c r="GP2" s="12" t="s">
        <v>592</v>
      </c>
      <c r="GQ2" s="12" t="s">
        <v>593</v>
      </c>
      <c r="GR2" s="12" t="s">
        <v>594</v>
      </c>
      <c r="GS2" s="12" t="s">
        <v>595</v>
      </c>
      <c r="GT2" s="12" t="s">
        <v>596</v>
      </c>
      <c r="GU2" s="12" t="s">
        <v>597</v>
      </c>
      <c r="GV2" s="12" t="s">
        <v>598</v>
      </c>
      <c r="GW2" s="12" t="s">
        <v>599</v>
      </c>
      <c r="GX2" s="12" t="s">
        <v>600</v>
      </c>
      <c r="GY2" s="12" t="s">
        <v>601</v>
      </c>
      <c r="GZ2" s="12" t="s">
        <v>602</v>
      </c>
      <c r="HA2" s="12" t="s">
        <v>603</v>
      </c>
      <c r="HB2" s="12" t="s">
        <v>604</v>
      </c>
      <c r="HC2" s="12" t="s">
        <v>605</v>
      </c>
      <c r="HD2" s="12" t="s">
        <v>606</v>
      </c>
      <c r="HE2" s="12" t="s">
        <v>607</v>
      </c>
      <c r="HF2" s="12" t="s">
        <v>608</v>
      </c>
      <c r="HG2" s="12" t="s">
        <v>609</v>
      </c>
      <c r="HH2" s="12" t="s">
        <v>610</v>
      </c>
      <c r="HI2" s="12" t="s">
        <v>611</v>
      </c>
      <c r="HJ2" s="12" t="s">
        <v>612</v>
      </c>
      <c r="HK2" s="12" t="s">
        <v>613</v>
      </c>
      <c r="HL2" s="12" t="s">
        <v>614</v>
      </c>
      <c r="HM2" s="12" t="s">
        <v>615</v>
      </c>
      <c r="HN2" s="12" t="s">
        <v>616</v>
      </c>
      <c r="HO2" s="12" t="s">
        <v>617</v>
      </c>
      <c r="HP2" s="12" t="s">
        <v>618</v>
      </c>
      <c r="HQ2" s="12" t="s">
        <v>619</v>
      </c>
      <c r="HR2" s="12" t="s">
        <v>620</v>
      </c>
      <c r="HS2" s="12" t="s">
        <v>621</v>
      </c>
      <c r="HT2" s="12" t="s">
        <v>622</v>
      </c>
      <c r="HU2" s="12" t="s">
        <v>623</v>
      </c>
      <c r="HV2" s="12" t="s">
        <v>624</v>
      </c>
      <c r="HW2" s="12" t="s">
        <v>625</v>
      </c>
      <c r="HX2" s="12" t="s">
        <v>626</v>
      </c>
      <c r="HY2" s="12" t="s">
        <v>627</v>
      </c>
      <c r="HZ2" s="12" t="s">
        <v>628</v>
      </c>
      <c r="IA2" s="12" t="s">
        <v>629</v>
      </c>
      <c r="IB2" s="12" t="s">
        <v>630</v>
      </c>
      <c r="IC2" s="12" t="s">
        <v>631</v>
      </c>
      <c r="ID2" s="12" t="s">
        <v>632</v>
      </c>
      <c r="IE2" s="12" t="s">
        <v>633</v>
      </c>
      <c r="IF2" s="12" t="s">
        <v>634</v>
      </c>
      <c r="IG2" s="12" t="s">
        <v>635</v>
      </c>
      <c r="IH2" s="12" t="s">
        <v>636</v>
      </c>
      <c r="II2" s="12" t="s">
        <v>637</v>
      </c>
      <c r="IJ2" s="12" t="s">
        <v>638</v>
      </c>
      <c r="IK2" s="12" t="s">
        <v>639</v>
      </c>
      <c r="IL2" s="12" t="s">
        <v>640</v>
      </c>
      <c r="IM2" s="12" t="s">
        <v>641</v>
      </c>
      <c r="IN2" s="12" t="s">
        <v>642</v>
      </c>
      <c r="IO2" s="12" t="s">
        <v>643</v>
      </c>
      <c r="IP2" s="12" t="s">
        <v>644</v>
      </c>
      <c r="IQ2" s="12" t="s">
        <v>645</v>
      </c>
      <c r="IR2" s="12" t="s">
        <v>646</v>
      </c>
      <c r="IS2" s="12" t="s">
        <v>647</v>
      </c>
      <c r="IT2" s="12" t="s">
        <v>648</v>
      </c>
      <c r="IU2" s="12" t="s">
        <v>649</v>
      </c>
      <c r="IV2" s="12" t="s">
        <v>650</v>
      </c>
      <c r="IW2" s="12" t="s">
        <v>651</v>
      </c>
    </row>
    <row r="3" spans="2:257" x14ac:dyDescent="0.15">
      <c r="B3" s="18" t="s">
        <v>685</v>
      </c>
      <c r="C3" s="31" t="n">
        <v>0.5</v>
      </c>
      <c r="D3" s="31" t="n">
        <v>0.0</v>
      </c>
      <c r="E3" s="31" t="n">
        <v>0.4</v>
      </c>
      <c r="F3" s="31" t="n">
        <v>0.5</v>
      </c>
      <c r="G3" s="31" t="n">
        <v>0.0</v>
      </c>
      <c r="H3" s="31" t="n">
        <v>0.4</v>
      </c>
      <c r="I3" s="31" t="n">
        <v>0.9</v>
      </c>
      <c r="J3" s="31" t="n">
        <v>0.8</v>
      </c>
      <c r="K3" s="31" t="n">
        <v>0.8</v>
      </c>
      <c r="L3" s="31" t="n">
        <v>0.9</v>
      </c>
      <c r="M3" s="31" t="n">
        <v>1.2</v>
      </c>
      <c r="N3" s="31" t="n">
        <v>0.0</v>
      </c>
      <c r="O3" s="31" t="n">
        <v>0.5</v>
      </c>
      <c r="P3" s="31" t="n">
        <v>0.5</v>
      </c>
      <c r="Q3" s="31" t="n">
        <v>0.4</v>
      </c>
      <c r="R3" s="31" t="n">
        <v>0.9</v>
      </c>
      <c r="S3" s="31" t="n">
        <v>0.5</v>
      </c>
      <c r="T3" s="31" t="n">
        <v>0.5</v>
      </c>
      <c r="U3" s="31" t="n">
        <v>0.5</v>
      </c>
      <c r="V3" s="31" t="n">
        <v>1.5</v>
      </c>
      <c r="W3" s="31" t="n">
        <v>2.8</v>
      </c>
      <c r="X3" s="31" t="n">
        <v>1.9</v>
      </c>
      <c r="Y3" s="31" t="n">
        <v>3.2</v>
      </c>
      <c r="Z3" s="31" t="n">
        <v>3.7</v>
      </c>
      <c r="AA3" s="32" t="n">
        <v>3.0</v>
      </c>
      <c r="AB3" s="31" t="n">
        <v>3.2</v>
      </c>
      <c r="AC3" s="31" t="n">
        <v>3.5</v>
      </c>
      <c r="AD3" s="31" t="n">
        <v>4.5</v>
      </c>
      <c r="AE3" s="31" t="n">
        <v>5.1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8" t="s">
        <v>686</v>
      </c>
      <c r="C4" s="35" t="n">
        <v>3.8</v>
      </c>
      <c r="D4" s="35" t="n">
        <v>5.9</v>
      </c>
      <c r="E4" s="35" t="n">
        <v>5.2</v>
      </c>
      <c r="F4" s="35" t="n">
        <v>6.7</v>
      </c>
      <c r="G4" s="35" t="n">
        <v>8.5</v>
      </c>
      <c r="H4" s="35" t="n">
        <v>7.5</v>
      </c>
      <c r="I4" s="35" t="n">
        <v>7.8</v>
      </c>
      <c r="J4" s="35" t="n">
        <v>8.9</v>
      </c>
      <c r="K4" s="36" t="n">
        <v>5.0</v>
      </c>
      <c r="L4" s="36" t="n">
        <v>6.0</v>
      </c>
      <c r="M4" s="35" t="n">
        <v>6.9</v>
      </c>
      <c r="N4" s="35" t="n">
        <v>4.9</v>
      </c>
      <c r="O4" s="35" t="n">
        <v>4.8</v>
      </c>
      <c r="P4" s="35" t="n">
        <v>6.1</v>
      </c>
      <c r="Q4" s="35" t="n">
        <v>6.1</v>
      </c>
      <c r="R4" s="35" t="n">
        <v>6.2</v>
      </c>
      <c r="S4" s="35" t="n">
        <v>8.1</v>
      </c>
      <c r="T4" s="35" t="n">
        <v>7.9</v>
      </c>
      <c r="U4" s="36" t="n">
        <v>8.0</v>
      </c>
      <c r="V4" s="35" t="n">
        <v>6.1</v>
      </c>
      <c r="W4" s="35" t="n">
        <v>6.1</v>
      </c>
      <c r="X4" s="35" t="n">
        <v>6.6</v>
      </c>
      <c r="Y4" s="35" t="n">
        <v>7.2</v>
      </c>
      <c r="Z4" s="35" t="n">
        <v>8.6</v>
      </c>
      <c r="AA4" s="35" t="n">
        <v>8.6</v>
      </c>
      <c r="AB4" s="35" t="n">
        <v>9.9</v>
      </c>
      <c r="AC4" s="35" t="n">
        <v>10.6</v>
      </c>
      <c r="AD4" s="35" t="n">
        <v>9.7</v>
      </c>
      <c r="AE4" s="35" t="n">
        <v>9.5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8" t="s">
        <v>687</v>
      </c>
      <c r="C5" s="39" t="n">
        <v>11.4</v>
      </c>
      <c r="D5" s="39" t="n">
        <v>10.9</v>
      </c>
      <c r="E5" s="39" t="n">
        <v>11.2</v>
      </c>
      <c r="F5" s="39" t="n">
        <v>11.5</v>
      </c>
      <c r="G5" s="39" t="n">
        <v>12.7</v>
      </c>
      <c r="H5" s="39" t="n">
        <v>13.7</v>
      </c>
      <c r="I5" s="39" t="n">
        <v>13.9</v>
      </c>
      <c r="J5" s="39" t="n">
        <v>15.2</v>
      </c>
      <c r="K5" s="39" t="n">
        <v>16.6</v>
      </c>
      <c r="L5" s="39" t="n">
        <v>13.2</v>
      </c>
      <c r="M5" s="39" t="n">
        <v>13.9</v>
      </c>
      <c r="N5" s="39" t="n">
        <v>19.6</v>
      </c>
      <c r="O5" s="39" t="n">
        <v>17.8</v>
      </c>
      <c r="P5" s="39" t="n">
        <v>18.7</v>
      </c>
      <c r="Q5" s="40" t="n">
        <v>17.0</v>
      </c>
      <c r="R5" s="39" t="n">
        <v>13.3</v>
      </c>
      <c r="S5" s="39" t="n">
        <v>15.2</v>
      </c>
      <c r="T5" s="39" t="n">
        <v>15.7</v>
      </c>
      <c r="U5" s="39" t="n">
        <v>14.4</v>
      </c>
      <c r="V5" s="39" t="n">
        <v>17.2</v>
      </c>
      <c r="W5" s="39" t="n">
        <v>20.1</v>
      </c>
      <c r="X5" s="39" t="n">
        <v>22.7</v>
      </c>
      <c r="Y5" s="39" t="n">
        <v>21.2</v>
      </c>
      <c r="Z5" s="39" t="n">
        <v>19.7</v>
      </c>
      <c r="AA5" s="39" t="n">
        <v>19.2</v>
      </c>
      <c r="AB5" s="39" t="n">
        <v>15.4</v>
      </c>
      <c r="AC5" s="39" t="n">
        <v>12.6</v>
      </c>
      <c r="AD5" s="39" t="n">
        <v>13.1</v>
      </c>
      <c r="AE5" s="39" t="n">
        <v>13.1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8" t="s">
        <v>688</v>
      </c>
      <c r="C6" s="43" t="n">
        <v>21.8</v>
      </c>
      <c r="D6" s="43" t="n">
        <v>20.9</v>
      </c>
      <c r="E6" s="43" t="n">
        <v>19.8</v>
      </c>
      <c r="F6" s="43" t="n">
        <v>17.8</v>
      </c>
      <c r="G6" s="43" t="n">
        <v>20.3</v>
      </c>
      <c r="H6" s="43" t="n">
        <v>21.1</v>
      </c>
      <c r="I6" s="43" t="n">
        <v>16.5</v>
      </c>
      <c r="J6" s="43" t="n">
        <v>13.9</v>
      </c>
      <c r="K6" s="43" t="n">
        <v>18.3</v>
      </c>
      <c r="L6" s="43" t="n">
        <v>20.5</v>
      </c>
      <c r="M6" s="43" t="n">
        <v>18.5</v>
      </c>
      <c r="N6" s="43" t="n">
        <v>20.9</v>
      </c>
      <c r="O6" s="43" t="n">
        <v>21.2</v>
      </c>
      <c r="P6" s="43" t="n">
        <v>20.1</v>
      </c>
      <c r="Q6" s="44" t="n">
        <v>21.0</v>
      </c>
      <c r="R6" s="43" t="n">
        <v>21.2</v>
      </c>
      <c r="S6" s="43" t="n">
        <v>21.9</v>
      </c>
      <c r="T6" s="43" t="n">
        <v>21.8</v>
      </c>
      <c r="U6" s="43" t="n">
        <v>23.4</v>
      </c>
      <c r="V6" s="43" t="n">
        <v>27.3</v>
      </c>
      <c r="W6" s="43" t="n">
        <v>25.7</v>
      </c>
      <c r="X6" s="43" t="n">
        <v>27.5</v>
      </c>
      <c r="Y6" s="44" t="n">
        <v>27.0</v>
      </c>
      <c r="Z6" s="44" t="n">
        <v>27.0</v>
      </c>
      <c r="AA6" s="43" t="n">
        <v>26.3</v>
      </c>
      <c r="AB6" s="43" t="n">
        <v>27.3</v>
      </c>
      <c r="AC6" s="43" t="n">
        <v>27.2</v>
      </c>
      <c r="AD6" s="43" t="n">
        <v>28.5</v>
      </c>
      <c r="AE6" s="43" t="n">
        <v>28.4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8" t="s">
        <v>689</v>
      </c>
      <c r="C7" s="47" t="n">
        <v>26.1</v>
      </c>
      <c r="D7" s="47" t="n">
        <v>22.3</v>
      </c>
      <c r="E7" s="47" t="n">
        <v>24.6</v>
      </c>
      <c r="F7" s="47" t="n">
        <v>21.6</v>
      </c>
      <c r="G7" s="47" t="n">
        <v>16.5</v>
      </c>
      <c r="H7" s="47" t="n">
        <v>17.2</v>
      </c>
      <c r="I7" s="47" t="n">
        <v>20.4</v>
      </c>
      <c r="J7" s="47" t="n">
        <v>22.4</v>
      </c>
      <c r="K7" s="47" t="n">
        <v>21.6</v>
      </c>
      <c r="L7" s="47" t="n">
        <v>19.7</v>
      </c>
      <c r="M7" s="47" t="n">
        <v>17.3</v>
      </c>
      <c r="N7" s="47" t="n">
        <v>14.7</v>
      </c>
      <c r="O7" s="47" t="n">
        <v>17.3</v>
      </c>
      <c r="P7" s="47" t="n">
        <v>17.8</v>
      </c>
      <c r="Q7" s="47" t="n">
        <v>19.2</v>
      </c>
      <c r="R7" s="47" t="n">
        <v>20.8</v>
      </c>
      <c r="S7" s="48" t="n">
        <v>19.0</v>
      </c>
      <c r="T7" s="47" t="n">
        <v>20.8</v>
      </c>
      <c r="U7" s="47" t="n">
        <v>19.9</v>
      </c>
      <c r="V7" s="47" t="n">
        <v>16.7</v>
      </c>
      <c r="W7" s="47" t="n">
        <v>17.3</v>
      </c>
      <c r="X7" s="47" t="n">
        <v>16.1</v>
      </c>
      <c r="Y7" s="47" t="n">
        <v>16.7</v>
      </c>
      <c r="Z7" s="48" t="n">
        <v>16.0</v>
      </c>
      <c r="AA7" s="47" t="n">
        <v>16.2</v>
      </c>
      <c r="AB7" s="48" t="n">
        <v>17.0</v>
      </c>
      <c r="AC7" s="47" t="n">
        <v>16.9</v>
      </c>
      <c r="AD7" s="47" t="n">
        <v>16.9</v>
      </c>
      <c r="AE7" s="47" t="n">
        <v>15.6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8" t="s">
        <v>690</v>
      </c>
      <c r="C8" s="51" t="n">
        <v>6.2</v>
      </c>
      <c r="D8" s="51" t="n">
        <v>9.5</v>
      </c>
      <c r="E8" s="51" t="n">
        <v>11.6</v>
      </c>
      <c r="F8" s="51" t="n">
        <v>11.5</v>
      </c>
      <c r="G8" s="51" t="n">
        <v>9.9</v>
      </c>
      <c r="H8" s="51" t="n">
        <v>11.9</v>
      </c>
      <c r="I8" s="52" t="n">
        <v>13.0</v>
      </c>
      <c r="J8" s="52" t="n">
        <v>11.0</v>
      </c>
      <c r="K8" s="52" t="n">
        <v>10.0</v>
      </c>
      <c r="L8" s="51" t="n">
        <v>11.1</v>
      </c>
      <c r="M8" s="51" t="n">
        <v>12.1</v>
      </c>
      <c r="N8" s="51" t="n">
        <v>7.4</v>
      </c>
      <c r="O8" s="51" t="n">
        <v>7.2</v>
      </c>
      <c r="P8" s="51" t="n">
        <v>7.9</v>
      </c>
      <c r="Q8" s="51" t="n">
        <v>7.4</v>
      </c>
      <c r="R8" s="52" t="n">
        <v>8.0</v>
      </c>
      <c r="S8" s="51" t="n">
        <v>6.2</v>
      </c>
      <c r="T8" s="51" t="n">
        <v>6.5</v>
      </c>
      <c r="U8" s="51" t="n">
        <v>6.5</v>
      </c>
      <c r="V8" s="51" t="n">
        <v>6.6</v>
      </c>
      <c r="W8" s="51" t="n">
        <v>6.5</v>
      </c>
      <c r="X8" s="51" t="n">
        <v>6.6</v>
      </c>
      <c r="Y8" s="51" t="n">
        <v>6.3</v>
      </c>
      <c r="Z8" s="51" t="n">
        <v>5.3</v>
      </c>
      <c r="AA8" s="51" t="n">
        <v>7.1</v>
      </c>
      <c r="AB8" s="51" t="n">
        <v>7.9</v>
      </c>
      <c r="AC8" s="51" t="n">
        <v>7.9</v>
      </c>
      <c r="AD8" s="51" t="n">
        <v>7.5</v>
      </c>
      <c r="AE8" s="52" t="n">
        <v>8.0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8" t="s">
        <v>691</v>
      </c>
      <c r="C9" s="55" t="n">
        <v>10.4</v>
      </c>
      <c r="D9" s="55" t="n">
        <v>11.8</v>
      </c>
      <c r="E9" s="55" t="n">
        <v>12.9</v>
      </c>
      <c r="F9" s="55" t="n">
        <v>14.9</v>
      </c>
      <c r="G9" s="55" t="n">
        <v>15.6</v>
      </c>
      <c r="H9" s="55" t="n">
        <v>14.5</v>
      </c>
      <c r="I9" s="55" t="n">
        <v>12.6</v>
      </c>
      <c r="J9" s="55" t="n">
        <v>11.8</v>
      </c>
      <c r="K9" s="55" t="n">
        <v>13.7</v>
      </c>
      <c r="L9" s="55" t="n">
        <v>14.1</v>
      </c>
      <c r="M9" s="55" t="n">
        <v>14.5</v>
      </c>
      <c r="N9" s="55" t="n">
        <v>14.1</v>
      </c>
      <c r="O9" s="55" t="n">
        <v>14.4</v>
      </c>
      <c r="P9" s="55" t="n">
        <v>13.1</v>
      </c>
      <c r="Q9" s="55" t="n">
        <v>12.7</v>
      </c>
      <c r="R9" s="55" t="n">
        <v>13.7</v>
      </c>
      <c r="S9" s="55" t="n">
        <v>11.9</v>
      </c>
      <c r="T9" s="55" t="n">
        <v>9.7</v>
      </c>
      <c r="U9" s="55" t="n">
        <v>9.5</v>
      </c>
      <c r="V9" s="55" t="n">
        <v>8.1</v>
      </c>
      <c r="W9" s="55" t="n">
        <v>7.9</v>
      </c>
      <c r="X9" s="55" t="n">
        <v>7.6</v>
      </c>
      <c r="Y9" s="55" t="n">
        <v>8.6</v>
      </c>
      <c r="Z9" s="55" t="n">
        <v>10.2</v>
      </c>
      <c r="AA9" s="55" t="n">
        <v>9.8</v>
      </c>
      <c r="AB9" s="55" t="n">
        <v>8.3</v>
      </c>
      <c r="AC9" s="55" t="n">
        <v>9.1</v>
      </c>
      <c r="AD9" s="55" t="n">
        <v>7.9</v>
      </c>
      <c r="AE9" s="55" t="n">
        <v>6.2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>
      <c r="B10" s="18" t="s">
        <v>692</v>
      </c>
      <c r="C10" s="59" t="n">
        <v>7.1</v>
      </c>
      <c r="D10" s="60" t="n">
        <v>5.0</v>
      </c>
      <c r="E10" s="60" t="n">
        <v>3.0</v>
      </c>
      <c r="F10" s="59" t="n">
        <v>3.4</v>
      </c>
      <c r="G10" s="59" t="n">
        <v>3.8</v>
      </c>
      <c r="H10" s="60" t="n">
        <v>4.0</v>
      </c>
      <c r="I10" s="60" t="n">
        <v>3.0</v>
      </c>
      <c r="J10" s="59" t="n">
        <v>2.5</v>
      </c>
      <c r="K10" s="59" t="n">
        <v>2.5</v>
      </c>
      <c r="L10" s="59" t="n">
        <v>2.1</v>
      </c>
      <c r="M10" s="59" t="n">
        <v>2.3</v>
      </c>
      <c r="N10" s="59" t="n">
        <v>5.5</v>
      </c>
      <c r="O10" s="59" t="n">
        <v>3.8</v>
      </c>
      <c r="P10" s="59" t="n">
        <v>4.2</v>
      </c>
      <c r="Q10" s="59" t="n">
        <v>3.9</v>
      </c>
      <c r="R10" s="59" t="n">
        <v>3.1</v>
      </c>
      <c r="S10" s="59" t="n">
        <v>4.3</v>
      </c>
      <c r="T10" s="59" t="n">
        <v>3.2</v>
      </c>
      <c r="U10" s="60" t="n">
        <v>4.0</v>
      </c>
      <c r="V10" s="59" t="n">
        <v>4.5</v>
      </c>
      <c r="W10" s="59" t="n">
        <v>3.3</v>
      </c>
      <c r="X10" s="59" t="n">
        <v>2.4</v>
      </c>
      <c r="Y10" s="59" t="n">
        <v>1.8</v>
      </c>
      <c r="Z10" s="59" t="n">
        <v>1.2</v>
      </c>
      <c r="AA10" s="59" t="n">
        <v>2.3</v>
      </c>
      <c r="AB10" s="59" t="n">
        <v>2.8</v>
      </c>
      <c r="AC10" s="59" t="n">
        <v>2.8</v>
      </c>
      <c r="AD10" s="59" t="n">
        <v>1.5</v>
      </c>
      <c r="AE10" s="60" t="n">
        <v>4.0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>
      <c r="B11" s="18" t="s">
        <v>693</v>
      </c>
      <c r="C11" s="63" t="n">
        <v>12.8</v>
      </c>
      <c r="D11" s="63" t="n">
        <v>13.6</v>
      </c>
      <c r="E11" s="63" t="n">
        <v>11.2</v>
      </c>
      <c r="F11" s="64" t="n">
        <v>12.0</v>
      </c>
      <c r="G11" s="63" t="n">
        <v>12.7</v>
      </c>
      <c r="H11" s="63" t="n">
        <v>9.7</v>
      </c>
      <c r="I11" s="63" t="n">
        <v>11.7</v>
      </c>
      <c r="J11" s="63" t="n">
        <v>13.5</v>
      </c>
      <c r="K11" s="63" t="n">
        <v>11.6</v>
      </c>
      <c r="L11" s="63" t="n">
        <v>12.4</v>
      </c>
      <c r="M11" s="63" t="n">
        <v>13.3</v>
      </c>
      <c r="N11" s="63" t="n">
        <v>12.9</v>
      </c>
      <c r="O11" s="64" t="n">
        <v>13.0</v>
      </c>
      <c r="P11" s="63" t="n">
        <v>11.7</v>
      </c>
      <c r="Q11" s="63" t="n">
        <v>12.2</v>
      </c>
      <c r="R11" s="63" t="n">
        <v>12.8</v>
      </c>
      <c r="S11" s="63" t="n">
        <v>12.9</v>
      </c>
      <c r="T11" s="63" t="n">
        <v>13.9</v>
      </c>
      <c r="U11" s="63" t="n">
        <v>13.9</v>
      </c>
      <c r="V11" s="63" t="n">
        <v>12.1</v>
      </c>
      <c r="W11" s="63" t="n">
        <v>10.3</v>
      </c>
      <c r="X11" s="63" t="n">
        <v>8.5</v>
      </c>
      <c r="Y11" s="63" t="n">
        <v>8.1</v>
      </c>
      <c r="Z11" s="63" t="n">
        <v>8.2</v>
      </c>
      <c r="AA11" s="63" t="n">
        <v>7.5</v>
      </c>
      <c r="AB11" s="63" t="n">
        <v>8.3</v>
      </c>
      <c r="AC11" s="63" t="n">
        <v>9.4</v>
      </c>
      <c r="AD11" s="63" t="n">
        <v>10.5</v>
      </c>
      <c r="AE11" s="63" t="n">
        <v>10.2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8" t="s">
        <v>64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8" t="s">
        <v>65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8" t="s">
        <v>66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8" t="s">
        <v>67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8" t="s">
        <v>68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8" t="s">
        <v>69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8" t="s">
        <v>70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8" t="s">
        <v>71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8" t="s">
        <v>72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8" t="s">
        <v>171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8" t="s">
        <v>172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8" t="s">
        <v>173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8" t="s">
        <v>174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8" t="s">
        <v>175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8" t="s">
        <v>176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8" t="s">
        <v>177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8" t="s">
        <v>178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8" t="s">
        <v>179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8" t="s">
        <v>180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8" t="s">
        <v>181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8" t="s">
        <v>182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8" t="s">
        <v>183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8" t="s">
        <v>184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8" t="s">
        <v>185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8" t="s">
        <v>186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8" t="s">
        <v>187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8" t="s">
        <v>188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8" t="s">
        <v>189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8" t="s">
        <v>190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8" t="s">
        <v>191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8" t="s">
        <v>192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8" t="s">
        <v>193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8" t="s">
        <v>194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8" t="s">
        <v>195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8" t="s">
        <v>196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8" t="s">
        <v>197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8" t="s">
        <v>198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8" t="s">
        <v>199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8" t="s">
        <v>200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8" t="s">
        <v>201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8" t="s">
        <v>202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8" t="s">
        <v>203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8" t="s">
        <v>204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8" t="s">
        <v>205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8" t="s">
        <v>206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8" t="s">
        <v>207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8" t="s">
        <v>208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8" t="s">
        <v>209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8" t="s">
        <v>210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8" t="s">
        <v>211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8" t="s">
        <v>212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8" t="s">
        <v>213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8" t="s">
        <v>214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8" t="s">
        <v>215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8" t="s">
        <v>216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8" t="s">
        <v>217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8" t="s">
        <v>218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8" t="s">
        <v>219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8" t="s">
        <v>220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8" t="s">
        <v>221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8" t="s">
        <v>222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8" t="s">
        <v>223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8" t="s">
        <v>224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8" t="s">
        <v>225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8" t="s">
        <v>226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8" t="s">
        <v>227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8" t="s">
        <v>228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8" t="s">
        <v>229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8" t="s">
        <v>230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8" t="s">
        <v>231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8" t="s">
        <v>232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8" t="s">
        <v>233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8" t="s">
        <v>234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8" t="s">
        <v>235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8" t="s">
        <v>236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8" t="s">
        <v>237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8" t="s">
        <v>238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8" t="s">
        <v>239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8" t="s">
        <v>240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8" t="s">
        <v>241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8" t="s">
        <v>242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8" t="s">
        <v>243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8" t="s">
        <v>244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8" t="s">
        <v>245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8" t="s">
        <v>246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8" t="s">
        <v>247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8" t="s">
        <v>248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8" t="s">
        <v>249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8" t="s">
        <v>250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8" t="s">
        <v>251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8" t="s">
        <v>252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8" t="s">
        <v>253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8" t="s">
        <v>254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8" t="s">
        <v>255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8" t="s">
        <v>256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8" t="s">
        <v>257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8" t="s">
        <v>258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8" t="s">
        <v>259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8" t="s">
        <v>260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8" t="s">
        <v>261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8" t="s">
        <v>262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8" t="s">
        <v>263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8" t="s">
        <v>264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8" t="s">
        <v>265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8" t="s">
        <v>266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8" t="s">
        <v>267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8" t="s">
        <v>268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8" t="s">
        <v>269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8" t="s">
        <v>270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8" t="s">
        <v>271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8" t="s">
        <v>272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8" t="s">
        <v>273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8" t="s">
        <v>274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8" t="s">
        <v>275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8" t="s">
        <v>276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8" t="s">
        <v>277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8" t="s">
        <v>278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8" t="s">
        <v>279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8" t="s">
        <v>280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8" t="s">
        <v>281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8" t="s">
        <v>282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8" t="s">
        <v>283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8" t="s">
        <v>284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8" t="s">
        <v>285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8" t="s">
        <v>286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8" t="s">
        <v>287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8" t="s">
        <v>288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8" t="s">
        <v>289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8" t="s">
        <v>290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8" t="s">
        <v>291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8" t="s">
        <v>292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8" t="s">
        <v>293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8" t="s">
        <v>294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8" t="s">
        <v>295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8" t="s">
        <v>296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8" t="s">
        <v>297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8" t="s">
        <v>298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8" t="s">
        <v>299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8" t="s">
        <v>300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8" t="s">
        <v>301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8" t="s">
        <v>302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8" t="s">
        <v>303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8" t="s">
        <v>304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8" t="s">
        <v>305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8" t="s">
        <v>306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8" t="s">
        <v>307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8" t="s">
        <v>308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8" t="s">
        <v>309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8" t="s">
        <v>310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8" t="s">
        <v>311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8" t="s">
        <v>312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8" t="s">
        <v>313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8" t="s">
        <v>314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8" t="s">
        <v>315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8" t="s">
        <v>316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8" t="s">
        <v>317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8" t="s">
        <v>318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8" t="s">
        <v>319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8" t="s">
        <v>320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8" t="s">
        <v>321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8" t="s">
        <v>322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8" t="s">
        <v>323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8" t="s">
        <v>324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8" t="s">
        <v>325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8" t="s">
        <v>326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8" t="s">
        <v>327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8" t="s">
        <v>328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8" t="s">
        <v>329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8" t="s">
        <v>330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8" t="s">
        <v>331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8" t="s">
        <v>332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8" t="s">
        <v>333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8" t="s">
        <v>334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8" t="s">
        <v>335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8" t="s">
        <v>336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8" t="s">
        <v>337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8" t="s">
        <v>338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8" t="s">
        <v>339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8" t="s">
        <v>340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8" t="s">
        <v>341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8" t="s">
        <v>342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8" t="s">
        <v>343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8" t="s">
        <v>344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8" t="s">
        <v>345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8" t="s">
        <v>346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8" t="s">
        <v>347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8" t="s">
        <v>348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8" t="s">
        <v>349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8" t="s">
        <v>350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8" t="s">
        <v>351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8" t="s">
        <v>352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8" t="s">
        <v>353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8" t="s">
        <v>354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8" t="s">
        <v>355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8" t="s">
        <v>356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8" t="s">
        <v>357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8" t="s">
        <v>358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8" t="s">
        <v>359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8" t="s">
        <v>360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8" t="s">
        <v>361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8" t="s">
        <v>362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8" t="s">
        <v>363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8" t="s">
        <v>364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8" t="s">
        <v>365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8" t="s">
        <v>366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8" t="s">
        <v>367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8" t="s">
        <v>368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8" t="s">
        <v>369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8" t="s">
        <v>370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8" t="s">
        <v>371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8" t="s">
        <v>372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8" t="s">
        <v>373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8" t="s">
        <v>374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8" t="s">
        <v>375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8" t="s">
        <v>376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8" t="s">
        <v>377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8" t="s">
        <v>378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8" t="s">
        <v>379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8" t="s">
        <v>380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8" t="s">
        <v>381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8" t="s">
        <v>382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8" t="s">
        <v>383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8" t="s">
        <v>384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8" t="s">
        <v>385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8" t="s">
        <v>386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8" t="s">
        <v>387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8" t="s">
        <v>388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8" t="s">
        <v>389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8" t="s">
        <v>390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8" t="s">
        <v>391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8" t="s">
        <v>392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8" t="s">
        <v>393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8" t="s">
        <v>394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8" t="s">
        <v>395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8" t="s">
        <v>396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8" t="s">
        <v>397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8" t="s">
        <v>398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8" t="s">
        <v>399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8" t="s">
        <v>400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8" t="s">
        <v>401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8" t="s">
        <v>402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8" t="s">
        <v>403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8" t="s">
        <v>404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8" t="s">
        <v>405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 hidden="true">
      <c r="B256" s="18" t="s">
        <v>406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8" t="s">
        <v>407</v>
      </c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</row>
    <row r="258" spans="2:257" ht="16.5" customHeight="1" x14ac:dyDescent="0.15" hidden="true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 tint="0.39997558519241921"/>
  </sheetPr>
  <dimension ref="A1:M2"/>
  <sheetViews>
    <sheetView topLeftCell="C1" zoomScale="85" zoomScaleNormal="85" workbookViewId="0">
      <selection activeCell="C1" sqref="C1"/>
    </sheetView>
  </sheetViews>
  <sheetFormatPr defaultRowHeight="18.75" x14ac:dyDescent="0.15"/>
  <cols>
    <col min="1" max="2" customWidth="true" hidden="true" style="7" width="14.125" collapsed="false"/>
    <col min="3" max="3" customWidth="true" style="7" width="14.125" collapsed="false"/>
    <col min="4" max="4" customWidth="true" style="7" width="22.5" collapsed="false"/>
    <col min="5" max="5" customWidth="true" style="7" width="25.5" collapsed="false"/>
    <col min="6" max="6" customWidth="true" hidden="true" style="7" width="19.5" collapsed="false"/>
    <col min="7" max="7" customWidth="true" style="7" width="22.5" collapsed="false"/>
    <col min="8" max="8" customWidth="true" style="7" width="10.375" collapsed="false"/>
    <col min="9" max="9" customWidth="true" style="7" width="30.5" collapsed="false"/>
    <col min="10" max="10" customWidth="true" hidden="true" style="7" width="67.5" collapsed="false"/>
    <col min="11" max="11" bestFit="true" customWidth="true" style="7" width="14.5" collapsed="false"/>
    <col min="12" max="12" customWidth="true" style="7" width="7.0" collapsed="false"/>
    <col min="13" max="16384" style="7" width="9.0" collapsed="false"/>
  </cols>
  <sheetData>
    <row r="1" spans="1:12" s="4" customFormat="1" x14ac:dyDescent="0.15">
      <c r="A1" s="4" t="s">
        <v>700</v>
      </c>
      <c r="B1" s="4" t="s">
        <v>6</v>
      </c>
      <c r="C1" s="5" t="s">
        <v>0</v>
      </c>
      <c r="D1" s="5" t="s">
        <v>652</v>
      </c>
      <c r="E1" s="5" t="s">
        <v>653</v>
      </c>
      <c r="F1" s="6" t="s">
        <v>3</v>
      </c>
      <c r="G1" s="5" t="s">
        <v>1</v>
      </c>
      <c r="H1" s="5" t="s">
        <v>2</v>
      </c>
      <c r="I1" s="5" t="s">
        <v>4</v>
      </c>
      <c r="K1" s="5" t="s">
        <v>654</v>
      </c>
      <c r="L1" s="4" t="s">
        <v>655</v>
      </c>
    </row>
    <row r="2" spans="1:12" x14ac:dyDescent="0.15">
      <c r="A2" s="7" t="str">
        <f>C2&amp;"（"&amp;E2&amp;"）"</f>
        <v>障害高齢者自立度の状況（北塩原村）</v>
      </c>
      <c r="B2" s="7" t="str">
        <f>"（注目する地域）" &amp; E2</f>
        <v>（注目する地域）北塩原村</v>
      </c>
      <c r="C2" s="8" t="s">
        <v>694</v>
      </c>
      <c r="D2" s="8" t="s">
        <v>695</v>
      </c>
      <c r="E2" s="8" t="s">
        <v>696</v>
      </c>
      <c r="F2" s="8" t="str">
        <f>G2 &amp; "（" &amp; H2 &amp; "）"</f>
        <v>各障害高齢者自立度の占める割合（%）</v>
      </c>
      <c r="G2" s="8" t="s">
        <v>697</v>
      </c>
      <c r="H2" s="8" t="s">
        <v>698</v>
      </c>
      <c r="I2" s="8" t="s">
        <v>699</v>
      </c>
      <c r="J2" s="7" t="str">
        <f>"（出典）" &amp; I2</f>
        <v>（出典）厚生労働省「介護保険総合データベース」（令和8年8月10日時点データにて集計）　※本指標は自治体向けのため取り扱いに注意してください。</v>
      </c>
      <c r="K2" s="8"/>
      <c r="L2" s="7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IZ27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5" max="33" customWidth="true" style="3" width="14.625" collapsed="true"/>
    <col min="1" max="1" customWidth="true" style="3" width="9.0" collapsed="false"/>
    <col min="2" max="2" customWidth="true" style="13" width="10.03515625" collapsed="false" bestFit="true"/>
    <col min="3" max="3" customWidth="true" style="13" width="38.63671875" collapsed="false" bestFit="true"/>
    <col min="4" max="4" customWidth="true" style="13" width="7.90625" collapsed="false" bestFit="true"/>
    <col min="34" max="34" customWidth="true" style="3" width="14.625" collapsed="false" hidden="true"/>
    <col min="101" max="101" style="3" width="14.625" collapsed="false" hidden="true"/>
  </cols>
  <sheetData>
    <row r="1">
      <c r="A1" t="s">
        <v>701</v>
      </c>
    </row>
    <row r="2" spans="2:259" s="13" customFormat="1" x14ac:dyDescent="0.15">
      <c r="B2" s="11"/>
      <c r="C2" s="11"/>
      <c r="D2" s="11"/>
      <c r="E2" s="69" t="s">
        <v>656</v>
      </c>
      <c r="F2" s="69" t="s">
        <v>657</v>
      </c>
      <c r="G2" s="69" t="s">
        <v>658</v>
      </c>
      <c r="H2" s="69" t="s">
        <v>659</v>
      </c>
      <c r="I2" s="69" t="s">
        <v>660</v>
      </c>
      <c r="J2" s="69" t="s">
        <v>661</v>
      </c>
      <c r="K2" s="69" t="s">
        <v>662</v>
      </c>
      <c r="L2" s="69" t="s">
        <v>663</v>
      </c>
      <c r="M2" s="69" t="s">
        <v>664</v>
      </c>
      <c r="N2" s="69" t="s">
        <v>665</v>
      </c>
      <c r="O2" s="69" t="s">
        <v>666</v>
      </c>
      <c r="P2" s="69" t="s">
        <v>667</v>
      </c>
      <c r="Q2" s="69" t="s">
        <v>668</v>
      </c>
      <c r="R2" s="69" t="s">
        <v>669</v>
      </c>
      <c r="S2" s="69" t="s">
        <v>670</v>
      </c>
      <c r="T2" s="69" t="s">
        <v>671</v>
      </c>
      <c r="U2" s="69" t="s">
        <v>672</v>
      </c>
      <c r="V2" s="69" t="s">
        <v>673</v>
      </c>
      <c r="W2" s="69" t="s">
        <v>674</v>
      </c>
      <c r="X2" s="69" t="s">
        <v>675</v>
      </c>
      <c r="Y2" s="69" t="s">
        <v>676</v>
      </c>
      <c r="Z2" s="69" t="s">
        <v>677</v>
      </c>
      <c r="AA2" s="69" t="s">
        <v>678</v>
      </c>
      <c r="AB2" s="69" t="s">
        <v>679</v>
      </c>
      <c r="AC2" s="69" t="s">
        <v>680</v>
      </c>
      <c r="AD2" s="69" t="s">
        <v>681</v>
      </c>
      <c r="AE2" s="69" t="s">
        <v>682</v>
      </c>
      <c r="AF2" s="69" t="s">
        <v>683</v>
      </c>
      <c r="AG2" s="69" t="s">
        <v>684</v>
      </c>
      <c r="AH2" s="12" t="s">
        <v>437</v>
      </c>
      <c r="AI2" s="12" t="s">
        <v>438</v>
      </c>
      <c r="AJ2" s="12" t="s">
        <v>439</v>
      </c>
      <c r="AK2" s="12" t="s">
        <v>440</v>
      </c>
      <c r="AL2" s="12" t="s">
        <v>441</v>
      </c>
      <c r="AM2" s="12" t="s">
        <v>442</v>
      </c>
      <c r="AN2" s="12" t="s">
        <v>443</v>
      </c>
      <c r="AO2" s="12" t="s">
        <v>444</v>
      </c>
      <c r="AP2" s="12" t="s">
        <v>445</v>
      </c>
      <c r="AQ2" s="12" t="s">
        <v>446</v>
      </c>
      <c r="AR2" s="12" t="s">
        <v>447</v>
      </c>
      <c r="AS2" s="12" t="s">
        <v>448</v>
      </c>
      <c r="AT2" s="12" t="s">
        <v>449</v>
      </c>
      <c r="AU2" s="12" t="s">
        <v>450</v>
      </c>
      <c r="AV2" s="12" t="s">
        <v>451</v>
      </c>
      <c r="AW2" s="12" t="s">
        <v>452</v>
      </c>
      <c r="AX2" s="12" t="s">
        <v>453</v>
      </c>
      <c r="AY2" s="12" t="s">
        <v>454</v>
      </c>
      <c r="AZ2" s="12" t="s">
        <v>455</v>
      </c>
      <c r="BA2" s="12" t="s">
        <v>456</v>
      </c>
      <c r="BB2" s="12" t="s">
        <v>457</v>
      </c>
      <c r="BC2" s="12" t="s">
        <v>458</v>
      </c>
      <c r="BD2" s="12" t="s">
        <v>459</v>
      </c>
      <c r="BE2" s="12" t="s">
        <v>460</v>
      </c>
      <c r="BF2" s="12" t="s">
        <v>461</v>
      </c>
      <c r="BG2" s="12" t="s">
        <v>462</v>
      </c>
      <c r="BH2" s="12" t="s">
        <v>463</v>
      </c>
      <c r="BI2" s="12" t="s">
        <v>464</v>
      </c>
      <c r="BJ2" s="12" t="s">
        <v>465</v>
      </c>
      <c r="BK2" s="12" t="s">
        <v>466</v>
      </c>
      <c r="BL2" s="12" t="s">
        <v>467</v>
      </c>
      <c r="BM2" s="12" t="s">
        <v>468</v>
      </c>
      <c r="BN2" s="12" t="s">
        <v>469</v>
      </c>
      <c r="BO2" s="12" t="s">
        <v>470</v>
      </c>
      <c r="BP2" s="12" t="s">
        <v>471</v>
      </c>
      <c r="BQ2" s="12" t="s">
        <v>472</v>
      </c>
      <c r="BR2" s="12" t="s">
        <v>473</v>
      </c>
      <c r="BS2" s="12" t="s">
        <v>474</v>
      </c>
      <c r="BT2" s="12" t="s">
        <v>475</v>
      </c>
      <c r="BU2" s="12" t="s">
        <v>476</v>
      </c>
      <c r="BV2" s="12" t="s">
        <v>477</v>
      </c>
      <c r="BW2" s="12" t="s">
        <v>478</v>
      </c>
      <c r="BX2" s="12" t="s">
        <v>479</v>
      </c>
      <c r="BY2" s="12" t="s">
        <v>480</v>
      </c>
      <c r="BZ2" s="12" t="s">
        <v>481</v>
      </c>
      <c r="CA2" s="12" t="s">
        <v>482</v>
      </c>
      <c r="CB2" s="12" t="s">
        <v>483</v>
      </c>
      <c r="CC2" s="12" t="s">
        <v>484</v>
      </c>
      <c r="CD2" s="12" t="s">
        <v>485</v>
      </c>
      <c r="CE2" s="12" t="s">
        <v>486</v>
      </c>
      <c r="CF2" s="12" t="s">
        <v>487</v>
      </c>
      <c r="CG2" s="12" t="s">
        <v>488</v>
      </c>
      <c r="CH2" s="12" t="s">
        <v>489</v>
      </c>
      <c r="CI2" s="12" t="s">
        <v>490</v>
      </c>
      <c r="CJ2" s="12" t="s">
        <v>491</v>
      </c>
      <c r="CK2" s="12" t="s">
        <v>492</v>
      </c>
      <c r="CL2" s="12" t="s">
        <v>493</v>
      </c>
      <c r="CM2" s="12" t="s">
        <v>494</v>
      </c>
      <c r="CN2" s="12" t="s">
        <v>495</v>
      </c>
      <c r="CO2" s="12" t="s">
        <v>496</v>
      </c>
      <c r="CP2" s="12" t="s">
        <v>497</v>
      </c>
      <c r="CQ2" s="12" t="s">
        <v>498</v>
      </c>
      <c r="CR2" s="12" t="s">
        <v>499</v>
      </c>
      <c r="CS2" s="12" t="s">
        <v>500</v>
      </c>
      <c r="CT2" s="12" t="s">
        <v>501</v>
      </c>
      <c r="CU2" s="12" t="s">
        <v>502</v>
      </c>
      <c r="CV2" s="12" t="s">
        <v>503</v>
      </c>
      <c r="CW2" s="12" t="s">
        <v>504</v>
      </c>
      <c r="CX2" s="12" t="s">
        <v>505</v>
      </c>
      <c r="CY2" s="12" t="s">
        <v>506</v>
      </c>
      <c r="CZ2" s="12" t="s">
        <v>507</v>
      </c>
      <c r="DA2" s="12" t="s">
        <v>508</v>
      </c>
      <c r="DB2" s="12" t="s">
        <v>509</v>
      </c>
      <c r="DC2" s="12" t="s">
        <v>510</v>
      </c>
      <c r="DD2" s="12" t="s">
        <v>511</v>
      </c>
      <c r="DE2" s="12" t="s">
        <v>512</v>
      </c>
      <c r="DF2" s="12" t="s">
        <v>513</v>
      </c>
      <c r="DG2" s="12" t="s">
        <v>514</v>
      </c>
      <c r="DH2" s="12" t="s">
        <v>515</v>
      </c>
      <c r="DI2" s="12" t="s">
        <v>516</v>
      </c>
      <c r="DJ2" s="12" t="s">
        <v>517</v>
      </c>
      <c r="DK2" s="12" t="s">
        <v>518</v>
      </c>
      <c r="DL2" s="12" t="s">
        <v>519</v>
      </c>
      <c r="DM2" s="12" t="s">
        <v>520</v>
      </c>
      <c r="DN2" s="12" t="s">
        <v>521</v>
      </c>
      <c r="DO2" s="12" t="s">
        <v>522</v>
      </c>
      <c r="DP2" s="12" t="s">
        <v>523</v>
      </c>
      <c r="DQ2" s="12" t="s">
        <v>524</v>
      </c>
      <c r="DR2" s="12" t="s">
        <v>142</v>
      </c>
      <c r="DS2" s="12" t="s">
        <v>143</v>
      </c>
      <c r="DT2" s="12" t="s">
        <v>144</v>
      </c>
      <c r="DU2" s="12" t="s">
        <v>145</v>
      </c>
      <c r="DV2" s="12" t="s">
        <v>146</v>
      </c>
      <c r="DW2" s="12" t="s">
        <v>147</v>
      </c>
      <c r="DX2" s="12" t="s">
        <v>148</v>
      </c>
      <c r="DY2" s="12" t="s">
        <v>149</v>
      </c>
      <c r="DZ2" s="12" t="s">
        <v>150</v>
      </c>
      <c r="EA2" s="12" t="s">
        <v>151</v>
      </c>
      <c r="EB2" s="12" t="s">
        <v>152</v>
      </c>
      <c r="EC2" s="12" t="s">
        <v>525</v>
      </c>
      <c r="ED2" s="12" t="s">
        <v>526</v>
      </c>
      <c r="EE2" s="12" t="s">
        <v>527</v>
      </c>
      <c r="EF2" s="12" t="s">
        <v>528</v>
      </c>
      <c r="EG2" s="12" t="s">
        <v>529</v>
      </c>
      <c r="EH2" s="12" t="s">
        <v>530</v>
      </c>
      <c r="EI2" s="12" t="s">
        <v>531</v>
      </c>
      <c r="EJ2" s="12" t="s">
        <v>532</v>
      </c>
      <c r="EK2" s="12" t="s">
        <v>533</v>
      </c>
      <c r="EL2" s="12" t="s">
        <v>534</v>
      </c>
      <c r="EM2" s="12" t="s">
        <v>535</v>
      </c>
      <c r="EN2" s="12" t="s">
        <v>536</v>
      </c>
      <c r="EO2" s="12" t="s">
        <v>537</v>
      </c>
      <c r="EP2" s="12" t="s">
        <v>538</v>
      </c>
      <c r="EQ2" s="12" t="s">
        <v>539</v>
      </c>
      <c r="ER2" s="12" t="s">
        <v>540</v>
      </c>
      <c r="ES2" s="12" t="s">
        <v>541</v>
      </c>
      <c r="ET2" s="12" t="s">
        <v>542</v>
      </c>
      <c r="EU2" s="12" t="s">
        <v>543</v>
      </c>
      <c r="EV2" s="12" t="s">
        <v>544</v>
      </c>
      <c r="EW2" s="12" t="s">
        <v>545</v>
      </c>
      <c r="EX2" s="12" t="s">
        <v>546</v>
      </c>
      <c r="EY2" s="12" t="s">
        <v>547</v>
      </c>
      <c r="EZ2" s="12" t="s">
        <v>548</v>
      </c>
      <c r="FA2" s="12" t="s">
        <v>549</v>
      </c>
      <c r="FB2" s="12" t="s">
        <v>550</v>
      </c>
      <c r="FC2" s="12" t="s">
        <v>551</v>
      </c>
      <c r="FD2" s="12" t="s">
        <v>552</v>
      </c>
      <c r="FE2" s="12" t="s">
        <v>553</v>
      </c>
      <c r="FF2" s="12" t="s">
        <v>554</v>
      </c>
      <c r="FG2" s="12" t="s">
        <v>555</v>
      </c>
      <c r="FH2" s="12" t="s">
        <v>556</v>
      </c>
      <c r="FI2" s="12" t="s">
        <v>557</v>
      </c>
      <c r="FJ2" s="12" t="s">
        <v>558</v>
      </c>
      <c r="FK2" s="12" t="s">
        <v>559</v>
      </c>
      <c r="FL2" s="12" t="s">
        <v>560</v>
      </c>
      <c r="FM2" s="12" t="s">
        <v>561</v>
      </c>
      <c r="FN2" s="12" t="s">
        <v>562</v>
      </c>
      <c r="FO2" s="12" t="s">
        <v>563</v>
      </c>
      <c r="FP2" s="12" t="s">
        <v>564</v>
      </c>
      <c r="FQ2" s="12" t="s">
        <v>565</v>
      </c>
      <c r="FR2" s="12" t="s">
        <v>566</v>
      </c>
      <c r="FS2" s="12" t="s">
        <v>567</v>
      </c>
      <c r="FT2" s="12" t="s">
        <v>568</v>
      </c>
      <c r="FU2" s="12" t="s">
        <v>569</v>
      </c>
      <c r="FV2" s="12" t="s">
        <v>570</v>
      </c>
      <c r="FW2" s="12" t="s">
        <v>571</v>
      </c>
      <c r="FX2" s="12" t="s">
        <v>572</v>
      </c>
      <c r="FY2" s="12" t="s">
        <v>573</v>
      </c>
      <c r="FZ2" s="12" t="s">
        <v>574</v>
      </c>
      <c r="GA2" s="12" t="s">
        <v>575</v>
      </c>
      <c r="GB2" s="12" t="s">
        <v>576</v>
      </c>
      <c r="GC2" s="12" t="s">
        <v>577</v>
      </c>
      <c r="GD2" s="12" t="s">
        <v>578</v>
      </c>
      <c r="GE2" s="12" t="s">
        <v>579</v>
      </c>
      <c r="GF2" s="12" t="s">
        <v>580</v>
      </c>
      <c r="GG2" s="12" t="s">
        <v>581</v>
      </c>
      <c r="GH2" s="12" t="s">
        <v>582</v>
      </c>
      <c r="GI2" s="12" t="s">
        <v>583</v>
      </c>
      <c r="GJ2" s="12" t="s">
        <v>584</v>
      </c>
      <c r="GK2" s="12" t="s">
        <v>585</v>
      </c>
      <c r="GL2" s="12" t="s">
        <v>586</v>
      </c>
      <c r="GM2" s="12" t="s">
        <v>587</v>
      </c>
      <c r="GN2" s="12" t="s">
        <v>588</v>
      </c>
      <c r="GO2" s="12" t="s">
        <v>589</v>
      </c>
      <c r="GP2" s="12" t="s">
        <v>590</v>
      </c>
      <c r="GQ2" s="12" t="s">
        <v>591</v>
      </c>
      <c r="GR2" s="12" t="s">
        <v>592</v>
      </c>
      <c r="GS2" s="12" t="s">
        <v>593</v>
      </c>
      <c r="GT2" s="12" t="s">
        <v>594</v>
      </c>
      <c r="GU2" s="12" t="s">
        <v>595</v>
      </c>
      <c r="GV2" s="12" t="s">
        <v>596</v>
      </c>
      <c r="GW2" s="12" t="s">
        <v>597</v>
      </c>
      <c r="GX2" s="12" t="s">
        <v>598</v>
      </c>
      <c r="GY2" s="12" t="s">
        <v>599</v>
      </c>
      <c r="GZ2" s="12" t="s">
        <v>600</v>
      </c>
      <c r="HA2" s="12" t="s">
        <v>601</v>
      </c>
      <c r="HB2" s="12" t="s">
        <v>602</v>
      </c>
      <c r="HC2" s="12" t="s">
        <v>603</v>
      </c>
      <c r="HD2" s="12" t="s">
        <v>604</v>
      </c>
      <c r="HE2" s="12" t="s">
        <v>605</v>
      </c>
      <c r="HF2" s="12" t="s">
        <v>606</v>
      </c>
      <c r="HG2" s="12" t="s">
        <v>607</v>
      </c>
      <c r="HH2" s="12" t="s">
        <v>608</v>
      </c>
      <c r="HI2" s="12" t="s">
        <v>609</v>
      </c>
      <c r="HJ2" s="12" t="s">
        <v>610</v>
      </c>
      <c r="HK2" s="12" t="s">
        <v>611</v>
      </c>
      <c r="HL2" s="12" t="s">
        <v>612</v>
      </c>
      <c r="HM2" s="12" t="s">
        <v>613</v>
      </c>
      <c r="HN2" s="12" t="s">
        <v>614</v>
      </c>
      <c r="HO2" s="12" t="s">
        <v>615</v>
      </c>
      <c r="HP2" s="12" t="s">
        <v>616</v>
      </c>
      <c r="HQ2" s="12" t="s">
        <v>617</v>
      </c>
      <c r="HR2" s="12" t="s">
        <v>618</v>
      </c>
      <c r="HS2" s="12" t="s">
        <v>619</v>
      </c>
      <c r="HT2" s="12" t="s">
        <v>620</v>
      </c>
      <c r="HU2" s="12" t="s">
        <v>621</v>
      </c>
      <c r="HV2" s="12" t="s">
        <v>622</v>
      </c>
      <c r="HW2" s="12" t="s">
        <v>623</v>
      </c>
      <c r="HX2" s="12" t="s">
        <v>624</v>
      </c>
      <c r="HY2" s="12" t="s">
        <v>625</v>
      </c>
      <c r="HZ2" s="12" t="s">
        <v>626</v>
      </c>
      <c r="IA2" s="12" t="s">
        <v>627</v>
      </c>
      <c r="IB2" s="12" t="s">
        <v>628</v>
      </c>
      <c r="IC2" s="12" t="s">
        <v>629</v>
      </c>
      <c r="ID2" s="12" t="s">
        <v>630</v>
      </c>
      <c r="IE2" s="12" t="s">
        <v>631</v>
      </c>
      <c r="IF2" s="12" t="s">
        <v>632</v>
      </c>
      <c r="IG2" s="12" t="s">
        <v>633</v>
      </c>
      <c r="IH2" s="12" t="s">
        <v>634</v>
      </c>
      <c r="II2" s="12" t="s">
        <v>635</v>
      </c>
      <c r="IJ2" s="12" t="s">
        <v>636</v>
      </c>
      <c r="IK2" s="12" t="s">
        <v>637</v>
      </c>
      <c r="IL2" s="12" t="s">
        <v>638</v>
      </c>
      <c r="IM2" s="12" t="s">
        <v>639</v>
      </c>
      <c r="IN2" s="12" t="s">
        <v>640</v>
      </c>
      <c r="IO2" s="12" t="s">
        <v>641</v>
      </c>
      <c r="IP2" s="12" t="s">
        <v>642</v>
      </c>
      <c r="IQ2" s="12" t="s">
        <v>643</v>
      </c>
      <c r="IR2" s="12" t="s">
        <v>644</v>
      </c>
      <c r="IS2" s="12" t="s">
        <v>645</v>
      </c>
      <c r="IT2" s="12" t="s">
        <v>646</v>
      </c>
      <c r="IU2" s="12" t="s">
        <v>647</v>
      </c>
      <c r="IV2" s="12" t="s">
        <v>648</v>
      </c>
      <c r="IW2" s="12" t="s">
        <v>649</v>
      </c>
      <c r="IX2" s="12" t="s">
        <v>650</v>
      </c>
      <c r="IY2" s="12" t="s">
        <v>651</v>
      </c>
    </row>
    <row r="3" spans="2:259" x14ac:dyDescent="0.15">
      <c r="B3" s="16" t="s">
        <v>696</v>
      </c>
      <c r="C3" s="16" t="s">
        <v>702</v>
      </c>
      <c r="D3" s="12" t="s">
        <v>703</v>
      </c>
      <c r="E3" s="71" t="n">
        <v>0.5</v>
      </c>
      <c r="F3" s="71" t="n">
        <v>0.0</v>
      </c>
      <c r="G3" s="71" t="n">
        <v>0.4</v>
      </c>
      <c r="H3" s="71" t="n">
        <v>0.5</v>
      </c>
      <c r="I3" s="71" t="n">
        <v>0.0</v>
      </c>
      <c r="J3" s="71" t="n">
        <v>0.4</v>
      </c>
      <c r="K3" s="71" t="n">
        <v>0.9</v>
      </c>
      <c r="L3" s="71" t="n">
        <v>0.8</v>
      </c>
      <c r="M3" s="71" t="n">
        <v>0.8</v>
      </c>
      <c r="N3" s="71" t="n">
        <v>0.9</v>
      </c>
      <c r="O3" s="71" t="n">
        <v>1.2</v>
      </c>
      <c r="P3" s="71" t="n">
        <v>0.0</v>
      </c>
      <c r="Q3" s="71" t="n">
        <v>0.5</v>
      </c>
      <c r="R3" s="71" t="n">
        <v>0.5</v>
      </c>
      <c r="S3" s="71" t="n">
        <v>0.4</v>
      </c>
      <c r="T3" s="71" t="n">
        <v>0.9</v>
      </c>
      <c r="U3" s="71" t="n">
        <v>0.5</v>
      </c>
      <c r="V3" s="71" t="n">
        <v>0.5</v>
      </c>
      <c r="W3" s="71" t="n">
        <v>0.5</v>
      </c>
      <c r="X3" s="71" t="n">
        <v>1.5</v>
      </c>
      <c r="Y3" s="71" t="n">
        <v>2.8</v>
      </c>
      <c r="Z3" s="71" t="n">
        <v>1.9</v>
      </c>
      <c r="AA3" s="71" t="n">
        <v>3.2</v>
      </c>
      <c r="AB3" s="71" t="n">
        <v>3.7</v>
      </c>
      <c r="AC3" s="71" t="n">
        <v>3.0</v>
      </c>
      <c r="AD3" s="71" t="n">
        <v>3.2</v>
      </c>
      <c r="AE3" s="71" t="n">
        <v>3.5</v>
      </c>
      <c r="AF3" s="71" t="n">
        <v>4.5</v>
      </c>
      <c r="AG3" s="71" t="n">
        <v>5.1</v>
      </c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</row>
    <row r="4" spans="2:259" x14ac:dyDescent="0.15">
      <c r="B4" s="16" t="s">
        <v>696</v>
      </c>
      <c r="C4" s="16" t="s">
        <v>704</v>
      </c>
      <c r="D4" s="12" t="s">
        <v>703</v>
      </c>
      <c r="E4" s="75" t="n">
        <v>3.8</v>
      </c>
      <c r="F4" s="75" t="n">
        <v>5.9</v>
      </c>
      <c r="G4" s="75" t="n">
        <v>5.2</v>
      </c>
      <c r="H4" s="75" t="n">
        <v>6.7</v>
      </c>
      <c r="I4" s="75" t="n">
        <v>8.5</v>
      </c>
      <c r="J4" s="75" t="n">
        <v>7.5</v>
      </c>
      <c r="K4" s="75" t="n">
        <v>7.8</v>
      </c>
      <c r="L4" s="75" t="n">
        <v>8.9</v>
      </c>
      <c r="M4" s="75" t="n">
        <v>5.0</v>
      </c>
      <c r="N4" s="75" t="n">
        <v>6.0</v>
      </c>
      <c r="O4" s="75" t="n">
        <v>6.9</v>
      </c>
      <c r="P4" s="75" t="n">
        <v>4.9</v>
      </c>
      <c r="Q4" s="75" t="n">
        <v>4.8</v>
      </c>
      <c r="R4" s="75" t="n">
        <v>6.1</v>
      </c>
      <c r="S4" s="75" t="n">
        <v>6.1</v>
      </c>
      <c r="T4" s="75" t="n">
        <v>6.2</v>
      </c>
      <c r="U4" s="75" t="n">
        <v>8.1</v>
      </c>
      <c r="V4" s="75" t="n">
        <v>7.9</v>
      </c>
      <c r="W4" s="75" t="n">
        <v>8.0</v>
      </c>
      <c r="X4" s="75" t="n">
        <v>6.1</v>
      </c>
      <c r="Y4" s="75" t="n">
        <v>6.1</v>
      </c>
      <c r="Z4" s="75" t="n">
        <v>6.6</v>
      </c>
      <c r="AA4" s="75" t="n">
        <v>7.2</v>
      </c>
      <c r="AB4" s="75" t="n">
        <v>8.6</v>
      </c>
      <c r="AC4" s="75" t="n">
        <v>8.6</v>
      </c>
      <c r="AD4" s="75" t="n">
        <v>9.9</v>
      </c>
      <c r="AE4" s="75" t="n">
        <v>10.6</v>
      </c>
      <c r="AF4" s="75" t="n">
        <v>9.7</v>
      </c>
      <c r="AG4" s="75" t="n">
        <v>9.5</v>
      </c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</row>
    <row r="5" spans="2:259" x14ac:dyDescent="0.15">
      <c r="B5" s="16" t="s">
        <v>696</v>
      </c>
      <c r="C5" s="16" t="s">
        <v>705</v>
      </c>
      <c r="D5" s="12" t="s">
        <v>703</v>
      </c>
      <c r="E5" s="79" t="n">
        <v>11.4</v>
      </c>
      <c r="F5" s="79" t="n">
        <v>10.9</v>
      </c>
      <c r="G5" s="79" t="n">
        <v>11.2</v>
      </c>
      <c r="H5" s="79" t="n">
        <v>11.5</v>
      </c>
      <c r="I5" s="79" t="n">
        <v>12.7</v>
      </c>
      <c r="J5" s="79" t="n">
        <v>13.7</v>
      </c>
      <c r="K5" s="79" t="n">
        <v>13.9</v>
      </c>
      <c r="L5" s="79" t="n">
        <v>15.2</v>
      </c>
      <c r="M5" s="79" t="n">
        <v>16.6</v>
      </c>
      <c r="N5" s="79" t="n">
        <v>13.2</v>
      </c>
      <c r="O5" s="79" t="n">
        <v>13.9</v>
      </c>
      <c r="P5" s="79" t="n">
        <v>19.6</v>
      </c>
      <c r="Q5" s="79" t="n">
        <v>17.8</v>
      </c>
      <c r="R5" s="79" t="n">
        <v>18.7</v>
      </c>
      <c r="S5" s="79" t="n">
        <v>17.0</v>
      </c>
      <c r="T5" s="79" t="n">
        <v>13.3</v>
      </c>
      <c r="U5" s="79" t="n">
        <v>15.2</v>
      </c>
      <c r="V5" s="79" t="n">
        <v>15.7</v>
      </c>
      <c r="W5" s="79" t="n">
        <v>14.4</v>
      </c>
      <c r="X5" s="79" t="n">
        <v>17.2</v>
      </c>
      <c r="Y5" s="79" t="n">
        <v>20.1</v>
      </c>
      <c r="Z5" s="79" t="n">
        <v>22.7</v>
      </c>
      <c r="AA5" s="79" t="n">
        <v>21.2</v>
      </c>
      <c r="AB5" s="79" t="n">
        <v>19.7</v>
      </c>
      <c r="AC5" s="79" t="n">
        <v>19.2</v>
      </c>
      <c r="AD5" s="79" t="n">
        <v>15.4</v>
      </c>
      <c r="AE5" s="79" t="n">
        <v>12.6</v>
      </c>
      <c r="AF5" s="79" t="n">
        <v>13.1</v>
      </c>
      <c r="AG5" s="79" t="n">
        <v>13.1</v>
      </c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</row>
    <row r="6" spans="2:259" x14ac:dyDescent="0.15">
      <c r="B6" s="16" t="s">
        <v>696</v>
      </c>
      <c r="C6" s="16" t="s">
        <v>706</v>
      </c>
      <c r="D6" s="12" t="s">
        <v>703</v>
      </c>
      <c r="E6" s="83" t="n">
        <v>21.8</v>
      </c>
      <c r="F6" s="83" t="n">
        <v>20.9</v>
      </c>
      <c r="G6" s="83" t="n">
        <v>19.8</v>
      </c>
      <c r="H6" s="83" t="n">
        <v>17.8</v>
      </c>
      <c r="I6" s="83" t="n">
        <v>20.3</v>
      </c>
      <c r="J6" s="83" t="n">
        <v>21.1</v>
      </c>
      <c r="K6" s="83" t="n">
        <v>16.5</v>
      </c>
      <c r="L6" s="83" t="n">
        <v>13.9</v>
      </c>
      <c r="M6" s="83" t="n">
        <v>18.3</v>
      </c>
      <c r="N6" s="83" t="n">
        <v>20.5</v>
      </c>
      <c r="O6" s="83" t="n">
        <v>18.5</v>
      </c>
      <c r="P6" s="83" t="n">
        <v>20.9</v>
      </c>
      <c r="Q6" s="83" t="n">
        <v>21.2</v>
      </c>
      <c r="R6" s="83" t="n">
        <v>20.1</v>
      </c>
      <c r="S6" s="83" t="n">
        <v>21.0</v>
      </c>
      <c r="T6" s="83" t="n">
        <v>21.2</v>
      </c>
      <c r="U6" s="83" t="n">
        <v>21.9</v>
      </c>
      <c r="V6" s="83" t="n">
        <v>21.8</v>
      </c>
      <c r="W6" s="83" t="n">
        <v>23.4</v>
      </c>
      <c r="X6" s="83" t="n">
        <v>27.3</v>
      </c>
      <c r="Y6" s="83" t="n">
        <v>25.7</v>
      </c>
      <c r="Z6" s="83" t="n">
        <v>27.5</v>
      </c>
      <c r="AA6" s="83" t="n">
        <v>27.0</v>
      </c>
      <c r="AB6" s="83" t="n">
        <v>27.0</v>
      </c>
      <c r="AC6" s="83" t="n">
        <v>26.3</v>
      </c>
      <c r="AD6" s="83" t="n">
        <v>27.3</v>
      </c>
      <c r="AE6" s="83" t="n">
        <v>27.2</v>
      </c>
      <c r="AF6" s="83" t="n">
        <v>28.5</v>
      </c>
      <c r="AG6" s="83" t="n">
        <v>28.4</v>
      </c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</row>
    <row r="7" spans="2:259" x14ac:dyDescent="0.15">
      <c r="B7" s="16" t="s">
        <v>696</v>
      </c>
      <c r="C7" s="16" t="s">
        <v>707</v>
      </c>
      <c r="D7" s="12" t="s">
        <v>703</v>
      </c>
      <c r="E7" s="87" t="n">
        <v>26.1</v>
      </c>
      <c r="F7" s="87" t="n">
        <v>22.3</v>
      </c>
      <c r="G7" s="87" t="n">
        <v>24.6</v>
      </c>
      <c r="H7" s="87" t="n">
        <v>21.6</v>
      </c>
      <c r="I7" s="87" t="n">
        <v>16.5</v>
      </c>
      <c r="J7" s="87" t="n">
        <v>17.2</v>
      </c>
      <c r="K7" s="87" t="n">
        <v>20.4</v>
      </c>
      <c r="L7" s="87" t="n">
        <v>22.4</v>
      </c>
      <c r="M7" s="87" t="n">
        <v>21.6</v>
      </c>
      <c r="N7" s="87" t="n">
        <v>19.7</v>
      </c>
      <c r="O7" s="87" t="n">
        <v>17.3</v>
      </c>
      <c r="P7" s="87" t="n">
        <v>14.7</v>
      </c>
      <c r="Q7" s="87" t="n">
        <v>17.3</v>
      </c>
      <c r="R7" s="87" t="n">
        <v>17.8</v>
      </c>
      <c r="S7" s="87" t="n">
        <v>19.2</v>
      </c>
      <c r="T7" s="87" t="n">
        <v>20.8</v>
      </c>
      <c r="U7" s="87" t="n">
        <v>19.0</v>
      </c>
      <c r="V7" s="87" t="n">
        <v>20.8</v>
      </c>
      <c r="W7" s="87" t="n">
        <v>19.9</v>
      </c>
      <c r="X7" s="87" t="n">
        <v>16.7</v>
      </c>
      <c r="Y7" s="87" t="n">
        <v>17.3</v>
      </c>
      <c r="Z7" s="87" t="n">
        <v>16.1</v>
      </c>
      <c r="AA7" s="87" t="n">
        <v>16.7</v>
      </c>
      <c r="AB7" s="87" t="n">
        <v>16.0</v>
      </c>
      <c r="AC7" s="87" t="n">
        <v>16.2</v>
      </c>
      <c r="AD7" s="87" t="n">
        <v>17.0</v>
      </c>
      <c r="AE7" s="87" t="n">
        <v>16.9</v>
      </c>
      <c r="AF7" s="87" t="n">
        <v>16.9</v>
      </c>
      <c r="AG7" s="87" t="n">
        <v>15.6</v>
      </c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</row>
    <row r="8" spans="2:259" x14ac:dyDescent="0.15">
      <c r="B8" s="16" t="s">
        <v>696</v>
      </c>
      <c r="C8" s="16" t="s">
        <v>708</v>
      </c>
      <c r="D8" s="12" t="s">
        <v>703</v>
      </c>
      <c r="E8" s="91" t="n">
        <v>6.2</v>
      </c>
      <c r="F8" s="91" t="n">
        <v>9.5</v>
      </c>
      <c r="G8" s="91" t="n">
        <v>11.6</v>
      </c>
      <c r="H8" s="91" t="n">
        <v>11.5</v>
      </c>
      <c r="I8" s="91" t="n">
        <v>9.9</v>
      </c>
      <c r="J8" s="91" t="n">
        <v>11.9</v>
      </c>
      <c r="K8" s="91" t="n">
        <v>13.0</v>
      </c>
      <c r="L8" s="91" t="n">
        <v>11.0</v>
      </c>
      <c r="M8" s="91" t="n">
        <v>10.0</v>
      </c>
      <c r="N8" s="91" t="n">
        <v>11.1</v>
      </c>
      <c r="O8" s="91" t="n">
        <v>12.1</v>
      </c>
      <c r="P8" s="91" t="n">
        <v>7.4</v>
      </c>
      <c r="Q8" s="91" t="n">
        <v>7.2</v>
      </c>
      <c r="R8" s="91" t="n">
        <v>7.9</v>
      </c>
      <c r="S8" s="91" t="n">
        <v>7.4</v>
      </c>
      <c r="T8" s="91" t="n">
        <v>8.0</v>
      </c>
      <c r="U8" s="91" t="n">
        <v>6.2</v>
      </c>
      <c r="V8" s="91" t="n">
        <v>6.5</v>
      </c>
      <c r="W8" s="91" t="n">
        <v>6.5</v>
      </c>
      <c r="X8" s="91" t="n">
        <v>6.6</v>
      </c>
      <c r="Y8" s="91" t="n">
        <v>6.5</v>
      </c>
      <c r="Z8" s="91" t="n">
        <v>6.6</v>
      </c>
      <c r="AA8" s="91" t="n">
        <v>6.3</v>
      </c>
      <c r="AB8" s="91" t="n">
        <v>5.3</v>
      </c>
      <c r="AC8" s="91" t="n">
        <v>7.1</v>
      </c>
      <c r="AD8" s="91" t="n">
        <v>7.9</v>
      </c>
      <c r="AE8" s="91" t="n">
        <v>7.9</v>
      </c>
      <c r="AF8" s="91" t="n">
        <v>7.5</v>
      </c>
      <c r="AG8" s="91" t="n">
        <v>8.0</v>
      </c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</row>
    <row r="9" spans="2:259" x14ac:dyDescent="0.15">
      <c r="B9" s="16" t="s">
        <v>696</v>
      </c>
      <c r="C9" s="16" t="s">
        <v>709</v>
      </c>
      <c r="D9" s="12" t="s">
        <v>703</v>
      </c>
      <c r="E9" s="95" t="n">
        <v>10.4</v>
      </c>
      <c r="F9" s="95" t="n">
        <v>11.8</v>
      </c>
      <c r="G9" s="95" t="n">
        <v>12.9</v>
      </c>
      <c r="H9" s="95" t="n">
        <v>14.9</v>
      </c>
      <c r="I9" s="95" t="n">
        <v>15.6</v>
      </c>
      <c r="J9" s="95" t="n">
        <v>14.5</v>
      </c>
      <c r="K9" s="95" t="n">
        <v>12.6</v>
      </c>
      <c r="L9" s="95" t="n">
        <v>11.8</v>
      </c>
      <c r="M9" s="95" t="n">
        <v>13.7</v>
      </c>
      <c r="N9" s="95" t="n">
        <v>14.1</v>
      </c>
      <c r="O9" s="95" t="n">
        <v>14.5</v>
      </c>
      <c r="P9" s="95" t="n">
        <v>14.1</v>
      </c>
      <c r="Q9" s="95" t="n">
        <v>14.4</v>
      </c>
      <c r="R9" s="95" t="n">
        <v>13.1</v>
      </c>
      <c r="S9" s="95" t="n">
        <v>12.7</v>
      </c>
      <c r="T9" s="95" t="n">
        <v>13.7</v>
      </c>
      <c r="U9" s="95" t="n">
        <v>11.9</v>
      </c>
      <c r="V9" s="95" t="n">
        <v>9.7</v>
      </c>
      <c r="W9" s="95" t="n">
        <v>9.5</v>
      </c>
      <c r="X9" s="95" t="n">
        <v>8.1</v>
      </c>
      <c r="Y9" s="95" t="n">
        <v>7.9</v>
      </c>
      <c r="Z9" s="95" t="n">
        <v>7.6</v>
      </c>
      <c r="AA9" s="95" t="n">
        <v>8.6</v>
      </c>
      <c r="AB9" s="95" t="n">
        <v>10.2</v>
      </c>
      <c r="AC9" s="95" t="n">
        <v>9.8</v>
      </c>
      <c r="AD9" s="95" t="n">
        <v>8.3</v>
      </c>
      <c r="AE9" s="95" t="n">
        <v>9.1</v>
      </c>
      <c r="AF9" s="95" t="n">
        <v>7.9</v>
      </c>
      <c r="AG9" s="95" t="n">
        <v>6.2</v>
      </c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</row>
    <row r="10" spans="2:259" x14ac:dyDescent="0.15">
      <c r="B10" s="16" t="s">
        <v>696</v>
      </c>
      <c r="C10" s="16" t="s">
        <v>710</v>
      </c>
      <c r="D10" s="12" t="s">
        <v>703</v>
      </c>
      <c r="E10" s="99" t="n">
        <v>7.1</v>
      </c>
      <c r="F10" s="99" t="n">
        <v>5.0</v>
      </c>
      <c r="G10" s="99" t="n">
        <v>3.0</v>
      </c>
      <c r="H10" s="99" t="n">
        <v>3.4</v>
      </c>
      <c r="I10" s="99" t="n">
        <v>3.8</v>
      </c>
      <c r="J10" s="99" t="n">
        <v>4.0</v>
      </c>
      <c r="K10" s="99" t="n">
        <v>3.0</v>
      </c>
      <c r="L10" s="99" t="n">
        <v>2.5</v>
      </c>
      <c r="M10" s="99" t="n">
        <v>2.5</v>
      </c>
      <c r="N10" s="99" t="n">
        <v>2.1</v>
      </c>
      <c r="O10" s="99" t="n">
        <v>2.3</v>
      </c>
      <c r="P10" s="99" t="n">
        <v>5.5</v>
      </c>
      <c r="Q10" s="99" t="n">
        <v>3.8</v>
      </c>
      <c r="R10" s="99" t="n">
        <v>4.2</v>
      </c>
      <c r="S10" s="99" t="n">
        <v>3.9</v>
      </c>
      <c r="T10" s="99" t="n">
        <v>3.1</v>
      </c>
      <c r="U10" s="99" t="n">
        <v>4.3</v>
      </c>
      <c r="V10" s="99" t="n">
        <v>3.2</v>
      </c>
      <c r="W10" s="99" t="n">
        <v>4.0</v>
      </c>
      <c r="X10" s="99" t="n">
        <v>4.5</v>
      </c>
      <c r="Y10" s="99" t="n">
        <v>3.3</v>
      </c>
      <c r="Z10" s="99" t="n">
        <v>2.4</v>
      </c>
      <c r="AA10" s="99" t="n">
        <v>1.8</v>
      </c>
      <c r="AB10" s="99" t="n">
        <v>1.2</v>
      </c>
      <c r="AC10" s="99" t="n">
        <v>2.3</v>
      </c>
      <c r="AD10" s="99" t="n">
        <v>2.8</v>
      </c>
      <c r="AE10" s="99" t="n">
        <v>2.8</v>
      </c>
      <c r="AF10" s="99" t="n">
        <v>1.5</v>
      </c>
      <c r="AG10" s="99" t="n">
        <v>4.0</v>
      </c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</row>
    <row r="11" spans="2:259" x14ac:dyDescent="0.15">
      <c r="B11" s="16" t="s">
        <v>696</v>
      </c>
      <c r="C11" s="16" t="s">
        <v>711</v>
      </c>
      <c r="D11" s="12" t="s">
        <v>703</v>
      </c>
      <c r="E11" s="103" t="n">
        <v>12.8</v>
      </c>
      <c r="F11" s="103" t="n">
        <v>13.6</v>
      </c>
      <c r="G11" s="103" t="n">
        <v>11.2</v>
      </c>
      <c r="H11" s="103" t="n">
        <v>12.0</v>
      </c>
      <c r="I11" s="103" t="n">
        <v>12.7</v>
      </c>
      <c r="J11" s="103" t="n">
        <v>9.7</v>
      </c>
      <c r="K11" s="103" t="n">
        <v>11.7</v>
      </c>
      <c r="L11" s="103" t="n">
        <v>13.5</v>
      </c>
      <c r="M11" s="103" t="n">
        <v>11.6</v>
      </c>
      <c r="N11" s="103" t="n">
        <v>12.4</v>
      </c>
      <c r="O11" s="103" t="n">
        <v>13.3</v>
      </c>
      <c r="P11" s="103" t="n">
        <v>12.9</v>
      </c>
      <c r="Q11" s="103" t="n">
        <v>13.0</v>
      </c>
      <c r="R11" s="103" t="n">
        <v>11.7</v>
      </c>
      <c r="S11" s="103" t="n">
        <v>12.2</v>
      </c>
      <c r="T11" s="103" t="n">
        <v>12.8</v>
      </c>
      <c r="U11" s="103" t="n">
        <v>12.9</v>
      </c>
      <c r="V11" s="103" t="n">
        <v>13.9</v>
      </c>
      <c r="W11" s="103" t="n">
        <v>13.9</v>
      </c>
      <c r="X11" s="103" t="n">
        <v>12.1</v>
      </c>
      <c r="Y11" s="103" t="n">
        <v>10.3</v>
      </c>
      <c r="Z11" s="103" t="n">
        <v>8.5</v>
      </c>
      <c r="AA11" s="103" t="n">
        <v>8.1</v>
      </c>
      <c r="AB11" s="103" t="n">
        <v>8.2</v>
      </c>
      <c r="AC11" s="103" t="n">
        <v>7.5</v>
      </c>
      <c r="AD11" s="103" t="n">
        <v>8.3</v>
      </c>
      <c r="AE11" s="103" t="n">
        <v>9.4</v>
      </c>
      <c r="AF11" s="103" t="n">
        <v>10.5</v>
      </c>
      <c r="AG11" s="103" t="n">
        <v>10.2</v>
      </c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</row>
    <row r="12" spans="2:259" x14ac:dyDescent="0.15">
      <c r="B12" s="16" t="s">
        <v>696</v>
      </c>
      <c r="C12" s="16" t="s">
        <v>712</v>
      </c>
      <c r="D12" s="12" t="s">
        <v>713</v>
      </c>
      <c r="E12" s="108" t="n">
        <v>1.0</v>
      </c>
      <c r="F12" s="108" t="n">
        <v>0.0</v>
      </c>
      <c r="G12" s="108" t="n">
        <v>1.0</v>
      </c>
      <c r="H12" s="108" t="n">
        <v>1.0</v>
      </c>
      <c r="I12" s="108" t="n">
        <v>0.0</v>
      </c>
      <c r="J12" s="108" t="n">
        <v>1.0</v>
      </c>
      <c r="K12" s="108" t="n">
        <v>2.0</v>
      </c>
      <c r="L12" s="108" t="n">
        <v>2.0</v>
      </c>
      <c r="M12" s="108" t="n">
        <v>2.0</v>
      </c>
      <c r="N12" s="108" t="n">
        <v>2.0</v>
      </c>
      <c r="O12" s="108" t="n">
        <v>2.0</v>
      </c>
      <c r="P12" s="108" t="n">
        <v>0.0</v>
      </c>
      <c r="Q12" s="108" t="n">
        <v>1.0</v>
      </c>
      <c r="R12" s="108" t="n">
        <v>1.0</v>
      </c>
      <c r="S12" s="108" t="n">
        <v>1.0</v>
      </c>
      <c r="T12" s="108" t="n">
        <v>2.0</v>
      </c>
      <c r="U12" s="108" t="n">
        <v>1.0</v>
      </c>
      <c r="V12" s="108" t="n">
        <v>1.0</v>
      </c>
      <c r="W12" s="108" t="n">
        <v>1.0</v>
      </c>
      <c r="X12" s="108" t="n">
        <v>3.0</v>
      </c>
      <c r="Y12" s="108" t="n">
        <v>6.0</v>
      </c>
      <c r="Z12" s="108" t="n">
        <v>4.0</v>
      </c>
      <c r="AA12" s="108" t="n">
        <v>7.0</v>
      </c>
      <c r="AB12" s="108" t="n">
        <v>9.0</v>
      </c>
      <c r="AC12" s="108" t="n">
        <v>8.0</v>
      </c>
      <c r="AD12" s="108" t="n">
        <v>8.0</v>
      </c>
      <c r="AE12" s="108" t="n">
        <v>9.0</v>
      </c>
      <c r="AF12" s="108" t="n">
        <v>12.0</v>
      </c>
      <c r="AG12" s="108" t="n">
        <v>14.0</v>
      </c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  <c r="IY12" s="23"/>
    </row>
    <row r="13" spans="2:259" x14ac:dyDescent="0.15">
      <c r="B13" s="16" t="s">
        <v>696</v>
      </c>
      <c r="C13" s="16" t="s">
        <v>714</v>
      </c>
      <c r="D13" s="12" t="s">
        <v>713</v>
      </c>
      <c r="E13" s="112" t="n">
        <v>8.0</v>
      </c>
      <c r="F13" s="112" t="n">
        <v>13.0</v>
      </c>
      <c r="G13" s="112" t="n">
        <v>12.0</v>
      </c>
      <c r="H13" s="112" t="n">
        <v>14.0</v>
      </c>
      <c r="I13" s="112" t="n">
        <v>18.0</v>
      </c>
      <c r="J13" s="112" t="n">
        <v>17.0</v>
      </c>
      <c r="K13" s="112" t="n">
        <v>18.0</v>
      </c>
      <c r="L13" s="112" t="n">
        <v>21.0</v>
      </c>
      <c r="M13" s="112" t="n">
        <v>12.0</v>
      </c>
      <c r="N13" s="112" t="n">
        <v>14.0</v>
      </c>
      <c r="O13" s="112" t="n">
        <v>12.0</v>
      </c>
      <c r="P13" s="112" t="n">
        <v>8.0</v>
      </c>
      <c r="Q13" s="112" t="n">
        <v>10.0</v>
      </c>
      <c r="R13" s="112" t="n">
        <v>13.0</v>
      </c>
      <c r="S13" s="112" t="n">
        <v>14.0</v>
      </c>
      <c r="T13" s="112" t="n">
        <v>14.0</v>
      </c>
      <c r="U13" s="112" t="n">
        <v>17.0</v>
      </c>
      <c r="V13" s="112" t="n">
        <v>17.0</v>
      </c>
      <c r="W13" s="112" t="n">
        <v>16.0</v>
      </c>
      <c r="X13" s="112" t="n">
        <v>12.0</v>
      </c>
      <c r="Y13" s="112" t="n">
        <v>13.0</v>
      </c>
      <c r="Z13" s="112" t="n">
        <v>14.0</v>
      </c>
      <c r="AA13" s="112" t="n">
        <v>16.0</v>
      </c>
      <c r="AB13" s="112" t="n">
        <v>21.0</v>
      </c>
      <c r="AC13" s="112" t="n">
        <v>23.0</v>
      </c>
      <c r="AD13" s="112" t="n">
        <v>25.0</v>
      </c>
      <c r="AE13" s="112" t="n">
        <v>27.0</v>
      </c>
      <c r="AF13" s="112" t="n">
        <v>26.0</v>
      </c>
      <c r="AG13" s="112" t="n">
        <v>26.0</v>
      </c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</row>
    <row r="14" spans="2:259" x14ac:dyDescent="0.15">
      <c r="B14" s="16" t="s">
        <v>696</v>
      </c>
      <c r="C14" s="16" t="s">
        <v>715</v>
      </c>
      <c r="D14" s="12" t="s">
        <v>713</v>
      </c>
      <c r="E14" s="116" t="n">
        <v>24.0</v>
      </c>
      <c r="F14" s="116" t="n">
        <v>24.0</v>
      </c>
      <c r="G14" s="116" t="n">
        <v>26.0</v>
      </c>
      <c r="H14" s="116" t="n">
        <v>24.0</v>
      </c>
      <c r="I14" s="116" t="n">
        <v>27.0</v>
      </c>
      <c r="J14" s="116" t="n">
        <v>31.0</v>
      </c>
      <c r="K14" s="116" t="n">
        <v>32.0</v>
      </c>
      <c r="L14" s="116" t="n">
        <v>36.0</v>
      </c>
      <c r="M14" s="116" t="n">
        <v>40.0</v>
      </c>
      <c r="N14" s="116" t="n">
        <v>31.0</v>
      </c>
      <c r="O14" s="116" t="n">
        <v>24.0</v>
      </c>
      <c r="P14" s="116" t="n">
        <v>32.0</v>
      </c>
      <c r="Q14" s="116" t="n">
        <v>37.0</v>
      </c>
      <c r="R14" s="116" t="n">
        <v>40.0</v>
      </c>
      <c r="S14" s="116" t="n">
        <v>39.0</v>
      </c>
      <c r="T14" s="116" t="n">
        <v>30.0</v>
      </c>
      <c r="U14" s="116" t="n">
        <v>32.0</v>
      </c>
      <c r="V14" s="116" t="n">
        <v>34.0</v>
      </c>
      <c r="W14" s="116" t="n">
        <v>29.0</v>
      </c>
      <c r="X14" s="116" t="n">
        <v>34.0</v>
      </c>
      <c r="Y14" s="116" t="n">
        <v>43.0</v>
      </c>
      <c r="Z14" s="116" t="n">
        <v>48.0</v>
      </c>
      <c r="AA14" s="116" t="n">
        <v>47.0</v>
      </c>
      <c r="AB14" s="116" t="n">
        <v>48.0</v>
      </c>
      <c r="AC14" s="116" t="n">
        <v>51.0</v>
      </c>
      <c r="AD14" s="116" t="n">
        <v>39.0</v>
      </c>
      <c r="AE14" s="116" t="n">
        <v>32.0</v>
      </c>
      <c r="AF14" s="116" t="n">
        <v>35.0</v>
      </c>
      <c r="AG14" s="116" t="n">
        <v>36.0</v>
      </c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</row>
    <row r="15" spans="2:259" x14ac:dyDescent="0.15">
      <c r="B15" s="16" t="s">
        <v>696</v>
      </c>
      <c r="C15" s="16" t="s">
        <v>716</v>
      </c>
      <c r="D15" s="12" t="s">
        <v>713</v>
      </c>
      <c r="E15" s="120" t="n">
        <v>46.0</v>
      </c>
      <c r="F15" s="120" t="n">
        <v>46.0</v>
      </c>
      <c r="G15" s="120" t="n">
        <v>46.0</v>
      </c>
      <c r="H15" s="120" t="n">
        <v>37.0</v>
      </c>
      <c r="I15" s="120" t="n">
        <v>43.0</v>
      </c>
      <c r="J15" s="120" t="n">
        <v>48.0</v>
      </c>
      <c r="K15" s="120" t="n">
        <v>38.0</v>
      </c>
      <c r="L15" s="120" t="n">
        <v>33.0</v>
      </c>
      <c r="M15" s="120" t="n">
        <v>44.0</v>
      </c>
      <c r="N15" s="120" t="n">
        <v>48.0</v>
      </c>
      <c r="O15" s="120" t="n">
        <v>32.0</v>
      </c>
      <c r="P15" s="120" t="n">
        <v>34.0</v>
      </c>
      <c r="Q15" s="120" t="n">
        <v>44.0</v>
      </c>
      <c r="R15" s="120" t="n">
        <v>43.0</v>
      </c>
      <c r="S15" s="120" t="n">
        <v>48.0</v>
      </c>
      <c r="T15" s="120" t="n">
        <v>48.0</v>
      </c>
      <c r="U15" s="120" t="n">
        <v>46.0</v>
      </c>
      <c r="V15" s="120" t="n">
        <v>47.0</v>
      </c>
      <c r="W15" s="120" t="n">
        <v>47.0</v>
      </c>
      <c r="X15" s="120" t="n">
        <v>54.0</v>
      </c>
      <c r="Y15" s="120" t="n">
        <v>55.0</v>
      </c>
      <c r="Z15" s="120" t="n">
        <v>58.0</v>
      </c>
      <c r="AA15" s="120" t="n">
        <v>60.0</v>
      </c>
      <c r="AB15" s="120" t="n">
        <v>66.0</v>
      </c>
      <c r="AC15" s="120" t="n">
        <v>70.0</v>
      </c>
      <c r="AD15" s="120" t="n">
        <v>69.0</v>
      </c>
      <c r="AE15" s="120" t="n">
        <v>69.0</v>
      </c>
      <c r="AF15" s="120" t="n">
        <v>76.0</v>
      </c>
      <c r="AG15" s="120" t="n">
        <v>78.0</v>
      </c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</row>
    <row r="16" spans="2:259" x14ac:dyDescent="0.15">
      <c r="B16" s="16" t="s">
        <v>696</v>
      </c>
      <c r="C16" s="16" t="s">
        <v>717</v>
      </c>
      <c r="D16" s="12" t="s">
        <v>713</v>
      </c>
      <c r="E16" s="124" t="n">
        <v>55.0</v>
      </c>
      <c r="F16" s="124" t="n">
        <v>49.0</v>
      </c>
      <c r="G16" s="124" t="n">
        <v>57.0</v>
      </c>
      <c r="H16" s="124" t="n">
        <v>45.0</v>
      </c>
      <c r="I16" s="124" t="n">
        <v>35.0</v>
      </c>
      <c r="J16" s="124" t="n">
        <v>39.0</v>
      </c>
      <c r="K16" s="124" t="n">
        <v>47.0</v>
      </c>
      <c r="L16" s="124" t="n">
        <v>53.0</v>
      </c>
      <c r="M16" s="124" t="n">
        <v>52.0</v>
      </c>
      <c r="N16" s="124" t="n">
        <v>46.0</v>
      </c>
      <c r="O16" s="124" t="n">
        <v>30.0</v>
      </c>
      <c r="P16" s="124" t="n">
        <v>24.0</v>
      </c>
      <c r="Q16" s="124" t="n">
        <v>36.0</v>
      </c>
      <c r="R16" s="124" t="n">
        <v>38.0</v>
      </c>
      <c r="S16" s="124" t="n">
        <v>44.0</v>
      </c>
      <c r="T16" s="124" t="n">
        <v>47.0</v>
      </c>
      <c r="U16" s="124" t="n">
        <v>40.0</v>
      </c>
      <c r="V16" s="124" t="n">
        <v>45.0</v>
      </c>
      <c r="W16" s="124" t="n">
        <v>40.0</v>
      </c>
      <c r="X16" s="124" t="n">
        <v>33.0</v>
      </c>
      <c r="Y16" s="124" t="n">
        <v>37.0</v>
      </c>
      <c r="Z16" s="124" t="n">
        <v>34.0</v>
      </c>
      <c r="AA16" s="124" t="n">
        <v>37.0</v>
      </c>
      <c r="AB16" s="124" t="n">
        <v>39.0</v>
      </c>
      <c r="AC16" s="124" t="n">
        <v>43.0</v>
      </c>
      <c r="AD16" s="124" t="n">
        <v>43.0</v>
      </c>
      <c r="AE16" s="124" t="n">
        <v>43.0</v>
      </c>
      <c r="AF16" s="124" t="n">
        <v>45.0</v>
      </c>
      <c r="AG16" s="124" t="n">
        <v>43.0</v>
      </c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</row>
    <row r="17" spans="2:259" x14ac:dyDescent="0.15">
      <c r="B17" s="16" t="s">
        <v>696</v>
      </c>
      <c r="C17" s="16" t="s">
        <v>718</v>
      </c>
      <c r="D17" s="12" t="s">
        <v>713</v>
      </c>
      <c r="E17" s="128" t="n">
        <v>13.0</v>
      </c>
      <c r="F17" s="128" t="n">
        <v>21.0</v>
      </c>
      <c r="G17" s="128" t="n">
        <v>27.0</v>
      </c>
      <c r="H17" s="128" t="n">
        <v>24.0</v>
      </c>
      <c r="I17" s="128" t="n">
        <v>21.0</v>
      </c>
      <c r="J17" s="128" t="n">
        <v>27.0</v>
      </c>
      <c r="K17" s="128" t="n">
        <v>30.0</v>
      </c>
      <c r="L17" s="128" t="n">
        <v>26.0</v>
      </c>
      <c r="M17" s="128" t="n">
        <v>24.0</v>
      </c>
      <c r="N17" s="128" t="n">
        <v>26.0</v>
      </c>
      <c r="O17" s="128" t="n">
        <v>21.0</v>
      </c>
      <c r="P17" s="128" t="n">
        <v>12.0</v>
      </c>
      <c r="Q17" s="128" t="n">
        <v>15.0</v>
      </c>
      <c r="R17" s="128" t="n">
        <v>17.0</v>
      </c>
      <c r="S17" s="128" t="n">
        <v>17.0</v>
      </c>
      <c r="T17" s="128" t="n">
        <v>18.0</v>
      </c>
      <c r="U17" s="128" t="n">
        <v>13.0</v>
      </c>
      <c r="V17" s="128" t="n">
        <v>14.0</v>
      </c>
      <c r="W17" s="128" t="n">
        <v>13.0</v>
      </c>
      <c r="X17" s="128" t="n">
        <v>13.0</v>
      </c>
      <c r="Y17" s="128" t="n">
        <v>14.0</v>
      </c>
      <c r="Z17" s="128" t="n">
        <v>14.0</v>
      </c>
      <c r="AA17" s="128" t="n">
        <v>14.0</v>
      </c>
      <c r="AB17" s="128" t="n">
        <v>13.0</v>
      </c>
      <c r="AC17" s="128" t="n">
        <v>19.0</v>
      </c>
      <c r="AD17" s="128" t="n">
        <v>20.0</v>
      </c>
      <c r="AE17" s="128" t="n">
        <v>20.0</v>
      </c>
      <c r="AF17" s="128" t="n">
        <v>20.0</v>
      </c>
      <c r="AG17" s="128" t="n">
        <v>22.0</v>
      </c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</row>
    <row r="18" spans="2:259" x14ac:dyDescent="0.15">
      <c r="B18" s="16" t="s">
        <v>696</v>
      </c>
      <c r="C18" s="16" t="s">
        <v>719</v>
      </c>
      <c r="D18" s="12" t="s">
        <v>713</v>
      </c>
      <c r="E18" s="132" t="n">
        <v>22.0</v>
      </c>
      <c r="F18" s="132" t="n">
        <v>26.0</v>
      </c>
      <c r="G18" s="132" t="n">
        <v>30.0</v>
      </c>
      <c r="H18" s="132" t="n">
        <v>31.0</v>
      </c>
      <c r="I18" s="132" t="n">
        <v>33.0</v>
      </c>
      <c r="J18" s="132" t="n">
        <v>33.0</v>
      </c>
      <c r="K18" s="132" t="n">
        <v>29.0</v>
      </c>
      <c r="L18" s="132" t="n">
        <v>28.0</v>
      </c>
      <c r="M18" s="132" t="n">
        <v>33.0</v>
      </c>
      <c r="N18" s="132" t="n">
        <v>33.0</v>
      </c>
      <c r="O18" s="132" t="n">
        <v>25.0</v>
      </c>
      <c r="P18" s="132" t="n">
        <v>23.0</v>
      </c>
      <c r="Q18" s="132" t="n">
        <v>30.0</v>
      </c>
      <c r="R18" s="132" t="n">
        <v>28.0</v>
      </c>
      <c r="S18" s="132" t="n">
        <v>29.0</v>
      </c>
      <c r="T18" s="132" t="n">
        <v>31.0</v>
      </c>
      <c r="U18" s="132" t="n">
        <v>25.0</v>
      </c>
      <c r="V18" s="132" t="n">
        <v>21.0</v>
      </c>
      <c r="W18" s="132" t="n">
        <v>19.0</v>
      </c>
      <c r="X18" s="132" t="n">
        <v>16.0</v>
      </c>
      <c r="Y18" s="132" t="n">
        <v>17.0</v>
      </c>
      <c r="Z18" s="132" t="n">
        <v>16.0</v>
      </c>
      <c r="AA18" s="132" t="n">
        <v>19.0</v>
      </c>
      <c r="AB18" s="132" t="n">
        <v>25.0</v>
      </c>
      <c r="AC18" s="132" t="n">
        <v>26.0</v>
      </c>
      <c r="AD18" s="132" t="n">
        <v>21.0</v>
      </c>
      <c r="AE18" s="132" t="n">
        <v>23.0</v>
      </c>
      <c r="AF18" s="132" t="n">
        <v>21.0</v>
      </c>
      <c r="AG18" s="132" t="n">
        <v>17.0</v>
      </c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</row>
    <row r="19" spans="2:259" x14ac:dyDescent="0.15">
      <c r="B19" s="16" t="s">
        <v>696</v>
      </c>
      <c r="C19" s="16" t="s">
        <v>720</v>
      </c>
      <c r="D19" s="12" t="s">
        <v>713</v>
      </c>
      <c r="E19" s="136" t="n">
        <v>15.0</v>
      </c>
      <c r="F19" s="136" t="n">
        <v>11.0</v>
      </c>
      <c r="G19" s="136" t="n">
        <v>7.0</v>
      </c>
      <c r="H19" s="136" t="n">
        <v>7.0</v>
      </c>
      <c r="I19" s="136" t="n">
        <v>8.0</v>
      </c>
      <c r="J19" s="136" t="n">
        <v>9.0</v>
      </c>
      <c r="K19" s="136" t="n">
        <v>7.0</v>
      </c>
      <c r="L19" s="136" t="n">
        <v>6.0</v>
      </c>
      <c r="M19" s="136" t="n">
        <v>6.0</v>
      </c>
      <c r="N19" s="136" t="n">
        <v>5.0</v>
      </c>
      <c r="O19" s="136" t="n">
        <v>4.0</v>
      </c>
      <c r="P19" s="136" t="n">
        <v>9.0</v>
      </c>
      <c r="Q19" s="136" t="n">
        <v>8.0</v>
      </c>
      <c r="R19" s="136" t="n">
        <v>9.0</v>
      </c>
      <c r="S19" s="136" t="n">
        <v>9.0</v>
      </c>
      <c r="T19" s="136" t="n">
        <v>7.0</v>
      </c>
      <c r="U19" s="136" t="n">
        <v>9.0</v>
      </c>
      <c r="V19" s="136" t="n">
        <v>7.0</v>
      </c>
      <c r="W19" s="136" t="n">
        <v>8.0</v>
      </c>
      <c r="X19" s="136" t="n">
        <v>9.0</v>
      </c>
      <c r="Y19" s="136" t="n">
        <v>7.0</v>
      </c>
      <c r="Z19" s="136" t="n">
        <v>5.0</v>
      </c>
      <c r="AA19" s="136" t="n">
        <v>4.0</v>
      </c>
      <c r="AB19" s="136" t="n">
        <v>3.0</v>
      </c>
      <c r="AC19" s="136" t="n">
        <v>6.0</v>
      </c>
      <c r="AD19" s="136" t="n">
        <v>7.0</v>
      </c>
      <c r="AE19" s="136" t="n">
        <v>7.0</v>
      </c>
      <c r="AF19" s="136" t="n">
        <v>4.0</v>
      </c>
      <c r="AG19" s="136" t="n">
        <v>11.0</v>
      </c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</row>
    <row r="20" spans="2:259" x14ac:dyDescent="0.15">
      <c r="B20" s="16" t="s">
        <v>696</v>
      </c>
      <c r="C20" s="16" t="s">
        <v>721</v>
      </c>
      <c r="D20" s="12" t="s">
        <v>713</v>
      </c>
      <c r="E20" s="140" t="n">
        <v>27.0</v>
      </c>
      <c r="F20" s="140" t="n">
        <v>30.0</v>
      </c>
      <c r="G20" s="140" t="n">
        <v>26.0</v>
      </c>
      <c r="H20" s="140" t="n">
        <v>25.0</v>
      </c>
      <c r="I20" s="140" t="n">
        <v>27.0</v>
      </c>
      <c r="J20" s="140" t="n">
        <v>22.0</v>
      </c>
      <c r="K20" s="140" t="n">
        <v>27.0</v>
      </c>
      <c r="L20" s="140" t="n">
        <v>32.0</v>
      </c>
      <c r="M20" s="140" t="n">
        <v>28.0</v>
      </c>
      <c r="N20" s="140" t="n">
        <v>29.0</v>
      </c>
      <c r="O20" s="140" t="n">
        <v>23.0</v>
      </c>
      <c r="P20" s="140" t="n">
        <v>21.0</v>
      </c>
      <c r="Q20" s="140" t="n">
        <v>27.0</v>
      </c>
      <c r="R20" s="140" t="n">
        <v>25.0</v>
      </c>
      <c r="S20" s="140" t="n">
        <v>28.0</v>
      </c>
      <c r="T20" s="140" t="n">
        <v>29.0</v>
      </c>
      <c r="U20" s="140" t="n">
        <v>27.0</v>
      </c>
      <c r="V20" s="140" t="n">
        <v>30.0</v>
      </c>
      <c r="W20" s="140" t="n">
        <v>28.0</v>
      </c>
      <c r="X20" s="140" t="n">
        <v>24.0</v>
      </c>
      <c r="Y20" s="140" t="n">
        <v>22.0</v>
      </c>
      <c r="Z20" s="140" t="n">
        <v>18.0</v>
      </c>
      <c r="AA20" s="140" t="n">
        <v>18.0</v>
      </c>
      <c r="AB20" s="140" t="n">
        <v>20.0</v>
      </c>
      <c r="AC20" s="140" t="n">
        <v>20.0</v>
      </c>
      <c r="AD20" s="140" t="n">
        <v>21.0</v>
      </c>
      <c r="AE20" s="140" t="n">
        <v>24.0</v>
      </c>
      <c r="AF20" s="140" t="n">
        <v>28.0</v>
      </c>
      <c r="AG20" s="140" t="n">
        <v>28.0</v>
      </c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</row>
    <row r="21" spans="2:259" x14ac:dyDescent="0.15">
      <c r="B21" s="16" t="s">
        <v>696</v>
      </c>
      <c r="C21" s="16" t="s">
        <v>722</v>
      </c>
      <c r="D21" s="12" t="s">
        <v>713</v>
      </c>
      <c r="E21" s="144" t="n">
        <v>211.0</v>
      </c>
      <c r="F21" s="144" t="n">
        <v>220.0</v>
      </c>
      <c r="G21" s="144" t="n">
        <v>232.0</v>
      </c>
      <c r="H21" s="144" t="n">
        <v>208.0</v>
      </c>
      <c r="I21" s="144" t="n">
        <v>212.0</v>
      </c>
      <c r="J21" s="144" t="n">
        <v>227.0</v>
      </c>
      <c r="K21" s="144" t="n">
        <v>230.0</v>
      </c>
      <c r="L21" s="144" t="n">
        <v>237.0</v>
      </c>
      <c r="M21" s="144" t="n">
        <v>241.0</v>
      </c>
      <c r="N21" s="144" t="n">
        <v>234.0</v>
      </c>
      <c r="O21" s="144" t="n">
        <v>173.0</v>
      </c>
      <c r="P21" s="144" t="n">
        <v>163.0</v>
      </c>
      <c r="Q21" s="144" t="n">
        <v>208.0</v>
      </c>
      <c r="R21" s="144" t="n">
        <v>214.0</v>
      </c>
      <c r="S21" s="144" t="n">
        <v>229.0</v>
      </c>
      <c r="T21" s="144" t="n">
        <v>226.0</v>
      </c>
      <c r="U21" s="144" t="n">
        <v>210.0</v>
      </c>
      <c r="V21" s="144" t="n">
        <v>216.0</v>
      </c>
      <c r="W21" s="144" t="n">
        <v>201.0</v>
      </c>
      <c r="X21" s="144" t="n">
        <v>198.0</v>
      </c>
      <c r="Y21" s="144" t="n">
        <v>214.0</v>
      </c>
      <c r="Z21" s="144" t="n">
        <v>211.0</v>
      </c>
      <c r="AA21" s="144" t="n">
        <v>222.0</v>
      </c>
      <c r="AB21" s="144" t="n">
        <v>244.0</v>
      </c>
      <c r="AC21" s="144" t="n">
        <v>266.0</v>
      </c>
      <c r="AD21" s="144" t="n">
        <v>253.0</v>
      </c>
      <c r="AE21" s="144" t="n">
        <v>254.0</v>
      </c>
      <c r="AF21" s="144" t="n">
        <v>267.0</v>
      </c>
      <c r="AG21" s="144" t="n">
        <v>275.0</v>
      </c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</row>
    <row r="22" spans="2:259" x14ac:dyDescent="0.15" hidden="true">
      <c r="B22" s="16" t="s">
        <v>172</v>
      </c>
      <c r="C22" s="16"/>
      <c r="D22" s="12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  <c r="IY22" s="23"/>
    </row>
    <row r="23" spans="2:259" x14ac:dyDescent="0.15" hidden="true">
      <c r="B23" s="16" t="s">
        <v>173</v>
      </c>
      <c r="C23" s="16"/>
      <c r="D23" s="1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</row>
    <row r="24" spans="2:259" x14ac:dyDescent="0.15" hidden="true">
      <c r="B24" s="16" t="s">
        <v>174</v>
      </c>
      <c r="C24" s="16"/>
      <c r="D24" s="12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  <c r="IY24" s="23"/>
    </row>
    <row r="25" spans="2:259" x14ac:dyDescent="0.15" hidden="true">
      <c r="B25" s="16" t="s">
        <v>175</v>
      </c>
      <c r="C25" s="16"/>
      <c r="D25" s="1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  <c r="IX25" s="23"/>
      <c r="IY25" s="23"/>
    </row>
    <row r="26" spans="2:259" x14ac:dyDescent="0.15" hidden="true">
      <c r="B26" s="16" t="s">
        <v>176</v>
      </c>
      <c r="C26" s="16"/>
      <c r="D26" s="12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</row>
    <row r="27" spans="2:259" x14ac:dyDescent="0.15" hidden="true">
      <c r="B27" s="16" t="s">
        <v>177</v>
      </c>
      <c r="C27" s="16"/>
      <c r="D27" s="12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  <c r="IY27" s="23"/>
    </row>
    <row r="28" spans="2:259" x14ac:dyDescent="0.15" hidden="true">
      <c r="B28" s="16" t="s">
        <v>178</v>
      </c>
      <c r="C28" s="16"/>
      <c r="D28" s="12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  <c r="IX28" s="23"/>
      <c r="IY28" s="23"/>
    </row>
    <row r="29" spans="2:259" x14ac:dyDescent="0.15" hidden="true">
      <c r="B29" s="16" t="s">
        <v>179</v>
      </c>
      <c r="C29" s="16"/>
      <c r="D29" s="1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  <c r="IY29" s="23"/>
    </row>
    <row r="30" spans="2:259" x14ac:dyDescent="0.15" hidden="true">
      <c r="B30" s="16" t="s">
        <v>180</v>
      </c>
      <c r="C30" s="16"/>
      <c r="D30" s="12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  <c r="IX30" s="23"/>
      <c r="IY30" s="23"/>
    </row>
    <row r="31" spans="2:259" x14ac:dyDescent="0.15" hidden="true">
      <c r="B31" s="16" t="s">
        <v>181</v>
      </c>
      <c r="C31" s="16"/>
      <c r="D31" s="12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  <c r="IY31" s="23"/>
    </row>
    <row r="32" spans="2:259" x14ac:dyDescent="0.15" hidden="true">
      <c r="B32" s="16" t="s">
        <v>182</v>
      </c>
      <c r="C32" s="16"/>
      <c r="D32" s="1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  <c r="IY32" s="23"/>
    </row>
    <row r="33" spans="2:259" x14ac:dyDescent="0.15" hidden="true">
      <c r="B33" s="16" t="s">
        <v>183</v>
      </c>
      <c r="C33" s="16"/>
      <c r="D33" s="12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</row>
    <row r="34" spans="2:259" x14ac:dyDescent="0.15" hidden="true">
      <c r="B34" s="16" t="s">
        <v>184</v>
      </c>
      <c r="C34" s="16"/>
      <c r="D34" s="12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  <c r="IX34" s="23"/>
      <c r="IY34" s="23"/>
    </row>
    <row r="35" spans="2:259" x14ac:dyDescent="0.15" hidden="true">
      <c r="B35" s="16" t="s">
        <v>185</v>
      </c>
      <c r="C35" s="16"/>
      <c r="D35" s="12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  <c r="IY35" s="23"/>
    </row>
    <row r="36" spans="2:259" x14ac:dyDescent="0.15" hidden="true">
      <c r="B36" s="16" t="s">
        <v>186</v>
      </c>
      <c r="C36" s="16"/>
      <c r="D36" s="12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  <c r="IX36" s="23"/>
      <c r="IY36" s="23"/>
    </row>
    <row r="37" spans="2:259" x14ac:dyDescent="0.15" hidden="true">
      <c r="B37" s="16" t="s">
        <v>187</v>
      </c>
      <c r="C37" s="16"/>
      <c r="D37" s="12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  <c r="IX37" s="23"/>
      <c r="IY37" s="23"/>
    </row>
    <row r="38" spans="2:259" x14ac:dyDescent="0.15" hidden="true">
      <c r="B38" s="16" t="s">
        <v>188</v>
      </c>
      <c r="C38" s="16"/>
      <c r="D38" s="12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  <c r="IX38" s="23"/>
      <c r="IY38" s="23"/>
    </row>
    <row r="39" spans="2:259" x14ac:dyDescent="0.15" hidden="true">
      <c r="B39" s="16" t="s">
        <v>189</v>
      </c>
      <c r="C39" s="16"/>
      <c r="D39" s="12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  <c r="IX39" s="23"/>
      <c r="IY39" s="23"/>
    </row>
    <row r="40" spans="2:259" x14ac:dyDescent="0.15" hidden="true">
      <c r="B40" s="16" t="s">
        <v>190</v>
      </c>
      <c r="C40" s="16"/>
      <c r="D40" s="12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  <c r="IX40" s="23"/>
      <c r="IY40" s="23"/>
    </row>
    <row r="41" spans="2:259" x14ac:dyDescent="0.15" hidden="true">
      <c r="B41" s="16" t="s">
        <v>191</v>
      </c>
      <c r="C41" s="16"/>
      <c r="D41" s="12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  <c r="IW41" s="23"/>
      <c r="IX41" s="23"/>
      <c r="IY41" s="23"/>
    </row>
    <row r="42" spans="2:259" x14ac:dyDescent="0.15" hidden="true">
      <c r="B42" s="16" t="s">
        <v>192</v>
      </c>
      <c r="C42" s="16"/>
      <c r="D42" s="12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  <c r="IX42" s="23"/>
      <c r="IY42" s="23"/>
    </row>
    <row r="43" spans="2:259" x14ac:dyDescent="0.15" hidden="true">
      <c r="B43" s="16" t="s">
        <v>193</v>
      </c>
      <c r="C43" s="16"/>
      <c r="D43" s="12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  <c r="IW43" s="23"/>
      <c r="IX43" s="23"/>
      <c r="IY43" s="23"/>
    </row>
    <row r="44" spans="2:259" x14ac:dyDescent="0.15" hidden="true">
      <c r="B44" s="16" t="s">
        <v>194</v>
      </c>
      <c r="C44" s="16"/>
      <c r="D44" s="1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  <c r="IX44" s="23"/>
      <c r="IY44" s="23"/>
    </row>
    <row r="45" spans="2:259" x14ac:dyDescent="0.15" hidden="true">
      <c r="B45" s="16" t="s">
        <v>195</v>
      </c>
      <c r="C45" s="16"/>
      <c r="D45" s="12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23"/>
      <c r="IU45" s="23"/>
      <c r="IV45" s="23"/>
      <c r="IW45" s="23"/>
      <c r="IX45" s="23"/>
      <c r="IY45" s="23"/>
    </row>
    <row r="46" spans="2:259" x14ac:dyDescent="0.15" hidden="true">
      <c r="B46" s="16" t="s">
        <v>196</v>
      </c>
      <c r="C46" s="16"/>
      <c r="D46" s="12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  <c r="IW46" s="23"/>
      <c r="IX46" s="23"/>
      <c r="IY46" s="23"/>
    </row>
    <row r="47" spans="2:259" x14ac:dyDescent="0.15" hidden="true">
      <c r="B47" s="16" t="s">
        <v>197</v>
      </c>
      <c r="C47" s="16"/>
      <c r="D47" s="12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  <c r="IR47" s="23"/>
      <c r="IS47" s="23"/>
      <c r="IT47" s="23"/>
      <c r="IU47" s="23"/>
      <c r="IV47" s="23"/>
      <c r="IW47" s="23"/>
      <c r="IX47" s="23"/>
      <c r="IY47" s="23"/>
    </row>
    <row r="48" spans="2:259" x14ac:dyDescent="0.15" hidden="true">
      <c r="B48" s="16" t="s">
        <v>198</v>
      </c>
      <c r="C48" s="16"/>
      <c r="D48" s="12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/>
      <c r="IS48" s="23"/>
      <c r="IT48" s="23"/>
      <c r="IU48" s="23"/>
      <c r="IV48" s="23"/>
      <c r="IW48" s="23"/>
      <c r="IX48" s="23"/>
      <c r="IY48" s="23"/>
    </row>
    <row r="49" spans="2:259" x14ac:dyDescent="0.15" hidden="true">
      <c r="B49" s="16" t="s">
        <v>199</v>
      </c>
      <c r="C49" s="16"/>
      <c r="D49" s="12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3"/>
      <c r="IS49" s="23"/>
      <c r="IT49" s="23"/>
      <c r="IU49" s="23"/>
      <c r="IV49" s="23"/>
      <c r="IW49" s="23"/>
      <c r="IX49" s="23"/>
      <c r="IY49" s="23"/>
    </row>
    <row r="50" spans="2:259" x14ac:dyDescent="0.15" hidden="true">
      <c r="B50" s="16" t="s">
        <v>200</v>
      </c>
      <c r="C50" s="16"/>
      <c r="D50" s="12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</row>
    <row r="51" spans="2:259" x14ac:dyDescent="0.15" hidden="true">
      <c r="B51" s="16" t="s">
        <v>201</v>
      </c>
      <c r="C51" s="16"/>
      <c r="D51" s="12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23"/>
      <c r="IU51" s="23"/>
      <c r="IV51" s="23"/>
      <c r="IW51" s="23"/>
      <c r="IX51" s="23"/>
      <c r="IY51" s="23"/>
    </row>
    <row r="52" spans="2:259" x14ac:dyDescent="0.15" hidden="true">
      <c r="B52" s="16" t="s">
        <v>202</v>
      </c>
      <c r="C52" s="16"/>
      <c r="D52" s="12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  <c r="IR52" s="23"/>
      <c r="IS52" s="23"/>
      <c r="IT52" s="23"/>
      <c r="IU52" s="23"/>
      <c r="IV52" s="23"/>
      <c r="IW52" s="23"/>
      <c r="IX52" s="23"/>
      <c r="IY52" s="23"/>
    </row>
    <row r="53" spans="2:259" x14ac:dyDescent="0.15" hidden="true">
      <c r="B53" s="16" t="s">
        <v>203</v>
      </c>
      <c r="C53" s="16"/>
      <c r="D53" s="12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  <c r="IR53" s="23"/>
      <c r="IS53" s="23"/>
      <c r="IT53" s="23"/>
      <c r="IU53" s="23"/>
      <c r="IV53" s="23"/>
      <c r="IW53" s="23"/>
      <c r="IX53" s="23"/>
      <c r="IY53" s="23"/>
    </row>
    <row r="54" spans="2:259" x14ac:dyDescent="0.15" hidden="true">
      <c r="B54" s="16" t="s">
        <v>204</v>
      </c>
      <c r="C54" s="16"/>
      <c r="D54" s="12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  <c r="IR54" s="23"/>
      <c r="IS54" s="23"/>
      <c r="IT54" s="23"/>
      <c r="IU54" s="23"/>
      <c r="IV54" s="23"/>
      <c r="IW54" s="23"/>
      <c r="IX54" s="23"/>
      <c r="IY54" s="23"/>
    </row>
    <row r="55" spans="2:259" x14ac:dyDescent="0.15" hidden="true">
      <c r="B55" s="16" t="s">
        <v>205</v>
      </c>
      <c r="C55" s="16"/>
      <c r="D55" s="12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  <c r="IR55" s="23"/>
      <c r="IS55" s="23"/>
      <c r="IT55" s="23"/>
      <c r="IU55" s="23"/>
      <c r="IV55" s="23"/>
      <c r="IW55" s="23"/>
      <c r="IX55" s="23"/>
      <c r="IY55" s="23"/>
    </row>
    <row r="56" spans="2:259" x14ac:dyDescent="0.15" hidden="true">
      <c r="B56" s="16" t="s">
        <v>206</v>
      </c>
      <c r="C56" s="16"/>
      <c r="D56" s="12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  <c r="IR56" s="23"/>
      <c r="IS56" s="23"/>
      <c r="IT56" s="23"/>
      <c r="IU56" s="23"/>
      <c r="IV56" s="23"/>
      <c r="IW56" s="23"/>
      <c r="IX56" s="23"/>
      <c r="IY56" s="23"/>
    </row>
    <row r="57" spans="2:259" x14ac:dyDescent="0.15" hidden="true">
      <c r="B57" s="16" t="s">
        <v>207</v>
      </c>
      <c r="C57" s="16"/>
      <c r="D57" s="12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3"/>
      <c r="IS57" s="23"/>
      <c r="IT57" s="23"/>
      <c r="IU57" s="23"/>
      <c r="IV57" s="23"/>
      <c r="IW57" s="23"/>
      <c r="IX57" s="23"/>
      <c r="IY57" s="23"/>
    </row>
    <row r="58" spans="2:259" x14ac:dyDescent="0.15" hidden="true">
      <c r="B58" s="16" t="s">
        <v>208</v>
      </c>
      <c r="C58" s="16"/>
      <c r="D58" s="12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3"/>
      <c r="IO58" s="23"/>
      <c r="IP58" s="23"/>
      <c r="IQ58" s="23"/>
      <c r="IR58" s="23"/>
      <c r="IS58" s="23"/>
      <c r="IT58" s="23"/>
      <c r="IU58" s="23"/>
      <c r="IV58" s="23"/>
      <c r="IW58" s="23"/>
      <c r="IX58" s="23"/>
      <c r="IY58" s="23"/>
    </row>
    <row r="59" spans="2:259" x14ac:dyDescent="0.15" hidden="true">
      <c r="B59" s="16" t="s">
        <v>209</v>
      </c>
      <c r="C59" s="16"/>
      <c r="D59" s="12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  <c r="IR59" s="23"/>
      <c r="IS59" s="23"/>
      <c r="IT59" s="23"/>
      <c r="IU59" s="23"/>
      <c r="IV59" s="23"/>
      <c r="IW59" s="23"/>
      <c r="IX59" s="23"/>
      <c r="IY59" s="23"/>
    </row>
    <row r="60" spans="2:259" x14ac:dyDescent="0.15" hidden="true">
      <c r="B60" s="16" t="s">
        <v>210</v>
      </c>
      <c r="C60" s="16"/>
      <c r="D60" s="12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  <c r="IR60" s="23"/>
      <c r="IS60" s="23"/>
      <c r="IT60" s="23"/>
      <c r="IU60" s="23"/>
      <c r="IV60" s="23"/>
      <c r="IW60" s="23"/>
      <c r="IX60" s="23"/>
      <c r="IY60" s="23"/>
    </row>
    <row r="61" spans="2:259" x14ac:dyDescent="0.15" hidden="true">
      <c r="B61" s="16" t="s">
        <v>211</v>
      </c>
      <c r="C61" s="16"/>
      <c r="D61" s="12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3"/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3"/>
      <c r="IO61" s="23"/>
      <c r="IP61" s="23"/>
      <c r="IQ61" s="23"/>
      <c r="IR61" s="23"/>
      <c r="IS61" s="23"/>
      <c r="IT61" s="23"/>
      <c r="IU61" s="23"/>
      <c r="IV61" s="23"/>
      <c r="IW61" s="23"/>
      <c r="IX61" s="23"/>
      <c r="IY61" s="23"/>
    </row>
    <row r="62" spans="2:259" x14ac:dyDescent="0.15" hidden="true">
      <c r="B62" s="16" t="s">
        <v>212</v>
      </c>
      <c r="C62" s="16"/>
      <c r="D62" s="12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  <c r="IR62" s="23"/>
      <c r="IS62" s="23"/>
      <c r="IT62" s="23"/>
      <c r="IU62" s="23"/>
      <c r="IV62" s="23"/>
      <c r="IW62" s="23"/>
      <c r="IX62" s="23"/>
      <c r="IY62" s="23"/>
    </row>
    <row r="63" spans="2:259" x14ac:dyDescent="0.15" hidden="true">
      <c r="B63" s="16" t="s">
        <v>213</v>
      </c>
      <c r="C63" s="16"/>
      <c r="D63" s="12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23"/>
      <c r="IQ63" s="23"/>
      <c r="IR63" s="23"/>
      <c r="IS63" s="23"/>
      <c r="IT63" s="23"/>
      <c r="IU63" s="23"/>
      <c r="IV63" s="23"/>
      <c r="IW63" s="23"/>
      <c r="IX63" s="23"/>
      <c r="IY63" s="23"/>
    </row>
    <row r="64" spans="2:259" x14ac:dyDescent="0.15" hidden="true">
      <c r="B64" s="16" t="s">
        <v>214</v>
      </c>
      <c r="C64" s="16"/>
      <c r="D64" s="12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3"/>
      <c r="IS64" s="23"/>
      <c r="IT64" s="23"/>
      <c r="IU64" s="23"/>
      <c r="IV64" s="23"/>
      <c r="IW64" s="23"/>
      <c r="IX64" s="23"/>
      <c r="IY64" s="23"/>
    </row>
    <row r="65" spans="2:259" x14ac:dyDescent="0.15" hidden="true">
      <c r="B65" s="16" t="s">
        <v>215</v>
      </c>
      <c r="C65" s="16"/>
      <c r="D65" s="12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23"/>
      <c r="HO65" s="23"/>
      <c r="HP65" s="23"/>
      <c r="HQ65" s="23"/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3"/>
      <c r="IO65" s="23"/>
      <c r="IP65" s="23"/>
      <c r="IQ65" s="23"/>
      <c r="IR65" s="23"/>
      <c r="IS65" s="23"/>
      <c r="IT65" s="23"/>
      <c r="IU65" s="23"/>
      <c r="IV65" s="23"/>
      <c r="IW65" s="23"/>
      <c r="IX65" s="23"/>
      <c r="IY65" s="23"/>
    </row>
    <row r="66" spans="2:259" x14ac:dyDescent="0.15" hidden="true">
      <c r="B66" s="16" t="s">
        <v>216</v>
      </c>
      <c r="C66" s="16"/>
      <c r="D66" s="12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23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/>
      <c r="IP66" s="23"/>
      <c r="IQ66" s="23"/>
      <c r="IR66" s="23"/>
      <c r="IS66" s="23"/>
      <c r="IT66" s="23"/>
      <c r="IU66" s="23"/>
      <c r="IV66" s="23"/>
      <c r="IW66" s="23"/>
      <c r="IX66" s="23"/>
      <c r="IY66" s="23"/>
    </row>
    <row r="67" spans="2:259" x14ac:dyDescent="0.15" hidden="true">
      <c r="B67" s="16" t="s">
        <v>217</v>
      </c>
      <c r="C67" s="16"/>
      <c r="D67" s="12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  <c r="IR67" s="23"/>
      <c r="IS67" s="23"/>
      <c r="IT67" s="23"/>
      <c r="IU67" s="23"/>
      <c r="IV67" s="23"/>
      <c r="IW67" s="23"/>
      <c r="IX67" s="23"/>
      <c r="IY67" s="23"/>
    </row>
    <row r="68" spans="2:259" x14ac:dyDescent="0.15" hidden="true">
      <c r="B68" s="16" t="s">
        <v>218</v>
      </c>
      <c r="C68" s="16"/>
      <c r="D68" s="12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  <c r="IR68" s="23"/>
      <c r="IS68" s="23"/>
      <c r="IT68" s="23"/>
      <c r="IU68" s="23"/>
      <c r="IV68" s="23"/>
      <c r="IW68" s="23"/>
      <c r="IX68" s="23"/>
      <c r="IY68" s="23"/>
    </row>
    <row r="69" spans="2:259" x14ac:dyDescent="0.15" hidden="true">
      <c r="B69" s="16" t="s">
        <v>219</v>
      </c>
      <c r="C69" s="16"/>
      <c r="D69" s="12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23"/>
      <c r="IQ69" s="23"/>
      <c r="IR69" s="23"/>
      <c r="IS69" s="23"/>
      <c r="IT69" s="23"/>
      <c r="IU69" s="23"/>
      <c r="IV69" s="23"/>
      <c r="IW69" s="23"/>
      <c r="IX69" s="23"/>
      <c r="IY69" s="23"/>
    </row>
    <row r="70" spans="2:259" x14ac:dyDescent="0.15" hidden="true">
      <c r="B70" s="16" t="s">
        <v>220</v>
      </c>
      <c r="C70" s="16"/>
      <c r="D70" s="12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  <c r="IR70" s="23"/>
      <c r="IS70" s="23"/>
      <c r="IT70" s="23"/>
      <c r="IU70" s="23"/>
      <c r="IV70" s="23"/>
      <c r="IW70" s="23"/>
      <c r="IX70" s="23"/>
      <c r="IY70" s="23"/>
    </row>
    <row r="71" spans="2:259" x14ac:dyDescent="0.15" hidden="true">
      <c r="B71" s="16" t="s">
        <v>221</v>
      </c>
      <c r="C71" s="16"/>
      <c r="D71" s="12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  <c r="IR71" s="23"/>
      <c r="IS71" s="23"/>
      <c r="IT71" s="23"/>
      <c r="IU71" s="23"/>
      <c r="IV71" s="23"/>
      <c r="IW71" s="23"/>
      <c r="IX71" s="23"/>
      <c r="IY71" s="23"/>
    </row>
    <row r="72" spans="2:259" x14ac:dyDescent="0.15" hidden="true">
      <c r="B72" s="16" t="s">
        <v>222</v>
      </c>
      <c r="C72" s="16"/>
      <c r="D72" s="12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  <c r="IR72" s="23"/>
      <c r="IS72" s="23"/>
      <c r="IT72" s="23"/>
      <c r="IU72" s="23"/>
      <c r="IV72" s="23"/>
      <c r="IW72" s="23"/>
      <c r="IX72" s="23"/>
      <c r="IY72" s="23"/>
    </row>
    <row r="73" spans="2:259" x14ac:dyDescent="0.15" hidden="true">
      <c r="B73" s="16" t="s">
        <v>223</v>
      </c>
      <c r="C73" s="16"/>
      <c r="D73" s="12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  <c r="IR73" s="23"/>
      <c r="IS73" s="23"/>
      <c r="IT73" s="23"/>
      <c r="IU73" s="23"/>
      <c r="IV73" s="23"/>
      <c r="IW73" s="23"/>
      <c r="IX73" s="23"/>
      <c r="IY73" s="23"/>
    </row>
    <row r="74" spans="2:259" x14ac:dyDescent="0.15" hidden="true">
      <c r="B74" s="16" t="s">
        <v>224</v>
      </c>
      <c r="C74" s="16"/>
      <c r="D74" s="12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  <c r="IR74" s="23"/>
      <c r="IS74" s="23"/>
      <c r="IT74" s="23"/>
      <c r="IU74" s="23"/>
      <c r="IV74" s="23"/>
      <c r="IW74" s="23"/>
      <c r="IX74" s="23"/>
      <c r="IY74" s="23"/>
    </row>
    <row r="75" spans="2:259" x14ac:dyDescent="0.15" hidden="true">
      <c r="B75" s="16" t="s">
        <v>225</v>
      </c>
      <c r="C75" s="16"/>
      <c r="D75" s="12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23"/>
      <c r="IQ75" s="23"/>
      <c r="IR75" s="23"/>
      <c r="IS75" s="23"/>
      <c r="IT75" s="23"/>
      <c r="IU75" s="23"/>
      <c r="IV75" s="23"/>
      <c r="IW75" s="23"/>
      <c r="IX75" s="23"/>
      <c r="IY75" s="23"/>
    </row>
    <row r="76" spans="2:259" x14ac:dyDescent="0.15" hidden="true">
      <c r="B76" s="16" t="s">
        <v>226</v>
      </c>
      <c r="C76" s="16"/>
      <c r="D76" s="12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  <c r="IR76" s="23"/>
      <c r="IS76" s="23"/>
      <c r="IT76" s="23"/>
      <c r="IU76" s="23"/>
      <c r="IV76" s="23"/>
      <c r="IW76" s="23"/>
      <c r="IX76" s="23"/>
      <c r="IY76" s="23"/>
    </row>
    <row r="77" spans="2:259" x14ac:dyDescent="0.15" hidden="true">
      <c r="B77" s="16" t="s">
        <v>227</v>
      </c>
      <c r="C77" s="16"/>
      <c r="D77" s="12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23"/>
      <c r="IQ77" s="23"/>
      <c r="IR77" s="23"/>
      <c r="IS77" s="23"/>
      <c r="IT77" s="23"/>
      <c r="IU77" s="23"/>
      <c r="IV77" s="23"/>
      <c r="IW77" s="23"/>
      <c r="IX77" s="23"/>
      <c r="IY77" s="23"/>
    </row>
    <row r="78" spans="2:259" x14ac:dyDescent="0.15" hidden="true">
      <c r="B78" s="16" t="s">
        <v>228</v>
      </c>
      <c r="C78" s="16"/>
      <c r="D78" s="12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  <c r="IR78" s="23"/>
      <c r="IS78" s="23"/>
      <c r="IT78" s="23"/>
      <c r="IU78" s="23"/>
      <c r="IV78" s="23"/>
      <c r="IW78" s="23"/>
      <c r="IX78" s="23"/>
      <c r="IY78" s="23"/>
    </row>
    <row r="79" spans="2:259" x14ac:dyDescent="0.15" hidden="true">
      <c r="B79" s="16" t="s">
        <v>229</v>
      </c>
      <c r="C79" s="16"/>
      <c r="D79" s="12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  <c r="IR79" s="23"/>
      <c r="IS79" s="23"/>
      <c r="IT79" s="23"/>
      <c r="IU79" s="23"/>
      <c r="IV79" s="23"/>
      <c r="IW79" s="23"/>
      <c r="IX79" s="23"/>
      <c r="IY79" s="23"/>
    </row>
    <row r="80" spans="2:259" x14ac:dyDescent="0.15" hidden="true">
      <c r="B80" s="16" t="s">
        <v>230</v>
      </c>
      <c r="C80" s="16"/>
      <c r="D80" s="12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  <c r="IR80" s="23"/>
      <c r="IS80" s="23"/>
      <c r="IT80" s="23"/>
      <c r="IU80" s="23"/>
      <c r="IV80" s="23"/>
      <c r="IW80" s="23"/>
      <c r="IX80" s="23"/>
      <c r="IY80" s="23"/>
    </row>
    <row r="81" spans="2:259" x14ac:dyDescent="0.15" hidden="true">
      <c r="B81" s="16" t="s">
        <v>231</v>
      </c>
      <c r="C81" s="16"/>
      <c r="D81" s="12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  <c r="IL81" s="23"/>
      <c r="IM81" s="23"/>
      <c r="IN81" s="23"/>
      <c r="IO81" s="23"/>
      <c r="IP81" s="23"/>
      <c r="IQ81" s="23"/>
      <c r="IR81" s="23"/>
      <c r="IS81" s="23"/>
      <c r="IT81" s="23"/>
      <c r="IU81" s="23"/>
      <c r="IV81" s="23"/>
      <c r="IW81" s="23"/>
      <c r="IX81" s="23"/>
      <c r="IY81" s="23"/>
    </row>
    <row r="82" spans="2:259" x14ac:dyDescent="0.15" hidden="true">
      <c r="B82" s="16" t="s">
        <v>232</v>
      </c>
      <c r="C82" s="16"/>
      <c r="D82" s="12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  <c r="IL82" s="23"/>
      <c r="IM82" s="23"/>
      <c r="IN82" s="23"/>
      <c r="IO82" s="23"/>
      <c r="IP82" s="23"/>
      <c r="IQ82" s="23"/>
      <c r="IR82" s="23"/>
      <c r="IS82" s="23"/>
      <c r="IT82" s="23"/>
      <c r="IU82" s="23"/>
      <c r="IV82" s="23"/>
      <c r="IW82" s="23"/>
      <c r="IX82" s="23"/>
      <c r="IY82" s="23"/>
    </row>
    <row r="83" spans="2:259" x14ac:dyDescent="0.15" hidden="true">
      <c r="B83" s="16" t="s">
        <v>233</v>
      </c>
      <c r="C83" s="16"/>
      <c r="D83" s="12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  <c r="IR83" s="23"/>
      <c r="IS83" s="23"/>
      <c r="IT83" s="23"/>
      <c r="IU83" s="23"/>
      <c r="IV83" s="23"/>
      <c r="IW83" s="23"/>
      <c r="IX83" s="23"/>
      <c r="IY83" s="23"/>
    </row>
    <row r="84" spans="2:259" x14ac:dyDescent="0.15" hidden="true">
      <c r="B84" s="16" t="s">
        <v>234</v>
      </c>
      <c r="C84" s="16"/>
      <c r="D84" s="12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  <c r="IR84" s="23"/>
      <c r="IS84" s="23"/>
      <c r="IT84" s="23"/>
      <c r="IU84" s="23"/>
      <c r="IV84" s="23"/>
      <c r="IW84" s="23"/>
      <c r="IX84" s="23"/>
      <c r="IY84" s="23"/>
    </row>
    <row r="85" spans="2:259" x14ac:dyDescent="0.15" hidden="true">
      <c r="B85" s="16" t="s">
        <v>235</v>
      </c>
      <c r="C85" s="16"/>
      <c r="D85" s="12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  <c r="IR85" s="23"/>
      <c r="IS85" s="23"/>
      <c r="IT85" s="23"/>
      <c r="IU85" s="23"/>
      <c r="IV85" s="23"/>
      <c r="IW85" s="23"/>
      <c r="IX85" s="23"/>
      <c r="IY85" s="23"/>
    </row>
    <row r="86" spans="2:259" x14ac:dyDescent="0.15" hidden="true">
      <c r="B86" s="16" t="s">
        <v>236</v>
      </c>
      <c r="C86" s="16"/>
      <c r="D86" s="12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  <c r="IR86" s="23"/>
      <c r="IS86" s="23"/>
      <c r="IT86" s="23"/>
      <c r="IU86" s="23"/>
      <c r="IV86" s="23"/>
      <c r="IW86" s="23"/>
      <c r="IX86" s="23"/>
      <c r="IY86" s="23"/>
    </row>
    <row r="87" spans="2:259" x14ac:dyDescent="0.15" hidden="true">
      <c r="B87" s="16" t="s">
        <v>237</v>
      </c>
      <c r="C87" s="16"/>
      <c r="D87" s="12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  <c r="IL87" s="23"/>
      <c r="IM87" s="23"/>
      <c r="IN87" s="23"/>
      <c r="IO87" s="23"/>
      <c r="IP87" s="23"/>
      <c r="IQ87" s="23"/>
      <c r="IR87" s="23"/>
      <c r="IS87" s="23"/>
      <c r="IT87" s="23"/>
      <c r="IU87" s="23"/>
      <c r="IV87" s="23"/>
      <c r="IW87" s="23"/>
      <c r="IX87" s="23"/>
      <c r="IY87" s="23"/>
    </row>
    <row r="88" spans="2:259" x14ac:dyDescent="0.15" hidden="true">
      <c r="B88" s="16" t="s">
        <v>238</v>
      </c>
      <c r="C88" s="16"/>
      <c r="D88" s="12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  <c r="IR88" s="23"/>
      <c r="IS88" s="23"/>
      <c r="IT88" s="23"/>
      <c r="IU88" s="23"/>
      <c r="IV88" s="23"/>
      <c r="IW88" s="23"/>
      <c r="IX88" s="23"/>
      <c r="IY88" s="23"/>
    </row>
    <row r="89" spans="2:259" x14ac:dyDescent="0.15" hidden="true">
      <c r="B89" s="16" t="s">
        <v>239</v>
      </c>
      <c r="C89" s="16"/>
      <c r="D89" s="12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  <c r="IL89" s="23"/>
      <c r="IM89" s="23"/>
      <c r="IN89" s="23"/>
      <c r="IO89" s="23"/>
      <c r="IP89" s="23"/>
      <c r="IQ89" s="23"/>
      <c r="IR89" s="23"/>
      <c r="IS89" s="23"/>
      <c r="IT89" s="23"/>
      <c r="IU89" s="23"/>
      <c r="IV89" s="23"/>
      <c r="IW89" s="23"/>
      <c r="IX89" s="23"/>
      <c r="IY89" s="23"/>
    </row>
    <row r="90" spans="2:259" x14ac:dyDescent="0.15" hidden="true">
      <c r="B90" s="16" t="s">
        <v>240</v>
      </c>
      <c r="C90" s="16"/>
      <c r="D90" s="12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  <c r="IL90" s="23"/>
      <c r="IM90" s="23"/>
      <c r="IN90" s="23"/>
      <c r="IO90" s="23"/>
      <c r="IP90" s="23"/>
      <c r="IQ90" s="23"/>
      <c r="IR90" s="23"/>
      <c r="IS90" s="23"/>
      <c r="IT90" s="23"/>
      <c r="IU90" s="23"/>
      <c r="IV90" s="23"/>
      <c r="IW90" s="23"/>
      <c r="IX90" s="23"/>
      <c r="IY90" s="23"/>
    </row>
    <row r="91" spans="2:259" x14ac:dyDescent="0.15" hidden="true">
      <c r="B91" s="16" t="s">
        <v>241</v>
      </c>
      <c r="C91" s="16"/>
      <c r="D91" s="12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3"/>
      <c r="IS91" s="23"/>
      <c r="IT91" s="23"/>
      <c r="IU91" s="23"/>
      <c r="IV91" s="23"/>
      <c r="IW91" s="23"/>
      <c r="IX91" s="23"/>
      <c r="IY91" s="23"/>
    </row>
    <row r="92" spans="2:259" x14ac:dyDescent="0.15" hidden="true">
      <c r="B92" s="16" t="s">
        <v>242</v>
      </c>
      <c r="C92" s="16"/>
      <c r="D92" s="12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  <c r="IR92" s="23"/>
      <c r="IS92" s="23"/>
      <c r="IT92" s="23"/>
      <c r="IU92" s="23"/>
      <c r="IV92" s="23"/>
      <c r="IW92" s="23"/>
      <c r="IX92" s="23"/>
      <c r="IY92" s="23"/>
    </row>
    <row r="93" spans="2:259" x14ac:dyDescent="0.15" hidden="true">
      <c r="B93" s="16" t="s">
        <v>243</v>
      </c>
      <c r="C93" s="16"/>
      <c r="D93" s="12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  <c r="IW93" s="23"/>
      <c r="IX93" s="23"/>
      <c r="IY93" s="23"/>
    </row>
    <row r="94" spans="2:259" x14ac:dyDescent="0.15" hidden="true">
      <c r="B94" s="16" t="s">
        <v>244</v>
      </c>
      <c r="C94" s="16"/>
      <c r="D94" s="12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3"/>
      <c r="IS94" s="23"/>
      <c r="IT94" s="23"/>
      <c r="IU94" s="23"/>
      <c r="IV94" s="23"/>
      <c r="IW94" s="23"/>
      <c r="IX94" s="23"/>
      <c r="IY94" s="23"/>
    </row>
    <row r="95" spans="2:259" x14ac:dyDescent="0.15" hidden="true">
      <c r="B95" s="16" t="s">
        <v>245</v>
      </c>
      <c r="C95" s="16"/>
      <c r="D95" s="12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  <c r="IW95" s="23"/>
      <c r="IX95" s="23"/>
      <c r="IY95" s="23"/>
    </row>
    <row r="96" spans="2:259" x14ac:dyDescent="0.15" hidden="true">
      <c r="B96" s="16" t="s">
        <v>246</v>
      </c>
      <c r="C96" s="16"/>
      <c r="D96" s="12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23"/>
      <c r="IU96" s="23"/>
      <c r="IV96" s="23"/>
      <c r="IW96" s="23"/>
      <c r="IX96" s="23"/>
      <c r="IY96" s="23"/>
    </row>
    <row r="97" spans="2:259" x14ac:dyDescent="0.15" hidden="true">
      <c r="B97" s="16" t="s">
        <v>247</v>
      </c>
      <c r="C97" s="16"/>
      <c r="D97" s="12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  <c r="IW97" s="23"/>
      <c r="IX97" s="23"/>
      <c r="IY97" s="23"/>
    </row>
    <row r="98" spans="2:259" x14ac:dyDescent="0.15" hidden="true">
      <c r="B98" s="16" t="s">
        <v>248</v>
      </c>
      <c r="C98" s="16"/>
      <c r="D98" s="12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3"/>
      <c r="IS98" s="23"/>
      <c r="IT98" s="23"/>
      <c r="IU98" s="23"/>
      <c r="IV98" s="23"/>
      <c r="IW98" s="23"/>
      <c r="IX98" s="23"/>
      <c r="IY98" s="23"/>
    </row>
    <row r="99" spans="2:259" x14ac:dyDescent="0.15" hidden="true">
      <c r="B99" s="16" t="s">
        <v>249</v>
      </c>
      <c r="C99" s="16"/>
      <c r="D99" s="12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  <c r="IW99" s="23"/>
      <c r="IX99" s="23"/>
      <c r="IY99" s="23"/>
    </row>
    <row r="100" spans="2:259" x14ac:dyDescent="0.15" hidden="true">
      <c r="B100" s="16" t="s">
        <v>250</v>
      </c>
      <c r="C100" s="16"/>
      <c r="D100" s="12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  <c r="IR100" s="23"/>
      <c r="IS100" s="23"/>
      <c r="IT100" s="23"/>
      <c r="IU100" s="23"/>
      <c r="IV100" s="23"/>
      <c r="IW100" s="23"/>
      <c r="IX100" s="23"/>
      <c r="IY100" s="23"/>
    </row>
    <row r="101" spans="2:259" x14ac:dyDescent="0.15" hidden="true">
      <c r="B101" s="16" t="s">
        <v>251</v>
      </c>
      <c r="C101" s="16"/>
      <c r="D101" s="12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  <c r="IR101" s="23"/>
      <c r="IS101" s="23"/>
      <c r="IT101" s="23"/>
      <c r="IU101" s="23"/>
      <c r="IV101" s="23"/>
      <c r="IW101" s="23"/>
      <c r="IX101" s="23"/>
      <c r="IY101" s="23"/>
    </row>
    <row r="102" spans="2:259" x14ac:dyDescent="0.15" hidden="true">
      <c r="B102" s="16" t="s">
        <v>252</v>
      </c>
      <c r="C102" s="16"/>
      <c r="D102" s="12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  <c r="IR102" s="23"/>
      <c r="IS102" s="23"/>
      <c r="IT102" s="23"/>
      <c r="IU102" s="23"/>
      <c r="IV102" s="23"/>
      <c r="IW102" s="23"/>
      <c r="IX102" s="23"/>
      <c r="IY102" s="23"/>
    </row>
    <row r="103" spans="2:259" x14ac:dyDescent="0.15" hidden="true">
      <c r="B103" s="16" t="s">
        <v>253</v>
      </c>
      <c r="C103" s="16"/>
      <c r="D103" s="12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  <c r="IR103" s="23"/>
      <c r="IS103" s="23"/>
      <c r="IT103" s="23"/>
      <c r="IU103" s="23"/>
      <c r="IV103" s="23"/>
      <c r="IW103" s="23"/>
      <c r="IX103" s="23"/>
      <c r="IY103" s="23"/>
    </row>
    <row r="104" spans="2:259" x14ac:dyDescent="0.15" hidden="true">
      <c r="B104" s="16" t="s">
        <v>254</v>
      </c>
      <c r="C104" s="16"/>
      <c r="D104" s="12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  <c r="IR104" s="23"/>
      <c r="IS104" s="23"/>
      <c r="IT104" s="23"/>
      <c r="IU104" s="23"/>
      <c r="IV104" s="23"/>
      <c r="IW104" s="23"/>
      <c r="IX104" s="23"/>
      <c r="IY104" s="23"/>
    </row>
    <row r="105" spans="2:259" x14ac:dyDescent="0.15" hidden="true">
      <c r="B105" s="16" t="s">
        <v>255</v>
      </c>
      <c r="C105" s="16"/>
      <c r="D105" s="12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  <c r="IR105" s="23"/>
      <c r="IS105" s="23"/>
      <c r="IT105" s="23"/>
      <c r="IU105" s="23"/>
      <c r="IV105" s="23"/>
      <c r="IW105" s="23"/>
      <c r="IX105" s="23"/>
      <c r="IY105" s="23"/>
    </row>
    <row r="106" spans="2:259" x14ac:dyDescent="0.15" hidden="true">
      <c r="B106" s="16" t="s">
        <v>256</v>
      </c>
      <c r="C106" s="16"/>
      <c r="D106" s="12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  <c r="IR106" s="23"/>
      <c r="IS106" s="23"/>
      <c r="IT106" s="23"/>
      <c r="IU106" s="23"/>
      <c r="IV106" s="23"/>
      <c r="IW106" s="23"/>
      <c r="IX106" s="23"/>
      <c r="IY106" s="23"/>
    </row>
    <row r="107" spans="2:259" x14ac:dyDescent="0.15" hidden="true">
      <c r="B107" s="16" t="s">
        <v>257</v>
      </c>
      <c r="C107" s="16"/>
      <c r="D107" s="12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  <c r="IR107" s="23"/>
      <c r="IS107" s="23"/>
      <c r="IT107" s="23"/>
      <c r="IU107" s="23"/>
      <c r="IV107" s="23"/>
      <c r="IW107" s="23"/>
      <c r="IX107" s="23"/>
      <c r="IY107" s="23"/>
    </row>
    <row r="108" spans="2:259" x14ac:dyDescent="0.15" hidden="true">
      <c r="B108" s="16" t="s">
        <v>258</v>
      </c>
      <c r="C108" s="16"/>
      <c r="D108" s="12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  <c r="IR108" s="23"/>
      <c r="IS108" s="23"/>
      <c r="IT108" s="23"/>
      <c r="IU108" s="23"/>
      <c r="IV108" s="23"/>
      <c r="IW108" s="23"/>
      <c r="IX108" s="23"/>
      <c r="IY108" s="23"/>
    </row>
    <row r="109" spans="2:259" x14ac:dyDescent="0.15" hidden="true">
      <c r="B109" s="16" t="s">
        <v>259</v>
      </c>
      <c r="C109" s="16"/>
      <c r="D109" s="12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  <c r="IR109" s="23"/>
      <c r="IS109" s="23"/>
      <c r="IT109" s="23"/>
      <c r="IU109" s="23"/>
      <c r="IV109" s="23"/>
      <c r="IW109" s="23"/>
      <c r="IX109" s="23"/>
      <c r="IY109" s="23"/>
    </row>
    <row r="110" spans="2:259" x14ac:dyDescent="0.15" hidden="true">
      <c r="B110" s="16" t="s">
        <v>260</v>
      </c>
      <c r="C110" s="16"/>
      <c r="D110" s="12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  <c r="IR110" s="23"/>
      <c r="IS110" s="23"/>
      <c r="IT110" s="23"/>
      <c r="IU110" s="23"/>
      <c r="IV110" s="23"/>
      <c r="IW110" s="23"/>
      <c r="IX110" s="23"/>
      <c r="IY110" s="23"/>
    </row>
    <row r="111" spans="2:259" x14ac:dyDescent="0.15" hidden="true">
      <c r="B111" s="16" t="s">
        <v>261</v>
      </c>
      <c r="C111" s="16"/>
      <c r="D111" s="12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  <c r="IR111" s="23"/>
      <c r="IS111" s="23"/>
      <c r="IT111" s="23"/>
      <c r="IU111" s="23"/>
      <c r="IV111" s="23"/>
      <c r="IW111" s="23"/>
      <c r="IX111" s="23"/>
      <c r="IY111" s="23"/>
    </row>
    <row r="112" spans="2:259" x14ac:dyDescent="0.15" hidden="true">
      <c r="B112" s="16" t="s">
        <v>262</v>
      </c>
      <c r="C112" s="16"/>
      <c r="D112" s="12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  <c r="IR112" s="23"/>
      <c r="IS112" s="23"/>
      <c r="IT112" s="23"/>
      <c r="IU112" s="23"/>
      <c r="IV112" s="23"/>
      <c r="IW112" s="23"/>
      <c r="IX112" s="23"/>
      <c r="IY112" s="23"/>
    </row>
    <row r="113" spans="2:259" x14ac:dyDescent="0.15" hidden="true">
      <c r="B113" s="16" t="s">
        <v>263</v>
      </c>
      <c r="C113" s="16"/>
      <c r="D113" s="12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  <c r="IR113" s="23"/>
      <c r="IS113" s="23"/>
      <c r="IT113" s="23"/>
      <c r="IU113" s="23"/>
      <c r="IV113" s="23"/>
      <c r="IW113" s="23"/>
      <c r="IX113" s="23"/>
      <c r="IY113" s="23"/>
    </row>
    <row r="114" spans="2:259" x14ac:dyDescent="0.15" hidden="true">
      <c r="B114" s="16" t="s">
        <v>264</v>
      </c>
      <c r="C114" s="16"/>
      <c r="D114" s="12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/>
      <c r="IQ114" s="23"/>
      <c r="IR114" s="23"/>
      <c r="IS114" s="23"/>
      <c r="IT114" s="23"/>
      <c r="IU114" s="23"/>
      <c r="IV114" s="23"/>
      <c r="IW114" s="23"/>
      <c r="IX114" s="23"/>
      <c r="IY114" s="23"/>
    </row>
    <row r="115" spans="2:259" x14ac:dyDescent="0.15" hidden="true">
      <c r="B115" s="16" t="s">
        <v>265</v>
      </c>
      <c r="C115" s="16"/>
      <c r="D115" s="12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  <c r="IR115" s="23"/>
      <c r="IS115" s="23"/>
      <c r="IT115" s="23"/>
      <c r="IU115" s="23"/>
      <c r="IV115" s="23"/>
      <c r="IW115" s="23"/>
      <c r="IX115" s="23"/>
      <c r="IY115" s="23"/>
    </row>
    <row r="116" spans="2:259" x14ac:dyDescent="0.15" hidden="true">
      <c r="B116" s="16" t="s">
        <v>266</v>
      </c>
      <c r="C116" s="16"/>
      <c r="D116" s="12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  <c r="IL116" s="23"/>
      <c r="IM116" s="23"/>
      <c r="IN116" s="23"/>
      <c r="IO116" s="23"/>
      <c r="IP116" s="23"/>
      <c r="IQ116" s="23"/>
      <c r="IR116" s="23"/>
      <c r="IS116" s="23"/>
      <c r="IT116" s="23"/>
      <c r="IU116" s="23"/>
      <c r="IV116" s="23"/>
      <c r="IW116" s="23"/>
      <c r="IX116" s="23"/>
      <c r="IY116" s="23"/>
    </row>
    <row r="117" spans="2:259" x14ac:dyDescent="0.15" hidden="true">
      <c r="B117" s="16" t="s">
        <v>267</v>
      </c>
      <c r="C117" s="16"/>
      <c r="D117" s="12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/>
      <c r="IQ117" s="23"/>
      <c r="IR117" s="23"/>
      <c r="IS117" s="23"/>
      <c r="IT117" s="23"/>
      <c r="IU117" s="23"/>
      <c r="IV117" s="23"/>
      <c r="IW117" s="23"/>
      <c r="IX117" s="23"/>
      <c r="IY117" s="23"/>
    </row>
    <row r="118" spans="2:259" x14ac:dyDescent="0.15" hidden="true">
      <c r="B118" s="16" t="s">
        <v>268</v>
      </c>
      <c r="C118" s="16"/>
      <c r="D118" s="12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  <c r="IL118" s="23"/>
      <c r="IM118" s="23"/>
      <c r="IN118" s="23"/>
      <c r="IO118" s="23"/>
      <c r="IP118" s="23"/>
      <c r="IQ118" s="23"/>
      <c r="IR118" s="23"/>
      <c r="IS118" s="23"/>
      <c r="IT118" s="23"/>
      <c r="IU118" s="23"/>
      <c r="IV118" s="23"/>
      <c r="IW118" s="23"/>
      <c r="IX118" s="23"/>
      <c r="IY118" s="23"/>
    </row>
    <row r="119" spans="2:259" x14ac:dyDescent="0.15" hidden="true">
      <c r="B119" s="16" t="s">
        <v>269</v>
      </c>
      <c r="C119" s="16"/>
      <c r="D119" s="12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  <c r="IL119" s="23"/>
      <c r="IM119" s="23"/>
      <c r="IN119" s="23"/>
      <c r="IO119" s="23"/>
      <c r="IP119" s="23"/>
      <c r="IQ119" s="23"/>
      <c r="IR119" s="23"/>
      <c r="IS119" s="23"/>
      <c r="IT119" s="23"/>
      <c r="IU119" s="23"/>
      <c r="IV119" s="23"/>
      <c r="IW119" s="23"/>
      <c r="IX119" s="23"/>
      <c r="IY119" s="23"/>
    </row>
    <row r="120" spans="2:259" x14ac:dyDescent="0.15" hidden="true">
      <c r="B120" s="16" t="s">
        <v>270</v>
      </c>
      <c r="C120" s="16"/>
      <c r="D120" s="12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  <c r="IL120" s="23"/>
      <c r="IM120" s="23"/>
      <c r="IN120" s="23"/>
      <c r="IO120" s="23"/>
      <c r="IP120" s="23"/>
      <c r="IQ120" s="23"/>
      <c r="IR120" s="23"/>
      <c r="IS120" s="23"/>
      <c r="IT120" s="23"/>
      <c r="IU120" s="23"/>
      <c r="IV120" s="23"/>
      <c r="IW120" s="23"/>
      <c r="IX120" s="23"/>
      <c r="IY120" s="23"/>
    </row>
    <row r="121" spans="2:259" x14ac:dyDescent="0.15" hidden="true">
      <c r="B121" s="16" t="s">
        <v>271</v>
      </c>
      <c r="C121" s="16"/>
      <c r="D121" s="12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  <c r="IL121" s="23"/>
      <c r="IM121" s="23"/>
      <c r="IN121" s="23"/>
      <c r="IO121" s="23"/>
      <c r="IP121" s="23"/>
      <c r="IQ121" s="23"/>
      <c r="IR121" s="23"/>
      <c r="IS121" s="23"/>
      <c r="IT121" s="23"/>
      <c r="IU121" s="23"/>
      <c r="IV121" s="23"/>
      <c r="IW121" s="23"/>
      <c r="IX121" s="23"/>
      <c r="IY121" s="23"/>
    </row>
    <row r="122" spans="2:259" x14ac:dyDescent="0.15" hidden="true">
      <c r="B122" s="16" t="s">
        <v>272</v>
      </c>
      <c r="C122" s="16"/>
      <c r="D122" s="12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  <c r="IL122" s="23"/>
      <c r="IM122" s="23"/>
      <c r="IN122" s="23"/>
      <c r="IO122" s="23"/>
      <c r="IP122" s="23"/>
      <c r="IQ122" s="23"/>
      <c r="IR122" s="23"/>
      <c r="IS122" s="23"/>
      <c r="IT122" s="23"/>
      <c r="IU122" s="23"/>
      <c r="IV122" s="23"/>
      <c r="IW122" s="23"/>
      <c r="IX122" s="23"/>
      <c r="IY122" s="23"/>
    </row>
    <row r="123" spans="2:259" x14ac:dyDescent="0.15" hidden="true">
      <c r="B123" s="16" t="s">
        <v>273</v>
      </c>
      <c r="C123" s="16"/>
      <c r="D123" s="12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3"/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  <c r="IL123" s="23"/>
      <c r="IM123" s="23"/>
      <c r="IN123" s="23"/>
      <c r="IO123" s="23"/>
      <c r="IP123" s="23"/>
      <c r="IQ123" s="23"/>
      <c r="IR123" s="23"/>
      <c r="IS123" s="23"/>
      <c r="IT123" s="23"/>
      <c r="IU123" s="23"/>
      <c r="IV123" s="23"/>
      <c r="IW123" s="23"/>
      <c r="IX123" s="23"/>
      <c r="IY123" s="23"/>
    </row>
    <row r="124" spans="2:259" x14ac:dyDescent="0.15" hidden="true">
      <c r="B124" s="16" t="s">
        <v>274</v>
      </c>
      <c r="C124" s="16"/>
      <c r="D124" s="12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  <c r="IL124" s="23"/>
      <c r="IM124" s="23"/>
      <c r="IN124" s="23"/>
      <c r="IO124" s="23"/>
      <c r="IP124" s="23"/>
      <c r="IQ124" s="23"/>
      <c r="IR124" s="23"/>
      <c r="IS124" s="23"/>
      <c r="IT124" s="23"/>
      <c r="IU124" s="23"/>
      <c r="IV124" s="23"/>
      <c r="IW124" s="23"/>
      <c r="IX124" s="23"/>
      <c r="IY124" s="23"/>
    </row>
    <row r="125" spans="2:259" x14ac:dyDescent="0.15" hidden="true">
      <c r="B125" s="16" t="s">
        <v>275</v>
      </c>
      <c r="C125" s="16"/>
      <c r="D125" s="12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  <c r="IL125" s="23"/>
      <c r="IM125" s="23"/>
      <c r="IN125" s="23"/>
      <c r="IO125" s="23"/>
      <c r="IP125" s="23"/>
      <c r="IQ125" s="23"/>
      <c r="IR125" s="23"/>
      <c r="IS125" s="23"/>
      <c r="IT125" s="23"/>
      <c r="IU125" s="23"/>
      <c r="IV125" s="23"/>
      <c r="IW125" s="23"/>
      <c r="IX125" s="23"/>
      <c r="IY125" s="23"/>
    </row>
    <row r="126" spans="2:259" x14ac:dyDescent="0.15" hidden="true">
      <c r="B126" s="16" t="s">
        <v>276</v>
      </c>
      <c r="C126" s="16"/>
      <c r="D126" s="12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  <c r="IR126" s="23"/>
      <c r="IS126" s="23"/>
      <c r="IT126" s="23"/>
      <c r="IU126" s="23"/>
      <c r="IV126" s="23"/>
      <c r="IW126" s="23"/>
      <c r="IX126" s="23"/>
      <c r="IY126" s="23"/>
    </row>
    <row r="127" spans="2:259" x14ac:dyDescent="0.15" hidden="true">
      <c r="B127" s="16" t="s">
        <v>277</v>
      </c>
      <c r="C127" s="16"/>
      <c r="D127" s="12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  <c r="IL127" s="23"/>
      <c r="IM127" s="23"/>
      <c r="IN127" s="23"/>
      <c r="IO127" s="23"/>
      <c r="IP127" s="23"/>
      <c r="IQ127" s="23"/>
      <c r="IR127" s="23"/>
      <c r="IS127" s="23"/>
      <c r="IT127" s="23"/>
      <c r="IU127" s="23"/>
      <c r="IV127" s="23"/>
      <c r="IW127" s="23"/>
      <c r="IX127" s="23"/>
      <c r="IY127" s="23"/>
    </row>
    <row r="128" spans="2:259" x14ac:dyDescent="0.15" hidden="true">
      <c r="B128" s="16" t="s">
        <v>278</v>
      </c>
      <c r="C128" s="16"/>
      <c r="D128" s="12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  <c r="IL128" s="23"/>
      <c r="IM128" s="23"/>
      <c r="IN128" s="23"/>
      <c r="IO128" s="23"/>
      <c r="IP128" s="23"/>
      <c r="IQ128" s="23"/>
      <c r="IR128" s="23"/>
      <c r="IS128" s="23"/>
      <c r="IT128" s="23"/>
      <c r="IU128" s="23"/>
      <c r="IV128" s="23"/>
      <c r="IW128" s="23"/>
      <c r="IX128" s="23"/>
      <c r="IY128" s="23"/>
    </row>
    <row r="129" spans="2:259" x14ac:dyDescent="0.15" hidden="true">
      <c r="B129" s="16" t="s">
        <v>279</v>
      </c>
      <c r="C129" s="16"/>
      <c r="D129" s="12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  <c r="IL129" s="23"/>
      <c r="IM129" s="23"/>
      <c r="IN129" s="23"/>
      <c r="IO129" s="23"/>
      <c r="IP129" s="23"/>
      <c r="IQ129" s="23"/>
      <c r="IR129" s="23"/>
      <c r="IS129" s="23"/>
      <c r="IT129" s="23"/>
      <c r="IU129" s="23"/>
      <c r="IV129" s="23"/>
      <c r="IW129" s="23"/>
      <c r="IX129" s="23"/>
      <c r="IY129" s="23"/>
    </row>
    <row r="130" spans="2:259" x14ac:dyDescent="0.15" hidden="true">
      <c r="B130" s="16" t="s">
        <v>280</v>
      </c>
      <c r="C130" s="16"/>
      <c r="D130" s="12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  <c r="IL130" s="23"/>
      <c r="IM130" s="23"/>
      <c r="IN130" s="23"/>
      <c r="IO130" s="23"/>
      <c r="IP130" s="23"/>
      <c r="IQ130" s="23"/>
      <c r="IR130" s="23"/>
      <c r="IS130" s="23"/>
      <c r="IT130" s="23"/>
      <c r="IU130" s="23"/>
      <c r="IV130" s="23"/>
      <c r="IW130" s="23"/>
      <c r="IX130" s="23"/>
      <c r="IY130" s="23"/>
    </row>
    <row r="131" spans="2:259" x14ac:dyDescent="0.15" hidden="true">
      <c r="B131" s="16" t="s">
        <v>281</v>
      </c>
      <c r="C131" s="16"/>
      <c r="D131" s="12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  <c r="IL131" s="23"/>
      <c r="IM131" s="23"/>
      <c r="IN131" s="23"/>
      <c r="IO131" s="23"/>
      <c r="IP131" s="23"/>
      <c r="IQ131" s="23"/>
      <c r="IR131" s="23"/>
      <c r="IS131" s="23"/>
      <c r="IT131" s="23"/>
      <c r="IU131" s="23"/>
      <c r="IV131" s="23"/>
      <c r="IW131" s="23"/>
      <c r="IX131" s="23"/>
      <c r="IY131" s="23"/>
    </row>
    <row r="132" spans="2:259" x14ac:dyDescent="0.15" hidden="true">
      <c r="B132" s="16" t="s">
        <v>282</v>
      </c>
      <c r="C132" s="16"/>
      <c r="D132" s="12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  <c r="IL132" s="23"/>
      <c r="IM132" s="23"/>
      <c r="IN132" s="23"/>
      <c r="IO132" s="23"/>
      <c r="IP132" s="23"/>
      <c r="IQ132" s="23"/>
      <c r="IR132" s="23"/>
      <c r="IS132" s="23"/>
      <c r="IT132" s="23"/>
      <c r="IU132" s="23"/>
      <c r="IV132" s="23"/>
      <c r="IW132" s="23"/>
      <c r="IX132" s="23"/>
      <c r="IY132" s="23"/>
    </row>
    <row r="133" spans="2:259" x14ac:dyDescent="0.15" hidden="true">
      <c r="B133" s="16" t="s">
        <v>283</v>
      </c>
      <c r="C133" s="16"/>
      <c r="D133" s="12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  <c r="IL133" s="23"/>
      <c r="IM133" s="23"/>
      <c r="IN133" s="23"/>
      <c r="IO133" s="23"/>
      <c r="IP133" s="23"/>
      <c r="IQ133" s="23"/>
      <c r="IR133" s="23"/>
      <c r="IS133" s="23"/>
      <c r="IT133" s="23"/>
      <c r="IU133" s="23"/>
      <c r="IV133" s="23"/>
      <c r="IW133" s="23"/>
      <c r="IX133" s="23"/>
      <c r="IY133" s="23"/>
    </row>
    <row r="134" spans="2:259" x14ac:dyDescent="0.15" hidden="true">
      <c r="B134" s="16" t="s">
        <v>284</v>
      </c>
      <c r="C134" s="16"/>
      <c r="D134" s="12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  <c r="IL134" s="23"/>
      <c r="IM134" s="23"/>
      <c r="IN134" s="23"/>
      <c r="IO134" s="23"/>
      <c r="IP134" s="23"/>
      <c r="IQ134" s="23"/>
      <c r="IR134" s="23"/>
      <c r="IS134" s="23"/>
      <c r="IT134" s="23"/>
      <c r="IU134" s="23"/>
      <c r="IV134" s="23"/>
      <c r="IW134" s="23"/>
      <c r="IX134" s="23"/>
      <c r="IY134" s="23"/>
    </row>
    <row r="135" spans="2:259" x14ac:dyDescent="0.15" hidden="true">
      <c r="B135" s="16" t="s">
        <v>285</v>
      </c>
      <c r="C135" s="16"/>
      <c r="D135" s="12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  <c r="IL135" s="23"/>
      <c r="IM135" s="23"/>
      <c r="IN135" s="23"/>
      <c r="IO135" s="23"/>
      <c r="IP135" s="23"/>
      <c r="IQ135" s="23"/>
      <c r="IR135" s="23"/>
      <c r="IS135" s="23"/>
      <c r="IT135" s="23"/>
      <c r="IU135" s="23"/>
      <c r="IV135" s="23"/>
      <c r="IW135" s="23"/>
      <c r="IX135" s="23"/>
      <c r="IY135" s="23"/>
    </row>
    <row r="136" spans="2:259" x14ac:dyDescent="0.15" hidden="true">
      <c r="B136" s="16" t="s">
        <v>286</v>
      </c>
      <c r="C136" s="16"/>
      <c r="D136" s="12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  <c r="IL136" s="23"/>
      <c r="IM136" s="23"/>
      <c r="IN136" s="23"/>
      <c r="IO136" s="23"/>
      <c r="IP136" s="23"/>
      <c r="IQ136" s="23"/>
      <c r="IR136" s="23"/>
      <c r="IS136" s="23"/>
      <c r="IT136" s="23"/>
      <c r="IU136" s="23"/>
      <c r="IV136" s="23"/>
      <c r="IW136" s="23"/>
      <c r="IX136" s="23"/>
      <c r="IY136" s="23"/>
    </row>
    <row r="137" spans="2:259" x14ac:dyDescent="0.15" hidden="true">
      <c r="B137" s="16" t="s">
        <v>287</v>
      </c>
      <c r="C137" s="16"/>
      <c r="D137" s="12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  <c r="IL137" s="23"/>
      <c r="IM137" s="23"/>
      <c r="IN137" s="23"/>
      <c r="IO137" s="23"/>
      <c r="IP137" s="23"/>
      <c r="IQ137" s="23"/>
      <c r="IR137" s="23"/>
      <c r="IS137" s="23"/>
      <c r="IT137" s="23"/>
      <c r="IU137" s="23"/>
      <c r="IV137" s="23"/>
      <c r="IW137" s="23"/>
      <c r="IX137" s="23"/>
      <c r="IY137" s="23"/>
    </row>
    <row r="138" spans="2:259" x14ac:dyDescent="0.15" hidden="true">
      <c r="B138" s="16" t="s">
        <v>288</v>
      </c>
      <c r="C138" s="16"/>
      <c r="D138" s="12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  <c r="IL138" s="23"/>
      <c r="IM138" s="23"/>
      <c r="IN138" s="23"/>
      <c r="IO138" s="23"/>
      <c r="IP138" s="23"/>
      <c r="IQ138" s="23"/>
      <c r="IR138" s="23"/>
      <c r="IS138" s="23"/>
      <c r="IT138" s="23"/>
      <c r="IU138" s="23"/>
      <c r="IV138" s="23"/>
      <c r="IW138" s="23"/>
      <c r="IX138" s="23"/>
      <c r="IY138" s="23"/>
    </row>
    <row r="139" spans="2:259" x14ac:dyDescent="0.15" hidden="true">
      <c r="B139" s="16" t="s">
        <v>289</v>
      </c>
      <c r="C139" s="16"/>
      <c r="D139" s="12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  <c r="IL139" s="23"/>
      <c r="IM139" s="23"/>
      <c r="IN139" s="23"/>
      <c r="IO139" s="23"/>
      <c r="IP139" s="23"/>
      <c r="IQ139" s="23"/>
      <c r="IR139" s="23"/>
      <c r="IS139" s="23"/>
      <c r="IT139" s="23"/>
      <c r="IU139" s="23"/>
      <c r="IV139" s="23"/>
      <c r="IW139" s="23"/>
      <c r="IX139" s="23"/>
      <c r="IY139" s="23"/>
    </row>
    <row r="140" spans="2:259" x14ac:dyDescent="0.15" hidden="true">
      <c r="B140" s="16" t="s">
        <v>290</v>
      </c>
      <c r="C140" s="16"/>
      <c r="D140" s="12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  <c r="IL140" s="23"/>
      <c r="IM140" s="23"/>
      <c r="IN140" s="23"/>
      <c r="IO140" s="23"/>
      <c r="IP140" s="23"/>
      <c r="IQ140" s="23"/>
      <c r="IR140" s="23"/>
      <c r="IS140" s="23"/>
      <c r="IT140" s="23"/>
      <c r="IU140" s="23"/>
      <c r="IV140" s="23"/>
      <c r="IW140" s="23"/>
      <c r="IX140" s="23"/>
      <c r="IY140" s="23"/>
    </row>
    <row r="141" spans="2:259" x14ac:dyDescent="0.15" hidden="true">
      <c r="B141" s="16" t="s">
        <v>291</v>
      </c>
      <c r="C141" s="16"/>
      <c r="D141" s="12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  <c r="IL141" s="23"/>
      <c r="IM141" s="23"/>
      <c r="IN141" s="23"/>
      <c r="IO141" s="23"/>
      <c r="IP141" s="23"/>
      <c r="IQ141" s="23"/>
      <c r="IR141" s="23"/>
      <c r="IS141" s="23"/>
      <c r="IT141" s="23"/>
      <c r="IU141" s="23"/>
      <c r="IV141" s="23"/>
      <c r="IW141" s="23"/>
      <c r="IX141" s="23"/>
      <c r="IY141" s="23"/>
    </row>
    <row r="142" spans="2:259" x14ac:dyDescent="0.15" hidden="true">
      <c r="B142" s="16" t="s">
        <v>292</v>
      </c>
      <c r="C142" s="16"/>
      <c r="D142" s="12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  <c r="IL142" s="23"/>
      <c r="IM142" s="23"/>
      <c r="IN142" s="23"/>
      <c r="IO142" s="23"/>
      <c r="IP142" s="23"/>
      <c r="IQ142" s="23"/>
      <c r="IR142" s="23"/>
      <c r="IS142" s="23"/>
      <c r="IT142" s="23"/>
      <c r="IU142" s="23"/>
      <c r="IV142" s="23"/>
      <c r="IW142" s="23"/>
      <c r="IX142" s="23"/>
      <c r="IY142" s="23"/>
    </row>
    <row r="143" spans="2:259" x14ac:dyDescent="0.15" hidden="true">
      <c r="B143" s="16" t="s">
        <v>293</v>
      </c>
      <c r="C143" s="16"/>
      <c r="D143" s="12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3"/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  <c r="IL143" s="23"/>
      <c r="IM143" s="23"/>
      <c r="IN143" s="23"/>
      <c r="IO143" s="23"/>
      <c r="IP143" s="23"/>
      <c r="IQ143" s="23"/>
      <c r="IR143" s="23"/>
      <c r="IS143" s="23"/>
      <c r="IT143" s="23"/>
      <c r="IU143" s="23"/>
      <c r="IV143" s="23"/>
      <c r="IW143" s="23"/>
      <c r="IX143" s="23"/>
      <c r="IY143" s="23"/>
    </row>
    <row r="144" spans="2:259" x14ac:dyDescent="0.15" hidden="true">
      <c r="B144" s="16" t="s">
        <v>294</v>
      </c>
      <c r="C144" s="16"/>
      <c r="D144" s="12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  <c r="IL144" s="23"/>
      <c r="IM144" s="23"/>
      <c r="IN144" s="23"/>
      <c r="IO144" s="23"/>
      <c r="IP144" s="23"/>
      <c r="IQ144" s="23"/>
      <c r="IR144" s="23"/>
      <c r="IS144" s="23"/>
      <c r="IT144" s="23"/>
      <c r="IU144" s="23"/>
      <c r="IV144" s="23"/>
      <c r="IW144" s="23"/>
      <c r="IX144" s="23"/>
      <c r="IY144" s="23"/>
    </row>
    <row r="145" spans="2:259" x14ac:dyDescent="0.15" hidden="true">
      <c r="B145" s="16" t="s">
        <v>295</v>
      </c>
      <c r="C145" s="16"/>
      <c r="D145" s="12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  <c r="IL145" s="23"/>
      <c r="IM145" s="23"/>
      <c r="IN145" s="23"/>
      <c r="IO145" s="23"/>
      <c r="IP145" s="23"/>
      <c r="IQ145" s="23"/>
      <c r="IR145" s="23"/>
      <c r="IS145" s="23"/>
      <c r="IT145" s="23"/>
      <c r="IU145" s="23"/>
      <c r="IV145" s="23"/>
      <c r="IW145" s="23"/>
      <c r="IX145" s="23"/>
      <c r="IY145" s="23"/>
    </row>
    <row r="146" spans="2:259" x14ac:dyDescent="0.15" hidden="true">
      <c r="B146" s="16" t="s">
        <v>296</v>
      </c>
      <c r="C146" s="16"/>
      <c r="D146" s="12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  <c r="IL146" s="23"/>
      <c r="IM146" s="23"/>
      <c r="IN146" s="23"/>
      <c r="IO146" s="23"/>
      <c r="IP146" s="23"/>
      <c r="IQ146" s="23"/>
      <c r="IR146" s="23"/>
      <c r="IS146" s="23"/>
      <c r="IT146" s="23"/>
      <c r="IU146" s="23"/>
      <c r="IV146" s="23"/>
      <c r="IW146" s="23"/>
      <c r="IX146" s="23"/>
      <c r="IY146" s="23"/>
    </row>
    <row r="147" spans="2:259" x14ac:dyDescent="0.15" hidden="true">
      <c r="B147" s="16" t="s">
        <v>297</v>
      </c>
      <c r="C147" s="16"/>
      <c r="D147" s="12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3"/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  <c r="IL147" s="23"/>
      <c r="IM147" s="23"/>
      <c r="IN147" s="23"/>
      <c r="IO147" s="23"/>
      <c r="IP147" s="23"/>
      <c r="IQ147" s="23"/>
      <c r="IR147" s="23"/>
      <c r="IS147" s="23"/>
      <c r="IT147" s="23"/>
      <c r="IU147" s="23"/>
      <c r="IV147" s="23"/>
      <c r="IW147" s="23"/>
      <c r="IX147" s="23"/>
      <c r="IY147" s="23"/>
    </row>
    <row r="148" spans="2:259" x14ac:dyDescent="0.15" hidden="true">
      <c r="B148" s="16" t="s">
        <v>298</v>
      </c>
      <c r="C148" s="16"/>
      <c r="D148" s="12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  <c r="IL148" s="23"/>
      <c r="IM148" s="23"/>
      <c r="IN148" s="23"/>
      <c r="IO148" s="23"/>
      <c r="IP148" s="23"/>
      <c r="IQ148" s="23"/>
      <c r="IR148" s="23"/>
      <c r="IS148" s="23"/>
      <c r="IT148" s="23"/>
      <c r="IU148" s="23"/>
      <c r="IV148" s="23"/>
      <c r="IW148" s="23"/>
      <c r="IX148" s="23"/>
      <c r="IY148" s="23"/>
    </row>
    <row r="149" spans="2:259" x14ac:dyDescent="0.15" hidden="true">
      <c r="B149" s="16" t="s">
        <v>299</v>
      </c>
      <c r="C149" s="16"/>
      <c r="D149" s="12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3"/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  <c r="IL149" s="23"/>
      <c r="IM149" s="23"/>
      <c r="IN149" s="23"/>
      <c r="IO149" s="23"/>
      <c r="IP149" s="23"/>
      <c r="IQ149" s="23"/>
      <c r="IR149" s="23"/>
      <c r="IS149" s="23"/>
      <c r="IT149" s="23"/>
      <c r="IU149" s="23"/>
      <c r="IV149" s="23"/>
      <c r="IW149" s="23"/>
      <c r="IX149" s="23"/>
      <c r="IY149" s="23"/>
    </row>
    <row r="150" spans="2:259" x14ac:dyDescent="0.15" hidden="true">
      <c r="B150" s="16" t="s">
        <v>300</v>
      </c>
      <c r="C150" s="16"/>
      <c r="D150" s="12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  <c r="IL150" s="23"/>
      <c r="IM150" s="23"/>
      <c r="IN150" s="23"/>
      <c r="IO150" s="23"/>
      <c r="IP150" s="23"/>
      <c r="IQ150" s="23"/>
      <c r="IR150" s="23"/>
      <c r="IS150" s="23"/>
      <c r="IT150" s="23"/>
      <c r="IU150" s="23"/>
      <c r="IV150" s="23"/>
      <c r="IW150" s="23"/>
      <c r="IX150" s="23"/>
      <c r="IY150" s="23"/>
    </row>
    <row r="151" spans="2:259" x14ac:dyDescent="0.15" hidden="true">
      <c r="B151" s="16" t="s">
        <v>301</v>
      </c>
      <c r="C151" s="16"/>
      <c r="D151" s="12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  <c r="IL151" s="23"/>
      <c r="IM151" s="23"/>
      <c r="IN151" s="23"/>
      <c r="IO151" s="23"/>
      <c r="IP151" s="23"/>
      <c r="IQ151" s="23"/>
      <c r="IR151" s="23"/>
      <c r="IS151" s="23"/>
      <c r="IT151" s="23"/>
      <c r="IU151" s="23"/>
      <c r="IV151" s="23"/>
      <c r="IW151" s="23"/>
      <c r="IX151" s="23"/>
      <c r="IY151" s="23"/>
    </row>
    <row r="152" spans="2:259" x14ac:dyDescent="0.15" hidden="true">
      <c r="B152" s="16" t="s">
        <v>302</v>
      </c>
      <c r="C152" s="16"/>
      <c r="D152" s="12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  <c r="IL152" s="23"/>
      <c r="IM152" s="23"/>
      <c r="IN152" s="23"/>
      <c r="IO152" s="23"/>
      <c r="IP152" s="23"/>
      <c r="IQ152" s="23"/>
      <c r="IR152" s="23"/>
      <c r="IS152" s="23"/>
      <c r="IT152" s="23"/>
      <c r="IU152" s="23"/>
      <c r="IV152" s="23"/>
      <c r="IW152" s="23"/>
      <c r="IX152" s="23"/>
      <c r="IY152" s="23"/>
    </row>
    <row r="153" spans="2:259" x14ac:dyDescent="0.15" hidden="true">
      <c r="B153" s="16" t="s">
        <v>303</v>
      </c>
      <c r="C153" s="16"/>
      <c r="D153" s="12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  <c r="IL153" s="23"/>
      <c r="IM153" s="23"/>
      <c r="IN153" s="23"/>
      <c r="IO153" s="23"/>
      <c r="IP153" s="23"/>
      <c r="IQ153" s="23"/>
      <c r="IR153" s="23"/>
      <c r="IS153" s="23"/>
      <c r="IT153" s="23"/>
      <c r="IU153" s="23"/>
      <c r="IV153" s="23"/>
      <c r="IW153" s="23"/>
      <c r="IX153" s="23"/>
      <c r="IY153" s="23"/>
    </row>
    <row r="154" spans="2:259" x14ac:dyDescent="0.15" hidden="true">
      <c r="B154" s="16" t="s">
        <v>304</v>
      </c>
      <c r="C154" s="16"/>
      <c r="D154" s="12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  <c r="IL154" s="23"/>
      <c r="IM154" s="23"/>
      <c r="IN154" s="23"/>
      <c r="IO154" s="23"/>
      <c r="IP154" s="23"/>
      <c r="IQ154" s="23"/>
      <c r="IR154" s="23"/>
      <c r="IS154" s="23"/>
      <c r="IT154" s="23"/>
      <c r="IU154" s="23"/>
      <c r="IV154" s="23"/>
      <c r="IW154" s="23"/>
      <c r="IX154" s="23"/>
      <c r="IY154" s="23"/>
    </row>
    <row r="155" spans="2:259" x14ac:dyDescent="0.15" hidden="true">
      <c r="B155" s="16" t="s">
        <v>305</v>
      </c>
      <c r="C155" s="16"/>
      <c r="D155" s="12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  <c r="IR155" s="23"/>
      <c r="IS155" s="23"/>
      <c r="IT155" s="23"/>
      <c r="IU155" s="23"/>
      <c r="IV155" s="23"/>
      <c r="IW155" s="23"/>
      <c r="IX155" s="23"/>
      <c r="IY155" s="23"/>
    </row>
    <row r="156" spans="2:259" x14ac:dyDescent="0.15" hidden="true">
      <c r="B156" s="16" t="s">
        <v>306</v>
      </c>
      <c r="C156" s="16"/>
      <c r="D156" s="12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  <c r="IR156" s="23"/>
      <c r="IS156" s="23"/>
      <c r="IT156" s="23"/>
      <c r="IU156" s="23"/>
      <c r="IV156" s="23"/>
      <c r="IW156" s="23"/>
      <c r="IX156" s="23"/>
      <c r="IY156" s="23"/>
    </row>
    <row r="157" spans="2:259" x14ac:dyDescent="0.15" hidden="true">
      <c r="B157" s="16" t="s">
        <v>307</v>
      </c>
      <c r="C157" s="16"/>
      <c r="D157" s="12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  <c r="IR157" s="23"/>
      <c r="IS157" s="23"/>
      <c r="IT157" s="23"/>
      <c r="IU157" s="23"/>
      <c r="IV157" s="23"/>
      <c r="IW157" s="23"/>
      <c r="IX157" s="23"/>
      <c r="IY157" s="23"/>
    </row>
    <row r="158" spans="2:259" x14ac:dyDescent="0.15" hidden="true">
      <c r="B158" s="16" t="s">
        <v>308</v>
      </c>
      <c r="C158" s="16"/>
      <c r="D158" s="12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  <c r="IR158" s="23"/>
      <c r="IS158" s="23"/>
      <c r="IT158" s="23"/>
      <c r="IU158" s="23"/>
      <c r="IV158" s="23"/>
      <c r="IW158" s="23"/>
      <c r="IX158" s="23"/>
      <c r="IY158" s="23"/>
    </row>
    <row r="159" spans="2:259" x14ac:dyDescent="0.15" hidden="true">
      <c r="B159" s="16" t="s">
        <v>309</v>
      </c>
      <c r="C159" s="16"/>
      <c r="D159" s="12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  <c r="IR159" s="23"/>
      <c r="IS159" s="23"/>
      <c r="IT159" s="23"/>
      <c r="IU159" s="23"/>
      <c r="IV159" s="23"/>
      <c r="IW159" s="23"/>
      <c r="IX159" s="23"/>
      <c r="IY159" s="23"/>
    </row>
    <row r="160" spans="2:259" x14ac:dyDescent="0.15" hidden="true">
      <c r="B160" s="16" t="s">
        <v>310</v>
      </c>
      <c r="C160" s="16"/>
      <c r="D160" s="12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  <c r="IR160" s="23"/>
      <c r="IS160" s="23"/>
      <c r="IT160" s="23"/>
      <c r="IU160" s="23"/>
      <c r="IV160" s="23"/>
      <c r="IW160" s="23"/>
      <c r="IX160" s="23"/>
      <c r="IY160" s="23"/>
    </row>
    <row r="161" spans="2:259" x14ac:dyDescent="0.15" hidden="true">
      <c r="B161" s="16" t="s">
        <v>311</v>
      </c>
      <c r="C161" s="16"/>
      <c r="D161" s="12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  <c r="IR161" s="23"/>
      <c r="IS161" s="23"/>
      <c r="IT161" s="23"/>
      <c r="IU161" s="23"/>
      <c r="IV161" s="23"/>
      <c r="IW161" s="23"/>
      <c r="IX161" s="23"/>
      <c r="IY161" s="23"/>
    </row>
    <row r="162" spans="2:259" x14ac:dyDescent="0.15" hidden="true">
      <c r="B162" s="16" t="s">
        <v>312</v>
      </c>
      <c r="C162" s="16"/>
      <c r="D162" s="12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  <c r="IR162" s="23"/>
      <c r="IS162" s="23"/>
      <c r="IT162" s="23"/>
      <c r="IU162" s="23"/>
      <c r="IV162" s="23"/>
      <c r="IW162" s="23"/>
      <c r="IX162" s="23"/>
      <c r="IY162" s="23"/>
    </row>
    <row r="163" spans="2:259" x14ac:dyDescent="0.15" hidden="true">
      <c r="B163" s="16" t="s">
        <v>313</v>
      </c>
      <c r="C163" s="16"/>
      <c r="D163" s="12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3"/>
      <c r="IS163" s="23"/>
      <c r="IT163" s="23"/>
      <c r="IU163" s="23"/>
      <c r="IV163" s="23"/>
      <c r="IW163" s="23"/>
      <c r="IX163" s="23"/>
      <c r="IY163" s="23"/>
    </row>
    <row r="164" spans="2:259" x14ac:dyDescent="0.15" hidden="true">
      <c r="B164" s="16" t="s">
        <v>314</v>
      </c>
      <c r="C164" s="16"/>
      <c r="D164" s="12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23"/>
      <c r="IU164" s="23"/>
      <c r="IV164" s="23"/>
      <c r="IW164" s="23"/>
      <c r="IX164" s="23"/>
      <c r="IY164" s="23"/>
    </row>
    <row r="165" spans="2:259" x14ac:dyDescent="0.15" hidden="true">
      <c r="B165" s="16" t="s">
        <v>315</v>
      </c>
      <c r="C165" s="16"/>
      <c r="D165" s="12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3"/>
      <c r="IS165" s="23"/>
      <c r="IT165" s="23"/>
      <c r="IU165" s="23"/>
      <c r="IV165" s="23"/>
      <c r="IW165" s="23"/>
      <c r="IX165" s="23"/>
      <c r="IY165" s="23"/>
    </row>
    <row r="166" spans="2:259" x14ac:dyDescent="0.15" hidden="true">
      <c r="B166" s="16" t="s">
        <v>316</v>
      </c>
      <c r="C166" s="16"/>
      <c r="D166" s="12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3"/>
      <c r="IS166" s="23"/>
      <c r="IT166" s="23"/>
      <c r="IU166" s="23"/>
      <c r="IV166" s="23"/>
      <c r="IW166" s="23"/>
      <c r="IX166" s="23"/>
      <c r="IY166" s="23"/>
    </row>
    <row r="167" spans="2:259" x14ac:dyDescent="0.15" hidden="true">
      <c r="B167" s="16" t="s">
        <v>317</v>
      </c>
      <c r="C167" s="16"/>
      <c r="D167" s="12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  <c r="IW167" s="23"/>
      <c r="IX167" s="23"/>
      <c r="IY167" s="23"/>
    </row>
    <row r="168" spans="2:259" x14ac:dyDescent="0.15" hidden="true">
      <c r="B168" s="16" t="s">
        <v>318</v>
      </c>
      <c r="C168" s="16"/>
      <c r="D168" s="12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  <c r="IW168" s="23"/>
      <c r="IX168" s="23"/>
      <c r="IY168" s="23"/>
    </row>
    <row r="169" spans="2:259" x14ac:dyDescent="0.15" hidden="true">
      <c r="B169" s="16" t="s">
        <v>319</v>
      </c>
      <c r="C169" s="16"/>
      <c r="D169" s="12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  <c r="IR169" s="23"/>
      <c r="IS169" s="23"/>
      <c r="IT169" s="23"/>
      <c r="IU169" s="23"/>
      <c r="IV169" s="23"/>
      <c r="IW169" s="23"/>
      <c r="IX169" s="23"/>
      <c r="IY169" s="23"/>
    </row>
    <row r="170" spans="2:259" x14ac:dyDescent="0.15" hidden="true">
      <c r="B170" s="16" t="s">
        <v>320</v>
      </c>
      <c r="C170" s="16"/>
      <c r="D170" s="12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  <c r="IR170" s="23"/>
      <c r="IS170" s="23"/>
      <c r="IT170" s="23"/>
      <c r="IU170" s="23"/>
      <c r="IV170" s="23"/>
      <c r="IW170" s="23"/>
      <c r="IX170" s="23"/>
      <c r="IY170" s="23"/>
    </row>
    <row r="171" spans="2:259" x14ac:dyDescent="0.15" hidden="true">
      <c r="B171" s="16" t="s">
        <v>321</v>
      </c>
      <c r="C171" s="16"/>
      <c r="D171" s="12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  <c r="IR171" s="23"/>
      <c r="IS171" s="23"/>
      <c r="IT171" s="23"/>
      <c r="IU171" s="23"/>
      <c r="IV171" s="23"/>
      <c r="IW171" s="23"/>
      <c r="IX171" s="23"/>
      <c r="IY171" s="23"/>
    </row>
    <row r="172" spans="2:259" x14ac:dyDescent="0.15" hidden="true">
      <c r="B172" s="16" t="s">
        <v>322</v>
      </c>
      <c r="C172" s="16"/>
      <c r="D172" s="12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3"/>
      <c r="IS172" s="23"/>
      <c r="IT172" s="23"/>
      <c r="IU172" s="23"/>
      <c r="IV172" s="23"/>
      <c r="IW172" s="23"/>
      <c r="IX172" s="23"/>
      <c r="IY172" s="23"/>
    </row>
    <row r="173" spans="2:259" x14ac:dyDescent="0.15" hidden="true">
      <c r="B173" s="16" t="s">
        <v>323</v>
      </c>
      <c r="C173" s="16"/>
      <c r="D173" s="12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  <c r="IR173" s="23"/>
      <c r="IS173" s="23"/>
      <c r="IT173" s="23"/>
      <c r="IU173" s="23"/>
      <c r="IV173" s="23"/>
      <c r="IW173" s="23"/>
      <c r="IX173" s="23"/>
      <c r="IY173" s="23"/>
    </row>
    <row r="174" spans="2:259" x14ac:dyDescent="0.15" hidden="true">
      <c r="B174" s="16" t="s">
        <v>324</v>
      </c>
      <c r="C174" s="16"/>
      <c r="D174" s="12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  <c r="IR174" s="23"/>
      <c r="IS174" s="23"/>
      <c r="IT174" s="23"/>
      <c r="IU174" s="23"/>
      <c r="IV174" s="23"/>
      <c r="IW174" s="23"/>
      <c r="IX174" s="23"/>
      <c r="IY174" s="23"/>
    </row>
    <row r="175" spans="2:259" x14ac:dyDescent="0.15" hidden="true">
      <c r="B175" s="16" t="s">
        <v>325</v>
      </c>
      <c r="C175" s="16"/>
      <c r="D175" s="12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  <c r="IR175" s="23"/>
      <c r="IS175" s="23"/>
      <c r="IT175" s="23"/>
      <c r="IU175" s="23"/>
      <c r="IV175" s="23"/>
      <c r="IW175" s="23"/>
      <c r="IX175" s="23"/>
      <c r="IY175" s="23"/>
    </row>
    <row r="176" spans="2:259" x14ac:dyDescent="0.15" hidden="true">
      <c r="B176" s="16" t="s">
        <v>326</v>
      </c>
      <c r="C176" s="16"/>
      <c r="D176" s="12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  <c r="IR176" s="23"/>
      <c r="IS176" s="23"/>
      <c r="IT176" s="23"/>
      <c r="IU176" s="23"/>
      <c r="IV176" s="23"/>
      <c r="IW176" s="23"/>
      <c r="IX176" s="23"/>
      <c r="IY176" s="23"/>
    </row>
    <row r="177" spans="2:259" x14ac:dyDescent="0.15" hidden="true">
      <c r="B177" s="16" t="s">
        <v>327</v>
      </c>
      <c r="C177" s="16"/>
      <c r="D177" s="12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3"/>
      <c r="IS177" s="23"/>
      <c r="IT177" s="23"/>
      <c r="IU177" s="23"/>
      <c r="IV177" s="23"/>
      <c r="IW177" s="23"/>
      <c r="IX177" s="23"/>
      <c r="IY177" s="23"/>
    </row>
    <row r="178" spans="2:259" x14ac:dyDescent="0.15" hidden="true">
      <c r="B178" s="16" t="s">
        <v>328</v>
      </c>
      <c r="C178" s="16"/>
      <c r="D178" s="12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3"/>
      <c r="IS178" s="23"/>
      <c r="IT178" s="23"/>
      <c r="IU178" s="23"/>
      <c r="IV178" s="23"/>
      <c r="IW178" s="23"/>
      <c r="IX178" s="23"/>
      <c r="IY178" s="23"/>
    </row>
    <row r="179" spans="2:259" x14ac:dyDescent="0.15" hidden="true">
      <c r="B179" s="16" t="s">
        <v>329</v>
      </c>
      <c r="C179" s="16"/>
      <c r="D179" s="12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23"/>
      <c r="IU179" s="23"/>
      <c r="IV179" s="23"/>
      <c r="IW179" s="23"/>
      <c r="IX179" s="23"/>
      <c r="IY179" s="23"/>
    </row>
    <row r="180" spans="2:259" x14ac:dyDescent="0.15" hidden="true">
      <c r="B180" s="16" t="s">
        <v>330</v>
      </c>
      <c r="C180" s="16"/>
      <c r="D180" s="12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  <c r="IR180" s="23"/>
      <c r="IS180" s="23"/>
      <c r="IT180" s="23"/>
      <c r="IU180" s="23"/>
      <c r="IV180" s="23"/>
      <c r="IW180" s="23"/>
      <c r="IX180" s="23"/>
      <c r="IY180" s="23"/>
    </row>
    <row r="181" spans="2:259" x14ac:dyDescent="0.15" hidden="true">
      <c r="B181" s="16" t="s">
        <v>331</v>
      </c>
      <c r="C181" s="16"/>
      <c r="D181" s="12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  <c r="IR181" s="23"/>
      <c r="IS181" s="23"/>
      <c r="IT181" s="23"/>
      <c r="IU181" s="23"/>
      <c r="IV181" s="23"/>
      <c r="IW181" s="23"/>
      <c r="IX181" s="23"/>
      <c r="IY181" s="23"/>
    </row>
    <row r="182" spans="2:259" x14ac:dyDescent="0.15" hidden="true">
      <c r="B182" s="16" t="s">
        <v>332</v>
      </c>
      <c r="C182" s="16"/>
      <c r="D182" s="12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  <c r="IR182" s="23"/>
      <c r="IS182" s="23"/>
      <c r="IT182" s="23"/>
      <c r="IU182" s="23"/>
      <c r="IV182" s="23"/>
      <c r="IW182" s="23"/>
      <c r="IX182" s="23"/>
      <c r="IY182" s="23"/>
    </row>
    <row r="183" spans="2:259" x14ac:dyDescent="0.15" hidden="true">
      <c r="B183" s="16" t="s">
        <v>333</v>
      </c>
      <c r="C183" s="16"/>
      <c r="D183" s="12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  <c r="IR183" s="23"/>
      <c r="IS183" s="23"/>
      <c r="IT183" s="23"/>
      <c r="IU183" s="23"/>
      <c r="IV183" s="23"/>
      <c r="IW183" s="23"/>
      <c r="IX183" s="23"/>
      <c r="IY183" s="23"/>
    </row>
    <row r="184" spans="2:259" x14ac:dyDescent="0.15" hidden="true">
      <c r="B184" s="16" t="s">
        <v>334</v>
      </c>
      <c r="C184" s="16"/>
      <c r="D184" s="12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  <c r="IR184" s="23"/>
      <c r="IS184" s="23"/>
      <c r="IT184" s="23"/>
      <c r="IU184" s="23"/>
      <c r="IV184" s="23"/>
      <c r="IW184" s="23"/>
      <c r="IX184" s="23"/>
      <c r="IY184" s="23"/>
    </row>
    <row r="185" spans="2:259" x14ac:dyDescent="0.15" hidden="true">
      <c r="B185" s="16" t="s">
        <v>335</v>
      </c>
      <c r="C185" s="16"/>
      <c r="D185" s="12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  <c r="IR185" s="23"/>
      <c r="IS185" s="23"/>
      <c r="IT185" s="23"/>
      <c r="IU185" s="23"/>
      <c r="IV185" s="23"/>
      <c r="IW185" s="23"/>
      <c r="IX185" s="23"/>
      <c r="IY185" s="23"/>
    </row>
    <row r="186" spans="2:259" x14ac:dyDescent="0.15" hidden="true">
      <c r="B186" s="16" t="s">
        <v>336</v>
      </c>
      <c r="C186" s="16"/>
      <c r="D186" s="12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  <c r="IR186" s="23"/>
      <c r="IS186" s="23"/>
      <c r="IT186" s="23"/>
      <c r="IU186" s="23"/>
      <c r="IV186" s="23"/>
      <c r="IW186" s="23"/>
      <c r="IX186" s="23"/>
      <c r="IY186" s="23"/>
    </row>
    <row r="187" spans="2:259" x14ac:dyDescent="0.15" hidden="true">
      <c r="B187" s="16" t="s">
        <v>337</v>
      </c>
      <c r="C187" s="16"/>
      <c r="D187" s="12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  <c r="IR187" s="23"/>
      <c r="IS187" s="23"/>
      <c r="IT187" s="23"/>
      <c r="IU187" s="23"/>
      <c r="IV187" s="23"/>
      <c r="IW187" s="23"/>
      <c r="IX187" s="23"/>
      <c r="IY187" s="23"/>
    </row>
    <row r="188" spans="2:259" x14ac:dyDescent="0.15" hidden="true">
      <c r="B188" s="16" t="s">
        <v>338</v>
      </c>
      <c r="C188" s="16"/>
      <c r="D188" s="12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  <c r="IR188" s="23"/>
      <c r="IS188" s="23"/>
      <c r="IT188" s="23"/>
      <c r="IU188" s="23"/>
      <c r="IV188" s="23"/>
      <c r="IW188" s="23"/>
      <c r="IX188" s="23"/>
      <c r="IY188" s="23"/>
    </row>
    <row r="189" spans="2:259" x14ac:dyDescent="0.15" hidden="true">
      <c r="B189" s="16" t="s">
        <v>339</v>
      </c>
      <c r="C189" s="16"/>
      <c r="D189" s="12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  <c r="IR189" s="23"/>
      <c r="IS189" s="23"/>
      <c r="IT189" s="23"/>
      <c r="IU189" s="23"/>
      <c r="IV189" s="23"/>
      <c r="IW189" s="23"/>
      <c r="IX189" s="23"/>
      <c r="IY189" s="23"/>
    </row>
    <row r="190" spans="2:259" x14ac:dyDescent="0.15" hidden="true">
      <c r="B190" s="16" t="s">
        <v>340</v>
      </c>
      <c r="C190" s="16"/>
      <c r="D190" s="12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  <c r="IR190" s="23"/>
      <c r="IS190" s="23"/>
      <c r="IT190" s="23"/>
      <c r="IU190" s="23"/>
      <c r="IV190" s="23"/>
      <c r="IW190" s="23"/>
      <c r="IX190" s="23"/>
      <c r="IY190" s="23"/>
    </row>
    <row r="191" spans="2:259" x14ac:dyDescent="0.15" hidden="true">
      <c r="B191" s="16" t="s">
        <v>341</v>
      </c>
      <c r="C191" s="16"/>
      <c r="D191" s="12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3"/>
      <c r="IS191" s="23"/>
      <c r="IT191" s="23"/>
      <c r="IU191" s="23"/>
      <c r="IV191" s="23"/>
      <c r="IW191" s="23"/>
      <c r="IX191" s="23"/>
      <c r="IY191" s="23"/>
    </row>
    <row r="192" spans="2:259" x14ac:dyDescent="0.15" hidden="true">
      <c r="B192" s="16" t="s">
        <v>342</v>
      </c>
      <c r="C192" s="16"/>
      <c r="D192" s="12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  <c r="IR192" s="23"/>
      <c r="IS192" s="23"/>
      <c r="IT192" s="23"/>
      <c r="IU192" s="23"/>
      <c r="IV192" s="23"/>
      <c r="IW192" s="23"/>
      <c r="IX192" s="23"/>
      <c r="IY192" s="23"/>
    </row>
    <row r="193" spans="2:259" x14ac:dyDescent="0.15" hidden="true">
      <c r="B193" s="16" t="s">
        <v>343</v>
      </c>
      <c r="C193" s="16"/>
      <c r="D193" s="12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  <c r="IR193" s="23"/>
      <c r="IS193" s="23"/>
      <c r="IT193" s="23"/>
      <c r="IU193" s="23"/>
      <c r="IV193" s="23"/>
      <c r="IW193" s="23"/>
      <c r="IX193" s="23"/>
      <c r="IY193" s="23"/>
    </row>
    <row r="194" spans="2:259" x14ac:dyDescent="0.15" hidden="true">
      <c r="B194" s="16" t="s">
        <v>344</v>
      </c>
      <c r="C194" s="16"/>
      <c r="D194" s="12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  <c r="IR194" s="23"/>
      <c r="IS194" s="23"/>
      <c r="IT194" s="23"/>
      <c r="IU194" s="23"/>
      <c r="IV194" s="23"/>
      <c r="IW194" s="23"/>
      <c r="IX194" s="23"/>
      <c r="IY194" s="23"/>
    </row>
    <row r="195" spans="2:259" x14ac:dyDescent="0.15" hidden="true">
      <c r="B195" s="16" t="s">
        <v>345</v>
      </c>
      <c r="C195" s="16"/>
      <c r="D195" s="12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  <c r="IR195" s="23"/>
      <c r="IS195" s="23"/>
      <c r="IT195" s="23"/>
      <c r="IU195" s="23"/>
      <c r="IV195" s="23"/>
      <c r="IW195" s="23"/>
      <c r="IX195" s="23"/>
      <c r="IY195" s="23"/>
    </row>
    <row r="196" spans="2:259" x14ac:dyDescent="0.15" hidden="true">
      <c r="B196" s="16" t="s">
        <v>346</v>
      </c>
      <c r="C196" s="16"/>
      <c r="D196" s="12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  <c r="IR196" s="23"/>
      <c r="IS196" s="23"/>
      <c r="IT196" s="23"/>
      <c r="IU196" s="23"/>
      <c r="IV196" s="23"/>
      <c r="IW196" s="23"/>
      <c r="IX196" s="23"/>
      <c r="IY196" s="23"/>
    </row>
    <row r="197" spans="2:259" x14ac:dyDescent="0.15" hidden="true">
      <c r="B197" s="16" t="s">
        <v>347</v>
      </c>
      <c r="C197" s="16"/>
      <c r="D197" s="12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  <c r="IR197" s="23"/>
      <c r="IS197" s="23"/>
      <c r="IT197" s="23"/>
      <c r="IU197" s="23"/>
      <c r="IV197" s="23"/>
      <c r="IW197" s="23"/>
      <c r="IX197" s="23"/>
      <c r="IY197" s="23"/>
    </row>
    <row r="198" spans="2:259" x14ac:dyDescent="0.15" hidden="true">
      <c r="B198" s="16" t="s">
        <v>348</v>
      </c>
      <c r="C198" s="16"/>
      <c r="D198" s="12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  <c r="IR198" s="23"/>
      <c r="IS198" s="23"/>
      <c r="IT198" s="23"/>
      <c r="IU198" s="23"/>
      <c r="IV198" s="23"/>
      <c r="IW198" s="23"/>
      <c r="IX198" s="23"/>
      <c r="IY198" s="23"/>
    </row>
    <row r="199" spans="2:259" x14ac:dyDescent="0.15" hidden="true">
      <c r="B199" s="16" t="s">
        <v>349</v>
      </c>
      <c r="C199" s="16"/>
      <c r="D199" s="12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  <c r="IR199" s="23"/>
      <c r="IS199" s="23"/>
      <c r="IT199" s="23"/>
      <c r="IU199" s="23"/>
      <c r="IV199" s="23"/>
      <c r="IW199" s="23"/>
      <c r="IX199" s="23"/>
      <c r="IY199" s="23"/>
    </row>
    <row r="200" spans="2:259" x14ac:dyDescent="0.15" hidden="true">
      <c r="B200" s="16" t="s">
        <v>350</v>
      </c>
      <c r="C200" s="16"/>
      <c r="D200" s="12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  <c r="IR200" s="23"/>
      <c r="IS200" s="23"/>
      <c r="IT200" s="23"/>
      <c r="IU200" s="23"/>
      <c r="IV200" s="23"/>
      <c r="IW200" s="23"/>
      <c r="IX200" s="23"/>
      <c r="IY200" s="23"/>
    </row>
    <row r="201" spans="2:259" x14ac:dyDescent="0.15" hidden="true">
      <c r="B201" s="16" t="s">
        <v>351</v>
      </c>
      <c r="C201" s="16"/>
      <c r="D201" s="12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  <c r="IR201" s="23"/>
      <c r="IS201" s="23"/>
      <c r="IT201" s="23"/>
      <c r="IU201" s="23"/>
      <c r="IV201" s="23"/>
      <c r="IW201" s="23"/>
      <c r="IX201" s="23"/>
      <c r="IY201" s="23"/>
    </row>
    <row r="202" spans="2:259" x14ac:dyDescent="0.15" hidden="true">
      <c r="B202" s="16" t="s">
        <v>352</v>
      </c>
      <c r="C202" s="16"/>
      <c r="D202" s="12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  <c r="IR202" s="23"/>
      <c r="IS202" s="23"/>
      <c r="IT202" s="23"/>
      <c r="IU202" s="23"/>
      <c r="IV202" s="23"/>
      <c r="IW202" s="23"/>
      <c r="IX202" s="23"/>
      <c r="IY202" s="23"/>
    </row>
    <row r="203" spans="2:259" x14ac:dyDescent="0.15" hidden="true">
      <c r="B203" s="16" t="s">
        <v>353</v>
      </c>
      <c r="C203" s="16"/>
      <c r="D203" s="12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  <c r="IR203" s="23"/>
      <c r="IS203" s="23"/>
      <c r="IT203" s="23"/>
      <c r="IU203" s="23"/>
      <c r="IV203" s="23"/>
      <c r="IW203" s="23"/>
      <c r="IX203" s="23"/>
      <c r="IY203" s="23"/>
    </row>
    <row r="204" spans="2:259" x14ac:dyDescent="0.15" hidden="true">
      <c r="B204" s="16" t="s">
        <v>354</v>
      </c>
      <c r="C204" s="16"/>
      <c r="D204" s="12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  <c r="IR204" s="23"/>
      <c r="IS204" s="23"/>
      <c r="IT204" s="23"/>
      <c r="IU204" s="23"/>
      <c r="IV204" s="23"/>
      <c r="IW204" s="23"/>
      <c r="IX204" s="23"/>
      <c r="IY204" s="23"/>
    </row>
    <row r="205" spans="2:259" x14ac:dyDescent="0.15" hidden="true">
      <c r="B205" s="16" t="s">
        <v>355</v>
      </c>
      <c r="C205" s="16"/>
      <c r="D205" s="12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  <c r="IL205" s="23"/>
      <c r="IM205" s="23"/>
      <c r="IN205" s="23"/>
      <c r="IO205" s="23"/>
      <c r="IP205" s="23"/>
      <c r="IQ205" s="23"/>
      <c r="IR205" s="23"/>
      <c r="IS205" s="23"/>
      <c r="IT205" s="23"/>
      <c r="IU205" s="23"/>
      <c r="IV205" s="23"/>
      <c r="IW205" s="23"/>
      <c r="IX205" s="23"/>
      <c r="IY205" s="23"/>
    </row>
    <row r="206" spans="2:259" x14ac:dyDescent="0.15" hidden="true">
      <c r="B206" s="16" t="s">
        <v>356</v>
      </c>
      <c r="C206" s="16"/>
      <c r="D206" s="12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  <c r="IR206" s="23"/>
      <c r="IS206" s="23"/>
      <c r="IT206" s="23"/>
      <c r="IU206" s="23"/>
      <c r="IV206" s="23"/>
      <c r="IW206" s="23"/>
      <c r="IX206" s="23"/>
      <c r="IY206" s="23"/>
    </row>
    <row r="207" spans="2:259" x14ac:dyDescent="0.15" hidden="true">
      <c r="B207" s="16" t="s">
        <v>357</v>
      </c>
      <c r="C207" s="16"/>
      <c r="D207" s="12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  <c r="IR207" s="23"/>
      <c r="IS207" s="23"/>
      <c r="IT207" s="23"/>
      <c r="IU207" s="23"/>
      <c r="IV207" s="23"/>
      <c r="IW207" s="23"/>
      <c r="IX207" s="23"/>
      <c r="IY207" s="23"/>
    </row>
    <row r="208" spans="2:259" x14ac:dyDescent="0.15" hidden="true">
      <c r="B208" s="16" t="s">
        <v>358</v>
      </c>
      <c r="C208" s="16"/>
      <c r="D208" s="12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  <c r="IR208" s="23"/>
      <c r="IS208" s="23"/>
      <c r="IT208" s="23"/>
      <c r="IU208" s="23"/>
      <c r="IV208" s="23"/>
      <c r="IW208" s="23"/>
      <c r="IX208" s="23"/>
      <c r="IY208" s="23"/>
    </row>
    <row r="209" spans="2:259" x14ac:dyDescent="0.15" hidden="true">
      <c r="B209" s="16" t="s">
        <v>359</v>
      </c>
      <c r="C209" s="16"/>
      <c r="D209" s="12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  <c r="IR209" s="23"/>
      <c r="IS209" s="23"/>
      <c r="IT209" s="23"/>
      <c r="IU209" s="23"/>
      <c r="IV209" s="23"/>
      <c r="IW209" s="23"/>
      <c r="IX209" s="23"/>
      <c r="IY209" s="23"/>
    </row>
    <row r="210" spans="2:259" x14ac:dyDescent="0.15" hidden="true">
      <c r="B210" s="16" t="s">
        <v>360</v>
      </c>
      <c r="C210" s="16"/>
      <c r="D210" s="12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  <c r="IR210" s="23"/>
      <c r="IS210" s="23"/>
      <c r="IT210" s="23"/>
      <c r="IU210" s="23"/>
      <c r="IV210" s="23"/>
      <c r="IW210" s="23"/>
      <c r="IX210" s="23"/>
      <c r="IY210" s="23"/>
    </row>
    <row r="211" spans="2:259" x14ac:dyDescent="0.15" hidden="true">
      <c r="B211" s="16" t="s">
        <v>361</v>
      </c>
      <c r="C211" s="16"/>
      <c r="D211" s="12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  <c r="IR211" s="23"/>
      <c r="IS211" s="23"/>
      <c r="IT211" s="23"/>
      <c r="IU211" s="23"/>
      <c r="IV211" s="23"/>
      <c r="IW211" s="23"/>
      <c r="IX211" s="23"/>
      <c r="IY211" s="23"/>
    </row>
    <row r="212" spans="2:259" x14ac:dyDescent="0.15" hidden="true">
      <c r="B212" s="16" t="s">
        <v>362</v>
      </c>
      <c r="C212" s="16"/>
      <c r="D212" s="12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  <c r="IL212" s="23"/>
      <c r="IM212" s="23"/>
      <c r="IN212" s="23"/>
      <c r="IO212" s="23"/>
      <c r="IP212" s="23"/>
      <c r="IQ212" s="23"/>
      <c r="IR212" s="23"/>
      <c r="IS212" s="23"/>
      <c r="IT212" s="23"/>
      <c r="IU212" s="23"/>
      <c r="IV212" s="23"/>
      <c r="IW212" s="23"/>
      <c r="IX212" s="23"/>
      <c r="IY212" s="23"/>
    </row>
    <row r="213" spans="2:259" x14ac:dyDescent="0.15" hidden="true">
      <c r="B213" s="16" t="s">
        <v>363</v>
      </c>
      <c r="C213" s="16"/>
      <c r="D213" s="12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/>
      <c r="IQ213" s="23"/>
      <c r="IR213" s="23"/>
      <c r="IS213" s="23"/>
      <c r="IT213" s="23"/>
      <c r="IU213" s="23"/>
      <c r="IV213" s="23"/>
      <c r="IW213" s="23"/>
      <c r="IX213" s="23"/>
      <c r="IY213" s="23"/>
    </row>
    <row r="214" spans="2:259" x14ac:dyDescent="0.15" hidden="true">
      <c r="B214" s="16" t="s">
        <v>364</v>
      </c>
      <c r="C214" s="16"/>
      <c r="D214" s="12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  <c r="IR214" s="23"/>
      <c r="IS214" s="23"/>
      <c r="IT214" s="23"/>
      <c r="IU214" s="23"/>
      <c r="IV214" s="23"/>
      <c r="IW214" s="23"/>
      <c r="IX214" s="23"/>
      <c r="IY214" s="23"/>
    </row>
    <row r="215" spans="2:259" x14ac:dyDescent="0.15" hidden="true">
      <c r="B215" s="16" t="s">
        <v>365</v>
      </c>
      <c r="C215" s="16"/>
      <c r="D215" s="12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  <c r="IR215" s="23"/>
      <c r="IS215" s="23"/>
      <c r="IT215" s="23"/>
      <c r="IU215" s="23"/>
      <c r="IV215" s="23"/>
      <c r="IW215" s="23"/>
      <c r="IX215" s="23"/>
      <c r="IY215" s="23"/>
    </row>
    <row r="216" spans="2:259" x14ac:dyDescent="0.15" hidden="true">
      <c r="B216" s="16" t="s">
        <v>366</v>
      </c>
      <c r="C216" s="16"/>
      <c r="D216" s="12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  <c r="IR216" s="23"/>
      <c r="IS216" s="23"/>
      <c r="IT216" s="23"/>
      <c r="IU216" s="23"/>
      <c r="IV216" s="23"/>
      <c r="IW216" s="23"/>
      <c r="IX216" s="23"/>
      <c r="IY216" s="23"/>
    </row>
    <row r="217" spans="2:259" x14ac:dyDescent="0.15" hidden="true">
      <c r="B217" s="16" t="s">
        <v>367</v>
      </c>
      <c r="C217" s="16"/>
      <c r="D217" s="12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  <c r="IR217" s="23"/>
      <c r="IS217" s="23"/>
      <c r="IT217" s="23"/>
      <c r="IU217" s="23"/>
      <c r="IV217" s="23"/>
      <c r="IW217" s="23"/>
      <c r="IX217" s="23"/>
      <c r="IY217" s="23"/>
    </row>
    <row r="218" spans="2:259" x14ac:dyDescent="0.15" hidden="true">
      <c r="B218" s="16" t="s">
        <v>368</v>
      </c>
      <c r="C218" s="16"/>
      <c r="D218" s="12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  <c r="IR218" s="23"/>
      <c r="IS218" s="23"/>
      <c r="IT218" s="23"/>
      <c r="IU218" s="23"/>
      <c r="IV218" s="23"/>
      <c r="IW218" s="23"/>
      <c r="IX218" s="23"/>
      <c r="IY218" s="23"/>
    </row>
    <row r="219" spans="2:259" x14ac:dyDescent="0.15" hidden="true">
      <c r="B219" s="16" t="s">
        <v>369</v>
      </c>
      <c r="C219" s="16"/>
      <c r="D219" s="12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  <c r="IR219" s="23"/>
      <c r="IS219" s="23"/>
      <c r="IT219" s="23"/>
      <c r="IU219" s="23"/>
      <c r="IV219" s="23"/>
      <c r="IW219" s="23"/>
      <c r="IX219" s="23"/>
      <c r="IY219" s="23"/>
    </row>
    <row r="220" spans="2:259" x14ac:dyDescent="0.15" hidden="true">
      <c r="B220" s="16" t="s">
        <v>370</v>
      </c>
      <c r="C220" s="16"/>
      <c r="D220" s="12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  <c r="IR220" s="23"/>
      <c r="IS220" s="23"/>
      <c r="IT220" s="23"/>
      <c r="IU220" s="23"/>
      <c r="IV220" s="23"/>
      <c r="IW220" s="23"/>
      <c r="IX220" s="23"/>
      <c r="IY220" s="23"/>
    </row>
    <row r="221" spans="2:259" x14ac:dyDescent="0.15" hidden="true">
      <c r="B221" s="16" t="s">
        <v>371</v>
      </c>
      <c r="C221" s="16"/>
      <c r="D221" s="12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  <c r="IR221" s="23"/>
      <c r="IS221" s="23"/>
      <c r="IT221" s="23"/>
      <c r="IU221" s="23"/>
      <c r="IV221" s="23"/>
      <c r="IW221" s="23"/>
      <c r="IX221" s="23"/>
      <c r="IY221" s="23"/>
    </row>
    <row r="222" spans="2:259" x14ac:dyDescent="0.15" hidden="true">
      <c r="B222" s="16" t="s">
        <v>372</v>
      </c>
      <c r="C222" s="16"/>
      <c r="D222" s="12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  <c r="IR222" s="23"/>
      <c r="IS222" s="23"/>
      <c r="IT222" s="23"/>
      <c r="IU222" s="23"/>
      <c r="IV222" s="23"/>
      <c r="IW222" s="23"/>
      <c r="IX222" s="23"/>
      <c r="IY222" s="23"/>
    </row>
    <row r="223" spans="2:259" x14ac:dyDescent="0.15" hidden="true">
      <c r="B223" s="16" t="s">
        <v>373</v>
      </c>
      <c r="C223" s="16"/>
      <c r="D223" s="12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  <c r="IR223" s="23"/>
      <c r="IS223" s="23"/>
      <c r="IT223" s="23"/>
      <c r="IU223" s="23"/>
      <c r="IV223" s="23"/>
      <c r="IW223" s="23"/>
      <c r="IX223" s="23"/>
      <c r="IY223" s="23"/>
    </row>
    <row r="224" spans="2:259" x14ac:dyDescent="0.15" hidden="true">
      <c r="B224" s="16" t="s">
        <v>374</v>
      </c>
      <c r="C224" s="16"/>
      <c r="D224" s="12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  <c r="IR224" s="23"/>
      <c r="IS224" s="23"/>
      <c r="IT224" s="23"/>
      <c r="IU224" s="23"/>
      <c r="IV224" s="23"/>
      <c r="IW224" s="23"/>
      <c r="IX224" s="23"/>
      <c r="IY224" s="23"/>
    </row>
    <row r="225" spans="2:259" x14ac:dyDescent="0.15" hidden="true">
      <c r="B225" s="16" t="s">
        <v>375</v>
      </c>
      <c r="C225" s="16"/>
      <c r="D225" s="12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  <c r="IR225" s="23"/>
      <c r="IS225" s="23"/>
      <c r="IT225" s="23"/>
      <c r="IU225" s="23"/>
      <c r="IV225" s="23"/>
      <c r="IW225" s="23"/>
      <c r="IX225" s="23"/>
      <c r="IY225" s="23"/>
    </row>
    <row r="226" spans="2:259" x14ac:dyDescent="0.15" hidden="true">
      <c r="B226" s="16" t="s">
        <v>376</v>
      </c>
      <c r="C226" s="16"/>
      <c r="D226" s="12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  <c r="IR226" s="23"/>
      <c r="IS226" s="23"/>
      <c r="IT226" s="23"/>
      <c r="IU226" s="23"/>
      <c r="IV226" s="23"/>
      <c r="IW226" s="23"/>
      <c r="IX226" s="23"/>
      <c r="IY226" s="23"/>
    </row>
    <row r="227" spans="2:259" x14ac:dyDescent="0.15" hidden="true">
      <c r="B227" s="16" t="s">
        <v>377</v>
      </c>
      <c r="C227" s="16"/>
      <c r="D227" s="12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  <c r="IR227" s="23"/>
      <c r="IS227" s="23"/>
      <c r="IT227" s="23"/>
      <c r="IU227" s="23"/>
      <c r="IV227" s="23"/>
      <c r="IW227" s="23"/>
      <c r="IX227" s="23"/>
      <c r="IY227" s="23"/>
    </row>
    <row r="228" spans="2:259" x14ac:dyDescent="0.15" hidden="true">
      <c r="B228" s="16" t="s">
        <v>378</v>
      </c>
      <c r="C228" s="16"/>
      <c r="D228" s="12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  <c r="IR228" s="23"/>
      <c r="IS228" s="23"/>
      <c r="IT228" s="23"/>
      <c r="IU228" s="23"/>
      <c r="IV228" s="23"/>
      <c r="IW228" s="23"/>
      <c r="IX228" s="23"/>
      <c r="IY228" s="23"/>
    </row>
    <row r="229" spans="2:259" x14ac:dyDescent="0.15" hidden="true">
      <c r="B229" s="16" t="s">
        <v>379</v>
      </c>
      <c r="C229" s="16"/>
      <c r="D229" s="12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  <c r="IR229" s="23"/>
      <c r="IS229" s="23"/>
      <c r="IT229" s="23"/>
      <c r="IU229" s="23"/>
      <c r="IV229" s="23"/>
      <c r="IW229" s="23"/>
      <c r="IX229" s="23"/>
      <c r="IY229" s="23"/>
    </row>
    <row r="230" spans="2:259" x14ac:dyDescent="0.15" hidden="true">
      <c r="B230" s="16" t="s">
        <v>380</v>
      </c>
      <c r="C230" s="16"/>
      <c r="D230" s="12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  <c r="IR230" s="23"/>
      <c r="IS230" s="23"/>
      <c r="IT230" s="23"/>
      <c r="IU230" s="23"/>
      <c r="IV230" s="23"/>
      <c r="IW230" s="23"/>
      <c r="IX230" s="23"/>
      <c r="IY230" s="23"/>
    </row>
    <row r="231" spans="2:259" x14ac:dyDescent="0.15" hidden="true">
      <c r="B231" s="16" t="s">
        <v>381</v>
      </c>
      <c r="C231" s="16"/>
      <c r="D231" s="12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  <c r="IR231" s="23"/>
      <c r="IS231" s="23"/>
      <c r="IT231" s="23"/>
      <c r="IU231" s="23"/>
      <c r="IV231" s="23"/>
      <c r="IW231" s="23"/>
      <c r="IX231" s="23"/>
      <c r="IY231" s="23"/>
    </row>
    <row r="232" spans="2:259" x14ac:dyDescent="0.15" hidden="true">
      <c r="B232" s="16" t="s">
        <v>382</v>
      </c>
      <c r="C232" s="16"/>
      <c r="D232" s="12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  <c r="IR232" s="23"/>
      <c r="IS232" s="23"/>
      <c r="IT232" s="23"/>
      <c r="IU232" s="23"/>
      <c r="IV232" s="23"/>
      <c r="IW232" s="23"/>
      <c r="IX232" s="23"/>
      <c r="IY232" s="23"/>
    </row>
    <row r="233" spans="2:259" x14ac:dyDescent="0.15" hidden="true">
      <c r="B233" s="16" t="s">
        <v>383</v>
      </c>
      <c r="C233" s="16"/>
      <c r="D233" s="12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  <c r="IR233" s="23"/>
      <c r="IS233" s="23"/>
      <c r="IT233" s="23"/>
      <c r="IU233" s="23"/>
      <c r="IV233" s="23"/>
      <c r="IW233" s="23"/>
      <c r="IX233" s="23"/>
      <c r="IY233" s="23"/>
    </row>
    <row r="234" spans="2:259" x14ac:dyDescent="0.15" hidden="true">
      <c r="B234" s="16" t="s">
        <v>384</v>
      </c>
      <c r="C234" s="16"/>
      <c r="D234" s="12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  <c r="IR234" s="23"/>
      <c r="IS234" s="23"/>
      <c r="IT234" s="23"/>
      <c r="IU234" s="23"/>
      <c r="IV234" s="23"/>
      <c r="IW234" s="23"/>
      <c r="IX234" s="23"/>
      <c r="IY234" s="23"/>
    </row>
    <row r="235" spans="2:259" x14ac:dyDescent="0.15" hidden="true">
      <c r="B235" s="16" t="s">
        <v>385</v>
      </c>
      <c r="C235" s="16"/>
      <c r="D235" s="12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  <c r="IR235" s="23"/>
      <c r="IS235" s="23"/>
      <c r="IT235" s="23"/>
      <c r="IU235" s="23"/>
      <c r="IV235" s="23"/>
      <c r="IW235" s="23"/>
      <c r="IX235" s="23"/>
      <c r="IY235" s="23"/>
    </row>
    <row r="236" spans="2:259" x14ac:dyDescent="0.15" hidden="true">
      <c r="B236" s="16" t="s">
        <v>386</v>
      </c>
      <c r="C236" s="16"/>
      <c r="D236" s="12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  <c r="IR236" s="23"/>
      <c r="IS236" s="23"/>
      <c r="IT236" s="23"/>
      <c r="IU236" s="23"/>
      <c r="IV236" s="23"/>
      <c r="IW236" s="23"/>
      <c r="IX236" s="23"/>
      <c r="IY236" s="23"/>
    </row>
    <row r="237" spans="2:259" x14ac:dyDescent="0.15" hidden="true">
      <c r="B237" s="16" t="s">
        <v>387</v>
      </c>
      <c r="C237" s="16"/>
      <c r="D237" s="12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  <c r="IR237" s="23"/>
      <c r="IS237" s="23"/>
      <c r="IT237" s="23"/>
      <c r="IU237" s="23"/>
      <c r="IV237" s="23"/>
      <c r="IW237" s="23"/>
      <c r="IX237" s="23"/>
      <c r="IY237" s="23"/>
    </row>
    <row r="238" spans="2:259" x14ac:dyDescent="0.15" hidden="true">
      <c r="B238" s="16" t="s">
        <v>388</v>
      </c>
      <c r="C238" s="16"/>
      <c r="D238" s="12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  <c r="IR238" s="23"/>
      <c r="IS238" s="23"/>
      <c r="IT238" s="23"/>
      <c r="IU238" s="23"/>
      <c r="IV238" s="23"/>
      <c r="IW238" s="23"/>
      <c r="IX238" s="23"/>
      <c r="IY238" s="23"/>
    </row>
    <row r="239" spans="2:259" x14ac:dyDescent="0.15" hidden="true">
      <c r="B239" s="16" t="s">
        <v>389</v>
      </c>
      <c r="C239" s="16"/>
      <c r="D239" s="12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  <c r="IR239" s="23"/>
      <c r="IS239" s="23"/>
      <c r="IT239" s="23"/>
      <c r="IU239" s="23"/>
      <c r="IV239" s="23"/>
      <c r="IW239" s="23"/>
      <c r="IX239" s="23"/>
      <c r="IY239" s="23"/>
    </row>
    <row r="240" spans="2:259" x14ac:dyDescent="0.15" hidden="true">
      <c r="B240" s="16" t="s">
        <v>390</v>
      </c>
      <c r="C240" s="16"/>
      <c r="D240" s="12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  <c r="IR240" s="23"/>
      <c r="IS240" s="23"/>
      <c r="IT240" s="23"/>
      <c r="IU240" s="23"/>
      <c r="IV240" s="23"/>
      <c r="IW240" s="23"/>
      <c r="IX240" s="23"/>
      <c r="IY240" s="23"/>
    </row>
    <row r="241" spans="2:259" x14ac:dyDescent="0.15" hidden="true">
      <c r="B241" s="16" t="s">
        <v>391</v>
      </c>
      <c r="C241" s="16"/>
      <c r="D241" s="12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  <c r="IR241" s="23"/>
      <c r="IS241" s="23"/>
      <c r="IT241" s="23"/>
      <c r="IU241" s="23"/>
      <c r="IV241" s="23"/>
      <c r="IW241" s="23"/>
      <c r="IX241" s="23"/>
      <c r="IY241" s="23"/>
    </row>
    <row r="242" spans="2:259" x14ac:dyDescent="0.15" hidden="true">
      <c r="B242" s="16" t="s">
        <v>392</v>
      </c>
      <c r="C242" s="16"/>
      <c r="D242" s="12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  <c r="IR242" s="23"/>
      <c r="IS242" s="23"/>
      <c r="IT242" s="23"/>
      <c r="IU242" s="23"/>
      <c r="IV242" s="23"/>
      <c r="IW242" s="23"/>
      <c r="IX242" s="23"/>
      <c r="IY242" s="23"/>
    </row>
    <row r="243" spans="2:259" x14ac:dyDescent="0.15" hidden="true">
      <c r="B243" s="16" t="s">
        <v>393</v>
      </c>
      <c r="C243" s="16"/>
      <c r="D243" s="12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  <c r="IR243" s="23"/>
      <c r="IS243" s="23"/>
      <c r="IT243" s="23"/>
      <c r="IU243" s="23"/>
      <c r="IV243" s="23"/>
      <c r="IW243" s="23"/>
      <c r="IX243" s="23"/>
      <c r="IY243" s="23"/>
    </row>
    <row r="244" spans="2:259" x14ac:dyDescent="0.15" hidden="true">
      <c r="B244" s="16" t="s">
        <v>394</v>
      </c>
      <c r="C244" s="16"/>
      <c r="D244" s="12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  <c r="IR244" s="23"/>
      <c r="IS244" s="23"/>
      <c r="IT244" s="23"/>
      <c r="IU244" s="23"/>
      <c r="IV244" s="23"/>
      <c r="IW244" s="23"/>
      <c r="IX244" s="23"/>
      <c r="IY244" s="23"/>
    </row>
    <row r="245" spans="2:259" x14ac:dyDescent="0.15" hidden="true">
      <c r="B245" s="16" t="s">
        <v>395</v>
      </c>
      <c r="C245" s="16"/>
      <c r="D245" s="12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  <c r="IR245" s="23"/>
      <c r="IS245" s="23"/>
      <c r="IT245" s="23"/>
      <c r="IU245" s="23"/>
      <c r="IV245" s="23"/>
      <c r="IW245" s="23"/>
      <c r="IX245" s="23"/>
      <c r="IY245" s="23"/>
    </row>
    <row r="246" spans="2:259" x14ac:dyDescent="0.15" hidden="true">
      <c r="B246" s="16" t="s">
        <v>396</v>
      </c>
      <c r="C246" s="16"/>
      <c r="D246" s="12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  <c r="IR246" s="23"/>
      <c r="IS246" s="23"/>
      <c r="IT246" s="23"/>
      <c r="IU246" s="23"/>
      <c r="IV246" s="23"/>
      <c r="IW246" s="23"/>
      <c r="IX246" s="23"/>
      <c r="IY246" s="23"/>
    </row>
    <row r="247" spans="2:259" x14ac:dyDescent="0.15" hidden="true">
      <c r="B247" s="16" t="s">
        <v>397</v>
      </c>
      <c r="C247" s="16"/>
      <c r="D247" s="12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  <c r="IR247" s="23"/>
      <c r="IS247" s="23"/>
      <c r="IT247" s="23"/>
      <c r="IU247" s="23"/>
      <c r="IV247" s="23"/>
      <c r="IW247" s="23"/>
      <c r="IX247" s="23"/>
      <c r="IY247" s="23"/>
    </row>
    <row r="248" spans="2:259" x14ac:dyDescent="0.15" hidden="true">
      <c r="B248" s="16" t="s">
        <v>398</v>
      </c>
      <c r="C248" s="16"/>
      <c r="D248" s="12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  <c r="IR248" s="23"/>
      <c r="IS248" s="23"/>
      <c r="IT248" s="23"/>
      <c r="IU248" s="23"/>
      <c r="IV248" s="23"/>
      <c r="IW248" s="23"/>
      <c r="IX248" s="23"/>
      <c r="IY248" s="23"/>
    </row>
    <row r="249" spans="2:259" x14ac:dyDescent="0.15" hidden="true">
      <c r="B249" s="16" t="s">
        <v>399</v>
      </c>
      <c r="C249" s="16"/>
      <c r="D249" s="12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  <c r="IR249" s="23"/>
      <c r="IS249" s="23"/>
      <c r="IT249" s="23"/>
      <c r="IU249" s="23"/>
      <c r="IV249" s="23"/>
      <c r="IW249" s="23"/>
      <c r="IX249" s="23"/>
      <c r="IY249" s="23"/>
    </row>
    <row r="250" spans="2:259" x14ac:dyDescent="0.15" hidden="true">
      <c r="B250" s="16" t="s">
        <v>400</v>
      </c>
      <c r="C250" s="16"/>
      <c r="D250" s="12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  <c r="IL250" s="23"/>
      <c r="IM250" s="23"/>
      <c r="IN250" s="23"/>
      <c r="IO250" s="23"/>
      <c r="IP250" s="23"/>
      <c r="IQ250" s="23"/>
      <c r="IR250" s="23"/>
      <c r="IS250" s="23"/>
      <c r="IT250" s="23"/>
      <c r="IU250" s="23"/>
      <c r="IV250" s="23"/>
      <c r="IW250" s="23"/>
      <c r="IX250" s="23"/>
      <c r="IY250" s="23"/>
    </row>
    <row r="251" spans="2:259" x14ac:dyDescent="0.15" hidden="true">
      <c r="B251" s="16" t="s">
        <v>401</v>
      </c>
      <c r="C251" s="16"/>
      <c r="D251" s="12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  <c r="IL251" s="23"/>
      <c r="IM251" s="23"/>
      <c r="IN251" s="23"/>
      <c r="IO251" s="23"/>
      <c r="IP251" s="23"/>
      <c r="IQ251" s="23"/>
      <c r="IR251" s="23"/>
      <c r="IS251" s="23"/>
      <c r="IT251" s="23"/>
      <c r="IU251" s="23"/>
      <c r="IV251" s="23"/>
      <c r="IW251" s="23"/>
      <c r="IX251" s="23"/>
      <c r="IY251" s="23"/>
    </row>
    <row r="252" spans="2:259" x14ac:dyDescent="0.15" hidden="true">
      <c r="B252" s="16" t="s">
        <v>402</v>
      </c>
      <c r="C252" s="16"/>
      <c r="D252" s="12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  <c r="IL252" s="23"/>
      <c r="IM252" s="23"/>
      <c r="IN252" s="23"/>
      <c r="IO252" s="23"/>
      <c r="IP252" s="23"/>
      <c r="IQ252" s="23"/>
      <c r="IR252" s="23"/>
      <c r="IS252" s="23"/>
      <c r="IT252" s="23"/>
      <c r="IU252" s="23"/>
      <c r="IV252" s="23"/>
      <c r="IW252" s="23"/>
      <c r="IX252" s="23"/>
      <c r="IY252" s="23"/>
    </row>
    <row r="253" spans="2:259" x14ac:dyDescent="0.15" hidden="true">
      <c r="B253" s="16" t="s">
        <v>403</v>
      </c>
      <c r="C253" s="16"/>
      <c r="D253" s="12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  <c r="IL253" s="23"/>
      <c r="IM253" s="23"/>
      <c r="IN253" s="23"/>
      <c r="IO253" s="23"/>
      <c r="IP253" s="23"/>
      <c r="IQ253" s="23"/>
      <c r="IR253" s="23"/>
      <c r="IS253" s="23"/>
      <c r="IT253" s="23"/>
      <c r="IU253" s="23"/>
      <c r="IV253" s="23"/>
      <c r="IW253" s="23"/>
      <c r="IX253" s="23"/>
      <c r="IY253" s="23"/>
    </row>
    <row r="254" spans="2:259" x14ac:dyDescent="0.15" hidden="true">
      <c r="B254" s="16" t="s">
        <v>404</v>
      </c>
      <c r="C254" s="16"/>
      <c r="D254" s="12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  <c r="IL254" s="23"/>
      <c r="IM254" s="23"/>
      <c r="IN254" s="23"/>
      <c r="IO254" s="23"/>
      <c r="IP254" s="23"/>
      <c r="IQ254" s="23"/>
      <c r="IR254" s="23"/>
      <c r="IS254" s="23"/>
      <c r="IT254" s="23"/>
      <c r="IU254" s="23"/>
      <c r="IV254" s="23"/>
      <c r="IW254" s="23"/>
      <c r="IX254" s="23"/>
      <c r="IY254" s="23"/>
    </row>
    <row r="255" spans="2:259" x14ac:dyDescent="0.15" hidden="true">
      <c r="B255" s="16" t="s">
        <v>405</v>
      </c>
      <c r="C255" s="16"/>
      <c r="D255" s="12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  <c r="IR255" s="23"/>
      <c r="IS255" s="23"/>
      <c r="IT255" s="23"/>
      <c r="IU255" s="23"/>
      <c r="IV255" s="23"/>
      <c r="IW255" s="23"/>
      <c r="IX255" s="23"/>
      <c r="IY255" s="23"/>
    </row>
    <row r="256" spans="2:259" x14ac:dyDescent="0.15" hidden="true">
      <c r="B256" s="16" t="s">
        <v>406</v>
      </c>
      <c r="C256" s="16"/>
      <c r="D256" s="12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  <c r="IL256" s="23"/>
      <c r="IM256" s="23"/>
      <c r="IN256" s="23"/>
      <c r="IO256" s="23"/>
      <c r="IP256" s="23"/>
      <c r="IQ256" s="23"/>
      <c r="IR256" s="23"/>
      <c r="IS256" s="23"/>
      <c r="IT256" s="23"/>
      <c r="IU256" s="23"/>
      <c r="IV256" s="23"/>
      <c r="IW256" s="23"/>
      <c r="IX256" s="23"/>
      <c r="IY256" s="23"/>
    </row>
    <row r="257" spans="2:259" x14ac:dyDescent="0.15" hidden="true">
      <c r="B257" s="16" t="s">
        <v>407</v>
      </c>
      <c r="C257" s="16"/>
      <c r="D257" s="12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  <c r="IX257" s="23"/>
      <c r="IY257" s="23"/>
    </row>
    <row r="258" spans="2:259" x14ac:dyDescent="0.15">
      <c r="B258" s="20"/>
      <c r="C258" s="20"/>
      <c r="D258" s="2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x14ac:dyDescent="0.15">
      <c r="B259" s="20" t="str">
        <f>"  "&amp;'グラフ設定（時系列）'!L2</f>
        <v xml:space="preserve">  </v>
      </c>
      <c r="C259" s="20"/>
      <c r="D259" s="21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9"/>
      <c r="DX259" s="19"/>
      <c r="DY259" s="19"/>
      <c r="DZ259" s="19"/>
      <c r="EA259" s="19"/>
      <c r="EB259" s="19"/>
      <c r="EC259" s="19"/>
      <c r="ED259" s="19"/>
      <c r="EE259" s="19"/>
      <c r="EF259" s="19"/>
      <c r="EG259" s="19"/>
      <c r="EH259" s="19"/>
      <c r="EI259" s="19"/>
      <c r="EJ259" s="19"/>
      <c r="EK259" s="19"/>
      <c r="EL259" s="19"/>
      <c r="EM259" s="19"/>
      <c r="EN259" s="19"/>
      <c r="EO259" s="19"/>
      <c r="EP259" s="19"/>
      <c r="EQ259" s="19"/>
      <c r="ER259" s="19"/>
      <c r="ES259" s="19"/>
      <c r="ET259" s="19"/>
      <c r="EU259" s="19"/>
      <c r="EV259" s="19"/>
      <c r="EW259" s="19"/>
      <c r="EX259" s="19"/>
      <c r="EY259" s="19"/>
      <c r="EZ259" s="19"/>
      <c r="FA259" s="19"/>
      <c r="FB259" s="19"/>
      <c r="FC259" s="19"/>
      <c r="FD259" s="19"/>
      <c r="FE259" s="19"/>
      <c r="FF259" s="19"/>
      <c r="FG259" s="19"/>
      <c r="FH259" s="19"/>
      <c r="FI259" s="19"/>
      <c r="FJ259" s="19"/>
      <c r="FK259" s="19"/>
      <c r="FL259" s="19"/>
      <c r="FM259" s="19"/>
      <c r="FN259" s="19"/>
      <c r="FO259" s="19"/>
      <c r="FP259" s="19"/>
      <c r="FQ259" s="19"/>
      <c r="FR259" s="19"/>
      <c r="FS259" s="19"/>
      <c r="FT259" s="19"/>
      <c r="FU259" s="19"/>
      <c r="FV259" s="19"/>
      <c r="FW259" s="19"/>
      <c r="FX259" s="19"/>
      <c r="FY259" s="19"/>
      <c r="FZ259" s="19"/>
      <c r="GA259" s="19"/>
      <c r="GB259" s="19"/>
      <c r="GC259" s="19"/>
      <c r="GD259" s="19"/>
      <c r="GE259" s="19"/>
      <c r="GF259" s="19"/>
      <c r="GG259" s="19"/>
      <c r="GH259" s="19"/>
      <c r="GI259" s="19"/>
      <c r="GJ259" s="19"/>
      <c r="GK259" s="19"/>
      <c r="GL259" s="19"/>
      <c r="GM259" s="19"/>
      <c r="GN259" s="19"/>
      <c r="GO259" s="19"/>
      <c r="GP259" s="19"/>
      <c r="GQ259" s="19"/>
      <c r="GR259" s="19"/>
      <c r="GS259" s="19"/>
      <c r="GT259" s="19"/>
      <c r="GU259" s="19"/>
      <c r="GV259" s="19"/>
      <c r="GW259" s="19"/>
      <c r="GX259" s="19"/>
      <c r="GY259" s="19"/>
      <c r="GZ259" s="19"/>
      <c r="HA259" s="19"/>
      <c r="HB259" s="19"/>
      <c r="HC259" s="19"/>
      <c r="HD259" s="19"/>
      <c r="HE259" s="19"/>
      <c r="HF259" s="19"/>
      <c r="HG259" s="19"/>
      <c r="HH259" s="19"/>
      <c r="HI259" s="19"/>
      <c r="HJ259" s="19"/>
      <c r="HK259" s="19"/>
      <c r="HL259" s="19"/>
      <c r="HM259" s="19"/>
      <c r="HN259" s="19"/>
      <c r="HO259" s="19"/>
      <c r="HP259" s="19"/>
      <c r="HQ259" s="19"/>
      <c r="HR259" s="19"/>
      <c r="HS259" s="19"/>
      <c r="HT259" s="19"/>
      <c r="HU259" s="19"/>
      <c r="HV259" s="19"/>
      <c r="HW259" s="19"/>
      <c r="HX259" s="19"/>
      <c r="HY259" s="19"/>
      <c r="HZ259" s="19"/>
      <c r="IA259" s="19"/>
      <c r="IB259" s="19"/>
      <c r="IC259" s="19"/>
      <c r="ID259" s="19"/>
      <c r="IE259" s="19"/>
      <c r="IF259" s="19"/>
      <c r="IG259" s="19"/>
      <c r="IH259" s="19"/>
      <c r="II259" s="19"/>
      <c r="IJ259" s="19"/>
      <c r="IK259" s="19"/>
      <c r="IL259" s="19"/>
      <c r="IM259" s="19"/>
      <c r="IN259" s="19"/>
      <c r="IO259" s="19"/>
      <c r="IP259" s="19"/>
      <c r="IQ259" s="19"/>
      <c r="IR259" s="19"/>
      <c r="IS259" s="19"/>
      <c r="IT259" s="19"/>
      <c r="IU259" s="19"/>
      <c r="IV259" s="19"/>
      <c r="IW259" s="19"/>
      <c r="IX259" s="19"/>
      <c r="IY259" s="19"/>
    </row>
    <row r="260" spans="2:259" x14ac:dyDescent="0.15">
      <c r="B260" s="24" t="str">
        <f>'グラフ設定（時系列）'!B2</f>
        <v>（注目する地域）北塩原村</v>
      </c>
      <c r="C260" s="24"/>
      <c r="D260" s="24"/>
      <c r="E260" s="24"/>
      <c r="F260" s="24"/>
      <c r="G260" s="24"/>
      <c r="H260" s="24"/>
      <c r="I260" s="24"/>
      <c r="J260" s="24"/>
    </row>
    <row r="261" spans="2:259" ht="60.75" customHeight="1" x14ac:dyDescent="0.15">
      <c r="B261" s="26" t="str">
        <f>'グラフ設定（時系列）'!J2</f>
        <v>（出典）厚生労働省「介護保険総合データベース」（令和8年8月10日時点データにて集計）　※本指標は自治体向けのため取り扱いに注意してください。</v>
      </c>
      <c r="C261" s="26"/>
      <c r="D261" s="26"/>
      <c r="E261" s="26"/>
      <c r="F261" s="26"/>
      <c r="G261" s="26"/>
      <c r="H261" s="26"/>
      <c r="I261" s="26"/>
      <c r="J261" s="26"/>
    </row>
    <row r="269" spans="2:259" x14ac:dyDescent="0.15">
      <c r="B269" s="14"/>
      <c r="C269" s="14"/>
      <c r="D269" s="14"/>
      <c r="E269" s="9"/>
      <c r="F269" s="10"/>
      <c r="G269" s="10"/>
      <c r="H269" s="10"/>
      <c r="I269" s="10"/>
      <c r="J269" s="10"/>
    </row>
    <row r="270" spans="2:259" ht="16.5" customHeight="1" x14ac:dyDescent="0.15"/>
  </sheetData>
  <mergeCells count="2">
    <mergeCell ref="B260:J260"/>
    <mergeCell ref="B261:J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2015-09-18T02:01:53Z</dcterms:created>
  <dcterms:modified xsi:type="dcterms:W3CDTF">2022-08-19T08:19:49Z</dcterms:modified>
</cp:coreProperties>
</file>