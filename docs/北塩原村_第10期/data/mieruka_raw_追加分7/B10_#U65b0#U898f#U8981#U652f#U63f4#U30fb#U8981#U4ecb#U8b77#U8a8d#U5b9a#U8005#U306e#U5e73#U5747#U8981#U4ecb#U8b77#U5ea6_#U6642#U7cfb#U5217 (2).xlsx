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<sst xmlns="http://schemas.openxmlformats.org/spreadsheetml/2006/main" count="1088" uniqueCount="897">
  <si>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</si>
  <si>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</si>
  <si>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</si>
  <si>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</si>
  <si>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</si>
  <si>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</si>
  <si>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</si>
  <si>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</si>
  <si>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</si>
  <si>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</si>
  <si>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</si>
  <si>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</si>
  <si>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</si>
  <si>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</si>
  <si>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</si>
  <si>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</si>
  <si>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</si>
  <si>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</si>
  <si>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</si>
  <si>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</si>
  <si>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</si>
  <si>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</si>
  <si>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</si>
  <si>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</si>
  <si>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</si>
  <si>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</si>
  <si>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</si>
  <si>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</si>
  <si>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</si>
  <si>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</si>
  <si>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</si>
  <si>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</si>
  <si>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</si>
  <si>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</si>
  <si>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</si>
  <si>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</si>
  <si>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</si>
  <si>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</si>
  <si>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</si>
  <si>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</si>
  <si>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</si>
  <si>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</si>
  <si>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</si>
  <si>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</si>
  <si>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</si>
  <si>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</si>
  <si>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</si>
  <si>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</si>
  <si>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</si>
  <si>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</si>
  <si>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</si>
  <si>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</si>
  <si>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</si>
  <si>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</si>
  <si>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</si>
  <si>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</si>
  <si>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</si>
  <si>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</si>
  <si>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</si>
  <si>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</si>
  <si>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</si>
  <si>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</si>
  <si>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</si>
  <si>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</si>
  <si>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</si>
  <si>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</si>
  <si>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</si>
  <si>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</si>
  <si>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</si>
  <si>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</si>
  <si>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</si>
  <si>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</si>
  <si>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</si>
  <si>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</si>
  <si>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</si>
  <si>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</si>
  <si>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</si>
  <si>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</si>
  <si>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</si>
  <si>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</si>
  <si>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</si>
  <si>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</si>
  <si>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</si>
  <si>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</si>
  <si>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</si>
  <si>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</si>
  <si>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</si>
  <si>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</si>
  <si>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</si>
  <si>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</si>
  <si>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</si>
  <si>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</si>
  <si>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</si>
  <si>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</si>
  <si>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</si>
  <si>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</si>
  <si>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</si>
  <si>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</si>
  <si>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</si>
  <si>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</si>
  <si>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</si>
  <si>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</si>
  <si>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</si>
  <si>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</si>
  <si>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</si>
  <si>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</si>
  <si>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</si>
  <si>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</si>
  <si>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</si>
  <si>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</si>
  <si>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</si>
  <si>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</si>
  <si>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</si>
  <si>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</si>
  <si>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</si>
  <si>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</si>
  <si>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</si>
  <si>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</si>
  <si>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</si>
  <si>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</si>
  <si>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</si>
  <si>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</si>
  <si>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</si>
  <si>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</si>
  <si>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</si>
  <si>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</si>
  <si>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</si>
  <si>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</si>
  <si>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</si>
  <si>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</si>
  <si>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</si>
  <si>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</si>
  <si>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</si>
  <si>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</si>
  <si>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</si>
  <si>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</si>
  <si>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</si>
  <si>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</si>
  <si>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</si>
  <si>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</si>
  <si>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</si>
  <si>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</si>
  <si>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</si>
  <si>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</si>
  <si>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</si>
  <si>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</si>
  <si>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</si>
  <si>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</si>
  <si>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</si>
  <si>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</si>
  <si>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</si>
  <si>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</si>
  <si>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</si>
  <si>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</si>
  <si>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</si>
  <si>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</si>
  <si>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</si>
  <si>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</si>
  <si>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</si>
  <si>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</si>
  <si>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</si>
  <si>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</si>
  <si>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</si>
  <si>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</si>
  <si>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</si>
  <si>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</si>
  <si>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</si>
  <si>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</si>
  <si>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</si>
  <si>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</si>
  <si>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</si>
  <si>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</si>
  <si>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</si>
  <si>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</si>
  <si>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</si>
  <si>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</si>
  <si>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</si>
  <si>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</si>
  <si>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</si>
  <si>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</si>
  <si>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</si>
  <si>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</si>
  <si>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</si>
  <si>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</si>
  <si>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</si>
  <si>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</si>
  <si>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</si>
  <si>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</si>
  <si>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</si>
  <si>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</si>
  <si>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</si>
  <si>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</si>
  <si>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</si>
  <si>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</si>
  <si>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</si>
  <si>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</si>
  <si>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</si>
  <si>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</si>
  <si>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</si>
  <si>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</si>
  <si>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</si>
  <si>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</si>
  <si>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</si>
  <si>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</si>
  <si>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</si>
  <si>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</si>
  <si>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</si>
  <si>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</si>
  <si>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</si>
  <si>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</si>
  <si>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</si>
  <si>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</si>
  <si>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</si>
  <si>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</si>
  <si>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</si>
  <si>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</si>
  <si>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</si>
  <si>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</si>
  <si>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</si>
  <si>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</si>
  <si>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</si>
  <si>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</si>
  <si>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</si>
  <si>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</si>
  <si>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</si>
  <si>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</si>
  <si>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</si>
  <si>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</si>
  <si>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</si>
  <si>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</si>
  <si>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</si>
  <si>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</si>
  <si>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</si>
  <si>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</si>
  <si>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</si>
  <si>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</si>
  <si>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</si>
  <si>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</si>
  <si>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</si>
  <si>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</si>
  <si>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</si>
  <si>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</si>
  <si>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</si>
  <si>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</si>
  <si>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</si>
  <si>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</si>
  <si>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</si>
  <si>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</si>
  <si>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</si>
  <si>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</si>
  <si>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</si>
  <si>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</si>
  <si>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</si>
  <si>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</si>
  <si>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</si>
  <si>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</si>
  <si>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</si>
  <si>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</si>
  <si>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</si>
  <si>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</si>
  <si>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</si>
  <si>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</si>
  <si>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</si>
  <si>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</si>
  <si>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</si>
  <si>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</si>
  <si>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</si>
  <si>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</si>
  <si>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</si>
  <si>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</si>
  <si>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</si>
  <si>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</si>
  <si>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</si>
  <si>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</si>
  <si>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</si>
  <si>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</si>
  <si>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</si>
  <si>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</si>
  <si>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</si>
  <si>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</si>
  <si>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</si>
  <si>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</si>
  <si>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</si>
  <si>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</si>
  <si>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</si>
  <si>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</si>
  <si>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</si>
  <si>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</si>
  <si>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</si>
  <si>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</si>
  <si>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</si>
  <si>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</si>
  <si>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</si>
  <si>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</si>
  <si>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</si>
  <si>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</si>
  <si>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</si>
  <si>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</si>
  <si>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</si>
  <si>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</si>
  <si>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</si>
  <si>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</si>
  <si>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</si>
  <si>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</si>
  <si>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</si>
  <si>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</si>
  <si>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</si>
  <si>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</si>
  <si>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</si>
  <si>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</si>
  <si>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</si>
  <si>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</si>
  <si>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</si>
  <si>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</si>
  <si>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</si>
  <si>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</si>
  <si>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</si>
  <si>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</si>
  <si>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</si>
  <si>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</si>
  <si>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</si>
  <si>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</si>
  <si>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</si>
  <si>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</si>
  <si>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</si>
  <si>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</si>
  <si>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</si>
  <si>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</si>
  <si>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</si>
  <si>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</si>
  <si>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</si>
  <si>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</si>
  <si>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</si>
  <si>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</si>
  <si>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</si>
  <si>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</si>
  <si>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</si>
  <si>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</si>
  <si>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</si>
  <si>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</si>
  <si>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</si>
  <si>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</si>
  <si>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</si>
  <si>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</si>
  <si>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</si>
  <si>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</si>
  <si>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</si>
  <si>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</si>
  <si>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</si>
  <si>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</si>
  <si>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</si>
  <si>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</si>
  <si>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</si>
  <si>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</si>
  <si>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</si>
  <si>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</si>
  <si>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</si>
  <si>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</si>
  <si>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</si>
  <si>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</si>
  <si>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</si>
  <si>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</si>
  <si>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</si>
  <si>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</si>
  <si>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</si>
  <si>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</si>
  <si>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</si>
  <si>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</si>
  <si>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</si>
  <si>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</si>
  <si>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</si>
  <si>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</si>
  <si>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</si>
  <si>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</si>
  <si>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</si>
  <si>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</si>
  <si>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</si>
  <si>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</si>
  <si>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</si>
  <si>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</si>
  <si>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</si>
  <si>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</si>
  <si>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</si>
  <si>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</si>
  <si>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</si>
  <si>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</si>
  <si>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</si>
  <si>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</si>
  <si>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</si>
  <si>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</si>
  <si>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</si>
  <si>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</si>
  <si>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</si>
  <si>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</si>
  <si>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</si>
  <si>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</si>
  <si>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</si>
  <si>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</si>
  <si>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</si>
  <si>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</si>
  <si>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</si>
  <si>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</si>
  <si>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</si>
  <si>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</si>
  <si>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</si>
  <si>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</si>
  <si>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</si>
  <si>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</si>
  <si>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</si>
  <si>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</si>
  <si>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</si>
  <si>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</si>
  <si>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</si>
  <si>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</si>
  <si>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</si>
  <si>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</si>
  <si>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</si>
  <si>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</si>
  <si>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</si>
  <si>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</si>
  <si>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</si>
  <si>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</si>
  <si>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</si>
  <si>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</si>
  <si>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</si>
  <si>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</si>
  <si>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</si>
  <si>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</si>
  <si>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</si>
  <si>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</si>
  <si>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</si>
  <si>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</si>
  <si>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</si>
  <si>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</si>
  <si>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</si>
  <si>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</si>
  <si>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</si>
  <si>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</si>
  <si>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</si>
  <si>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</si>
  <si>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</si>
  <si>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</si>
  <si>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</si>
  <si>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</si>
  <si>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</si>
  <si>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</si>
  <si>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</si>
  <si>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</si>
  <si>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</si>
  <si>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</si>
  <si>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</si>
  <si>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</si>
  <si>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</si>
  <si>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</si>
  <si>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</si>
  <si>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</si>
  <si>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</si>
  <si>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</si>
  <si>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</si>
  <si>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</si>
  <si>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</si>
  <si>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</si>
  <si>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</si>
  <si>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</si>
  <si>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</si>
  <si>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</si>
  <si>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</si>
  <si>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</si>
  <si>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</si>
  <si>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</si>
  <si>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</si>
  <si>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</si>
  <si>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</si>
  <si>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</si>
  <si>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</si>
  <si>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</si>
  <si>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</si>
  <si>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</si>
  <si>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</si>
  <si>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</si>
  <si>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</si>
  <si>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</si>
  <si>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</si>
  <si>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</si>
  <si>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</si>
  <si>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</si>
  <si>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</si>
  <si>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</si>
  <si>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</si>
  <si>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</si>
  <si>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</si>
  <si>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</si>
  <si>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</si>
  <si>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</si>
  <si>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</si>
  <si>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</si>
  <si>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</si>
  <si>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</si>
  <si>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</si>
  <si>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</si>
  <si>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</si>
  <si>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</si>
  <si>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</si>
  <si>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</si>
  <si>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</si>
  <si>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</si>
  <si>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</si>
  <si>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</si>
  <si>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</si>
  <si>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</si>
  <si>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</si>
  <si>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</si>
  <si>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</si>
  <si>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</si>
  <si>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</si>
  <si>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</si>
  <si>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</si>
  <si>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</si>
  <si>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</si>
  <si>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</si>
  <si>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</si>
  <si>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</si>
  <si>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</si>
  <si>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</si>
  <si>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</si>
  <si>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</si>
  <si>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</si>
  <si>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</si>
  <si>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</si>
  <si>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</si>
  <si>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</si>
  <si>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</si>
  <si>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</si>
  <si>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</si>
  <si>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</si>
  <si>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</si>
  <si>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</si>
  <si>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</si>
  <si>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</si>
  <si>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</si>
  <si>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</si>
  <si>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</si>
  <si>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</si>
  <si>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</si>
  <si>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</si>
  <si>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</si>
  <si>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</si>
  <si>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</si>
  <si>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</si>
  <si>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</si>
  <si>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</si>
  <si>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</si>
  <si>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</si>
  <si>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</si>
  <si>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</si>
  <si>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</si>
  <si>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</si>
  <si>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</si>
  <si>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</si>
  <si>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</si>
  <si>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</si>
  <si>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</si>
  <si>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</si>
  <si>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</si>
  <si>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</si>
  <si>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</si>
  <si>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</si>
  <si>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</si>
  <si>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</si>
  <si>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</si>
  <si>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</si>
  <si>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</si>
  <si>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</si>
  <si>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</si>
  <si>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</si>
  <si>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</si>
  <si>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</si>
  <si>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</si>
  <si>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</si>
  <si>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</si>
  <si>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</si>
  <si>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</si>
  <si>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</si>
  <si>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</si>
  <si>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</si>
  <si>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</si>
  <si>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</si>
  <si>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</si>
  <si>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</si>
  <si>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</si>
  <si>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</si>
  <si>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</si>
  <si>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</si>
  <si>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</si>
  <si>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</si>
  <si>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</si>
  <si>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</si>
  <si>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</si>
  <si>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</si>
  <si>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</si>
  <si>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</si>
  <si>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</si>
  <si>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</si>
  <si>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</si>
  <si>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</si>
  <si>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</si>
  <si>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</si>
  <si>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</si>
  <si>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</si>
  <si>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</si>
  <si>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</si>
  <si>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</si>
  <si>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</si>
  <si>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</si>
  <si>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</si>
  <si>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</si>
  <si>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</si>
  <si>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</si>
  <si>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</si>
  <si>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</si>
  <si>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</si>
  <si>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</si>
  <si>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</si>
  <si>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</si>
  <si>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</si>
  <si>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</si>
  <si>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</si>
  <si>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</si>
  <si>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</si>
  <si>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</si>
  <si>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</si>
  <si>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</si>
  <si>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</si>
  <si>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</si>
  <si>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</si>
  <si>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</si>
  <si>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</si>
  <si>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</si>
  <si>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</si>
  <si>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</si>
  <si>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</si>
  <si>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</si>
  <si>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</si>
  <si>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</si>
  <si>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</si>
  <si>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</si>
  <si>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</si>
  <si>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</si>
  <si>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</si>
  <si>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</si>
  <si>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</si>
  <si>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</si>
  <si>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</si>
  <si>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</si>
  <si>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</si>
  <si>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</si>
  <si>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</si>
  <si>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</si>
  <si>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</si>
  <si>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</si>
  <si>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</si>
  <si>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</si>
  <si>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</si>
  <si>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</si>
  <si>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</si>
  <si>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</si>
  <si>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</si>
  <si>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</si>
  <si>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</si>
  <si>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</si>
  <si>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</si>
  <si>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</si>
  <si>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</si>
  <si>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</si>
  <si>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</si>
  <si>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</si>
  <si>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</si>
  <si>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</si>
  <si>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</si>
  <si>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</si>
  <si>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</si>
  <si>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</si>
  <si>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</si>
  <si>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</si>
  <si>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</si>
  <si>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</si>
  <si>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</si>
  <si>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</si>
  <si>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</si>
  <si>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</si>
  <si>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</si>
  <si>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</si>
  <si>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</si>
  <si>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</si>
  <si>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</si>
  <si>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</si>
  <si>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</si>
  <si>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</si>
  <si>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</si>
  <si>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</si>
  <si>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</si>
  <si>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</si>
  <si>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</si>
  <si>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</si>
  <si>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</si>
  <si>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</si>
  <si>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</si>
  <si>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</si>
  <si>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</si>
  <si>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</si>
  <si>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</si>
  <si>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</si>
  <si>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</si>
  <si>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</si>
  <si>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</si>
  <si>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</si>
  <si>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</si>
  <si>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</si>
  <si>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</si>
  <si>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</si>
  <si>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</si>
  <si>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</si>
  <si>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</si>
  <si>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</si>
  <si>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</si>
  <si>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</si>
  <si>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</si>
  <si>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</si>
  <si>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</si>
  <si>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</si>
  <si>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</si>
  <si>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</si>
  <si>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</si>
  <si>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</si>
  <si>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</si>
  <si>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</si>
  <si>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</si>
  <si>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</si>
  <si>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</si>
  <si>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</si>
  <si>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</si>
  <si>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</si>
  <si>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</si>
  <si>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</si>
  <si>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</si>
  <si>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</si>
  <si>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</si>
  <si>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</si>
  <si>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</si>
  <si>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</si>
  <si>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</si>
  <si>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</si>
  <si>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</si>
  <si>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</si>
  <si>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</si>
  <si>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</si>
  <si>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</si>
  <si>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</si>
  <si>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</si>
  <si>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</si>
  <si>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</si>
  <si>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</si>
  <si>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</si>
  <si>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</si>
  <si>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</si>
  <si>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</si>
  <si>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</si>
  <si>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</si>
  <si>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</si>
  <si>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</si>
  <si>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</si>
  <si>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</si>
  <si>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</si>
  <si>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</si>
  <si>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</si>
  <si>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</si>
  <si>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</si>
  <si>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</si>
  <si>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</si>
  <si>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</si>
  <si>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</si>
  <si>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</si>
  <si>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</si>
  <si>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</si>
  <si>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</si>
  <si>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</si>
  <si>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</si>
  <si>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</si>
  <si>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</si>
  <si>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</si>
  <si>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</si>
  <si>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</si>
  <si>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</si>
  <si>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</si>
  <si>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</si>
  <si>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</si>
  <si>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</si>
  <si>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</si>
  <si>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</si>
  <si>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</si>
  <si>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</si>
  <si>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</si>
  <si>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</si>
  <si>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</si>
  <si>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</si>
  <si>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</si>
  <si>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</si>
  <si>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</si>
  <si>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</si>
  <si>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</si>
  <si>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</si>
  <si>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</si>
  <si>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</si>
  <si>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</si>
  <si>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</si>
  <si>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</si>
  <si>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</si>
  <si>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</si>
  <si>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</si>
  <si>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</si>
  <si>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</si>
  <si>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</si>
  <si>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</si>
  <si>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</si>
  <si>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</si>
  <si>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</si>
  <si>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</si>
  <si>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</si>
  <si>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</si>
  <si>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</si>
  <si>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</si>
  <si>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</si>
  <si>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</si>
  <si>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</si>
  <si>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</si>
  <si>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</si>
  <si>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</si>
  <si>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</si>
  <si>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</si>
  <si>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</si>
  <si>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</si>
  <si>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</si>
  <si>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</si>
  <si>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</si>
  <si>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</si>
  <si>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</si>
  <si>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</si>
  <si>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</si>
  <si>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</si>
  <si>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</si>
  <si>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</si>
  <si>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</si>
  <si>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</si>
  <si>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</si>
  <si>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</si>
  <si>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</si>
  <si>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</si>
  <si>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</si>
  <si>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</si>
  <si>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</si>
  <si>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</si>
  <si>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</si>
  <si>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</si>
  <si>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</si>
  <si>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</si>
  <si>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</si>
  <si>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</si>
  <si>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</si>
  <si>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</si>
  <si>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</si>
  <si>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</si>
  <si>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</si>
  <si>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</si>
  <si>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</si>
  <si>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</si>
  <si>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</si>
  <si>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</si>
  <si>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</si>
  <si>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</si>
  <si>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</si>
  <si>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新規要支援・要介護認定者の平均要介護度</t>
  </si>
  <si>
    <t>福島県</t>
  </si>
  <si>
    <t>全国</t>
  </si>
  <si>
    <t>令和6年(2024年)</t>
  </si>
  <si>
    <t>北塩原村</t>
  </si>
  <si>
    <t>平均要介護度</t>
  </si>
  <si>
    <t>厚生労働省「介護保険総合データベース」（令和7年9月10日時点データにて集計）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</si>
  <si>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</si>
  <si>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</si>
  <si>
    <t>新規要支援・要介護認定者数（要支援１）</t>
  </si>
  <si>
    <t>新規要支援・要介護認定者数（要支援２）</t>
  </si>
  <si>
    <t>新規要支援・要介護認定者数（要介護１）</t>
  </si>
  <si>
    <t>新規要支援・要介護認定者数（要介護２）</t>
  </si>
  <si>
    <t>-</t>
  </si>
  <si>
    <t>新規要支援・要介護認定者数（要介護３）</t>
  </si>
  <si>
    <t>新規要支援・要介護認定者数（要介護４）</t>
  </si>
  <si>
    <t>新規要支援・要介護認定者数（要介護５）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</si>
</sst>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>
      <alignment vertical="center" horizontal="right"/>
    </xf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>
      <alignment vertical="center" horizontal="right"/>
    </xf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43.0351562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1.5</v>
      </c>
      <c r="D3" s="32" t="n">
        <v>2.0</v>
      </c>
      <c r="E3" s="31" t="n">
        <v>1.8</v>
      </c>
      <c r="F3" s="31" t="n">
        <v>1.5</v>
      </c>
      <c r="G3" s="31" t="n">
        <v>1.8</v>
      </c>
      <c r="H3" s="31" t="n">
        <v>1.4</v>
      </c>
      <c r="I3" s="31" t="n">
        <v>1.6</v>
      </c>
      <c r="J3" s="31" t="n">
        <v>1.4</v>
      </c>
      <c r="K3" s="31" t="n">
        <v>1.6</v>
      </c>
      <c r="L3" s="31" t="n">
        <v>1.3</v>
      </c>
      <c r="M3" s="31" t="n">
        <v>1.6</v>
      </c>
      <c r="N3" s="31" t="n">
        <v>1.3</v>
      </c>
      <c r="O3" s="31" t="n">
        <v>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1.7</v>
      </c>
      <c r="D256" s="35" t="n">
        <v>1.6</v>
      </c>
      <c r="E256" s="35" t="n">
        <v>1.6</v>
      </c>
      <c r="F256" s="35" t="n">
        <v>1.5</v>
      </c>
      <c r="G256" s="35" t="n">
        <v>1.6</v>
      </c>
      <c r="H256" s="35" t="n">
        <v>1.6</v>
      </c>
      <c r="I256" s="35" t="n">
        <v>1.6</v>
      </c>
      <c r="J256" s="35" t="n">
        <v>1.6</v>
      </c>
      <c r="K256" s="35" t="n">
        <v>1.6</v>
      </c>
      <c r="L256" s="35" t="n">
        <v>1.6</v>
      </c>
      <c r="M256" s="35" t="n">
        <v>1.6</v>
      </c>
      <c r="N256" s="35" t="n">
        <v>1.6</v>
      </c>
      <c r="O256" s="35" t="n">
        <v>1.6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1.5</v>
      </c>
      <c r="D257" s="39" t="n">
        <v>1.4</v>
      </c>
      <c r="E257" s="39" t="n">
        <v>1.4</v>
      </c>
      <c r="F257" s="39" t="n">
        <v>1.4</v>
      </c>
      <c r="G257" s="39" t="n">
        <v>1.4</v>
      </c>
      <c r="H257" s="39" t="n">
        <v>1.4</v>
      </c>
      <c r="I257" s="39" t="n">
        <v>1.4</v>
      </c>
      <c r="J257" s="39" t="n">
        <v>1.4</v>
      </c>
      <c r="K257" s="39" t="n">
        <v>1.4</v>
      </c>
      <c r="L257" s="39" t="n">
        <v>1.4</v>
      </c>
      <c r="M257" s="39" t="n">
        <v>1.4</v>
      </c>
      <c r="N257" s="39" t="n">
        <v>1.4</v>
      </c>
      <c r="O257" s="39" t="n">
        <v>1.4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887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新規要支援・要介護認定者の平均要介護度（北塩原村）</v>
      </c>
      <c r="B2" s="7" t="str">
        <f>"（注目する地域）" &amp; E2</f>
        <v>（注目する地域）北塩原村</v>
      </c>
      <c r="C2" s="8" t="s">
        <v>880</v>
      </c>
      <c r="D2" s="8" t="s">
        <v>883</v>
      </c>
      <c r="E2" s="8" t="s">
        <v>884</v>
      </c>
      <c r="F2" s="8" t="str">
        <f>IF(H2="",G2,G2 &amp; "（" &amp; H2 &amp; "）")</f>
        <v>平均要介護度</v>
      </c>
      <c r="G2" s="8" t="s">
        <v>885</v>
      </c>
      <c r="H2" s="8"/>
      <c r="I2" s="8" t="s">
        <v>886</v>
      </c>
      <c r="J2" s="7" t="str">
        <f>"（出典）" &amp; I2</f>
        <v>（出典）厚生労働省「介護保険総合データベース」（令和7年9月10日時点データにて集計）　※本指標は自治体向けのため取り扱いに注意してください。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10.03515625" collapsed="false" bestFit="true"/>
    <col min="3" max="3" customWidth="true" style="10" width="43.03515625" collapsed="false" bestFit="true"/>
    <col min="4" max="4" customWidth="true" style="10" width="2.351562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888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884</v>
      </c>
      <c r="C3" s="17" t="s">
        <v>880</v>
      </c>
      <c r="D3" s="12"/>
      <c r="E3" s="47" t="n">
        <v>1.5</v>
      </c>
      <c r="F3" s="47" t="n">
        <v>2.0</v>
      </c>
      <c r="G3" s="47" t="n">
        <v>1.8</v>
      </c>
      <c r="H3" s="47" t="n">
        <v>1.5</v>
      </c>
      <c r="I3" s="47" t="n">
        <v>1.8</v>
      </c>
      <c r="J3" s="47" t="n">
        <v>1.4</v>
      </c>
      <c r="K3" s="47" t="n">
        <v>1.6</v>
      </c>
      <c r="L3" s="47" t="n">
        <v>1.4</v>
      </c>
      <c r="M3" s="47" t="n">
        <v>1.6</v>
      </c>
      <c r="N3" s="47" t="n">
        <v>1.3</v>
      </c>
      <c r="O3" s="47" t="n">
        <v>1.6</v>
      </c>
      <c r="P3" s="47" t="n">
        <v>1.3</v>
      </c>
      <c r="Q3" s="47" t="n">
        <v>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884</v>
      </c>
      <c r="C4" s="17" t="s">
        <v>889</v>
      </c>
      <c r="D4" s="12"/>
      <c r="E4" s="52" t="n">
        <v>8.0</v>
      </c>
      <c r="F4" s="52" t="n">
        <v>8.0</v>
      </c>
      <c r="G4" s="52" t="n">
        <v>5.0</v>
      </c>
      <c r="H4" s="52" t="n">
        <v>8.0</v>
      </c>
      <c r="I4" s="52" t="n">
        <v>6.0</v>
      </c>
      <c r="J4" s="52" t="n">
        <v>10.0</v>
      </c>
      <c r="K4" s="52" t="n">
        <v>5.0</v>
      </c>
      <c r="L4" s="52" t="n">
        <v>7.0</v>
      </c>
      <c r="M4" s="52" t="n">
        <v>5.0</v>
      </c>
      <c r="N4" s="52" t="n">
        <v>12.0</v>
      </c>
      <c r="O4" s="52" t="n">
        <v>12.0</v>
      </c>
      <c r="P4" s="52" t="n">
        <v>17.0</v>
      </c>
      <c r="Q4" s="52" t="n">
        <v>13.0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884</v>
      </c>
      <c r="C5" s="17" t="s">
        <v>890</v>
      </c>
      <c r="D5" s="12"/>
      <c r="E5" s="56" t="n">
        <v>12.0</v>
      </c>
      <c r="F5" s="56" t="n">
        <v>2.0</v>
      </c>
      <c r="G5" s="56" t="n">
        <v>6.0</v>
      </c>
      <c r="H5" s="56" t="n">
        <v>5.0</v>
      </c>
      <c r="I5" s="56" t="n">
        <v>1.0</v>
      </c>
      <c r="J5" s="56" t="n">
        <v>5.0</v>
      </c>
      <c r="K5" s="56" t="n">
        <v>3.0</v>
      </c>
      <c r="L5" s="56" t="n">
        <v>6.0</v>
      </c>
      <c r="M5" s="56" t="n">
        <v>6.0</v>
      </c>
      <c r="N5" s="56" t="n">
        <v>9.0</v>
      </c>
      <c r="O5" s="56" t="n">
        <v>4.0</v>
      </c>
      <c r="P5" s="56" t="n">
        <v>6.0</v>
      </c>
      <c r="Q5" s="56" t="n">
        <v>4.0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884</v>
      </c>
      <c r="C6" s="17" t="s">
        <v>891</v>
      </c>
      <c r="D6" s="12"/>
      <c r="E6" s="60" t="n">
        <v>19.0</v>
      </c>
      <c r="F6" s="60" t="n">
        <v>11.0</v>
      </c>
      <c r="G6" s="60" t="n">
        <v>12.0</v>
      </c>
      <c r="H6" s="60" t="n">
        <v>16.0</v>
      </c>
      <c r="I6" s="60" t="n">
        <v>12.0</v>
      </c>
      <c r="J6" s="60" t="n">
        <v>2.0</v>
      </c>
      <c r="K6" s="60" t="n">
        <v>10.0</v>
      </c>
      <c r="L6" s="60" t="n">
        <v>10.0</v>
      </c>
      <c r="M6" s="60" t="n">
        <v>4.0</v>
      </c>
      <c r="N6" s="60" t="n">
        <v>10.0</v>
      </c>
      <c r="O6" s="60" t="n">
        <v>6.0</v>
      </c>
      <c r="P6" s="60" t="n">
        <v>7.0</v>
      </c>
      <c r="Q6" s="60" t="n">
        <v>9.0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884</v>
      </c>
      <c r="C7" s="17" t="s">
        <v>892</v>
      </c>
      <c r="D7" s="12"/>
      <c r="E7" s="64" t="n">
        <v>11.0</v>
      </c>
      <c r="F7" s="64" t="n">
        <v>6.0</v>
      </c>
      <c r="G7" s="64" t="n">
        <v>8.0</v>
      </c>
      <c r="H7" s="64" t="n">
        <v>7.0</v>
      </c>
      <c r="I7" s="64" t="n">
        <v>2.0</v>
      </c>
      <c r="J7" s="64" t="n">
        <v>1.0</v>
      </c>
      <c r="K7" s="64" t="n">
        <v>1.0</v>
      </c>
      <c r="L7" s="64" t="n">
        <v>1.0</v>
      </c>
      <c r="M7" s="64" t="n">
        <v>1.0</v>
      </c>
      <c r="N7" s="64" t="n">
        <v>4.0</v>
      </c>
      <c r="O7" s="64" t="n">
        <v>4.0</v>
      </c>
      <c r="P7" s="64" t="n">
        <v>4.0</v>
      </c>
      <c r="Q7" s="64" t="n">
        <v>1.0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884</v>
      </c>
      <c r="C8" s="17" t="s">
        <v>894</v>
      </c>
      <c r="D8" s="12"/>
      <c r="E8" s="68" t="n">
        <v>4.0</v>
      </c>
      <c r="F8" s="68" t="n">
        <v>2.0</v>
      </c>
      <c r="G8" s="68" t="n">
        <v>1.0</v>
      </c>
      <c r="H8" s="68" t="n">
        <v>5.0</v>
      </c>
      <c r="I8" s="68" t="n">
        <v>5.0</v>
      </c>
      <c r="J8" s="68" t="n">
        <v>3.0</v>
      </c>
      <c r="K8" s="68" t="n">
        <v>1.0</v>
      </c>
      <c r="L8" s="70" t="s">
        <v>893</v>
      </c>
      <c r="M8" s="68" t="n">
        <v>2.0</v>
      </c>
      <c r="N8" s="68" t="n">
        <v>4.0</v>
      </c>
      <c r="O8" s="70" t="s">
        <v>893</v>
      </c>
      <c r="P8" s="68" t="n">
        <v>1.0</v>
      </c>
      <c r="Q8" s="70" t="s">
        <v>893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884</v>
      </c>
      <c r="C9" s="17" t="s">
        <v>895</v>
      </c>
      <c r="D9" s="12"/>
      <c r="E9" s="72" t="n">
        <v>5.0</v>
      </c>
      <c r="F9" s="72" t="n">
        <v>8.0</v>
      </c>
      <c r="G9" s="72" t="n">
        <v>4.0</v>
      </c>
      <c r="H9" s="72" t="n">
        <v>3.0</v>
      </c>
      <c r="I9" s="72" t="n">
        <v>3.0</v>
      </c>
      <c r="J9" s="72" t="n">
        <v>1.0</v>
      </c>
      <c r="K9" s="72" t="n">
        <v>4.0</v>
      </c>
      <c r="L9" s="72" t="n">
        <v>1.0</v>
      </c>
      <c r="M9" s="72" t="n">
        <v>4.0</v>
      </c>
      <c r="N9" s="74" t="s">
        <v>893</v>
      </c>
      <c r="O9" s="72" t="n">
        <v>6.0</v>
      </c>
      <c r="P9" s="72" t="n">
        <v>4.0</v>
      </c>
      <c r="Q9" s="72" t="n">
        <v>2.0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884</v>
      </c>
      <c r="C10" s="17" t="s">
        <v>896</v>
      </c>
      <c r="D10" s="12"/>
      <c r="E10" s="76" t="n">
        <v>2.0</v>
      </c>
      <c r="F10" s="76" t="n">
        <v>3.0</v>
      </c>
      <c r="G10" s="76" t="n">
        <v>4.0</v>
      </c>
      <c r="H10" s="76" t="n">
        <v>1.0</v>
      </c>
      <c r="I10" s="76" t="n">
        <v>2.0</v>
      </c>
      <c r="J10" s="76" t="n">
        <v>2.0</v>
      </c>
      <c r="K10" s="76" t="n">
        <v>1.0</v>
      </c>
      <c r="L10" s="76" t="n">
        <v>4.0</v>
      </c>
      <c r="M10" s="76" t="n">
        <v>1.0</v>
      </c>
      <c r="N10" s="76" t="n">
        <v>3.0</v>
      </c>
      <c r="O10" s="76" t="n">
        <v>2.0</v>
      </c>
      <c r="P10" s="76" t="n">
        <v>2.0</v>
      </c>
      <c r="Q10" s="76" t="n">
        <v>3.0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881</v>
      </c>
      <c r="C11" s="17" t="s">
        <v>880</v>
      </c>
      <c r="D11" s="12"/>
      <c r="E11" s="79" t="n">
        <v>1.7</v>
      </c>
      <c r="F11" s="79" t="n">
        <v>1.6</v>
      </c>
      <c r="G11" s="79" t="n">
        <v>1.6</v>
      </c>
      <c r="H11" s="79" t="n">
        <v>1.5</v>
      </c>
      <c r="I11" s="79" t="n">
        <v>1.6</v>
      </c>
      <c r="J11" s="79" t="n">
        <v>1.6</v>
      </c>
      <c r="K11" s="79" t="n">
        <v>1.6</v>
      </c>
      <c r="L11" s="79" t="n">
        <v>1.6</v>
      </c>
      <c r="M11" s="79" t="n">
        <v>1.6</v>
      </c>
      <c r="N11" s="79" t="n">
        <v>1.6</v>
      </c>
      <c r="O11" s="79" t="n">
        <v>1.6</v>
      </c>
      <c r="P11" s="79" t="n">
        <v>1.6</v>
      </c>
      <c r="Q11" s="79" t="n">
        <v>1.6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882</v>
      </c>
      <c r="C12" s="17" t="s">
        <v>880</v>
      </c>
      <c r="D12" s="12"/>
      <c r="E12" s="83" t="n">
        <v>1.5</v>
      </c>
      <c r="F12" s="83" t="n">
        <v>1.4</v>
      </c>
      <c r="G12" s="83" t="n">
        <v>1.4</v>
      </c>
      <c r="H12" s="83" t="n">
        <v>1.4</v>
      </c>
      <c r="I12" s="83" t="n">
        <v>1.4</v>
      </c>
      <c r="J12" s="83" t="n">
        <v>1.4</v>
      </c>
      <c r="K12" s="83" t="n">
        <v>1.4</v>
      </c>
      <c r="L12" s="83" t="n">
        <v>1.4</v>
      </c>
      <c r="M12" s="83" t="n">
        <v>1.4</v>
      </c>
      <c r="N12" s="83" t="n">
        <v>1.4</v>
      </c>
      <c r="O12" s="83" t="n">
        <v>1.4</v>
      </c>
      <c r="P12" s="83" t="n">
        <v>1.4</v>
      </c>
      <c r="Q12" s="83" t="n">
        <v>1.4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（出典）厚生労働省「介護保険総合データベース」（令和7年9月10日時点データにて集計）　※本指標は自治体向けのため取り扱いに注意してください。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