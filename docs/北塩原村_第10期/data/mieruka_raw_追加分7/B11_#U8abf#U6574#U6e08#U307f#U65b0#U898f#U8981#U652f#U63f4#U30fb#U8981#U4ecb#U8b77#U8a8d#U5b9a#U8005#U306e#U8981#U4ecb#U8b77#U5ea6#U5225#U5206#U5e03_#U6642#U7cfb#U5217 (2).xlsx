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526033FB-552E-4680-AD5D-29D65DDC4E9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6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6" l="1"/>
  <c r="L2" i="23"/>
  <c r="B259" i="25" s="1"/>
  <c r="B2" i="23" l="1"/>
  <c r="F2" i="23" l="1"/>
  <c r="J2" i="23" l="1"/>
  <c r="B261" i="25" s="1"/>
  <c r="B260" i="25"/>
  <c r="A2" i="23"/>
</calcChain>
</file>

<file path=xl/sharedStrings.xml><?xml version="1.0" encoding="utf-8"?>
<sst xmlns="http://schemas.openxmlformats.org/spreadsheetml/2006/main" count="1097" uniqueCount="693">
  <si>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</si>
  <si>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</si>
  <si>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</si>
  <si>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</si>
  <si>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月報出典</t>
    <rPh sb="0" eb="2">
      <t>ゲッポウ</t>
    </rPh>
    <rPh sb="2" eb="4">
      <t>シュッテン</t>
    </rPh>
    <phoneticPr fontId="1"/>
  </si>
  <si>
    <t>タイトル表示用</t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</si>
  <si>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</si>
  <si>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</si>
  <si>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</si>
  <si>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</si>
  <si>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</si>
  <si>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</si>
  <si>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</si>
  <si>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</si>
  <si>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</si>
  <si>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</si>
  <si>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</si>
  <si>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</si>
  <si>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</si>
  <si>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</si>
  <si>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</si>
  <si>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</si>
  <si>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</si>
  <si>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</si>
  <si>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</si>
  <si>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</si>
  <si>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</si>
  <si>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</si>
  <si>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</si>
  <si>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</si>
  <si>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</si>
  <si>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</si>
  <si>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</si>
  <si>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</si>
  <si>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</si>
  <si>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</si>
  <si>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</si>
  <si>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</si>
  <si>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</si>
  <si>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</si>
  <si>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</si>
  <si>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</si>
  <si>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</si>
  <si>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</si>
  <si>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</si>
  <si>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</si>
  <si>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</si>
  <si>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</si>
  <si>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</si>
  <si>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</si>
  <si>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</si>
  <si>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</si>
  <si>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</si>
  <si>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</si>
  <si>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</si>
  <si>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</si>
  <si>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</si>
  <si>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</si>
  <si>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</si>
  <si>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</si>
  <si>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</si>
  <si>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</si>
  <si>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</si>
  <si>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</si>
  <si>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</si>
  <si>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</si>
  <si>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</si>
  <si>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</si>
  <si>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</si>
  <si>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</si>
  <si>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</si>
  <si>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</si>
  <si>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</si>
  <si>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</si>
  <si>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</si>
  <si>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</si>
  <si>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</si>
  <si>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</si>
  <si>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</si>
  <si>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</si>
  <si>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</si>
  <si>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</si>
  <si>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</si>
  <si>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</si>
  <si>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</si>
  <si>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</si>
  <si>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</si>
  <si>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</si>
  <si>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</si>
  <si>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</si>
  <si>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</si>
  <si>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</si>
  <si>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</si>
  <si>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</si>
  <si>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</si>
  <si>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</si>
  <si>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</si>
  <si>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</si>
  <si>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</si>
  <si>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</si>
  <si>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</si>
  <si>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</si>
  <si>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</si>
  <si>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</si>
  <si>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</si>
  <si>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</si>
  <si>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</si>
  <si>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</si>
  <si>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</si>
  <si>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</si>
  <si>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</si>
  <si>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</si>
  <si>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</si>
  <si>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</si>
  <si>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</si>
  <si>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</si>
  <si>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</si>
  <si>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</si>
  <si>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</si>
  <si>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</si>
  <si>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</si>
  <si>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</si>
  <si>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</si>
  <si>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</si>
  <si>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</si>
  <si>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</si>
  <si>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</si>
  <si>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</si>
  <si>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</si>
  <si>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</si>
  <si>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</si>
  <si>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</si>
  <si>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</si>
  <si>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</si>
  <si>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</si>
  <si>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</si>
  <si>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</si>
  <si>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</si>
  <si>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</si>
  <si>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</si>
  <si>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</si>
  <si>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</si>
  <si>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</si>
  <si>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</si>
  <si>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</si>
  <si>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</si>
  <si>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</si>
  <si>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</si>
  <si>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</si>
  <si>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</si>
  <si>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</si>
  <si>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</si>
  <si>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</si>
  <si>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</si>
  <si>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</si>
  <si>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</si>
  <si>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</si>
  <si>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</si>
  <si>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</si>
  <si>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</si>
  <si>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</si>
  <si>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</si>
  <si>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</si>
  <si>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</si>
  <si>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</si>
  <si>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</si>
  <si>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</si>
  <si>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</si>
  <si>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</si>
  <si>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</si>
  <si>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</si>
  <si>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</si>
  <si>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</si>
  <si>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</si>
  <si>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</si>
  <si>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</si>
  <si>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</si>
  <si>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</si>
  <si>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</si>
  <si>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</si>
  <si>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</si>
  <si>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</si>
  <si>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</si>
  <si>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</si>
  <si>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</si>
  <si>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</si>
  <si>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</si>
  <si>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</si>
  <si>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</si>
  <si>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</si>
  <si>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</si>
  <si>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</si>
  <si>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</si>
  <si>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</si>
  <si>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</si>
  <si>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</si>
  <si>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</si>
  <si>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</si>
  <si>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</si>
  <si>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</si>
  <si>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</si>
  <si>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</si>
  <si>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</si>
  <si>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</si>
  <si>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</si>
  <si>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</si>
  <si>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</si>
  <si>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</si>
  <si>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</si>
  <si>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</si>
  <si>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</si>
  <si>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</si>
  <si>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</si>
  <si>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</si>
  <si>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</si>
  <si>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</si>
  <si>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</si>
  <si>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</si>
  <si>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</si>
  <si>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</si>
  <si>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</si>
  <si>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</si>
  <si>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</si>
  <si>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</si>
  <si>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</si>
  <si>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</si>
  <si>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</si>
  <si>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</si>
  <si>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</si>
  <si>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</si>
  <si>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</si>
  <si>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</si>
  <si>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</si>
  <si>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</si>
  <si>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</si>
  <si>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</si>
  <si>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</si>
  <si>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</si>
  <si>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</si>
  <si>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</si>
  <si>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</si>
  <si>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</si>
  <si>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</si>
  <si>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</si>
  <si>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</si>
  <si>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</si>
  <si>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</si>
  <si>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</si>
  <si>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</si>
  <si>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</si>
  <si>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</si>
  <si>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</si>
  <si>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</si>
  <si>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</si>
  <si>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</si>
  <si>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</si>
  <si>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</si>
  <si>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</si>
  <si>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</si>
  <si>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</si>
  <si>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</si>
  <si>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</si>
  <si>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</si>
  <si>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</si>
  <si>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</si>
  <si>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</si>
  <si>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</si>
  <si>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</si>
  <si>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</si>
  <si>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</si>
  <si>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</si>
  <si>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</si>
  <si>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</si>
  <si>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</si>
  <si>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</si>
  <si>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</si>
  <si>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</si>
  <si>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</si>
  <si>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</si>
  <si>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</si>
  <si>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</si>
  <si>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</si>
  <si>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</si>
  <si>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</si>
  <si>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</si>
  <si>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</si>
  <si>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</si>
  <si>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</si>
  <si>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</si>
  <si>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</si>
  <si>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</si>
  <si>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</si>
  <si>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</si>
  <si>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</si>
  <si>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</si>
  <si>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</si>
  <si>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</si>
  <si>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</si>
  <si>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</si>
  <si>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</si>
  <si>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</si>
  <si>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</si>
  <si>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</si>
  <si>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</si>
  <si>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</si>
  <si>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</si>
  <si>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</si>
  <si>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</si>
  <si>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</si>
  <si>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</si>
  <si>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</si>
  <si>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</si>
  <si>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</si>
  <si>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</si>
  <si>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</si>
  <si>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</si>
  <si>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</si>
  <si>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</si>
  <si>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</si>
  <si>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</si>
  <si>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</si>
  <si>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</si>
  <si>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</si>
  <si>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</si>
  <si>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</si>
  <si>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</si>
  <si>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</si>
  <si>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</si>
  <si>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</si>
  <si>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</si>
  <si>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</si>
  <si>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</si>
  <si>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</si>
  <si>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</si>
  <si>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</si>
  <si>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</si>
  <si>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</si>
  <si>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</si>
  <si>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</si>
  <si>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</si>
  <si>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</si>
  <si>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</si>
  <si>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</si>
  <si>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</si>
  <si>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</si>
  <si>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</si>
  <si>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</si>
  <si>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</si>
  <si>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</si>
  <si>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</si>
  <si>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</si>
  <si>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</si>
  <si>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</si>
  <si>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</si>
  <si>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</si>
  <si>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</si>
  <si>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</si>
  <si>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</si>
  <si>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</si>
  <si>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</si>
  <si>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</si>
  <si>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</si>
  <si>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</si>
  <si>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</si>
  <si>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</si>
  <si>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</si>
  <si>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</si>
  <si>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</si>
  <si>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</si>
  <si>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</si>
  <si>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</si>
  <si>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</si>
  <si>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</si>
  <si>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</si>
  <si>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</si>
  <si>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</si>
  <si>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</si>
  <si>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</si>
  <si>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</si>
  <si>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</si>
  <si>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</si>
  <si>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</si>
  <si>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</si>
  <si>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</si>
  <si>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</si>
  <si>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</si>
  <si>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</si>
  <si>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</si>
  <si>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</si>
  <si>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</si>
  <si>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</si>
  <si>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</si>
  <si>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</si>
  <si>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</si>
  <si>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</si>
  <si>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</si>
  <si>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</si>
  <si>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</si>
  <si>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</si>
  <si>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</si>
  <si>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</si>
  <si>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</si>
  <si>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</si>
  <si>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</si>
  <si>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</si>
  <si>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</si>
  <si>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</si>
  <si>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</si>
  <si>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</si>
  <si>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</si>
  <si>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</si>
  <si>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</si>
  <si>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</si>
  <si>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</si>
  <si>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</si>
  <si>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</si>
  <si>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</si>
  <si>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</si>
  <si>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</si>
  <si>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</si>
  <si>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</si>
  <si>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</si>
  <si>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</si>
  <si>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</si>
  <si>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</si>
  <si>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</si>
  <si>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</si>
  <si>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</si>
  <si>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</si>
  <si>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</si>
  <si>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</si>
  <si>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</si>
  <si>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</si>
  <si>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</si>
  <si>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</si>
  <si>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</si>
  <si>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</si>
  <si>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</si>
  <si>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</si>
  <si>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</si>
  <si>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</si>
  <si>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</si>
  <si>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</si>
  <si>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</si>
  <si>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</si>
  <si>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</si>
  <si>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</si>
  <si>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</si>
  <si>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</si>
  <si>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</si>
  <si>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</si>
  <si>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</si>
  <si>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</si>
  <si>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</si>
  <si>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</si>
  <si>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</si>
  <si>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</si>
  <si>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</si>
  <si>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</si>
  <si>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</si>
  <si>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</si>
  <si>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</si>
  <si>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</si>
  <si>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</si>
  <si>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</si>
  <si>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</si>
  <si>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</si>
  <si>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</si>
  <si>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</si>
  <si>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</si>
  <si>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</si>
  <si>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</si>
  <si>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</si>
  <si>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</si>
  <si>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</si>
  <si>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</si>
  <si>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</si>
  <si>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</si>
  <si>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</si>
  <si>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</si>
  <si>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</si>
  <si>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</si>
  <si>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</si>
  <si>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</si>
  <si>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</si>
  <si>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</si>
  <si>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</si>
  <si>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</si>
  <si>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</si>
  <si>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</si>
  <si>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</si>
  <si>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</si>
  <si>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</si>
  <si>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</si>
  <si>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</si>
  <si>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</si>
  <si>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</si>
  <si>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</si>
  <si>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</si>
  <si>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</si>
  <si>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</si>
  <si>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</si>
  <si>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</si>
  <si>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</si>
  <si>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</si>
  <si>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</si>
  <si>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</si>
  <si>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</si>
  <si>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</si>
  <si>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</si>
  <si>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</si>
  <si>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</si>
  <si>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</si>
  <si>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</si>
  <si>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</si>
  <si>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</si>
  <si>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</si>
  <si>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</si>
  <si>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</si>
  <si>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</si>
  <si>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</si>
  <si>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</si>
  <si>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</si>
  <si>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</si>
  <si>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</si>
  <si>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</si>
  <si>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</si>
  <si>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</si>
  <si>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</si>
  <si>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</si>
  <si>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</si>
  <si>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</si>
  <si>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</si>
  <si>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</si>
  <si>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</si>
  <si>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</si>
  <si>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</si>
  <si>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</si>
  <si>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</si>
  <si>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</si>
  <si>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</si>
  <si>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</si>
  <si>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</si>
  <si>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</si>
  <si>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</si>
  <si>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</si>
  <si>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</si>
  <si>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</si>
  <si>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</si>
  <si>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</si>
  <si>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</si>
  <si>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</si>
  <si>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</si>
  <si>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</si>
  <si>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</si>
  <si>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</si>
  <si>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</si>
  <si>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</si>
  <si>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</si>
  <si>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</si>
  <si>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</si>
  <si>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</si>
  <si>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</si>
  <si>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</si>
  <si>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</si>
  <si>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</si>
  <si>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</si>
  <si>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</si>
  <si>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</si>
  <si>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</si>
  <si>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</si>
  <si>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</si>
  <si>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</si>
  <si>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</si>
  <si>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</si>
  <si>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</si>
  <si>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</si>
  <si>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</si>
  <si>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</si>
  <si>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</si>
  <si>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</si>
  <si>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</si>
  <si>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</si>
  <si>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</si>
  <si>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</si>
  <si>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</si>
  <si>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</si>
  <si>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</si>
  <si>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</si>
  <si>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</si>
  <si>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</si>
  <si>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</si>
  <si>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</si>
  <si>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</si>
  <si>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</si>
  <si>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</si>
  <si>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</si>
  <si>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</si>
  <si>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</si>
  <si>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</si>
  <si>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</si>
  <si>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</si>
  <si>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</si>
  <si>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</si>
  <si>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</si>
  <si>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</si>
  <si>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</si>
  <si>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</si>
  <si>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</si>
  <si>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</si>
  <si>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</si>
  <si>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</si>
  <si>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</si>
  <si>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</si>
  <si>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</si>
  <si>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</si>
  <si>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</si>
  <si>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</si>
  <si>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</si>
  <si>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</si>
  <si>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</si>
  <si>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</si>
  <si>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</si>
  <si>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</si>
  <si>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</si>
  <si>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</si>
  <si>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</si>
  <si>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</si>
  <si>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</si>
  <si>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</si>
  <si>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</si>
  <si>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</si>
  <si>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</si>
  <si>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</si>
  <si>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</si>
  <si>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</si>
  <si>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</si>
  <si>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</si>
  <si>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</si>
  <si>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</si>
  <si>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</si>
  <si>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</si>
  <si>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</si>
  <si>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</si>
  <si>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</si>
  <si>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</si>
  <si>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</si>
  <si>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</si>
  <si>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</si>
  <si>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</si>
  <si>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</si>
  <si>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</si>
  <si>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サブタイトル（時点）</t>
    <phoneticPr fontId="1"/>
  </si>
  <si>
    <t>サブタイトル（注目する地域）</t>
    <phoneticPr fontId="1"/>
  </si>
  <si>
    <t>E指標ラベル</t>
    <rPh sb="1" eb="3">
      <t>シヒョウ</t>
    </rPh>
    <phoneticPr fontId="1"/>
  </si>
  <si>
    <t>表示用</t>
    <rPh sb="0" eb="1">
      <t>ヒョウ</t>
    </rPh>
    <rPh sb="1" eb="2">
      <t>ジ</t>
    </rPh>
    <rPh sb="2" eb="3">
      <t>ヨウ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</si>
  <si>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</si>
  <si>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</si>
  <si>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</si>
  <si>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</si>
  <si>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</si>
  <si>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</si>
  <si>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</si>
  <si>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</si>
  <si>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</si>
  <si>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</si>
  <si>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</si>
  <si>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</si>
  <si>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</si>
  <si>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</si>
  <si>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</si>
  <si>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</si>
  <si>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</si>
  <si>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</si>
  <si>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</si>
  <si>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</si>
  <si>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調整済み新規要支援・要介護認定者の要介護度別分布</t>
  </si>
  <si>
    <t>令和6年(2024年)</t>
  </si>
  <si>
    <t>北塩原村</t>
  </si>
  <si>
    <t>各要介護度の占める割合</t>
  </si>
  <si>
    <t>%</t>
  </si>
  <si>
    <t>厚生労働省「介護保険総合データベース」（令和7年9月10日時点データにて集計）および厚生労働省「介護保険事業状況報告」年報（令和6年度のみ「介護保険事業状況報告」月報）および総務省「住民基本台帳人口・世帯数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</si>
  <si>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</si>
  <si>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</si>
  <si>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【注目する地域のみ】調整済み新規要支援・要介護認定者（要支援１）</t>
  </si>
  <si>
    <t>（%）</t>
  </si>
  <si>
    <t>【注目する地域のみ】調整済み新規要支援・要介護認定者（要支援２）</t>
  </si>
  <si>
    <t>【注目する地域のみ】調整済み新規要支援・要介護認定者（要介護１）</t>
  </si>
  <si>
    <t>【注目する地域のみ】調整済み新規要支援・要介護認定者（要介護２）</t>
  </si>
  <si>
    <t>-</t>
  </si>
  <si>
    <t>【注目する地域のみ】調整済み新規要支援・要介護認定者（要介護３）</t>
  </si>
  <si>
    <t>【注目する地域のみ】調整済み新規要支援・要介護認定者（要介護４）</t>
  </si>
  <si>
    <t>【注目する地域のみ】調整済み新規要支援・要介護認定者（要介護５）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</si>
</sst>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4" borderId="0" xfId="1" applyFont="1" applyFill="1" applyBorder="1">
      <alignment vertical="center"/>
    </xf>
    <xf numFmtId="176" fontId="4" fillId="4" borderId="0" xfId="0" applyNumberFormat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1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7" fillId="0" borderId="5" xfId="0" applyBorder="true" applyFont="true"/>
    <xf numFmtId="0" fontId="7" fillId="0" borderId="5" xfId="0" applyBorder="true" applyFont="true"/>
    <xf numFmtId="0" fontId="7" fillId="7" borderId="5" xfId="0" applyBorder="true" applyFont="true" applyFill="true">
      <alignment wrapText="true" vertical="center" horizontal="center"/>
    </xf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7" borderId="5" xfId="0" applyBorder="true" applyFont="true" applyFill="true">
      <alignment wrapText="true" vertical="center" horizontal="center"/>
    </xf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>
      <alignment vertical="center" horizontal="right"/>
    </xf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>
      <alignment vertical="center" horizontal="right"/>
    </xf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395D7"/>
      <color rgb="FFDAEEF3"/>
      <color rgb="FF5769E3"/>
      <color rgb="FF5E51B9"/>
      <color rgb="FF5A3580"/>
      <color rgb="FF561456"/>
      <color rgb="FF561656"/>
      <color rgb="FF60BB8D"/>
      <color rgb="FF8CD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32D1-41ED-8CCA-5672C1D2C45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32D1-41ED-8CCA-5672C1D2C45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32D1-41ED-8CCA-5672C1D2C45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32D1-41ED-8CCA-5672C1D2C45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32D1-41ED-8CCA-5672C1D2C45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32D1-41ED-8CCA-5672C1D2C45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32D1-41ED-8CCA-5672C1D2C45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32D1-41ED-8CCA-5672C1D2C457}"/>
            </c:ext>
          </c:extLst>
        </c:ser>
        <c:ser>
          <c:idx val="9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32D1-41ED-8CCA-5672C1D2C457}"/>
            </c:ext>
          </c:extLst>
        </c:ser>
        <c:ser>
          <c:idx val="10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32D1-41ED-8CCA-5672C1D2C457}"/>
            </c:ext>
          </c:extLst>
        </c:ser>
        <c:ser>
          <c:idx val="11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32D1-41ED-8CCA-5672C1D2C457}"/>
            </c:ext>
          </c:extLst>
        </c:ser>
        <c:ser>
          <c:idx val="12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32D1-41ED-8CCA-5672C1D2C457}"/>
            </c:ext>
          </c:extLst>
        </c:ser>
        <c:ser>
          <c:idx val="13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32D1-41ED-8CCA-5672C1D2C457}"/>
            </c:ext>
          </c:extLst>
        </c:ser>
        <c:ser>
          <c:idx val="14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32D1-41ED-8CCA-5672C1D2C457}"/>
            </c:ext>
          </c:extLst>
        </c:ser>
        <c:ser>
          <c:idx val="15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32D1-41ED-8CCA-5672C1D2C457}"/>
            </c:ext>
          </c:extLst>
        </c:ser>
        <c:ser>
          <c:idx val="16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32D1-41ED-8CCA-5672C1D2C457}"/>
            </c:ext>
          </c:extLst>
        </c:ser>
        <c:ser>
          <c:idx val="17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32D1-41ED-8CCA-5672C1D2C457}"/>
            </c:ext>
          </c:extLst>
        </c:ser>
        <c:ser>
          <c:idx val="18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32D1-41ED-8CCA-5672C1D2C457}"/>
            </c:ext>
          </c:extLst>
        </c:ser>
        <c:ser>
          <c:idx val="19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32D1-41ED-8CCA-5672C1D2C457}"/>
            </c:ext>
          </c:extLst>
        </c:ser>
        <c:ser>
          <c:idx val="20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32D1-41ED-8CCA-5672C1D2C457}"/>
            </c:ext>
          </c:extLst>
        </c:ser>
        <c:ser>
          <c:idx val="21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32D1-41ED-8CCA-5672C1D2C457}"/>
            </c:ext>
          </c:extLst>
        </c:ser>
        <c:ser>
          <c:idx val="22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32D1-41ED-8CCA-5672C1D2C457}"/>
            </c:ext>
          </c:extLst>
        </c:ser>
        <c:ser>
          <c:idx val="23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32D1-41ED-8CCA-5672C1D2C457}"/>
            </c:ext>
          </c:extLst>
        </c:ser>
        <c:ser>
          <c:idx val="24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32D1-41ED-8CCA-5672C1D2C457}"/>
            </c:ext>
          </c:extLst>
        </c:ser>
        <c:ser>
          <c:idx val="25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32D1-41ED-8CCA-5672C1D2C457}"/>
            </c:ext>
          </c:extLst>
        </c:ser>
        <c:ser>
          <c:idx val="26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32D1-41ED-8CCA-5672C1D2C457}"/>
            </c:ext>
          </c:extLst>
        </c:ser>
        <c:ser>
          <c:idx val="27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32D1-41ED-8CCA-5672C1D2C457}"/>
            </c:ext>
          </c:extLst>
        </c:ser>
        <c:ser>
          <c:idx val="28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32D1-41ED-8CCA-5672C1D2C457}"/>
            </c:ext>
          </c:extLst>
        </c:ser>
        <c:ser>
          <c:idx val="29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32D1-41ED-8CCA-5672C1D2C457}"/>
            </c:ext>
          </c:extLst>
        </c:ser>
        <c:ser>
          <c:idx val="30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32D1-41ED-8CCA-5672C1D2C457}"/>
            </c:ext>
          </c:extLst>
        </c:ser>
        <c:ser>
          <c:idx val="31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32D1-41ED-8CCA-5672C1D2C457}"/>
            </c:ext>
          </c:extLst>
        </c:ser>
        <c:ser>
          <c:idx val="32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32D1-41ED-8CCA-5672C1D2C457}"/>
            </c:ext>
          </c:extLst>
        </c:ser>
        <c:ser>
          <c:idx val="33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32D1-41ED-8CCA-5672C1D2C457}"/>
            </c:ext>
          </c:extLst>
        </c:ser>
        <c:ser>
          <c:idx val="34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32D1-41ED-8CCA-5672C1D2C457}"/>
            </c:ext>
          </c:extLst>
        </c:ser>
        <c:ser>
          <c:idx val="35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32D1-41ED-8CCA-5672C1D2C457}"/>
            </c:ext>
          </c:extLst>
        </c:ser>
        <c:ser>
          <c:idx val="36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32D1-41ED-8CCA-5672C1D2C457}"/>
            </c:ext>
          </c:extLst>
        </c:ser>
        <c:ser>
          <c:idx val="37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32D1-41ED-8CCA-5672C1D2C457}"/>
            </c:ext>
          </c:extLst>
        </c:ser>
        <c:ser>
          <c:idx val="38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32D1-41ED-8CCA-5672C1D2C457}"/>
            </c:ext>
          </c:extLst>
        </c:ser>
        <c:ser>
          <c:idx val="39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32D1-41ED-8CCA-5672C1D2C457}"/>
            </c:ext>
          </c:extLst>
        </c:ser>
        <c:ser>
          <c:idx val="40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32D1-41ED-8CCA-5672C1D2C457}"/>
            </c:ext>
          </c:extLst>
        </c:ser>
        <c:ser>
          <c:idx val="41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32D1-41ED-8CCA-5672C1D2C457}"/>
            </c:ext>
          </c:extLst>
        </c:ser>
        <c:ser>
          <c:idx val="42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32D1-41ED-8CCA-5672C1D2C457}"/>
            </c:ext>
          </c:extLst>
        </c:ser>
        <c:ser>
          <c:idx val="43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32D1-41ED-8CCA-5672C1D2C457}"/>
            </c:ext>
          </c:extLst>
        </c:ser>
        <c:ser>
          <c:idx val="44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32D1-41ED-8CCA-5672C1D2C457}"/>
            </c:ext>
          </c:extLst>
        </c:ser>
        <c:ser>
          <c:idx val="45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32D1-41ED-8CCA-5672C1D2C457}"/>
            </c:ext>
          </c:extLst>
        </c:ser>
        <c:ser>
          <c:idx val="46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32D1-41ED-8CCA-5672C1D2C457}"/>
            </c:ext>
          </c:extLst>
        </c:ser>
        <c:ser>
          <c:idx val="47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32D1-41ED-8CCA-5672C1D2C457}"/>
            </c:ext>
          </c:extLst>
        </c:ser>
        <c:ser>
          <c:idx val="48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32D1-41ED-8CCA-5672C1D2C457}"/>
            </c:ext>
          </c:extLst>
        </c:ser>
        <c:ser>
          <c:idx val="49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32D1-41ED-8CCA-5672C1D2C457}"/>
            </c:ext>
          </c:extLst>
        </c:ser>
        <c:ser>
          <c:idx val="50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32D1-41ED-8CCA-5672C1D2C457}"/>
            </c:ext>
          </c:extLst>
        </c:ser>
        <c:ser>
          <c:idx val="51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32D1-41ED-8CCA-5672C1D2C457}"/>
            </c:ext>
          </c:extLst>
        </c:ser>
        <c:ser>
          <c:idx val="52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32D1-41ED-8CCA-5672C1D2C457}"/>
            </c:ext>
          </c:extLst>
        </c:ser>
        <c:ser>
          <c:idx val="53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32D1-41ED-8CCA-5672C1D2C457}"/>
            </c:ext>
          </c:extLst>
        </c:ser>
        <c:ser>
          <c:idx val="54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32D1-41ED-8CCA-5672C1D2C457}"/>
            </c:ext>
          </c:extLst>
        </c:ser>
        <c:ser>
          <c:idx val="55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32D1-41ED-8CCA-5672C1D2C457}"/>
            </c:ext>
          </c:extLst>
        </c:ser>
        <c:ser>
          <c:idx val="56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32D1-41ED-8CCA-5672C1D2C457}"/>
            </c:ext>
          </c:extLst>
        </c:ser>
        <c:ser>
          <c:idx val="57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32D1-41ED-8CCA-5672C1D2C457}"/>
            </c:ext>
          </c:extLst>
        </c:ser>
        <c:ser>
          <c:idx val="58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32D1-41ED-8CCA-5672C1D2C457}"/>
            </c:ext>
          </c:extLst>
        </c:ser>
        <c:ser>
          <c:idx val="59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32D1-41ED-8CCA-5672C1D2C457}"/>
            </c:ext>
          </c:extLst>
        </c:ser>
        <c:ser>
          <c:idx val="60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32D1-41ED-8CCA-5672C1D2C457}"/>
            </c:ext>
          </c:extLst>
        </c:ser>
        <c:ser>
          <c:idx val="61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32D1-41ED-8CCA-5672C1D2C457}"/>
            </c:ext>
          </c:extLst>
        </c:ser>
        <c:ser>
          <c:idx val="62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32D1-41ED-8CCA-5672C1D2C457}"/>
            </c:ext>
          </c:extLst>
        </c:ser>
        <c:ser>
          <c:idx val="63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32D1-41ED-8CCA-5672C1D2C457}"/>
            </c:ext>
          </c:extLst>
        </c:ser>
        <c:ser>
          <c:idx val="64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32D1-41ED-8CCA-5672C1D2C457}"/>
            </c:ext>
          </c:extLst>
        </c:ser>
        <c:ser>
          <c:idx val="65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32D1-41ED-8CCA-5672C1D2C457}"/>
            </c:ext>
          </c:extLst>
        </c:ser>
        <c:ser>
          <c:idx val="66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32D1-41ED-8CCA-5672C1D2C457}"/>
            </c:ext>
          </c:extLst>
        </c:ser>
        <c:ser>
          <c:idx val="67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32D1-41ED-8CCA-5672C1D2C457}"/>
            </c:ext>
          </c:extLst>
        </c:ser>
        <c:ser>
          <c:idx val="68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32D1-41ED-8CCA-5672C1D2C457}"/>
            </c:ext>
          </c:extLst>
        </c:ser>
        <c:ser>
          <c:idx val="69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32D1-41ED-8CCA-5672C1D2C457}"/>
            </c:ext>
          </c:extLst>
        </c:ser>
        <c:ser>
          <c:idx val="70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32D1-41ED-8CCA-5672C1D2C457}"/>
            </c:ext>
          </c:extLst>
        </c:ser>
        <c:ser>
          <c:idx val="71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32D1-41ED-8CCA-5672C1D2C457}"/>
            </c:ext>
          </c:extLst>
        </c:ser>
        <c:ser>
          <c:idx val="72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32D1-41ED-8CCA-5672C1D2C457}"/>
            </c:ext>
          </c:extLst>
        </c:ser>
        <c:ser>
          <c:idx val="73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32D1-41ED-8CCA-5672C1D2C457}"/>
            </c:ext>
          </c:extLst>
        </c:ser>
        <c:ser>
          <c:idx val="74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32D1-41ED-8CCA-5672C1D2C457}"/>
            </c:ext>
          </c:extLst>
        </c:ser>
        <c:ser>
          <c:idx val="75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32D1-41ED-8CCA-5672C1D2C457}"/>
            </c:ext>
          </c:extLst>
        </c:ser>
        <c:ser>
          <c:idx val="76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32D1-41ED-8CCA-5672C1D2C457}"/>
            </c:ext>
          </c:extLst>
        </c:ser>
        <c:ser>
          <c:idx val="77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32D1-41ED-8CCA-5672C1D2C457}"/>
            </c:ext>
          </c:extLst>
        </c:ser>
        <c:ser>
          <c:idx val="78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32D1-41ED-8CCA-5672C1D2C457}"/>
            </c:ext>
          </c:extLst>
        </c:ser>
        <c:ser>
          <c:idx val="79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32D1-41ED-8CCA-5672C1D2C457}"/>
            </c:ext>
          </c:extLst>
        </c:ser>
        <c:ser>
          <c:idx val="80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32D1-41ED-8CCA-5672C1D2C457}"/>
            </c:ext>
          </c:extLst>
        </c:ser>
        <c:ser>
          <c:idx val="81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32D1-41ED-8CCA-5672C1D2C457}"/>
            </c:ext>
          </c:extLst>
        </c:ser>
        <c:ser>
          <c:idx val="82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32D1-41ED-8CCA-5672C1D2C457}"/>
            </c:ext>
          </c:extLst>
        </c:ser>
        <c:ser>
          <c:idx val="83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32D1-41ED-8CCA-5672C1D2C457}"/>
            </c:ext>
          </c:extLst>
        </c:ser>
        <c:ser>
          <c:idx val="84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32D1-41ED-8CCA-5672C1D2C457}"/>
            </c:ext>
          </c:extLst>
        </c:ser>
        <c:ser>
          <c:idx val="85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32D1-41ED-8CCA-5672C1D2C457}"/>
            </c:ext>
          </c:extLst>
        </c:ser>
        <c:ser>
          <c:idx val="86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32D1-41ED-8CCA-5672C1D2C457}"/>
            </c:ext>
          </c:extLst>
        </c:ser>
        <c:ser>
          <c:idx val="87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32D1-41ED-8CCA-5672C1D2C457}"/>
            </c:ext>
          </c:extLst>
        </c:ser>
        <c:ser>
          <c:idx val="88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32D1-41ED-8CCA-5672C1D2C457}"/>
            </c:ext>
          </c:extLst>
        </c:ser>
        <c:ser>
          <c:idx val="89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32D1-41ED-8CCA-5672C1D2C457}"/>
            </c:ext>
          </c:extLst>
        </c:ser>
        <c:ser>
          <c:idx val="90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32D1-41ED-8CCA-5672C1D2C457}"/>
            </c:ext>
          </c:extLst>
        </c:ser>
        <c:ser>
          <c:idx val="91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32D1-41ED-8CCA-5672C1D2C457}"/>
            </c:ext>
          </c:extLst>
        </c:ser>
        <c:ser>
          <c:idx val="92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32D1-41ED-8CCA-5672C1D2C457}"/>
            </c:ext>
          </c:extLst>
        </c:ser>
        <c:ser>
          <c:idx val="93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32D1-41ED-8CCA-5672C1D2C457}"/>
            </c:ext>
          </c:extLst>
        </c:ser>
        <c:ser>
          <c:idx val="94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32D1-41ED-8CCA-5672C1D2C457}"/>
            </c:ext>
          </c:extLst>
        </c:ser>
        <c:ser>
          <c:idx val="95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32D1-41ED-8CCA-5672C1D2C457}"/>
            </c:ext>
          </c:extLst>
        </c:ser>
        <c:ser>
          <c:idx val="96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32D1-41ED-8CCA-5672C1D2C457}"/>
            </c:ext>
          </c:extLst>
        </c:ser>
        <c:ser>
          <c:idx val="97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32D1-41ED-8CCA-5672C1D2C457}"/>
            </c:ext>
          </c:extLst>
        </c:ser>
        <c:ser>
          <c:idx val="98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32D1-41ED-8CCA-5672C1D2C457}"/>
            </c:ext>
          </c:extLst>
        </c:ser>
        <c:ser>
          <c:idx val="99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32D1-41ED-8CCA-5672C1D2C457}"/>
            </c:ext>
          </c:extLst>
        </c:ser>
        <c:ser>
          <c:idx val="100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32D1-41ED-8CCA-5672C1D2C457}"/>
            </c:ext>
          </c:extLst>
        </c:ser>
        <c:ser>
          <c:idx val="101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32D1-41ED-8CCA-5672C1D2C457}"/>
            </c:ext>
          </c:extLst>
        </c:ser>
        <c:ser>
          <c:idx val="102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32D1-41ED-8CCA-5672C1D2C457}"/>
            </c:ext>
          </c:extLst>
        </c:ser>
        <c:ser>
          <c:idx val="103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32D1-41ED-8CCA-5672C1D2C457}"/>
            </c:ext>
          </c:extLst>
        </c:ser>
        <c:ser>
          <c:idx val="104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32D1-41ED-8CCA-5672C1D2C457}"/>
            </c:ext>
          </c:extLst>
        </c:ser>
        <c:ser>
          <c:idx val="105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32D1-41ED-8CCA-5672C1D2C457}"/>
            </c:ext>
          </c:extLst>
        </c:ser>
        <c:ser>
          <c:idx val="106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32D1-41ED-8CCA-5672C1D2C457}"/>
            </c:ext>
          </c:extLst>
        </c:ser>
        <c:ser>
          <c:idx val="107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32D1-41ED-8CCA-5672C1D2C457}"/>
            </c:ext>
          </c:extLst>
        </c:ser>
        <c:ser>
          <c:idx val="108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32D1-41ED-8CCA-5672C1D2C457}"/>
            </c:ext>
          </c:extLst>
        </c:ser>
        <c:ser>
          <c:idx val="109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32D1-41ED-8CCA-5672C1D2C457}"/>
            </c:ext>
          </c:extLst>
        </c:ser>
        <c:ser>
          <c:idx val="110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32D1-41ED-8CCA-5672C1D2C457}"/>
            </c:ext>
          </c:extLst>
        </c:ser>
        <c:ser>
          <c:idx val="111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32D1-41ED-8CCA-5672C1D2C457}"/>
            </c:ext>
          </c:extLst>
        </c:ser>
        <c:ser>
          <c:idx val="112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32D1-41ED-8CCA-5672C1D2C457}"/>
            </c:ext>
          </c:extLst>
        </c:ser>
        <c:ser>
          <c:idx val="113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32D1-41ED-8CCA-5672C1D2C457}"/>
            </c:ext>
          </c:extLst>
        </c:ser>
        <c:ser>
          <c:idx val="114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32D1-41ED-8CCA-5672C1D2C457}"/>
            </c:ext>
          </c:extLst>
        </c:ser>
        <c:ser>
          <c:idx val="115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32D1-41ED-8CCA-5672C1D2C457}"/>
            </c:ext>
          </c:extLst>
        </c:ser>
        <c:ser>
          <c:idx val="116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32D1-41ED-8CCA-5672C1D2C457}"/>
            </c:ext>
          </c:extLst>
        </c:ser>
        <c:ser>
          <c:idx val="117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32D1-41ED-8CCA-5672C1D2C457}"/>
            </c:ext>
          </c:extLst>
        </c:ser>
        <c:ser>
          <c:idx val="118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32D1-41ED-8CCA-5672C1D2C457}"/>
            </c:ext>
          </c:extLst>
        </c:ser>
        <c:ser>
          <c:idx val="119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32D1-41ED-8CCA-5672C1D2C457}"/>
            </c:ext>
          </c:extLst>
        </c:ser>
        <c:ser>
          <c:idx val="120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32D1-41ED-8CCA-5672C1D2C457}"/>
            </c:ext>
          </c:extLst>
        </c:ser>
        <c:ser>
          <c:idx val="121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32D1-41ED-8CCA-5672C1D2C457}"/>
            </c:ext>
          </c:extLst>
        </c:ser>
        <c:ser>
          <c:idx val="122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32D1-41ED-8CCA-5672C1D2C457}"/>
            </c:ext>
          </c:extLst>
        </c:ser>
        <c:ser>
          <c:idx val="123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32D1-41ED-8CCA-5672C1D2C457}"/>
            </c:ext>
          </c:extLst>
        </c:ser>
        <c:ser>
          <c:idx val="124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32D1-41ED-8CCA-5672C1D2C457}"/>
            </c:ext>
          </c:extLst>
        </c:ser>
        <c:ser>
          <c:idx val="125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32D1-41ED-8CCA-5672C1D2C457}"/>
            </c:ext>
          </c:extLst>
        </c:ser>
        <c:ser>
          <c:idx val="126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32D1-41ED-8CCA-5672C1D2C457}"/>
            </c:ext>
          </c:extLst>
        </c:ser>
        <c:ser>
          <c:idx val="127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32D1-41ED-8CCA-5672C1D2C457}"/>
            </c:ext>
          </c:extLst>
        </c:ser>
        <c:ser>
          <c:idx val="128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32D1-41ED-8CCA-5672C1D2C457}"/>
            </c:ext>
          </c:extLst>
        </c:ser>
        <c:ser>
          <c:idx val="129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32D1-41ED-8CCA-5672C1D2C457}"/>
            </c:ext>
          </c:extLst>
        </c:ser>
        <c:ser>
          <c:idx val="130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32D1-41ED-8CCA-5672C1D2C457}"/>
            </c:ext>
          </c:extLst>
        </c:ser>
        <c:ser>
          <c:idx val="131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32D1-41ED-8CCA-5672C1D2C457}"/>
            </c:ext>
          </c:extLst>
        </c:ser>
        <c:ser>
          <c:idx val="132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32D1-41ED-8CCA-5672C1D2C457}"/>
            </c:ext>
          </c:extLst>
        </c:ser>
        <c:ser>
          <c:idx val="133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32D1-41ED-8CCA-5672C1D2C457}"/>
            </c:ext>
          </c:extLst>
        </c:ser>
        <c:ser>
          <c:idx val="134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32D1-41ED-8CCA-5672C1D2C457}"/>
            </c:ext>
          </c:extLst>
        </c:ser>
        <c:ser>
          <c:idx val="135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32D1-41ED-8CCA-5672C1D2C457}"/>
            </c:ext>
          </c:extLst>
        </c:ser>
        <c:ser>
          <c:idx val="136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32D1-41ED-8CCA-5672C1D2C457}"/>
            </c:ext>
          </c:extLst>
        </c:ser>
        <c:ser>
          <c:idx val="137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32D1-41ED-8CCA-5672C1D2C457}"/>
            </c:ext>
          </c:extLst>
        </c:ser>
        <c:ser>
          <c:idx val="138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32D1-41ED-8CCA-5672C1D2C457}"/>
            </c:ext>
          </c:extLst>
        </c:ser>
        <c:ser>
          <c:idx val="139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32D1-41ED-8CCA-5672C1D2C457}"/>
            </c:ext>
          </c:extLst>
        </c:ser>
        <c:ser>
          <c:idx val="140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32D1-41ED-8CCA-5672C1D2C457}"/>
            </c:ext>
          </c:extLst>
        </c:ser>
        <c:ser>
          <c:idx val="141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32D1-41ED-8CCA-5672C1D2C457}"/>
            </c:ext>
          </c:extLst>
        </c:ser>
        <c:ser>
          <c:idx val="142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32D1-41ED-8CCA-5672C1D2C457}"/>
            </c:ext>
          </c:extLst>
        </c:ser>
        <c:ser>
          <c:idx val="143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32D1-41ED-8CCA-5672C1D2C457}"/>
            </c:ext>
          </c:extLst>
        </c:ser>
        <c:ser>
          <c:idx val="144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32D1-41ED-8CCA-5672C1D2C457}"/>
            </c:ext>
          </c:extLst>
        </c:ser>
        <c:ser>
          <c:idx val="145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32D1-41ED-8CCA-5672C1D2C457}"/>
            </c:ext>
          </c:extLst>
        </c:ser>
        <c:ser>
          <c:idx val="146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32D1-41ED-8CCA-5672C1D2C457}"/>
            </c:ext>
          </c:extLst>
        </c:ser>
        <c:ser>
          <c:idx val="147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32D1-41ED-8CCA-5672C1D2C457}"/>
            </c:ext>
          </c:extLst>
        </c:ser>
        <c:ser>
          <c:idx val="148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32D1-41ED-8CCA-5672C1D2C457}"/>
            </c:ext>
          </c:extLst>
        </c:ser>
        <c:ser>
          <c:idx val="149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32D1-41ED-8CCA-5672C1D2C457}"/>
            </c:ext>
          </c:extLst>
        </c:ser>
        <c:ser>
          <c:idx val="150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32D1-41ED-8CCA-5672C1D2C457}"/>
            </c:ext>
          </c:extLst>
        </c:ser>
        <c:ser>
          <c:idx val="151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32D1-41ED-8CCA-5672C1D2C457}"/>
            </c:ext>
          </c:extLst>
        </c:ser>
        <c:ser>
          <c:idx val="152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32D1-41ED-8CCA-5672C1D2C457}"/>
            </c:ext>
          </c:extLst>
        </c:ser>
        <c:ser>
          <c:idx val="153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32D1-41ED-8CCA-5672C1D2C457}"/>
            </c:ext>
          </c:extLst>
        </c:ser>
        <c:ser>
          <c:idx val="154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32D1-41ED-8CCA-5672C1D2C457}"/>
            </c:ext>
          </c:extLst>
        </c:ser>
        <c:ser>
          <c:idx val="155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32D1-41ED-8CCA-5672C1D2C457}"/>
            </c:ext>
          </c:extLst>
        </c:ser>
        <c:ser>
          <c:idx val="156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32D1-41ED-8CCA-5672C1D2C457}"/>
            </c:ext>
          </c:extLst>
        </c:ser>
        <c:ser>
          <c:idx val="157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32D1-41ED-8CCA-5672C1D2C457}"/>
            </c:ext>
          </c:extLst>
        </c:ser>
        <c:ser>
          <c:idx val="158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32D1-41ED-8CCA-5672C1D2C457}"/>
            </c:ext>
          </c:extLst>
        </c:ser>
        <c:ser>
          <c:idx val="159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32D1-41ED-8CCA-5672C1D2C457}"/>
            </c:ext>
          </c:extLst>
        </c:ser>
        <c:ser>
          <c:idx val="160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32D1-41ED-8CCA-5672C1D2C457}"/>
            </c:ext>
          </c:extLst>
        </c:ser>
        <c:ser>
          <c:idx val="161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32D1-41ED-8CCA-5672C1D2C457}"/>
            </c:ext>
          </c:extLst>
        </c:ser>
        <c:ser>
          <c:idx val="162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32D1-41ED-8CCA-5672C1D2C457}"/>
            </c:ext>
          </c:extLst>
        </c:ser>
        <c:ser>
          <c:idx val="163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32D1-41ED-8CCA-5672C1D2C457}"/>
            </c:ext>
          </c:extLst>
        </c:ser>
        <c:ser>
          <c:idx val="164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32D1-41ED-8CCA-5672C1D2C457}"/>
            </c:ext>
          </c:extLst>
        </c:ser>
        <c:ser>
          <c:idx val="165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32D1-41ED-8CCA-5672C1D2C457}"/>
            </c:ext>
          </c:extLst>
        </c:ser>
        <c:ser>
          <c:idx val="166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32D1-41ED-8CCA-5672C1D2C457}"/>
            </c:ext>
          </c:extLst>
        </c:ser>
        <c:ser>
          <c:idx val="167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32D1-41ED-8CCA-5672C1D2C457}"/>
            </c:ext>
          </c:extLst>
        </c:ser>
        <c:ser>
          <c:idx val="168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32D1-41ED-8CCA-5672C1D2C457}"/>
            </c:ext>
          </c:extLst>
        </c:ser>
        <c:ser>
          <c:idx val="169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32D1-41ED-8CCA-5672C1D2C457}"/>
            </c:ext>
          </c:extLst>
        </c:ser>
        <c:ser>
          <c:idx val="170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32D1-41ED-8CCA-5672C1D2C457}"/>
            </c:ext>
          </c:extLst>
        </c:ser>
        <c:ser>
          <c:idx val="171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32D1-41ED-8CCA-5672C1D2C457}"/>
            </c:ext>
          </c:extLst>
        </c:ser>
        <c:ser>
          <c:idx val="172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32D1-41ED-8CCA-5672C1D2C457}"/>
            </c:ext>
          </c:extLst>
        </c:ser>
        <c:ser>
          <c:idx val="173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32D1-41ED-8CCA-5672C1D2C457}"/>
            </c:ext>
          </c:extLst>
        </c:ser>
        <c:ser>
          <c:idx val="174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32D1-41ED-8CCA-5672C1D2C457}"/>
            </c:ext>
          </c:extLst>
        </c:ser>
        <c:ser>
          <c:idx val="175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32D1-41ED-8CCA-5672C1D2C457}"/>
            </c:ext>
          </c:extLst>
        </c:ser>
        <c:ser>
          <c:idx val="176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32D1-41ED-8CCA-5672C1D2C457}"/>
            </c:ext>
          </c:extLst>
        </c:ser>
        <c:ser>
          <c:idx val="177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32D1-41ED-8CCA-5672C1D2C457}"/>
            </c:ext>
          </c:extLst>
        </c:ser>
        <c:ser>
          <c:idx val="178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32D1-41ED-8CCA-5672C1D2C457}"/>
            </c:ext>
          </c:extLst>
        </c:ser>
        <c:ser>
          <c:idx val="179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32D1-41ED-8CCA-5672C1D2C457}"/>
            </c:ext>
          </c:extLst>
        </c:ser>
        <c:ser>
          <c:idx val="180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32D1-41ED-8CCA-5672C1D2C457}"/>
            </c:ext>
          </c:extLst>
        </c:ser>
        <c:ser>
          <c:idx val="181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32D1-41ED-8CCA-5672C1D2C457}"/>
            </c:ext>
          </c:extLst>
        </c:ser>
        <c:ser>
          <c:idx val="182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32D1-41ED-8CCA-5672C1D2C457}"/>
            </c:ext>
          </c:extLst>
        </c:ser>
        <c:ser>
          <c:idx val="183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32D1-41ED-8CCA-5672C1D2C457}"/>
            </c:ext>
          </c:extLst>
        </c:ser>
        <c:ser>
          <c:idx val="184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32D1-41ED-8CCA-5672C1D2C457}"/>
            </c:ext>
          </c:extLst>
        </c:ser>
        <c:ser>
          <c:idx val="185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32D1-41ED-8CCA-5672C1D2C457}"/>
            </c:ext>
          </c:extLst>
        </c:ser>
        <c:ser>
          <c:idx val="186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32D1-41ED-8CCA-5672C1D2C457}"/>
            </c:ext>
          </c:extLst>
        </c:ser>
        <c:ser>
          <c:idx val="187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32D1-41ED-8CCA-5672C1D2C457}"/>
            </c:ext>
          </c:extLst>
        </c:ser>
        <c:ser>
          <c:idx val="188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32D1-41ED-8CCA-5672C1D2C457}"/>
            </c:ext>
          </c:extLst>
        </c:ser>
        <c:ser>
          <c:idx val="189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32D1-41ED-8CCA-5672C1D2C457}"/>
            </c:ext>
          </c:extLst>
        </c:ser>
        <c:ser>
          <c:idx val="190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32D1-41ED-8CCA-5672C1D2C457}"/>
            </c:ext>
          </c:extLst>
        </c:ser>
        <c:ser>
          <c:idx val="191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32D1-41ED-8CCA-5672C1D2C457}"/>
            </c:ext>
          </c:extLst>
        </c:ser>
        <c:ser>
          <c:idx val="192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32D1-41ED-8CCA-5672C1D2C457}"/>
            </c:ext>
          </c:extLst>
        </c:ser>
        <c:ser>
          <c:idx val="193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32D1-41ED-8CCA-5672C1D2C457}"/>
            </c:ext>
          </c:extLst>
        </c:ser>
        <c:ser>
          <c:idx val="194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32D1-41ED-8CCA-5672C1D2C457}"/>
            </c:ext>
          </c:extLst>
        </c:ser>
        <c:ser>
          <c:idx val="195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32D1-41ED-8CCA-5672C1D2C457}"/>
            </c:ext>
          </c:extLst>
        </c:ser>
        <c:ser>
          <c:idx val="196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32D1-41ED-8CCA-5672C1D2C457}"/>
            </c:ext>
          </c:extLst>
        </c:ser>
        <c:ser>
          <c:idx val="197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32D1-41ED-8CCA-5672C1D2C457}"/>
            </c:ext>
          </c:extLst>
        </c:ser>
        <c:ser>
          <c:idx val="198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32D1-41ED-8CCA-5672C1D2C457}"/>
            </c:ext>
          </c:extLst>
        </c:ser>
        <c:ser>
          <c:idx val="199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32D1-41ED-8CCA-5672C1D2C457}"/>
            </c:ext>
          </c:extLst>
        </c:ser>
        <c:ser>
          <c:idx val="200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32D1-41ED-8CCA-5672C1D2C457}"/>
            </c:ext>
          </c:extLst>
        </c:ser>
        <c:ser>
          <c:idx val="201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32D1-41ED-8CCA-5672C1D2C457}"/>
            </c:ext>
          </c:extLst>
        </c:ser>
        <c:ser>
          <c:idx val="202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32D1-41ED-8CCA-5672C1D2C457}"/>
            </c:ext>
          </c:extLst>
        </c:ser>
        <c:ser>
          <c:idx val="203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32D1-41ED-8CCA-5672C1D2C457}"/>
            </c:ext>
          </c:extLst>
        </c:ser>
        <c:ser>
          <c:idx val="204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32D1-41ED-8CCA-5672C1D2C457}"/>
            </c:ext>
          </c:extLst>
        </c:ser>
        <c:ser>
          <c:idx val="205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32D1-41ED-8CCA-5672C1D2C457}"/>
            </c:ext>
          </c:extLst>
        </c:ser>
        <c:ser>
          <c:idx val="206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32D1-41ED-8CCA-5672C1D2C457}"/>
            </c:ext>
          </c:extLst>
        </c:ser>
        <c:ser>
          <c:idx val="207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32D1-41ED-8CCA-5672C1D2C457}"/>
            </c:ext>
          </c:extLst>
        </c:ser>
        <c:ser>
          <c:idx val="208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32D1-41ED-8CCA-5672C1D2C457}"/>
            </c:ext>
          </c:extLst>
        </c:ser>
        <c:ser>
          <c:idx val="209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32D1-41ED-8CCA-5672C1D2C457}"/>
            </c:ext>
          </c:extLst>
        </c:ser>
        <c:ser>
          <c:idx val="210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32D1-41ED-8CCA-5672C1D2C457}"/>
            </c:ext>
          </c:extLst>
        </c:ser>
        <c:ser>
          <c:idx val="211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32D1-41ED-8CCA-5672C1D2C457}"/>
            </c:ext>
          </c:extLst>
        </c:ser>
        <c:ser>
          <c:idx val="212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32D1-41ED-8CCA-5672C1D2C457}"/>
            </c:ext>
          </c:extLst>
        </c:ser>
        <c:ser>
          <c:idx val="213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32D1-41ED-8CCA-5672C1D2C457}"/>
            </c:ext>
          </c:extLst>
        </c:ser>
        <c:ser>
          <c:idx val="214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32D1-41ED-8CCA-5672C1D2C457}"/>
            </c:ext>
          </c:extLst>
        </c:ser>
        <c:ser>
          <c:idx val="215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32D1-41ED-8CCA-5672C1D2C457}"/>
            </c:ext>
          </c:extLst>
        </c:ser>
        <c:ser>
          <c:idx val="216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32D1-41ED-8CCA-5672C1D2C457}"/>
            </c:ext>
          </c:extLst>
        </c:ser>
        <c:ser>
          <c:idx val="217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32D1-41ED-8CCA-5672C1D2C457}"/>
            </c:ext>
          </c:extLst>
        </c:ser>
        <c:ser>
          <c:idx val="218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32D1-41ED-8CCA-5672C1D2C457}"/>
            </c:ext>
          </c:extLst>
        </c:ser>
        <c:ser>
          <c:idx val="219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32D1-41ED-8CCA-5672C1D2C457}"/>
            </c:ext>
          </c:extLst>
        </c:ser>
        <c:ser>
          <c:idx val="220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32D1-41ED-8CCA-5672C1D2C457}"/>
            </c:ext>
          </c:extLst>
        </c:ser>
        <c:ser>
          <c:idx val="221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32D1-41ED-8CCA-5672C1D2C457}"/>
            </c:ext>
          </c:extLst>
        </c:ser>
        <c:ser>
          <c:idx val="222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32D1-41ED-8CCA-5672C1D2C457}"/>
            </c:ext>
          </c:extLst>
        </c:ser>
        <c:ser>
          <c:idx val="223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32D1-41ED-8CCA-5672C1D2C457}"/>
            </c:ext>
          </c:extLst>
        </c:ser>
        <c:ser>
          <c:idx val="224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32D1-41ED-8CCA-5672C1D2C457}"/>
            </c:ext>
          </c:extLst>
        </c:ser>
        <c:ser>
          <c:idx val="225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32D1-41ED-8CCA-5672C1D2C457}"/>
            </c:ext>
          </c:extLst>
        </c:ser>
        <c:ser>
          <c:idx val="226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32D1-41ED-8CCA-5672C1D2C457}"/>
            </c:ext>
          </c:extLst>
        </c:ser>
        <c:ser>
          <c:idx val="227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32D1-41ED-8CCA-5672C1D2C457}"/>
            </c:ext>
          </c:extLst>
        </c:ser>
        <c:ser>
          <c:idx val="228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32D1-41ED-8CCA-5672C1D2C457}"/>
            </c:ext>
          </c:extLst>
        </c:ser>
        <c:ser>
          <c:idx val="229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32D1-41ED-8CCA-5672C1D2C457}"/>
            </c:ext>
          </c:extLst>
        </c:ser>
        <c:ser>
          <c:idx val="230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32D1-41ED-8CCA-5672C1D2C457}"/>
            </c:ext>
          </c:extLst>
        </c:ser>
        <c:ser>
          <c:idx val="231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32D1-41ED-8CCA-5672C1D2C457}"/>
            </c:ext>
          </c:extLst>
        </c:ser>
        <c:ser>
          <c:idx val="232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32D1-41ED-8CCA-5672C1D2C457}"/>
            </c:ext>
          </c:extLst>
        </c:ser>
        <c:ser>
          <c:idx val="233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32D1-41ED-8CCA-5672C1D2C457}"/>
            </c:ext>
          </c:extLst>
        </c:ser>
        <c:ser>
          <c:idx val="234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32D1-41ED-8CCA-5672C1D2C457}"/>
            </c:ext>
          </c:extLst>
        </c:ser>
        <c:ser>
          <c:idx val="235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32D1-41ED-8CCA-5672C1D2C457}"/>
            </c:ext>
          </c:extLst>
        </c:ser>
        <c:ser>
          <c:idx val="236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32D1-41ED-8CCA-5672C1D2C457}"/>
            </c:ext>
          </c:extLst>
        </c:ser>
        <c:ser>
          <c:idx val="237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32D1-41ED-8CCA-5672C1D2C457}"/>
            </c:ext>
          </c:extLst>
        </c:ser>
        <c:ser>
          <c:idx val="238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32D1-41ED-8CCA-5672C1D2C457}"/>
            </c:ext>
          </c:extLst>
        </c:ser>
        <c:ser>
          <c:idx val="239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32D1-41ED-8CCA-5672C1D2C457}"/>
            </c:ext>
          </c:extLst>
        </c:ser>
        <c:ser>
          <c:idx val="240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32D1-41ED-8CCA-5672C1D2C457}"/>
            </c:ext>
          </c:extLst>
        </c:ser>
        <c:ser>
          <c:idx val="241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32D1-41ED-8CCA-5672C1D2C457}"/>
            </c:ext>
          </c:extLst>
        </c:ser>
        <c:ser>
          <c:idx val="242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32D1-41ED-8CCA-5672C1D2C457}"/>
            </c:ext>
          </c:extLst>
        </c:ser>
        <c:ser>
          <c:idx val="243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32D1-41ED-8CCA-5672C1D2C457}"/>
            </c:ext>
          </c:extLst>
        </c:ser>
        <c:ser>
          <c:idx val="244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32D1-41ED-8CCA-5672C1D2C457}"/>
            </c:ext>
          </c:extLst>
        </c:ser>
        <c:ser>
          <c:idx val="245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32D1-41ED-8CCA-5672C1D2C457}"/>
            </c:ext>
          </c:extLst>
        </c:ser>
        <c:ser>
          <c:idx val="246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32D1-41ED-8CCA-5672C1D2C457}"/>
            </c:ext>
          </c:extLst>
        </c:ser>
        <c:ser>
          <c:idx val="247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32D1-41ED-8CCA-5672C1D2C457}"/>
            </c:ext>
          </c:extLst>
        </c:ser>
        <c:ser>
          <c:idx val="248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32D1-41ED-8CCA-5672C1D2C457}"/>
            </c:ext>
          </c:extLst>
        </c:ser>
        <c:ser>
          <c:idx val="249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32D1-41ED-8CCA-5672C1D2C457}"/>
            </c:ext>
          </c:extLst>
        </c:ser>
        <c:ser>
          <c:idx val="250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32D1-41ED-8CCA-5672C1D2C457}"/>
            </c:ext>
          </c:extLst>
        </c:ser>
        <c:ser>
          <c:idx val="251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32D1-41ED-8CCA-5672C1D2C457}"/>
            </c:ext>
          </c:extLst>
        </c:ser>
        <c:ser>
          <c:idx val="252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32D1-41ED-8CCA-5672C1D2C457}"/>
            </c:ext>
          </c:extLst>
        </c:ser>
        <c:ser>
          <c:idx val="253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32D1-41ED-8CCA-5672C1D2C457}"/>
            </c:ext>
          </c:extLst>
        </c:ser>
        <c:ser>
          <c:idx val="254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32D1-41ED-8CCA-5672C1D2C457}"/>
            </c:ext>
          </c:extLst>
        </c:ser>
        <c:ser>
          <c:idx val="8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32D1-41ED-8CCA-5672C1D2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725243136"/>
        <c:axId val="725243696"/>
      </c:barChart>
      <c:catAx>
        <c:axId val="72524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725243696"/>
        <c:crosses val="autoZero"/>
        <c:auto val="1"/>
        <c:lblAlgn val="ctr"/>
        <c:lblOffset val="100"/>
        <c:tickLblSkip val="1"/>
        <c:noMultiLvlLbl val="0"/>
      </c:catAx>
      <c:valAx>
        <c:axId val="725243696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25243136"/>
        <c:crosses val="autoZero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17235856311869119"/>
          <c:y val="0.12065862860892389"/>
          <c:w val="0.64189532791664161"/>
          <c:h val="0.1285416666666666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119064</xdr:colOff>
      <xdr:row>1</xdr:row>
      <xdr:rowOff>142874</xdr:rowOff>
    </xdr:from>
    <xdr:to>
      <xdr:col>2</xdr:col>
      <xdr:colOff>2</xdr:colOff>
      <xdr:row>27</xdr:row>
      <xdr:rowOff>178593</xdr:rowOff>
    </xdr:to>
    <xdr:sp macro="" textlink="'グラフ設定（時系列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127" y="345280"/>
          <a:ext cx="381000" cy="5298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3ECD8EB6-D835-4D1D-9161-2A1C35486CCC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97985" y="5402519"/>
          <a:ext cx="8392359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B81FFC2-ADD7-42C0-B2CD-248D4EB1D8EA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91617" y="5625023"/>
          <a:ext cx="9231738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564275B3-BF6A-44E4-A722-9C481D6C515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0.01662</cdr:x>
      <cdr:y>0.85013</cdr:y>
    </cdr:from>
    <cdr:to>
      <cdr:x>0.89967</cdr:x>
      <cdr:y>0.91308</cdr:y>
    </cdr:to>
    <cdr:sp macro="" textlink="'グラフ設定（時系列）'!$L$2">
      <cdr:nvSpPr>
        <cdr:cNvPr id="5" name="テキスト ボックス 1"/>
        <cdr:cNvSpPr txBox="1"/>
      </cdr:nvSpPr>
      <cdr:spPr>
        <a:xfrm xmlns:a="http://schemas.openxmlformats.org/drawingml/2006/main">
          <a:off x="157980" y="5182389"/>
          <a:ext cx="8392360" cy="38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143ED56-80E8-42B8-8CAC-CC017CB96EA2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39997558519241921"/>
  </sheetPr>
  <dimension ref="B2:IX259"/>
  <sheetViews>
    <sheetView zoomScaleNormal="100"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customWidth="true" style="3" width="9.0" collapsed="false"/>
    <col min="2" max="2" customWidth="true" style="15" width="10.03515625" collapsed="false" bestFit="true"/>
    <col min="16" max="16" customWidth="true" style="3" width="14.625" collapsed="false" hidden="true"/>
    <col min="123" max="123" style="3" width="14.625" collapsed="false" hidden="true"/>
  </cols>
  <sheetData>
    <row r="2" spans="2:257" s="13" customFormat="1" x14ac:dyDescent="0.15">
      <c r="B2" s="17"/>
      <c r="C2" s="29" t="s">
        <v>656</v>
      </c>
      <c r="D2" s="29" t="s">
        <v>657</v>
      </c>
      <c r="E2" s="29" t="s">
        <v>658</v>
      </c>
      <c r="F2" s="29" t="s">
        <v>659</v>
      </c>
      <c r="G2" s="29" t="s">
        <v>660</v>
      </c>
      <c r="H2" s="29" t="s">
        <v>661</v>
      </c>
      <c r="I2" s="29" t="s">
        <v>662</v>
      </c>
      <c r="J2" s="29" t="s">
        <v>663</v>
      </c>
      <c r="K2" s="29" t="s">
        <v>664</v>
      </c>
      <c r="L2" s="29" t="s">
        <v>665</v>
      </c>
      <c r="M2" s="29" t="s">
        <v>666</v>
      </c>
      <c r="N2" s="29" t="s">
        <v>667</v>
      </c>
      <c r="O2" s="29" t="s">
        <v>668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  <c r="AH2" s="12" t="s">
        <v>38</v>
      </c>
      <c r="AI2" s="12" t="s">
        <v>39</v>
      </c>
      <c r="AJ2" s="12" t="s">
        <v>40</v>
      </c>
      <c r="AK2" s="12" t="s">
        <v>41</v>
      </c>
      <c r="AL2" s="12" t="s">
        <v>42</v>
      </c>
      <c r="AM2" s="12" t="s">
        <v>43</v>
      </c>
      <c r="AN2" s="12" t="s">
        <v>44</v>
      </c>
      <c r="AO2" s="12" t="s">
        <v>45</v>
      </c>
      <c r="AP2" s="12" t="s">
        <v>46</v>
      </c>
      <c r="AQ2" s="12" t="s">
        <v>47</v>
      </c>
      <c r="AR2" s="12" t="s">
        <v>48</v>
      </c>
      <c r="AS2" s="12" t="s">
        <v>49</v>
      </c>
      <c r="AT2" s="12" t="s">
        <v>50</v>
      </c>
      <c r="AU2" s="12" t="s">
        <v>51</v>
      </c>
      <c r="AV2" s="12" t="s">
        <v>52</v>
      </c>
      <c r="AW2" s="12" t="s">
        <v>53</v>
      </c>
      <c r="AX2" s="12" t="s">
        <v>54</v>
      </c>
      <c r="AY2" s="12" t="s">
        <v>73</v>
      </c>
      <c r="AZ2" s="12" t="s">
        <v>74</v>
      </c>
      <c r="BA2" s="12" t="s">
        <v>75</v>
      </c>
      <c r="BB2" s="12" t="s">
        <v>76</v>
      </c>
      <c r="BC2" s="12" t="s">
        <v>77</v>
      </c>
      <c r="BD2" s="12" t="s">
        <v>78</v>
      </c>
      <c r="BE2" s="12" t="s">
        <v>79</v>
      </c>
      <c r="BF2" s="12" t="s">
        <v>80</v>
      </c>
      <c r="BG2" s="12" t="s">
        <v>81</v>
      </c>
      <c r="BH2" s="12" t="s">
        <v>82</v>
      </c>
      <c r="BI2" s="12" t="s">
        <v>83</v>
      </c>
      <c r="BJ2" s="12" t="s">
        <v>84</v>
      </c>
      <c r="BK2" s="12" t="s">
        <v>85</v>
      </c>
      <c r="BL2" s="12" t="s">
        <v>86</v>
      </c>
      <c r="BM2" s="12" t="s">
        <v>87</v>
      </c>
      <c r="BN2" s="12" t="s">
        <v>88</v>
      </c>
      <c r="BO2" s="12" t="s">
        <v>89</v>
      </c>
      <c r="BP2" s="12" t="s">
        <v>90</v>
      </c>
      <c r="BQ2" s="12" t="s">
        <v>91</v>
      </c>
      <c r="BR2" s="12" t="s">
        <v>92</v>
      </c>
      <c r="BS2" s="12" t="s">
        <v>93</v>
      </c>
      <c r="BT2" s="12" t="s">
        <v>94</v>
      </c>
      <c r="BU2" s="12" t="s">
        <v>95</v>
      </c>
      <c r="BV2" s="12" t="s">
        <v>96</v>
      </c>
      <c r="BW2" s="12" t="s">
        <v>97</v>
      </c>
      <c r="BX2" s="12" t="s">
        <v>98</v>
      </c>
      <c r="BY2" s="12" t="s">
        <v>99</v>
      </c>
      <c r="BZ2" s="12" t="s">
        <v>100</v>
      </c>
      <c r="CA2" s="12" t="s">
        <v>101</v>
      </c>
      <c r="CB2" s="12" t="s">
        <v>102</v>
      </c>
      <c r="CC2" s="12" t="s">
        <v>103</v>
      </c>
      <c r="CD2" s="12" t="s">
        <v>104</v>
      </c>
      <c r="CE2" s="12" t="s">
        <v>105</v>
      </c>
      <c r="CF2" s="12" t="s">
        <v>106</v>
      </c>
      <c r="CG2" s="12" t="s">
        <v>107</v>
      </c>
      <c r="CH2" s="12" t="s">
        <v>108</v>
      </c>
      <c r="CI2" s="12" t="s">
        <v>109</v>
      </c>
      <c r="CJ2" s="12" t="s">
        <v>110</v>
      </c>
      <c r="CK2" s="12" t="s">
        <v>111</v>
      </c>
      <c r="CL2" s="12" t="s">
        <v>112</v>
      </c>
      <c r="CM2" s="12" t="s">
        <v>113</v>
      </c>
      <c r="CN2" s="12" t="s">
        <v>114</v>
      </c>
      <c r="CO2" s="12" t="s">
        <v>115</v>
      </c>
      <c r="CP2" s="12" t="s">
        <v>116</v>
      </c>
      <c r="CQ2" s="12" t="s">
        <v>117</v>
      </c>
      <c r="CR2" s="12" t="s">
        <v>118</v>
      </c>
      <c r="CS2" s="12" t="s">
        <v>119</v>
      </c>
      <c r="CT2" s="12" t="s">
        <v>120</v>
      </c>
      <c r="CU2" s="12" t="s">
        <v>121</v>
      </c>
      <c r="CV2" s="12" t="s">
        <v>122</v>
      </c>
      <c r="CW2" s="12" t="s">
        <v>123</v>
      </c>
      <c r="CX2" s="12" t="s">
        <v>124</v>
      </c>
      <c r="CY2" s="12" t="s">
        <v>125</v>
      </c>
      <c r="CZ2" s="12" t="s">
        <v>126</v>
      </c>
      <c r="DA2" s="12" t="s">
        <v>127</v>
      </c>
      <c r="DB2" s="12" t="s">
        <v>128</v>
      </c>
      <c r="DC2" s="12" t="s">
        <v>129</v>
      </c>
      <c r="DD2" s="12" t="s">
        <v>130</v>
      </c>
      <c r="DE2" s="12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2" t="s">
        <v>138</v>
      </c>
      <c r="DM2" s="12" t="s">
        <v>139</v>
      </c>
      <c r="DN2" s="12" t="s">
        <v>140</v>
      </c>
      <c r="DO2" s="12" t="s">
        <v>141</v>
      </c>
      <c r="DP2" s="12" t="s">
        <v>142</v>
      </c>
      <c r="DQ2" s="12" t="s">
        <v>143</v>
      </c>
      <c r="DR2" s="12" t="s">
        <v>144</v>
      </c>
      <c r="DS2" s="12" t="s">
        <v>145</v>
      </c>
      <c r="DT2" s="12" t="s">
        <v>146</v>
      </c>
      <c r="DU2" s="12" t="s">
        <v>147</v>
      </c>
      <c r="DV2" s="12" t="s">
        <v>148</v>
      </c>
      <c r="DW2" s="12" t="s">
        <v>149</v>
      </c>
      <c r="DX2" s="12" t="s">
        <v>150</v>
      </c>
      <c r="DY2" s="12" t="s">
        <v>151</v>
      </c>
      <c r="DZ2" s="12" t="s">
        <v>152</v>
      </c>
      <c r="EA2" s="12" t="s">
        <v>525</v>
      </c>
      <c r="EB2" s="12" t="s">
        <v>526</v>
      </c>
      <c r="EC2" s="12" t="s">
        <v>527</v>
      </c>
      <c r="ED2" s="12" t="s">
        <v>528</v>
      </c>
      <c r="EE2" s="12" t="s">
        <v>529</v>
      </c>
      <c r="EF2" s="12" t="s">
        <v>530</v>
      </c>
      <c r="EG2" s="12" t="s">
        <v>531</v>
      </c>
      <c r="EH2" s="12" t="s">
        <v>532</v>
      </c>
      <c r="EI2" s="12" t="s">
        <v>533</v>
      </c>
      <c r="EJ2" s="12" t="s">
        <v>534</v>
      </c>
      <c r="EK2" s="12" t="s">
        <v>535</v>
      </c>
      <c r="EL2" s="12" t="s">
        <v>536</v>
      </c>
      <c r="EM2" s="12" t="s">
        <v>537</v>
      </c>
      <c r="EN2" s="12" t="s">
        <v>538</v>
      </c>
      <c r="EO2" s="12" t="s">
        <v>539</v>
      </c>
      <c r="EP2" s="12" t="s">
        <v>540</v>
      </c>
      <c r="EQ2" s="12" t="s">
        <v>541</v>
      </c>
      <c r="ER2" s="12" t="s">
        <v>542</v>
      </c>
      <c r="ES2" s="12" t="s">
        <v>543</v>
      </c>
      <c r="ET2" s="12" t="s">
        <v>544</v>
      </c>
      <c r="EU2" s="12" t="s">
        <v>545</v>
      </c>
      <c r="EV2" s="12" t="s">
        <v>546</v>
      </c>
      <c r="EW2" s="12" t="s">
        <v>547</v>
      </c>
      <c r="EX2" s="12" t="s">
        <v>548</v>
      </c>
      <c r="EY2" s="12" t="s">
        <v>549</v>
      </c>
      <c r="EZ2" s="12" t="s">
        <v>550</v>
      </c>
      <c r="FA2" s="12" t="s">
        <v>551</v>
      </c>
      <c r="FB2" s="12" t="s">
        <v>552</v>
      </c>
      <c r="FC2" s="12" t="s">
        <v>553</v>
      </c>
      <c r="FD2" s="12" t="s">
        <v>554</v>
      </c>
      <c r="FE2" s="12" t="s">
        <v>555</v>
      </c>
      <c r="FF2" s="12" t="s">
        <v>556</v>
      </c>
      <c r="FG2" s="12" t="s">
        <v>557</v>
      </c>
      <c r="FH2" s="12" t="s">
        <v>558</v>
      </c>
      <c r="FI2" s="12" t="s">
        <v>559</v>
      </c>
      <c r="FJ2" s="12" t="s">
        <v>560</v>
      </c>
      <c r="FK2" s="12" t="s">
        <v>561</v>
      </c>
      <c r="FL2" s="12" t="s">
        <v>562</v>
      </c>
      <c r="FM2" s="12" t="s">
        <v>563</v>
      </c>
      <c r="FN2" s="12" t="s">
        <v>564</v>
      </c>
      <c r="FO2" s="12" t="s">
        <v>565</v>
      </c>
      <c r="FP2" s="12" t="s">
        <v>566</v>
      </c>
      <c r="FQ2" s="12" t="s">
        <v>567</v>
      </c>
      <c r="FR2" s="12" t="s">
        <v>568</v>
      </c>
      <c r="FS2" s="12" t="s">
        <v>569</v>
      </c>
      <c r="FT2" s="12" t="s">
        <v>570</v>
      </c>
      <c r="FU2" s="12" t="s">
        <v>571</v>
      </c>
      <c r="FV2" s="12" t="s">
        <v>572</v>
      </c>
      <c r="FW2" s="12" t="s">
        <v>573</v>
      </c>
      <c r="FX2" s="12" t="s">
        <v>574</v>
      </c>
      <c r="FY2" s="12" t="s">
        <v>575</v>
      </c>
      <c r="FZ2" s="12" t="s">
        <v>576</v>
      </c>
      <c r="GA2" s="12" t="s">
        <v>577</v>
      </c>
      <c r="GB2" s="12" t="s">
        <v>578</v>
      </c>
      <c r="GC2" s="12" t="s">
        <v>579</v>
      </c>
      <c r="GD2" s="12" t="s">
        <v>580</v>
      </c>
      <c r="GE2" s="12" t="s">
        <v>581</v>
      </c>
      <c r="GF2" s="12" t="s">
        <v>582</v>
      </c>
      <c r="GG2" s="12" t="s">
        <v>583</v>
      </c>
      <c r="GH2" s="12" t="s">
        <v>584</v>
      </c>
      <c r="GI2" s="12" t="s">
        <v>585</v>
      </c>
      <c r="GJ2" s="12" t="s">
        <v>586</v>
      </c>
      <c r="GK2" s="12" t="s">
        <v>587</v>
      </c>
      <c r="GL2" s="12" t="s">
        <v>588</v>
      </c>
      <c r="GM2" s="12" t="s">
        <v>589</v>
      </c>
      <c r="GN2" s="12" t="s">
        <v>590</v>
      </c>
      <c r="GO2" s="12" t="s">
        <v>591</v>
      </c>
      <c r="GP2" s="12" t="s">
        <v>592</v>
      </c>
      <c r="GQ2" s="12" t="s">
        <v>593</v>
      </c>
      <c r="GR2" s="12" t="s">
        <v>594</v>
      </c>
      <c r="GS2" s="12" t="s">
        <v>595</v>
      </c>
      <c r="GT2" s="12" t="s">
        <v>596</v>
      </c>
      <c r="GU2" s="12" t="s">
        <v>597</v>
      </c>
      <c r="GV2" s="12" t="s">
        <v>598</v>
      </c>
      <c r="GW2" s="12" t="s">
        <v>599</v>
      </c>
      <c r="GX2" s="12" t="s">
        <v>600</v>
      </c>
      <c r="GY2" s="12" t="s">
        <v>601</v>
      </c>
      <c r="GZ2" s="12" t="s">
        <v>602</v>
      </c>
      <c r="HA2" s="12" t="s">
        <v>603</v>
      </c>
      <c r="HB2" s="12" t="s">
        <v>604</v>
      </c>
      <c r="HC2" s="12" t="s">
        <v>605</v>
      </c>
      <c r="HD2" s="12" t="s">
        <v>606</v>
      </c>
      <c r="HE2" s="12" t="s">
        <v>607</v>
      </c>
      <c r="HF2" s="12" t="s">
        <v>608</v>
      </c>
      <c r="HG2" s="12" t="s">
        <v>609</v>
      </c>
      <c r="HH2" s="12" t="s">
        <v>610</v>
      </c>
      <c r="HI2" s="12" t="s">
        <v>611</v>
      </c>
      <c r="HJ2" s="12" t="s">
        <v>612</v>
      </c>
      <c r="HK2" s="12" t="s">
        <v>613</v>
      </c>
      <c r="HL2" s="12" t="s">
        <v>614</v>
      </c>
      <c r="HM2" s="12" t="s">
        <v>615</v>
      </c>
      <c r="HN2" s="12" t="s">
        <v>616</v>
      </c>
      <c r="HO2" s="12" t="s">
        <v>617</v>
      </c>
      <c r="HP2" s="12" t="s">
        <v>618</v>
      </c>
      <c r="HQ2" s="12" t="s">
        <v>619</v>
      </c>
      <c r="HR2" s="12" t="s">
        <v>620</v>
      </c>
      <c r="HS2" s="12" t="s">
        <v>621</v>
      </c>
      <c r="HT2" s="12" t="s">
        <v>622</v>
      </c>
      <c r="HU2" s="12" t="s">
        <v>623</v>
      </c>
      <c r="HV2" s="12" t="s">
        <v>624</v>
      </c>
      <c r="HW2" s="12" t="s">
        <v>625</v>
      </c>
      <c r="HX2" s="12" t="s">
        <v>626</v>
      </c>
      <c r="HY2" s="12" t="s">
        <v>627</v>
      </c>
      <c r="HZ2" s="12" t="s">
        <v>628</v>
      </c>
      <c r="IA2" s="12" t="s">
        <v>629</v>
      </c>
      <c r="IB2" s="12" t="s">
        <v>630</v>
      </c>
      <c r="IC2" s="12" t="s">
        <v>631</v>
      </c>
      <c r="ID2" s="12" t="s">
        <v>632</v>
      </c>
      <c r="IE2" s="12" t="s">
        <v>633</v>
      </c>
      <c r="IF2" s="12" t="s">
        <v>634</v>
      </c>
      <c r="IG2" s="12" t="s">
        <v>635</v>
      </c>
      <c r="IH2" s="12" t="s">
        <v>636</v>
      </c>
      <c r="II2" s="12" t="s">
        <v>637</v>
      </c>
      <c r="IJ2" s="12" t="s">
        <v>638</v>
      </c>
      <c r="IK2" s="12" t="s">
        <v>639</v>
      </c>
      <c r="IL2" s="12" t="s">
        <v>640</v>
      </c>
      <c r="IM2" s="12" t="s">
        <v>641</v>
      </c>
      <c r="IN2" s="12" t="s">
        <v>642</v>
      </c>
      <c r="IO2" s="12" t="s">
        <v>643</v>
      </c>
      <c r="IP2" s="12" t="s">
        <v>644</v>
      </c>
      <c r="IQ2" s="12" t="s">
        <v>645</v>
      </c>
      <c r="IR2" s="12" t="s">
        <v>646</v>
      </c>
      <c r="IS2" s="12" t="s">
        <v>647</v>
      </c>
      <c r="IT2" s="12" t="s">
        <v>648</v>
      </c>
      <c r="IU2" s="12" t="s">
        <v>649</v>
      </c>
      <c r="IV2" s="12" t="s">
        <v>650</v>
      </c>
      <c r="IW2" s="12" t="s">
        <v>651</v>
      </c>
    </row>
    <row r="3" spans="2:257" x14ac:dyDescent="0.15">
      <c r="B3" s="18" t="s">
        <v>669</v>
      </c>
      <c r="C3" s="32" t="n">
        <v>13.0</v>
      </c>
      <c r="D3" s="31" t="n">
        <v>20.1</v>
      </c>
      <c r="E3" s="31" t="n">
        <v>12.5</v>
      </c>
      <c r="F3" s="31" t="n">
        <v>18.3</v>
      </c>
      <c r="G3" s="31" t="n">
        <v>19.6</v>
      </c>
      <c r="H3" s="31" t="n">
        <v>42.6</v>
      </c>
      <c r="I3" s="31" t="n">
        <v>20.2</v>
      </c>
      <c r="J3" s="31" t="n">
        <v>26.3</v>
      </c>
      <c r="K3" s="31" t="n">
        <v>19.8</v>
      </c>
      <c r="L3" s="31" t="n">
        <v>31.2</v>
      </c>
      <c r="M3" s="31" t="n">
        <v>38.1</v>
      </c>
      <c r="N3" s="31" t="n">
        <v>41.7</v>
      </c>
      <c r="O3" s="31" t="n">
        <v>37.1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8" t="s">
        <v>670</v>
      </c>
      <c r="C4" s="35" t="n">
        <v>20.1</v>
      </c>
      <c r="D4" s="35" t="n">
        <v>5.1</v>
      </c>
      <c r="E4" s="36" t="n">
        <v>15.0</v>
      </c>
      <c r="F4" s="35" t="n">
        <v>11.4</v>
      </c>
      <c r="G4" s="35" t="n">
        <v>3.5</v>
      </c>
      <c r="H4" s="35" t="n">
        <v>19.8</v>
      </c>
      <c r="I4" s="35" t="n">
        <v>12.7</v>
      </c>
      <c r="J4" s="35" t="n">
        <v>20.3</v>
      </c>
      <c r="K4" s="35" t="n">
        <v>29.5</v>
      </c>
      <c r="L4" s="35" t="n">
        <v>22.9</v>
      </c>
      <c r="M4" s="36" t="n">
        <v>10.0</v>
      </c>
      <c r="N4" s="35" t="n">
        <v>14.7</v>
      </c>
      <c r="O4" s="35" t="n">
        <v>14.9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8" t="s">
        <v>671</v>
      </c>
      <c r="C5" s="40" t="n">
        <v>31.0</v>
      </c>
      <c r="D5" s="39" t="n">
        <v>27.5</v>
      </c>
      <c r="E5" s="40" t="n">
        <v>30.0</v>
      </c>
      <c r="F5" s="40" t="n">
        <v>35.0</v>
      </c>
      <c r="G5" s="39" t="n">
        <v>39.2</v>
      </c>
      <c r="H5" s="39" t="n">
        <v>8.3</v>
      </c>
      <c r="I5" s="39" t="n">
        <v>42.1</v>
      </c>
      <c r="J5" s="39" t="n">
        <v>34.4</v>
      </c>
      <c r="K5" s="39" t="n">
        <v>15.2</v>
      </c>
      <c r="L5" s="39" t="n">
        <v>24.1</v>
      </c>
      <c r="M5" s="39" t="n">
        <v>16.2</v>
      </c>
      <c r="N5" s="39" t="n">
        <v>17.5</v>
      </c>
      <c r="O5" s="39" t="n">
        <v>28.7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8" t="s">
        <v>672</v>
      </c>
      <c r="C6" s="43" t="n">
        <v>18.1</v>
      </c>
      <c r="D6" s="43" t="n">
        <v>14.9</v>
      </c>
      <c r="E6" s="44" t="n">
        <v>20.0</v>
      </c>
      <c r="F6" s="43" t="n">
        <v>15.1</v>
      </c>
      <c r="G6" s="43" t="n">
        <v>7.6</v>
      </c>
      <c r="H6" s="44" t="n">
        <v>5.0</v>
      </c>
      <c r="I6" s="43" t="n">
        <v>3.8</v>
      </c>
      <c r="J6" s="43" t="n">
        <v>3.7</v>
      </c>
      <c r="K6" s="43" t="n">
        <v>3.6</v>
      </c>
      <c r="L6" s="44" t="n">
        <v>9.0</v>
      </c>
      <c r="M6" s="43" t="n">
        <v>11.8</v>
      </c>
      <c r="N6" s="43" t="n">
        <v>9.1</v>
      </c>
      <c r="O6" s="43" t="n">
        <v>2.8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8" t="s">
        <v>673</v>
      </c>
      <c r="C7" s="47" t="n">
        <v>6.5</v>
      </c>
      <c r="D7" s="47" t="n">
        <v>5.1</v>
      </c>
      <c r="E7" s="47" t="n">
        <v>2.5</v>
      </c>
      <c r="F7" s="47" t="n">
        <v>11.1</v>
      </c>
      <c r="G7" s="47" t="n">
        <v>15.4</v>
      </c>
      <c r="H7" s="47" t="n">
        <v>11.6</v>
      </c>
      <c r="I7" s="48" t="n">
        <v>3.0</v>
      </c>
      <c r="J7" s="48" t="n">
        <v>0.0</v>
      </c>
      <c r="K7" s="48" t="n">
        <v>9.0</v>
      </c>
      <c r="L7" s="47" t="n">
        <v>7.3</v>
      </c>
      <c r="M7" s="48" t="n">
        <v>0.0</v>
      </c>
      <c r="N7" s="47" t="n">
        <v>2.5</v>
      </c>
      <c r="O7" s="48" t="n">
        <v>0.0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8" t="s">
        <v>674</v>
      </c>
      <c r="C8" s="51" t="n">
        <v>8.1</v>
      </c>
      <c r="D8" s="52" t="n">
        <v>20.0</v>
      </c>
      <c r="E8" s="52" t="n">
        <v>10.0</v>
      </c>
      <c r="F8" s="51" t="n">
        <v>6.8</v>
      </c>
      <c r="G8" s="51" t="n">
        <v>8.6</v>
      </c>
      <c r="H8" s="51" t="n">
        <v>4.7</v>
      </c>
      <c r="I8" s="51" t="n">
        <v>14.7</v>
      </c>
      <c r="J8" s="51" t="n">
        <v>3.1</v>
      </c>
      <c r="K8" s="51" t="n">
        <v>17.4</v>
      </c>
      <c r="L8" s="52" t="n">
        <v>0.0</v>
      </c>
      <c r="M8" s="51" t="n">
        <v>17.9</v>
      </c>
      <c r="N8" s="51" t="n">
        <v>9.7</v>
      </c>
      <c r="O8" s="51" t="n">
        <v>4.7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8" t="s">
        <v>675</v>
      </c>
      <c r="C9" s="55" t="n">
        <v>3.2</v>
      </c>
      <c r="D9" s="55" t="n">
        <v>7.5</v>
      </c>
      <c r="E9" s="56" t="n">
        <v>10.0</v>
      </c>
      <c r="F9" s="55" t="n">
        <v>2.4</v>
      </c>
      <c r="G9" s="55" t="n">
        <v>6.1</v>
      </c>
      <c r="H9" s="55" t="n">
        <v>8.2</v>
      </c>
      <c r="I9" s="55" t="n">
        <v>3.5</v>
      </c>
      <c r="J9" s="55" t="n">
        <v>12.2</v>
      </c>
      <c r="K9" s="55" t="n">
        <v>5.4</v>
      </c>
      <c r="L9" s="55" t="n">
        <v>5.4</v>
      </c>
      <c r="M9" s="55" t="n">
        <v>6.1</v>
      </c>
      <c r="N9" s="55" t="n">
        <v>4.8</v>
      </c>
      <c r="O9" s="55" t="n">
        <v>11.7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8" t="s">
        <v>62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8" t="s">
        <v>63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8" t="s">
        <v>64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8" t="s">
        <v>65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8" t="s">
        <v>66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8" t="s">
        <v>67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8" t="s">
        <v>68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8" t="s">
        <v>69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8" t="s">
        <v>70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8" t="s">
        <v>71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8" t="s">
        <v>72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8" t="s">
        <v>171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8" t="s">
        <v>172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8" t="s">
        <v>173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8" t="s">
        <v>174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8" t="s">
        <v>175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8" t="s">
        <v>176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8" t="s">
        <v>177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8" t="s">
        <v>178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8" t="s">
        <v>179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8" t="s">
        <v>180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8" t="s">
        <v>181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8" t="s">
        <v>182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8" t="s">
        <v>183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8" t="s">
        <v>184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8" t="s">
        <v>185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8" t="s">
        <v>186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8" t="s">
        <v>187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8" t="s">
        <v>188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8" t="s">
        <v>189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8" t="s">
        <v>190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8" t="s">
        <v>191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8" t="s">
        <v>192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8" t="s">
        <v>193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8" t="s">
        <v>194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8" t="s">
        <v>195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8" t="s">
        <v>196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8" t="s">
        <v>197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8" t="s">
        <v>198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8" t="s">
        <v>199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8" t="s">
        <v>200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8" t="s">
        <v>201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8" t="s">
        <v>202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8" t="s">
        <v>203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8" t="s">
        <v>204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8" t="s">
        <v>205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8" t="s">
        <v>206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8" t="s">
        <v>207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8" t="s">
        <v>208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8" t="s">
        <v>209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8" t="s">
        <v>210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8" t="s">
        <v>211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8" t="s">
        <v>212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8" t="s">
        <v>213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8" t="s">
        <v>214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8" t="s">
        <v>215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8" t="s">
        <v>216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8" t="s">
        <v>217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8" t="s">
        <v>218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8" t="s">
        <v>219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8" t="s">
        <v>220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8" t="s">
        <v>221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8" t="s">
        <v>222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8" t="s">
        <v>223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8" t="s">
        <v>224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8" t="s">
        <v>225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8" t="s">
        <v>226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8" t="s">
        <v>227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8" t="s">
        <v>228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8" t="s">
        <v>229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8" t="s">
        <v>230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8" t="s">
        <v>231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8" t="s">
        <v>232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8" t="s">
        <v>233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8" t="s">
        <v>234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8" t="s">
        <v>235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8" t="s">
        <v>236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8" t="s">
        <v>237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8" t="s">
        <v>238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8" t="s">
        <v>239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8" t="s">
        <v>240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8" t="s">
        <v>241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8" t="s">
        <v>242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8" t="s">
        <v>243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8" t="s">
        <v>244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8" t="s">
        <v>245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8" t="s">
        <v>246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8" t="s">
        <v>247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8" t="s">
        <v>248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8" t="s">
        <v>249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8" t="s">
        <v>250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8" t="s">
        <v>251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8" t="s">
        <v>252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8" t="s">
        <v>253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8" t="s">
        <v>254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8" t="s">
        <v>255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8" t="s">
        <v>256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8" t="s">
        <v>257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8" t="s">
        <v>258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8" t="s">
        <v>259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8" t="s">
        <v>260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8" t="s">
        <v>261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8" t="s">
        <v>262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8" t="s">
        <v>263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8" t="s">
        <v>264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8" t="s">
        <v>265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8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8" t="s">
        <v>267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8" t="s">
        <v>268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8" t="s">
        <v>269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8" t="s">
        <v>270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8" t="s">
        <v>271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8" t="s">
        <v>272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8" t="s">
        <v>273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8" t="s">
        <v>274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8" t="s">
        <v>275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8" t="s">
        <v>276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8" t="s">
        <v>277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8" t="s">
        <v>278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8" t="s">
        <v>279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8" t="s">
        <v>280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8" t="s">
        <v>281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8" t="s">
        <v>282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8" t="s">
        <v>283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8" t="s">
        <v>284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8" t="s">
        <v>285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8" t="s">
        <v>286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8" t="s">
        <v>287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8" t="s">
        <v>288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8" t="s">
        <v>289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8" t="s">
        <v>290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8" t="s">
        <v>291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8" t="s">
        <v>292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8" t="s">
        <v>293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8" t="s">
        <v>294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8" t="s">
        <v>295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8" t="s">
        <v>296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8" t="s">
        <v>297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8" t="s">
        <v>298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8" t="s">
        <v>299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8" t="s">
        <v>300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8" t="s">
        <v>301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8" t="s">
        <v>302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8" t="s">
        <v>303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8" t="s">
        <v>304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8" t="s">
        <v>305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8" t="s">
        <v>306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8" t="s">
        <v>307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8" t="s">
        <v>308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8" t="s">
        <v>309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8" t="s">
        <v>310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8" t="s">
        <v>311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8" t="s">
        <v>312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8" t="s">
        <v>313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8" t="s">
        <v>314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8" t="s">
        <v>315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8" t="s">
        <v>316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8" t="s">
        <v>317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8" t="s">
        <v>318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8" t="s">
        <v>319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8" t="s">
        <v>320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8" t="s">
        <v>321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8" t="s">
        <v>322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8" t="s">
        <v>323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8" t="s">
        <v>324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8" t="s">
        <v>325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8" t="s">
        <v>326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8" t="s">
        <v>327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8" t="s">
        <v>328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8" t="s">
        <v>329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8" t="s">
        <v>330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8" t="s">
        <v>331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8" t="s">
        <v>332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8" t="s">
        <v>333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8" t="s">
        <v>334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8" t="s">
        <v>335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8" t="s">
        <v>336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8" t="s">
        <v>337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8" t="s">
        <v>338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8" t="s">
        <v>339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8" t="s">
        <v>340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8" t="s">
        <v>341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8" t="s">
        <v>342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8" t="s">
        <v>343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8" t="s">
        <v>344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8" t="s">
        <v>345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8" t="s">
        <v>346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8" t="s">
        <v>347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8" t="s">
        <v>348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8" t="s">
        <v>349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8" t="s">
        <v>350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8" t="s">
        <v>351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8" t="s">
        <v>352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8" t="s">
        <v>353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8" t="s">
        <v>354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8" t="s">
        <v>355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8" t="s">
        <v>356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8" t="s">
        <v>357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8" t="s">
        <v>358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8" t="s">
        <v>359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8" t="s">
        <v>360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8" t="s">
        <v>361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8" t="s">
        <v>362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8" t="s">
        <v>363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8" t="s">
        <v>364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8" t="s">
        <v>365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8" t="s">
        <v>366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8" t="s">
        <v>367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8" t="s">
        <v>368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8" t="s">
        <v>369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8" t="s">
        <v>370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8" t="s">
        <v>371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8" t="s">
        <v>372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8" t="s">
        <v>373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8" t="s">
        <v>374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8" t="s">
        <v>375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8" t="s">
        <v>376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8" t="s">
        <v>377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8" t="s">
        <v>378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8" t="s">
        <v>379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8" t="s">
        <v>380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8" t="s">
        <v>381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8" t="s">
        <v>382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8" t="s">
        <v>383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8" t="s">
        <v>384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8" t="s">
        <v>385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8" t="s">
        <v>386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8" t="s">
        <v>387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8" t="s">
        <v>388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8" t="s">
        <v>389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8" t="s">
        <v>390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8" t="s">
        <v>391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8" t="s">
        <v>392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8" t="s">
        <v>393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8" t="s">
        <v>394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8" t="s">
        <v>395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8" t="s">
        <v>396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8" t="s">
        <v>397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8" t="s">
        <v>398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8" t="s">
        <v>399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8" t="s">
        <v>400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8" t="s">
        <v>401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8" t="s">
        <v>402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8" t="s">
        <v>403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8" t="s">
        <v>404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8" t="s">
        <v>405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8" t="s">
        <v>406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8" t="s">
        <v>407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39997558519241921"/>
  </sheetPr>
  <dimension ref="A1:M2"/>
  <sheetViews>
    <sheetView topLeftCell="C1" zoomScale="85" zoomScaleNormal="85" workbookViewId="0">
      <selection activeCell="C1" sqref="C1"/>
    </sheetView>
  </sheetViews>
  <sheetFormatPr defaultRowHeight="18.75" x14ac:dyDescent="0.15"/>
  <cols>
    <col min="1" max="2" customWidth="true" hidden="true" style="7" width="14.125" collapsed="false"/>
    <col min="3" max="3" customWidth="true" style="7" width="14.125" collapsed="false"/>
    <col min="4" max="4" customWidth="true" style="7" width="22.5" collapsed="false"/>
    <col min="5" max="5" customWidth="true" style="7" width="25.5" collapsed="false"/>
    <col min="6" max="6" customWidth="true" hidden="true" style="7" width="19.5" collapsed="false"/>
    <col min="7" max="7" customWidth="true" style="7" width="22.5" collapsed="false"/>
    <col min="8" max="8" customWidth="true" style="7" width="10.375" collapsed="false"/>
    <col min="9" max="9" customWidth="true" style="7" width="30.5" collapsed="false"/>
    <col min="10" max="10" customWidth="true" hidden="true" style="7" width="67.5" collapsed="false"/>
    <col min="11" max="11" bestFit="true" customWidth="true" style="7" width="14.5" collapsed="false"/>
    <col min="12" max="12" customWidth="true" style="7" width="7.0" collapsed="false"/>
    <col min="13" max="16384" style="7" width="9.0" collapsed="false"/>
  </cols>
  <sheetData>
    <row r="1" spans="1:12" s="4" customFormat="1" x14ac:dyDescent="0.15">
      <c r="A1" s="4" t="s">
        <v>682</v>
      </c>
      <c r="B1" s="4" t="s">
        <v>6</v>
      </c>
      <c r="C1" s="5" t="s">
        <v>0</v>
      </c>
      <c r="D1" s="5" t="s">
        <v>652</v>
      </c>
      <c r="E1" s="5" t="s">
        <v>653</v>
      </c>
      <c r="F1" s="6" t="s">
        <v>3</v>
      </c>
      <c r="G1" s="5" t="s">
        <v>1</v>
      </c>
      <c r="H1" s="5" t="s">
        <v>2</v>
      </c>
      <c r="I1" s="5" t="s">
        <v>4</v>
      </c>
      <c r="K1" s="5" t="s">
        <v>654</v>
      </c>
      <c r="L1" s="4" t="s">
        <v>655</v>
      </c>
    </row>
    <row r="2" spans="1:12" x14ac:dyDescent="0.15">
      <c r="A2" s="7" t="str">
        <f>C2&amp;"（"&amp;E2&amp;"）"</f>
        <v>調整済み新規要支援・要介護認定者の要介護度別分布（北塩原村）</v>
      </c>
      <c r="B2" s="7" t="str">
        <f>"（注目する地域）" &amp; E2</f>
        <v>（注目する地域）北塩原村</v>
      </c>
      <c r="C2" s="8" t="s">
        <v>676</v>
      </c>
      <c r="D2" s="8" t="s">
        <v>677</v>
      </c>
      <c r="E2" s="8" t="s">
        <v>678</v>
      </c>
      <c r="F2" s="8" t="str">
        <f>G2 &amp; "（" &amp; H2 &amp; "）"</f>
        <v>各要介護度の占める割合（%）</v>
      </c>
      <c r="G2" s="8" t="s">
        <v>679</v>
      </c>
      <c r="H2" s="8" t="s">
        <v>680</v>
      </c>
      <c r="I2" s="8" t="s">
        <v>681</v>
      </c>
      <c r="J2" s="7" t="str">
        <f>"（出典）" &amp; I2</f>
        <v>（出典）厚生労働省「介護保険総合データベース」（令和7年9月10日時点データにて集計）および厚生労働省「介護保険事業状況報告」年報（令和6年度のみ「介護保険事業状況報告」月報）および総務省「住民基本台帳人口・世帯数」　※本指標は自治体向けのため取り扱いに注意してください。</v>
      </c>
      <c r="K2" s="8"/>
      <c r="L2" s="7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IZ27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3" width="10.03515625" collapsed="false" bestFit="true"/>
    <col min="3" max="3" customWidth="true" style="13" width="71.63671875" collapsed="false" bestFit="true"/>
    <col min="4" max="4" customWidth="true" style="13" width="7.90625" collapsed="false" bestFit="true"/>
    <col min="18" max="18" customWidth="true" style="3" width="14.625" collapsed="false" hidden="true"/>
    <col min="101" max="101" style="3" width="14.625" collapsed="false" hidden="true"/>
  </cols>
  <sheetData>
    <row r="1">
      <c r="A1" t="s">
        <v>683</v>
      </c>
    </row>
    <row r="2" spans="2:259" s="13" customFormat="1" x14ac:dyDescent="0.15">
      <c r="B2" s="11"/>
      <c r="C2" s="11"/>
      <c r="D2" s="11"/>
      <c r="E2" s="61" t="s">
        <v>656</v>
      </c>
      <c r="F2" s="61" t="s">
        <v>657</v>
      </c>
      <c r="G2" s="61" t="s">
        <v>658</v>
      </c>
      <c r="H2" s="61" t="s">
        <v>659</v>
      </c>
      <c r="I2" s="61" t="s">
        <v>660</v>
      </c>
      <c r="J2" s="61" t="s">
        <v>661</v>
      </c>
      <c r="K2" s="61" t="s">
        <v>662</v>
      </c>
      <c r="L2" s="61" t="s">
        <v>663</v>
      </c>
      <c r="M2" s="61" t="s">
        <v>664</v>
      </c>
      <c r="N2" s="61" t="s">
        <v>665</v>
      </c>
      <c r="O2" s="61" t="s">
        <v>666</v>
      </c>
      <c r="P2" s="61" t="s">
        <v>667</v>
      </c>
      <c r="Q2" s="61" t="s">
        <v>668</v>
      </c>
      <c r="R2" s="12" t="s">
        <v>421</v>
      </c>
      <c r="S2" s="12" t="s">
        <v>422</v>
      </c>
      <c r="T2" s="12" t="s">
        <v>423</v>
      </c>
      <c r="U2" s="12" t="s">
        <v>424</v>
      </c>
      <c r="V2" s="12" t="s">
        <v>425</v>
      </c>
      <c r="W2" s="12" t="s">
        <v>426</v>
      </c>
      <c r="X2" s="12" t="s">
        <v>427</v>
      </c>
      <c r="Y2" s="12" t="s">
        <v>428</v>
      </c>
      <c r="Z2" s="12" t="s">
        <v>429</v>
      </c>
      <c r="AA2" s="12" t="s">
        <v>430</v>
      </c>
      <c r="AB2" s="12" t="s">
        <v>431</v>
      </c>
      <c r="AC2" s="12" t="s">
        <v>432</v>
      </c>
      <c r="AD2" s="12" t="s">
        <v>433</v>
      </c>
      <c r="AE2" s="12" t="s">
        <v>434</v>
      </c>
      <c r="AF2" s="12" t="s">
        <v>435</v>
      </c>
      <c r="AG2" s="12" t="s">
        <v>436</v>
      </c>
      <c r="AH2" s="12" t="s">
        <v>437</v>
      </c>
      <c r="AI2" s="12" t="s">
        <v>438</v>
      </c>
      <c r="AJ2" s="12" t="s">
        <v>439</v>
      </c>
      <c r="AK2" s="12" t="s">
        <v>440</v>
      </c>
      <c r="AL2" s="12" t="s">
        <v>441</v>
      </c>
      <c r="AM2" s="12" t="s">
        <v>442</v>
      </c>
      <c r="AN2" s="12" t="s">
        <v>443</v>
      </c>
      <c r="AO2" s="12" t="s">
        <v>444</v>
      </c>
      <c r="AP2" s="12" t="s">
        <v>445</v>
      </c>
      <c r="AQ2" s="12" t="s">
        <v>446</v>
      </c>
      <c r="AR2" s="12" t="s">
        <v>447</v>
      </c>
      <c r="AS2" s="12" t="s">
        <v>448</v>
      </c>
      <c r="AT2" s="12" t="s">
        <v>449</v>
      </c>
      <c r="AU2" s="12" t="s">
        <v>450</v>
      </c>
      <c r="AV2" s="12" t="s">
        <v>451</v>
      </c>
      <c r="AW2" s="12" t="s">
        <v>452</v>
      </c>
      <c r="AX2" s="12" t="s">
        <v>453</v>
      </c>
      <c r="AY2" s="12" t="s">
        <v>454</v>
      </c>
      <c r="AZ2" s="12" t="s">
        <v>455</v>
      </c>
      <c r="BA2" s="12" t="s">
        <v>456</v>
      </c>
      <c r="BB2" s="12" t="s">
        <v>457</v>
      </c>
      <c r="BC2" s="12" t="s">
        <v>458</v>
      </c>
      <c r="BD2" s="12" t="s">
        <v>459</v>
      </c>
      <c r="BE2" s="12" t="s">
        <v>460</v>
      </c>
      <c r="BF2" s="12" t="s">
        <v>461</v>
      </c>
      <c r="BG2" s="12" t="s">
        <v>462</v>
      </c>
      <c r="BH2" s="12" t="s">
        <v>463</v>
      </c>
      <c r="BI2" s="12" t="s">
        <v>464</v>
      </c>
      <c r="BJ2" s="12" t="s">
        <v>465</v>
      </c>
      <c r="BK2" s="12" t="s">
        <v>466</v>
      </c>
      <c r="BL2" s="12" t="s">
        <v>467</v>
      </c>
      <c r="BM2" s="12" t="s">
        <v>468</v>
      </c>
      <c r="BN2" s="12" t="s">
        <v>469</v>
      </c>
      <c r="BO2" s="12" t="s">
        <v>470</v>
      </c>
      <c r="BP2" s="12" t="s">
        <v>471</v>
      </c>
      <c r="BQ2" s="12" t="s">
        <v>472</v>
      </c>
      <c r="BR2" s="12" t="s">
        <v>473</v>
      </c>
      <c r="BS2" s="12" t="s">
        <v>474</v>
      </c>
      <c r="BT2" s="12" t="s">
        <v>475</v>
      </c>
      <c r="BU2" s="12" t="s">
        <v>476</v>
      </c>
      <c r="BV2" s="12" t="s">
        <v>477</v>
      </c>
      <c r="BW2" s="12" t="s">
        <v>478</v>
      </c>
      <c r="BX2" s="12" t="s">
        <v>479</v>
      </c>
      <c r="BY2" s="12" t="s">
        <v>480</v>
      </c>
      <c r="BZ2" s="12" t="s">
        <v>481</v>
      </c>
      <c r="CA2" s="12" t="s">
        <v>482</v>
      </c>
      <c r="CB2" s="12" t="s">
        <v>483</v>
      </c>
      <c r="CC2" s="12" t="s">
        <v>484</v>
      </c>
      <c r="CD2" s="12" t="s">
        <v>485</v>
      </c>
      <c r="CE2" s="12" t="s">
        <v>486</v>
      </c>
      <c r="CF2" s="12" t="s">
        <v>487</v>
      </c>
      <c r="CG2" s="12" t="s">
        <v>488</v>
      </c>
      <c r="CH2" s="12" t="s">
        <v>489</v>
      </c>
      <c r="CI2" s="12" t="s">
        <v>490</v>
      </c>
      <c r="CJ2" s="12" t="s">
        <v>491</v>
      </c>
      <c r="CK2" s="12" t="s">
        <v>492</v>
      </c>
      <c r="CL2" s="12" t="s">
        <v>493</v>
      </c>
      <c r="CM2" s="12" t="s">
        <v>494</v>
      </c>
      <c r="CN2" s="12" t="s">
        <v>495</v>
      </c>
      <c r="CO2" s="12" t="s">
        <v>496</v>
      </c>
      <c r="CP2" s="12" t="s">
        <v>497</v>
      </c>
      <c r="CQ2" s="12" t="s">
        <v>498</v>
      </c>
      <c r="CR2" s="12" t="s">
        <v>499</v>
      </c>
      <c r="CS2" s="12" t="s">
        <v>500</v>
      </c>
      <c r="CT2" s="12" t="s">
        <v>501</v>
      </c>
      <c r="CU2" s="12" t="s">
        <v>502</v>
      </c>
      <c r="CV2" s="12" t="s">
        <v>503</v>
      </c>
      <c r="CW2" s="12" t="s">
        <v>504</v>
      </c>
      <c r="CX2" s="12" t="s">
        <v>505</v>
      </c>
      <c r="CY2" s="12" t="s">
        <v>506</v>
      </c>
      <c r="CZ2" s="12" t="s">
        <v>507</v>
      </c>
      <c r="DA2" s="12" t="s">
        <v>508</v>
      </c>
      <c r="DB2" s="12" t="s">
        <v>509</v>
      </c>
      <c r="DC2" s="12" t="s">
        <v>510</v>
      </c>
      <c r="DD2" s="12" t="s">
        <v>511</v>
      </c>
      <c r="DE2" s="12" t="s">
        <v>512</v>
      </c>
      <c r="DF2" s="12" t="s">
        <v>513</v>
      </c>
      <c r="DG2" s="12" t="s">
        <v>514</v>
      </c>
      <c r="DH2" s="12" t="s">
        <v>515</v>
      </c>
      <c r="DI2" s="12" t="s">
        <v>516</v>
      </c>
      <c r="DJ2" s="12" t="s">
        <v>517</v>
      </c>
      <c r="DK2" s="12" t="s">
        <v>518</v>
      </c>
      <c r="DL2" s="12" t="s">
        <v>519</v>
      </c>
      <c r="DM2" s="12" t="s">
        <v>520</v>
      </c>
      <c r="DN2" s="12" t="s">
        <v>521</v>
      </c>
      <c r="DO2" s="12" t="s">
        <v>522</v>
      </c>
      <c r="DP2" s="12" t="s">
        <v>523</v>
      </c>
      <c r="DQ2" s="12" t="s">
        <v>524</v>
      </c>
      <c r="DR2" s="12" t="s">
        <v>142</v>
      </c>
      <c r="DS2" s="12" t="s">
        <v>143</v>
      </c>
      <c r="DT2" s="12" t="s">
        <v>144</v>
      </c>
      <c r="DU2" s="12" t="s">
        <v>145</v>
      </c>
      <c r="DV2" s="12" t="s">
        <v>146</v>
      </c>
      <c r="DW2" s="12" t="s">
        <v>147</v>
      </c>
      <c r="DX2" s="12" t="s">
        <v>148</v>
      </c>
      <c r="DY2" s="12" t="s">
        <v>149</v>
      </c>
      <c r="DZ2" s="12" t="s">
        <v>150</v>
      </c>
      <c r="EA2" s="12" t="s">
        <v>151</v>
      </c>
      <c r="EB2" s="12" t="s">
        <v>152</v>
      </c>
      <c r="EC2" s="12" t="s">
        <v>525</v>
      </c>
      <c r="ED2" s="12" t="s">
        <v>526</v>
      </c>
      <c r="EE2" s="12" t="s">
        <v>527</v>
      </c>
      <c r="EF2" s="12" t="s">
        <v>528</v>
      </c>
      <c r="EG2" s="12" t="s">
        <v>529</v>
      </c>
      <c r="EH2" s="12" t="s">
        <v>530</v>
      </c>
      <c r="EI2" s="12" t="s">
        <v>531</v>
      </c>
      <c r="EJ2" s="12" t="s">
        <v>532</v>
      </c>
      <c r="EK2" s="12" t="s">
        <v>533</v>
      </c>
      <c r="EL2" s="12" t="s">
        <v>534</v>
      </c>
      <c r="EM2" s="12" t="s">
        <v>535</v>
      </c>
      <c r="EN2" s="12" t="s">
        <v>536</v>
      </c>
      <c r="EO2" s="12" t="s">
        <v>537</v>
      </c>
      <c r="EP2" s="12" t="s">
        <v>538</v>
      </c>
      <c r="EQ2" s="12" t="s">
        <v>539</v>
      </c>
      <c r="ER2" s="12" t="s">
        <v>540</v>
      </c>
      <c r="ES2" s="12" t="s">
        <v>541</v>
      </c>
      <c r="ET2" s="12" t="s">
        <v>542</v>
      </c>
      <c r="EU2" s="12" t="s">
        <v>543</v>
      </c>
      <c r="EV2" s="12" t="s">
        <v>544</v>
      </c>
      <c r="EW2" s="12" t="s">
        <v>545</v>
      </c>
      <c r="EX2" s="12" t="s">
        <v>546</v>
      </c>
      <c r="EY2" s="12" t="s">
        <v>547</v>
      </c>
      <c r="EZ2" s="12" t="s">
        <v>548</v>
      </c>
      <c r="FA2" s="12" t="s">
        <v>549</v>
      </c>
      <c r="FB2" s="12" t="s">
        <v>550</v>
      </c>
      <c r="FC2" s="12" t="s">
        <v>551</v>
      </c>
      <c r="FD2" s="12" t="s">
        <v>552</v>
      </c>
      <c r="FE2" s="12" t="s">
        <v>553</v>
      </c>
      <c r="FF2" s="12" t="s">
        <v>554</v>
      </c>
      <c r="FG2" s="12" t="s">
        <v>555</v>
      </c>
      <c r="FH2" s="12" t="s">
        <v>556</v>
      </c>
      <c r="FI2" s="12" t="s">
        <v>557</v>
      </c>
      <c r="FJ2" s="12" t="s">
        <v>558</v>
      </c>
      <c r="FK2" s="12" t="s">
        <v>559</v>
      </c>
      <c r="FL2" s="12" t="s">
        <v>560</v>
      </c>
      <c r="FM2" s="12" t="s">
        <v>561</v>
      </c>
      <c r="FN2" s="12" t="s">
        <v>562</v>
      </c>
      <c r="FO2" s="12" t="s">
        <v>563</v>
      </c>
      <c r="FP2" s="12" t="s">
        <v>564</v>
      </c>
      <c r="FQ2" s="12" t="s">
        <v>565</v>
      </c>
      <c r="FR2" s="12" t="s">
        <v>566</v>
      </c>
      <c r="FS2" s="12" t="s">
        <v>567</v>
      </c>
      <c r="FT2" s="12" t="s">
        <v>568</v>
      </c>
      <c r="FU2" s="12" t="s">
        <v>569</v>
      </c>
      <c r="FV2" s="12" t="s">
        <v>570</v>
      </c>
      <c r="FW2" s="12" t="s">
        <v>571</v>
      </c>
      <c r="FX2" s="12" t="s">
        <v>572</v>
      </c>
      <c r="FY2" s="12" t="s">
        <v>573</v>
      </c>
      <c r="FZ2" s="12" t="s">
        <v>574</v>
      </c>
      <c r="GA2" s="12" t="s">
        <v>575</v>
      </c>
      <c r="GB2" s="12" t="s">
        <v>576</v>
      </c>
      <c r="GC2" s="12" t="s">
        <v>577</v>
      </c>
      <c r="GD2" s="12" t="s">
        <v>578</v>
      </c>
      <c r="GE2" s="12" t="s">
        <v>579</v>
      </c>
      <c r="GF2" s="12" t="s">
        <v>580</v>
      </c>
      <c r="GG2" s="12" t="s">
        <v>581</v>
      </c>
      <c r="GH2" s="12" t="s">
        <v>582</v>
      </c>
      <c r="GI2" s="12" t="s">
        <v>583</v>
      </c>
      <c r="GJ2" s="12" t="s">
        <v>584</v>
      </c>
      <c r="GK2" s="12" t="s">
        <v>585</v>
      </c>
      <c r="GL2" s="12" t="s">
        <v>586</v>
      </c>
      <c r="GM2" s="12" t="s">
        <v>587</v>
      </c>
      <c r="GN2" s="12" t="s">
        <v>588</v>
      </c>
      <c r="GO2" s="12" t="s">
        <v>589</v>
      </c>
      <c r="GP2" s="12" t="s">
        <v>590</v>
      </c>
      <c r="GQ2" s="12" t="s">
        <v>591</v>
      </c>
      <c r="GR2" s="12" t="s">
        <v>592</v>
      </c>
      <c r="GS2" s="12" t="s">
        <v>593</v>
      </c>
      <c r="GT2" s="12" t="s">
        <v>594</v>
      </c>
      <c r="GU2" s="12" t="s">
        <v>595</v>
      </c>
      <c r="GV2" s="12" t="s">
        <v>596</v>
      </c>
      <c r="GW2" s="12" t="s">
        <v>597</v>
      </c>
      <c r="GX2" s="12" t="s">
        <v>598</v>
      </c>
      <c r="GY2" s="12" t="s">
        <v>599</v>
      </c>
      <c r="GZ2" s="12" t="s">
        <v>600</v>
      </c>
      <c r="HA2" s="12" t="s">
        <v>601</v>
      </c>
      <c r="HB2" s="12" t="s">
        <v>602</v>
      </c>
      <c r="HC2" s="12" t="s">
        <v>603</v>
      </c>
      <c r="HD2" s="12" t="s">
        <v>604</v>
      </c>
      <c r="HE2" s="12" t="s">
        <v>605</v>
      </c>
      <c r="HF2" s="12" t="s">
        <v>606</v>
      </c>
      <c r="HG2" s="12" t="s">
        <v>607</v>
      </c>
      <c r="HH2" s="12" t="s">
        <v>608</v>
      </c>
      <c r="HI2" s="12" t="s">
        <v>609</v>
      </c>
      <c r="HJ2" s="12" t="s">
        <v>610</v>
      </c>
      <c r="HK2" s="12" t="s">
        <v>611</v>
      </c>
      <c r="HL2" s="12" t="s">
        <v>612</v>
      </c>
      <c r="HM2" s="12" t="s">
        <v>613</v>
      </c>
      <c r="HN2" s="12" t="s">
        <v>614</v>
      </c>
      <c r="HO2" s="12" t="s">
        <v>615</v>
      </c>
      <c r="HP2" s="12" t="s">
        <v>616</v>
      </c>
      <c r="HQ2" s="12" t="s">
        <v>617</v>
      </c>
      <c r="HR2" s="12" t="s">
        <v>618</v>
      </c>
      <c r="HS2" s="12" t="s">
        <v>619</v>
      </c>
      <c r="HT2" s="12" t="s">
        <v>620</v>
      </c>
      <c r="HU2" s="12" t="s">
        <v>621</v>
      </c>
      <c r="HV2" s="12" t="s">
        <v>622</v>
      </c>
      <c r="HW2" s="12" t="s">
        <v>623</v>
      </c>
      <c r="HX2" s="12" t="s">
        <v>624</v>
      </c>
      <c r="HY2" s="12" t="s">
        <v>625</v>
      </c>
      <c r="HZ2" s="12" t="s">
        <v>626</v>
      </c>
      <c r="IA2" s="12" t="s">
        <v>627</v>
      </c>
      <c r="IB2" s="12" t="s">
        <v>628</v>
      </c>
      <c r="IC2" s="12" t="s">
        <v>629</v>
      </c>
      <c r="ID2" s="12" t="s">
        <v>630</v>
      </c>
      <c r="IE2" s="12" t="s">
        <v>631</v>
      </c>
      <c r="IF2" s="12" t="s">
        <v>632</v>
      </c>
      <c r="IG2" s="12" t="s">
        <v>633</v>
      </c>
      <c r="IH2" s="12" t="s">
        <v>634</v>
      </c>
      <c r="II2" s="12" t="s">
        <v>635</v>
      </c>
      <c r="IJ2" s="12" t="s">
        <v>636</v>
      </c>
      <c r="IK2" s="12" t="s">
        <v>637</v>
      </c>
      <c r="IL2" s="12" t="s">
        <v>638</v>
      </c>
      <c r="IM2" s="12" t="s">
        <v>639</v>
      </c>
      <c r="IN2" s="12" t="s">
        <v>640</v>
      </c>
      <c r="IO2" s="12" t="s">
        <v>641</v>
      </c>
      <c r="IP2" s="12" t="s">
        <v>642</v>
      </c>
      <c r="IQ2" s="12" t="s">
        <v>643</v>
      </c>
      <c r="IR2" s="12" t="s">
        <v>644</v>
      </c>
      <c r="IS2" s="12" t="s">
        <v>645</v>
      </c>
      <c r="IT2" s="12" t="s">
        <v>646</v>
      </c>
      <c r="IU2" s="12" t="s">
        <v>647</v>
      </c>
      <c r="IV2" s="12" t="s">
        <v>648</v>
      </c>
      <c r="IW2" s="12" t="s">
        <v>649</v>
      </c>
      <c r="IX2" s="12" t="s">
        <v>650</v>
      </c>
      <c r="IY2" s="12" t="s">
        <v>651</v>
      </c>
    </row>
    <row r="3" spans="2:259" x14ac:dyDescent="0.15">
      <c r="B3" s="16" t="s">
        <v>678</v>
      </c>
      <c r="C3" s="16" t="s">
        <v>684</v>
      </c>
      <c r="D3" s="12" t="s">
        <v>685</v>
      </c>
      <c r="E3" s="63" t="n">
        <v>13.0</v>
      </c>
      <c r="F3" s="63" t="n">
        <v>20.1</v>
      </c>
      <c r="G3" s="63" t="n">
        <v>12.5</v>
      </c>
      <c r="H3" s="63" t="n">
        <v>18.3</v>
      </c>
      <c r="I3" s="63" t="n">
        <v>19.6</v>
      </c>
      <c r="J3" s="63" t="n">
        <v>42.6</v>
      </c>
      <c r="K3" s="63" t="n">
        <v>20.2</v>
      </c>
      <c r="L3" s="63" t="n">
        <v>26.3</v>
      </c>
      <c r="M3" s="63" t="n">
        <v>19.8</v>
      </c>
      <c r="N3" s="63" t="n">
        <v>31.2</v>
      </c>
      <c r="O3" s="63" t="n">
        <v>38.1</v>
      </c>
      <c r="P3" s="63" t="n">
        <v>41.7</v>
      </c>
      <c r="Q3" s="63" t="n">
        <v>37.1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</row>
    <row r="4" spans="2:259" x14ac:dyDescent="0.15">
      <c r="B4" s="16" t="s">
        <v>678</v>
      </c>
      <c r="C4" s="16" t="s">
        <v>686</v>
      </c>
      <c r="D4" s="12" t="s">
        <v>685</v>
      </c>
      <c r="E4" s="67" t="n">
        <v>20.1</v>
      </c>
      <c r="F4" s="67" t="n">
        <v>5.1</v>
      </c>
      <c r="G4" s="67" t="n">
        <v>15.0</v>
      </c>
      <c r="H4" s="67" t="n">
        <v>11.4</v>
      </c>
      <c r="I4" s="67" t="n">
        <v>3.5</v>
      </c>
      <c r="J4" s="67" t="n">
        <v>19.8</v>
      </c>
      <c r="K4" s="67" t="n">
        <v>12.7</v>
      </c>
      <c r="L4" s="67" t="n">
        <v>20.3</v>
      </c>
      <c r="M4" s="67" t="n">
        <v>29.5</v>
      </c>
      <c r="N4" s="67" t="n">
        <v>22.9</v>
      </c>
      <c r="O4" s="67" t="n">
        <v>10.0</v>
      </c>
      <c r="P4" s="67" t="n">
        <v>14.7</v>
      </c>
      <c r="Q4" s="67" t="n">
        <v>14.9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2:259" x14ac:dyDescent="0.15">
      <c r="B5" s="16" t="s">
        <v>678</v>
      </c>
      <c r="C5" s="16" t="s">
        <v>687</v>
      </c>
      <c r="D5" s="12" t="s">
        <v>685</v>
      </c>
      <c r="E5" s="71" t="n">
        <v>31.0</v>
      </c>
      <c r="F5" s="71" t="n">
        <v>27.5</v>
      </c>
      <c r="G5" s="71" t="n">
        <v>30.0</v>
      </c>
      <c r="H5" s="71" t="n">
        <v>35.0</v>
      </c>
      <c r="I5" s="71" t="n">
        <v>39.2</v>
      </c>
      <c r="J5" s="71" t="n">
        <v>8.3</v>
      </c>
      <c r="K5" s="71" t="n">
        <v>42.1</v>
      </c>
      <c r="L5" s="71" t="n">
        <v>34.4</v>
      </c>
      <c r="M5" s="71" t="n">
        <v>15.2</v>
      </c>
      <c r="N5" s="71" t="n">
        <v>24.1</v>
      </c>
      <c r="O5" s="71" t="n">
        <v>16.2</v>
      </c>
      <c r="P5" s="71" t="n">
        <v>17.5</v>
      </c>
      <c r="Q5" s="71" t="n">
        <v>28.7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</row>
    <row r="6" spans="2:259" x14ac:dyDescent="0.15">
      <c r="B6" s="16" t="s">
        <v>678</v>
      </c>
      <c r="C6" s="16" t="s">
        <v>688</v>
      </c>
      <c r="D6" s="12" t="s">
        <v>685</v>
      </c>
      <c r="E6" s="75" t="n">
        <v>18.1</v>
      </c>
      <c r="F6" s="75" t="n">
        <v>14.9</v>
      </c>
      <c r="G6" s="75" t="n">
        <v>20.0</v>
      </c>
      <c r="H6" s="75" t="n">
        <v>15.1</v>
      </c>
      <c r="I6" s="75" t="n">
        <v>7.6</v>
      </c>
      <c r="J6" s="75" t="n">
        <v>5.0</v>
      </c>
      <c r="K6" s="75" t="n">
        <v>3.8</v>
      </c>
      <c r="L6" s="75" t="n">
        <v>3.7</v>
      </c>
      <c r="M6" s="75" t="n">
        <v>3.6</v>
      </c>
      <c r="N6" s="75" t="n">
        <v>9.0</v>
      </c>
      <c r="O6" s="75" t="n">
        <v>11.8</v>
      </c>
      <c r="P6" s="75" t="n">
        <v>9.1</v>
      </c>
      <c r="Q6" s="75" t="n">
        <v>2.8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</row>
    <row r="7" spans="2:259" x14ac:dyDescent="0.15">
      <c r="B7" s="16" t="s">
        <v>678</v>
      </c>
      <c r="C7" s="16" t="s">
        <v>690</v>
      </c>
      <c r="D7" s="12" t="s">
        <v>685</v>
      </c>
      <c r="E7" s="79" t="n">
        <v>6.5</v>
      </c>
      <c r="F7" s="79" t="n">
        <v>5.1</v>
      </c>
      <c r="G7" s="79" t="n">
        <v>2.5</v>
      </c>
      <c r="H7" s="79" t="n">
        <v>11.1</v>
      </c>
      <c r="I7" s="79" t="n">
        <v>15.4</v>
      </c>
      <c r="J7" s="79" t="n">
        <v>11.6</v>
      </c>
      <c r="K7" s="79" t="n">
        <v>3.0</v>
      </c>
      <c r="L7" s="82" t="s">
        <v>689</v>
      </c>
      <c r="M7" s="79" t="n">
        <v>9.0</v>
      </c>
      <c r="N7" s="79" t="n">
        <v>7.3</v>
      </c>
      <c r="O7" s="82" t="s">
        <v>689</v>
      </c>
      <c r="P7" s="79" t="n">
        <v>2.5</v>
      </c>
      <c r="Q7" s="82" t="s">
        <v>689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</row>
    <row r="8" spans="2:259" x14ac:dyDescent="0.15">
      <c r="B8" s="16" t="s">
        <v>678</v>
      </c>
      <c r="C8" s="16" t="s">
        <v>691</v>
      </c>
      <c r="D8" s="12" t="s">
        <v>685</v>
      </c>
      <c r="E8" s="83" t="n">
        <v>8.1</v>
      </c>
      <c r="F8" s="83" t="n">
        <v>20.0</v>
      </c>
      <c r="G8" s="83" t="n">
        <v>10.0</v>
      </c>
      <c r="H8" s="83" t="n">
        <v>6.8</v>
      </c>
      <c r="I8" s="83" t="n">
        <v>8.6</v>
      </c>
      <c r="J8" s="83" t="n">
        <v>4.7</v>
      </c>
      <c r="K8" s="83" t="n">
        <v>14.7</v>
      </c>
      <c r="L8" s="83" t="n">
        <v>3.1</v>
      </c>
      <c r="M8" s="83" t="n">
        <v>17.4</v>
      </c>
      <c r="N8" s="86" t="s">
        <v>689</v>
      </c>
      <c r="O8" s="83" t="n">
        <v>17.9</v>
      </c>
      <c r="P8" s="83" t="n">
        <v>9.7</v>
      </c>
      <c r="Q8" s="83" t="n">
        <v>4.7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</row>
    <row r="9" spans="2:259" x14ac:dyDescent="0.15">
      <c r="B9" s="16" t="s">
        <v>678</v>
      </c>
      <c r="C9" s="16" t="s">
        <v>692</v>
      </c>
      <c r="D9" s="12" t="s">
        <v>685</v>
      </c>
      <c r="E9" s="87" t="n">
        <v>3.2</v>
      </c>
      <c r="F9" s="87" t="n">
        <v>7.5</v>
      </c>
      <c r="G9" s="87" t="n">
        <v>10.0</v>
      </c>
      <c r="H9" s="87" t="n">
        <v>2.4</v>
      </c>
      <c r="I9" s="87" t="n">
        <v>6.1</v>
      </c>
      <c r="J9" s="87" t="n">
        <v>8.2</v>
      </c>
      <c r="K9" s="87" t="n">
        <v>3.5</v>
      </c>
      <c r="L9" s="87" t="n">
        <v>12.2</v>
      </c>
      <c r="M9" s="87" t="n">
        <v>5.4</v>
      </c>
      <c r="N9" s="87" t="n">
        <v>5.4</v>
      </c>
      <c r="O9" s="87" t="n">
        <v>6.1</v>
      </c>
      <c r="P9" s="87" t="n">
        <v>4.8</v>
      </c>
      <c r="Q9" s="87" t="n">
        <v>11.7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</row>
    <row r="10" spans="2:259" x14ac:dyDescent="0.15" hidden="true">
      <c r="B10" s="16" t="s">
        <v>160</v>
      </c>
      <c r="C10" s="16"/>
      <c r="D10" s="1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</row>
    <row r="11" spans="2:259" x14ac:dyDescent="0.15" hidden="true">
      <c r="B11" s="16" t="s">
        <v>161</v>
      </c>
      <c r="C11" s="16"/>
      <c r="D11" s="1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</row>
    <row r="12" spans="2:259" x14ac:dyDescent="0.15" hidden="true">
      <c r="B12" s="16" t="s">
        <v>162</v>
      </c>
      <c r="C12" s="16"/>
      <c r="D12" s="1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</row>
    <row r="13" spans="2:259" x14ac:dyDescent="0.15" hidden="true">
      <c r="B13" s="16" t="s">
        <v>163</v>
      </c>
      <c r="C13" s="16"/>
      <c r="D13" s="1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</row>
    <row r="14" spans="2:259" x14ac:dyDescent="0.15" hidden="true">
      <c r="B14" s="16" t="s">
        <v>164</v>
      </c>
      <c r="C14" s="16"/>
      <c r="D14" s="1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</row>
    <row r="15" spans="2:259" x14ac:dyDescent="0.15" hidden="true">
      <c r="B15" s="16" t="s">
        <v>165</v>
      </c>
      <c r="C15" s="16"/>
      <c r="D15" s="1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</row>
    <row r="16" spans="2:259" x14ac:dyDescent="0.15" hidden="true">
      <c r="B16" s="16" t="s">
        <v>166</v>
      </c>
      <c r="C16" s="16"/>
      <c r="D16" s="1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</row>
    <row r="17" spans="2:259" x14ac:dyDescent="0.15" hidden="true">
      <c r="B17" s="16" t="s">
        <v>167</v>
      </c>
      <c r="C17" s="16"/>
      <c r="D17" s="1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</row>
    <row r="18" spans="2:259" x14ac:dyDescent="0.15" hidden="true">
      <c r="B18" s="16" t="s">
        <v>168</v>
      </c>
      <c r="C18" s="16"/>
      <c r="D18" s="1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</row>
    <row r="19" spans="2:259" x14ac:dyDescent="0.15" hidden="true">
      <c r="B19" s="16" t="s">
        <v>169</v>
      </c>
      <c r="C19" s="16"/>
      <c r="D19" s="1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</row>
    <row r="20" spans="2:259" x14ac:dyDescent="0.15" hidden="true">
      <c r="B20" s="16" t="s">
        <v>170</v>
      </c>
      <c r="C20" s="16"/>
      <c r="D20" s="1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</row>
    <row r="21" spans="2:259" x14ac:dyDescent="0.15" hidden="true">
      <c r="B21" s="16" t="s">
        <v>171</v>
      </c>
      <c r="C21" s="16"/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</row>
    <row r="22" spans="2:259" x14ac:dyDescent="0.15" hidden="true">
      <c r="B22" s="16" t="s">
        <v>172</v>
      </c>
      <c r="C22" s="16"/>
      <c r="D22" s="1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</row>
    <row r="23" spans="2:259" x14ac:dyDescent="0.15" hidden="true">
      <c r="B23" s="16" t="s">
        <v>173</v>
      </c>
      <c r="C23" s="16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</row>
    <row r="24" spans="2:259" x14ac:dyDescent="0.15" hidden="true">
      <c r="B24" s="16" t="s">
        <v>174</v>
      </c>
      <c r="C24" s="16"/>
      <c r="D24" s="1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</row>
    <row r="25" spans="2:259" x14ac:dyDescent="0.15" hidden="true">
      <c r="B25" s="16" t="s">
        <v>175</v>
      </c>
      <c r="C25" s="16"/>
      <c r="D25" s="1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</row>
    <row r="26" spans="2:259" x14ac:dyDescent="0.15" hidden="true">
      <c r="B26" s="16" t="s">
        <v>176</v>
      </c>
      <c r="C26" s="16"/>
      <c r="D26" s="1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</row>
    <row r="27" spans="2:259" x14ac:dyDescent="0.15" hidden="true">
      <c r="B27" s="16" t="s">
        <v>177</v>
      </c>
      <c r="C27" s="16"/>
      <c r="D27" s="1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</row>
    <row r="28" spans="2:259" x14ac:dyDescent="0.15" hidden="true">
      <c r="B28" s="16" t="s">
        <v>178</v>
      </c>
      <c r="C28" s="16"/>
      <c r="D28" s="1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</row>
    <row r="29" spans="2:259" x14ac:dyDescent="0.15" hidden="true">
      <c r="B29" s="16" t="s">
        <v>179</v>
      </c>
      <c r="C29" s="16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</row>
    <row r="30" spans="2:259" x14ac:dyDescent="0.15" hidden="true">
      <c r="B30" s="16" t="s">
        <v>180</v>
      </c>
      <c r="C30" s="16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</row>
    <row r="31" spans="2:259" x14ac:dyDescent="0.15" hidden="true">
      <c r="B31" s="16" t="s">
        <v>181</v>
      </c>
      <c r="C31" s="16"/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</row>
    <row r="32" spans="2:259" x14ac:dyDescent="0.15" hidden="true">
      <c r="B32" s="16" t="s">
        <v>182</v>
      </c>
      <c r="C32" s="16"/>
      <c r="D32" s="1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</row>
    <row r="33" spans="2:259" x14ac:dyDescent="0.15" hidden="true">
      <c r="B33" s="16" t="s">
        <v>183</v>
      </c>
      <c r="C33" s="16"/>
      <c r="D33" s="1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</row>
    <row r="34" spans="2:259" x14ac:dyDescent="0.15" hidden="true">
      <c r="B34" s="16" t="s">
        <v>184</v>
      </c>
      <c r="C34" s="16"/>
      <c r="D34" s="1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</row>
    <row r="35" spans="2:259" x14ac:dyDescent="0.15" hidden="true">
      <c r="B35" s="16" t="s">
        <v>185</v>
      </c>
      <c r="C35" s="16"/>
      <c r="D35" s="1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</row>
    <row r="36" spans="2:259" x14ac:dyDescent="0.15" hidden="true">
      <c r="B36" s="16" t="s">
        <v>186</v>
      </c>
      <c r="C36" s="16"/>
      <c r="D36" s="1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</row>
    <row r="37" spans="2:259" x14ac:dyDescent="0.15" hidden="true">
      <c r="B37" s="16" t="s">
        <v>187</v>
      </c>
      <c r="C37" s="16"/>
      <c r="D37" s="1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</row>
    <row r="38" spans="2:259" x14ac:dyDescent="0.15" hidden="true">
      <c r="B38" s="16" t="s">
        <v>188</v>
      </c>
      <c r="C38" s="16"/>
      <c r="D38" s="1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</row>
    <row r="39" spans="2:259" x14ac:dyDescent="0.15" hidden="true">
      <c r="B39" s="16" t="s">
        <v>189</v>
      </c>
      <c r="C39" s="16"/>
      <c r="D39" s="1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</row>
    <row r="40" spans="2:259" x14ac:dyDescent="0.15" hidden="true">
      <c r="B40" s="16" t="s">
        <v>190</v>
      </c>
      <c r="C40" s="16"/>
      <c r="D40" s="1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</row>
    <row r="41" spans="2:259" x14ac:dyDescent="0.15" hidden="true">
      <c r="B41" s="16" t="s">
        <v>191</v>
      </c>
      <c r="C41" s="16"/>
      <c r="D41" s="1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</row>
    <row r="42" spans="2:259" x14ac:dyDescent="0.15" hidden="true">
      <c r="B42" s="16" t="s">
        <v>192</v>
      </c>
      <c r="C42" s="16"/>
      <c r="D42" s="1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</row>
    <row r="43" spans="2:259" x14ac:dyDescent="0.15" hidden="true">
      <c r="B43" s="16" t="s">
        <v>193</v>
      </c>
      <c r="C43" s="16"/>
      <c r="D43" s="1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</row>
    <row r="44" spans="2:259" x14ac:dyDescent="0.15" hidden="true">
      <c r="B44" s="16" t="s">
        <v>194</v>
      </c>
      <c r="C44" s="16"/>
      <c r="D44" s="1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</row>
    <row r="45" spans="2:259" x14ac:dyDescent="0.15" hidden="true">
      <c r="B45" s="16" t="s">
        <v>195</v>
      </c>
      <c r="C45" s="16"/>
      <c r="D45" s="1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</row>
    <row r="46" spans="2:259" x14ac:dyDescent="0.15" hidden="true">
      <c r="B46" s="16" t="s">
        <v>196</v>
      </c>
      <c r="C46" s="16"/>
      <c r="D46" s="12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</row>
    <row r="47" spans="2:259" x14ac:dyDescent="0.15" hidden="true">
      <c r="B47" s="16" t="s">
        <v>197</v>
      </c>
      <c r="C47" s="16"/>
      <c r="D47" s="12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</row>
    <row r="48" spans="2:259" x14ac:dyDescent="0.15" hidden="true">
      <c r="B48" s="16" t="s">
        <v>198</v>
      </c>
      <c r="C48" s="16"/>
      <c r="D48" s="12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</row>
    <row r="49" spans="2:259" x14ac:dyDescent="0.15" hidden="true">
      <c r="B49" s="16" t="s">
        <v>199</v>
      </c>
      <c r="C49" s="16"/>
      <c r="D49" s="12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</row>
    <row r="50" spans="2:259" x14ac:dyDescent="0.15" hidden="true">
      <c r="B50" s="16" t="s">
        <v>200</v>
      </c>
      <c r="C50" s="16"/>
      <c r="D50" s="12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</row>
    <row r="51" spans="2:259" x14ac:dyDescent="0.15" hidden="true">
      <c r="B51" s="16" t="s">
        <v>201</v>
      </c>
      <c r="C51" s="16"/>
      <c r="D51" s="12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</row>
    <row r="52" spans="2:259" x14ac:dyDescent="0.15" hidden="true">
      <c r="B52" s="16" t="s">
        <v>202</v>
      </c>
      <c r="C52" s="16"/>
      <c r="D52" s="12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</row>
    <row r="53" spans="2:259" x14ac:dyDescent="0.15" hidden="true">
      <c r="B53" s="16" t="s">
        <v>203</v>
      </c>
      <c r="C53" s="16"/>
      <c r="D53" s="12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</row>
    <row r="54" spans="2:259" x14ac:dyDescent="0.15" hidden="true">
      <c r="B54" s="16" t="s">
        <v>204</v>
      </c>
      <c r="C54" s="16"/>
      <c r="D54" s="12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</row>
    <row r="55" spans="2:259" x14ac:dyDescent="0.15" hidden="true">
      <c r="B55" s="16" t="s">
        <v>205</v>
      </c>
      <c r="C55" s="16"/>
      <c r="D55" s="12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</row>
    <row r="56" spans="2:259" x14ac:dyDescent="0.15" hidden="true">
      <c r="B56" s="16" t="s">
        <v>206</v>
      </c>
      <c r="C56" s="16"/>
      <c r="D56" s="12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</row>
    <row r="57" spans="2:259" x14ac:dyDescent="0.15" hidden="true">
      <c r="B57" s="16" t="s">
        <v>207</v>
      </c>
      <c r="C57" s="16"/>
      <c r="D57" s="1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</row>
    <row r="58" spans="2:259" x14ac:dyDescent="0.15" hidden="true">
      <c r="B58" s="16" t="s">
        <v>208</v>
      </c>
      <c r="C58" s="16"/>
      <c r="D58" s="12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</row>
    <row r="59" spans="2:259" x14ac:dyDescent="0.15" hidden="true">
      <c r="B59" s="16" t="s">
        <v>209</v>
      </c>
      <c r="C59" s="16"/>
      <c r="D59" s="12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</row>
    <row r="60" spans="2:259" x14ac:dyDescent="0.15" hidden="true">
      <c r="B60" s="16" t="s">
        <v>210</v>
      </c>
      <c r="C60" s="16"/>
      <c r="D60" s="12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</row>
    <row r="61" spans="2:259" x14ac:dyDescent="0.15" hidden="true">
      <c r="B61" s="16" t="s">
        <v>211</v>
      </c>
      <c r="C61" s="16"/>
      <c r="D61" s="12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</row>
    <row r="62" spans="2:259" x14ac:dyDescent="0.15" hidden="true">
      <c r="B62" s="16" t="s">
        <v>212</v>
      </c>
      <c r="C62" s="16"/>
      <c r="D62" s="12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</row>
    <row r="63" spans="2:259" x14ac:dyDescent="0.15" hidden="true">
      <c r="B63" s="16" t="s">
        <v>213</v>
      </c>
      <c r="C63" s="16"/>
      <c r="D63" s="12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</row>
    <row r="64" spans="2:259" x14ac:dyDescent="0.15" hidden="true">
      <c r="B64" s="16" t="s">
        <v>214</v>
      </c>
      <c r="C64" s="16"/>
      <c r="D64" s="12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  <c r="IY64" s="23"/>
    </row>
    <row r="65" spans="2:259" x14ac:dyDescent="0.15" hidden="true">
      <c r="B65" s="16" t="s">
        <v>215</v>
      </c>
      <c r="C65" s="16"/>
      <c r="D65" s="12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</row>
    <row r="66" spans="2:259" x14ac:dyDescent="0.15" hidden="true">
      <c r="B66" s="16" t="s">
        <v>216</v>
      </c>
      <c r="C66" s="16"/>
      <c r="D66" s="1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</row>
    <row r="67" spans="2:259" x14ac:dyDescent="0.15" hidden="true">
      <c r="B67" s="16" t="s">
        <v>217</v>
      </c>
      <c r="C67" s="16"/>
      <c r="D67" s="12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</row>
    <row r="68" spans="2:259" x14ac:dyDescent="0.15" hidden="true">
      <c r="B68" s="16" t="s">
        <v>218</v>
      </c>
      <c r="C68" s="16"/>
      <c r="D68" s="12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</row>
    <row r="69" spans="2:259" x14ac:dyDescent="0.15" hidden="true">
      <c r="B69" s="16" t="s">
        <v>219</v>
      </c>
      <c r="C69" s="16"/>
      <c r="D69" s="12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</row>
    <row r="70" spans="2:259" x14ac:dyDescent="0.15" hidden="true">
      <c r="B70" s="16" t="s">
        <v>220</v>
      </c>
      <c r="C70" s="16"/>
      <c r="D70" s="12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</row>
    <row r="71" spans="2:259" x14ac:dyDescent="0.15" hidden="true">
      <c r="B71" s="16" t="s">
        <v>221</v>
      </c>
      <c r="C71" s="16"/>
      <c r="D71" s="12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</row>
    <row r="72" spans="2:259" x14ac:dyDescent="0.15" hidden="true">
      <c r="B72" s="16" t="s">
        <v>222</v>
      </c>
      <c r="C72" s="16"/>
      <c r="D72" s="12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  <c r="IY72" s="23"/>
    </row>
    <row r="73" spans="2:259" x14ac:dyDescent="0.15" hidden="true">
      <c r="B73" s="16" t="s">
        <v>223</v>
      </c>
      <c r="C73" s="16"/>
      <c r="D73" s="12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</row>
    <row r="74" spans="2:259" x14ac:dyDescent="0.15" hidden="true">
      <c r="B74" s="16" t="s">
        <v>224</v>
      </c>
      <c r="C74" s="16"/>
      <c r="D74" s="12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  <c r="IY74" s="23"/>
    </row>
    <row r="75" spans="2:259" x14ac:dyDescent="0.15" hidden="true">
      <c r="B75" s="16" t="s">
        <v>225</v>
      </c>
      <c r="C75" s="16"/>
      <c r="D75" s="12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</row>
    <row r="76" spans="2:259" x14ac:dyDescent="0.15" hidden="true">
      <c r="B76" s="16" t="s">
        <v>226</v>
      </c>
      <c r="C76" s="16"/>
      <c r="D76" s="12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</row>
    <row r="77" spans="2:259" x14ac:dyDescent="0.15" hidden="true">
      <c r="B77" s="16" t="s">
        <v>227</v>
      </c>
      <c r="C77" s="16"/>
      <c r="D77" s="12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  <c r="IY77" s="23"/>
    </row>
    <row r="78" spans="2:259" x14ac:dyDescent="0.15" hidden="true">
      <c r="B78" s="16" t="s">
        <v>228</v>
      </c>
      <c r="C78" s="16"/>
      <c r="D78" s="12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  <c r="IY78" s="23"/>
    </row>
    <row r="79" spans="2:259" x14ac:dyDescent="0.15" hidden="true">
      <c r="B79" s="16" t="s">
        <v>229</v>
      </c>
      <c r="C79" s="16"/>
      <c r="D79" s="12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</row>
    <row r="80" spans="2:259" x14ac:dyDescent="0.15" hidden="true">
      <c r="B80" s="16" t="s">
        <v>230</v>
      </c>
      <c r="C80" s="16"/>
      <c r="D80" s="12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  <c r="IY80" s="23"/>
    </row>
    <row r="81" spans="2:259" x14ac:dyDescent="0.15" hidden="true">
      <c r="B81" s="16" t="s">
        <v>231</v>
      </c>
      <c r="C81" s="16"/>
      <c r="D81" s="12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</row>
    <row r="82" spans="2:259" x14ac:dyDescent="0.15" hidden="true">
      <c r="B82" s="16" t="s">
        <v>232</v>
      </c>
      <c r="C82" s="16"/>
      <c r="D82" s="12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  <c r="IY82" s="23"/>
    </row>
    <row r="83" spans="2:259" x14ac:dyDescent="0.15" hidden="true">
      <c r="B83" s="16" t="s">
        <v>233</v>
      </c>
      <c r="C83" s="16"/>
      <c r="D83" s="12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  <c r="IY83" s="23"/>
    </row>
    <row r="84" spans="2:259" x14ac:dyDescent="0.15" hidden="true">
      <c r="B84" s="16" t="s">
        <v>234</v>
      </c>
      <c r="C84" s="16"/>
      <c r="D84" s="12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  <c r="IY84" s="23"/>
    </row>
    <row r="85" spans="2:259" x14ac:dyDescent="0.15" hidden="true">
      <c r="B85" s="16" t="s">
        <v>235</v>
      </c>
      <c r="C85" s="16"/>
      <c r="D85" s="1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</row>
    <row r="86" spans="2:259" x14ac:dyDescent="0.15" hidden="true">
      <c r="B86" s="16" t="s">
        <v>236</v>
      </c>
      <c r="C86" s="16"/>
      <c r="D86" s="12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  <c r="IY86" s="23"/>
    </row>
    <row r="87" spans="2:259" x14ac:dyDescent="0.15" hidden="true">
      <c r="B87" s="16" t="s">
        <v>237</v>
      </c>
      <c r="C87" s="16"/>
      <c r="D87" s="12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  <c r="IY87" s="23"/>
    </row>
    <row r="88" spans="2:259" x14ac:dyDescent="0.15" hidden="true">
      <c r="B88" s="16" t="s">
        <v>238</v>
      </c>
      <c r="C88" s="16"/>
      <c r="D88" s="12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  <c r="IY88" s="23"/>
    </row>
    <row r="89" spans="2:259" x14ac:dyDescent="0.15" hidden="true">
      <c r="B89" s="16" t="s">
        <v>239</v>
      </c>
      <c r="C89" s="16"/>
      <c r="D89" s="12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  <c r="IY89" s="23"/>
    </row>
    <row r="90" spans="2:259" x14ac:dyDescent="0.15" hidden="true">
      <c r="B90" s="16" t="s">
        <v>240</v>
      </c>
      <c r="C90" s="16"/>
      <c r="D90" s="12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  <c r="IY90" s="23"/>
    </row>
    <row r="91" spans="2:259" x14ac:dyDescent="0.15" hidden="true">
      <c r="B91" s="16" t="s">
        <v>241</v>
      </c>
      <c r="C91" s="16"/>
      <c r="D91" s="12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  <c r="IY91" s="23"/>
    </row>
    <row r="92" spans="2:259" x14ac:dyDescent="0.15" hidden="true">
      <c r="B92" s="16" t="s">
        <v>242</v>
      </c>
      <c r="C92" s="16"/>
      <c r="D92" s="12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  <c r="IY92" s="23"/>
    </row>
    <row r="93" spans="2:259" x14ac:dyDescent="0.15" hidden="true">
      <c r="B93" s="16" t="s">
        <v>243</v>
      </c>
      <c r="C93" s="16"/>
      <c r="D93" s="12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</row>
    <row r="94" spans="2:259" x14ac:dyDescent="0.15" hidden="true">
      <c r="B94" s="16" t="s">
        <v>244</v>
      </c>
      <c r="C94" s="16"/>
      <c r="D94" s="12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</row>
    <row r="95" spans="2:259" x14ac:dyDescent="0.15" hidden="true">
      <c r="B95" s="16" t="s">
        <v>245</v>
      </c>
      <c r="C95" s="16"/>
      <c r="D95" s="12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</row>
    <row r="96" spans="2:259" x14ac:dyDescent="0.15" hidden="true">
      <c r="B96" s="16" t="s">
        <v>246</v>
      </c>
      <c r="C96" s="16"/>
      <c r="D96" s="12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</row>
    <row r="97" spans="2:259" x14ac:dyDescent="0.15" hidden="true">
      <c r="B97" s="16" t="s">
        <v>247</v>
      </c>
      <c r="C97" s="16"/>
      <c r="D97" s="12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</row>
    <row r="98" spans="2:259" x14ac:dyDescent="0.15" hidden="true">
      <c r="B98" s="16" t="s">
        <v>248</v>
      </c>
      <c r="C98" s="16"/>
      <c r="D98" s="12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</row>
    <row r="99" spans="2:259" x14ac:dyDescent="0.15" hidden="true">
      <c r="B99" s="16" t="s">
        <v>249</v>
      </c>
      <c r="C99" s="16"/>
      <c r="D99" s="12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</row>
    <row r="100" spans="2:259" x14ac:dyDescent="0.15" hidden="true">
      <c r="B100" s="16" t="s">
        <v>250</v>
      </c>
      <c r="C100" s="16"/>
      <c r="D100" s="12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  <c r="IY100" s="23"/>
    </row>
    <row r="101" spans="2:259" x14ac:dyDescent="0.15" hidden="true">
      <c r="B101" s="16" t="s">
        <v>251</v>
      </c>
      <c r="C101" s="16"/>
      <c r="D101" s="12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  <c r="IY101" s="23"/>
    </row>
    <row r="102" spans="2:259" x14ac:dyDescent="0.15" hidden="true">
      <c r="B102" s="16" t="s">
        <v>252</v>
      </c>
      <c r="C102" s="16"/>
      <c r="D102" s="12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  <c r="IY102" s="23"/>
    </row>
    <row r="103" spans="2:259" x14ac:dyDescent="0.15" hidden="true">
      <c r="B103" s="16" t="s">
        <v>253</v>
      </c>
      <c r="C103" s="16"/>
      <c r="D103" s="12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  <c r="IY103" s="23"/>
    </row>
    <row r="104" spans="2:259" x14ac:dyDescent="0.15" hidden="true">
      <c r="B104" s="16" t="s">
        <v>254</v>
      </c>
      <c r="C104" s="16"/>
      <c r="D104" s="12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</row>
    <row r="105" spans="2:259" x14ac:dyDescent="0.15" hidden="true">
      <c r="B105" s="16" t="s">
        <v>255</v>
      </c>
      <c r="C105" s="16"/>
      <c r="D105" s="12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  <c r="IY105" s="23"/>
    </row>
    <row r="106" spans="2:259" x14ac:dyDescent="0.15" hidden="true">
      <c r="B106" s="16" t="s">
        <v>256</v>
      </c>
      <c r="C106" s="16"/>
      <c r="D106" s="12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  <c r="IY106" s="23"/>
    </row>
    <row r="107" spans="2:259" x14ac:dyDescent="0.15" hidden="true">
      <c r="B107" s="16" t="s">
        <v>257</v>
      </c>
      <c r="C107" s="16"/>
      <c r="D107" s="12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</row>
    <row r="108" spans="2:259" x14ac:dyDescent="0.15" hidden="true">
      <c r="B108" s="16" t="s">
        <v>258</v>
      </c>
      <c r="C108" s="16"/>
      <c r="D108" s="12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</row>
    <row r="109" spans="2:259" x14ac:dyDescent="0.15" hidden="true">
      <c r="B109" s="16" t="s">
        <v>259</v>
      </c>
      <c r="C109" s="16"/>
      <c r="D109" s="12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</row>
    <row r="110" spans="2:259" x14ac:dyDescent="0.15" hidden="true">
      <c r="B110" s="16" t="s">
        <v>260</v>
      </c>
      <c r="C110" s="16"/>
      <c r="D110" s="12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</row>
    <row r="111" spans="2:259" x14ac:dyDescent="0.15" hidden="true">
      <c r="B111" s="16" t="s">
        <v>261</v>
      </c>
      <c r="C111" s="16"/>
      <c r="D111" s="12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</row>
    <row r="112" spans="2:259" x14ac:dyDescent="0.15" hidden="true">
      <c r="B112" s="16" t="s">
        <v>262</v>
      </c>
      <c r="C112" s="16"/>
      <c r="D112" s="12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</row>
    <row r="113" spans="2:259" x14ac:dyDescent="0.15" hidden="true">
      <c r="B113" s="16" t="s">
        <v>263</v>
      </c>
      <c r="C113" s="16"/>
      <c r="D113" s="12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</row>
    <row r="114" spans="2:259" x14ac:dyDescent="0.15" hidden="true">
      <c r="B114" s="16" t="s">
        <v>264</v>
      </c>
      <c r="C114" s="16"/>
      <c r="D114" s="12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</row>
    <row r="115" spans="2:259" x14ac:dyDescent="0.15" hidden="true">
      <c r="B115" s="16" t="s">
        <v>265</v>
      </c>
      <c r="C115" s="16"/>
      <c r="D115" s="12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</row>
    <row r="116" spans="2:259" x14ac:dyDescent="0.15" hidden="true">
      <c r="B116" s="16" t="s">
        <v>266</v>
      </c>
      <c r="C116" s="16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  <c r="IY116" s="23"/>
    </row>
    <row r="117" spans="2:259" x14ac:dyDescent="0.15" hidden="true">
      <c r="B117" s="16" t="s">
        <v>267</v>
      </c>
      <c r="C117" s="16"/>
      <c r="D117" s="12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</row>
    <row r="118" spans="2:259" x14ac:dyDescent="0.15" hidden="true">
      <c r="B118" s="16" t="s">
        <v>268</v>
      </c>
      <c r="C118" s="16"/>
      <c r="D118" s="12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</row>
    <row r="119" spans="2:259" x14ac:dyDescent="0.15" hidden="true">
      <c r="B119" s="16" t="s">
        <v>269</v>
      </c>
      <c r="C119" s="16"/>
      <c r="D119" s="12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  <c r="IY119" s="23"/>
    </row>
    <row r="120" spans="2:259" x14ac:dyDescent="0.15" hidden="true">
      <c r="B120" s="16" t="s">
        <v>270</v>
      </c>
      <c r="C120" s="16"/>
      <c r="D120" s="12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</row>
    <row r="121" spans="2:259" x14ac:dyDescent="0.15" hidden="true">
      <c r="B121" s="16" t="s">
        <v>271</v>
      </c>
      <c r="C121" s="16"/>
      <c r="D121" s="12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  <c r="IY121" s="23"/>
    </row>
    <row r="122" spans="2:259" x14ac:dyDescent="0.15" hidden="true">
      <c r="B122" s="16" t="s">
        <v>272</v>
      </c>
      <c r="C122" s="16"/>
      <c r="D122" s="12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  <c r="IY122" s="23"/>
    </row>
    <row r="123" spans="2:259" x14ac:dyDescent="0.15" hidden="true">
      <c r="B123" s="16" t="s">
        <v>273</v>
      </c>
      <c r="C123" s="16"/>
      <c r="D123" s="12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  <c r="IY123" s="23"/>
    </row>
    <row r="124" spans="2:259" x14ac:dyDescent="0.15" hidden="true">
      <c r="B124" s="16" t="s">
        <v>274</v>
      </c>
      <c r="C124" s="16"/>
      <c r="D124" s="12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  <c r="IY124" s="23"/>
    </row>
    <row r="125" spans="2:259" x14ac:dyDescent="0.15" hidden="true">
      <c r="B125" s="16" t="s">
        <v>275</v>
      </c>
      <c r="C125" s="16"/>
      <c r="D125" s="12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</row>
    <row r="126" spans="2:259" x14ac:dyDescent="0.15" hidden="true">
      <c r="B126" s="16" t="s">
        <v>276</v>
      </c>
      <c r="C126" s="16"/>
      <c r="D126" s="12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</row>
    <row r="127" spans="2:259" x14ac:dyDescent="0.15" hidden="true">
      <c r="B127" s="16" t="s">
        <v>277</v>
      </c>
      <c r="C127" s="16"/>
      <c r="D127" s="12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</row>
    <row r="128" spans="2:259" x14ac:dyDescent="0.15" hidden="true">
      <c r="B128" s="16" t="s">
        <v>278</v>
      </c>
      <c r="C128" s="16"/>
      <c r="D128" s="12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</row>
    <row r="129" spans="2:259" x14ac:dyDescent="0.15" hidden="true">
      <c r="B129" s="16" t="s">
        <v>279</v>
      </c>
      <c r="C129" s="16"/>
      <c r="D129" s="12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</row>
    <row r="130" spans="2:259" x14ac:dyDescent="0.15" hidden="true">
      <c r="B130" s="16" t="s">
        <v>280</v>
      </c>
      <c r="C130" s="16"/>
      <c r="D130" s="12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</row>
    <row r="131" spans="2:259" x14ac:dyDescent="0.15" hidden="true">
      <c r="B131" s="16" t="s">
        <v>281</v>
      </c>
      <c r="C131" s="16"/>
      <c r="D131" s="12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</row>
    <row r="132" spans="2:259" x14ac:dyDescent="0.15" hidden="true">
      <c r="B132" s="16" t="s">
        <v>282</v>
      </c>
      <c r="C132" s="16"/>
      <c r="D132" s="12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</row>
    <row r="133" spans="2:259" x14ac:dyDescent="0.15" hidden="true">
      <c r="B133" s="16" t="s">
        <v>283</v>
      </c>
      <c r="C133" s="16"/>
      <c r="D133" s="12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</row>
    <row r="134" spans="2:259" x14ac:dyDescent="0.15" hidden="true">
      <c r="B134" s="16" t="s">
        <v>284</v>
      </c>
      <c r="C134" s="16"/>
      <c r="D134" s="12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</row>
    <row r="135" spans="2:259" x14ac:dyDescent="0.15" hidden="true">
      <c r="B135" s="16" t="s">
        <v>285</v>
      </c>
      <c r="C135" s="16"/>
      <c r="D135" s="12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</row>
    <row r="136" spans="2:259" x14ac:dyDescent="0.15" hidden="true">
      <c r="B136" s="16" t="s">
        <v>286</v>
      </c>
      <c r="C136" s="16"/>
      <c r="D136" s="12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</row>
    <row r="137" spans="2:259" x14ac:dyDescent="0.15" hidden="true">
      <c r="B137" s="16" t="s">
        <v>287</v>
      </c>
      <c r="C137" s="16"/>
      <c r="D137" s="12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</row>
    <row r="138" spans="2:259" x14ac:dyDescent="0.15" hidden="true">
      <c r="B138" s="16" t="s">
        <v>288</v>
      </c>
      <c r="C138" s="16"/>
      <c r="D138" s="12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</row>
    <row r="139" spans="2:259" x14ac:dyDescent="0.15" hidden="true">
      <c r="B139" s="16" t="s">
        <v>289</v>
      </c>
      <c r="C139" s="16"/>
      <c r="D139" s="12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</row>
    <row r="140" spans="2:259" x14ac:dyDescent="0.15" hidden="true">
      <c r="B140" s="16" t="s">
        <v>290</v>
      </c>
      <c r="C140" s="16"/>
      <c r="D140" s="12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</row>
    <row r="141" spans="2:259" x14ac:dyDescent="0.15" hidden="true">
      <c r="B141" s="16" t="s">
        <v>291</v>
      </c>
      <c r="C141" s="16"/>
      <c r="D141" s="12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</row>
    <row r="142" spans="2:259" x14ac:dyDescent="0.15" hidden="true">
      <c r="B142" s="16" t="s">
        <v>292</v>
      </c>
      <c r="C142" s="16"/>
      <c r="D142" s="12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</row>
    <row r="143" spans="2:259" x14ac:dyDescent="0.15" hidden="true">
      <c r="B143" s="16" t="s">
        <v>293</v>
      </c>
      <c r="C143" s="16"/>
      <c r="D143" s="12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</row>
    <row r="144" spans="2:259" x14ac:dyDescent="0.15" hidden="true">
      <c r="B144" s="16" t="s">
        <v>294</v>
      </c>
      <c r="C144" s="16"/>
      <c r="D144" s="12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</row>
    <row r="145" spans="2:259" x14ac:dyDescent="0.15" hidden="true">
      <c r="B145" s="16" t="s">
        <v>295</v>
      </c>
      <c r="C145" s="16"/>
      <c r="D145" s="12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</row>
    <row r="146" spans="2:259" x14ac:dyDescent="0.15" hidden="true">
      <c r="B146" s="16" t="s">
        <v>296</v>
      </c>
      <c r="C146" s="16"/>
      <c r="D146" s="12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</row>
    <row r="147" spans="2:259" x14ac:dyDescent="0.15" hidden="true">
      <c r="B147" s="16" t="s">
        <v>297</v>
      </c>
      <c r="C147" s="16"/>
      <c r="D147" s="12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</row>
    <row r="148" spans="2:259" x14ac:dyDescent="0.15" hidden="true">
      <c r="B148" s="16" t="s">
        <v>298</v>
      </c>
      <c r="C148" s="16"/>
      <c r="D148" s="12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</row>
    <row r="149" spans="2:259" x14ac:dyDescent="0.15" hidden="true">
      <c r="B149" s="16" t="s">
        <v>299</v>
      </c>
      <c r="C149" s="16"/>
      <c r="D149" s="12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</row>
    <row r="150" spans="2:259" x14ac:dyDescent="0.15" hidden="true">
      <c r="B150" s="16" t="s">
        <v>300</v>
      </c>
      <c r="C150" s="16"/>
      <c r="D150" s="12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</row>
    <row r="151" spans="2:259" x14ac:dyDescent="0.15" hidden="true">
      <c r="B151" s="16" t="s">
        <v>301</v>
      </c>
      <c r="C151" s="16"/>
      <c r="D151" s="12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</row>
    <row r="152" spans="2:259" x14ac:dyDescent="0.15" hidden="true">
      <c r="B152" s="16" t="s">
        <v>302</v>
      </c>
      <c r="C152" s="16"/>
      <c r="D152" s="12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</row>
    <row r="153" spans="2:259" x14ac:dyDescent="0.15" hidden="true">
      <c r="B153" s="16" t="s">
        <v>303</v>
      </c>
      <c r="C153" s="16"/>
      <c r="D153" s="12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</row>
    <row r="154" spans="2:259" x14ac:dyDescent="0.15" hidden="true">
      <c r="B154" s="16" t="s">
        <v>304</v>
      </c>
      <c r="C154" s="16"/>
      <c r="D154" s="12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</row>
    <row r="155" spans="2:259" x14ac:dyDescent="0.15" hidden="true">
      <c r="B155" s="16" t="s">
        <v>305</v>
      </c>
      <c r="C155" s="16"/>
      <c r="D155" s="12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</row>
    <row r="156" spans="2:259" x14ac:dyDescent="0.15" hidden="true">
      <c r="B156" s="16" t="s">
        <v>306</v>
      </c>
      <c r="C156" s="16"/>
      <c r="D156" s="12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</row>
    <row r="157" spans="2:259" x14ac:dyDescent="0.15" hidden="true">
      <c r="B157" s="16" t="s">
        <v>307</v>
      </c>
      <c r="C157" s="16"/>
      <c r="D157" s="12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</row>
    <row r="158" spans="2:259" x14ac:dyDescent="0.15" hidden="true">
      <c r="B158" s="16" t="s">
        <v>308</v>
      </c>
      <c r="C158" s="16"/>
      <c r="D158" s="12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</row>
    <row r="159" spans="2:259" x14ac:dyDescent="0.15" hidden="true">
      <c r="B159" s="16" t="s">
        <v>309</v>
      </c>
      <c r="C159" s="16"/>
      <c r="D159" s="12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</row>
    <row r="160" spans="2:259" x14ac:dyDescent="0.15" hidden="true">
      <c r="B160" s="16" t="s">
        <v>310</v>
      </c>
      <c r="C160" s="16"/>
      <c r="D160" s="12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</row>
    <row r="161" spans="2:259" x14ac:dyDescent="0.15" hidden="true">
      <c r="B161" s="16" t="s">
        <v>311</v>
      </c>
      <c r="C161" s="16"/>
      <c r="D161" s="12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</row>
    <row r="162" spans="2:259" x14ac:dyDescent="0.15" hidden="true">
      <c r="B162" s="16" t="s">
        <v>312</v>
      </c>
      <c r="C162" s="16"/>
      <c r="D162" s="12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</row>
    <row r="163" spans="2:259" x14ac:dyDescent="0.15" hidden="true">
      <c r="B163" s="16" t="s">
        <v>313</v>
      </c>
      <c r="C163" s="16"/>
      <c r="D163" s="12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</row>
    <row r="164" spans="2:259" x14ac:dyDescent="0.15" hidden="true">
      <c r="B164" s="16" t="s">
        <v>314</v>
      </c>
      <c r="C164" s="16"/>
      <c r="D164" s="12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</row>
    <row r="165" spans="2:259" x14ac:dyDescent="0.15" hidden="true">
      <c r="B165" s="16" t="s">
        <v>315</v>
      </c>
      <c r="C165" s="16"/>
      <c r="D165" s="12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</row>
    <row r="166" spans="2:259" x14ac:dyDescent="0.15" hidden="true">
      <c r="B166" s="16" t="s">
        <v>316</v>
      </c>
      <c r="C166" s="16"/>
      <c r="D166" s="12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</row>
    <row r="167" spans="2:259" x14ac:dyDescent="0.15" hidden="true">
      <c r="B167" s="16" t="s">
        <v>317</v>
      </c>
      <c r="C167" s="16"/>
      <c r="D167" s="12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</row>
    <row r="168" spans="2:259" x14ac:dyDescent="0.15" hidden="true">
      <c r="B168" s="16" t="s">
        <v>318</v>
      </c>
      <c r="C168" s="16"/>
      <c r="D168" s="12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</row>
    <row r="169" spans="2:259" x14ac:dyDescent="0.15" hidden="true">
      <c r="B169" s="16" t="s">
        <v>319</v>
      </c>
      <c r="C169" s="16"/>
      <c r="D169" s="12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</row>
    <row r="170" spans="2:259" x14ac:dyDescent="0.15" hidden="true">
      <c r="B170" s="16" t="s">
        <v>320</v>
      </c>
      <c r="C170" s="16"/>
      <c r="D170" s="12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</row>
    <row r="171" spans="2:259" x14ac:dyDescent="0.15" hidden="true">
      <c r="B171" s="16" t="s">
        <v>321</v>
      </c>
      <c r="C171" s="16"/>
      <c r="D171" s="12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</row>
    <row r="172" spans="2:259" x14ac:dyDescent="0.15" hidden="true">
      <c r="B172" s="16" t="s">
        <v>322</v>
      </c>
      <c r="C172" s="16"/>
      <c r="D172" s="12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</row>
    <row r="173" spans="2:259" x14ac:dyDescent="0.15" hidden="true">
      <c r="B173" s="16" t="s">
        <v>323</v>
      </c>
      <c r="C173" s="16"/>
      <c r="D173" s="12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</row>
    <row r="174" spans="2:259" x14ac:dyDescent="0.15" hidden="true">
      <c r="B174" s="16" t="s">
        <v>324</v>
      </c>
      <c r="C174" s="16"/>
      <c r="D174" s="12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</row>
    <row r="175" spans="2:259" x14ac:dyDescent="0.15" hidden="true">
      <c r="B175" s="16" t="s">
        <v>325</v>
      </c>
      <c r="C175" s="16"/>
      <c r="D175" s="12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</row>
    <row r="176" spans="2:259" x14ac:dyDescent="0.15" hidden="true">
      <c r="B176" s="16" t="s">
        <v>326</v>
      </c>
      <c r="C176" s="16"/>
      <c r="D176" s="12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</row>
    <row r="177" spans="2:259" x14ac:dyDescent="0.15" hidden="true">
      <c r="B177" s="16" t="s">
        <v>327</v>
      </c>
      <c r="C177" s="16"/>
      <c r="D177" s="12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</row>
    <row r="178" spans="2:259" x14ac:dyDescent="0.15" hidden="true">
      <c r="B178" s="16" t="s">
        <v>328</v>
      </c>
      <c r="C178" s="16"/>
      <c r="D178" s="12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</row>
    <row r="179" spans="2:259" x14ac:dyDescent="0.15" hidden="true">
      <c r="B179" s="16" t="s">
        <v>329</v>
      </c>
      <c r="C179" s="16"/>
      <c r="D179" s="12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</row>
    <row r="180" spans="2:259" x14ac:dyDescent="0.15" hidden="true">
      <c r="B180" s="16" t="s">
        <v>330</v>
      </c>
      <c r="C180" s="16"/>
      <c r="D180" s="12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</row>
    <row r="181" spans="2:259" x14ac:dyDescent="0.15" hidden="true">
      <c r="B181" s="16" t="s">
        <v>331</v>
      </c>
      <c r="C181" s="16"/>
      <c r="D181" s="12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</row>
    <row r="182" spans="2:259" x14ac:dyDescent="0.15" hidden="true">
      <c r="B182" s="16" t="s">
        <v>332</v>
      </c>
      <c r="C182" s="16"/>
      <c r="D182" s="12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</row>
    <row r="183" spans="2:259" x14ac:dyDescent="0.15" hidden="true">
      <c r="B183" s="16" t="s">
        <v>333</v>
      </c>
      <c r="C183" s="16"/>
      <c r="D183" s="12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</row>
    <row r="184" spans="2:259" x14ac:dyDescent="0.15" hidden="true">
      <c r="B184" s="16" t="s">
        <v>334</v>
      </c>
      <c r="C184" s="16"/>
      <c r="D184" s="12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</row>
    <row r="185" spans="2:259" x14ac:dyDescent="0.15" hidden="true">
      <c r="B185" s="16" t="s">
        <v>335</v>
      </c>
      <c r="C185" s="16"/>
      <c r="D185" s="12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</row>
    <row r="186" spans="2:259" x14ac:dyDescent="0.15" hidden="true">
      <c r="B186" s="16" t="s">
        <v>336</v>
      </c>
      <c r="C186" s="16"/>
      <c r="D186" s="12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</row>
    <row r="187" spans="2:259" x14ac:dyDescent="0.15" hidden="true">
      <c r="B187" s="16" t="s">
        <v>337</v>
      </c>
      <c r="C187" s="16"/>
      <c r="D187" s="12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</row>
    <row r="188" spans="2:259" x14ac:dyDescent="0.15" hidden="true">
      <c r="B188" s="16" t="s">
        <v>338</v>
      </c>
      <c r="C188" s="16"/>
      <c r="D188" s="12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</row>
    <row r="189" spans="2:259" x14ac:dyDescent="0.15" hidden="true">
      <c r="B189" s="16" t="s">
        <v>339</v>
      </c>
      <c r="C189" s="16"/>
      <c r="D189" s="12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</row>
    <row r="190" spans="2:259" x14ac:dyDescent="0.15" hidden="true">
      <c r="B190" s="16" t="s">
        <v>340</v>
      </c>
      <c r="C190" s="16"/>
      <c r="D190" s="12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</row>
    <row r="191" spans="2:259" x14ac:dyDescent="0.15" hidden="true">
      <c r="B191" s="16" t="s">
        <v>341</v>
      </c>
      <c r="C191" s="16"/>
      <c r="D191" s="12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</row>
    <row r="192" spans="2:259" x14ac:dyDescent="0.15" hidden="true">
      <c r="B192" s="16" t="s">
        <v>342</v>
      </c>
      <c r="C192" s="16"/>
      <c r="D192" s="12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</row>
    <row r="193" spans="2:259" x14ac:dyDescent="0.15" hidden="true">
      <c r="B193" s="16" t="s">
        <v>343</v>
      </c>
      <c r="C193" s="16"/>
      <c r="D193" s="12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</row>
    <row r="194" spans="2:259" x14ac:dyDescent="0.15" hidden="true">
      <c r="B194" s="16" t="s">
        <v>344</v>
      </c>
      <c r="C194" s="16"/>
      <c r="D194" s="12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</row>
    <row r="195" spans="2:259" x14ac:dyDescent="0.15" hidden="true">
      <c r="B195" s="16" t="s">
        <v>345</v>
      </c>
      <c r="C195" s="16"/>
      <c r="D195" s="12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</row>
    <row r="196" spans="2:259" x14ac:dyDescent="0.15" hidden="true">
      <c r="B196" s="16" t="s">
        <v>346</v>
      </c>
      <c r="C196" s="16"/>
      <c r="D196" s="12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</row>
    <row r="197" spans="2:259" x14ac:dyDescent="0.15" hidden="true">
      <c r="B197" s="16" t="s">
        <v>347</v>
      </c>
      <c r="C197" s="16"/>
      <c r="D197" s="12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</row>
    <row r="198" spans="2:259" x14ac:dyDescent="0.15" hidden="true">
      <c r="B198" s="16" t="s">
        <v>348</v>
      </c>
      <c r="C198" s="16"/>
      <c r="D198" s="12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</row>
    <row r="199" spans="2:259" x14ac:dyDescent="0.15" hidden="true">
      <c r="B199" s="16" t="s">
        <v>349</v>
      </c>
      <c r="C199" s="16"/>
      <c r="D199" s="12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</row>
    <row r="200" spans="2:259" x14ac:dyDescent="0.15" hidden="true">
      <c r="B200" s="16" t="s">
        <v>350</v>
      </c>
      <c r="C200" s="16"/>
      <c r="D200" s="12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</row>
    <row r="201" spans="2:259" x14ac:dyDescent="0.15" hidden="true">
      <c r="B201" s="16" t="s">
        <v>351</v>
      </c>
      <c r="C201" s="16"/>
      <c r="D201" s="12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</row>
    <row r="202" spans="2:259" x14ac:dyDescent="0.15" hidden="true">
      <c r="B202" s="16" t="s">
        <v>352</v>
      </c>
      <c r="C202" s="16"/>
      <c r="D202" s="12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</row>
    <row r="203" spans="2:259" x14ac:dyDescent="0.15" hidden="true">
      <c r="B203" s="16" t="s">
        <v>353</v>
      </c>
      <c r="C203" s="16"/>
      <c r="D203" s="12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</row>
    <row r="204" spans="2:259" x14ac:dyDescent="0.15" hidden="true">
      <c r="B204" s="16" t="s">
        <v>354</v>
      </c>
      <c r="C204" s="16"/>
      <c r="D204" s="12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</row>
    <row r="205" spans="2:259" x14ac:dyDescent="0.15" hidden="true">
      <c r="B205" s="16" t="s">
        <v>355</v>
      </c>
      <c r="C205" s="16"/>
      <c r="D205" s="12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</row>
    <row r="206" spans="2:259" x14ac:dyDescent="0.15" hidden="true">
      <c r="B206" s="16" t="s">
        <v>356</v>
      </c>
      <c r="C206" s="16"/>
      <c r="D206" s="12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</row>
    <row r="207" spans="2:259" x14ac:dyDescent="0.15" hidden="true">
      <c r="B207" s="16" t="s">
        <v>357</v>
      </c>
      <c r="C207" s="16"/>
      <c r="D207" s="12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</row>
    <row r="208" spans="2:259" x14ac:dyDescent="0.15" hidden="true">
      <c r="B208" s="16" t="s">
        <v>358</v>
      </c>
      <c r="C208" s="16"/>
      <c r="D208" s="12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</row>
    <row r="209" spans="2:259" x14ac:dyDescent="0.15" hidden="true">
      <c r="B209" s="16" t="s">
        <v>359</v>
      </c>
      <c r="C209" s="16"/>
      <c r="D209" s="12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</row>
    <row r="210" spans="2:259" x14ac:dyDescent="0.15" hidden="true">
      <c r="B210" s="16" t="s">
        <v>360</v>
      </c>
      <c r="C210" s="16"/>
      <c r="D210" s="12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</row>
    <row r="211" spans="2:259" x14ac:dyDescent="0.15" hidden="true">
      <c r="B211" s="16" t="s">
        <v>361</v>
      </c>
      <c r="C211" s="16"/>
      <c r="D211" s="12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</row>
    <row r="212" spans="2:259" x14ac:dyDescent="0.15" hidden="true">
      <c r="B212" s="16" t="s">
        <v>362</v>
      </c>
      <c r="C212" s="16"/>
      <c r="D212" s="12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</row>
    <row r="213" spans="2:259" x14ac:dyDescent="0.15" hidden="true">
      <c r="B213" s="16" t="s">
        <v>363</v>
      </c>
      <c r="C213" s="16"/>
      <c r="D213" s="12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</row>
    <row r="214" spans="2:259" x14ac:dyDescent="0.15" hidden="true">
      <c r="B214" s="16" t="s">
        <v>364</v>
      </c>
      <c r="C214" s="16"/>
      <c r="D214" s="12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</row>
    <row r="215" spans="2:259" x14ac:dyDescent="0.15" hidden="true">
      <c r="B215" s="16" t="s">
        <v>365</v>
      </c>
      <c r="C215" s="16"/>
      <c r="D215" s="12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</row>
    <row r="216" spans="2:259" x14ac:dyDescent="0.15" hidden="true">
      <c r="B216" s="16" t="s">
        <v>366</v>
      </c>
      <c r="C216" s="16"/>
      <c r="D216" s="12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</row>
    <row r="217" spans="2:259" x14ac:dyDescent="0.15" hidden="true">
      <c r="B217" s="16" t="s">
        <v>367</v>
      </c>
      <c r="C217" s="16"/>
      <c r="D217" s="12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</row>
    <row r="218" spans="2:259" x14ac:dyDescent="0.15" hidden="true">
      <c r="B218" s="16" t="s">
        <v>368</v>
      </c>
      <c r="C218" s="16"/>
      <c r="D218" s="12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</row>
    <row r="219" spans="2:259" x14ac:dyDescent="0.15" hidden="true">
      <c r="B219" s="16" t="s">
        <v>369</v>
      </c>
      <c r="C219" s="16"/>
      <c r="D219" s="12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</row>
    <row r="220" spans="2:259" x14ac:dyDescent="0.15" hidden="true">
      <c r="B220" s="16" t="s">
        <v>370</v>
      </c>
      <c r="C220" s="16"/>
      <c r="D220" s="12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</row>
    <row r="221" spans="2:259" x14ac:dyDescent="0.15" hidden="true">
      <c r="B221" s="16" t="s">
        <v>371</v>
      </c>
      <c r="C221" s="16"/>
      <c r="D221" s="12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</row>
    <row r="222" spans="2:259" x14ac:dyDescent="0.15" hidden="true">
      <c r="B222" s="16" t="s">
        <v>372</v>
      </c>
      <c r="C222" s="16"/>
      <c r="D222" s="12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</row>
    <row r="223" spans="2:259" x14ac:dyDescent="0.15" hidden="true">
      <c r="B223" s="16" t="s">
        <v>373</v>
      </c>
      <c r="C223" s="16"/>
      <c r="D223" s="12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</row>
    <row r="224" spans="2:259" x14ac:dyDescent="0.15" hidden="true">
      <c r="B224" s="16" t="s">
        <v>374</v>
      </c>
      <c r="C224" s="16"/>
      <c r="D224" s="12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</row>
    <row r="225" spans="2:259" x14ac:dyDescent="0.15" hidden="true">
      <c r="B225" s="16" t="s">
        <v>375</v>
      </c>
      <c r="C225" s="16"/>
      <c r="D225" s="12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</row>
    <row r="226" spans="2:259" x14ac:dyDescent="0.15" hidden="true">
      <c r="B226" s="16" t="s">
        <v>376</v>
      </c>
      <c r="C226" s="16"/>
      <c r="D226" s="12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</row>
    <row r="227" spans="2:259" x14ac:dyDescent="0.15" hidden="true">
      <c r="B227" s="16" t="s">
        <v>377</v>
      </c>
      <c r="C227" s="16"/>
      <c r="D227" s="12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</row>
    <row r="228" spans="2:259" x14ac:dyDescent="0.15" hidden="true">
      <c r="B228" s="16" t="s">
        <v>378</v>
      </c>
      <c r="C228" s="16"/>
      <c r="D228" s="12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</row>
    <row r="229" spans="2:259" x14ac:dyDescent="0.15" hidden="true">
      <c r="B229" s="16" t="s">
        <v>379</v>
      </c>
      <c r="C229" s="16"/>
      <c r="D229" s="12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</row>
    <row r="230" spans="2:259" x14ac:dyDescent="0.15" hidden="true">
      <c r="B230" s="16" t="s">
        <v>380</v>
      </c>
      <c r="C230" s="16"/>
      <c r="D230" s="12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</row>
    <row r="231" spans="2:259" x14ac:dyDescent="0.15" hidden="true">
      <c r="B231" s="16" t="s">
        <v>381</v>
      </c>
      <c r="C231" s="16"/>
      <c r="D231" s="12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</row>
    <row r="232" spans="2:259" x14ac:dyDescent="0.15" hidden="true">
      <c r="B232" s="16" t="s">
        <v>382</v>
      </c>
      <c r="C232" s="16"/>
      <c r="D232" s="12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</row>
    <row r="233" spans="2:259" x14ac:dyDescent="0.15" hidden="true">
      <c r="B233" s="16" t="s">
        <v>383</v>
      </c>
      <c r="C233" s="16"/>
      <c r="D233" s="12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</row>
    <row r="234" spans="2:259" x14ac:dyDescent="0.15" hidden="true">
      <c r="B234" s="16" t="s">
        <v>384</v>
      </c>
      <c r="C234" s="16"/>
      <c r="D234" s="12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</row>
    <row r="235" spans="2:259" x14ac:dyDescent="0.15" hidden="true">
      <c r="B235" s="16" t="s">
        <v>385</v>
      </c>
      <c r="C235" s="16"/>
      <c r="D235" s="12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</row>
    <row r="236" spans="2:259" x14ac:dyDescent="0.15" hidden="true">
      <c r="B236" s="16" t="s">
        <v>386</v>
      </c>
      <c r="C236" s="16"/>
      <c r="D236" s="12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</row>
    <row r="237" spans="2:259" x14ac:dyDescent="0.15" hidden="true">
      <c r="B237" s="16" t="s">
        <v>387</v>
      </c>
      <c r="C237" s="16"/>
      <c r="D237" s="12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</row>
    <row r="238" spans="2:259" x14ac:dyDescent="0.15" hidden="true">
      <c r="B238" s="16" t="s">
        <v>388</v>
      </c>
      <c r="C238" s="16"/>
      <c r="D238" s="12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</row>
    <row r="239" spans="2:259" x14ac:dyDescent="0.15" hidden="true">
      <c r="B239" s="16" t="s">
        <v>389</v>
      </c>
      <c r="C239" s="16"/>
      <c r="D239" s="12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</row>
    <row r="240" spans="2:259" x14ac:dyDescent="0.15" hidden="true">
      <c r="B240" s="16" t="s">
        <v>390</v>
      </c>
      <c r="C240" s="16"/>
      <c r="D240" s="12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</row>
    <row r="241" spans="2:259" x14ac:dyDescent="0.15" hidden="true">
      <c r="B241" s="16" t="s">
        <v>391</v>
      </c>
      <c r="C241" s="16"/>
      <c r="D241" s="12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</row>
    <row r="242" spans="2:259" x14ac:dyDescent="0.15" hidden="true">
      <c r="B242" s="16" t="s">
        <v>392</v>
      </c>
      <c r="C242" s="16"/>
      <c r="D242" s="12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</row>
    <row r="243" spans="2:259" x14ac:dyDescent="0.15" hidden="true">
      <c r="B243" s="16" t="s">
        <v>393</v>
      </c>
      <c r="C243" s="16"/>
      <c r="D243" s="12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</row>
    <row r="244" spans="2:259" x14ac:dyDescent="0.15" hidden="true">
      <c r="B244" s="16" t="s">
        <v>394</v>
      </c>
      <c r="C244" s="16"/>
      <c r="D244" s="12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</row>
    <row r="245" spans="2:259" x14ac:dyDescent="0.15" hidden="true">
      <c r="B245" s="16" t="s">
        <v>395</v>
      </c>
      <c r="C245" s="16"/>
      <c r="D245" s="12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</row>
    <row r="246" spans="2:259" x14ac:dyDescent="0.15" hidden="true">
      <c r="B246" s="16" t="s">
        <v>396</v>
      </c>
      <c r="C246" s="16"/>
      <c r="D246" s="12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</row>
    <row r="247" spans="2:259" x14ac:dyDescent="0.15" hidden="true">
      <c r="B247" s="16" t="s">
        <v>397</v>
      </c>
      <c r="C247" s="16"/>
      <c r="D247" s="12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</row>
    <row r="248" spans="2:259" x14ac:dyDescent="0.15" hidden="true">
      <c r="B248" s="16" t="s">
        <v>398</v>
      </c>
      <c r="C248" s="16"/>
      <c r="D248" s="12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</row>
    <row r="249" spans="2:259" x14ac:dyDescent="0.15" hidden="true">
      <c r="B249" s="16" t="s">
        <v>399</v>
      </c>
      <c r="C249" s="16"/>
      <c r="D249" s="12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</row>
    <row r="250" spans="2:259" x14ac:dyDescent="0.15" hidden="true">
      <c r="B250" s="16" t="s">
        <v>400</v>
      </c>
      <c r="C250" s="16"/>
      <c r="D250" s="12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</row>
    <row r="251" spans="2:259" x14ac:dyDescent="0.15" hidden="true">
      <c r="B251" s="16" t="s">
        <v>401</v>
      </c>
      <c r="C251" s="16"/>
      <c r="D251" s="12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</row>
    <row r="252" spans="2:259" x14ac:dyDescent="0.15" hidden="true">
      <c r="B252" s="16" t="s">
        <v>402</v>
      </c>
      <c r="C252" s="16"/>
      <c r="D252" s="12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</row>
    <row r="253" spans="2:259" x14ac:dyDescent="0.15" hidden="true">
      <c r="B253" s="16" t="s">
        <v>403</v>
      </c>
      <c r="C253" s="16"/>
      <c r="D253" s="12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</row>
    <row r="254" spans="2:259" x14ac:dyDescent="0.15" hidden="true">
      <c r="B254" s="16" t="s">
        <v>404</v>
      </c>
      <c r="C254" s="16"/>
      <c r="D254" s="12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</row>
    <row r="255" spans="2:259" x14ac:dyDescent="0.15" hidden="true">
      <c r="B255" s="16" t="s">
        <v>405</v>
      </c>
      <c r="C255" s="16"/>
      <c r="D255" s="12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</row>
    <row r="256" spans="2:259" x14ac:dyDescent="0.15" hidden="true">
      <c r="B256" s="16" t="s">
        <v>406</v>
      </c>
      <c r="C256" s="16"/>
      <c r="D256" s="12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</row>
    <row r="257" spans="2:259" x14ac:dyDescent="0.15" hidden="true">
      <c r="B257" s="16" t="s">
        <v>407</v>
      </c>
      <c r="C257" s="16"/>
      <c r="D257" s="12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</row>
    <row r="258" spans="2:259" x14ac:dyDescent="0.15">
      <c r="B258" s="20"/>
      <c r="C258" s="20"/>
      <c r="D258" s="2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x14ac:dyDescent="0.15">
      <c r="B259" s="20" t="str">
        <f>"  "&amp;'グラフ設定（時系列）'!L2</f>
        <v xml:space="preserve">  </v>
      </c>
      <c r="C259" s="20"/>
      <c r="D259" s="21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</row>
    <row r="260" spans="2:259" x14ac:dyDescent="0.15">
      <c r="B260" s="24" t="str">
        <f>'グラフ設定（時系列）'!B2</f>
        <v>（注目する地域）北塩原村</v>
      </c>
      <c r="C260" s="24"/>
      <c r="D260" s="24"/>
      <c r="E260" s="24"/>
      <c r="F260" s="24"/>
      <c r="G260" s="24"/>
      <c r="H260" s="24"/>
      <c r="I260" s="24"/>
      <c r="J260" s="24"/>
    </row>
    <row r="261" spans="2:259" ht="60.75" customHeight="1" x14ac:dyDescent="0.15">
      <c r="B261" s="26" t="str">
        <f>'グラフ設定（時系列）'!J2</f>
        <v>（出典）厚生労働省「介護保険総合データベース」（令和7年9月10日時点データにて集計）および厚生労働省「介護保険事業状況報告」年報（令和6年度のみ「介護保険事業状況報告」月報）および総務省「住民基本台帳人口・世帯数」　※本指標は自治体向けのため取り扱いに注意してください。</v>
      </c>
      <c r="C261" s="26"/>
      <c r="D261" s="26"/>
      <c r="E261" s="26"/>
      <c r="F261" s="26"/>
      <c r="G261" s="26"/>
      <c r="H261" s="26"/>
      <c r="I261" s="26"/>
      <c r="J261" s="26"/>
    </row>
    <row r="269" spans="2:259" x14ac:dyDescent="0.15">
      <c r="B269" s="14"/>
      <c r="C269" s="14"/>
      <c r="D269" s="14"/>
      <c r="E269" s="9"/>
      <c r="F269" s="10"/>
      <c r="G269" s="10"/>
      <c r="H269" s="10"/>
      <c r="I269" s="10"/>
      <c r="J269" s="10"/>
    </row>
    <row r="270" spans="2:259" ht="16.5" customHeight="1" x14ac:dyDescent="0.15"/>
  </sheetData>
  <mergeCells count="2">
    <mergeCell ref="B260:J260"/>
    <mergeCell ref="B261:J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2015-09-18T02:01:53Z</dcterms:created>
  <dcterms:modified xsi:type="dcterms:W3CDTF">2022-08-19T08:19:49Z</dcterms:modified>
</cp:coreProperties>
</file>