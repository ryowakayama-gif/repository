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<sst xmlns="http://schemas.openxmlformats.org/spreadsheetml/2006/main" count="1074" uniqueCount="891">
  <si>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</si>
  <si>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</si>
  <si>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</si>
  <si>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</si>
  <si>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</si>
  <si>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</si>
  <si>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</si>
  <si>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</si>
  <si>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</si>
  <si>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</si>
  <si>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</si>
  <si>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</si>
  <si>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</si>
  <si>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</si>
  <si>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</si>
  <si>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</si>
  <si>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</si>
  <si>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</si>
  <si>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</si>
  <si>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</si>
  <si>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</si>
  <si>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</si>
  <si>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</si>
  <si>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</si>
  <si>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</si>
  <si>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</si>
  <si>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</si>
  <si>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</si>
  <si>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</si>
  <si>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</si>
  <si>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</si>
  <si>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</si>
  <si>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</si>
  <si>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</si>
  <si>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</si>
  <si>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</si>
  <si>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</si>
  <si>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</si>
  <si>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</si>
  <si>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</si>
  <si>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</si>
  <si>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</si>
  <si>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</si>
  <si>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</si>
  <si>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</si>
  <si>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</si>
  <si>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</si>
  <si>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</si>
  <si>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</si>
  <si>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</si>
  <si>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</si>
  <si>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</si>
  <si>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</si>
  <si>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</si>
  <si>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</si>
  <si>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</si>
  <si>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</si>
  <si>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</si>
  <si>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</si>
  <si>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</si>
  <si>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</si>
  <si>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</si>
  <si>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</si>
  <si>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</si>
  <si>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</si>
  <si>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</si>
  <si>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</si>
  <si>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</si>
  <si>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</si>
  <si>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</si>
  <si>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</si>
  <si>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</si>
  <si>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</si>
  <si>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</si>
  <si>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</si>
  <si>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</si>
  <si>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</si>
  <si>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</si>
  <si>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</si>
  <si>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</si>
  <si>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</si>
  <si>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</si>
  <si>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</si>
  <si>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</si>
  <si>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</si>
  <si>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</si>
  <si>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</si>
  <si>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</si>
  <si>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</si>
  <si>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</si>
  <si>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</si>
  <si>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</si>
  <si>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</si>
  <si>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</si>
  <si>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</si>
  <si>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</si>
  <si>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</si>
  <si>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</si>
  <si>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</si>
  <si>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</si>
  <si>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</si>
  <si>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</si>
  <si>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</si>
  <si>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</si>
  <si>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</si>
  <si>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</si>
  <si>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</si>
  <si>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</si>
  <si>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</si>
  <si>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</si>
  <si>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</si>
  <si>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</si>
  <si>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</si>
  <si>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</si>
  <si>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</si>
  <si>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</si>
  <si>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</si>
  <si>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</si>
  <si>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</si>
  <si>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</si>
  <si>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</si>
  <si>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</si>
  <si>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</si>
  <si>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</si>
  <si>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</si>
  <si>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</si>
  <si>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</si>
  <si>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</si>
  <si>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</si>
  <si>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</si>
  <si>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</si>
  <si>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</si>
  <si>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</si>
  <si>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</si>
  <si>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</si>
  <si>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</si>
  <si>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</si>
  <si>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</si>
  <si>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</si>
  <si>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</si>
  <si>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</si>
  <si>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</si>
  <si>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</si>
  <si>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</si>
  <si>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</si>
  <si>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</si>
  <si>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</si>
  <si>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</si>
  <si>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</si>
  <si>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</si>
  <si>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</si>
  <si>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</si>
  <si>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</si>
  <si>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</si>
  <si>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</si>
  <si>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</si>
  <si>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</si>
  <si>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</si>
  <si>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</si>
  <si>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</si>
  <si>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</si>
  <si>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</si>
  <si>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</si>
  <si>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</si>
  <si>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</si>
  <si>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</si>
  <si>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</si>
  <si>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</si>
  <si>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</si>
  <si>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</si>
  <si>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</si>
  <si>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</si>
  <si>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</si>
  <si>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</si>
  <si>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</si>
  <si>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</si>
  <si>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</si>
  <si>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</si>
  <si>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</si>
  <si>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</si>
  <si>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</si>
  <si>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</si>
  <si>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</si>
  <si>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</si>
  <si>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</si>
  <si>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</si>
  <si>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</si>
  <si>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</si>
  <si>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</si>
  <si>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</si>
  <si>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</si>
  <si>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</si>
  <si>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</si>
  <si>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</si>
  <si>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</si>
  <si>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</si>
  <si>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</si>
  <si>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</si>
  <si>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</si>
  <si>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</si>
  <si>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</si>
  <si>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</si>
  <si>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</si>
  <si>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</si>
  <si>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</si>
  <si>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</si>
  <si>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</si>
  <si>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</si>
  <si>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</si>
  <si>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</si>
  <si>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</si>
  <si>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</si>
  <si>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</si>
  <si>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</si>
  <si>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</si>
  <si>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</si>
  <si>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</si>
  <si>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</si>
  <si>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</si>
  <si>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</si>
  <si>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</si>
  <si>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</si>
  <si>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</si>
  <si>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</si>
  <si>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</si>
  <si>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</si>
  <si>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</si>
  <si>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</si>
  <si>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</si>
  <si>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</si>
  <si>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</si>
  <si>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</si>
  <si>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</si>
  <si>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</si>
  <si>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</si>
  <si>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</si>
  <si>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</si>
  <si>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</si>
  <si>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</si>
  <si>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</si>
  <si>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</si>
  <si>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</si>
  <si>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</si>
  <si>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</si>
  <si>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</si>
  <si>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</si>
  <si>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</si>
  <si>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</si>
  <si>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</si>
  <si>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</si>
  <si>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</si>
  <si>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</si>
  <si>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</si>
  <si>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</si>
  <si>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</si>
  <si>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</si>
  <si>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</si>
  <si>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</si>
  <si>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</si>
  <si>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</si>
  <si>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</si>
  <si>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</si>
  <si>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</si>
  <si>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</si>
  <si>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</si>
  <si>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</si>
  <si>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</si>
  <si>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</si>
  <si>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</si>
  <si>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</si>
  <si>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</si>
  <si>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</si>
  <si>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</si>
  <si>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</si>
  <si>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</si>
  <si>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</si>
  <si>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</si>
  <si>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</si>
  <si>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</si>
  <si>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</si>
  <si>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</si>
  <si>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</si>
  <si>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</si>
  <si>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</si>
  <si>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</si>
  <si>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</si>
  <si>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</si>
  <si>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</si>
  <si>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</si>
  <si>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</si>
  <si>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</si>
  <si>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</si>
  <si>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</si>
  <si>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</si>
  <si>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</si>
  <si>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</si>
  <si>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</si>
  <si>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</si>
  <si>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</si>
  <si>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</si>
  <si>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</si>
  <si>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</si>
  <si>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</si>
  <si>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</si>
  <si>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</si>
  <si>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</si>
  <si>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</si>
  <si>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</si>
  <si>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</si>
  <si>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</si>
  <si>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</si>
  <si>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</si>
  <si>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</si>
  <si>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</si>
  <si>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</si>
  <si>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</si>
  <si>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</si>
  <si>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</si>
  <si>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</si>
  <si>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</si>
  <si>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</si>
  <si>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</si>
  <si>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</si>
  <si>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</si>
  <si>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</si>
  <si>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</si>
  <si>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</si>
  <si>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</si>
  <si>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</si>
  <si>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</si>
  <si>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</si>
  <si>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</si>
  <si>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</si>
  <si>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</si>
  <si>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</si>
  <si>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</si>
  <si>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</si>
  <si>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</si>
  <si>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</si>
  <si>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</si>
  <si>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</si>
  <si>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</si>
  <si>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</si>
  <si>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</si>
  <si>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</si>
  <si>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</si>
  <si>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</si>
  <si>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</si>
  <si>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</si>
  <si>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</si>
  <si>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</si>
  <si>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</si>
  <si>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</si>
  <si>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</si>
  <si>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</si>
  <si>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</si>
  <si>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</si>
  <si>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</si>
  <si>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</si>
  <si>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</si>
  <si>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</si>
  <si>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</si>
  <si>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</si>
  <si>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</si>
  <si>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</si>
  <si>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</si>
  <si>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</si>
  <si>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</si>
  <si>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</si>
  <si>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</si>
  <si>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</si>
  <si>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</si>
  <si>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</si>
  <si>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</si>
  <si>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</si>
  <si>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</si>
  <si>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</si>
  <si>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</si>
  <si>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</si>
  <si>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</si>
  <si>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</si>
  <si>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</si>
  <si>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</si>
  <si>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</si>
  <si>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</si>
  <si>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</si>
  <si>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</si>
  <si>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</si>
  <si>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</si>
  <si>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</si>
  <si>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</si>
  <si>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</si>
  <si>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</si>
  <si>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</si>
  <si>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</si>
  <si>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</si>
  <si>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</si>
  <si>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</si>
  <si>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</si>
  <si>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</si>
  <si>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</si>
  <si>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</si>
  <si>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</si>
  <si>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</si>
  <si>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</si>
  <si>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</si>
  <si>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</si>
  <si>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</si>
  <si>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</si>
  <si>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</si>
  <si>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</si>
  <si>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</si>
  <si>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</si>
  <si>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</si>
  <si>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</si>
  <si>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</si>
  <si>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</si>
  <si>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</si>
  <si>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</si>
  <si>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</si>
  <si>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</si>
  <si>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</si>
  <si>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</si>
  <si>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</si>
  <si>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</si>
  <si>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</si>
  <si>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</si>
  <si>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</si>
  <si>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</si>
  <si>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</si>
  <si>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</si>
  <si>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</si>
  <si>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</si>
  <si>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</si>
  <si>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</si>
  <si>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</si>
  <si>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</si>
  <si>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</si>
  <si>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</si>
  <si>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</si>
  <si>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</si>
  <si>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</si>
  <si>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</si>
  <si>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</si>
  <si>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</si>
  <si>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</si>
  <si>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</si>
  <si>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</si>
  <si>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</si>
  <si>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</si>
  <si>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</si>
  <si>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</si>
  <si>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</si>
  <si>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</si>
  <si>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</si>
  <si>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</si>
  <si>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</si>
  <si>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</si>
  <si>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</si>
  <si>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</si>
  <si>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</si>
  <si>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</si>
  <si>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</si>
  <si>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</si>
  <si>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</si>
  <si>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</si>
  <si>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</si>
  <si>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</si>
  <si>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</si>
  <si>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</si>
  <si>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</si>
  <si>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</si>
  <si>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</si>
  <si>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</si>
  <si>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</si>
  <si>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</si>
  <si>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</si>
  <si>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</si>
  <si>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</si>
  <si>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</si>
  <si>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</si>
  <si>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</si>
  <si>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</si>
  <si>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</si>
  <si>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</si>
  <si>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</si>
  <si>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</si>
  <si>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</si>
  <si>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</si>
  <si>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</si>
  <si>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</si>
  <si>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</si>
  <si>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</si>
  <si>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</si>
  <si>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</si>
  <si>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</si>
  <si>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</si>
  <si>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</si>
  <si>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</si>
  <si>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</si>
  <si>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</si>
  <si>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</si>
  <si>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</si>
  <si>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</si>
  <si>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</si>
  <si>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</si>
  <si>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</si>
  <si>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</si>
  <si>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</si>
  <si>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</si>
  <si>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</si>
  <si>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</si>
  <si>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</si>
  <si>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</si>
  <si>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</si>
  <si>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</si>
  <si>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</si>
  <si>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</si>
  <si>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</si>
  <si>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</si>
  <si>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</si>
  <si>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</si>
  <si>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</si>
  <si>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</si>
  <si>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</si>
  <si>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</si>
  <si>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</si>
  <si>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</si>
  <si>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</si>
  <si>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</si>
  <si>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</si>
  <si>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</si>
  <si>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</si>
  <si>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</si>
  <si>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</si>
  <si>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</si>
  <si>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</si>
  <si>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</si>
  <si>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</si>
  <si>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</si>
  <si>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</si>
  <si>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</si>
  <si>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</si>
  <si>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</si>
  <si>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</si>
  <si>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</si>
  <si>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</si>
  <si>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</si>
  <si>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</si>
  <si>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</si>
  <si>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</si>
  <si>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</si>
  <si>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</si>
  <si>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</si>
  <si>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</si>
  <si>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</si>
  <si>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</si>
  <si>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</si>
  <si>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</si>
  <si>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</si>
  <si>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</si>
  <si>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</si>
  <si>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</si>
  <si>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</si>
  <si>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</si>
  <si>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</si>
  <si>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</si>
  <si>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</si>
  <si>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</si>
  <si>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</si>
  <si>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</si>
  <si>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</si>
  <si>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</si>
  <si>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</si>
  <si>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</si>
  <si>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</si>
  <si>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</si>
  <si>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</si>
  <si>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</si>
  <si>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</si>
  <si>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</si>
  <si>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</si>
  <si>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</si>
  <si>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</si>
  <si>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</si>
  <si>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</si>
  <si>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</si>
  <si>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</si>
  <si>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</si>
  <si>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</si>
  <si>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</si>
  <si>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</si>
  <si>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</si>
  <si>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</si>
  <si>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</si>
  <si>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</si>
  <si>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</si>
  <si>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</si>
  <si>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</si>
  <si>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</si>
  <si>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</si>
  <si>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</si>
  <si>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</si>
  <si>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</si>
  <si>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</si>
  <si>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</si>
  <si>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</si>
  <si>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</si>
  <si>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</si>
  <si>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</si>
  <si>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</si>
  <si>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</si>
  <si>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</si>
  <si>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</si>
  <si>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</si>
  <si>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</si>
  <si>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</si>
  <si>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</si>
  <si>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</si>
  <si>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</si>
  <si>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</si>
  <si>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</si>
  <si>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</si>
  <si>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</si>
  <si>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</si>
  <si>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</si>
  <si>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</si>
  <si>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</si>
  <si>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</si>
  <si>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</si>
  <si>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</si>
  <si>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</si>
  <si>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</si>
  <si>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</si>
  <si>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</si>
  <si>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</si>
  <si>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</si>
  <si>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</si>
  <si>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</si>
  <si>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</si>
  <si>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</si>
  <si>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</si>
  <si>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</si>
  <si>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</si>
  <si>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</si>
  <si>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</si>
  <si>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</si>
  <si>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</si>
  <si>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</si>
  <si>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</si>
  <si>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</si>
  <si>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</si>
  <si>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</si>
  <si>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</si>
  <si>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</si>
  <si>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</si>
  <si>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</si>
  <si>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</si>
  <si>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</si>
  <si>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</si>
  <si>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</si>
  <si>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</si>
  <si>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</si>
  <si>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</si>
  <si>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</si>
  <si>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</si>
  <si>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</si>
  <si>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</si>
  <si>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</si>
  <si>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</si>
  <si>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</si>
  <si>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</si>
  <si>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</si>
  <si>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</si>
  <si>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</si>
  <si>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</si>
  <si>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</si>
  <si>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</si>
  <si>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</si>
  <si>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</si>
  <si>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</si>
  <si>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</si>
  <si>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</si>
  <si>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</si>
  <si>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</si>
  <si>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</si>
  <si>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</si>
  <si>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</si>
  <si>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</si>
  <si>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</si>
  <si>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</si>
  <si>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</si>
  <si>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</si>
  <si>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</si>
  <si>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</si>
  <si>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</si>
  <si>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</si>
  <si>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</si>
  <si>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</si>
  <si>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</si>
  <si>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</si>
  <si>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</si>
  <si>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</si>
  <si>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</si>
  <si>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</si>
  <si>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</si>
  <si>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</si>
  <si>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</si>
  <si>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</si>
  <si>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</si>
  <si>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</si>
  <si>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</si>
  <si>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</si>
  <si>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</si>
  <si>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</si>
  <si>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</si>
  <si>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</si>
  <si>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</si>
  <si>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</si>
  <si>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</si>
  <si>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</si>
  <si>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</si>
  <si>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</si>
  <si>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</si>
  <si>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</si>
  <si>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</si>
  <si>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</si>
  <si>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</si>
  <si>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</si>
  <si>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</si>
  <si>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</si>
  <si>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</si>
  <si>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</si>
  <si>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</si>
  <si>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</si>
  <si>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</si>
  <si>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</si>
  <si>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</si>
  <si>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</si>
  <si>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</si>
  <si>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</si>
  <si>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</si>
  <si>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</si>
  <si>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</si>
  <si>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</si>
  <si>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</si>
  <si>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</si>
  <si>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</si>
  <si>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</si>
  <si>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</si>
  <si>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</si>
  <si>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</si>
  <si>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</si>
  <si>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</si>
  <si>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</si>
  <si>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</si>
  <si>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</si>
  <si>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</si>
  <si>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</si>
  <si>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</si>
  <si>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</si>
  <si>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</si>
  <si>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</si>
  <si>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</si>
  <si>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</si>
  <si>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</si>
  <si>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</si>
  <si>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</si>
  <si>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</si>
  <si>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</si>
  <si>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</si>
  <si>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</si>
  <si>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</si>
  <si>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</si>
  <si>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</si>
  <si>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</si>
  <si>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</si>
  <si>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</si>
  <si>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</si>
  <si>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</si>
  <si>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</si>
  <si>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</si>
  <si>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</si>
  <si>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</si>
  <si>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</si>
  <si>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</si>
  <si>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</si>
  <si>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</si>
  <si>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</si>
  <si>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</si>
  <si>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</si>
  <si>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</si>
  <si>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</si>
  <si>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</si>
  <si>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</si>
  <si>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</si>
  <si>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</si>
  <si>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</si>
  <si>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</si>
  <si>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</si>
  <si>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</si>
  <si>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</si>
  <si>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</si>
  <si>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</si>
  <si>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</si>
  <si>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</si>
  <si>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</si>
  <si>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</si>
  <si>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</si>
  <si>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</si>
  <si>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</si>
  <si>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</si>
  <si>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</si>
  <si>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</si>
  <si>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</si>
  <si>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</si>
  <si>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</si>
  <si>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</si>
  <si>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</si>
  <si>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</si>
  <si>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</si>
  <si>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</si>
  <si>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</si>
  <si>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</si>
  <si>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</si>
  <si>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</si>
  <si>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</si>
  <si>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</si>
  <si>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</si>
  <si>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</si>
  <si>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</si>
  <si>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</si>
  <si>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</si>
  <si>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</si>
  <si>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</si>
  <si>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</si>
  <si>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</si>
  <si>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</si>
  <si>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</si>
  <si>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</si>
  <si>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</si>
  <si>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</si>
  <si>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</si>
  <si>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</si>
  <si>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</si>
  <si>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</si>
  <si>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</si>
  <si>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</si>
  <si>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</si>
  <si>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</si>
  <si>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</si>
  <si>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</si>
  <si>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</si>
  <si>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</si>
  <si>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</si>
  <si>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</si>
  <si>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</si>
  <si>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</si>
  <si>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</si>
  <si>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</si>
  <si>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</si>
  <si>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</si>
  <si>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</si>
  <si>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</si>
  <si>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</si>
  <si>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</si>
  <si>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</si>
  <si>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</si>
  <si>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</si>
  <si>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</si>
  <si>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</si>
  <si>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</si>
  <si>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</si>
  <si>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</si>
  <si>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</si>
  <si>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</si>
  <si>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</si>
  <si>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</si>
  <si>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</si>
  <si>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</si>
  <si>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新規要支援・要介護認定者の平均年齢</t>
  </si>
  <si>
    <t>福島県</t>
  </si>
  <si>
    <t>全国</t>
  </si>
  <si>
    <t>令和6年(2024年)</t>
  </si>
  <si>
    <t>北塩原村</t>
  </si>
  <si>
    <t>平均年齢</t>
  </si>
  <si>
    <t>歳</t>
  </si>
  <si>
    <t>厚生労働省「介護保険総合データベース」（令和7年9月10日時点データにて集計）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</si>
  <si>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</si>
  <si>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</si>
  <si>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（歳）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</si>
</sst>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38.63671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83.8</v>
      </c>
      <c r="D3" s="31" t="n">
        <v>83.5</v>
      </c>
      <c r="E3" s="31" t="n">
        <v>83.8</v>
      </c>
      <c r="F3" s="31" t="n">
        <v>84.1</v>
      </c>
      <c r="G3" s="32" t="n">
        <v>85.0</v>
      </c>
      <c r="H3" s="32" t="n">
        <v>81.0</v>
      </c>
      <c r="I3" s="32" t="n">
        <v>85.0</v>
      </c>
      <c r="J3" s="31" t="n">
        <v>82.3</v>
      </c>
      <c r="K3" s="32" t="n">
        <v>85.0</v>
      </c>
      <c r="L3" s="31" t="n">
        <v>82.3</v>
      </c>
      <c r="M3" s="31" t="n">
        <v>83.7</v>
      </c>
      <c r="N3" s="31" t="n">
        <v>82.2</v>
      </c>
      <c r="O3" s="31" t="n">
        <v>83.2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6" t="n">
        <v>82.0</v>
      </c>
      <c r="D256" s="36" t="n">
        <v>82.0</v>
      </c>
      <c r="E256" s="35" t="n">
        <v>81.9</v>
      </c>
      <c r="F256" s="35" t="n">
        <v>81.8</v>
      </c>
      <c r="G256" s="35" t="n">
        <v>81.7</v>
      </c>
      <c r="H256" s="35" t="n">
        <v>81.7</v>
      </c>
      <c r="I256" s="35" t="n">
        <v>81.8</v>
      </c>
      <c r="J256" s="35" t="n">
        <v>82.3</v>
      </c>
      <c r="K256" s="36" t="n">
        <v>82.0</v>
      </c>
      <c r="L256" s="35" t="n">
        <v>81.9</v>
      </c>
      <c r="M256" s="35" t="n">
        <v>82.2</v>
      </c>
      <c r="N256" s="35" t="n">
        <v>82.2</v>
      </c>
      <c r="O256" s="36" t="n">
        <v>82.0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40" t="n">
        <v>81.0</v>
      </c>
      <c r="D257" s="39" t="n">
        <v>80.7</v>
      </c>
      <c r="E257" s="39" t="n">
        <v>80.6</v>
      </c>
      <c r="F257" s="39" t="n">
        <v>80.6</v>
      </c>
      <c r="G257" s="39" t="n">
        <v>80.7</v>
      </c>
      <c r="H257" s="39" t="n">
        <v>80.8</v>
      </c>
      <c r="I257" s="39" t="n">
        <v>80.9</v>
      </c>
      <c r="J257" s="39" t="n">
        <v>81.4</v>
      </c>
      <c r="K257" s="39" t="n">
        <v>81.4</v>
      </c>
      <c r="L257" s="39" t="n">
        <v>81.5</v>
      </c>
      <c r="M257" s="39" t="n">
        <v>81.7</v>
      </c>
      <c r="N257" s="39" t="n">
        <v>81.7</v>
      </c>
      <c r="O257" s="39" t="n">
        <v>81.8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888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新規要支援・要介護認定者の平均年齢（北塩原村）</v>
      </c>
      <c r="B2" s="7" t="str">
        <f>"（注目する地域）" &amp; E2</f>
        <v>（注目する地域）北塩原村</v>
      </c>
      <c r="C2" s="8" t="s">
        <v>880</v>
      </c>
      <c r="D2" s="8" t="s">
        <v>883</v>
      </c>
      <c r="E2" s="8" t="s">
        <v>884</v>
      </c>
      <c r="F2" s="8" t="str">
        <f>IF(H2="",G2,G2 &amp; "（" &amp; H2 &amp; "）")</f>
        <v>平均年齢（歳）</v>
      </c>
      <c r="G2" s="8" t="s">
        <v>885</v>
      </c>
      <c r="H2" s="8" t="s">
        <v>886</v>
      </c>
      <c r="I2" s="8" t="s">
        <v>887</v>
      </c>
      <c r="J2" s="7" t="str">
        <f>"（出典）" &amp; I2</f>
        <v>（出典）厚生労働省「介護保険総合データベース」（令和7年9月10日時点データにて集計）　※本指標は自治体向けのため取り扱いに注意してください。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10.03515625" collapsed="false" bestFit="true"/>
    <col min="3" max="3" customWidth="true" style="10" width="38.63671875" collapsed="false" bestFit="true"/>
    <col min="4" max="4" customWidth="true" style="10" width="7.835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889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884</v>
      </c>
      <c r="C3" s="17" t="s">
        <v>880</v>
      </c>
      <c r="D3" s="12" t="s">
        <v>890</v>
      </c>
      <c r="E3" s="47" t="n">
        <v>83.8</v>
      </c>
      <c r="F3" s="47" t="n">
        <v>83.5</v>
      </c>
      <c r="G3" s="47" t="n">
        <v>83.8</v>
      </c>
      <c r="H3" s="47" t="n">
        <v>84.1</v>
      </c>
      <c r="I3" s="47" t="n">
        <v>85.0</v>
      </c>
      <c r="J3" s="47" t="n">
        <v>81.0</v>
      </c>
      <c r="K3" s="47" t="n">
        <v>85.0</v>
      </c>
      <c r="L3" s="47" t="n">
        <v>82.3</v>
      </c>
      <c r="M3" s="47" t="n">
        <v>85.0</v>
      </c>
      <c r="N3" s="47" t="n">
        <v>82.3</v>
      </c>
      <c r="O3" s="47" t="n">
        <v>83.7</v>
      </c>
      <c r="P3" s="47" t="n">
        <v>82.2</v>
      </c>
      <c r="Q3" s="47" t="n">
        <v>83.2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881</v>
      </c>
      <c r="C4" s="17" t="s">
        <v>880</v>
      </c>
      <c r="D4" s="12" t="s">
        <v>890</v>
      </c>
      <c r="E4" s="51" t="n">
        <v>82.0</v>
      </c>
      <c r="F4" s="51" t="n">
        <v>82.0</v>
      </c>
      <c r="G4" s="51" t="n">
        <v>81.9</v>
      </c>
      <c r="H4" s="51" t="n">
        <v>81.8</v>
      </c>
      <c r="I4" s="51" t="n">
        <v>81.7</v>
      </c>
      <c r="J4" s="51" t="n">
        <v>81.7</v>
      </c>
      <c r="K4" s="51" t="n">
        <v>81.8</v>
      </c>
      <c r="L4" s="51" t="n">
        <v>82.3</v>
      </c>
      <c r="M4" s="51" t="n">
        <v>82.0</v>
      </c>
      <c r="N4" s="51" t="n">
        <v>81.9</v>
      </c>
      <c r="O4" s="51" t="n">
        <v>82.2</v>
      </c>
      <c r="P4" s="51" t="n">
        <v>82.2</v>
      </c>
      <c r="Q4" s="51" t="n">
        <v>82.0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882</v>
      </c>
      <c r="C5" s="17" t="s">
        <v>880</v>
      </c>
      <c r="D5" s="12" t="s">
        <v>890</v>
      </c>
      <c r="E5" s="55" t="n">
        <v>81.0</v>
      </c>
      <c r="F5" s="55" t="n">
        <v>80.7</v>
      </c>
      <c r="G5" s="55" t="n">
        <v>80.6</v>
      </c>
      <c r="H5" s="55" t="n">
        <v>80.6</v>
      </c>
      <c r="I5" s="55" t="n">
        <v>80.7</v>
      </c>
      <c r="J5" s="55" t="n">
        <v>80.8</v>
      </c>
      <c r="K5" s="55" t="n">
        <v>80.9</v>
      </c>
      <c r="L5" s="55" t="n">
        <v>81.4</v>
      </c>
      <c r="M5" s="55" t="n">
        <v>81.4</v>
      </c>
      <c r="N5" s="55" t="n">
        <v>81.5</v>
      </c>
      <c r="O5" s="55" t="n">
        <v>81.7</v>
      </c>
      <c r="P5" s="55" t="n">
        <v>81.7</v>
      </c>
      <c r="Q5" s="55" t="n">
        <v>81.8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（注目する地域）北塩原村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（出典）厚生労働省「介護保険総合データベース」（令和7年9月10日時点データにて集計）　※本指標は自治体向けのため取り扱いに注意してください。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