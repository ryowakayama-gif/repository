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前提・検証" sheetId="1" state="visible" r:id="rId3"/>
    <sheet name="01_ビジョン原計画" sheetId="2" state="visible" r:id="rId4"/>
    <sheet name="02_将来年次投資置換" sheetId="3" state="visible" r:id="rId5"/>
    <sheet name="03_SIM比較_R8予算反映" sheetId="4" state="visible" r:id="rId6"/>
    <sheet name="03_SIM比較" sheetId="5" state="visible" r:id="rId7"/>
    <sheet name="04_R8予算・投資確認" sheetId="6" state="visible" r:id="rId8"/>
    <sheet name="SIM_ビジョン_0%" sheetId="7" state="visible" r:id="rId9"/>
    <sheet name="SIM_ビジョン_1%" sheetId="8" state="visible" r:id="rId10"/>
    <sheet name="SIM_ビジョン_2%" sheetId="9" state="visible" r:id="rId11"/>
    <sheet name="SIM_ビジョン_3%" sheetId="10" state="visible" r:id="rId12"/>
    <sheet name="SIM_置換後_0%" sheetId="11" state="visible" r:id="rId13"/>
    <sheet name="SIM_置換後_1%" sheetId="12" state="visible" r:id="rId14"/>
    <sheet name="SIM_置換後_2%" sheetId="13" state="visible" r:id="rId15"/>
    <sheet name="SIM_置換後_3%" sheetId="14" state="visible" r:id="rId16"/>
    <sheet name="02_R8予算_年次計画置換" sheetId="15" state="visible" r:id="rId17"/>
    <sheet name="SIM_R8予算置換_0%" sheetId="16" state="visible" r:id="rId18"/>
    <sheet name="SIM_R8予算置換_1%" sheetId="17" state="visible" r:id="rId19"/>
    <sheet name="SIM_R8予算置換_2%" sheetId="18" state="visible" r:id="rId20"/>
    <sheet name="SIM_R8予算置換_3%" sheetId="19" state="visible" r:id="rId21"/>
    <sheet name="05_建設仮勘定・企業債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<sst xmlns="http://schemas.openxmlformats.org/spreadsheetml/2006/main" count="1281" uniqueCount="279">
  <si>
    <t xml:space="preserve">項目</t>
  </si>
  <si>
    <t xml:space="preserve">値</t>
  </si>
  <si>
    <t xml:space="preserve">単位</t>
  </si>
  <si>
    <t xml:space="preserve">内容</t>
  </si>
  <si>
    <r>
      <rPr>
        <b val="true"/>
        <sz val="11"/>
        <color rgb="FFFFFFFF"/>
        <rFont val="Calibri"/>
        <family val="0"/>
        <charset val="1"/>
      </rPr>
      <t xml:space="preserve">Red Team</t>
    </r>
    <r>
      <rPr>
        <b val="true"/>
        <sz val="11"/>
        <color rgb="FFFFFFFF"/>
        <rFont val="Noto Sans CJK SC"/>
        <family val="2"/>
        <charset val="1"/>
      </rPr>
      <t xml:space="preserve">検証</t>
    </r>
  </si>
  <si>
    <t xml:space="preserve">結果</t>
  </si>
  <si>
    <t xml:space="preserve">対象範囲</t>
  </si>
  <si>
    <t xml:space="preserve">判定式</t>
  </si>
  <si>
    <t xml:space="preserve">備考</t>
  </si>
  <si>
    <t xml:space="preserve">資産維持費対象資産</t>
  </si>
  <si>
    <t xml:space="preserve">千円</t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</si>
  <si>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  <charset val="1"/>
      </rPr>
      <t xml:space="preserve">末償却対象資産相当。資産維持費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  <charset val="1"/>
      </rPr>
      <t xml:space="preserve">対象資産</t>
    </r>
    <r>
      <rPr>
        <sz val="11"/>
        <rFont val="Calibri"/>
        <family val="0"/>
        <charset val="1"/>
      </rPr>
      <t xml:space="preserve">×</t>
    </r>
    <r>
      <rPr>
        <sz val="11"/>
        <rFont val="Noto Sans CJK SC"/>
        <family val="2"/>
        <charset val="1"/>
      </rPr>
      <t xml:space="preserve">率。</t>
    </r>
  </si>
  <si>
    <t xml:space="preserve">資産維持費込料金回収率の大小</t>
  </si>
  <si>
    <r>
      <rPr>
        <sz val="11"/>
        <rFont val="Calibri"/>
        <family val="0"/>
        <charset val="1"/>
      </rPr>
      <t xml:space="preserve">03_SIM</t>
    </r>
    <r>
      <rPr>
        <sz val="11"/>
        <rFont val="Noto Sans CJK SC"/>
        <family val="2"/>
        <charset val="1"/>
      </rPr>
      <t xml:space="preserve">比較</t>
    </r>
    <r>
      <rPr>
        <sz val="11"/>
        <rFont val="Calibri"/>
        <family val="0"/>
        <charset val="1"/>
      </rPr>
      <t xml:space="preserve">!I4:I11</t>
    </r>
  </si>
  <si>
    <t xml:space="preserve">全SIM</t>
  </si>
  <si>
    <t xml:space="preserve">資産維持費込 &lt;= 通常</t>
  </si>
  <si>
    <t xml:space="preserve">全てOKであればロジック整合</t>
  </si>
  <si>
    <t xml:space="preserve">料金改定開始年度</t>
  </si>
  <si>
    <t xml:space="preserve">令和11年度</t>
  </si>
  <si>
    <r>
      <rPr>
        <sz val="11"/>
        <rFont val="Calibri"/>
        <family val="0"/>
        <charset val="1"/>
      </rPr>
      <t xml:space="preserve">SIM</t>
    </r>
    <r>
      <rPr>
        <sz val="11"/>
        <rFont val="Noto Sans CJK SC"/>
        <family val="2"/>
        <charset val="1"/>
      </rPr>
      <t xml:space="preserve">では</t>
    </r>
    <r>
      <rPr>
        <sz val="11"/>
        <rFont val="Calibri"/>
        <family val="0"/>
        <charset val="1"/>
      </rPr>
      <t xml:space="preserve">R11</t>
    </r>
    <r>
      <rPr>
        <sz val="11"/>
        <rFont val="Noto Sans CJK SC"/>
        <family val="2"/>
        <charset val="1"/>
      </rPr>
      <t xml:space="preserve">以降に料金改定率を適用。</t>
    </r>
  </si>
  <si>
    <t xml:space="preserve">算定期間開始</t>
  </si>
  <si>
    <t xml:space="preserve">料金改定率はR11〜R15の5か年で総括原価を回収する水準。</t>
  </si>
  <si>
    <t xml:space="preserve">算定期間終了</t>
  </si>
  <si>
    <t xml:space="preserve">令和15年度</t>
  </si>
  <si>
    <t xml:space="preserve">総括原価=営業費用+営業外費用-長期前受金戻入-その他営業収益-繰入金・負担金等+資産維持費。</t>
  </si>
  <si>
    <r>
      <rPr>
        <b val="true"/>
        <sz val="11"/>
        <rFont val="Calibri"/>
        <family val="0"/>
        <charset val="1"/>
      </rPr>
      <t xml:space="preserve">R7</t>
    </r>
    <r>
      <rPr>
        <b val="true"/>
        <sz val="11"/>
        <rFont val="Noto Sans CJK SC"/>
        <family val="2"/>
        <charset val="1"/>
      </rPr>
      <t xml:space="preserve">末現預金（推計開始残高）</t>
    </r>
  </si>
  <si>
    <r>
      <rPr>
        <sz val="11"/>
        <rFont val="Calibri"/>
        <family val="0"/>
        <charset val="1"/>
      </rPr>
      <t xml:space="preserve">R7</t>
    </r>
    <r>
      <rPr>
        <sz val="11"/>
        <rFont val="Noto Sans CJK SC"/>
        <family val="2"/>
        <charset val="1"/>
      </rPr>
      <t xml:space="preserve">末現金預金を推計開始残高として使用。</t>
    </r>
  </si>
  <si>
    <t xml:space="preserve">最低現金目安</t>
  </si>
  <si>
    <t xml:space="preserve">便宜的な資金安全ライン。</t>
  </si>
  <si>
    <t xml:space="preserve">検証ルール</t>
  </si>
  <si>
    <t xml:space="preserve">資産維持費込料金回収率 &lt;= 料金回収率</t>
  </si>
  <si>
    <t xml:space="preserve">同一分子で分母に資産維持費を加算するため。</t>
  </si>
  <si>
    <t xml:space="preserve">主な修正点</t>
  </si>
  <si>
    <t xml:space="preserve">資産維持費込料金回収率の分母修正</t>
  </si>
  <si>
    <t xml:space="preserve">分子は改定後給水収益、分母は通常給水原価対象費用＋資産維持費。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</si>
  <si>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予算反映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</si>
  <si>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収入・資本的収入は</t>
    </r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当初予算書を採用。投資は将来年次計画の調整後事業費計を採用。</t>
    </r>
  </si>
  <si>
    <r>
      <rPr>
        <sz val="11"/>
        <rFont val="Calibri"/>
        <family val="0"/>
        <charset val="1"/>
      </rPr>
      <t xml:space="preserve">Red Team</t>
    </r>
    <r>
      <rPr>
        <sz val="11"/>
        <rFont val="Noto Sans CJK SC"/>
        <family val="2"/>
        <charset val="1"/>
      </rPr>
      <t xml:space="preserve">確認</t>
    </r>
  </si>
  <si>
    <t xml:space="preserve">資産維持費込料金回収率が通常料金回収率を上回らないこと、R8予算値が04シートと一致することを確認。</t>
  </si>
  <si>
    <t xml:space="preserve">営業費用の修正</t>
  </si>
  <si>
    <t xml:space="preserve">修繕・動力・薬品・委託・資産減耗・その他営業費用は物件費の内数（993作成資料）。従来SIMは約512百万円/年を二重計上しており、必要改定率が約44ポイント過大だった。本版で解消。</t>
  </si>
  <si>
    <t xml:space="preserve">追加精緻化項目</t>
  </si>
  <si>
    <t xml:space="preserve">建設仮勘定対象事業合計</t>
  </si>
  <si>
    <t xml:space="preserve">円</t>
  </si>
  <si>
    <r>
      <rPr>
        <sz val="10"/>
        <rFont val="Arial"/>
        <family val="0"/>
        <charset val="1"/>
      </rPr>
      <t xml:space="preserve">05_</t>
    </r>
    <r>
      <rPr>
        <sz val="10"/>
        <rFont val="Noto Sans CJK SC"/>
        <family val="2"/>
        <charset val="1"/>
      </rPr>
      <t xml:space="preserve">建設仮勘定・企業債で算定</t>
    </r>
  </si>
  <si>
    <t xml:space="preserve">長期前受金等合計</t>
  </si>
  <si>
    <t xml:space="preserve">工事負担金・県補償金等</t>
  </si>
  <si>
    <t xml:space="preserve">令和10年度以降 年額減価償却費</t>
  </si>
  <si>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  <charset val="1"/>
      </rPr>
      <t xml:space="preserve">年定額、千円丸め</t>
    </r>
  </si>
  <si>
    <t xml:space="preserve">令和10年度以降 年額長期前受金戻入</t>
  </si>
  <si>
    <t xml:space="preserve">追加企業債対象額</t>
  </si>
  <si>
    <t xml:space="preserve">国費・負担金等控除後の純額</t>
  </si>
  <si>
    <t xml:space="preserve">利率の扱い</t>
  </si>
  <si>
    <t xml:space="preserve">区分別入力</t>
  </si>
  <si>
    <t xml:space="preserve">一律3%固定ではなく、05シートG27:G28で区分別に置換可能</t>
  </si>
  <si>
    <r>
      <rPr>
        <sz val="10"/>
        <rFont val="Noto Sans CJK SC"/>
        <family val="2"/>
        <charset val="1"/>
      </rPr>
      <t xml:space="preserve">企業債充当率</t>
    </r>
    <r>
      <rPr>
        <sz val="10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</si>
  <si>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R8</t>
    </r>
    <r>
      <rPr>
        <sz val="10"/>
        <rFont val="Noto Sans CJK SC"/>
        <family val="2"/>
        <charset val="1"/>
      </rPr>
      <t xml:space="preserve">〜</t>
    </r>
    <r>
      <rPr>
        <sz val="10"/>
        <rFont val="Arial"/>
        <family val="0"/>
        <charset val="1"/>
      </rPr>
      <t xml:space="preserve">R16</t>
    </r>
    <r>
      <rPr>
        <sz val="10"/>
        <rFont val="Noto Sans CJK SC"/>
        <family val="2"/>
        <charset val="1"/>
      </rPr>
      <t xml:space="preserve">企業債＝建設改良費−国庫補助金−工事負担金。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  <charset val="1"/>
      </rPr>
      <t xml:space="preserve">に過年度建設仮勘定純額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Noto Sans CJK SC"/>
        <family val="2"/>
        <charset val="1"/>
      </rPr>
      <t xml:space="preserve">千円を追加借入。利率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  <charset val="1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  <charset val="1"/>
      </rPr>
      <t xml:space="preserve">年元金均等・翌年度償還開始（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モデル、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  <charset val="1"/>
      </rPr>
      <t xml:space="preserve">シート</t>
    </r>
    <r>
      <rPr>
        <sz val="10"/>
        <rFont val="Arial"/>
        <family val="0"/>
        <charset val="1"/>
      </rPr>
      <t xml:space="preserve">55</t>
    </r>
    <r>
      <rPr>
        <sz val="10"/>
        <rFont val="Noto Sans CJK SC"/>
        <family val="2"/>
        <charset val="1"/>
      </rPr>
      <t xml:space="preserve">〜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  <charset val="1"/>
      </rPr>
      <t xml:space="preserve">行）。</t>
    </r>
  </si>
  <si>
    <t xml:space="preserve">補填財源残高</t>
  </si>
  <si>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末</t>
    </r>
    <r>
      <rPr>
        <sz val="10"/>
        <rFont val="Arial"/>
        <family val="0"/>
        <charset val="1"/>
      </rPr>
      <t xml:space="preserve">183,463</t>
    </r>
    <r>
      <rPr>
        <sz val="10"/>
        <rFont val="Noto Sans CJK SC"/>
        <family val="2"/>
        <charset val="1"/>
      </rPr>
      <t xml:space="preserve">千円（</t>
    </r>
    <r>
      <rPr>
        <sz val="10"/>
        <rFont val="Arial"/>
        <family val="0"/>
        <charset val="1"/>
      </rPr>
      <t xml:space="preserve">0708</t>
    </r>
    <r>
      <rPr>
        <sz val="10"/>
        <rFont val="Noto Sans CJK SC"/>
        <family val="2"/>
        <charset val="1"/>
      </rPr>
      <t xml:space="preserve">修正版補てん財源経過表）を起点に</t>
    </r>
    <r>
      <rPr>
        <sz val="10"/>
        <rFont val="Arial"/>
        <family val="0"/>
        <charset val="1"/>
      </rPr>
      <t xml:space="preserve">SIM72</t>
    </r>
    <r>
      <rPr>
        <sz val="10"/>
        <rFont val="Noto Sans CJK SC"/>
        <family val="2"/>
        <charset val="1"/>
      </rPr>
      <t xml:space="preserve">行目で簡便推計。現預金残高（</t>
    </r>
    <r>
      <rPr>
        <sz val="10"/>
        <rFont val="Arial"/>
        <family val="0"/>
        <charset val="1"/>
      </rPr>
      <t xml:space="preserve">59</t>
    </r>
    <r>
      <rPr>
        <sz val="10"/>
        <rFont val="Noto Sans CJK SC"/>
        <family val="2"/>
        <charset val="1"/>
      </rPr>
      <t xml:space="preserve">行）と区分表示。</t>
    </r>
  </si>
  <si>
    <t xml:space="preserve">建設仮勘定統合</t>
  </si>
  <si>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  <charset val="1"/>
      </rPr>
      <t xml:space="preserve">以降の減価償却費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  <charset val="1"/>
      </rPr>
      <t xml:space="preserve">千円・長期前受金戻入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  <charset val="1"/>
      </rPr>
      <t xml:space="preserve">千円を</t>
    </r>
    <r>
      <rPr>
        <sz val="10"/>
        <rFont val="Arial"/>
        <family val="0"/>
        <charset val="1"/>
      </rPr>
      <t xml:space="preserve">02</t>
    </r>
    <r>
      <rPr>
        <sz val="10"/>
        <rFont val="Noto Sans CJK SC"/>
        <family val="2"/>
        <charset val="1"/>
      </rPr>
      <t xml:space="preserve">シート本体へ統合。総括原価・必要改定率へ反映済み。</t>
    </r>
  </si>
  <si>
    <t xml:space="preserve">ビジョン上の投資財政計画（R7〜R16）</t>
  </si>
  <si>
    <t xml:space="preserve">収益・費用・4条収入は見直後財政計画を基礎。建設改良費はビジョン/既存計画の額を使用。単位：千円。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</t>
  </si>
  <si>
    <t xml:space="preserve">区分</t>
  </si>
  <si>
    <t xml:space="preserve">令和7年度</t>
  </si>
  <si>
    <t xml:space="preserve">令和8年度</t>
  </si>
  <si>
    <t xml:space="preserve">令和9年度</t>
  </si>
  <si>
    <t xml:space="preserve">令和10年度</t>
  </si>
  <si>
    <t xml:space="preserve">令和12年度</t>
  </si>
  <si>
    <t xml:space="preserve">令和13年度</t>
  </si>
  <si>
    <t xml:space="preserve">令和14年度</t>
  </si>
  <si>
    <t xml:space="preserve">令和16年度</t>
  </si>
  <si>
    <t xml:space="preserve">【収益的収入】</t>
  </si>
  <si>
    <t xml:space="preserve">水道事業収益</t>
  </si>
  <si>
    <t xml:space="preserve">営業収益</t>
  </si>
  <si>
    <t xml:space="preserve">給水収益</t>
  </si>
  <si>
    <t xml:space="preserve">その他営業収益</t>
  </si>
  <si>
    <t xml:space="preserve">営業外収益</t>
  </si>
  <si>
    <t xml:space="preserve">受取利息</t>
  </si>
  <si>
    <t xml:space="preserve">繰入金・負担金等</t>
  </si>
  <si>
    <t xml:space="preserve">長期前受金戻入</t>
  </si>
  <si>
    <t xml:space="preserve">その他営業外収益</t>
  </si>
  <si>
    <t xml:space="preserve">特別利益</t>
  </si>
  <si>
    <t xml:space="preserve">【収益的支出】</t>
  </si>
  <si>
    <t xml:space="preserve">水道事業費用</t>
  </si>
  <si>
    <t xml:space="preserve">営業費用</t>
  </si>
  <si>
    <t xml:space="preserve">人件費</t>
  </si>
  <si>
    <t xml:space="preserve">物件費</t>
  </si>
  <si>
    <t xml:space="preserve">修繕費（物件費の内数・参考）</t>
  </si>
  <si>
    <t xml:space="preserve">動力費（物件費の内数・参考）</t>
  </si>
  <si>
    <t xml:space="preserve">薬品費（物件費の内数・参考）</t>
  </si>
  <si>
    <t xml:space="preserve">委託料（物件費の内数・参考）</t>
  </si>
  <si>
    <t xml:space="preserve">減価償却費</t>
  </si>
  <si>
    <t xml:space="preserve">資産減耗・除却費（R8予算のみ別掲、他年度は物件費内数のため0）</t>
  </si>
  <si>
    <t xml:space="preserve">その他営業費用（物件費内数のため0）</t>
  </si>
  <si>
    <t xml:space="preserve">営業外費用</t>
  </si>
  <si>
    <t xml:space="preserve">支払利息</t>
  </si>
  <si>
    <t xml:space="preserve">雑支出</t>
  </si>
  <si>
    <t xml:space="preserve">特別損失</t>
  </si>
  <si>
    <t xml:space="preserve">【資本的収入】</t>
  </si>
  <si>
    <t xml:space="preserve">資本的収入</t>
  </si>
  <si>
    <t xml:space="preserve">企業債</t>
  </si>
  <si>
    <t xml:space="preserve">一般会計負担金</t>
  </si>
  <si>
    <t xml:space="preserve">一般会計出資金</t>
  </si>
  <si>
    <t xml:space="preserve">国庫補助金</t>
  </si>
  <si>
    <t xml:space="preserve">固定資産売却代金</t>
  </si>
  <si>
    <t xml:space="preserve">工事負担金</t>
  </si>
  <si>
    <t xml:space="preserve">その他・調整</t>
  </si>
  <si>
    <t xml:space="preserve">【資本的支出】</t>
  </si>
  <si>
    <t xml:space="preserve">資本的支出</t>
  </si>
  <si>
    <t xml:space="preserve">建設改良費</t>
  </si>
  <si>
    <t xml:space="preserve">企業債償還金</t>
  </si>
  <si>
    <t xml:space="preserve">その他資本的支出</t>
  </si>
  <si>
    <t xml:space="preserve">資本的収支不足額（収入－支出）</t>
  </si>
  <si>
    <t xml:space="preserve">将来年次計画の投資に置換した投資財政計画（R7〜R16）</t>
  </si>
  <si>
    <t xml:space="preserve">収益・費用・4条収入は見直後財政計画を基礎。建設改良費のみ将来年次計画2025.12.2（2026.3.1シート）の調整後事業費へ置換。単位：千円。　【修正】修繕費・動力費・薬品費・委託料・資産減耗費・その他営業費用は993作成資料上「物件費」の内数のため、営業費用の合計から除外（従来は二重計上）。R8予算年度のみ資産減耗費12,000を別掲加算。</t>
  </si>
  <si>
    <r>
      <rPr>
        <b val="true"/>
        <sz val="14"/>
        <color rgb="FFFFFFFF"/>
        <rFont val="Cambria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  <charset val="1"/>
      </rPr>
      <t xml:space="preserve">比較（</t>
    </r>
    <r>
      <rPr>
        <b val="true"/>
        <sz val="14"/>
        <color rgb="FFFFFFFF"/>
        <rFont val="Cambria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  <charset val="1"/>
      </rPr>
      <t xml:space="preserve">予算収入・将来年次投資置換／資産維持費</t>
    </r>
    <r>
      <rPr>
        <b val="true"/>
        <sz val="14"/>
        <color rgb="FFFFFFFF"/>
        <rFont val="Cambria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  <charset val="1"/>
      </rPr>
      <t xml:space="preserve">〜</t>
    </r>
    <r>
      <rPr>
        <b val="true"/>
        <sz val="14"/>
        <color rgb="FFFFFFFF"/>
        <rFont val="Cambria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  <charset val="1"/>
      </rPr>
      <t xml:space="preserve">）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</si>
  <si>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は予算ベース、建設改良費は将来年次計画へ置換。資産維持費込料金回収率は「給水収益</t>
    </r>
    <r>
      <rPr>
        <sz val="11"/>
        <rFont val="Calibri"/>
        <family val="0"/>
        <charset val="1"/>
      </rPr>
      <t xml:space="preserve">÷</t>
    </r>
    <r>
      <rPr>
        <sz val="11"/>
        <rFont val="Noto Sans CJK SC"/>
        <family val="2"/>
        <charset val="1"/>
      </rPr>
      <t xml:space="preserve">（通常給水原価対象費用＋資産維持費）」で検証。</t>
    </r>
  </si>
  <si>
    <t xml:space="preserve">計画区分</t>
  </si>
  <si>
    <t xml:space="preserve">資産維持費率</t>
  </si>
  <si>
    <t xml:space="preserve">必要改定率</t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</si>
  <si>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経常収支比率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</si>
  <si>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料金回収率</t>
    </r>
  </si>
  <si>
    <r>
      <rPr>
        <b val="true"/>
        <sz val="11"/>
        <color rgb="FFFFFFFF"/>
        <rFont val="Cambria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資産維持費込料金回収率</t>
    </r>
  </si>
  <si>
    <r>
      <rPr>
        <b val="true"/>
        <sz val="11"/>
        <color rgb="FFFFFFFF"/>
        <rFont val="Cambria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  <charset val="1"/>
      </rPr>
      <t xml:space="preserve">年度末現預金</t>
    </r>
  </si>
  <si>
    <r>
      <rPr>
        <b val="true"/>
        <sz val="11"/>
        <color rgb="FFFFFFFF"/>
        <rFont val="Cambria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  <charset val="1"/>
      </rPr>
      <t xml:space="preserve">累計</t>
    </r>
    <r>
      <rPr>
        <b val="true"/>
        <sz val="11"/>
        <color rgb="FFFFFFFF"/>
        <rFont val="Cambria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  <charset val="1"/>
      </rPr>
      <t xml:space="preserve">条不足額</t>
    </r>
  </si>
  <si>
    <t xml:space="preserve">検証</t>
  </si>
  <si>
    <r>
      <rPr>
        <b val="true"/>
        <sz val="10"/>
        <color rgb="FFFFFFFF"/>
        <rFont val="Arial"/>
        <family val="0"/>
        <charset val="1"/>
      </rPr>
      <t xml:space="preserve">R16</t>
    </r>
    <r>
      <rPr>
        <b val="true"/>
        <sz val="10"/>
        <color rgb="FFFFFFFF"/>
        <rFont val="Noto Sans CJK SC"/>
        <family val="2"/>
        <charset val="1"/>
      </rPr>
      <t xml:space="preserve">現預金（精緻化後）</t>
    </r>
  </si>
  <si>
    <t xml:space="preserve">精緻化後最低現金差額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</si>
  <si>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予算・年次投資置換</t>
    </r>
  </si>
  <si>
    <r>
      <rPr>
        <b val="true"/>
        <sz val="14"/>
        <color rgb="FFFFFFFF"/>
        <rFont val="Calibri"/>
        <family val="0"/>
        <charset val="1"/>
      </rPr>
      <t xml:space="preserve">SIM</t>
    </r>
    <r>
      <rPr>
        <b val="true"/>
        <sz val="14"/>
        <color rgb="FFFFFFFF"/>
        <rFont val="Noto Sans CJK SC"/>
        <family val="2"/>
        <charset val="1"/>
      </rPr>
      <t xml:space="preserve">比較（ビジョン原計画・将来年次投資置換／資産維持費</t>
    </r>
    <r>
      <rPr>
        <b val="true"/>
        <sz val="14"/>
        <color rgb="FFFFFFFF"/>
        <rFont val="Calibri"/>
        <family val="0"/>
        <charset val="1"/>
      </rPr>
      <t xml:space="preserve">0</t>
    </r>
    <r>
      <rPr>
        <b val="true"/>
        <sz val="14"/>
        <color rgb="FFFFFFFF"/>
        <rFont val="Noto Sans CJK SC"/>
        <family val="2"/>
        <charset val="1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3%</t>
    </r>
    <r>
      <rPr>
        <b val="true"/>
        <sz val="14"/>
        <color rgb="FFFFFFFF"/>
        <rFont val="Noto Sans CJK SC"/>
        <family val="2"/>
        <charset val="1"/>
      </rPr>
      <t xml:space="preserve">）</t>
    </r>
  </si>
  <si>
    <t xml:space="preserve">資産維持費込料金回収率は、同一の改定後給水収益を分子とし、給水原価対象費用＋資産維持費を分母にするため、通常料金回収率以下になるよう修正。</t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</si>
  <si>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経常収支比率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</si>
  <si>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料金回収率</t>
    </r>
  </si>
  <si>
    <r>
      <rPr>
        <b val="true"/>
        <sz val="11"/>
        <color rgb="FFFFFFFF"/>
        <rFont val="Calibri"/>
        <family val="0"/>
        <charset val="1"/>
      </rPr>
      <t xml:space="preserve">R11</t>
    </r>
    <r>
      <rPr>
        <b val="true"/>
        <sz val="11"/>
        <color rgb="FFFFFFFF"/>
        <rFont val="Noto Sans CJK SC"/>
        <family val="2"/>
        <charset val="1"/>
      </rPr>
      <t xml:space="preserve">資産維持費込料金回収率</t>
    </r>
  </si>
  <si>
    <r>
      <rPr>
        <b val="true"/>
        <sz val="11"/>
        <color rgb="FFFFFFFF"/>
        <rFont val="Calibri"/>
        <family val="0"/>
        <charset val="1"/>
      </rPr>
      <t xml:space="preserve">R16</t>
    </r>
    <r>
      <rPr>
        <b val="true"/>
        <sz val="11"/>
        <color rgb="FFFFFFFF"/>
        <rFont val="Noto Sans CJK SC"/>
        <family val="2"/>
        <charset val="1"/>
      </rPr>
      <t xml:space="preserve">年度末現預金</t>
    </r>
  </si>
  <si>
    <r>
      <rPr>
        <b val="true"/>
        <sz val="11"/>
        <color rgb="FFFFFFFF"/>
        <rFont val="Calibri"/>
        <family val="0"/>
        <charset val="1"/>
      </rPr>
      <t xml:space="preserve">R7-R16</t>
    </r>
    <r>
      <rPr>
        <b val="true"/>
        <sz val="11"/>
        <color rgb="FFFFFFFF"/>
        <rFont val="Noto Sans CJK SC"/>
        <family val="2"/>
        <charset val="1"/>
      </rPr>
      <t xml:space="preserve">累計</t>
    </r>
    <r>
      <rPr>
        <b val="true"/>
        <sz val="11"/>
        <color rgb="FFFFFFFF"/>
        <rFont val="Calibr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  <charset val="1"/>
      </rPr>
      <t xml:space="preserve">条不足額</t>
    </r>
  </si>
  <si>
    <t xml:space="preserve">ビジョン原計画</t>
  </si>
  <si>
    <t xml:space="preserve">将来年次投資置換</t>
  </si>
  <si>
    <r>
      <rPr>
        <b val="true"/>
        <sz val="11"/>
        <color rgb="FFFFFFFF"/>
        <rFont val="Cambria"/>
        <family val="0"/>
        <charset val="1"/>
      </rPr>
      <t xml:space="preserve">R8</t>
    </r>
    <r>
      <rPr>
        <b val="true"/>
        <sz val="11"/>
        <color rgb="FFFFFFFF"/>
        <rFont val="Noto Sans CJK SC"/>
        <family val="2"/>
        <charset val="1"/>
      </rPr>
      <t xml:space="preserve">当初予算</t>
    </r>
  </si>
  <si>
    <t xml:space="preserve">中間改定/作成資料ベース</t>
  </si>
  <si>
    <t xml:space="preserve">将来年次計画</t>
  </si>
  <si>
    <t xml:space="preserve">採用値</t>
  </si>
  <si>
    <t xml:space="preserve">確認結果・備考</t>
  </si>
  <si>
    <t xml:space="preserve">差額（採用-予算）</t>
  </si>
  <si>
    <t xml:space="preserve">収益的収入：水道事業収益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</si>
  <si>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は予算ベースへ修正</t>
    </r>
  </si>
  <si>
    <t xml:space="preserve">収益的収入：給水収益</t>
  </si>
  <si>
    <t xml:space="preserve">収益的支出：水道事業費用</t>
  </si>
  <si>
    <t xml:space="preserve">資本的収入：合計</t>
  </si>
  <si>
    <t xml:space="preserve">資本的収入：企業債</t>
  </si>
  <si>
    <t xml:space="preserve">資本的収入：一般会計負担金</t>
  </si>
  <si>
    <t xml:space="preserve">資本的収入：国庫補助金</t>
  </si>
  <si>
    <t xml:space="preserve">資本的収入：工事負担金</t>
  </si>
  <si>
    <t xml:space="preserve">投資は将来年次計画へ置換（予算との差額を確認）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</si>
  <si>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</si>
  <si>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単位：千円、比率は％。料金改定率はR11〜R15の総括原価回収を基礎に算定し、R11以降の給水収益へ反映。</t>
  </si>
  <si>
    <t xml:space="preserve">年額資産維持費（千円）</t>
  </si>
  <si>
    <t xml:space="preserve">料金改定率（R11以降・試算）</t>
  </si>
  <si>
    <t xml:space="preserve">　給水収益（改定反映後）</t>
  </si>
  <si>
    <t xml:space="preserve">　うち料金改定増収</t>
  </si>
  <si>
    <t xml:space="preserve">　その他営業収益</t>
  </si>
  <si>
    <t xml:space="preserve">　長期前受金戻入</t>
  </si>
  <si>
    <t xml:space="preserve">　繰入金・負担金等</t>
  </si>
  <si>
    <t xml:space="preserve">収益的収入合計</t>
  </si>
  <si>
    <t xml:space="preserve">　減価償却費</t>
  </si>
  <si>
    <t xml:space="preserve">　資産減耗・除却費</t>
  </si>
  <si>
    <t xml:space="preserve">　支払利息</t>
  </si>
  <si>
    <t xml:space="preserve">収益的支出合計</t>
  </si>
  <si>
    <t xml:space="preserve">経常損益</t>
  </si>
  <si>
    <t xml:space="preserve">純損益</t>
  </si>
  <si>
    <t xml:space="preserve">【経営指標】</t>
  </si>
  <si>
    <t xml:space="preserve">経常収支比率</t>
  </si>
  <si>
    <t xml:space="preserve">料金回収率（通常）</t>
  </si>
  <si>
    <t xml:space="preserve">資産維持費込料金回収率</t>
  </si>
  <si>
    <t xml:space="preserve">給水原価対象費用</t>
  </si>
  <si>
    <t xml:space="preserve">給水原価対象費用＋資産維持費</t>
  </si>
  <si>
    <t xml:space="preserve">総括原価回収率（参考）</t>
  </si>
  <si>
    <t xml:space="preserve">検証：資産維持費込&lt;=通常</t>
  </si>
  <si>
    <t xml:space="preserve">【現預金・4条財源】</t>
  </si>
  <si>
    <t xml:space="preserve">補てん可能財源相当（簡便CF）</t>
  </si>
  <si>
    <t xml:space="preserve">資本的収支不足額（再掲）</t>
  </si>
  <si>
    <t xml:space="preserve">年度末現預金残高</t>
  </si>
  <si>
    <t xml:space="preserve">最低現金目安との差額</t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</si>
  <si>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</si>
  <si>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</si>
  <si>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ビジョン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</si>
  <si>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_0%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</si>
  <si>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</si>
  <si>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</si>
  <si>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</t>
    </r>
    <r>
      <rPr>
        <b val="true"/>
        <sz val="14"/>
        <color rgb="FFFFFFFF"/>
        <rFont val="Noto Sans CJK SC"/>
        <family val="2"/>
        <charset val="1"/>
      </rPr>
      <t xml:space="preserve">置換後</t>
    </r>
    <r>
      <rPr>
        <b val="true"/>
        <sz val="14"/>
        <color rgb="FFFFFFFF"/>
        <rFont val="Calibri"/>
        <family val="0"/>
        <charset val="1"/>
      </rPr>
      <t xml:space="preserve">_3%</t>
    </r>
  </si>
  <si>
    <r>
      <rPr>
        <b val="true"/>
        <sz val="14"/>
        <color rgb="FFFFFFFF"/>
        <rFont val="Calibri"/>
        <family val="0"/>
        <charset val="1"/>
      </rPr>
      <t xml:space="preserve">R8</t>
    </r>
    <r>
      <rPr>
        <b val="true"/>
        <sz val="14"/>
        <color rgb="FFFFFFFF"/>
        <rFont val="Noto Sans CJK SC"/>
        <family val="2"/>
        <charset val="1"/>
      </rPr>
      <t xml:space="preserve">予算反映・将来年次計画投資置換後の投資財政計画（</t>
    </r>
    <r>
      <rPr>
        <b val="true"/>
        <sz val="14"/>
        <color rgb="FFFFFFFF"/>
        <rFont val="Calibri"/>
        <family val="0"/>
        <charset val="1"/>
      </rPr>
      <t xml:space="preserve">R7</t>
    </r>
    <r>
      <rPr>
        <b val="true"/>
        <sz val="14"/>
        <color rgb="FFFFFFFF"/>
        <rFont val="Noto Sans CJK SC"/>
        <family val="2"/>
        <charset val="1"/>
      </rPr>
      <t xml:space="preserve">〜</t>
    </r>
    <r>
      <rPr>
        <b val="true"/>
        <sz val="14"/>
        <color rgb="FFFFFFFF"/>
        <rFont val="Calibri"/>
        <family val="0"/>
        <charset val="1"/>
      </rPr>
      <t xml:space="preserve">R16</t>
    </r>
    <r>
      <rPr>
        <b val="true"/>
        <sz val="14"/>
        <color rgb="FFFFFFFF"/>
        <rFont val="Noto Sans CJK SC"/>
        <family val="2"/>
        <charset val="1"/>
      </rPr>
      <t xml:space="preserve">）</t>
    </r>
  </si>
  <si>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  <charset val="1"/>
      </rPr>
      <t xml:space="preserve">は当初予算書の収益的収支・資本的収入を反映。建設改良費は将来年次計画</t>
    </r>
    <r>
      <rPr>
        <b val="true"/>
        <sz val="11"/>
        <rFont val="Calibri"/>
        <family val="0"/>
        <charset val="1"/>
      </rPr>
      <t xml:space="preserve">2025.12.2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Calibri"/>
        <family val="0"/>
        <charset val="1"/>
      </rPr>
      <t xml:space="preserve">2026.3.1</t>
    </r>
    <r>
      <rPr>
        <b val="true"/>
        <sz val="11"/>
        <rFont val="Noto Sans CJK SC"/>
        <family val="2"/>
        <charset val="1"/>
      </rPr>
      <t xml:space="preserve">シート）の調整後事業費計へ置換。単位：千円。　【修正】修繕費・動力費・薬品費・委託料・資産減耗費・その他営業費用は</t>
    </r>
    <r>
      <rPr>
        <b val="true"/>
        <sz val="11"/>
        <rFont val="Calibri"/>
        <family val="0"/>
        <charset val="1"/>
      </rPr>
      <t xml:space="preserve">993</t>
    </r>
    <r>
      <rPr>
        <b val="true"/>
        <sz val="11"/>
        <rFont val="Noto Sans CJK SC"/>
        <family val="2"/>
        <charset val="1"/>
      </rPr>
      <t xml:space="preserve">作成資料上「物件費」の内数のため、営業費用の合計から除外（従来は二重計上）。</t>
    </r>
    <r>
      <rPr>
        <b val="true"/>
        <sz val="11"/>
        <rFont val="Calibri"/>
        <family val="0"/>
        <charset val="1"/>
      </rPr>
      <t xml:space="preserve">R8</t>
    </r>
    <r>
      <rPr>
        <b val="true"/>
        <sz val="11"/>
        <rFont val="Noto Sans CJK SC"/>
        <family val="2"/>
        <charset val="1"/>
      </rPr>
      <t xml:space="preserve">予算年度のみ資産減耗費</t>
    </r>
    <r>
      <rPr>
        <b val="true"/>
        <sz val="11"/>
        <rFont val="Calibri"/>
        <family val="0"/>
        <charset val="1"/>
      </rPr>
      <t xml:space="preserve">12,000</t>
    </r>
    <r>
      <rPr>
        <b val="true"/>
        <sz val="11"/>
        <rFont val="Noto Sans CJK SC"/>
        <family val="2"/>
        <charset val="1"/>
      </rPr>
      <t xml:space="preserve">を別掲加算。</t>
    </r>
  </si>
  <si>
    <t xml:space="preserve">【R8予算反映メモ】</t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</si>
  <si>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資本的収入は当初予算書の</t>
    </r>
    <r>
      <rPr>
        <sz val="11"/>
        <rFont val="Calibri"/>
        <family val="0"/>
        <charset val="1"/>
      </rPr>
      <t xml:space="preserve">861,283</t>
    </r>
    <r>
      <rPr>
        <sz val="11"/>
        <rFont val="Noto Sans CJK SC"/>
        <family val="2"/>
        <charset val="1"/>
      </rPr>
      <t xml:space="preserve">千円を採用。企業債</t>
    </r>
    <r>
      <rPr>
        <sz val="11"/>
        <rFont val="Calibri"/>
        <family val="0"/>
        <charset val="1"/>
      </rPr>
      <t xml:space="preserve">519,900</t>
    </r>
    <r>
      <rPr>
        <sz val="11"/>
        <rFont val="Noto Sans CJK SC"/>
        <family val="2"/>
        <charset val="1"/>
      </rPr>
      <t xml:space="preserve">、一般会計負担金</t>
    </r>
    <r>
      <rPr>
        <sz val="11"/>
        <rFont val="Calibri"/>
        <family val="0"/>
        <charset val="1"/>
      </rPr>
      <t xml:space="preserve">166,838</t>
    </r>
    <r>
      <rPr>
        <sz val="11"/>
        <rFont val="Noto Sans CJK SC"/>
        <family val="2"/>
        <charset val="1"/>
      </rPr>
      <t xml:space="preserve">、国庫補助金</t>
    </r>
    <r>
      <rPr>
        <sz val="11"/>
        <rFont val="Calibri"/>
        <family val="0"/>
        <charset val="1"/>
      </rPr>
      <t xml:space="preserve">2,000</t>
    </r>
    <r>
      <rPr>
        <sz val="11"/>
        <rFont val="Noto Sans CJK SC"/>
        <family val="2"/>
        <charset val="1"/>
      </rPr>
      <t xml:space="preserve">、工事負担金</t>
    </r>
    <r>
      <rPr>
        <sz val="11"/>
        <rFont val="Calibri"/>
        <family val="0"/>
        <charset val="1"/>
      </rPr>
      <t xml:space="preserve">172,545</t>
    </r>
    <r>
      <rPr>
        <sz val="11"/>
        <rFont val="Noto Sans CJK SC"/>
        <family val="2"/>
        <charset val="1"/>
      </rPr>
      <t xml:space="preserve">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</si>
  <si>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建設改良費は、投資側は将来年次計画の調整後事業費計</t>
    </r>
    <r>
      <rPr>
        <sz val="11"/>
        <rFont val="Calibri"/>
        <family val="0"/>
        <charset val="1"/>
      </rPr>
      <t xml:space="preserve">888,542</t>
    </r>
    <r>
      <rPr>
        <sz val="11"/>
        <rFont val="Noto Sans CJK SC"/>
        <family val="2"/>
        <charset val="1"/>
      </rPr>
      <t xml:space="preserve">千円へ置換。予算上の建設改良費</t>
    </r>
    <r>
      <rPr>
        <sz val="11"/>
        <rFont val="Calibri"/>
        <family val="0"/>
        <charset val="1"/>
      </rPr>
      <t xml:space="preserve">714,032</t>
    </r>
    <r>
      <rPr>
        <sz val="11"/>
        <rFont val="Noto Sans CJK SC"/>
        <family val="2"/>
        <charset val="1"/>
      </rPr>
      <t xml:space="preserve">千円との差は</t>
    </r>
    <r>
      <rPr>
        <sz val="11"/>
        <rFont val="Calibri"/>
        <family val="0"/>
        <charset val="1"/>
      </rPr>
      <t xml:space="preserve">174,510</t>
    </r>
    <r>
      <rPr>
        <sz val="11"/>
        <rFont val="Noto Sans CJK SC"/>
        <family val="2"/>
        <charset val="1"/>
      </rPr>
      <t xml:space="preserve">千円。</t>
    </r>
  </si>
  <si>
    <r>
      <rPr>
        <sz val="11"/>
        <rFont val="Calibri"/>
        <family val="0"/>
        <charset val="1"/>
      </rPr>
      <t xml:space="preserve">R8</t>
    </r>
    <r>
      <rPr>
        <sz val="11"/>
        <rFont val="Noto Sans CJK SC"/>
        <family val="2"/>
        <charset val="1"/>
      </rPr>
      <t xml:space="preserve">の収益的収支は当初予算書の給水収益</t>
    </r>
    <r>
      <rPr>
        <sz val="11"/>
        <rFont val="Calibri"/>
        <family val="0"/>
        <charset val="1"/>
      </rPr>
      <t xml:space="preserve">1,331,944</t>
    </r>
    <r>
      <rPr>
        <sz val="11"/>
        <rFont val="Noto Sans CJK SC"/>
        <family val="2"/>
        <charset val="1"/>
      </rPr>
      <t xml:space="preserve">千円、営業費用</t>
    </r>
    <r>
      <rPr>
        <sz val="11"/>
        <rFont val="Calibri"/>
        <family val="0"/>
        <charset val="1"/>
      </rPr>
      <t xml:space="preserve">1,546,573</t>
    </r>
    <r>
      <rPr>
        <sz val="11"/>
        <rFont val="Noto Sans CJK SC"/>
        <family val="2"/>
        <charset val="1"/>
      </rPr>
      <t xml:space="preserve">千円、支払利息</t>
    </r>
    <r>
      <rPr>
        <sz val="11"/>
        <rFont val="Calibri"/>
        <family val="0"/>
        <charset val="1"/>
      </rPr>
      <t xml:space="preserve">113,113</t>
    </r>
    <r>
      <rPr>
        <sz val="11"/>
        <rFont val="Noto Sans CJK SC"/>
        <family val="2"/>
        <charset val="1"/>
      </rPr>
      <t xml:space="preserve">千円等を反映。</t>
    </r>
  </si>
  <si>
    <r>
      <rPr>
        <sz val="10"/>
        <rFont val="Noto Sans CJK SC"/>
        <family val="2"/>
        <charset val="1"/>
      </rPr>
      <t xml:space="preserve">【企業債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  <charset val="1"/>
      </rPr>
      <t xml:space="preserve">充当・建設仮勘定統合メモ】</t>
    </r>
  </si>
  <si>
    <r>
      <rPr>
        <sz val="10"/>
        <rFont val="Noto Sans CJK SC"/>
        <family val="2"/>
        <charset val="1"/>
      </rPr>
      <t xml:space="preserve">企業債</t>
    </r>
    <r>
      <rPr>
        <sz val="10"/>
        <rFont val="Arial"/>
        <family val="0"/>
        <charset val="1"/>
      </rPr>
      <t xml:space="preserve">(R8</t>
    </r>
    <r>
      <rPr>
        <sz val="10"/>
        <rFont val="Noto Sans CJK SC"/>
        <family val="2"/>
        <charset val="1"/>
      </rPr>
      <t xml:space="preserve">〜</t>
    </r>
    <r>
      <rPr>
        <sz val="10"/>
        <rFont val="Arial"/>
        <family val="0"/>
        <charset val="1"/>
      </rPr>
      <t xml:space="preserve">R16)</t>
    </r>
    <r>
      <rPr>
        <sz val="10"/>
        <rFont val="Noto Sans CJK SC"/>
        <family val="2"/>
        <charset val="1"/>
      </rPr>
      <t xml:space="preserve">＝建設改良費−国庫補助金−工事負担金（充当率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  <charset val="1"/>
      </rPr>
      <t xml:space="preserve">）。</t>
    </r>
    <r>
      <rPr>
        <sz val="10"/>
        <rFont val="Arial"/>
        <family val="0"/>
        <charset val="1"/>
      </rPr>
      <t xml:space="preserve">R9</t>
    </r>
    <r>
      <rPr>
        <sz val="10"/>
        <rFont val="Noto Sans CJK SC"/>
        <family val="2"/>
        <charset val="1"/>
      </rPr>
      <t xml:space="preserve">は過年度建設仮勘定純額</t>
    </r>
    <r>
      <rPr>
        <sz val="10"/>
        <rFont val="Arial"/>
        <family val="0"/>
        <charset val="1"/>
      </rPr>
      <t xml:space="preserve">12,066</t>
    </r>
    <r>
      <rPr>
        <sz val="10"/>
        <rFont val="Noto Sans CJK SC"/>
        <family val="2"/>
        <charset val="1"/>
      </rPr>
      <t xml:space="preserve">千円を追加借入。差分起債の利息・元金は下記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モデルで支払利息・企業債償還金へ加算。</t>
    </r>
    <r>
      <rPr>
        <sz val="10"/>
        <rFont val="Arial"/>
        <family val="0"/>
        <charset val="1"/>
      </rPr>
      <t xml:space="preserve">R10</t>
    </r>
    <r>
      <rPr>
        <sz val="10"/>
        <rFont val="Noto Sans CJK SC"/>
        <family val="2"/>
        <charset val="1"/>
      </rPr>
      <t xml:space="preserve">以降の減価償却費・長期前受金戻入は建設仮勘定供用開始影響（</t>
    </r>
    <r>
      <rPr>
        <sz val="10"/>
        <rFont val="Arial"/>
        <family val="0"/>
        <charset val="1"/>
      </rPr>
      <t xml:space="preserve">+11,639</t>
    </r>
    <r>
      <rPr>
        <sz val="10"/>
        <rFont val="Noto Sans CJK SC"/>
        <family val="2"/>
        <charset val="1"/>
      </rPr>
      <t xml:space="preserve">／</t>
    </r>
    <r>
      <rPr>
        <sz val="10"/>
        <rFont val="Arial"/>
        <family val="0"/>
        <charset val="1"/>
      </rPr>
      <t xml:space="preserve">+8,655</t>
    </r>
    <r>
      <rPr>
        <sz val="10"/>
        <rFont val="Noto Sans CJK SC"/>
        <family val="2"/>
        <charset val="1"/>
      </rPr>
      <t xml:space="preserve">千円）を統合済み。</t>
    </r>
  </si>
  <si>
    <r>
      <rPr>
        <sz val="10"/>
        <rFont val="Noto Sans CJK SC"/>
        <family val="2"/>
        <charset val="1"/>
      </rPr>
      <t xml:space="preserve">【企業債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  <charset val="1"/>
      </rPr>
      <t xml:space="preserve">充当 差分（</t>
    </r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）モデル】利率</t>
    </r>
    <r>
      <rPr>
        <sz val="10"/>
        <rFont val="Arial"/>
        <family val="0"/>
        <charset val="1"/>
      </rPr>
      <t xml:space="preserve">3%</t>
    </r>
    <r>
      <rPr>
        <sz val="10"/>
        <rFont val="Noto Sans CJK SC"/>
        <family val="2"/>
        <charset val="1"/>
      </rPr>
      <t xml:space="preserve">・</t>
    </r>
    <r>
      <rPr>
        <sz val="10"/>
        <rFont val="Arial"/>
        <family val="0"/>
        <charset val="1"/>
      </rPr>
      <t xml:space="preserve">40</t>
    </r>
    <r>
      <rPr>
        <sz val="10"/>
        <rFont val="Noto Sans CJK SC"/>
        <family val="2"/>
        <charset val="1"/>
      </rPr>
      <t xml:space="preserve">年元金均等・借入年度末借入（翌年度から償還・利息発生）。実際の起債条件確定後に要再計算。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</si>
  <si>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起債（千円）＝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  <charset val="1"/>
      </rPr>
      <t xml:space="preserve">充当起債−従来計画起債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</si>
  <si>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元金償還（千円）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</si>
  <si>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支払利息（千円）</t>
    </r>
  </si>
  <si>
    <r>
      <rPr>
        <sz val="10"/>
        <rFont val="Arial"/>
        <family val="0"/>
        <charset val="1"/>
      </rPr>
      <t xml:space="preserve">Δ</t>
    </r>
    <r>
      <rPr>
        <sz val="10"/>
        <rFont val="Noto Sans CJK SC"/>
        <family val="2"/>
        <charset val="1"/>
      </rPr>
      <t xml:space="preserve">企業債残高（期末・千円）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</si>
  <si>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_0%</t>
    </r>
  </si>
  <si>
    <t xml:space="preserve">【建設仮勘定・追加企業債影響：本体へ統合済み（参考ブロックは無効化）】</t>
  </si>
  <si>
    <t xml:space="preserve">減価償却費増加（本体統合済のため0）</t>
  </si>
  <si>
    <t xml:space="preserve">長期前受金戻入増加（本体統合済のため0）</t>
  </si>
  <si>
    <t xml:space="preserve">支払利息増加（本体統合済のため0）</t>
  </si>
  <si>
    <t xml:space="preserve">企業債元金償還増加（本体統合済のため0）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</si>
  <si>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条純損益影響</t>
    </r>
  </si>
  <si>
    <t xml:space="preserve">現金支出影響</t>
  </si>
  <si>
    <t xml:space="preserve">年度末現預金残高（＝本体、統合後）</t>
  </si>
  <si>
    <t xml:space="preserve">補填財源残高（期末・簡便推計）</t>
  </si>
  <si>
    <r>
      <rPr>
        <sz val="10"/>
        <rFont val="Noto Sans CJK SC"/>
        <family val="2"/>
        <charset val="1"/>
      </rPr>
      <t xml:space="preserve">注：起点は</t>
    </r>
    <r>
      <rPr>
        <sz val="10"/>
        <rFont val="Arial"/>
        <family val="0"/>
        <charset val="1"/>
      </rPr>
      <t xml:space="preserve">R7</t>
    </r>
    <r>
      <rPr>
        <sz val="10"/>
        <rFont val="Noto Sans CJK SC"/>
        <family val="2"/>
        <charset val="1"/>
      </rPr>
      <t xml:space="preserve">末補てん財源経過表（</t>
    </r>
    <r>
      <rPr>
        <sz val="10"/>
        <rFont val="Arial"/>
        <family val="0"/>
        <charset val="1"/>
      </rPr>
      <t xml:space="preserve">0708</t>
    </r>
    <r>
      <rPr>
        <sz val="10"/>
        <rFont val="Noto Sans CJK SC"/>
        <family val="2"/>
        <charset val="1"/>
      </rPr>
      <t xml:space="preserve">修正版）の</t>
    </r>
    <r>
      <rPr>
        <sz val="10"/>
        <rFont val="Arial"/>
        <family val="0"/>
        <charset val="1"/>
      </rPr>
      <t xml:space="preserve">183,463</t>
    </r>
    <r>
      <rPr>
        <sz val="10"/>
        <rFont val="Noto Sans CJK SC"/>
        <family val="2"/>
        <charset val="1"/>
      </rPr>
      <t xml:space="preserve">千円。発生・使用は簡便</t>
    </r>
    <r>
      <rPr>
        <sz val="10"/>
        <rFont val="Arial"/>
        <family val="0"/>
        <charset val="1"/>
      </rPr>
      <t xml:space="preserve">CF</t>
    </r>
    <r>
      <rPr>
        <sz val="10"/>
        <rFont val="Noto Sans CJK SC"/>
        <family val="2"/>
        <charset val="1"/>
      </rPr>
      <t xml:space="preserve">（純損益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減価償却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  <charset val="1"/>
      </rPr>
      <t xml:space="preserve">資産減耗−戻入、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  <charset val="1"/>
      </rPr>
      <t xml:space="preserve">条不足充当）ベースで、消費税資本的収支調整額・剰余金処分の時期差等は未反映。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</si>
  <si>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_1%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</si>
  <si>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_2%</t>
    </r>
  </si>
  <si>
    <r>
      <rPr>
        <b val="true"/>
        <sz val="14"/>
        <color rgb="FFFFFFFF"/>
        <rFont val="Calibri"/>
        <family val="0"/>
        <charset val="1"/>
      </rPr>
      <t xml:space="preserve">SIM_R8</t>
    </r>
    <r>
      <rPr>
        <b val="true"/>
        <sz val="14"/>
        <color rgb="FFFFFFFF"/>
        <rFont val="Noto Sans CJK SC"/>
        <family val="2"/>
        <charset val="1"/>
      </rPr>
      <t xml:space="preserve">予算置換</t>
    </r>
    <r>
      <rPr>
        <b val="true"/>
        <sz val="14"/>
        <color rgb="FFFFFFFF"/>
        <rFont val="Calibri"/>
        <family val="0"/>
        <charset val="1"/>
      </rPr>
      <t xml:space="preserve">_3%</t>
    </r>
  </si>
  <si>
    <t xml:space="preserve">建設仮勘定・長期前受金・追加企業債 精緻化</t>
  </si>
  <si>
    <t xml:space="preserve">令和9年度末供用開始、令和10年度から40年償却。金額は円単位、SIM参照行では千円換算。</t>
  </si>
  <si>
    <t xml:space="preserve">年度</t>
  </si>
  <si>
    <t xml:space="preserve">事業名</t>
  </si>
  <si>
    <t xml:space="preserve">税込金額</t>
  </si>
  <si>
    <t xml:space="preserve">供用開始</t>
  </si>
  <si>
    <t xml:space="preserve">耐用年数</t>
  </si>
  <si>
    <t xml:space="preserve">金額</t>
  </si>
  <si>
    <t xml:space="preserve">令和5年度</t>
  </si>
  <si>
    <t xml:space="preserve">大湊BP配水管仮設工事</t>
  </si>
  <si>
    <t xml:space="preserve">令和9年度末</t>
  </si>
  <si>
    <t xml:space="preserve">令和7年度末</t>
  </si>
  <si>
    <t xml:space="preserve">大湊BP既設配水管撤去工事</t>
  </si>
  <si>
    <t xml:space="preserve">大湊BP仮設配水管維持工事</t>
  </si>
  <si>
    <t xml:space="preserve">大湊BPⅡ期工事（１工区）県補償金</t>
  </si>
  <si>
    <t xml:space="preserve">大湊BP設計業務委託（非控除消費税相当額）</t>
  </si>
  <si>
    <t xml:space="preserve">大湊BPⅡ期工事（２工区）県補償金</t>
  </si>
  <si>
    <t xml:space="preserve">令和6年度</t>
  </si>
  <si>
    <t xml:space="preserve">大湊BPⅡ期（第２工区）配水管移設設計業務委託</t>
  </si>
  <si>
    <t xml:space="preserve">大湊BP（２工区）仮設配水管維持工事</t>
  </si>
  <si>
    <t xml:space="preserve">大湊BPⅡ期（２工区）配水管切廻し工事（第三工区）</t>
  </si>
  <si>
    <t xml:space="preserve">大湊BPⅡ期（２工区）仮設配水管設置工事</t>
  </si>
  <si>
    <t xml:space="preserve">大湊BPⅡ期工事（１工区）配水管切廻し工事</t>
  </si>
  <si>
    <t xml:space="preserve">大湊BPⅡ期工事（２工区）配水管切廻し工事（第一工区）</t>
  </si>
  <si>
    <t xml:space="preserve">大湊BPⅡ期工事（２工区）配水管切廻し工事（第二工区）</t>
  </si>
  <si>
    <t xml:space="preserve">大湊BPⅡ期工事（２工区）配水管切廻し工事（第四工区）</t>
  </si>
  <si>
    <t xml:space="preserve">大湊BPⅡ期工事（２工区）配水管切廻し工事（第五工区）</t>
  </si>
  <si>
    <t xml:space="preserve">大湊BPⅡ期工事（２工区）配水管切廻し工事（第六工区）</t>
  </si>
  <si>
    <t xml:space="preserve">大湊BPⅡ期工事（１工区）仮設管維持工事</t>
  </si>
  <si>
    <t xml:space="preserve">大湊BPⅡ期工事（２工区）仮設管維持工事</t>
  </si>
  <si>
    <t xml:space="preserve">集計</t>
  </si>
  <si>
    <t xml:space="preserve">追加企業債の前提（利率は必要に応じて実際条件へ置換）</t>
  </si>
  <si>
    <t xml:space="preserve">金額・率</t>
  </si>
  <si>
    <t xml:space="preserve">借入区分</t>
  </si>
  <si>
    <t xml:space="preserve">借入額</t>
  </si>
  <si>
    <t xml:space="preserve">利率</t>
  </si>
  <si>
    <t xml:space="preserve">償還年数</t>
  </si>
  <si>
    <t xml:space="preserve">償還開始</t>
  </si>
  <si>
    <t xml:space="preserve">建設仮勘定対象事業 合計</t>
  </si>
  <si>
    <t xml:space="preserve">令和7年度以前分</t>
  </si>
  <si>
    <t xml:space="preserve">令和5-7年度事業から令和7年度末工事負担金等を控除した純額</t>
  </si>
  <si>
    <t xml:space="preserve">建設仮勘定長期前受金等 合計</t>
  </si>
  <si>
    <t xml:space="preserve">令和8年度分</t>
  </si>
  <si>
    <t xml:space="preserve">令和8年度事業から令和8年度県補償金等を控除した純額</t>
  </si>
  <si>
    <t xml:space="preserve">純額（追加企業債対象額）</t>
  </si>
  <si>
    <t xml:space="preserve">令和5-7年度事業 合計</t>
  </si>
  <si>
    <t xml:space="preserve">令和7年度末工事負担金等</t>
  </si>
  <si>
    <t xml:space="preserve">令和8年度事業 合計</t>
  </si>
  <si>
    <t xml:space="preserve">令和8年度県補償金等</t>
  </si>
  <si>
    <t xml:space="preserve">年額減価償却費</t>
  </si>
  <si>
    <t xml:space="preserve">年額長期前受金戻入</t>
  </si>
  <si>
    <t xml:space="preserve">年額純費用影響</t>
  </si>
  <si>
    <t xml:space="preserve">減価償却費増加（千円）</t>
  </si>
  <si>
    <t xml:space="preserve">長期前受金戻入増加（千円）</t>
  </si>
  <si>
    <t xml:space="preserve">純費用影響（千円）</t>
  </si>
  <si>
    <t xml:space="preserve">追加企業債残高（円）</t>
  </si>
  <si>
    <t xml:space="preserve">支払利息増加（千円）</t>
  </si>
  <si>
    <t xml:space="preserve">元金償還増加（千円）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</si>
  <si>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  <charset val="1"/>
      </rPr>
      <t xml:space="preserve">条純損益影響（千円）</t>
    </r>
  </si>
  <si>
    <t xml:space="preserve">現金支出影響（千円）</t>
  </si>
  <si>
    <t xml:space="preserve">注: 本表の追加企業債（借入額・利息・元金）は、02_R8予算_年次計画置換のΔモデル（企業債100%充当）に統合済みのため、43〜47行はSIMへ直接加算していません（参考値）。減価償却費・長期前受金戻入（40〜41行）は02シート本体へ統合済み。利率・償還条件確定後はΔモデル側を再設定してください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</si>
</sst>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.00%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Noto Sans CJK SC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name val="Noto Sans CJK SC"/>
      <family val="0"/>
      <charset val="1"/>
    </font>
    <font>
      <sz val="11"/>
      <name val="Calibri"/>
      <family val="0"/>
      <charset val="1"/>
    </font>
    <font>
      <sz val="11"/>
      <name val="Noto Sans CJK SC"/>
      <family val="0"/>
      <charset val="1"/>
    </font>
    <font>
      <sz val="11"/>
      <name val="Noto Sans CJK SC"/>
      <family val="2"/>
      <charset val="1"/>
    </font>
    <font>
      <b val="true"/>
      <sz val="11"/>
      <name val="Calibri"/>
      <family val="0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4"/>
      <color rgb="FFFFFFFF"/>
      <name val="Noto Sans CJK SC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4"/>
      <color rgb="FFFFFFFF"/>
      <name val="Noto Sans CJK SC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17365D"/>
      <name val="Noto Sans CJK SC"/>
      <family val="2"/>
      <charset val="1"/>
    </font>
    <font>
      <sz val="10"/>
      <color rgb="FF7F6000"/>
      <name val="Noto Sans CJK SC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E3A8A"/>
      </patternFill>
    </fill>
    <fill>
      <patternFill patternType="solid">
        <fgColor rgb="FFEAF2F8"/>
        <bgColor rgb="FFE0F2FE"/>
      </patternFill>
    </fill>
    <fill>
      <patternFill patternType="solid">
        <fgColor rgb="FFE0F2FE"/>
        <bgColor rgb="FFEAF2F8"/>
      </patternFill>
    </fill>
    <fill>
      <patternFill patternType="solid">
        <fgColor rgb="FFFFF2CC"/>
        <bgColor rgb="FFFEF3C7"/>
      </patternFill>
    </fill>
    <fill>
      <patternFill patternType="solid">
        <fgColor rgb="FFD9EAF7"/>
        <bgColor rgb="FFDBEAFE"/>
      </patternFill>
    </fill>
    <fill>
      <patternFill patternType="solid">
        <fgColor rgb="FF1E3A8A"/>
        <bgColor rgb="FF17365D"/>
      </patternFill>
    </fill>
    <fill>
      <patternFill patternType="solid">
        <fgColor rgb="FFDBEAFE"/>
        <bgColor rgb="FFD9EAF7"/>
      </patternFill>
    </fill>
    <fill>
      <patternFill patternType="solid">
        <fgColor rgb="FFFEF3C7"/>
        <bgColor rgb="FFFFF2CC"/>
      </patternFill>
    </fill>
    <fill>
      <patternFill patternType="solid">
        <fgColor rgb="FF17365D"/>
        <bgColor rgb="FF1E3A8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2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2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9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12" fillId="6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1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5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9E2F3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AF2F8"/>
      <rgbColor rgb="FFFFF2CC"/>
      <rgbColor rgb="FFDBEAF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E3A8A"/>
      <rgbColor rgb="FF1F4E7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2.5"/>
    <col collapsed="false" customWidth="true" hidden="false" outlineLevel="0" max="3" min="3" style="1" width="4.25"/>
    <col collapsed="false" customWidth="true" hidden="false" outlineLevel="0" max="4" min="4" style="1" width="80.13"/>
    <col collapsed="false" customWidth="true" hidden="false" outlineLevel="0" max="6" min="6" style="1" width="26.25"/>
    <col collapsed="false" customWidth="true" hidden="false" outlineLevel="0" max="7" min="7" style="1" width="14.63"/>
    <col collapsed="false" customWidth="true" hidden="false" outlineLevel="0" max="8" min="8" style="1" width="7.88"/>
    <col collapsed="false" customWidth="true" hidden="false" outlineLevel="0" max="9" min="9" style="1" width="17.88"/>
    <col collapsed="false" customWidth="true" hidden="false" outlineLevel="0" max="10" min="10" style="1" width="24.7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customFormat="false" ht="15" hidden="false" customHeight="true" outlineLevel="0" collapsed="false">
      <c r="A2" s="5" t="s">
        <v>9</v>
      </c>
      <c r="B2" s="6" t="n">
        <v>16455364</v>
      </c>
      <c r="C2" s="7" t="s">
        <v>10</v>
      </c>
      <c r="D2" s="8" t="s">
        <v>11</v>
      </c>
      <c r="F2" s="7" t="s">
        <v>12</v>
      </c>
      <c r="G2" s="8" t="s">
        <v>13</v>
      </c>
      <c r="H2" s="7" t="s">
        <v>14</v>
      </c>
      <c r="I2" s="7" t="s">
        <v>15</v>
      </c>
      <c r="J2" s="7" t="s">
        <v>16</v>
      </c>
    </row>
    <row r="3" customFormat="false" ht="15" hidden="false" customHeight="true" outlineLevel="0" collapsed="false">
      <c r="A3" s="5" t="s">
        <v>17</v>
      </c>
      <c r="B3" s="9" t="s">
        <v>18</v>
      </c>
      <c r="C3" s="8"/>
      <c r="D3" s="8" t="s">
        <v>19</v>
      </c>
    </row>
    <row r="4" customFormat="false" ht="15" hidden="false" customHeight="true" outlineLevel="0" collapsed="false">
      <c r="A4" s="5" t="s">
        <v>20</v>
      </c>
      <c r="B4" s="9" t="s">
        <v>18</v>
      </c>
      <c r="C4" s="8"/>
      <c r="D4" s="7" t="s">
        <v>21</v>
      </c>
    </row>
    <row r="5" customFormat="false" ht="15" hidden="false" customHeight="true" outlineLevel="0" collapsed="false">
      <c r="A5" s="5" t="s">
        <v>22</v>
      </c>
      <c r="B5" s="9" t="s">
        <v>23</v>
      </c>
      <c r="C5" s="8"/>
      <c r="D5" s="7" t="s">
        <v>24</v>
      </c>
    </row>
    <row r="6" customFormat="false" ht="15" hidden="false" customHeight="true" outlineLevel="0" collapsed="false">
      <c r="A6" s="10" t="s">
        <v>25</v>
      </c>
      <c r="B6" s="6" t="n">
        <v>242588</v>
      </c>
      <c r="C6" s="7" t="s">
        <v>10</v>
      </c>
      <c r="D6" s="8" t="s">
        <v>26</v>
      </c>
    </row>
    <row r="7" customFormat="false" ht="15" hidden="false" customHeight="true" outlineLevel="0" collapsed="false">
      <c r="A7" s="5" t="s">
        <v>27</v>
      </c>
      <c r="B7" s="6" t="n">
        <v>300000</v>
      </c>
      <c r="C7" s="7" t="s">
        <v>10</v>
      </c>
      <c r="D7" s="7" t="s">
        <v>28</v>
      </c>
    </row>
    <row r="8" customFormat="false" ht="15" hidden="false" customHeight="true" outlineLevel="0" collapsed="false">
      <c r="A8" s="5" t="s">
        <v>29</v>
      </c>
      <c r="B8" s="9" t="s">
        <v>30</v>
      </c>
      <c r="C8" s="8"/>
      <c r="D8" s="7" t="s">
        <v>31</v>
      </c>
    </row>
    <row r="9" customFormat="false" ht="15" hidden="false" customHeight="true" outlineLevel="0" collapsed="false">
      <c r="A9" s="5" t="s">
        <v>32</v>
      </c>
      <c r="B9" s="9" t="s">
        <v>33</v>
      </c>
      <c r="C9" s="8"/>
      <c r="D9" s="7" t="s">
        <v>34</v>
      </c>
    </row>
    <row r="10" customFormat="false" ht="16.5" hidden="false" customHeight="true" outlineLevel="0" collapsed="false">
      <c r="A10" s="11" t="s">
        <v>35</v>
      </c>
      <c r="B10" s="12" t="s">
        <v>36</v>
      </c>
      <c r="C10" s="12"/>
      <c r="D10" s="12"/>
      <c r="E10" s="12"/>
      <c r="F10" s="12"/>
      <c r="G10" s="12"/>
      <c r="H10" s="12"/>
      <c r="I10" s="12"/>
      <c r="J10" s="12"/>
    </row>
    <row r="11" customFormat="false" ht="16.5" hidden="false" customHeight="true" outlineLevel="0" collapsed="false">
      <c r="A11" s="11" t="s">
        <v>37</v>
      </c>
      <c r="B11" s="13" t="s">
        <v>38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true" outlineLevel="0" collapsed="false">
      <c r="A12" s="14" t="s">
        <v>39</v>
      </c>
      <c r="B12" s="14" t="s">
        <v>40</v>
      </c>
    </row>
    <row r="13" customFormat="false" ht="15" hidden="false" customHeight="true" outlineLevel="0" collapsed="false">
      <c r="A13" s="15" t="s">
        <v>41</v>
      </c>
      <c r="B13" s="15" t="s">
        <v>1</v>
      </c>
      <c r="C13" s="15" t="s">
        <v>2</v>
      </c>
      <c r="D13" s="15" t="s">
        <v>3</v>
      </c>
    </row>
    <row r="14" customFormat="false" ht="29.25" hidden="false" customHeight="true" outlineLevel="0" collapsed="false">
      <c r="A14" s="16" t="s">
        <v>42</v>
      </c>
      <c r="B14" s="17" t="n">
        <f aca="false">05_建設仮勘定・企業債!B27</f>
        <v>465568277</v>
      </c>
      <c r="C14" s="16" t="s">
        <v>43</v>
      </c>
      <c r="D14" s="18" t="s">
        <v>44</v>
      </c>
    </row>
    <row r="15" customFormat="false" ht="15" hidden="false" customHeight="true" outlineLevel="0" collapsed="false">
      <c r="A15" s="16" t="s">
        <v>45</v>
      </c>
      <c r="B15" s="17" t="n">
        <f aca="false">05_建設仮勘定・企業債!B28</f>
        <v>346184893</v>
      </c>
      <c r="C15" s="16" t="s">
        <v>43</v>
      </c>
      <c r="D15" s="16" t="s">
        <v>46</v>
      </c>
    </row>
    <row r="16" customFormat="false" ht="29.25" hidden="false" customHeight="true" outlineLevel="0" collapsed="false">
      <c r="A16" s="16" t="s">
        <v>47</v>
      </c>
      <c r="B16" s="17" t="n">
        <f aca="false">05_建設仮勘定・企業債!E40</f>
        <v>11639</v>
      </c>
      <c r="C16" s="16" t="s">
        <v>10</v>
      </c>
      <c r="D16" s="18" t="s">
        <v>48</v>
      </c>
    </row>
    <row r="17" customFormat="false" ht="29.25" hidden="false" customHeight="true" outlineLevel="0" collapsed="false">
      <c r="A17" s="16" t="s">
        <v>49</v>
      </c>
      <c r="B17" s="17" t="n">
        <f aca="false">05_建設仮勘定・企業債!E41</f>
        <v>8655</v>
      </c>
      <c r="C17" s="16" t="s">
        <v>10</v>
      </c>
      <c r="D17" s="18" t="s">
        <v>48</v>
      </c>
    </row>
    <row r="18" customFormat="false" ht="15" hidden="false" customHeight="true" outlineLevel="0" collapsed="false">
      <c r="A18" s="16" t="s">
        <v>50</v>
      </c>
      <c r="B18" s="17" t="n">
        <f aca="false">05_建設仮勘定・企業債!B29</f>
        <v>119383384</v>
      </c>
      <c r="C18" s="16" t="s">
        <v>43</v>
      </c>
      <c r="D18" s="16" t="s">
        <v>51</v>
      </c>
    </row>
    <row r="19" customFormat="false" ht="15" hidden="false" customHeight="true" outlineLevel="0" collapsed="false">
      <c r="A19" s="16" t="s">
        <v>52</v>
      </c>
      <c r="B19" s="16" t="s">
        <v>53</v>
      </c>
      <c r="C19" s="18"/>
      <c r="D19" s="16" t="s">
        <v>54</v>
      </c>
    </row>
    <row r="20" customFormat="false" ht="15" hidden="false" customHeight="false" outlineLevel="0" collapsed="false">
      <c r="A20" s="14" t="s">
        <v>55</v>
      </c>
      <c r="B20" s="1" t="s">
        <v>56</v>
      </c>
    </row>
    <row r="21" customFormat="false" ht="15" hidden="false" customHeight="false" outlineLevel="0" collapsed="false">
      <c r="A21" s="14" t="s">
        <v>57</v>
      </c>
      <c r="B21" s="1" t="s">
        <v>58</v>
      </c>
    </row>
    <row r="22" customFormat="false" ht="15" hidden="false" customHeight="false" outlineLevel="0" collapsed="false">
      <c r="A22" s="14" t="s">
        <v>59</v>
      </c>
      <c r="B22" s="1" t="s">
        <v>60</v>
      </c>
    </row>
  </sheetData>
  <mergeCells count="2">
    <mergeCell ref="B10:J10"/>
    <mergeCell ref="B11:J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61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62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3" t="s">
        <v>72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73</v>
      </c>
      <c r="B5" s="26" t="n">
        <f aca="false">SUM(B6,B9,B14)</f>
        <v>1619060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74</v>
      </c>
      <c r="B6" s="26" t="n">
        <f aca="false">SUM(B7:B8)</f>
        <v>1261575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75</v>
      </c>
      <c r="B7" s="26" t="n">
        <v>1231181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76</v>
      </c>
      <c r="B8" s="26" t="n">
        <v>30394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77</v>
      </c>
      <c r="B9" s="26" t="n">
        <f aca="false">SUM(B10:B13)</f>
        <v>354909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78</v>
      </c>
      <c r="B10" s="26" t="n">
        <v>1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79</v>
      </c>
      <c r="B11" s="26" t="n">
        <v>73283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80</v>
      </c>
      <c r="B12" s="26" t="n">
        <v>281625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81</v>
      </c>
      <c r="B13" s="26" t="n">
        <v>0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82</v>
      </c>
      <c r="B14" s="26" t="n">
        <v>2576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84</v>
      </c>
      <c r="B17" s="26" t="n">
        <f aca="false">SUM(B18,B28,B31)</f>
        <v>1608275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85</v>
      </c>
      <c r="B18" s="26" t="n">
        <f aca="false">SUM(B19,B20,B25,B26,B27)</f>
        <v>1479507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86</v>
      </c>
      <c r="B19" s="26" t="n">
        <v>176462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87</v>
      </c>
      <c r="B20" s="26" t="n">
        <v>547263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88</v>
      </c>
      <c r="B21" s="26" t="n">
        <v>65247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89</v>
      </c>
      <c r="B22" s="26" t="n">
        <v>102261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90</v>
      </c>
      <c r="B23" s="26" t="n">
        <v>15316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91</v>
      </c>
      <c r="B24" s="26" t="n">
        <v>304419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92</v>
      </c>
      <c r="B25" s="26" t="n">
        <v>755782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93</v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94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95</v>
      </c>
      <c r="B28" s="26" t="n">
        <f aca="false">SUM(B29:B30)</f>
        <v>128495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96</v>
      </c>
      <c r="B29" s="26" t="n">
        <v>118910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97</v>
      </c>
      <c r="B30" s="26" t="n">
        <v>9585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98</v>
      </c>
      <c r="B31" s="27" t="n">
        <v>273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99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100</v>
      </c>
      <c r="B34" s="26" t="n">
        <v>698941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101</v>
      </c>
      <c r="B35" s="26" t="n">
        <v>329000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102</v>
      </c>
      <c r="B36" s="26" t="n">
        <v>169041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103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104</v>
      </c>
      <c r="B38" s="26" t="n">
        <v>0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105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106</v>
      </c>
      <c r="B40" s="26" t="n">
        <v>200900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107</v>
      </c>
      <c r="B41" s="26" t="n">
        <f aca="false">B34-SUM(B35:B40)</f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108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109</v>
      </c>
      <c r="B44" s="26" t="n">
        <f aca="false">SUM(B45:B47)</f>
        <v>1412922</v>
      </c>
      <c r="C44" s="26" t="n">
        <f aca="false">SUM(C45:C47)</f>
        <v>1320955</v>
      </c>
      <c r="D44" s="26" t="n">
        <f aca="false">SUM(D45:D47)</f>
        <v>1228308</v>
      </c>
      <c r="E44" s="26" t="n">
        <f aca="false">SUM(E45:E47)</f>
        <v>1249449</v>
      </c>
      <c r="F44" s="26" t="n">
        <f aca="false">SUM(F45:F47)</f>
        <v>1123446</v>
      </c>
      <c r="G44" s="26" t="n">
        <f aca="false">SUM(G45:G47)</f>
        <v>992222</v>
      </c>
      <c r="H44" s="26" t="n">
        <f aca="false">SUM(H45:H47)</f>
        <v>982061</v>
      </c>
      <c r="I44" s="26" t="n">
        <f aca="false">SUM(I45:I47)</f>
        <v>942741</v>
      </c>
      <c r="J44" s="26" t="n">
        <f aca="false">SUM(J45:J47)</f>
        <v>825401</v>
      </c>
      <c r="K44" s="26" t="n">
        <f aca="false">SUM(K45:K47)</f>
        <v>789992</v>
      </c>
    </row>
    <row r="45" customFormat="false" ht="21.75" hidden="false" customHeight="true" outlineLevel="0" collapsed="false">
      <c r="A45" s="25" t="s">
        <v>110</v>
      </c>
      <c r="B45" s="26" t="n">
        <v>557893</v>
      </c>
      <c r="C45" s="26" t="n">
        <v>525014</v>
      </c>
      <c r="D45" s="26" t="n">
        <v>500489</v>
      </c>
      <c r="E45" s="26" t="n">
        <v>576808</v>
      </c>
      <c r="F45" s="26" t="n">
        <v>484835</v>
      </c>
      <c r="G45" s="26" t="n">
        <v>415935</v>
      </c>
      <c r="H45" s="26" t="n">
        <v>419465</v>
      </c>
      <c r="I45" s="26" t="n">
        <v>395135</v>
      </c>
      <c r="J45" s="26" t="n">
        <v>279155</v>
      </c>
      <c r="K45" s="26" t="n">
        <v>257135</v>
      </c>
    </row>
    <row r="46" customFormat="false" ht="21.75" hidden="false" customHeight="true" outlineLevel="0" collapsed="false">
      <c r="A46" s="25" t="s">
        <v>111</v>
      </c>
      <c r="B46" s="26" t="n">
        <v>855029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112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113</v>
      </c>
      <c r="B48" s="26" t="n">
        <f aca="false">B34-B44</f>
        <v>-713981</v>
      </c>
      <c r="C48" s="26" t="n">
        <f aca="false">C34-C44</f>
        <v>-656624</v>
      </c>
      <c r="D48" s="26" t="n">
        <f aca="false">D34-D44</f>
        <v>-591900</v>
      </c>
      <c r="E48" s="26" t="n">
        <f aca="false">E34-E44</f>
        <v>-533751</v>
      </c>
      <c r="F48" s="26" t="n">
        <f aca="false">F34-F44</f>
        <v>-495797</v>
      </c>
      <c r="G48" s="26" t="n">
        <f aca="false">G34-G44</f>
        <v>-422009</v>
      </c>
      <c r="H48" s="26" t="n">
        <f aca="false">H34-H44</f>
        <v>-410723</v>
      </c>
      <c r="I48" s="26" t="n">
        <f aca="false">I34-I44</f>
        <v>-406149</v>
      </c>
      <c r="J48" s="26" t="n">
        <f aca="false">J34-J44</f>
        <v>-418667</v>
      </c>
      <c r="K48" s="26" t="n">
        <f aca="false">K34-K44</f>
        <v>-424992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19" t="s">
        <v>114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21.75" hidden="false" customHeight="true" outlineLevel="0" collapsed="false">
      <c r="A2" s="20" t="s">
        <v>115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3" t="s">
        <v>72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73</v>
      </c>
      <c r="B5" s="26" t="n">
        <f aca="false">SUM(B6,B9,B14)</f>
        <v>1619060</v>
      </c>
      <c r="C5" s="26" t="n">
        <f aca="false">SUM(C6,C9,C14)</f>
        <v>1604473</v>
      </c>
      <c r="D5" s="26" t="n">
        <f aca="false">SUM(D6,D9,D14)</f>
        <v>1586060</v>
      </c>
      <c r="E5" s="26" t="n">
        <f aca="false">SUM(E6,E9,E14)</f>
        <v>1568503</v>
      </c>
      <c r="F5" s="26" t="n">
        <f aca="false">SUM(F6,F9,F14)</f>
        <v>1550232</v>
      </c>
      <c r="G5" s="26" t="n">
        <f aca="false">SUM(G6,G9,G14)</f>
        <v>1544775</v>
      </c>
      <c r="H5" s="26" t="n">
        <f aca="false">SUM(H6,H9,H14)</f>
        <v>1532660</v>
      </c>
      <c r="I5" s="26" t="n">
        <f aca="false">SUM(I6,I9,I14)</f>
        <v>1511152</v>
      </c>
      <c r="J5" s="26" t="n">
        <f aca="false">SUM(J6,J9,J14)</f>
        <v>1481696</v>
      </c>
      <c r="K5" s="26" t="n">
        <f aca="false">SUM(K6,K9,K14)</f>
        <v>1463657</v>
      </c>
    </row>
    <row r="6" customFormat="false" ht="21.75" hidden="false" customHeight="true" outlineLevel="0" collapsed="false">
      <c r="A6" s="25" t="s">
        <v>74</v>
      </c>
      <c r="B6" s="26" t="n">
        <f aca="false">SUM(B7:B8)</f>
        <v>1261575</v>
      </c>
      <c r="C6" s="26" t="n">
        <f aca="false">SUM(C7:C8)</f>
        <v>1249336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75</v>
      </c>
      <c r="B7" s="26" t="n">
        <v>1231181</v>
      </c>
      <c r="C7" s="26" t="n">
        <v>1218869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76</v>
      </c>
      <c r="B8" s="26" t="n">
        <v>30394</v>
      </c>
      <c r="C8" s="26" t="n">
        <v>30467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77</v>
      </c>
      <c r="B9" s="26" t="n">
        <f aca="false">SUM(B10:B13)</f>
        <v>354909</v>
      </c>
      <c r="C9" s="26" t="n">
        <f aca="false">SUM(C10:C13)</f>
        <v>355137</v>
      </c>
      <c r="D9" s="26" t="n">
        <f aca="false">SUM(D10:D13)</f>
        <v>348767</v>
      </c>
      <c r="E9" s="26" t="n">
        <f aca="false">SUM(E10:E13)</f>
        <v>343130</v>
      </c>
      <c r="F9" s="26" t="n">
        <f aca="false">SUM(F10:F13)</f>
        <v>336658</v>
      </c>
      <c r="G9" s="26" t="n">
        <f aca="false">SUM(G10:G13)</f>
        <v>342879</v>
      </c>
      <c r="H9" s="26" t="n">
        <f aca="false">SUM(H10:H13)</f>
        <v>342324</v>
      </c>
      <c r="I9" s="26" t="n">
        <f aca="false">SUM(I10:I13)</f>
        <v>332258</v>
      </c>
      <c r="J9" s="26" t="n">
        <f aca="false">SUM(J10:J13)</f>
        <v>314127</v>
      </c>
      <c r="K9" s="26" t="n">
        <f aca="false">SUM(K10:K13)</f>
        <v>307297</v>
      </c>
    </row>
    <row r="10" customFormat="false" ht="21.75" hidden="false" customHeight="true" outlineLevel="0" collapsed="false">
      <c r="A10" s="25" t="s">
        <v>78</v>
      </c>
      <c r="B10" s="26" t="n">
        <v>1</v>
      </c>
      <c r="C10" s="26" t="n">
        <v>1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79</v>
      </c>
      <c r="B11" s="26" t="n">
        <v>73283</v>
      </c>
      <c r="C11" s="26" t="n">
        <v>71157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80</v>
      </c>
      <c r="B12" s="26" t="n">
        <v>281625</v>
      </c>
      <c r="C12" s="26" t="n">
        <v>283979</v>
      </c>
      <c r="D12" s="26" t="n">
        <v>279812</v>
      </c>
      <c r="E12" s="26" t="n">
        <v>276390</v>
      </c>
      <c r="F12" s="26" t="n">
        <v>272168</v>
      </c>
      <c r="G12" s="26" t="n">
        <v>272926</v>
      </c>
      <c r="H12" s="26" t="n">
        <v>274600</v>
      </c>
      <c r="I12" s="26" t="n">
        <v>266588</v>
      </c>
      <c r="J12" s="26" t="n">
        <v>250287</v>
      </c>
      <c r="K12" s="26" t="n">
        <v>245134</v>
      </c>
    </row>
    <row r="13" customFormat="false" ht="21.75" hidden="false" customHeight="true" outlineLevel="0" collapsed="false">
      <c r="A13" s="25" t="s">
        <v>81</v>
      </c>
      <c r="B13" s="26" t="n">
        <v>0</v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82</v>
      </c>
      <c r="B14" s="26" t="n">
        <v>2576</v>
      </c>
      <c r="C14" s="26" t="n">
        <v>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84</v>
      </c>
      <c r="B17" s="26" t="n">
        <f aca="false">SUM(B18,B28,B31)</f>
        <v>1608275</v>
      </c>
      <c r="C17" s="26" t="n">
        <f aca="false">SUM(C18,C28,C31)</f>
        <v>1597336</v>
      </c>
      <c r="D17" s="26" t="n">
        <f aca="false">SUM(D18,D28,D31)</f>
        <v>1591913</v>
      </c>
      <c r="E17" s="26" t="n">
        <f aca="false">SUM(E18,E28,E31)</f>
        <v>1586945</v>
      </c>
      <c r="F17" s="26" t="n">
        <f aca="false">SUM(F18,F28,F31)</f>
        <v>1585772</v>
      </c>
      <c r="G17" s="26" t="n">
        <f aca="false">SUM(G18,G28,G31)</f>
        <v>1588017</v>
      </c>
      <c r="H17" s="26" t="n">
        <f aca="false">SUM(H18,H28,H31)</f>
        <v>1595258</v>
      </c>
      <c r="I17" s="26" t="n">
        <f aca="false">SUM(I18,I28,I31)</f>
        <v>1591786</v>
      </c>
      <c r="J17" s="26" t="n">
        <f aca="false">SUM(J18,J28,J31)</f>
        <v>1575838</v>
      </c>
      <c r="K17" s="26" t="n">
        <f aca="false">SUM(K18,K28,K31)</f>
        <v>1575072</v>
      </c>
    </row>
    <row r="18" customFormat="false" ht="21.75" hidden="false" customHeight="true" outlineLevel="0" collapsed="false">
      <c r="A18" s="25" t="s">
        <v>85</v>
      </c>
      <c r="B18" s="26" t="n">
        <f aca="false">SUM(B19,B20,B25,B26,B27)</f>
        <v>1479507</v>
      </c>
      <c r="C18" s="26" t="n">
        <f aca="false">SUM(C19,C20,C25,C26,C27)</f>
        <v>1476545</v>
      </c>
      <c r="D18" s="26" t="n">
        <f aca="false">SUM(D19,D20,D25,D26,D27)</f>
        <v>1474501</v>
      </c>
      <c r="E18" s="26" t="n">
        <f aca="false">SUM(E19,E20,E25,E26,E27)</f>
        <v>1471288</v>
      </c>
      <c r="F18" s="26" t="n">
        <f aca="false">SUM(F19,F20,F25,F26,F27)</f>
        <v>1471712</v>
      </c>
      <c r="G18" s="26" t="n">
        <f aca="false">SUM(G19,G20,G25,G26,G27)</f>
        <v>1476923</v>
      </c>
      <c r="H18" s="26" t="n">
        <f aca="false">SUM(H19,H20,H25,H26,H27)</f>
        <v>1486420</v>
      </c>
      <c r="I18" s="26" t="n">
        <f aca="false">SUM(I19,I20,I25,I26,I27)</f>
        <v>1484101</v>
      </c>
      <c r="J18" s="26" t="n">
        <f aca="false">SUM(J19,J20,J25,J26,J27)</f>
        <v>1468457</v>
      </c>
      <c r="K18" s="26" t="n">
        <f aca="false">SUM(K19,K20,K25,K26,K27)</f>
        <v>1469682</v>
      </c>
    </row>
    <row r="19" customFormat="false" ht="21.75" hidden="false" customHeight="true" outlineLevel="0" collapsed="false">
      <c r="A19" s="25" t="s">
        <v>86</v>
      </c>
      <c r="B19" s="26" t="n">
        <v>176462</v>
      </c>
      <c r="C19" s="26" t="n">
        <v>176462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87</v>
      </c>
      <c r="B20" s="26" t="n">
        <v>547263</v>
      </c>
      <c r="C20" s="26" t="n">
        <v>545340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88</v>
      </c>
      <c r="B21" s="26" t="n">
        <v>65247</v>
      </c>
      <c r="C21" s="26" t="n">
        <v>65000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89</v>
      </c>
      <c r="B22" s="26" t="n">
        <v>102261</v>
      </c>
      <c r="C22" s="26" t="n">
        <v>102568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90</v>
      </c>
      <c r="B23" s="26" t="n">
        <v>15316</v>
      </c>
      <c r="C23" s="26" t="n">
        <v>15000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91</v>
      </c>
      <c r="B24" s="26" t="n">
        <v>304419</v>
      </c>
      <c r="C24" s="26" t="n">
        <v>304000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92</v>
      </c>
      <c r="B25" s="26" t="n">
        <v>755782</v>
      </c>
      <c r="C25" s="26" t="n">
        <v>754743</v>
      </c>
      <c r="D25" s="26" t="n">
        <v>752391</v>
      </c>
      <c r="E25" s="26" t="n">
        <v>748869</v>
      </c>
      <c r="F25" s="26" t="n">
        <v>748983</v>
      </c>
      <c r="G25" s="26" t="n">
        <v>753884</v>
      </c>
      <c r="H25" s="26" t="n">
        <v>763070</v>
      </c>
      <c r="I25" s="26" t="n">
        <v>760439</v>
      </c>
      <c r="J25" s="26" t="n">
        <v>744482</v>
      </c>
      <c r="K25" s="26" t="n">
        <v>745393</v>
      </c>
    </row>
    <row r="26" customFormat="false" ht="21.75" hidden="false" customHeight="true" outlineLevel="0" collapsed="false">
      <c r="A26" s="25" t="s">
        <v>93</v>
      </c>
      <c r="B26" s="26" t="n">
        <v>0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94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95</v>
      </c>
      <c r="B28" s="26" t="n">
        <f aca="false">SUM(B29:B30)</f>
        <v>128495</v>
      </c>
      <c r="C28" s="26" t="n">
        <f aca="false">SUM(C29:C30)</f>
        <v>120518</v>
      </c>
      <c r="D28" s="26" t="n">
        <f aca="false">SUM(D29:D30)</f>
        <v>117139</v>
      </c>
      <c r="E28" s="26" t="n">
        <f aca="false">SUM(E29:E30)</f>
        <v>115384</v>
      </c>
      <c r="F28" s="26" t="n">
        <f aca="false">SUM(F29:F30)</f>
        <v>113787</v>
      </c>
      <c r="G28" s="26" t="n">
        <f aca="false">SUM(G29:G30)</f>
        <v>110821</v>
      </c>
      <c r="H28" s="26" t="n">
        <f aca="false">SUM(H29:H30)</f>
        <v>108565</v>
      </c>
      <c r="I28" s="26" t="n">
        <f aca="false">SUM(I29:I30)</f>
        <v>107412</v>
      </c>
      <c r="J28" s="26" t="n">
        <f aca="false">SUM(J29:J30)</f>
        <v>107108</v>
      </c>
      <c r="K28" s="26" t="n">
        <f aca="false">SUM(K29:K30)</f>
        <v>105117</v>
      </c>
    </row>
    <row r="29" customFormat="false" ht="21.75" hidden="false" customHeight="true" outlineLevel="0" collapsed="false">
      <c r="A29" s="25" t="s">
        <v>96</v>
      </c>
      <c r="B29" s="26" t="n">
        <v>118910</v>
      </c>
      <c r="C29" s="26" t="n">
        <v>111872</v>
      </c>
      <c r="D29" s="26" t="n">
        <v>108458</v>
      </c>
      <c r="E29" s="26" t="n">
        <v>106668</v>
      </c>
      <c r="F29" s="26" t="n">
        <v>105071</v>
      </c>
      <c r="G29" s="26" t="n">
        <v>102070</v>
      </c>
      <c r="H29" s="26" t="n">
        <v>99779</v>
      </c>
      <c r="I29" s="26" t="n">
        <v>98626</v>
      </c>
      <c r="J29" s="26" t="n">
        <v>98322</v>
      </c>
      <c r="K29" s="26" t="n">
        <v>96331</v>
      </c>
    </row>
    <row r="30" customFormat="false" ht="21.75" hidden="false" customHeight="true" outlineLevel="0" collapsed="false">
      <c r="A30" s="25" t="s">
        <v>97</v>
      </c>
      <c r="B30" s="26" t="n">
        <v>9585</v>
      </c>
      <c r="C30" s="26" t="n">
        <v>8646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98</v>
      </c>
      <c r="B31" s="27" t="n">
        <v>273</v>
      </c>
      <c r="C31" s="27" t="n">
        <v>273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99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100</v>
      </c>
      <c r="B34" s="26" t="n">
        <v>698941</v>
      </c>
      <c r="C34" s="26" t="n">
        <v>664331</v>
      </c>
      <c r="D34" s="26" t="n">
        <v>636408</v>
      </c>
      <c r="E34" s="26" t="n">
        <v>715698</v>
      </c>
      <c r="F34" s="26" t="n">
        <v>627649</v>
      </c>
      <c r="G34" s="26" t="n">
        <v>570213</v>
      </c>
      <c r="H34" s="26" t="n">
        <v>571338</v>
      </c>
      <c r="I34" s="26" t="n">
        <v>536592</v>
      </c>
      <c r="J34" s="26" t="n">
        <v>406734</v>
      </c>
      <c r="K34" s="26" t="n">
        <v>365000</v>
      </c>
    </row>
    <row r="35" customFormat="false" ht="21.75" hidden="false" customHeight="true" outlineLevel="0" collapsed="false">
      <c r="A35" s="25" t="s">
        <v>101</v>
      </c>
      <c r="B35" s="26" t="n">
        <v>329000</v>
      </c>
      <c r="C35" s="26" t="n">
        <v>435000</v>
      </c>
      <c r="D35" s="26" t="n">
        <v>399000</v>
      </c>
      <c r="E35" s="26" t="n">
        <v>400000</v>
      </c>
      <c r="F35" s="26" t="n">
        <v>232000</v>
      </c>
      <c r="G35" s="26" t="n">
        <v>283000</v>
      </c>
      <c r="H35" s="26" t="n">
        <v>286000</v>
      </c>
      <c r="I35" s="26" t="n">
        <v>368000</v>
      </c>
      <c r="J35" s="26" t="n">
        <v>251000</v>
      </c>
      <c r="K35" s="26" t="n">
        <v>230000</v>
      </c>
    </row>
    <row r="36" customFormat="false" ht="21.75" hidden="false" customHeight="true" outlineLevel="0" collapsed="false">
      <c r="A36" s="25" t="s">
        <v>102</v>
      </c>
      <c r="B36" s="26" t="n">
        <v>169041</v>
      </c>
      <c r="C36" s="26" t="n">
        <v>164831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103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104</v>
      </c>
      <c r="B38" s="26" t="n">
        <v>0</v>
      </c>
      <c r="C38" s="26" t="n">
        <v>64500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105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106</v>
      </c>
      <c r="B40" s="26" t="n">
        <v>200900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107</v>
      </c>
      <c r="B41" s="26" t="n">
        <f aca="false">B34-SUM(B35:B40)</f>
        <v>0</v>
      </c>
      <c r="C41" s="26" t="n">
        <f aca="false">C34-SUM(C35:C40)</f>
        <v>0</v>
      </c>
      <c r="D41" s="26" t="n">
        <f aca="false">D34-SUM(D35:D40)</f>
        <v>0</v>
      </c>
      <c r="E41" s="26" t="n">
        <f aca="false">E34-SUM(E35:E40)</f>
        <v>0</v>
      </c>
      <c r="F41" s="26" t="n">
        <f aca="false">F34-SUM(F35:F40)</f>
        <v>0</v>
      </c>
      <c r="G41" s="26" t="n">
        <f aca="false">G34-SUM(G35:G40)</f>
        <v>0</v>
      </c>
      <c r="H41" s="26" t="n">
        <f aca="false">H34-SUM(H35:H40)</f>
        <v>0</v>
      </c>
      <c r="I41" s="26" t="n">
        <f aca="false">I34-SUM(I35:I40)</f>
        <v>0</v>
      </c>
      <c r="J41" s="26" t="n">
        <f aca="false">J34-SUM(J35:J40)</f>
        <v>0</v>
      </c>
      <c r="K41" s="26" t="n">
        <f aca="false">K34-SUM(K35:K40)</f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108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109</v>
      </c>
      <c r="B44" s="26" t="n">
        <f aca="false">SUM(B45:B47)</f>
        <v>1123770</v>
      </c>
      <c r="C44" s="26" t="n">
        <f aca="false">SUM(C45:C47)</f>
        <v>1684483</v>
      </c>
      <c r="D44" s="26" t="n">
        <f aca="false">SUM(D45:D47)</f>
        <v>1131274</v>
      </c>
      <c r="E44" s="26" t="n">
        <f aca="false">SUM(E45:E47)</f>
        <v>1433926</v>
      </c>
      <c r="F44" s="26" t="n">
        <f aca="false">SUM(F45:F47)</f>
        <v>1196811</v>
      </c>
      <c r="G44" s="26" t="n">
        <f aca="false">SUM(G45:G47)</f>
        <v>965587</v>
      </c>
      <c r="H44" s="26" t="n">
        <f aca="false">SUM(H45:H47)</f>
        <v>945526</v>
      </c>
      <c r="I44" s="26" t="n">
        <f aca="false">SUM(I45:I47)</f>
        <v>916106</v>
      </c>
      <c r="J44" s="26" t="n">
        <f aca="false">SUM(J45:J47)</f>
        <v>811966</v>
      </c>
      <c r="K44" s="26" t="n">
        <f aca="false">SUM(K45:K47)</f>
        <v>763357</v>
      </c>
    </row>
    <row r="45" customFormat="false" ht="21.75" hidden="false" customHeight="true" outlineLevel="0" collapsed="false">
      <c r="A45" s="25" t="s">
        <v>110</v>
      </c>
      <c r="B45" s="26" t="n">
        <v>268741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111</v>
      </c>
      <c r="B46" s="26" t="n">
        <v>855029</v>
      </c>
      <c r="C46" s="26" t="n">
        <v>795941</v>
      </c>
      <c r="D46" s="26" t="n">
        <v>727819</v>
      </c>
      <c r="E46" s="26" t="n">
        <v>672641</v>
      </c>
      <c r="F46" s="26" t="n">
        <v>638611</v>
      </c>
      <c r="G46" s="26" t="n">
        <v>576287</v>
      </c>
      <c r="H46" s="26" t="n">
        <v>562596</v>
      </c>
      <c r="I46" s="26" t="n">
        <v>547606</v>
      </c>
      <c r="J46" s="26" t="n">
        <v>546246</v>
      </c>
      <c r="K46" s="26" t="n">
        <v>532857</v>
      </c>
    </row>
    <row r="47" customFormat="false" ht="21.75" hidden="false" customHeight="true" outlineLevel="0" collapsed="false">
      <c r="A47" s="25" t="s">
        <v>112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113</v>
      </c>
      <c r="B48" s="26" t="n">
        <f aca="false">B34-B44</f>
        <v>-424829</v>
      </c>
      <c r="C48" s="26" t="n">
        <f aca="false">C34-C44</f>
        <v>-1020152</v>
      </c>
      <c r="D48" s="26" t="n">
        <f aca="false">D34-D44</f>
        <v>-494866</v>
      </c>
      <c r="E48" s="26" t="n">
        <f aca="false">E34-E44</f>
        <v>-718228</v>
      </c>
      <c r="F48" s="26" t="n">
        <f aca="false">F34-F44</f>
        <v>-569162</v>
      </c>
      <c r="G48" s="26" t="n">
        <f aca="false">G34-G44</f>
        <v>-395374</v>
      </c>
      <c r="H48" s="26" t="n">
        <f aca="false">H34-H44</f>
        <v>-374188</v>
      </c>
      <c r="I48" s="26" t="n">
        <f aca="false">I34-I44</f>
        <v>-379514</v>
      </c>
      <c r="J48" s="26" t="n">
        <f aca="false">J34-J44</f>
        <v>-405232</v>
      </c>
      <c r="K48" s="26" t="n">
        <f aca="false">K34-K44</f>
        <v>-398357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8" min="7" style="1" width="1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29" t="s">
        <v>116</v>
      </c>
      <c r="B1" s="29"/>
      <c r="C1" s="29"/>
      <c r="D1" s="29"/>
      <c r="E1" s="29"/>
      <c r="F1" s="29"/>
      <c r="G1" s="29"/>
      <c r="H1" s="29"/>
      <c r="I1" s="29"/>
    </row>
    <row r="2" customFormat="false" ht="27.75" hidden="false" customHeight="true" outlineLevel="0" collapsed="false">
      <c r="A2" s="30" t="s">
        <v>117</v>
      </c>
      <c r="B2" s="30"/>
      <c r="C2" s="30"/>
      <c r="D2" s="30"/>
      <c r="E2" s="30"/>
      <c r="F2" s="30"/>
      <c r="G2" s="30"/>
      <c r="H2" s="30"/>
      <c r="I2" s="30"/>
    </row>
    <row r="3" customFormat="false" ht="27.75" hidden="false" customHeight="true" outlineLevel="0" collapsed="false">
      <c r="A3" s="31" t="s">
        <v>118</v>
      </c>
      <c r="B3" s="31" t="s">
        <v>119</v>
      </c>
      <c r="C3" s="31" t="s">
        <v>120</v>
      </c>
      <c r="D3" s="32" t="s">
        <v>121</v>
      </c>
      <c r="E3" s="32" t="s">
        <v>122</v>
      </c>
      <c r="F3" s="32" t="s">
        <v>123</v>
      </c>
      <c r="G3" s="32" t="s">
        <v>124</v>
      </c>
      <c r="H3" s="32" t="s">
        <v>125</v>
      </c>
      <c r="I3" s="31" t="s">
        <v>126</v>
      </c>
      <c r="J3" s="33" t="s">
        <v>127</v>
      </c>
      <c r="K3" s="15" t="s">
        <v>128</v>
      </c>
    </row>
    <row r="4" customFormat="false" ht="27.75" hidden="false" customHeight="true" outlineLevel="0" collapsed="false">
      <c r="A4" s="34" t="s">
        <v>129</v>
      </c>
      <c r="B4" s="35" t="n">
        <f aca="false">'SIM_R8予算置換_0%'!$B$4</f>
        <v>0</v>
      </c>
      <c r="C4" s="35" t="n">
        <f aca="false">'SIM_R8予算置換_0%'!$B$6</f>
        <v>0.0726393943654804</v>
      </c>
      <c r="D4" s="35" t="n">
        <f aca="false">'SIM_R8予算置換_0%'!F31</f>
        <v>107.673187514319</v>
      </c>
      <c r="E4" s="35" t="n">
        <f aca="false">'SIM_R8予算置換_0%'!F32</f>
        <v>95.6300086523059</v>
      </c>
      <c r="F4" s="35" t="n">
        <f aca="false">'SIM_R8予算置換_0%'!F33</f>
        <v>95.6300086523059</v>
      </c>
      <c r="G4" s="36" t="n">
        <f aca="false">'SIM_R8予算置換_0%'!K59</f>
        <v>941905.198964501</v>
      </c>
      <c r="H4" s="36" t="n">
        <f aca="false">SUM('SIM_R8予算置換_0%'!B54:K54)</f>
        <v>-4594154</v>
      </c>
      <c r="I4" s="37" t="str">
        <f aca="false">IF(F4&lt;=E4,"OK","要確認")</f>
        <v>OK</v>
      </c>
      <c r="J4" s="17" t="n">
        <f aca="false">'SIM_R8予算置換_0%'!K70</f>
        <v>941905.198964501</v>
      </c>
      <c r="K4" s="17" t="n">
        <f aca="false">J4-00_前提・検証!$B$7</f>
        <v>641905.198964501</v>
      </c>
    </row>
    <row r="5" customFormat="false" ht="27.75" hidden="false" customHeight="true" outlineLevel="0" collapsed="false">
      <c r="A5" s="34" t="s">
        <v>129</v>
      </c>
      <c r="B5" s="35" t="n">
        <f aca="false">'SIM_R8予算置換_1%'!$B$4</f>
        <v>0.01</v>
      </c>
      <c r="C5" s="35" t="n">
        <f aca="false">'SIM_R8予算置換_1%'!$B$6</f>
        <v>0.214588124877615</v>
      </c>
      <c r="D5" s="35" t="n">
        <f aca="false">'SIM_R8予算置換_1%'!F31</f>
        <v>128.561750900262</v>
      </c>
      <c r="E5" s="35" t="n">
        <f aca="false">'SIM_R8予算置換_1%'!F32</f>
        <v>108.285294667686</v>
      </c>
      <c r="F5" s="35" t="n">
        <f aca="false">'SIM_R8予算置換_1%'!F33</f>
        <v>96.3352124476911</v>
      </c>
      <c r="G5" s="36" t="n">
        <f aca="false">'SIM_R8予算置換_1%'!K59</f>
        <v>2906741.35727596</v>
      </c>
      <c r="H5" s="36" t="n">
        <f aca="false">SUM('SIM_R8予算置換_1%'!B54:K54)</f>
        <v>-4594154</v>
      </c>
      <c r="I5" s="37" t="str">
        <f aca="false">IF(F5&lt;=E5,"OK","要確認")</f>
        <v>OK</v>
      </c>
      <c r="J5" s="17" t="n">
        <f aca="false">'SIM_R8予算置換_1%'!K70</f>
        <v>2906741.35727596</v>
      </c>
      <c r="K5" s="17" t="n">
        <f aca="false">J5-00_前提・検証!$B$7</f>
        <v>2606741.35727596</v>
      </c>
    </row>
    <row r="6" customFormat="false" ht="27.75" hidden="false" customHeight="true" outlineLevel="0" collapsed="false">
      <c r="A6" s="34" t="s">
        <v>129</v>
      </c>
      <c r="B6" s="35" t="n">
        <f aca="false">'SIM_R8予算置換_2%'!$B$4</f>
        <v>0.02</v>
      </c>
      <c r="C6" s="35" t="n">
        <f aca="false">'SIM_R8予算置換_2%'!$B$6</f>
        <v>0.356536855389749</v>
      </c>
      <c r="D6" s="35" t="n">
        <f aca="false">'SIM_R8予算置換_2%'!F31</f>
        <v>149.450314286205</v>
      </c>
      <c r="E6" s="35" t="n">
        <f aca="false">'SIM_R8予算置換_2%'!F32</f>
        <v>120.940580683066</v>
      </c>
      <c r="F6" s="35" t="n">
        <f aca="false">'SIM_R8予算置換_2%'!F33</f>
        <v>96.9002371451295</v>
      </c>
      <c r="G6" s="36" t="n">
        <f aca="false">'SIM_R8予算置換_2%'!K59</f>
        <v>4871577.51558741</v>
      </c>
      <c r="H6" s="36" t="n">
        <f aca="false">SUM('SIM_R8予算置換_2%'!B54:K54)</f>
        <v>-4594154</v>
      </c>
      <c r="I6" s="37" t="str">
        <f aca="false">IF(F6&lt;=E6,"OK","要確認")</f>
        <v>OK</v>
      </c>
      <c r="J6" s="17" t="n">
        <f aca="false">'SIM_R8予算置換_2%'!K70</f>
        <v>4871577.51558741</v>
      </c>
      <c r="K6" s="17" t="n">
        <f aca="false">J6-00_前提・検証!$B$7</f>
        <v>4571577.51558741</v>
      </c>
    </row>
    <row r="7" customFormat="false" ht="27.75" hidden="false" customHeight="true" outlineLevel="0" collapsed="false">
      <c r="A7" s="34" t="s">
        <v>129</v>
      </c>
      <c r="B7" s="35" t="n">
        <f aca="false">'SIM_R8予算置換_3%'!$B$4</f>
        <v>0.03</v>
      </c>
      <c r="C7" s="35" t="n">
        <f aca="false">'SIM_R8予算置換_3%'!$B$6</f>
        <v>0.498485585901883</v>
      </c>
      <c r="D7" s="35" t="n">
        <f aca="false">'SIM_R8予算置換_3%'!F31</f>
        <v>170.338877672148</v>
      </c>
      <c r="E7" s="35" t="n">
        <f aca="false">'SIM_R8予算置換_3%'!F32</f>
        <v>133.595866698446</v>
      </c>
      <c r="F7" s="35" t="n">
        <f aca="false">'SIM_R8予算置換_3%'!F33</f>
        <v>97.3631009598763</v>
      </c>
      <c r="G7" s="36" t="n">
        <f aca="false">'SIM_R8予算置換_3%'!K59</f>
        <v>6836413.67389887</v>
      </c>
      <c r="H7" s="36" t="n">
        <f aca="false">SUM('SIM_R8予算置換_3%'!B54:K54)</f>
        <v>-4594154</v>
      </c>
      <c r="I7" s="37" t="str">
        <f aca="false">IF(F7&lt;=E7,"OK","要確認")</f>
        <v>OK</v>
      </c>
      <c r="J7" s="17" t="n">
        <f aca="false">'SIM_R8予算置換_3%'!K70</f>
        <v>6836413.67389887</v>
      </c>
      <c r="K7" s="17" t="n">
        <f aca="false">J7-00_前提・検証!$B$7</f>
        <v>6536413.67389887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.5"/>
    <col collapsed="false" customWidth="true" hidden="false" outlineLevel="0" max="3" min="3" style="1" width="9.75"/>
    <col collapsed="false" customWidth="true" hidden="false" outlineLevel="0" max="4" min="4" style="1" width="14.52"/>
    <col collapsed="false" customWidth="true" hidden="false" outlineLevel="0" max="5" min="5" style="1" width="12.63"/>
    <col collapsed="false" customWidth="true" hidden="false" outlineLevel="0" max="6" min="6" style="1" width="23.63"/>
    <col collapsed="false" customWidth="true" hidden="false" outlineLevel="0" max="7" min="7" style="1" width="14.52"/>
    <col collapsed="false" customWidth="true" hidden="false" outlineLevel="0" max="8" min="8" style="1" width="17.88"/>
    <col collapsed="false" customWidth="true" hidden="false" outlineLevel="0" max="9" min="9" style="1" width="4.25"/>
  </cols>
  <sheetData>
    <row r="1" customFormat="false" ht="21" hidden="false" customHeight="true" outlineLevel="0" collapsed="false">
      <c r="A1" s="38" t="s">
        <v>130</v>
      </c>
      <c r="B1" s="38"/>
      <c r="C1" s="38"/>
      <c r="D1" s="38"/>
      <c r="E1" s="38"/>
      <c r="F1" s="38"/>
      <c r="G1" s="38"/>
      <c r="H1" s="38"/>
      <c r="I1" s="38"/>
    </row>
    <row r="2" customFormat="false" ht="32.25" hidden="false" customHeight="true" outlineLevel="0" collapsed="false">
      <c r="A2" s="39" t="s">
        <v>131</v>
      </c>
      <c r="B2" s="39"/>
      <c r="C2" s="39"/>
      <c r="D2" s="39"/>
      <c r="E2" s="39"/>
      <c r="F2" s="39"/>
      <c r="G2" s="39"/>
      <c r="H2" s="39"/>
      <c r="I2" s="39"/>
    </row>
    <row r="3" customFormat="false" ht="32.25" hidden="false" customHeight="true" outlineLevel="0" collapsed="false">
      <c r="A3" s="2" t="s">
        <v>118</v>
      </c>
      <c r="B3" s="2" t="s">
        <v>119</v>
      </c>
      <c r="C3" s="2" t="s">
        <v>120</v>
      </c>
      <c r="D3" s="40" t="s">
        <v>132</v>
      </c>
      <c r="E3" s="40" t="s">
        <v>133</v>
      </c>
      <c r="F3" s="40" t="s">
        <v>134</v>
      </c>
      <c r="G3" s="40" t="s">
        <v>135</v>
      </c>
      <c r="H3" s="40" t="s">
        <v>136</v>
      </c>
      <c r="I3" s="2" t="s">
        <v>126</v>
      </c>
    </row>
    <row r="4" customFormat="false" ht="16.5" hidden="false" customHeight="true" outlineLevel="0" collapsed="false">
      <c r="A4" s="7" t="s">
        <v>137</v>
      </c>
      <c r="B4" s="41" t="n">
        <f aca="false">'SIM_ビジョン_0%'!$B$4</f>
        <v>0</v>
      </c>
      <c r="C4" s="41" t="n">
        <f aca="false">'SIM_ビジョン_0%'!$B$6</f>
        <v>0.0596771870015622</v>
      </c>
      <c r="D4" s="42" t="n">
        <f aca="false">'SIM_ビジョン_0%'!F31</f>
        <v>106.678614119894</v>
      </c>
      <c r="E4" s="42" t="n">
        <f aca="false">'SIM_ビジョン_0%'!F32</f>
        <v>95.4248532961142</v>
      </c>
      <c r="F4" s="42" t="n">
        <f aca="false">'SIM_ビジョン_0%'!F33</f>
        <v>95.4248532961142</v>
      </c>
      <c r="G4" s="6" t="n">
        <f aca="false">'SIM_ビジョン_0%'!K59</f>
        <v>613660.983795688</v>
      </c>
      <c r="H4" s="6" t="n">
        <f aca="false">SUM('SIM_ビジョン_0%'!B54:K54)</f>
        <v>-5074593</v>
      </c>
      <c r="I4" s="8" t="str">
        <f aca="false">IF(F4&lt;=E4,"OK","要確認")</f>
        <v>OK</v>
      </c>
    </row>
    <row r="5" customFormat="false" ht="16.5" hidden="false" customHeight="true" outlineLevel="0" collapsed="false">
      <c r="A5" s="7" t="s">
        <v>137</v>
      </c>
      <c r="B5" s="41" t="n">
        <f aca="false">'SIM_ビジョン_1%'!$B$4</f>
        <v>0.01</v>
      </c>
      <c r="C5" s="41" t="n">
        <f aca="false">'SIM_ビジョン_1%'!$B$6</f>
        <v>0.201625917513697</v>
      </c>
      <c r="D5" s="42" t="n">
        <f aca="false">'SIM_ビジョン_1%'!F31</f>
        <v>127.855283082771</v>
      </c>
      <c r="E5" s="42" t="n">
        <f aca="false">'SIM_ビジョン_1%'!F32</f>
        <v>108.207460066217</v>
      </c>
      <c r="F5" s="42" t="n">
        <f aca="false">'SIM_ビジョン_1%'!F33</f>
        <v>96.1592047781384</v>
      </c>
      <c r="G5" s="6" t="n">
        <f aca="false">'SIM_ビジョン_1%'!K59</f>
        <v>2578497.14210715</v>
      </c>
      <c r="H5" s="6" t="n">
        <f aca="false">SUM('SIM_ビジョン_1%'!B54:K54)</f>
        <v>-5074593</v>
      </c>
      <c r="I5" s="8" t="str">
        <f aca="false">IF(F5&lt;=E5,"OK","要確認")</f>
        <v>OK</v>
      </c>
    </row>
    <row r="6" customFormat="false" ht="16.5" hidden="false" customHeight="true" outlineLevel="0" collapsed="false">
      <c r="A6" s="7" t="s">
        <v>137</v>
      </c>
      <c r="B6" s="41" t="n">
        <f aca="false">'SIM_ビジョン_2%'!$B$4</f>
        <v>0.02</v>
      </c>
      <c r="C6" s="41" t="n">
        <f aca="false">'SIM_ビジョン_2%'!$B$6</f>
        <v>0.343574648025831</v>
      </c>
      <c r="D6" s="42" t="n">
        <f aca="false">'SIM_ビジョン_2%'!F31</f>
        <v>149.031952045648</v>
      </c>
      <c r="E6" s="42" t="n">
        <f aca="false">'SIM_ビジョン_2%'!F32</f>
        <v>120.990066836321</v>
      </c>
      <c r="F6" s="42" t="n">
        <f aca="false">'SIM_ビジョン_2%'!F33</f>
        <v>96.7464089233306</v>
      </c>
      <c r="G6" s="6" t="n">
        <f aca="false">'SIM_ビジョン_2%'!K59</f>
        <v>4543333.3004186</v>
      </c>
      <c r="H6" s="6" t="n">
        <f aca="false">SUM('SIM_ビジョン_2%'!B54:K54)</f>
        <v>-5074593</v>
      </c>
      <c r="I6" s="8" t="str">
        <f aca="false">IF(F6&lt;=E6,"OK","要確認")</f>
        <v>OK</v>
      </c>
    </row>
    <row r="7" customFormat="false" ht="16.5" hidden="false" customHeight="true" outlineLevel="0" collapsed="false">
      <c r="A7" s="7" t="s">
        <v>137</v>
      </c>
      <c r="B7" s="41" t="n">
        <f aca="false">'SIM_ビジョン_3%'!$B$4</f>
        <v>0.03</v>
      </c>
      <c r="C7" s="41" t="n">
        <f aca="false">'SIM_ビジョン_3%'!$B$6</f>
        <v>0.485523378537965</v>
      </c>
      <c r="D7" s="42" t="n">
        <f aca="false">'SIM_ビジョン_3%'!F31</f>
        <v>170.208621008525</v>
      </c>
      <c r="E7" s="42" t="n">
        <f aca="false">'SIM_ビジョン_3%'!F32</f>
        <v>133.772673606424</v>
      </c>
      <c r="F7" s="42" t="n">
        <f aca="false">'SIM_ビジョン_3%'!F33</f>
        <v>97.2266656290295</v>
      </c>
      <c r="G7" s="6" t="n">
        <f aca="false">'SIM_ビジョン_3%'!K59</f>
        <v>6508169.45873005</v>
      </c>
      <c r="H7" s="6" t="n">
        <f aca="false">SUM('SIM_ビジョン_3%'!B54:K54)</f>
        <v>-5074593</v>
      </c>
      <c r="I7" s="8" t="str">
        <f aca="false">IF(F7&lt;=E7,"OK","要確認")</f>
        <v>OK</v>
      </c>
    </row>
    <row r="8" customFormat="false" ht="16.5" hidden="false" customHeight="true" outlineLevel="0" collapsed="false">
      <c r="A8" s="7" t="s">
        <v>138</v>
      </c>
      <c r="B8" s="41" t="n">
        <f aca="false">'SIM_置換後_0%'!$B$4</f>
        <v>0</v>
      </c>
      <c r="C8" s="41" t="n">
        <f aca="false">'SIM_置換後_0%'!$B$6</f>
        <v>0.0596771870015622</v>
      </c>
      <c r="D8" s="42" t="n">
        <f aca="false">'SIM_置換後_0%'!F31</f>
        <v>106.678614119894</v>
      </c>
      <c r="E8" s="42" t="n">
        <f aca="false">'SIM_置換後_0%'!F32</f>
        <v>95.4248532961142</v>
      </c>
      <c r="F8" s="42" t="n">
        <f aca="false">'SIM_置換後_0%'!F33</f>
        <v>95.4248532961142</v>
      </c>
      <c r="G8" s="6" t="n">
        <f aca="false">'SIM_置換後_0%'!K59</f>
        <v>219199.983795688</v>
      </c>
      <c r="H8" s="6" t="n">
        <f aca="false">SUM('SIM_置換後_0%'!B54:K54)</f>
        <v>-5179902</v>
      </c>
      <c r="I8" s="8" t="str">
        <f aca="false">IF(F8&lt;=E8,"OK","要確認")</f>
        <v>OK</v>
      </c>
    </row>
    <row r="9" customFormat="false" ht="16.5" hidden="false" customHeight="true" outlineLevel="0" collapsed="false">
      <c r="A9" s="7" t="s">
        <v>138</v>
      </c>
      <c r="B9" s="41" t="n">
        <f aca="false">'SIM_置換後_1%'!$B$4</f>
        <v>0.01</v>
      </c>
      <c r="C9" s="41" t="n">
        <f aca="false">'SIM_置換後_1%'!$B$6</f>
        <v>0.201625917513697</v>
      </c>
      <c r="D9" s="42" t="n">
        <f aca="false">'SIM_置換後_1%'!F31</f>
        <v>127.855283082771</v>
      </c>
      <c r="E9" s="42" t="n">
        <f aca="false">'SIM_置換後_1%'!F32</f>
        <v>108.207460066217</v>
      </c>
      <c r="F9" s="42" t="n">
        <f aca="false">'SIM_置換後_1%'!F33</f>
        <v>96.1592047781384</v>
      </c>
      <c r="G9" s="6" t="n">
        <f aca="false">'SIM_置換後_1%'!K59</f>
        <v>2184036.14210715</v>
      </c>
      <c r="H9" s="6" t="n">
        <f aca="false">SUM('SIM_置換後_1%'!B54:K54)</f>
        <v>-5179902</v>
      </c>
      <c r="I9" s="8" t="str">
        <f aca="false">IF(F9&lt;=E9,"OK","要確認")</f>
        <v>OK</v>
      </c>
    </row>
    <row r="10" customFormat="false" ht="16.5" hidden="false" customHeight="true" outlineLevel="0" collapsed="false">
      <c r="A10" s="7" t="s">
        <v>138</v>
      </c>
      <c r="B10" s="41" t="n">
        <f aca="false">'SIM_置換後_2%'!$B$4</f>
        <v>0.02</v>
      </c>
      <c r="C10" s="41" t="n">
        <f aca="false">'SIM_置換後_2%'!$B$6</f>
        <v>0.343574648025831</v>
      </c>
      <c r="D10" s="42" t="n">
        <f aca="false">'SIM_置換後_2%'!F31</f>
        <v>149.031952045648</v>
      </c>
      <c r="E10" s="42" t="n">
        <f aca="false">'SIM_置換後_2%'!F32</f>
        <v>120.990066836321</v>
      </c>
      <c r="F10" s="42" t="n">
        <f aca="false">'SIM_置換後_2%'!F33</f>
        <v>96.7464089233306</v>
      </c>
      <c r="G10" s="6" t="n">
        <f aca="false">'SIM_置換後_2%'!K59</f>
        <v>4148872.3004186</v>
      </c>
      <c r="H10" s="6" t="n">
        <f aca="false">SUM('SIM_置換後_2%'!B54:K54)</f>
        <v>-5179902</v>
      </c>
      <c r="I10" s="8" t="str">
        <f aca="false">IF(F10&lt;=E10,"OK","要確認")</f>
        <v>OK</v>
      </c>
    </row>
    <row r="11" customFormat="false" ht="16.5" hidden="false" customHeight="true" outlineLevel="0" collapsed="false">
      <c r="A11" s="7" t="s">
        <v>138</v>
      </c>
      <c r="B11" s="41" t="n">
        <f aca="false">'SIM_置換後_3%'!$B$4</f>
        <v>0.03</v>
      </c>
      <c r="C11" s="41" t="n">
        <f aca="false">'SIM_置換後_3%'!$B$6</f>
        <v>0.485523378537965</v>
      </c>
      <c r="D11" s="42" t="n">
        <f aca="false">'SIM_置換後_3%'!F31</f>
        <v>170.208621008525</v>
      </c>
      <c r="E11" s="42" t="n">
        <f aca="false">'SIM_置換後_3%'!F32</f>
        <v>133.772673606424</v>
      </c>
      <c r="F11" s="42" t="n">
        <f aca="false">'SIM_置換後_3%'!F33</f>
        <v>97.2266656290295</v>
      </c>
      <c r="G11" s="6" t="n">
        <f aca="false">'SIM_置換後_3%'!K59</f>
        <v>6113708.45873005</v>
      </c>
      <c r="H11" s="6" t="n">
        <f aca="false">SUM('SIM_置換後_3%'!B54:K54)</f>
        <v>-5179902</v>
      </c>
      <c r="I11" s="8" t="str">
        <f aca="false">IF(F11&lt;=E11,"OK","要確認")</f>
        <v>OK</v>
      </c>
    </row>
  </sheetData>
  <mergeCells count="2">
    <mergeCell ref="A1:I1"/>
    <mergeCell ref="A2:I2"/>
  </mergeCells>
  <conditionalFormatting sqref="I4:I11">
    <cfRule type="expression" priority="2" aboveAverage="0" equalAverage="0" bottom="0" percent="0" rank="0" text="" dxfId="0">
      <formula>I4&lt;&gt;"OK"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5" min="3" style="1" width="18"/>
    <col collapsed="false" customWidth="true" hidden="false" outlineLevel="0" max="6" min="6" style="1" width="40"/>
    <col collapsed="false" customWidth="true" hidden="false" outlineLevel="0" max="7" min="7" style="1" width="18"/>
  </cols>
  <sheetData>
    <row r="1" customFormat="false" ht="31.5" hidden="false" customHeight="true" outlineLevel="0" collapsed="false">
      <c r="A1" s="43" t="s">
        <v>0</v>
      </c>
      <c r="B1" s="44" t="s">
        <v>139</v>
      </c>
      <c r="C1" s="43" t="s">
        <v>140</v>
      </c>
      <c r="D1" s="43" t="s">
        <v>141</v>
      </c>
      <c r="E1" s="43" t="s">
        <v>142</v>
      </c>
      <c r="F1" s="43" t="s">
        <v>143</v>
      </c>
      <c r="G1" s="43" t="s">
        <v>144</v>
      </c>
    </row>
    <row r="2" customFormat="false" ht="31.5" hidden="false" customHeight="true" outlineLevel="0" collapsed="false">
      <c r="A2" s="45" t="s">
        <v>145</v>
      </c>
      <c r="B2" s="46" t="n">
        <v>1747782</v>
      </c>
      <c r="C2" s="47" t="n">
        <f aca="false">02_将来年次投資置換!C5</f>
        <v>1604473</v>
      </c>
      <c r="D2" s="45"/>
      <c r="E2" s="47" t="n">
        <f aca="false">02_R8予算_年次計画置換!C5</f>
        <v>1747782</v>
      </c>
      <c r="F2" s="48" t="s">
        <v>146</v>
      </c>
      <c r="G2" s="48" t="n">
        <f aca="false">E2-B2</f>
        <v>0</v>
      </c>
    </row>
    <row r="3" customFormat="false" ht="31.5" hidden="false" customHeight="true" outlineLevel="0" collapsed="false">
      <c r="A3" s="45" t="s">
        <v>147</v>
      </c>
      <c r="B3" s="46" t="n">
        <v>1331944</v>
      </c>
      <c r="C3" s="46" t="n">
        <f aca="false">02_将来年次投資置換!C7</f>
        <v>1218869</v>
      </c>
      <c r="D3" s="48"/>
      <c r="E3" s="46" t="n">
        <f aca="false">02_R8予算_年次計画置換!C7</f>
        <v>1331944</v>
      </c>
      <c r="F3" s="48" t="s">
        <v>146</v>
      </c>
      <c r="G3" s="48" t="n">
        <f aca="false">E3-B3</f>
        <v>0</v>
      </c>
    </row>
    <row r="4" customFormat="false" ht="31.5" hidden="false" customHeight="true" outlineLevel="0" collapsed="false">
      <c r="A4" s="45" t="s">
        <v>148</v>
      </c>
      <c r="B4" s="46" t="n">
        <v>1710280</v>
      </c>
      <c r="C4" s="46" t="n">
        <f aca="false">02_将来年次投資置換!C17</f>
        <v>1597336</v>
      </c>
      <c r="D4" s="48"/>
      <c r="E4" s="46" t="n">
        <f aca="false">02_R8予算_年次計画置換!C17</f>
        <v>1710280</v>
      </c>
      <c r="F4" s="48" t="s">
        <v>146</v>
      </c>
      <c r="G4" s="48" t="n">
        <f aca="false">E4-B4</f>
        <v>0</v>
      </c>
    </row>
    <row r="5" customFormat="false" ht="31.5" hidden="false" customHeight="true" outlineLevel="0" collapsed="false">
      <c r="A5" s="45" t="s">
        <v>149</v>
      </c>
      <c r="B5" s="46" t="n">
        <v>861283</v>
      </c>
      <c r="C5" s="46" t="n">
        <f aca="false">02_将来年次投資置換!C34</f>
        <v>664331</v>
      </c>
      <c r="D5" s="48"/>
      <c r="E5" s="46" t="n">
        <f aca="false">02_R8予算_年次計画置換!C34</f>
        <v>1055380</v>
      </c>
      <c r="F5" s="48" t="s">
        <v>146</v>
      </c>
      <c r="G5" s="48" t="n">
        <f aca="false">E5-B5</f>
        <v>194097</v>
      </c>
    </row>
    <row r="6" customFormat="false" ht="31.5" hidden="false" customHeight="true" outlineLevel="0" collapsed="false">
      <c r="A6" s="45" t="s">
        <v>150</v>
      </c>
      <c r="B6" s="46" t="n">
        <v>519900</v>
      </c>
      <c r="C6" s="46" t="n">
        <f aca="false">02_将来年次投資置換!C35</f>
        <v>435000</v>
      </c>
      <c r="D6" s="48"/>
      <c r="E6" s="46" t="n">
        <f aca="false">02_R8予算_年次計画置換!C35</f>
        <v>713997</v>
      </c>
      <c r="F6" s="48" t="s">
        <v>146</v>
      </c>
      <c r="G6" s="48" t="n">
        <f aca="false">E6-B6</f>
        <v>194097</v>
      </c>
    </row>
    <row r="7" customFormat="false" ht="31.5" hidden="false" customHeight="true" outlineLevel="0" collapsed="false">
      <c r="A7" s="45" t="s">
        <v>151</v>
      </c>
      <c r="B7" s="46" t="n">
        <v>166838</v>
      </c>
      <c r="C7" s="46" t="n">
        <f aca="false">02_将来年次投資置換!C36</f>
        <v>164831</v>
      </c>
      <c r="D7" s="48"/>
      <c r="E7" s="46" t="n">
        <f aca="false">02_R8予算_年次計画置換!C36</f>
        <v>166838</v>
      </c>
      <c r="F7" s="48" t="s">
        <v>146</v>
      </c>
      <c r="G7" s="48" t="n">
        <f aca="false">E7-B7</f>
        <v>0</v>
      </c>
    </row>
    <row r="8" customFormat="false" ht="31.5" hidden="false" customHeight="true" outlineLevel="0" collapsed="false">
      <c r="A8" s="45" t="s">
        <v>152</v>
      </c>
      <c r="B8" s="46" t="n">
        <v>2000</v>
      </c>
      <c r="C8" s="46" t="n">
        <f aca="false">02_将来年次投資置換!C38</f>
        <v>64500</v>
      </c>
      <c r="D8" s="48"/>
      <c r="E8" s="46" t="n">
        <f aca="false">02_R8予算_年次計画置換!C38</f>
        <v>2000</v>
      </c>
      <c r="F8" s="48" t="s">
        <v>146</v>
      </c>
      <c r="G8" s="48" t="n">
        <f aca="false">E8-B8</f>
        <v>0</v>
      </c>
    </row>
    <row r="9" customFormat="false" ht="31.5" hidden="false" customHeight="true" outlineLevel="0" collapsed="false">
      <c r="A9" s="45" t="s">
        <v>153</v>
      </c>
      <c r="B9" s="46" t="n">
        <v>172545</v>
      </c>
      <c r="C9" s="46" t="n">
        <f aca="false">02_将来年次投資置換!C40</f>
        <v>0</v>
      </c>
      <c r="D9" s="48"/>
      <c r="E9" s="46" t="n">
        <f aca="false">02_R8予算_年次計画置換!C40</f>
        <v>172545</v>
      </c>
      <c r="F9" s="48" t="s">
        <v>146</v>
      </c>
      <c r="G9" s="48" t="n">
        <f aca="false">E9-B9</f>
        <v>0</v>
      </c>
    </row>
    <row r="10" customFormat="false" ht="31.5" hidden="false" customHeight="true" outlineLevel="0" collapsed="false">
      <c r="A10" s="45" t="s">
        <v>110</v>
      </c>
      <c r="B10" s="46" t="n">
        <v>714032</v>
      </c>
      <c r="C10" s="46" t="n">
        <f aca="false">01_ビジョン原計画!C45</f>
        <v>525014</v>
      </c>
      <c r="D10" s="46" t="n">
        <v>888542</v>
      </c>
      <c r="E10" s="46" t="n">
        <f aca="false">02_R8予算_年次計画置換!C45</f>
        <v>888542</v>
      </c>
      <c r="F10" s="45" t="s">
        <v>154</v>
      </c>
      <c r="G10" s="48" t="n">
        <f aca="false">E10-B10</f>
        <v>174510</v>
      </c>
    </row>
    <row r="11" customFormat="false" ht="31.5" hidden="false" customHeight="true" outlineLevel="0" collapsed="false">
      <c r="A11" s="45" t="s">
        <v>111</v>
      </c>
      <c r="B11" s="46" t="n">
        <v>795933</v>
      </c>
      <c r="C11" s="46" t="n">
        <f aca="false">02_将来年次投資置換!C46</f>
        <v>795941</v>
      </c>
      <c r="D11" s="48"/>
      <c r="E11" s="46" t="n">
        <f aca="false">02_R8予算_年次計画置換!C46</f>
        <v>795933</v>
      </c>
      <c r="F11" s="48" t="s">
        <v>146</v>
      </c>
      <c r="G11" s="48" t="n">
        <f aca="false">E11-B11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155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159</v>
      </c>
      <c r="B10" s="6" t="n">
        <f aca="false">01_ビジョン原計画!B7*IF(7&gt;=11,1+$B$6,1)</f>
        <v>1231181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1253244.18004239</v>
      </c>
      <c r="G10" s="6" t="n">
        <f aca="false">01_ビジョン原計画!G7*IF(12&gt;=11,1+$B$6,1)</f>
        <v>1240711.37795172</v>
      </c>
      <c r="H10" s="6" t="n">
        <f aca="false">01_ビジョン原計画!H7*IF(13&gt;=11,1+$B$6,1)</f>
        <v>1228303.61776912</v>
      </c>
      <c r="I10" s="6" t="n">
        <f aca="false">01_ビジョン原計画!I7*IF(14&gt;=11,1+$B$6,1)</f>
        <v>1216019.8398174</v>
      </c>
      <c r="J10" s="6" t="n">
        <f aca="false">01_ビジョン原計画!J7*IF(15&gt;=11,1+$B$6,1)</f>
        <v>1203858.98441937</v>
      </c>
      <c r="K10" s="6" t="n">
        <f aca="false">01_ビジョン原計画!K7*IF(16&gt;=11,1+$B$6,1)</f>
        <v>1191819.99189784</v>
      </c>
    </row>
    <row r="11" customFormat="false" ht="16.5" hidden="false" customHeight="true" outlineLevel="0" collapsed="false">
      <c r="A11" s="7" t="s">
        <v>160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70578.1800423896</v>
      </c>
      <c r="G11" s="6" t="n">
        <f aca="false">G10-01_ビジョン原計画!G7</f>
        <v>69872.3779517221</v>
      </c>
      <c r="H11" s="6" t="n">
        <f aca="false">H10-01_ビジョン原計画!H7</f>
        <v>69173.6177691207</v>
      </c>
      <c r="I11" s="6" t="n">
        <f aca="false">I10-01_ビジョン原計画!I7</f>
        <v>68481.8398173987</v>
      </c>
      <c r="J11" s="6" t="n">
        <f aca="false">J10-01_ビジョン原計画!J7</f>
        <v>67796.9844193687</v>
      </c>
      <c r="K11" s="6" t="n">
        <f aca="false">K10-01_ビジョン原計画!K7</f>
        <v>67118.991897844</v>
      </c>
    </row>
    <row r="12" customFormat="false" ht="16.5" hidden="false" customHeight="true" outlineLevel="0" collapsed="false">
      <c r="A12" s="7" t="s">
        <v>161</v>
      </c>
      <c r="B12" s="6" t="n">
        <f aca="false">01_ビジョン原計画!B8</f>
        <v>30394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01_ビジョン原計画!B9</f>
        <v>354909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01_ビジョン原計画!B12</f>
        <v>281625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01_ビジョン原計画!B11</f>
        <v>73283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01_ビジョン原計画!B14</f>
        <v>2576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01_ビジョン原計画!B18</f>
        <v>1479507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01_ビジョン原計画!B25</f>
        <v>755782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01_ビジョン原計画!B26</f>
        <v>0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95</v>
      </c>
      <c r="B23" s="6" t="n">
        <f aca="false">01_ビジョン原計画!B28</f>
        <v>128495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01_ビジョン原計画!B29</f>
        <v>118910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01_ビジョン原計画!B31</f>
        <v>273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106.678614119894</v>
      </c>
      <c r="G31" s="42" t="n">
        <f aca="false">IFERROR((SUM(G9,G13)/SUM(G20,G23))*100,0)</f>
        <v>106.095173775082</v>
      </c>
      <c r="H31" s="42" t="n">
        <f aca="false">IFERROR((SUM(H9,H13)/SUM(H20,H23))*100,0)</f>
        <v>104.766329184177</v>
      </c>
      <c r="I31" s="42" t="n">
        <f aca="false">IFERROR((SUM(I9,I13)/SUM(I20,I23))*100,0)</f>
        <v>103.556532660104</v>
      </c>
      <c r="J31" s="42" t="n">
        <f aca="false">IFERROR((SUM(J9,J13)/SUM(J20,J23))*100,0)</f>
        <v>102.648254362006</v>
      </c>
      <c r="K31" s="42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92.8228550404598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1326377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100.693628854175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01_ビジョン原計画!B34</f>
        <v>698941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01_ビジョン原計画!B35</f>
        <v>329000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01_ビジョン原計画!B36</f>
        <v>169041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01_ビジョン原計画!B38</f>
        <v>0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01_ビジョン原計画!B40</f>
        <v>200900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01_ビジョン原計画!B44</f>
        <v>1412922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110</v>
      </c>
      <c r="B51" s="6" t="n">
        <f aca="false">01_ビジョン原計画!B45</f>
        <v>557893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111</v>
      </c>
      <c r="B52" s="6" t="n">
        <f aca="false">01_ビジョン原計画!B46</f>
        <v>855029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-713981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181</v>
      </c>
      <c r="B58" s="6" t="n">
        <f aca="false">B54</f>
        <v>-713981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-54388.6399152209</v>
      </c>
      <c r="G59" s="6" t="n">
        <f aca="false">F59+G57+G58</f>
        <v>101063.115988223</v>
      </c>
      <c r="H59" s="6" t="n">
        <f aca="false">G59+H57+H58</f>
        <v>254559.351526465</v>
      </c>
      <c r="I59" s="6" t="n">
        <f aca="false">H59+I57+I58</f>
        <v>398591.031161262</v>
      </c>
      <c r="J59" s="6" t="n">
        <f aca="false">I59+J57+J58</f>
        <v>515571</v>
      </c>
      <c r="K59" s="6" t="n">
        <f aca="false">J59+K57+K58</f>
        <v>613660.983795688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-354388.639915221</v>
      </c>
      <c r="G60" s="6" t="n">
        <f aca="false">G59-00_前提・検証!$B$7</f>
        <v>-198936.884011777</v>
      </c>
      <c r="H60" s="6" t="n">
        <f aca="false">H59-00_前提・検証!$B$7</f>
        <v>-45440.6484735352</v>
      </c>
      <c r="I60" s="6" t="n">
        <f aca="false">I59-00_前提・検証!$B$7</f>
        <v>98591.0311612622</v>
      </c>
      <c r="J60" s="6" t="n">
        <f aca="false">J59-00_前提・検証!$B$7</f>
        <v>215571</v>
      </c>
      <c r="K60" s="6" t="n">
        <f aca="false">K59-00_前提・検証!$B$7</f>
        <v>313660.983795688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159</v>
      </c>
      <c r="B10" s="6" t="n">
        <f aca="false">01_ビジョン原計画!B7*IF(7&gt;=11,1+$B$6,1)</f>
        <v>1231181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1421122.11736225</v>
      </c>
      <c r="G10" s="6" t="n">
        <f aca="false">01_ビジョン原計画!G7*IF(12&gt;=11,1+$B$6,1)</f>
        <v>1406910.48763582</v>
      </c>
      <c r="H10" s="6" t="n">
        <f aca="false">01_ビジョン原計画!H7*IF(13&gt;=11,1+$B$6,1)</f>
        <v>1392840.64976765</v>
      </c>
      <c r="I10" s="6" t="n">
        <f aca="false">01_ビジョン原計画!I7*IF(14&gt;=11,1+$B$6,1)</f>
        <v>1378911.40213183</v>
      </c>
      <c r="J10" s="6" t="n">
        <f aca="false">01_ビジョン原計画!J7*IF(15&gt;=11,1+$B$6,1)</f>
        <v>1365121.54310245</v>
      </c>
      <c r="K10" s="6" t="n">
        <f aca="false">01_ビジョン原計画!K7*IF(16&gt;=11,1+$B$6,1)</f>
        <v>1351469.87105357</v>
      </c>
    </row>
    <row r="11" customFormat="false" ht="16.5" hidden="false" customHeight="true" outlineLevel="0" collapsed="false">
      <c r="A11" s="7" t="s">
        <v>160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238456.117362253</v>
      </c>
      <c r="G11" s="6" t="n">
        <f aca="false">G10-01_ビジョン原計画!G7</f>
        <v>236071.487635819</v>
      </c>
      <c r="H11" s="6" t="n">
        <f aca="false">H10-01_ビジョン原計画!H7</f>
        <v>233710.649767651</v>
      </c>
      <c r="I11" s="6" t="n">
        <f aca="false">I10-01_ビジョン原計画!I7</f>
        <v>231373.402131832</v>
      </c>
      <c r="J11" s="6" t="n">
        <f aca="false">J10-01_ビジョン原計画!J7</f>
        <v>229059.543102445</v>
      </c>
      <c r="K11" s="6" t="n">
        <f aca="false">K10-01_ビジョン原計画!K7</f>
        <v>226768.871053572</v>
      </c>
    </row>
    <row r="12" customFormat="false" ht="16.5" hidden="false" customHeight="true" outlineLevel="0" collapsed="false">
      <c r="A12" s="7" t="s">
        <v>161</v>
      </c>
      <c r="B12" s="6" t="n">
        <f aca="false">01_ビジョン原計画!B8</f>
        <v>30394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01_ビジョン原計画!B9</f>
        <v>354909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01_ビジョン原計画!B12</f>
        <v>281625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01_ビジョン原計画!B11</f>
        <v>73283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01_ビジョン原計画!B14</f>
        <v>2576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01_ビジョン原計画!B18</f>
        <v>1479507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01_ビジョン原計画!B25</f>
        <v>755782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01_ビジョン原計画!B26</f>
        <v>0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95</v>
      </c>
      <c r="B23" s="6" t="n">
        <f aca="false">01_ビジョン原計画!B28</f>
        <v>128495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01_ビジョン原計画!B29</f>
        <v>118910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01_ビジョン原計画!B31</f>
        <v>273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127.855283082771</v>
      </c>
      <c r="G31" s="42" t="n">
        <f aca="false">IFERROR((SUM(G9,G13)/SUM(G20,G23))*100,0)</f>
        <v>127.030426521633</v>
      </c>
      <c r="H31" s="42" t="n">
        <f aca="false">IFERROR((SUM(H9,H13)/SUM(H20,H23))*100,0)</f>
        <v>125.39812597205</v>
      </c>
      <c r="I31" s="42" t="n">
        <f aca="false">IFERROR((SUM(I9,I13)/SUM(I20,I23))*100,0)</f>
        <v>124.026558643484</v>
      </c>
      <c r="J31" s="42" t="n">
        <f aca="false">IFERROR((SUM(J9,J13)/SUM(J20,J23))*100,0)</f>
        <v>123.118696226743</v>
      </c>
      <c r="K31" s="42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82.5780198601325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1490930.64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88.7495238433831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01_ビジョン原計画!B34</f>
        <v>698941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01_ビジョン原計画!B35</f>
        <v>329000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01_ビジョン原計画!B36</f>
        <v>169041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01_ビジョン原計画!B38</f>
        <v>0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01_ビジョン原計画!B40</f>
        <v>200900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01_ビジョン原計画!B44</f>
        <v>1412922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110</v>
      </c>
      <c r="B51" s="6" t="n">
        <f aca="false">01_ビジョン原計画!B45</f>
        <v>557893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111</v>
      </c>
      <c r="B52" s="6" t="n">
        <f aca="false">01_ビジョン原計画!B46</f>
        <v>855029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-713981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181</v>
      </c>
      <c r="B58" s="6" t="n">
        <f aca="false">B54</f>
        <v>-713981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281367.234724507</v>
      </c>
      <c r="G59" s="6" t="n">
        <f aca="false">F59+G57+G58</f>
        <v>769217.209996145</v>
      </c>
      <c r="H59" s="6" t="n">
        <f aca="false">G59+H57+H58</f>
        <v>1251787.50953145</v>
      </c>
      <c r="I59" s="6" t="n">
        <f aca="false">H59+I57+I58</f>
        <v>1721602.31379511</v>
      </c>
      <c r="J59" s="6" t="n">
        <f aca="false">I59+J57+J58</f>
        <v>2161107.4</v>
      </c>
      <c r="K59" s="6" t="n">
        <f aca="false">J59+K57+K58</f>
        <v>2578497.14210715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-18632.7652754933</v>
      </c>
      <c r="G60" s="6" t="n">
        <f aca="false">G59-00_前提・検証!$B$7</f>
        <v>469217.209996145</v>
      </c>
      <c r="H60" s="6" t="n">
        <f aca="false">H59-00_前提・検証!$B$7</f>
        <v>951787.509531447</v>
      </c>
      <c r="I60" s="6" t="n">
        <f aca="false">I59-00_前提・検証!$B$7</f>
        <v>1421602.31379511</v>
      </c>
      <c r="J60" s="6" t="n">
        <f aca="false">J59-00_前提・検証!$B$7</f>
        <v>1861107.4</v>
      </c>
      <c r="K60" s="6" t="n">
        <f aca="false">K59-00_前提・検証!$B$7</f>
        <v>2278497.14210715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159</v>
      </c>
      <c r="B10" s="6" t="n">
        <f aca="false">01_ビジョン原計画!B7*IF(7&gt;=11,1+$B$6,1)</f>
        <v>1231181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1589000.05468212</v>
      </c>
      <c r="G10" s="6" t="n">
        <f aca="false">01_ビジョン原計画!G7*IF(12&gt;=11,1+$B$6,1)</f>
        <v>1573109.59731992</v>
      </c>
      <c r="H10" s="6" t="n">
        <f aca="false">01_ビジョン原計画!H7*IF(13&gt;=11,1+$B$6,1)</f>
        <v>1557377.68176618</v>
      </c>
      <c r="I10" s="6" t="n">
        <f aca="false">01_ビジョン原計画!I7*IF(14&gt;=11,1+$B$6,1)</f>
        <v>1541802.96444627</v>
      </c>
      <c r="J10" s="6" t="n">
        <f aca="false">01_ビジョン原計画!J7*IF(15&gt;=11,1+$B$6,1)</f>
        <v>1526384.10178552</v>
      </c>
      <c r="K10" s="6" t="n">
        <f aca="false">01_ビジョン原計画!K7*IF(16&gt;=11,1+$B$6,1)</f>
        <v>1511119.7502093</v>
      </c>
    </row>
    <row r="11" customFormat="false" ht="16.5" hidden="false" customHeight="true" outlineLevel="0" collapsed="false">
      <c r="A11" s="7" t="s">
        <v>160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406334.054682117</v>
      </c>
      <c r="G11" s="6" t="n">
        <f aca="false">G10-01_ビジョン原計画!G7</f>
        <v>402270.597319915</v>
      </c>
      <c r="H11" s="6" t="n">
        <f aca="false">H10-01_ビジョン原計画!H7</f>
        <v>398247.681766181</v>
      </c>
      <c r="I11" s="6" t="n">
        <f aca="false">I10-01_ビジョン原計画!I7</f>
        <v>394264.964446266</v>
      </c>
      <c r="J11" s="6" t="n">
        <f aca="false">J10-01_ビジョン原計画!J7</f>
        <v>390322.101785521</v>
      </c>
      <c r="K11" s="6" t="n">
        <f aca="false">K10-01_ビジョン原計画!K7</f>
        <v>386418.7502093</v>
      </c>
    </row>
    <row r="12" customFormat="false" ht="16.5" hidden="false" customHeight="true" outlineLevel="0" collapsed="false">
      <c r="A12" s="7" t="s">
        <v>161</v>
      </c>
      <c r="B12" s="6" t="n">
        <f aca="false">01_ビジョン原計画!B8</f>
        <v>30394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01_ビジョン原計画!B9</f>
        <v>354909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01_ビジョン原計画!B12</f>
        <v>281625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01_ビジョン原計画!B11</f>
        <v>73283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01_ビジョン原計画!B14</f>
        <v>2576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01_ビジョン原計画!B18</f>
        <v>1479507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01_ビジョン原計画!B25</f>
        <v>755782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01_ビジョン原計画!B26</f>
        <v>0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95</v>
      </c>
      <c r="B23" s="6" t="n">
        <f aca="false">01_ビジョン原計画!B28</f>
        <v>128495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01_ビジョン原計画!B29</f>
        <v>118910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01_ビジョン原計画!B31</f>
        <v>273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149.031952045648</v>
      </c>
      <c r="G31" s="42" t="n">
        <f aca="false">IFERROR((SUM(G9,G13)/SUM(G20,G23))*100,0)</f>
        <v>147.965679268184</v>
      </c>
      <c r="H31" s="42" t="n">
        <f aca="false">IFERROR((SUM(H9,H13)/SUM(H20,H23))*100,0)</f>
        <v>146.029922759923</v>
      </c>
      <c r="I31" s="42" t="n">
        <f aca="false">IFERROR((SUM(I9,I13)/SUM(I20,I23))*100,0)</f>
        <v>144.496584626863</v>
      </c>
      <c r="J31" s="42" t="n">
        <f aca="false">IFERROR((SUM(J9,J13)/SUM(J20,J23))*100,0)</f>
        <v>143.589138091481</v>
      </c>
      <c r="K31" s="42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74.3698393801722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1655484.28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79.338524562148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01_ビジョン原計画!B34</f>
        <v>698941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01_ビジョン原計画!B35</f>
        <v>329000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01_ビジョン原計画!B36</f>
        <v>169041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01_ビジョン原計画!B38</f>
        <v>0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01_ビジョン原計画!B40</f>
        <v>200900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01_ビジョン原計画!B44</f>
        <v>1412922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110</v>
      </c>
      <c r="B51" s="6" t="n">
        <f aca="false">01_ビジョン原計画!B45</f>
        <v>557893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111</v>
      </c>
      <c r="B52" s="6" t="n">
        <f aca="false">01_ビジョン原計画!B46</f>
        <v>855029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-713981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181</v>
      </c>
      <c r="B58" s="6" t="n">
        <f aca="false">B54</f>
        <v>-713981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617123.109364234</v>
      </c>
      <c r="G59" s="6" t="n">
        <f aca="false">F59+G57+G58</f>
        <v>1437371.30400406</v>
      </c>
      <c r="H59" s="6" t="n">
        <f aca="false">G59+H57+H58</f>
        <v>2249015.66753643</v>
      </c>
      <c r="I59" s="6" t="n">
        <f aca="false">H59+I57+I58</f>
        <v>3044613.59642896</v>
      </c>
      <c r="J59" s="6" t="n">
        <f aca="false">I59+J57+J58</f>
        <v>3806643.8</v>
      </c>
      <c r="K59" s="6" t="n">
        <f aca="false">J59+K57+K58</f>
        <v>4543333.3004186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317123.109364234</v>
      </c>
      <c r="G60" s="6" t="n">
        <f aca="false">G59-00_前提・検証!$B$7</f>
        <v>1137371.30400406</v>
      </c>
      <c r="H60" s="6" t="n">
        <f aca="false">H59-00_前提・検証!$B$7</f>
        <v>1949015.66753643</v>
      </c>
      <c r="I60" s="6" t="n">
        <f aca="false">I59-00_前提・検証!$B$7</f>
        <v>2744613.59642896</v>
      </c>
      <c r="J60" s="6" t="n">
        <f aca="false">J59-00_前提・検証!$B$7</f>
        <v>3506643.8</v>
      </c>
      <c r="K60" s="6" t="n">
        <f aca="false">K59-00_前提・検証!$B$7</f>
        <v>4243333.3004186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MAX(0,(SUMPRODUCT((01_ビジョン原計画!F18:J18+01_ビジョン原計画!F28:J28-01_ビジョン原計画!F12:J12-01_ビジョン原計画!F8:J8-01_ビジョン原計画!F11:J11+$B$5)-01_ビジョン原計画!F7:J7)/SUM(01_ビジョン原計画!F7:J7)))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159</v>
      </c>
      <c r="B10" s="6" t="n">
        <f aca="false">01_ビジョン原計画!B7*IF(7&gt;=11,1+$B$6,1)</f>
        <v>1231181</v>
      </c>
      <c r="C10" s="6" t="n">
        <f aca="false">01_ビジョン原計画!C7*IF(8&gt;=11,1+$B$6,1)</f>
        <v>1218869</v>
      </c>
      <c r="D10" s="6" t="n">
        <f aca="false">01_ビジョン原計画!D7*IF(9&gt;=11,1+$B$6,1)</f>
        <v>1206680</v>
      </c>
      <c r="E10" s="6" t="n">
        <f aca="false">01_ビジョン原計画!E7*IF(10&gt;=11,1+$B$6,1)</f>
        <v>1194613</v>
      </c>
      <c r="F10" s="6" t="n">
        <f aca="false">01_ビジョン原計画!F7*IF(11&gt;=11,1+$B$6,1)</f>
        <v>1756877.99200198</v>
      </c>
      <c r="G10" s="6" t="n">
        <f aca="false">01_ビジョン原計画!G7*IF(12&gt;=11,1+$B$6,1)</f>
        <v>1739308.70700401</v>
      </c>
      <c r="H10" s="6" t="n">
        <f aca="false">01_ビジョン原計画!H7*IF(13&gt;=11,1+$B$6,1)</f>
        <v>1721914.71376471</v>
      </c>
      <c r="I10" s="6" t="n">
        <f aca="false">01_ビジョン原計画!I7*IF(14&gt;=11,1+$B$6,1)</f>
        <v>1704694.5267607</v>
      </c>
      <c r="J10" s="6" t="n">
        <f aca="false">01_ビジョン原計画!J7*IF(15&gt;=11,1+$B$6,1)</f>
        <v>1687646.6604686</v>
      </c>
      <c r="K10" s="6" t="n">
        <f aca="false">01_ビジョン原計画!K7*IF(16&gt;=11,1+$B$6,1)</f>
        <v>1670769.62936503</v>
      </c>
    </row>
    <row r="11" customFormat="false" ht="16.5" hidden="false" customHeight="true" outlineLevel="0" collapsed="false">
      <c r="A11" s="7" t="s">
        <v>160</v>
      </c>
      <c r="B11" s="6" t="n">
        <f aca="false">B10-01_ビジョン原計画!B7</f>
        <v>0</v>
      </c>
      <c r="C11" s="6" t="n">
        <f aca="false">C10-01_ビジョン原計画!C7</f>
        <v>0</v>
      </c>
      <c r="D11" s="6" t="n">
        <f aca="false">D10-01_ビジョン原計画!D7</f>
        <v>0</v>
      </c>
      <c r="E11" s="6" t="n">
        <f aca="false">E10-01_ビジョン原計画!E7</f>
        <v>0</v>
      </c>
      <c r="F11" s="6" t="n">
        <f aca="false">F10-01_ビジョン原計画!F7</f>
        <v>574211.992001981</v>
      </c>
      <c r="G11" s="6" t="n">
        <f aca="false">G10-01_ビジョン原計画!G7</f>
        <v>568469.707004012</v>
      </c>
      <c r="H11" s="6" t="n">
        <f aca="false">H10-01_ビジョン原計画!H7</f>
        <v>562784.713764711</v>
      </c>
      <c r="I11" s="6" t="n">
        <f aca="false">I10-01_ビジョン原計画!I7</f>
        <v>557156.526760699</v>
      </c>
      <c r="J11" s="6" t="n">
        <f aca="false">J10-01_ビジョン原計画!J7</f>
        <v>551584.660468597</v>
      </c>
      <c r="K11" s="6" t="n">
        <f aca="false">K10-01_ビジョン原計画!K7</f>
        <v>546068.629365027</v>
      </c>
    </row>
    <row r="12" customFormat="false" ht="16.5" hidden="false" customHeight="true" outlineLevel="0" collapsed="false">
      <c r="A12" s="7" t="s">
        <v>161</v>
      </c>
      <c r="B12" s="6" t="n">
        <f aca="false">01_ビジョン原計画!B8</f>
        <v>30394</v>
      </c>
      <c r="C12" s="6" t="n">
        <f aca="false">01_ビジョン原計画!C8</f>
        <v>30467</v>
      </c>
      <c r="D12" s="6" t="n">
        <f aca="false">01_ビジョン原計画!D8</f>
        <v>30613</v>
      </c>
      <c r="E12" s="6" t="n">
        <f aca="false">01_ビジョン原計画!E8</f>
        <v>30760</v>
      </c>
      <c r="F12" s="6" t="n">
        <f aca="false">01_ビジョン原計画!F8</f>
        <v>30908</v>
      </c>
      <c r="G12" s="6" t="n">
        <f aca="false">01_ビジョン原計画!G8</f>
        <v>31057</v>
      </c>
      <c r="H12" s="6" t="n">
        <f aca="false">01_ビジョン原計画!H8</f>
        <v>31206</v>
      </c>
      <c r="I12" s="6" t="n">
        <f aca="false">01_ビジョン原計画!I8</f>
        <v>31356</v>
      </c>
      <c r="J12" s="6" t="n">
        <f aca="false">01_ビジョン原計画!J8</f>
        <v>31507</v>
      </c>
      <c r="K12" s="6" t="n">
        <f aca="false">01_ビジョン原計画!K8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01_ビジョン原計画!B9</f>
        <v>354909</v>
      </c>
      <c r="C13" s="6" t="n">
        <f aca="false">01_ビジョン原計画!C9</f>
        <v>355137</v>
      </c>
      <c r="D13" s="6" t="n">
        <f aca="false">01_ビジョン原計画!D9</f>
        <v>348767</v>
      </c>
      <c r="E13" s="6" t="n">
        <f aca="false">01_ビジョン原計画!E9</f>
        <v>343130</v>
      </c>
      <c r="F13" s="6" t="n">
        <f aca="false">01_ビジョン原計画!F9</f>
        <v>336658</v>
      </c>
      <c r="G13" s="6" t="n">
        <f aca="false">01_ビジョン原計画!G9</f>
        <v>342879</v>
      </c>
      <c r="H13" s="6" t="n">
        <f aca="false">01_ビジョン原計画!H9</f>
        <v>342324</v>
      </c>
      <c r="I13" s="6" t="n">
        <f aca="false">01_ビジョン原計画!I9</f>
        <v>332258</v>
      </c>
      <c r="J13" s="6" t="n">
        <f aca="false">01_ビジョン原計画!J9</f>
        <v>314127</v>
      </c>
      <c r="K13" s="6" t="n">
        <f aca="false">01_ビジョン原計画!K9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01_ビジョン原計画!B12</f>
        <v>281625</v>
      </c>
      <c r="C14" s="6" t="n">
        <f aca="false">01_ビジョン原計画!C12</f>
        <v>283979</v>
      </c>
      <c r="D14" s="6" t="n">
        <f aca="false">01_ビジョン原計画!D12</f>
        <v>279812</v>
      </c>
      <c r="E14" s="6" t="n">
        <f aca="false">01_ビジョン原計画!E12</f>
        <v>276390</v>
      </c>
      <c r="F14" s="6" t="n">
        <f aca="false">01_ビジョン原計画!F12</f>
        <v>272168</v>
      </c>
      <c r="G14" s="6" t="n">
        <f aca="false">01_ビジョン原計画!G12</f>
        <v>272926</v>
      </c>
      <c r="H14" s="6" t="n">
        <f aca="false">01_ビジョン原計画!H12</f>
        <v>274600</v>
      </c>
      <c r="I14" s="6" t="n">
        <f aca="false">01_ビジョン原計画!I12</f>
        <v>266588</v>
      </c>
      <c r="J14" s="6" t="n">
        <f aca="false">01_ビジョン原計画!J12</f>
        <v>250287</v>
      </c>
      <c r="K14" s="6" t="n">
        <f aca="false">01_ビジョン原計画!K12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01_ビジョン原計画!B11</f>
        <v>73283</v>
      </c>
      <c r="C15" s="6" t="n">
        <f aca="false">01_ビジョン原計画!C11</f>
        <v>71157</v>
      </c>
      <c r="D15" s="6" t="n">
        <f aca="false">01_ビジョン原計画!D11</f>
        <v>68955</v>
      </c>
      <c r="E15" s="6" t="n">
        <f aca="false">01_ビジョン原計画!E11</f>
        <v>66740</v>
      </c>
      <c r="F15" s="6" t="n">
        <f aca="false">01_ビジョン原計画!F11</f>
        <v>64490</v>
      </c>
      <c r="G15" s="6" t="n">
        <f aca="false">01_ビジョン原計画!G11</f>
        <v>62175</v>
      </c>
      <c r="H15" s="6" t="n">
        <f aca="false">01_ビジョン原計画!H11</f>
        <v>59946</v>
      </c>
      <c r="I15" s="6" t="n">
        <f aca="false">01_ビジョン原計画!I11</f>
        <v>57892</v>
      </c>
      <c r="J15" s="6" t="n">
        <f aca="false">01_ビジョン原計画!J11</f>
        <v>56062</v>
      </c>
      <c r="K15" s="6" t="n">
        <f aca="false">01_ビジョン原計画!K11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01_ビジョン原計画!B14</f>
        <v>2576</v>
      </c>
      <c r="C16" s="6" t="n">
        <f aca="false">01_ビジョン原計画!C14</f>
        <v>0</v>
      </c>
      <c r="D16" s="6" t="n">
        <f aca="false">01_ビジョン原計画!D14</f>
        <v>0</v>
      </c>
      <c r="E16" s="6" t="n">
        <f aca="false">01_ビジョン原計画!E14</f>
        <v>0</v>
      </c>
      <c r="F16" s="6" t="n">
        <f aca="false">01_ビジョン原計画!F14</f>
        <v>0</v>
      </c>
      <c r="G16" s="6" t="n">
        <f aca="false">01_ビジョン原計画!G14</f>
        <v>0</v>
      </c>
      <c r="H16" s="6" t="n">
        <f aca="false">01_ビジョン原計画!H14</f>
        <v>0</v>
      </c>
      <c r="I16" s="6" t="n">
        <f aca="false">01_ビジョン原計画!I14</f>
        <v>0</v>
      </c>
      <c r="J16" s="6" t="n">
        <f aca="false">01_ビジョン原計画!J14</f>
        <v>0</v>
      </c>
      <c r="K16" s="6" t="n">
        <f aca="false">01_ビジョン原計画!K14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01_ビジョン原計画!B18</f>
        <v>1479507</v>
      </c>
      <c r="C20" s="6" t="n">
        <f aca="false">01_ビジョン原計画!C18</f>
        <v>1476545</v>
      </c>
      <c r="D20" s="6" t="n">
        <f aca="false">01_ビジョン原計画!D18</f>
        <v>1474501</v>
      </c>
      <c r="E20" s="6" t="n">
        <f aca="false">01_ビジョン原計画!E18</f>
        <v>1471288</v>
      </c>
      <c r="F20" s="6" t="n">
        <f aca="false">01_ビジョン原計画!F18</f>
        <v>1471712</v>
      </c>
      <c r="G20" s="6" t="n">
        <f aca="false">01_ビジョン原計画!G18</f>
        <v>1476923</v>
      </c>
      <c r="H20" s="6" t="n">
        <f aca="false">01_ビジョン原計画!H18</f>
        <v>1486420</v>
      </c>
      <c r="I20" s="6" t="n">
        <f aca="false">01_ビジョン原計画!I18</f>
        <v>1484101</v>
      </c>
      <c r="J20" s="6" t="n">
        <f aca="false">01_ビジョン原計画!J18</f>
        <v>1468457</v>
      </c>
      <c r="K20" s="6" t="n">
        <f aca="false">01_ビジョン原計画!K18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01_ビジョン原計画!B25</f>
        <v>755782</v>
      </c>
      <c r="C21" s="6" t="n">
        <f aca="false">01_ビジョン原計画!C25</f>
        <v>754743</v>
      </c>
      <c r="D21" s="6" t="n">
        <f aca="false">01_ビジョン原計画!D25</f>
        <v>752391</v>
      </c>
      <c r="E21" s="6" t="n">
        <f aca="false">01_ビジョン原計画!E25</f>
        <v>748869</v>
      </c>
      <c r="F21" s="6" t="n">
        <f aca="false">01_ビジョン原計画!F25</f>
        <v>748983</v>
      </c>
      <c r="G21" s="6" t="n">
        <f aca="false">01_ビジョン原計画!G25</f>
        <v>753884</v>
      </c>
      <c r="H21" s="6" t="n">
        <f aca="false">01_ビジョン原計画!H25</f>
        <v>763070</v>
      </c>
      <c r="I21" s="6" t="n">
        <f aca="false">01_ビジョン原計画!I25</f>
        <v>760439</v>
      </c>
      <c r="J21" s="6" t="n">
        <f aca="false">01_ビジョン原計画!J25</f>
        <v>744482</v>
      </c>
      <c r="K21" s="6" t="n">
        <f aca="false">01_ビジョン原計画!K25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01_ビジョン原計画!B26</f>
        <v>0</v>
      </c>
      <c r="C22" s="6" t="n">
        <f aca="false">01_ビジョン原計画!C26</f>
        <v>0</v>
      </c>
      <c r="D22" s="6" t="n">
        <f aca="false">01_ビジョン原計画!D26</f>
        <v>0</v>
      </c>
      <c r="E22" s="6" t="n">
        <f aca="false">01_ビジョン原計画!E26</f>
        <v>0</v>
      </c>
      <c r="F22" s="6" t="n">
        <f aca="false">01_ビジョン原計画!F26</f>
        <v>0</v>
      </c>
      <c r="G22" s="6" t="n">
        <f aca="false">01_ビジョン原計画!G26</f>
        <v>0</v>
      </c>
      <c r="H22" s="6" t="n">
        <f aca="false">01_ビジョン原計画!H26</f>
        <v>0</v>
      </c>
      <c r="I22" s="6" t="n">
        <f aca="false">01_ビジョン原計画!I26</f>
        <v>0</v>
      </c>
      <c r="J22" s="6" t="n">
        <f aca="false">01_ビジョン原計画!J26</f>
        <v>0</v>
      </c>
      <c r="K22" s="6" t="n">
        <f aca="false">01_ビジョン原計画!K26</f>
        <v>0</v>
      </c>
    </row>
    <row r="23" customFormat="false" ht="16.5" hidden="false" customHeight="true" outlineLevel="0" collapsed="false">
      <c r="A23" s="7" t="s">
        <v>95</v>
      </c>
      <c r="B23" s="6" t="n">
        <f aca="false">01_ビジョン原計画!B28</f>
        <v>128495</v>
      </c>
      <c r="C23" s="6" t="n">
        <f aca="false">01_ビジョン原計画!C28</f>
        <v>120518</v>
      </c>
      <c r="D23" s="6" t="n">
        <f aca="false">01_ビジョン原計画!D28</f>
        <v>117139</v>
      </c>
      <c r="E23" s="6" t="n">
        <f aca="false">01_ビジョン原計画!E28</f>
        <v>115384</v>
      </c>
      <c r="F23" s="6" t="n">
        <f aca="false">01_ビジョン原計画!F28</f>
        <v>113787</v>
      </c>
      <c r="G23" s="6" t="n">
        <f aca="false">01_ビジョン原計画!G28</f>
        <v>110821</v>
      </c>
      <c r="H23" s="6" t="n">
        <f aca="false">01_ビジョン原計画!H28</f>
        <v>108565</v>
      </c>
      <c r="I23" s="6" t="n">
        <f aca="false">01_ビジョン原計画!I28</f>
        <v>107412</v>
      </c>
      <c r="J23" s="6" t="n">
        <f aca="false">01_ビジョン原計画!J28</f>
        <v>107108</v>
      </c>
      <c r="K23" s="6" t="n">
        <f aca="false">01_ビジョン原計画!K28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01_ビジョン原計画!B29</f>
        <v>118910</v>
      </c>
      <c r="C24" s="6" t="n">
        <f aca="false">01_ビジョン原計画!C29</f>
        <v>111872</v>
      </c>
      <c r="D24" s="6" t="n">
        <f aca="false">01_ビジョン原計画!D29</f>
        <v>108458</v>
      </c>
      <c r="E24" s="6" t="n">
        <f aca="false">01_ビジョン原計画!E29</f>
        <v>106668</v>
      </c>
      <c r="F24" s="6" t="n">
        <f aca="false">01_ビジョン原計画!F29</f>
        <v>105071</v>
      </c>
      <c r="G24" s="6" t="n">
        <f aca="false">01_ビジョン原計画!G29</f>
        <v>102070</v>
      </c>
      <c r="H24" s="6" t="n">
        <f aca="false">01_ビジョン原計画!H29</f>
        <v>99779</v>
      </c>
      <c r="I24" s="6" t="n">
        <f aca="false">01_ビジョン原計画!I29</f>
        <v>98626</v>
      </c>
      <c r="J24" s="6" t="n">
        <f aca="false">01_ビジョン原計画!J29</f>
        <v>98322</v>
      </c>
      <c r="K24" s="6" t="n">
        <f aca="false">01_ビジョン原計画!K29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01_ビジョン原計画!B31</f>
        <v>273</v>
      </c>
      <c r="C25" s="6" t="n">
        <f aca="false">01_ビジョン原計画!C31</f>
        <v>273</v>
      </c>
      <c r="D25" s="6" t="n">
        <f aca="false">01_ビジョン原計画!D31</f>
        <v>273</v>
      </c>
      <c r="E25" s="6" t="n">
        <f aca="false">01_ビジョン原計画!E31</f>
        <v>273</v>
      </c>
      <c r="F25" s="6" t="n">
        <f aca="false">01_ビジョン原計画!F31</f>
        <v>273</v>
      </c>
      <c r="G25" s="6" t="n">
        <f aca="false">01_ビジョン原計画!G31</f>
        <v>273</v>
      </c>
      <c r="H25" s="6" t="n">
        <f aca="false">01_ビジョン原計画!H31</f>
        <v>273</v>
      </c>
      <c r="I25" s="6" t="n">
        <f aca="false">01_ビジョン原計画!I31</f>
        <v>273</v>
      </c>
      <c r="J25" s="6" t="n">
        <f aca="false">01_ビジョン原計画!J31</f>
        <v>273</v>
      </c>
      <c r="K25" s="6" t="n">
        <f aca="false">01_ビジョン原計画!K31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170.208621008525</v>
      </c>
      <c r="G31" s="42" t="n">
        <f aca="false">IFERROR((SUM(G9,G13)/SUM(G20,G23))*100,0)</f>
        <v>168.900932014734</v>
      </c>
      <c r="H31" s="42" t="n">
        <f aca="false">IFERROR((SUM(H9,H13)/SUM(H20,H23))*100,0)</f>
        <v>166.661719547797</v>
      </c>
      <c r="I31" s="42" t="n">
        <f aca="false">IFERROR((SUM(I9,I13)/SUM(I20,I23))*100,0)</f>
        <v>164.966610610243</v>
      </c>
      <c r="J31" s="42" t="n">
        <f aca="false">IFERROR((SUM(J9,J13)/SUM(J20,J23))*100,0)</f>
        <v>164.059579956219</v>
      </c>
      <c r="K31" s="42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67.6458982788666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1820037.92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71.7320573810315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01_ビジョン原計画!B34</f>
        <v>698941</v>
      </c>
      <c r="C40" s="6" t="n">
        <f aca="false">01_ビジョン原計画!C34</f>
        <v>664331</v>
      </c>
      <c r="D40" s="6" t="n">
        <f aca="false">01_ビジョン原計画!D34</f>
        <v>636408</v>
      </c>
      <c r="E40" s="6" t="n">
        <f aca="false">01_ビジョン原計画!E34</f>
        <v>715698</v>
      </c>
      <c r="F40" s="6" t="n">
        <f aca="false">01_ビジョン原計画!F34</f>
        <v>627649</v>
      </c>
      <c r="G40" s="6" t="n">
        <f aca="false">01_ビジョン原計画!G34</f>
        <v>570213</v>
      </c>
      <c r="H40" s="6" t="n">
        <f aca="false">01_ビジョン原計画!H34</f>
        <v>571338</v>
      </c>
      <c r="I40" s="6" t="n">
        <f aca="false">01_ビジョン原計画!I34</f>
        <v>536592</v>
      </c>
      <c r="J40" s="6" t="n">
        <f aca="false">01_ビジョン原計画!J34</f>
        <v>406734</v>
      </c>
      <c r="K40" s="6" t="n">
        <f aca="false">01_ビジョン原計画!K34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01_ビジョン原計画!B35</f>
        <v>329000</v>
      </c>
      <c r="C41" s="6" t="n">
        <f aca="false">01_ビジョン原計画!C35</f>
        <v>435000</v>
      </c>
      <c r="D41" s="6" t="n">
        <f aca="false">01_ビジョン原計画!D35</f>
        <v>399000</v>
      </c>
      <c r="E41" s="6" t="n">
        <f aca="false">01_ビジョン原計画!E35</f>
        <v>400000</v>
      </c>
      <c r="F41" s="6" t="n">
        <f aca="false">01_ビジョン原計画!F35</f>
        <v>232000</v>
      </c>
      <c r="G41" s="6" t="n">
        <f aca="false">01_ビジョン原計画!G35</f>
        <v>283000</v>
      </c>
      <c r="H41" s="6" t="n">
        <f aca="false">01_ビジョン原計画!H35</f>
        <v>286000</v>
      </c>
      <c r="I41" s="6" t="n">
        <f aca="false">01_ビジョン原計画!I35</f>
        <v>368000</v>
      </c>
      <c r="J41" s="6" t="n">
        <f aca="false">01_ビジョン原計画!J35</f>
        <v>251000</v>
      </c>
      <c r="K41" s="6" t="n">
        <f aca="false">01_ビジョン原計画!K35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01_ビジョン原計画!B36</f>
        <v>169041</v>
      </c>
      <c r="C42" s="6" t="n">
        <f aca="false">01_ビジョン原計画!C36</f>
        <v>164831</v>
      </c>
      <c r="D42" s="6" t="n">
        <f aca="false">01_ビジョン原計画!D36</f>
        <v>162408</v>
      </c>
      <c r="E42" s="6" t="n">
        <f aca="false">01_ビジョン原計画!E36</f>
        <v>167998</v>
      </c>
      <c r="F42" s="6" t="n">
        <f aca="false">01_ビジョン原計画!F36</f>
        <v>173649</v>
      </c>
      <c r="G42" s="6" t="n">
        <f aca="false">01_ビジョン原計画!G36</f>
        <v>182213</v>
      </c>
      <c r="H42" s="6" t="n">
        <f aca="false">01_ビジョン原計画!H36</f>
        <v>180338</v>
      </c>
      <c r="I42" s="6" t="n">
        <f aca="false">01_ビジョン原計画!I36</f>
        <v>168592</v>
      </c>
      <c r="J42" s="6" t="n">
        <f aca="false">01_ビジョン原計画!J36</f>
        <v>155734</v>
      </c>
      <c r="K42" s="6" t="n">
        <f aca="false">01_ビジョン原計画!K36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01_ビジョン原計画!B37</f>
        <v>0</v>
      </c>
      <c r="C43" s="6" t="n">
        <f aca="false">01_ビジョン原計画!C37</f>
        <v>0</v>
      </c>
      <c r="D43" s="6" t="n">
        <f aca="false">01_ビジョン原計画!D37</f>
        <v>0</v>
      </c>
      <c r="E43" s="6" t="n">
        <f aca="false">01_ビジョン原計画!E37</f>
        <v>0</v>
      </c>
      <c r="F43" s="6" t="n">
        <f aca="false">01_ビジョン原計画!F37</f>
        <v>0</v>
      </c>
      <c r="G43" s="6" t="n">
        <f aca="false">01_ビジョン原計画!G37</f>
        <v>0</v>
      </c>
      <c r="H43" s="6" t="n">
        <f aca="false">01_ビジョン原計画!H37</f>
        <v>0</v>
      </c>
      <c r="I43" s="6" t="n">
        <f aca="false">01_ビジョン原計画!I37</f>
        <v>0</v>
      </c>
      <c r="J43" s="6" t="n">
        <f aca="false">01_ビジョン原計画!J37</f>
        <v>0</v>
      </c>
      <c r="K43" s="6" t="n">
        <f aca="false">01_ビジョン原計画!K37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01_ビジョン原計画!B38</f>
        <v>0</v>
      </c>
      <c r="C44" s="6" t="n">
        <f aca="false">01_ビジョン原計画!C38</f>
        <v>64500</v>
      </c>
      <c r="D44" s="6" t="n">
        <f aca="false">01_ビジョン原計画!D38</f>
        <v>75000</v>
      </c>
      <c r="E44" s="6" t="n">
        <f aca="false">01_ビジョン原計画!E38</f>
        <v>147700</v>
      </c>
      <c r="F44" s="6" t="n">
        <f aca="false">01_ビジョン原計画!F38</f>
        <v>222000</v>
      </c>
      <c r="G44" s="6" t="n">
        <f aca="false">01_ビジョン原計画!G38</f>
        <v>105000</v>
      </c>
      <c r="H44" s="6" t="n">
        <f aca="false">01_ビジョン原計画!H38</f>
        <v>105000</v>
      </c>
      <c r="I44" s="6" t="n">
        <f aca="false">01_ビジョン原計画!I38</f>
        <v>0</v>
      </c>
      <c r="J44" s="6" t="n">
        <f aca="false">01_ビジョン原計画!J38</f>
        <v>0</v>
      </c>
      <c r="K44" s="6" t="n">
        <f aca="false">01_ビジョン原計画!K38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01_ビジョン原計画!B39</f>
        <v>0</v>
      </c>
      <c r="C45" s="6" t="n">
        <f aca="false">01_ビジョン原計画!C39</f>
        <v>0</v>
      </c>
      <c r="D45" s="6" t="n">
        <f aca="false">01_ビジョン原計画!D39</f>
        <v>0</v>
      </c>
      <c r="E45" s="6" t="n">
        <f aca="false">01_ビジョン原計画!E39</f>
        <v>0</v>
      </c>
      <c r="F45" s="6" t="n">
        <f aca="false">01_ビジョン原計画!F39</f>
        <v>0</v>
      </c>
      <c r="G45" s="6" t="n">
        <f aca="false">01_ビジョン原計画!G39</f>
        <v>0</v>
      </c>
      <c r="H45" s="6" t="n">
        <f aca="false">01_ビジョン原計画!H39</f>
        <v>0</v>
      </c>
      <c r="I45" s="6" t="n">
        <f aca="false">01_ビジョン原計画!I39</f>
        <v>0</v>
      </c>
      <c r="J45" s="6" t="n">
        <f aca="false">01_ビジョン原計画!J39</f>
        <v>0</v>
      </c>
      <c r="K45" s="6" t="n">
        <f aca="false">01_ビジョン原計画!K39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01_ビジョン原計画!B40</f>
        <v>200900</v>
      </c>
      <c r="C46" s="6" t="n">
        <f aca="false">01_ビジョン原計画!C40</f>
        <v>0</v>
      </c>
      <c r="D46" s="6" t="n">
        <f aca="false">01_ビジョン原計画!D40</f>
        <v>0</v>
      </c>
      <c r="E46" s="6" t="n">
        <f aca="false">01_ビジョン原計画!E40</f>
        <v>0</v>
      </c>
      <c r="F46" s="6" t="n">
        <f aca="false">01_ビジョン原計画!F40</f>
        <v>0</v>
      </c>
      <c r="G46" s="6" t="n">
        <f aca="false">01_ビジョン原計画!G40</f>
        <v>0</v>
      </c>
      <c r="H46" s="6" t="n">
        <f aca="false">01_ビジョン原計画!H40</f>
        <v>0</v>
      </c>
      <c r="I46" s="6" t="n">
        <f aca="false">01_ビジョン原計画!I40</f>
        <v>0</v>
      </c>
      <c r="J46" s="6" t="n">
        <f aca="false">01_ビジョン原計画!J40</f>
        <v>0</v>
      </c>
      <c r="K46" s="6" t="n">
        <f aca="false">01_ビジョン原計画!K40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01_ビジョン原計画!B41</f>
        <v>0</v>
      </c>
      <c r="C47" s="6" t="n">
        <f aca="false">01_ビジョン原計画!C41</f>
        <v>0</v>
      </c>
      <c r="D47" s="6" t="n">
        <f aca="false">01_ビジョン原計画!D41</f>
        <v>0</v>
      </c>
      <c r="E47" s="6" t="n">
        <f aca="false">01_ビジョン原計画!E41</f>
        <v>0</v>
      </c>
      <c r="F47" s="6" t="n">
        <f aca="false">01_ビジョン原計画!F41</f>
        <v>0</v>
      </c>
      <c r="G47" s="6" t="n">
        <f aca="false">01_ビジョン原計画!G41</f>
        <v>0</v>
      </c>
      <c r="H47" s="6" t="n">
        <f aca="false">01_ビジョン原計画!H41</f>
        <v>0</v>
      </c>
      <c r="I47" s="6" t="n">
        <f aca="false">01_ビジョン原計画!I41</f>
        <v>0</v>
      </c>
      <c r="J47" s="6" t="n">
        <f aca="false">01_ビジョン原計画!J41</f>
        <v>0</v>
      </c>
      <c r="K47" s="6" t="n">
        <f aca="false">01_ビジョン原計画!K41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01_ビジョン原計画!B44</f>
        <v>1412922</v>
      </c>
      <c r="C50" s="6" t="n">
        <f aca="false">01_ビジョン原計画!C44</f>
        <v>1320955</v>
      </c>
      <c r="D50" s="6" t="n">
        <f aca="false">01_ビジョン原計画!D44</f>
        <v>1228308</v>
      </c>
      <c r="E50" s="6" t="n">
        <f aca="false">01_ビジョン原計画!E44</f>
        <v>1249449</v>
      </c>
      <c r="F50" s="6" t="n">
        <f aca="false">01_ビジョン原計画!F44</f>
        <v>1123446</v>
      </c>
      <c r="G50" s="6" t="n">
        <f aca="false">01_ビジョン原計画!G44</f>
        <v>992222</v>
      </c>
      <c r="H50" s="6" t="n">
        <f aca="false">01_ビジョン原計画!H44</f>
        <v>982061</v>
      </c>
      <c r="I50" s="6" t="n">
        <f aca="false">01_ビジョン原計画!I44</f>
        <v>942741</v>
      </c>
      <c r="J50" s="6" t="n">
        <f aca="false">01_ビジョン原計画!J44</f>
        <v>825401</v>
      </c>
      <c r="K50" s="6" t="n">
        <f aca="false">01_ビジョン原計画!K44</f>
        <v>789992</v>
      </c>
    </row>
    <row r="51" customFormat="false" ht="16.5" hidden="false" customHeight="true" outlineLevel="0" collapsed="false">
      <c r="A51" s="7" t="s">
        <v>110</v>
      </c>
      <c r="B51" s="6" t="n">
        <f aca="false">01_ビジョン原計画!B45</f>
        <v>557893</v>
      </c>
      <c r="C51" s="6" t="n">
        <f aca="false">01_ビジョン原計画!C45</f>
        <v>525014</v>
      </c>
      <c r="D51" s="6" t="n">
        <f aca="false">01_ビジョン原計画!D45</f>
        <v>500489</v>
      </c>
      <c r="E51" s="6" t="n">
        <f aca="false">01_ビジョン原計画!E45</f>
        <v>576808</v>
      </c>
      <c r="F51" s="6" t="n">
        <f aca="false">01_ビジョン原計画!F45</f>
        <v>484835</v>
      </c>
      <c r="G51" s="6" t="n">
        <f aca="false">01_ビジョン原計画!G45</f>
        <v>415935</v>
      </c>
      <c r="H51" s="6" t="n">
        <f aca="false">01_ビジョン原計画!H45</f>
        <v>419465</v>
      </c>
      <c r="I51" s="6" t="n">
        <f aca="false">01_ビジョン原計画!I45</f>
        <v>395135</v>
      </c>
      <c r="J51" s="6" t="n">
        <f aca="false">01_ビジョン原計画!J45</f>
        <v>279155</v>
      </c>
      <c r="K51" s="6" t="n">
        <f aca="false">01_ビジョン原計画!K45</f>
        <v>257135</v>
      </c>
    </row>
    <row r="52" customFormat="false" ht="16.5" hidden="false" customHeight="true" outlineLevel="0" collapsed="false">
      <c r="A52" s="7" t="s">
        <v>111</v>
      </c>
      <c r="B52" s="6" t="n">
        <f aca="false">01_ビジョン原計画!B46</f>
        <v>855029</v>
      </c>
      <c r="C52" s="6" t="n">
        <f aca="false">01_ビジョン原計画!C46</f>
        <v>795941</v>
      </c>
      <c r="D52" s="6" t="n">
        <f aca="false">01_ビジョン原計画!D46</f>
        <v>727819</v>
      </c>
      <c r="E52" s="6" t="n">
        <f aca="false">01_ビジョン原計画!E46</f>
        <v>672641</v>
      </c>
      <c r="F52" s="6" t="n">
        <f aca="false">01_ビジョン原計画!F46</f>
        <v>638611</v>
      </c>
      <c r="G52" s="6" t="n">
        <f aca="false">01_ビジョン原計画!G46</f>
        <v>576287</v>
      </c>
      <c r="H52" s="6" t="n">
        <f aca="false">01_ビジョン原計画!H46</f>
        <v>562596</v>
      </c>
      <c r="I52" s="6" t="n">
        <f aca="false">01_ビジョン原計画!I46</f>
        <v>547606</v>
      </c>
      <c r="J52" s="6" t="n">
        <f aca="false">01_ビジョン原計画!J46</f>
        <v>546246</v>
      </c>
      <c r="K52" s="6" t="n">
        <f aca="false">01_ビジョン原計画!K46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01_ビジョン原計画!B47</f>
        <v>0</v>
      </c>
      <c r="C53" s="6" t="n">
        <f aca="false">01_ビジョン原計画!C47</f>
        <v>0</v>
      </c>
      <c r="D53" s="6" t="n">
        <f aca="false">01_ビジョン原計画!D47</f>
        <v>0</v>
      </c>
      <c r="E53" s="6" t="n">
        <f aca="false">01_ビジョン原計画!E47</f>
        <v>0</v>
      </c>
      <c r="F53" s="6" t="n">
        <f aca="false">01_ビジョン原計画!F47</f>
        <v>0</v>
      </c>
      <c r="G53" s="6" t="n">
        <f aca="false">01_ビジョン原計画!G47</f>
        <v>0</v>
      </c>
      <c r="H53" s="6" t="n">
        <f aca="false">01_ビジョン原計画!H47</f>
        <v>0</v>
      </c>
      <c r="I53" s="6" t="n">
        <f aca="false">01_ビジョン原計画!I47</f>
        <v>0</v>
      </c>
      <c r="J53" s="6" t="n">
        <f aca="false">01_ビジョン原計画!J47</f>
        <v>0</v>
      </c>
      <c r="K53" s="6" t="n">
        <f aca="false">01_ビジョン原計画!K47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-713981</v>
      </c>
      <c r="C54" s="6" t="n">
        <f aca="false">C40-C50</f>
        <v>-656624</v>
      </c>
      <c r="D54" s="6" t="n">
        <f aca="false">D40-D50</f>
        <v>-591900</v>
      </c>
      <c r="E54" s="6" t="n">
        <f aca="false">E40-E50</f>
        <v>-533751</v>
      </c>
      <c r="F54" s="6" t="n">
        <f aca="false">F40-F50</f>
        <v>-495797</v>
      </c>
      <c r="G54" s="6" t="n">
        <f aca="false">G40-G50</f>
        <v>-422009</v>
      </c>
      <c r="H54" s="6" t="n">
        <f aca="false">H40-H50</f>
        <v>-410723</v>
      </c>
      <c r="I54" s="6" t="n">
        <f aca="false">I40-I50</f>
        <v>-406149</v>
      </c>
      <c r="J54" s="6" t="n">
        <f aca="false">J40-J50</f>
        <v>-418667</v>
      </c>
      <c r="K54" s="6" t="n">
        <f aca="false">K40-K50</f>
        <v>-424992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181</v>
      </c>
      <c r="B58" s="6" t="n">
        <f aca="false">B54</f>
        <v>-713981</v>
      </c>
      <c r="C58" s="6" t="n">
        <f aca="false">C54</f>
        <v>-656624</v>
      </c>
      <c r="D58" s="6" t="n">
        <f aca="false">D54</f>
        <v>-591900</v>
      </c>
      <c r="E58" s="6" t="n">
        <f aca="false">E54</f>
        <v>-533751</v>
      </c>
      <c r="F58" s="6" t="n">
        <f aca="false">F54</f>
        <v>-495797</v>
      </c>
      <c r="G58" s="6" t="n">
        <f aca="false">G54</f>
        <v>-422009</v>
      </c>
      <c r="H58" s="6" t="n">
        <f aca="false">H54</f>
        <v>-410723</v>
      </c>
      <c r="I58" s="6" t="n">
        <f aca="false">I54</f>
        <v>-406149</v>
      </c>
      <c r="J58" s="6" t="n">
        <f aca="false">J54</f>
        <v>-418667</v>
      </c>
      <c r="K58" s="6" t="n">
        <f aca="false">K54</f>
        <v>-424992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63865</v>
      </c>
      <c r="D59" s="6" t="n">
        <f aca="false">C59+D57+D58</f>
        <v>-61309</v>
      </c>
      <c r="E59" s="6" t="n">
        <f aca="false">D59+E57+E58</f>
        <v>-141023</v>
      </c>
      <c r="F59" s="6" t="n">
        <f aca="false">E59+F57+F58</f>
        <v>952878.984003961</v>
      </c>
      <c r="G59" s="6" t="n">
        <f aca="false">F59+G57+G58</f>
        <v>2105525.39801199</v>
      </c>
      <c r="H59" s="6" t="n">
        <f aca="false">G59+H57+H58</f>
        <v>3246243.82554141</v>
      </c>
      <c r="I59" s="6" t="n">
        <f aca="false">H59+I57+I58</f>
        <v>4367624.87906281</v>
      </c>
      <c r="J59" s="6" t="n">
        <f aca="false">I59+J57+J58</f>
        <v>5452180.2</v>
      </c>
      <c r="K59" s="6" t="n">
        <f aca="false">J59+K57+K58</f>
        <v>6508169.45873005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-236135</v>
      </c>
      <c r="D60" s="6" t="n">
        <f aca="false">D59-00_前提・検証!$B$7</f>
        <v>-361309</v>
      </c>
      <c r="E60" s="6" t="n">
        <f aca="false">E59-00_前提・検証!$B$7</f>
        <v>-441023</v>
      </c>
      <c r="F60" s="6" t="n">
        <f aca="false">F59-00_前提・検証!$B$7</f>
        <v>652878.984003961</v>
      </c>
      <c r="G60" s="6" t="n">
        <f aca="false">G59-00_前提・検証!$B$7</f>
        <v>1805525.39801199</v>
      </c>
      <c r="H60" s="6" t="n">
        <f aca="false">H59-00_前提・検証!$B$7</f>
        <v>2946243.82554141</v>
      </c>
      <c r="I60" s="6" t="n">
        <f aca="false">I59-00_前提・検証!$B$7</f>
        <v>4067624.87906281</v>
      </c>
      <c r="J60" s="6" t="n">
        <f aca="false">J59-00_前提・検証!$B$7</f>
        <v>5152180.2</v>
      </c>
      <c r="K60" s="6" t="n">
        <f aca="false">K59-00_前提・検証!$B$7</f>
        <v>6208169.45873005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0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0.0596771870015622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1354730.36008478</v>
      </c>
      <c r="G9" s="6" t="n">
        <f aca="false">SUM(G10:G12)</f>
        <v>1341640.75590344</v>
      </c>
      <c r="H9" s="6" t="n">
        <f aca="false">SUM(H10:H12)</f>
        <v>1328683.23553824</v>
      </c>
      <c r="I9" s="6" t="n">
        <f aca="false">SUM(I10:I12)</f>
        <v>1315857.6796348</v>
      </c>
      <c r="J9" s="6" t="n">
        <f aca="false">SUM(J10:J12)</f>
        <v>1303162.96883874</v>
      </c>
      <c r="K9" s="6" t="n">
        <f aca="false">SUM(K10:K12)</f>
        <v>1290597.98379569</v>
      </c>
    </row>
    <row r="10" customFormat="false" ht="16.5" hidden="false" customHeight="true" outlineLevel="0" collapsed="false">
      <c r="A10" s="7" t="s">
        <v>159</v>
      </c>
      <c r="B10" s="6" t="n">
        <f aca="false">02_将来年次投資置換!B7*IF(7&gt;=11,1+$B$6,1)</f>
        <v>1231181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1253244.18004239</v>
      </c>
      <c r="G10" s="6" t="n">
        <f aca="false">02_将来年次投資置換!G7*IF(12&gt;=11,1+$B$6,1)</f>
        <v>1240711.37795172</v>
      </c>
      <c r="H10" s="6" t="n">
        <f aca="false">02_将来年次投資置換!H7*IF(13&gt;=11,1+$B$6,1)</f>
        <v>1228303.61776912</v>
      </c>
      <c r="I10" s="6" t="n">
        <f aca="false">02_将来年次投資置換!I7*IF(14&gt;=11,1+$B$6,1)</f>
        <v>1216019.8398174</v>
      </c>
      <c r="J10" s="6" t="n">
        <f aca="false">02_将来年次投資置換!J7*IF(15&gt;=11,1+$B$6,1)</f>
        <v>1203858.98441937</v>
      </c>
      <c r="K10" s="6" t="n">
        <f aca="false">02_将来年次投資置換!K7*IF(16&gt;=11,1+$B$6,1)</f>
        <v>1191819.99189784</v>
      </c>
    </row>
    <row r="11" customFormat="false" ht="16.5" hidden="false" customHeight="true" outlineLevel="0" collapsed="false">
      <c r="A11" s="7" t="s">
        <v>160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70578.1800423896</v>
      </c>
      <c r="G11" s="6" t="n">
        <f aca="false">G10-02_将来年次投資置換!G7</f>
        <v>69872.3779517221</v>
      </c>
      <c r="H11" s="6" t="n">
        <f aca="false">H10-02_将来年次投資置換!H7</f>
        <v>69173.6177691207</v>
      </c>
      <c r="I11" s="6" t="n">
        <f aca="false">I10-02_将来年次投資置換!I7</f>
        <v>68481.8398173987</v>
      </c>
      <c r="J11" s="6" t="n">
        <f aca="false">J10-02_将来年次投資置換!J7</f>
        <v>67796.9844193687</v>
      </c>
      <c r="K11" s="6" t="n">
        <f aca="false">K10-02_将来年次投資置換!K7</f>
        <v>67118.991897844</v>
      </c>
    </row>
    <row r="12" customFormat="false" ht="16.5" hidden="false" customHeight="true" outlineLevel="0" collapsed="false">
      <c r="A12" s="7" t="s">
        <v>161</v>
      </c>
      <c r="B12" s="6" t="n">
        <f aca="false">02_将来年次投資置換!B8</f>
        <v>30394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02_将来年次投資置換!B9</f>
        <v>354909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02_将来年次投資置換!B12</f>
        <v>281625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02_将来年次投資置換!B11</f>
        <v>73283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02_将来年次投資置換!B14</f>
        <v>2576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1691388.36008478</v>
      </c>
      <c r="G17" s="6" t="n">
        <f aca="false">SUM(G9,G13,G16)</f>
        <v>1684519.75590344</v>
      </c>
      <c r="H17" s="6" t="n">
        <f aca="false">SUM(H9,H13,H16)</f>
        <v>1671007.23553824</v>
      </c>
      <c r="I17" s="6" t="n">
        <f aca="false">SUM(I9,I13,I16)</f>
        <v>1648115.6796348</v>
      </c>
      <c r="J17" s="6" t="n">
        <f aca="false">SUM(J9,J13,J16)</f>
        <v>1617289.96883874</v>
      </c>
      <c r="K17" s="6" t="n">
        <f aca="false">SUM(K9,K13,K16)</f>
        <v>1597894.98379569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02_将来年次投資置換!B18</f>
        <v>1479507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02_将来年次投資置換!B25</f>
        <v>755782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02_将来年次投資置換!B26</f>
        <v>0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95</v>
      </c>
      <c r="B23" s="6" t="n">
        <f aca="false">02_将来年次投資置換!B28</f>
        <v>128495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02_将来年次投資置換!B29</f>
        <v>118910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02_将来年次投資置換!B31</f>
        <v>273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105889.360084779</v>
      </c>
      <c r="G27" s="6" t="n">
        <f aca="false">SUM(G9,G13)-SUM(G20,G23)</f>
        <v>96775.7559034443</v>
      </c>
      <c r="H27" s="6" t="n">
        <f aca="false">SUM(H9,H13)-SUM(H20,H23)</f>
        <v>76022.2355382415</v>
      </c>
      <c r="I27" s="6" t="n">
        <f aca="false">SUM(I9,I13)-SUM(I20,I23)</f>
        <v>56602.6796347974</v>
      </c>
      <c r="J27" s="6" t="n">
        <f aca="false">SUM(J9,J13)-SUM(J20,J23)</f>
        <v>41724.9688387373</v>
      </c>
      <c r="K27" s="6" t="n">
        <f aca="false">SUM(K9,K13)-SUM(K20,K23)</f>
        <v>23095.983795688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105616.360084779</v>
      </c>
      <c r="G28" s="6" t="n">
        <f aca="false">G27+G16-G25</f>
        <v>96502.7559034443</v>
      </c>
      <c r="H28" s="6" t="n">
        <f aca="false">H27+H16-H25</f>
        <v>75749.2355382415</v>
      </c>
      <c r="I28" s="6" t="n">
        <f aca="false">I27+I16-I25</f>
        <v>56329.6796347974</v>
      </c>
      <c r="J28" s="6" t="n">
        <f aca="false">J27+J16-J25</f>
        <v>41451.9688387373</v>
      </c>
      <c r="K28" s="6" t="n">
        <f aca="false">K27+K16-K25</f>
        <v>22822.983795688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106.678614119894</v>
      </c>
      <c r="G31" s="42" t="n">
        <f aca="false">IFERROR((SUM(G9,G13)/SUM(G20,G23))*100,0)</f>
        <v>106.095173775082</v>
      </c>
      <c r="H31" s="42" t="n">
        <f aca="false">IFERROR((SUM(H9,H13)/SUM(H20,H23))*100,0)</f>
        <v>104.766329184177</v>
      </c>
      <c r="I31" s="42" t="n">
        <f aca="false">IFERROR((SUM(I9,I13)/SUM(I20,I23))*100,0)</f>
        <v>103.556532660104</v>
      </c>
      <c r="J31" s="42" t="n">
        <f aca="false">IFERROR((SUM(J9,J13)/SUM(J20,J23))*100,0)</f>
        <v>102.648254362006</v>
      </c>
      <c r="K31" s="42" t="n">
        <f aca="false">IFERROR((SUM(K9,K13)/SUM(K20,K23))*100,0)</f>
        <v>101.466598835514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95.4248532961142</v>
      </c>
      <c r="G32" s="42" t="n">
        <f aca="false">IFERROR(G10/G34*100,0)</f>
        <v>94.36373535742</v>
      </c>
      <c r="H32" s="42" t="n">
        <f aca="false">IFERROR(H10/H34*100,0)</f>
        <v>93.0261717430235</v>
      </c>
      <c r="I32" s="42" t="n">
        <f aca="false">IFERROR(I10/I34*100,0)</f>
        <v>91.780277360409</v>
      </c>
      <c r="J32" s="42" t="n">
        <f aca="false">IFERROR(J10/J34*100,0)</f>
        <v>90.8382229554379</v>
      </c>
      <c r="K32" s="42" t="n">
        <f aca="false">IFERROR(K10/K34*100,0)</f>
        <v>89.6331024654965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92.8228550404598</v>
      </c>
      <c r="C33" s="42" t="n">
        <f aca="false">IFERROR(C10/C35*100,0)</f>
        <v>92.8249068604903</v>
      </c>
      <c r="D33" s="42" t="n">
        <f aca="false">IFERROR(D10/D35*100,0)</f>
        <v>91.9846199349305</v>
      </c>
      <c r="E33" s="42" t="n">
        <f aca="false">IFERROR(E10/E35*100,0)</f>
        <v>91.1722056778617</v>
      </c>
      <c r="F33" s="42" t="n">
        <f aca="false">IFERROR(F10/F35*100,0)</f>
        <v>95.4248532961142</v>
      </c>
      <c r="G33" s="42" t="n">
        <f aca="false">IFERROR(G10/G35*100,0)</f>
        <v>94.36373535742</v>
      </c>
      <c r="H33" s="42" t="n">
        <f aca="false">IFERROR(H10/H35*100,0)</f>
        <v>93.0261717430235</v>
      </c>
      <c r="I33" s="42" t="n">
        <f aca="false">IFERROR(I10/I35*100,0)</f>
        <v>91.780277360409</v>
      </c>
      <c r="J33" s="42" t="n">
        <f aca="false">IFERROR(J10/J35*100,0)</f>
        <v>90.8382229554379</v>
      </c>
      <c r="K33" s="42" t="n">
        <f aca="false">IFERROR(K10/K35*100,0)</f>
        <v>89.6331024654965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1326377</v>
      </c>
      <c r="C35" s="6" t="n">
        <f aca="false">C34+$B$5</f>
        <v>1313084</v>
      </c>
      <c r="D35" s="6" t="n">
        <f aca="false">D34+$B$5</f>
        <v>1311828</v>
      </c>
      <c r="E35" s="6" t="n">
        <f aca="false">E34+$B$5</f>
        <v>1310282</v>
      </c>
      <c r="F35" s="6" t="n">
        <f aca="false">F34+$B$5</f>
        <v>1313331</v>
      </c>
      <c r="G35" s="6" t="n">
        <f aca="false">G34+$B$5</f>
        <v>1314818</v>
      </c>
      <c r="H35" s="6" t="n">
        <f aca="false">H34+$B$5</f>
        <v>1320385</v>
      </c>
      <c r="I35" s="6" t="n">
        <f aca="false">I34+$B$5</f>
        <v>1324925</v>
      </c>
      <c r="J35" s="6" t="n">
        <f aca="false">J34+$B$5</f>
        <v>1325278</v>
      </c>
      <c r="K35" s="6" t="n">
        <f aca="false">K34+$B$5</f>
        <v>1329665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100.693628854175</v>
      </c>
      <c r="C36" s="42" t="n">
        <f aca="false">IFERROR(C10/(C20+C23-C14-C12-C15+$B$5)*100,0)</f>
        <v>100.611576114771</v>
      </c>
      <c r="D36" s="42" t="n">
        <f aca="false">IFERROR(D10/(D20+D23-D14-D12-D15+$B$5)*100,0)</f>
        <v>99.5397027040404</v>
      </c>
      <c r="E36" s="42" t="n">
        <f aca="false">IFERROR(E10/(E20+E23-E14-E12-E15+$B$5)*100,0)</f>
        <v>98.5018742032781</v>
      </c>
      <c r="F36" s="42" t="n">
        <f aca="false">IFERROR(F10/(F20+F23-F14-F12-F15+$B$5)*100,0)</f>
        <v>102.899271145653</v>
      </c>
      <c r="G36" s="42" t="n">
        <f aca="false">IFERROR(G10/(G20+G23-G14-G12-G15+$B$5)*100,0)</f>
        <v>101.565618626255</v>
      </c>
      <c r="H36" s="42" t="n">
        <f aca="false">IFERROR(H10/(H20+H23-H14-H12-H15+$B$5)*100,0)</f>
        <v>99.9243933224312</v>
      </c>
      <c r="I36" s="42" t="n">
        <f aca="false">IFERROR(I10/(I20+I23-I14-I12-I15+$B$5)*100,0)</f>
        <v>98.4091991529662</v>
      </c>
      <c r="J36" s="42" t="n">
        <f aca="false">IFERROR(J10/(J20+J23-J14-J12-J15+$B$5)*100,0)</f>
        <v>97.2651070986289</v>
      </c>
      <c r="K36" s="42" t="n">
        <f aca="false">IFERROR(K10/(K20+K23-K14-K12-K15+$B$5)*100,0)</f>
        <v>95.834662803044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02_将来年次投資置換!B34</f>
        <v>698941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02_将来年次投資置換!B35</f>
        <v>329000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02_将来年次投資置換!B36</f>
        <v>169041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02_将来年次投資置換!B38</f>
        <v>0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02_将来年次投資置換!B40</f>
        <v>200900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02_将来年次投資置換!B44</f>
        <v>1123770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110</v>
      </c>
      <c r="B51" s="6" t="n">
        <f aca="false">02_将来年次投資置換!B45</f>
        <v>268741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111</v>
      </c>
      <c r="B52" s="6" t="n">
        <f aca="false">02_将来年次投資置換!B46</f>
        <v>855029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-424829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582431.360084779</v>
      </c>
      <c r="G57" s="6" t="n">
        <f aca="false">G28+G21+G22-G14</f>
        <v>577460.755903444</v>
      </c>
      <c r="H57" s="6" t="n">
        <f aca="false">H28+H21+H22-H14</f>
        <v>564219.235538242</v>
      </c>
      <c r="I57" s="6" t="n">
        <f aca="false">I28+I21+I22-I14</f>
        <v>550180.679634797</v>
      </c>
      <c r="J57" s="6" t="n">
        <f aca="false">J28+J21+J22-J14</f>
        <v>535646.968838737</v>
      </c>
      <c r="K57" s="6" t="n">
        <f aca="false">K28+K21+K22-K14</f>
        <v>523081.983795688</v>
      </c>
    </row>
    <row r="58" customFormat="false" ht="16.5" hidden="false" customHeight="true" outlineLevel="0" collapsed="false">
      <c r="A58" s="7" t="s">
        <v>181</v>
      </c>
      <c r="B58" s="6" t="n">
        <f aca="false">B54</f>
        <v>-424829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-578724.639915221</v>
      </c>
      <c r="G59" s="6" t="n">
        <f aca="false">F59+G57+G58</f>
        <v>-396637.884011777</v>
      </c>
      <c r="H59" s="6" t="n">
        <f aca="false">G59+H57+H58</f>
        <v>-206606.648473535</v>
      </c>
      <c r="I59" s="6" t="n">
        <f aca="false">H59+I57+I58</f>
        <v>-35939.9688387378</v>
      </c>
      <c r="J59" s="6" t="n">
        <f aca="false">I59+J57+J58</f>
        <v>94474.9999999995</v>
      </c>
      <c r="K59" s="6" t="n">
        <f aca="false">J59+K57+K58</f>
        <v>219199.983795688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-878724.639915221</v>
      </c>
      <c r="G60" s="6" t="n">
        <f aca="false">G59-00_前提・検証!$B$7</f>
        <v>-696637.884011777</v>
      </c>
      <c r="H60" s="6" t="n">
        <f aca="false">H59-00_前提・検証!$B$7</f>
        <v>-506606.648473535</v>
      </c>
      <c r="I60" s="6" t="n">
        <f aca="false">I59-00_前提・検証!$B$7</f>
        <v>-335939.968838738</v>
      </c>
      <c r="J60" s="6" t="n">
        <f aca="false">J59-00_前提・検証!$B$7</f>
        <v>-205525</v>
      </c>
      <c r="K60" s="6" t="n">
        <f aca="false">K59-00_前提・検証!$B$7</f>
        <v>-80800.0162043124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0.01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164553.64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0.201625917513697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1690486.23472451</v>
      </c>
      <c r="G9" s="6" t="n">
        <f aca="false">SUM(G10:G12)</f>
        <v>1674038.97527164</v>
      </c>
      <c r="H9" s="6" t="n">
        <f aca="false">SUM(H10:H12)</f>
        <v>1657757.2995353</v>
      </c>
      <c r="I9" s="6" t="n">
        <f aca="false">SUM(I10:I12)</f>
        <v>1641640.80426366</v>
      </c>
      <c r="J9" s="6" t="n">
        <f aca="false">SUM(J10:J12)</f>
        <v>1625688.08620489</v>
      </c>
      <c r="K9" s="6" t="n">
        <f aca="false">SUM(K10:K12)</f>
        <v>1609897.74210714</v>
      </c>
    </row>
    <row r="10" customFormat="false" ht="16.5" hidden="false" customHeight="true" outlineLevel="0" collapsed="false">
      <c r="A10" s="7" t="s">
        <v>159</v>
      </c>
      <c r="B10" s="6" t="n">
        <f aca="false">02_将来年次投資置換!B7*IF(7&gt;=11,1+$B$6,1)</f>
        <v>1231181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1421122.11736225</v>
      </c>
      <c r="G10" s="6" t="n">
        <f aca="false">02_将来年次投資置換!G7*IF(12&gt;=11,1+$B$6,1)</f>
        <v>1406910.48763582</v>
      </c>
      <c r="H10" s="6" t="n">
        <f aca="false">02_将来年次投資置換!H7*IF(13&gt;=11,1+$B$6,1)</f>
        <v>1392840.64976765</v>
      </c>
      <c r="I10" s="6" t="n">
        <f aca="false">02_将来年次投資置換!I7*IF(14&gt;=11,1+$B$6,1)</f>
        <v>1378911.40213183</v>
      </c>
      <c r="J10" s="6" t="n">
        <f aca="false">02_将来年次投資置換!J7*IF(15&gt;=11,1+$B$6,1)</f>
        <v>1365121.54310245</v>
      </c>
      <c r="K10" s="6" t="n">
        <f aca="false">02_将来年次投資置換!K7*IF(16&gt;=11,1+$B$6,1)</f>
        <v>1351469.87105357</v>
      </c>
    </row>
    <row r="11" customFormat="false" ht="16.5" hidden="false" customHeight="true" outlineLevel="0" collapsed="false">
      <c r="A11" s="7" t="s">
        <v>160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238456.117362253</v>
      </c>
      <c r="G11" s="6" t="n">
        <f aca="false">G10-02_将来年次投資置換!G7</f>
        <v>236071.487635819</v>
      </c>
      <c r="H11" s="6" t="n">
        <f aca="false">H10-02_将来年次投資置換!H7</f>
        <v>233710.649767651</v>
      </c>
      <c r="I11" s="6" t="n">
        <f aca="false">I10-02_将来年次投資置換!I7</f>
        <v>231373.402131832</v>
      </c>
      <c r="J11" s="6" t="n">
        <f aca="false">J10-02_将来年次投資置換!J7</f>
        <v>229059.543102445</v>
      </c>
      <c r="K11" s="6" t="n">
        <f aca="false">K10-02_将来年次投資置換!K7</f>
        <v>226768.871053572</v>
      </c>
    </row>
    <row r="12" customFormat="false" ht="16.5" hidden="false" customHeight="true" outlineLevel="0" collapsed="false">
      <c r="A12" s="7" t="s">
        <v>161</v>
      </c>
      <c r="B12" s="6" t="n">
        <f aca="false">02_将来年次投資置換!B8</f>
        <v>30394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02_将来年次投資置換!B9</f>
        <v>354909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02_将来年次投資置換!B12</f>
        <v>281625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02_将来年次投資置換!B11</f>
        <v>73283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02_将来年次投資置換!B14</f>
        <v>2576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2027144.23472451</v>
      </c>
      <c r="G17" s="6" t="n">
        <f aca="false">SUM(G9,G13,G16)</f>
        <v>2016917.97527164</v>
      </c>
      <c r="H17" s="6" t="n">
        <f aca="false">SUM(H9,H13,H16)</f>
        <v>2000081.2995353</v>
      </c>
      <c r="I17" s="6" t="n">
        <f aca="false">SUM(I9,I13,I16)</f>
        <v>1973898.80426366</v>
      </c>
      <c r="J17" s="6" t="n">
        <f aca="false">SUM(J9,J13,J16)</f>
        <v>1939815.08620489</v>
      </c>
      <c r="K17" s="6" t="n">
        <f aca="false">SUM(K9,K13,K16)</f>
        <v>1917194.74210714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02_将来年次投資置換!B18</f>
        <v>1479507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02_将来年次投資置換!B25</f>
        <v>755782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02_将来年次投資置換!B26</f>
        <v>0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95</v>
      </c>
      <c r="B23" s="6" t="n">
        <f aca="false">02_将来年次投資置換!B28</f>
        <v>128495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02_将来年次投資置換!B29</f>
        <v>118910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02_将来年次投資置換!B31</f>
        <v>273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441645.234724507</v>
      </c>
      <c r="G27" s="6" t="n">
        <f aca="false">SUM(G9,G13)-SUM(G20,G23)</f>
        <v>429173.975271638</v>
      </c>
      <c r="H27" s="6" t="n">
        <f aca="false">SUM(H9,H13)-SUM(H20,H23)</f>
        <v>405096.299535302</v>
      </c>
      <c r="I27" s="6" t="n">
        <f aca="false">SUM(I9,I13)-SUM(I20,I23)</f>
        <v>382385.804263664</v>
      </c>
      <c r="J27" s="6" t="n">
        <f aca="false">SUM(J9,J13)-SUM(J20,J23)</f>
        <v>364250.08620489</v>
      </c>
      <c r="K27" s="6" t="n">
        <f aca="false">SUM(K9,K13)-SUM(K20,K23)</f>
        <v>342395.742107144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441372.234724507</v>
      </c>
      <c r="G28" s="6" t="n">
        <f aca="false">G27+G16-G25</f>
        <v>428900.975271638</v>
      </c>
      <c r="H28" s="6" t="n">
        <f aca="false">H27+H16-H25</f>
        <v>404823.299535302</v>
      </c>
      <c r="I28" s="6" t="n">
        <f aca="false">I27+I16-I25</f>
        <v>382112.804263664</v>
      </c>
      <c r="J28" s="6" t="n">
        <f aca="false">J27+J16-J25</f>
        <v>363977.08620489</v>
      </c>
      <c r="K28" s="6" t="n">
        <f aca="false">K27+K16-K25</f>
        <v>342122.742107144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127.855283082771</v>
      </c>
      <c r="G31" s="42" t="n">
        <f aca="false">IFERROR((SUM(G9,G13)/SUM(G20,G23))*100,0)</f>
        <v>127.030426521633</v>
      </c>
      <c r="H31" s="42" t="n">
        <f aca="false">IFERROR((SUM(H9,H13)/SUM(H20,H23))*100,0)</f>
        <v>125.39812597205</v>
      </c>
      <c r="I31" s="42" t="n">
        <f aca="false">IFERROR((SUM(I9,I13)/SUM(I20,I23))*100,0)</f>
        <v>124.026558643484</v>
      </c>
      <c r="J31" s="42" t="n">
        <f aca="false">IFERROR((SUM(J9,J13)/SUM(J20,J23))*100,0)</f>
        <v>123.118696226743</v>
      </c>
      <c r="K31" s="42" t="n">
        <f aca="false">IFERROR((SUM(K9,K13)/SUM(K20,K23))*100,0)</f>
        <v>121.742186914466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108.207460066217</v>
      </c>
      <c r="G32" s="42" t="n">
        <f aca="false">IFERROR(G10/G34*100,0)</f>
        <v>107.004200401563</v>
      </c>
      <c r="H32" s="42" t="n">
        <f aca="false">IFERROR(H10/H34*100,0)</f>
        <v>105.487463866043</v>
      </c>
      <c r="I32" s="42" t="n">
        <f aca="false">IFERROR(I10/I34*100,0)</f>
        <v>104.074676085954</v>
      </c>
      <c r="J32" s="42" t="n">
        <f aca="false">IFERROR(J10/J34*100,0)</f>
        <v>103.006429073934</v>
      </c>
      <c r="K32" s="42" t="n">
        <f aca="false">IFERROR(K10/K34*100,0)</f>
        <v>101.639877040726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82.5780198601325</v>
      </c>
      <c r="C33" s="42" t="n">
        <f aca="false">IFERROR(C10/C35*100,0)</f>
        <v>82.487679455702</v>
      </c>
      <c r="D33" s="42" t="n">
        <f aca="false">IFERROR(D10/D35*100,0)</f>
        <v>81.7322545409058</v>
      </c>
      <c r="E33" s="42" t="n">
        <f aca="false">IFERROR(E10/E35*100,0)</f>
        <v>80.9997377063657</v>
      </c>
      <c r="F33" s="42" t="n">
        <f aca="false">IFERROR(F10/F35*100,0)</f>
        <v>96.1592047781384</v>
      </c>
      <c r="G33" s="42" t="n">
        <f aca="false">IFERROR(G10/G35*100,0)</f>
        <v>95.1018966157699</v>
      </c>
      <c r="H33" s="42" t="n">
        <f aca="false">IFERROR(H10/H35*100,0)</f>
        <v>93.7978588642323</v>
      </c>
      <c r="I33" s="42" t="n">
        <f aca="false">IFERROR(I10/I35*100,0)</f>
        <v>92.5767825802344</v>
      </c>
      <c r="J33" s="42" t="n">
        <f aca="false">IFERROR(J10/J35*100,0)</f>
        <v>91.6292490004069</v>
      </c>
      <c r="K33" s="42" t="n">
        <f aca="false">IFERROR(K10/K35*100,0)</f>
        <v>90.446594285129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1490930.64</v>
      </c>
      <c r="C35" s="6" t="n">
        <f aca="false">C34+$B$5</f>
        <v>1477637.64</v>
      </c>
      <c r="D35" s="6" t="n">
        <f aca="false">D34+$B$5</f>
        <v>1476381.64</v>
      </c>
      <c r="E35" s="6" t="n">
        <f aca="false">E34+$B$5</f>
        <v>1474835.64</v>
      </c>
      <c r="F35" s="6" t="n">
        <f aca="false">F34+$B$5</f>
        <v>1477884.64</v>
      </c>
      <c r="G35" s="6" t="n">
        <f aca="false">G34+$B$5</f>
        <v>1479371.64</v>
      </c>
      <c r="H35" s="6" t="n">
        <f aca="false">H34+$B$5</f>
        <v>1484938.64</v>
      </c>
      <c r="I35" s="6" t="n">
        <f aca="false">I34+$B$5</f>
        <v>1489478.64</v>
      </c>
      <c r="J35" s="6" t="n">
        <f aca="false">J34+$B$5</f>
        <v>1489831.64</v>
      </c>
      <c r="K35" s="6" t="n">
        <f aca="false">K34+$B$5</f>
        <v>1494218.64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88.7495238433831</v>
      </c>
      <c r="C36" s="42" t="n">
        <f aca="false">IFERROR(C10/(C20+C23-C14-C12-C15+$B$5)*100,0)</f>
        <v>88.5797178580294</v>
      </c>
      <c r="D36" s="42" t="n">
        <f aca="false">IFERROR(D10/(D20+D23-D14-D12-D15+$B$5)*100,0)</f>
        <v>87.6429434560221</v>
      </c>
      <c r="E36" s="42" t="n">
        <f aca="false">IFERROR(E10/(E20+E23-E14-E12-E15+$B$5)*100,0)</f>
        <v>86.7336156348935</v>
      </c>
      <c r="F36" s="42" t="n">
        <f aca="false">IFERROR(F10/(F20+F23-F14-F12-F15+$B$5)*100,0)</f>
        <v>102.794636580521</v>
      </c>
      <c r="G36" s="42" t="n">
        <f aca="false">IFERROR(G10/(G20+G23-G14-G12-G15+$B$5)*100,0)</f>
        <v>101.498467184433</v>
      </c>
      <c r="H36" s="42" t="n">
        <f aca="false">IFERROR(H10/(H20+H23-H14-H12-H15+$B$5)*100,0)</f>
        <v>99.9321280456276</v>
      </c>
      <c r="I36" s="42" t="n">
        <f aca="false">IFERROR(I10/(I20+I23-I14-I12-I15+$B$5)*100,0)</f>
        <v>98.477448124677</v>
      </c>
      <c r="J36" s="42" t="n">
        <f aca="false">IFERROR(J10/(J20+J23-J14-J12-J15+$B$5)*100,0)</f>
        <v>97.3513451875495</v>
      </c>
      <c r="K36" s="42" t="n">
        <f aca="false">IFERROR(K10/(K20+K23-K14-K12-K15+$B$5)*100,0)</f>
        <v>95.9731721239897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02_将来年次投資置換!B34</f>
        <v>698941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02_将来年次投資置換!B35</f>
        <v>329000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02_将来年次投資置換!B36</f>
        <v>169041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02_将来年次投資置換!B38</f>
        <v>0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02_将来年次投資置換!B40</f>
        <v>200900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02_将来年次投資置換!B44</f>
        <v>1123770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110</v>
      </c>
      <c r="B51" s="6" t="n">
        <f aca="false">02_将来年次投資置換!B45</f>
        <v>268741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111</v>
      </c>
      <c r="B52" s="6" t="n">
        <f aca="false">02_将来年次投資置換!B46</f>
        <v>855029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-424829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918187.234724507</v>
      </c>
      <c r="G57" s="6" t="n">
        <f aca="false">G28+G21+G22-G14</f>
        <v>909858.975271638</v>
      </c>
      <c r="H57" s="6" t="n">
        <f aca="false">H28+H21+H22-H14</f>
        <v>893293.299535302</v>
      </c>
      <c r="I57" s="6" t="n">
        <f aca="false">I28+I21+I22-I14</f>
        <v>875963.804263664</v>
      </c>
      <c r="J57" s="6" t="n">
        <f aca="false">J28+J21+J22-J14</f>
        <v>858172.08620489</v>
      </c>
      <c r="K57" s="6" t="n">
        <f aca="false">K28+K21+K22-K14</f>
        <v>842381.742107144</v>
      </c>
    </row>
    <row r="58" customFormat="false" ht="16.5" hidden="false" customHeight="true" outlineLevel="0" collapsed="false">
      <c r="A58" s="7" t="s">
        <v>181</v>
      </c>
      <c r="B58" s="6" t="n">
        <f aca="false">B54</f>
        <v>-424829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-242968.765275493</v>
      </c>
      <c r="G59" s="6" t="n">
        <f aca="false">F59+G57+G58</f>
        <v>271516.209996145</v>
      </c>
      <c r="H59" s="6" t="n">
        <f aca="false">G59+H57+H58</f>
        <v>790621.509531447</v>
      </c>
      <c r="I59" s="6" t="n">
        <f aca="false">H59+I57+I58</f>
        <v>1287071.31379511</v>
      </c>
      <c r="J59" s="6" t="n">
        <f aca="false">I59+J57+J58</f>
        <v>1740011.4</v>
      </c>
      <c r="K59" s="6" t="n">
        <f aca="false">J59+K57+K58</f>
        <v>2184036.14210715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-542968.765275493</v>
      </c>
      <c r="G60" s="6" t="n">
        <f aca="false">G59-00_前提・検証!$B$7</f>
        <v>-28483.7900038552</v>
      </c>
      <c r="H60" s="6" t="n">
        <f aca="false">H59-00_前提・検証!$B$7</f>
        <v>490621.509531447</v>
      </c>
      <c r="I60" s="6" t="n">
        <f aca="false">I59-00_前提・検証!$B$7</f>
        <v>987071.313795111</v>
      </c>
      <c r="J60" s="6" t="n">
        <f aca="false">J59-00_前提・検証!$B$7</f>
        <v>1440011.4</v>
      </c>
      <c r="K60" s="6" t="n">
        <f aca="false">K59-00_前提・検証!$B$7</f>
        <v>1884036.14210715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189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0.02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329107.28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0.343574648025831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2026242.10936423</v>
      </c>
      <c r="G9" s="6" t="n">
        <f aca="false">SUM(G10:G12)</f>
        <v>2006437.19463983</v>
      </c>
      <c r="H9" s="6" t="n">
        <f aca="false">SUM(H10:H12)</f>
        <v>1986831.36353236</v>
      </c>
      <c r="I9" s="6" t="n">
        <f aca="false">SUM(I10:I12)</f>
        <v>1967423.92889253</v>
      </c>
      <c r="J9" s="6" t="n">
        <f aca="false">SUM(J10:J12)</f>
        <v>1948213.20357104</v>
      </c>
      <c r="K9" s="6" t="n">
        <f aca="false">SUM(K10:K12)</f>
        <v>1929197.5004186</v>
      </c>
    </row>
    <row r="10" customFormat="false" ht="16.5" hidden="false" customHeight="true" outlineLevel="0" collapsed="false">
      <c r="A10" s="7" t="s">
        <v>159</v>
      </c>
      <c r="B10" s="6" t="n">
        <f aca="false">02_将来年次投資置換!B7*IF(7&gt;=11,1+$B$6,1)</f>
        <v>1231181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1589000.05468212</v>
      </c>
      <c r="G10" s="6" t="n">
        <f aca="false">02_将来年次投資置換!G7*IF(12&gt;=11,1+$B$6,1)</f>
        <v>1573109.59731992</v>
      </c>
      <c r="H10" s="6" t="n">
        <f aca="false">02_将来年次投資置換!H7*IF(13&gt;=11,1+$B$6,1)</f>
        <v>1557377.68176618</v>
      </c>
      <c r="I10" s="6" t="n">
        <f aca="false">02_将来年次投資置換!I7*IF(14&gt;=11,1+$B$6,1)</f>
        <v>1541802.96444627</v>
      </c>
      <c r="J10" s="6" t="n">
        <f aca="false">02_将来年次投資置換!J7*IF(15&gt;=11,1+$B$6,1)</f>
        <v>1526384.10178552</v>
      </c>
      <c r="K10" s="6" t="n">
        <f aca="false">02_将来年次投資置換!K7*IF(16&gt;=11,1+$B$6,1)</f>
        <v>1511119.7502093</v>
      </c>
    </row>
    <row r="11" customFormat="false" ht="16.5" hidden="false" customHeight="true" outlineLevel="0" collapsed="false">
      <c r="A11" s="7" t="s">
        <v>160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406334.054682117</v>
      </c>
      <c r="G11" s="6" t="n">
        <f aca="false">G10-02_将来年次投資置換!G7</f>
        <v>402270.597319915</v>
      </c>
      <c r="H11" s="6" t="n">
        <f aca="false">H10-02_将来年次投資置換!H7</f>
        <v>398247.681766181</v>
      </c>
      <c r="I11" s="6" t="n">
        <f aca="false">I10-02_将来年次投資置換!I7</f>
        <v>394264.964446266</v>
      </c>
      <c r="J11" s="6" t="n">
        <f aca="false">J10-02_将来年次投資置換!J7</f>
        <v>390322.101785521</v>
      </c>
      <c r="K11" s="6" t="n">
        <f aca="false">K10-02_将来年次投資置換!K7</f>
        <v>386418.7502093</v>
      </c>
    </row>
    <row r="12" customFormat="false" ht="16.5" hidden="false" customHeight="true" outlineLevel="0" collapsed="false">
      <c r="A12" s="7" t="s">
        <v>161</v>
      </c>
      <c r="B12" s="6" t="n">
        <f aca="false">02_将来年次投資置換!B8</f>
        <v>30394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02_将来年次投資置換!B9</f>
        <v>354909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02_将来年次投資置換!B12</f>
        <v>281625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02_将来年次投資置換!B11</f>
        <v>73283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02_将来年次投資置換!B14</f>
        <v>2576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2362900.10936423</v>
      </c>
      <c r="G17" s="6" t="n">
        <f aca="false">SUM(G9,G13,G16)</f>
        <v>2349316.19463983</v>
      </c>
      <c r="H17" s="6" t="n">
        <f aca="false">SUM(H9,H13,H16)</f>
        <v>2329155.36353236</v>
      </c>
      <c r="I17" s="6" t="n">
        <f aca="false">SUM(I9,I13,I16)</f>
        <v>2299681.92889253</v>
      </c>
      <c r="J17" s="6" t="n">
        <f aca="false">SUM(J9,J13,J16)</f>
        <v>2262340.20357104</v>
      </c>
      <c r="K17" s="6" t="n">
        <f aca="false">SUM(K9,K13,K16)</f>
        <v>2236494.5004186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02_将来年次投資置換!B18</f>
        <v>1479507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02_将来年次投資置換!B25</f>
        <v>755782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02_将来年次投資置換!B26</f>
        <v>0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95</v>
      </c>
      <c r="B23" s="6" t="n">
        <f aca="false">02_将来年次投資置換!B28</f>
        <v>128495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02_将来年次投資置換!B29</f>
        <v>118910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02_将来年次投資置換!B31</f>
        <v>273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777401.109364234</v>
      </c>
      <c r="G27" s="6" t="n">
        <f aca="false">SUM(G9,G13)-SUM(G20,G23)</f>
        <v>761572.194639831</v>
      </c>
      <c r="H27" s="6" t="n">
        <f aca="false">SUM(H9,H13)-SUM(H20,H23)</f>
        <v>734170.363532362</v>
      </c>
      <c r="I27" s="6" t="n">
        <f aca="false">SUM(I9,I13)-SUM(I20,I23)</f>
        <v>708168.928892531</v>
      </c>
      <c r="J27" s="6" t="n">
        <f aca="false">SUM(J9,J13)-SUM(J20,J23)</f>
        <v>686775.203571043</v>
      </c>
      <c r="K27" s="6" t="n">
        <f aca="false">SUM(K9,K13)-SUM(K20,K23)</f>
        <v>661695.500418599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777128.109364234</v>
      </c>
      <c r="G28" s="6" t="n">
        <f aca="false">G27+G16-G25</f>
        <v>761299.194639831</v>
      </c>
      <c r="H28" s="6" t="n">
        <f aca="false">H27+H16-H25</f>
        <v>733897.363532362</v>
      </c>
      <c r="I28" s="6" t="n">
        <f aca="false">I27+I16-I25</f>
        <v>707895.928892531</v>
      </c>
      <c r="J28" s="6" t="n">
        <f aca="false">J27+J16-J25</f>
        <v>686502.203571043</v>
      </c>
      <c r="K28" s="6" t="n">
        <f aca="false">K27+K16-K25</f>
        <v>661422.500418599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149.031952045648</v>
      </c>
      <c r="G31" s="42" t="n">
        <f aca="false">IFERROR((SUM(G9,G13)/SUM(G20,G23))*100,0)</f>
        <v>147.965679268184</v>
      </c>
      <c r="H31" s="42" t="n">
        <f aca="false">IFERROR((SUM(H9,H13)/SUM(H20,H23))*100,0)</f>
        <v>146.029922759923</v>
      </c>
      <c r="I31" s="42" t="n">
        <f aca="false">IFERROR((SUM(I9,I13)/SUM(I20,I23))*100,0)</f>
        <v>144.496584626863</v>
      </c>
      <c r="J31" s="42" t="n">
        <f aca="false">IFERROR((SUM(J9,J13)/SUM(J20,J23))*100,0)</f>
        <v>143.589138091481</v>
      </c>
      <c r="K31" s="42" t="n">
        <f aca="false">IFERROR((SUM(K9,K13)/SUM(K20,K23))*100,0)</f>
        <v>142.017774993418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120.990066836321</v>
      </c>
      <c r="G32" s="42" t="n">
        <f aca="false">IFERROR(G10/G34*100,0)</f>
        <v>119.644665445705</v>
      </c>
      <c r="H32" s="42" t="n">
        <f aca="false">IFERROR(H10/H34*100,0)</f>
        <v>117.948755989062</v>
      </c>
      <c r="I32" s="42" t="n">
        <f aca="false">IFERROR(I10/I34*100,0)</f>
        <v>116.3690748115</v>
      </c>
      <c r="J32" s="42" t="n">
        <f aca="false">IFERROR(J10/J34*100,0)</f>
        <v>115.174635192429</v>
      </c>
      <c r="K32" s="42" t="n">
        <f aca="false">IFERROR(K10/K34*100,0)</f>
        <v>113.646651615956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74.3698393801722</v>
      </c>
      <c r="C33" s="42" t="n">
        <f aca="false">IFERROR(C10/C35*100,0)</f>
        <v>74.2221088885577</v>
      </c>
      <c r="D33" s="42" t="n">
        <f aca="false">IFERROR(D10/D35*100,0)</f>
        <v>73.5361116740692</v>
      </c>
      <c r="E33" s="42" t="n">
        <f aca="false">IFERROR(E10/E35*100,0)</f>
        <v>72.8693919482016</v>
      </c>
      <c r="F33" s="42" t="n">
        <f aca="false">IFERROR(F10/F35*100,0)</f>
        <v>96.7464089233306</v>
      </c>
      <c r="G33" s="42" t="n">
        <f aca="false">IFERROR(G10/G35*100,0)</f>
        <v>95.6922809362671</v>
      </c>
      <c r="H33" s="42" t="n">
        <f aca="false">IFERROR(H10/H35*100,0)</f>
        <v>94.4155786995366</v>
      </c>
      <c r="I33" s="42" t="n">
        <f aca="false">IFERROR(I10/I35*100,0)</f>
        <v>93.214805000436</v>
      </c>
      <c r="J33" s="42" t="n">
        <f aca="false">IFERROR(J10/J35*100,0)</f>
        <v>92.262916035225</v>
      </c>
      <c r="K33" s="42" t="n">
        <f aca="false">IFERROR(K10/K35*100,0)</f>
        <v>91.0986859636514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1655484.28</v>
      </c>
      <c r="C35" s="6" t="n">
        <f aca="false">C34+$B$5</f>
        <v>1642191.28</v>
      </c>
      <c r="D35" s="6" t="n">
        <f aca="false">D34+$B$5</f>
        <v>1640935.28</v>
      </c>
      <c r="E35" s="6" t="n">
        <f aca="false">E34+$B$5</f>
        <v>1639389.28</v>
      </c>
      <c r="F35" s="6" t="n">
        <f aca="false">F34+$B$5</f>
        <v>1642438.28</v>
      </c>
      <c r="G35" s="6" t="n">
        <f aca="false">G34+$B$5</f>
        <v>1643925.28</v>
      </c>
      <c r="H35" s="6" t="n">
        <f aca="false">H34+$B$5</f>
        <v>1649492.28</v>
      </c>
      <c r="I35" s="6" t="n">
        <f aca="false">I34+$B$5</f>
        <v>1654032.28</v>
      </c>
      <c r="J35" s="6" t="n">
        <f aca="false">J34+$B$5</f>
        <v>1654385.28</v>
      </c>
      <c r="K35" s="6" t="n">
        <f aca="false">K34+$B$5</f>
        <v>1658772.28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79.338524562148</v>
      </c>
      <c r="C36" s="42" t="n">
        <f aca="false">IFERROR(C10/(C20+C23-C14-C12-C15+$B$5)*100,0)</f>
        <v>79.1181933969154</v>
      </c>
      <c r="D36" s="42" t="n">
        <f aca="false">IFERROR(D10/(D20+D23-D14-D12-D15+$B$5)*100,0)</f>
        <v>78.2863380880902</v>
      </c>
      <c r="E36" s="42" t="n">
        <f aca="false">IFERROR(E10/(E20+E23-E14-E12-E15+$B$5)*100,0)</f>
        <v>77.4772232672893</v>
      </c>
      <c r="F36" s="42" t="n">
        <f aca="false">IFERROR(F10/(F20+F23-F14-F12-F15+$B$5)*100,0)</f>
        <v>102.712261291743</v>
      </c>
      <c r="G36" s="42" t="n">
        <f aca="false">IFERROR(G10/(G20+G23-G14-G12-G15+$B$5)*100,0)</f>
        <v>101.445567450961</v>
      </c>
      <c r="H36" s="42" t="n">
        <f aca="false">IFERROR(H10/(H20+H23-H14-H12-H15+$B$5)*100,0)</f>
        <v>99.9382292657019</v>
      </c>
      <c r="I36" s="42" t="n">
        <f aca="false">IFERROR(I10/(I20+I23-I14-I12-I15+$B$5)*100,0)</f>
        <v>98.5313428919586</v>
      </c>
      <c r="J36" s="42" t="n">
        <f aca="false">IFERROR(J10/(J20+J23-J14-J12-J15+$B$5)*100,0)</f>
        <v>97.4194691023712</v>
      </c>
      <c r="K36" s="42" t="n">
        <f aca="false">IFERROR(K10/(K20+K23-K14-K12-K15+$B$5)*100,0)</f>
        <v>96.0826971464708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02_将来年次投資置換!B34</f>
        <v>698941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02_将来年次投資置換!B35</f>
        <v>329000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02_将来年次投資置換!B36</f>
        <v>169041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02_将来年次投資置換!B38</f>
        <v>0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02_将来年次投資置換!B40</f>
        <v>200900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02_将来年次投資置換!B44</f>
        <v>1123770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110</v>
      </c>
      <c r="B51" s="6" t="n">
        <f aca="false">02_将来年次投資置換!B45</f>
        <v>268741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111</v>
      </c>
      <c r="B52" s="6" t="n">
        <f aca="false">02_将来年次投資置換!B46</f>
        <v>855029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-424829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1253943.10936423</v>
      </c>
      <c r="G57" s="6" t="n">
        <f aca="false">G28+G21+G22-G14</f>
        <v>1242257.19463983</v>
      </c>
      <c r="H57" s="6" t="n">
        <f aca="false">H28+H21+H22-H14</f>
        <v>1222367.36353236</v>
      </c>
      <c r="I57" s="6" t="n">
        <f aca="false">I28+I21+I22-I14</f>
        <v>1201746.92889253</v>
      </c>
      <c r="J57" s="6" t="n">
        <f aca="false">J28+J21+J22-J14</f>
        <v>1180697.20357104</v>
      </c>
      <c r="K57" s="6" t="n">
        <f aca="false">K28+K21+K22-K14</f>
        <v>1161681.5004186</v>
      </c>
    </row>
    <row r="58" customFormat="false" ht="16.5" hidden="false" customHeight="true" outlineLevel="0" collapsed="false">
      <c r="A58" s="7" t="s">
        <v>181</v>
      </c>
      <c r="B58" s="6" t="n">
        <f aca="false">B54</f>
        <v>-424829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92787.1093642339</v>
      </c>
      <c r="G59" s="6" t="n">
        <f aca="false">F59+G57+G58</f>
        <v>939670.304004065</v>
      </c>
      <c r="H59" s="6" t="n">
        <f aca="false">G59+H57+H58</f>
        <v>1787849.66753643</v>
      </c>
      <c r="I59" s="6" t="n">
        <f aca="false">H59+I57+I58</f>
        <v>2610082.59642896</v>
      </c>
      <c r="J59" s="6" t="n">
        <f aca="false">I59+J57+J58</f>
        <v>3385547.8</v>
      </c>
      <c r="K59" s="6" t="n">
        <f aca="false">J59+K57+K58</f>
        <v>4148872.3004186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-207212.890635766</v>
      </c>
      <c r="G60" s="6" t="n">
        <f aca="false">G59-00_前提・検証!$B$7</f>
        <v>639670.304004065</v>
      </c>
      <c r="H60" s="6" t="n">
        <f aca="false">H59-00_前提・検証!$B$7</f>
        <v>1487849.66753643</v>
      </c>
      <c r="I60" s="6" t="n">
        <f aca="false">I59-00_前提・検証!$B$7</f>
        <v>2310082.59642896</v>
      </c>
      <c r="J60" s="6" t="n">
        <f aca="false">J59-00_前提・検証!$B$7</f>
        <v>3085547.8</v>
      </c>
      <c r="K60" s="6" t="n">
        <f aca="false">K59-00_前提・検証!$B$7</f>
        <v>3848872.3004186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.88"/>
    <col collapsed="false" customWidth="true" hidden="false" outlineLevel="0" max="11" min="5" style="1" width="9.75"/>
  </cols>
  <sheetData>
    <row r="1" customFormat="false" ht="21" hidden="false" customHeight="true" outlineLevel="0" collapsed="false">
      <c r="A1" s="38" t="s">
        <v>190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6.5" hidden="false" customHeight="true" outlineLevel="0" collapsed="false">
      <c r="A2" s="39" t="s">
        <v>156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32.25" hidden="false" customHeight="true" outlineLevel="0" collapsed="false">
      <c r="A3" s="2" t="s">
        <v>63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18</v>
      </c>
      <c r="G3" s="2" t="s">
        <v>68</v>
      </c>
      <c r="H3" s="2" t="s">
        <v>69</v>
      </c>
      <c r="I3" s="2" t="s">
        <v>70</v>
      </c>
      <c r="J3" s="2" t="s">
        <v>23</v>
      </c>
      <c r="K3" s="2" t="s">
        <v>71</v>
      </c>
    </row>
    <row r="4" customFormat="false" ht="16.5" hidden="false" customHeight="true" outlineLevel="0" collapsed="false">
      <c r="A4" s="7" t="s">
        <v>119</v>
      </c>
      <c r="B4" s="41" t="n">
        <v>0.03</v>
      </c>
      <c r="C4" s="41"/>
      <c r="D4" s="41"/>
      <c r="E4" s="41"/>
      <c r="F4" s="41"/>
      <c r="G4" s="41"/>
      <c r="H4" s="41"/>
      <c r="I4" s="41"/>
      <c r="J4" s="41"/>
      <c r="K4" s="41"/>
    </row>
    <row r="5" customFormat="false" ht="16.5" hidden="false" customHeight="true" outlineLevel="0" collapsed="false">
      <c r="A5" s="7" t="s">
        <v>157</v>
      </c>
      <c r="B5" s="6" t="n">
        <f aca="false">00_前提・検証!$B$2*$B$4</f>
        <v>493660.92</v>
      </c>
      <c r="C5" s="41"/>
      <c r="D5" s="41"/>
      <c r="E5" s="41"/>
      <c r="F5" s="41"/>
      <c r="G5" s="41"/>
      <c r="H5" s="41"/>
      <c r="I5" s="41"/>
      <c r="J5" s="41"/>
      <c r="K5" s="41"/>
    </row>
    <row r="6" customFormat="false" ht="16.5" hidden="false" customHeight="true" outlineLevel="0" collapsed="false">
      <c r="A6" s="7" t="s">
        <v>158</v>
      </c>
      <c r="B6" s="41" t="n">
        <f aca="false">MAX(0,(SUMPRODUCT((02_将来年次投資置換!F18:J18+02_将来年次投資置換!F28:J28-02_将来年次投資置換!F12:J12-02_将来年次投資置換!F8:J8-02_将来年次投資置換!F11:J11+$B$5)-02_将来年次投資置換!F7:J7)/SUM(02_将来年次投資置換!F7:J7)))</f>
        <v>0.485523378537965</v>
      </c>
      <c r="C6" s="41"/>
      <c r="D6" s="41"/>
      <c r="E6" s="41"/>
      <c r="F6" s="41"/>
      <c r="G6" s="41"/>
      <c r="H6" s="41"/>
      <c r="I6" s="41"/>
      <c r="J6" s="41"/>
      <c r="K6" s="41"/>
    </row>
    <row r="7" customFormat="false" ht="15" hidden="false" customHeight="tru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6.5" hidden="false" customHeight="true" outlineLevel="0" collapsed="false">
      <c r="A8" s="49" t="s">
        <v>72</v>
      </c>
      <c r="B8" s="50"/>
      <c r="C8" s="50"/>
      <c r="D8" s="50"/>
      <c r="E8" s="50"/>
      <c r="F8" s="50"/>
      <c r="G8" s="50"/>
      <c r="H8" s="50"/>
      <c r="I8" s="50"/>
      <c r="J8" s="50"/>
      <c r="K8" s="50"/>
    </row>
    <row r="9" customFormat="false" ht="16.5" hidden="false" customHeight="true" outlineLevel="0" collapsed="false">
      <c r="A9" s="7" t="s">
        <v>74</v>
      </c>
      <c r="B9" s="6" t="n">
        <f aca="false">SUM(B10:B12)</f>
        <v>1261575</v>
      </c>
      <c r="C9" s="6" t="n">
        <f aca="false">SUM(C10:C12)</f>
        <v>1249336</v>
      </c>
      <c r="D9" s="6" t="n">
        <f aca="false">SUM(D10:D12)</f>
        <v>1237293</v>
      </c>
      <c r="E9" s="6" t="n">
        <f aca="false">SUM(E10:E12)</f>
        <v>1225373</v>
      </c>
      <c r="F9" s="6" t="n">
        <f aca="false">SUM(F10:F12)</f>
        <v>2361997.98400396</v>
      </c>
      <c r="G9" s="6" t="n">
        <f aca="false">SUM(G10:G12)</f>
        <v>2338835.41400802</v>
      </c>
      <c r="H9" s="6" t="n">
        <f aca="false">SUM(H10:H12)</f>
        <v>2315905.42752942</v>
      </c>
      <c r="I9" s="6" t="n">
        <f aca="false">SUM(I10:I12)</f>
        <v>2293207.0535214</v>
      </c>
      <c r="J9" s="6" t="n">
        <f aca="false">SUM(J10:J12)</f>
        <v>2270738.32093719</v>
      </c>
      <c r="K9" s="6" t="n">
        <f aca="false">SUM(K10:K12)</f>
        <v>2248497.25873006</v>
      </c>
    </row>
    <row r="10" customFormat="false" ht="16.5" hidden="false" customHeight="true" outlineLevel="0" collapsed="false">
      <c r="A10" s="7" t="s">
        <v>159</v>
      </c>
      <c r="B10" s="6" t="n">
        <f aca="false">02_将来年次投資置換!B7*IF(7&gt;=11,1+$B$6,1)</f>
        <v>1231181</v>
      </c>
      <c r="C10" s="6" t="n">
        <f aca="false">02_将来年次投資置換!C7*IF(8&gt;=11,1+$B$6,1)</f>
        <v>1218869</v>
      </c>
      <c r="D10" s="6" t="n">
        <f aca="false">02_将来年次投資置換!D7*IF(9&gt;=11,1+$B$6,1)</f>
        <v>1206680</v>
      </c>
      <c r="E10" s="6" t="n">
        <f aca="false">02_将来年次投資置換!E7*IF(10&gt;=11,1+$B$6,1)</f>
        <v>1194613</v>
      </c>
      <c r="F10" s="6" t="n">
        <f aca="false">02_将来年次投資置換!F7*IF(11&gt;=11,1+$B$6,1)</f>
        <v>1756877.99200198</v>
      </c>
      <c r="G10" s="6" t="n">
        <f aca="false">02_将来年次投資置換!G7*IF(12&gt;=11,1+$B$6,1)</f>
        <v>1739308.70700401</v>
      </c>
      <c r="H10" s="6" t="n">
        <f aca="false">02_将来年次投資置換!H7*IF(13&gt;=11,1+$B$6,1)</f>
        <v>1721914.71376471</v>
      </c>
      <c r="I10" s="6" t="n">
        <f aca="false">02_将来年次投資置換!I7*IF(14&gt;=11,1+$B$6,1)</f>
        <v>1704694.5267607</v>
      </c>
      <c r="J10" s="6" t="n">
        <f aca="false">02_将来年次投資置換!J7*IF(15&gt;=11,1+$B$6,1)</f>
        <v>1687646.6604686</v>
      </c>
      <c r="K10" s="6" t="n">
        <f aca="false">02_将来年次投資置換!K7*IF(16&gt;=11,1+$B$6,1)</f>
        <v>1670769.62936503</v>
      </c>
    </row>
    <row r="11" customFormat="false" ht="16.5" hidden="false" customHeight="true" outlineLevel="0" collapsed="false">
      <c r="A11" s="7" t="s">
        <v>160</v>
      </c>
      <c r="B11" s="6" t="n">
        <f aca="false">B10-02_将来年次投資置換!B7</f>
        <v>0</v>
      </c>
      <c r="C11" s="6" t="n">
        <f aca="false">C10-02_将来年次投資置換!C7</f>
        <v>0</v>
      </c>
      <c r="D11" s="6" t="n">
        <f aca="false">D10-02_将来年次投資置換!D7</f>
        <v>0</v>
      </c>
      <c r="E11" s="6" t="n">
        <f aca="false">E10-02_将来年次投資置換!E7</f>
        <v>0</v>
      </c>
      <c r="F11" s="6" t="n">
        <f aca="false">F10-02_将来年次投資置換!F7</f>
        <v>574211.992001981</v>
      </c>
      <c r="G11" s="6" t="n">
        <f aca="false">G10-02_将来年次投資置換!G7</f>
        <v>568469.707004012</v>
      </c>
      <c r="H11" s="6" t="n">
        <f aca="false">H10-02_将来年次投資置換!H7</f>
        <v>562784.713764711</v>
      </c>
      <c r="I11" s="6" t="n">
        <f aca="false">I10-02_将来年次投資置換!I7</f>
        <v>557156.526760699</v>
      </c>
      <c r="J11" s="6" t="n">
        <f aca="false">J10-02_将来年次投資置換!J7</f>
        <v>551584.660468597</v>
      </c>
      <c r="K11" s="6" t="n">
        <f aca="false">K10-02_将来年次投資置換!K7</f>
        <v>546068.629365027</v>
      </c>
    </row>
    <row r="12" customFormat="false" ht="16.5" hidden="false" customHeight="true" outlineLevel="0" collapsed="false">
      <c r="A12" s="7" t="s">
        <v>161</v>
      </c>
      <c r="B12" s="6" t="n">
        <f aca="false">02_将来年次投資置換!B8</f>
        <v>30394</v>
      </c>
      <c r="C12" s="6" t="n">
        <f aca="false">02_将来年次投資置換!C8</f>
        <v>30467</v>
      </c>
      <c r="D12" s="6" t="n">
        <f aca="false">02_将来年次投資置換!D8</f>
        <v>30613</v>
      </c>
      <c r="E12" s="6" t="n">
        <f aca="false">02_将来年次投資置換!E8</f>
        <v>30760</v>
      </c>
      <c r="F12" s="6" t="n">
        <f aca="false">02_将来年次投資置換!F8</f>
        <v>30908</v>
      </c>
      <c r="G12" s="6" t="n">
        <f aca="false">02_将来年次投資置換!G8</f>
        <v>31057</v>
      </c>
      <c r="H12" s="6" t="n">
        <f aca="false">02_将来年次投資置換!H8</f>
        <v>31206</v>
      </c>
      <c r="I12" s="6" t="n">
        <f aca="false">02_将来年次投資置換!I8</f>
        <v>31356</v>
      </c>
      <c r="J12" s="6" t="n">
        <f aca="false">02_将来年次投資置換!J8</f>
        <v>31507</v>
      </c>
      <c r="K12" s="6" t="n">
        <f aca="false">02_将来年次投資置換!K8</f>
        <v>31659</v>
      </c>
    </row>
    <row r="13" customFormat="false" ht="16.5" hidden="false" customHeight="true" outlineLevel="0" collapsed="false">
      <c r="A13" s="7" t="s">
        <v>77</v>
      </c>
      <c r="B13" s="6" t="n">
        <f aca="false">02_将来年次投資置換!B9</f>
        <v>354909</v>
      </c>
      <c r="C13" s="6" t="n">
        <f aca="false">02_将来年次投資置換!C9</f>
        <v>355137</v>
      </c>
      <c r="D13" s="6" t="n">
        <f aca="false">02_将来年次投資置換!D9</f>
        <v>348767</v>
      </c>
      <c r="E13" s="6" t="n">
        <f aca="false">02_将来年次投資置換!E9</f>
        <v>343130</v>
      </c>
      <c r="F13" s="6" t="n">
        <f aca="false">02_将来年次投資置換!F9</f>
        <v>336658</v>
      </c>
      <c r="G13" s="6" t="n">
        <f aca="false">02_将来年次投資置換!G9</f>
        <v>342879</v>
      </c>
      <c r="H13" s="6" t="n">
        <f aca="false">02_将来年次投資置換!H9</f>
        <v>342324</v>
      </c>
      <c r="I13" s="6" t="n">
        <f aca="false">02_将来年次投資置換!I9</f>
        <v>332258</v>
      </c>
      <c r="J13" s="6" t="n">
        <f aca="false">02_将来年次投資置換!J9</f>
        <v>314127</v>
      </c>
      <c r="K13" s="6" t="n">
        <f aca="false">02_将来年次投資置換!K9</f>
        <v>307297</v>
      </c>
    </row>
    <row r="14" customFormat="false" ht="16.5" hidden="false" customHeight="true" outlineLevel="0" collapsed="false">
      <c r="A14" s="7" t="s">
        <v>162</v>
      </c>
      <c r="B14" s="6" t="n">
        <f aca="false">02_将来年次投資置換!B12</f>
        <v>281625</v>
      </c>
      <c r="C14" s="6" t="n">
        <f aca="false">02_将来年次投資置換!C12</f>
        <v>283979</v>
      </c>
      <c r="D14" s="6" t="n">
        <f aca="false">02_将来年次投資置換!D12</f>
        <v>279812</v>
      </c>
      <c r="E14" s="6" t="n">
        <f aca="false">02_将来年次投資置換!E12</f>
        <v>276390</v>
      </c>
      <c r="F14" s="6" t="n">
        <f aca="false">02_将来年次投資置換!F12</f>
        <v>272168</v>
      </c>
      <c r="G14" s="6" t="n">
        <f aca="false">02_将来年次投資置換!G12</f>
        <v>272926</v>
      </c>
      <c r="H14" s="6" t="n">
        <f aca="false">02_将来年次投資置換!H12</f>
        <v>274600</v>
      </c>
      <c r="I14" s="6" t="n">
        <f aca="false">02_将来年次投資置換!I12</f>
        <v>266588</v>
      </c>
      <c r="J14" s="6" t="n">
        <f aca="false">02_将来年次投資置換!J12</f>
        <v>250287</v>
      </c>
      <c r="K14" s="6" t="n">
        <f aca="false">02_将来年次投資置換!K12</f>
        <v>245134</v>
      </c>
    </row>
    <row r="15" customFormat="false" ht="16.5" hidden="false" customHeight="true" outlineLevel="0" collapsed="false">
      <c r="A15" s="7" t="s">
        <v>163</v>
      </c>
      <c r="B15" s="6" t="n">
        <f aca="false">02_将来年次投資置換!B11</f>
        <v>73283</v>
      </c>
      <c r="C15" s="6" t="n">
        <f aca="false">02_将来年次投資置換!C11</f>
        <v>71157</v>
      </c>
      <c r="D15" s="6" t="n">
        <f aca="false">02_将来年次投資置換!D11</f>
        <v>68955</v>
      </c>
      <c r="E15" s="6" t="n">
        <f aca="false">02_将来年次投資置換!E11</f>
        <v>66740</v>
      </c>
      <c r="F15" s="6" t="n">
        <f aca="false">02_将来年次投資置換!F11</f>
        <v>64490</v>
      </c>
      <c r="G15" s="6" t="n">
        <f aca="false">02_将来年次投資置換!G11</f>
        <v>62175</v>
      </c>
      <c r="H15" s="6" t="n">
        <f aca="false">02_将来年次投資置換!H11</f>
        <v>59946</v>
      </c>
      <c r="I15" s="6" t="n">
        <f aca="false">02_将来年次投資置換!I11</f>
        <v>57892</v>
      </c>
      <c r="J15" s="6" t="n">
        <f aca="false">02_将来年次投資置換!J11</f>
        <v>56062</v>
      </c>
      <c r="K15" s="6" t="n">
        <f aca="false">02_将来年次投資置換!K11</f>
        <v>54385</v>
      </c>
    </row>
    <row r="16" customFormat="false" ht="16.5" hidden="false" customHeight="true" outlineLevel="0" collapsed="false">
      <c r="A16" s="7" t="s">
        <v>82</v>
      </c>
      <c r="B16" s="6" t="n">
        <f aca="false">02_将来年次投資置換!B14</f>
        <v>2576</v>
      </c>
      <c r="C16" s="6" t="n">
        <f aca="false">02_将来年次投資置換!C14</f>
        <v>0</v>
      </c>
      <c r="D16" s="6" t="n">
        <f aca="false">02_将来年次投資置換!D14</f>
        <v>0</v>
      </c>
      <c r="E16" s="6" t="n">
        <f aca="false">02_将来年次投資置換!E14</f>
        <v>0</v>
      </c>
      <c r="F16" s="6" t="n">
        <f aca="false">02_将来年次投資置換!F14</f>
        <v>0</v>
      </c>
      <c r="G16" s="6" t="n">
        <f aca="false">02_将来年次投資置換!G14</f>
        <v>0</v>
      </c>
      <c r="H16" s="6" t="n">
        <f aca="false">02_将来年次投資置換!H14</f>
        <v>0</v>
      </c>
      <c r="I16" s="6" t="n">
        <f aca="false">02_将来年次投資置換!I14</f>
        <v>0</v>
      </c>
      <c r="J16" s="6" t="n">
        <f aca="false">02_将来年次投資置換!J14</f>
        <v>0</v>
      </c>
      <c r="K16" s="6" t="n">
        <f aca="false">02_将来年次投資置換!K14</f>
        <v>0</v>
      </c>
    </row>
    <row r="17" customFormat="false" ht="16.5" hidden="false" customHeight="true" outlineLevel="0" collapsed="false">
      <c r="A17" s="7" t="s">
        <v>164</v>
      </c>
      <c r="B17" s="6" t="n">
        <f aca="false">SUM(B9,B13,B16)</f>
        <v>1619060</v>
      </c>
      <c r="C17" s="6" t="n">
        <f aca="false">SUM(C9,C13,C16)</f>
        <v>1604473</v>
      </c>
      <c r="D17" s="6" t="n">
        <f aca="false">SUM(D9,D13,D16)</f>
        <v>1586060</v>
      </c>
      <c r="E17" s="6" t="n">
        <f aca="false">SUM(E9,E13,E16)</f>
        <v>1568503</v>
      </c>
      <c r="F17" s="6" t="n">
        <f aca="false">SUM(F9,F13,F16)</f>
        <v>2698655.98400396</v>
      </c>
      <c r="G17" s="6" t="n">
        <f aca="false">SUM(G9,G13,G16)</f>
        <v>2681714.41400802</v>
      </c>
      <c r="H17" s="6" t="n">
        <f aca="false">SUM(H9,H13,H16)</f>
        <v>2658229.42752942</v>
      </c>
      <c r="I17" s="6" t="n">
        <f aca="false">SUM(I9,I13,I16)</f>
        <v>2625465.0535214</v>
      </c>
      <c r="J17" s="6" t="n">
        <f aca="false">SUM(J9,J13,J16)</f>
        <v>2584865.32093719</v>
      </c>
      <c r="K17" s="6" t="n">
        <f aca="false">SUM(K9,K13,K16)</f>
        <v>2555794.25873006</v>
      </c>
    </row>
    <row r="18" customFormat="false" ht="15" hidden="false" customHeight="true" outlineLevel="0" collapsed="false">
      <c r="A18" s="8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16.5" hidden="false" customHeight="true" outlineLevel="0" collapsed="false">
      <c r="A19" s="49" t="s">
        <v>83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6.5" hidden="false" customHeight="true" outlineLevel="0" collapsed="false">
      <c r="A20" s="7" t="s">
        <v>85</v>
      </c>
      <c r="B20" s="6" t="n">
        <f aca="false">02_将来年次投資置換!B18</f>
        <v>1479507</v>
      </c>
      <c r="C20" s="6" t="n">
        <f aca="false">02_将来年次投資置換!C18</f>
        <v>1476545</v>
      </c>
      <c r="D20" s="6" t="n">
        <f aca="false">02_将来年次投資置換!D18</f>
        <v>1474501</v>
      </c>
      <c r="E20" s="6" t="n">
        <f aca="false">02_将来年次投資置換!E18</f>
        <v>1471288</v>
      </c>
      <c r="F20" s="6" t="n">
        <f aca="false">02_将来年次投資置換!F18</f>
        <v>1471712</v>
      </c>
      <c r="G20" s="6" t="n">
        <f aca="false">02_将来年次投資置換!G18</f>
        <v>1476923</v>
      </c>
      <c r="H20" s="6" t="n">
        <f aca="false">02_将来年次投資置換!H18</f>
        <v>1486420</v>
      </c>
      <c r="I20" s="6" t="n">
        <f aca="false">02_将来年次投資置換!I18</f>
        <v>1484101</v>
      </c>
      <c r="J20" s="6" t="n">
        <f aca="false">02_将来年次投資置換!J18</f>
        <v>1468457</v>
      </c>
      <c r="K20" s="6" t="n">
        <f aca="false">02_将来年次投資置換!K18</f>
        <v>1469682</v>
      </c>
    </row>
    <row r="21" customFormat="false" ht="16.5" hidden="false" customHeight="true" outlineLevel="0" collapsed="false">
      <c r="A21" s="7" t="s">
        <v>165</v>
      </c>
      <c r="B21" s="6" t="n">
        <f aca="false">02_将来年次投資置換!B25</f>
        <v>755782</v>
      </c>
      <c r="C21" s="6" t="n">
        <f aca="false">02_将来年次投資置換!C25</f>
        <v>754743</v>
      </c>
      <c r="D21" s="6" t="n">
        <f aca="false">02_将来年次投資置換!D25</f>
        <v>752391</v>
      </c>
      <c r="E21" s="6" t="n">
        <f aca="false">02_将来年次投資置換!E25</f>
        <v>748869</v>
      </c>
      <c r="F21" s="6" t="n">
        <f aca="false">02_将来年次投資置換!F25</f>
        <v>748983</v>
      </c>
      <c r="G21" s="6" t="n">
        <f aca="false">02_将来年次投資置換!G25</f>
        <v>753884</v>
      </c>
      <c r="H21" s="6" t="n">
        <f aca="false">02_将来年次投資置換!H25</f>
        <v>763070</v>
      </c>
      <c r="I21" s="6" t="n">
        <f aca="false">02_将来年次投資置換!I25</f>
        <v>760439</v>
      </c>
      <c r="J21" s="6" t="n">
        <f aca="false">02_将来年次投資置換!J25</f>
        <v>744482</v>
      </c>
      <c r="K21" s="6" t="n">
        <f aca="false">02_将来年次投資置換!K25</f>
        <v>745393</v>
      </c>
    </row>
    <row r="22" customFormat="false" ht="16.5" hidden="false" customHeight="true" outlineLevel="0" collapsed="false">
      <c r="A22" s="7" t="s">
        <v>166</v>
      </c>
      <c r="B22" s="6" t="n">
        <f aca="false">02_将来年次投資置換!B26</f>
        <v>0</v>
      </c>
      <c r="C22" s="6" t="n">
        <f aca="false">02_将来年次投資置換!C26</f>
        <v>0</v>
      </c>
      <c r="D22" s="6" t="n">
        <f aca="false">02_将来年次投資置換!D26</f>
        <v>0</v>
      </c>
      <c r="E22" s="6" t="n">
        <f aca="false">02_将来年次投資置換!E26</f>
        <v>0</v>
      </c>
      <c r="F22" s="6" t="n">
        <f aca="false">02_将来年次投資置換!F26</f>
        <v>0</v>
      </c>
      <c r="G22" s="6" t="n">
        <f aca="false">02_将来年次投資置換!G26</f>
        <v>0</v>
      </c>
      <c r="H22" s="6" t="n">
        <f aca="false">02_将来年次投資置換!H26</f>
        <v>0</v>
      </c>
      <c r="I22" s="6" t="n">
        <f aca="false">02_将来年次投資置換!I26</f>
        <v>0</v>
      </c>
      <c r="J22" s="6" t="n">
        <f aca="false">02_将来年次投資置換!J26</f>
        <v>0</v>
      </c>
      <c r="K22" s="6" t="n">
        <f aca="false">02_将来年次投資置換!K26</f>
        <v>0</v>
      </c>
    </row>
    <row r="23" customFormat="false" ht="16.5" hidden="false" customHeight="true" outlineLevel="0" collapsed="false">
      <c r="A23" s="7" t="s">
        <v>95</v>
      </c>
      <c r="B23" s="6" t="n">
        <f aca="false">02_将来年次投資置換!B28</f>
        <v>128495</v>
      </c>
      <c r="C23" s="6" t="n">
        <f aca="false">02_将来年次投資置換!C28</f>
        <v>120518</v>
      </c>
      <c r="D23" s="6" t="n">
        <f aca="false">02_将来年次投資置換!D28</f>
        <v>117139</v>
      </c>
      <c r="E23" s="6" t="n">
        <f aca="false">02_将来年次投資置換!E28</f>
        <v>115384</v>
      </c>
      <c r="F23" s="6" t="n">
        <f aca="false">02_将来年次投資置換!F28</f>
        <v>113787</v>
      </c>
      <c r="G23" s="6" t="n">
        <f aca="false">02_将来年次投資置換!G28</f>
        <v>110821</v>
      </c>
      <c r="H23" s="6" t="n">
        <f aca="false">02_将来年次投資置換!H28</f>
        <v>108565</v>
      </c>
      <c r="I23" s="6" t="n">
        <f aca="false">02_将来年次投資置換!I28</f>
        <v>107412</v>
      </c>
      <c r="J23" s="6" t="n">
        <f aca="false">02_将来年次投資置換!J28</f>
        <v>107108</v>
      </c>
      <c r="K23" s="6" t="n">
        <f aca="false">02_将来年次投資置換!K28</f>
        <v>105117</v>
      </c>
    </row>
    <row r="24" customFormat="false" ht="16.5" hidden="false" customHeight="true" outlineLevel="0" collapsed="false">
      <c r="A24" s="7" t="s">
        <v>167</v>
      </c>
      <c r="B24" s="6" t="n">
        <f aca="false">02_将来年次投資置換!B29</f>
        <v>118910</v>
      </c>
      <c r="C24" s="6" t="n">
        <f aca="false">02_将来年次投資置換!C29</f>
        <v>111872</v>
      </c>
      <c r="D24" s="6" t="n">
        <f aca="false">02_将来年次投資置換!D29</f>
        <v>108458</v>
      </c>
      <c r="E24" s="6" t="n">
        <f aca="false">02_将来年次投資置換!E29</f>
        <v>106668</v>
      </c>
      <c r="F24" s="6" t="n">
        <f aca="false">02_将来年次投資置換!F29</f>
        <v>105071</v>
      </c>
      <c r="G24" s="6" t="n">
        <f aca="false">02_将来年次投資置換!G29</f>
        <v>102070</v>
      </c>
      <c r="H24" s="6" t="n">
        <f aca="false">02_将来年次投資置換!H29</f>
        <v>99779</v>
      </c>
      <c r="I24" s="6" t="n">
        <f aca="false">02_将来年次投資置換!I29</f>
        <v>98626</v>
      </c>
      <c r="J24" s="6" t="n">
        <f aca="false">02_将来年次投資置換!J29</f>
        <v>98322</v>
      </c>
      <c r="K24" s="6" t="n">
        <f aca="false">02_将来年次投資置換!K29</f>
        <v>96331</v>
      </c>
    </row>
    <row r="25" customFormat="false" ht="16.5" hidden="false" customHeight="true" outlineLevel="0" collapsed="false">
      <c r="A25" s="7" t="s">
        <v>98</v>
      </c>
      <c r="B25" s="6" t="n">
        <f aca="false">02_将来年次投資置換!B31</f>
        <v>273</v>
      </c>
      <c r="C25" s="6" t="n">
        <f aca="false">02_将来年次投資置換!C31</f>
        <v>273</v>
      </c>
      <c r="D25" s="6" t="n">
        <f aca="false">02_将来年次投資置換!D31</f>
        <v>273</v>
      </c>
      <c r="E25" s="6" t="n">
        <f aca="false">02_将来年次投資置換!E31</f>
        <v>273</v>
      </c>
      <c r="F25" s="6" t="n">
        <f aca="false">02_将来年次投資置換!F31</f>
        <v>273</v>
      </c>
      <c r="G25" s="6" t="n">
        <f aca="false">02_将来年次投資置換!G31</f>
        <v>273</v>
      </c>
      <c r="H25" s="6" t="n">
        <f aca="false">02_将来年次投資置換!H31</f>
        <v>273</v>
      </c>
      <c r="I25" s="6" t="n">
        <f aca="false">02_将来年次投資置換!I31</f>
        <v>273</v>
      </c>
      <c r="J25" s="6" t="n">
        <f aca="false">02_将来年次投資置換!J31</f>
        <v>273</v>
      </c>
      <c r="K25" s="6" t="n">
        <f aca="false">02_将来年次投資置換!K31</f>
        <v>273</v>
      </c>
    </row>
    <row r="26" customFormat="false" ht="16.5" hidden="false" customHeight="true" outlineLevel="0" collapsed="false">
      <c r="A26" s="7" t="s">
        <v>168</v>
      </c>
      <c r="B26" s="6" t="n">
        <f aca="false">SUM(B20,B23,B25)</f>
        <v>1608275</v>
      </c>
      <c r="C26" s="6" t="n">
        <f aca="false">SUM(C20,C23,C25)</f>
        <v>1597336</v>
      </c>
      <c r="D26" s="6" t="n">
        <f aca="false">SUM(D20,D23,D25)</f>
        <v>1591913</v>
      </c>
      <c r="E26" s="6" t="n">
        <f aca="false">SUM(E20,E23,E25)</f>
        <v>1586945</v>
      </c>
      <c r="F26" s="6" t="n">
        <f aca="false">SUM(F20,F23,F25)</f>
        <v>1585772</v>
      </c>
      <c r="G26" s="6" t="n">
        <f aca="false">SUM(G20,G23,G25)</f>
        <v>1588017</v>
      </c>
      <c r="H26" s="6" t="n">
        <f aca="false">SUM(H20,H23,H25)</f>
        <v>1595258</v>
      </c>
      <c r="I26" s="6" t="n">
        <f aca="false">SUM(I20,I23,I25)</f>
        <v>1591786</v>
      </c>
      <c r="J26" s="6" t="n">
        <f aca="false">SUM(J20,J23,J25)</f>
        <v>1575838</v>
      </c>
      <c r="K26" s="6" t="n">
        <f aca="false">SUM(K20,K23,K25)</f>
        <v>1575072</v>
      </c>
    </row>
    <row r="27" customFormat="false" ht="16.5" hidden="false" customHeight="true" outlineLevel="0" collapsed="false">
      <c r="A27" s="7" t="s">
        <v>169</v>
      </c>
      <c r="B27" s="6" t="n">
        <f aca="false">SUM(B9,B13)-SUM(B20,B23)</f>
        <v>8482</v>
      </c>
      <c r="C27" s="6" t="n">
        <f aca="false">SUM(C9,C13)-SUM(C20,C23)</f>
        <v>7410</v>
      </c>
      <c r="D27" s="6" t="n">
        <f aca="false">SUM(D9,D13)-SUM(D20,D23)</f>
        <v>-5580</v>
      </c>
      <c r="E27" s="6" t="n">
        <f aca="false">SUM(E9,E13)-SUM(E20,E23)</f>
        <v>-18169</v>
      </c>
      <c r="F27" s="6" t="n">
        <f aca="false">SUM(F9,F13)-SUM(F20,F23)</f>
        <v>1113156.98400396</v>
      </c>
      <c r="G27" s="6" t="n">
        <f aca="false">SUM(G9,G13)-SUM(G20,G23)</f>
        <v>1093970.41400802</v>
      </c>
      <c r="H27" s="6" t="n">
        <f aca="false">SUM(H9,H13)-SUM(H20,H23)</f>
        <v>1063244.42752942</v>
      </c>
      <c r="I27" s="6" t="n">
        <f aca="false">SUM(I9,I13)-SUM(I20,I23)</f>
        <v>1033952.0535214</v>
      </c>
      <c r="J27" s="6" t="n">
        <f aca="false">SUM(J9,J13)-SUM(J20,J23)</f>
        <v>1009300.32093719</v>
      </c>
      <c r="K27" s="6" t="n">
        <f aca="false">SUM(K9,K13)-SUM(K20,K23)</f>
        <v>980995.258730055</v>
      </c>
    </row>
    <row r="28" customFormat="false" ht="16.5" hidden="false" customHeight="true" outlineLevel="0" collapsed="false">
      <c r="A28" s="7" t="s">
        <v>170</v>
      </c>
      <c r="B28" s="6" t="n">
        <f aca="false">B27+B16-B25</f>
        <v>10785</v>
      </c>
      <c r="C28" s="6" t="n">
        <f aca="false">C27+C16-C25</f>
        <v>7137</v>
      </c>
      <c r="D28" s="6" t="n">
        <f aca="false">D27+D16-D25</f>
        <v>-5853</v>
      </c>
      <c r="E28" s="6" t="n">
        <f aca="false">E27+E16-E25</f>
        <v>-18442</v>
      </c>
      <c r="F28" s="6" t="n">
        <f aca="false">F27+F16-F25</f>
        <v>1112883.98400396</v>
      </c>
      <c r="G28" s="6" t="n">
        <f aca="false">G27+G16-G25</f>
        <v>1093697.41400802</v>
      </c>
      <c r="H28" s="6" t="n">
        <f aca="false">H27+H16-H25</f>
        <v>1062971.42752942</v>
      </c>
      <c r="I28" s="6" t="n">
        <f aca="false">I27+I16-I25</f>
        <v>1033679.0535214</v>
      </c>
      <c r="J28" s="6" t="n">
        <f aca="false">J27+J16-J25</f>
        <v>1009027.32093719</v>
      </c>
      <c r="K28" s="6" t="n">
        <f aca="false">K27+K16-K25</f>
        <v>980722.258730055</v>
      </c>
    </row>
    <row r="29" customFormat="false" ht="15" hidden="false" customHeight="true" outlineLevel="0" collapsed="false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6.5" hidden="false" customHeight="true" outlineLevel="0" collapsed="false">
      <c r="A30" s="49" t="s">
        <v>171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6.5" hidden="false" customHeight="true" outlineLevel="0" collapsed="false">
      <c r="A31" s="7" t="s">
        <v>172</v>
      </c>
      <c r="B31" s="42" t="n">
        <f aca="false">IFERROR((SUM(B9,B13)/SUM(B20,B23))*100,0)</f>
        <v>100.527486906111</v>
      </c>
      <c r="C31" s="42" t="n">
        <f aca="false">IFERROR((SUM(C9,C13)/SUM(C20,C23))*100,0)</f>
        <v>100.463976687206</v>
      </c>
      <c r="D31" s="42" t="n">
        <f aca="false">IFERROR((SUM(D9,D13)/SUM(D20,D23))*100,0)</f>
        <v>99.649418210148</v>
      </c>
      <c r="E31" s="42" t="n">
        <f aca="false">IFERROR((SUM(E9,E13)/SUM(E20,E23))*100,0)</f>
        <v>98.8548988070628</v>
      </c>
      <c r="F31" s="42" t="n">
        <f aca="false">IFERROR((SUM(F9,F13)/SUM(F20,F23))*100,0)</f>
        <v>170.208621008525</v>
      </c>
      <c r="G31" s="42" t="n">
        <f aca="false">IFERROR((SUM(G9,G13)/SUM(G20,G23))*100,0)</f>
        <v>168.900932014734</v>
      </c>
      <c r="H31" s="42" t="n">
        <f aca="false">IFERROR((SUM(H9,H13)/SUM(H20,H23))*100,0)</f>
        <v>166.661719547797</v>
      </c>
      <c r="I31" s="42" t="n">
        <f aca="false">IFERROR((SUM(I9,I13)/SUM(I20,I23))*100,0)</f>
        <v>164.966610610243</v>
      </c>
      <c r="J31" s="42" t="n">
        <f aca="false">IFERROR((SUM(J9,J13)/SUM(J20,J23))*100,0)</f>
        <v>164.059579956219</v>
      </c>
      <c r="K31" s="42" t="n">
        <f aca="false">IFERROR((SUM(K9,K13)/SUM(K20,K23))*100,0)</f>
        <v>162.29336307237</v>
      </c>
    </row>
    <row r="32" customFormat="false" ht="16.5" hidden="false" customHeight="true" outlineLevel="0" collapsed="false">
      <c r="A32" s="7" t="s">
        <v>173</v>
      </c>
      <c r="B32" s="42" t="n">
        <f aca="false">IFERROR(B10/B34*100,0)</f>
        <v>92.8228550404598</v>
      </c>
      <c r="C32" s="42" t="n">
        <f aca="false">IFERROR(C10/C34*100,0)</f>
        <v>92.8249068604903</v>
      </c>
      <c r="D32" s="42" t="n">
        <f aca="false">IFERROR(D10/D34*100,0)</f>
        <v>91.9846199349305</v>
      </c>
      <c r="E32" s="42" t="n">
        <f aca="false">IFERROR(E10/E34*100,0)</f>
        <v>91.1722056778617</v>
      </c>
      <c r="F32" s="42" t="n">
        <f aca="false">IFERROR(F10/F34*100,0)</f>
        <v>133.772673606424</v>
      </c>
      <c r="G32" s="42" t="n">
        <f aca="false">IFERROR(G10/G34*100,0)</f>
        <v>132.285130489848</v>
      </c>
      <c r="H32" s="42" t="n">
        <f aca="false">IFERROR(H10/H34*100,0)</f>
        <v>130.410048112082</v>
      </c>
      <c r="I32" s="42" t="n">
        <f aca="false">IFERROR(I10/I34*100,0)</f>
        <v>128.663473537045</v>
      </c>
      <c r="J32" s="42" t="n">
        <f aca="false">IFERROR(J10/J34*100,0)</f>
        <v>127.342841310925</v>
      </c>
      <c r="K32" s="42" t="n">
        <f aca="false">IFERROR(K10/K34*100,0)</f>
        <v>125.653426191186</v>
      </c>
    </row>
    <row r="33" customFormat="false" ht="16.5" hidden="false" customHeight="true" outlineLevel="0" collapsed="false">
      <c r="A33" s="7" t="s">
        <v>174</v>
      </c>
      <c r="B33" s="42" t="n">
        <f aca="false">IFERROR(B10/B35*100,0)</f>
        <v>67.6458982788666</v>
      </c>
      <c r="C33" s="42" t="n">
        <f aca="false">IFERROR(C10/C35*100,0)</f>
        <v>67.4621517684965</v>
      </c>
      <c r="D33" s="42" t="n">
        <f aca="false">IFERROR(D10/D35*100,0)</f>
        <v>66.8339742566795</v>
      </c>
      <c r="E33" s="42" t="n">
        <f aca="false">IFERROR(E10/E35*100,0)</f>
        <v>66.2223281432874</v>
      </c>
      <c r="F33" s="42" t="n">
        <f aca="false">IFERROR(F10/F35*100,0)</f>
        <v>97.2266656290295</v>
      </c>
      <c r="G33" s="42" t="n">
        <f aca="false">IFERROR(G10/G35*100,0)</f>
        <v>96.1752270247094</v>
      </c>
      <c r="H33" s="42" t="n">
        <f aca="false">IFERROR(H10/H35*100,0)</f>
        <v>94.9212307571967</v>
      </c>
      <c r="I33" s="42" t="n">
        <f aca="false">IFERROR(I10/I35*100,0)</f>
        <v>93.7373652799808</v>
      </c>
      <c r="J33" s="42" t="n">
        <f aca="false">IFERROR(J10/J35*100,0)</f>
        <v>92.7819313728576</v>
      </c>
      <c r="K33" s="42" t="n">
        <f aca="false">IFERROR(K10/K35*100,0)</f>
        <v>91.6330761844831</v>
      </c>
    </row>
    <row r="34" customFormat="false" ht="16.5" hidden="false" customHeight="true" outlineLevel="0" collapsed="false">
      <c r="A34" s="7" t="s">
        <v>175</v>
      </c>
      <c r="B34" s="6" t="n">
        <f aca="false">SUM(B20,B23)-B14</f>
        <v>1326377</v>
      </c>
      <c r="C34" s="6" t="n">
        <f aca="false">SUM(C20,C23)-C14</f>
        <v>1313084</v>
      </c>
      <c r="D34" s="6" t="n">
        <f aca="false">SUM(D20,D23)-D14</f>
        <v>1311828</v>
      </c>
      <c r="E34" s="6" t="n">
        <f aca="false">SUM(E20,E23)-E14</f>
        <v>1310282</v>
      </c>
      <c r="F34" s="6" t="n">
        <f aca="false">SUM(F20,F23)-F14</f>
        <v>1313331</v>
      </c>
      <c r="G34" s="6" t="n">
        <f aca="false">SUM(G20,G23)-G14</f>
        <v>1314818</v>
      </c>
      <c r="H34" s="6" t="n">
        <f aca="false">SUM(H20,H23)-H14</f>
        <v>1320385</v>
      </c>
      <c r="I34" s="6" t="n">
        <f aca="false">SUM(I20,I23)-I14</f>
        <v>1324925</v>
      </c>
      <c r="J34" s="6" t="n">
        <f aca="false">SUM(J20,J23)-J14</f>
        <v>1325278</v>
      </c>
      <c r="K34" s="6" t="n">
        <f aca="false">SUM(K20,K23)-K14</f>
        <v>1329665</v>
      </c>
    </row>
    <row r="35" customFormat="false" ht="16.5" hidden="false" customHeight="true" outlineLevel="0" collapsed="false">
      <c r="A35" s="7" t="s">
        <v>176</v>
      </c>
      <c r="B35" s="6" t="n">
        <f aca="false">B34+$B$5</f>
        <v>1820037.92</v>
      </c>
      <c r="C35" s="6" t="n">
        <f aca="false">C34+$B$5</f>
        <v>1806744.92</v>
      </c>
      <c r="D35" s="6" t="n">
        <f aca="false">D34+$B$5</f>
        <v>1805488.92</v>
      </c>
      <c r="E35" s="6" t="n">
        <f aca="false">E34+$B$5</f>
        <v>1803942.92</v>
      </c>
      <c r="F35" s="6" t="n">
        <f aca="false">F34+$B$5</f>
        <v>1806991.92</v>
      </c>
      <c r="G35" s="6" t="n">
        <f aca="false">G34+$B$5</f>
        <v>1808478.92</v>
      </c>
      <c r="H35" s="6" t="n">
        <f aca="false">H34+$B$5</f>
        <v>1814045.92</v>
      </c>
      <c r="I35" s="6" t="n">
        <f aca="false">I34+$B$5</f>
        <v>1818585.92</v>
      </c>
      <c r="J35" s="6" t="n">
        <f aca="false">J34+$B$5</f>
        <v>1818938.92</v>
      </c>
      <c r="K35" s="6" t="n">
        <f aca="false">K34+$B$5</f>
        <v>1823325.92</v>
      </c>
    </row>
    <row r="36" customFormat="false" ht="16.5" hidden="false" customHeight="true" outlineLevel="0" collapsed="false">
      <c r="A36" s="7" t="s">
        <v>177</v>
      </c>
      <c r="B36" s="42" t="n">
        <f aca="false">IFERROR(B10/(B20+B23-B14-B12-B15+$B$5)*100,0)</f>
        <v>71.7320573810315</v>
      </c>
      <c r="C36" s="42" t="n">
        <f aca="false">IFERROR(C10/(C20+C23-C14-C12-C15+$B$5)*100,0)</f>
        <v>71.4828482662684</v>
      </c>
      <c r="D36" s="42" t="n">
        <f aca="false">IFERROR(D10/(D20+D23-D14-D12-D15+$B$5)*100,0)</f>
        <v>70.7348146009019</v>
      </c>
      <c r="E36" s="42" t="n">
        <f aca="false">IFERROR(E10/(E20+E23-E14-E12-E15+$B$5)*100,0)</f>
        <v>70.0060333691091</v>
      </c>
      <c r="F36" s="42" t="n">
        <f aca="false">IFERROR(F10/(F20+F23-F14-F12-F15+$B$5)*100,0)</f>
        <v>102.645725219799</v>
      </c>
      <c r="G36" s="42" t="n">
        <f aca="false">IFERROR(G10/(G20+G23-G14-G12-G15+$B$5)*100,0)</f>
        <v>101.402817677353</v>
      </c>
      <c r="H36" s="42" t="n">
        <f aca="false">IFERROR(H10/(H20+H23-H14-H12-H15+$B$5)*100,0)</f>
        <v>99.9431650304223</v>
      </c>
      <c r="I36" s="42" t="n">
        <f aca="false">IFERROR(I10/(I20+I23-I14-I12-I15+$B$5)*100,0)</f>
        <v>98.5749810401832</v>
      </c>
      <c r="J36" s="42" t="n">
        <f aca="false">IFERROR(J10/(J20+J23-J14-J12-J15+$B$5)*100,0)</f>
        <v>97.4746436895818</v>
      </c>
      <c r="K36" s="42" t="n">
        <f aca="false">IFERROR(K10/(K20+K23-K14-K12-K15+$B$5)*100,0)</f>
        <v>96.171473963479</v>
      </c>
    </row>
    <row r="37" customFormat="false" ht="16.5" hidden="false" customHeight="true" outlineLevel="0" collapsed="false">
      <c r="A37" s="7" t="s">
        <v>178</v>
      </c>
      <c r="B37" s="6" t="str">
        <f aca="false">IF(B33&lt;=B32,"OK","要確認")</f>
        <v>OK</v>
      </c>
      <c r="C37" s="6" t="str">
        <f aca="false">IF(C33&lt;=C32,"OK","要確認")</f>
        <v>OK</v>
      </c>
      <c r="D37" s="6" t="str">
        <f aca="false">IF(D33&lt;=D32,"OK","要確認")</f>
        <v>OK</v>
      </c>
      <c r="E37" s="6" t="str">
        <f aca="false">IF(E33&lt;=E32,"OK","要確認")</f>
        <v>OK</v>
      </c>
      <c r="F37" s="6" t="str">
        <f aca="false">IF(F33&lt;=F32,"OK","要確認")</f>
        <v>OK</v>
      </c>
      <c r="G37" s="6" t="str">
        <f aca="false">IF(G33&lt;=G32,"OK","要確認")</f>
        <v>OK</v>
      </c>
      <c r="H37" s="6" t="str">
        <f aca="false">IF(H33&lt;=H32,"OK","要確認")</f>
        <v>OK</v>
      </c>
      <c r="I37" s="6" t="str">
        <f aca="false">IF(I33&lt;=I32,"OK","要確認")</f>
        <v>OK</v>
      </c>
      <c r="J37" s="6" t="str">
        <f aca="false">IF(J33&lt;=J32,"OK","要確認")</f>
        <v>OK</v>
      </c>
      <c r="K37" s="6" t="str">
        <f aca="false">IF(K33&lt;=K32,"OK","要確認")</f>
        <v>OK</v>
      </c>
    </row>
    <row r="38" customFormat="false" ht="15" hidden="false" customHeight="true" outlineLevel="0" collapsed="false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6.5" hidden="false" customHeight="true" outlineLevel="0" collapsed="false">
      <c r="A39" s="49" t="s">
        <v>99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6.5" hidden="false" customHeight="true" outlineLevel="0" collapsed="false">
      <c r="A40" s="7" t="s">
        <v>100</v>
      </c>
      <c r="B40" s="6" t="n">
        <f aca="false">02_将来年次投資置換!B34</f>
        <v>698941</v>
      </c>
      <c r="C40" s="6" t="n">
        <f aca="false">02_将来年次投資置換!C34</f>
        <v>664331</v>
      </c>
      <c r="D40" s="6" t="n">
        <f aca="false">02_将来年次投資置換!D34</f>
        <v>636408</v>
      </c>
      <c r="E40" s="6" t="n">
        <f aca="false">02_将来年次投資置換!E34</f>
        <v>715698</v>
      </c>
      <c r="F40" s="6" t="n">
        <f aca="false">02_将来年次投資置換!F34</f>
        <v>627649</v>
      </c>
      <c r="G40" s="6" t="n">
        <f aca="false">02_将来年次投資置換!G34</f>
        <v>570213</v>
      </c>
      <c r="H40" s="6" t="n">
        <f aca="false">02_将来年次投資置換!H34</f>
        <v>571338</v>
      </c>
      <c r="I40" s="6" t="n">
        <f aca="false">02_将来年次投資置換!I34</f>
        <v>536592</v>
      </c>
      <c r="J40" s="6" t="n">
        <f aca="false">02_将来年次投資置換!J34</f>
        <v>406734</v>
      </c>
      <c r="K40" s="6" t="n">
        <f aca="false">02_将来年次投資置換!K34</f>
        <v>365000</v>
      </c>
    </row>
    <row r="41" customFormat="false" ht="16.5" hidden="false" customHeight="true" outlineLevel="0" collapsed="false">
      <c r="A41" s="7" t="s">
        <v>101</v>
      </c>
      <c r="B41" s="6" t="n">
        <f aca="false">02_将来年次投資置換!B35</f>
        <v>329000</v>
      </c>
      <c r="C41" s="6" t="n">
        <f aca="false">02_将来年次投資置換!C35</f>
        <v>435000</v>
      </c>
      <c r="D41" s="6" t="n">
        <f aca="false">02_将来年次投資置換!D35</f>
        <v>399000</v>
      </c>
      <c r="E41" s="6" t="n">
        <f aca="false">02_将来年次投資置換!E35</f>
        <v>400000</v>
      </c>
      <c r="F41" s="6" t="n">
        <f aca="false">02_将来年次投資置換!F35</f>
        <v>232000</v>
      </c>
      <c r="G41" s="6" t="n">
        <f aca="false">02_将来年次投資置換!G35</f>
        <v>283000</v>
      </c>
      <c r="H41" s="6" t="n">
        <f aca="false">02_将来年次投資置換!H35</f>
        <v>286000</v>
      </c>
      <c r="I41" s="6" t="n">
        <f aca="false">02_将来年次投資置換!I35</f>
        <v>368000</v>
      </c>
      <c r="J41" s="6" t="n">
        <f aca="false">02_将来年次投資置換!J35</f>
        <v>251000</v>
      </c>
      <c r="K41" s="6" t="n">
        <f aca="false">02_将来年次投資置換!K35</f>
        <v>230000</v>
      </c>
    </row>
    <row r="42" customFormat="false" ht="16.5" hidden="false" customHeight="true" outlineLevel="0" collapsed="false">
      <c r="A42" s="7" t="s">
        <v>102</v>
      </c>
      <c r="B42" s="6" t="n">
        <f aca="false">02_将来年次投資置換!B36</f>
        <v>169041</v>
      </c>
      <c r="C42" s="6" t="n">
        <f aca="false">02_将来年次投資置換!C36</f>
        <v>164831</v>
      </c>
      <c r="D42" s="6" t="n">
        <f aca="false">02_将来年次投資置換!D36</f>
        <v>162408</v>
      </c>
      <c r="E42" s="6" t="n">
        <f aca="false">02_将来年次投資置換!E36</f>
        <v>167998</v>
      </c>
      <c r="F42" s="6" t="n">
        <f aca="false">02_将来年次投資置換!F36</f>
        <v>173649</v>
      </c>
      <c r="G42" s="6" t="n">
        <f aca="false">02_将来年次投資置換!G36</f>
        <v>182213</v>
      </c>
      <c r="H42" s="6" t="n">
        <f aca="false">02_将来年次投資置換!H36</f>
        <v>180338</v>
      </c>
      <c r="I42" s="6" t="n">
        <f aca="false">02_将来年次投資置換!I36</f>
        <v>168592</v>
      </c>
      <c r="J42" s="6" t="n">
        <f aca="false">02_将来年次投資置換!J36</f>
        <v>155734</v>
      </c>
      <c r="K42" s="6" t="n">
        <f aca="false">02_将来年次投資置換!K36</f>
        <v>135000</v>
      </c>
    </row>
    <row r="43" customFormat="false" ht="16.5" hidden="false" customHeight="true" outlineLevel="0" collapsed="false">
      <c r="A43" s="7" t="s">
        <v>103</v>
      </c>
      <c r="B43" s="6" t="n">
        <f aca="false">02_将来年次投資置換!B37</f>
        <v>0</v>
      </c>
      <c r="C43" s="6" t="n">
        <f aca="false">02_将来年次投資置換!C37</f>
        <v>0</v>
      </c>
      <c r="D43" s="6" t="n">
        <f aca="false">02_将来年次投資置換!D37</f>
        <v>0</v>
      </c>
      <c r="E43" s="6" t="n">
        <f aca="false">02_将来年次投資置換!E37</f>
        <v>0</v>
      </c>
      <c r="F43" s="6" t="n">
        <f aca="false">02_将来年次投資置換!F37</f>
        <v>0</v>
      </c>
      <c r="G43" s="6" t="n">
        <f aca="false">02_将来年次投資置換!G37</f>
        <v>0</v>
      </c>
      <c r="H43" s="6" t="n">
        <f aca="false">02_将来年次投資置換!H37</f>
        <v>0</v>
      </c>
      <c r="I43" s="6" t="n">
        <f aca="false">02_将来年次投資置換!I37</f>
        <v>0</v>
      </c>
      <c r="J43" s="6" t="n">
        <f aca="false">02_将来年次投資置換!J37</f>
        <v>0</v>
      </c>
      <c r="K43" s="6" t="n">
        <f aca="false">02_将来年次投資置換!K37</f>
        <v>0</v>
      </c>
    </row>
    <row r="44" customFormat="false" ht="16.5" hidden="false" customHeight="true" outlineLevel="0" collapsed="false">
      <c r="A44" s="7" t="s">
        <v>104</v>
      </c>
      <c r="B44" s="6" t="n">
        <f aca="false">02_将来年次投資置換!B38</f>
        <v>0</v>
      </c>
      <c r="C44" s="6" t="n">
        <f aca="false">02_将来年次投資置換!C38</f>
        <v>64500</v>
      </c>
      <c r="D44" s="6" t="n">
        <f aca="false">02_将来年次投資置換!D38</f>
        <v>75000</v>
      </c>
      <c r="E44" s="6" t="n">
        <f aca="false">02_将来年次投資置換!E38</f>
        <v>147700</v>
      </c>
      <c r="F44" s="6" t="n">
        <f aca="false">02_将来年次投資置換!F38</f>
        <v>222000</v>
      </c>
      <c r="G44" s="6" t="n">
        <f aca="false">02_将来年次投資置換!G38</f>
        <v>105000</v>
      </c>
      <c r="H44" s="6" t="n">
        <f aca="false">02_将来年次投資置換!H38</f>
        <v>105000</v>
      </c>
      <c r="I44" s="6" t="n">
        <f aca="false">02_将来年次投資置換!I38</f>
        <v>0</v>
      </c>
      <c r="J44" s="6" t="n">
        <f aca="false">02_将来年次投資置換!J38</f>
        <v>0</v>
      </c>
      <c r="K44" s="6" t="n">
        <f aca="false">02_将来年次投資置換!K38</f>
        <v>0</v>
      </c>
    </row>
    <row r="45" customFormat="false" ht="16.5" hidden="false" customHeight="true" outlineLevel="0" collapsed="false">
      <c r="A45" s="7" t="s">
        <v>105</v>
      </c>
      <c r="B45" s="6" t="n">
        <f aca="false">02_将来年次投資置換!B39</f>
        <v>0</v>
      </c>
      <c r="C45" s="6" t="n">
        <f aca="false">02_将来年次投資置換!C39</f>
        <v>0</v>
      </c>
      <c r="D45" s="6" t="n">
        <f aca="false">02_将来年次投資置換!D39</f>
        <v>0</v>
      </c>
      <c r="E45" s="6" t="n">
        <f aca="false">02_将来年次投資置換!E39</f>
        <v>0</v>
      </c>
      <c r="F45" s="6" t="n">
        <f aca="false">02_将来年次投資置換!F39</f>
        <v>0</v>
      </c>
      <c r="G45" s="6" t="n">
        <f aca="false">02_将来年次投資置換!G39</f>
        <v>0</v>
      </c>
      <c r="H45" s="6" t="n">
        <f aca="false">02_将来年次投資置換!H39</f>
        <v>0</v>
      </c>
      <c r="I45" s="6" t="n">
        <f aca="false">02_将来年次投資置換!I39</f>
        <v>0</v>
      </c>
      <c r="J45" s="6" t="n">
        <f aca="false">02_将来年次投資置換!J39</f>
        <v>0</v>
      </c>
      <c r="K45" s="6" t="n">
        <f aca="false">02_将来年次投資置換!K39</f>
        <v>0</v>
      </c>
    </row>
    <row r="46" customFormat="false" ht="16.5" hidden="false" customHeight="true" outlineLevel="0" collapsed="false">
      <c r="A46" s="7" t="s">
        <v>106</v>
      </c>
      <c r="B46" s="6" t="n">
        <f aca="false">02_将来年次投資置換!B40</f>
        <v>200900</v>
      </c>
      <c r="C46" s="6" t="n">
        <f aca="false">02_将来年次投資置換!C40</f>
        <v>0</v>
      </c>
      <c r="D46" s="6" t="n">
        <f aca="false">02_将来年次投資置換!D40</f>
        <v>0</v>
      </c>
      <c r="E46" s="6" t="n">
        <f aca="false">02_将来年次投資置換!E40</f>
        <v>0</v>
      </c>
      <c r="F46" s="6" t="n">
        <f aca="false">02_将来年次投資置換!F40</f>
        <v>0</v>
      </c>
      <c r="G46" s="6" t="n">
        <f aca="false">02_将来年次投資置換!G40</f>
        <v>0</v>
      </c>
      <c r="H46" s="6" t="n">
        <f aca="false">02_将来年次投資置換!H40</f>
        <v>0</v>
      </c>
      <c r="I46" s="6" t="n">
        <f aca="false">02_将来年次投資置換!I40</f>
        <v>0</v>
      </c>
      <c r="J46" s="6" t="n">
        <f aca="false">02_将来年次投資置換!J40</f>
        <v>0</v>
      </c>
      <c r="K46" s="6" t="n">
        <f aca="false">02_将来年次投資置換!K40</f>
        <v>0</v>
      </c>
    </row>
    <row r="47" customFormat="false" ht="16.5" hidden="false" customHeight="true" outlineLevel="0" collapsed="false">
      <c r="A47" s="7" t="s">
        <v>107</v>
      </c>
      <c r="B47" s="6" t="n">
        <f aca="false">02_将来年次投資置換!B41</f>
        <v>0</v>
      </c>
      <c r="C47" s="6" t="n">
        <f aca="false">02_将来年次投資置換!C41</f>
        <v>0</v>
      </c>
      <c r="D47" s="6" t="n">
        <f aca="false">02_将来年次投資置換!D41</f>
        <v>0</v>
      </c>
      <c r="E47" s="6" t="n">
        <f aca="false">02_将来年次投資置換!E41</f>
        <v>0</v>
      </c>
      <c r="F47" s="6" t="n">
        <f aca="false">02_将来年次投資置換!F41</f>
        <v>0</v>
      </c>
      <c r="G47" s="6" t="n">
        <f aca="false">02_将来年次投資置換!G41</f>
        <v>0</v>
      </c>
      <c r="H47" s="6" t="n">
        <f aca="false">02_将来年次投資置換!H41</f>
        <v>0</v>
      </c>
      <c r="I47" s="6" t="n">
        <f aca="false">02_将来年次投資置換!I41</f>
        <v>0</v>
      </c>
      <c r="J47" s="6" t="n">
        <f aca="false">02_将来年次投資置換!J41</f>
        <v>0</v>
      </c>
      <c r="K47" s="6" t="n">
        <f aca="false">02_将来年次投資置換!K41</f>
        <v>0</v>
      </c>
    </row>
    <row r="48" customFormat="false" ht="15" hidden="false" customHeight="true" outlineLevel="0" collapsed="false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6.5" hidden="false" customHeight="true" outlineLevel="0" collapsed="false">
      <c r="A49" s="49" t="s">
        <v>108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6.5" hidden="false" customHeight="true" outlineLevel="0" collapsed="false">
      <c r="A50" s="7" t="s">
        <v>109</v>
      </c>
      <c r="B50" s="6" t="n">
        <f aca="false">02_将来年次投資置換!B44</f>
        <v>1123770</v>
      </c>
      <c r="C50" s="6" t="n">
        <f aca="false">02_将来年次投資置換!C44</f>
        <v>1684483</v>
      </c>
      <c r="D50" s="6" t="n">
        <f aca="false">02_将来年次投資置換!D44</f>
        <v>1131274</v>
      </c>
      <c r="E50" s="6" t="n">
        <f aca="false">02_将来年次投資置換!E44</f>
        <v>1433926</v>
      </c>
      <c r="F50" s="6" t="n">
        <f aca="false">02_将来年次投資置換!F44</f>
        <v>1196811</v>
      </c>
      <c r="G50" s="6" t="n">
        <f aca="false">02_将来年次投資置換!G44</f>
        <v>965587</v>
      </c>
      <c r="H50" s="6" t="n">
        <f aca="false">02_将来年次投資置換!H44</f>
        <v>945526</v>
      </c>
      <c r="I50" s="6" t="n">
        <f aca="false">02_将来年次投資置換!I44</f>
        <v>916106</v>
      </c>
      <c r="J50" s="6" t="n">
        <f aca="false">02_将来年次投資置換!J44</f>
        <v>811966</v>
      </c>
      <c r="K50" s="6" t="n">
        <f aca="false">02_将来年次投資置換!K44</f>
        <v>763357</v>
      </c>
    </row>
    <row r="51" customFormat="false" ht="16.5" hidden="false" customHeight="true" outlineLevel="0" collapsed="false">
      <c r="A51" s="7" t="s">
        <v>110</v>
      </c>
      <c r="B51" s="6" t="n">
        <f aca="false">02_将来年次投資置換!B45</f>
        <v>268741</v>
      </c>
      <c r="C51" s="6" t="n">
        <f aca="false">02_将来年次投資置換!C45</f>
        <v>888542</v>
      </c>
      <c r="D51" s="6" t="n">
        <f aca="false">02_将来年次投資置換!D45</f>
        <v>403455</v>
      </c>
      <c r="E51" s="6" t="n">
        <f aca="false">02_将来年次投資置換!E45</f>
        <v>761285</v>
      </c>
      <c r="F51" s="6" t="n">
        <f aca="false">02_将来年次投資置換!F45</f>
        <v>558200</v>
      </c>
      <c r="G51" s="6" t="n">
        <f aca="false">02_将来年次投資置換!G45</f>
        <v>389300</v>
      </c>
      <c r="H51" s="6" t="n">
        <f aca="false">02_将来年次投資置換!H45</f>
        <v>382930</v>
      </c>
      <c r="I51" s="6" t="n">
        <f aca="false">02_将来年次投資置換!I45</f>
        <v>368500</v>
      </c>
      <c r="J51" s="6" t="n">
        <f aca="false">02_将来年次投資置換!J45</f>
        <v>265720</v>
      </c>
      <c r="K51" s="6" t="n">
        <f aca="false">02_将来年次投資置換!K45</f>
        <v>230500</v>
      </c>
    </row>
    <row r="52" customFormat="false" ht="16.5" hidden="false" customHeight="true" outlineLevel="0" collapsed="false">
      <c r="A52" s="7" t="s">
        <v>111</v>
      </c>
      <c r="B52" s="6" t="n">
        <f aca="false">02_将来年次投資置換!B46</f>
        <v>855029</v>
      </c>
      <c r="C52" s="6" t="n">
        <f aca="false">02_将来年次投資置換!C46</f>
        <v>795941</v>
      </c>
      <c r="D52" s="6" t="n">
        <f aca="false">02_将来年次投資置換!D46</f>
        <v>727819</v>
      </c>
      <c r="E52" s="6" t="n">
        <f aca="false">02_将来年次投資置換!E46</f>
        <v>672641</v>
      </c>
      <c r="F52" s="6" t="n">
        <f aca="false">02_将来年次投資置換!F46</f>
        <v>638611</v>
      </c>
      <c r="G52" s="6" t="n">
        <f aca="false">02_将来年次投資置換!G46</f>
        <v>576287</v>
      </c>
      <c r="H52" s="6" t="n">
        <f aca="false">02_将来年次投資置換!H46</f>
        <v>562596</v>
      </c>
      <c r="I52" s="6" t="n">
        <f aca="false">02_将来年次投資置換!I46</f>
        <v>547606</v>
      </c>
      <c r="J52" s="6" t="n">
        <f aca="false">02_将来年次投資置換!J46</f>
        <v>546246</v>
      </c>
      <c r="K52" s="6" t="n">
        <f aca="false">02_将来年次投資置換!K46</f>
        <v>532857</v>
      </c>
    </row>
    <row r="53" customFormat="false" ht="16.5" hidden="false" customHeight="true" outlineLevel="0" collapsed="false">
      <c r="A53" s="7" t="s">
        <v>112</v>
      </c>
      <c r="B53" s="6" t="n">
        <f aca="false">02_将来年次投資置換!B47</f>
        <v>0</v>
      </c>
      <c r="C53" s="6" t="n">
        <f aca="false">02_将来年次投資置換!C47</f>
        <v>0</v>
      </c>
      <c r="D53" s="6" t="n">
        <f aca="false">02_将来年次投資置換!D47</f>
        <v>0</v>
      </c>
      <c r="E53" s="6" t="n">
        <f aca="false">02_将来年次投資置換!E47</f>
        <v>0</v>
      </c>
      <c r="F53" s="6" t="n">
        <f aca="false">02_将来年次投資置換!F47</f>
        <v>0</v>
      </c>
      <c r="G53" s="6" t="n">
        <f aca="false">02_将来年次投資置換!G47</f>
        <v>0</v>
      </c>
      <c r="H53" s="6" t="n">
        <f aca="false">02_将来年次投資置換!H47</f>
        <v>0</v>
      </c>
      <c r="I53" s="6" t="n">
        <f aca="false">02_将来年次投資置換!I47</f>
        <v>0</v>
      </c>
      <c r="J53" s="6" t="n">
        <f aca="false">02_将来年次投資置換!J47</f>
        <v>0</v>
      </c>
      <c r="K53" s="6" t="n">
        <f aca="false">02_将来年次投資置換!K47</f>
        <v>0</v>
      </c>
    </row>
    <row r="54" customFormat="false" ht="32.25" hidden="false" customHeight="true" outlineLevel="0" collapsed="false">
      <c r="A54" s="7" t="s">
        <v>113</v>
      </c>
      <c r="B54" s="6" t="n">
        <f aca="false">B40-B50</f>
        <v>-424829</v>
      </c>
      <c r="C54" s="6" t="n">
        <f aca="false">C40-C50</f>
        <v>-1020152</v>
      </c>
      <c r="D54" s="6" t="n">
        <f aca="false">D40-D50</f>
        <v>-494866</v>
      </c>
      <c r="E54" s="6" t="n">
        <f aca="false">E40-E50</f>
        <v>-718228</v>
      </c>
      <c r="F54" s="6" t="n">
        <f aca="false">F40-F50</f>
        <v>-569162</v>
      </c>
      <c r="G54" s="6" t="n">
        <f aca="false">G40-G50</f>
        <v>-395374</v>
      </c>
      <c r="H54" s="6" t="n">
        <f aca="false">H40-H50</f>
        <v>-374188</v>
      </c>
      <c r="I54" s="6" t="n">
        <f aca="false">I40-I50</f>
        <v>-379514</v>
      </c>
      <c r="J54" s="6" t="n">
        <f aca="false">J40-J50</f>
        <v>-405232</v>
      </c>
      <c r="K54" s="6" t="n">
        <f aca="false">K40-K50</f>
        <v>-398357</v>
      </c>
    </row>
    <row r="55" customFormat="false" ht="15" hidden="false" customHeight="true" outlineLevel="0" collapsed="false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6.5" hidden="false" customHeight="true" outlineLevel="0" collapsed="false">
      <c r="A56" s="49" t="s">
        <v>179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6.5" hidden="false" customHeight="true" outlineLevel="0" collapsed="false">
      <c r="A57" s="7" t="s">
        <v>180</v>
      </c>
      <c r="B57" s="6" t="n">
        <f aca="false">B28+B21+B22-B14</f>
        <v>484942</v>
      </c>
      <c r="C57" s="6" t="n">
        <f aca="false">C28+C21+C22-C14</f>
        <v>477901</v>
      </c>
      <c r="D57" s="6" t="n">
        <f aca="false">D28+D21+D22-D14</f>
        <v>466726</v>
      </c>
      <c r="E57" s="6" t="n">
        <f aca="false">E28+E21+E22-E14</f>
        <v>454037</v>
      </c>
      <c r="F57" s="6" t="n">
        <f aca="false">F28+F21+F22-F14</f>
        <v>1589698.98400396</v>
      </c>
      <c r="G57" s="6" t="n">
        <f aca="false">G28+G21+G22-G14</f>
        <v>1574655.41400802</v>
      </c>
      <c r="H57" s="6" t="n">
        <f aca="false">H28+H21+H22-H14</f>
        <v>1551441.42752942</v>
      </c>
      <c r="I57" s="6" t="n">
        <f aca="false">I28+I21+I22-I14</f>
        <v>1527530.0535214</v>
      </c>
      <c r="J57" s="6" t="n">
        <f aca="false">J28+J21+J22-J14</f>
        <v>1503222.32093719</v>
      </c>
      <c r="K57" s="6" t="n">
        <f aca="false">K28+K21+K22-K14</f>
        <v>1480981.25873005</v>
      </c>
    </row>
    <row r="58" customFormat="false" ht="16.5" hidden="false" customHeight="true" outlineLevel="0" collapsed="false">
      <c r="A58" s="7" t="s">
        <v>181</v>
      </c>
      <c r="B58" s="6" t="n">
        <f aca="false">B54</f>
        <v>-424829</v>
      </c>
      <c r="C58" s="6" t="n">
        <f aca="false">C54</f>
        <v>-1020152</v>
      </c>
      <c r="D58" s="6" t="n">
        <f aca="false">D54</f>
        <v>-494866</v>
      </c>
      <c r="E58" s="6" t="n">
        <f aca="false">E54</f>
        <v>-718228</v>
      </c>
      <c r="F58" s="6" t="n">
        <f aca="false">F54</f>
        <v>-569162</v>
      </c>
      <c r="G58" s="6" t="n">
        <f aca="false">G54</f>
        <v>-395374</v>
      </c>
      <c r="H58" s="6" t="n">
        <f aca="false">H54</f>
        <v>-374188</v>
      </c>
      <c r="I58" s="6" t="n">
        <f aca="false">I54</f>
        <v>-379514</v>
      </c>
      <c r="J58" s="6" t="n">
        <f aca="false">J54</f>
        <v>-405232</v>
      </c>
      <c r="K58" s="6" t="n">
        <f aca="false">K54</f>
        <v>-398357</v>
      </c>
    </row>
    <row r="59" customFormat="false" ht="16.5" hidden="false" customHeight="true" outlineLevel="0" collapsed="false">
      <c r="A59" s="7" t="s">
        <v>182</v>
      </c>
      <c r="B59" s="6" t="n">
        <f aca="false">00_前提・検証!$B$6</f>
        <v>242588</v>
      </c>
      <c r="C59" s="6" t="n">
        <f aca="false">B59+C57+C58</f>
        <v>-299663</v>
      </c>
      <c r="D59" s="6" t="n">
        <f aca="false">C59+D57+D58</f>
        <v>-327803</v>
      </c>
      <c r="E59" s="6" t="n">
        <f aca="false">D59+E57+E58</f>
        <v>-591994</v>
      </c>
      <c r="F59" s="6" t="n">
        <f aca="false">E59+F57+F58</f>
        <v>428542.984003961</v>
      </c>
      <c r="G59" s="6" t="n">
        <f aca="false">F59+G57+G58</f>
        <v>1607824.39801199</v>
      </c>
      <c r="H59" s="6" t="n">
        <f aca="false">G59+H57+H58</f>
        <v>2785077.82554141</v>
      </c>
      <c r="I59" s="6" t="n">
        <f aca="false">H59+I57+I58</f>
        <v>3933093.87906281</v>
      </c>
      <c r="J59" s="6" t="n">
        <f aca="false">I59+J57+J58</f>
        <v>5031084.2</v>
      </c>
      <c r="K59" s="6" t="n">
        <f aca="false">J59+K57+K58</f>
        <v>6113708.45873005</v>
      </c>
    </row>
    <row r="60" customFormat="false" ht="16.5" hidden="false" customHeight="true" outlineLevel="0" collapsed="false">
      <c r="A60" s="7" t="s">
        <v>183</v>
      </c>
      <c r="B60" s="6" t="n">
        <f aca="false">B59-00_前提・検証!$B$7</f>
        <v>-57412</v>
      </c>
      <c r="C60" s="6" t="n">
        <f aca="false">C59-00_前提・検証!$B$7</f>
        <v>-599663</v>
      </c>
      <c r="D60" s="6" t="n">
        <f aca="false">D59-00_前提・検証!$B$7</f>
        <v>-627803</v>
      </c>
      <c r="E60" s="6" t="n">
        <f aca="false">E59-00_前提・検証!$B$7</f>
        <v>-891994</v>
      </c>
      <c r="F60" s="6" t="n">
        <f aca="false">F59-00_前提・検証!$B$7</f>
        <v>128542.984003961</v>
      </c>
      <c r="G60" s="6" t="n">
        <f aca="false">G59-00_前提・検証!$B$7</f>
        <v>1307824.39801199</v>
      </c>
      <c r="H60" s="6" t="n">
        <f aca="false">H59-00_前提・検証!$B$7</f>
        <v>2485077.82554141</v>
      </c>
      <c r="I60" s="6" t="n">
        <f aca="false">I59-00_前提・検証!$B$7</f>
        <v>3633093.87906281</v>
      </c>
      <c r="J60" s="6" t="n">
        <f aca="false">J59-00_前提・検証!$B$7</f>
        <v>4731084.2</v>
      </c>
      <c r="K60" s="6" t="n">
        <f aca="false">K59-00_前提・検証!$B$7</f>
        <v>5813708.45873005</v>
      </c>
    </row>
  </sheetData>
  <mergeCells count="2">
    <mergeCell ref="A1:K1"/>
    <mergeCell ref="A2:K2"/>
  </mergeCells>
  <conditionalFormatting sqref="B37:K37">
    <cfRule type="expression" priority="2" aboveAverage="0" equalAverage="0" bottom="0" percent="0" rank="0" text="" dxfId="0">
      <formula>B37&lt;&gt;"OK"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191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52" t="s">
        <v>192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3" t="s">
        <v>72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customFormat="false" ht="21.75" hidden="false" customHeight="true" outlineLevel="0" collapsed="false">
      <c r="A5" s="25" t="s">
        <v>73</v>
      </c>
      <c r="B5" s="26" t="n">
        <f aca="false">SUM(B6,B9,B14)</f>
        <v>1619060</v>
      </c>
      <c r="C5" s="26" t="n">
        <f aca="false">SUM(C6,C9,C14)</f>
        <v>1747782</v>
      </c>
      <c r="D5" s="26" t="n">
        <f aca="false">SUM(D6,D9,D14)</f>
        <v>1586060</v>
      </c>
      <c r="E5" s="26" t="n">
        <f aca="false">SUM(E6,E9,E14)</f>
        <v>1577158</v>
      </c>
      <c r="F5" s="26" t="n">
        <f aca="false">SUM(F6,F9,F14)</f>
        <v>1558887</v>
      </c>
      <c r="G5" s="26" t="n">
        <f aca="false">SUM(G6,G9,G14)</f>
        <v>1553430</v>
      </c>
      <c r="H5" s="26" t="n">
        <f aca="false">SUM(H6,H9,H14)</f>
        <v>1541315</v>
      </c>
      <c r="I5" s="26" t="n">
        <f aca="false">SUM(I6,I9,I14)</f>
        <v>1519807</v>
      </c>
      <c r="J5" s="26" t="n">
        <f aca="false">SUM(J6,J9,J14)</f>
        <v>1490351</v>
      </c>
      <c r="K5" s="26" t="n">
        <f aca="false">SUM(K6,K9,K14)</f>
        <v>1472312</v>
      </c>
    </row>
    <row r="6" customFormat="false" ht="21.75" hidden="false" customHeight="true" outlineLevel="0" collapsed="false">
      <c r="A6" s="25" t="s">
        <v>74</v>
      </c>
      <c r="B6" s="26" t="n">
        <f aca="false">SUM(B7:B8)</f>
        <v>1261575</v>
      </c>
      <c r="C6" s="26" t="n">
        <f aca="false">SUM(C7:C8)</f>
        <v>1366275</v>
      </c>
      <c r="D6" s="26" t="n">
        <f aca="false">SUM(D7:D8)</f>
        <v>1237293</v>
      </c>
      <c r="E6" s="26" t="n">
        <f aca="false">SUM(E7:E8)</f>
        <v>1225373</v>
      </c>
      <c r="F6" s="26" t="n">
        <f aca="false">SUM(F7:F8)</f>
        <v>1213574</v>
      </c>
      <c r="G6" s="26" t="n">
        <f aca="false">SUM(G7:G8)</f>
        <v>1201896</v>
      </c>
      <c r="H6" s="26" t="n">
        <f aca="false">SUM(H7:H8)</f>
        <v>1190336</v>
      </c>
      <c r="I6" s="26" t="n">
        <f aca="false">SUM(I7:I8)</f>
        <v>1178894</v>
      </c>
      <c r="J6" s="26" t="n">
        <f aca="false">SUM(J7:J8)</f>
        <v>1167569</v>
      </c>
      <c r="K6" s="26" t="n">
        <f aca="false">SUM(K7:K8)</f>
        <v>1156360</v>
      </c>
    </row>
    <row r="7" customFormat="false" ht="21.75" hidden="false" customHeight="true" outlineLevel="0" collapsed="false">
      <c r="A7" s="25" t="s">
        <v>75</v>
      </c>
      <c r="B7" s="26" t="n">
        <v>1231181</v>
      </c>
      <c r="C7" s="26" t="n">
        <v>1331944</v>
      </c>
      <c r="D7" s="26" t="n">
        <v>1206680</v>
      </c>
      <c r="E7" s="26" t="n">
        <v>1194613</v>
      </c>
      <c r="F7" s="26" t="n">
        <v>1182666</v>
      </c>
      <c r="G7" s="26" t="n">
        <v>1170839</v>
      </c>
      <c r="H7" s="26" t="n">
        <v>1159130</v>
      </c>
      <c r="I7" s="26" t="n">
        <v>1147538</v>
      </c>
      <c r="J7" s="26" t="n">
        <v>1136062</v>
      </c>
      <c r="K7" s="26" t="n">
        <v>1124701</v>
      </c>
    </row>
    <row r="8" customFormat="false" ht="21.75" hidden="false" customHeight="true" outlineLevel="0" collapsed="false">
      <c r="A8" s="25" t="s">
        <v>76</v>
      </c>
      <c r="B8" s="26" t="n">
        <v>30394</v>
      </c>
      <c r="C8" s="26" t="n">
        <v>34331</v>
      </c>
      <c r="D8" s="26" t="n">
        <v>30613</v>
      </c>
      <c r="E8" s="26" t="n">
        <v>30760</v>
      </c>
      <c r="F8" s="26" t="n">
        <v>30908</v>
      </c>
      <c r="G8" s="26" t="n">
        <v>31057</v>
      </c>
      <c r="H8" s="26" t="n">
        <v>31206</v>
      </c>
      <c r="I8" s="26" t="n">
        <v>31356</v>
      </c>
      <c r="J8" s="26" t="n">
        <v>31507</v>
      </c>
      <c r="K8" s="26" t="n">
        <v>31659</v>
      </c>
    </row>
    <row r="9" customFormat="false" ht="21.75" hidden="false" customHeight="true" outlineLevel="0" collapsed="false">
      <c r="A9" s="25" t="s">
        <v>77</v>
      </c>
      <c r="B9" s="26" t="n">
        <f aca="false">SUM(B10:B13)</f>
        <v>354909</v>
      </c>
      <c r="C9" s="26" t="n">
        <f aca="false">SUM(C10:C13)</f>
        <v>351507</v>
      </c>
      <c r="D9" s="26" t="n">
        <f aca="false">SUM(D10:D13)</f>
        <v>348767</v>
      </c>
      <c r="E9" s="26" t="n">
        <f aca="false">SUM(E10:E13)</f>
        <v>351785</v>
      </c>
      <c r="F9" s="26" t="n">
        <f aca="false">SUM(F10:F13)</f>
        <v>345313</v>
      </c>
      <c r="G9" s="26" t="n">
        <f aca="false">SUM(G10:G13)</f>
        <v>351534</v>
      </c>
      <c r="H9" s="26" t="n">
        <f aca="false">SUM(H10:H13)</f>
        <v>350979</v>
      </c>
      <c r="I9" s="26" t="n">
        <f aca="false">SUM(I10:I13)</f>
        <v>340913</v>
      </c>
      <c r="J9" s="26" t="n">
        <f aca="false">SUM(J10:J13)</f>
        <v>322782</v>
      </c>
      <c r="K9" s="26" t="n">
        <f aca="false">SUM(K10:K13)</f>
        <v>315952</v>
      </c>
    </row>
    <row r="10" customFormat="false" ht="21.75" hidden="false" customHeight="true" outlineLevel="0" collapsed="false">
      <c r="A10" s="25" t="s">
        <v>78</v>
      </c>
      <c r="B10" s="26" t="n">
        <v>1</v>
      </c>
      <c r="C10" s="26" t="n">
        <v>17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 customFormat="false" ht="21.75" hidden="false" customHeight="true" outlineLevel="0" collapsed="false">
      <c r="A11" s="25" t="s">
        <v>79</v>
      </c>
      <c r="B11" s="26" t="n">
        <v>73283</v>
      </c>
      <c r="C11" s="26" t="n">
        <v>72779</v>
      </c>
      <c r="D11" s="26" t="n">
        <v>68955</v>
      </c>
      <c r="E11" s="26" t="n">
        <v>66740</v>
      </c>
      <c r="F11" s="26" t="n">
        <v>64490</v>
      </c>
      <c r="G11" s="26" t="n">
        <v>62175</v>
      </c>
      <c r="H11" s="26" t="n">
        <v>59946</v>
      </c>
      <c r="I11" s="26" t="n">
        <v>57892</v>
      </c>
      <c r="J11" s="26" t="n">
        <v>56062</v>
      </c>
      <c r="K11" s="26" t="n">
        <v>54385</v>
      </c>
    </row>
    <row r="12" customFormat="false" ht="21.75" hidden="false" customHeight="true" outlineLevel="0" collapsed="false">
      <c r="A12" s="25" t="s">
        <v>80</v>
      </c>
      <c r="B12" s="26" t="n">
        <v>281625</v>
      </c>
      <c r="C12" s="26" t="n">
        <v>278623</v>
      </c>
      <c r="D12" s="26" t="n">
        <v>279812</v>
      </c>
      <c r="E12" s="26" t="n">
        <f aca="false">276390+05_建設仮勘定・企業債!E41</f>
        <v>285045</v>
      </c>
      <c r="F12" s="26" t="n">
        <f aca="false">272168+05_建設仮勘定・企業債!F41</f>
        <v>280823</v>
      </c>
      <c r="G12" s="26" t="n">
        <f aca="false">272926+05_建設仮勘定・企業債!G41</f>
        <v>281581</v>
      </c>
      <c r="H12" s="26" t="n">
        <f aca="false">274600+05_建設仮勘定・企業債!H41</f>
        <v>283255</v>
      </c>
      <c r="I12" s="26" t="n">
        <f aca="false">266588+05_建設仮勘定・企業債!I41</f>
        <v>275243</v>
      </c>
      <c r="J12" s="26" t="n">
        <f aca="false">250287+05_建設仮勘定・企業債!J41</f>
        <v>258942</v>
      </c>
      <c r="K12" s="26" t="n">
        <f aca="false">245134+05_建設仮勘定・企業債!K41</f>
        <v>253789</v>
      </c>
    </row>
    <row r="13" customFormat="false" ht="21.75" hidden="false" customHeight="true" outlineLevel="0" collapsed="false">
      <c r="A13" s="25" t="s">
        <v>81</v>
      </c>
      <c r="B13" s="26" t="n">
        <v>0</v>
      </c>
      <c r="C13" s="26" t="n">
        <v>88</v>
      </c>
      <c r="D13" s="26" t="n">
        <v>0</v>
      </c>
      <c r="E13" s="26" t="n">
        <v>0</v>
      </c>
      <c r="F13" s="26" t="n">
        <v>0</v>
      </c>
      <c r="G13" s="26" t="n">
        <v>7778</v>
      </c>
      <c r="H13" s="26" t="n">
        <v>7778</v>
      </c>
      <c r="I13" s="26" t="n">
        <v>7778</v>
      </c>
      <c r="J13" s="26" t="n">
        <v>7778</v>
      </c>
      <c r="K13" s="26" t="n">
        <v>7778</v>
      </c>
    </row>
    <row r="14" customFormat="false" ht="21.75" hidden="false" customHeight="true" outlineLevel="0" collapsed="false">
      <c r="A14" s="25" t="s">
        <v>82</v>
      </c>
      <c r="B14" s="26" t="n">
        <v>2576</v>
      </c>
      <c r="C14" s="26" t="n">
        <v>30000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 customFormat="false" ht="21.75" hidden="false" customHeight="true" outlineLevel="0" collapsed="false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customFormat="false" ht="21.75" hidden="false" customHeight="true" outlineLevel="0" collapsed="false">
      <c r="A16" s="23" t="s">
        <v>83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customFormat="false" ht="21.75" hidden="false" customHeight="true" outlineLevel="0" collapsed="false">
      <c r="A17" s="25" t="s">
        <v>84</v>
      </c>
      <c r="B17" s="26" t="n">
        <f aca="false">SUM(B18,B28,B31)</f>
        <v>1608275</v>
      </c>
      <c r="C17" s="26" t="n">
        <f aca="false">SUM(C18,C28,C31)</f>
        <v>1710280</v>
      </c>
      <c r="D17" s="26" t="n">
        <f aca="false">SUM(D18,D28,D31)</f>
        <v>1597736</v>
      </c>
      <c r="E17" s="26" t="n">
        <f aca="false">SUM(E18,E28,E31)</f>
        <v>1602507</v>
      </c>
      <c r="F17" s="26" t="n">
        <f aca="false">SUM(F18,F28,F31)</f>
        <v>1607640</v>
      </c>
      <c r="G17" s="26" t="n">
        <f aca="false">SUM(G18,G28,G31)</f>
        <v>1612749</v>
      </c>
      <c r="H17" s="26" t="n">
        <f aca="false">SUM(H18,H28,H31)</f>
        <v>1619689</v>
      </c>
      <c r="I17" s="26" t="n">
        <f aca="false">SUM(I18,I28,I31)</f>
        <v>1615634</v>
      </c>
      <c r="J17" s="26" t="n">
        <f aca="false">SUM(J18,J28,J31)</f>
        <v>1599366</v>
      </c>
      <c r="K17" s="26" t="n">
        <f aca="false">SUM(K18,K28,K31)</f>
        <v>1598706</v>
      </c>
    </row>
    <row r="18" customFormat="false" ht="21.75" hidden="false" customHeight="true" outlineLevel="0" collapsed="false">
      <c r="A18" s="25" t="s">
        <v>85</v>
      </c>
      <c r="B18" s="26" t="n">
        <f aca="false">SUM(B19,B20,B25,B26,B27)</f>
        <v>1479507</v>
      </c>
      <c r="C18" s="26" t="n">
        <f aca="false">SUM(C19,C20,C25,C26,C27)</f>
        <v>1546573</v>
      </c>
      <c r="D18" s="26" t="n">
        <f aca="false">SUM(D19,D20,D25,D26,D27)</f>
        <v>1474501</v>
      </c>
      <c r="E18" s="26" t="n">
        <f aca="false">SUM(E19,E20,E25,E26,E27)</f>
        <v>1482927</v>
      </c>
      <c r="F18" s="26" t="n">
        <f aca="false">SUM(F19,F20,F25,F26,F27)</f>
        <v>1483351</v>
      </c>
      <c r="G18" s="26" t="n">
        <f aca="false">SUM(G19,G20,G25,G26,G27)</f>
        <v>1488562</v>
      </c>
      <c r="H18" s="26" t="n">
        <f aca="false">SUM(H19,H20,H25,H26,H27)</f>
        <v>1498059</v>
      </c>
      <c r="I18" s="26" t="n">
        <f aca="false">SUM(I19,I20,I25,I26,I27)</f>
        <v>1495740</v>
      </c>
      <c r="J18" s="26" t="n">
        <f aca="false">SUM(J19,J20,J25,J26,J27)</f>
        <v>1480096</v>
      </c>
      <c r="K18" s="26" t="n">
        <f aca="false">SUM(K19,K20,K25,K26,K27)</f>
        <v>1481321</v>
      </c>
    </row>
    <row r="19" customFormat="false" ht="21.75" hidden="false" customHeight="true" outlineLevel="0" collapsed="false">
      <c r="A19" s="25" t="s">
        <v>86</v>
      </c>
      <c r="B19" s="26" t="n">
        <v>176462</v>
      </c>
      <c r="C19" s="26" t="n">
        <v>188373</v>
      </c>
      <c r="D19" s="26" t="n">
        <v>176462</v>
      </c>
      <c r="E19" s="26" t="n">
        <v>176462</v>
      </c>
      <c r="F19" s="26" t="n">
        <v>176462</v>
      </c>
      <c r="G19" s="26" t="n">
        <v>176462</v>
      </c>
      <c r="H19" s="26" t="n">
        <v>176462</v>
      </c>
      <c r="I19" s="26" t="n">
        <v>176462</v>
      </c>
      <c r="J19" s="26" t="n">
        <v>176462</v>
      </c>
      <c r="K19" s="26" t="n">
        <v>176462</v>
      </c>
    </row>
    <row r="20" customFormat="false" ht="21.75" hidden="false" customHeight="true" outlineLevel="0" collapsed="false">
      <c r="A20" s="25" t="s">
        <v>87</v>
      </c>
      <c r="B20" s="26" t="n">
        <v>547263</v>
      </c>
      <c r="C20" s="26" t="n">
        <v>599689</v>
      </c>
      <c r="D20" s="26" t="n">
        <v>545648</v>
      </c>
      <c r="E20" s="26" t="n">
        <v>545957</v>
      </c>
      <c r="F20" s="26" t="n">
        <v>546267</v>
      </c>
      <c r="G20" s="26" t="n">
        <v>546577</v>
      </c>
      <c r="H20" s="26" t="n">
        <v>546888</v>
      </c>
      <c r="I20" s="26" t="n">
        <v>547200</v>
      </c>
      <c r="J20" s="26" t="n">
        <v>547513</v>
      </c>
      <c r="K20" s="26" t="n">
        <v>547827</v>
      </c>
    </row>
    <row r="21" customFormat="false" ht="21.75" hidden="false" customHeight="true" outlineLevel="0" collapsed="false">
      <c r="A21" s="25" t="s">
        <v>88</v>
      </c>
      <c r="B21" s="26" t="n">
        <v>65247</v>
      </c>
      <c r="C21" s="26" t="n">
        <v>0</v>
      </c>
      <c r="D21" s="26" t="n">
        <v>65000</v>
      </c>
      <c r="E21" s="26" t="n">
        <v>65000</v>
      </c>
      <c r="F21" s="26" t="n">
        <v>65000</v>
      </c>
      <c r="G21" s="26" t="n">
        <v>65000</v>
      </c>
      <c r="H21" s="26" t="n">
        <v>65000</v>
      </c>
      <c r="I21" s="26" t="n">
        <v>65000</v>
      </c>
      <c r="J21" s="26" t="n">
        <v>65000</v>
      </c>
      <c r="K21" s="26" t="n">
        <v>65000</v>
      </c>
    </row>
    <row r="22" customFormat="false" ht="21.75" hidden="false" customHeight="true" outlineLevel="0" collapsed="false">
      <c r="A22" s="25" t="s">
        <v>89</v>
      </c>
      <c r="B22" s="26" t="n">
        <v>102261</v>
      </c>
      <c r="C22" s="26" t="n">
        <v>0</v>
      </c>
      <c r="D22" s="26" t="n">
        <v>102876</v>
      </c>
      <c r="E22" s="26" t="n">
        <v>103185</v>
      </c>
      <c r="F22" s="26" t="n">
        <v>103495</v>
      </c>
      <c r="G22" s="26" t="n">
        <v>103805</v>
      </c>
      <c r="H22" s="26" t="n">
        <v>104116</v>
      </c>
      <c r="I22" s="26" t="n">
        <v>104428</v>
      </c>
      <c r="J22" s="26" t="n">
        <v>104741</v>
      </c>
      <c r="K22" s="26" t="n">
        <v>105055</v>
      </c>
    </row>
    <row r="23" customFormat="false" ht="21.75" hidden="false" customHeight="true" outlineLevel="0" collapsed="false">
      <c r="A23" s="25" t="s">
        <v>90</v>
      </c>
      <c r="B23" s="26" t="n">
        <v>15316</v>
      </c>
      <c r="C23" s="26" t="n">
        <v>0</v>
      </c>
      <c r="D23" s="26" t="n">
        <v>15000</v>
      </c>
      <c r="E23" s="26" t="n">
        <v>15000</v>
      </c>
      <c r="F23" s="26" t="n">
        <v>15000</v>
      </c>
      <c r="G23" s="26" t="n">
        <v>15000</v>
      </c>
      <c r="H23" s="26" t="n">
        <v>15000</v>
      </c>
      <c r="I23" s="26" t="n">
        <v>15000</v>
      </c>
      <c r="J23" s="26" t="n">
        <v>15000</v>
      </c>
      <c r="K23" s="26" t="n">
        <v>15000</v>
      </c>
    </row>
    <row r="24" customFormat="false" ht="21.75" hidden="false" customHeight="true" outlineLevel="0" collapsed="false">
      <c r="A24" s="25" t="s">
        <v>91</v>
      </c>
      <c r="B24" s="26" t="n">
        <v>304419</v>
      </c>
      <c r="C24" s="26" t="n">
        <v>0</v>
      </c>
      <c r="D24" s="26" t="n">
        <v>304000</v>
      </c>
      <c r="E24" s="26" t="n">
        <v>304000</v>
      </c>
      <c r="F24" s="26" t="n">
        <v>304000</v>
      </c>
      <c r="G24" s="26" t="n">
        <v>304000</v>
      </c>
      <c r="H24" s="26" t="n">
        <v>304000</v>
      </c>
      <c r="I24" s="26" t="n">
        <v>304000</v>
      </c>
      <c r="J24" s="26" t="n">
        <v>304000</v>
      </c>
      <c r="K24" s="26" t="n">
        <v>304000</v>
      </c>
    </row>
    <row r="25" customFormat="false" ht="21.75" hidden="false" customHeight="true" outlineLevel="0" collapsed="false">
      <c r="A25" s="25" t="s">
        <v>92</v>
      </c>
      <c r="B25" s="26" t="n">
        <v>755782</v>
      </c>
      <c r="C25" s="26" t="n">
        <v>746511</v>
      </c>
      <c r="D25" s="26" t="n">
        <v>752391</v>
      </c>
      <c r="E25" s="26" t="n">
        <f aca="false">748869+05_建設仮勘定・企業債!E40</f>
        <v>760508</v>
      </c>
      <c r="F25" s="26" t="n">
        <f aca="false">748983+05_建設仮勘定・企業債!F40</f>
        <v>760622</v>
      </c>
      <c r="G25" s="26" t="n">
        <f aca="false">753884+05_建設仮勘定・企業債!G40</f>
        <v>765523</v>
      </c>
      <c r="H25" s="26" t="n">
        <f aca="false">763070+05_建設仮勘定・企業債!H40</f>
        <v>774709</v>
      </c>
      <c r="I25" s="26" t="n">
        <f aca="false">760439+05_建設仮勘定・企業債!I40</f>
        <v>772078</v>
      </c>
      <c r="J25" s="26" t="n">
        <f aca="false">744482+05_建設仮勘定・企業債!J40</f>
        <v>756121</v>
      </c>
      <c r="K25" s="26" t="n">
        <f aca="false">745393+05_建設仮勘定・企業債!K40</f>
        <v>757032</v>
      </c>
    </row>
    <row r="26" customFormat="false" ht="21.75" hidden="false" customHeight="true" outlineLevel="0" collapsed="false">
      <c r="A26" s="25" t="s">
        <v>93</v>
      </c>
      <c r="B26" s="26" t="n">
        <v>0</v>
      </c>
      <c r="C26" s="26" t="n">
        <v>12000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</row>
    <row r="27" customFormat="false" ht="21.75" hidden="false" customHeight="true" outlineLevel="0" collapsed="false">
      <c r="A27" s="25" t="s">
        <v>94</v>
      </c>
      <c r="B27" s="26" t="n">
        <v>0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0</v>
      </c>
    </row>
    <row r="28" customFormat="false" ht="21.75" hidden="false" customHeight="true" outlineLevel="0" collapsed="false">
      <c r="A28" s="25" t="s">
        <v>95</v>
      </c>
      <c r="B28" s="26" t="n">
        <f aca="false">SUM(B29:B30)</f>
        <v>128495</v>
      </c>
      <c r="C28" s="26" t="n">
        <f aca="false">SUM(C29:C30)</f>
        <v>163407</v>
      </c>
      <c r="D28" s="26" t="n">
        <f aca="false">SUM(D29:D30)</f>
        <v>122962</v>
      </c>
      <c r="E28" s="26" t="n">
        <f aca="false">SUM(E29:E30)</f>
        <v>119307</v>
      </c>
      <c r="F28" s="26" t="n">
        <f aca="false">SUM(F29:F30)</f>
        <v>124016</v>
      </c>
      <c r="G28" s="26" t="n">
        <f aca="false">SUM(G29:G30)</f>
        <v>123914</v>
      </c>
      <c r="H28" s="26" t="n">
        <f aca="false">SUM(H29:H30)</f>
        <v>121357</v>
      </c>
      <c r="I28" s="26" t="n">
        <f aca="false">SUM(I29:I30)</f>
        <v>119621</v>
      </c>
      <c r="J28" s="26" t="n">
        <f aca="false">SUM(J29:J30)</f>
        <v>118997</v>
      </c>
      <c r="K28" s="26" t="n">
        <f aca="false">SUM(K29:K30)</f>
        <v>117112</v>
      </c>
    </row>
    <row r="29" customFormat="false" ht="21.75" hidden="false" customHeight="true" outlineLevel="0" collapsed="false">
      <c r="A29" s="25" t="s">
        <v>96</v>
      </c>
      <c r="B29" s="26" t="n">
        <v>118910</v>
      </c>
      <c r="C29" s="26" t="n">
        <f aca="false">113113+C58</f>
        <v>113113</v>
      </c>
      <c r="D29" s="26" t="n">
        <f aca="false">108458+D58</f>
        <v>114281</v>
      </c>
      <c r="E29" s="26" t="n">
        <f aca="false">106668+E58</f>
        <v>110591</v>
      </c>
      <c r="F29" s="26" t="n">
        <f aca="false">105071+F58</f>
        <v>115300</v>
      </c>
      <c r="G29" s="26" t="n">
        <f aca="false">102070+G58</f>
        <v>115163</v>
      </c>
      <c r="H29" s="26" t="n">
        <f aca="false">99779+H58</f>
        <v>112571</v>
      </c>
      <c r="I29" s="26" t="n">
        <f aca="false">98626+I58</f>
        <v>110835</v>
      </c>
      <c r="J29" s="26" t="n">
        <f aca="false">98322+J58</f>
        <v>110211</v>
      </c>
      <c r="K29" s="26" t="n">
        <f aca="false">96331+K58</f>
        <v>108326</v>
      </c>
    </row>
    <row r="30" customFormat="false" ht="21.75" hidden="false" customHeight="true" outlineLevel="0" collapsed="false">
      <c r="A30" s="25" t="s">
        <v>97</v>
      </c>
      <c r="B30" s="26" t="n">
        <v>9585</v>
      </c>
      <c r="C30" s="26" t="n">
        <v>50294</v>
      </c>
      <c r="D30" s="26" t="n">
        <v>8681</v>
      </c>
      <c r="E30" s="26" t="n">
        <v>8716</v>
      </c>
      <c r="F30" s="26" t="n">
        <v>8716</v>
      </c>
      <c r="G30" s="26" t="n">
        <v>8751</v>
      </c>
      <c r="H30" s="26" t="n">
        <v>8786</v>
      </c>
      <c r="I30" s="26" t="n">
        <v>8786</v>
      </c>
      <c r="J30" s="26" t="n">
        <v>8786</v>
      </c>
      <c r="K30" s="26" t="n">
        <v>8786</v>
      </c>
    </row>
    <row r="31" customFormat="false" ht="21.75" hidden="false" customHeight="true" outlineLevel="0" collapsed="false">
      <c r="A31" s="25" t="s">
        <v>98</v>
      </c>
      <c r="B31" s="27" t="n">
        <v>273</v>
      </c>
      <c r="C31" s="27" t="n">
        <v>300</v>
      </c>
      <c r="D31" s="27" t="n">
        <v>273</v>
      </c>
      <c r="E31" s="27" t="n">
        <v>273</v>
      </c>
      <c r="F31" s="27" t="n">
        <v>273</v>
      </c>
      <c r="G31" s="27" t="n">
        <v>273</v>
      </c>
      <c r="H31" s="27" t="n">
        <v>273</v>
      </c>
      <c r="I31" s="27" t="n">
        <v>273</v>
      </c>
      <c r="J31" s="27" t="n">
        <v>273</v>
      </c>
      <c r="K31" s="27" t="n">
        <v>273</v>
      </c>
    </row>
    <row r="32" customFormat="false" ht="21.75" hidden="false" customHeight="true" outlineLevel="0" collapsed="false">
      <c r="A32" s="25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customFormat="false" ht="21.75" hidden="false" customHeight="true" outlineLevel="0" collapsed="false">
      <c r="A33" s="23" t="s">
        <v>99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customFormat="false" ht="21.75" hidden="false" customHeight="true" outlineLevel="0" collapsed="false">
      <c r="A34" s="25" t="s">
        <v>100</v>
      </c>
      <c r="B34" s="26" t="n">
        <v>698941</v>
      </c>
      <c r="C34" s="26" t="n">
        <f aca="false">SUM(C35:C41)</f>
        <v>1055380</v>
      </c>
      <c r="D34" s="26" t="n">
        <f aca="false">SUM(D35:D41)</f>
        <v>577929</v>
      </c>
      <c r="E34" s="26" t="n">
        <f aca="false">SUM(E35:E41)</f>
        <v>929283</v>
      </c>
      <c r="F34" s="26" t="n">
        <f aca="false">SUM(F35:F41)</f>
        <v>731849</v>
      </c>
      <c r="G34" s="26" t="n">
        <f aca="false">SUM(G35:G41)</f>
        <v>571513</v>
      </c>
      <c r="H34" s="26" t="n">
        <f aca="false">SUM(H35:H41)</f>
        <v>563268</v>
      </c>
      <c r="I34" s="26" t="n">
        <f aca="false">SUM(I35:I41)</f>
        <v>537092</v>
      </c>
      <c r="J34" s="26" t="n">
        <f aca="false">SUM(J35:J41)</f>
        <v>421454</v>
      </c>
      <c r="K34" s="26" t="n">
        <f aca="false">SUM(K35:K41)</f>
        <v>365500</v>
      </c>
    </row>
    <row r="35" customFormat="false" ht="21.75" hidden="false" customHeight="true" outlineLevel="0" collapsed="false">
      <c r="A35" s="25" t="s">
        <v>101</v>
      </c>
      <c r="B35" s="26" t="n">
        <v>329000</v>
      </c>
      <c r="C35" s="26" t="n">
        <f aca="false">MAX(0,C45-C38-C40)</f>
        <v>713997</v>
      </c>
      <c r="D35" s="26" t="n">
        <f aca="false">MAX(0,D45-D38-D40)+12066</f>
        <v>340521</v>
      </c>
      <c r="E35" s="26" t="n">
        <f aca="false">MAX(0,E45-E38-E40)</f>
        <v>613585</v>
      </c>
      <c r="F35" s="26" t="n">
        <f aca="false">MAX(0,F45-F38-F40)</f>
        <v>336200</v>
      </c>
      <c r="G35" s="26" t="n">
        <f aca="false">MAX(0,G45-G38-G40)</f>
        <v>284300</v>
      </c>
      <c r="H35" s="26" t="n">
        <f aca="false">MAX(0,H45-H38-H40)</f>
        <v>277930</v>
      </c>
      <c r="I35" s="26" t="n">
        <f aca="false">MAX(0,I45-I38-I40)</f>
        <v>368500</v>
      </c>
      <c r="J35" s="26" t="n">
        <f aca="false">MAX(0,J45-J38-J40)</f>
        <v>265720</v>
      </c>
      <c r="K35" s="26" t="n">
        <f aca="false">MAX(0,K45-K38-K40)</f>
        <v>230500</v>
      </c>
    </row>
    <row r="36" customFormat="false" ht="21.75" hidden="false" customHeight="true" outlineLevel="0" collapsed="false">
      <c r="A36" s="25" t="s">
        <v>102</v>
      </c>
      <c r="B36" s="26" t="n">
        <v>169041</v>
      </c>
      <c r="C36" s="26" t="n">
        <v>166838</v>
      </c>
      <c r="D36" s="26" t="n">
        <v>162408</v>
      </c>
      <c r="E36" s="26" t="n">
        <v>167998</v>
      </c>
      <c r="F36" s="26" t="n">
        <v>173649</v>
      </c>
      <c r="G36" s="26" t="n">
        <v>182213</v>
      </c>
      <c r="H36" s="26" t="n">
        <v>180338</v>
      </c>
      <c r="I36" s="26" t="n">
        <v>168592</v>
      </c>
      <c r="J36" s="26" t="n">
        <v>155734</v>
      </c>
      <c r="K36" s="26" t="n">
        <v>135000</v>
      </c>
    </row>
    <row r="37" customFormat="false" ht="21.75" hidden="false" customHeight="true" outlineLevel="0" collapsed="false">
      <c r="A37" s="25" t="s">
        <v>103</v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0</v>
      </c>
      <c r="K37" s="26" t="n">
        <v>0</v>
      </c>
    </row>
    <row r="38" customFormat="false" ht="21.75" hidden="false" customHeight="true" outlineLevel="0" collapsed="false">
      <c r="A38" s="25" t="s">
        <v>104</v>
      </c>
      <c r="B38" s="26" t="n">
        <v>0</v>
      </c>
      <c r="C38" s="26" t="n">
        <v>2000</v>
      </c>
      <c r="D38" s="26" t="n">
        <v>75000</v>
      </c>
      <c r="E38" s="26" t="n">
        <v>147700</v>
      </c>
      <c r="F38" s="26" t="n">
        <v>222000</v>
      </c>
      <c r="G38" s="26" t="n">
        <v>105000</v>
      </c>
      <c r="H38" s="26" t="n">
        <v>105000</v>
      </c>
      <c r="I38" s="26" t="n">
        <v>0</v>
      </c>
      <c r="J38" s="26" t="n">
        <v>0</v>
      </c>
      <c r="K38" s="26" t="n">
        <v>0</v>
      </c>
    </row>
    <row r="39" customFormat="false" ht="21.75" hidden="false" customHeight="true" outlineLevel="0" collapsed="false">
      <c r="A39" s="25" t="s">
        <v>105</v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0</v>
      </c>
      <c r="J39" s="26" t="n">
        <v>0</v>
      </c>
      <c r="K39" s="26" t="n">
        <v>0</v>
      </c>
    </row>
    <row r="40" customFormat="false" ht="21.75" hidden="false" customHeight="true" outlineLevel="0" collapsed="false">
      <c r="A40" s="25" t="s">
        <v>106</v>
      </c>
      <c r="B40" s="26" t="n">
        <v>200900</v>
      </c>
      <c r="C40" s="26" t="n">
        <v>172545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</row>
    <row r="41" customFormat="false" ht="21.75" hidden="false" customHeight="true" outlineLevel="0" collapsed="false">
      <c r="A41" s="25" t="s">
        <v>107</v>
      </c>
      <c r="B41" s="26" t="n">
        <f aca="false">B34-SUM(B35:B40)</f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</row>
    <row r="42" customFormat="false" ht="21.75" hidden="false" customHeight="true" outlineLevel="0" collapsed="false">
      <c r="A42" s="25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customFormat="false" ht="21.75" hidden="false" customHeight="true" outlineLevel="0" collapsed="false">
      <c r="A43" s="23" t="s">
        <v>108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</row>
    <row r="44" customFormat="false" ht="21.75" hidden="false" customHeight="true" outlineLevel="0" collapsed="false">
      <c r="A44" s="25" t="s">
        <v>109</v>
      </c>
      <c r="B44" s="26" t="n">
        <f aca="false">SUM(B45:B47)</f>
        <v>1123770</v>
      </c>
      <c r="C44" s="26" t="n">
        <f aca="false">SUM(C45:C47)</f>
        <v>1684475</v>
      </c>
      <c r="D44" s="26" t="n">
        <f aca="false">SUM(D45:D47)</f>
        <v>1136126</v>
      </c>
      <c r="E44" s="26" t="n">
        <f aca="false">SUM(E45:E47)</f>
        <v>1437316</v>
      </c>
      <c r="F44" s="26" t="n">
        <f aca="false">SUM(F45:F47)</f>
        <v>1205541</v>
      </c>
      <c r="G44" s="26" t="n">
        <f aca="false">SUM(G45:G47)</f>
        <v>976922</v>
      </c>
      <c r="H44" s="26" t="n">
        <f aca="false">SUM(H45:H47)</f>
        <v>956894</v>
      </c>
      <c r="I44" s="26" t="n">
        <f aca="false">SUM(I45:I47)</f>
        <v>927272</v>
      </c>
      <c r="J44" s="26" t="n">
        <f aca="false">SUM(J45:J47)</f>
        <v>823144</v>
      </c>
      <c r="K44" s="26" t="n">
        <f aca="false">SUM(K45:K47)</f>
        <v>774903</v>
      </c>
    </row>
    <row r="45" customFormat="false" ht="21.75" hidden="false" customHeight="true" outlineLevel="0" collapsed="false">
      <c r="A45" s="25" t="s">
        <v>110</v>
      </c>
      <c r="B45" s="26" t="n">
        <v>268741</v>
      </c>
      <c r="C45" s="26" t="n">
        <v>888542</v>
      </c>
      <c r="D45" s="26" t="n">
        <v>403455</v>
      </c>
      <c r="E45" s="26" t="n">
        <v>761285</v>
      </c>
      <c r="F45" s="26" t="n">
        <v>558200</v>
      </c>
      <c r="G45" s="26" t="n">
        <v>389300</v>
      </c>
      <c r="H45" s="26" t="n">
        <v>382930</v>
      </c>
      <c r="I45" s="26" t="n">
        <v>368500</v>
      </c>
      <c r="J45" s="26" t="n">
        <v>265720</v>
      </c>
      <c r="K45" s="26" t="n">
        <v>230500</v>
      </c>
    </row>
    <row r="46" customFormat="false" ht="21.75" hidden="false" customHeight="true" outlineLevel="0" collapsed="false">
      <c r="A46" s="25" t="s">
        <v>111</v>
      </c>
      <c r="B46" s="26" t="n">
        <v>855029</v>
      </c>
      <c r="C46" s="26" t="n">
        <f aca="false">795933+C57</f>
        <v>795933</v>
      </c>
      <c r="D46" s="26" t="n">
        <f aca="false">727819+D57</f>
        <v>732671</v>
      </c>
      <c r="E46" s="26" t="n">
        <f aca="false">672641+E57</f>
        <v>676031</v>
      </c>
      <c r="F46" s="26" t="n">
        <f aca="false">638611+F57</f>
        <v>647341</v>
      </c>
      <c r="G46" s="26" t="n">
        <f aca="false">576287+G57</f>
        <v>587622</v>
      </c>
      <c r="H46" s="26" t="n">
        <f aca="false">562596+H57</f>
        <v>573964</v>
      </c>
      <c r="I46" s="26" t="n">
        <f aca="false">547606+I57</f>
        <v>558772</v>
      </c>
      <c r="J46" s="26" t="n">
        <f aca="false">546246+J57</f>
        <v>557424</v>
      </c>
      <c r="K46" s="26" t="n">
        <f aca="false">532857+K57</f>
        <v>544403</v>
      </c>
    </row>
    <row r="47" customFormat="false" ht="21.75" hidden="false" customHeight="true" outlineLevel="0" collapsed="false">
      <c r="A47" s="25" t="s">
        <v>112</v>
      </c>
      <c r="B47" s="26" t="n">
        <v>0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0</v>
      </c>
    </row>
    <row r="48" customFormat="false" ht="21.75" hidden="false" customHeight="true" outlineLevel="0" collapsed="false">
      <c r="A48" s="25" t="s">
        <v>113</v>
      </c>
      <c r="B48" s="26" t="n">
        <f aca="false">B34-B44</f>
        <v>-424829</v>
      </c>
      <c r="C48" s="26" t="n">
        <f aca="false">C34-C44</f>
        <v>-629095</v>
      </c>
      <c r="D48" s="26" t="n">
        <f aca="false">D34-D44</f>
        <v>-558197</v>
      </c>
      <c r="E48" s="26" t="n">
        <f aca="false">E34-E44</f>
        <v>-508033</v>
      </c>
      <c r="F48" s="26" t="n">
        <f aca="false">F34-F44</f>
        <v>-473692</v>
      </c>
      <c r="G48" s="26" t="n">
        <f aca="false">G34-G44</f>
        <v>-405409</v>
      </c>
      <c r="H48" s="26" t="n">
        <f aca="false">H34-H44</f>
        <v>-393626</v>
      </c>
      <c r="I48" s="26" t="n">
        <f aca="false">I34-I44</f>
        <v>-390180</v>
      </c>
      <c r="J48" s="26" t="n">
        <f aca="false">J34-J44</f>
        <v>-401690</v>
      </c>
      <c r="K48" s="26" t="n">
        <f aca="false">K34-K44</f>
        <v>-409403</v>
      </c>
    </row>
    <row r="49" customFormat="false" ht="21.75" hidden="false" customHeight="true" outlineLevel="0" collapsed="false">
      <c r="A49" s="53" t="s">
        <v>193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</row>
    <row r="50" customFormat="false" ht="21.75" hidden="false" customHeight="true" outlineLevel="0" collapsed="false">
      <c r="A50" s="54" t="s">
        <v>194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customFormat="false" ht="21.75" hidden="false" customHeight="true" outlineLevel="0" collapsed="false">
      <c r="A51" s="54" t="s">
        <v>195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</row>
    <row r="52" customFormat="false" ht="21.75" hidden="false" customHeight="true" outlineLevel="0" collapsed="false">
      <c r="A52" s="54" t="s">
        <v>196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</row>
    <row r="53" customFormat="false" ht="15" hidden="false" customHeight="false" outlineLevel="0" collapsed="false">
      <c r="A53" s="14" t="s">
        <v>197</v>
      </c>
    </row>
    <row r="54" customFormat="false" ht="15" hidden="false" customHeight="false" outlineLevel="0" collapsed="false">
      <c r="A54" s="14" t="s">
        <v>198</v>
      </c>
    </row>
    <row r="55" customFormat="false" ht="15" hidden="false" customHeight="false" outlineLevel="0" collapsed="false">
      <c r="A55" s="14" t="s">
        <v>199</v>
      </c>
    </row>
    <row r="56" customFormat="false" ht="15" hidden="false" customHeight="false" outlineLevel="0" collapsed="false">
      <c r="A56" s="1" t="s">
        <v>200</v>
      </c>
      <c r="B56" s="1" t="n">
        <v>0</v>
      </c>
      <c r="C56" s="1" t="n">
        <f aca="false">C35-519900</f>
        <v>194097</v>
      </c>
      <c r="D56" s="1" t="n">
        <f aca="false">D35-399000</f>
        <v>-58479</v>
      </c>
      <c r="E56" s="1" t="n">
        <f aca="false">E35-400000</f>
        <v>213585</v>
      </c>
      <c r="F56" s="1" t="n">
        <f aca="false">F35-232000</f>
        <v>104200</v>
      </c>
      <c r="G56" s="1" t="n">
        <f aca="false">G35-283000</f>
        <v>1300</v>
      </c>
      <c r="H56" s="1" t="n">
        <f aca="false">H35-286000</f>
        <v>-8070</v>
      </c>
      <c r="I56" s="1" t="n">
        <f aca="false">I35-368000</f>
        <v>500</v>
      </c>
      <c r="J56" s="1" t="n">
        <f aca="false">J35-251000</f>
        <v>14720</v>
      </c>
      <c r="K56" s="1" t="n">
        <f aca="false">K35-230000</f>
        <v>500</v>
      </c>
    </row>
    <row r="57" customFormat="false" ht="15" hidden="false" customHeight="false" outlineLevel="0" collapsed="false">
      <c r="A57" s="1" t="s">
        <v>201</v>
      </c>
      <c r="B57" s="1" t="n">
        <v>0</v>
      </c>
      <c r="C57" s="1" t="n">
        <v>0</v>
      </c>
      <c r="D57" s="1" t="n">
        <f aca="false">ROUND(SUM($C$56:C56)/40,0)</f>
        <v>4852</v>
      </c>
      <c r="E57" s="1" t="n">
        <f aca="false">ROUND(SUM($C$56:D56)/40,0)</f>
        <v>3390</v>
      </c>
      <c r="F57" s="1" t="n">
        <f aca="false">ROUND(SUM($C$56:E56)/40,0)</f>
        <v>8730</v>
      </c>
      <c r="G57" s="1" t="n">
        <f aca="false">ROUND(SUM($C$56:F56)/40,0)</f>
        <v>11335</v>
      </c>
      <c r="H57" s="1" t="n">
        <f aca="false">ROUND(SUM($C$56:G56)/40,0)</f>
        <v>11368</v>
      </c>
      <c r="I57" s="1" t="n">
        <f aca="false">ROUND(SUM($C$56:H56)/40,0)</f>
        <v>11166</v>
      </c>
      <c r="J57" s="1" t="n">
        <f aca="false">ROUND(SUM($C$56:I56)/40,0)</f>
        <v>11178</v>
      </c>
      <c r="K57" s="1" t="n">
        <f aca="false">ROUND(SUM($C$56:J56)/40,0)</f>
        <v>11546</v>
      </c>
    </row>
    <row r="58" customFormat="false" ht="15" hidden="false" customHeight="false" outlineLevel="0" collapsed="false">
      <c r="A58" s="1" t="s">
        <v>202</v>
      </c>
      <c r="B58" s="1" t="n">
        <v>0</v>
      </c>
      <c r="C58" s="1" t="n">
        <v>0</v>
      </c>
      <c r="D58" s="1" t="n">
        <f aca="false">ROUND(C59*0.03,0)</f>
        <v>5823</v>
      </c>
      <c r="E58" s="1" t="n">
        <f aca="false">ROUND(D59*0.03,0)</f>
        <v>3923</v>
      </c>
      <c r="F58" s="1" t="n">
        <f aca="false">ROUND(E59*0.03,0)</f>
        <v>10229</v>
      </c>
      <c r="G58" s="1" t="n">
        <f aca="false">ROUND(F59*0.03,0)</f>
        <v>13093</v>
      </c>
      <c r="H58" s="1" t="n">
        <f aca="false">ROUND(G59*0.03,0)</f>
        <v>12792</v>
      </c>
      <c r="I58" s="1" t="n">
        <f aca="false">ROUND(H59*0.03,0)</f>
        <v>12209</v>
      </c>
      <c r="J58" s="1" t="n">
        <f aca="false">ROUND(I59*0.03,0)</f>
        <v>11889</v>
      </c>
      <c r="K58" s="1" t="n">
        <f aca="false">ROUND(J59*0.03,0)</f>
        <v>11995</v>
      </c>
    </row>
    <row r="59" customFormat="false" ht="15" hidden="false" customHeight="false" outlineLevel="0" collapsed="false">
      <c r="A59" s="1" t="s">
        <v>203</v>
      </c>
      <c r="B59" s="1" t="n">
        <v>0</v>
      </c>
      <c r="C59" s="1" t="n">
        <f aca="false">B59+C56-C57</f>
        <v>194097</v>
      </c>
      <c r="D59" s="1" t="n">
        <f aca="false">C59+D56-D57</f>
        <v>130766</v>
      </c>
      <c r="E59" s="1" t="n">
        <f aca="false">D59+E56-E57</f>
        <v>340961</v>
      </c>
      <c r="F59" s="1" t="n">
        <f aca="false">E59+F56-F57</f>
        <v>436431</v>
      </c>
      <c r="G59" s="1" t="n">
        <f aca="false">F59+G56-G57</f>
        <v>426396</v>
      </c>
      <c r="H59" s="1" t="n">
        <f aca="false">G59+H56-H57</f>
        <v>406958</v>
      </c>
      <c r="I59" s="1" t="n">
        <f aca="false">H59+I56-I57</f>
        <v>396292</v>
      </c>
      <c r="J59" s="1" t="n">
        <f aca="false">I59+J56-J57</f>
        <v>399834</v>
      </c>
      <c r="K59" s="1" t="n">
        <f aca="false">J59+K56-K57</f>
        <v>388788</v>
      </c>
    </row>
  </sheetData>
  <mergeCells count="6">
    <mergeCell ref="A1:K1"/>
    <mergeCell ref="A2:K2"/>
    <mergeCell ref="A49:K49"/>
    <mergeCell ref="A50:K50"/>
    <mergeCell ref="A51:K51"/>
    <mergeCell ref="A52:K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204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5" t="s">
        <v>119</v>
      </c>
      <c r="B4" s="26" t="n">
        <v>0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157</v>
      </c>
      <c r="B5" s="26" t="n">
        <f aca="false">00_前提・検証!$B$2*$B$4</f>
        <v>0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158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0.0726393943654804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72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74</v>
      </c>
      <c r="B9" s="26" t="n">
        <f aca="false">SUM(B10:B12)</f>
        <v>1261575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1385390.28395329</v>
      </c>
      <c r="G9" s="26" t="n">
        <f aca="false">SUM(G10:G12)</f>
        <v>1371994.07171897</v>
      </c>
      <c r="H9" s="26" t="n">
        <f aca="false">SUM(H10:H12)</f>
        <v>1358733.00238172</v>
      </c>
      <c r="I9" s="26" t="n">
        <f aca="false">SUM(I10:I12)</f>
        <v>1345606.93066275</v>
      </c>
      <c r="J9" s="26" t="n">
        <f aca="false">SUM(J10:J12)</f>
        <v>1332614.71128327</v>
      </c>
      <c r="K9" s="26" t="n">
        <f aca="false">SUM(K10:K12)</f>
        <v>1319755.1989645</v>
      </c>
    </row>
    <row r="10" customFormat="false" ht="21.75" hidden="false" customHeight="true" outlineLevel="0" collapsed="false">
      <c r="A10" s="25" t="s">
        <v>159</v>
      </c>
      <c r="B10" s="26" t="n">
        <f aca="false">02_R8予算_年次計画置換!B7*IF(7&gt;=11,1+$B$6,1)</f>
        <v>1231181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1268574.14197665</v>
      </c>
      <c r="G10" s="26" t="n">
        <f aca="false">02_R8予算_年次計画置換!G7*IF(12&gt;=11,1+$B$6,1)</f>
        <v>1255888.03585948</v>
      </c>
      <c r="H10" s="26" t="n">
        <f aca="false">02_R8予算_年次計画置換!H7*IF(13&gt;=11,1+$B$6,1)</f>
        <v>1243328.50119086</v>
      </c>
      <c r="I10" s="26" t="n">
        <f aca="false">02_R8予算_年次計画置換!I7*IF(14&gt;=11,1+$B$6,1)</f>
        <v>1230894.46533137</v>
      </c>
      <c r="J10" s="26" t="n">
        <f aca="false">02_R8予算_年次計画置換!J7*IF(15&gt;=11,1+$B$6,1)</f>
        <v>1218584.85564164</v>
      </c>
      <c r="K10" s="26" t="n">
        <f aca="false">02_R8予算_年次計画置換!K7*IF(16&gt;=11,1+$B$6,1)</f>
        <v>1206398.59948225</v>
      </c>
    </row>
    <row r="11" customFormat="false" ht="21.75" hidden="false" customHeight="true" outlineLevel="0" collapsed="false">
      <c r="A11" s="25" t="s">
        <v>160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85908.1419766452</v>
      </c>
      <c r="G11" s="26" t="n">
        <f aca="false">G10-02_R8予算_年次計画置換!G7</f>
        <v>85049.0358594847</v>
      </c>
      <c r="H11" s="26" t="n">
        <f aca="false">H10-02_R8予算_年次計画置換!H7</f>
        <v>84198.5011908594</v>
      </c>
      <c r="I11" s="26" t="n">
        <f aca="false">I10-02_R8予算_年次計画置換!I7</f>
        <v>83356.4653313747</v>
      </c>
      <c r="J11" s="26" t="n">
        <f aca="false">J10-02_R8予算_年次計画置換!J7</f>
        <v>82522.8556416363</v>
      </c>
      <c r="K11" s="26" t="n">
        <f aca="false">K10-02_R8予算_年次計画置換!K7</f>
        <v>81697.5994822502</v>
      </c>
    </row>
    <row r="12" customFormat="false" ht="21.75" hidden="false" customHeight="true" outlineLevel="0" collapsed="false">
      <c r="A12" s="25" t="s">
        <v>161</v>
      </c>
      <c r="B12" s="26" t="n">
        <f aca="false">02_R8予算_年次計画置換!B8</f>
        <v>30394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77</v>
      </c>
      <c r="B13" s="26" t="n">
        <f aca="false">02_R8予算_年次計画置換!B9</f>
        <v>354909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162</v>
      </c>
      <c r="B14" s="26" t="n">
        <f aca="false">02_R8予算_年次計画置換!B12</f>
        <v>281625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163</v>
      </c>
      <c r="B15" s="26" t="n">
        <f aca="false">02_R8予算_年次計画置換!B11</f>
        <v>73283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82</v>
      </c>
      <c r="B16" s="26" t="n">
        <f aca="false">02_R8予算_年次計画置換!B14</f>
        <v>2576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164</v>
      </c>
      <c r="B17" s="26" t="n">
        <f aca="false">SUM(B9,B13,B16)</f>
        <v>1619060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1730703.28395329</v>
      </c>
      <c r="G17" s="26" t="n">
        <f aca="false">SUM(G9,G13,G16)</f>
        <v>1723528.07171897</v>
      </c>
      <c r="H17" s="26" t="n">
        <f aca="false">SUM(H9,H13,H16)</f>
        <v>1709712.00238172</v>
      </c>
      <c r="I17" s="26" t="n">
        <f aca="false">SUM(I9,I13,I16)</f>
        <v>1686519.93066275</v>
      </c>
      <c r="J17" s="26" t="n">
        <f aca="false">SUM(J9,J13,J16)</f>
        <v>1655396.71128327</v>
      </c>
      <c r="K17" s="26" t="n">
        <f aca="false">SUM(K9,K13,K16)</f>
        <v>1635707.1989645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85</v>
      </c>
      <c r="B20" s="26" t="n">
        <f aca="false">02_R8予算_年次計画置換!B18</f>
        <v>1479507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165</v>
      </c>
      <c r="B21" s="26" t="n">
        <f aca="false">02_R8予算_年次計画置換!B25</f>
        <v>755782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166</v>
      </c>
      <c r="B22" s="26" t="n">
        <f aca="false">02_R8予算_年次計画置換!B26</f>
        <v>0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95</v>
      </c>
      <c r="B23" s="26" t="n">
        <f aca="false">02_R8予算_年次計画置換!B28</f>
        <v>128495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167</v>
      </c>
      <c r="B24" s="26" t="n">
        <f aca="false">02_R8予算_年次計画置換!B29</f>
        <v>118910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98</v>
      </c>
      <c r="B25" s="26" t="n">
        <f aca="false">02_R8予算_年次計画置換!B31</f>
        <v>273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168</v>
      </c>
      <c r="B26" s="26" t="n">
        <f aca="false">SUM(B20,B23,B25)</f>
        <v>1608275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169</v>
      </c>
      <c r="B27" s="26" t="n">
        <f aca="false">SUM(B9,B13)-SUM(B20,B23)</f>
        <v>8482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123336.28395329</v>
      </c>
      <c r="G27" s="26" t="n">
        <f aca="false">SUM(G9,G13)-SUM(G20,G23)</f>
        <v>111052.071718969</v>
      </c>
      <c r="H27" s="26" t="n">
        <f aca="false">SUM(H9,H13)-SUM(H20,H23)</f>
        <v>90296.0023817187</v>
      </c>
      <c r="I27" s="26" t="n">
        <f aca="false">SUM(I9,I13)-SUM(I20,I23)</f>
        <v>71158.9306627493</v>
      </c>
      <c r="J27" s="26" t="n">
        <f aca="false">SUM(J9,J13)-SUM(J20,J23)</f>
        <v>56303.7112832726</v>
      </c>
      <c r="K27" s="26" t="n">
        <f aca="false">SUM(K9,K13)-SUM(K20,K23)</f>
        <v>37274.1989645003</v>
      </c>
    </row>
    <row r="28" customFormat="false" ht="21.75" hidden="false" customHeight="true" outlineLevel="0" collapsed="false">
      <c r="A28" s="25" t="s">
        <v>170</v>
      </c>
      <c r="B28" s="26" t="n">
        <f aca="false">B27+B16-B25</f>
        <v>10785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123063.28395329</v>
      </c>
      <c r="G28" s="26" t="n">
        <f aca="false">G27+G16-G25</f>
        <v>110779.071718969</v>
      </c>
      <c r="H28" s="26" t="n">
        <f aca="false">H27+H16-H25</f>
        <v>90023.0023817187</v>
      </c>
      <c r="I28" s="26" t="n">
        <f aca="false">I27+I16-I25</f>
        <v>70885.9306627493</v>
      </c>
      <c r="J28" s="26" t="n">
        <f aca="false">J27+J16-J25</f>
        <v>56030.7112832726</v>
      </c>
      <c r="K28" s="26" t="n">
        <f aca="false">K27+K16-K25</f>
        <v>37001.1989645003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172</v>
      </c>
      <c r="B31" s="27" t="n">
        <f aca="false">IFERROR((SUM(B9,B13)/SUM(B20,B23))*100,0)</f>
        <v>100.527486906111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107.673187514319</v>
      </c>
      <c r="G31" s="27" t="n">
        <f aca="false">IFERROR((SUM(G9,G13)/SUM(G20,G23))*100,0)</f>
        <v>106.887052689092</v>
      </c>
      <c r="H31" s="27" t="n">
        <f aca="false">IFERROR((SUM(H9,H13)/SUM(H20,H23))*100,0)</f>
        <v>105.575837362464</v>
      </c>
      <c r="I31" s="27" t="n">
        <f aca="false">IFERROR((SUM(I9,I13)/SUM(I20,I23))*100,0)</f>
        <v>104.405141059042</v>
      </c>
      <c r="J31" s="27" t="n">
        <f aca="false">IFERROR((SUM(J9,J13)/SUM(J20,J23))*100,0)</f>
        <v>103.520977909557</v>
      </c>
      <c r="K31" s="27" t="n">
        <f aca="false">IFERROR((SUM(K9,K13)/SUM(K20,K23))*100,0)</f>
        <v>102.331921260666</v>
      </c>
    </row>
    <row r="32" customFormat="false" ht="21.75" hidden="false" customHeight="true" outlineLevel="0" collapsed="false">
      <c r="A32" s="25" t="s">
        <v>173</v>
      </c>
      <c r="B32" s="27" t="n">
        <f aca="false">IFERROR(B10/B34*100,0)</f>
        <v>92.8228550404598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95.6300086523059</v>
      </c>
      <c r="G32" s="27" t="n">
        <f aca="false">IFERROR(G10/G34*100,0)</f>
        <v>94.3641711674839</v>
      </c>
      <c r="H32" s="27" t="n">
        <f aca="false">IFERROR(H10/H34*100,0)</f>
        <v>93.0522969305989</v>
      </c>
      <c r="I32" s="27" t="n">
        <f aca="false">IFERROR(I10/I34*100,0)</f>
        <v>91.8497076624129</v>
      </c>
      <c r="J32" s="27" t="n">
        <f aca="false">IFERROR(J10/J34*100,0)</f>
        <v>90.9289218634047</v>
      </c>
      <c r="K32" s="27" t="n">
        <f aca="false">IFERROR(K10/K34*100,0)</f>
        <v>89.7188102934494</v>
      </c>
    </row>
    <row r="33" customFormat="false" ht="21.75" hidden="false" customHeight="true" outlineLevel="0" collapsed="false">
      <c r="A33" s="25" t="s">
        <v>174</v>
      </c>
      <c r="B33" s="27" t="n">
        <f aca="false">IFERROR(B10/B35*100,0)</f>
        <v>92.8228550404598</v>
      </c>
      <c r="C33" s="27" t="n">
        <f aca="false">IFERROR(C10/C35*100,0)</f>
        <v>93.0546327715587</v>
      </c>
      <c r="D33" s="27" t="n">
        <f aca="false">IFERROR(D10/D35*100,0)</f>
        <v>91.5781189404478</v>
      </c>
      <c r="E33" s="27" t="n">
        <f aca="false">IFERROR(E10/E35*100,0)</f>
        <v>90.6941221039653</v>
      </c>
      <c r="F33" s="27" t="n">
        <f aca="false">IFERROR(F10/F35*100,0)</f>
        <v>95.6300086523059</v>
      </c>
      <c r="G33" s="27" t="n">
        <f aca="false">IFERROR(G10/G35*100,0)</f>
        <v>94.3641711674839</v>
      </c>
      <c r="H33" s="27" t="n">
        <f aca="false">IFERROR(H10/H35*100,0)</f>
        <v>93.0522969305989</v>
      </c>
      <c r="I33" s="27" t="n">
        <f aca="false">IFERROR(I10/I35*100,0)</f>
        <v>91.8497076624129</v>
      </c>
      <c r="J33" s="27" t="n">
        <f aca="false">IFERROR(J10/J35*100,0)</f>
        <v>90.9289218634047</v>
      </c>
      <c r="K33" s="27" t="n">
        <f aca="false">IFERROR(K10/K35*100,0)</f>
        <v>89.7188102934494</v>
      </c>
    </row>
    <row r="34" customFormat="false" ht="21.75" hidden="false" customHeight="true" outlineLevel="0" collapsed="false">
      <c r="A34" s="25" t="s">
        <v>175</v>
      </c>
      <c r="B34" s="26" t="n">
        <f aca="false">SUM(B20,B23)-B14</f>
        <v>1326377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176</v>
      </c>
      <c r="B35" s="26" t="n">
        <f aca="false">B34+$B$5</f>
        <v>1326377</v>
      </c>
      <c r="C35" s="26" t="n">
        <f aca="false">C34+$B$5</f>
        <v>1431357</v>
      </c>
      <c r="D35" s="26" t="n">
        <f aca="false">D34+$B$5</f>
        <v>1317651</v>
      </c>
      <c r="E35" s="26" t="n">
        <f aca="false">E34+$B$5</f>
        <v>1317189</v>
      </c>
      <c r="F35" s="26" t="n">
        <f aca="false">F34+$B$5</f>
        <v>1326544</v>
      </c>
      <c r="G35" s="26" t="n">
        <f aca="false">G34+$B$5</f>
        <v>1330895</v>
      </c>
      <c r="H35" s="26" t="n">
        <f aca="false">H34+$B$5</f>
        <v>1336161</v>
      </c>
      <c r="I35" s="26" t="n">
        <f aca="false">I34+$B$5</f>
        <v>1340118</v>
      </c>
      <c r="J35" s="26" t="n">
        <f aca="false">J34+$B$5</f>
        <v>1340151</v>
      </c>
      <c r="K35" s="26" t="n">
        <f aca="false">K34+$B$5</f>
        <v>1344644</v>
      </c>
    </row>
    <row r="36" customFormat="false" ht="21.75" hidden="false" customHeight="true" outlineLevel="0" collapsed="false">
      <c r="A36" s="25" t="s">
        <v>177</v>
      </c>
      <c r="B36" s="26" t="n">
        <f aca="false">IFERROR(B10/(B20+B23-B14-B12-B15+$B$5)*100,0)</f>
        <v>100.693628854175</v>
      </c>
      <c r="C36" s="26" t="n">
        <f aca="false">IFERROR(C10/(C20+C23-C14-C12-C15+$B$5)*100,0)</f>
        <v>100.58123597788</v>
      </c>
      <c r="D36" s="26" t="n">
        <f aca="false">IFERROR(D10/(D20+D23-D14-D12-D15+$B$5)*100,0)</f>
        <v>99.0638568964512</v>
      </c>
      <c r="E36" s="26" t="n">
        <f aca="false">IFERROR(E10/(E20+E23-E14-E12-E15+$B$5)*100,0)</f>
        <v>97.9440660693013</v>
      </c>
      <c r="F36" s="26" t="n">
        <f aca="false">IFERROR(F10/(F20+F23-F14-F12-F15+$B$5)*100,0)</f>
        <v>103.040105883189</v>
      </c>
      <c r="G36" s="26" t="n">
        <f aca="false">IFERROR(G10/(G20+G23-G14-G12-G15+$B$5)*100,0)</f>
        <v>101.472536212158</v>
      </c>
      <c r="H36" s="26" t="n">
        <f aca="false">IFERROR(H10/(H20+H23-H14-H12-H15+$B$5)*100,0)</f>
        <v>99.8650211517234</v>
      </c>
      <c r="I36" s="26" t="n">
        <f aca="false">IFERROR(I10/(I20+I23-I14-I12-I15+$B$5)*100,0)</f>
        <v>98.4030686907013</v>
      </c>
      <c r="J36" s="26" t="n">
        <f aca="false">IFERROR(J10/(J20+J23-J14-J12-J15+$B$5)*100,0)</f>
        <v>97.2858348309042</v>
      </c>
      <c r="K36" s="26" t="n">
        <f aca="false">IFERROR(K10/(K20+K23-K14-K12-K15+$B$5)*100,0)</f>
        <v>95.8524232863698</v>
      </c>
    </row>
    <row r="37" customFormat="false" ht="21.75" hidden="false" customHeight="true" outlineLevel="0" collapsed="false">
      <c r="A37" s="25" t="s">
        <v>178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99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100</v>
      </c>
      <c r="B40" s="26" t="n">
        <f aca="false">02_R8予算_年次計画置換!B34</f>
        <v>698941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101</v>
      </c>
      <c r="B41" s="26" t="n">
        <f aca="false">02_R8予算_年次計画置換!B35</f>
        <v>329000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102</v>
      </c>
      <c r="B42" s="26" t="n">
        <f aca="false">02_R8予算_年次計画置換!B36</f>
        <v>169041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103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104</v>
      </c>
      <c r="B44" s="26" t="n">
        <f aca="false">02_R8予算_年次計画置換!B38</f>
        <v>0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105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106</v>
      </c>
      <c r="B46" s="26" t="n">
        <f aca="false">02_R8予算_年次計画置換!B40</f>
        <v>200900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107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108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109</v>
      </c>
      <c r="B50" s="26" t="n">
        <f aca="false">02_R8予算_年次計画置換!B44</f>
        <v>1123770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110</v>
      </c>
      <c r="B51" s="26" t="n">
        <f aca="false">02_R8予算_年次計画置換!B45</f>
        <v>268741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111</v>
      </c>
      <c r="B52" s="26" t="n">
        <f aca="false">02_R8予算_年次計画置換!B46</f>
        <v>855029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112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113</v>
      </c>
      <c r="B54" s="26" t="n">
        <f aca="false">B40-B50</f>
        <v>-424829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179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180</v>
      </c>
      <c r="B57" s="26" t="n">
        <f aca="false">B28+B21+B22-B14</f>
        <v>484942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602862.28395329</v>
      </c>
      <c r="G57" s="26" t="n">
        <f aca="false">G28+G21+G22-G14</f>
        <v>594721.071718969</v>
      </c>
      <c r="H57" s="26" t="n">
        <f aca="false">H28+H21+H22-H14</f>
        <v>581477.002381719</v>
      </c>
      <c r="I57" s="26" t="n">
        <f aca="false">I28+I21+I22-I14</f>
        <v>567720.930662749</v>
      </c>
      <c r="J57" s="26" t="n">
        <f aca="false">J28+J21+J22-J14</f>
        <v>553209.711283273</v>
      </c>
      <c r="K57" s="26" t="n">
        <f aca="false">K28+K21+K22-K14</f>
        <v>540244.1989645</v>
      </c>
    </row>
    <row r="58" customFormat="false" ht="21.75" hidden="false" customHeight="true" outlineLevel="0" collapsed="false">
      <c r="A58" s="25" t="s">
        <v>181</v>
      </c>
      <c r="B58" s="26" t="n">
        <f aca="false">B54</f>
        <v>-424829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182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104840.28395329</v>
      </c>
      <c r="G59" s="26" t="n">
        <f aca="false">F59+G57+G58</f>
        <v>294152.35567226</v>
      </c>
      <c r="H59" s="26" t="n">
        <f aca="false">G59+H57+H58</f>
        <v>482003.358053979</v>
      </c>
      <c r="I59" s="26" t="n">
        <f aca="false">H59+I57+I58</f>
        <v>659544.288716728</v>
      </c>
      <c r="J59" s="26" t="n">
        <f aca="false">I59+J57+J58</f>
        <v>811064.000000001</v>
      </c>
      <c r="K59" s="26" t="n">
        <f aca="false">J59+K57+K58</f>
        <v>941905.198964501</v>
      </c>
    </row>
    <row r="60" customFormat="false" ht="21.75" hidden="false" customHeight="true" outlineLevel="0" collapsed="false">
      <c r="A60" s="25" t="s">
        <v>183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-195159.71604671</v>
      </c>
      <c r="G60" s="26" t="n">
        <f aca="false">G59-00_前提・検証!$B$7</f>
        <v>-5847.64432774019</v>
      </c>
      <c r="H60" s="26" t="n">
        <f aca="false">H59-00_前提・検証!$B$7</f>
        <v>182003.358053979</v>
      </c>
      <c r="I60" s="26" t="n">
        <f aca="false">I59-00_前提・検証!$B$7</f>
        <v>359544.288716728</v>
      </c>
      <c r="J60" s="26" t="n">
        <f aca="false">J59-00_前提・検証!$B$7</f>
        <v>511064</v>
      </c>
      <c r="K60" s="26" t="n">
        <f aca="false">K59-00_前提・検証!$B$7</f>
        <v>641905.198964501</v>
      </c>
    </row>
    <row r="62" customFormat="false" ht="15" hidden="false" customHeight="true" outlineLevel="0" collapsed="false">
      <c r="A62" s="55" t="s">
        <v>205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64</v>
      </c>
      <c r="C63" s="15" t="s">
        <v>65</v>
      </c>
      <c r="D63" s="15" t="s">
        <v>66</v>
      </c>
      <c r="E63" s="15" t="s">
        <v>67</v>
      </c>
      <c r="F63" s="15" t="s">
        <v>18</v>
      </c>
      <c r="G63" s="15" t="s">
        <v>68</v>
      </c>
      <c r="H63" s="15" t="s">
        <v>69</v>
      </c>
      <c r="I63" s="15" t="s">
        <v>70</v>
      </c>
      <c r="J63" s="15" t="s">
        <v>23</v>
      </c>
      <c r="K63" s="15" t="s">
        <v>71</v>
      </c>
    </row>
    <row r="64" customFormat="false" ht="15" hidden="false" customHeight="true" outlineLevel="0" collapsed="false">
      <c r="A64" s="16" t="s">
        <v>206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207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208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209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210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211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212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104840.28395329</v>
      </c>
      <c r="G70" s="17" t="n">
        <f aca="false">G59-SUM($B$69:G69)</f>
        <v>294152.35567226</v>
      </c>
      <c r="H70" s="17" t="n">
        <f aca="false">H59-SUM($B$69:H69)</f>
        <v>482003.358053979</v>
      </c>
      <c r="I70" s="17" t="n">
        <f aca="false">I59-SUM($B$69:I69)</f>
        <v>659544.288716728</v>
      </c>
      <c r="J70" s="17" t="n">
        <f aca="false">J59-SUM($B$69:J69)</f>
        <v>811064.000000001</v>
      </c>
      <c r="K70" s="17" t="n">
        <f aca="false">K59-SUM($B$69:K69)</f>
        <v>941905.198964501</v>
      </c>
    </row>
    <row r="72" customFormat="false" ht="15" hidden="false" customHeight="false" outlineLevel="0" collapsed="false">
      <c r="A72" s="14" t="s">
        <v>213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45715.2839532904</v>
      </c>
      <c r="G72" s="1" t="n">
        <f aca="false">F72+G57+G58</f>
        <v>235027.35567226</v>
      </c>
      <c r="H72" s="1" t="n">
        <f aca="false">G72+H57+H58</f>
        <v>422878.358053979</v>
      </c>
      <c r="I72" s="1" t="n">
        <f aca="false">H72+I57+I58</f>
        <v>600419.288716728</v>
      </c>
      <c r="J72" s="1" t="n">
        <f aca="false">I72+J57+J58</f>
        <v>751939.000000001</v>
      </c>
      <c r="K72" s="1" t="n">
        <f aca="false">J72+K57+K58</f>
        <v>882780.198964501</v>
      </c>
    </row>
    <row r="73" customFormat="false" ht="15" hidden="false" customHeight="false" outlineLevel="0" collapsed="false">
      <c r="A73" s="14" t="s">
        <v>214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5" t="s">
        <v>119</v>
      </c>
      <c r="B4" s="26" t="n">
        <v>0.01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157</v>
      </c>
      <c r="B5" s="26" t="n">
        <f aca="false">00_前提・検証!$B$2*$B$4</f>
        <v>164553.64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158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0.214588124877615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72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74</v>
      </c>
      <c r="B9" s="26" t="n">
        <f aca="false">SUM(B10:B12)</f>
        <v>1261575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1721146.15859302</v>
      </c>
      <c r="G9" s="26" t="n">
        <f aca="false">SUM(G10:G12)</f>
        <v>1704392.29108716</v>
      </c>
      <c r="H9" s="26" t="n">
        <f aca="false">SUM(H10:H12)</f>
        <v>1687807.06637878</v>
      </c>
      <c r="I9" s="26" t="n">
        <f aca="false">SUM(I10:I12)</f>
        <v>1671390.05529162</v>
      </c>
      <c r="J9" s="26" t="n">
        <f aca="false">SUM(J10:J12)</f>
        <v>1655139.82864943</v>
      </c>
      <c r="K9" s="26" t="n">
        <f aca="false">SUM(K10:K12)</f>
        <v>1639054.95727596</v>
      </c>
    </row>
    <row r="10" customFormat="false" ht="21.75" hidden="false" customHeight="true" outlineLevel="0" collapsed="false">
      <c r="A10" s="25" t="s">
        <v>159</v>
      </c>
      <c r="B10" s="26" t="n">
        <f aca="false">02_R8予算_年次計画置換!B7*IF(7&gt;=11,1+$B$6,1)</f>
        <v>1231181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1436452.07929651</v>
      </c>
      <c r="G10" s="26" t="n">
        <f aca="false">02_R8予算_年次計画置換!G7*IF(12&gt;=11,1+$B$6,1)</f>
        <v>1422087.14554358</v>
      </c>
      <c r="H10" s="26" t="n">
        <f aca="false">02_R8予算_年次計画置換!H7*IF(13&gt;=11,1+$B$6,1)</f>
        <v>1407865.53318939</v>
      </c>
      <c r="I10" s="26" t="n">
        <f aca="false">02_R8予算_年次計画置換!I7*IF(14&gt;=11,1+$B$6,1)</f>
        <v>1393786.02764581</v>
      </c>
      <c r="J10" s="26" t="n">
        <f aca="false">02_R8予算_年次計画置換!J7*IF(15&gt;=11,1+$B$6,1)</f>
        <v>1379847.41432471</v>
      </c>
      <c r="K10" s="26" t="n">
        <f aca="false">02_R8予算_年次計画置換!K7*IF(16&gt;=11,1+$B$6,1)</f>
        <v>1366048.47863798</v>
      </c>
    </row>
    <row r="11" customFormat="false" ht="21.75" hidden="false" customHeight="true" outlineLevel="0" collapsed="false">
      <c r="A11" s="25" t="s">
        <v>160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253786.079296509</v>
      </c>
      <c r="G11" s="26" t="n">
        <f aca="false">G10-02_R8予算_年次計画置換!G7</f>
        <v>251248.145543581</v>
      </c>
      <c r="H11" s="26" t="n">
        <f aca="false">H10-02_R8予算_年次計画置換!H7</f>
        <v>248735.533189389</v>
      </c>
      <c r="I11" s="26" t="n">
        <f aca="false">I10-02_R8予算_年次計画置換!I7</f>
        <v>246248.027645808</v>
      </c>
      <c r="J11" s="26" t="n">
        <f aca="false">J10-02_R8予算_年次計画置換!J7</f>
        <v>243785.414324712</v>
      </c>
      <c r="K11" s="26" t="n">
        <f aca="false">K10-02_R8予算_年次計画置換!K7</f>
        <v>241347.478637978</v>
      </c>
    </row>
    <row r="12" customFormat="false" ht="21.75" hidden="false" customHeight="true" outlineLevel="0" collapsed="false">
      <c r="A12" s="25" t="s">
        <v>161</v>
      </c>
      <c r="B12" s="26" t="n">
        <f aca="false">02_R8予算_年次計画置換!B8</f>
        <v>30394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77</v>
      </c>
      <c r="B13" s="26" t="n">
        <f aca="false">02_R8予算_年次計画置換!B9</f>
        <v>354909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162</v>
      </c>
      <c r="B14" s="26" t="n">
        <f aca="false">02_R8予算_年次計画置換!B12</f>
        <v>281625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163</v>
      </c>
      <c r="B15" s="26" t="n">
        <f aca="false">02_R8予算_年次計画置換!B11</f>
        <v>73283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82</v>
      </c>
      <c r="B16" s="26" t="n">
        <f aca="false">02_R8予算_年次計画置換!B14</f>
        <v>2576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164</v>
      </c>
      <c r="B17" s="26" t="n">
        <f aca="false">SUM(B9,B13,B16)</f>
        <v>1619060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2066459.15859302</v>
      </c>
      <c r="G17" s="26" t="n">
        <f aca="false">SUM(G9,G13,G16)</f>
        <v>2055926.29108716</v>
      </c>
      <c r="H17" s="26" t="n">
        <f aca="false">SUM(H9,H13,H16)</f>
        <v>2038786.06637878</v>
      </c>
      <c r="I17" s="26" t="n">
        <f aca="false">SUM(I9,I13,I16)</f>
        <v>2012303.05529162</v>
      </c>
      <c r="J17" s="26" t="n">
        <f aca="false">SUM(J9,J13,J16)</f>
        <v>1977921.82864943</v>
      </c>
      <c r="K17" s="26" t="n">
        <f aca="false">SUM(K9,K13,K16)</f>
        <v>1955006.95727596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85</v>
      </c>
      <c r="B20" s="26" t="n">
        <f aca="false">02_R8予算_年次計画置換!B18</f>
        <v>1479507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165</v>
      </c>
      <c r="B21" s="26" t="n">
        <f aca="false">02_R8予算_年次計画置換!B25</f>
        <v>755782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166</v>
      </c>
      <c r="B22" s="26" t="n">
        <f aca="false">02_R8予算_年次計画置換!B26</f>
        <v>0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95</v>
      </c>
      <c r="B23" s="26" t="n">
        <f aca="false">02_R8予算_年次計画置換!B28</f>
        <v>128495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167</v>
      </c>
      <c r="B24" s="26" t="n">
        <f aca="false">02_R8予算_年次計画置換!B29</f>
        <v>118910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98</v>
      </c>
      <c r="B25" s="26" t="n">
        <f aca="false">02_R8予算_年次計画置換!B31</f>
        <v>273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168</v>
      </c>
      <c r="B26" s="26" t="n">
        <f aca="false">SUM(B20,B23,B25)</f>
        <v>1608275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169</v>
      </c>
      <c r="B27" s="26" t="n">
        <f aca="false">SUM(B9,B13)-SUM(B20,B23)</f>
        <v>8482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459092.158593018</v>
      </c>
      <c r="G27" s="26" t="n">
        <f aca="false">SUM(G9,G13)-SUM(G20,G23)</f>
        <v>443450.291087163</v>
      </c>
      <c r="H27" s="26" t="n">
        <f aca="false">SUM(H9,H13)-SUM(H20,H23)</f>
        <v>419370.066378778</v>
      </c>
      <c r="I27" s="26" t="n">
        <f aca="false">SUM(I9,I13)-SUM(I20,I23)</f>
        <v>396942.055291616</v>
      </c>
      <c r="J27" s="26" t="n">
        <f aca="false">SUM(J9,J13)-SUM(J20,J23)</f>
        <v>378828.828649425</v>
      </c>
      <c r="K27" s="26" t="n">
        <f aca="false">SUM(K9,K13)-SUM(K20,K23)</f>
        <v>356573.957275956</v>
      </c>
    </row>
    <row r="28" customFormat="false" ht="21.75" hidden="false" customHeight="true" outlineLevel="0" collapsed="false">
      <c r="A28" s="25" t="s">
        <v>170</v>
      </c>
      <c r="B28" s="26" t="n">
        <f aca="false">B27+B16-B25</f>
        <v>10785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458819.158593018</v>
      </c>
      <c r="G28" s="26" t="n">
        <f aca="false">G27+G16-G25</f>
        <v>443177.291087163</v>
      </c>
      <c r="H28" s="26" t="n">
        <f aca="false">H27+H16-H25</f>
        <v>419097.066378778</v>
      </c>
      <c r="I28" s="26" t="n">
        <f aca="false">I27+I16-I25</f>
        <v>396669.055291616</v>
      </c>
      <c r="J28" s="26" t="n">
        <f aca="false">J27+J16-J25</f>
        <v>378555.828649425</v>
      </c>
      <c r="K28" s="26" t="n">
        <f aca="false">K27+K16-K25</f>
        <v>356300.957275956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172</v>
      </c>
      <c r="B31" s="27" t="n">
        <f aca="false">IFERROR((SUM(B9,B13)/SUM(B20,B23))*100,0)</f>
        <v>100.527486906111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128.561750900262</v>
      </c>
      <c r="G31" s="27" t="n">
        <f aca="false">IFERROR((SUM(G9,G13)/SUM(G20,G23))*100,0)</f>
        <v>127.50120256594</v>
      </c>
      <c r="H31" s="27" t="n">
        <f aca="false">IFERROR((SUM(H9,H13)/SUM(H20,H23))*100,0)</f>
        <v>125.896376618409</v>
      </c>
      <c r="I31" s="27" t="n">
        <f aca="false">IFERROR((SUM(I9,I13)/SUM(I20,I23))*100,0)</f>
        <v>124.572962656126</v>
      </c>
      <c r="J31" s="27" t="n">
        <f aca="false">IFERROR((SUM(J9,J13)/SUM(J20,J23))*100,0)</f>
        <v>123.690231190395</v>
      </c>
      <c r="K31" s="27" t="n">
        <f aca="false">IFERROR((SUM(K9,K13)/SUM(K20,K23))*100,0)</f>
        <v>122.307719952976</v>
      </c>
    </row>
    <row r="32" customFormat="false" ht="21.75" hidden="false" customHeight="true" outlineLevel="0" collapsed="false">
      <c r="A32" s="25" t="s">
        <v>173</v>
      </c>
      <c r="B32" s="27" t="n">
        <f aca="false">IFERROR(B10/B34*100,0)</f>
        <v>92.8228550404598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108.285294667686</v>
      </c>
      <c r="G32" s="27" t="n">
        <f aca="false">IFERROR(G10/G34*100,0)</f>
        <v>106.85194140361</v>
      </c>
      <c r="H32" s="27" t="n">
        <f aca="false">IFERROR(H10/H34*100,0)</f>
        <v>105.366459071129</v>
      </c>
      <c r="I32" s="27" t="n">
        <f aca="false">IFERROR(I10/I34*100,0)</f>
        <v>104.004724035183</v>
      </c>
      <c r="J32" s="27" t="n">
        <f aca="false">IFERROR(J10/J34*100,0)</f>
        <v>102.962085192244</v>
      </c>
      <c r="K32" s="27" t="n">
        <f aca="false">IFERROR(K10/K34*100,0)</f>
        <v>101.591832383737</v>
      </c>
    </row>
    <row r="33" customFormat="false" ht="21.75" hidden="false" customHeight="true" outlineLevel="0" collapsed="false">
      <c r="A33" s="25" t="s">
        <v>174</v>
      </c>
      <c r="B33" s="27" t="n">
        <f aca="false">IFERROR(B10/B35*100,0)</f>
        <v>82.5780198601325</v>
      </c>
      <c r="C33" s="27" t="n">
        <f aca="false">IFERROR(C10/C35*100,0)</f>
        <v>83.4598107573241</v>
      </c>
      <c r="D33" s="27" t="n">
        <f aca="false">IFERROR(D10/D35*100,0)</f>
        <v>81.4111606073504</v>
      </c>
      <c r="E33" s="27" t="n">
        <f aca="false">IFERROR(E10/E35*100,0)</f>
        <v>80.622165263463</v>
      </c>
      <c r="F33" s="27" t="n">
        <f aca="false">IFERROR(F10/F35*100,0)</f>
        <v>96.3352124476911</v>
      </c>
      <c r="G33" s="27" t="n">
        <f aca="false">IFERROR(G10/G35*100,0)</f>
        <v>95.0943487797469</v>
      </c>
      <c r="H33" s="27" t="n">
        <f aca="false">IFERROR(H10/H35*100,0)</f>
        <v>93.8130071943184</v>
      </c>
      <c r="I33" s="27" t="n">
        <f aca="false">IFERROR(I10/I35*100,0)</f>
        <v>92.6305773694125</v>
      </c>
      <c r="J33" s="27" t="n">
        <f aca="false">IFERROR(J10/J35*100,0)</f>
        <v>91.7022103636706</v>
      </c>
      <c r="K33" s="27" t="n">
        <f aca="false">IFERROR(K10/K35*100,0)</f>
        <v>90.5148830366563</v>
      </c>
    </row>
    <row r="34" customFormat="false" ht="21.75" hidden="false" customHeight="true" outlineLevel="0" collapsed="false">
      <c r="A34" s="25" t="s">
        <v>175</v>
      </c>
      <c r="B34" s="26" t="n">
        <f aca="false">SUM(B20,B23)-B14</f>
        <v>1326377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176</v>
      </c>
      <c r="B35" s="26" t="n">
        <f aca="false">B34+$B$5</f>
        <v>1490930.64</v>
      </c>
      <c r="C35" s="26" t="n">
        <f aca="false">C34+$B$5</f>
        <v>1595910.64</v>
      </c>
      <c r="D35" s="26" t="n">
        <f aca="false">D34+$B$5</f>
        <v>1482204.64</v>
      </c>
      <c r="E35" s="26" t="n">
        <f aca="false">E34+$B$5</f>
        <v>1481742.64</v>
      </c>
      <c r="F35" s="26" t="n">
        <f aca="false">F34+$B$5</f>
        <v>1491097.64</v>
      </c>
      <c r="G35" s="26" t="n">
        <f aca="false">G34+$B$5</f>
        <v>1495448.64</v>
      </c>
      <c r="H35" s="26" t="n">
        <f aca="false">H34+$B$5</f>
        <v>1500714.64</v>
      </c>
      <c r="I35" s="26" t="n">
        <f aca="false">I34+$B$5</f>
        <v>1504671.64</v>
      </c>
      <c r="J35" s="26" t="n">
        <f aca="false">J34+$B$5</f>
        <v>1504704.64</v>
      </c>
      <c r="K35" s="26" t="n">
        <f aca="false">K34+$B$5</f>
        <v>1509197.64</v>
      </c>
    </row>
    <row r="36" customFormat="false" ht="21.75" hidden="false" customHeight="true" outlineLevel="0" collapsed="false">
      <c r="A36" s="25" t="s">
        <v>177</v>
      </c>
      <c r="B36" s="26" t="n">
        <f aca="false">IFERROR(B10/(B20+B23-B14-B12-B15+$B$5)*100,0)</f>
        <v>88.7495238433831</v>
      </c>
      <c r="C36" s="26" t="n">
        <f aca="false">IFERROR(C10/(C20+C23-C14-C12-C15+$B$5)*100,0)</f>
        <v>89.4642280648133</v>
      </c>
      <c r="D36" s="26" t="n">
        <f aca="false">IFERROR(D10/(D20+D23-D14-D12-D15+$B$5)*100,0)</f>
        <v>87.273833564833</v>
      </c>
      <c r="E36" s="26" t="n">
        <f aca="false">IFERROR(E10/(E20+E23-E14-E12-E15+$B$5)*100,0)</f>
        <v>86.300838124738</v>
      </c>
      <c r="F36" s="26" t="n">
        <f aca="false">IFERROR(F10/(F20+F23-F14-F12-F15+$B$5)*100,0)</f>
        <v>102.919857405459</v>
      </c>
      <c r="G36" s="26" t="n">
        <f aca="false">IFERROR(G10/(G20+G23-G14-G12-G15+$B$5)*100,0)</f>
        <v>101.417078144471</v>
      </c>
      <c r="H36" s="26" t="n">
        <f aca="false">IFERROR(H10/(H20+H23-H14-H12-H15+$B$5)*100,0)</f>
        <v>99.8796004687943</v>
      </c>
      <c r="I36" s="26" t="n">
        <f aca="false">IFERROR(I10/(I20+I23-I14-I12-I15+$B$5)*100,0)</f>
        <v>98.4712977978669</v>
      </c>
      <c r="J36" s="26" t="n">
        <f aca="false">IFERROR(J10/(J20+J23-J14-J12-J15+$B$5)*100,0)</f>
        <v>97.368760997692</v>
      </c>
      <c r="K36" s="26" t="n">
        <f aca="false">IFERROR(K10/(K20+K23-K14-K12-K15+$B$5)*100,0)</f>
        <v>95.9874211921334</v>
      </c>
    </row>
    <row r="37" customFormat="false" ht="21.75" hidden="false" customHeight="true" outlineLevel="0" collapsed="false">
      <c r="A37" s="25" t="s">
        <v>178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99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100</v>
      </c>
      <c r="B40" s="26" t="n">
        <f aca="false">02_R8予算_年次計画置換!B34</f>
        <v>698941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101</v>
      </c>
      <c r="B41" s="26" t="n">
        <f aca="false">02_R8予算_年次計画置換!B35</f>
        <v>329000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102</v>
      </c>
      <c r="B42" s="26" t="n">
        <f aca="false">02_R8予算_年次計画置換!B36</f>
        <v>169041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103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104</v>
      </c>
      <c r="B44" s="26" t="n">
        <f aca="false">02_R8予算_年次計画置換!B38</f>
        <v>0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105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106</v>
      </c>
      <c r="B46" s="26" t="n">
        <f aca="false">02_R8予算_年次計画置換!B40</f>
        <v>200900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107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108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109</v>
      </c>
      <c r="B50" s="26" t="n">
        <f aca="false">02_R8予算_年次計画置換!B44</f>
        <v>1123770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110</v>
      </c>
      <c r="B51" s="26" t="n">
        <f aca="false">02_R8予算_年次計画置換!B45</f>
        <v>268741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111</v>
      </c>
      <c r="B52" s="26" t="n">
        <f aca="false">02_R8予算_年次計画置換!B46</f>
        <v>855029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112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113</v>
      </c>
      <c r="B54" s="26" t="n">
        <f aca="false">B40-B50</f>
        <v>-424829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179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180</v>
      </c>
      <c r="B57" s="26" t="n">
        <f aca="false">B28+B21+B22-B14</f>
        <v>484942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938618.158593018</v>
      </c>
      <c r="G57" s="26" t="n">
        <f aca="false">G28+G21+G22-G14</f>
        <v>927119.291087163</v>
      </c>
      <c r="H57" s="26" t="n">
        <f aca="false">H28+H21+H22-H14</f>
        <v>910551.066378778</v>
      </c>
      <c r="I57" s="26" t="n">
        <f aca="false">I28+I21+I22-I14</f>
        <v>893504.055291616</v>
      </c>
      <c r="J57" s="26" t="n">
        <f aca="false">J28+J21+J22-J14</f>
        <v>875734.828649425</v>
      </c>
      <c r="K57" s="26" t="n">
        <f aca="false">K28+K21+K22-K14</f>
        <v>859543.957275956</v>
      </c>
    </row>
    <row r="58" customFormat="false" ht="21.75" hidden="false" customHeight="true" outlineLevel="0" collapsed="false">
      <c r="A58" s="25" t="s">
        <v>181</v>
      </c>
      <c r="B58" s="26" t="n">
        <f aca="false">B54</f>
        <v>-424829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182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440596.158593018</v>
      </c>
      <c r="G59" s="26" t="n">
        <f aca="false">F59+G57+G58</f>
        <v>962306.44968018</v>
      </c>
      <c r="H59" s="26" t="n">
        <f aca="false">G59+H57+H58</f>
        <v>1479231.51605896</v>
      </c>
      <c r="I59" s="26" t="n">
        <f aca="false">H59+I57+I58</f>
        <v>1982555.57135057</v>
      </c>
      <c r="J59" s="26" t="n">
        <f aca="false">I59+J57+J58</f>
        <v>2456600.4</v>
      </c>
      <c r="K59" s="26" t="n">
        <f aca="false">J59+K57+K58</f>
        <v>2906741.35727596</v>
      </c>
    </row>
    <row r="60" customFormat="false" ht="21.75" hidden="false" customHeight="true" outlineLevel="0" collapsed="false">
      <c r="A60" s="25" t="s">
        <v>183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140596.158593018</v>
      </c>
      <c r="G60" s="26" t="n">
        <f aca="false">G59-00_前提・検証!$B$7</f>
        <v>662306.44968018</v>
      </c>
      <c r="H60" s="26" t="n">
        <f aca="false">H59-00_前提・検証!$B$7</f>
        <v>1179231.51605896</v>
      </c>
      <c r="I60" s="26" t="n">
        <f aca="false">I59-00_前提・検証!$B$7</f>
        <v>1682555.57135057</v>
      </c>
      <c r="J60" s="26" t="n">
        <f aca="false">J59-00_前提・検証!$B$7</f>
        <v>2156600.4</v>
      </c>
      <c r="K60" s="26" t="n">
        <f aca="false">K59-00_前提・検証!$B$7</f>
        <v>2606741.35727596</v>
      </c>
    </row>
    <row r="62" customFormat="false" ht="15" hidden="false" customHeight="true" outlineLevel="0" collapsed="false">
      <c r="A62" s="55" t="s">
        <v>205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64</v>
      </c>
      <c r="C63" s="15" t="s">
        <v>65</v>
      </c>
      <c r="D63" s="15" t="s">
        <v>66</v>
      </c>
      <c r="E63" s="15" t="s">
        <v>67</v>
      </c>
      <c r="F63" s="15" t="s">
        <v>18</v>
      </c>
      <c r="G63" s="15" t="s">
        <v>68</v>
      </c>
      <c r="H63" s="15" t="s">
        <v>69</v>
      </c>
      <c r="I63" s="15" t="s">
        <v>70</v>
      </c>
      <c r="J63" s="15" t="s">
        <v>23</v>
      </c>
      <c r="K63" s="15" t="s">
        <v>71</v>
      </c>
    </row>
    <row r="64" customFormat="false" ht="15" hidden="false" customHeight="true" outlineLevel="0" collapsed="false">
      <c r="A64" s="16" t="s">
        <v>206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207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208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209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210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211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212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440596.158593018</v>
      </c>
      <c r="G70" s="17" t="n">
        <f aca="false">G59-SUM($B$69:G69)</f>
        <v>962306.44968018</v>
      </c>
      <c r="H70" s="17" t="n">
        <f aca="false">H59-SUM($B$69:H69)</f>
        <v>1479231.51605896</v>
      </c>
      <c r="I70" s="17" t="n">
        <f aca="false">I59-SUM($B$69:I69)</f>
        <v>1982555.57135057</v>
      </c>
      <c r="J70" s="17" t="n">
        <f aca="false">J59-SUM($B$69:J69)</f>
        <v>2456600.4</v>
      </c>
      <c r="K70" s="17" t="n">
        <f aca="false">K59-SUM($B$69:K69)</f>
        <v>2906741.35727596</v>
      </c>
    </row>
    <row r="72" customFormat="false" ht="15" hidden="false" customHeight="false" outlineLevel="0" collapsed="false">
      <c r="A72" s="14" t="s">
        <v>213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381471.158593018</v>
      </c>
      <c r="G72" s="1" t="n">
        <f aca="false">F72+G57+G58</f>
        <v>903181.44968018</v>
      </c>
      <c r="H72" s="1" t="n">
        <f aca="false">G72+H57+H58</f>
        <v>1420106.51605896</v>
      </c>
      <c r="I72" s="1" t="n">
        <f aca="false">H72+I57+I58</f>
        <v>1923430.57135057</v>
      </c>
      <c r="J72" s="1" t="n">
        <f aca="false">I72+J57+J58</f>
        <v>2397475.4</v>
      </c>
      <c r="K72" s="1" t="n">
        <f aca="false">J72+K57+K58</f>
        <v>2847616.35727596</v>
      </c>
    </row>
    <row r="73" customFormat="false" ht="15" hidden="false" customHeight="false" outlineLevel="0" collapsed="false">
      <c r="A73" s="14" t="s">
        <v>214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5" t="s">
        <v>119</v>
      </c>
      <c r="B4" s="26" t="n">
        <v>0.02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157</v>
      </c>
      <c r="B5" s="26" t="n">
        <f aca="false">00_前提・検証!$B$2*$B$4</f>
        <v>329107.28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158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0.356536855389749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72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74</v>
      </c>
      <c r="B9" s="26" t="n">
        <f aca="false">SUM(B10:B12)</f>
        <v>1261575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2056902.03323275</v>
      </c>
      <c r="G9" s="26" t="n">
        <f aca="false">SUM(G10:G12)</f>
        <v>2036790.51045536</v>
      </c>
      <c r="H9" s="26" t="n">
        <f aca="false">SUM(H10:H12)</f>
        <v>2016881.13037584</v>
      </c>
      <c r="I9" s="26" t="n">
        <f aca="false">SUM(I10:I12)</f>
        <v>1997173.17992048</v>
      </c>
      <c r="J9" s="26" t="n">
        <f aca="false">SUM(J10:J12)</f>
        <v>1977664.94601558</v>
      </c>
      <c r="K9" s="26" t="n">
        <f aca="false">SUM(K10:K12)</f>
        <v>1958354.71558741</v>
      </c>
    </row>
    <row r="10" customFormat="false" ht="21.75" hidden="false" customHeight="true" outlineLevel="0" collapsed="false">
      <c r="A10" s="25" t="s">
        <v>159</v>
      </c>
      <c r="B10" s="26" t="n">
        <f aca="false">02_R8予算_年次計画置換!B7*IF(7&gt;=11,1+$B$6,1)</f>
        <v>1231181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1604330.01661637</v>
      </c>
      <c r="G10" s="26" t="n">
        <f aca="false">02_R8予算_年次計画置換!G7*IF(12&gt;=11,1+$B$6,1)</f>
        <v>1588286.25522768</v>
      </c>
      <c r="H10" s="26" t="n">
        <f aca="false">02_R8予算_年次計画置換!H7*IF(13&gt;=11,1+$B$6,1)</f>
        <v>1572402.56518792</v>
      </c>
      <c r="I10" s="26" t="n">
        <f aca="false">02_R8予算_年次計画置換!I7*IF(14&gt;=11,1+$B$6,1)</f>
        <v>1556677.58996024</v>
      </c>
      <c r="J10" s="26" t="n">
        <f aca="false">02_R8予算_年次計画置換!J7*IF(15&gt;=11,1+$B$6,1)</f>
        <v>1541109.97300779</v>
      </c>
      <c r="K10" s="26" t="n">
        <f aca="false">02_R8予算_年次計画置換!K7*IF(16&gt;=11,1+$B$6,1)</f>
        <v>1525698.35779371</v>
      </c>
    </row>
    <row r="11" customFormat="false" ht="21.75" hidden="false" customHeight="true" outlineLevel="0" collapsed="false">
      <c r="A11" s="25" t="s">
        <v>160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421664.016616373</v>
      </c>
      <c r="G11" s="26" t="n">
        <f aca="false">G10-02_R8予算_年次計画置換!G7</f>
        <v>417447.255227678</v>
      </c>
      <c r="H11" s="26" t="n">
        <f aca="false">H10-02_R8予算_年次計画置換!H7</f>
        <v>413272.565187919</v>
      </c>
      <c r="I11" s="26" t="n">
        <f aca="false">I10-02_R8予算_年次計画置換!I7</f>
        <v>409139.589960241</v>
      </c>
      <c r="J11" s="26" t="n">
        <f aca="false">J10-02_R8予算_年次計画置換!J7</f>
        <v>405047.973007789</v>
      </c>
      <c r="K11" s="26" t="n">
        <f aca="false">K10-02_R8予算_年次計画置換!K7</f>
        <v>400997.357793706</v>
      </c>
    </row>
    <row r="12" customFormat="false" ht="21.75" hidden="false" customHeight="true" outlineLevel="0" collapsed="false">
      <c r="A12" s="25" t="s">
        <v>161</v>
      </c>
      <c r="B12" s="26" t="n">
        <f aca="false">02_R8予算_年次計画置換!B8</f>
        <v>30394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77</v>
      </c>
      <c r="B13" s="26" t="n">
        <f aca="false">02_R8予算_年次計画置換!B9</f>
        <v>354909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162</v>
      </c>
      <c r="B14" s="26" t="n">
        <f aca="false">02_R8予算_年次計画置換!B12</f>
        <v>281625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163</v>
      </c>
      <c r="B15" s="26" t="n">
        <f aca="false">02_R8予算_年次計画置換!B11</f>
        <v>73283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82</v>
      </c>
      <c r="B16" s="26" t="n">
        <f aca="false">02_R8予算_年次計画置換!B14</f>
        <v>2576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164</v>
      </c>
      <c r="B17" s="26" t="n">
        <f aca="false">SUM(B9,B13,B16)</f>
        <v>1619060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2402215.03323275</v>
      </c>
      <c r="G17" s="26" t="n">
        <f aca="false">SUM(G9,G13,G16)</f>
        <v>2388324.51045536</v>
      </c>
      <c r="H17" s="26" t="n">
        <f aca="false">SUM(H9,H13,H16)</f>
        <v>2367860.13037584</v>
      </c>
      <c r="I17" s="26" t="n">
        <f aca="false">SUM(I9,I13,I16)</f>
        <v>2338086.17992048</v>
      </c>
      <c r="J17" s="26" t="n">
        <f aca="false">SUM(J9,J13,J16)</f>
        <v>2300446.94601558</v>
      </c>
      <c r="K17" s="26" t="n">
        <f aca="false">SUM(K9,K13,K16)</f>
        <v>2274306.71558741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85</v>
      </c>
      <c r="B20" s="26" t="n">
        <f aca="false">02_R8予算_年次計画置換!B18</f>
        <v>1479507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165</v>
      </c>
      <c r="B21" s="26" t="n">
        <f aca="false">02_R8予算_年次計画置換!B25</f>
        <v>755782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166</v>
      </c>
      <c r="B22" s="26" t="n">
        <f aca="false">02_R8予算_年次計画置換!B26</f>
        <v>0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95</v>
      </c>
      <c r="B23" s="26" t="n">
        <f aca="false">02_R8予算_年次計画置換!B28</f>
        <v>128495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167</v>
      </c>
      <c r="B24" s="26" t="n">
        <f aca="false">02_R8予算_年次計画置換!B29</f>
        <v>118910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98</v>
      </c>
      <c r="B25" s="26" t="n">
        <f aca="false">02_R8予算_年次計画置換!B31</f>
        <v>273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168</v>
      </c>
      <c r="B26" s="26" t="n">
        <f aca="false">SUM(B20,B23,B25)</f>
        <v>1608275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169</v>
      </c>
      <c r="B27" s="26" t="n">
        <f aca="false">SUM(B9,B13)-SUM(B20,B23)</f>
        <v>8482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794848.033232745</v>
      </c>
      <c r="G27" s="26" t="n">
        <f aca="false">SUM(G9,G13)-SUM(G20,G23)</f>
        <v>775848.510455356</v>
      </c>
      <c r="H27" s="26" t="n">
        <f aca="false">SUM(H9,H13)-SUM(H20,H23)</f>
        <v>748444.130375839</v>
      </c>
      <c r="I27" s="26" t="n">
        <f aca="false">SUM(I9,I13)-SUM(I20,I23)</f>
        <v>722725.179920483</v>
      </c>
      <c r="J27" s="26" t="n">
        <f aca="false">SUM(J9,J13)-SUM(J20,J23)</f>
        <v>701353.946015578</v>
      </c>
      <c r="K27" s="26" t="n">
        <f aca="false">SUM(K9,K13)-SUM(K20,K23)</f>
        <v>675873.715587412</v>
      </c>
    </row>
    <row r="28" customFormat="false" ht="21.75" hidden="false" customHeight="true" outlineLevel="0" collapsed="false">
      <c r="A28" s="25" t="s">
        <v>170</v>
      </c>
      <c r="B28" s="26" t="n">
        <f aca="false">B27+B16-B25</f>
        <v>10785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794575.033232745</v>
      </c>
      <c r="G28" s="26" t="n">
        <f aca="false">G27+G16-G25</f>
        <v>775575.510455356</v>
      </c>
      <c r="H28" s="26" t="n">
        <f aca="false">H27+H16-H25</f>
        <v>748171.130375839</v>
      </c>
      <c r="I28" s="26" t="n">
        <f aca="false">I27+I16-I25</f>
        <v>722452.179920483</v>
      </c>
      <c r="J28" s="26" t="n">
        <f aca="false">J27+J16-J25</f>
        <v>701080.946015578</v>
      </c>
      <c r="K28" s="26" t="n">
        <f aca="false">K27+K16-K25</f>
        <v>675600.715587412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172</v>
      </c>
      <c r="B31" s="27" t="n">
        <f aca="false">IFERROR((SUM(B9,B13)/SUM(B20,B23))*100,0)</f>
        <v>100.527486906111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149.450314286205</v>
      </c>
      <c r="G31" s="27" t="n">
        <f aca="false">IFERROR((SUM(G9,G13)/SUM(G20,G23))*100,0)</f>
        <v>148.115352442787</v>
      </c>
      <c r="H31" s="27" t="n">
        <f aca="false">IFERROR((SUM(H9,H13)/SUM(H20,H23))*100,0)</f>
        <v>146.216915874355</v>
      </c>
      <c r="I31" s="27" t="n">
        <f aca="false">IFERROR((SUM(I9,I13)/SUM(I20,I23))*100,0)</f>
        <v>144.740784253209</v>
      </c>
      <c r="J31" s="27" t="n">
        <f aca="false">IFERROR((SUM(J9,J13)/SUM(J20,J23))*100,0)</f>
        <v>143.859484471233</v>
      </c>
      <c r="K31" s="27" t="n">
        <f aca="false">IFERROR((SUM(K9,K13)/SUM(K20,K23))*100,0)</f>
        <v>142.283518645286</v>
      </c>
    </row>
    <row r="32" customFormat="false" ht="21.75" hidden="false" customHeight="true" outlineLevel="0" collapsed="false">
      <c r="A32" s="25" t="s">
        <v>173</v>
      </c>
      <c r="B32" s="27" t="n">
        <f aca="false">IFERROR(B10/B34*100,0)</f>
        <v>92.8228550404598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120.940580683066</v>
      </c>
      <c r="G32" s="27" t="n">
        <f aca="false">IFERROR(G10/G34*100,0)</f>
        <v>119.339711639737</v>
      </c>
      <c r="H32" s="27" t="n">
        <f aca="false">IFERROR(H10/H34*100,0)</f>
        <v>117.680621211659</v>
      </c>
      <c r="I32" s="27" t="n">
        <f aca="false">IFERROR(I10/I34*100,0)</f>
        <v>116.159740407952</v>
      </c>
      <c r="J32" s="27" t="n">
        <f aca="false">IFERROR(J10/J34*100,0)</f>
        <v>114.995248521084</v>
      </c>
      <c r="K32" s="27" t="n">
        <f aca="false">IFERROR(K10/K34*100,0)</f>
        <v>113.464854474025</v>
      </c>
    </row>
    <row r="33" customFormat="false" ht="21.75" hidden="false" customHeight="true" outlineLevel="0" collapsed="false">
      <c r="A33" s="25" t="s">
        <v>174</v>
      </c>
      <c r="B33" s="27" t="n">
        <f aca="false">IFERROR(B10/B35*100,0)</f>
        <v>74.3698393801722</v>
      </c>
      <c r="C33" s="27" t="n">
        <f aca="false">IFERROR(C10/C35*100,0)</f>
        <v>75.6586779482967</v>
      </c>
      <c r="D33" s="27" t="n">
        <f aca="false">IFERROR(D10/D35*100,0)</f>
        <v>73.2760851823378</v>
      </c>
      <c r="E33" s="27" t="n">
        <f aca="false">IFERROR(E10/E35*100,0)</f>
        <v>72.5636700096291</v>
      </c>
      <c r="F33" s="27" t="n">
        <f aca="false">IFERROR(F10/F35*100,0)</f>
        <v>96.9002371451295</v>
      </c>
      <c r="G33" s="27" t="n">
        <f aca="false">IFERROR(G10/G35*100,0)</f>
        <v>95.6797634776549</v>
      </c>
      <c r="H33" s="27" t="n">
        <f aca="false">IFERROR(H10/H35*100,0)</f>
        <v>94.4233781470887</v>
      </c>
      <c r="I33" s="27" t="n">
        <f aca="false">IFERROR(I10/I35*100,0)</f>
        <v>93.2574894839983</v>
      </c>
      <c r="J33" s="27" t="n">
        <f aca="false">IFERROR(J10/J35*100,0)</f>
        <v>92.3230390091454</v>
      </c>
      <c r="K33" s="27" t="n">
        <f aca="false">IFERROR(K10/K35*100,0)</f>
        <v>91.1544251541188</v>
      </c>
    </row>
    <row r="34" customFormat="false" ht="21.75" hidden="false" customHeight="true" outlineLevel="0" collapsed="false">
      <c r="A34" s="25" t="s">
        <v>175</v>
      </c>
      <c r="B34" s="26" t="n">
        <f aca="false">SUM(B20,B23)-B14</f>
        <v>1326377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176</v>
      </c>
      <c r="B35" s="26" t="n">
        <f aca="false">B34+$B$5</f>
        <v>1655484.28</v>
      </c>
      <c r="C35" s="26" t="n">
        <f aca="false">C34+$B$5</f>
        <v>1760464.28</v>
      </c>
      <c r="D35" s="26" t="n">
        <f aca="false">D34+$B$5</f>
        <v>1646758.28</v>
      </c>
      <c r="E35" s="26" t="n">
        <f aca="false">E34+$B$5</f>
        <v>1646296.28</v>
      </c>
      <c r="F35" s="26" t="n">
        <f aca="false">F34+$B$5</f>
        <v>1655651.28</v>
      </c>
      <c r="G35" s="26" t="n">
        <f aca="false">G34+$B$5</f>
        <v>1660002.28</v>
      </c>
      <c r="H35" s="26" t="n">
        <f aca="false">H34+$B$5</f>
        <v>1665268.28</v>
      </c>
      <c r="I35" s="26" t="n">
        <f aca="false">I34+$B$5</f>
        <v>1669225.28</v>
      </c>
      <c r="J35" s="26" t="n">
        <f aca="false">J34+$B$5</f>
        <v>1669258.28</v>
      </c>
      <c r="K35" s="26" t="n">
        <f aca="false">K34+$B$5</f>
        <v>1673751.28</v>
      </c>
    </row>
    <row r="36" customFormat="false" ht="21.75" hidden="false" customHeight="true" outlineLevel="0" collapsed="false">
      <c r="A36" s="25" t="s">
        <v>177</v>
      </c>
      <c r="B36" s="26" t="n">
        <f aca="false">IFERROR(B10/(B20+B23-B14-B12-B15+$B$5)*100,0)</f>
        <v>79.338524562148</v>
      </c>
      <c r="C36" s="26" t="n">
        <f aca="false">IFERROR(C10/(C20+C23-C14-C12-C15+$B$5)*100,0)</f>
        <v>80.5601083876591</v>
      </c>
      <c r="D36" s="26" t="n">
        <f aca="false">IFERROR(D10/(D20+D23-D14-D12-D15+$B$5)*100,0)</f>
        <v>77.9916998961498</v>
      </c>
      <c r="E36" s="26" t="n">
        <f aca="false">IFERROR(E10/(E20+E23-E14-E12-E15+$B$5)*100,0)</f>
        <v>77.1317064372081</v>
      </c>
      <c r="F36" s="26" t="n">
        <f aca="false">IFERROR(F10/(F20+F23-F14-F12-F15+$B$5)*100,0)</f>
        <v>102.824973174636</v>
      </c>
      <c r="G36" s="26" t="n">
        <f aca="false">IFERROR(G10/(G20+G23-G14-G12-G15+$B$5)*100,0)</f>
        <v>101.373269298144</v>
      </c>
      <c r="H36" s="26" t="n">
        <f aca="false">IFERROR(H10/(H20+H23-H14-H12-H15+$B$5)*100,0)</f>
        <v>99.891131625163</v>
      </c>
      <c r="I36" s="26" t="n">
        <f aca="false">IFERROR(I10/(I20+I23-I14-I12-I15+$B$5)*100,0)</f>
        <v>98.5253148678341</v>
      </c>
      <c r="J36" s="26" t="n">
        <f aca="false">IFERROR(J10/(J20+J23-J14-J12-J15+$B$5)*100,0)</f>
        <v>97.4344324447713</v>
      </c>
      <c r="K36" s="26" t="n">
        <f aca="false">IFERROR(K10/(K20+K23-K14-K12-K15+$B$5)*100,0)</f>
        <v>96.0944361100181</v>
      </c>
    </row>
    <row r="37" customFormat="false" ht="21.75" hidden="false" customHeight="true" outlineLevel="0" collapsed="false">
      <c r="A37" s="25" t="s">
        <v>178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99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100</v>
      </c>
      <c r="B40" s="26" t="n">
        <f aca="false">02_R8予算_年次計画置換!B34</f>
        <v>698941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101</v>
      </c>
      <c r="B41" s="26" t="n">
        <f aca="false">02_R8予算_年次計画置換!B35</f>
        <v>329000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102</v>
      </c>
      <c r="B42" s="26" t="n">
        <f aca="false">02_R8予算_年次計画置換!B36</f>
        <v>169041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103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104</v>
      </c>
      <c r="B44" s="26" t="n">
        <f aca="false">02_R8予算_年次計画置換!B38</f>
        <v>0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105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106</v>
      </c>
      <c r="B46" s="26" t="n">
        <f aca="false">02_R8予算_年次計画置換!B40</f>
        <v>200900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107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108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109</v>
      </c>
      <c r="B50" s="26" t="n">
        <f aca="false">02_R8予算_年次計画置換!B44</f>
        <v>1123770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110</v>
      </c>
      <c r="B51" s="26" t="n">
        <f aca="false">02_R8予算_年次計画置換!B45</f>
        <v>268741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111</v>
      </c>
      <c r="B52" s="26" t="n">
        <f aca="false">02_R8予算_年次計画置換!B46</f>
        <v>855029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112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113</v>
      </c>
      <c r="B54" s="26" t="n">
        <f aca="false">B40-B50</f>
        <v>-424829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179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180</v>
      </c>
      <c r="B57" s="26" t="n">
        <f aca="false">B28+B21+B22-B14</f>
        <v>484942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1274374.03323275</v>
      </c>
      <c r="G57" s="26" t="n">
        <f aca="false">G28+G21+G22-G14</f>
        <v>1259517.51045536</v>
      </c>
      <c r="H57" s="26" t="n">
        <f aca="false">H28+H21+H22-H14</f>
        <v>1239625.13037584</v>
      </c>
      <c r="I57" s="26" t="n">
        <f aca="false">I28+I21+I22-I14</f>
        <v>1219287.17992048</v>
      </c>
      <c r="J57" s="26" t="n">
        <f aca="false">J28+J21+J22-J14</f>
        <v>1198259.94601558</v>
      </c>
      <c r="K57" s="26" t="n">
        <f aca="false">K28+K21+K22-K14</f>
        <v>1178843.71558741</v>
      </c>
    </row>
    <row r="58" customFormat="false" ht="21.75" hidden="false" customHeight="true" outlineLevel="0" collapsed="false">
      <c r="A58" s="25" t="s">
        <v>181</v>
      </c>
      <c r="B58" s="26" t="n">
        <f aca="false">B54</f>
        <v>-424829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182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776352.033232745</v>
      </c>
      <c r="G59" s="26" t="n">
        <f aca="false">F59+G57+G58</f>
        <v>1630460.5436881</v>
      </c>
      <c r="H59" s="26" t="n">
        <f aca="false">G59+H57+H58</f>
        <v>2476459.67406394</v>
      </c>
      <c r="I59" s="26" t="n">
        <f aca="false">H59+I57+I58</f>
        <v>3305566.85398442</v>
      </c>
      <c r="J59" s="26" t="n">
        <f aca="false">I59+J57+J58</f>
        <v>4102136.8</v>
      </c>
      <c r="K59" s="26" t="n">
        <f aca="false">J59+K57+K58</f>
        <v>4871577.51558741</v>
      </c>
    </row>
    <row r="60" customFormat="false" ht="21.75" hidden="false" customHeight="true" outlineLevel="0" collapsed="false">
      <c r="A60" s="25" t="s">
        <v>183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476352.033232745</v>
      </c>
      <c r="G60" s="26" t="n">
        <f aca="false">G59-00_前提・検証!$B$7</f>
        <v>1330460.5436881</v>
      </c>
      <c r="H60" s="26" t="n">
        <f aca="false">H59-00_前提・検証!$B$7</f>
        <v>2176459.67406394</v>
      </c>
      <c r="I60" s="26" t="n">
        <f aca="false">I59-00_前提・検証!$B$7</f>
        <v>3005566.85398442</v>
      </c>
      <c r="J60" s="26" t="n">
        <f aca="false">J59-00_前提・検証!$B$7</f>
        <v>3802136.8</v>
      </c>
      <c r="K60" s="26" t="n">
        <f aca="false">K59-00_前提・検証!$B$7</f>
        <v>4571577.51558741</v>
      </c>
    </row>
    <row r="62" customFormat="false" ht="15" hidden="false" customHeight="true" outlineLevel="0" collapsed="false">
      <c r="A62" s="55" t="s">
        <v>205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64</v>
      </c>
      <c r="C63" s="15" t="s">
        <v>65</v>
      </c>
      <c r="D63" s="15" t="s">
        <v>66</v>
      </c>
      <c r="E63" s="15" t="s">
        <v>67</v>
      </c>
      <c r="F63" s="15" t="s">
        <v>18</v>
      </c>
      <c r="G63" s="15" t="s">
        <v>68</v>
      </c>
      <c r="H63" s="15" t="s">
        <v>69</v>
      </c>
      <c r="I63" s="15" t="s">
        <v>70</v>
      </c>
      <c r="J63" s="15" t="s">
        <v>23</v>
      </c>
      <c r="K63" s="15" t="s">
        <v>71</v>
      </c>
    </row>
    <row r="64" customFormat="false" ht="15" hidden="false" customHeight="true" outlineLevel="0" collapsed="false">
      <c r="A64" s="16" t="s">
        <v>206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207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208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209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210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211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212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776352.033232745</v>
      </c>
      <c r="G70" s="17" t="n">
        <f aca="false">G59-SUM($B$69:G69)</f>
        <v>1630460.5436881</v>
      </c>
      <c r="H70" s="17" t="n">
        <f aca="false">H59-SUM($B$69:H69)</f>
        <v>2476459.67406394</v>
      </c>
      <c r="I70" s="17" t="n">
        <f aca="false">I59-SUM($B$69:I69)</f>
        <v>3305566.85398442</v>
      </c>
      <c r="J70" s="17" t="n">
        <f aca="false">J59-SUM($B$69:J69)</f>
        <v>4102136.8</v>
      </c>
      <c r="K70" s="17" t="n">
        <f aca="false">K59-SUM($B$69:K69)</f>
        <v>4871577.51558741</v>
      </c>
    </row>
    <row r="72" customFormat="false" ht="15" hidden="false" customHeight="false" outlineLevel="0" collapsed="false">
      <c r="A72" s="14" t="s">
        <v>213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717227.033232745</v>
      </c>
      <c r="G72" s="1" t="n">
        <f aca="false">F72+G57+G58</f>
        <v>1571335.5436881</v>
      </c>
      <c r="H72" s="1" t="n">
        <f aca="false">G72+H57+H58</f>
        <v>2417334.67406394</v>
      </c>
      <c r="I72" s="1" t="n">
        <f aca="false">H72+I57+I58</f>
        <v>3246441.85398442</v>
      </c>
      <c r="J72" s="1" t="n">
        <f aca="false">I72+J57+J58</f>
        <v>4043011.8</v>
      </c>
      <c r="K72" s="1" t="n">
        <f aca="false">J72+K57+K58</f>
        <v>4812452.51558741</v>
      </c>
    </row>
    <row r="73" customFormat="false" ht="15" hidden="false" customHeight="false" outlineLevel="0" collapsed="false">
      <c r="A73" s="14" t="s">
        <v>214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1" min="2" style="1" width="14"/>
  </cols>
  <sheetData>
    <row r="1" customFormat="false" ht="21.75" hidden="false" customHeight="true" outlineLevel="0" collapsed="false">
      <c r="A1" s="51" t="s">
        <v>217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1.75" hidden="false" customHeight="true" outlineLevel="0" collapsed="false">
      <c r="A2" s="20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customFormat="false" ht="21.75" hidden="false" customHeight="true" outlineLevel="0" collapsed="false">
      <c r="A3" s="21" t="s">
        <v>63</v>
      </c>
      <c r="B3" s="22" t="s">
        <v>64</v>
      </c>
      <c r="C3" s="22" t="s">
        <v>65</v>
      </c>
      <c r="D3" s="22" t="s">
        <v>66</v>
      </c>
      <c r="E3" s="22" t="s">
        <v>67</v>
      </c>
      <c r="F3" s="22" t="s">
        <v>18</v>
      </c>
      <c r="G3" s="22" t="s">
        <v>68</v>
      </c>
      <c r="H3" s="22" t="s">
        <v>69</v>
      </c>
      <c r="I3" s="22" t="s">
        <v>70</v>
      </c>
      <c r="J3" s="22" t="s">
        <v>23</v>
      </c>
      <c r="K3" s="22" t="s">
        <v>71</v>
      </c>
    </row>
    <row r="4" customFormat="false" ht="21.75" hidden="false" customHeight="true" outlineLevel="0" collapsed="false">
      <c r="A4" s="25" t="s">
        <v>119</v>
      </c>
      <c r="B4" s="26" t="n">
        <v>0.03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21.75" hidden="false" customHeight="true" outlineLevel="0" collapsed="false">
      <c r="A5" s="25" t="s">
        <v>157</v>
      </c>
      <c r="B5" s="26" t="n">
        <f aca="false">00_前提・検証!$B$2*$B$4</f>
        <v>493660.92</v>
      </c>
      <c r="C5" s="26"/>
      <c r="D5" s="26"/>
      <c r="E5" s="26"/>
      <c r="F5" s="26"/>
      <c r="G5" s="26"/>
      <c r="H5" s="26"/>
      <c r="I5" s="26"/>
      <c r="J5" s="26"/>
      <c r="K5" s="26"/>
    </row>
    <row r="6" customFormat="false" ht="21.75" hidden="false" customHeight="true" outlineLevel="0" collapsed="false">
      <c r="A6" s="25" t="s">
        <v>158</v>
      </c>
      <c r="B6" s="26" t="n">
        <f aca="false">MAX(0,(SUM(02_R8予算_年次計画置換!F18:J18)+SUM(02_R8予算_年次計画置換!F28:J28)-SUM(02_R8予算_年次計画置換!F12:J12)-SUM(02_R8予算_年次計画置換!F8:J8)-SUM(02_R8予算_年次計画置換!F11:J11)+$B$5*5-SUM(02_R8予算_年次計画置換!F7:J7))/SUM(02_R8予算_年次計画置換!F7:J7))</f>
        <v>0.498485585901883</v>
      </c>
      <c r="C6" s="26"/>
      <c r="D6" s="26"/>
      <c r="E6" s="26"/>
      <c r="F6" s="26"/>
      <c r="G6" s="26"/>
      <c r="H6" s="26"/>
      <c r="I6" s="26"/>
      <c r="J6" s="26"/>
      <c r="K6" s="26"/>
    </row>
    <row r="7" customFormat="false" ht="21.75" hidden="false" customHeight="true" outlineLevel="0" collapsed="false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customFormat="false" ht="21.75" hidden="false" customHeight="true" outlineLevel="0" collapsed="false">
      <c r="A8" s="23" t="s">
        <v>72</v>
      </c>
      <c r="B8" s="24"/>
      <c r="C8" s="24"/>
      <c r="D8" s="24"/>
      <c r="E8" s="24"/>
      <c r="F8" s="24"/>
      <c r="G8" s="24"/>
      <c r="H8" s="24"/>
      <c r="I8" s="24"/>
      <c r="J8" s="24"/>
      <c r="K8" s="24"/>
    </row>
    <row r="9" customFormat="false" ht="21.75" hidden="false" customHeight="true" outlineLevel="0" collapsed="false">
      <c r="A9" s="25" t="s">
        <v>74</v>
      </c>
      <c r="B9" s="26" t="n">
        <f aca="false">SUM(B10:B12)</f>
        <v>1261575</v>
      </c>
      <c r="C9" s="26" t="n">
        <f aca="false">SUM(C10:C12)</f>
        <v>1366275</v>
      </c>
      <c r="D9" s="26" t="n">
        <f aca="false">SUM(D10:D12)</f>
        <v>1237293</v>
      </c>
      <c r="E9" s="26" t="n">
        <f aca="false">SUM(E10:E12)</f>
        <v>1225373</v>
      </c>
      <c r="F9" s="26" t="n">
        <f aca="false">SUM(F10:F12)</f>
        <v>2392657.90787247</v>
      </c>
      <c r="G9" s="26" t="n">
        <f aca="false">SUM(G10:G12)</f>
        <v>2369188.72982355</v>
      </c>
      <c r="H9" s="26" t="n">
        <f aca="false">SUM(H10:H12)</f>
        <v>2345955.1943729</v>
      </c>
      <c r="I9" s="26" t="n">
        <f aca="false">SUM(I10:I12)</f>
        <v>2322956.30454935</v>
      </c>
      <c r="J9" s="26" t="n">
        <f aca="false">SUM(J10:J12)</f>
        <v>2300190.06338173</v>
      </c>
      <c r="K9" s="26" t="n">
        <f aca="false">SUM(K10:K12)</f>
        <v>2277654.47389887</v>
      </c>
    </row>
    <row r="10" customFormat="false" ht="21.75" hidden="false" customHeight="true" outlineLevel="0" collapsed="false">
      <c r="A10" s="25" t="s">
        <v>159</v>
      </c>
      <c r="B10" s="26" t="n">
        <f aca="false">02_R8予算_年次計画置換!B7*IF(7&gt;=11,1+$B$6,1)</f>
        <v>1231181</v>
      </c>
      <c r="C10" s="26" t="n">
        <f aca="false">02_R8予算_年次計画置換!C7*IF(8&gt;=11,1+$B$6,1)</f>
        <v>1331944</v>
      </c>
      <c r="D10" s="26" t="n">
        <f aca="false">02_R8予算_年次計画置換!D7*IF(9&gt;=11,1+$B$6,1)</f>
        <v>1206680</v>
      </c>
      <c r="E10" s="26" t="n">
        <f aca="false">02_R8予算_年次計画置換!E7*IF(10&gt;=11,1+$B$6,1)</f>
        <v>1194613</v>
      </c>
      <c r="F10" s="26" t="n">
        <f aca="false">02_R8予算_年次計画置換!F7*IF(11&gt;=11,1+$B$6,1)</f>
        <v>1772207.95393624</v>
      </c>
      <c r="G10" s="26" t="n">
        <f aca="false">02_R8予算_年次計画置換!G7*IF(12&gt;=11,1+$B$6,1)</f>
        <v>1754485.36491177</v>
      </c>
      <c r="H10" s="26" t="n">
        <f aca="false">02_R8予算_年次計画置換!H7*IF(13&gt;=11,1+$B$6,1)</f>
        <v>1736939.59718645</v>
      </c>
      <c r="I10" s="26" t="n">
        <f aca="false">02_R8予算_年次計画置換!I7*IF(14&gt;=11,1+$B$6,1)</f>
        <v>1719569.15227467</v>
      </c>
      <c r="J10" s="26" t="n">
        <f aca="false">02_R8予算_年次計画置換!J7*IF(15&gt;=11,1+$B$6,1)</f>
        <v>1702372.53169086</v>
      </c>
      <c r="K10" s="26" t="n">
        <f aca="false">02_R8予算_年次計画置換!K7*IF(16&gt;=11,1+$B$6,1)</f>
        <v>1685348.23694943</v>
      </c>
    </row>
    <row r="11" customFormat="false" ht="21.75" hidden="false" customHeight="true" outlineLevel="0" collapsed="false">
      <c r="A11" s="25" t="s">
        <v>160</v>
      </c>
      <c r="B11" s="26" t="n">
        <f aca="false">B10-02_R8予算_年次計画置換!B7</f>
        <v>0</v>
      </c>
      <c r="C11" s="26" t="n">
        <f aca="false">C10-02_R8予算_年次計画置換!C7</f>
        <v>0</v>
      </c>
      <c r="D11" s="26" t="n">
        <f aca="false">D10-02_R8予算_年次計画置換!D7</f>
        <v>0</v>
      </c>
      <c r="E11" s="26" t="n">
        <f aca="false">E10-02_R8予算_年次計画置換!E7</f>
        <v>0</v>
      </c>
      <c r="F11" s="26" t="n">
        <f aca="false">F10-02_R8予算_年次計画置換!F7</f>
        <v>589541.953936236</v>
      </c>
      <c r="G11" s="26" t="n">
        <f aca="false">G10-02_R8予算_年次計画置換!G7</f>
        <v>583646.364911775</v>
      </c>
      <c r="H11" s="26" t="n">
        <f aca="false">H10-02_R8予算_年次計画置換!H7</f>
        <v>577809.597186449</v>
      </c>
      <c r="I11" s="26" t="n">
        <f aca="false">I10-02_R8予算_年次計画置換!I7</f>
        <v>572031.152274675</v>
      </c>
      <c r="J11" s="26" t="n">
        <f aca="false">J10-02_R8予算_年次計画置換!J7</f>
        <v>566310.531690865</v>
      </c>
      <c r="K11" s="26" t="n">
        <f aca="false">K10-02_R8予算_年次計画置換!K7</f>
        <v>560647.236949434</v>
      </c>
    </row>
    <row r="12" customFormat="false" ht="21.75" hidden="false" customHeight="true" outlineLevel="0" collapsed="false">
      <c r="A12" s="25" t="s">
        <v>161</v>
      </c>
      <c r="B12" s="26" t="n">
        <f aca="false">02_R8予算_年次計画置換!B8</f>
        <v>30394</v>
      </c>
      <c r="C12" s="26" t="n">
        <f aca="false">02_R8予算_年次計画置換!C8</f>
        <v>34331</v>
      </c>
      <c r="D12" s="26" t="n">
        <f aca="false">02_R8予算_年次計画置換!D8</f>
        <v>30613</v>
      </c>
      <c r="E12" s="26" t="n">
        <f aca="false">02_R8予算_年次計画置換!E8</f>
        <v>30760</v>
      </c>
      <c r="F12" s="26" t="n">
        <f aca="false">02_R8予算_年次計画置換!F8</f>
        <v>30908</v>
      </c>
      <c r="G12" s="26" t="n">
        <f aca="false">02_R8予算_年次計画置換!G8</f>
        <v>31057</v>
      </c>
      <c r="H12" s="26" t="n">
        <f aca="false">02_R8予算_年次計画置換!H8</f>
        <v>31206</v>
      </c>
      <c r="I12" s="26" t="n">
        <f aca="false">02_R8予算_年次計画置換!I8</f>
        <v>31356</v>
      </c>
      <c r="J12" s="26" t="n">
        <f aca="false">02_R8予算_年次計画置換!J8</f>
        <v>31507</v>
      </c>
      <c r="K12" s="26" t="n">
        <f aca="false">02_R8予算_年次計画置換!K8</f>
        <v>31659</v>
      </c>
    </row>
    <row r="13" customFormat="false" ht="21.75" hidden="false" customHeight="true" outlineLevel="0" collapsed="false">
      <c r="A13" s="25" t="s">
        <v>77</v>
      </c>
      <c r="B13" s="26" t="n">
        <f aca="false">02_R8予算_年次計画置換!B9</f>
        <v>354909</v>
      </c>
      <c r="C13" s="26" t="n">
        <f aca="false">02_R8予算_年次計画置換!C9</f>
        <v>351507</v>
      </c>
      <c r="D13" s="26" t="n">
        <f aca="false">02_R8予算_年次計画置換!D9</f>
        <v>348767</v>
      </c>
      <c r="E13" s="26" t="n">
        <f aca="false">02_R8予算_年次計画置換!E9</f>
        <v>351785</v>
      </c>
      <c r="F13" s="26" t="n">
        <f aca="false">02_R8予算_年次計画置換!F9</f>
        <v>345313</v>
      </c>
      <c r="G13" s="26" t="n">
        <f aca="false">02_R8予算_年次計画置換!G9</f>
        <v>351534</v>
      </c>
      <c r="H13" s="26" t="n">
        <f aca="false">02_R8予算_年次計画置換!H9</f>
        <v>350979</v>
      </c>
      <c r="I13" s="26" t="n">
        <f aca="false">02_R8予算_年次計画置換!I9</f>
        <v>340913</v>
      </c>
      <c r="J13" s="26" t="n">
        <f aca="false">02_R8予算_年次計画置換!J9</f>
        <v>322782</v>
      </c>
      <c r="K13" s="26" t="n">
        <f aca="false">02_R8予算_年次計画置換!K9</f>
        <v>315952</v>
      </c>
    </row>
    <row r="14" customFormat="false" ht="21.75" hidden="false" customHeight="true" outlineLevel="0" collapsed="false">
      <c r="A14" s="25" t="s">
        <v>162</v>
      </c>
      <c r="B14" s="26" t="n">
        <f aca="false">02_R8予算_年次計画置換!B12</f>
        <v>281625</v>
      </c>
      <c r="C14" s="26" t="n">
        <f aca="false">02_R8予算_年次計画置換!C12</f>
        <v>278623</v>
      </c>
      <c r="D14" s="26" t="n">
        <f aca="false">02_R8予算_年次計画置換!D12</f>
        <v>279812</v>
      </c>
      <c r="E14" s="26" t="n">
        <f aca="false">02_R8予算_年次計画置換!E12</f>
        <v>285045</v>
      </c>
      <c r="F14" s="26" t="n">
        <f aca="false">02_R8予算_年次計画置換!F12</f>
        <v>280823</v>
      </c>
      <c r="G14" s="26" t="n">
        <f aca="false">02_R8予算_年次計画置換!G12</f>
        <v>281581</v>
      </c>
      <c r="H14" s="26" t="n">
        <f aca="false">02_R8予算_年次計画置換!H12</f>
        <v>283255</v>
      </c>
      <c r="I14" s="26" t="n">
        <f aca="false">02_R8予算_年次計画置換!I12</f>
        <v>275243</v>
      </c>
      <c r="J14" s="26" t="n">
        <f aca="false">02_R8予算_年次計画置換!J12</f>
        <v>258942</v>
      </c>
      <c r="K14" s="26" t="n">
        <f aca="false">02_R8予算_年次計画置換!K12</f>
        <v>253789</v>
      </c>
    </row>
    <row r="15" customFormat="false" ht="21.75" hidden="false" customHeight="true" outlineLevel="0" collapsed="false">
      <c r="A15" s="25" t="s">
        <v>163</v>
      </c>
      <c r="B15" s="26" t="n">
        <f aca="false">02_R8予算_年次計画置換!B11</f>
        <v>73283</v>
      </c>
      <c r="C15" s="26" t="n">
        <f aca="false">02_R8予算_年次計画置換!C11</f>
        <v>72779</v>
      </c>
      <c r="D15" s="26" t="n">
        <f aca="false">02_R8予算_年次計画置換!D11</f>
        <v>68955</v>
      </c>
      <c r="E15" s="26" t="n">
        <f aca="false">02_R8予算_年次計画置換!E11</f>
        <v>66740</v>
      </c>
      <c r="F15" s="26" t="n">
        <f aca="false">02_R8予算_年次計画置換!F11</f>
        <v>64490</v>
      </c>
      <c r="G15" s="26" t="n">
        <f aca="false">02_R8予算_年次計画置換!G11</f>
        <v>62175</v>
      </c>
      <c r="H15" s="26" t="n">
        <f aca="false">02_R8予算_年次計画置換!H11</f>
        <v>59946</v>
      </c>
      <c r="I15" s="26" t="n">
        <f aca="false">02_R8予算_年次計画置換!I11</f>
        <v>57892</v>
      </c>
      <c r="J15" s="26" t="n">
        <f aca="false">02_R8予算_年次計画置換!J11</f>
        <v>56062</v>
      </c>
      <c r="K15" s="26" t="n">
        <f aca="false">02_R8予算_年次計画置換!K11</f>
        <v>54385</v>
      </c>
    </row>
    <row r="16" customFormat="false" ht="21.75" hidden="false" customHeight="true" outlineLevel="0" collapsed="false">
      <c r="A16" s="25" t="s">
        <v>82</v>
      </c>
      <c r="B16" s="26" t="n">
        <f aca="false">02_R8予算_年次計画置換!B14</f>
        <v>2576</v>
      </c>
      <c r="C16" s="26" t="n">
        <f aca="false">02_R8予算_年次計画置換!C14</f>
        <v>30000</v>
      </c>
      <c r="D16" s="26" t="n">
        <f aca="false">02_R8予算_年次計画置換!D14</f>
        <v>0</v>
      </c>
      <c r="E16" s="26" t="n">
        <f aca="false">02_R8予算_年次計画置換!E14</f>
        <v>0</v>
      </c>
      <c r="F16" s="26" t="n">
        <f aca="false">02_R8予算_年次計画置換!F14</f>
        <v>0</v>
      </c>
      <c r="G16" s="26" t="n">
        <f aca="false">02_R8予算_年次計画置換!G14</f>
        <v>0</v>
      </c>
      <c r="H16" s="26" t="n">
        <f aca="false">02_R8予算_年次計画置換!H14</f>
        <v>0</v>
      </c>
      <c r="I16" s="26" t="n">
        <f aca="false">02_R8予算_年次計画置換!I14</f>
        <v>0</v>
      </c>
      <c r="J16" s="26" t="n">
        <f aca="false">02_R8予算_年次計画置換!J14</f>
        <v>0</v>
      </c>
      <c r="K16" s="26" t="n">
        <f aca="false">02_R8予算_年次計画置換!K14</f>
        <v>0</v>
      </c>
    </row>
    <row r="17" customFormat="false" ht="21.75" hidden="false" customHeight="true" outlineLevel="0" collapsed="false">
      <c r="A17" s="25" t="s">
        <v>164</v>
      </c>
      <c r="B17" s="26" t="n">
        <f aca="false">SUM(B9,B13,B16)</f>
        <v>1619060</v>
      </c>
      <c r="C17" s="26" t="n">
        <f aca="false">SUM(C9,C13,C16)</f>
        <v>1747782</v>
      </c>
      <c r="D17" s="26" t="n">
        <f aca="false">SUM(D9,D13,D16)</f>
        <v>1586060</v>
      </c>
      <c r="E17" s="26" t="n">
        <f aca="false">SUM(E9,E13,E16)</f>
        <v>1577158</v>
      </c>
      <c r="F17" s="26" t="n">
        <f aca="false">SUM(F9,F13,F16)</f>
        <v>2737970.90787247</v>
      </c>
      <c r="G17" s="26" t="n">
        <f aca="false">SUM(G9,G13,G16)</f>
        <v>2720722.72982355</v>
      </c>
      <c r="H17" s="26" t="n">
        <f aca="false">SUM(H9,H13,H16)</f>
        <v>2696934.1943729</v>
      </c>
      <c r="I17" s="26" t="n">
        <f aca="false">SUM(I9,I13,I16)</f>
        <v>2663869.30454935</v>
      </c>
      <c r="J17" s="26" t="n">
        <f aca="false">SUM(J9,J13,J16)</f>
        <v>2622972.06338173</v>
      </c>
      <c r="K17" s="26" t="n">
        <f aca="false">SUM(K9,K13,K16)</f>
        <v>2593606.47389887</v>
      </c>
    </row>
    <row r="18" customFormat="false" ht="21.75" hidden="false" customHeight="true" outlineLevel="0" collapsed="false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customFormat="false" ht="21.75" hidden="false" customHeight="true" outlineLevel="0" collapsed="false">
      <c r="A19" s="23" t="s">
        <v>83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customFormat="false" ht="21.75" hidden="false" customHeight="true" outlineLevel="0" collapsed="false">
      <c r="A20" s="25" t="s">
        <v>85</v>
      </c>
      <c r="B20" s="26" t="n">
        <f aca="false">02_R8予算_年次計画置換!B18</f>
        <v>1479507</v>
      </c>
      <c r="C20" s="26" t="n">
        <f aca="false">02_R8予算_年次計画置換!C18</f>
        <v>1546573</v>
      </c>
      <c r="D20" s="26" t="n">
        <f aca="false">02_R8予算_年次計画置換!D18</f>
        <v>1474501</v>
      </c>
      <c r="E20" s="26" t="n">
        <f aca="false">02_R8予算_年次計画置換!E18</f>
        <v>1482927</v>
      </c>
      <c r="F20" s="26" t="n">
        <f aca="false">02_R8予算_年次計画置換!F18</f>
        <v>1483351</v>
      </c>
      <c r="G20" s="26" t="n">
        <f aca="false">02_R8予算_年次計画置換!G18</f>
        <v>1488562</v>
      </c>
      <c r="H20" s="26" t="n">
        <f aca="false">02_R8予算_年次計画置換!H18</f>
        <v>1498059</v>
      </c>
      <c r="I20" s="26" t="n">
        <f aca="false">02_R8予算_年次計画置換!I18</f>
        <v>1495740</v>
      </c>
      <c r="J20" s="26" t="n">
        <f aca="false">02_R8予算_年次計画置換!J18</f>
        <v>1480096</v>
      </c>
      <c r="K20" s="26" t="n">
        <f aca="false">02_R8予算_年次計画置換!K18</f>
        <v>1481321</v>
      </c>
    </row>
    <row r="21" customFormat="false" ht="21.75" hidden="false" customHeight="true" outlineLevel="0" collapsed="false">
      <c r="A21" s="25" t="s">
        <v>165</v>
      </c>
      <c r="B21" s="26" t="n">
        <f aca="false">02_R8予算_年次計画置換!B25</f>
        <v>755782</v>
      </c>
      <c r="C21" s="26" t="n">
        <f aca="false">02_R8予算_年次計画置換!C25</f>
        <v>746511</v>
      </c>
      <c r="D21" s="26" t="n">
        <f aca="false">02_R8予算_年次計画置換!D25</f>
        <v>752391</v>
      </c>
      <c r="E21" s="26" t="n">
        <f aca="false">02_R8予算_年次計画置換!E25</f>
        <v>760508</v>
      </c>
      <c r="F21" s="26" t="n">
        <f aca="false">02_R8予算_年次計画置換!F25</f>
        <v>760622</v>
      </c>
      <c r="G21" s="26" t="n">
        <f aca="false">02_R8予算_年次計画置換!G25</f>
        <v>765523</v>
      </c>
      <c r="H21" s="26" t="n">
        <f aca="false">02_R8予算_年次計画置換!H25</f>
        <v>774709</v>
      </c>
      <c r="I21" s="26" t="n">
        <f aca="false">02_R8予算_年次計画置換!I25</f>
        <v>772078</v>
      </c>
      <c r="J21" s="26" t="n">
        <f aca="false">02_R8予算_年次計画置換!J25</f>
        <v>756121</v>
      </c>
      <c r="K21" s="26" t="n">
        <f aca="false">02_R8予算_年次計画置換!K25</f>
        <v>757032</v>
      </c>
    </row>
    <row r="22" customFormat="false" ht="21.75" hidden="false" customHeight="true" outlineLevel="0" collapsed="false">
      <c r="A22" s="25" t="s">
        <v>166</v>
      </c>
      <c r="B22" s="26" t="n">
        <f aca="false">02_R8予算_年次計画置換!B26</f>
        <v>0</v>
      </c>
      <c r="C22" s="26" t="n">
        <f aca="false">02_R8予算_年次計画置換!C26</f>
        <v>12000</v>
      </c>
      <c r="D22" s="26" t="n">
        <f aca="false">02_R8予算_年次計画置換!D26</f>
        <v>0</v>
      </c>
      <c r="E22" s="26" t="n">
        <f aca="false">02_R8予算_年次計画置換!E26</f>
        <v>0</v>
      </c>
      <c r="F22" s="26" t="n">
        <f aca="false">02_R8予算_年次計画置換!F26</f>
        <v>0</v>
      </c>
      <c r="G22" s="26" t="n">
        <f aca="false">02_R8予算_年次計画置換!G26</f>
        <v>0</v>
      </c>
      <c r="H22" s="26" t="n">
        <f aca="false">02_R8予算_年次計画置換!H26</f>
        <v>0</v>
      </c>
      <c r="I22" s="26" t="n">
        <f aca="false">02_R8予算_年次計画置換!I26</f>
        <v>0</v>
      </c>
      <c r="J22" s="26" t="n">
        <f aca="false">02_R8予算_年次計画置換!J26</f>
        <v>0</v>
      </c>
      <c r="K22" s="26" t="n">
        <f aca="false">02_R8予算_年次計画置換!K26</f>
        <v>0</v>
      </c>
    </row>
    <row r="23" customFormat="false" ht="21.75" hidden="false" customHeight="true" outlineLevel="0" collapsed="false">
      <c r="A23" s="25" t="s">
        <v>95</v>
      </c>
      <c r="B23" s="26" t="n">
        <f aca="false">02_R8予算_年次計画置換!B28</f>
        <v>128495</v>
      </c>
      <c r="C23" s="26" t="n">
        <f aca="false">02_R8予算_年次計画置換!C28</f>
        <v>163407</v>
      </c>
      <c r="D23" s="26" t="n">
        <f aca="false">02_R8予算_年次計画置換!D28</f>
        <v>122962</v>
      </c>
      <c r="E23" s="26" t="n">
        <f aca="false">02_R8予算_年次計画置換!E28</f>
        <v>119307</v>
      </c>
      <c r="F23" s="26" t="n">
        <f aca="false">02_R8予算_年次計画置換!F28</f>
        <v>124016</v>
      </c>
      <c r="G23" s="26" t="n">
        <f aca="false">02_R8予算_年次計画置換!G28</f>
        <v>123914</v>
      </c>
      <c r="H23" s="26" t="n">
        <f aca="false">02_R8予算_年次計画置換!H28</f>
        <v>121357</v>
      </c>
      <c r="I23" s="26" t="n">
        <f aca="false">02_R8予算_年次計画置換!I28</f>
        <v>119621</v>
      </c>
      <c r="J23" s="26" t="n">
        <f aca="false">02_R8予算_年次計画置換!J28</f>
        <v>118997</v>
      </c>
      <c r="K23" s="26" t="n">
        <f aca="false">02_R8予算_年次計画置換!K28</f>
        <v>117112</v>
      </c>
    </row>
    <row r="24" customFormat="false" ht="21.75" hidden="false" customHeight="true" outlineLevel="0" collapsed="false">
      <c r="A24" s="25" t="s">
        <v>167</v>
      </c>
      <c r="B24" s="26" t="n">
        <f aca="false">02_R8予算_年次計画置換!B29</f>
        <v>118910</v>
      </c>
      <c r="C24" s="26" t="n">
        <f aca="false">02_R8予算_年次計画置換!C29</f>
        <v>113113</v>
      </c>
      <c r="D24" s="26" t="n">
        <f aca="false">02_R8予算_年次計画置換!D29</f>
        <v>114281</v>
      </c>
      <c r="E24" s="26" t="n">
        <f aca="false">02_R8予算_年次計画置換!E29</f>
        <v>110591</v>
      </c>
      <c r="F24" s="26" t="n">
        <f aca="false">02_R8予算_年次計画置換!F29</f>
        <v>115300</v>
      </c>
      <c r="G24" s="26" t="n">
        <f aca="false">02_R8予算_年次計画置換!G29</f>
        <v>115163</v>
      </c>
      <c r="H24" s="26" t="n">
        <f aca="false">02_R8予算_年次計画置換!H29</f>
        <v>112571</v>
      </c>
      <c r="I24" s="26" t="n">
        <f aca="false">02_R8予算_年次計画置換!I29</f>
        <v>110835</v>
      </c>
      <c r="J24" s="26" t="n">
        <f aca="false">02_R8予算_年次計画置換!J29</f>
        <v>110211</v>
      </c>
      <c r="K24" s="26" t="n">
        <f aca="false">02_R8予算_年次計画置換!K29</f>
        <v>108326</v>
      </c>
    </row>
    <row r="25" customFormat="false" ht="21.75" hidden="false" customHeight="true" outlineLevel="0" collapsed="false">
      <c r="A25" s="25" t="s">
        <v>98</v>
      </c>
      <c r="B25" s="26" t="n">
        <f aca="false">02_R8予算_年次計画置換!B31</f>
        <v>273</v>
      </c>
      <c r="C25" s="26" t="n">
        <f aca="false">02_R8予算_年次計画置換!C31</f>
        <v>300</v>
      </c>
      <c r="D25" s="26" t="n">
        <f aca="false">02_R8予算_年次計画置換!D31</f>
        <v>273</v>
      </c>
      <c r="E25" s="26" t="n">
        <f aca="false">02_R8予算_年次計画置換!E31</f>
        <v>273</v>
      </c>
      <c r="F25" s="26" t="n">
        <f aca="false">02_R8予算_年次計画置換!F31</f>
        <v>273</v>
      </c>
      <c r="G25" s="26" t="n">
        <f aca="false">02_R8予算_年次計画置換!G31</f>
        <v>273</v>
      </c>
      <c r="H25" s="26" t="n">
        <f aca="false">02_R8予算_年次計画置換!H31</f>
        <v>273</v>
      </c>
      <c r="I25" s="26" t="n">
        <f aca="false">02_R8予算_年次計画置換!I31</f>
        <v>273</v>
      </c>
      <c r="J25" s="26" t="n">
        <f aca="false">02_R8予算_年次計画置換!J31</f>
        <v>273</v>
      </c>
      <c r="K25" s="26" t="n">
        <f aca="false">02_R8予算_年次計画置換!K31</f>
        <v>273</v>
      </c>
    </row>
    <row r="26" customFormat="false" ht="21.75" hidden="false" customHeight="true" outlineLevel="0" collapsed="false">
      <c r="A26" s="25" t="s">
        <v>168</v>
      </c>
      <c r="B26" s="26" t="n">
        <f aca="false">SUM(B20,B23,B25)</f>
        <v>1608275</v>
      </c>
      <c r="C26" s="26" t="n">
        <f aca="false">SUM(C20,C23,C25)</f>
        <v>1710280</v>
      </c>
      <c r="D26" s="26" t="n">
        <f aca="false">SUM(D20,D23,D25)</f>
        <v>1597736</v>
      </c>
      <c r="E26" s="26" t="n">
        <f aca="false">SUM(E20,E23,E25)</f>
        <v>1602507</v>
      </c>
      <c r="F26" s="26" t="n">
        <f aca="false">SUM(F20,F23,F25)</f>
        <v>1607640</v>
      </c>
      <c r="G26" s="26" t="n">
        <f aca="false">SUM(G20,G23,G25)</f>
        <v>1612749</v>
      </c>
      <c r="H26" s="26" t="n">
        <f aca="false">SUM(H20,H23,H25)</f>
        <v>1619689</v>
      </c>
      <c r="I26" s="26" t="n">
        <f aca="false">SUM(I20,I23,I25)</f>
        <v>1615634</v>
      </c>
      <c r="J26" s="26" t="n">
        <f aca="false">SUM(J20,J23,J25)</f>
        <v>1599366</v>
      </c>
      <c r="K26" s="26" t="n">
        <f aca="false">SUM(K20,K23,K25)</f>
        <v>1598706</v>
      </c>
    </row>
    <row r="27" customFormat="false" ht="21.75" hidden="false" customHeight="true" outlineLevel="0" collapsed="false">
      <c r="A27" s="25" t="s">
        <v>169</v>
      </c>
      <c r="B27" s="26" t="n">
        <f aca="false">SUM(B9,B13)-SUM(B20,B23)</f>
        <v>8482</v>
      </c>
      <c r="C27" s="26" t="n">
        <f aca="false">SUM(C9,C13)-SUM(C20,C23)</f>
        <v>7802</v>
      </c>
      <c r="D27" s="26" t="n">
        <f aca="false">SUM(D9,D13)-SUM(D20,D23)</f>
        <v>-11403</v>
      </c>
      <c r="E27" s="26" t="n">
        <f aca="false">SUM(E9,E13)-SUM(E20,E23)</f>
        <v>-25076</v>
      </c>
      <c r="F27" s="26" t="n">
        <f aca="false">SUM(F9,F13)-SUM(F20,F23)</f>
        <v>1130603.90787247</v>
      </c>
      <c r="G27" s="26" t="n">
        <f aca="false">SUM(G9,G13)-SUM(G20,G23)</f>
        <v>1108246.72982355</v>
      </c>
      <c r="H27" s="26" t="n">
        <f aca="false">SUM(H9,H13)-SUM(H20,H23)</f>
        <v>1077518.1943729</v>
      </c>
      <c r="I27" s="26" t="n">
        <f aca="false">SUM(I9,I13)-SUM(I20,I23)</f>
        <v>1048508.30454935</v>
      </c>
      <c r="J27" s="26" t="n">
        <f aca="false">SUM(J9,J13)-SUM(J20,J23)</f>
        <v>1023879.06338173</v>
      </c>
      <c r="K27" s="26" t="n">
        <f aca="false">SUM(K9,K13)-SUM(K20,K23)</f>
        <v>995173.473898867</v>
      </c>
    </row>
    <row r="28" customFormat="false" ht="21.75" hidden="false" customHeight="true" outlineLevel="0" collapsed="false">
      <c r="A28" s="25" t="s">
        <v>170</v>
      </c>
      <c r="B28" s="26" t="n">
        <f aca="false">B27+B16-B25</f>
        <v>10785</v>
      </c>
      <c r="C28" s="26" t="n">
        <f aca="false">C27+C16-C25</f>
        <v>37502</v>
      </c>
      <c r="D28" s="26" t="n">
        <f aca="false">D27+D16-D25</f>
        <v>-11676</v>
      </c>
      <c r="E28" s="26" t="n">
        <f aca="false">E27+E16-E25</f>
        <v>-25349</v>
      </c>
      <c r="F28" s="26" t="n">
        <f aca="false">F27+F16-F25</f>
        <v>1130330.90787247</v>
      </c>
      <c r="G28" s="26" t="n">
        <f aca="false">G27+G16-G25</f>
        <v>1107973.72982355</v>
      </c>
      <c r="H28" s="26" t="n">
        <f aca="false">H27+H16-H25</f>
        <v>1077245.1943729</v>
      </c>
      <c r="I28" s="26" t="n">
        <f aca="false">I27+I16-I25</f>
        <v>1048235.30454935</v>
      </c>
      <c r="J28" s="26" t="n">
        <f aca="false">J27+J16-J25</f>
        <v>1023606.06338173</v>
      </c>
      <c r="K28" s="26" t="n">
        <f aca="false">K27+K16-K25</f>
        <v>994900.473898867</v>
      </c>
    </row>
    <row r="29" customFormat="false" ht="21.75" hidden="false" customHeight="true" outlineLevel="0" collapsed="false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customFormat="false" ht="21.75" hidden="false" customHeight="true" outlineLevel="0" collapsed="false">
      <c r="A30" s="23" t="s">
        <v>171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customFormat="false" ht="21.75" hidden="false" customHeight="true" outlineLevel="0" collapsed="false">
      <c r="A31" s="25" t="s">
        <v>172</v>
      </c>
      <c r="B31" s="27" t="n">
        <f aca="false">IFERROR((SUM(B9,B13)/SUM(B20,B23))*100,0)</f>
        <v>100.527486906111</v>
      </c>
      <c r="C31" s="27" t="n">
        <f aca="false">IFERROR((SUM(C9,C13)/SUM(C20,C23))*100,0)</f>
        <v>100.456262646347</v>
      </c>
      <c r="D31" s="27" t="n">
        <f aca="false">IFERROR((SUM(D9,D13)/SUM(D20,D23))*100,0)</f>
        <v>99.2861806501935</v>
      </c>
      <c r="E31" s="27" t="n">
        <f aca="false">IFERROR((SUM(E9,E13)/SUM(E20,E23))*100,0)</f>
        <v>98.4349352216967</v>
      </c>
      <c r="F31" s="27" t="n">
        <f aca="false">IFERROR((SUM(F9,F13)/SUM(F20,F23))*100,0)</f>
        <v>170.338877672148</v>
      </c>
      <c r="G31" s="27" t="n">
        <f aca="false">IFERROR((SUM(G9,G13)/SUM(G20,G23))*100,0)</f>
        <v>168.729502319635</v>
      </c>
      <c r="H31" s="27" t="n">
        <f aca="false">IFERROR((SUM(H9,H13)/SUM(H20,H23))*100,0)</f>
        <v>166.5374551303</v>
      </c>
      <c r="I31" s="27" t="n">
        <f aca="false">IFERROR((SUM(I9,I13)/SUM(I20,I23))*100,0)</f>
        <v>164.908605850293</v>
      </c>
      <c r="J31" s="27" t="n">
        <f aca="false">IFERROR((SUM(J9,J13)/SUM(J20,J23))*100,0)</f>
        <v>164.028737752071</v>
      </c>
      <c r="K31" s="27" t="n">
        <f aca="false">IFERROR((SUM(K9,K13)/SUM(K20,K23))*100,0)</f>
        <v>162.259317337597</v>
      </c>
    </row>
    <row r="32" customFormat="false" ht="21.75" hidden="false" customHeight="true" outlineLevel="0" collapsed="false">
      <c r="A32" s="25" t="s">
        <v>173</v>
      </c>
      <c r="B32" s="27" t="n">
        <f aca="false">IFERROR(B10/B34*100,0)</f>
        <v>92.8228550404598</v>
      </c>
      <c r="C32" s="27" t="n">
        <f aca="false">IFERROR(C10/C34*100,0)</f>
        <v>93.0546327715587</v>
      </c>
      <c r="D32" s="27" t="n">
        <f aca="false">IFERROR(D10/D34*100,0)</f>
        <v>91.5781189404478</v>
      </c>
      <c r="E32" s="27" t="n">
        <f aca="false">IFERROR(E10/E34*100,0)</f>
        <v>90.6941221039653</v>
      </c>
      <c r="F32" s="27" t="n">
        <f aca="false">IFERROR(F10/F34*100,0)</f>
        <v>133.595866698446</v>
      </c>
      <c r="G32" s="27" t="n">
        <f aca="false">IFERROR(G10/G34*100,0)</f>
        <v>131.827481875864</v>
      </c>
      <c r="H32" s="27" t="n">
        <f aca="false">IFERROR(H10/H34*100,0)</f>
        <v>129.99478335219</v>
      </c>
      <c r="I32" s="27" t="n">
        <f aca="false">IFERROR(I10/I34*100,0)</f>
        <v>128.314756780722</v>
      </c>
      <c r="J32" s="27" t="n">
        <f aca="false">IFERROR(J10/J34*100,0)</f>
        <v>127.028411849923</v>
      </c>
      <c r="K32" s="27" t="n">
        <f aca="false">IFERROR(K10/K34*100,0)</f>
        <v>125.337876564312</v>
      </c>
    </row>
    <row r="33" customFormat="false" ht="21.75" hidden="false" customHeight="true" outlineLevel="0" collapsed="false">
      <c r="A33" s="25" t="s">
        <v>174</v>
      </c>
      <c r="B33" s="27" t="n">
        <f aca="false">IFERROR(B10/B35*100,0)</f>
        <v>67.6458982788666</v>
      </c>
      <c r="C33" s="27" t="n">
        <f aca="false">IFERROR(C10/C35*100,0)</f>
        <v>69.1912519962412</v>
      </c>
      <c r="D33" s="27" t="n">
        <f aca="false">IFERROR(D10/D35*100,0)</f>
        <v>66.6191166014079</v>
      </c>
      <c r="E33" s="27" t="n">
        <f aca="false">IFERROR(E10/E35*100,0)</f>
        <v>65.9697408827784</v>
      </c>
      <c r="F33" s="27" t="n">
        <f aca="false">IFERROR(F10/F35*100,0)</f>
        <v>97.3631009598763</v>
      </c>
      <c r="G33" s="27" t="n">
        <f aca="false">IFERROR(G10/G35*100,0)</f>
        <v>96.1595830349653</v>
      </c>
      <c r="H33" s="27" t="n">
        <f aca="false">IFERROR(H10/H35*100,0)</f>
        <v>94.9239692781935</v>
      </c>
      <c r="I33" s="27" t="n">
        <f aca="false">IFERROR(I10/I35*100,0)</f>
        <v>93.7718900310336</v>
      </c>
      <c r="J33" s="27" t="n">
        <f aca="false">IFERROR(J10/J35*100,0)</f>
        <v>92.8324498889104</v>
      </c>
      <c r="K33" s="27" t="n">
        <f aca="false">IFERROR(K10/K35*100,0)</f>
        <v>91.6794715943769</v>
      </c>
    </row>
    <row r="34" customFormat="false" ht="21.75" hidden="false" customHeight="true" outlineLevel="0" collapsed="false">
      <c r="A34" s="25" t="s">
        <v>175</v>
      </c>
      <c r="B34" s="26" t="n">
        <f aca="false">SUM(B20,B23)-B14</f>
        <v>1326377</v>
      </c>
      <c r="C34" s="26" t="n">
        <f aca="false">SUM(C20,C23)-C14</f>
        <v>1431357</v>
      </c>
      <c r="D34" s="26" t="n">
        <f aca="false">SUM(D20,D23)-D14</f>
        <v>1317651</v>
      </c>
      <c r="E34" s="26" t="n">
        <f aca="false">SUM(E20,E23)-E14</f>
        <v>1317189</v>
      </c>
      <c r="F34" s="26" t="n">
        <f aca="false">SUM(F20,F23)-F14</f>
        <v>1326544</v>
      </c>
      <c r="G34" s="26" t="n">
        <f aca="false">SUM(G20,G23)-G14</f>
        <v>1330895</v>
      </c>
      <c r="H34" s="26" t="n">
        <f aca="false">SUM(H20,H23)-H14</f>
        <v>1336161</v>
      </c>
      <c r="I34" s="26" t="n">
        <f aca="false">SUM(I20,I23)-I14</f>
        <v>1340118</v>
      </c>
      <c r="J34" s="26" t="n">
        <f aca="false">SUM(J20,J23)-J14</f>
        <v>1340151</v>
      </c>
      <c r="K34" s="26" t="n">
        <f aca="false">SUM(K20,K23)-K14</f>
        <v>1344644</v>
      </c>
    </row>
    <row r="35" customFormat="false" ht="21.75" hidden="false" customHeight="true" outlineLevel="0" collapsed="false">
      <c r="A35" s="25" t="s">
        <v>176</v>
      </c>
      <c r="B35" s="26" t="n">
        <f aca="false">B34+$B$5</f>
        <v>1820037.92</v>
      </c>
      <c r="C35" s="26" t="n">
        <f aca="false">C34+$B$5</f>
        <v>1925017.92</v>
      </c>
      <c r="D35" s="26" t="n">
        <f aca="false">D34+$B$5</f>
        <v>1811311.92</v>
      </c>
      <c r="E35" s="26" t="n">
        <f aca="false">E34+$B$5</f>
        <v>1810849.92</v>
      </c>
      <c r="F35" s="26" t="n">
        <f aca="false">F34+$B$5</f>
        <v>1820204.92</v>
      </c>
      <c r="G35" s="26" t="n">
        <f aca="false">G34+$B$5</f>
        <v>1824555.92</v>
      </c>
      <c r="H35" s="26" t="n">
        <f aca="false">H34+$B$5</f>
        <v>1829821.92</v>
      </c>
      <c r="I35" s="26" t="n">
        <f aca="false">I34+$B$5</f>
        <v>1833778.92</v>
      </c>
      <c r="J35" s="26" t="n">
        <f aca="false">J34+$B$5</f>
        <v>1833811.92</v>
      </c>
      <c r="K35" s="26" t="n">
        <f aca="false">K34+$B$5</f>
        <v>1838304.92</v>
      </c>
    </row>
    <row r="36" customFormat="false" ht="21.75" hidden="false" customHeight="true" outlineLevel="0" collapsed="false">
      <c r="A36" s="25" t="s">
        <v>177</v>
      </c>
      <c r="B36" s="26" t="n">
        <f aca="false">IFERROR(B10/(B20+B23-B14-B12-B15+$B$5)*100,0)</f>
        <v>71.7320573810315</v>
      </c>
      <c r="C36" s="26" t="n">
        <f aca="false">IFERROR(C10/(C20+C23-C14-C12-C15+$B$5)*100,0)</f>
        <v>73.2679573781713</v>
      </c>
      <c r="D36" s="26" t="n">
        <f aca="false">IFERROR(D10/(D20+D23-D14-D12-D15+$B$5)*100,0)</f>
        <v>70.4941893411253</v>
      </c>
      <c r="E36" s="26" t="n">
        <f aca="false">IFERROR(E10/(E20+E23-E14-E12-E15+$B$5)*100,0)</f>
        <v>69.7238191717428</v>
      </c>
      <c r="F36" s="26" t="n">
        <f aca="false">IFERROR(F10/(F20+F23-F14-F12-F15+$B$5)*100,0)</f>
        <v>102.748193631797</v>
      </c>
      <c r="G36" s="26" t="n">
        <f aca="false">IFERROR(G10/(G20+G23-G14-G12-G15+$B$5)*100,0)</f>
        <v>101.33778807329</v>
      </c>
      <c r="H36" s="26" t="n">
        <f aca="false">IFERROR(H10/(H20+H23-H14-H12-H15+$B$5)*100,0)</f>
        <v>99.9004800857456</v>
      </c>
      <c r="I36" s="26" t="n">
        <f aca="false">IFERROR(I10/(I20+I23-I14-I12-I15+$B$5)*100,0)</f>
        <v>98.5691415704271</v>
      </c>
      <c r="J36" s="26" t="n">
        <f aca="false">IFERROR(J10/(J20+J23-J14-J12-J15+$B$5)*100,0)</f>
        <v>97.4877270621011</v>
      </c>
      <c r="K36" s="26" t="n">
        <f aca="false">IFERROR(K10/(K20+K23-K14-K12-K15+$B$5)*100,0)</f>
        <v>96.1813516305228</v>
      </c>
    </row>
    <row r="37" customFormat="false" ht="21.75" hidden="false" customHeight="true" outlineLevel="0" collapsed="false">
      <c r="A37" s="25" t="s">
        <v>178</v>
      </c>
      <c r="B37" s="26" t="str">
        <f aca="false">IF(B33&lt;=B32,"OK","要確認")</f>
        <v>OK</v>
      </c>
      <c r="C37" s="26" t="str">
        <f aca="false">IF(C33&lt;=C32,"OK","要確認")</f>
        <v>OK</v>
      </c>
      <c r="D37" s="26" t="str">
        <f aca="false">IF(D33&lt;=D32,"OK","要確認")</f>
        <v>OK</v>
      </c>
      <c r="E37" s="26" t="str">
        <f aca="false">IF(E33&lt;=E32,"OK","要確認")</f>
        <v>OK</v>
      </c>
      <c r="F37" s="26" t="str">
        <f aca="false">IF(F33&lt;=F32,"OK","要確認")</f>
        <v>OK</v>
      </c>
      <c r="G37" s="26" t="str">
        <f aca="false">IF(G33&lt;=G32,"OK","要確認")</f>
        <v>OK</v>
      </c>
      <c r="H37" s="26" t="str">
        <f aca="false">IF(H33&lt;=H32,"OK","要確認")</f>
        <v>OK</v>
      </c>
      <c r="I37" s="26" t="str">
        <f aca="false">IF(I33&lt;=I32,"OK","要確認")</f>
        <v>OK</v>
      </c>
      <c r="J37" s="26" t="str">
        <f aca="false">IF(J33&lt;=J32,"OK","要確認")</f>
        <v>OK</v>
      </c>
      <c r="K37" s="26" t="str">
        <f aca="false">IF(K33&lt;=K32,"OK","要確認")</f>
        <v>OK</v>
      </c>
    </row>
    <row r="38" customFormat="false" ht="21.75" hidden="false" customHeight="true" outlineLevel="0" collapsed="false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customFormat="false" ht="21.75" hidden="false" customHeight="true" outlineLevel="0" collapsed="false">
      <c r="A39" s="23" t="s">
        <v>99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customFormat="false" ht="21.75" hidden="false" customHeight="true" outlineLevel="0" collapsed="false">
      <c r="A40" s="25" t="s">
        <v>100</v>
      </c>
      <c r="B40" s="26" t="n">
        <f aca="false">02_R8予算_年次計画置換!B34</f>
        <v>698941</v>
      </c>
      <c r="C40" s="26" t="n">
        <f aca="false">02_R8予算_年次計画置換!C34</f>
        <v>1055380</v>
      </c>
      <c r="D40" s="26" t="n">
        <f aca="false">02_R8予算_年次計画置換!D34</f>
        <v>577929</v>
      </c>
      <c r="E40" s="26" t="n">
        <f aca="false">02_R8予算_年次計画置換!E34</f>
        <v>929283</v>
      </c>
      <c r="F40" s="26" t="n">
        <f aca="false">02_R8予算_年次計画置換!F34</f>
        <v>731849</v>
      </c>
      <c r="G40" s="26" t="n">
        <f aca="false">02_R8予算_年次計画置換!G34</f>
        <v>571513</v>
      </c>
      <c r="H40" s="26" t="n">
        <f aca="false">02_R8予算_年次計画置換!H34</f>
        <v>563268</v>
      </c>
      <c r="I40" s="26" t="n">
        <f aca="false">02_R8予算_年次計画置換!I34</f>
        <v>537092</v>
      </c>
      <c r="J40" s="26" t="n">
        <f aca="false">02_R8予算_年次計画置換!J34</f>
        <v>421454</v>
      </c>
      <c r="K40" s="26" t="n">
        <f aca="false">02_R8予算_年次計画置換!K34</f>
        <v>365500</v>
      </c>
    </row>
    <row r="41" customFormat="false" ht="21.75" hidden="false" customHeight="true" outlineLevel="0" collapsed="false">
      <c r="A41" s="25" t="s">
        <v>101</v>
      </c>
      <c r="B41" s="26" t="n">
        <f aca="false">02_R8予算_年次計画置換!B35</f>
        <v>329000</v>
      </c>
      <c r="C41" s="26" t="n">
        <f aca="false">02_R8予算_年次計画置換!C35</f>
        <v>713997</v>
      </c>
      <c r="D41" s="26" t="n">
        <f aca="false">02_R8予算_年次計画置換!D35</f>
        <v>340521</v>
      </c>
      <c r="E41" s="26" t="n">
        <f aca="false">02_R8予算_年次計画置換!E35</f>
        <v>613585</v>
      </c>
      <c r="F41" s="26" t="n">
        <f aca="false">02_R8予算_年次計画置換!F35</f>
        <v>336200</v>
      </c>
      <c r="G41" s="26" t="n">
        <f aca="false">02_R8予算_年次計画置換!G35</f>
        <v>284300</v>
      </c>
      <c r="H41" s="26" t="n">
        <f aca="false">02_R8予算_年次計画置換!H35</f>
        <v>277930</v>
      </c>
      <c r="I41" s="26" t="n">
        <f aca="false">02_R8予算_年次計画置換!I35</f>
        <v>368500</v>
      </c>
      <c r="J41" s="26" t="n">
        <f aca="false">02_R8予算_年次計画置換!J35</f>
        <v>265720</v>
      </c>
      <c r="K41" s="26" t="n">
        <f aca="false">02_R8予算_年次計画置換!K35</f>
        <v>230500</v>
      </c>
    </row>
    <row r="42" customFormat="false" ht="21.75" hidden="false" customHeight="true" outlineLevel="0" collapsed="false">
      <c r="A42" s="25" t="s">
        <v>102</v>
      </c>
      <c r="B42" s="26" t="n">
        <f aca="false">02_R8予算_年次計画置換!B36</f>
        <v>169041</v>
      </c>
      <c r="C42" s="26" t="n">
        <f aca="false">02_R8予算_年次計画置換!C36</f>
        <v>166838</v>
      </c>
      <c r="D42" s="26" t="n">
        <f aca="false">02_R8予算_年次計画置換!D36</f>
        <v>162408</v>
      </c>
      <c r="E42" s="26" t="n">
        <f aca="false">02_R8予算_年次計画置換!E36</f>
        <v>167998</v>
      </c>
      <c r="F42" s="26" t="n">
        <f aca="false">02_R8予算_年次計画置換!F36</f>
        <v>173649</v>
      </c>
      <c r="G42" s="26" t="n">
        <f aca="false">02_R8予算_年次計画置換!G36</f>
        <v>182213</v>
      </c>
      <c r="H42" s="26" t="n">
        <f aca="false">02_R8予算_年次計画置換!H36</f>
        <v>180338</v>
      </c>
      <c r="I42" s="26" t="n">
        <f aca="false">02_R8予算_年次計画置換!I36</f>
        <v>168592</v>
      </c>
      <c r="J42" s="26" t="n">
        <f aca="false">02_R8予算_年次計画置換!J36</f>
        <v>155734</v>
      </c>
      <c r="K42" s="26" t="n">
        <f aca="false">02_R8予算_年次計画置換!K36</f>
        <v>135000</v>
      </c>
    </row>
    <row r="43" customFormat="false" ht="21.75" hidden="false" customHeight="true" outlineLevel="0" collapsed="false">
      <c r="A43" s="25" t="s">
        <v>103</v>
      </c>
      <c r="B43" s="26" t="n">
        <f aca="false">02_R8予算_年次計画置換!B37</f>
        <v>0</v>
      </c>
      <c r="C43" s="26" t="n">
        <f aca="false">02_R8予算_年次計画置換!C37</f>
        <v>0</v>
      </c>
      <c r="D43" s="26" t="n">
        <f aca="false">02_R8予算_年次計画置換!D37</f>
        <v>0</v>
      </c>
      <c r="E43" s="26" t="n">
        <f aca="false">02_R8予算_年次計画置換!E37</f>
        <v>0</v>
      </c>
      <c r="F43" s="26" t="n">
        <f aca="false">02_R8予算_年次計画置換!F37</f>
        <v>0</v>
      </c>
      <c r="G43" s="26" t="n">
        <f aca="false">02_R8予算_年次計画置換!G37</f>
        <v>0</v>
      </c>
      <c r="H43" s="26" t="n">
        <f aca="false">02_R8予算_年次計画置換!H37</f>
        <v>0</v>
      </c>
      <c r="I43" s="26" t="n">
        <f aca="false">02_R8予算_年次計画置換!I37</f>
        <v>0</v>
      </c>
      <c r="J43" s="26" t="n">
        <f aca="false">02_R8予算_年次計画置換!J37</f>
        <v>0</v>
      </c>
      <c r="K43" s="26" t="n">
        <f aca="false">02_R8予算_年次計画置換!K37</f>
        <v>0</v>
      </c>
    </row>
    <row r="44" customFormat="false" ht="21.75" hidden="false" customHeight="true" outlineLevel="0" collapsed="false">
      <c r="A44" s="25" t="s">
        <v>104</v>
      </c>
      <c r="B44" s="26" t="n">
        <f aca="false">02_R8予算_年次計画置換!B38</f>
        <v>0</v>
      </c>
      <c r="C44" s="26" t="n">
        <f aca="false">02_R8予算_年次計画置換!C38</f>
        <v>2000</v>
      </c>
      <c r="D44" s="26" t="n">
        <f aca="false">02_R8予算_年次計画置換!D38</f>
        <v>75000</v>
      </c>
      <c r="E44" s="26" t="n">
        <f aca="false">02_R8予算_年次計画置換!E38</f>
        <v>147700</v>
      </c>
      <c r="F44" s="26" t="n">
        <f aca="false">02_R8予算_年次計画置換!F38</f>
        <v>222000</v>
      </c>
      <c r="G44" s="26" t="n">
        <f aca="false">02_R8予算_年次計画置換!G38</f>
        <v>105000</v>
      </c>
      <c r="H44" s="26" t="n">
        <f aca="false">02_R8予算_年次計画置換!H38</f>
        <v>105000</v>
      </c>
      <c r="I44" s="26" t="n">
        <f aca="false">02_R8予算_年次計画置換!I38</f>
        <v>0</v>
      </c>
      <c r="J44" s="26" t="n">
        <f aca="false">02_R8予算_年次計画置換!J38</f>
        <v>0</v>
      </c>
      <c r="K44" s="26" t="n">
        <f aca="false">02_R8予算_年次計画置換!K38</f>
        <v>0</v>
      </c>
    </row>
    <row r="45" customFormat="false" ht="21.75" hidden="false" customHeight="true" outlineLevel="0" collapsed="false">
      <c r="A45" s="25" t="s">
        <v>105</v>
      </c>
      <c r="B45" s="26" t="n">
        <f aca="false">02_R8予算_年次計画置換!B39</f>
        <v>0</v>
      </c>
      <c r="C45" s="26" t="n">
        <f aca="false">02_R8予算_年次計画置換!C39</f>
        <v>0</v>
      </c>
      <c r="D45" s="26" t="n">
        <f aca="false">02_R8予算_年次計画置換!D39</f>
        <v>0</v>
      </c>
      <c r="E45" s="26" t="n">
        <f aca="false">02_R8予算_年次計画置換!E39</f>
        <v>0</v>
      </c>
      <c r="F45" s="26" t="n">
        <f aca="false">02_R8予算_年次計画置換!F39</f>
        <v>0</v>
      </c>
      <c r="G45" s="26" t="n">
        <f aca="false">02_R8予算_年次計画置換!G39</f>
        <v>0</v>
      </c>
      <c r="H45" s="26" t="n">
        <f aca="false">02_R8予算_年次計画置換!H39</f>
        <v>0</v>
      </c>
      <c r="I45" s="26" t="n">
        <f aca="false">02_R8予算_年次計画置換!I39</f>
        <v>0</v>
      </c>
      <c r="J45" s="26" t="n">
        <f aca="false">02_R8予算_年次計画置換!J39</f>
        <v>0</v>
      </c>
      <c r="K45" s="26" t="n">
        <f aca="false">02_R8予算_年次計画置換!K39</f>
        <v>0</v>
      </c>
    </row>
    <row r="46" customFormat="false" ht="21.75" hidden="false" customHeight="true" outlineLevel="0" collapsed="false">
      <c r="A46" s="25" t="s">
        <v>106</v>
      </c>
      <c r="B46" s="26" t="n">
        <f aca="false">02_R8予算_年次計画置換!B40</f>
        <v>200900</v>
      </c>
      <c r="C46" s="26" t="n">
        <f aca="false">02_R8予算_年次計画置換!C40</f>
        <v>172545</v>
      </c>
      <c r="D46" s="26" t="n">
        <f aca="false">02_R8予算_年次計画置換!D40</f>
        <v>0</v>
      </c>
      <c r="E46" s="26" t="n">
        <f aca="false">02_R8予算_年次計画置換!E40</f>
        <v>0</v>
      </c>
      <c r="F46" s="26" t="n">
        <f aca="false">02_R8予算_年次計画置換!F40</f>
        <v>0</v>
      </c>
      <c r="G46" s="26" t="n">
        <f aca="false">02_R8予算_年次計画置換!G40</f>
        <v>0</v>
      </c>
      <c r="H46" s="26" t="n">
        <f aca="false">02_R8予算_年次計画置換!H40</f>
        <v>0</v>
      </c>
      <c r="I46" s="26" t="n">
        <f aca="false">02_R8予算_年次計画置換!I40</f>
        <v>0</v>
      </c>
      <c r="J46" s="26" t="n">
        <f aca="false">02_R8予算_年次計画置換!J40</f>
        <v>0</v>
      </c>
      <c r="K46" s="26" t="n">
        <f aca="false">02_R8予算_年次計画置換!K40</f>
        <v>0</v>
      </c>
    </row>
    <row r="47" customFormat="false" ht="21.75" hidden="false" customHeight="true" outlineLevel="0" collapsed="false">
      <c r="A47" s="25" t="s">
        <v>107</v>
      </c>
      <c r="B47" s="26" t="n">
        <f aca="false">02_R8予算_年次計画置換!B41</f>
        <v>0</v>
      </c>
      <c r="C47" s="26" t="n">
        <f aca="false">02_R8予算_年次計画置換!C41</f>
        <v>0</v>
      </c>
      <c r="D47" s="26" t="n">
        <f aca="false">02_R8予算_年次計画置換!D41</f>
        <v>0</v>
      </c>
      <c r="E47" s="26" t="n">
        <f aca="false">02_R8予算_年次計画置換!E41</f>
        <v>0</v>
      </c>
      <c r="F47" s="26" t="n">
        <f aca="false">02_R8予算_年次計画置換!F41</f>
        <v>0</v>
      </c>
      <c r="G47" s="26" t="n">
        <f aca="false">02_R8予算_年次計画置換!G41</f>
        <v>0</v>
      </c>
      <c r="H47" s="26" t="n">
        <f aca="false">02_R8予算_年次計画置換!H41</f>
        <v>0</v>
      </c>
      <c r="I47" s="26" t="n">
        <f aca="false">02_R8予算_年次計画置換!I41</f>
        <v>0</v>
      </c>
      <c r="J47" s="26" t="n">
        <f aca="false">02_R8予算_年次計画置換!J41</f>
        <v>0</v>
      </c>
      <c r="K47" s="26" t="n">
        <f aca="false">02_R8予算_年次計画置換!K41</f>
        <v>0</v>
      </c>
    </row>
    <row r="48" customFormat="false" ht="21.75" hidden="false" customHeight="true" outlineLevel="0" collapsed="false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customFormat="false" ht="21.75" hidden="false" customHeight="true" outlineLevel="0" collapsed="false">
      <c r="A49" s="23" t="s">
        <v>108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</row>
    <row r="50" customFormat="false" ht="21.75" hidden="false" customHeight="true" outlineLevel="0" collapsed="false">
      <c r="A50" s="25" t="s">
        <v>109</v>
      </c>
      <c r="B50" s="26" t="n">
        <f aca="false">02_R8予算_年次計画置換!B44</f>
        <v>1123770</v>
      </c>
      <c r="C50" s="26" t="n">
        <f aca="false">02_R8予算_年次計画置換!C44</f>
        <v>1684475</v>
      </c>
      <c r="D50" s="26" t="n">
        <f aca="false">02_R8予算_年次計画置換!D44</f>
        <v>1136126</v>
      </c>
      <c r="E50" s="26" t="n">
        <f aca="false">02_R8予算_年次計画置換!E44</f>
        <v>1437316</v>
      </c>
      <c r="F50" s="26" t="n">
        <f aca="false">02_R8予算_年次計画置換!F44</f>
        <v>1205541</v>
      </c>
      <c r="G50" s="26" t="n">
        <f aca="false">02_R8予算_年次計画置換!G44</f>
        <v>976922</v>
      </c>
      <c r="H50" s="26" t="n">
        <f aca="false">02_R8予算_年次計画置換!H44</f>
        <v>956894</v>
      </c>
      <c r="I50" s="26" t="n">
        <f aca="false">02_R8予算_年次計画置換!I44</f>
        <v>927272</v>
      </c>
      <c r="J50" s="26" t="n">
        <f aca="false">02_R8予算_年次計画置換!J44</f>
        <v>823144</v>
      </c>
      <c r="K50" s="26" t="n">
        <f aca="false">02_R8予算_年次計画置換!K44</f>
        <v>774903</v>
      </c>
    </row>
    <row r="51" customFormat="false" ht="21.75" hidden="false" customHeight="true" outlineLevel="0" collapsed="false">
      <c r="A51" s="25" t="s">
        <v>110</v>
      </c>
      <c r="B51" s="26" t="n">
        <f aca="false">02_R8予算_年次計画置換!B45</f>
        <v>268741</v>
      </c>
      <c r="C51" s="26" t="n">
        <f aca="false">02_R8予算_年次計画置換!C45</f>
        <v>888542</v>
      </c>
      <c r="D51" s="26" t="n">
        <f aca="false">02_R8予算_年次計画置換!D45</f>
        <v>403455</v>
      </c>
      <c r="E51" s="26" t="n">
        <f aca="false">02_R8予算_年次計画置換!E45</f>
        <v>761285</v>
      </c>
      <c r="F51" s="26" t="n">
        <f aca="false">02_R8予算_年次計画置換!F45</f>
        <v>558200</v>
      </c>
      <c r="G51" s="26" t="n">
        <f aca="false">02_R8予算_年次計画置換!G45</f>
        <v>389300</v>
      </c>
      <c r="H51" s="26" t="n">
        <f aca="false">02_R8予算_年次計画置換!H45</f>
        <v>382930</v>
      </c>
      <c r="I51" s="26" t="n">
        <f aca="false">02_R8予算_年次計画置換!I45</f>
        <v>368500</v>
      </c>
      <c r="J51" s="26" t="n">
        <f aca="false">02_R8予算_年次計画置換!J45</f>
        <v>265720</v>
      </c>
      <c r="K51" s="26" t="n">
        <f aca="false">02_R8予算_年次計画置換!K45</f>
        <v>230500</v>
      </c>
    </row>
    <row r="52" customFormat="false" ht="21.75" hidden="false" customHeight="true" outlineLevel="0" collapsed="false">
      <c r="A52" s="25" t="s">
        <v>111</v>
      </c>
      <c r="B52" s="26" t="n">
        <f aca="false">02_R8予算_年次計画置換!B46</f>
        <v>855029</v>
      </c>
      <c r="C52" s="26" t="n">
        <f aca="false">02_R8予算_年次計画置換!C46</f>
        <v>795933</v>
      </c>
      <c r="D52" s="26" t="n">
        <f aca="false">02_R8予算_年次計画置換!D46</f>
        <v>732671</v>
      </c>
      <c r="E52" s="26" t="n">
        <f aca="false">02_R8予算_年次計画置換!E46</f>
        <v>676031</v>
      </c>
      <c r="F52" s="26" t="n">
        <f aca="false">02_R8予算_年次計画置換!F46</f>
        <v>647341</v>
      </c>
      <c r="G52" s="26" t="n">
        <f aca="false">02_R8予算_年次計画置換!G46</f>
        <v>587622</v>
      </c>
      <c r="H52" s="26" t="n">
        <f aca="false">02_R8予算_年次計画置換!H46</f>
        <v>573964</v>
      </c>
      <c r="I52" s="26" t="n">
        <f aca="false">02_R8予算_年次計画置換!I46</f>
        <v>558772</v>
      </c>
      <c r="J52" s="26" t="n">
        <f aca="false">02_R8予算_年次計画置換!J46</f>
        <v>557424</v>
      </c>
      <c r="K52" s="26" t="n">
        <f aca="false">02_R8予算_年次計画置換!K46</f>
        <v>544403</v>
      </c>
    </row>
    <row r="53" customFormat="false" ht="21.75" hidden="false" customHeight="true" outlineLevel="0" collapsed="false">
      <c r="A53" s="25" t="s">
        <v>112</v>
      </c>
      <c r="B53" s="26" t="n">
        <f aca="false">02_R8予算_年次計画置換!B47</f>
        <v>0</v>
      </c>
      <c r="C53" s="26" t="n">
        <f aca="false">02_R8予算_年次計画置換!C47</f>
        <v>0</v>
      </c>
      <c r="D53" s="26" t="n">
        <f aca="false">02_R8予算_年次計画置換!D47</f>
        <v>0</v>
      </c>
      <c r="E53" s="26" t="n">
        <f aca="false">02_R8予算_年次計画置換!E47</f>
        <v>0</v>
      </c>
      <c r="F53" s="26" t="n">
        <f aca="false">02_R8予算_年次計画置換!F47</f>
        <v>0</v>
      </c>
      <c r="G53" s="26" t="n">
        <f aca="false">02_R8予算_年次計画置換!G47</f>
        <v>0</v>
      </c>
      <c r="H53" s="26" t="n">
        <f aca="false">02_R8予算_年次計画置換!H47</f>
        <v>0</v>
      </c>
      <c r="I53" s="26" t="n">
        <f aca="false">02_R8予算_年次計画置換!I47</f>
        <v>0</v>
      </c>
      <c r="J53" s="26" t="n">
        <f aca="false">02_R8予算_年次計画置換!J47</f>
        <v>0</v>
      </c>
      <c r="K53" s="26" t="n">
        <f aca="false">02_R8予算_年次計画置換!K47</f>
        <v>0</v>
      </c>
    </row>
    <row r="54" customFormat="false" ht="21.75" hidden="false" customHeight="true" outlineLevel="0" collapsed="false">
      <c r="A54" s="25" t="s">
        <v>113</v>
      </c>
      <c r="B54" s="26" t="n">
        <f aca="false">B40-B50</f>
        <v>-424829</v>
      </c>
      <c r="C54" s="26" t="n">
        <f aca="false">C40-C50</f>
        <v>-629095</v>
      </c>
      <c r="D54" s="26" t="n">
        <f aca="false">D40-D50</f>
        <v>-558197</v>
      </c>
      <c r="E54" s="26" t="n">
        <f aca="false">E40-E50</f>
        <v>-508033</v>
      </c>
      <c r="F54" s="26" t="n">
        <f aca="false">F40-F50</f>
        <v>-473692</v>
      </c>
      <c r="G54" s="26" t="n">
        <f aca="false">G40-G50</f>
        <v>-405409</v>
      </c>
      <c r="H54" s="26" t="n">
        <f aca="false">H40-H50</f>
        <v>-393626</v>
      </c>
      <c r="I54" s="26" t="n">
        <f aca="false">I40-I50</f>
        <v>-390180</v>
      </c>
      <c r="J54" s="26" t="n">
        <f aca="false">J40-J50</f>
        <v>-401690</v>
      </c>
      <c r="K54" s="26" t="n">
        <f aca="false">K40-K50</f>
        <v>-409403</v>
      </c>
    </row>
    <row r="55" customFormat="false" ht="21.75" hidden="false" customHeight="true" outlineLevel="0" collapsed="false">
      <c r="A55" s="25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customFormat="false" ht="21.75" hidden="false" customHeight="true" outlineLevel="0" collapsed="false">
      <c r="A56" s="23" t="s">
        <v>179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customFormat="false" ht="21.75" hidden="false" customHeight="true" outlineLevel="0" collapsed="false">
      <c r="A57" s="25" t="s">
        <v>180</v>
      </c>
      <c r="B57" s="26" t="n">
        <f aca="false">B28+B21+B22-B14</f>
        <v>484942</v>
      </c>
      <c r="C57" s="26" t="n">
        <f aca="false">C28+C21+C22-C14</f>
        <v>517390</v>
      </c>
      <c r="D57" s="26" t="n">
        <f aca="false">D28+D21+D22-D14</f>
        <v>460903</v>
      </c>
      <c r="E57" s="26" t="n">
        <f aca="false">E28+E21+E22-E14</f>
        <v>450114</v>
      </c>
      <c r="F57" s="26" t="n">
        <f aca="false">F28+F21+F22-F14</f>
        <v>1610129.90787247</v>
      </c>
      <c r="G57" s="26" t="n">
        <f aca="false">G28+G21+G22-G14</f>
        <v>1591915.72982355</v>
      </c>
      <c r="H57" s="26" t="n">
        <f aca="false">H28+H21+H22-H14</f>
        <v>1568699.1943729</v>
      </c>
      <c r="I57" s="26" t="n">
        <f aca="false">I28+I21+I22-I14</f>
        <v>1545070.30454935</v>
      </c>
      <c r="J57" s="26" t="n">
        <f aca="false">J28+J21+J22-J14</f>
        <v>1520785.06338173</v>
      </c>
      <c r="K57" s="26" t="n">
        <f aca="false">K28+K21+K22-K14</f>
        <v>1498143.47389887</v>
      </c>
    </row>
    <row r="58" customFormat="false" ht="21.75" hidden="false" customHeight="true" outlineLevel="0" collapsed="false">
      <c r="A58" s="25" t="s">
        <v>181</v>
      </c>
      <c r="B58" s="26" t="n">
        <f aca="false">B54</f>
        <v>-424829</v>
      </c>
      <c r="C58" s="26" t="n">
        <f aca="false">C54</f>
        <v>-629095</v>
      </c>
      <c r="D58" s="26" t="n">
        <f aca="false">D54</f>
        <v>-558197</v>
      </c>
      <c r="E58" s="26" t="n">
        <f aca="false">E54</f>
        <v>-508033</v>
      </c>
      <c r="F58" s="26" t="n">
        <f aca="false">F54</f>
        <v>-473692</v>
      </c>
      <c r="G58" s="26" t="n">
        <f aca="false">G54</f>
        <v>-405409</v>
      </c>
      <c r="H58" s="26" t="n">
        <f aca="false">H54</f>
        <v>-393626</v>
      </c>
      <c r="I58" s="26" t="n">
        <f aca="false">I54</f>
        <v>-390180</v>
      </c>
      <c r="J58" s="26" t="n">
        <f aca="false">J54</f>
        <v>-401690</v>
      </c>
      <c r="K58" s="26" t="n">
        <f aca="false">K54</f>
        <v>-409403</v>
      </c>
    </row>
    <row r="59" customFormat="false" ht="21.75" hidden="false" customHeight="true" outlineLevel="0" collapsed="false">
      <c r="A59" s="25" t="s">
        <v>182</v>
      </c>
      <c r="B59" s="26" t="n">
        <f aca="false">00_前提・検証!$B$6</f>
        <v>242588</v>
      </c>
      <c r="C59" s="26" t="n">
        <f aca="false">B59+C57+C58</f>
        <v>130883</v>
      </c>
      <c r="D59" s="26" t="n">
        <f aca="false">C59+D57+D58</f>
        <v>33589</v>
      </c>
      <c r="E59" s="26" t="n">
        <f aca="false">D59+E57+E58</f>
        <v>-24330</v>
      </c>
      <c r="F59" s="26" t="n">
        <f aca="false">E59+F57+F58</f>
        <v>1112107.90787247</v>
      </c>
      <c r="G59" s="26" t="n">
        <f aca="false">F59+G57+G58</f>
        <v>2298614.63769602</v>
      </c>
      <c r="H59" s="26" t="n">
        <f aca="false">G59+H57+H58</f>
        <v>3473687.83206892</v>
      </c>
      <c r="I59" s="26" t="n">
        <f aca="false">H59+I57+I58</f>
        <v>4628578.13661827</v>
      </c>
      <c r="J59" s="26" t="n">
        <f aca="false">I59+J57+J58</f>
        <v>5747673.2</v>
      </c>
      <c r="K59" s="26" t="n">
        <f aca="false">J59+K57+K58</f>
        <v>6836413.67389887</v>
      </c>
    </row>
    <row r="60" customFormat="false" ht="21.75" hidden="false" customHeight="true" outlineLevel="0" collapsed="false">
      <c r="A60" s="25" t="s">
        <v>183</v>
      </c>
      <c r="B60" s="26" t="n">
        <f aca="false">B59-00_前提・検証!$B$7</f>
        <v>-57412</v>
      </c>
      <c r="C60" s="26" t="n">
        <f aca="false">C59-00_前提・検証!$B$7</f>
        <v>-169117</v>
      </c>
      <c r="D60" s="26" t="n">
        <f aca="false">D59-00_前提・検証!$B$7</f>
        <v>-266411</v>
      </c>
      <c r="E60" s="26" t="n">
        <f aca="false">E59-00_前提・検証!$B$7</f>
        <v>-324330</v>
      </c>
      <c r="F60" s="26" t="n">
        <f aca="false">F59-00_前提・検証!$B$7</f>
        <v>812107.907872472</v>
      </c>
      <c r="G60" s="26" t="n">
        <f aca="false">G59-00_前提・検証!$B$7</f>
        <v>1998614.63769602</v>
      </c>
      <c r="H60" s="26" t="n">
        <f aca="false">H59-00_前提・検証!$B$7</f>
        <v>3173687.83206892</v>
      </c>
      <c r="I60" s="26" t="n">
        <f aca="false">I59-00_前提・検証!$B$7</f>
        <v>4328578.13661827</v>
      </c>
      <c r="J60" s="26" t="n">
        <f aca="false">J59-00_前提・検証!$B$7</f>
        <v>5447673.2</v>
      </c>
      <c r="K60" s="26" t="n">
        <f aca="false">K59-00_前提・検証!$B$7</f>
        <v>6536413.67389887</v>
      </c>
    </row>
    <row r="62" customFormat="false" ht="15" hidden="false" customHeight="true" outlineLevel="0" collapsed="false">
      <c r="A62" s="55" t="s">
        <v>205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</row>
    <row r="63" customFormat="false" ht="15" hidden="false" customHeight="true" outlineLevel="0" collapsed="false">
      <c r="A63" s="15" t="s">
        <v>0</v>
      </c>
      <c r="B63" s="15" t="s">
        <v>64</v>
      </c>
      <c r="C63" s="15" t="s">
        <v>65</v>
      </c>
      <c r="D63" s="15" t="s">
        <v>66</v>
      </c>
      <c r="E63" s="15" t="s">
        <v>67</v>
      </c>
      <c r="F63" s="15" t="s">
        <v>18</v>
      </c>
      <c r="G63" s="15" t="s">
        <v>68</v>
      </c>
      <c r="H63" s="15" t="s">
        <v>69</v>
      </c>
      <c r="I63" s="15" t="s">
        <v>70</v>
      </c>
      <c r="J63" s="15" t="s">
        <v>23</v>
      </c>
      <c r="K63" s="15" t="s">
        <v>71</v>
      </c>
    </row>
    <row r="64" customFormat="false" ht="15" hidden="false" customHeight="true" outlineLevel="0" collapsed="false">
      <c r="A64" s="16" t="s">
        <v>206</v>
      </c>
      <c r="B64" s="17" t="n">
        <v>0</v>
      </c>
      <c r="C64" s="17" t="n">
        <v>0</v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</row>
    <row r="65" customFormat="false" ht="15" hidden="false" customHeight="true" outlineLevel="0" collapsed="false">
      <c r="A65" s="16" t="s">
        <v>207</v>
      </c>
      <c r="B65" s="17" t="n">
        <v>0</v>
      </c>
      <c r="C65" s="17" t="n">
        <v>0</v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</row>
    <row r="66" customFormat="false" ht="15" hidden="false" customHeight="true" outlineLevel="0" collapsed="false">
      <c r="A66" s="16" t="s">
        <v>208</v>
      </c>
      <c r="B66" s="17" t="n">
        <v>0</v>
      </c>
      <c r="C66" s="17" t="n">
        <v>0</v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</row>
    <row r="67" customFormat="false" ht="15" hidden="false" customHeight="true" outlineLevel="0" collapsed="false">
      <c r="A67" s="16" t="s">
        <v>209</v>
      </c>
      <c r="B67" s="17" t="n">
        <v>0</v>
      </c>
      <c r="C67" s="17" t="n">
        <v>0</v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</row>
    <row r="68" customFormat="false" ht="15" hidden="false" customHeight="true" outlineLevel="0" collapsed="false">
      <c r="A68" s="18" t="s">
        <v>210</v>
      </c>
      <c r="B68" s="17" t="n">
        <f aca="false">B64-B65+B66</f>
        <v>0</v>
      </c>
      <c r="C68" s="17" t="n">
        <f aca="false">C64-C65+C66</f>
        <v>0</v>
      </c>
      <c r="D68" s="17" t="n">
        <f aca="false">D64-D65+D66</f>
        <v>0</v>
      </c>
      <c r="E68" s="17" t="n">
        <f aca="false">E64-E65+E66</f>
        <v>0</v>
      </c>
      <c r="F68" s="17" t="n">
        <f aca="false">F64-F65+F66</f>
        <v>0</v>
      </c>
      <c r="G68" s="17" t="n">
        <f aca="false">G64-G65+G66</f>
        <v>0</v>
      </c>
      <c r="H68" s="17" t="n">
        <f aca="false">H64-H65+H66</f>
        <v>0</v>
      </c>
      <c r="I68" s="17" t="n">
        <f aca="false">I64-I65+I66</f>
        <v>0</v>
      </c>
      <c r="J68" s="17" t="n">
        <f aca="false">J64-J65+J66</f>
        <v>0</v>
      </c>
      <c r="K68" s="17" t="n">
        <f aca="false">K64-K65+K66</f>
        <v>0</v>
      </c>
    </row>
    <row r="69" customFormat="false" ht="15" hidden="false" customHeight="true" outlineLevel="0" collapsed="false">
      <c r="A69" s="16" t="s">
        <v>211</v>
      </c>
      <c r="B69" s="17" t="n">
        <f aca="false">B66+B67</f>
        <v>0</v>
      </c>
      <c r="C69" s="17" t="n">
        <f aca="false">C66+C67</f>
        <v>0</v>
      </c>
      <c r="D69" s="17" t="n">
        <f aca="false">D66+D67</f>
        <v>0</v>
      </c>
      <c r="E69" s="17" t="n">
        <f aca="false">E66+E67</f>
        <v>0</v>
      </c>
      <c r="F69" s="17" t="n">
        <f aca="false">F66+F67</f>
        <v>0</v>
      </c>
      <c r="G69" s="17" t="n">
        <f aca="false">G66+G67</f>
        <v>0</v>
      </c>
      <c r="H69" s="17" t="n">
        <f aca="false">H66+H67</f>
        <v>0</v>
      </c>
      <c r="I69" s="17" t="n">
        <f aca="false">I66+I67</f>
        <v>0</v>
      </c>
      <c r="J69" s="17" t="n">
        <f aca="false">J66+J67</f>
        <v>0</v>
      </c>
      <c r="K69" s="17" t="n">
        <f aca="false">K66+K67</f>
        <v>0</v>
      </c>
    </row>
    <row r="70" customFormat="false" ht="15" hidden="false" customHeight="true" outlineLevel="0" collapsed="false">
      <c r="A70" s="16" t="s">
        <v>212</v>
      </c>
      <c r="B70" s="17" t="n">
        <f aca="false">B59-B69</f>
        <v>242588</v>
      </c>
      <c r="C70" s="17" t="n">
        <f aca="false">C59-SUM($B$69:C69)</f>
        <v>130883</v>
      </c>
      <c r="D70" s="17" t="n">
        <f aca="false">D59-SUM($B$69:D69)</f>
        <v>33589</v>
      </c>
      <c r="E70" s="17" t="n">
        <f aca="false">E59-SUM($B$69:E69)</f>
        <v>-24330</v>
      </c>
      <c r="F70" s="17" t="n">
        <f aca="false">F59-SUM($B$69:F69)</f>
        <v>1112107.90787247</v>
      </c>
      <c r="G70" s="17" t="n">
        <f aca="false">G59-SUM($B$69:G69)</f>
        <v>2298614.63769602</v>
      </c>
      <c r="H70" s="17" t="n">
        <f aca="false">H59-SUM($B$69:H69)</f>
        <v>3473687.83206892</v>
      </c>
      <c r="I70" s="17" t="n">
        <f aca="false">I59-SUM($B$69:I69)</f>
        <v>4628578.13661827</v>
      </c>
      <c r="J70" s="17" t="n">
        <f aca="false">J59-SUM($B$69:J69)</f>
        <v>5747673.2</v>
      </c>
      <c r="K70" s="17" t="n">
        <f aca="false">K59-SUM($B$69:K69)</f>
        <v>6836413.67389887</v>
      </c>
    </row>
    <row r="72" customFormat="false" ht="15" hidden="false" customHeight="false" outlineLevel="0" collapsed="false">
      <c r="A72" s="14" t="s">
        <v>213</v>
      </c>
      <c r="B72" s="1" t="n">
        <v>183463</v>
      </c>
      <c r="C72" s="1" t="n">
        <f aca="false">B72+C57+C58</f>
        <v>71758</v>
      </c>
      <c r="D72" s="1" t="n">
        <f aca="false">C72+D57+D58</f>
        <v>-25536</v>
      </c>
      <c r="E72" s="1" t="n">
        <f aca="false">D72+E57+E58</f>
        <v>-83455</v>
      </c>
      <c r="F72" s="1" t="n">
        <f aca="false">E72+F57+F58</f>
        <v>1052982.90787247</v>
      </c>
      <c r="G72" s="1" t="n">
        <f aca="false">F72+G57+G58</f>
        <v>2239489.63769602</v>
      </c>
      <c r="H72" s="1" t="n">
        <f aca="false">G72+H57+H58</f>
        <v>3414562.83206892</v>
      </c>
      <c r="I72" s="1" t="n">
        <f aca="false">H72+I57+I58</f>
        <v>4569453.13661827</v>
      </c>
      <c r="J72" s="1" t="n">
        <f aca="false">I72+J57+J58</f>
        <v>5688548.2</v>
      </c>
      <c r="K72" s="1" t="n">
        <f aca="false">J72+K57+K58</f>
        <v>6777288.67389887</v>
      </c>
    </row>
    <row r="73" customFormat="false" ht="15" hidden="false" customHeight="false" outlineLevel="0" collapsed="false">
      <c r="A73" s="14" t="s">
        <v>214</v>
      </c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1.51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5" min="5" style="1" width="12"/>
    <col collapsed="false" customWidth="true" hidden="false" outlineLevel="0" max="7" min="6" style="1" width="9.88"/>
    <col collapsed="false" customWidth="true" hidden="false" outlineLevel="0" max="8" min="8" style="1" width="27.75"/>
    <col collapsed="false" customWidth="true" hidden="false" outlineLevel="0" max="11" min="9" style="1" width="9.88"/>
  </cols>
  <sheetData>
    <row r="1" customFormat="false" ht="17.25" hidden="false" customHeight="true" outlineLevel="0" collapsed="false">
      <c r="A1" s="56" t="s">
        <v>218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customFormat="false" ht="15" hidden="false" customHeight="true" outlineLevel="0" collapsed="false">
      <c r="A2" s="57" t="s">
        <v>219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customFormat="false" ht="15" hidden="false" customHeight="true" outlineLevel="0" collapsed="false">
      <c r="A4" s="15" t="s">
        <v>220</v>
      </c>
      <c r="B4" s="15" t="s">
        <v>221</v>
      </c>
      <c r="C4" s="15" t="s">
        <v>222</v>
      </c>
      <c r="D4" s="15" t="s">
        <v>223</v>
      </c>
      <c r="E4" s="15" t="s">
        <v>224</v>
      </c>
      <c r="G4" s="15" t="s">
        <v>63</v>
      </c>
      <c r="H4" s="15" t="s">
        <v>3</v>
      </c>
      <c r="I4" s="15" t="s">
        <v>225</v>
      </c>
    </row>
    <row r="5" customFormat="false" ht="29.25" hidden="false" customHeight="true" outlineLevel="0" collapsed="false">
      <c r="A5" s="16" t="s">
        <v>226</v>
      </c>
      <c r="B5" s="16" t="s">
        <v>227</v>
      </c>
      <c r="C5" s="17" t="n">
        <v>87359553</v>
      </c>
      <c r="D5" s="16" t="s">
        <v>228</v>
      </c>
      <c r="E5" s="18" t="n">
        <v>40</v>
      </c>
      <c r="G5" s="16" t="s">
        <v>229</v>
      </c>
      <c r="H5" s="16" t="s">
        <v>106</v>
      </c>
      <c r="I5" s="17" t="n">
        <v>101870654</v>
      </c>
    </row>
    <row r="6" customFormat="false" ht="29.25" hidden="false" customHeight="true" outlineLevel="0" collapsed="false">
      <c r="A6" s="16" t="s">
        <v>226</v>
      </c>
      <c r="B6" s="16" t="s">
        <v>230</v>
      </c>
      <c r="C6" s="17" t="n">
        <v>10595699</v>
      </c>
      <c r="D6" s="16" t="s">
        <v>228</v>
      </c>
      <c r="E6" s="18" t="n">
        <v>40</v>
      </c>
      <c r="G6" s="16" t="s">
        <v>229</v>
      </c>
      <c r="H6" s="16" t="s">
        <v>106</v>
      </c>
      <c r="I6" s="17" t="n">
        <v>122589239</v>
      </c>
    </row>
    <row r="7" customFormat="false" ht="29.25" hidden="false" customHeight="true" outlineLevel="0" collapsed="false">
      <c r="A7" s="16" t="s">
        <v>226</v>
      </c>
      <c r="B7" s="16" t="s">
        <v>231</v>
      </c>
      <c r="C7" s="17" t="n">
        <v>4616384</v>
      </c>
      <c r="D7" s="16" t="s">
        <v>228</v>
      </c>
      <c r="E7" s="18" t="n">
        <v>40</v>
      </c>
      <c r="G7" s="16" t="s">
        <v>65</v>
      </c>
      <c r="H7" s="16" t="s">
        <v>232</v>
      </c>
      <c r="I7" s="17" t="n">
        <v>62694000</v>
      </c>
    </row>
    <row r="8" customFormat="false" ht="43.5" hidden="false" customHeight="true" outlineLevel="0" collapsed="false">
      <c r="A8" s="16" t="s">
        <v>226</v>
      </c>
      <c r="B8" s="16" t="s">
        <v>233</v>
      </c>
      <c r="C8" s="17" t="n">
        <v>386641</v>
      </c>
      <c r="D8" s="16" t="s">
        <v>228</v>
      </c>
      <c r="E8" s="18" t="n">
        <v>40</v>
      </c>
      <c r="G8" s="16" t="s">
        <v>65</v>
      </c>
      <c r="H8" s="16" t="s">
        <v>234</v>
      </c>
      <c r="I8" s="17" t="n">
        <v>59031000</v>
      </c>
    </row>
    <row r="9" customFormat="false" ht="29.25" hidden="false" customHeight="true" outlineLevel="0" collapsed="false">
      <c r="A9" s="16" t="s">
        <v>235</v>
      </c>
      <c r="B9" s="16" t="s">
        <v>231</v>
      </c>
      <c r="C9" s="17" t="n">
        <v>3500000</v>
      </c>
      <c r="D9" s="16" t="s">
        <v>228</v>
      </c>
      <c r="E9" s="18" t="n">
        <v>40</v>
      </c>
    </row>
    <row r="10" customFormat="false" ht="43.5" hidden="false" customHeight="true" outlineLevel="0" collapsed="false">
      <c r="A10" s="16" t="s">
        <v>235</v>
      </c>
      <c r="B10" s="16" t="s">
        <v>236</v>
      </c>
      <c r="C10" s="17" t="n">
        <v>13600000</v>
      </c>
      <c r="D10" s="16" t="s">
        <v>228</v>
      </c>
      <c r="E10" s="18" t="n">
        <v>40</v>
      </c>
    </row>
    <row r="11" customFormat="false" ht="29.25" hidden="false" customHeight="true" outlineLevel="0" collapsed="false">
      <c r="A11" s="16" t="s">
        <v>64</v>
      </c>
      <c r="B11" s="16" t="s">
        <v>231</v>
      </c>
      <c r="C11" s="17" t="n">
        <v>3850000</v>
      </c>
      <c r="D11" s="16" t="s">
        <v>228</v>
      </c>
      <c r="E11" s="18" t="n">
        <v>40</v>
      </c>
    </row>
    <row r="12" customFormat="false" ht="29.25" hidden="false" customHeight="true" outlineLevel="0" collapsed="false">
      <c r="A12" s="16" t="s">
        <v>64</v>
      </c>
      <c r="B12" s="16" t="s">
        <v>237</v>
      </c>
      <c r="C12" s="17" t="n">
        <v>4070000</v>
      </c>
      <c r="D12" s="16" t="s">
        <v>228</v>
      </c>
      <c r="E12" s="18" t="n">
        <v>40</v>
      </c>
    </row>
    <row r="13" customFormat="false" ht="43.5" hidden="false" customHeight="true" outlineLevel="0" collapsed="false">
      <c r="A13" s="16" t="s">
        <v>64</v>
      </c>
      <c r="B13" s="16" t="s">
        <v>238</v>
      </c>
      <c r="C13" s="17" t="n">
        <v>45353000</v>
      </c>
      <c r="D13" s="16" t="s">
        <v>228</v>
      </c>
      <c r="E13" s="18" t="n">
        <v>40</v>
      </c>
    </row>
    <row r="14" customFormat="false" ht="43.5" hidden="false" customHeight="true" outlineLevel="0" collapsed="false">
      <c r="A14" s="16" t="s">
        <v>64</v>
      </c>
      <c r="B14" s="16" t="s">
        <v>239</v>
      </c>
      <c r="C14" s="17" t="n">
        <v>63195000</v>
      </c>
      <c r="D14" s="16" t="s">
        <v>228</v>
      </c>
      <c r="E14" s="18" t="n">
        <v>40</v>
      </c>
    </row>
    <row r="15" customFormat="false" ht="43.5" hidden="false" customHeight="true" outlineLevel="0" collapsed="false">
      <c r="A15" s="16" t="s">
        <v>65</v>
      </c>
      <c r="B15" s="16" t="s">
        <v>240</v>
      </c>
      <c r="C15" s="17" t="n">
        <v>116809000</v>
      </c>
      <c r="D15" s="16" t="s">
        <v>228</v>
      </c>
      <c r="E15" s="18" t="n">
        <v>40</v>
      </c>
    </row>
    <row r="16" customFormat="false" ht="43.5" hidden="false" customHeight="true" outlineLevel="0" collapsed="false">
      <c r="A16" s="16" t="s">
        <v>65</v>
      </c>
      <c r="B16" s="16" t="s">
        <v>241</v>
      </c>
      <c r="C16" s="17" t="n">
        <v>9988000</v>
      </c>
      <c r="D16" s="16" t="s">
        <v>228</v>
      </c>
      <c r="E16" s="18" t="n">
        <v>40</v>
      </c>
    </row>
    <row r="17" customFormat="false" ht="43.5" hidden="false" customHeight="true" outlineLevel="0" collapsed="false">
      <c r="A17" s="16" t="s">
        <v>65</v>
      </c>
      <c r="B17" s="16" t="s">
        <v>242</v>
      </c>
      <c r="C17" s="17" t="n">
        <v>30767000</v>
      </c>
      <c r="D17" s="16" t="s">
        <v>228</v>
      </c>
      <c r="E17" s="18" t="n">
        <v>40</v>
      </c>
    </row>
    <row r="18" customFormat="false" ht="43.5" hidden="false" customHeight="true" outlineLevel="0" collapsed="false">
      <c r="A18" s="16" t="s">
        <v>65</v>
      </c>
      <c r="B18" s="16" t="s">
        <v>243</v>
      </c>
      <c r="C18" s="17" t="n">
        <v>31790000</v>
      </c>
      <c r="D18" s="16" t="s">
        <v>228</v>
      </c>
      <c r="E18" s="18" t="n">
        <v>40</v>
      </c>
    </row>
    <row r="19" customFormat="false" ht="43.5" hidden="false" customHeight="true" outlineLevel="0" collapsed="false">
      <c r="A19" s="16" t="s">
        <v>65</v>
      </c>
      <c r="B19" s="16" t="s">
        <v>244</v>
      </c>
      <c r="C19" s="17" t="n">
        <v>7656000</v>
      </c>
      <c r="D19" s="16" t="s">
        <v>228</v>
      </c>
      <c r="E19" s="18" t="n">
        <v>40</v>
      </c>
    </row>
    <row r="20" customFormat="false" ht="43.5" hidden="false" customHeight="true" outlineLevel="0" collapsed="false">
      <c r="A20" s="16" t="s">
        <v>65</v>
      </c>
      <c r="B20" s="16" t="s">
        <v>245</v>
      </c>
      <c r="C20" s="17" t="n">
        <v>17622000</v>
      </c>
      <c r="D20" s="16" t="s">
        <v>228</v>
      </c>
      <c r="E20" s="18" t="n">
        <v>40</v>
      </c>
    </row>
    <row r="21" customFormat="false" ht="43.5" hidden="false" customHeight="true" outlineLevel="0" collapsed="false">
      <c r="A21" s="16" t="s">
        <v>65</v>
      </c>
      <c r="B21" s="16" t="s">
        <v>246</v>
      </c>
      <c r="C21" s="17" t="n">
        <v>4290000</v>
      </c>
      <c r="D21" s="16" t="s">
        <v>228</v>
      </c>
      <c r="E21" s="18" t="n">
        <v>40</v>
      </c>
    </row>
    <row r="22" customFormat="false" ht="43.5" hidden="false" customHeight="true" outlineLevel="0" collapsed="false">
      <c r="A22" s="16" t="s">
        <v>65</v>
      </c>
      <c r="B22" s="16" t="s">
        <v>247</v>
      </c>
      <c r="C22" s="17" t="n">
        <v>10120000</v>
      </c>
      <c r="D22" s="16" t="s">
        <v>228</v>
      </c>
      <c r="E22" s="18" t="n">
        <v>40</v>
      </c>
    </row>
    <row r="25" customFormat="false" ht="15" hidden="false" customHeight="true" outlineLevel="0" collapsed="false">
      <c r="A25" s="55" t="s">
        <v>248</v>
      </c>
      <c r="B25" s="55"/>
      <c r="D25" s="55" t="s">
        <v>249</v>
      </c>
      <c r="E25" s="55"/>
      <c r="F25" s="55"/>
      <c r="G25" s="55"/>
      <c r="H25" s="55"/>
      <c r="I25" s="55"/>
    </row>
    <row r="26" customFormat="false" ht="15" hidden="false" customHeight="true" outlineLevel="0" collapsed="false">
      <c r="A26" s="15" t="s">
        <v>0</v>
      </c>
      <c r="B26" s="15" t="s">
        <v>250</v>
      </c>
      <c r="D26" s="15" t="s">
        <v>251</v>
      </c>
      <c r="E26" s="15" t="s">
        <v>3</v>
      </c>
      <c r="F26" s="15" t="s">
        <v>252</v>
      </c>
      <c r="G26" s="15" t="s">
        <v>253</v>
      </c>
      <c r="H26" s="15" t="s">
        <v>254</v>
      </c>
      <c r="I26" s="15" t="s">
        <v>255</v>
      </c>
    </row>
    <row r="27" customFormat="false" ht="72" hidden="false" customHeight="true" outlineLevel="0" collapsed="false">
      <c r="A27" s="16" t="s">
        <v>256</v>
      </c>
      <c r="B27" s="17" t="n">
        <f aca="false">SUM(C5:C22)</f>
        <v>465568277</v>
      </c>
      <c r="D27" s="16" t="s">
        <v>257</v>
      </c>
      <c r="E27" s="16" t="s">
        <v>258</v>
      </c>
      <c r="F27" s="17" t="n">
        <f aca="false">MAX(0,$B$30-$B$31)</f>
        <v>12066384</v>
      </c>
      <c r="G27" s="58" t="n">
        <v>0.03</v>
      </c>
      <c r="H27" s="18" t="n">
        <v>40</v>
      </c>
      <c r="I27" s="16" t="s">
        <v>67</v>
      </c>
    </row>
    <row r="28" customFormat="false" ht="72" hidden="false" customHeight="true" outlineLevel="0" collapsed="false">
      <c r="A28" s="16" t="s">
        <v>259</v>
      </c>
      <c r="B28" s="17" t="n">
        <f aca="false">SUM(I5:I8)</f>
        <v>346184893</v>
      </c>
      <c r="D28" s="16" t="s">
        <v>260</v>
      </c>
      <c r="E28" s="16" t="s">
        <v>261</v>
      </c>
      <c r="F28" s="17" t="n">
        <f aca="false">MAX(0,$B$32-$B$33)</f>
        <v>107317000</v>
      </c>
      <c r="G28" s="58" t="n">
        <v>0.03</v>
      </c>
      <c r="H28" s="18" t="n">
        <v>40</v>
      </c>
      <c r="I28" s="16" t="s">
        <v>67</v>
      </c>
    </row>
    <row r="29" customFormat="false" ht="15" hidden="false" customHeight="true" outlineLevel="0" collapsed="false">
      <c r="A29" s="16" t="s">
        <v>262</v>
      </c>
      <c r="B29" s="17" t="n">
        <f aca="false">B27-B28</f>
        <v>119383384</v>
      </c>
    </row>
    <row r="30" customFormat="false" ht="15" hidden="false" customHeight="true" outlineLevel="0" collapsed="false">
      <c r="A30" s="16" t="s">
        <v>263</v>
      </c>
      <c r="B30" s="17" t="n">
        <f aca="false">SUMIF(A5:A22,"&lt;&gt;令和8年度",C5:C22)</f>
        <v>236526277</v>
      </c>
    </row>
    <row r="31" customFormat="false" ht="15" hidden="false" customHeight="true" outlineLevel="0" collapsed="false">
      <c r="A31" s="16" t="s">
        <v>264</v>
      </c>
      <c r="B31" s="17" t="n">
        <f aca="false">SUM(I5:I6)</f>
        <v>224459893</v>
      </c>
    </row>
    <row r="32" customFormat="false" ht="15" hidden="false" customHeight="true" outlineLevel="0" collapsed="false">
      <c r="A32" s="16" t="s">
        <v>265</v>
      </c>
      <c r="B32" s="17" t="n">
        <f aca="false">SUMIF(A5:A22,"令和8年度",C5:C22)</f>
        <v>229042000</v>
      </c>
    </row>
    <row r="33" customFormat="false" ht="15" hidden="false" customHeight="true" outlineLevel="0" collapsed="false">
      <c r="A33" s="16" t="s">
        <v>266</v>
      </c>
      <c r="B33" s="17" t="n">
        <f aca="false">SUM(I7:I8)</f>
        <v>121725000</v>
      </c>
    </row>
    <row r="34" customFormat="false" ht="15" hidden="false" customHeight="true" outlineLevel="0" collapsed="false">
      <c r="A34" s="16" t="s">
        <v>267</v>
      </c>
      <c r="B34" s="17" t="n">
        <f aca="false">B27/40</f>
        <v>11639206.925</v>
      </c>
    </row>
    <row r="35" customFormat="false" ht="15" hidden="false" customHeight="true" outlineLevel="0" collapsed="false">
      <c r="A35" s="16" t="s">
        <v>268</v>
      </c>
      <c r="B35" s="17" t="n">
        <f aca="false">B28/40</f>
        <v>8654622.325</v>
      </c>
    </row>
    <row r="36" customFormat="false" ht="15" hidden="false" customHeight="true" outlineLevel="0" collapsed="false">
      <c r="A36" s="16" t="s">
        <v>269</v>
      </c>
      <c r="B36" s="17" t="n">
        <f aca="false">B34-B35</f>
        <v>2984584.6</v>
      </c>
    </row>
    <row r="39" customFormat="false" ht="15" hidden="false" customHeight="true" outlineLevel="0" collapsed="false">
      <c r="A39" s="15" t="s">
        <v>220</v>
      </c>
      <c r="B39" s="15" t="s">
        <v>64</v>
      </c>
      <c r="C39" s="15" t="s">
        <v>65</v>
      </c>
      <c r="D39" s="15" t="s">
        <v>66</v>
      </c>
      <c r="E39" s="15" t="s">
        <v>67</v>
      </c>
      <c r="F39" s="15" t="s">
        <v>18</v>
      </c>
      <c r="G39" s="15" t="s">
        <v>68</v>
      </c>
      <c r="H39" s="15" t="s">
        <v>69</v>
      </c>
      <c r="I39" s="15" t="s">
        <v>70</v>
      </c>
      <c r="J39" s="15" t="s">
        <v>23</v>
      </c>
      <c r="K39" s="15" t="s">
        <v>71</v>
      </c>
    </row>
    <row r="40" customFormat="false" ht="15" hidden="false" customHeight="true" outlineLevel="0" collapsed="false">
      <c r="A40" s="16" t="s">
        <v>270</v>
      </c>
      <c r="B40" s="17" t="n">
        <f aca="false">0</f>
        <v>0</v>
      </c>
      <c r="C40" s="17" t="n">
        <f aca="false">0</f>
        <v>0</v>
      </c>
      <c r="D40" s="17" t="n">
        <f aca="false">0</f>
        <v>0</v>
      </c>
      <c r="E40" s="17" t="n">
        <f aca="false">ROUND($B$34/1000,0)</f>
        <v>11639</v>
      </c>
      <c r="F40" s="17" t="n">
        <f aca="false">ROUND($B$34/1000,0)</f>
        <v>11639</v>
      </c>
      <c r="G40" s="17" t="n">
        <f aca="false">ROUND($B$34/1000,0)</f>
        <v>11639</v>
      </c>
      <c r="H40" s="17" t="n">
        <f aca="false">ROUND($B$34/1000,0)</f>
        <v>11639</v>
      </c>
      <c r="I40" s="17" t="n">
        <f aca="false">ROUND($B$34/1000,0)</f>
        <v>11639</v>
      </c>
      <c r="J40" s="17" t="n">
        <f aca="false">ROUND($B$34/1000,0)</f>
        <v>11639</v>
      </c>
      <c r="K40" s="17" t="n">
        <f aca="false">ROUND($B$34/1000,0)</f>
        <v>11639</v>
      </c>
    </row>
    <row r="41" customFormat="false" ht="15" hidden="false" customHeight="true" outlineLevel="0" collapsed="false">
      <c r="A41" s="16" t="s">
        <v>271</v>
      </c>
      <c r="B41" s="17" t="n">
        <f aca="false">0</f>
        <v>0</v>
      </c>
      <c r="C41" s="17" t="n">
        <f aca="false">0</f>
        <v>0</v>
      </c>
      <c r="D41" s="17" t="n">
        <f aca="false">0</f>
        <v>0</v>
      </c>
      <c r="E41" s="17" t="n">
        <f aca="false">ROUND($B$35/1000,0)</f>
        <v>8655</v>
      </c>
      <c r="F41" s="17" t="n">
        <f aca="false">ROUND($B$35/1000,0)</f>
        <v>8655</v>
      </c>
      <c r="G41" s="17" t="n">
        <f aca="false">ROUND($B$35/1000,0)</f>
        <v>8655</v>
      </c>
      <c r="H41" s="17" t="n">
        <f aca="false">ROUND($B$35/1000,0)</f>
        <v>8655</v>
      </c>
      <c r="I41" s="17" t="n">
        <f aca="false">ROUND($B$35/1000,0)</f>
        <v>8655</v>
      </c>
      <c r="J41" s="17" t="n">
        <f aca="false">ROUND($B$35/1000,0)</f>
        <v>8655</v>
      </c>
      <c r="K41" s="17" t="n">
        <f aca="false">ROUND($B$35/1000,0)</f>
        <v>8655</v>
      </c>
    </row>
    <row r="42" customFormat="false" ht="15" hidden="false" customHeight="true" outlineLevel="0" collapsed="false">
      <c r="A42" s="16" t="s">
        <v>272</v>
      </c>
      <c r="B42" s="17" t="n">
        <f aca="false">B40-B41</f>
        <v>0</v>
      </c>
      <c r="C42" s="17" t="n">
        <f aca="false">C40-C41</f>
        <v>0</v>
      </c>
      <c r="D42" s="17" t="n">
        <f aca="false">D40-D41</f>
        <v>0</v>
      </c>
      <c r="E42" s="17" t="n">
        <f aca="false">E40-E41</f>
        <v>2984</v>
      </c>
      <c r="F42" s="17" t="n">
        <f aca="false">F40-F41</f>
        <v>2984</v>
      </c>
      <c r="G42" s="17" t="n">
        <f aca="false">G40-G41</f>
        <v>2984</v>
      </c>
      <c r="H42" s="17" t="n">
        <f aca="false">H40-H41</f>
        <v>2984</v>
      </c>
      <c r="I42" s="17" t="n">
        <f aca="false">I40-I41</f>
        <v>2984</v>
      </c>
      <c r="J42" s="17" t="n">
        <f aca="false">J40-J41</f>
        <v>2984</v>
      </c>
      <c r="K42" s="17" t="n">
        <f aca="false">K40-K41</f>
        <v>2984</v>
      </c>
    </row>
    <row r="43" customFormat="false" ht="15" hidden="false" customHeight="true" outlineLevel="0" collapsed="false">
      <c r="A43" s="16" t="s">
        <v>273</v>
      </c>
      <c r="B43" s="17" t="n">
        <f aca="false">0</f>
        <v>0</v>
      </c>
      <c r="C43" s="17" t="n">
        <f aca="false">0</f>
        <v>0</v>
      </c>
      <c r="D43" s="17" t="n">
        <f aca="false">0</f>
        <v>0</v>
      </c>
      <c r="E43" s="17" t="n">
        <f aca="false">SUM($F$27:$F$28)</f>
        <v>119383384</v>
      </c>
      <c r="F43" s="17" t="n">
        <f aca="false">MAX(0,E43-E45*1000)</f>
        <v>116398384</v>
      </c>
      <c r="G43" s="17" t="n">
        <f aca="false">MAX(0,F43-F45*1000)</f>
        <v>113413384</v>
      </c>
      <c r="H43" s="17" t="n">
        <f aca="false">MAX(0,G43-G45*1000)</f>
        <v>110428384</v>
      </c>
      <c r="I43" s="17" t="n">
        <f aca="false">MAX(0,H43-H45*1000)</f>
        <v>107443384</v>
      </c>
      <c r="J43" s="17" t="n">
        <f aca="false">MAX(0,I43-I45*1000)</f>
        <v>104458384</v>
      </c>
      <c r="K43" s="17" t="n">
        <f aca="false">MAX(0,J43-J45*1000)</f>
        <v>101473384</v>
      </c>
    </row>
    <row r="44" customFormat="false" ht="15" hidden="false" customHeight="true" outlineLevel="0" collapsed="false">
      <c r="A44" s="16" t="s">
        <v>274</v>
      </c>
      <c r="B44" s="17" t="n">
        <f aca="false">0</f>
        <v>0</v>
      </c>
      <c r="C44" s="17" t="n">
        <f aca="false">0</f>
        <v>0</v>
      </c>
      <c r="D44" s="17" t="n">
        <f aca="false">0</f>
        <v>0</v>
      </c>
      <c r="E44" s="17" t="n">
        <f aca="false">ROUND(SUMPRODUCT($F$27:$F$28,$G$27:$G$28)/1000,0)</f>
        <v>3582</v>
      </c>
      <c r="F44" s="17" t="n">
        <f aca="false">ROUND(F43*AVERAGE($G$27:$G$28)/1000,0)</f>
        <v>3492</v>
      </c>
      <c r="G44" s="17" t="n">
        <f aca="false">ROUND(G43*AVERAGE($G$27:$G$28)/1000,0)</f>
        <v>3402</v>
      </c>
      <c r="H44" s="17" t="n">
        <f aca="false">ROUND(H43*AVERAGE($G$27:$G$28)/1000,0)</f>
        <v>3313</v>
      </c>
      <c r="I44" s="17" t="n">
        <f aca="false">ROUND(I43*AVERAGE($G$27:$G$28)/1000,0)</f>
        <v>3223</v>
      </c>
      <c r="J44" s="17" t="n">
        <f aca="false">ROUND(J43*AVERAGE($G$27:$G$28)/1000,0)</f>
        <v>3134</v>
      </c>
      <c r="K44" s="17" t="n">
        <f aca="false">ROUND(K43*AVERAGE($G$27:$G$28)/1000,0)</f>
        <v>3044</v>
      </c>
    </row>
    <row r="45" customFormat="false" ht="15" hidden="false" customHeight="true" outlineLevel="0" collapsed="false">
      <c r="A45" s="16" t="s">
        <v>275</v>
      </c>
      <c r="B45" s="17" t="n">
        <f aca="false">0</f>
        <v>0</v>
      </c>
      <c r="C45" s="17" t="n">
        <f aca="false">0</f>
        <v>0</v>
      </c>
      <c r="D45" s="17" t="n">
        <f aca="false">0</f>
        <v>0</v>
      </c>
      <c r="E45" s="17" t="n">
        <f aca="false">ROUND(SUMPRODUCT($F$27:$F$28,1/$H$27:$H$28)/1000,0)</f>
        <v>2985</v>
      </c>
      <c r="F45" s="17" t="n">
        <f aca="false">ROUND(SUMPRODUCT($F$27:$F$28,1/$H$27:$H$28)/1000,0)</f>
        <v>2985</v>
      </c>
      <c r="G45" s="17" t="n">
        <f aca="false">ROUND(SUMPRODUCT($F$27:$F$28,1/$H$27:$H$28)/1000,0)</f>
        <v>2985</v>
      </c>
      <c r="H45" s="17" t="n">
        <f aca="false">ROUND(SUMPRODUCT($F$27:$F$28,1/$H$27:$H$28)/1000,0)</f>
        <v>2985</v>
      </c>
      <c r="I45" s="17" t="n">
        <f aca="false">ROUND(SUMPRODUCT($F$27:$F$28,1/$H$27:$H$28)/1000,0)</f>
        <v>2985</v>
      </c>
      <c r="J45" s="17" t="n">
        <f aca="false">ROUND(SUMPRODUCT($F$27:$F$28,1/$H$27:$H$28)/1000,0)</f>
        <v>2985</v>
      </c>
      <c r="K45" s="17" t="n">
        <f aca="false">ROUND(SUMPRODUCT($F$27:$F$28,1/$H$27:$H$28)/1000,0)</f>
        <v>2985</v>
      </c>
    </row>
    <row r="46" customFormat="false" ht="15" hidden="false" customHeight="true" outlineLevel="0" collapsed="false">
      <c r="A46" s="18" t="s">
        <v>276</v>
      </c>
      <c r="B46" s="17" t="n">
        <f aca="false">B40-B41+B44</f>
        <v>0</v>
      </c>
      <c r="C46" s="17" t="n">
        <f aca="false">C40-C41+C44</f>
        <v>0</v>
      </c>
      <c r="D46" s="17" t="n">
        <f aca="false">D40-D41+D44</f>
        <v>0</v>
      </c>
      <c r="E46" s="17" t="n">
        <f aca="false">E40-E41+E44</f>
        <v>6566</v>
      </c>
      <c r="F46" s="17" t="n">
        <f aca="false">F40-F41+F44</f>
        <v>6476</v>
      </c>
      <c r="G46" s="17" t="n">
        <f aca="false">G40-G41+G44</f>
        <v>6386</v>
      </c>
      <c r="H46" s="17" t="n">
        <f aca="false">H40-H41+H44</f>
        <v>6297</v>
      </c>
      <c r="I46" s="17" t="n">
        <f aca="false">I40-I41+I44</f>
        <v>6207</v>
      </c>
      <c r="J46" s="17" t="n">
        <f aca="false">J40-J41+J44</f>
        <v>6118</v>
      </c>
      <c r="K46" s="17" t="n">
        <f aca="false">K40-K41+K44</f>
        <v>6028</v>
      </c>
    </row>
    <row r="47" customFormat="false" ht="15" hidden="false" customHeight="true" outlineLevel="0" collapsed="false">
      <c r="A47" s="16" t="s">
        <v>277</v>
      </c>
      <c r="B47" s="17" t="n">
        <f aca="false">B44+B45</f>
        <v>0</v>
      </c>
      <c r="C47" s="17" t="n">
        <f aca="false">C44+C45</f>
        <v>0</v>
      </c>
      <c r="D47" s="17" t="n">
        <f aca="false">D44+D45</f>
        <v>0</v>
      </c>
      <c r="E47" s="17" t="n">
        <f aca="false">E44+E45</f>
        <v>6567</v>
      </c>
      <c r="F47" s="17" t="n">
        <f aca="false">F44+F45</f>
        <v>6477</v>
      </c>
      <c r="G47" s="17" t="n">
        <f aca="false">G44+G45</f>
        <v>6387</v>
      </c>
      <c r="H47" s="17" t="n">
        <f aca="false">H44+H45</f>
        <v>6298</v>
      </c>
      <c r="I47" s="17" t="n">
        <f aca="false">I44+I45</f>
        <v>6208</v>
      </c>
      <c r="J47" s="17" t="n">
        <f aca="false">J44+J45</f>
        <v>6119</v>
      </c>
      <c r="K47" s="17" t="n">
        <f aca="false">K44+K45</f>
        <v>6029</v>
      </c>
    </row>
    <row r="50" customFormat="false" ht="15" hidden="false" customHeight="true" outlineLevel="0" collapsed="false">
      <c r="A50" s="59" t="s">
        <v>278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</row>
  </sheetData>
  <mergeCells count="5">
    <mergeCell ref="A1:K1"/>
    <mergeCell ref="A2:K2"/>
    <mergeCell ref="A25:B25"/>
    <mergeCell ref="D25:I25"/>
    <mergeCell ref="A50:K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2026-07-14T01:10:49Z</dcterms:created>
  <dc:creator>openpyxl</dc:creator>
  <dc:description/>
  <dc:language>en-US</dc:language>
  <cp:lastModifiedBy/>
  <dcterms:modified xsi:type="dcterms:W3CDTF">2026-07-16T22:36:39Z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