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50" windowWidth="17040" windowHeight="15450" tabRatio="600" firstSheet="2" activeTab="2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hidden" r:id="rId2"/>
    <sheet xmlns:r="http://schemas.openxmlformats.org/officeDocument/2006/relationships" name="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;&quot;△ &quot;0"/>
    <numFmt numFmtId="165" formatCode="0.0"/>
    <numFmt numFmtId="166" formatCode="0.0%"/>
    <numFmt numFmtId="167" formatCode="0_ "/>
    <numFmt numFmtId="168" formatCode="#,##0_ "/>
    <numFmt numFmtId="169" formatCode="#,##0;&quot;△ &quot;#,##0"/>
  </numFmts>
  <fonts count="4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2"/>
      <scheme val="minor"/>
    </font>
    <font>
      <name val="Yu Gothic"/>
      <charset val="128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0" fontId="0" fillId="2" borderId="0" pivotButton="0" quotePrefix="0" xfId="0"/>
    <xf numFmtId="49" fontId="0" fillId="0" borderId="1" applyAlignment="1" pivotButton="0" quotePrefix="0" xfId="0">
      <alignment horizontal="right"/>
    </xf>
    <xf numFmtId="167" fontId="0" fillId="0" borderId="1" pivotButton="0" quotePrefix="0" xfId="0"/>
    <xf numFmtId="168" fontId="0" fillId="0" borderId="1" pivotButton="0" quotePrefix="0" xfId="0"/>
    <xf numFmtId="0" fontId="0" fillId="2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9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8" fontId="0" fillId="0" borderId="0" pivotButton="0" quotePrefix="0" xfId="0"/>
    <xf numFmtId="49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169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168" fontId="0" fillId="0" borderId="1" pivotButton="0" quotePrefix="0" xfId="0"/>
    <xf numFmtId="168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給水収益と当期純利益の決算と将来推計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Sheet1!$B$3</f>
              <strCache>
                <ptCount val="1"/>
                <pt idx="0">
                  <v>給水収益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Sheet1!$C$3:$P$3</f>
              <numCache>
                <formatCode>#,##0</formatCode>
                <ptCount val="14"/>
                <pt idx="0">
                  <v>1314</v>
                </pt>
                <pt idx="1">
                  <v>1150</v>
                </pt>
                <pt idx="2">
                  <v>1269</v>
                </pt>
                <pt idx="3">
                  <v>1244</v>
                </pt>
                <pt idx="4">
                  <v>1217</v>
                </pt>
                <pt idx="5">
                  <v>1210</v>
                </pt>
                <pt idx="6">
                  <v>1207</v>
                </pt>
                <pt idx="7">
                  <v>1195</v>
                </pt>
                <pt idx="8">
                  <v>1183</v>
                </pt>
                <pt idx="9">
                  <v>1171</v>
                </pt>
                <pt idx="10">
                  <v>1159</v>
                </pt>
                <pt idx="11">
                  <v>1148</v>
                </pt>
                <pt idx="12">
                  <v>1136</v>
                </pt>
                <pt idx="13">
                  <v>1125</v>
                </pt>
              </numCache>
            </numRef>
          </val>
          <smooth val="0"/>
        </ser>
        <ser>
          <idx val="1"/>
          <order val="1"/>
          <tx>
            <strRef>
              <f>Sheet1!$B$4</f>
              <strCache>
                <ptCount val="1"/>
                <pt idx="0">
                  <v>営業損益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Sheet1!$C$4:$P$4</f>
              <numCache>
                <formatCode>0;"△ "0</formatCode>
                <ptCount val="14"/>
                <pt idx="0">
                  <formatCode>#,##0;"△ "#,##0</formatCode>
                  <v>-26</v>
                </pt>
                <pt idx="1">
                  <v>-283</v>
                </pt>
                <pt idx="2">
                  <v>-210</v>
                </pt>
                <pt idx="3">
                  <v>-170</v>
                </pt>
                <pt idx="4">
                  <v>-223</v>
                </pt>
                <pt idx="5">
                  <v>-249</v>
                </pt>
                <pt idx="6">
                  <v>-366</v>
                </pt>
                <pt idx="7">
                  <v>-383</v>
                </pt>
                <pt idx="8">
                  <v>-425</v>
                </pt>
                <pt idx="9">
                  <v>-442</v>
                </pt>
                <pt idx="10">
                  <v>-461</v>
                </pt>
                <pt idx="11">
                  <v>-468</v>
                </pt>
                <pt idx="12">
                  <v>-463</v>
                </pt>
                <pt idx="13">
                  <v>-474</v>
                </pt>
              </numCache>
            </numRef>
          </val>
          <smooth val="0"/>
        </ser>
        <ser>
          <idx val="2"/>
          <order val="2"/>
          <tx>
            <strRef>
              <f>Sheet1!$B$5</f>
              <strCache>
                <ptCount val="1"/>
                <pt idx="0">
                  <v>当期純利益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Sheet1!$C$5:$P$5</f>
              <numCache>
                <formatCode>0;"△ "0</formatCode>
                <ptCount val="14"/>
                <pt idx="0">
                  <v>103</v>
                </pt>
                <pt idx="1">
                  <v>44</v>
                </pt>
                <pt idx="2">
                  <v>27</v>
                </pt>
                <pt idx="3">
                  <v>65</v>
                </pt>
                <pt idx="4">
                  <v>54</v>
                </pt>
                <pt idx="5">
                  <v>8</v>
                </pt>
                <pt idx="6">
                  <v>13</v>
                </pt>
                <pt idx="7">
                  <v>-1</v>
                </pt>
                <pt idx="8">
                  <v>-49</v>
                </pt>
                <pt idx="9">
                  <v>-60</v>
                </pt>
                <pt idx="10">
                  <v>-79</v>
                </pt>
                <pt idx="11">
                  <v>-96</v>
                </pt>
                <pt idx="12">
                  <v>-109</v>
                </pt>
                <pt idx="13">
                  <v>-127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53328240"/>
        <axId val="1353330736"/>
      </lineChart>
      <catAx>
        <axId val="1353328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30736"/>
        <crosses val="autoZero"/>
        <auto val="1"/>
        <lblAlgn val="ctr"/>
        <lblOffset val="100"/>
        <noMultiLvlLbl val="0"/>
      </catAx>
      <valAx>
        <axId val="1353330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28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514350</colOff>
      <row>6</row>
      <rowOff>66675</rowOff>
    </from>
    <to>
      <col>16</col>
      <colOff>61912</colOff>
      <row>27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9"/>
  <sheetViews>
    <sheetView workbookViewId="0">
      <selection activeCell="E5" sqref="E5:E6"/>
    </sheetView>
  </sheetViews>
  <sheetFormatPr baseColWidth="8" defaultRowHeight="18.75"/>
  <cols>
    <col width="13" bestFit="1" customWidth="1" min="2" max="2"/>
  </cols>
  <sheetData>
    <row r="2" ht="19.5" customHeight="1">
      <c r="B2" s="1" t="inlineStr">
        <is>
          <t>区分</t>
        </is>
      </c>
      <c r="C2" s="13" t="inlineStr">
        <is>
          <t>R3</t>
        </is>
      </c>
      <c r="D2" s="13" t="inlineStr">
        <is>
          <t>R4</t>
        </is>
      </c>
      <c r="E2" s="13" t="inlineStr">
        <is>
          <t>R5</t>
        </is>
      </c>
      <c r="F2" s="13" t="inlineStr">
        <is>
          <t>R6</t>
        </is>
      </c>
      <c r="G2" s="13" t="inlineStr">
        <is>
          <t>R7</t>
        </is>
      </c>
      <c r="H2" s="13" t="inlineStr">
        <is>
          <t>R8</t>
        </is>
      </c>
      <c r="I2" s="13" t="inlineStr">
        <is>
          <t>R9</t>
        </is>
      </c>
      <c r="J2" s="13" t="inlineStr">
        <is>
          <t>R10</t>
        </is>
      </c>
      <c r="K2" s="13" t="inlineStr">
        <is>
          <t>R11</t>
        </is>
      </c>
      <c r="L2" s="13" t="inlineStr">
        <is>
          <t>R12</t>
        </is>
      </c>
      <c r="M2" s="13" t="inlineStr">
        <is>
          <t>R13</t>
        </is>
      </c>
      <c r="N2" s="13" t="inlineStr">
        <is>
          <t>R14</t>
        </is>
      </c>
      <c r="O2" s="13" t="inlineStr">
        <is>
          <t>R15</t>
        </is>
      </c>
      <c r="P2" s="13" t="inlineStr">
        <is>
          <t>R16</t>
        </is>
      </c>
    </row>
    <row r="3" ht="19.5" customHeight="1">
      <c r="B3" s="1" t="inlineStr">
        <is>
          <t>給水収益</t>
        </is>
      </c>
      <c r="C3" s="17" t="n">
        <v>1314</v>
      </c>
      <c r="D3" s="17" t="n">
        <v>1150</v>
      </c>
      <c r="E3" s="17" t="n">
        <v>1269</v>
      </c>
      <c r="F3" s="17" t="n">
        <v>1244</v>
      </c>
      <c r="G3" s="17" t="n">
        <v>1217</v>
      </c>
      <c r="H3" s="17" t="n">
        <v>1210</v>
      </c>
      <c r="I3" s="17" t="n">
        <v>1207</v>
      </c>
      <c r="J3" s="17" t="n">
        <v>1195</v>
      </c>
      <c r="K3" s="17" t="n">
        <v>1183</v>
      </c>
      <c r="L3" s="17" t="n">
        <v>1171</v>
      </c>
      <c r="M3" s="17" t="n">
        <v>1159</v>
      </c>
      <c r="N3" s="17" t="n">
        <v>1148</v>
      </c>
      <c r="O3" s="17" t="n">
        <v>1136</v>
      </c>
      <c r="P3" s="17" t="n">
        <v>1125</v>
      </c>
    </row>
    <row r="4" ht="19.5" customHeight="1">
      <c r="B4" s="1" t="inlineStr">
        <is>
          <t>営業損益</t>
        </is>
      </c>
      <c r="C4" s="26" t="n">
        <v>-26</v>
      </c>
      <c r="D4" s="27" t="n">
        <v>-283</v>
      </c>
      <c r="E4" s="27" t="n">
        <v>-210</v>
      </c>
      <c r="F4" s="27" t="n">
        <v>-170</v>
      </c>
      <c r="G4" s="27" t="n">
        <v>-223</v>
      </c>
      <c r="H4" s="27" t="n">
        <v>-249</v>
      </c>
      <c r="I4" s="27" t="n">
        <v>-366</v>
      </c>
      <c r="J4" s="27" t="n">
        <v>-383</v>
      </c>
      <c r="K4" s="27" t="n">
        <v>-425</v>
      </c>
      <c r="L4" s="27" t="n">
        <v>-442</v>
      </c>
      <c r="M4" s="27" t="n">
        <v>-461</v>
      </c>
      <c r="N4" s="27" t="n">
        <v>-468</v>
      </c>
      <c r="O4" s="27" t="n">
        <v>-463</v>
      </c>
      <c r="P4" s="27" t="n">
        <v>-474</v>
      </c>
    </row>
    <row r="5" ht="19.5" customHeight="1">
      <c r="B5" s="1" t="inlineStr">
        <is>
          <t>当期純利益</t>
        </is>
      </c>
      <c r="C5" s="28" t="n">
        <v>103</v>
      </c>
      <c r="D5" s="28" t="n">
        <v>44</v>
      </c>
      <c r="E5" s="28" t="n">
        <v>27</v>
      </c>
      <c r="F5" s="28" t="n">
        <v>65</v>
      </c>
      <c r="G5" s="28" t="n">
        <v>54</v>
      </c>
      <c r="H5" s="28" t="n">
        <v>8</v>
      </c>
      <c r="I5" s="28" t="n">
        <v>13</v>
      </c>
      <c r="J5" s="27" t="n">
        <v>-1</v>
      </c>
      <c r="K5" s="27" t="n">
        <v>-49</v>
      </c>
      <c r="L5" s="27" t="n">
        <v>-60</v>
      </c>
      <c r="M5" s="27" t="n">
        <v>-79</v>
      </c>
      <c r="N5" s="27" t="n">
        <v>-96</v>
      </c>
      <c r="O5" s="27" t="n">
        <v>-109</v>
      </c>
      <c r="P5" s="27" t="n">
        <v>-127</v>
      </c>
    </row>
    <row r="6">
      <c r="S6" t="inlineStr">
        <is>
          <t>R9とR10はコロナ減免分+30と一借利息の△5を計上する</t>
        </is>
      </c>
    </row>
    <row r="31">
      <c r="C31" t="inlineStr">
        <is>
          <t>決算</t>
        </is>
      </c>
      <c r="D31" s="21" t="inlineStr">
        <is>
          <t>将来推計</t>
        </is>
      </c>
    </row>
    <row r="32">
      <c r="B32" s="1" t="inlineStr">
        <is>
          <t>区分</t>
        </is>
      </c>
      <c r="C32" s="16" t="inlineStr">
        <is>
          <t>Ｒ7</t>
        </is>
      </c>
      <c r="D32" s="16" t="inlineStr">
        <is>
          <t>Ｒ8</t>
        </is>
      </c>
      <c r="E32" s="16" t="inlineStr">
        <is>
          <t>Ｒ9</t>
        </is>
      </c>
      <c r="F32" s="16" t="inlineStr">
        <is>
          <t>Ｒ10</t>
        </is>
      </c>
      <c r="G32" s="16" t="inlineStr">
        <is>
          <t>Ｒ11</t>
        </is>
      </c>
      <c r="H32" s="16" t="inlineStr">
        <is>
          <t>Ｒ12</t>
        </is>
      </c>
      <c r="I32" s="16" t="inlineStr">
        <is>
          <t>Ｒ13</t>
        </is>
      </c>
      <c r="J32" s="16" t="inlineStr">
        <is>
          <t>Ｒ14</t>
        </is>
      </c>
      <c r="K32" s="16" t="inlineStr">
        <is>
          <t>Ｒ15</t>
        </is>
      </c>
      <c r="L32" s="16" t="inlineStr">
        <is>
          <t>Ｒ16</t>
        </is>
      </c>
    </row>
    <row r="33">
      <c r="B33" s="1" t="inlineStr">
        <is>
          <t>経常収支比率</t>
        </is>
      </c>
      <c r="C33" s="1" t="n">
        <v>103.2</v>
      </c>
      <c r="D33" s="1" t="n">
        <v>100.5</v>
      </c>
      <c r="E33" s="1" t="n">
        <v>99.3</v>
      </c>
      <c r="F33" s="1" t="n">
        <v>98.40000000000001</v>
      </c>
      <c r="G33" s="29" t="n">
        <v>97</v>
      </c>
      <c r="H33" s="1" t="n">
        <v>96.3</v>
      </c>
      <c r="I33" s="1" t="n">
        <v>95.2</v>
      </c>
      <c r="J33" s="1" t="n">
        <v>94.09999999999999</v>
      </c>
      <c r="K33" s="1" t="n">
        <v>93.2</v>
      </c>
      <c r="L33" s="1" t="n">
        <v>92.09999999999999</v>
      </c>
    </row>
    <row r="34">
      <c r="B34" s="1" t="inlineStr">
        <is>
          <t>料金回収率</t>
        </is>
      </c>
      <c r="C34" s="29" t="n">
        <v>93</v>
      </c>
      <c r="D34" s="29" t="n">
        <v>91</v>
      </c>
      <c r="E34" s="1" t="n">
        <v>91.59999999999999</v>
      </c>
      <c r="F34" s="1" t="n">
        <v>90.7</v>
      </c>
      <c r="G34" s="1" t="n">
        <v>89.2</v>
      </c>
      <c r="H34" s="29" t="n">
        <v>88</v>
      </c>
      <c r="I34" s="1" t="n">
        <v>86.8</v>
      </c>
      <c r="J34" s="1" t="n">
        <v>85.59999999999999</v>
      </c>
      <c r="K34" s="1" t="n">
        <v>84.8</v>
      </c>
      <c r="L34" s="1" t="n">
        <v>83.59999999999999</v>
      </c>
    </row>
    <row r="37">
      <c r="B37" s="5" t="n"/>
    </row>
    <row r="38">
      <c r="B38" s="5" t="n"/>
    </row>
    <row r="39">
      <c r="B39" s="5" t="n"/>
    </row>
  </sheetData>
  <mergeCells count="1">
    <mergeCell ref="D31:L3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D1" workbookViewId="0">
      <selection activeCell="E5" sqref="E5:E6"/>
    </sheetView>
  </sheetViews>
  <sheetFormatPr baseColWidth="8" defaultRowHeight="18.75"/>
  <cols>
    <col width="12.75" customWidth="1" min="2" max="2"/>
    <col width="14.875" customWidth="1" min="3" max="3"/>
    <col width="17.75" customWidth="1" min="4" max="4"/>
    <col width="15.25" bestFit="1" customWidth="1" min="5" max="5"/>
    <col width="11" bestFit="1" customWidth="1" min="7" max="8"/>
    <col width="18.5" customWidth="1" min="16" max="16"/>
  </cols>
  <sheetData>
    <row r="1">
      <c r="G1" s="8" t="n"/>
      <c r="H1" s="8" t="n"/>
      <c r="I1" s="8" t="n"/>
      <c r="J1" s="8" t="n"/>
      <c r="K1" s="8" t="n"/>
      <c r="L1" s="8" t="n"/>
      <c r="M1" s="8" t="n"/>
      <c r="N1" s="12" t="inlineStr">
        <is>
          <t>(単位：百万円）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12" t="inlineStr">
        <is>
          <t>（単位：百万円）</t>
        </is>
      </c>
    </row>
    <row r="2">
      <c r="B2" s="16" t="inlineStr">
        <is>
          <t>資産維持費</t>
        </is>
      </c>
      <c r="C2" s="16" t="inlineStr">
        <is>
          <t>必要改定率</t>
        </is>
      </c>
      <c r="D2" s="16" t="inlineStr">
        <is>
          <t>Ｒ11経常収支比率</t>
        </is>
      </c>
      <c r="E2" s="16" t="inlineStr">
        <is>
          <t>Ｒ11料金回収率</t>
        </is>
      </c>
      <c r="G2" s="16" t="inlineStr">
        <is>
          <t>資産維持費</t>
        </is>
      </c>
      <c r="H2" s="16" t="inlineStr">
        <is>
          <t>必要改定率</t>
        </is>
      </c>
      <c r="I2" s="16" t="inlineStr">
        <is>
          <t>R11</t>
        </is>
      </c>
      <c r="J2" s="16" t="inlineStr">
        <is>
          <t>R12</t>
        </is>
      </c>
      <c r="K2" s="16" t="inlineStr">
        <is>
          <t>R13</t>
        </is>
      </c>
      <c r="L2" s="16" t="inlineStr">
        <is>
          <t>R14</t>
        </is>
      </c>
      <c r="M2" s="16" t="inlineStr">
        <is>
          <t>R15</t>
        </is>
      </c>
      <c r="N2" s="16" t="inlineStr">
        <is>
          <t>R16</t>
        </is>
      </c>
      <c r="P2" s="1" t="n"/>
      <c r="Q2" s="16" t="inlineStr">
        <is>
          <t>R8</t>
        </is>
      </c>
      <c r="R2" s="16" t="inlineStr">
        <is>
          <t>R9</t>
        </is>
      </c>
      <c r="S2" s="16" t="inlineStr">
        <is>
          <t>R10</t>
        </is>
      </c>
      <c r="T2" s="16" t="inlineStr">
        <is>
          <t>R11</t>
        </is>
      </c>
      <c r="U2" s="16" t="inlineStr">
        <is>
          <t>R12</t>
        </is>
      </c>
      <c r="V2" s="16" t="inlineStr">
        <is>
          <t>R13</t>
        </is>
      </c>
      <c r="W2" s="16" t="inlineStr">
        <is>
          <t>R14</t>
        </is>
      </c>
      <c r="X2" s="16" t="inlineStr">
        <is>
          <t>R15</t>
        </is>
      </c>
      <c r="Y2" s="16" t="inlineStr">
        <is>
          <t>R16</t>
        </is>
      </c>
    </row>
    <row r="3">
      <c r="B3" s="6" t="n">
        <v>0</v>
      </c>
      <c r="C3" s="30" t="n">
        <v>0.073</v>
      </c>
      <c r="D3" s="30" t="n">
        <v>1.077</v>
      </c>
      <c r="E3" s="30" t="n">
        <v>0.956</v>
      </c>
      <c r="G3" s="6" t="n">
        <v>0</v>
      </c>
      <c r="H3" s="9" t="inlineStr">
        <is>
          <t>7.3%</t>
        </is>
      </c>
      <c r="I3" s="31" t="n">
        <v>123</v>
      </c>
      <c r="J3" s="31" t="n">
        <v>111</v>
      </c>
      <c r="K3" s="31" t="n">
        <v>90</v>
      </c>
      <c r="L3" s="31" t="n">
        <v>71</v>
      </c>
      <c r="M3" s="31" t="n">
        <v>56</v>
      </c>
      <c r="N3" s="31" t="n">
        <v>37</v>
      </c>
      <c r="P3" s="23" t="inlineStr">
        <is>
          <t>資本的収支不足額
補填財源残高</t>
        </is>
      </c>
      <c r="Q3" s="32" t="n">
        <v>72</v>
      </c>
      <c r="R3" s="32" t="n">
        <v>-26</v>
      </c>
      <c r="S3" s="32" t="n">
        <v>-83</v>
      </c>
      <c r="T3" s="32" t="n">
        <v>-126</v>
      </c>
      <c r="U3" s="32" t="n">
        <v>-107</v>
      </c>
      <c r="V3" s="32" t="n">
        <v>-87</v>
      </c>
      <c r="W3" s="32" t="n">
        <v>-77</v>
      </c>
      <c r="X3" s="32" t="n">
        <v>-90</v>
      </c>
      <c r="Y3" s="32" t="n">
        <v>-123</v>
      </c>
    </row>
    <row r="4">
      <c r="B4" s="6" t="n">
        <v>0.01</v>
      </c>
      <c r="C4" s="30" t="n">
        <v>0.215</v>
      </c>
      <c r="D4" s="30" t="n">
        <v>1.286</v>
      </c>
      <c r="E4" s="30" t="n">
        <v>1.083</v>
      </c>
      <c r="G4" s="6" t="n">
        <v>0.01</v>
      </c>
      <c r="H4" s="9" t="inlineStr">
        <is>
          <t>21.5%</t>
        </is>
      </c>
      <c r="I4" s="31" t="n">
        <v>459</v>
      </c>
      <c r="J4" s="31" t="n">
        <v>443</v>
      </c>
      <c r="K4" s="31" t="n">
        <v>419</v>
      </c>
      <c r="L4" s="31" t="n">
        <v>397</v>
      </c>
      <c r="M4" s="31" t="n">
        <v>379</v>
      </c>
      <c r="N4" s="31" t="n">
        <v>356</v>
      </c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</row>
    <row r="5">
      <c r="B5" s="6" t="n">
        <v>0.02</v>
      </c>
      <c r="C5" s="30" t="n">
        <v>0.357</v>
      </c>
      <c r="D5" s="30" t="n">
        <v>1.495</v>
      </c>
      <c r="E5" s="30" t="n">
        <v>1.209</v>
      </c>
      <c r="G5" s="6" t="n">
        <v>0.02</v>
      </c>
      <c r="H5" s="9" t="inlineStr">
        <is>
          <t>35.7%</t>
        </is>
      </c>
      <c r="I5" s="31" t="n">
        <v>795</v>
      </c>
      <c r="J5" s="31" t="n">
        <v>776</v>
      </c>
      <c r="K5" s="31" t="n">
        <v>748</v>
      </c>
      <c r="L5" s="31" t="n">
        <v>722</v>
      </c>
      <c r="M5" s="31" t="n">
        <v>701</v>
      </c>
      <c r="N5" s="31" t="n">
        <v>676</v>
      </c>
    </row>
    <row r="6">
      <c r="B6" s="6" t="n">
        <v>0.03</v>
      </c>
      <c r="C6" s="30" t="n">
        <v>0.498</v>
      </c>
      <c r="D6" s="30" t="n">
        <v>1.703</v>
      </c>
      <c r="E6" s="30" t="n">
        <v>1.336</v>
      </c>
      <c r="G6" s="6" t="n">
        <v>0.03</v>
      </c>
      <c r="H6" s="9" t="inlineStr">
        <is>
          <t>49.8%</t>
        </is>
      </c>
      <c r="I6" s="34" t="n">
        <v>1130</v>
      </c>
      <c r="J6" s="34" t="n">
        <v>1108</v>
      </c>
      <c r="K6" s="34" t="n">
        <v>1077</v>
      </c>
      <c r="L6" s="34" t="n">
        <v>1048</v>
      </c>
      <c r="M6" s="34" t="n">
        <v>1024</v>
      </c>
      <c r="N6" s="34" t="n">
        <v>995</v>
      </c>
    </row>
  </sheetData>
  <mergeCells count="10">
    <mergeCell ref="P3:P4"/>
    <mergeCell ref="V3:V4"/>
    <mergeCell ref="Q3:Q4"/>
    <mergeCell ref="R3:R4"/>
    <mergeCell ref="T3:T4"/>
    <mergeCell ref="S3:S4"/>
    <mergeCell ref="Y3:Y4"/>
    <mergeCell ref="X3:X4"/>
    <mergeCell ref="W3:W4"/>
    <mergeCell ref="U3:U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1"/>
  <sheetViews>
    <sheetView tabSelected="1" workbookViewId="0">
      <selection activeCell="B12" sqref="B12"/>
    </sheetView>
  </sheetViews>
  <sheetFormatPr baseColWidth="8" defaultRowHeight="18.75"/>
  <cols>
    <col width="11.125" bestFit="1" customWidth="1" min="2" max="2"/>
    <col width="6" bestFit="1" customWidth="1" min="3" max="3"/>
    <col width="9" bestFit="1" customWidth="1" style="35" min="4" max="4"/>
  </cols>
  <sheetData>
    <row r="1">
      <c r="B1" t="inlineStr">
        <is>
          <t>当期純利益</t>
        </is>
      </c>
      <c r="J1" s="18" t="inlineStr">
        <is>
          <t>（単位：百万円）</t>
        </is>
      </c>
    </row>
    <row r="2" ht="18" customHeight="1">
      <c r="B2" s="1" t="n"/>
      <c r="C2" s="1" t="inlineStr">
        <is>
          <t>口径</t>
        </is>
      </c>
      <c r="D2" s="34" t="inlineStr">
        <is>
          <t>基本料金</t>
        </is>
      </c>
      <c r="E2" s="16" t="inlineStr">
        <is>
          <t>R11</t>
        </is>
      </c>
      <c r="F2" s="16" t="inlineStr">
        <is>
          <t>R12</t>
        </is>
      </c>
      <c r="G2" s="16" t="inlineStr">
        <is>
          <t>R13</t>
        </is>
      </c>
      <c r="H2" s="16" t="inlineStr">
        <is>
          <t>R14</t>
        </is>
      </c>
      <c r="I2" s="16" t="inlineStr">
        <is>
          <t>R15</t>
        </is>
      </c>
      <c r="J2" s="16" t="inlineStr">
        <is>
          <t>R16</t>
        </is>
      </c>
    </row>
    <row r="3">
      <c r="B3" s="24" t="inlineStr">
        <is>
          <t>現行料金</t>
        </is>
      </c>
      <c r="C3" s="20" t="inlineStr">
        <is>
          <t>13,20</t>
        </is>
      </c>
      <c r="D3" s="34" t="inlineStr">
        <is>
          <t>1826円</t>
        </is>
      </c>
      <c r="E3" s="32" t="n">
        <v>-49</v>
      </c>
      <c r="F3" s="32" t="n">
        <v>-60</v>
      </c>
      <c r="G3" s="32" t="n">
        <v>-79</v>
      </c>
      <c r="H3" s="32" t="n">
        <v>-96</v>
      </c>
      <c r="I3" s="32" t="n">
        <v>-109</v>
      </c>
      <c r="J3" s="32" t="n">
        <v>-127</v>
      </c>
    </row>
    <row r="4">
      <c r="B4" s="33" t="n"/>
      <c r="C4" s="20" t="n">
        <v>25</v>
      </c>
      <c r="D4" s="34" t="inlineStr">
        <is>
          <t>3289円</t>
        </is>
      </c>
      <c r="E4" s="33" t="n"/>
      <c r="F4" s="33" t="n"/>
      <c r="G4" s="33" t="n"/>
      <c r="H4" s="33" t="n"/>
      <c r="I4" s="33" t="n"/>
      <c r="J4" s="33" t="n"/>
    </row>
    <row r="5">
      <c r="B5" s="24" t="inlineStr">
        <is>
          <t>改定率10％</t>
        </is>
      </c>
      <c r="C5" s="20" t="inlineStr">
        <is>
          <t>13,20</t>
        </is>
      </c>
      <c r="D5" s="34" t="inlineStr">
        <is>
          <t>2008円</t>
        </is>
      </c>
      <c r="E5" s="25" t="n">
        <v>188</v>
      </c>
      <c r="F5" s="25" t="n">
        <v>175</v>
      </c>
      <c r="G5" s="25" t="n">
        <v>153</v>
      </c>
      <c r="H5" s="25" t="n">
        <v>134</v>
      </c>
      <c r="I5" s="25" t="n">
        <v>118</v>
      </c>
      <c r="J5" s="25" t="n">
        <v>99</v>
      </c>
    </row>
    <row r="6">
      <c r="B6" s="33" t="n"/>
      <c r="C6" s="20" t="n">
        <v>25</v>
      </c>
      <c r="D6" s="34" t="inlineStr">
        <is>
          <t>3617円</t>
        </is>
      </c>
      <c r="E6" s="33" t="n"/>
      <c r="F6" s="33" t="n"/>
      <c r="G6" s="33" t="n"/>
      <c r="H6" s="33" t="n"/>
      <c r="I6" s="33" t="n"/>
      <c r="J6" s="33" t="n"/>
    </row>
    <row r="7">
      <c r="B7" s="24" t="inlineStr">
        <is>
          <t>改定率20％</t>
        </is>
      </c>
      <c r="C7" s="20" t="inlineStr">
        <is>
          <t>13,20</t>
        </is>
      </c>
      <c r="D7" s="34" t="inlineStr">
        <is>
          <t>2191円</t>
        </is>
      </c>
      <c r="E7" s="25" t="n">
        <v>424</v>
      </c>
      <c r="F7" s="25" t="n">
        <v>409</v>
      </c>
      <c r="G7" s="25" t="n">
        <v>385</v>
      </c>
      <c r="H7" s="25" t="n">
        <v>363</v>
      </c>
      <c r="I7" s="25" t="n">
        <v>345</v>
      </c>
      <c r="J7" s="25" t="n">
        <v>323</v>
      </c>
    </row>
    <row r="8">
      <c r="B8" s="33" t="n"/>
      <c r="C8" s="20" t="n">
        <v>25</v>
      </c>
      <c r="D8" s="34" t="inlineStr">
        <is>
          <t>3946円</t>
        </is>
      </c>
      <c r="E8" s="33" t="n"/>
      <c r="F8" s="33" t="n"/>
      <c r="G8" s="33" t="n"/>
      <c r="H8" s="33" t="n"/>
      <c r="I8" s="33" t="n"/>
      <c r="J8" s="33" t="n"/>
    </row>
    <row r="9">
      <c r="B9" s="24" t="inlineStr">
        <is>
          <t>改定率30％</t>
        </is>
      </c>
      <c r="C9" s="20" t="inlineStr">
        <is>
          <t>13,20</t>
        </is>
      </c>
      <c r="D9" s="34" t="inlineStr">
        <is>
          <t>2373円</t>
        </is>
      </c>
      <c r="E9" s="25" t="n">
        <v>661</v>
      </c>
      <c r="F9" s="25" t="n">
        <v>643</v>
      </c>
      <c r="G9" s="25" t="n">
        <v>617</v>
      </c>
      <c r="H9" s="25" t="n">
        <v>593</v>
      </c>
      <c r="I9" s="25" t="n">
        <v>573</v>
      </c>
      <c r="J9" s="25" t="n">
        <v>548</v>
      </c>
    </row>
    <row r="10">
      <c r="B10" s="33" t="n"/>
      <c r="C10" s="20" t="n">
        <v>25</v>
      </c>
      <c r="D10" s="34" t="inlineStr">
        <is>
          <t>4275円</t>
        </is>
      </c>
      <c r="E10" s="33" t="n"/>
      <c r="F10" s="33" t="n"/>
      <c r="G10" s="33" t="n"/>
      <c r="H10" s="33" t="n"/>
      <c r="I10" s="33" t="n"/>
      <c r="J10" s="33" t="n"/>
    </row>
    <row r="11">
      <c r="B11" t="inlineStr">
        <is>
          <t>※口径、基本料金は主に一般家庭を例に掲載</t>
        </is>
      </c>
    </row>
  </sheetData>
  <mergeCells count="28">
    <mergeCell ref="E5:E6"/>
    <mergeCell ref="H9:H10"/>
    <mergeCell ref="J9:J10"/>
    <mergeCell ref="B3:B4"/>
    <mergeCell ref="F3:F4"/>
    <mergeCell ref="G7:G8"/>
    <mergeCell ref="I7:I8"/>
    <mergeCell ref="F5:F6"/>
    <mergeCell ref="E9:E10"/>
    <mergeCell ref="G3:G4"/>
    <mergeCell ref="I3:I4"/>
    <mergeCell ref="H7:H8"/>
    <mergeCell ref="J7:J8"/>
    <mergeCell ref="I5:I6"/>
    <mergeCell ref="G5:G6"/>
    <mergeCell ref="B9:B10"/>
    <mergeCell ref="F9:F10"/>
    <mergeCell ref="H3:H4"/>
    <mergeCell ref="J3:J4"/>
    <mergeCell ref="E7:E8"/>
    <mergeCell ref="B5:B6"/>
    <mergeCell ref="G9:G10"/>
    <mergeCell ref="H5:H6"/>
    <mergeCell ref="I9:I10"/>
    <mergeCell ref="J5:J6"/>
    <mergeCell ref="E3:E4"/>
    <mergeCell ref="B7:B8"/>
    <mergeCell ref="F7:F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2026-10-23T07:21:12Z</dcterms:modified>
  <cp:lastModifiedBy>Administrator</cp:lastModifiedBy>
</cp:coreProperties>
</file>