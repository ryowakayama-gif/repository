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0.10.6.155\7010ki-soum\財務係文書\◎【重要！！】市長説明用の経営分析\R8年度協議\"/>
    </mc:Choice>
  </mc:AlternateContent>
  <xr:revisionPtr revIDLastSave="0" documentId="13_ncr:1_{2197E958-542F-4D9C-9CF6-3D98076ADA69}" xr6:coauthVersionLast="47" xr6:coauthVersionMax="47" xr10:uidLastSave="{00000000-0000-0000-0000-000000000000}"/>
  <bookViews>
    <workbookView xWindow="1950" yWindow="750" windowWidth="17040" windowHeight="15450" firstSheet="2" activeTab="2" xr2:uid="{00000000-000D-0000-FFFF-FFFF00000000}"/>
  </bookViews>
  <sheets>
    <sheet name="Sheet1" sheetId="1" state="hidden" r:id="rId1"/>
    <sheet name="Sheet2" sheetId="2" state="hidden" r:id="rId2"/>
    <sheet name="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<sst xmlns="http://schemas.openxmlformats.org/spreadsheetml/2006/main" count="89" uniqueCount="68">
  <si>
    <t>給水収益</t>
    <rPh sb="0" eb="2">
      <t>キュウスイ</t>
    </rPh>
    <rPh sb="2" eb="4">
      <t>シュウエキ</t>
    </rPh>
    <phoneticPr fontId="1"/>
  </si>
  <si>
    <t>営業損益</t>
    <rPh sb="0" eb="2">
      <t>エイギョウ</t>
    </rPh>
    <rPh sb="2" eb="4">
      <t>ソンエキ</t>
    </rPh>
    <phoneticPr fontId="1"/>
  </si>
  <si>
    <t>当期純利益</t>
    <rPh sb="0" eb="5">
      <t>トウキジュンリエキ</t>
    </rPh>
    <phoneticPr fontId="1"/>
  </si>
  <si>
    <t>R3</t>
    <phoneticPr fontId="1"/>
  </si>
  <si>
    <t>R4</t>
    <phoneticPr fontId="1"/>
  </si>
  <si>
    <t>R5</t>
    <phoneticPr fontId="1"/>
  </si>
  <si>
    <t>R6</t>
    <phoneticPr fontId="1"/>
  </si>
  <si>
    <t>R7</t>
    <phoneticPr fontId="1"/>
  </si>
  <si>
    <t>R8</t>
    <phoneticPr fontId="1"/>
  </si>
  <si>
    <t>R9</t>
  </si>
  <si>
    <t>R10</t>
  </si>
  <si>
    <t>R11</t>
  </si>
  <si>
    <t>R13</t>
  </si>
  <si>
    <t>R14</t>
  </si>
  <si>
    <t>R15</t>
  </si>
  <si>
    <t>R16</t>
  </si>
  <si>
    <t>R12</t>
    <phoneticPr fontId="1"/>
  </si>
  <si>
    <t>区分</t>
    <rPh sb="0" eb="2">
      <t>クブン</t>
    </rPh>
    <phoneticPr fontId="1"/>
  </si>
  <si>
    <t>経常収支比率</t>
    <rPh sb="0" eb="6">
      <t>ケイジョウシュウシヒリツ</t>
    </rPh>
    <phoneticPr fontId="1"/>
  </si>
  <si>
    <t>料金回収率</t>
    <rPh sb="0" eb="5">
      <t>リョウキンカイシュウリツ</t>
    </rPh>
    <phoneticPr fontId="1"/>
  </si>
  <si>
    <t>Ｒ7</t>
    <phoneticPr fontId="1"/>
  </si>
  <si>
    <t>Ｒ8</t>
    <phoneticPr fontId="1"/>
  </si>
  <si>
    <t>Ｒ9</t>
  </si>
  <si>
    <t>Ｒ10</t>
  </si>
  <si>
    <t>Ｒ11</t>
  </si>
  <si>
    <t>Ｒ12</t>
  </si>
  <si>
    <t>Ｒ13</t>
  </si>
  <si>
    <t>Ｒ14</t>
  </si>
  <si>
    <t>Ｒ15</t>
  </si>
  <si>
    <t>Ｒ16</t>
  </si>
  <si>
    <t>決算</t>
    <rPh sb="0" eb="2">
      <t>ケッサン</t>
    </rPh>
    <phoneticPr fontId="1"/>
  </si>
  <si>
    <t>将来推計</t>
    <rPh sb="0" eb="2">
      <t>ショウライ</t>
    </rPh>
    <rPh sb="2" eb="4">
      <t>スイケイ</t>
    </rPh>
    <phoneticPr fontId="1"/>
  </si>
  <si>
    <t>必要改定率</t>
    <rPh sb="0" eb="2">
      <t>ヒツヨウ</t>
    </rPh>
    <rPh sb="2" eb="5">
      <t>カイテイリツ</t>
    </rPh>
    <phoneticPr fontId="1"/>
  </si>
  <si>
    <t>Ｒ11経常収支比率</t>
    <rPh sb="3" eb="9">
      <t>ケイジョウシュウシヒリツ</t>
    </rPh>
    <phoneticPr fontId="1"/>
  </si>
  <si>
    <t>Ｒ11料金回収率</t>
    <rPh sb="3" eb="5">
      <t>リョウキン</t>
    </rPh>
    <rPh sb="5" eb="8">
      <t>カイシュウリツ</t>
    </rPh>
    <phoneticPr fontId="1"/>
  </si>
  <si>
    <t>資産維持費</t>
    <rPh sb="0" eb="2">
      <t>シサン</t>
    </rPh>
    <rPh sb="2" eb="5">
      <t>イジヒ</t>
    </rPh>
    <phoneticPr fontId="1"/>
  </si>
  <si>
    <t>R11</t>
    <phoneticPr fontId="1"/>
  </si>
  <si>
    <t>R13</t>
    <phoneticPr fontId="1"/>
  </si>
  <si>
    <t>R14</t>
    <phoneticPr fontId="1"/>
  </si>
  <si>
    <t>R15</t>
    <phoneticPr fontId="1"/>
  </si>
  <si>
    <t>R16</t>
    <phoneticPr fontId="1"/>
  </si>
  <si>
    <t>7.3%</t>
    <phoneticPr fontId="1"/>
  </si>
  <si>
    <t>21.5%</t>
    <phoneticPr fontId="1"/>
  </si>
  <si>
    <t>35.7%</t>
    <phoneticPr fontId="1"/>
  </si>
  <si>
    <t>49.8%</t>
    <phoneticPr fontId="1"/>
  </si>
  <si>
    <t>(単位：百万円）</t>
    <rPh sb="1" eb="3">
      <t>タンイ</t>
    </rPh>
    <rPh sb="4" eb="7">
      <t>ヒャクマンエン</t>
    </rPh>
    <phoneticPr fontId="1"/>
  </si>
  <si>
    <t>R9</t>
    <phoneticPr fontId="1"/>
  </si>
  <si>
    <t>R10</t>
    <phoneticPr fontId="1"/>
  </si>
  <si>
    <t>（単位：百万円）</t>
    <rPh sb="1" eb="3">
      <t>タンイ</t>
    </rPh>
    <rPh sb="4" eb="7">
      <t>ヒャクマンエン</t>
    </rPh>
    <phoneticPr fontId="1"/>
  </si>
  <si>
    <t>資本的収支不足額
補填財源残高</t>
    <rPh sb="0" eb="2">
      <t>シホン</t>
    </rPh>
    <rPh sb="2" eb="3">
      <t>テキ</t>
    </rPh>
    <rPh sb="3" eb="5">
      <t>シュウシ</t>
    </rPh>
    <rPh sb="5" eb="8">
      <t>フソクガク</t>
    </rPh>
    <rPh sb="9" eb="13">
      <t>ホテンザイゲン</t>
    </rPh>
    <rPh sb="13" eb="15">
      <t>ザンダカ</t>
    </rPh>
    <phoneticPr fontId="1"/>
  </si>
  <si>
    <t>R9とR10はコロナ減免分+30と一借利息の△5を計上する</t>
    <rPh sb="10" eb="13">
      <t>ゲンメンブン</t>
    </rPh>
    <rPh sb="17" eb="18">
      <t>イチ</t>
    </rPh>
    <rPh sb="18" eb="19">
      <t>シャク</t>
    </rPh>
    <rPh sb="19" eb="21">
      <t>リソク</t>
    </rPh>
    <rPh sb="25" eb="27">
      <t>ケイジョウ</t>
    </rPh>
    <phoneticPr fontId="1"/>
  </si>
  <si>
    <t>現行料金</t>
    <rPh sb="0" eb="2">
      <t>ゲンコウ</t>
    </rPh>
    <rPh sb="2" eb="4">
      <t>リョウキン</t>
    </rPh>
    <phoneticPr fontId="1"/>
  </si>
  <si>
    <t>改定率10％</t>
    <rPh sb="0" eb="3">
      <t>カイテイリツ</t>
    </rPh>
    <phoneticPr fontId="1"/>
  </si>
  <si>
    <t>1826円</t>
    <rPh sb="4" eb="5">
      <t>エン</t>
    </rPh>
    <phoneticPr fontId="1"/>
  </si>
  <si>
    <t>3289円</t>
    <rPh sb="4" eb="5">
      <t>エン</t>
    </rPh>
    <phoneticPr fontId="1"/>
  </si>
  <si>
    <t>2008円</t>
    <rPh sb="4" eb="5">
      <t>エン</t>
    </rPh>
    <phoneticPr fontId="1"/>
  </si>
  <si>
    <t>3617円</t>
    <rPh sb="4" eb="5">
      <t>エン</t>
    </rPh>
    <phoneticPr fontId="1"/>
  </si>
  <si>
    <t>改定率20％</t>
    <rPh sb="0" eb="3">
      <t>カイテイリツ</t>
    </rPh>
    <phoneticPr fontId="1"/>
  </si>
  <si>
    <t>2191円</t>
    <rPh sb="4" eb="5">
      <t>エン</t>
    </rPh>
    <phoneticPr fontId="1"/>
  </si>
  <si>
    <t>3946円</t>
    <rPh sb="4" eb="5">
      <t>エン</t>
    </rPh>
    <phoneticPr fontId="1"/>
  </si>
  <si>
    <t>改定率30％</t>
    <rPh sb="0" eb="3">
      <t>カイテイリツ</t>
    </rPh>
    <phoneticPr fontId="1"/>
  </si>
  <si>
    <t>2373円</t>
    <rPh sb="4" eb="5">
      <t>エン</t>
    </rPh>
    <phoneticPr fontId="1"/>
  </si>
  <si>
    <t>4275円</t>
    <rPh sb="4" eb="5">
      <t>エン</t>
    </rPh>
    <phoneticPr fontId="1"/>
  </si>
  <si>
    <t>当期純利益</t>
    <rPh sb="0" eb="2">
      <t>トウキ</t>
    </rPh>
    <rPh sb="2" eb="5">
      <t>ジュンリエキ</t>
    </rPh>
    <phoneticPr fontId="1"/>
  </si>
  <si>
    <t>基本料金</t>
    <rPh sb="0" eb="4">
      <t>キホンリョウキン</t>
    </rPh>
    <phoneticPr fontId="1"/>
  </si>
  <si>
    <t>口径</t>
    <rPh sb="0" eb="2">
      <t>コウケイ</t>
    </rPh>
    <phoneticPr fontId="1"/>
  </si>
  <si>
    <t>13,20</t>
    <phoneticPr fontId="1"/>
  </si>
  <si>
    <t>※口径、基本料金は主に一般家庭を例に掲載</t>
    <rPh sb="1" eb="3">
      <t>コウケイ</t>
    </rPh>
    <rPh sb="4" eb="8">
      <t>キホンリョウキン</t>
    </rPh>
    <rPh sb="9" eb="10">
      <t>オモ</t>
    </rPh>
    <rPh sb="11" eb="15">
      <t>イッパンカテイ</t>
    </rPh>
    <rPh sb="16" eb="17">
      <t>レイ</t>
    </rPh>
    <rPh sb="18" eb="20">
      <t>ケイサイ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</si>
</sst>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;&quot;△ &quot;0"/>
    <numFmt numFmtId="177" formatCode="0.0"/>
    <numFmt numFmtId="178" formatCode="0.0%"/>
    <numFmt numFmtId="179" formatCode="#,##0_ "/>
    <numFmt numFmtId="180" formatCode="0_ "/>
    <numFmt numFmtId="181" formatCode="#,##0;&quot;△ &quot;#,##0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theme="1"/>
      <name val="Yu Gothic"/>
      <family val="2"/>
      <scheme val="minor"/>
    </font>
    <font>
      <sz val="12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76" fontId="3" fillId="0" borderId="1" xfId="0" applyNumberFormat="1" applyFont="1" applyBorder="1"/>
    <xf numFmtId="176" fontId="2" fillId="0" borderId="1" xfId="0" applyNumberFormat="1" applyFont="1" applyBorder="1"/>
    <xf numFmtId="177" fontId="0" fillId="0" borderId="1" xfId="0" applyNumberFormat="1" applyBorder="1"/>
    <xf numFmtId="9" fontId="0" fillId="0" borderId="0" xfId="0" applyNumberFormat="1"/>
    <xf numFmtId="9" fontId="0" fillId="0" borderId="1" xfId="0" applyNumberFormat="1" applyBorder="1"/>
    <xf numFmtId="178" fontId="0" fillId="0" borderId="1" xfId="0" applyNumberFormat="1" applyBorder="1"/>
    <xf numFmtId="0" fontId="0" fillId="2" borderId="0" xfId="0" applyFill="1"/>
    <xf numFmtId="49" fontId="0" fillId="0" borderId="1" xfId="0" applyNumberFormat="1" applyBorder="1" applyAlignment="1">
      <alignment horizontal="right"/>
    </xf>
    <xf numFmtId="180" fontId="0" fillId="0" borderId="1" xfId="0" applyNumberFormat="1" applyBorder="1"/>
    <xf numFmtId="179" fontId="0" fillId="0" borderId="1" xfId="0" applyNumberFormat="1" applyBorder="1"/>
    <xf numFmtId="0" fontId="0" fillId="2" borderId="0" xfId="0" applyFill="1" applyAlignment="1">
      <alignment horizontal="right"/>
    </xf>
    <xf numFmtId="0" fontId="2" fillId="0" borderId="1" xfId="0" applyFont="1" applyBorder="1" applyAlignment="1">
      <alignment horizontal="center"/>
    </xf>
    <xf numFmtId="181" fontId="3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79" fontId="0" fillId="0" borderId="0" xfId="0" applyNumberFormat="1"/>
    <xf numFmtId="49" fontId="0" fillId="0" borderId="1" xfId="0" applyNumberFormat="1" applyBorder="1"/>
    <xf numFmtId="0" fontId="0" fillId="0" borderId="0" xfId="0" applyAlignment="1">
      <alignment horizontal="center"/>
    </xf>
    <xf numFmtId="17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給水収益と当期純利益の決算と将来推計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給水収益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Sheet1!$C$2:$P$2</c:f>
              <c:strCache>
                <c:ptCount val="14"/>
                <c:pt idx="0">
                  <c:v>R3</c:v>
                </c:pt>
                <c:pt idx="1">
                  <c:v>R4</c:v>
                </c:pt>
                <c:pt idx="2">
                  <c:v>R5</c:v>
                </c:pt>
                <c:pt idx="3">
                  <c:v>R6</c:v>
                </c:pt>
                <c:pt idx="4">
                  <c:v>R7</c:v>
                </c:pt>
                <c:pt idx="5">
                  <c:v>R8</c:v>
                </c:pt>
                <c:pt idx="6">
                  <c:v>R9</c:v>
                </c:pt>
                <c:pt idx="7">
                  <c:v>R10</c:v>
                </c:pt>
                <c:pt idx="8">
                  <c:v>R11</c:v>
                </c:pt>
                <c:pt idx="9">
                  <c:v>R12</c:v>
                </c:pt>
                <c:pt idx="10">
                  <c:v>R13</c:v>
                </c:pt>
                <c:pt idx="11">
                  <c:v>R14</c:v>
                </c:pt>
                <c:pt idx="12">
                  <c:v>R15</c:v>
                </c:pt>
                <c:pt idx="13">
                  <c:v>R16</c:v>
                </c:pt>
              </c:strCache>
            </c:strRef>
          </c:cat>
          <c:val>
            <c:numRef>
              <c:f>Sheet1!$C$3:$P$3</c:f>
              <c:numCache>
                <c:formatCode>#,##0</c:formatCode>
                <c:ptCount val="14"/>
                <c:pt idx="0">
                  <c:v>1314</c:v>
                </c:pt>
                <c:pt idx="1">
                  <c:v>1150</c:v>
                </c:pt>
                <c:pt idx="2">
                  <c:v>1269</c:v>
                </c:pt>
                <c:pt idx="3">
                  <c:v>1244</c:v>
                </c:pt>
                <c:pt idx="4">
                  <c:v>1217</c:v>
                </c:pt>
                <c:pt idx="5">
                  <c:v>1210</c:v>
                </c:pt>
                <c:pt idx="6">
                  <c:v>1207</c:v>
                </c:pt>
                <c:pt idx="7">
                  <c:v>1195</c:v>
                </c:pt>
                <c:pt idx="8">
                  <c:v>1183</c:v>
                </c:pt>
                <c:pt idx="9">
                  <c:v>1171</c:v>
                </c:pt>
                <c:pt idx="10">
                  <c:v>1159</c:v>
                </c:pt>
                <c:pt idx="11">
                  <c:v>1148</c:v>
                </c:pt>
                <c:pt idx="12">
                  <c:v>1136</c:v>
                </c:pt>
                <c:pt idx="13">
                  <c:v>1125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9-4BDC-817B-30180B43C8F2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営業損益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Sheet1!$C$2:$P$2</c:f>
              <c:strCache>
                <c:ptCount val="14"/>
                <c:pt idx="0">
                  <c:v>R3</c:v>
                </c:pt>
                <c:pt idx="1">
                  <c:v>R4</c:v>
                </c:pt>
                <c:pt idx="2">
                  <c:v>R5</c:v>
                </c:pt>
                <c:pt idx="3">
                  <c:v>R6</c:v>
                </c:pt>
                <c:pt idx="4">
                  <c:v>R7</c:v>
                </c:pt>
                <c:pt idx="5">
                  <c:v>R8</c:v>
                </c:pt>
                <c:pt idx="6">
                  <c:v>R9</c:v>
                </c:pt>
                <c:pt idx="7">
                  <c:v>R10</c:v>
                </c:pt>
                <c:pt idx="8">
                  <c:v>R11</c:v>
                </c:pt>
                <c:pt idx="9">
                  <c:v>R12</c:v>
                </c:pt>
                <c:pt idx="10">
                  <c:v>R13</c:v>
                </c:pt>
                <c:pt idx="11">
                  <c:v>R14</c:v>
                </c:pt>
                <c:pt idx="12">
                  <c:v>R15</c:v>
                </c:pt>
                <c:pt idx="13">
                  <c:v>R16</c:v>
                </c:pt>
              </c:strCache>
            </c:strRef>
          </c:cat>
          <c:val>
            <c:numRef>
              <c:f>Sheet1!$C$4:$P$4</c:f>
              <c:numCache>
                <c:formatCode>0;"△ "0</c:formatCode>
                <c:ptCount val="14"/>
                <c:pt idx="0" formatCode="#,##0;&quot;△ &quot;#,##0">
                  <c:v>-26</c:v>
                </c:pt>
                <c:pt idx="1">
                  <c:v>-283</c:v>
                </c:pt>
                <c:pt idx="2">
                  <c:v>-210</c:v>
                </c:pt>
                <c:pt idx="3">
                  <c:v>-170</c:v>
                </c:pt>
                <c:pt idx="4">
                  <c:v>-223</c:v>
                </c:pt>
                <c:pt idx="5">
                  <c:v>-249</c:v>
                </c:pt>
                <c:pt idx="6">
                  <c:v>-366</c:v>
                </c:pt>
                <c:pt idx="7">
                  <c:v>-383</c:v>
                </c:pt>
                <c:pt idx="8">
                  <c:v>-425</c:v>
                </c:pt>
                <c:pt idx="9">
                  <c:v>-442</c:v>
                </c:pt>
                <c:pt idx="10">
                  <c:v>-461</c:v>
                </c:pt>
                <c:pt idx="11">
                  <c:v>-468</c:v>
                </c:pt>
                <c:pt idx="12">
                  <c:v>-463</c:v>
                </c:pt>
                <c:pt idx="13">
                  <c:v>-474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29-4BDC-817B-30180B43C8F2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当期純利益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Sheet1!$C$2:$P$2</c:f>
              <c:strCache>
                <c:ptCount val="14"/>
                <c:pt idx="0">
                  <c:v>R3</c:v>
                </c:pt>
                <c:pt idx="1">
                  <c:v>R4</c:v>
                </c:pt>
                <c:pt idx="2">
                  <c:v>R5</c:v>
                </c:pt>
                <c:pt idx="3">
                  <c:v>R6</c:v>
                </c:pt>
                <c:pt idx="4">
                  <c:v>R7</c:v>
                </c:pt>
                <c:pt idx="5">
                  <c:v>R8</c:v>
                </c:pt>
                <c:pt idx="6">
                  <c:v>R9</c:v>
                </c:pt>
                <c:pt idx="7">
                  <c:v>R10</c:v>
                </c:pt>
                <c:pt idx="8">
                  <c:v>R11</c:v>
                </c:pt>
                <c:pt idx="9">
                  <c:v>R12</c:v>
                </c:pt>
                <c:pt idx="10">
                  <c:v>R13</c:v>
                </c:pt>
                <c:pt idx="11">
                  <c:v>R14</c:v>
                </c:pt>
                <c:pt idx="12">
                  <c:v>R15</c:v>
                </c:pt>
                <c:pt idx="13">
                  <c:v>R16</c:v>
                </c:pt>
              </c:strCache>
            </c:strRef>
          </c:cat>
          <c:val>
            <c:numRef>
              <c:f>Sheet1!$C$5:$P$5</c:f>
              <c:numCache>
                <c:formatCode>0;"△ "0</c:formatCode>
                <c:ptCount val="14"/>
                <c:pt idx="0">
                  <c:v>103</c:v>
                </c:pt>
                <c:pt idx="1">
                  <c:v>44</c:v>
                </c:pt>
                <c:pt idx="2">
                  <c:v>27</c:v>
                </c:pt>
                <c:pt idx="3">
                  <c:v>65</c:v>
                </c:pt>
                <c:pt idx="4">
                  <c:v>54</c:v>
                </c:pt>
                <c:pt idx="5">
                  <c:v>8</c:v>
                </c:pt>
                <c:pt idx="6">
                  <c:v>13</c:v>
                </c:pt>
                <c:pt idx="7">
                  <c:v>-1</c:v>
                </c:pt>
                <c:pt idx="8">
                  <c:v>-49</c:v>
                </c:pt>
                <c:pt idx="9">
                  <c:v>-60</c:v>
                </c:pt>
                <c:pt idx="10">
                  <c:v>-79</c:v>
                </c:pt>
                <c:pt idx="11">
                  <c:v>-96</c:v>
                </c:pt>
                <c:pt idx="12">
                  <c:v>-109</c:v>
                </c:pt>
                <c:pt idx="13">
                  <c:v>-127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29-4BDC-817B-30180B43C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328240"/>
        <c:axId val="1353330736"/>
      </c:lineChart>
      <c:catAx>
        <c:axId val="135332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3330736"/>
        <c:crosses val="autoZero"/>
        <c:auto val="1"/>
        <c:lblAlgn val="ctr"/>
        <c:lblOffset val="100"/>
        <c:noMultiLvlLbl val="0"/>
      </c:catAx>
      <c:valAx>
        <c:axId val="135333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332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6</xdr:row>
      <xdr:rowOff>66675</xdr:rowOff>
    </xdr:from>
    <xdr:to>
      <xdr:col>16</xdr:col>
      <xdr:colOff>61912</xdr:colOff>
      <xdr:row>27</xdr:row>
      <xdr:rowOff>171450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45E4826-C3DB-4F77-AD35-F34EE13C7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39"/>
  <sheetViews>
    <sheetView workbookViewId="0">
      <selection activeCell="E5" sqref="E5:E6"/>
    </sheetView>
  </sheetViews>
  <sheetFormatPr defaultRowHeight="18.75"/>
  <cols>
    <col min="2" max="2" width="13" bestFit="1" customWidth="1"/>
  </cols>
  <sheetData>
    <row r="2" spans="2:19" ht="19.5">
      <c r="B2" s="1" t="s">
        <v>17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16</v>
      </c>
      <c r="M2" s="13" t="s">
        <v>12</v>
      </c>
      <c r="N2" s="13" t="s">
        <v>13</v>
      </c>
      <c r="O2" s="13" t="s">
        <v>14</v>
      </c>
      <c r="P2" s="13" t="s">
        <v>15</v>
      </c>
    </row>
    <row r="3" spans="2:19" ht="19.5">
      <c r="B3" s="1" t="s">
        <v>0</v>
      </c>
      <c r="C3" s="17">
        <v>1314</v>
      </c>
      <c r="D3" s="17">
        <v>1150</v>
      </c>
      <c r="E3" s="17">
        <v>1269</v>
      </c>
      <c r="F3" s="17">
        <v>1244</v>
      </c>
      <c r="G3" s="17">
        <v>1217</v>
      </c>
      <c r="H3" s="17">
        <v>1210</v>
      </c>
      <c r="I3" s="17">
        <v>1207</v>
      </c>
      <c r="J3" s="17">
        <v>1195</v>
      </c>
      <c r="K3" s="17">
        <v>1183</v>
      </c>
      <c r="L3" s="17">
        <v>1171</v>
      </c>
      <c r="M3" s="17">
        <v>1159</v>
      </c>
      <c r="N3" s="17">
        <v>1148</v>
      </c>
      <c r="O3" s="17">
        <v>1136</v>
      </c>
      <c r="P3" s="17">
        <v>1125</v>
      </c>
    </row>
    <row r="4" spans="2:19" ht="19.5">
      <c r="B4" s="1" t="s">
        <v>1</v>
      </c>
      <c r="C4" s="14">
        <v>-26</v>
      </c>
      <c r="D4" s="2">
        <v>-283</v>
      </c>
      <c r="E4" s="2">
        <v>-210</v>
      </c>
      <c r="F4" s="2">
        <v>-170</v>
      </c>
      <c r="G4" s="2">
        <v>-223</v>
      </c>
      <c r="H4" s="2">
        <v>-249</v>
      </c>
      <c r="I4" s="2">
        <v>-366</v>
      </c>
      <c r="J4" s="2">
        <v>-383</v>
      </c>
      <c r="K4" s="2">
        <v>-425</v>
      </c>
      <c r="L4" s="2">
        <v>-442</v>
      </c>
      <c r="M4" s="2">
        <v>-461</v>
      </c>
      <c r="N4" s="2">
        <v>-468</v>
      </c>
      <c r="O4" s="2">
        <v>-463</v>
      </c>
      <c r="P4" s="2">
        <v>-474</v>
      </c>
    </row>
    <row r="5" spans="2:19" ht="19.5">
      <c r="B5" s="1" t="s">
        <v>2</v>
      </c>
      <c r="C5" s="3">
        <v>103</v>
      </c>
      <c r="D5" s="3">
        <v>44</v>
      </c>
      <c r="E5" s="3">
        <v>27</v>
      </c>
      <c r="F5" s="3">
        <v>65</v>
      </c>
      <c r="G5" s="3">
        <v>54</v>
      </c>
      <c r="H5" s="3">
        <v>8</v>
      </c>
      <c r="I5" s="3">
        <v>13</v>
      </c>
      <c r="J5" s="2">
        <v>-1</v>
      </c>
      <c r="K5" s="2">
        <v>-49</v>
      </c>
      <c r="L5" s="2">
        <v>-60</v>
      </c>
      <c r="M5" s="2">
        <v>-79</v>
      </c>
      <c r="N5" s="2">
        <v>-96</v>
      </c>
      <c r="O5" s="2">
        <v>-109</v>
      </c>
      <c r="P5" s="2">
        <v>-127</v>
      </c>
    </row>
    <row r="6" spans="2:19">
      <c r="S6" t="s">
        <v>50</v>
      </c>
    </row>
    <row r="31" spans="2:12">
      <c r="C31" t="s">
        <v>30</v>
      </c>
      <c r="D31" s="21" t="s">
        <v>31</v>
      </c>
      <c r="E31" s="21"/>
      <c r="F31" s="21"/>
      <c r="G31" s="21"/>
      <c r="H31" s="21"/>
      <c r="I31" s="21"/>
      <c r="J31" s="21"/>
      <c r="K31" s="21"/>
      <c r="L31" s="21"/>
    </row>
    <row r="32" spans="2:12">
      <c r="B32" s="1" t="s">
        <v>17</v>
      </c>
      <c r="C32" s="15" t="s">
        <v>20</v>
      </c>
      <c r="D32" s="15" t="s">
        <v>21</v>
      </c>
      <c r="E32" s="15" t="s">
        <v>22</v>
      </c>
      <c r="F32" s="15" t="s">
        <v>23</v>
      </c>
      <c r="G32" s="15" t="s">
        <v>24</v>
      </c>
      <c r="H32" s="15" t="s">
        <v>25</v>
      </c>
      <c r="I32" s="15" t="s">
        <v>26</v>
      </c>
      <c r="J32" s="15" t="s">
        <v>27</v>
      </c>
      <c r="K32" s="15" t="s">
        <v>28</v>
      </c>
      <c r="L32" s="15" t="s">
        <v>29</v>
      </c>
    </row>
    <row r="33" spans="2:12">
      <c r="B33" s="1" t="s">
        <v>18</v>
      </c>
      <c r="C33" s="1">
        <v>103.2</v>
      </c>
      <c r="D33" s="1">
        <v>100.5</v>
      </c>
      <c r="E33" s="1">
        <v>99.3</v>
      </c>
      <c r="F33" s="1">
        <v>98.4</v>
      </c>
      <c r="G33" s="4">
        <v>97</v>
      </c>
      <c r="H33" s="1">
        <v>96.3</v>
      </c>
      <c r="I33" s="1">
        <v>95.2</v>
      </c>
      <c r="J33" s="1">
        <v>94.1</v>
      </c>
      <c r="K33" s="1">
        <v>93.2</v>
      </c>
      <c r="L33" s="1">
        <v>92.1</v>
      </c>
    </row>
    <row r="34" spans="2:12">
      <c r="B34" s="1" t="s">
        <v>19</v>
      </c>
      <c r="C34" s="4">
        <v>93</v>
      </c>
      <c r="D34" s="4">
        <v>91</v>
      </c>
      <c r="E34" s="1">
        <v>91.6</v>
      </c>
      <c r="F34" s="1">
        <v>90.7</v>
      </c>
      <c r="G34" s="1">
        <v>89.2</v>
      </c>
      <c r="H34" s="4">
        <v>88</v>
      </c>
      <c r="I34" s="1">
        <v>86.8</v>
      </c>
      <c r="J34" s="1">
        <v>85.6</v>
      </c>
      <c r="K34" s="1">
        <v>84.8</v>
      </c>
      <c r="L34" s="1">
        <v>83.6</v>
      </c>
    </row>
    <row r="37" spans="2:12">
      <c r="B37" s="5"/>
    </row>
    <row r="38" spans="2:12">
      <c r="B38" s="5"/>
    </row>
    <row r="39" spans="2:12">
      <c r="B39" s="5"/>
    </row>
  </sheetData>
  <mergeCells count="1">
    <mergeCell ref="D31:L31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94E6-E7B7-4DDD-94F3-D3B5645111F8}">
  <dimension ref="B1:Y6"/>
  <sheetViews>
    <sheetView topLeftCell="D1" workbookViewId="0">
      <selection activeCell="E5" sqref="E5:E6"/>
    </sheetView>
  </sheetViews>
  <sheetFormatPr defaultRowHeight="18.75"/>
  <cols>
    <col min="2" max="2" width="12.75" customWidth="1"/>
    <col min="3" max="3" width="14.875" customWidth="1"/>
    <col min="4" max="4" width="17.75" customWidth="1"/>
    <col min="5" max="5" width="15.25" bestFit="1" customWidth="1"/>
    <col min="7" max="8" width="11" bestFit="1" customWidth="1"/>
    <col min="16" max="16" width="18.5" customWidth="1"/>
  </cols>
  <sheetData>
    <row r="1" spans="2:25">
      <c r="G1" s="8"/>
      <c r="H1" s="8"/>
      <c r="I1" s="8"/>
      <c r="J1" s="8"/>
      <c r="K1" s="8"/>
      <c r="L1" s="8"/>
      <c r="M1" s="8"/>
      <c r="N1" s="12" t="s">
        <v>45</v>
      </c>
      <c r="P1" s="8"/>
      <c r="Q1" s="8"/>
      <c r="R1" s="8"/>
      <c r="S1" s="8"/>
      <c r="T1" s="8"/>
      <c r="U1" s="8"/>
      <c r="V1" s="8"/>
      <c r="W1" s="8"/>
      <c r="X1" s="8"/>
      <c r="Y1" s="12" t="s">
        <v>48</v>
      </c>
    </row>
    <row r="2" spans="2:25">
      <c r="B2" s="15" t="s">
        <v>35</v>
      </c>
      <c r="C2" s="15" t="s">
        <v>32</v>
      </c>
      <c r="D2" s="15" t="s">
        <v>33</v>
      </c>
      <c r="E2" s="15" t="s">
        <v>34</v>
      </c>
      <c r="G2" s="15" t="s">
        <v>35</v>
      </c>
      <c r="H2" s="15" t="s">
        <v>32</v>
      </c>
      <c r="I2" s="15" t="s">
        <v>36</v>
      </c>
      <c r="J2" s="15" t="s">
        <v>16</v>
      </c>
      <c r="K2" s="15" t="s">
        <v>37</v>
      </c>
      <c r="L2" s="15" t="s">
        <v>38</v>
      </c>
      <c r="M2" s="15" t="s">
        <v>39</v>
      </c>
      <c r="N2" s="15" t="s">
        <v>40</v>
      </c>
      <c r="P2" s="1"/>
      <c r="Q2" s="16" t="s">
        <v>8</v>
      </c>
      <c r="R2" s="16" t="s">
        <v>46</v>
      </c>
      <c r="S2" s="16" t="s">
        <v>47</v>
      </c>
      <c r="T2" s="16" t="s">
        <v>36</v>
      </c>
      <c r="U2" s="16" t="s">
        <v>16</v>
      </c>
      <c r="V2" s="16" t="s">
        <v>37</v>
      </c>
      <c r="W2" s="16" t="s">
        <v>38</v>
      </c>
      <c r="X2" s="16" t="s">
        <v>39</v>
      </c>
      <c r="Y2" s="16" t="s">
        <v>40</v>
      </c>
    </row>
    <row r="3" spans="2:25">
      <c r="B3" s="6">
        <v>0</v>
      </c>
      <c r="C3" s="7">
        <v>7.2999999999999995E-2</v>
      </c>
      <c r="D3" s="7">
        <v>1.077</v>
      </c>
      <c r="E3" s="7">
        <v>0.95599999999999996</v>
      </c>
      <c r="G3" s="6">
        <v>0</v>
      </c>
      <c r="H3" s="9" t="s">
        <v>41</v>
      </c>
      <c r="I3" s="10">
        <v>123</v>
      </c>
      <c r="J3" s="10">
        <v>111</v>
      </c>
      <c r="K3" s="10">
        <v>90</v>
      </c>
      <c r="L3" s="10">
        <v>71</v>
      </c>
      <c r="M3" s="10">
        <v>56</v>
      </c>
      <c r="N3" s="10">
        <v>37</v>
      </c>
      <c r="P3" s="23" t="s">
        <v>49</v>
      </c>
      <c r="Q3" s="22">
        <v>72</v>
      </c>
      <c r="R3" s="22">
        <v>-26</v>
      </c>
      <c r="S3" s="22">
        <v>-83</v>
      </c>
      <c r="T3" s="22">
        <v>-126</v>
      </c>
      <c r="U3" s="22">
        <v>-107</v>
      </c>
      <c r="V3" s="22">
        <v>-87</v>
      </c>
      <c r="W3" s="22">
        <v>-77</v>
      </c>
      <c r="X3" s="22">
        <v>-90</v>
      </c>
      <c r="Y3" s="22">
        <v>-123</v>
      </c>
    </row>
    <row r="4" spans="2:25">
      <c r="B4" s="6">
        <v>0.01</v>
      </c>
      <c r="C4" s="7">
        <v>0.215</v>
      </c>
      <c r="D4" s="7">
        <v>1.286</v>
      </c>
      <c r="E4" s="7">
        <v>1.083</v>
      </c>
      <c r="G4" s="6">
        <v>0.01</v>
      </c>
      <c r="H4" s="9" t="s">
        <v>42</v>
      </c>
      <c r="I4" s="10">
        <v>459</v>
      </c>
      <c r="J4" s="10">
        <v>443</v>
      </c>
      <c r="K4" s="10">
        <v>419</v>
      </c>
      <c r="L4" s="10">
        <v>397</v>
      </c>
      <c r="M4" s="10">
        <v>379</v>
      </c>
      <c r="N4" s="10">
        <v>356</v>
      </c>
      <c r="P4" s="24"/>
      <c r="Q4" s="22"/>
      <c r="R4" s="22"/>
      <c r="S4" s="22"/>
      <c r="T4" s="22"/>
      <c r="U4" s="22"/>
      <c r="V4" s="22"/>
      <c r="W4" s="22"/>
      <c r="X4" s="22"/>
      <c r="Y4" s="22"/>
    </row>
    <row r="5" spans="2:25">
      <c r="B5" s="6">
        <v>0.02</v>
      </c>
      <c r="C5" s="7">
        <v>0.35699999999999998</v>
      </c>
      <c r="D5" s="7">
        <v>1.4950000000000001</v>
      </c>
      <c r="E5" s="7">
        <v>1.2090000000000001</v>
      </c>
      <c r="G5" s="6">
        <v>0.02</v>
      </c>
      <c r="H5" s="9" t="s">
        <v>43</v>
      </c>
      <c r="I5" s="10">
        <v>795</v>
      </c>
      <c r="J5" s="10">
        <v>776</v>
      </c>
      <c r="K5" s="10">
        <v>748</v>
      </c>
      <c r="L5" s="10">
        <v>722</v>
      </c>
      <c r="M5" s="10">
        <v>701</v>
      </c>
      <c r="N5" s="10">
        <v>676</v>
      </c>
    </row>
    <row r="6" spans="2:25">
      <c r="B6" s="6">
        <v>0.03</v>
      </c>
      <c r="C6" s="7">
        <v>0.498</v>
      </c>
      <c r="D6" s="7">
        <v>1.7030000000000001</v>
      </c>
      <c r="E6" s="7">
        <v>1.3360000000000001</v>
      </c>
      <c r="G6" s="6">
        <v>0.03</v>
      </c>
      <c r="H6" s="9" t="s">
        <v>44</v>
      </c>
      <c r="I6" s="11">
        <v>1130</v>
      </c>
      <c r="J6" s="11">
        <v>1108</v>
      </c>
      <c r="K6" s="11">
        <v>1077</v>
      </c>
      <c r="L6" s="11">
        <v>1048</v>
      </c>
      <c r="M6" s="11">
        <v>1024</v>
      </c>
      <c r="N6" s="11">
        <v>995</v>
      </c>
    </row>
  </sheetData>
  <mergeCells count="10">
    <mergeCell ref="V3:V4"/>
    <mergeCell ref="W3:W4"/>
    <mergeCell ref="X3:X4"/>
    <mergeCell ref="Y3:Y4"/>
    <mergeCell ref="P3:P4"/>
    <mergeCell ref="Q3:Q4"/>
    <mergeCell ref="R3:R4"/>
    <mergeCell ref="S3:S4"/>
    <mergeCell ref="T3:T4"/>
    <mergeCell ref="U3:U4"/>
  </mergeCells>
  <phoneticPr fontId="1"/>
  <pageMargins left="0.7" right="0.7" top="0.75" bottom="0.75" header="0.3" footer="0.3"/>
  <pageSetup paperSize="9" orientation="portrait" r:id="rId1"/>
  <ignoredErrors>
    <ignoredError sqref="H3:H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6CF0-BB65-479A-B442-8768D1C7F702}">
  <dimension ref="B1:J11"/>
  <sheetViews>
    <sheetView tabSelected="1" workbookViewId="0">
      <selection activeCell="B12" sqref="B12"/>
    </sheetView>
  </sheetViews>
  <sheetFormatPr defaultRowHeight="18.75"/>
  <cols>
    <col min="2" max="2" width="11.125" bestFit="1" customWidth="1"/>
    <col min="3" max="3" width="6" bestFit="1" customWidth="1"/>
    <col min="4" max="4" width="9" style="19" bestFit="1" customWidth="1"/>
  </cols>
  <sheetData>
    <row r="1" spans="2:10">
      <c r="B1" t="s">
        <v>63</v>
      </c>
      <c r="J1" s="18" t="s">
        <v>48</v>
      </c>
    </row>
    <row r="2" spans="2:10" ht="18" customHeight="1">
      <c r="B2" s="1"/>
      <c r="C2" s="1" t="s">
        <v>65</v>
      </c>
      <c r="D2" s="11" t="s">
        <v>64</v>
      </c>
      <c r="E2" s="15" t="s">
        <v>36</v>
      </c>
      <c r="F2" s="15" t="s">
        <v>16</v>
      </c>
      <c r="G2" s="15" t="s">
        <v>37</v>
      </c>
      <c r="H2" s="15" t="s">
        <v>38</v>
      </c>
      <c r="I2" s="15" t="s">
        <v>39</v>
      </c>
      <c r="J2" s="15" t="s">
        <v>40</v>
      </c>
    </row>
    <row r="3" spans="2:10">
      <c r="B3" s="24" t="s">
        <v>51</v>
      </c>
      <c r="C3" s="20" t="s">
        <v>66</v>
      </c>
      <c r="D3" s="11" t="s">
        <v>53</v>
      </c>
      <c r="E3" s="22">
        <v>-49</v>
      </c>
      <c r="F3" s="22">
        <v>-60</v>
      </c>
      <c r="G3" s="22">
        <v>-79</v>
      </c>
      <c r="H3" s="22">
        <v>-96</v>
      </c>
      <c r="I3" s="22">
        <v>-109</v>
      </c>
      <c r="J3" s="22">
        <v>-127</v>
      </c>
    </row>
    <row r="4" spans="2:10">
      <c r="B4" s="24"/>
      <c r="C4" s="20">
        <v>25</v>
      </c>
      <c r="D4" s="11" t="s">
        <v>54</v>
      </c>
      <c r="E4" s="22"/>
      <c r="F4" s="22"/>
      <c r="G4" s="22"/>
      <c r="H4" s="22"/>
      <c r="I4" s="22"/>
      <c r="J4" s="22"/>
    </row>
    <row r="5" spans="2:10">
      <c r="B5" s="24" t="s">
        <v>52</v>
      </c>
      <c r="C5" s="20" t="s">
        <v>66</v>
      </c>
      <c r="D5" s="11" t="s">
        <v>55</v>
      </c>
      <c r="E5" s="25"/>
      <c r="F5" s="25"/>
      <c r="G5" s="25"/>
      <c r="H5" s="25"/>
      <c r="I5" s="25"/>
      <c r="J5" s="25"/>
    </row>
    <row r="6" spans="2:10">
      <c r="B6" s="24"/>
      <c r="C6" s="20">
        <v>25</v>
      </c>
      <c r="D6" s="11" t="s">
        <v>56</v>
      </c>
      <c r="E6" s="25"/>
      <c r="F6" s="25"/>
      <c r="G6" s="25"/>
      <c r="H6" s="25"/>
      <c r="I6" s="25"/>
      <c r="J6" s="25"/>
    </row>
    <row r="7" spans="2:10">
      <c r="B7" s="24" t="s">
        <v>57</v>
      </c>
      <c r="C7" s="20" t="s">
        <v>66</v>
      </c>
      <c r="D7" s="11" t="s">
        <v>58</v>
      </c>
      <c r="E7" s="25"/>
      <c r="F7" s="25"/>
      <c r="G7" s="25"/>
      <c r="H7" s="25"/>
      <c r="I7" s="25"/>
      <c r="J7" s="25"/>
    </row>
    <row r="8" spans="2:10">
      <c r="B8" s="24"/>
      <c r="C8" s="20">
        <v>25</v>
      </c>
      <c r="D8" s="11" t="s">
        <v>59</v>
      </c>
      <c r="E8" s="25"/>
      <c r="F8" s="25"/>
      <c r="G8" s="25"/>
      <c r="H8" s="25"/>
      <c r="I8" s="25"/>
      <c r="J8" s="25"/>
    </row>
    <row r="9" spans="2:10">
      <c r="B9" s="24" t="s">
        <v>60</v>
      </c>
      <c r="C9" s="20" t="s">
        <v>66</v>
      </c>
      <c r="D9" s="11" t="s">
        <v>61</v>
      </c>
      <c r="E9" s="25"/>
      <c r="F9" s="25"/>
      <c r="G9" s="25"/>
      <c r="H9" s="25"/>
      <c r="I9" s="25"/>
      <c r="J9" s="25"/>
    </row>
    <row r="10" spans="2:10">
      <c r="B10" s="24"/>
      <c r="C10" s="20">
        <v>25</v>
      </c>
      <c r="D10" s="11" t="s">
        <v>62</v>
      </c>
      <c r="E10" s="25"/>
      <c r="F10" s="25"/>
      <c r="G10" s="25"/>
      <c r="H10" s="25"/>
      <c r="I10" s="25"/>
      <c r="J10" s="25"/>
    </row>
    <row r="11" spans="2:10">
      <c r="B11" t="s">
        <v>67</v>
      </c>
    </row>
  </sheetData>
  <mergeCells count="28">
    <mergeCell ref="F3:F4"/>
    <mergeCell ref="G3:G4"/>
    <mergeCell ref="H3:H4"/>
    <mergeCell ref="I3:I4"/>
    <mergeCell ref="J3:J4"/>
    <mergeCell ref="B3:B4"/>
    <mergeCell ref="B5:B6"/>
    <mergeCell ref="B7:B8"/>
    <mergeCell ref="B9:B10"/>
    <mergeCell ref="E5:E6"/>
    <mergeCell ref="E3:E4"/>
    <mergeCell ref="F5:F6"/>
    <mergeCell ref="G5:G6"/>
    <mergeCell ref="H5:H6"/>
    <mergeCell ref="I5:I6"/>
    <mergeCell ref="J5:J6"/>
    <mergeCell ref="J7:J8"/>
    <mergeCell ref="E9:E10"/>
    <mergeCell ref="F9:F10"/>
    <mergeCell ref="G9:G10"/>
    <mergeCell ref="H9:H10"/>
    <mergeCell ref="I9:I10"/>
    <mergeCell ref="J9:J10"/>
    <mergeCell ref="E7:E8"/>
    <mergeCell ref="F7:F8"/>
    <mergeCell ref="G7:G8"/>
    <mergeCell ref="H7:H8"/>
    <mergeCell ref="I7:I8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2015-06-05T18:19:34Z</dcterms:created>
  <dcterms:modified xsi:type="dcterms:W3CDTF">2026-10-16T05:31:08Z</dcterms:modified>
</cp:coreProperties>
</file>