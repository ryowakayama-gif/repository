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3fa13665854a4b" /></Relationships>
</file>

<file path=xl/workbook.xml><?xml version="1.0" encoding="utf-8"?>
<x:workbook xmlns:x="http://schemas.openxmlformats.org/spreadsheetml/2006/main">
  <x:sheets>
    <x:sheet xmlns:r="http://schemas.openxmlformats.org/officeDocument/2006/relationships" name="00_前提・検証" sheetId="1" r:id="R1decd6e1d9904a81"/>
    <x:sheet xmlns:r="http://schemas.openxmlformats.org/officeDocument/2006/relationships" name="01_ビジョン原計画" sheetId="2" r:id="R83457ca8084747c2"/>
    <x:sheet xmlns:r="http://schemas.openxmlformats.org/officeDocument/2006/relationships" name="02_将来年次投資置換" sheetId="3" r:id="R052ea9786464480b"/>
    <x:sheet xmlns:r="http://schemas.openxmlformats.org/officeDocument/2006/relationships" name="03_SIM比較_R8予算反映" sheetId="4" r:id="R06bd2f19553143f4"/>
    <x:sheet xmlns:r="http://schemas.openxmlformats.org/officeDocument/2006/relationships" name="03_SIM比較" sheetId="5" r:id="Rf19875f08c724d00"/>
    <x:sheet xmlns:r="http://schemas.openxmlformats.org/officeDocument/2006/relationships" name="04_R8予算・投資確認" sheetId="6" r:id="R60fa4f1fe81140b0"/>
    <x:sheet xmlns:r="http://schemas.openxmlformats.org/officeDocument/2006/relationships" name="SIM_ビジョン_0%" sheetId="7" r:id="R359e15d7566e4038"/>
    <x:sheet xmlns:r="http://schemas.openxmlformats.org/officeDocument/2006/relationships" name="SIM_ビジョン_1%" sheetId="8" r:id="Rf655cbf1b34a495f"/>
    <x:sheet xmlns:r="http://schemas.openxmlformats.org/officeDocument/2006/relationships" name="SIM_ビジョン_2%" sheetId="9" r:id="R8c3d232a7e2842f3"/>
    <x:sheet xmlns:r="http://schemas.openxmlformats.org/officeDocument/2006/relationships" name="SIM_ビジョン_3%" sheetId="10" r:id="R6d839d4181c64c46"/>
    <x:sheet xmlns:r="http://schemas.openxmlformats.org/officeDocument/2006/relationships" name="SIM_置換後_0%" sheetId="11" r:id="R18c01751430e4835"/>
    <x:sheet xmlns:r="http://schemas.openxmlformats.org/officeDocument/2006/relationships" name="SIM_置換後_1%" sheetId="12" r:id="R075992e76c73420e"/>
    <x:sheet xmlns:r="http://schemas.openxmlformats.org/officeDocument/2006/relationships" name="SIM_置換後_2%" sheetId="13" r:id="R0f182933c68344c2"/>
    <x:sheet xmlns:r="http://schemas.openxmlformats.org/officeDocument/2006/relationships" name="SIM_置換後_3%" sheetId="14" r:id="R0837c4cdd72e4f39"/>
    <x:sheet xmlns:r="http://schemas.openxmlformats.org/officeDocument/2006/relationships" name="02_R8予算_年次計画置換" sheetId="15" r:id="Re88fba12cc554d07"/>
    <x:sheet xmlns:r="http://schemas.openxmlformats.org/officeDocument/2006/relationships" name="SIM_R8予算置換_0%" sheetId="16" r:id="Rea31c48d790140ec"/>
    <x:sheet xmlns:r="http://schemas.openxmlformats.org/officeDocument/2006/relationships" name="SIM_R8予算置換_1%" sheetId="17" r:id="Rd0e67c37575148fc"/>
    <x:sheet xmlns:r="http://schemas.openxmlformats.org/officeDocument/2006/relationships" name="SIM_R8予算置換_2%" sheetId="18" r:id="R5476386c4d0d40ac"/>
    <x:sheet xmlns:r="http://schemas.openxmlformats.org/officeDocument/2006/relationships" name="SIM_R8予算置換_3%" sheetId="19" r:id="R46f6c9b1c3ef4143"/>
    <x:sheet xmlns:r="http://schemas.openxmlformats.org/officeDocument/2006/relationships" name="05_建設仮勘定・企業債" sheetId="20" r:id="R6b8520cfae824b10"/>
  </x:sheets>
  <x:calcPr calcMode="auto" fullCalcOnLoad="1" forceFullCalc="1"/>
</x:workbook>
</file>

<file path=xl/sharedStrings.xml><?xml version="1.0" encoding="utf-8"?>
<x:sst xmlns:x="http://schemas.openxmlformats.org/spreadsheetml/2006/main">
  <x:si>
    <x:t xml:space="preserve">項目</x:t>
  </x:si>
  <x:si>
    <x:t xml:space="preserve">値</x:t>
  </x:si>
  <x:si>
    <x:t xml:space="preserve">単位</x:t>
  </x:si>
  <x:si>
    <x:t xml:space="preserve">内容</x:t>
  </x:si>
  <x:si>
    <x:r>
      <x:rPr>
        <x:b/>
        <x:sz val="11"/>
        <x:color rgb="FFFFFFFF"/>
        <x:rFont val="Calibri"/>
      </x:rPr>
      <x:t xml:space="preserve">Red Team</x:t>
    </x:r>
    <x:r>
      <x:rPr>
        <x:b/>
        <x:sz val="11"/>
        <x:color rgb="FFFFFFFF"/>
        <x:rFont val="Noto Sans CJK SC"/>
        <x:family val="2"/>
      </x:rPr>
      <x:t xml:space="preserve">検証</x:t>
    </x:r>
  </x:si>
  <x:si>
    <x:t xml:space="preserve">結果</x:t>
  </x:si>
  <x:si>
    <x:t xml:space="preserve">対象範囲</x:t>
  </x:si>
  <x:si>
    <x:t xml:space="preserve">判定式</x:t>
  </x:si>
  <x:si>
    <x:t xml:space="preserve">備考</x:t>
  </x:si>
  <x:si>
    <x:t xml:space="preserve">資産維持費対象資産</x:t>
  </x:si>
  <x:si>
    <x:t xml:space="preserve">千円</x:t>
  </x:si>
  <x:si>
    <x:r>
      <x:rPr>
        <x:sz val="11"/>
        <x:rFont val="Calibri"/>
      </x:rPr>
      <x:t xml:space="preserve">R7</x:t>
    </x:r>
    <x:r>
      <x:rPr>
        <x:sz val="11"/>
        <x:rFont val="Noto Sans CJK SC"/>
        <x:family val="2"/>
      </x:rPr>
      <x:t xml:space="preserve">末償却対象資産相当。資産維持費</x:t>
    </x:r>
    <x:r>
      <x:rPr>
        <x:sz val="11"/>
        <x:rFont val="Calibri"/>
      </x:rPr>
      <x:t xml:space="preserve">=</x:t>
    </x:r>
    <x:r>
      <x:rPr>
        <x:sz val="11"/>
        <x:rFont val="Noto Sans CJK SC"/>
        <x:family val="2"/>
      </x:rPr>
      <x:t xml:space="preserve">対象資産</x:t>
    </x:r>
    <x:r>
      <x:rPr>
        <x:sz val="11"/>
        <x:rFont val="Calibri"/>
      </x:rPr>
      <x:t xml:space="preserve">×</x:t>
    </x:r>
    <x:r>
      <x:rPr>
        <x:sz val="11"/>
        <x:rFont val="Noto Sans CJK SC"/>
        <x:family val="2"/>
      </x:rPr>
      <x:t xml:space="preserve">率。</x:t>
    </x:r>
  </x:si>
  <x:si>
    <x:t xml:space="preserve">資産維持費込料金回収率の大小</x:t>
  </x:si>
  <x:si>
    <x:r>
      <x:rPr>
        <x:sz val="11"/>
        <x:rFont val="Calibri"/>
      </x:rPr>
      <x:t xml:space="preserve">03_SIM</x:t>
    </x:r>
    <x:r>
      <x:rPr>
        <x:sz val="11"/>
        <x:rFont val="Noto Sans CJK SC"/>
        <x:family val="2"/>
      </x:rPr>
      <x:t xml:space="preserve">比較</x:t>
    </x:r>
    <x:r>
      <x:rPr>
        <x:sz val="11"/>
        <x:rFont val="Calibri"/>
      </x:rPr>
      <x:t xml:space="preserve">!I4:I11</x:t>
    </x:r>
  </x:si>
  <x:si>
    <x:r>
      <x:rPr>
        <x:sz val="11"/>
        <x:rFont val="Noto Sans CJK SC"/>
        <x:family val="2"/>
      </x:rPr>
      <x:t xml:space="preserve">全</x:t>
    </x:r>
    <x:r>
      <x:rPr>
        <x:sz val="11"/>
        <x:rFont val="Calibri"/>
      </x:rPr>
      <x:t xml:space="preserve">SIM</x:t>
    </x:r>
  </x:si>
  <x:si>
    <x:r>
      <x:rPr>
        <x:sz val="11"/>
        <x:rFont val="Noto Sans CJK SC"/>
        <x:family val="2"/>
      </x:rPr>
      <x:t xml:space="preserve">資産維持費込 </x:t>
    </x:r>
    <x:r>
      <x:rPr>
        <x:sz val="11"/>
        <x:rFont val="Calibri"/>
      </x:rPr>
      <x:t xml:space="preserve">&lt;= </x:t>
    </x:r>
    <x:r>
      <x:rPr>
        <x:sz val="11"/>
        <x:rFont val="Noto Sans CJK SC"/>
        <x:family val="2"/>
      </x:rPr>
      <x:t xml:space="preserve">通常</x:t>
    </x:r>
  </x:si>
  <x:si>
    <x:r>
      <x:rPr>
        <x:sz val="11"/>
        <x:rFont val="Noto Sans CJK SC"/>
        <x:family val="2"/>
      </x:rPr>
      <x:t xml:space="preserve">全て</x:t>
    </x:r>
    <x:r>
      <x:rPr>
        <x:sz val="11"/>
        <x:rFont val="Calibri"/>
      </x:rPr>
      <x:t xml:space="preserve">OK</x:t>
    </x:r>
    <x:r>
      <x:rPr>
        <x:sz val="11"/>
        <x:rFont val="Noto Sans CJK SC"/>
        <x:family val="2"/>
      </x:rPr>
      <x:t xml:space="preserve">であればロジック整合</x:t>
    </x:r>
  </x:si>
  <x:si>
    <x:t xml:space="preserve">料金改定開始年度</x:t>
  </x:si>
  <x:si>
    <x:r>
      <x:rPr>
        <x:sz val="11"/>
        <x:rFont val="Noto Sans CJK SC"/>
        <x:family val="2"/>
      </x:rPr>
      <x:t xml:space="preserve">令和</x:t>
    </x:r>
    <x:r>
      <x:rPr>
        <x:sz val="11"/>
        <x:rFont val="Calibri"/>
      </x:rPr>
      <x:t xml:space="preserve">11</x:t>
    </x:r>
    <x:r>
      <x:rPr>
        <x:sz val="11"/>
        <x:rFont val="Noto Sans CJK SC"/>
        <x:family val="2"/>
      </x:rPr>
      <x:t xml:space="preserve">年度</x:t>
    </x:r>
  </x:si>
  <x:si>
    <x:r>
      <x:rPr>
        <x:sz val="11"/>
        <x:rFont val="Calibri"/>
      </x:rPr>
      <x:t xml:space="preserve">SIM</x:t>
    </x:r>
    <x:r>
      <x:rPr>
        <x:sz val="11"/>
        <x:rFont val="Noto Sans CJK SC"/>
        <x:family val="2"/>
      </x:rPr>
      <x:t xml:space="preserve">では</x:t>
    </x:r>
    <x:r>
      <x:rPr>
        <x:sz val="11"/>
        <x:rFont val="Calibri"/>
      </x:rPr>
      <x:t xml:space="preserve">R11</x:t>
    </x:r>
    <x:r>
      <x:rPr>
        <x:sz val="11"/>
        <x:rFont val="Noto Sans CJK SC"/>
        <x:family val="2"/>
      </x:rPr>
      <x:t xml:space="preserve">以降に料金改定率を適用。</x:t>
    </x:r>
  </x:si>
  <x:si>
    <x:t xml:space="preserve">算定期間開始</x:t>
  </x:si>
  <x:si>
    <x:r>
      <x:rPr>
        <x:sz val="11"/>
        <x:rFont val="Noto Sans CJK SC"/>
        <x:family val="2"/>
      </x:rPr>
      <x:t xml:space="preserve">料金改定率は</x:t>
    </x:r>
    <x:r>
      <x:rPr>
        <x:sz val="11"/>
        <x:rFont val="Calibri"/>
      </x:rPr>
      <x:t xml:space="preserve">R11</x:t>
    </x:r>
    <x:r>
      <x:rPr>
        <x:sz val="11"/>
        <x:rFont val="Noto Sans CJK SC"/>
        <x:family val="2"/>
      </x:rPr>
      <x:t xml:space="preserve">〜</x:t>
    </x:r>
    <x:r>
      <x:rPr>
        <x:sz val="11"/>
        <x:rFont val="Calibri"/>
      </x:rPr>
      <x:t xml:space="preserve">R15</x:t>
    </x:r>
    <x:r>
      <x:rPr>
        <x:sz val="11"/>
        <x:rFont val="Noto Sans CJK SC"/>
        <x:family val="2"/>
      </x:rPr>
      <x:t xml:space="preserve">の</x:t>
    </x:r>
    <x:r>
      <x:rPr>
        <x:sz val="11"/>
        <x:rFont val="Calibri"/>
      </x:rPr>
      <x:t xml:space="preserve">5</x:t>
    </x:r>
    <x:r>
      <x:rPr>
        <x:sz val="11"/>
        <x:rFont val="Noto Sans CJK SC"/>
        <x:family val="2"/>
      </x:rPr>
      <x:t xml:space="preserve">か年で総括原価を回収する水準。</x:t>
    </x:r>
  </x:si>
  <x:si>
    <x:t xml:space="preserve">算定期間終了</x:t>
  </x:si>
  <x:si>
    <x:r>
      <x:rPr>
        <x:sz val="11"/>
        <x:rFont val="Noto Sans CJK SC"/>
        <x:family val="2"/>
      </x:rPr>
      <x:t xml:space="preserve">令和</x:t>
    </x:r>
    <x:r>
      <x:rPr>
        <x:sz val="11"/>
        <x:rFont val="Calibri"/>
      </x:rPr>
      <x:t xml:space="preserve">15</x:t>
    </x:r>
    <x:r>
      <x:rPr>
        <x:sz val="11"/>
        <x:rFont val="Noto Sans CJK SC"/>
        <x:family val="2"/>
      </x:rPr>
      <x:t xml:space="preserve">年度</x:t>
    </x:r>
  </x:si>
  <x:si>
    <x:r>
      <x:rPr>
        <x:sz val="11"/>
        <x:rFont val="Noto Sans CJK SC"/>
        <x:family val="2"/>
      </x:rPr>
      <x:t xml:space="preserve">総括原価</x:t>
    </x:r>
    <x:r>
      <x:rPr>
        <x:sz val="11"/>
        <x:rFont val="Calibri"/>
      </x:rPr>
      <x:t xml:space="preserve">=</x:t>
    </x:r>
    <x:r>
      <x:rPr>
        <x:sz val="11"/>
        <x:rFont val="Noto Sans CJK SC"/>
        <x:family val="2"/>
      </x:rPr>
      <x:t xml:space="preserve">営業費用</x:t>
    </x:r>
    <x:r>
      <x:rPr>
        <x:sz val="11"/>
        <x:rFont val="Calibri"/>
      </x:rPr>
      <x:t xml:space="preserve">+</x:t>
    </x:r>
    <x:r>
      <x:rPr>
        <x:sz val="11"/>
        <x:rFont val="Noto Sans CJK SC"/>
        <x:family val="2"/>
      </x:rPr>
      <x:t xml:space="preserve">営業外費用</x:t>
    </x:r>
    <x:r>
      <x:rPr>
        <x:sz val="11"/>
        <x:rFont val="Calibri"/>
      </x:rPr>
      <x:t xml:space="preserve">-</x:t>
    </x:r>
    <x:r>
      <x:rPr>
        <x:sz val="11"/>
        <x:rFont val="Noto Sans CJK SC"/>
        <x:family val="2"/>
      </x:rPr>
      <x:t xml:space="preserve">長期前受金戻入</x:t>
    </x:r>
    <x:r>
      <x:rPr>
        <x:sz val="11"/>
        <x:rFont val="Calibri"/>
      </x:rPr>
      <x:t xml:space="preserve">-</x:t>
    </x:r>
    <x:r>
      <x:rPr>
        <x:sz val="11"/>
        <x:rFont val="Noto Sans CJK SC"/>
        <x:family val="2"/>
      </x:rPr>
      <x:t xml:space="preserve">その他営業収益</x:t>
    </x:r>
    <x:r>
      <x:rPr>
        <x:sz val="11"/>
        <x:rFont val="Calibri"/>
      </x:rPr>
      <x:t xml:space="preserve">-</x:t>
    </x:r>
    <x:r>
      <x:rPr>
        <x:sz val="11"/>
        <x:rFont val="Noto Sans CJK SC"/>
        <x:family val="2"/>
      </x:rPr>
      <x:t xml:space="preserve">繰入金・負担金等</x:t>
    </x:r>
    <x:r>
      <x:rPr>
        <x:sz val="11"/>
        <x:rFont val="Calibri"/>
      </x:rPr>
      <x:t xml:space="preserve">+</x:t>
    </x:r>
    <x:r>
      <x:rPr>
        <x:sz val="11"/>
        <x:rFont val="Noto Sans CJK SC"/>
        <x:family val="2"/>
      </x:rPr>
      <x:t xml:space="preserve">資産維持費。</x:t>
    </x:r>
  </x:si>
  <x:si>
    <x:r>
      <x:rPr>
        <x:b/>
        <x:sz val="11"/>
        <x:rFont val="Calibri"/>
      </x:rPr>
      <x:t xml:space="preserve">R7</x:t>
    </x:r>
    <x:r>
      <x:rPr>
        <x:b/>
        <x:sz val="11"/>
        <x:rFont val="Noto Sans CJK SC"/>
        <x:family val="2"/>
      </x:rPr>
      <x:t xml:space="preserve">期首現預金</x:t>
    </x:r>
  </x:si>
  <x:si>
    <x:r>
      <x:rPr>
        <x:sz val="11"/>
        <x:rFont val="Calibri"/>
      </x:rPr>
      <x:t xml:space="preserve">R7</x:t>
    </x:r>
    <x:r>
      <x:rPr>
        <x:sz val="11"/>
        <x:rFont val="Noto Sans CJK SC"/>
        <x:family val="2"/>
      </x:rPr>
      <x:t xml:space="preserve">末現金預金を推計開始残高として使用。</x:t>
    </x:r>
  </x:si>
  <x:si>
    <x:t xml:space="preserve">最低現金目安</x:t>
  </x:si>
  <x:si>
    <x:t xml:space="preserve">便宜的な資金安全ライン。</x:t>
  </x:si>
  <x:si>
    <x:t xml:space="preserve">検証ルール</x:t>
  </x:si>
  <x:si>
    <x:r>
      <x:rPr>
        <x:sz val="11"/>
        <x:rFont val="Noto Sans CJK SC"/>
        <x:family val="2"/>
      </x:rPr>
      <x:t xml:space="preserve">資産維持費込料金回収率 </x:t>
    </x:r>
    <x:r>
      <x:rPr>
        <x:sz val="11"/>
        <x:rFont val="Calibri"/>
      </x:rPr>
      <x:t xml:space="preserve">&lt;= </x:t>
    </x:r>
    <x:r>
      <x:rPr>
        <x:sz val="11"/>
        <x:rFont val="Noto Sans CJK SC"/>
        <x:family val="2"/>
      </x:rPr>
      <x:t xml:space="preserve">料金回収率</x:t>
    </x:r>
  </x:si>
  <x:si>
    <x:t xml:space="preserve">同一分子で分母に資産維持費を加算するため。</x:t>
  </x:si>
  <x:si>
    <x:t xml:space="preserve">主な修正点</x:t>
  </x:si>
  <x:si>
    <x:t xml:space="preserve">資産維持費込料金回収率の分母修正</x:t>
  </x:si>
  <x:si>
    <x:t xml:space="preserve">分子は改定後給水収益、分母は通常給水原価対象費用＋資産維持費。</x:t>
  </x:si>
  <x:si>
    <x:r>
      <x:rPr>
        <x:sz val="11"/>
        <x:rFont val="Calibri"/>
      </x:rPr>
      <x:t xml:space="preserve">R8</x:t>
    </x:r>
    <x:r>
      <x:rPr>
        <x:sz val="11"/>
        <x:rFont val="Noto Sans CJK SC"/>
        <x:family val="2"/>
      </x:rPr>
      <x:t xml:space="preserve">予算反映</x:t>
    </x:r>
  </x:si>
  <x:si>
    <x:r>
      <x:rPr>
        <x:sz val="11"/>
        <x:rFont val="Calibri"/>
      </x:rPr>
      <x:t xml:space="preserve">R8</x:t>
    </x:r>
    <x:r>
      <x:rPr>
        <x:sz val="11"/>
        <x:rFont val="Noto Sans CJK SC"/>
        <x:family val="2"/>
      </x:rPr>
      <x:t xml:space="preserve">収入・資本的収入は</x:t>
    </x:r>
    <x:r>
      <x:rPr>
        <x:sz val="11"/>
        <x:rFont val="Calibri"/>
      </x:rPr>
      <x:t xml:space="preserve">R8</x:t>
    </x:r>
    <x:r>
      <x:rPr>
        <x:sz val="11"/>
        <x:rFont val="Noto Sans CJK SC"/>
        <x:family val="2"/>
      </x:rPr>
      <x:t xml:space="preserve">当初予算書を採用。投資は将来年次計画の調整後事業費計を採用。</x:t>
    </x:r>
  </x:si>
  <x:si>
    <x:r>
      <x:rPr>
        <x:sz val="11"/>
        <x:rFont val="Calibri"/>
      </x:rPr>
      <x:t xml:space="preserve">Red Team</x:t>
    </x:r>
    <x:r>
      <x:rPr>
        <x:sz val="11"/>
        <x:rFont val="Noto Sans CJK SC"/>
        <x:family val="2"/>
      </x:rPr>
      <x:t xml:space="preserve">確認</x:t>
    </x:r>
  </x:si>
  <x:si>
    <x:r>
      <x:rPr>
        <x:sz val="11"/>
        <x:rFont val="Noto Sans CJK SC"/>
        <x:family val="2"/>
      </x:rPr>
      <x:t xml:space="preserve">資産維持費込料金回収率が通常料金回収率を上回らないこと、</x:t>
    </x:r>
    <x:r>
      <x:rPr>
        <x:sz val="11"/>
        <x:rFont val="Calibri"/>
      </x:rPr>
      <x:t xml:space="preserve">R8</x:t>
    </x:r>
    <x:r>
      <x:rPr>
        <x:sz val="11"/>
        <x:rFont val="Noto Sans CJK SC"/>
        <x:family val="2"/>
      </x:rPr>
      <x:t xml:space="preserve">予算値が</x:t>
    </x:r>
    <x:r>
      <x:rPr>
        <x:sz val="11"/>
        <x:rFont val="Calibri"/>
      </x:rPr>
      <x:t xml:space="preserve">04</x:t>
    </x:r>
    <x:r>
      <x:rPr>
        <x:sz val="11"/>
        <x:rFont val="Noto Sans CJK SC"/>
        <x:family val="2"/>
      </x:rPr>
      <x:t xml:space="preserve">シートと一致することを確認。</x:t>
    </x:r>
  </x:si>
  <x:si>
    <x:r>
      <x:rPr>
        <x:b/>
        <x:sz val="14"/>
        <x:color rgb="FFFFFFFF"/>
        <x:rFont val="Noto Sans CJK SC"/>
        <x:family val="2"/>
      </x:rPr>
      <x:t xml:space="preserve">ビジョン上の投資財政計画（</x:t>
    </x:r>
    <x:r>
      <x:rPr>
        <x:b/>
        <x:sz val="14"/>
        <x:color rgb="FFFFFFFF"/>
        <x:rFont val="Calibri"/>
      </x:rPr>
      <x:t xml:space="preserve">R7</x:t>
    </x:r>
    <x:r>
      <x:rPr>
        <x:b/>
        <x:sz val="14"/>
        <x:color rgb="FFFFFFFF"/>
        <x:rFont val="Noto Sans CJK SC"/>
        <x:family val="2"/>
      </x:rPr>
      <x:t xml:space="preserve">〜</x:t>
    </x:r>
    <x:r>
      <x:rPr>
        <x:b/>
        <x:sz val="14"/>
        <x:color rgb="FFFFFFFF"/>
        <x:rFont val="Calibri"/>
      </x:rPr>
      <x:t xml:space="preserve">R16</x:t>
    </x:r>
    <x:r>
      <x:rPr>
        <x:b/>
        <x:sz val="14"/>
        <x:color rgb="FFFFFFFF"/>
        <x:rFont val="Noto Sans CJK SC"/>
        <x:family val="2"/>
      </x:rPr>
      <x:t xml:space="preserve">）</x:t>
    </x:r>
  </x:si>
  <x:si>
    <x:r>
      <x:rPr>
        <x:b/>
        <x:sz val="11"/>
        <x:rFont val="Noto Sans CJK SC"/>
        <x:family val="2"/>
      </x:rPr>
      <x:t xml:space="preserve">収益・費用・</x:t>
    </x:r>
    <x:r>
      <x:rPr>
        <x:b/>
        <x:sz val="11"/>
        <x:rFont val="Calibri"/>
      </x:rPr>
      <x:t xml:space="preserve">4</x:t>
    </x:r>
    <x:r>
      <x:rPr>
        <x:b/>
        <x:sz val="11"/>
        <x:rFont val="Noto Sans CJK SC"/>
        <x:family val="2"/>
      </x:rPr>
      <x:t xml:space="preserve">条収入は見直後財政計画を基礎。建設改良費はビジョン</x:t>
    </x:r>
    <x:r>
      <x:rPr>
        <x:b/>
        <x:sz val="11"/>
        <x:rFont val="Calibri"/>
      </x:rPr>
      <x:t xml:space="preserve">/</x:t>
    </x:r>
    <x:r>
      <x:rPr>
        <x:b/>
        <x:sz val="11"/>
        <x:rFont val="Noto Sans CJK SC"/>
        <x:family val="2"/>
      </x:rPr>
      <x:t xml:space="preserve">既存計画の額を使用。単位：千円。</x:t>
    </x:r>
  </x:si>
  <x:si>
    <x:t xml:space="preserve">区分</x:t>
  </x:si>
  <x:si>
    <x:r>
      <x:rPr>
        <x:b/>
        <x:sz val="11"/>
        <x:color rgb="FFFFFFFF"/>
        <x:rFont val="Noto Sans CJK SC"/>
        <x:family val="2"/>
      </x:rPr>
      <x:t xml:space="preserve">令和</x:t>
    </x:r>
    <x:r>
      <x:rPr>
        <x:b/>
        <x:sz val="11"/>
        <x:color rgb="FFFFFFFF"/>
        <x:rFont val="Calibri"/>
      </x:rPr>
      <x:t xml:space="preserve">7</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</x:si>
  <x:si>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8</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</x:si>
  <x:si>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9</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</x:si>
  <x:si>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10</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</x:si>
  <x:si>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11</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</x:si>
  <x:si>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12</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</x:si>
  <x:si>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13</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</x:si>
  <x:si>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14</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</x:si>
  <x:si>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15</x:t>
    </x:r>
    <x:r>
      <x:rPr>
        <x:b/>
        <x:sz val="11"/>
        <x:color rgb="FFFFFFFF"/>
        <x:rFont val="Noto Sans CJK SC"/>
        <x:family val="2"/>
      </x:rPr>
      <x:t xml:space="preserve">年度</x:t>
    </x:r>
  </x:si>
  <x:si>
    <x:r>
      <x:rPr>
        <x:b/>
        <x:sz val="11"/>
        <x:color rgb="FFFFFFFF"/>
        <x:rFont val="Noto Sans CJK SC"/>
        <x:family val="2"/>
      </x:rPr>
      <x:t xml:space="preserve">令和</x:t>
    </x:r>
    <x:r>
      <x:rPr>
        <x:b/>
        <x:sz val="11"/>
        <x:color rgb="FFFFFFFF"/>
        <x:rFont val="Calibri"/>
      </x:rPr>
      <x:t xml:space="preserve">16</x:t>
    </x:r>
    <x:r>
      <x:rPr>
        <x:b/>
        <x:sz val="11"/>
        <x:color rgb="FFFFFFFF"/>
        <x:rFont val="Noto Sans CJK SC"/>
        <x:family val="2"/>
      </x:rPr>
      <x:t xml:space="preserve">年度</x:t>
    </x:r>
  </x:si>
  <x:si>
    <x:t xml:space="preserve">【収益的収入】</x:t>
  </x:si>
  <x:si>
    <x:t xml:space="preserve">水道事業収益</x:t>
  </x:si>
  <x:si>
    <x:t xml:space="preserve">営業収益</x:t>
  </x:si>
  <x:si>
    <x:t xml:space="preserve">給水収益</x:t>
  </x:si>
  <x:si>
    <x:t xml:space="preserve">その他営業収益</x:t>
  </x:si>
  <x:si>
    <x:t xml:space="preserve">営業外収益</x:t>
  </x:si>
  <x:si>
    <x:t xml:space="preserve">受取利息</x:t>
  </x:si>
  <x:si>
    <x:t xml:space="preserve">繰入金・負担金等</x:t>
  </x:si>
  <x:si>
    <x:t xml:space="preserve">長期前受金戻入</x:t>
  </x:si>
  <x:si>
    <x:t xml:space="preserve">その他営業外収益</x:t>
  </x:si>
  <x:si>
    <x:t xml:space="preserve">特別利益</x:t>
  </x:si>
  <x:si>
    <x:t xml:space="preserve">【収益的支出】</x:t>
  </x:si>
  <x:si>
    <x:t xml:space="preserve">水道事業費用</x:t>
  </x:si>
  <x:si>
    <x:t xml:space="preserve">営業費用</x:t>
  </x:si>
  <x:si>
    <x:t xml:space="preserve">人件費</x:t>
  </x:si>
  <x:si>
    <x:t xml:space="preserve">物件費</x:t>
  </x:si>
  <x:si>
    <x:t xml:space="preserve">修繕費</x:t>
  </x:si>
  <x:si>
    <x:t xml:space="preserve">動力費</x:t>
  </x:si>
  <x:si>
    <x:t xml:space="preserve">薬品費</x:t>
  </x:si>
  <x:si>
    <x:t xml:space="preserve">委託料</x:t>
  </x:si>
  <x:si>
    <x:t xml:space="preserve">減価償却費</x:t>
  </x:si>
  <x:si>
    <x:t xml:space="preserve">資産減耗・除却費</x:t>
  </x:si>
  <x:si>
    <x:t xml:space="preserve">その他営業費用</x:t>
  </x:si>
  <x:si>
    <x:t xml:space="preserve">営業外費用</x:t>
  </x:si>
  <x:si>
    <x:t xml:space="preserve">支払利息</x:t>
  </x:si>
  <x:si>
    <x:t xml:space="preserve">雑支出</x:t>
  </x:si>
  <x:si>
    <x:t xml:space="preserve">特別損失</x:t>
  </x:si>
  <x:si>
    <x:t xml:space="preserve">【資本的収入】</x:t>
  </x:si>
  <x:si>
    <x:t xml:space="preserve">資本的収入</x:t>
  </x:si>
  <x:si>
    <x:t xml:space="preserve">企業債</x:t>
  </x:si>
  <x:si>
    <x:t xml:space="preserve">一般会計負担金</x:t>
  </x:si>
  <x:si>
    <x:t xml:space="preserve">一般会計出資金</x:t>
  </x:si>
  <x:si>
    <x:t xml:space="preserve">国庫補助金</x:t>
  </x:si>
  <x:si>
    <x:t xml:space="preserve">固定資産売却代金</x:t>
  </x:si>
  <x:si>
    <x:t xml:space="preserve">工事負担金</x:t>
  </x:si>
  <x:si>
    <x:t xml:space="preserve">その他・調整</x:t>
  </x:si>
  <x:si>
    <x:t xml:space="preserve">【資本的支出】</x:t>
  </x:si>
  <x:si>
    <x:t xml:space="preserve">資本的支出</x:t>
  </x:si>
  <x:si>
    <x:t xml:space="preserve">建設改良費</x:t>
  </x:si>
  <x:si>
    <x:t xml:space="preserve">企業債償還金</x:t>
  </x:si>
  <x:si>
    <x:t xml:space="preserve">その他資本的支出</x:t>
  </x:si>
  <x:si>
    <x:t xml:space="preserve">資本的収支不足額（収入－支出）</x:t>
  </x:si>
  <x:si>
    <x:r>
      <x:rPr>
        <x:b/>
        <x:sz val="14"/>
        <x:color rgb="FFFFFFFF"/>
        <x:rFont val="Noto Sans CJK SC"/>
        <x:family val="2"/>
      </x:rPr>
      <x:t xml:space="preserve">将来年次計画の投資に置換した投資財政計画（</x:t>
    </x:r>
    <x:r>
      <x:rPr>
        <x:b/>
        <x:sz val="14"/>
        <x:color rgb="FFFFFFFF"/>
        <x:rFont val="Calibri"/>
      </x:rPr>
      <x:t xml:space="preserve">R7</x:t>
    </x:r>
    <x:r>
      <x:rPr>
        <x:b/>
        <x:sz val="14"/>
        <x:color rgb="FFFFFFFF"/>
        <x:rFont val="Noto Sans CJK SC"/>
        <x:family val="2"/>
      </x:rPr>
      <x:t xml:space="preserve">〜</x:t>
    </x:r>
    <x:r>
      <x:rPr>
        <x:b/>
        <x:sz val="14"/>
        <x:color rgb="FFFFFFFF"/>
        <x:rFont val="Calibri"/>
      </x:rPr>
      <x:t xml:space="preserve">R16</x:t>
    </x:r>
    <x:r>
      <x:rPr>
        <x:b/>
        <x:sz val="14"/>
        <x:color rgb="FFFFFFFF"/>
        <x:rFont val="Noto Sans CJK SC"/>
        <x:family val="2"/>
      </x:rPr>
      <x:t xml:space="preserve">）</x:t>
    </x:r>
  </x:si>
  <x:si>
    <x:r>
      <x:rPr>
        <x:b/>
        <x:sz val="11"/>
        <x:rFont val="Noto Sans CJK SC"/>
        <x:family val="2"/>
      </x:rPr>
      <x:t xml:space="preserve">収益・費用・</x:t>
    </x:r>
    <x:r>
      <x:rPr>
        <x:b/>
        <x:sz val="11"/>
        <x:rFont val="Calibri"/>
      </x:rPr>
      <x:t xml:space="preserve">4</x:t>
    </x:r>
    <x:r>
      <x:rPr>
        <x:b/>
        <x:sz val="11"/>
        <x:rFont val="Noto Sans CJK SC"/>
        <x:family val="2"/>
      </x:rPr>
      <x:t xml:space="preserve">条収入は見直後財政計画を基礎。建設改良費のみ将来年次計画</x:t>
    </x:r>
    <x:r>
      <x:rPr>
        <x:b/>
        <x:sz val="11"/>
        <x:rFont val="Calibri"/>
      </x:rPr>
      <x:t xml:space="preserve">2025.12.2</x:t>
    </x:r>
    <x:r>
      <x:rPr>
        <x:b/>
        <x:sz val="11"/>
        <x:rFont val="Noto Sans CJK SC"/>
        <x:family val="2"/>
      </x:rPr>
      <x:t xml:space="preserve">（</x:t>
    </x:r>
    <x:r>
      <x:rPr>
        <x:b/>
        <x:sz val="11"/>
        <x:rFont val="Calibri"/>
      </x:rPr>
      <x:t xml:space="preserve">2026.3.1</x:t>
    </x:r>
    <x:r>
      <x:rPr>
        <x:b/>
        <x:sz val="11"/>
        <x:rFont val="Noto Sans CJK SC"/>
        <x:family val="2"/>
      </x:rPr>
      <x:t xml:space="preserve">シート）の調整後事業費へ置換。単位：千円。</x:t>
    </x:r>
  </x:si>
  <x:si>
    <x:r>
      <x:rPr>
        <x:b/>
        <x:sz val="14"/>
        <x:color rgb="FFFFFFFF"/>
        <x:rFont val="Cambria"/>
      </x:rPr>
      <x:t xml:space="preserve">SIM</x:t>
    </x:r>
    <x:r>
      <x:rPr>
        <x:b/>
        <x:sz val="14"/>
        <x:color rgb="FFFFFFFF"/>
        <x:rFont val="Noto Sans CJK SC"/>
        <x:family val="2"/>
      </x:rPr>
      <x:t xml:space="preserve">比較（</x:t>
    </x:r>
    <x:r>
      <x:rPr>
        <x:b/>
        <x:sz val="14"/>
        <x:color rgb="FFFFFFFF"/>
        <x:rFont val="Cambria"/>
      </x:rPr>
      <x:t xml:space="preserve">R8</x:t>
    </x:r>
    <x:r>
      <x:rPr>
        <x:b/>
        <x:sz val="14"/>
        <x:color rgb="FFFFFFFF"/>
        <x:rFont val="Noto Sans CJK SC"/>
        <x:family val="2"/>
      </x:rPr>
      <x:t xml:space="preserve">予算収入・将来年次投資置換／資産維持費</x:t>
    </x:r>
    <x:r>
      <x:rPr>
        <x:b/>
        <x:sz val="14"/>
        <x:color rgb="FFFFFFFF"/>
        <x:rFont val="Cambria"/>
      </x:rPr>
      <x:t xml:space="preserve">0</x:t>
    </x:r>
    <x:r>
      <x:rPr>
        <x:b/>
        <x:sz val="14"/>
        <x:color rgb="FFFFFFFF"/>
        <x:rFont val="Noto Sans CJK SC"/>
        <x:family val="2"/>
      </x:rPr>
      <x:t xml:space="preserve">〜</x:t>
    </x:r>
    <x:r>
      <x:rPr>
        <x:b/>
        <x:sz val="14"/>
        <x:color rgb="FFFFFFFF"/>
        <x:rFont val="Cambria"/>
      </x:rPr>
      <x:t xml:space="preserve">3%</x:t>
    </x:r>
    <x:r>
      <x:rPr>
        <x:b/>
        <x:sz val="14"/>
        <x:color rgb="FFFFFFFF"/>
        <x:rFont val="Noto Sans CJK SC"/>
        <x:family val="2"/>
      </x:rPr>
      <x:t xml:space="preserve">）</x:t>
    </x:r>
  </x:si>
  <x:si>
    <x:r>
      <x:rPr>
        <x:sz val="11"/>
        <x:rFont val="Calibri"/>
      </x:rPr>
      <x:t xml:space="preserve">R8</x:t>
    </x:r>
    <x:r>
      <x:rPr>
        <x:sz val="11"/>
        <x:rFont val="Noto Sans CJK SC"/>
        <x:family val="2"/>
      </x:rPr>
      <x:t xml:space="preserve">は予算ベース、建設改良費は将来年次計画へ置換。資産維持費込料金回収率は「給水収益</x:t>
    </x:r>
    <x:r>
      <x:rPr>
        <x:sz val="11"/>
        <x:rFont val="Calibri"/>
      </x:rPr>
      <x:t xml:space="preserve">÷</x:t>
    </x:r>
    <x:r>
      <x:rPr>
        <x:sz val="11"/>
        <x:rFont val="Noto Sans CJK SC"/>
        <x:family val="2"/>
      </x:rPr>
      <x:t xml:space="preserve">（通常給水原価対象費用＋資産維持費）」で検証。</x:t>
    </x:r>
  </x:si>
  <x:si>
    <x:t xml:space="preserve">計画区分</x:t>
  </x:si>
  <x:si>
    <x:t xml:space="preserve">資産維持費率</x:t>
  </x:si>
  <x:si>
    <x:t xml:space="preserve">必要改定率</x:t>
  </x:si>
  <x:si>
    <x:r>
      <x:rPr>
        <x:b/>
        <x:sz val="11"/>
        <x:color rgb="FFFFFFFF"/>
        <x:rFont val="Cambria"/>
      </x:rPr>
      <x:t xml:space="preserve">R11</x:t>
    </x:r>
    <x:r>
      <x:rPr>
        <x:b/>
        <x:sz val="11"/>
        <x:color rgb="FFFFFFFF"/>
        <x:rFont val="Noto Sans CJK SC"/>
        <x:family val="2"/>
      </x:rPr>
      <x:t xml:space="preserve">経常収支比率</x:t>
    </x:r>
  </x:si>
  <x:si>
    <x:r>
      <x:rPr>
        <x:b/>
        <x:sz val="11"/>
        <x:color rgb="FFFFFFFF"/>
        <x:rFont val="Cambria"/>
      </x:rPr>
      <x:t xml:space="preserve">R11</x:t>
    </x:r>
    <x:r>
      <x:rPr>
        <x:b/>
        <x:sz val="11"/>
        <x:color rgb="FFFFFFFF"/>
        <x:rFont val="Noto Sans CJK SC"/>
        <x:family val="2"/>
      </x:rPr>
      <x:t xml:space="preserve">料金回収率</x:t>
    </x:r>
  </x:si>
  <x:si>
    <x:r>
      <x:rPr>
        <x:b/>
        <x:sz val="11"/>
        <x:color rgb="FFFFFFFF"/>
        <x:rFont val="Cambria"/>
      </x:rPr>
      <x:t xml:space="preserve">R11</x:t>
    </x:r>
    <x:r>
      <x:rPr>
        <x:b/>
        <x:sz val="11"/>
        <x:color rgb="FFFFFFFF"/>
        <x:rFont val="Noto Sans CJK SC"/>
        <x:family val="2"/>
      </x:rPr>
      <x:t xml:space="preserve">資産維持費込料金回収率</x:t>
    </x:r>
  </x:si>
  <x:si>
    <x:r>
      <x:rPr>
        <x:b/>
        <x:sz val="11"/>
        <x:color rgb="FFFFFFFF"/>
        <x:rFont val="Cambria"/>
      </x:rPr>
      <x:t xml:space="preserve">R16</x:t>
    </x:r>
    <x:r>
      <x:rPr>
        <x:b/>
        <x:sz val="11"/>
        <x:color rgb="FFFFFFFF"/>
        <x:rFont val="Noto Sans CJK SC"/>
        <x:family val="2"/>
      </x:rPr>
      <x:t xml:space="preserve">年度末現預金</x:t>
    </x:r>
  </x:si>
  <x:si>
    <x:r>
      <x:rPr>
        <x:b/>
        <x:sz val="11"/>
        <x:color rgb="FFFFFFFF"/>
        <x:rFont val="Cambria"/>
      </x:rPr>
      <x:t xml:space="preserve">R7-R16</x:t>
    </x:r>
    <x:r>
      <x:rPr>
        <x:b/>
        <x:sz val="11"/>
        <x:color rgb="FFFFFFFF"/>
        <x:rFont val="Noto Sans CJK SC"/>
        <x:family val="2"/>
      </x:rPr>
      <x:t xml:space="preserve">累計</x:t>
    </x:r>
    <x:r>
      <x:rPr>
        <x:b/>
        <x:sz val="11"/>
        <x:color rgb="FFFFFFFF"/>
        <x:rFont val="Cambria"/>
      </x:rPr>
      <x:t xml:space="preserve">4</x:t>
    </x:r>
    <x:r>
      <x:rPr>
        <x:b/>
        <x:sz val="11"/>
        <x:color rgb="FFFFFFFF"/>
        <x:rFont val="Noto Sans CJK SC"/>
        <x:family val="2"/>
      </x:rPr>
      <x:t xml:space="preserve">条不足額</x:t>
    </x:r>
  </x:si>
  <x:si>
    <x:t xml:space="preserve">検証</x:t>
  </x:si>
  <x:si>
    <x:r>
      <x:rPr>
        <x:sz val="11"/>
        <x:rFont val="Calibri"/>
      </x:rPr>
      <x:t xml:space="preserve">R8</x:t>
    </x:r>
    <x:r>
      <x:rPr>
        <x:sz val="11"/>
        <x:rFont val="Noto Sans CJK SC"/>
        <x:family val="2"/>
      </x:rPr>
      <x:t xml:space="preserve">予算・年次投資置換</x:t>
    </x:r>
  </x:si>
  <x:si>
    <x:r>
      <x:rPr>
        <x:b/>
        <x:sz val="14"/>
        <x:color rgb="FFFFFFFF"/>
        <x:rFont val="Calibri"/>
      </x:rPr>
      <x:t xml:space="preserve">SIM</x:t>
    </x:r>
    <x:r>
      <x:rPr>
        <x:b/>
        <x:sz val="14"/>
        <x:color rgb="FFFFFFFF"/>
        <x:rFont val="Noto Sans CJK SC"/>
        <x:family val="2"/>
      </x:rPr>
      <x:t xml:space="preserve">比較（ビジョン原計画・将来年次投資置換／資産維持費</x:t>
    </x:r>
    <x:r>
      <x:rPr>
        <x:b/>
        <x:sz val="14"/>
        <x:color rgb="FFFFFFFF"/>
        <x:rFont val="Calibri"/>
      </x:rPr>
      <x:t xml:space="preserve">0</x:t>
    </x:r>
    <x:r>
      <x:rPr>
        <x:b/>
        <x:sz val="14"/>
        <x:color rgb="FFFFFFFF"/>
        <x:rFont val="Noto Sans CJK SC"/>
        <x:family val="2"/>
      </x:rPr>
      <x:t xml:space="preserve">〜</x:t>
    </x:r>
    <x:r>
      <x:rPr>
        <x:b/>
        <x:sz val="14"/>
        <x:color rgb="FFFFFFFF"/>
        <x:rFont val="Calibri"/>
      </x:rPr>
      <x:t xml:space="preserve">3%</x:t>
    </x:r>
    <x:r>
      <x:rPr>
        <x:b/>
        <x:sz val="14"/>
        <x:color rgb="FFFFFFFF"/>
        <x:rFont val="Noto Sans CJK SC"/>
        <x:family val="2"/>
      </x:rPr>
      <x:t xml:space="preserve">）</x:t>
    </x:r>
  </x:si>
  <x:si>
    <x:t xml:space="preserve">資産維持費込料金回収率は、同一の改定後給水収益を分子とし、給水原価対象費用＋資産維持費を分母にするため、通常料金回収率以下になるよう修正。</x:t>
  </x:si>
  <x:si>
    <x:r>
      <x:rPr>
        <x:b/>
        <x:sz val="11"/>
        <x:color rgb="FFFFFFFF"/>
        <x:rFont val="Calibri"/>
      </x:rPr>
      <x:t xml:space="preserve">R11</x:t>
    </x:r>
    <x:r>
      <x:rPr>
        <x:b/>
        <x:sz val="11"/>
        <x:color rgb="FFFFFFFF"/>
        <x:rFont val="Noto Sans CJK SC"/>
        <x:family val="2"/>
      </x:rPr>
      <x:t xml:space="preserve">経常収支比率</x:t>
    </x:r>
  </x:si>
  <x:si>
    <x:r>
      <x:rPr>
        <x:b/>
        <x:sz val="11"/>
        <x:color rgb="FFFFFFFF"/>
        <x:rFont val="Calibri"/>
      </x:rPr>
      <x:t xml:space="preserve">R11</x:t>
    </x:r>
    <x:r>
      <x:rPr>
        <x:b/>
        <x:sz val="11"/>
        <x:color rgb="FFFFFFFF"/>
        <x:rFont val="Noto Sans CJK SC"/>
        <x:family val="2"/>
      </x:rPr>
      <x:t xml:space="preserve">料金回収率</x:t>
    </x:r>
  </x:si>
  <x:si>
    <x:r>
      <x:rPr>
        <x:b/>
        <x:sz val="11"/>
        <x:color rgb="FFFFFFFF"/>
        <x:rFont val="Calibri"/>
      </x:rPr>
      <x:t xml:space="preserve">R11</x:t>
    </x:r>
    <x:r>
      <x:rPr>
        <x:b/>
        <x:sz val="11"/>
        <x:color rgb="FFFFFFFF"/>
        <x:rFont val="Noto Sans CJK SC"/>
        <x:family val="2"/>
      </x:rPr>
      <x:t xml:space="preserve">資産維持費込料金回収率</x:t>
    </x:r>
  </x:si>
  <x:si>
    <x:r>
      <x:rPr>
        <x:b/>
        <x:sz val="11"/>
        <x:color rgb="FFFFFFFF"/>
        <x:rFont val="Calibri"/>
      </x:rPr>
      <x:t xml:space="preserve">R16</x:t>
    </x:r>
    <x:r>
      <x:rPr>
        <x:b/>
        <x:sz val="11"/>
        <x:color rgb="FFFFFFFF"/>
        <x:rFont val="Noto Sans CJK SC"/>
        <x:family val="2"/>
      </x:rPr>
      <x:t xml:space="preserve">年度末現預金</x:t>
    </x:r>
  </x:si>
  <x:si>
    <x:r>
      <x:rPr>
        <x:b/>
        <x:sz val="11"/>
        <x:color rgb="FFFFFFFF"/>
        <x:rFont val="Calibri"/>
      </x:rPr>
      <x:t xml:space="preserve">R7-R16</x:t>
    </x:r>
    <x:r>
      <x:rPr>
        <x:b/>
        <x:sz val="11"/>
        <x:color rgb="FFFFFFFF"/>
        <x:rFont val="Noto Sans CJK SC"/>
        <x:family val="2"/>
      </x:rPr>
      <x:t xml:space="preserve">累計</x:t>
    </x:r>
    <x:r>
      <x:rPr>
        <x:b/>
        <x:sz val="11"/>
        <x:color rgb="FFFFFFFF"/>
        <x:rFont val="Calibri"/>
      </x:rPr>
      <x:t xml:space="preserve">4</x:t>
    </x:r>
    <x:r>
      <x:rPr>
        <x:b/>
        <x:sz val="11"/>
        <x:color rgb="FFFFFFFF"/>
        <x:rFont val="Noto Sans CJK SC"/>
        <x:family val="2"/>
      </x:rPr>
      <x:t xml:space="preserve">条不足額</x:t>
    </x:r>
  </x:si>
  <x:si>
    <x:t xml:space="preserve">ビジョン原計画</x:t>
  </x:si>
  <x:si>
    <x:t xml:space="preserve">将来年次投資置換</x:t>
  </x:si>
  <x:si>
    <x:r>
      <x:rPr>
        <x:b/>
        <x:sz val="11"/>
        <x:color rgb="FFFFFFFF"/>
        <x:rFont val="Cambria"/>
      </x:rPr>
      <x:t xml:space="preserve">R8</x:t>
    </x:r>
    <x:r>
      <x:rPr>
        <x:b/>
        <x:sz val="11"/>
        <x:color rgb="FFFFFFFF"/>
        <x:rFont val="Noto Sans CJK SC"/>
        <x:family val="2"/>
      </x:rPr>
      <x:t xml:space="preserve">当初予算</x:t>
    </x:r>
  </x:si>
  <x:si>
    <x:r>
      <x:rPr>
        <x:b/>
        <x:sz val="11"/>
        <x:color rgb="FFFFFFFF"/>
        <x:rFont val="Noto Sans CJK SC"/>
        <x:family val="2"/>
      </x:rPr>
      <x:t xml:space="preserve">中間改定</x:t>
    </x:r>
    <x:r>
      <x:rPr>
        <x:b/>
        <x:sz val="11"/>
        <x:color rgb="FFFFFFFF"/>
        <x:rFont val="Cambria"/>
      </x:rPr>
      <x:t xml:space="preserve">/</x:t>
    </x:r>
    <x:r>
      <x:rPr>
        <x:b/>
        <x:sz val="11"/>
        <x:color rgb="FFFFFFFF"/>
        <x:rFont val="Noto Sans CJK SC"/>
        <x:family val="2"/>
      </x:rPr>
      <x:t xml:space="preserve">作成資料ベース</x:t>
    </x:r>
  </x:si>
  <x:si>
    <x:t xml:space="preserve">将来年次計画</x:t>
  </x:si>
  <x:si>
    <x:t xml:space="preserve">採用値</x:t>
  </x:si>
  <x:si>
    <x:t xml:space="preserve">確認結果・備考</x:t>
  </x:si>
  <x:si>
    <x:r>
      <x:rPr>
        <x:b/>
        <x:sz val="11"/>
        <x:color rgb="FFFFFFFF"/>
        <x:rFont val="Noto Sans CJK SC"/>
        <x:family val="2"/>
      </x:rPr>
      <x:t xml:space="preserve">差額（採用</x:t>
    </x:r>
    <x:r>
      <x:rPr>
        <x:b/>
        <x:sz val="11"/>
        <x:color rgb="FFFFFFFF"/>
        <x:rFont val="Cambria"/>
      </x:rPr>
      <x:t xml:space="preserve">-</x:t>
    </x:r>
    <x:r>
      <x:rPr>
        <x:b/>
        <x:sz val="11"/>
        <x:color rgb="FFFFFFFF"/>
        <x:rFont val="Noto Sans CJK SC"/>
        <x:family val="2"/>
      </x:rPr>
      <x:t xml:space="preserve">予算）</x:t>
    </x:r>
  </x:si>
  <x:si>
    <x:t xml:space="preserve">収益的収入：水道事業収益</x:t>
  </x:si>
  <x:si>
    <x:r>
      <x:rPr>
        <x:sz val="11"/>
        <x:rFont val="Calibri"/>
      </x:rPr>
      <x:t xml:space="preserve">R8</x:t>
    </x:r>
    <x:r>
      <x:rPr>
        <x:sz val="11"/>
        <x:rFont val="Noto Sans CJK SC"/>
        <x:family val="2"/>
      </x:rPr>
      <x:t xml:space="preserve">は予算ベースへ修正</x:t>
    </x:r>
  </x:si>
  <x:si>
    <x:t xml:space="preserve">収益的収入：給水収益</x:t>
  </x:si>
  <x:si>
    <x:t xml:space="preserve">収益的支出：水道事業費用</x:t>
  </x:si>
  <x:si>
    <x:t xml:space="preserve">資本的収入：合計</x:t>
  </x:si>
  <x:si>
    <x:t xml:space="preserve">資本的収入：企業債</x:t>
  </x:si>
  <x:si>
    <x:t xml:space="preserve">資本的収入：一般会計負担金</x:t>
  </x:si>
  <x:si>
    <x:t xml:space="preserve">資本的収入：国庫補助金</x:t>
  </x:si>
  <x:si>
    <x:t xml:space="preserve">資本的収入：工事負担金</x:t>
  </x:si>
  <x:si>
    <x:t xml:space="preserve">投資は将来年次計画へ置換（予算との差額を確認）</x:t>
  </x:si>
  <x:si>
    <x:r>
      <x:rPr>
        <x:b/>
        <x:sz val="14"/>
        <x:color rgb="FFFFFFFF"/>
        <x:rFont val="Calibri"/>
      </x:rPr>
      <x:t xml:space="preserve">SIM_</x:t>
    </x:r>
    <x:r>
      <x:rPr>
        <x:b/>
        <x:sz val="14"/>
        <x:color rgb="FFFFFFFF"/>
        <x:rFont val="Noto Sans CJK SC"/>
        <x:family val="2"/>
      </x:rPr>
      <x:t xml:space="preserve">ビジョン</x:t>
    </x:r>
    <x:r>
      <x:rPr>
        <x:b/>
        <x:sz val="14"/>
        <x:color rgb="FFFFFFFF"/>
        <x:rFont val="Calibri"/>
      </x:rPr>
      <x:t xml:space="preserve">_0%</x:t>
    </x:r>
  </x:si>
  <x:si>
    <x:r>
      <x:rPr>
        <x:b/>
        <x:sz val="11"/>
        <x:rFont val="Noto Sans CJK SC"/>
        <x:family val="2"/>
      </x:rPr>
      <x:t xml:space="preserve">単位：千円、比率は％。料金改定率は</x:t>
    </x:r>
    <x:r>
      <x:rPr>
        <x:b/>
        <x:sz val="11"/>
        <x:rFont val="Calibri"/>
      </x:rPr>
      <x:t xml:space="preserve">R11</x:t>
    </x:r>
    <x:r>
      <x:rPr>
        <x:b/>
        <x:sz val="11"/>
        <x:rFont val="Noto Sans CJK SC"/>
        <x:family val="2"/>
      </x:rPr>
      <x:t xml:space="preserve">〜</x:t>
    </x:r>
    <x:r>
      <x:rPr>
        <x:b/>
        <x:sz val="11"/>
        <x:rFont val="Calibri"/>
      </x:rPr>
      <x:t xml:space="preserve">R15</x:t>
    </x:r>
    <x:r>
      <x:rPr>
        <x:b/>
        <x:sz val="11"/>
        <x:rFont val="Noto Sans CJK SC"/>
        <x:family val="2"/>
      </x:rPr>
      <x:t xml:space="preserve">の総括原価回収を基礎に算定し、</x:t>
    </x:r>
    <x:r>
      <x:rPr>
        <x:b/>
        <x:sz val="11"/>
        <x:rFont val="Calibri"/>
      </x:rPr>
      <x:t xml:space="preserve">R11</x:t>
    </x:r>
    <x:r>
      <x:rPr>
        <x:b/>
        <x:sz val="11"/>
        <x:rFont val="Noto Sans CJK SC"/>
        <x:family val="2"/>
      </x:rPr>
      <x:t xml:space="preserve">以降の給水収益へ反映。</x:t>
    </x:r>
  </x:si>
  <x:si>
    <x:t xml:space="preserve">年額資産維持費（千円）</x:t>
  </x:si>
  <x:si>
    <x:r>
      <x:rPr>
        <x:sz val="11"/>
        <x:rFont val="Noto Sans CJK SC"/>
        <x:family val="2"/>
      </x:rPr>
      <x:t xml:space="preserve">料金改定率（</x:t>
    </x:r>
    <x:r>
      <x:rPr>
        <x:sz val="11"/>
        <x:rFont val="Calibri"/>
      </x:rPr>
      <x:t xml:space="preserve">R11</x:t>
    </x:r>
    <x:r>
      <x:rPr>
        <x:sz val="11"/>
        <x:rFont val="Noto Sans CJK SC"/>
        <x:family val="2"/>
      </x:rPr>
      <x:t xml:space="preserve">以降・試算）</x:t>
    </x:r>
  </x:si>
  <x:si>
    <x:t xml:space="preserve">　給水収益（改定反映後）</x:t>
  </x:si>
  <x:si>
    <x:t xml:space="preserve">　うち料金改定増収</x:t>
  </x:si>
  <x:si>
    <x:t xml:space="preserve">　その他営業収益</x:t>
  </x:si>
  <x:si>
    <x:t xml:space="preserve">　長期前受金戻入</x:t>
  </x:si>
  <x:si>
    <x:t xml:space="preserve">　繰入金・負担金等</x:t>
  </x:si>
  <x:si>
    <x:t xml:space="preserve">収益的収入合計</x:t>
  </x:si>
  <x:si>
    <x:t xml:space="preserve">　減価償却費</x:t>
  </x:si>
  <x:si>
    <x:t xml:space="preserve">　資産減耗・除却費</x:t>
  </x:si>
  <x:si>
    <x:t xml:space="preserve">　支払利息</x:t>
  </x:si>
  <x:si>
    <x:t xml:space="preserve">収益的支出合計</x:t>
  </x:si>
  <x:si>
    <x:t xml:space="preserve">経常損益</x:t>
  </x:si>
  <x:si>
    <x:t xml:space="preserve">純損益</x:t>
  </x:si>
  <x:si>
    <x:t xml:space="preserve">【経営指標】</x:t>
  </x:si>
  <x:si>
    <x:t xml:space="preserve">経常収支比率</x:t>
  </x:si>
  <x:si>
    <x:t xml:space="preserve">料金回収率（通常）</x:t>
  </x:si>
  <x:si>
    <x:t xml:space="preserve">資産維持費込料金回収率</x:t>
  </x:si>
  <x:si>
    <x:t xml:space="preserve">給水原価対象費用</x:t>
  </x:si>
  <x:si>
    <x:t xml:space="preserve">給水原価対象費用＋資産維持費</x:t>
  </x:si>
  <x:si>
    <x:t xml:space="preserve">総括原価回収率（参考）</x:t>
  </x:si>
  <x:si>
    <x:r>
      <x:rPr>
        <x:sz val="11"/>
        <x:rFont val="Noto Sans CJK SC"/>
        <x:family val="2"/>
      </x:rPr>
      <x:t xml:space="preserve">検証：資産維持費込</x:t>
    </x:r>
    <x:r>
      <x:rPr>
        <x:sz val="11"/>
        <x:rFont val="Calibri"/>
      </x:rPr>
      <x:t xml:space="preserve">&lt;=</x:t>
    </x:r>
    <x:r>
      <x:rPr>
        <x:sz val="11"/>
        <x:rFont val="Noto Sans CJK SC"/>
        <x:family val="2"/>
      </x:rPr>
      <x:t xml:space="preserve">通常</x:t>
    </x:r>
  </x:si>
  <x:si>
    <x:r>
      <x:rPr>
        <x:b/>
        <x:sz val="11"/>
        <x:rFont val="Noto Sans CJK SC"/>
        <x:family val="2"/>
      </x:rPr>
      <x:t xml:space="preserve">【現預金・</x:t>
    </x:r>
    <x:r>
      <x:rPr>
        <x:b/>
        <x:sz val="11"/>
        <x:rFont val="Calibri"/>
      </x:rPr>
      <x:t xml:space="preserve">4</x:t>
    </x:r>
    <x:r>
      <x:rPr>
        <x:b/>
        <x:sz val="11"/>
        <x:rFont val="Noto Sans CJK SC"/>
        <x:family val="2"/>
      </x:rPr>
      <x:t xml:space="preserve">条財源】</x:t>
    </x:r>
  </x:si>
  <x:si>
    <x:r>
      <x:rPr>
        <x:sz val="11"/>
        <x:rFont val="Noto Sans CJK SC"/>
        <x:family val="2"/>
      </x:rPr>
      <x:t xml:space="preserve">補てん可能財源相当（簡便</x:t>
    </x:r>
    <x:r>
      <x:rPr>
        <x:sz val="11"/>
        <x:rFont val="Calibri"/>
      </x:rPr>
      <x:t xml:space="preserve">CF</x:t>
    </x:r>
    <x:r>
      <x:rPr>
        <x:sz val="11"/>
        <x:rFont val="Noto Sans CJK SC"/>
        <x:family val="2"/>
      </x:rPr>
      <x:t xml:space="preserve">）</x:t>
    </x:r>
  </x:si>
  <x:si>
    <x:t xml:space="preserve">資本的収支不足額（再掲）</x:t>
  </x:si>
  <x:si>
    <x:t xml:space="preserve">年度末現預金残高</x:t>
  </x:si>
  <x:si>
    <x:t xml:space="preserve">最低現金目安との差額</x:t>
  </x:si>
  <x:si>
    <x:r>
      <x:rPr>
        <x:b/>
        <x:sz val="14"/>
        <x:color rgb="FFFFFFFF"/>
        <x:rFont val="Calibri"/>
      </x:rPr>
      <x:t xml:space="preserve">SIM_</x:t>
    </x:r>
    <x:r>
      <x:rPr>
        <x:b/>
        <x:sz val="14"/>
        <x:color rgb="FFFFFFFF"/>
        <x:rFont val="Noto Sans CJK SC"/>
        <x:family val="2"/>
      </x:rPr>
      <x:t xml:space="preserve">ビジョン</x:t>
    </x:r>
    <x:r>
      <x:rPr>
        <x:b/>
        <x:sz val="14"/>
        <x:color rgb="FFFFFFFF"/>
        <x:rFont val="Calibri"/>
      </x:rPr>
      <x:t xml:space="preserve">_1%</x:t>
    </x:r>
  </x:si>
  <x:si>
    <x:r>
      <x:rPr>
        <x:b/>
        <x:sz val="14"/>
        <x:color rgb="FFFFFFFF"/>
        <x:rFont val="Calibri"/>
      </x:rPr>
      <x:t xml:space="preserve">SIM_</x:t>
    </x:r>
    <x:r>
      <x:rPr>
        <x:b/>
        <x:sz val="14"/>
        <x:color rgb="FFFFFFFF"/>
        <x:rFont val="Noto Sans CJK SC"/>
        <x:family val="2"/>
      </x:rPr>
      <x:t xml:space="preserve">ビジョン</x:t>
    </x:r>
    <x:r>
      <x:rPr>
        <x:b/>
        <x:sz val="14"/>
        <x:color rgb="FFFFFFFF"/>
        <x:rFont val="Calibri"/>
      </x:rPr>
      <x:t xml:space="preserve">_2%</x:t>
    </x:r>
  </x:si>
  <x:si>
    <x:r>
      <x:rPr>
        <x:b/>
        <x:sz val="14"/>
        <x:color rgb="FFFFFFFF"/>
        <x:rFont val="Calibri"/>
      </x:rPr>
      <x:t xml:space="preserve">SIM_</x:t>
    </x:r>
    <x:r>
      <x:rPr>
        <x:b/>
        <x:sz val="14"/>
        <x:color rgb="FFFFFFFF"/>
        <x:rFont val="Noto Sans CJK SC"/>
        <x:family val="2"/>
      </x:rPr>
      <x:t xml:space="preserve">ビジョン</x:t>
    </x:r>
    <x:r>
      <x:rPr>
        <x:b/>
        <x:sz val="14"/>
        <x:color rgb="FFFFFFFF"/>
        <x:rFont val="Calibri"/>
      </x:rPr>
      <x:t xml:space="preserve">_3%</x:t>
    </x:r>
  </x:si>
  <x:si>
    <x:r>
      <x:rPr>
        <x:b/>
        <x:sz val="14"/>
        <x:color rgb="FFFFFFFF"/>
        <x:rFont val="Calibri"/>
      </x:rPr>
      <x:t xml:space="preserve">SIM_</x:t>
    </x:r>
    <x:r>
      <x:rPr>
        <x:b/>
        <x:sz val="14"/>
        <x:color rgb="FFFFFFFF"/>
        <x:rFont val="Noto Sans CJK SC"/>
        <x:family val="2"/>
      </x:rPr>
      <x:t xml:space="preserve">置換後</x:t>
    </x:r>
    <x:r>
      <x:rPr>
        <x:b/>
        <x:sz val="14"/>
        <x:color rgb="FFFFFFFF"/>
        <x:rFont val="Calibri"/>
      </x:rPr>
      <x:t xml:space="preserve">_0%</x:t>
    </x:r>
  </x:si>
  <x:si>
    <x:r>
      <x:rPr>
        <x:b/>
        <x:sz val="14"/>
        <x:color rgb="FFFFFFFF"/>
        <x:rFont val="Calibri"/>
      </x:rPr>
      <x:t xml:space="preserve">SIM_</x:t>
    </x:r>
    <x:r>
      <x:rPr>
        <x:b/>
        <x:sz val="14"/>
        <x:color rgb="FFFFFFFF"/>
        <x:rFont val="Noto Sans CJK SC"/>
        <x:family val="2"/>
      </x:rPr>
      <x:t xml:space="preserve">置換後</x:t>
    </x:r>
    <x:r>
      <x:rPr>
        <x:b/>
        <x:sz val="14"/>
        <x:color rgb="FFFFFFFF"/>
        <x:rFont val="Calibri"/>
      </x:rPr>
      <x:t xml:space="preserve">_1%</x:t>
    </x:r>
  </x:si>
  <x:si>
    <x:r>
      <x:rPr>
        <x:b/>
        <x:sz val="14"/>
        <x:color rgb="FFFFFFFF"/>
        <x:rFont val="Calibri"/>
      </x:rPr>
      <x:t xml:space="preserve">SIM_</x:t>
    </x:r>
    <x:r>
      <x:rPr>
        <x:b/>
        <x:sz val="14"/>
        <x:color rgb="FFFFFFFF"/>
        <x:rFont val="Noto Sans CJK SC"/>
        <x:family val="2"/>
      </x:rPr>
      <x:t xml:space="preserve">置換後</x:t>
    </x:r>
    <x:r>
      <x:rPr>
        <x:b/>
        <x:sz val="14"/>
        <x:color rgb="FFFFFFFF"/>
        <x:rFont val="Calibri"/>
      </x:rPr>
      <x:t xml:space="preserve">_2%</x:t>
    </x:r>
  </x:si>
  <x:si>
    <x:r>
      <x:rPr>
        <x:b/>
        <x:sz val="14"/>
        <x:color rgb="FFFFFFFF"/>
        <x:rFont val="Calibri"/>
      </x:rPr>
      <x:t xml:space="preserve">SIM_</x:t>
    </x:r>
    <x:r>
      <x:rPr>
        <x:b/>
        <x:sz val="14"/>
        <x:color rgb="FFFFFFFF"/>
        <x:rFont val="Noto Sans CJK SC"/>
        <x:family val="2"/>
      </x:rPr>
      <x:t xml:space="preserve">置換後</x:t>
    </x:r>
    <x:r>
      <x:rPr>
        <x:b/>
        <x:sz val="14"/>
        <x:color rgb="FFFFFFFF"/>
        <x:rFont val="Calibri"/>
      </x:rPr>
      <x:t xml:space="preserve">_3%</x:t>
    </x:r>
  </x:si>
  <x:si>
    <x:r>
      <x:rPr>
        <x:b/>
        <x:sz val="14"/>
        <x:color rgb="FFFFFFFF"/>
        <x:rFont val="Calibri"/>
      </x:rPr>
      <x:t xml:space="preserve">R8</x:t>
    </x:r>
    <x:r>
      <x:rPr>
        <x:b/>
        <x:sz val="14"/>
        <x:color rgb="FFFFFFFF"/>
        <x:rFont val="Noto Sans CJK SC"/>
        <x:family val="2"/>
      </x:rPr>
      <x:t xml:space="preserve">予算反映・将来年次計画投資置換後の投資財政計画（</x:t>
    </x:r>
    <x:r>
      <x:rPr>
        <x:b/>
        <x:sz val="14"/>
        <x:color rgb="FFFFFFFF"/>
        <x:rFont val="Calibri"/>
      </x:rPr>
      <x:t xml:space="preserve">R7</x:t>
    </x:r>
    <x:r>
      <x:rPr>
        <x:b/>
        <x:sz val="14"/>
        <x:color rgb="FFFFFFFF"/>
        <x:rFont val="Noto Sans CJK SC"/>
        <x:family val="2"/>
      </x:rPr>
      <x:t xml:space="preserve">〜</x:t>
    </x:r>
    <x:r>
      <x:rPr>
        <x:b/>
        <x:sz val="14"/>
        <x:color rgb="FFFFFFFF"/>
        <x:rFont val="Calibri"/>
      </x:rPr>
      <x:t xml:space="preserve">R16</x:t>
    </x:r>
    <x:r>
      <x:rPr>
        <x:b/>
        <x:sz val="14"/>
        <x:color rgb="FFFFFFFF"/>
        <x:rFont val="Noto Sans CJK SC"/>
        <x:family val="2"/>
      </x:rPr>
      <x:t xml:space="preserve">）</x:t>
    </x:r>
  </x:si>
  <x:si>
    <x:r>
      <x:rPr>
        <x:b/>
        <x:sz val="11"/>
        <x:rFont val="Calibri"/>
      </x:rPr>
      <x:t xml:space="preserve">R8</x:t>
    </x:r>
    <x:r>
      <x:rPr>
        <x:b/>
        <x:sz val="11"/>
        <x:rFont val="Noto Sans CJK SC"/>
        <x:family val="2"/>
      </x:rPr>
      <x:t xml:space="preserve">は当初予算書の収益的収支・資本的収入を反映。建設改良費は将来年次計画</x:t>
    </x:r>
    <x:r>
      <x:rPr>
        <x:b/>
        <x:sz val="11"/>
        <x:rFont val="Calibri"/>
      </x:rPr>
      <x:t xml:space="preserve">2025.12.2</x:t>
    </x:r>
    <x:r>
      <x:rPr>
        <x:b/>
        <x:sz val="11"/>
        <x:rFont val="Noto Sans CJK SC"/>
        <x:family val="2"/>
      </x:rPr>
      <x:t xml:space="preserve">（</x:t>
    </x:r>
    <x:r>
      <x:rPr>
        <x:b/>
        <x:sz val="11"/>
        <x:rFont val="Calibri"/>
      </x:rPr>
      <x:t xml:space="preserve">2026.3.1</x:t>
    </x:r>
    <x:r>
      <x:rPr>
        <x:b/>
        <x:sz val="11"/>
        <x:rFont val="Noto Sans CJK SC"/>
        <x:family val="2"/>
      </x:rPr>
      <x:t xml:space="preserve">シート）の調整後事業費計へ置換。単位：千円。</x:t>
    </x:r>
  </x:si>
  <x:si>
    <x:r>
      <x:rPr>
        <x:sz val="11"/>
        <x:rFont val="Noto Sans CJK SC"/>
        <x:family val="2"/>
      </x:rPr>
      <x:t xml:space="preserve">【</x:t>
    </x:r>
    <x:r>
      <x:rPr>
        <x:sz val="11"/>
        <x:rFont val="Calibri"/>
      </x:rPr>
      <x:t xml:space="preserve">R8</x:t>
    </x:r>
    <x:r>
      <x:rPr>
        <x:sz val="11"/>
        <x:rFont val="Noto Sans CJK SC"/>
        <x:family val="2"/>
      </x:rPr>
      <x:t xml:space="preserve">予算反映メモ】</x:t>
    </x:r>
  </x:si>
  <x:si>
    <x:r>
      <x:rPr>
        <x:sz val="11"/>
        <x:rFont val="Calibri"/>
      </x:rPr>
      <x:t xml:space="preserve">R8</x:t>
    </x:r>
    <x:r>
      <x:rPr>
        <x:sz val="11"/>
        <x:rFont val="Noto Sans CJK SC"/>
        <x:family val="2"/>
      </x:rPr>
      <x:t xml:space="preserve">資本的収入は当初予算書の</x:t>
    </x:r>
    <x:r>
      <x:rPr>
        <x:sz val="11"/>
        <x:rFont val="Calibri"/>
      </x:rPr>
      <x:t xml:space="preserve">861,283</x:t>
    </x:r>
    <x:r>
      <x:rPr>
        <x:sz val="11"/>
        <x:rFont val="Noto Sans CJK SC"/>
        <x:family val="2"/>
      </x:rPr>
      <x:t xml:space="preserve">千円を採用。企業債</x:t>
    </x:r>
    <x:r>
      <x:rPr>
        <x:sz val="11"/>
        <x:rFont val="Calibri"/>
      </x:rPr>
      <x:t xml:space="preserve">519,900</x:t>
    </x:r>
    <x:r>
      <x:rPr>
        <x:sz val="11"/>
        <x:rFont val="Noto Sans CJK SC"/>
        <x:family val="2"/>
      </x:rPr>
      <x:t xml:space="preserve">、一般会計負担金</x:t>
    </x:r>
    <x:r>
      <x:rPr>
        <x:sz val="11"/>
        <x:rFont val="Calibri"/>
      </x:rPr>
      <x:t xml:space="preserve">166,838</x:t>
    </x:r>
    <x:r>
      <x:rPr>
        <x:sz val="11"/>
        <x:rFont val="Noto Sans CJK SC"/>
        <x:family val="2"/>
      </x:rPr>
      <x:t xml:space="preserve">、国庫補助金</x:t>
    </x:r>
    <x:r>
      <x:rPr>
        <x:sz val="11"/>
        <x:rFont val="Calibri"/>
      </x:rPr>
      <x:t xml:space="preserve">2,000</x:t>
    </x:r>
    <x:r>
      <x:rPr>
        <x:sz val="11"/>
        <x:rFont val="Noto Sans CJK SC"/>
        <x:family val="2"/>
      </x:rPr>
      <x:t xml:space="preserve">、工事負担金</x:t>
    </x:r>
    <x:r>
      <x:rPr>
        <x:sz val="11"/>
        <x:rFont val="Calibri"/>
      </x:rPr>
      <x:t xml:space="preserve">172,545</x:t>
    </x:r>
    <x:r>
      <x:rPr>
        <x:sz val="11"/>
        <x:rFont val="Noto Sans CJK SC"/>
        <x:family val="2"/>
      </x:rPr>
      <x:t xml:space="preserve">。</x:t>
    </x:r>
  </x:si>
  <x:si>
    <x:r>
      <x:rPr>
        <x:sz val="11"/>
        <x:rFont val="Calibri"/>
      </x:rPr>
      <x:t xml:space="preserve">R8</x:t>
    </x:r>
    <x:r>
      <x:rPr>
        <x:sz val="11"/>
        <x:rFont val="Noto Sans CJK SC"/>
        <x:family val="2"/>
      </x:rPr>
      <x:t xml:space="preserve">建設改良費は、投資側は将来年次計画の調整後事業費計</x:t>
    </x:r>
    <x:r>
      <x:rPr>
        <x:sz val="11"/>
        <x:rFont val="Calibri"/>
      </x:rPr>
      <x:t xml:space="preserve">888,542</x:t>
    </x:r>
    <x:r>
      <x:rPr>
        <x:sz val="11"/>
        <x:rFont val="Noto Sans CJK SC"/>
        <x:family val="2"/>
      </x:rPr>
      <x:t xml:space="preserve">千円へ置換。予算上の建設改良費</x:t>
    </x:r>
    <x:r>
      <x:rPr>
        <x:sz val="11"/>
        <x:rFont val="Calibri"/>
      </x:rPr>
      <x:t xml:space="preserve">714,032</x:t>
    </x:r>
    <x:r>
      <x:rPr>
        <x:sz val="11"/>
        <x:rFont val="Noto Sans CJK SC"/>
        <x:family val="2"/>
      </x:rPr>
      <x:t xml:space="preserve">千円との差は</x:t>
    </x:r>
    <x:r>
      <x:rPr>
        <x:sz val="11"/>
        <x:rFont val="Calibri"/>
      </x:rPr>
      <x:t xml:space="preserve">174,510</x:t>
    </x:r>
    <x:r>
      <x:rPr>
        <x:sz val="11"/>
        <x:rFont val="Noto Sans CJK SC"/>
        <x:family val="2"/>
      </x:rPr>
      <x:t xml:space="preserve">千円。</x:t>
    </x:r>
  </x:si>
  <x:si>
    <x:r>
      <x:rPr>
        <x:sz val="11"/>
        <x:rFont val="Calibri"/>
      </x:rPr>
      <x:t xml:space="preserve">R8</x:t>
    </x:r>
    <x:r>
      <x:rPr>
        <x:sz val="11"/>
        <x:rFont val="Noto Sans CJK SC"/>
        <x:family val="2"/>
      </x:rPr>
      <x:t xml:space="preserve">の収益的収支は当初予算書の給水収益</x:t>
    </x:r>
    <x:r>
      <x:rPr>
        <x:sz val="11"/>
        <x:rFont val="Calibri"/>
      </x:rPr>
      <x:t xml:space="preserve">1,331,944</x:t>
    </x:r>
    <x:r>
      <x:rPr>
        <x:sz val="11"/>
        <x:rFont val="Noto Sans CJK SC"/>
        <x:family val="2"/>
      </x:rPr>
      <x:t xml:space="preserve">千円、営業費用</x:t>
    </x:r>
    <x:r>
      <x:rPr>
        <x:sz val="11"/>
        <x:rFont val="Calibri"/>
      </x:rPr>
      <x:t xml:space="preserve">1,546,573</x:t>
    </x:r>
    <x:r>
      <x:rPr>
        <x:sz val="11"/>
        <x:rFont val="Noto Sans CJK SC"/>
        <x:family val="2"/>
      </x:rPr>
      <x:t xml:space="preserve">千円、支払利息</x:t>
    </x:r>
    <x:r>
      <x:rPr>
        <x:sz val="11"/>
        <x:rFont val="Calibri"/>
      </x:rPr>
      <x:t xml:space="preserve">113,113</x:t>
    </x:r>
    <x:r>
      <x:rPr>
        <x:sz val="11"/>
        <x:rFont val="Noto Sans CJK SC"/>
        <x:family val="2"/>
      </x:rPr>
      <x:t xml:space="preserve">千円等を反映。</x:t>
    </x:r>
  </x:si>
  <x:si>
    <x:r>
      <x:rPr>
        <x:b/>
        <x:sz val="14"/>
        <x:color rgb="FFFFFFFF"/>
        <x:rFont val="Calibri"/>
      </x:rPr>
      <x:t xml:space="preserve">SIM_R8</x:t>
    </x:r>
    <x:r>
      <x:rPr>
        <x:b/>
        <x:sz val="14"/>
        <x:color rgb="FFFFFFFF"/>
        <x:rFont val="Noto Sans CJK SC"/>
        <x:family val="2"/>
      </x:rPr>
      <x:t xml:space="preserve">予算置換</x:t>
    </x:r>
    <x:r>
      <x:rPr>
        <x:b/>
        <x:sz val="14"/>
        <x:color rgb="FFFFFFFF"/>
        <x:rFont val="Calibri"/>
      </x:rPr>
      <x:t xml:space="preserve">_0%</x:t>
    </x:r>
  </x:si>
  <x:si>
    <x:r>
      <x:rPr>
        <x:b/>
        <x:sz val="14"/>
        <x:color rgb="FFFFFFFF"/>
        <x:rFont val="Calibri"/>
      </x:rPr>
      <x:t xml:space="preserve">SIM_R8</x:t>
    </x:r>
    <x:r>
      <x:rPr>
        <x:b/>
        <x:sz val="14"/>
        <x:color rgb="FFFFFFFF"/>
        <x:rFont val="Noto Sans CJK SC"/>
        <x:family val="2"/>
      </x:rPr>
      <x:t xml:space="preserve">予算置換</x:t>
    </x:r>
    <x:r>
      <x:rPr>
        <x:b/>
        <x:sz val="14"/>
        <x:color rgb="FFFFFFFF"/>
        <x:rFont val="Calibri"/>
      </x:rPr>
      <x:t xml:space="preserve">_1%</x:t>
    </x:r>
  </x:si>
  <x:si>
    <x:r>
      <x:rPr>
        <x:b/>
        <x:sz val="14"/>
        <x:color rgb="FFFFFFFF"/>
        <x:rFont val="Calibri"/>
      </x:rPr>
      <x:t xml:space="preserve">SIM_R8</x:t>
    </x:r>
    <x:r>
      <x:rPr>
        <x:b/>
        <x:sz val="14"/>
        <x:color rgb="FFFFFFFF"/>
        <x:rFont val="Noto Sans CJK SC"/>
        <x:family val="2"/>
      </x:rPr>
      <x:t xml:space="preserve">予算置換</x:t>
    </x:r>
    <x:r>
      <x:rPr>
        <x:b/>
        <x:sz val="14"/>
        <x:color rgb="FFFFFFFF"/>
        <x:rFont val="Calibri"/>
      </x:rPr>
      <x:t xml:space="preserve">_2%</x:t>
    </x:r>
  </x:si>
  <x:si>
    <x:r>
      <x:rPr>
        <x:b/>
        <x:sz val="14"/>
        <x:color rgb="FFFFFFFF"/>
        <x:rFont val="Calibri"/>
      </x:rPr>
      <x:t xml:space="preserve">SIM_R8</x:t>
    </x:r>
    <x:r>
      <x:rPr>
        <x:b/>
        <x:sz val="14"/>
        <x:color rgb="FFFFFFFF"/>
        <x:rFont val="Noto Sans CJK SC"/>
        <x:family val="2"/>
      </x:rPr>
      <x:t xml:space="preserve">予算置換</x:t>
    </x:r>
    <x:r>
      <x:rPr>
        <x:b/>
        <x:sz val="14"/>
        <x:color rgb="FFFFFFFF"/>
        <x:rFont val="Calibri"/>
      </x:rPr>
      <x:t xml:space="preserve">_3%</x:t>
    </x:r>
  </x:si>
</x:sst>
</file>

<file path=xl/styles.xml><?xml version="1.0" encoding="utf-8"?>
<x:styleSheet xmlns:x="http://schemas.openxmlformats.org/spreadsheetml/2006/main">
  <x:numFmts count="5">
    <x:numFmt numFmtId="164" formatCode="General"/>
    <x:numFmt numFmtId="165" formatCode="#,##0"/>
    <x:numFmt numFmtId="166" formatCode="0.0%"/>
    <x:numFmt numFmtId="167" formatCode="0.0"/>
    <x:numFmt numFmtId="200" formatCode="0.00%"/>
  </x:numFmts>
  <x:fonts count="18">
    <x:font>
      <x:sz val="10"/>
      <x:name val="Arial"/>
    </x:font>
    <x:font>
      <x:sz val="10"/>
      <x:name val="Arial"/>
    </x:font>
    <x:font>
      <x:sz val="10"/>
      <x:name val="Arial"/>
    </x:font>
    <x:font>
      <x:sz val="10"/>
      <x:name val="Arial"/>
    </x:font>
    <x:font>
      <x:sz val="11"/>
      <x:name val="Calibri"/>
    </x:font>
    <x:font>
      <x:b/>
      <x:sz val="11"/>
      <x:color rgb="FFFFFFFF"/>
      <x:name val="Noto Sans CJK SC"/>
    </x:font>
    <x:font>
      <x:b/>
      <x:sz val="11"/>
      <x:color rgb="FFFFFFFF"/>
      <x:name val="Calibri"/>
    </x:font>
    <x:font>
      <x:b/>
      <x:sz val="11"/>
      <x:name val="Noto Sans CJK SC"/>
    </x:font>
    <x:font>
      <x:sz val="11"/>
      <x:name val="Noto Sans CJK SC"/>
    </x:font>
    <x:font>
      <x:b/>
      <x:sz val="11"/>
      <x:name val="Calibri"/>
    </x:font>
    <x:font>
      <x:b/>
      <x:sz val="14"/>
      <x:color rgb="FFFFFFFF"/>
      <x:name val="Noto Sans CJK SC"/>
    </x:font>
    <x:font>
      <x:b/>
      <x:sz val="14"/>
      <x:color rgb="FFFFFFFF"/>
      <x:name val="Calibri"/>
    </x:font>
    <x:font>
      <x:b/>
      <x:sz val="14"/>
      <x:color rgb="FFFFFFFF"/>
      <x:name val="Cambria"/>
    </x:font>
    <x:font>
      <x:b/>
      <x:sz val="11"/>
      <x:color rgb="FFFFFFFF"/>
      <x:name val="Cambria"/>
    </x:font>
    <x:font>
      <x:b/>
      <x:sz val="14"/>
      <x:color rgb="FFFFFFFF"/>
      <x:name val="Arial"/>
    </x:font>
    <x:font>
      <x:b/>
      <x:sz val="10"/>
      <x:color rgb="FFFFFFFF"/>
      <x:name val="Arial"/>
    </x:font>
    <x:font>
      <x:b/>
      <x:sz val="10"/>
      <x:color rgb="FF17365D"/>
      <x:name val="Arial"/>
    </x:font>
    <x:font>
      <x:sz val="10"/>
      <x:color rgb="FF7F6000"/>
      <x:name val="Arial"/>
    </x:font>
  </x:fonts>
  <x:fills count="14">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E0F2FE"/>
      </x:patternFill>
    </x:fill>
    <x:fill>
      <x:patternFill patternType="solid">
        <x:fgColor rgb="FFFFF2CC"/>
      </x:patternFill>
    </x:fill>
    <x:fill>
      <x:patternFill patternType="solid">
        <x:fgColor rgb="FFD9EAF7"/>
      </x:patternFill>
    </x:fill>
    <x:fill>
      <x:patternFill patternType="solid">
        <x:fgColor rgb="FF1E3A8A"/>
      </x:patternFill>
    </x:fill>
    <x:fill>
      <x:patternFill patternType="solid">
        <x:fgColor rgb="FFDBEAFE"/>
      </x:patternFill>
    </x:fill>
    <x:fill>
      <x:patternFill patternType="solid">
        <x:fgColor rgb="FFFEF3C7"/>
      </x:patternFill>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FF2CC"/>
      </x:patternFill>
    </x:fill>
  </x:fills>
  <x:borders count="3">
    <x:border diagonalUp="0" diagonalDown="0"/>
    <x:border diagonalUp="0" diagonalDown="0">
      <x:bottom style="thin">
        <x:color rgb="FFD0D7DE"/>
      </x:bottom>
    </x:border>
    <x:border diagonalUp="0" diagonalDown="0">
      <x:left style="thin">
        <x:color rgb="FFD9E2F3"/>
      </x:left>
      <x:right style="thin">
        <x:color rgb="FFD9E2F3"/>
      </x:right>
      <x:top style="thin">
        <x:color rgb="FFD9E2F3"/>
      </x:top>
      <x:bottom style="thin">
        <x:color rgb="FFD9E2F3"/>
      </x:bottom>
    </x:border>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65">
    <x:xf numFmtId="164" fontId="0" fillId="0" borderId="0" xfId="0" applyFont="0" applyBorder="0" applyAlignment="0">
      <x:alignment horizontal="general" vertical="bottom" wrapText="0"/>
    </x:xf>
    <x:xf numFmtId="164" fontId="5" fillId="2" borderId="0" xfId="20" applyFont="1" applyBorder="1" applyAlignment="1">
      <x:alignment horizontal="center" vertical="center" wrapText="1"/>
    </x:xf>
    <x:xf numFmtId="164" fontId="6" fillId="2" borderId="0" xfId="20" applyFont="1" applyBorder="1" applyAlignment="1">
      <x:alignment horizontal="center" vertical="center" wrapText="0"/>
    </x:xf>
    <x:xf numFmtId="164" fontId="5" fillId="2" borderId="0" xfId="20" applyFont="1" applyBorder="1" applyAlignment="1">
      <x:alignment horizontal="center" vertical="center" wrapText="0"/>
    </x:xf>
    <x:xf numFmtId="164" fontId="7" fillId="3" borderId="0" xfId="20" applyFont="1" applyBorder="1" applyAlignment="1">
      <x:alignment horizontal="general" vertical="bottom" wrapText="1"/>
    </x:xf>
    <x:xf numFmtId="165" fontId="4" fillId="0" borderId="0" xfId="20" applyFont="0" applyBorder="1" applyAlignment="1">
      <x:alignment horizontal="general" vertical="bottom" wrapText="1"/>
    </x:xf>
    <x:xf numFmtId="164" fontId="8" fillId="0" borderId="0" xfId="20" applyFont="1" applyBorder="1" applyAlignment="1">
      <x:alignment horizontal="general" vertical="bottom" wrapText="1"/>
    </x:xf>
    <x:xf numFmtId="164" fontId="4" fillId="0" borderId="0" xfId="20" applyFont="1" applyBorder="1" applyAlignment="1">
      <x:alignment horizontal="general" vertical="bottom" wrapText="1"/>
    </x:xf>
    <x:xf numFmtId="165" fontId="8" fillId="0" borderId="0" xfId="20" applyFont="1" applyBorder="1" applyAlignment="1">
      <x:alignment horizontal="general" vertical="bottom" wrapText="1"/>
    </x:xf>
    <x:xf numFmtId="164" fontId="9" fillId="3" borderId="0" xfId="20" applyFont="1" applyBorder="1" applyAlignment="1">
      <x:alignment horizontal="general" vertical="bottom" wrapText="1"/>
    </x:xf>
    <x:xf numFmtId="164" fontId="4" fillId="4" borderId="0" xfId="20" applyFont="1" applyBorder="1" applyAlignment="0">
      <x:alignment horizontal="general" vertical="bottom" wrapText="0"/>
    </x:xf>
    <x:xf numFmtId="164" fontId="4" fillId="0" borderId="0" xfId="20" applyFont="1" applyBorder="1" applyAlignment="1">
      <x:alignment horizontal="general" vertical="top" wrapText="1"/>
    </x:xf>
    <x:xf numFmtId="164" fontId="8" fillId="0" borderId="0" xfId="20" applyFont="1" applyBorder="1" applyAlignment="1">
      <x:alignment horizontal="general" vertical="top" wrapText="1"/>
    </x:xf>
    <x:xf numFmtId="164" fontId="10" fillId="2" borderId="0" xfId="20" applyFont="1" applyBorder="1" applyAlignment="1">
      <x:alignment horizontal="general" vertical="center" wrapText="1"/>
    </x:xf>
    <x:xf numFmtId="164" fontId="7" fillId="5" borderId="0" xfId="20" applyFont="1" applyBorder="1" applyAlignment="1">
      <x:alignment horizontal="general" vertical="center" wrapText="1"/>
    </x:xf>
    <x:xf numFmtId="164" fontId="5" fillId="2" borderId="0" xfId="20" applyFont="1" applyBorder="1" applyAlignment="1">
      <x:alignment horizontal="general" vertical="center" wrapText="1"/>
    </x:xf>
    <x:xf numFmtId="165" fontId="5" fillId="2" borderId="0" xfId="20" applyFont="1" applyBorder="1" applyAlignment="1">
      <x:alignment horizontal="general" vertical="center" wrapText="1"/>
    </x:xf>
    <x:xf numFmtId="164" fontId="7" fillId="6" borderId="0" xfId="20" applyFont="1" applyBorder="1" applyAlignment="1">
      <x:alignment horizontal="general" vertical="center" wrapText="1"/>
    </x:xf>
    <x:xf numFmtId="165" fontId="9" fillId="6" borderId="0" xfId="20" applyFont="1" applyBorder="1" applyAlignment="1">
      <x:alignment horizontal="general" vertical="center" wrapText="1"/>
    </x:xf>
    <x:xf numFmtId="164" fontId="8" fillId="0" borderId="0" xfId="20" applyFont="1" applyBorder="1" applyAlignment="1">
      <x:alignment horizontal="general" vertical="center" wrapText="1"/>
    </x:xf>
    <x:xf numFmtId="165" fontId="4" fillId="0" borderId="0" xfId="20" applyFont="0" applyBorder="1" applyAlignment="1">
      <x:alignment horizontal="general" vertical="center" wrapText="1"/>
    </x:xf>
    <x:xf numFmtId="166" fontId="4" fillId="0" borderId="0" xfId="20" applyFont="0" applyBorder="1" applyAlignment="1">
      <x:alignment horizontal="general" vertical="center" wrapText="1"/>
    </x:xf>
    <x:xf numFmtId="166" fontId="9" fillId="6" borderId="0" xfId="20" applyFont="1" applyBorder="1" applyAlignment="1">
      <x:alignment horizontal="general" vertical="center" wrapText="1"/>
    </x:xf>
    <x:xf numFmtId="164" fontId="12" fillId="7" borderId="0" xfId="20" applyFont="1" applyBorder="1" applyAlignment="1">
      <x:alignment horizontal="center" vertical="bottom" wrapText="0"/>
    </x:xf>
    <x:xf numFmtId="164" fontId="4" fillId="8" borderId="0" xfId="20" applyFont="1" applyBorder="1" applyAlignment="1">
      <x:alignment horizontal="general" vertical="top" wrapText="1"/>
    </x:xf>
    <x:xf numFmtId="164" fontId="5" fillId="7" borderId="0" xfId="20" applyFont="1" applyBorder="1" applyAlignment="1">
      <x:alignment horizontal="center" vertical="bottom" wrapText="1"/>
    </x:xf>
    <x:xf numFmtId="164" fontId="13" fillId="7" borderId="0" xfId="20" applyFont="1" applyBorder="1" applyAlignment="1">
      <x:alignment horizontal="center" vertical="bottom" wrapText="1"/>
    </x:xf>
    <x:xf numFmtId="164" fontId="4" fillId="0" borderId="1" xfId="20" applyFont="1" applyBorder="1" applyAlignment="1">
      <x:alignment horizontal="general" vertical="center" wrapText="1"/>
    </x:xf>
    <x:xf numFmtId="166" fontId="4" fillId="0" borderId="1" xfId="20" applyFont="0" applyBorder="1" applyAlignment="1">
      <x:alignment horizontal="general" vertical="center" wrapText="1"/>
    </x:xf>
    <x:xf numFmtId="165" fontId="4" fillId="0" borderId="1" xfId="20" applyFont="0" applyBorder="1" applyAlignment="1">
      <x:alignment horizontal="general" vertical="center" wrapText="1"/>
    </x:xf>
    <x:xf numFmtId="164" fontId="4" fillId="0" borderId="1" xfId="20" applyFont="0" applyBorder="1" applyAlignment="1">
      <x:alignment horizontal="center" vertical="bottom" wrapText="0"/>
    </x:xf>
    <x:xf numFmtId="164" fontId="11" fillId="2" borderId="0" xfId="20" applyFont="1" applyBorder="1" applyAlignment="1">
      <x:alignment horizontal="center" vertical="bottom" wrapText="1"/>
    </x:xf>
    <x:xf numFmtId="164" fontId="7" fillId="5" borderId="0" xfId="20" applyFont="1" applyBorder="1" applyAlignment="1">
      <x:alignment horizontal="general" vertical="bottom" wrapText="1"/>
    </x:xf>
    <x:xf numFmtId="164" fontId="6" fillId="2" borderId="0" xfId="20" applyFont="1" applyBorder="1" applyAlignment="1">
      <x:alignment horizontal="center" vertical="center" wrapText="1"/>
    </x:xf>
    <x:xf numFmtId="166" fontId="4" fillId="0" borderId="0" xfId="20" applyFont="0" applyBorder="1" applyAlignment="1">
      <x:alignment horizontal="general" vertical="bottom" wrapText="1"/>
    </x:xf>
    <x:xf numFmtId="167" fontId="4" fillId="0" borderId="0" xfId="20" applyFont="0" applyBorder="1" applyAlignment="1">
      <x:alignment horizontal="general" vertical="bottom" wrapText="1"/>
    </x:xf>
    <x:xf numFmtId="164" fontId="4" fillId="0" borderId="0" xfId="20" applyFont="0" applyBorder="1" applyAlignment="1">
      <x:alignment horizontal="general" vertical="bottom" wrapText="1"/>
    </x:xf>
    <x:xf numFmtId="164" fontId="5" fillId="7" borderId="0" xfId="20" applyFont="1" applyBorder="1" applyAlignment="1">
      <x:alignment horizontal="center" vertical="center" wrapText="1"/>
    </x:xf>
    <x:xf numFmtId="164" fontId="13" fillId="7" borderId="0" xfId="20" applyFont="1" applyBorder="1" applyAlignment="1">
      <x:alignment horizontal="center" vertical="center" wrapText="1"/>
    </x:xf>
    <x:xf numFmtId="164" fontId="8" fillId="0" borderId="1" xfId="20" applyFont="1" applyBorder="1" applyAlignment="1">
      <x:alignment horizontal="general" vertical="top" wrapText="1"/>
    </x:xf>
    <x:xf numFmtId="165" fontId="4" fillId="0" borderId="1" xfId="20" applyFont="0" applyBorder="1" applyAlignment="1">
      <x:alignment horizontal="general" vertical="top" wrapText="1"/>
    </x:xf>
    <x:xf numFmtId="164" fontId="4" fillId="0" borderId="1" xfId="20" applyFont="1" applyBorder="1" applyAlignment="1">
      <x:alignment horizontal="general" vertical="top" wrapText="1"/>
    </x:xf>
    <x:xf numFmtId="164" fontId="7" fillId="6" borderId="0" xfId="20" applyFont="1" applyBorder="1" applyAlignment="1">
      <x:alignment horizontal="left" vertical="bottom" wrapText="1"/>
    </x:xf>
    <x:xf numFmtId="165" fontId="9" fillId="6" borderId="0" xfId="20" applyFont="1" applyBorder="1" applyAlignment="1">
      <x:alignment horizontal="left" vertical="bottom" wrapText="1"/>
    </x:xf>
    <x:xf numFmtId="164" fontId="11" fillId="2" borderId="0" xfId="20" applyFont="1" applyBorder="1" applyAlignment="1">
      <x:alignment horizontal="general" vertical="center" wrapText="1"/>
    </x:xf>
    <x:xf numFmtId="164" fontId="9" fillId="5" borderId="0" xfId="20" applyFont="1" applyBorder="1" applyAlignment="1">
      <x:alignment horizontal="general" vertical="center" wrapText="1"/>
    </x:xf>
    <x:xf numFmtId="164" fontId="8" fillId="4" borderId="0" xfId="20" applyFont="1" applyBorder="1" applyAlignment="1">
      <x:alignment horizontal="general" vertical="center" wrapText="1"/>
    </x:xf>
    <x:xf numFmtId="164" fontId="4" fillId="9" borderId="0" xfId="20" applyFont="1" applyBorder="1" applyAlignment="1">
      <x:alignment horizontal="general" vertical="center" wrapText="1"/>
    </x:xf>
    <x:xf numFmtId="164" fontId="0" fillId="10" borderId="0" xfId="0" applyNumberFormat="1" applyFont="1" applyFill="1" applyBorder="1" applyAlignment="1">
      <x:alignment horizontal="general" vertical="bottom" wrapText="0"/>
    </x:xf>
    <x:xf numFmtId="164" fontId="14" fillId="10" borderId="0" xfId="0" applyNumberFormat="1" applyFont="1" applyFill="1" applyBorder="1" applyAlignment="1">
      <x:alignment horizontal="general" vertical="bottom" wrapText="0"/>
    </x:xf>
    <x:xf numFmtId="164" fontId="0" fillId="11" borderId="0" xfId="0" applyNumberFormat="1" applyFont="1" applyFill="1" applyBorder="1" applyAlignment="1">
      <x:alignment horizontal="general" vertical="bottom" wrapText="0"/>
    </x:xf>
    <x:xf numFmtId="164" fontId="15" fillId="11" borderId="0" xfId="0" applyNumberFormat="1" applyFont="1" applyFill="1" applyBorder="1" applyAlignment="1">
      <x:alignment horizontal="general" vertical="bottom" wrapText="0"/>
    </x:xf>
    <x:xf numFmtId="164" fontId="15" fillId="11" borderId="2" xfId="0" applyNumberFormat="1" applyFont="1" applyFill="1" applyBorder="1" applyAlignment="1">
      <x:alignment horizontal="general" vertical="bottom" wrapText="0"/>
    </x:xf>
    <x:xf numFmtId="164" fontId="0" fillId="0" borderId="2" xfId="0" applyNumberFormat="1" applyFont="1" applyFill="1" applyBorder="1" applyAlignment="1">
      <x:alignment horizontal="general" vertical="bottom" wrapText="0"/>
    </x:xf>
    <x:xf numFmtId="164" fontId="15" fillId="11" borderId="2" xfId="0" applyNumberFormat="1" applyFont="1" applyFill="1" applyBorder="1" applyAlignment="1">
      <x:alignment horizontal="general" vertical="bottom" wrapText="1"/>
    </x:xf>
    <x:xf numFmtId="164" fontId="0" fillId="0" borderId="2" xfId="0" applyNumberFormat="1" applyFont="1" applyFill="1" applyBorder="1" applyAlignment="1">
      <x:alignment horizontal="general" vertical="bottom" wrapText="1"/>
    </x:xf>
    <x:xf numFmtId="165" fontId="0" fillId="0" borderId="2" xfId="0" applyNumberFormat="1" applyFont="1" applyFill="1" applyBorder="1" applyAlignment="1">
      <x:alignment horizontal="general" vertical="bottom" wrapText="1"/>
    </x:xf>
    <x:xf numFmtId="164" fontId="0" fillId="12" borderId="0" xfId="0" applyNumberFormat="1" applyFont="1" applyFill="1" applyBorder="1" applyAlignment="1">
      <x:alignment horizontal="general" vertical="bottom" wrapText="0"/>
    </x:xf>
    <x:xf numFmtId="164" fontId="16" fillId="12" borderId="0" xfId="0" applyNumberFormat="1" applyFont="1" applyFill="1" applyBorder="1" applyAlignment="1">
      <x:alignment horizontal="general" vertical="bottom" wrapText="0"/>
    </x:xf>
    <x:xf numFmtId="200" fontId="0" fillId="0" borderId="2" xfId="0" applyNumberFormat="1" applyFont="1" applyFill="1" applyBorder="1" applyAlignment="1">
      <x:alignment horizontal="general" vertical="bottom" wrapText="1"/>
    </x:xf>
    <x:xf numFmtId="164" fontId="0" fillId="13" borderId="0" xfId="0" applyNumberFormat="1" applyFont="1" applyFill="1" applyBorder="1" applyAlignment="1">
      <x:alignment horizontal="general" vertical="bottom" wrapText="0"/>
    </x:xf>
    <x:xf numFmtId="164" fontId="17" fillId="13" borderId="0" xfId="0" applyNumberFormat="1" applyFont="1" applyFill="1" applyBorder="1" applyAlignment="1">
      <x:alignment horizontal="general" vertical="bottom" wrapText="0"/>
    </x:xf>
    <x:xf numFmtId="164" fontId="17" fillId="13" borderId="0" xfId="0" applyNumberFormat="1" applyFont="1" applyFill="1" applyBorder="1" applyAlignment="1">
      <x:alignment horizontal="general" vertical="bottom" wrapText="1"/>
    </x:xf>
    <x:xf numFmtId="165" fontId="0" fillId="0" borderId="0" xfId="0" applyNumberFormat="1" applyFont="1" applyFill="1" applyBorder="1" applyAlignment="1">
      <x:alignment horizontal="general" vertical="bottom" wrapText="0"/>
    </x:xf>
    <x:xf numFmtId="165" fontId="0" fillId="0" borderId="2" xfId="0" applyNumberFormat="1" applyFont="1" applyFill="1" applyBorder="1" applyAlignment="1">
      <x:alignment horizontal="general" vertical="bottom" wrapText="0"/>
    </x:xf>
  </x:cellXfs>
  <x:cellStyles count="7">
    <x:cellStyle name="Normal" xfId="0"/>
    <x:cellStyle name="Comma" xfId="15"/>
    <x:cellStyle name="Comma [0]" xfId="16"/>
    <x:cellStyle name="Currency" xfId="17"/>
    <x:cellStyle name="Currency [0]" xfId="18"/>
    <x:cellStyle name="Percent" xfId="19"/>
    <x:cellStyle name="Normal" xfId="20"/>
  </x:cellStyles>
  <x:dxfs count="1">
    <x:dxf>
      <x:fill>
        <x:patternFill>
          <x:bgColor rgb="FFF4CCCC"/>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DBEAFE"/>
      <x:rgbColor rgb="FF808080"/>
      <x:rgbColor rgb="FF9999FF"/>
      <x:rgbColor rgb="FF993366"/>
      <x:rgbColor rgb="FFFEF3C7"/>
      <x:rgbColor rgb="FFE0F2FE"/>
      <x:rgbColor rgb="FF660066"/>
      <x:rgbColor rgb="FFFF8080"/>
      <x:rgbColor rgb="FF0066CC"/>
      <x:rgbColor rgb="FFD0D7DE"/>
      <x:rgbColor rgb="FF000080"/>
      <x:rgbColor rgb="FFFF00FF"/>
      <x:rgbColor rgb="FFFFFF00"/>
      <x:rgbColor rgb="FF00FFFF"/>
      <x:rgbColor rgb="FF800080"/>
      <x:rgbColor rgb="FF800000"/>
      <x:rgbColor rgb="FF008080"/>
      <x:rgbColor rgb="FF0000FF"/>
      <x:rgbColor rgb="FF00CCFF"/>
      <x:rgbColor rgb="FFD9EAF7"/>
      <x:rgbColor rgb="FFEAF2F8"/>
      <x:rgbColor rgb="FFFFF2CC"/>
      <x:rgbColor rgb="FF99CCFF"/>
      <x:rgbColor rgb="FFFF99CC"/>
      <x:rgbColor rgb="FFCC99FF"/>
      <x:rgbColor rgb="FFF4CCCC"/>
      <x:rgbColor rgb="FF3366FF"/>
      <x:rgbColor rgb="FF33CCCC"/>
      <x:rgbColor rgb="FF99CC00"/>
      <x:rgbColor rgb="FFFFCC00"/>
      <x:rgbColor rgb="FFFF9900"/>
      <x:rgbColor rgb="FFFF6600"/>
      <x:rgbColor rgb="FF666699"/>
      <x:rgbColor rgb="FF969696"/>
      <x:rgbColor rgb="FF1F4E78"/>
      <x:rgbColor rgb="FF339966"/>
      <x:rgbColor rgb="FF003300"/>
      <x:rgbColor rgb="FF333300"/>
      <x:rgbColor rgb="FF993300"/>
      <x:rgbColor rgb="FF993366"/>
      <x:rgbColor rgb="FF1E3A8A"/>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138857991694fff" /><Relationship Type="http://schemas.openxmlformats.org/officeDocument/2006/relationships/theme" Target="/xl/theme/theme1.xml" Id="R46f4911895744288" /><Relationship Type="http://schemas.openxmlformats.org/officeDocument/2006/relationships/sharedStrings" Target="/xl/sharedStrings.xml" Id="R8e607a7f49d14e52" /><Relationship Type="http://schemas.openxmlformats.org/officeDocument/2006/relationships/worksheet" Target="/xl/worksheets/sheet1.xml" Id="R1decd6e1d9904a81" /><Relationship Type="http://schemas.openxmlformats.org/officeDocument/2006/relationships/worksheet" Target="/xl/worksheets/sheet2.xml" Id="R83457ca8084747c2" /><Relationship Type="http://schemas.openxmlformats.org/officeDocument/2006/relationships/worksheet" Target="/xl/worksheets/sheet3.xml" Id="R052ea9786464480b" /><Relationship Type="http://schemas.openxmlformats.org/officeDocument/2006/relationships/worksheet" Target="/xl/worksheets/sheet4.xml" Id="R06bd2f19553143f4" /><Relationship Type="http://schemas.openxmlformats.org/officeDocument/2006/relationships/worksheet" Target="/xl/worksheets/sheet5.xml" Id="Rf19875f08c724d00" /><Relationship Type="http://schemas.openxmlformats.org/officeDocument/2006/relationships/worksheet" Target="/xl/worksheets/sheet6.xml" Id="R60fa4f1fe81140b0" /><Relationship Type="http://schemas.openxmlformats.org/officeDocument/2006/relationships/worksheet" Target="/xl/worksheets/sheet7.xml" Id="R359e15d7566e4038" /><Relationship Type="http://schemas.openxmlformats.org/officeDocument/2006/relationships/worksheet" Target="/xl/worksheets/sheet8.xml" Id="Rf655cbf1b34a495f" /><Relationship Type="http://schemas.openxmlformats.org/officeDocument/2006/relationships/worksheet" Target="/xl/worksheets/sheet9.xml" Id="R8c3d232a7e2842f3" /><Relationship Type="http://schemas.openxmlformats.org/officeDocument/2006/relationships/worksheet" Target="/xl/worksheets/sheet10.xml" Id="R6d839d4181c64c46" /><Relationship Type="http://schemas.openxmlformats.org/officeDocument/2006/relationships/worksheet" Target="/xl/worksheets/sheet11.xml" Id="R18c01751430e4835" /><Relationship Type="http://schemas.openxmlformats.org/officeDocument/2006/relationships/worksheet" Target="/xl/worksheets/sheet12.xml" Id="R075992e76c73420e" /><Relationship Type="http://schemas.openxmlformats.org/officeDocument/2006/relationships/worksheet" Target="/xl/worksheets/sheet13.xml" Id="R0f182933c68344c2" /><Relationship Type="http://schemas.openxmlformats.org/officeDocument/2006/relationships/worksheet" Target="/xl/worksheets/sheet14.xml" Id="R0837c4cdd72e4f39" /><Relationship Type="http://schemas.openxmlformats.org/officeDocument/2006/relationships/worksheet" Target="/xl/worksheets/sheet15.xml" Id="Re88fba12cc554d07" /><Relationship Type="http://schemas.openxmlformats.org/officeDocument/2006/relationships/worksheet" Target="/xl/worksheets/sheet16.xml" Id="Rea31c48d790140ec" /><Relationship Type="http://schemas.openxmlformats.org/officeDocument/2006/relationships/worksheet" Target="/xl/worksheets/sheet17.xml" Id="Rd0e67c37575148fc" /><Relationship Type="http://schemas.openxmlformats.org/officeDocument/2006/relationships/worksheet" Target="/xl/worksheets/sheet18.xml" Id="R5476386c4d0d40ac" /><Relationship Type="http://schemas.openxmlformats.org/officeDocument/2006/relationships/worksheet" Target="/xl/worksheets/sheet19.xml" Id="R46f6c9b1c3ef4143" /><Relationship Type="http://schemas.openxmlformats.org/officeDocument/2006/relationships/worksheet" Target="/xl/worksheets/sheet20.xml" Id="R6b8520cfae824b10" /></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7" hidden="0" customWidth="1"/>
    <x:col min="2" max="2" width="32.5" hidden="0" customWidth="1"/>
    <x:col min="3" max="3" width="4.25" hidden="0" customWidth="1"/>
    <x:col min="4" max="4" width="80.12999725341797" hidden="0" customWidth="1"/>
    <x:col min="6" max="6" width="26.25" hidden="0" customWidth="1"/>
    <x:col min="7" max="7" width="14.630000114440918" hidden="0" customWidth="1"/>
    <x:col min="8" max="8" width="7.880000114440918" hidden="0" customWidth="1"/>
    <x:col min="9" max="9" width="17.8799991607666" hidden="0" customWidth="1"/>
    <x:col min="10" max="10" width="24.75" hidden="0" customWidth="1"/>
  </x:cols>
  <x:sheetData>
    <x:row r="1" ht="15" hidden="0" customHeight="1">
      <x:c r="A1" s="1" t="s">
        <x:v>0</x:v>
      </x:c>
      <x:c r="B1" s="1" t="s">
        <x:v>1</x:v>
      </x:c>
      <x:c r="C1" s="1" t="s">
        <x:v>2</x:v>
      </x:c>
      <x:c r="D1" s="1" t="s">
        <x:v>3</x:v>
      </x:c>
      <x:c r="F1" s="2" t="s">
        <x:v>4</x:v>
      </x:c>
      <x:c r="G1" s="3" t="s">
        <x:v>5</x:v>
      </x:c>
      <x:c r="H1" s="3" t="s">
        <x:v>6</x:v>
      </x:c>
      <x:c r="I1" s="3" t="s">
        <x:v>7</x:v>
      </x:c>
      <x:c r="J1" s="3" t="s">
        <x:v>8</x:v>
      </x:c>
    </x:row>
    <x:row r="2" ht="15" hidden="0" customHeight="1">
      <x:c r="A2" s="4" t="s">
        <x:v>9</x:v>
      </x:c>
      <x:c r="B2" s="5" t="n">
        <x:v>16455364</x:v>
      </x:c>
      <x:c r="C2" s="6" t="s">
        <x:v>10</x:v>
      </x:c>
      <x:c r="D2" s="7" t="s">
        <x:v>11</x:v>
      </x:c>
      <x:c r="F2" s="6" t="s">
        <x:v>12</x:v>
      </x:c>
      <x:c r="G2" s="7" t="s">
        <x:v>13</x:v>
      </x:c>
      <x:c r="H2" s="6" t="s">
        <x:v>14</x:v>
      </x:c>
      <x:c r="I2" s="6" t="s">
        <x:v>15</x:v>
      </x:c>
      <x:c r="J2" s="6" t="s">
        <x:v>16</x:v>
      </x:c>
    </x:row>
    <x:row r="3" ht="15" hidden="0" customHeight="1">
      <x:c r="A3" s="4" t="s">
        <x:v>17</x:v>
      </x:c>
      <x:c r="B3" s="8" t="s">
        <x:v>18</x:v>
      </x:c>
      <x:c r="C3" s="7"/>
      <x:c r="D3" s="7" t="s">
        <x:v>19</x:v>
      </x:c>
    </x:row>
    <x:row r="4" ht="15" hidden="0" customHeight="1">
      <x:c r="A4" s="4" t="s">
        <x:v>20</x:v>
      </x:c>
      <x:c r="B4" s="8" t="s">
        <x:v>18</x:v>
      </x:c>
      <x:c r="C4" s="7"/>
      <x:c r="D4" s="6" t="s">
        <x:v>21</x:v>
      </x:c>
    </x:row>
    <x:row r="5" ht="15" hidden="0" customHeight="1">
      <x:c r="A5" s="4" t="s">
        <x:v>22</x:v>
      </x:c>
      <x:c r="B5" s="8" t="s">
        <x:v>23</x:v>
      </x:c>
      <x:c r="C5" s="7"/>
      <x:c r="D5" s="6" t="s">
        <x:v>24</x:v>
      </x:c>
    </x:row>
    <x:row r="6" ht="15" hidden="0" customHeight="1">
      <x:c r="A6" s="9" t="s">
        <x:v>25</x:v>
      </x:c>
      <x:c r="B6" s="5" t="n">
        <x:v>242588</x:v>
      </x:c>
      <x:c r="C6" s="6" t="s">
        <x:v>10</x:v>
      </x:c>
      <x:c r="D6" s="7" t="s">
        <x:v>26</x:v>
      </x:c>
    </x:row>
    <x:row r="7" ht="15" hidden="0" customHeight="1">
      <x:c r="A7" s="4" t="s">
        <x:v>27</x:v>
      </x:c>
      <x:c r="B7" s="5" t="n">
        <x:v>300000</x:v>
      </x:c>
      <x:c r="C7" s="6" t="s">
        <x:v>10</x:v>
      </x:c>
      <x:c r="D7" s="6" t="s">
        <x:v>28</x:v>
      </x:c>
    </x:row>
    <x:row r="8" ht="15" hidden="0" customHeight="1">
      <x:c r="A8" s="4" t="s">
        <x:v>29</x:v>
      </x:c>
      <x:c r="B8" s="8" t="s">
        <x:v>30</x:v>
      </x:c>
      <x:c r="C8" s="7"/>
      <x:c r="D8" s="6" t="s">
        <x:v>31</x:v>
      </x:c>
    </x:row>
    <x:row r="9" ht="15" hidden="0" customHeight="1">
      <x:c r="A9" s="4" t="s">
        <x:v>32</x:v>
      </x:c>
      <x:c r="B9" s="8" t="s">
        <x:v>33</x:v>
      </x:c>
      <x:c r="C9" s="7"/>
      <x:c r="D9" s="6" t="s">
        <x:v>34</x:v>
      </x:c>
    </x:row>
    <x:row r="10" ht="17.149999618530273" hidden="0" customHeight="1">
      <x:c r="A10" s="10" t="s">
        <x:v>35</x:v>
      </x:c>
      <x:c r="B10" s="11" t="s">
        <x:v>36</x:v>
      </x:c>
      <x:c r="C10" s="11"/>
      <x:c r="D10" s="11"/>
      <x:c r="E10" s="11"/>
      <x:c r="F10" s="11"/>
      <x:c r="G10" s="11"/>
      <x:c r="H10" s="11"/>
      <x:c r="I10" s="11"/>
      <x:c r="J10" s="11"/>
    </x:row>
    <x:row r="11" ht="17.149999618530273" hidden="0" customHeight="1">
      <x:c r="A11" s="10" t="s">
        <x:v>37</x:v>
      </x:c>
      <x:c r="B11" s="12" t="s">
        <x:v>38</x:v>
      </x:c>
      <x:c r="C11" s="12"/>
      <x:c r="D11" s="12"/>
      <x:c r="E11" s="12"/>
      <x:c r="F11" s="12"/>
      <x:c r="G11" s="12"/>
      <x:c r="H11" s="12"/>
      <x:c r="I11" s="12"/>
      <x:c r="J11" s="12"/>
    </x:row>
    <x:row r="13">
      <x:c r="A13" s="54" t="str">
        <x:v>追加精緻化項目</x:v>
      </x:c>
      <x:c r="B13" s="54" t="str">
        <x:v>値</x:v>
      </x:c>
      <x:c r="C13" s="54" t="str">
        <x:v>単位</x:v>
      </x:c>
      <x:c r="D13" s="54" t="str">
        <x:v>内容</x:v>
      </x:c>
    </x:row>
    <x:row r="14">
      <x:c r="A14" s="55" t="str">
        <x:v>建設仮勘定対象事業合計</x:v>
      </x:c>
      <x:c r="B14" s="56" t="n">
        <x:f>'05_建設仮勘定・企業債'!B27</x:f>
        <x:v>465568277</x:v>
      </x:c>
      <x:c r="C14" s="55" t="str">
        <x:v>円</x:v>
      </x:c>
      <x:c r="D14" s="55" t="str">
        <x:v>05_建設仮勘定・企業債で算定</x:v>
      </x:c>
    </x:row>
    <x:row r="15">
      <x:c r="A15" s="55" t="str">
        <x:v>長期前受金等合計</x:v>
      </x:c>
      <x:c r="B15" s="56" t="n">
        <x:f>'05_建設仮勘定・企業債'!B28</x:f>
        <x:v>346184893</x:v>
      </x:c>
      <x:c r="C15" s="55" t="str">
        <x:v>円</x:v>
      </x:c>
      <x:c r="D15" s="55" t="str">
        <x:v>工事負担金・県補償金等</x:v>
      </x:c>
    </x:row>
    <x:row r="16">
      <x:c r="A16" s="55" t="str">
        <x:v>令和10年度以降 年額減価償却費</x:v>
      </x:c>
      <x:c r="B16" s="56" t="n">
        <x:f>'05_建設仮勘定・企業債'!E40</x:f>
        <x:v>11639</x:v>
      </x:c>
      <x:c r="C16" s="55" t="str">
        <x:v>千円</x:v>
      </x:c>
      <x:c r="D16" s="55" t="str">
        <x:v>40年定額、千円丸め</x:v>
      </x:c>
    </x:row>
    <x:row r="17">
      <x:c r="A17" s="55" t="str">
        <x:v>令和10年度以降 年額長期前受金戻入</x:v>
      </x:c>
      <x:c r="B17" s="56" t="n">
        <x:f>'05_建設仮勘定・企業債'!E41</x:f>
        <x:v>8655</x:v>
      </x:c>
      <x:c r="C17" s="55" t="str">
        <x:v>千円</x:v>
      </x:c>
      <x:c r="D17" s="55" t="str">
        <x:v>40年定額、千円丸め</x:v>
      </x:c>
    </x:row>
    <x:row r="18">
      <x:c r="A18" s="55" t="str">
        <x:v>追加企業債対象額</x:v>
      </x:c>
      <x:c r="B18" s="56" t="n">
        <x:f>'05_建設仮勘定・企業債'!B29</x:f>
        <x:v>119383384</x:v>
      </x:c>
      <x:c r="C18" s="55" t="str">
        <x:v>円</x:v>
      </x:c>
      <x:c r="D18" s="55" t="str">
        <x:v>国費・負担金等控除後の純額</x:v>
      </x:c>
    </x:row>
    <x:row r="19">
      <x:c r="A19" s="55" t="str">
        <x:v>利率の扱い</x:v>
      </x:c>
      <x:c r="B19" s="55" t="str">
        <x:v>区分別入力</x:v>
      </x:c>
      <x:c r="C19" s="55"/>
      <x:c r="D19" s="55" t="str">
        <x:v>一律3%固定ではなく、05シートG27:G28で区分別に置換可能</x:v>
      </x:c>
    </x:row>
  </x:sheetData>
  <x:mergeCells>
    <x:mergeCell ref="B10:J10"/>
    <x:mergeCell ref="B11:J11"/>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11" width="14" hidden="0" customWidth="1"/>
  </x:cols>
  <x:sheetData>
    <x:row r="1" ht="21.75" hidden="0" customHeight="1">
      <x:c r="A1" s="13" t="s">
        <x:v>39</x:v>
      </x:c>
      <x:c r="B1" s="13"/>
      <x:c r="C1" s="13"/>
      <x:c r="D1" s="13"/>
      <x:c r="E1" s="13"/>
      <x:c r="F1" s="13"/>
      <x:c r="G1" s="13"/>
      <x:c r="H1" s="13"/>
      <x:c r="I1" s="13"/>
      <x:c r="J1" s="13"/>
      <x:c r="K1" s="13"/>
    </x:row>
    <x:row r="2" ht="21.75" hidden="0" customHeight="1">
      <x:c r="A2" s="14" t="s">
        <x:v>40</x:v>
      </x:c>
      <x:c r="B2" s="14"/>
      <x:c r="C2" s="14"/>
      <x:c r="D2" s="14"/>
      <x:c r="E2" s="14"/>
      <x:c r="F2" s="14"/>
      <x:c r="G2" s="14"/>
      <x:c r="H2" s="14"/>
      <x:c r="I2" s="14"/>
      <x:c r="J2" s="14"/>
      <x:c r="K2" s="14"/>
    </x:row>
    <x:row r="3" ht="21.75" hidden="0" customHeight="1">
      <x:c r="A3" s="15" t="s">
        <x:v>41</x:v>
      </x:c>
      <x:c r="B3" s="16" t="s">
        <x:v>42</x:v>
      </x:c>
      <x:c r="C3" s="16" t="s">
        <x:v>43</x:v>
      </x:c>
      <x:c r="D3" s="16" t="s">
        <x:v>44</x:v>
      </x:c>
      <x:c r="E3" s="16" t="s">
        <x:v>45</x:v>
      </x:c>
      <x:c r="F3" s="16" t="s">
        <x:v>46</x:v>
      </x:c>
      <x:c r="G3" s="16" t="s">
        <x:v>47</x:v>
      </x:c>
      <x:c r="H3" s="16" t="s">
        <x:v>48</x:v>
      </x:c>
      <x:c r="I3" s="16" t="s">
        <x:v>49</x:v>
      </x:c>
      <x:c r="J3" s="16" t="s">
        <x:v>50</x:v>
      </x:c>
      <x:c r="K3" s="16" t="s">
        <x:v>51</x:v>
      </x:c>
    </x:row>
    <x:row r="4" ht="21.75" hidden="0" customHeight="1">
      <x:c r="A4" s="17" t="s">
        <x:v>52</x:v>
      </x:c>
      <x:c r="B4" s="18"/>
      <x:c r="C4" s="18"/>
      <x:c r="D4" s="18"/>
      <x:c r="E4" s="18"/>
      <x:c r="F4" s="18"/>
      <x:c r="G4" s="18"/>
      <x:c r="H4" s="18"/>
      <x:c r="I4" s="18"/>
      <x:c r="J4" s="18"/>
      <x:c r="K4" s="18"/>
    </x:row>
    <x:row r="5" ht="21.75" hidden="0" customHeight="1">
      <x:c r="A5" s="19" t="s">
        <x:v>53</x:v>
      </x:c>
      <x:c r="B5" s="20" t="n">
        <x:f aca="0">SUM(B6,B9,B14)</x:f>
        <x:v>1619060</x:v>
      </x:c>
      <x:c r="C5" s="20" t="n">
        <x:f aca="0">SUM(C6,C9,C14)</x:f>
        <x:v>1604473</x:v>
      </x:c>
      <x:c r="D5" s="20" t="n">
        <x:f aca="0">SUM(D6,D9,D14)</x:f>
        <x:v>1586060</x:v>
      </x:c>
      <x:c r="E5" s="20" t="n">
        <x:f aca="0">SUM(E6,E9,E14)</x:f>
        <x:v>1568503</x:v>
      </x:c>
      <x:c r="F5" s="20" t="n">
        <x:f aca="0">SUM(F6,F9,F14)</x:f>
        <x:v>1550232</x:v>
      </x:c>
      <x:c r="G5" s="20" t="n">
        <x:f aca="0">SUM(G6,G9,G14)</x:f>
        <x:v>1544775</x:v>
      </x:c>
      <x:c r="H5" s="20" t="n">
        <x:f aca="0">SUM(H6,H9,H14)</x:f>
        <x:v>1532660</x:v>
      </x:c>
      <x:c r="I5" s="20" t="n">
        <x:f aca="0">SUM(I6,I9,I14)</x:f>
        <x:v>1511152</x:v>
      </x:c>
      <x:c r="J5" s="20" t="n">
        <x:f aca="0">SUM(J6,J9,J14)</x:f>
        <x:v>1481696</x:v>
      </x:c>
      <x:c r="K5" s="20" t="n">
        <x:f aca="0">SUM(K6,K9,K14)</x:f>
        <x:v>1463657</x:v>
      </x:c>
    </x:row>
    <x:row r="6" ht="21.75" hidden="0" customHeight="1">
      <x:c r="A6" s="19" t="s">
        <x:v>54</x:v>
      </x:c>
      <x:c r="B6" s="20" t="n">
        <x:f aca="0">SUM(B7:B8)</x:f>
        <x:v>1261575</x:v>
      </x:c>
      <x:c r="C6" s="20" t="n">
        <x:f aca="0">SUM(C7:C8)</x:f>
        <x:v>1249336</x:v>
      </x:c>
      <x:c r="D6" s="20" t="n">
        <x:f aca="0">SUM(D7:D8)</x:f>
        <x:v>1237293</x:v>
      </x:c>
      <x:c r="E6" s="20" t="n">
        <x:f aca="0">SUM(E7:E8)</x:f>
        <x:v>1225373</x:v>
      </x:c>
      <x:c r="F6" s="20" t="n">
        <x:f aca="0">SUM(F7:F8)</x:f>
        <x:v>1213574</x:v>
      </x:c>
      <x:c r="G6" s="20" t="n">
        <x:f aca="0">SUM(G7:G8)</x:f>
        <x:v>1201896</x:v>
      </x:c>
      <x:c r="H6" s="20" t="n">
        <x:f aca="0">SUM(H7:H8)</x:f>
        <x:v>1190336</x:v>
      </x:c>
      <x:c r="I6" s="20" t="n">
        <x:f aca="0">SUM(I7:I8)</x:f>
        <x:v>1178894</x:v>
      </x:c>
      <x:c r="J6" s="20" t="n">
        <x:f aca="0">SUM(J7:J8)</x:f>
        <x:v>1167569</x:v>
      </x:c>
      <x:c r="K6" s="20" t="n">
        <x:f aca="0">SUM(K7:K8)</x:f>
        <x:v>1156360</x:v>
      </x:c>
    </x:row>
    <x:row r="7" ht="21.75" hidden="0" customHeight="1">
      <x:c r="A7" s="19" t="s">
        <x:v>55</x:v>
      </x:c>
      <x:c r="B7" s="20" t="n">
        <x:v>1231181</x:v>
      </x:c>
      <x:c r="C7" s="20" t="n">
        <x:v>1218869</x:v>
      </x:c>
      <x:c r="D7" s="20" t="n">
        <x:v>1206680</x:v>
      </x:c>
      <x:c r="E7" s="20" t="n">
        <x:v>1194613</x:v>
      </x:c>
      <x:c r="F7" s="20" t="n">
        <x:v>1182666</x:v>
      </x:c>
      <x:c r="G7" s="20" t="n">
        <x:v>1170839</x:v>
      </x:c>
      <x:c r="H7" s="20" t="n">
        <x:v>1159130</x:v>
      </x:c>
      <x:c r="I7" s="20" t="n">
        <x:v>1147538</x:v>
      </x:c>
      <x:c r="J7" s="20" t="n">
        <x:v>1136062</x:v>
      </x:c>
      <x:c r="K7" s="20" t="n">
        <x:v>1124701</x:v>
      </x:c>
    </x:row>
    <x:row r="8" ht="21.75" hidden="0" customHeight="1">
      <x:c r="A8" s="19" t="s">
        <x:v>56</x:v>
      </x:c>
      <x:c r="B8" s="20" t="n">
        <x:v>30394</x:v>
      </x:c>
      <x:c r="C8" s="20" t="n">
        <x:v>30467</x:v>
      </x:c>
      <x:c r="D8" s="20" t="n">
        <x:v>30613</x:v>
      </x:c>
      <x:c r="E8" s="20" t="n">
        <x:v>30760</x:v>
      </x:c>
      <x:c r="F8" s="20" t="n">
        <x:v>30908</x:v>
      </x:c>
      <x:c r="G8" s="20" t="n">
        <x:v>31057</x:v>
      </x:c>
      <x:c r="H8" s="20" t="n">
        <x:v>31206</x:v>
      </x:c>
      <x:c r="I8" s="20" t="n">
        <x:v>31356</x:v>
      </x:c>
      <x:c r="J8" s="20" t="n">
        <x:v>31507</x:v>
      </x:c>
      <x:c r="K8" s="20" t="n">
        <x:v>31659</x:v>
      </x:c>
    </x:row>
    <x:row r="9" ht="21.75" hidden="0" customHeight="1">
      <x:c r="A9" s="19" t="s">
        <x:v>57</x:v>
      </x:c>
      <x:c r="B9" s="20" t="n">
        <x:f aca="0">SUM(B10:B13)</x:f>
        <x:v>354909</x:v>
      </x:c>
      <x:c r="C9" s="20" t="n">
        <x:f aca="0">SUM(C10:C13)</x:f>
        <x:v>355137</x:v>
      </x:c>
      <x:c r="D9" s="20" t="n">
        <x:f aca="0">SUM(D10:D13)</x:f>
        <x:v>348767</x:v>
      </x:c>
      <x:c r="E9" s="20" t="n">
        <x:f aca="0">SUM(E10:E13)</x:f>
        <x:v>343130</x:v>
      </x:c>
      <x:c r="F9" s="20" t="n">
        <x:f aca="0">SUM(F10:F13)</x:f>
        <x:v>336658</x:v>
      </x:c>
      <x:c r="G9" s="20" t="n">
        <x:f aca="0">SUM(G10:G13)</x:f>
        <x:v>342879</x:v>
      </x:c>
      <x:c r="H9" s="20" t="n">
        <x:f aca="0">SUM(H10:H13)</x:f>
        <x:v>342324</x:v>
      </x:c>
      <x:c r="I9" s="20" t="n">
        <x:f aca="0">SUM(I10:I13)</x:f>
        <x:v>332258</x:v>
      </x:c>
      <x:c r="J9" s="20" t="n">
        <x:f aca="0">SUM(J10:J13)</x:f>
        <x:v>314127</x:v>
      </x:c>
      <x:c r="K9" s="20" t="n">
        <x:f aca="0">SUM(K10:K13)</x:f>
        <x:v>307297</x:v>
      </x:c>
    </x:row>
    <x:row r="10" ht="21.75" hidden="0" customHeight="1">
      <x:c r="A10" s="19" t="s">
        <x:v>58</x:v>
      </x:c>
      <x:c r="B10" s="20" t="n">
        <x:v>1</x:v>
      </x:c>
      <x:c r="C10" s="20" t="n">
        <x:v>1</x:v>
      </x:c>
      <x:c r="D10" s="20" t="n">
        <x:v>0</x:v>
      </x:c>
      <x:c r="E10" s="20" t="n">
        <x:v>0</x:v>
      </x:c>
      <x:c r="F10" s="20" t="n">
        <x:v>0</x:v>
      </x:c>
      <x:c r="G10" s="20" t="n">
        <x:v>0</x:v>
      </x:c>
      <x:c r="H10" s="20" t="n">
        <x:v>0</x:v>
      </x:c>
      <x:c r="I10" s="20" t="n">
        <x:v>0</x:v>
      </x:c>
      <x:c r="J10" s="20" t="n">
        <x:v>0</x:v>
      </x:c>
      <x:c r="K10" s="20" t="n">
        <x:v>0</x:v>
      </x:c>
    </x:row>
    <x:row r="11" ht="21.75" hidden="0" customHeight="1">
      <x:c r="A11" s="19" t="s">
        <x:v>59</x:v>
      </x:c>
      <x:c r="B11" s="20" t="n">
        <x:v>73283</x:v>
      </x:c>
      <x:c r="C11" s="20" t="n">
        <x:v>71157</x:v>
      </x:c>
      <x:c r="D11" s="20" t="n">
        <x:v>68955</x:v>
      </x:c>
      <x:c r="E11" s="20" t="n">
        <x:v>66740</x:v>
      </x:c>
      <x:c r="F11" s="20" t="n">
        <x:v>64490</x:v>
      </x:c>
      <x:c r="G11" s="20" t="n">
        <x:v>62175</x:v>
      </x:c>
      <x:c r="H11" s="20" t="n">
        <x:v>59946</x:v>
      </x:c>
      <x:c r="I11" s="20" t="n">
        <x:v>57892</x:v>
      </x:c>
      <x:c r="J11" s="20" t="n">
        <x:v>56062</x:v>
      </x:c>
      <x:c r="K11" s="20" t="n">
        <x:v>54385</x:v>
      </x:c>
    </x:row>
    <x:row r="12" ht="21.75" hidden="0" customHeight="1">
      <x:c r="A12" s="19" t="s">
        <x:v>60</x:v>
      </x:c>
      <x:c r="B12" s="20" t="n">
        <x:v>281625</x:v>
      </x:c>
      <x:c r="C12" s="20" t="n">
        <x:v>283979</x:v>
      </x:c>
      <x:c r="D12" s="20" t="n">
        <x:v>279812</x:v>
      </x:c>
      <x:c r="E12" s="20" t="n">
        <x:v>276390</x:v>
      </x:c>
      <x:c r="F12" s="20" t="n">
        <x:v>272168</x:v>
      </x:c>
      <x:c r="G12" s="20" t="n">
        <x:v>272926</x:v>
      </x:c>
      <x:c r="H12" s="20" t="n">
        <x:v>274600</x:v>
      </x:c>
      <x:c r="I12" s="20" t="n">
        <x:v>266588</x:v>
      </x:c>
      <x:c r="J12" s="20" t="n">
        <x:v>250287</x:v>
      </x:c>
      <x:c r="K12" s="20" t="n">
        <x:v>245134</x:v>
      </x:c>
    </x:row>
    <x:row r="13" ht="21.75" hidden="0" customHeight="1">
      <x:c r="A13" s="19" t="s">
        <x:v>61</x:v>
      </x:c>
      <x:c r="B13" s="20" t="n">
        <x:v>0</x:v>
      </x:c>
      <x:c r="C13" s="20" t="n">
        <x:v>0</x:v>
      </x:c>
      <x:c r="D13" s="20" t="n">
        <x:v>0</x:v>
      </x:c>
      <x:c r="E13" s="20" t="n">
        <x:v>0</x:v>
      </x:c>
      <x:c r="F13" s="20" t="n">
        <x:v>0</x:v>
      </x:c>
      <x:c r="G13" s="20" t="n">
        <x:v>7778</x:v>
      </x:c>
      <x:c r="H13" s="20" t="n">
        <x:v>7778</x:v>
      </x:c>
      <x:c r="I13" s="20" t="n">
        <x:v>7778</x:v>
      </x:c>
      <x:c r="J13" s="20" t="n">
        <x:v>7778</x:v>
      </x:c>
      <x:c r="K13" s="20" t="n">
        <x:v>7778</x:v>
      </x:c>
    </x:row>
    <x:row r="14" ht="21.75" hidden="0" customHeight="1">
      <x:c r="A14" s="19" t="s">
        <x:v>62</x:v>
      </x:c>
      <x:c r="B14" s="20" t="n">
        <x:v>2576</x:v>
      </x:c>
      <x:c r="C14" s="20" t="n">
        <x:v>0</x:v>
      </x:c>
      <x:c r="D14" s="20" t="n">
        <x:v>0</x:v>
      </x:c>
      <x:c r="E14" s="20" t="n">
        <x:v>0</x:v>
      </x:c>
      <x:c r="F14" s="20" t="n">
        <x:v>0</x:v>
      </x:c>
      <x:c r="G14" s="20" t="n">
        <x:v>0</x:v>
      </x:c>
      <x:c r="H14" s="20" t="n">
        <x:v>0</x:v>
      </x:c>
      <x:c r="I14" s="20" t="n">
        <x:v>0</x:v>
      </x:c>
      <x:c r="J14" s="20" t="n">
        <x:v>0</x:v>
      </x:c>
      <x:c r="K14" s="20" t="n">
        <x:v>0</x:v>
      </x:c>
    </x:row>
    <x:row r="15" ht="21.75" hidden="0" customHeight="1">
      <x:c r="A15" s="19"/>
      <x:c r="B15" s="20"/>
      <x:c r="C15" s="20"/>
      <x:c r="D15" s="20"/>
      <x:c r="E15" s="20"/>
      <x:c r="F15" s="20"/>
      <x:c r="G15" s="20"/>
      <x:c r="H15" s="20"/>
      <x:c r="I15" s="20"/>
      <x:c r="J15" s="20"/>
      <x:c r="K15" s="20"/>
    </x:row>
    <x:row r="16" ht="21.75" hidden="0" customHeight="1">
      <x:c r="A16" s="17" t="s">
        <x:v>63</x:v>
      </x:c>
      <x:c r="B16" s="18"/>
      <x:c r="C16" s="18"/>
      <x:c r="D16" s="18"/>
      <x:c r="E16" s="18"/>
      <x:c r="F16" s="18"/>
      <x:c r="G16" s="18"/>
      <x:c r="H16" s="18"/>
      <x:c r="I16" s="18"/>
      <x:c r="J16" s="18"/>
      <x:c r="K16" s="18"/>
    </x:row>
    <x:row r="17" ht="21.75" hidden="0" customHeight="1">
      <x:c r="A17" s="19" t="s">
        <x:v>64</x:v>
      </x:c>
      <x:c r="B17" s="20" t="n">
        <x:f aca="0">SUM(B18,B28,B31)</x:f>
        <x:v>2121103</x:v>
      </x:c>
      <x:c r="C17" s="20" t="n">
        <x:f aca="0">SUM(C18,C28,C31)</x:f>
        <x:v>2109204</x:v>
      </x:c>
      <x:c r="D17" s="20" t="n">
        <x:f aca="0">SUM(D18,D28,D31)</x:f>
        <x:v>2104089</x:v>
      </x:c>
      <x:c r="E17" s="20" t="n">
        <x:f aca="0">SUM(E18,E28,E31)</x:f>
        <x:v>2099430</x:v>
      </x:c>
      <x:c r="F17" s="20" t="n">
        <x:f aca="0">SUM(F18,F28,F31)</x:f>
        <x:v>2098567</x:v>
      </x:c>
      <x:c r="G17" s="20" t="n">
        <x:f aca="0">SUM(G18,G28,G31)</x:f>
        <x:v>2101122</x:v>
      </x:c>
      <x:c r="H17" s="20" t="n">
        <x:f aca="0">SUM(H18,H28,H31)</x:f>
        <x:v>2108674</x:v>
      </x:c>
      <x:c r="I17" s="20" t="n">
        <x:f aca="0">SUM(I18,I28,I31)</x:f>
        <x:v>2105514</x:v>
      </x:c>
      <x:c r="J17" s="20" t="n">
        <x:f aca="0">SUM(J18,J28,J31)</x:f>
        <x:v>2089879</x:v>
      </x:c>
      <x:c r="K17" s="20" t="n">
        <x:f aca="0">SUM(K18,K28,K31)</x:f>
        <x:v>2089427</x:v>
      </x:c>
    </x:row>
    <x:row r="18" ht="21.75" hidden="0" customHeight="1">
      <x:c r="A18" s="19" t="s">
        <x:v>65</x:v>
      </x:c>
      <x:c r="B18" s="20" t="n">
        <x:f aca="0">SUM(B19:B27)</x:f>
        <x:v>1992335</x:v>
      </x:c>
      <x:c r="C18" s="20" t="n">
        <x:f aca="0">SUM(C19:C27)</x:f>
        <x:v>1988413</x:v>
      </x:c>
      <x:c r="D18" s="20" t="n">
        <x:f aca="0">SUM(D19:D27)</x:f>
        <x:v>1986677</x:v>
      </x:c>
      <x:c r="E18" s="20" t="n">
        <x:f aca="0">SUM(E19:E27)</x:f>
        <x:v>1983773</x:v>
      </x:c>
      <x:c r="F18" s="20" t="n">
        <x:f aca="0">SUM(F19:F27)</x:f>
        <x:v>1984507</x:v>
      </x:c>
      <x:c r="G18" s="20" t="n">
        <x:f aca="0">SUM(G19:G27)</x:f>
        <x:v>1990028</x:v>
      </x:c>
      <x:c r="H18" s="20" t="n">
        <x:f aca="0">SUM(H19:H27)</x:f>
        <x:v>1999836</x:v>
      </x:c>
      <x:c r="I18" s="20" t="n">
        <x:f aca="0">SUM(I19:I27)</x:f>
        <x:v>1997829</x:v>
      </x:c>
      <x:c r="J18" s="20" t="n">
        <x:f aca="0">SUM(J19:J27)</x:f>
        <x:v>1982498</x:v>
      </x:c>
      <x:c r="K18" s="20" t="n">
        <x:f aca="0">SUM(K19:K27)</x:f>
        <x:v>1984037</x:v>
      </x:c>
    </x:row>
    <x:row r="19" ht="21.75" hidden="0" customHeight="1">
      <x:c r="A19" s="19" t="s">
        <x:v>66</x:v>
      </x:c>
      <x:c r="B19" s="20" t="n">
        <x:v>176462</x:v>
      </x:c>
      <x:c r="C19" s="20" t="n">
        <x:v>176462</x:v>
      </x:c>
      <x:c r="D19" s="20" t="n">
        <x:v>176462</x:v>
      </x:c>
      <x:c r="E19" s="20" t="n">
        <x:v>176462</x:v>
      </x:c>
      <x:c r="F19" s="20" t="n">
        <x:v>176462</x:v>
      </x:c>
      <x:c r="G19" s="20" t="n">
        <x:v>176462</x:v>
      </x:c>
      <x:c r="H19" s="20" t="n">
        <x:v>176462</x:v>
      </x:c>
      <x:c r="I19" s="20" t="n">
        <x:v>176462</x:v>
      </x:c>
      <x:c r="J19" s="20" t="n">
        <x:v>176462</x:v>
      </x:c>
      <x:c r="K19" s="20" t="n">
        <x:v>176462</x:v>
      </x:c>
    </x:row>
    <x:row r="20" ht="21.75" hidden="0" customHeight="1">
      <x:c r="A20" s="19" t="s">
        <x:v>67</x:v>
      </x:c>
      <x:c r="B20" s="20" t="n">
        <x:v>547263</x:v>
      </x:c>
      <x:c r="C20" s="20" t="n">
        <x:v>545340</x:v>
      </x:c>
      <x:c r="D20" s="20" t="n">
        <x:v>545648</x:v>
      </x:c>
      <x:c r="E20" s="20" t="n">
        <x:v>545957</x:v>
      </x:c>
      <x:c r="F20" s="20" t="n">
        <x:v>546267</x:v>
      </x:c>
      <x:c r="G20" s="20" t="n">
        <x:v>546577</x:v>
      </x:c>
      <x:c r="H20" s="20" t="n">
        <x:v>546888</x:v>
      </x:c>
      <x:c r="I20" s="20" t="n">
        <x:v>547200</x:v>
      </x:c>
      <x:c r="J20" s="20" t="n">
        <x:v>547513</x:v>
      </x:c>
      <x:c r="K20" s="20" t="n">
        <x:v>547827</x:v>
      </x:c>
    </x:row>
    <x:row r="21" ht="21.75" hidden="0" customHeight="1">
      <x:c r="A21" s="19" t="s">
        <x:v>68</x:v>
      </x:c>
      <x:c r="B21" s="20" t="n">
        <x:v>65247</x:v>
      </x:c>
      <x:c r="C21" s="20" t="n">
        <x:v>65000</x:v>
      </x:c>
      <x:c r="D21" s="20" t="n">
        <x:v>65000</x:v>
      </x:c>
      <x:c r="E21" s="20" t="n">
        <x:v>65000</x:v>
      </x:c>
      <x:c r="F21" s="20" t="n">
        <x:v>65000</x:v>
      </x:c>
      <x:c r="G21" s="20" t="n">
        <x:v>65000</x:v>
      </x:c>
      <x:c r="H21" s="20" t="n">
        <x:v>65000</x:v>
      </x:c>
      <x:c r="I21" s="20" t="n">
        <x:v>65000</x:v>
      </x:c>
      <x:c r="J21" s="20" t="n">
        <x:v>65000</x:v>
      </x:c>
      <x:c r="K21" s="20" t="n">
        <x:v>65000</x:v>
      </x:c>
    </x:row>
    <x:row r="22" ht="21.75" hidden="0" customHeight="1">
      <x:c r="A22" s="19" t="s">
        <x:v>69</x:v>
      </x:c>
      <x:c r="B22" s="20" t="n">
        <x:v>102261</x:v>
      </x:c>
      <x:c r="C22" s="20" t="n">
        <x:v>102568</x:v>
      </x:c>
      <x:c r="D22" s="20" t="n">
        <x:v>102876</x:v>
      </x:c>
      <x:c r="E22" s="20" t="n">
        <x:v>103185</x:v>
      </x:c>
      <x:c r="F22" s="20" t="n">
        <x:v>103495</x:v>
      </x:c>
      <x:c r="G22" s="20" t="n">
        <x:v>103805</x:v>
      </x:c>
      <x:c r="H22" s="20" t="n">
        <x:v>104116</x:v>
      </x:c>
      <x:c r="I22" s="20" t="n">
        <x:v>104428</x:v>
      </x:c>
      <x:c r="J22" s="20" t="n">
        <x:v>104741</x:v>
      </x:c>
      <x:c r="K22" s="20" t="n">
        <x:v>105055</x:v>
      </x:c>
    </x:row>
    <x:row r="23" ht="21.75" hidden="0" customHeight="1">
      <x:c r="A23" s="19" t="s">
        <x:v>70</x:v>
      </x:c>
      <x:c r="B23" s="20" t="n">
        <x:v>15316</x:v>
      </x:c>
      <x:c r="C23" s="20" t="n">
        <x:v>15000</x:v>
      </x:c>
      <x:c r="D23" s="20" t="n">
        <x:v>15000</x:v>
      </x:c>
      <x:c r="E23" s="20" t="n">
        <x:v>15000</x:v>
      </x:c>
      <x:c r="F23" s="20" t="n">
        <x:v>15000</x:v>
      </x:c>
      <x:c r="G23" s="20" t="n">
        <x:v>15000</x:v>
      </x:c>
      <x:c r="H23" s="20" t="n">
        <x:v>15000</x:v>
      </x:c>
      <x:c r="I23" s="20" t="n">
        <x:v>15000</x:v>
      </x:c>
      <x:c r="J23" s="20" t="n">
        <x:v>15000</x:v>
      </x:c>
      <x:c r="K23" s="20" t="n">
        <x:v>15000</x:v>
      </x:c>
    </x:row>
    <x:row r="24" ht="21.75" hidden="0" customHeight="1">
      <x:c r="A24" s="19" t="s">
        <x:v>71</x:v>
      </x:c>
      <x:c r="B24" s="20" t="n">
        <x:v>304419</x:v>
      </x:c>
      <x:c r="C24" s="20" t="n">
        <x:v>304000</x:v>
      </x:c>
      <x:c r="D24" s="20" t="n">
        <x:v>304000</x:v>
      </x:c>
      <x:c r="E24" s="20" t="n">
        <x:v>304000</x:v>
      </x:c>
      <x:c r="F24" s="20" t="n">
        <x:v>304000</x:v>
      </x:c>
      <x:c r="G24" s="20" t="n">
        <x:v>304000</x:v>
      </x:c>
      <x:c r="H24" s="20" t="n">
        <x:v>304000</x:v>
      </x:c>
      <x:c r="I24" s="20" t="n">
        <x:v>304000</x:v>
      </x:c>
      <x:c r="J24" s="20" t="n">
        <x:v>304000</x:v>
      </x:c>
      <x:c r="K24" s="20" t="n">
        <x:v>304000</x:v>
      </x:c>
    </x:row>
    <x:row r="25" ht="21.75" hidden="0" customHeight="1">
      <x:c r="A25" s="19" t="s">
        <x:v>72</x:v>
      </x:c>
      <x:c r="B25" s="20" t="n">
        <x:v>755782</x:v>
      </x:c>
      <x:c r="C25" s="20" t="n">
        <x:v>754743</x:v>
      </x:c>
      <x:c r="D25" s="20" t="n">
        <x:v>752391</x:v>
      </x:c>
      <x:c r="E25" s="20" t="n">
        <x:v>748869</x:v>
      </x:c>
      <x:c r="F25" s="20" t="n">
        <x:v>748983</x:v>
      </x:c>
      <x:c r="G25" s="20" t="n">
        <x:v>753884</x:v>
      </x:c>
      <x:c r="H25" s="20" t="n">
        <x:v>763070</x:v>
      </x:c>
      <x:c r="I25" s="20" t="n">
        <x:v>760439</x:v>
      </x:c>
      <x:c r="J25" s="20" t="n">
        <x:v>744482</x:v>
      </x:c>
      <x:c r="K25" s="20" t="n">
        <x:v>745393</x:v>
      </x:c>
    </x:row>
    <x:row r="26" ht="21.75" hidden="0" customHeight="1">
      <x:c r="A26" s="19" t="s">
        <x:v>73</x:v>
      </x:c>
      <x:c r="B26" s="20" t="n">
        <x:v>10000</x:v>
      </x:c>
      <x:c r="C26" s="20" t="n">
        <x:v>10000</x:v>
      </x:c>
      <x:c r="D26" s="20" t="n">
        <x:v>10000</x:v>
      </x:c>
      <x:c r="E26" s="20" t="n">
        <x:v>10000</x:v>
      </x:c>
      <x:c r="F26" s="20" t="n">
        <x:v>10000</x:v>
      </x:c>
      <x:c r="G26" s="20" t="n">
        <x:v>10000</x:v>
      </x:c>
      <x:c r="H26" s="20" t="n">
        <x:v>10000</x:v>
      </x:c>
      <x:c r="I26" s="20" t="n">
        <x:v>10000</x:v>
      </x:c>
      <x:c r="J26" s="20" t="n">
        <x:v>10000</x:v>
      </x:c>
      <x:c r="K26" s="20" t="n">
        <x:v>10000</x:v>
      </x:c>
    </x:row>
    <x:row r="27" ht="21.75" hidden="0" customHeight="1">
      <x:c r="A27" s="19" t="s">
        <x:v>74</x:v>
      </x:c>
      <x:c r="B27" s="20" t="n">
        <x:v>15585</x:v>
      </x:c>
      <x:c r="C27" s="20" t="n">
        <x:v>15300</x:v>
      </x:c>
      <x:c r="D27" s="20" t="n">
        <x:v>15300</x:v>
      </x:c>
      <x:c r="E27" s="20" t="n">
        <x:v>15300</x:v>
      </x:c>
      <x:c r="F27" s="20" t="n">
        <x:v>15300</x:v>
      </x:c>
      <x:c r="G27" s="20" t="n">
        <x:v>15300</x:v>
      </x:c>
      <x:c r="H27" s="20" t="n">
        <x:v>15300</x:v>
      </x:c>
      <x:c r="I27" s="20" t="n">
        <x:v>15300</x:v>
      </x:c>
      <x:c r="J27" s="20" t="n">
        <x:v>15300</x:v>
      </x:c>
      <x:c r="K27" s="20" t="n">
        <x:v>15300</x:v>
      </x:c>
    </x:row>
    <x:row r="28" ht="21.75" hidden="0" customHeight="1">
      <x:c r="A28" s="19" t="s">
        <x:v>75</x:v>
      </x:c>
      <x:c r="B28" s="20" t="n">
        <x:f aca="0">SUM(B29:B30)</x:f>
        <x:v>128495</x:v>
      </x:c>
      <x:c r="C28" s="20" t="n">
        <x:f aca="0">SUM(C29:C30)</x:f>
        <x:v>120518</x:v>
      </x:c>
      <x:c r="D28" s="20" t="n">
        <x:f aca="0">SUM(D29:D30)</x:f>
        <x:v>117139</x:v>
      </x:c>
      <x:c r="E28" s="20" t="n">
        <x:f aca="0">SUM(E29:E30)</x:f>
        <x:v>115384</x:v>
      </x:c>
      <x:c r="F28" s="20" t="n">
        <x:f aca="0">SUM(F29:F30)</x:f>
        <x:v>113787</x:v>
      </x:c>
      <x:c r="G28" s="20" t="n">
        <x:f aca="0">SUM(G29:G30)</x:f>
        <x:v>110821</x:v>
      </x:c>
      <x:c r="H28" s="20" t="n">
        <x:f aca="0">SUM(H29:H30)</x:f>
        <x:v>108565</x:v>
      </x:c>
      <x:c r="I28" s="20" t="n">
        <x:f aca="0">SUM(I29:I30)</x:f>
        <x:v>107412</x:v>
      </x:c>
      <x:c r="J28" s="20" t="n">
        <x:f aca="0">SUM(J29:J30)</x:f>
        <x:v>107108</x:v>
      </x:c>
      <x:c r="K28" s="20" t="n">
        <x:f aca="0">SUM(K29:K30)</x:f>
        <x:v>105117</x:v>
      </x:c>
    </x:row>
    <x:row r="29" ht="21.75" hidden="0" customHeight="1">
      <x:c r="A29" s="19" t="s">
        <x:v>76</x:v>
      </x:c>
      <x:c r="B29" s="20" t="n">
        <x:v>118910</x:v>
      </x:c>
      <x:c r="C29" s="20" t="n">
        <x:v>111872</x:v>
      </x:c>
      <x:c r="D29" s="20" t="n">
        <x:v>108458</x:v>
      </x:c>
      <x:c r="E29" s="20" t="n">
        <x:v>106668</x:v>
      </x:c>
      <x:c r="F29" s="20" t="n">
        <x:v>105071</x:v>
      </x:c>
      <x:c r="G29" s="20" t="n">
        <x:v>102070</x:v>
      </x:c>
      <x:c r="H29" s="20" t="n">
        <x:v>99779</x:v>
      </x:c>
      <x:c r="I29" s="20" t="n">
        <x:v>98626</x:v>
      </x:c>
      <x:c r="J29" s="20" t="n">
        <x:v>98322</x:v>
      </x:c>
      <x:c r="K29" s="20" t="n">
        <x:v>96331</x:v>
      </x:c>
    </x:row>
    <x:row r="30" ht="21.75" hidden="0" customHeight="1">
      <x:c r="A30" s="19" t="s">
        <x:v>77</x:v>
      </x:c>
      <x:c r="B30" s="20" t="n">
        <x:v>9585</x:v>
      </x:c>
      <x:c r="C30" s="20" t="n">
        <x:v>8646</x:v>
      </x:c>
      <x:c r="D30" s="20" t="n">
        <x:v>8681</x:v>
      </x:c>
      <x:c r="E30" s="20" t="n">
        <x:v>8716</x:v>
      </x:c>
      <x:c r="F30" s="20" t="n">
        <x:v>8716</x:v>
      </x:c>
      <x:c r="G30" s="20" t="n">
        <x:v>8751</x:v>
      </x:c>
      <x:c r="H30" s="20" t="n">
        <x:v>8786</x:v>
      </x:c>
      <x:c r="I30" s="20" t="n">
        <x:v>8786</x:v>
      </x:c>
      <x:c r="J30" s="20" t="n">
        <x:v>8786</x:v>
      </x:c>
      <x:c r="K30" s="20" t="n">
        <x:v>8786</x:v>
      </x:c>
    </x:row>
    <x:row r="31" ht="21.75" hidden="0" customHeight="1">
      <x:c r="A31" s="19" t="s">
        <x:v>78</x:v>
      </x:c>
      <x:c r="B31" s="21" t="n">
        <x:v>273</x:v>
      </x:c>
      <x:c r="C31" s="21" t="n">
        <x:v>273</x:v>
      </x:c>
      <x:c r="D31" s="21" t="n">
        <x:v>273</x:v>
      </x:c>
      <x:c r="E31" s="21" t="n">
        <x:v>273</x:v>
      </x:c>
      <x:c r="F31" s="21" t="n">
        <x:v>273</x:v>
      </x:c>
      <x:c r="G31" s="21" t="n">
        <x:v>273</x:v>
      </x:c>
      <x:c r="H31" s="21" t="n">
        <x:v>273</x:v>
      </x:c>
      <x:c r="I31" s="21" t="n">
        <x:v>273</x:v>
      </x:c>
      <x:c r="J31" s="21" t="n">
        <x:v>273</x:v>
      </x:c>
      <x:c r="K31" s="21" t="n">
        <x:v>273</x:v>
      </x:c>
    </x:row>
    <x:row r="32" ht="21.75" hidden="0" customHeight="1">
      <x:c r="A32" s="19"/>
      <x:c r="B32" s="21"/>
      <x:c r="C32" s="21"/>
      <x:c r="D32" s="21"/>
      <x:c r="E32" s="21"/>
      <x:c r="F32" s="21"/>
      <x:c r="G32" s="21"/>
      <x:c r="H32" s="21"/>
      <x:c r="I32" s="21"/>
      <x:c r="J32" s="21"/>
      <x:c r="K32" s="21"/>
    </x:row>
    <x:row r="33" ht="21.75" hidden="0" customHeight="1">
      <x:c r="A33" s="17" t="s">
        <x:v>79</x:v>
      </x:c>
      <x:c r="B33" s="22"/>
      <x:c r="C33" s="22"/>
      <x:c r="D33" s="22"/>
      <x:c r="E33" s="22"/>
      <x:c r="F33" s="22"/>
      <x:c r="G33" s="22"/>
      <x:c r="H33" s="22"/>
      <x:c r="I33" s="22"/>
      <x:c r="J33" s="22"/>
      <x:c r="K33" s="22"/>
    </x:row>
    <x:row r="34" ht="21.75" hidden="0" customHeight="1">
      <x:c r="A34" s="19" t="s">
        <x:v>80</x:v>
      </x:c>
      <x:c r="B34" s="20" t="n">
        <x:v>698941</x:v>
      </x:c>
      <x:c r="C34" s="20" t="n">
        <x:v>664331</x:v>
      </x:c>
      <x:c r="D34" s="20" t="n">
        <x:v>636408</x:v>
      </x:c>
      <x:c r="E34" s="20" t="n">
        <x:v>715698</x:v>
      </x:c>
      <x:c r="F34" s="20" t="n">
        <x:v>627649</x:v>
      </x:c>
      <x:c r="G34" s="20" t="n">
        <x:v>570213</x:v>
      </x:c>
      <x:c r="H34" s="20" t="n">
        <x:v>571338</x:v>
      </x:c>
      <x:c r="I34" s="20" t="n">
        <x:v>536592</x:v>
      </x:c>
      <x:c r="J34" s="20" t="n">
        <x:v>406734</x:v>
      </x:c>
      <x:c r="K34" s="20" t="n">
        <x:v>365000</x:v>
      </x:c>
    </x:row>
    <x:row r="35" ht="21.75" hidden="0" customHeight="1">
      <x:c r="A35" s="19" t="s">
        <x:v>81</x:v>
      </x:c>
      <x:c r="B35" s="20" t="n">
        <x:v>329000</x:v>
      </x:c>
      <x:c r="C35" s="20" t="n">
        <x:v>435000</x:v>
      </x:c>
      <x:c r="D35" s="20" t="n">
        <x:v>399000</x:v>
      </x:c>
      <x:c r="E35" s="20" t="n">
        <x:v>400000</x:v>
      </x:c>
      <x:c r="F35" s="20" t="n">
        <x:v>232000</x:v>
      </x:c>
      <x:c r="G35" s="20" t="n">
        <x:v>283000</x:v>
      </x:c>
      <x:c r="H35" s="20" t="n">
        <x:v>286000</x:v>
      </x:c>
      <x:c r="I35" s="20" t="n">
        <x:v>368000</x:v>
      </x:c>
      <x:c r="J35" s="20" t="n">
        <x:v>251000</x:v>
      </x:c>
      <x:c r="K35" s="20" t="n">
        <x:v>230000</x:v>
      </x:c>
    </x:row>
    <x:row r="36" ht="21.75" hidden="0" customHeight="1">
      <x:c r="A36" s="19" t="s">
        <x:v>82</x:v>
      </x:c>
      <x:c r="B36" s="20" t="n">
        <x:v>169041</x:v>
      </x:c>
      <x:c r="C36" s="20" t="n">
        <x:v>164831</x:v>
      </x:c>
      <x:c r="D36" s="20" t="n">
        <x:v>162408</x:v>
      </x:c>
      <x:c r="E36" s="20" t="n">
        <x:v>167998</x:v>
      </x:c>
      <x:c r="F36" s="20" t="n">
        <x:v>173649</x:v>
      </x:c>
      <x:c r="G36" s="20" t="n">
        <x:v>182213</x:v>
      </x:c>
      <x:c r="H36" s="20" t="n">
        <x:v>180338</x:v>
      </x:c>
      <x:c r="I36" s="20" t="n">
        <x:v>168592</x:v>
      </x:c>
      <x:c r="J36" s="20" t="n">
        <x:v>155734</x:v>
      </x:c>
      <x:c r="K36" s="20" t="n">
        <x:v>135000</x:v>
      </x:c>
    </x:row>
    <x:row r="37" ht="21.75" hidden="0" customHeight="1">
      <x:c r="A37" s="19" t="s">
        <x:v>83</x:v>
      </x:c>
      <x:c r="B37" s="20" t="n">
        <x:v>0</x:v>
      </x:c>
      <x:c r="C37" s="20" t="n">
        <x:v>0</x:v>
      </x:c>
      <x:c r="D37" s="20" t="n">
        <x:v>0</x:v>
      </x:c>
      <x:c r="E37" s="20" t="n">
        <x:v>0</x:v>
      </x:c>
      <x:c r="F37" s="20" t="n">
        <x:v>0</x:v>
      </x:c>
      <x:c r="G37" s="20" t="n">
        <x:v>0</x:v>
      </x:c>
      <x:c r="H37" s="20" t="n">
        <x:v>0</x:v>
      </x:c>
      <x:c r="I37" s="20" t="n">
        <x:v>0</x:v>
      </x:c>
      <x:c r="J37" s="20" t="n">
        <x:v>0</x:v>
      </x:c>
      <x:c r="K37" s="20" t="n">
        <x:v>0</x:v>
      </x:c>
    </x:row>
    <x:row r="38" ht="21.75" hidden="0" customHeight="1">
      <x:c r="A38" s="19" t="s">
        <x:v>84</x:v>
      </x:c>
      <x:c r="B38" s="20" t="n">
        <x:v>0</x:v>
      </x:c>
      <x:c r="C38" s="20" t="n">
        <x:v>64500</x:v>
      </x:c>
      <x:c r="D38" s="20" t="n">
        <x:v>75000</x:v>
      </x:c>
      <x:c r="E38" s="20" t="n">
        <x:v>147700</x:v>
      </x:c>
      <x:c r="F38" s="20" t="n">
        <x:v>222000</x:v>
      </x:c>
      <x:c r="G38" s="20" t="n">
        <x:v>105000</x:v>
      </x:c>
      <x:c r="H38" s="20" t="n">
        <x:v>105000</x:v>
      </x:c>
      <x:c r="I38" s="20" t="n">
        <x:v>0</x:v>
      </x:c>
      <x:c r="J38" s="20" t="n">
        <x:v>0</x:v>
      </x:c>
      <x:c r="K38" s="20" t="n">
        <x:v>0</x:v>
      </x:c>
    </x:row>
    <x:row r="39" ht="21.75" hidden="0" customHeight="1">
      <x:c r="A39" s="19" t="s">
        <x:v>85</x:v>
      </x:c>
      <x:c r="B39" s="20" t="n">
        <x:v>0</x:v>
      </x:c>
      <x:c r="C39" s="20" t="n">
        <x:v>0</x:v>
      </x:c>
      <x:c r="D39" s="20" t="n">
        <x:v>0</x:v>
      </x:c>
      <x:c r="E39" s="20" t="n">
        <x:v>0</x:v>
      </x:c>
      <x:c r="F39" s="20" t="n">
        <x:v>0</x:v>
      </x:c>
      <x:c r="G39" s="20" t="n">
        <x:v>0</x:v>
      </x:c>
      <x:c r="H39" s="20" t="n">
        <x:v>0</x:v>
      </x:c>
      <x:c r="I39" s="20" t="n">
        <x:v>0</x:v>
      </x:c>
      <x:c r="J39" s="20" t="n">
        <x:v>0</x:v>
      </x:c>
      <x:c r="K39" s="20" t="n">
        <x:v>0</x:v>
      </x:c>
    </x:row>
    <x:row r="40" ht="21.75" hidden="0" customHeight="1">
      <x:c r="A40" s="19" t="s">
        <x:v>86</x:v>
      </x:c>
      <x:c r="B40" s="20" t="n">
        <x:v>200900</x:v>
      </x:c>
      <x:c r="C40" s="20" t="n">
        <x:v>0</x:v>
      </x:c>
      <x:c r="D40" s="20" t="n">
        <x:v>0</x:v>
      </x:c>
      <x:c r="E40" s="20" t="n">
        <x:v>0</x:v>
      </x:c>
      <x:c r="F40" s="20" t="n">
        <x:v>0</x:v>
      </x:c>
      <x:c r="G40" s="20" t="n">
        <x:v>0</x:v>
      </x:c>
      <x:c r="H40" s="20" t="n">
        <x:v>0</x:v>
      </x:c>
      <x:c r="I40" s="20" t="n">
        <x:v>0</x:v>
      </x:c>
      <x:c r="J40" s="20" t="n">
        <x:v>0</x:v>
      </x:c>
      <x:c r="K40" s="20" t="n">
        <x:v>0</x:v>
      </x:c>
    </x:row>
    <x:row r="41" ht="21.75" hidden="0" customHeight="1">
      <x:c r="A41" s="19" t="s">
        <x:v>87</x:v>
      </x:c>
      <x:c r="B41" s="20" t="n">
        <x:f aca="0">B34-SUM(B35:B40)</x:f>
        <x:v>0</x:v>
      </x:c>
      <x:c r="C41" s="20" t="n">
        <x:f aca="0">C34-SUM(C35:C40)</x:f>
        <x:v>0</x:v>
      </x:c>
      <x:c r="D41" s="20" t="n">
        <x:f aca="0">D34-SUM(D35:D40)</x:f>
        <x:v>0</x:v>
      </x:c>
      <x:c r="E41" s="20" t="n">
        <x:f aca="0">E34-SUM(E35:E40)</x:f>
        <x:v>0</x:v>
      </x:c>
      <x:c r="F41" s="20" t="n">
        <x:f aca="0">F34-SUM(F35:F40)</x:f>
        <x:v>0</x:v>
      </x:c>
      <x:c r="G41" s="20" t="n">
        <x:f aca="0">G34-SUM(G35:G40)</x:f>
        <x:v>0</x:v>
      </x:c>
      <x:c r="H41" s="20" t="n">
        <x:f aca="0">H34-SUM(H35:H40)</x:f>
        <x:v>0</x:v>
      </x:c>
      <x:c r="I41" s="20" t="n">
        <x:f aca="0">I34-SUM(I35:I40)</x:f>
        <x:v>0</x:v>
      </x:c>
      <x:c r="J41" s="20" t="n">
        <x:f aca="0">J34-SUM(J35:J40)</x:f>
        <x:v>0</x:v>
      </x:c>
      <x:c r="K41" s="20" t="n">
        <x:f aca="0">K34-SUM(K35:K40)</x:f>
        <x:v>0</x:v>
      </x:c>
    </x:row>
    <x:row r="42" ht="21.75" hidden="0" customHeight="1">
      <x:c r="A42" s="19"/>
      <x:c r="B42" s="20"/>
      <x:c r="C42" s="20"/>
      <x:c r="D42" s="20"/>
      <x:c r="E42" s="20"/>
      <x:c r="F42" s="20"/>
      <x:c r="G42" s="20"/>
      <x:c r="H42" s="20"/>
      <x:c r="I42" s="20"/>
      <x:c r="J42" s="20"/>
      <x:c r="K42" s="20"/>
    </x:row>
    <x:row r="43" ht="21.75" hidden="0" customHeight="1">
      <x:c r="A43" s="17" t="s">
        <x:v>88</x:v>
      </x:c>
      <x:c r="B43" s="18"/>
      <x:c r="C43" s="18"/>
      <x:c r="D43" s="18"/>
      <x:c r="E43" s="18"/>
      <x:c r="F43" s="18"/>
      <x:c r="G43" s="18"/>
      <x:c r="H43" s="18"/>
      <x:c r="I43" s="18"/>
      <x:c r="J43" s="18"/>
      <x:c r="K43" s="18"/>
    </x:row>
    <x:row r="44" ht="21.75" hidden="0" customHeight="1">
      <x:c r="A44" s="19" t="s">
        <x:v>89</x:v>
      </x:c>
      <x:c r="B44" s="20" t="n">
        <x:f aca="0">SUM(B45:B47)</x:f>
        <x:v>1412922</x:v>
      </x:c>
      <x:c r="C44" s="20" t="n">
        <x:f aca="0">SUM(C45:C47)</x:f>
        <x:v>1320955</x:v>
      </x:c>
      <x:c r="D44" s="20" t="n">
        <x:f aca="0">SUM(D45:D47)</x:f>
        <x:v>1228308</x:v>
      </x:c>
      <x:c r="E44" s="20" t="n">
        <x:f aca="0">SUM(E45:E47)</x:f>
        <x:v>1249449</x:v>
      </x:c>
      <x:c r="F44" s="20" t="n">
        <x:f aca="0">SUM(F45:F47)</x:f>
        <x:v>1123446</x:v>
      </x:c>
      <x:c r="G44" s="20" t="n">
        <x:f aca="0">SUM(G45:G47)</x:f>
        <x:v>992222</x:v>
      </x:c>
      <x:c r="H44" s="20" t="n">
        <x:f aca="0">SUM(H45:H47)</x:f>
        <x:v>982061</x:v>
      </x:c>
      <x:c r="I44" s="20" t="n">
        <x:f aca="0">SUM(I45:I47)</x:f>
        <x:v>942741</x:v>
      </x:c>
      <x:c r="J44" s="20" t="n">
        <x:f aca="0">SUM(J45:J47)</x:f>
        <x:v>825401</x:v>
      </x:c>
      <x:c r="K44" s="20" t="n">
        <x:f aca="0">SUM(K45:K47)</x:f>
        <x:v>789992</x:v>
      </x:c>
    </x:row>
    <x:row r="45" ht="21.75" hidden="0" customHeight="1">
      <x:c r="A45" s="19" t="s">
        <x:v>90</x:v>
      </x:c>
      <x:c r="B45" s="20" t="n">
        <x:v>557893</x:v>
      </x:c>
      <x:c r="C45" s="20" t="n">
        <x:v>525014</x:v>
      </x:c>
      <x:c r="D45" s="20" t="n">
        <x:v>500489</x:v>
      </x:c>
      <x:c r="E45" s="20" t="n">
        <x:v>576808</x:v>
      </x:c>
      <x:c r="F45" s="20" t="n">
        <x:v>484835</x:v>
      </x:c>
      <x:c r="G45" s="20" t="n">
        <x:v>415935</x:v>
      </x:c>
      <x:c r="H45" s="20" t="n">
        <x:v>419465</x:v>
      </x:c>
      <x:c r="I45" s="20" t="n">
        <x:v>395135</x:v>
      </x:c>
      <x:c r="J45" s="20" t="n">
        <x:v>279155</x:v>
      </x:c>
      <x:c r="K45" s="20" t="n">
        <x:v>257135</x:v>
      </x:c>
    </x:row>
    <x:row r="46" ht="21.75" hidden="0" customHeight="1">
      <x:c r="A46" s="19" t="s">
        <x:v>91</x:v>
      </x:c>
      <x:c r="B46" s="20" t="n">
        <x:v>855029</x:v>
      </x:c>
      <x:c r="C46" s="20" t="n">
        <x:v>795941</x:v>
      </x:c>
      <x:c r="D46" s="20" t="n">
        <x:v>727819</x:v>
      </x:c>
      <x:c r="E46" s="20" t="n">
        <x:v>672641</x:v>
      </x:c>
      <x:c r="F46" s="20" t="n">
        <x:v>638611</x:v>
      </x:c>
      <x:c r="G46" s="20" t="n">
        <x:v>576287</x:v>
      </x:c>
      <x:c r="H46" s="20" t="n">
        <x:v>562596</x:v>
      </x:c>
      <x:c r="I46" s="20" t="n">
        <x:v>547606</x:v>
      </x:c>
      <x:c r="J46" s="20" t="n">
        <x:v>546246</x:v>
      </x:c>
      <x:c r="K46" s="20" t="n">
        <x:v>532857</x:v>
      </x:c>
    </x:row>
    <x:row r="47" ht="21.75" hidden="0" customHeight="1">
      <x:c r="A47" s="19" t="s">
        <x:v>92</x:v>
      </x:c>
      <x:c r="B47" s="20" t="n">
        <x:v>0</x:v>
      </x:c>
      <x:c r="C47" s="20" t="n">
        <x:v>0</x:v>
      </x:c>
      <x:c r="D47" s="20" t="n">
        <x:v>0</x:v>
      </x:c>
      <x:c r="E47" s="20" t="n">
        <x:v>0</x:v>
      </x:c>
      <x:c r="F47" s="20" t="n">
        <x:v>0</x:v>
      </x:c>
      <x:c r="G47" s="20" t="n">
        <x:v>0</x:v>
      </x:c>
      <x:c r="H47" s="20" t="n">
        <x:v>0</x:v>
      </x:c>
      <x:c r="I47" s="20" t="n">
        <x:v>0</x:v>
      </x:c>
      <x:c r="J47" s="20" t="n">
        <x:v>0</x:v>
      </x:c>
      <x:c r="K47" s="20" t="n">
        <x:v>0</x:v>
      </x:c>
    </x:row>
    <x:row r="48" ht="21.75" hidden="0" customHeight="1">
      <x:c r="A48" s="19" t="s">
        <x:v>93</x:v>
      </x:c>
      <x:c r="B48" s="20" t="n">
        <x:f aca="0">B34-B44</x:f>
        <x:v>-713981</x:v>
      </x:c>
      <x:c r="C48" s="20" t="n">
        <x:f aca="0">C34-C44</x:f>
        <x:v>-656624</x:v>
      </x:c>
      <x:c r="D48" s="20" t="n">
        <x:f aca="0">D34-D44</x:f>
        <x:v>-591900</x:v>
      </x:c>
      <x:c r="E48" s="20" t="n">
        <x:f aca="0">E34-E44</x:f>
        <x:v>-533751</x:v>
      </x:c>
      <x:c r="F48" s="20" t="n">
        <x:f aca="0">F34-F44</x:f>
        <x:v>-495797</x:v>
      </x:c>
      <x:c r="G48" s="20" t="n">
        <x:f aca="0">G34-G44</x:f>
        <x:v>-422009</x:v>
      </x:c>
      <x:c r="H48" s="20" t="n">
        <x:f aca="0">H34-H44</x:f>
        <x:v>-410723</x:v>
      </x:c>
      <x:c r="I48" s="20" t="n">
        <x:f aca="0">I34-I44</x:f>
        <x:v>-406149</x:v>
      </x:c>
      <x:c r="J48" s="20" t="n">
        <x:f aca="0">J34-J44</x:f>
        <x:v>-418667</x:v>
      </x:c>
      <x:c r="K48" s="20" t="n">
        <x:f aca="0">K34-K44</x:f>
        <x:v>-424992</x:v>
      </x:c>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11" width="14" hidden="0" customWidth="1"/>
  </x:cols>
  <x:sheetData>
    <x:row r="1" ht="21.75" hidden="0" customHeight="1">
      <x:c r="A1" s="13" t="s">
        <x:v>94</x:v>
      </x:c>
      <x:c r="B1" s="13"/>
      <x:c r="C1" s="13"/>
      <x:c r="D1" s="13"/>
      <x:c r="E1" s="13"/>
      <x:c r="F1" s="13"/>
      <x:c r="G1" s="13"/>
      <x:c r="H1" s="13"/>
      <x:c r="I1" s="13"/>
      <x:c r="J1" s="13"/>
      <x:c r="K1" s="13"/>
    </x:row>
    <x:row r="2" ht="21.75" hidden="0" customHeight="1">
      <x:c r="A2" s="14" t="s">
        <x:v>95</x:v>
      </x:c>
      <x:c r="B2" s="14"/>
      <x:c r="C2" s="14"/>
      <x:c r="D2" s="14"/>
      <x:c r="E2" s="14"/>
      <x:c r="F2" s="14"/>
      <x:c r="G2" s="14"/>
      <x:c r="H2" s="14"/>
      <x:c r="I2" s="14"/>
      <x:c r="J2" s="14"/>
      <x:c r="K2" s="14"/>
    </x:row>
    <x:row r="3" ht="21.75" hidden="0" customHeight="1">
      <x:c r="A3" s="15" t="s">
        <x:v>41</x:v>
      </x:c>
      <x:c r="B3" s="16" t="s">
        <x:v>42</x:v>
      </x:c>
      <x:c r="C3" s="16" t="s">
        <x:v>43</x:v>
      </x:c>
      <x:c r="D3" s="16" t="s">
        <x:v>44</x:v>
      </x:c>
      <x:c r="E3" s="16" t="s">
        <x:v>45</x:v>
      </x:c>
      <x:c r="F3" s="16" t="s">
        <x:v>46</x:v>
      </x:c>
      <x:c r="G3" s="16" t="s">
        <x:v>47</x:v>
      </x:c>
      <x:c r="H3" s="16" t="s">
        <x:v>48</x:v>
      </x:c>
      <x:c r="I3" s="16" t="s">
        <x:v>49</x:v>
      </x:c>
      <x:c r="J3" s="16" t="s">
        <x:v>50</x:v>
      </x:c>
      <x:c r="K3" s="16" t="s">
        <x:v>51</x:v>
      </x:c>
    </x:row>
    <x:row r="4" ht="21.75" hidden="0" customHeight="1">
      <x:c r="A4" s="17" t="s">
        <x:v>52</x:v>
      </x:c>
      <x:c r="B4" s="18"/>
      <x:c r="C4" s="18"/>
      <x:c r="D4" s="18"/>
      <x:c r="E4" s="18"/>
      <x:c r="F4" s="18"/>
      <x:c r="G4" s="18"/>
      <x:c r="H4" s="18"/>
      <x:c r="I4" s="18"/>
      <x:c r="J4" s="18"/>
      <x:c r="K4" s="18"/>
    </x:row>
    <x:row r="5" ht="21.75" hidden="0" customHeight="1">
      <x:c r="A5" s="19" t="s">
        <x:v>53</x:v>
      </x:c>
      <x:c r="B5" s="20" t="n">
        <x:f aca="0">SUM(B6,B9,B14)</x:f>
        <x:v>1619060</x:v>
      </x:c>
      <x:c r="C5" s="20" t="n">
        <x:f aca="0">SUM(C6,C9,C14)</x:f>
        <x:v>1604473</x:v>
      </x:c>
      <x:c r="D5" s="20" t="n">
        <x:f aca="0">SUM(D6,D9,D14)</x:f>
        <x:v>1586060</x:v>
      </x:c>
      <x:c r="E5" s="20" t="n">
        <x:f aca="0">SUM(E6,E9,E14)</x:f>
        <x:v>1568503</x:v>
      </x:c>
      <x:c r="F5" s="20" t="n">
        <x:f aca="0">SUM(F6,F9,F14)</x:f>
        <x:v>1550232</x:v>
      </x:c>
      <x:c r="G5" s="20" t="n">
        <x:f aca="0">SUM(G6,G9,G14)</x:f>
        <x:v>1544775</x:v>
      </x:c>
      <x:c r="H5" s="20" t="n">
        <x:f aca="0">SUM(H6,H9,H14)</x:f>
        <x:v>1532660</x:v>
      </x:c>
      <x:c r="I5" s="20" t="n">
        <x:f aca="0">SUM(I6,I9,I14)</x:f>
        <x:v>1511152</x:v>
      </x:c>
      <x:c r="J5" s="20" t="n">
        <x:f aca="0">SUM(J6,J9,J14)</x:f>
        <x:v>1481696</x:v>
      </x:c>
      <x:c r="K5" s="20" t="n">
        <x:f aca="0">SUM(K6,K9,K14)</x:f>
        <x:v>1463657</x:v>
      </x:c>
    </x:row>
    <x:row r="6" ht="21.75" hidden="0" customHeight="1">
      <x:c r="A6" s="19" t="s">
        <x:v>54</x:v>
      </x:c>
      <x:c r="B6" s="20" t="n">
        <x:f aca="0">SUM(B7:B8)</x:f>
        <x:v>1261575</x:v>
      </x:c>
      <x:c r="C6" s="20" t="n">
        <x:f aca="0">SUM(C7:C8)</x:f>
        <x:v>1249336</x:v>
      </x:c>
      <x:c r="D6" s="20" t="n">
        <x:f aca="0">SUM(D7:D8)</x:f>
        <x:v>1237293</x:v>
      </x:c>
      <x:c r="E6" s="20" t="n">
        <x:f aca="0">SUM(E7:E8)</x:f>
        <x:v>1225373</x:v>
      </x:c>
      <x:c r="F6" s="20" t="n">
        <x:f aca="0">SUM(F7:F8)</x:f>
        <x:v>1213574</x:v>
      </x:c>
      <x:c r="G6" s="20" t="n">
        <x:f aca="0">SUM(G7:G8)</x:f>
        <x:v>1201896</x:v>
      </x:c>
      <x:c r="H6" s="20" t="n">
        <x:f aca="0">SUM(H7:H8)</x:f>
        <x:v>1190336</x:v>
      </x:c>
      <x:c r="I6" s="20" t="n">
        <x:f aca="0">SUM(I7:I8)</x:f>
        <x:v>1178894</x:v>
      </x:c>
      <x:c r="J6" s="20" t="n">
        <x:f aca="0">SUM(J7:J8)</x:f>
        <x:v>1167569</x:v>
      </x:c>
      <x:c r="K6" s="20" t="n">
        <x:f aca="0">SUM(K7:K8)</x:f>
        <x:v>1156360</x:v>
      </x:c>
    </x:row>
    <x:row r="7" ht="21.75" hidden="0" customHeight="1">
      <x:c r="A7" s="19" t="s">
        <x:v>55</x:v>
      </x:c>
      <x:c r="B7" s="20" t="n">
        <x:v>1231181</x:v>
      </x:c>
      <x:c r="C7" s="20" t="n">
        <x:v>1218869</x:v>
      </x:c>
      <x:c r="D7" s="20" t="n">
        <x:v>1206680</x:v>
      </x:c>
      <x:c r="E7" s="20" t="n">
        <x:v>1194613</x:v>
      </x:c>
      <x:c r="F7" s="20" t="n">
        <x:v>1182666</x:v>
      </x:c>
      <x:c r="G7" s="20" t="n">
        <x:v>1170839</x:v>
      </x:c>
      <x:c r="H7" s="20" t="n">
        <x:v>1159130</x:v>
      </x:c>
      <x:c r="I7" s="20" t="n">
        <x:v>1147538</x:v>
      </x:c>
      <x:c r="J7" s="20" t="n">
        <x:v>1136062</x:v>
      </x:c>
      <x:c r="K7" s="20" t="n">
        <x:v>1124701</x:v>
      </x:c>
    </x:row>
    <x:row r="8" ht="21.75" hidden="0" customHeight="1">
      <x:c r="A8" s="19" t="s">
        <x:v>56</x:v>
      </x:c>
      <x:c r="B8" s="20" t="n">
        <x:v>30394</x:v>
      </x:c>
      <x:c r="C8" s="20" t="n">
        <x:v>30467</x:v>
      </x:c>
      <x:c r="D8" s="20" t="n">
        <x:v>30613</x:v>
      </x:c>
      <x:c r="E8" s="20" t="n">
        <x:v>30760</x:v>
      </x:c>
      <x:c r="F8" s="20" t="n">
        <x:v>30908</x:v>
      </x:c>
      <x:c r="G8" s="20" t="n">
        <x:v>31057</x:v>
      </x:c>
      <x:c r="H8" s="20" t="n">
        <x:v>31206</x:v>
      </x:c>
      <x:c r="I8" s="20" t="n">
        <x:v>31356</x:v>
      </x:c>
      <x:c r="J8" s="20" t="n">
        <x:v>31507</x:v>
      </x:c>
      <x:c r="K8" s="20" t="n">
        <x:v>31659</x:v>
      </x:c>
    </x:row>
    <x:row r="9" ht="21.75" hidden="0" customHeight="1">
      <x:c r="A9" s="19" t="s">
        <x:v>57</x:v>
      </x:c>
      <x:c r="B9" s="20" t="n">
        <x:f aca="0">SUM(B10:B13)</x:f>
        <x:v>354909</x:v>
      </x:c>
      <x:c r="C9" s="20" t="n">
        <x:f aca="0">SUM(C10:C13)</x:f>
        <x:v>355137</x:v>
      </x:c>
      <x:c r="D9" s="20" t="n">
        <x:f aca="0">SUM(D10:D13)</x:f>
        <x:v>348767</x:v>
      </x:c>
      <x:c r="E9" s="20" t="n">
        <x:f aca="0">SUM(E10:E13)</x:f>
        <x:v>343130</x:v>
      </x:c>
      <x:c r="F9" s="20" t="n">
        <x:f aca="0">SUM(F10:F13)</x:f>
        <x:v>336658</x:v>
      </x:c>
      <x:c r="G9" s="20" t="n">
        <x:f aca="0">SUM(G10:G13)</x:f>
        <x:v>342879</x:v>
      </x:c>
      <x:c r="H9" s="20" t="n">
        <x:f aca="0">SUM(H10:H13)</x:f>
        <x:v>342324</x:v>
      </x:c>
      <x:c r="I9" s="20" t="n">
        <x:f aca="0">SUM(I10:I13)</x:f>
        <x:v>332258</x:v>
      </x:c>
      <x:c r="J9" s="20" t="n">
        <x:f aca="0">SUM(J10:J13)</x:f>
        <x:v>314127</x:v>
      </x:c>
      <x:c r="K9" s="20" t="n">
        <x:f aca="0">SUM(K10:K13)</x:f>
        <x:v>307297</x:v>
      </x:c>
    </x:row>
    <x:row r="10" ht="21.75" hidden="0" customHeight="1">
      <x:c r="A10" s="19" t="s">
        <x:v>58</x:v>
      </x:c>
      <x:c r="B10" s="20" t="n">
        <x:v>1</x:v>
      </x:c>
      <x:c r="C10" s="20" t="n">
        <x:v>1</x:v>
      </x:c>
      <x:c r="D10" s="20" t="n">
        <x:v>0</x:v>
      </x:c>
      <x:c r="E10" s="20" t="n">
        <x:v>0</x:v>
      </x:c>
      <x:c r="F10" s="20" t="n">
        <x:v>0</x:v>
      </x:c>
      <x:c r="G10" s="20" t="n">
        <x:v>0</x:v>
      </x:c>
      <x:c r="H10" s="20" t="n">
        <x:v>0</x:v>
      </x:c>
      <x:c r="I10" s="20" t="n">
        <x:v>0</x:v>
      </x:c>
      <x:c r="J10" s="20" t="n">
        <x:v>0</x:v>
      </x:c>
      <x:c r="K10" s="20" t="n">
        <x:v>0</x:v>
      </x:c>
    </x:row>
    <x:row r="11" ht="21.75" hidden="0" customHeight="1">
      <x:c r="A11" s="19" t="s">
        <x:v>59</x:v>
      </x:c>
      <x:c r="B11" s="20" t="n">
        <x:v>73283</x:v>
      </x:c>
      <x:c r="C11" s="20" t="n">
        <x:v>71157</x:v>
      </x:c>
      <x:c r="D11" s="20" t="n">
        <x:v>68955</x:v>
      </x:c>
      <x:c r="E11" s="20" t="n">
        <x:v>66740</x:v>
      </x:c>
      <x:c r="F11" s="20" t="n">
        <x:v>64490</x:v>
      </x:c>
      <x:c r="G11" s="20" t="n">
        <x:v>62175</x:v>
      </x:c>
      <x:c r="H11" s="20" t="n">
        <x:v>59946</x:v>
      </x:c>
      <x:c r="I11" s="20" t="n">
        <x:v>57892</x:v>
      </x:c>
      <x:c r="J11" s="20" t="n">
        <x:v>56062</x:v>
      </x:c>
      <x:c r="K11" s="20" t="n">
        <x:v>54385</x:v>
      </x:c>
    </x:row>
    <x:row r="12" ht="21.75" hidden="0" customHeight="1">
      <x:c r="A12" s="19" t="s">
        <x:v>60</x:v>
      </x:c>
      <x:c r="B12" s="20" t="n">
        <x:v>281625</x:v>
      </x:c>
      <x:c r="C12" s="20" t="n">
        <x:v>283979</x:v>
      </x:c>
      <x:c r="D12" s="20" t="n">
        <x:v>279812</x:v>
      </x:c>
      <x:c r="E12" s="20" t="n">
        <x:v>276390</x:v>
      </x:c>
      <x:c r="F12" s="20" t="n">
        <x:v>272168</x:v>
      </x:c>
      <x:c r="G12" s="20" t="n">
        <x:v>272926</x:v>
      </x:c>
      <x:c r="H12" s="20" t="n">
        <x:v>274600</x:v>
      </x:c>
      <x:c r="I12" s="20" t="n">
        <x:v>266588</x:v>
      </x:c>
      <x:c r="J12" s="20" t="n">
        <x:v>250287</x:v>
      </x:c>
      <x:c r="K12" s="20" t="n">
        <x:v>245134</x:v>
      </x:c>
    </x:row>
    <x:row r="13" ht="21.75" hidden="0" customHeight="1">
      <x:c r="A13" s="19" t="s">
        <x:v>61</x:v>
      </x:c>
      <x:c r="B13" s="20" t="n">
        <x:v>0</x:v>
      </x:c>
      <x:c r="C13" s="20" t="n">
        <x:v>0</x:v>
      </x:c>
      <x:c r="D13" s="20" t="n">
        <x:v>0</x:v>
      </x:c>
      <x:c r="E13" s="20" t="n">
        <x:v>0</x:v>
      </x:c>
      <x:c r="F13" s="20" t="n">
        <x:v>0</x:v>
      </x:c>
      <x:c r="G13" s="20" t="n">
        <x:v>7778</x:v>
      </x:c>
      <x:c r="H13" s="20" t="n">
        <x:v>7778</x:v>
      </x:c>
      <x:c r="I13" s="20" t="n">
        <x:v>7778</x:v>
      </x:c>
      <x:c r="J13" s="20" t="n">
        <x:v>7778</x:v>
      </x:c>
      <x:c r="K13" s="20" t="n">
        <x:v>7778</x:v>
      </x:c>
    </x:row>
    <x:row r="14" ht="21.75" hidden="0" customHeight="1">
      <x:c r="A14" s="19" t="s">
        <x:v>62</x:v>
      </x:c>
      <x:c r="B14" s="20" t="n">
        <x:v>2576</x:v>
      </x:c>
      <x:c r="C14" s="20" t="n">
        <x:v>0</x:v>
      </x:c>
      <x:c r="D14" s="20" t="n">
        <x:v>0</x:v>
      </x:c>
      <x:c r="E14" s="20" t="n">
        <x:v>0</x:v>
      </x:c>
      <x:c r="F14" s="20" t="n">
        <x:v>0</x:v>
      </x:c>
      <x:c r="G14" s="20" t="n">
        <x:v>0</x:v>
      </x:c>
      <x:c r="H14" s="20" t="n">
        <x:v>0</x:v>
      </x:c>
      <x:c r="I14" s="20" t="n">
        <x:v>0</x:v>
      </x:c>
      <x:c r="J14" s="20" t="n">
        <x:v>0</x:v>
      </x:c>
      <x:c r="K14" s="20" t="n">
        <x:v>0</x:v>
      </x:c>
    </x:row>
    <x:row r="15" ht="21.75" hidden="0" customHeight="1">
      <x:c r="A15" s="19"/>
      <x:c r="B15" s="20"/>
      <x:c r="C15" s="20"/>
      <x:c r="D15" s="20"/>
      <x:c r="E15" s="20"/>
      <x:c r="F15" s="20"/>
      <x:c r="G15" s="20"/>
      <x:c r="H15" s="20"/>
      <x:c r="I15" s="20"/>
      <x:c r="J15" s="20"/>
      <x:c r="K15" s="20"/>
    </x:row>
    <x:row r="16" ht="21.75" hidden="0" customHeight="1">
      <x:c r="A16" s="17" t="s">
        <x:v>63</x:v>
      </x:c>
      <x:c r="B16" s="18"/>
      <x:c r="C16" s="18"/>
      <x:c r="D16" s="18"/>
      <x:c r="E16" s="18"/>
      <x:c r="F16" s="18"/>
      <x:c r="G16" s="18"/>
      <x:c r="H16" s="18"/>
      <x:c r="I16" s="18"/>
      <x:c r="J16" s="18"/>
      <x:c r="K16" s="18"/>
    </x:row>
    <x:row r="17" ht="21.75" hidden="0" customHeight="1">
      <x:c r="A17" s="19" t="s">
        <x:v>64</x:v>
      </x:c>
      <x:c r="B17" s="20" t="n">
        <x:f aca="0">SUM(B18,B28,B31)</x:f>
        <x:v>2121103</x:v>
      </x:c>
      <x:c r="C17" s="20" t="n">
        <x:f aca="0">SUM(C18,C28,C31)</x:f>
        <x:v>2109204</x:v>
      </x:c>
      <x:c r="D17" s="20" t="n">
        <x:f aca="0">SUM(D18,D28,D31)</x:f>
        <x:v>2104089</x:v>
      </x:c>
      <x:c r="E17" s="20" t="n">
        <x:f aca="0">SUM(E18,E28,E31)</x:f>
        <x:v>2099430</x:v>
      </x:c>
      <x:c r="F17" s="20" t="n">
        <x:f aca="0">SUM(F18,F28,F31)</x:f>
        <x:v>2098567</x:v>
      </x:c>
      <x:c r="G17" s="20" t="n">
        <x:f aca="0">SUM(G18,G28,G31)</x:f>
        <x:v>2101122</x:v>
      </x:c>
      <x:c r="H17" s="20" t="n">
        <x:f aca="0">SUM(H18,H28,H31)</x:f>
        <x:v>2108674</x:v>
      </x:c>
      <x:c r="I17" s="20" t="n">
        <x:f aca="0">SUM(I18,I28,I31)</x:f>
        <x:v>2105514</x:v>
      </x:c>
      <x:c r="J17" s="20" t="n">
        <x:f aca="0">SUM(J18,J28,J31)</x:f>
        <x:v>2089879</x:v>
      </x:c>
      <x:c r="K17" s="20" t="n">
        <x:f aca="0">SUM(K18,K28,K31)</x:f>
        <x:v>2089427</x:v>
      </x:c>
    </x:row>
    <x:row r="18" ht="21.75" hidden="0" customHeight="1">
      <x:c r="A18" s="19" t="s">
        <x:v>65</x:v>
      </x:c>
      <x:c r="B18" s="20" t="n">
        <x:f aca="0">SUM(B19:B27)</x:f>
        <x:v>1992335</x:v>
      </x:c>
      <x:c r="C18" s="20" t="n">
        <x:f aca="0">SUM(C19:C27)</x:f>
        <x:v>1988413</x:v>
      </x:c>
      <x:c r="D18" s="20" t="n">
        <x:f aca="0">SUM(D19:D27)</x:f>
        <x:v>1986677</x:v>
      </x:c>
      <x:c r="E18" s="20" t="n">
        <x:f aca="0">SUM(E19:E27)</x:f>
        <x:v>1983773</x:v>
      </x:c>
      <x:c r="F18" s="20" t="n">
        <x:f aca="0">SUM(F19:F27)</x:f>
        <x:v>1984507</x:v>
      </x:c>
      <x:c r="G18" s="20" t="n">
        <x:f aca="0">SUM(G19:G27)</x:f>
        <x:v>1990028</x:v>
      </x:c>
      <x:c r="H18" s="20" t="n">
        <x:f aca="0">SUM(H19:H27)</x:f>
        <x:v>1999836</x:v>
      </x:c>
      <x:c r="I18" s="20" t="n">
        <x:f aca="0">SUM(I19:I27)</x:f>
        <x:v>1997829</x:v>
      </x:c>
      <x:c r="J18" s="20" t="n">
        <x:f aca="0">SUM(J19:J27)</x:f>
        <x:v>1982498</x:v>
      </x:c>
      <x:c r="K18" s="20" t="n">
        <x:f aca="0">SUM(K19:K27)</x:f>
        <x:v>1984037</x:v>
      </x:c>
    </x:row>
    <x:row r="19" ht="21.75" hidden="0" customHeight="1">
      <x:c r="A19" s="19" t="s">
        <x:v>66</x:v>
      </x:c>
      <x:c r="B19" s="20" t="n">
        <x:v>176462</x:v>
      </x:c>
      <x:c r="C19" s="20" t="n">
        <x:v>176462</x:v>
      </x:c>
      <x:c r="D19" s="20" t="n">
        <x:v>176462</x:v>
      </x:c>
      <x:c r="E19" s="20" t="n">
        <x:v>176462</x:v>
      </x:c>
      <x:c r="F19" s="20" t="n">
        <x:v>176462</x:v>
      </x:c>
      <x:c r="G19" s="20" t="n">
        <x:v>176462</x:v>
      </x:c>
      <x:c r="H19" s="20" t="n">
        <x:v>176462</x:v>
      </x:c>
      <x:c r="I19" s="20" t="n">
        <x:v>176462</x:v>
      </x:c>
      <x:c r="J19" s="20" t="n">
        <x:v>176462</x:v>
      </x:c>
      <x:c r="K19" s="20" t="n">
        <x:v>176462</x:v>
      </x:c>
    </x:row>
    <x:row r="20" ht="21.75" hidden="0" customHeight="1">
      <x:c r="A20" s="19" t="s">
        <x:v>67</x:v>
      </x:c>
      <x:c r="B20" s="20" t="n">
        <x:v>547263</x:v>
      </x:c>
      <x:c r="C20" s="20" t="n">
        <x:v>545340</x:v>
      </x:c>
      <x:c r="D20" s="20" t="n">
        <x:v>545648</x:v>
      </x:c>
      <x:c r="E20" s="20" t="n">
        <x:v>545957</x:v>
      </x:c>
      <x:c r="F20" s="20" t="n">
        <x:v>546267</x:v>
      </x:c>
      <x:c r="G20" s="20" t="n">
        <x:v>546577</x:v>
      </x:c>
      <x:c r="H20" s="20" t="n">
        <x:v>546888</x:v>
      </x:c>
      <x:c r="I20" s="20" t="n">
        <x:v>547200</x:v>
      </x:c>
      <x:c r="J20" s="20" t="n">
        <x:v>547513</x:v>
      </x:c>
      <x:c r="K20" s="20" t="n">
        <x:v>547827</x:v>
      </x:c>
    </x:row>
    <x:row r="21" ht="21.75" hidden="0" customHeight="1">
      <x:c r="A21" s="19" t="s">
        <x:v>68</x:v>
      </x:c>
      <x:c r="B21" s="20" t="n">
        <x:v>65247</x:v>
      </x:c>
      <x:c r="C21" s="20" t="n">
        <x:v>65000</x:v>
      </x:c>
      <x:c r="D21" s="20" t="n">
        <x:v>65000</x:v>
      </x:c>
      <x:c r="E21" s="20" t="n">
        <x:v>65000</x:v>
      </x:c>
      <x:c r="F21" s="20" t="n">
        <x:v>65000</x:v>
      </x:c>
      <x:c r="G21" s="20" t="n">
        <x:v>65000</x:v>
      </x:c>
      <x:c r="H21" s="20" t="n">
        <x:v>65000</x:v>
      </x:c>
      <x:c r="I21" s="20" t="n">
        <x:v>65000</x:v>
      </x:c>
      <x:c r="J21" s="20" t="n">
        <x:v>65000</x:v>
      </x:c>
      <x:c r="K21" s="20" t="n">
        <x:v>65000</x:v>
      </x:c>
    </x:row>
    <x:row r="22" ht="21.75" hidden="0" customHeight="1">
      <x:c r="A22" s="19" t="s">
        <x:v>69</x:v>
      </x:c>
      <x:c r="B22" s="20" t="n">
        <x:v>102261</x:v>
      </x:c>
      <x:c r="C22" s="20" t="n">
        <x:v>102568</x:v>
      </x:c>
      <x:c r="D22" s="20" t="n">
        <x:v>102876</x:v>
      </x:c>
      <x:c r="E22" s="20" t="n">
        <x:v>103185</x:v>
      </x:c>
      <x:c r="F22" s="20" t="n">
        <x:v>103495</x:v>
      </x:c>
      <x:c r="G22" s="20" t="n">
        <x:v>103805</x:v>
      </x:c>
      <x:c r="H22" s="20" t="n">
        <x:v>104116</x:v>
      </x:c>
      <x:c r="I22" s="20" t="n">
        <x:v>104428</x:v>
      </x:c>
      <x:c r="J22" s="20" t="n">
        <x:v>104741</x:v>
      </x:c>
      <x:c r="K22" s="20" t="n">
        <x:v>105055</x:v>
      </x:c>
    </x:row>
    <x:row r="23" ht="21.75" hidden="0" customHeight="1">
      <x:c r="A23" s="19" t="s">
        <x:v>70</x:v>
      </x:c>
      <x:c r="B23" s="20" t="n">
        <x:v>15316</x:v>
      </x:c>
      <x:c r="C23" s="20" t="n">
        <x:v>15000</x:v>
      </x:c>
      <x:c r="D23" s="20" t="n">
        <x:v>15000</x:v>
      </x:c>
      <x:c r="E23" s="20" t="n">
        <x:v>15000</x:v>
      </x:c>
      <x:c r="F23" s="20" t="n">
        <x:v>15000</x:v>
      </x:c>
      <x:c r="G23" s="20" t="n">
        <x:v>15000</x:v>
      </x:c>
      <x:c r="H23" s="20" t="n">
        <x:v>15000</x:v>
      </x:c>
      <x:c r="I23" s="20" t="n">
        <x:v>15000</x:v>
      </x:c>
      <x:c r="J23" s="20" t="n">
        <x:v>15000</x:v>
      </x:c>
      <x:c r="K23" s="20" t="n">
        <x:v>15000</x:v>
      </x:c>
    </x:row>
    <x:row r="24" ht="21.75" hidden="0" customHeight="1">
      <x:c r="A24" s="19" t="s">
        <x:v>71</x:v>
      </x:c>
      <x:c r="B24" s="20" t="n">
        <x:v>304419</x:v>
      </x:c>
      <x:c r="C24" s="20" t="n">
        <x:v>304000</x:v>
      </x:c>
      <x:c r="D24" s="20" t="n">
        <x:v>304000</x:v>
      </x:c>
      <x:c r="E24" s="20" t="n">
        <x:v>304000</x:v>
      </x:c>
      <x:c r="F24" s="20" t="n">
        <x:v>304000</x:v>
      </x:c>
      <x:c r="G24" s="20" t="n">
        <x:v>304000</x:v>
      </x:c>
      <x:c r="H24" s="20" t="n">
        <x:v>304000</x:v>
      </x:c>
      <x:c r="I24" s="20" t="n">
        <x:v>304000</x:v>
      </x:c>
      <x:c r="J24" s="20" t="n">
        <x:v>304000</x:v>
      </x:c>
      <x:c r="K24" s="20" t="n">
        <x:v>304000</x:v>
      </x:c>
    </x:row>
    <x:row r="25" ht="21.75" hidden="0" customHeight="1">
      <x:c r="A25" s="19" t="s">
        <x:v>72</x:v>
      </x:c>
      <x:c r="B25" s="20" t="n">
        <x:v>755782</x:v>
      </x:c>
      <x:c r="C25" s="20" t="n">
        <x:v>754743</x:v>
      </x:c>
      <x:c r="D25" s="20" t="n">
        <x:v>752391</x:v>
      </x:c>
      <x:c r="E25" s="20" t="n">
        <x:v>748869</x:v>
      </x:c>
      <x:c r="F25" s="20" t="n">
        <x:v>748983</x:v>
      </x:c>
      <x:c r="G25" s="20" t="n">
        <x:v>753884</x:v>
      </x:c>
      <x:c r="H25" s="20" t="n">
        <x:v>763070</x:v>
      </x:c>
      <x:c r="I25" s="20" t="n">
        <x:v>760439</x:v>
      </x:c>
      <x:c r="J25" s="20" t="n">
        <x:v>744482</x:v>
      </x:c>
      <x:c r="K25" s="20" t="n">
        <x:v>745393</x:v>
      </x:c>
    </x:row>
    <x:row r="26" ht="21.75" hidden="0" customHeight="1">
      <x:c r="A26" s="19" t="s">
        <x:v>73</x:v>
      </x:c>
      <x:c r="B26" s="20" t="n">
        <x:v>10000</x:v>
      </x:c>
      <x:c r="C26" s="20" t="n">
        <x:v>10000</x:v>
      </x:c>
      <x:c r="D26" s="20" t="n">
        <x:v>10000</x:v>
      </x:c>
      <x:c r="E26" s="20" t="n">
        <x:v>10000</x:v>
      </x:c>
      <x:c r="F26" s="20" t="n">
        <x:v>10000</x:v>
      </x:c>
      <x:c r="G26" s="20" t="n">
        <x:v>10000</x:v>
      </x:c>
      <x:c r="H26" s="20" t="n">
        <x:v>10000</x:v>
      </x:c>
      <x:c r="I26" s="20" t="n">
        <x:v>10000</x:v>
      </x:c>
      <x:c r="J26" s="20" t="n">
        <x:v>10000</x:v>
      </x:c>
      <x:c r="K26" s="20" t="n">
        <x:v>10000</x:v>
      </x:c>
    </x:row>
    <x:row r="27" ht="21.75" hidden="0" customHeight="1">
      <x:c r="A27" s="19" t="s">
        <x:v>74</x:v>
      </x:c>
      <x:c r="B27" s="20" t="n">
        <x:v>15585</x:v>
      </x:c>
      <x:c r="C27" s="20" t="n">
        <x:v>15300</x:v>
      </x:c>
      <x:c r="D27" s="20" t="n">
        <x:v>15300</x:v>
      </x:c>
      <x:c r="E27" s="20" t="n">
        <x:v>15300</x:v>
      </x:c>
      <x:c r="F27" s="20" t="n">
        <x:v>15300</x:v>
      </x:c>
      <x:c r="G27" s="20" t="n">
        <x:v>15300</x:v>
      </x:c>
      <x:c r="H27" s="20" t="n">
        <x:v>15300</x:v>
      </x:c>
      <x:c r="I27" s="20" t="n">
        <x:v>15300</x:v>
      </x:c>
      <x:c r="J27" s="20" t="n">
        <x:v>15300</x:v>
      </x:c>
      <x:c r="K27" s="20" t="n">
        <x:v>15300</x:v>
      </x:c>
    </x:row>
    <x:row r="28" ht="21.75" hidden="0" customHeight="1">
      <x:c r="A28" s="19" t="s">
        <x:v>75</x:v>
      </x:c>
      <x:c r="B28" s="20" t="n">
        <x:f aca="0">SUM(B29:B30)</x:f>
        <x:v>128495</x:v>
      </x:c>
      <x:c r="C28" s="20" t="n">
        <x:f aca="0">SUM(C29:C30)</x:f>
        <x:v>120518</x:v>
      </x:c>
      <x:c r="D28" s="20" t="n">
        <x:f aca="0">SUM(D29:D30)</x:f>
        <x:v>117139</x:v>
      </x:c>
      <x:c r="E28" s="20" t="n">
        <x:f aca="0">SUM(E29:E30)</x:f>
        <x:v>115384</x:v>
      </x:c>
      <x:c r="F28" s="20" t="n">
        <x:f aca="0">SUM(F29:F30)</x:f>
        <x:v>113787</x:v>
      </x:c>
      <x:c r="G28" s="20" t="n">
        <x:f aca="0">SUM(G29:G30)</x:f>
        <x:v>110821</x:v>
      </x:c>
      <x:c r="H28" s="20" t="n">
        <x:f aca="0">SUM(H29:H30)</x:f>
        <x:v>108565</x:v>
      </x:c>
      <x:c r="I28" s="20" t="n">
        <x:f aca="0">SUM(I29:I30)</x:f>
        <x:v>107412</x:v>
      </x:c>
      <x:c r="J28" s="20" t="n">
        <x:f aca="0">SUM(J29:J30)</x:f>
        <x:v>107108</x:v>
      </x:c>
      <x:c r="K28" s="20" t="n">
        <x:f aca="0">SUM(K29:K30)</x:f>
        <x:v>105117</x:v>
      </x:c>
    </x:row>
    <x:row r="29" ht="21.75" hidden="0" customHeight="1">
      <x:c r="A29" s="19" t="s">
        <x:v>76</x:v>
      </x:c>
      <x:c r="B29" s="20" t="n">
        <x:v>118910</x:v>
      </x:c>
      <x:c r="C29" s="20" t="n">
        <x:v>111872</x:v>
      </x:c>
      <x:c r="D29" s="20" t="n">
        <x:v>108458</x:v>
      </x:c>
      <x:c r="E29" s="20" t="n">
        <x:v>106668</x:v>
      </x:c>
      <x:c r="F29" s="20" t="n">
        <x:v>105071</x:v>
      </x:c>
      <x:c r="G29" s="20" t="n">
        <x:v>102070</x:v>
      </x:c>
      <x:c r="H29" s="20" t="n">
        <x:v>99779</x:v>
      </x:c>
      <x:c r="I29" s="20" t="n">
        <x:v>98626</x:v>
      </x:c>
      <x:c r="J29" s="20" t="n">
        <x:v>98322</x:v>
      </x:c>
      <x:c r="K29" s="20" t="n">
        <x:v>96331</x:v>
      </x:c>
    </x:row>
    <x:row r="30" ht="21.75" hidden="0" customHeight="1">
      <x:c r="A30" s="19" t="s">
        <x:v>77</x:v>
      </x:c>
      <x:c r="B30" s="20" t="n">
        <x:v>9585</x:v>
      </x:c>
      <x:c r="C30" s="20" t="n">
        <x:v>8646</x:v>
      </x:c>
      <x:c r="D30" s="20" t="n">
        <x:v>8681</x:v>
      </x:c>
      <x:c r="E30" s="20" t="n">
        <x:v>8716</x:v>
      </x:c>
      <x:c r="F30" s="20" t="n">
        <x:v>8716</x:v>
      </x:c>
      <x:c r="G30" s="20" t="n">
        <x:v>8751</x:v>
      </x:c>
      <x:c r="H30" s="20" t="n">
        <x:v>8786</x:v>
      </x:c>
      <x:c r="I30" s="20" t="n">
        <x:v>8786</x:v>
      </x:c>
      <x:c r="J30" s="20" t="n">
        <x:v>8786</x:v>
      </x:c>
      <x:c r="K30" s="20" t="n">
        <x:v>8786</x:v>
      </x:c>
    </x:row>
    <x:row r="31" ht="21.75" hidden="0" customHeight="1">
      <x:c r="A31" s="19" t="s">
        <x:v>78</x:v>
      </x:c>
      <x:c r="B31" s="21" t="n">
        <x:v>273</x:v>
      </x:c>
      <x:c r="C31" s="21" t="n">
        <x:v>273</x:v>
      </x:c>
      <x:c r="D31" s="21" t="n">
        <x:v>273</x:v>
      </x:c>
      <x:c r="E31" s="21" t="n">
        <x:v>273</x:v>
      </x:c>
      <x:c r="F31" s="21" t="n">
        <x:v>273</x:v>
      </x:c>
      <x:c r="G31" s="21" t="n">
        <x:v>273</x:v>
      </x:c>
      <x:c r="H31" s="21" t="n">
        <x:v>273</x:v>
      </x:c>
      <x:c r="I31" s="21" t="n">
        <x:v>273</x:v>
      </x:c>
      <x:c r="J31" s="21" t="n">
        <x:v>273</x:v>
      </x:c>
      <x:c r="K31" s="21" t="n">
        <x:v>273</x:v>
      </x:c>
    </x:row>
    <x:row r="32" ht="21.75" hidden="0" customHeight="1">
      <x:c r="A32" s="19"/>
      <x:c r="B32" s="21"/>
      <x:c r="C32" s="21"/>
      <x:c r="D32" s="21"/>
      <x:c r="E32" s="21"/>
      <x:c r="F32" s="21"/>
      <x:c r="G32" s="21"/>
      <x:c r="H32" s="21"/>
      <x:c r="I32" s="21"/>
      <x:c r="J32" s="21"/>
      <x:c r="K32" s="21"/>
    </x:row>
    <x:row r="33" ht="21.75" hidden="0" customHeight="1">
      <x:c r="A33" s="17" t="s">
        <x:v>79</x:v>
      </x:c>
      <x:c r="B33" s="22"/>
      <x:c r="C33" s="22"/>
      <x:c r="D33" s="22"/>
      <x:c r="E33" s="22"/>
      <x:c r="F33" s="22"/>
      <x:c r="G33" s="22"/>
      <x:c r="H33" s="22"/>
      <x:c r="I33" s="22"/>
      <x:c r="J33" s="22"/>
      <x:c r="K33" s="22"/>
    </x:row>
    <x:row r="34" ht="21.75" hidden="0" customHeight="1">
      <x:c r="A34" s="19" t="s">
        <x:v>80</x:v>
      </x:c>
      <x:c r="B34" s="20" t="n">
        <x:v>698941</x:v>
      </x:c>
      <x:c r="C34" s="20" t="n">
        <x:v>664331</x:v>
      </x:c>
      <x:c r="D34" s="20" t="n">
        <x:v>636408</x:v>
      </x:c>
      <x:c r="E34" s="20" t="n">
        <x:v>715698</x:v>
      </x:c>
      <x:c r="F34" s="20" t="n">
        <x:v>627649</x:v>
      </x:c>
      <x:c r="G34" s="20" t="n">
        <x:v>570213</x:v>
      </x:c>
      <x:c r="H34" s="20" t="n">
        <x:v>571338</x:v>
      </x:c>
      <x:c r="I34" s="20" t="n">
        <x:v>536592</x:v>
      </x:c>
      <x:c r="J34" s="20" t="n">
        <x:v>406734</x:v>
      </x:c>
      <x:c r="K34" s="20" t="n">
        <x:v>365000</x:v>
      </x:c>
    </x:row>
    <x:row r="35" ht="21.75" hidden="0" customHeight="1">
      <x:c r="A35" s="19" t="s">
        <x:v>81</x:v>
      </x:c>
      <x:c r="B35" s="20" t="n">
        <x:v>329000</x:v>
      </x:c>
      <x:c r="C35" s="20" t="n">
        <x:v>435000</x:v>
      </x:c>
      <x:c r="D35" s="20" t="n">
        <x:v>399000</x:v>
      </x:c>
      <x:c r="E35" s="20" t="n">
        <x:v>400000</x:v>
      </x:c>
      <x:c r="F35" s="20" t="n">
        <x:v>232000</x:v>
      </x:c>
      <x:c r="G35" s="20" t="n">
        <x:v>283000</x:v>
      </x:c>
      <x:c r="H35" s="20" t="n">
        <x:v>286000</x:v>
      </x:c>
      <x:c r="I35" s="20" t="n">
        <x:v>368000</x:v>
      </x:c>
      <x:c r="J35" s="20" t="n">
        <x:v>251000</x:v>
      </x:c>
      <x:c r="K35" s="20" t="n">
        <x:v>230000</x:v>
      </x:c>
    </x:row>
    <x:row r="36" ht="21.75" hidden="0" customHeight="1">
      <x:c r="A36" s="19" t="s">
        <x:v>82</x:v>
      </x:c>
      <x:c r="B36" s="20" t="n">
        <x:v>169041</x:v>
      </x:c>
      <x:c r="C36" s="20" t="n">
        <x:v>164831</x:v>
      </x:c>
      <x:c r="D36" s="20" t="n">
        <x:v>162408</x:v>
      </x:c>
      <x:c r="E36" s="20" t="n">
        <x:v>167998</x:v>
      </x:c>
      <x:c r="F36" s="20" t="n">
        <x:v>173649</x:v>
      </x:c>
      <x:c r="G36" s="20" t="n">
        <x:v>182213</x:v>
      </x:c>
      <x:c r="H36" s="20" t="n">
        <x:v>180338</x:v>
      </x:c>
      <x:c r="I36" s="20" t="n">
        <x:v>168592</x:v>
      </x:c>
      <x:c r="J36" s="20" t="n">
        <x:v>155734</x:v>
      </x:c>
      <x:c r="K36" s="20" t="n">
        <x:v>135000</x:v>
      </x:c>
    </x:row>
    <x:row r="37" ht="21.75" hidden="0" customHeight="1">
      <x:c r="A37" s="19" t="s">
        <x:v>83</x:v>
      </x:c>
      <x:c r="B37" s="20" t="n">
        <x:v>0</x:v>
      </x:c>
      <x:c r="C37" s="20" t="n">
        <x:v>0</x:v>
      </x:c>
      <x:c r="D37" s="20" t="n">
        <x:v>0</x:v>
      </x:c>
      <x:c r="E37" s="20" t="n">
        <x:v>0</x:v>
      </x:c>
      <x:c r="F37" s="20" t="n">
        <x:v>0</x:v>
      </x:c>
      <x:c r="G37" s="20" t="n">
        <x:v>0</x:v>
      </x:c>
      <x:c r="H37" s="20" t="n">
        <x:v>0</x:v>
      </x:c>
      <x:c r="I37" s="20" t="n">
        <x:v>0</x:v>
      </x:c>
      <x:c r="J37" s="20" t="n">
        <x:v>0</x:v>
      </x:c>
      <x:c r="K37" s="20" t="n">
        <x:v>0</x:v>
      </x:c>
    </x:row>
    <x:row r="38" ht="21.75" hidden="0" customHeight="1">
      <x:c r="A38" s="19" t="s">
        <x:v>84</x:v>
      </x:c>
      <x:c r="B38" s="20" t="n">
        <x:v>0</x:v>
      </x:c>
      <x:c r="C38" s="20" t="n">
        <x:v>64500</x:v>
      </x:c>
      <x:c r="D38" s="20" t="n">
        <x:v>75000</x:v>
      </x:c>
      <x:c r="E38" s="20" t="n">
        <x:v>147700</x:v>
      </x:c>
      <x:c r="F38" s="20" t="n">
        <x:v>222000</x:v>
      </x:c>
      <x:c r="G38" s="20" t="n">
        <x:v>105000</x:v>
      </x:c>
      <x:c r="H38" s="20" t="n">
        <x:v>105000</x:v>
      </x:c>
      <x:c r="I38" s="20" t="n">
        <x:v>0</x:v>
      </x:c>
      <x:c r="J38" s="20" t="n">
        <x:v>0</x:v>
      </x:c>
      <x:c r="K38" s="20" t="n">
        <x:v>0</x:v>
      </x:c>
    </x:row>
    <x:row r="39" ht="21.75" hidden="0" customHeight="1">
      <x:c r="A39" s="19" t="s">
        <x:v>85</x:v>
      </x:c>
      <x:c r="B39" s="20" t="n">
        <x:v>0</x:v>
      </x:c>
      <x:c r="C39" s="20" t="n">
        <x:v>0</x:v>
      </x:c>
      <x:c r="D39" s="20" t="n">
        <x:v>0</x:v>
      </x:c>
      <x:c r="E39" s="20" t="n">
        <x:v>0</x:v>
      </x:c>
      <x:c r="F39" s="20" t="n">
        <x:v>0</x:v>
      </x:c>
      <x:c r="G39" s="20" t="n">
        <x:v>0</x:v>
      </x:c>
      <x:c r="H39" s="20" t="n">
        <x:v>0</x:v>
      </x:c>
      <x:c r="I39" s="20" t="n">
        <x:v>0</x:v>
      </x:c>
      <x:c r="J39" s="20" t="n">
        <x:v>0</x:v>
      </x:c>
      <x:c r="K39" s="20" t="n">
        <x:v>0</x:v>
      </x:c>
    </x:row>
    <x:row r="40" ht="21.75" hidden="0" customHeight="1">
      <x:c r="A40" s="19" t="s">
        <x:v>86</x:v>
      </x:c>
      <x:c r="B40" s="20" t="n">
        <x:v>200900</x:v>
      </x:c>
      <x:c r="C40" s="20" t="n">
        <x:v>0</x:v>
      </x:c>
      <x:c r="D40" s="20" t="n">
        <x:v>0</x:v>
      </x:c>
      <x:c r="E40" s="20" t="n">
        <x:v>0</x:v>
      </x:c>
      <x:c r="F40" s="20" t="n">
        <x:v>0</x:v>
      </x:c>
      <x:c r="G40" s="20" t="n">
        <x:v>0</x:v>
      </x:c>
      <x:c r="H40" s="20" t="n">
        <x:v>0</x:v>
      </x:c>
      <x:c r="I40" s="20" t="n">
        <x:v>0</x:v>
      </x:c>
      <x:c r="J40" s="20" t="n">
        <x:v>0</x:v>
      </x:c>
      <x:c r="K40" s="20" t="n">
        <x:v>0</x:v>
      </x:c>
    </x:row>
    <x:row r="41" ht="21.75" hidden="0" customHeight="1">
      <x:c r="A41" s="19" t="s">
        <x:v>87</x:v>
      </x:c>
      <x:c r="B41" s="20" t="n">
        <x:f aca="0">B34-SUM(B35:B40)</x:f>
        <x:v>0</x:v>
      </x:c>
      <x:c r="C41" s="20" t="n">
        <x:f aca="0">C34-SUM(C35:C40)</x:f>
        <x:v>0</x:v>
      </x:c>
      <x:c r="D41" s="20" t="n">
        <x:f aca="0">D34-SUM(D35:D40)</x:f>
        <x:v>0</x:v>
      </x:c>
      <x:c r="E41" s="20" t="n">
        <x:f aca="0">E34-SUM(E35:E40)</x:f>
        <x:v>0</x:v>
      </x:c>
      <x:c r="F41" s="20" t="n">
        <x:f aca="0">F34-SUM(F35:F40)</x:f>
        <x:v>0</x:v>
      </x:c>
      <x:c r="G41" s="20" t="n">
        <x:f aca="0">G34-SUM(G35:G40)</x:f>
        <x:v>0</x:v>
      </x:c>
      <x:c r="H41" s="20" t="n">
        <x:f aca="0">H34-SUM(H35:H40)</x:f>
        <x:v>0</x:v>
      </x:c>
      <x:c r="I41" s="20" t="n">
        <x:f aca="0">I34-SUM(I35:I40)</x:f>
        <x:v>0</x:v>
      </x:c>
      <x:c r="J41" s="20" t="n">
        <x:f aca="0">J34-SUM(J35:J40)</x:f>
        <x:v>0</x:v>
      </x:c>
      <x:c r="K41" s="20" t="n">
        <x:f aca="0">K34-SUM(K35:K40)</x:f>
        <x:v>0</x:v>
      </x:c>
    </x:row>
    <x:row r="42" ht="21.75" hidden="0" customHeight="1">
      <x:c r="A42" s="19"/>
      <x:c r="B42" s="20"/>
      <x:c r="C42" s="20"/>
      <x:c r="D42" s="20"/>
      <x:c r="E42" s="20"/>
      <x:c r="F42" s="20"/>
      <x:c r="G42" s="20"/>
      <x:c r="H42" s="20"/>
      <x:c r="I42" s="20"/>
      <x:c r="J42" s="20"/>
      <x:c r="K42" s="20"/>
    </x:row>
    <x:row r="43" ht="21.75" hidden="0" customHeight="1">
      <x:c r="A43" s="17" t="s">
        <x:v>88</x:v>
      </x:c>
      <x:c r="B43" s="18"/>
      <x:c r="C43" s="18"/>
      <x:c r="D43" s="18"/>
      <x:c r="E43" s="18"/>
      <x:c r="F43" s="18"/>
      <x:c r="G43" s="18"/>
      <x:c r="H43" s="18"/>
      <x:c r="I43" s="18"/>
      <x:c r="J43" s="18"/>
      <x:c r="K43" s="18"/>
    </x:row>
    <x:row r="44" ht="21.75" hidden="0" customHeight="1">
      <x:c r="A44" s="19" t="s">
        <x:v>89</x:v>
      </x:c>
      <x:c r="B44" s="20" t="n">
        <x:f aca="0">SUM(B45:B47)</x:f>
        <x:v>1123770</x:v>
      </x:c>
      <x:c r="C44" s="20" t="n">
        <x:f aca="0">SUM(C45:C47)</x:f>
        <x:v>1684483</x:v>
      </x:c>
      <x:c r="D44" s="20" t="n">
        <x:f aca="0">SUM(D45:D47)</x:f>
        <x:v>1131274</x:v>
      </x:c>
      <x:c r="E44" s="20" t="n">
        <x:f aca="0">SUM(E45:E47)</x:f>
        <x:v>1433926</x:v>
      </x:c>
      <x:c r="F44" s="20" t="n">
        <x:f aca="0">SUM(F45:F47)</x:f>
        <x:v>1196811</x:v>
      </x:c>
      <x:c r="G44" s="20" t="n">
        <x:f aca="0">SUM(G45:G47)</x:f>
        <x:v>965587</x:v>
      </x:c>
      <x:c r="H44" s="20" t="n">
        <x:f aca="0">SUM(H45:H47)</x:f>
        <x:v>945526</x:v>
      </x:c>
      <x:c r="I44" s="20" t="n">
        <x:f aca="0">SUM(I45:I47)</x:f>
        <x:v>916106</x:v>
      </x:c>
      <x:c r="J44" s="20" t="n">
        <x:f aca="0">SUM(J45:J47)</x:f>
        <x:v>811966</x:v>
      </x:c>
      <x:c r="K44" s="20" t="n">
        <x:f aca="0">SUM(K45:K47)</x:f>
        <x:v>763357</x:v>
      </x:c>
    </x:row>
    <x:row r="45" ht="21.75" hidden="0" customHeight="1">
      <x:c r="A45" s="19" t="s">
        <x:v>90</x:v>
      </x:c>
      <x:c r="B45" s="20" t="n">
        <x:v>268741</x:v>
      </x:c>
      <x:c r="C45" s="20" t="n">
        <x:v>888542</x:v>
      </x:c>
      <x:c r="D45" s="20" t="n">
        <x:v>403455</x:v>
      </x:c>
      <x:c r="E45" s="20" t="n">
        <x:v>761285</x:v>
      </x:c>
      <x:c r="F45" s="20" t="n">
        <x:v>558200</x:v>
      </x:c>
      <x:c r="G45" s="20" t="n">
        <x:v>389300</x:v>
      </x:c>
      <x:c r="H45" s="20" t="n">
        <x:v>382930</x:v>
      </x:c>
      <x:c r="I45" s="20" t="n">
        <x:v>368500</x:v>
      </x:c>
      <x:c r="J45" s="20" t="n">
        <x:v>265720</x:v>
      </x:c>
      <x:c r="K45" s="20" t="n">
        <x:v>230500</x:v>
      </x:c>
    </x:row>
    <x:row r="46" ht="21.75" hidden="0" customHeight="1">
      <x:c r="A46" s="19" t="s">
        <x:v>91</x:v>
      </x:c>
      <x:c r="B46" s="20" t="n">
        <x:v>855029</x:v>
      </x:c>
      <x:c r="C46" s="20" t="n">
        <x:v>795941</x:v>
      </x:c>
      <x:c r="D46" s="20" t="n">
        <x:v>727819</x:v>
      </x:c>
      <x:c r="E46" s="20" t="n">
        <x:v>672641</x:v>
      </x:c>
      <x:c r="F46" s="20" t="n">
        <x:v>638611</x:v>
      </x:c>
      <x:c r="G46" s="20" t="n">
        <x:v>576287</x:v>
      </x:c>
      <x:c r="H46" s="20" t="n">
        <x:v>562596</x:v>
      </x:c>
      <x:c r="I46" s="20" t="n">
        <x:v>547606</x:v>
      </x:c>
      <x:c r="J46" s="20" t="n">
        <x:v>546246</x:v>
      </x:c>
      <x:c r="K46" s="20" t="n">
        <x:v>532857</x:v>
      </x:c>
    </x:row>
    <x:row r="47" ht="21.75" hidden="0" customHeight="1">
      <x:c r="A47" s="19" t="s">
        <x:v>92</x:v>
      </x:c>
      <x:c r="B47" s="20" t="n">
        <x:v>0</x:v>
      </x:c>
      <x:c r="C47" s="20" t="n">
        <x:v>0</x:v>
      </x:c>
      <x:c r="D47" s="20" t="n">
        <x:v>0</x:v>
      </x:c>
      <x:c r="E47" s="20" t="n">
        <x:v>0</x:v>
      </x:c>
      <x:c r="F47" s="20" t="n">
        <x:v>0</x:v>
      </x:c>
      <x:c r="G47" s="20" t="n">
        <x:v>0</x:v>
      </x:c>
      <x:c r="H47" s="20" t="n">
        <x:v>0</x:v>
      </x:c>
      <x:c r="I47" s="20" t="n">
        <x:v>0</x:v>
      </x:c>
      <x:c r="J47" s="20" t="n">
        <x:v>0</x:v>
      </x:c>
      <x:c r="K47" s="20" t="n">
        <x:v>0</x:v>
      </x:c>
    </x:row>
    <x:row r="48" ht="21.75" hidden="0" customHeight="1">
      <x:c r="A48" s="19" t="s">
        <x:v>93</x:v>
      </x:c>
      <x:c r="B48" s="20" t="n">
        <x:f aca="0">B34-B44</x:f>
        <x:v>-424829</x:v>
      </x:c>
      <x:c r="C48" s="20" t="n">
        <x:f aca="0">C34-C44</x:f>
        <x:v>-1020152</x:v>
      </x:c>
      <x:c r="D48" s="20" t="n">
        <x:f aca="0">D34-D44</x:f>
        <x:v>-494866</x:v>
      </x:c>
      <x:c r="E48" s="20" t="n">
        <x:f aca="0">E34-E44</x:f>
        <x:v>-718228</x:v>
      </x:c>
      <x:c r="F48" s="20" t="n">
        <x:f aca="0">F34-F44</x:f>
        <x:v>-569162</x:v>
      </x:c>
      <x:c r="G48" s="20" t="n">
        <x:f aca="0">G34-G44</x:f>
        <x:v>-395374</x:v>
      </x:c>
      <x:c r="H48" s="20" t="n">
        <x:f aca="0">H34-H44</x:f>
        <x:v>-374188</x:v>
      </x:c>
      <x:c r="I48" s="20" t="n">
        <x:f aca="0">I34-I44</x:f>
        <x:v>-379514</x:v>
      </x:c>
      <x:c r="J48" s="20" t="n">
        <x:f aca="0">J34-J44</x:f>
        <x:v>-405232</x:v>
      </x:c>
      <x:c r="K48" s="20" t="n">
        <x:f aca="0">K34-K44</x:f>
        <x:v>-398357</x:v>
      </x:c>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22" hidden="0" customWidth="1"/>
    <x:col min="2" max="3" width="14" hidden="0" customWidth="1"/>
    <x:col min="4" max="5" width="16" hidden="0" customWidth="1"/>
    <x:col min="6" max="6" width="22" hidden="0" customWidth="1"/>
    <x:col min="7" max="8" width="18" hidden="0" customWidth="1"/>
    <x:col min="9" max="9" width="14" hidden="0" customWidth="1"/>
  </x:cols>
  <x:sheetData>
    <x:row r="1" ht="27.75" hidden="0" customHeight="1">
      <x:c r="A1" s="23" t="s">
        <x:v>96</x:v>
      </x:c>
      <x:c r="B1" s="23"/>
      <x:c r="C1" s="23"/>
      <x:c r="D1" s="23"/>
      <x:c r="E1" s="23"/>
      <x:c r="F1" s="23"/>
      <x:c r="G1" s="23"/>
      <x:c r="H1" s="23"/>
      <x:c r="I1" s="23"/>
    </x:row>
    <x:row r="2" ht="27.75" hidden="0" customHeight="1">
      <x:c r="A2" s="24" t="s">
        <x:v>97</x:v>
      </x:c>
      <x:c r="B2" s="24"/>
      <x:c r="C2" s="24"/>
      <x:c r="D2" s="24"/>
      <x:c r="E2" s="24"/>
      <x:c r="F2" s="24"/>
      <x:c r="G2" s="24"/>
      <x:c r="H2" s="24"/>
      <x:c r="I2" s="24"/>
    </x:row>
    <x:row r="3" ht="27.75" hidden="0" customHeight="1">
      <x:c r="A3" s="25" t="s">
        <x:v>98</x:v>
      </x:c>
      <x:c r="B3" s="25" t="s">
        <x:v>99</x:v>
      </x:c>
      <x:c r="C3" s="25" t="s">
        <x:v>100</x:v>
      </x:c>
      <x:c r="D3" s="26" t="s">
        <x:v>101</x:v>
      </x:c>
      <x:c r="E3" s="26" t="s">
        <x:v>102</x:v>
      </x:c>
      <x:c r="F3" s="26" t="s">
        <x:v>103</x:v>
      </x:c>
      <x:c r="G3" s="26" t="s">
        <x:v>104</x:v>
      </x:c>
      <x:c r="H3" s="26" t="s">
        <x:v>105</x:v>
      </x:c>
      <x:c r="I3" s="25" t="s">
        <x:v>106</x:v>
      </x:c>
      <x:c r="J3" s="54" t="str">
        <x:v>R16現預金（精緻化後）</x:v>
      </x:c>
      <x:c r="K3" s="54" t="str">
        <x:v>精緻化後最低現金差額</x:v>
      </x:c>
    </x:row>
    <x:row r="4" ht="27.75" hidden="0" customHeight="1">
      <x:c r="A4" s="27" t="s">
        <x:v>107</x:v>
      </x:c>
      <x:c r="B4" s="28" t="n">
        <x:f aca="0">'SIM_R8予算置換_0%'!$B$4</x:f>
        <x:v>0</x:v>
      </x:c>
      <x:c r="C4" s="28" t="e">
        <x:f aca="0">'SIM_R8予算置換_0%'!$B$6</x:f>
        <x:v>#NAME?</x:v>
      </x:c>
      <x:c r="D4" s="28" t="n">
        <x:f aca="0">'SIM_R8予算置換_0%'!F31</x:f>
        <x:v>0</x:v>
      </x:c>
      <x:c r="E4" s="28" t="n">
        <x:f aca="0">'SIM_R8予算置換_0%'!F32</x:f>
        <x:v>0</x:v>
      </x:c>
      <x:c r="F4" s="28" t="n">
        <x:f aca="0">'SIM_R8予算置換_0%'!F33</x:f>
        <x:v>0</x:v>
      </x:c>
      <x:c r="G4" s="29" t="e">
        <x:f aca="0">'SIM_R8予算置換_0%'!K59</x:f>
        <x:v>#NAME?</x:v>
      </x:c>
      <x:c r="H4" s="29" t="e">
        <x:f aca="0">SUM('SIM_R8予算置換_0%'!B54:K54)</x:f>
        <x:v>#NAME?</x:v>
      </x:c>
      <x:c r="I4" s="30" t="str">
        <x:f aca="0">IF(F4&lt;=E4,"OK","要確認")</x:f>
        <x:v>OK</x:v>
      </x:c>
      <x:c r="J4" s="56" t="e">
        <x:f>'SIM_R8予算置換_0%'!K70</x:f>
        <x:v>#NAME?</x:v>
      </x:c>
      <x:c r="K4" s="56" t="e">
        <x:f>J4-'00_前提・検証'!$B$7</x:f>
        <x:v>#NAME?</x:v>
      </x:c>
    </x:row>
    <x:row r="5" ht="27.75" hidden="0" customHeight="1">
      <x:c r="A5" s="27" t="s">
        <x:v>107</x:v>
      </x:c>
      <x:c r="B5" s="28" t="n">
        <x:f aca="0">'SIM_R8予算置換_1%'!$B$4</x:f>
        <x:v>0.01</x:v>
      </x:c>
      <x:c r="C5" s="28" t="e">
        <x:f aca="0">'SIM_R8予算置換_1%'!$B$6</x:f>
        <x:v>#NAME?</x:v>
      </x:c>
      <x:c r="D5" s="28" t="n">
        <x:f aca="0">'SIM_R8予算置換_1%'!F31</x:f>
        <x:v>0</x:v>
      </x:c>
      <x:c r="E5" s="28" t="n">
        <x:f aca="0">'SIM_R8予算置換_1%'!F32</x:f>
        <x:v>0</x:v>
      </x:c>
      <x:c r="F5" s="28" t="n">
        <x:f aca="0">'SIM_R8予算置換_1%'!F33</x:f>
        <x:v>0</x:v>
      </x:c>
      <x:c r="G5" s="29" t="e">
        <x:f aca="0">'SIM_R8予算置換_1%'!K59</x:f>
        <x:v>#NAME?</x:v>
      </x:c>
      <x:c r="H5" s="29" t="e">
        <x:f aca="0">SUM('SIM_R8予算置換_1%'!B54:K54)</x:f>
        <x:v>#NAME?</x:v>
      </x:c>
      <x:c r="I5" s="30" t="str">
        <x:f aca="0">IF(F5&lt;=E5,"OK","要確認")</x:f>
        <x:v>OK</x:v>
      </x:c>
      <x:c r="J5" s="56" t="e">
        <x:f>'SIM_R8予算置換_1%'!K70</x:f>
        <x:v>#NAME?</x:v>
      </x:c>
      <x:c r="K5" s="56" t="e">
        <x:f>J5-'00_前提・検証'!$B$7</x:f>
        <x:v>#NAME?</x:v>
      </x:c>
    </x:row>
    <x:row r="6" ht="27.75" hidden="0" customHeight="1">
      <x:c r="A6" s="27" t="s">
        <x:v>107</x:v>
      </x:c>
      <x:c r="B6" s="28" t="n">
        <x:f aca="0">'SIM_R8予算置換_2%'!$B$4</x:f>
        <x:v>0.02</x:v>
      </x:c>
      <x:c r="C6" s="28" t="e">
        <x:f aca="0">'SIM_R8予算置換_2%'!$B$6</x:f>
        <x:v>#NAME?</x:v>
      </x:c>
      <x:c r="D6" s="28" t="n">
        <x:f aca="0">'SIM_R8予算置換_2%'!F31</x:f>
        <x:v>0</x:v>
      </x:c>
      <x:c r="E6" s="28" t="n">
        <x:f aca="0">'SIM_R8予算置換_2%'!F32</x:f>
        <x:v>0</x:v>
      </x:c>
      <x:c r="F6" s="28" t="n">
        <x:f aca="0">'SIM_R8予算置換_2%'!F33</x:f>
        <x:v>0</x:v>
      </x:c>
      <x:c r="G6" s="29" t="e">
        <x:f aca="0">'SIM_R8予算置換_2%'!K59</x:f>
        <x:v>#NAME?</x:v>
      </x:c>
      <x:c r="H6" s="29" t="e">
        <x:f aca="0">SUM('SIM_R8予算置換_2%'!B54:K54)</x:f>
        <x:v>#NAME?</x:v>
      </x:c>
      <x:c r="I6" s="30" t="str">
        <x:f aca="0">IF(F6&lt;=E6,"OK","要確認")</x:f>
        <x:v>OK</x:v>
      </x:c>
      <x:c r="J6" s="56" t="e">
        <x:f>'SIM_R8予算置換_2%'!K70</x:f>
        <x:v>#NAME?</x:v>
      </x:c>
      <x:c r="K6" s="56" t="e">
        <x:f>J6-'00_前提・検証'!$B$7</x:f>
        <x:v>#NAME?</x:v>
      </x:c>
    </x:row>
    <x:row r="7" ht="27.75" hidden="0" customHeight="1">
      <x:c r="A7" s="27" t="s">
        <x:v>107</x:v>
      </x:c>
      <x:c r="B7" s="28" t="n">
        <x:f aca="0">'SIM_R8予算置換_3%'!$B$4</x:f>
        <x:v>0.03</x:v>
      </x:c>
      <x:c r="C7" s="28" t="e">
        <x:f aca="0">'SIM_R8予算置換_3%'!$B$6</x:f>
        <x:v>#NAME?</x:v>
      </x:c>
      <x:c r="D7" s="28" t="n">
        <x:f aca="0">'SIM_R8予算置換_3%'!F31</x:f>
        <x:v>0</x:v>
      </x:c>
      <x:c r="E7" s="28" t="n">
        <x:f aca="0">'SIM_R8予算置換_3%'!F32</x:f>
        <x:v>0</x:v>
      </x:c>
      <x:c r="F7" s="28" t="n">
        <x:f aca="0">'SIM_R8予算置換_3%'!F33</x:f>
        <x:v>0</x:v>
      </x:c>
      <x:c r="G7" s="29" t="e">
        <x:f aca="0">'SIM_R8予算置換_3%'!K59</x:f>
        <x:v>#NAME?</x:v>
      </x:c>
      <x:c r="H7" s="29" t="e">
        <x:f aca="0">SUM('SIM_R8予算置換_3%'!B54:K54)</x:f>
        <x:v>#NAME?</x:v>
      </x:c>
      <x:c r="I7" s="30" t="str">
        <x:f aca="0">IF(F7&lt;=E7,"OK","要確認")</x:f>
        <x:v>OK</x:v>
      </x:c>
      <x:c r="J7" s="56" t="e">
        <x:f>'SIM_R8予算置換_3%'!K70</x:f>
        <x:v>#NAME?</x:v>
      </x:c>
      <x:c r="K7" s="56" t="e">
        <x:f>J7-'00_前提・検証'!$B$7</x:f>
        <x:v>#NAME?</x:v>
      </x:c>
    </x:row>
  </x:sheetData>
  <x:mergeCells>
    <x:mergeCell ref="A1:I1"/>
    <x:mergeCell ref="A2:I2"/>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22" hidden="0" customWidth="1"/>
    <x:col min="2" max="2" width="11.5" hidden="0" customWidth="1"/>
    <x:col min="3" max="3" width="9.75" hidden="0" customWidth="1"/>
    <x:col min="4" max="4" width="14.510000228881836" hidden="0" customWidth="1"/>
    <x:col min="5" max="5" width="12.630000114440918" hidden="0" customWidth="1"/>
    <x:col min="6" max="6" width="23.6299991607666" hidden="0" customWidth="1"/>
    <x:col min="7" max="7" width="14.510000228881836" hidden="0" customWidth="1"/>
    <x:col min="8" max="8" width="17.8799991607666" hidden="0" customWidth="1"/>
    <x:col min="9" max="9" width="4.25" hidden="0" customWidth="1"/>
  </x:cols>
  <x:sheetData>
    <x:row r="1" ht="21.600000381469727" hidden="0" customHeight="1">
      <x:c r="A1" s="31" t="s">
        <x:v>108</x:v>
      </x:c>
      <x:c r="B1" s="31"/>
      <x:c r="C1" s="31"/>
      <x:c r="D1" s="31"/>
      <x:c r="E1" s="31"/>
      <x:c r="F1" s="31"/>
      <x:c r="G1" s="31"/>
      <x:c r="H1" s="31"/>
      <x:c r="I1" s="31"/>
    </x:row>
    <x:row r="2" ht="32.79999923706055" hidden="0" customHeight="1">
      <x:c r="A2" s="32" t="s">
        <x:v>109</x:v>
      </x:c>
      <x:c r="B2" s="32"/>
      <x:c r="C2" s="32"/>
      <x:c r="D2" s="32"/>
      <x:c r="E2" s="32"/>
      <x:c r="F2" s="32"/>
      <x:c r="G2" s="32"/>
      <x:c r="H2" s="32"/>
      <x:c r="I2" s="32"/>
    </x:row>
    <x:row r="3" ht="32.79999923706055" hidden="0">
      <x:c r="A3" s="1" t="s">
        <x:v>98</x:v>
      </x:c>
      <x:c r="B3" s="1" t="s">
        <x:v>99</x:v>
      </x:c>
      <x:c r="C3" s="1" t="s">
        <x:v>100</x:v>
      </x:c>
      <x:c r="D3" s="33" t="s">
        <x:v>110</x:v>
      </x:c>
      <x:c r="E3" s="33" t="s">
        <x:v>111</x:v>
      </x:c>
      <x:c r="F3" s="33" t="s">
        <x:v>112</x:v>
      </x:c>
      <x:c r="G3" s="33" t="s">
        <x:v>113</x:v>
      </x:c>
      <x:c r="H3" s="33" t="s">
        <x:v>114</x:v>
      </x:c>
      <x:c r="I3" s="1" t="s">
        <x:v>106</x:v>
      </x:c>
    </x:row>
    <x:row r="4" ht="17.149999618530273" hidden="0">
      <x:c r="A4" s="6" t="s">
        <x:v>115</x:v>
      </x:c>
      <x:c r="B4" s="34" t="n">
        <x:f aca="0">'SIM_ビジョン_0%'!$B$4</x:f>
        <x:v>0</x:v>
      </x:c>
      <x:c r="C4" s="34" t="e">
        <x:f aca="0">'SIM_ビジョン_0%'!$B$6</x:f>
        <x:v>#NAME?</x:v>
      </x:c>
      <x:c r="D4" s="35" t="n">
        <x:f aca="0">'SIM_ビジョン_0%'!F31</x:f>
        <x:v>0</x:v>
      </x:c>
      <x:c r="E4" s="35" t="n">
        <x:f aca="0">'SIM_ビジョン_0%'!F32</x:f>
        <x:v>0</x:v>
      </x:c>
      <x:c r="F4" s="35" t="n">
        <x:f aca="0">'SIM_ビジョン_0%'!F33</x:f>
        <x:v>0</x:v>
      </x:c>
      <x:c r="G4" s="5" t="e">
        <x:f aca="0">'SIM_ビジョン_0%'!K59</x:f>
        <x:v>#NAME?</x:v>
      </x:c>
      <x:c r="H4" s="5" t="e">
        <x:f aca="0">SUM('SIM_ビジョン_0%'!B54:K54)</x:f>
        <x:v>#NAME?</x:v>
      </x:c>
      <x:c r="I4" s="36" t="str">
        <x:f aca="0">IF(F4&lt;=E4,"OK","要確認")</x:f>
        <x:v>OK</x:v>
      </x:c>
    </x:row>
    <x:row r="5" ht="17.149999618530273" hidden="0">
      <x:c r="A5" s="6" t="s">
        <x:v>115</x:v>
      </x:c>
      <x:c r="B5" s="34" t="n">
        <x:f aca="0">'SIM_ビジョン_1%'!$B$4</x:f>
        <x:v>0.01</x:v>
      </x:c>
      <x:c r="C5" s="34" t="e">
        <x:f aca="0">'SIM_ビジョン_1%'!$B$6</x:f>
        <x:v>#NAME?</x:v>
      </x:c>
      <x:c r="D5" s="35" t="n">
        <x:f aca="0">'SIM_ビジョン_1%'!F31</x:f>
        <x:v>0</x:v>
      </x:c>
      <x:c r="E5" s="35" t="n">
        <x:f aca="0">'SIM_ビジョン_1%'!F32</x:f>
        <x:v>0</x:v>
      </x:c>
      <x:c r="F5" s="35" t="n">
        <x:f aca="0">'SIM_ビジョン_1%'!F33</x:f>
        <x:v>0</x:v>
      </x:c>
      <x:c r="G5" s="5" t="e">
        <x:f aca="0">'SIM_ビジョン_1%'!K59</x:f>
        <x:v>#NAME?</x:v>
      </x:c>
      <x:c r="H5" s="5" t="e">
        <x:f aca="0">SUM('SIM_ビジョン_1%'!B54:K54)</x:f>
        <x:v>#NAME?</x:v>
      </x:c>
      <x:c r="I5" s="36" t="str">
        <x:f aca="0">IF(F5&lt;=E5,"OK","要確認")</x:f>
        <x:v>OK</x:v>
      </x:c>
    </x:row>
    <x:row r="6" ht="17.149999618530273" hidden="0">
      <x:c r="A6" s="6" t="s">
        <x:v>115</x:v>
      </x:c>
      <x:c r="B6" s="34" t="n">
        <x:f aca="0">'SIM_ビジョン_2%'!$B$4</x:f>
        <x:v>0.02</x:v>
      </x:c>
      <x:c r="C6" s="34" t="e">
        <x:f aca="0">'SIM_ビジョン_2%'!$B$6</x:f>
        <x:v>#NAME?</x:v>
      </x:c>
      <x:c r="D6" s="35" t="n">
        <x:f aca="0">'SIM_ビジョン_2%'!F31</x:f>
        <x:v>0</x:v>
      </x:c>
      <x:c r="E6" s="35" t="n">
        <x:f aca="0">'SIM_ビジョン_2%'!F32</x:f>
        <x:v>0</x:v>
      </x:c>
      <x:c r="F6" s="35" t="n">
        <x:f aca="0">'SIM_ビジョン_2%'!F33</x:f>
        <x:v>0</x:v>
      </x:c>
      <x:c r="G6" s="5" t="e">
        <x:f aca="0">'SIM_ビジョン_2%'!K59</x:f>
        <x:v>#NAME?</x:v>
      </x:c>
      <x:c r="H6" s="5" t="e">
        <x:f aca="0">SUM('SIM_ビジョン_2%'!B54:K54)</x:f>
        <x:v>#NAME?</x:v>
      </x:c>
      <x:c r="I6" s="36" t="str">
        <x:f aca="0">IF(F6&lt;=E6,"OK","要確認")</x:f>
        <x:v>OK</x:v>
      </x:c>
    </x:row>
    <x:row r="7" ht="17.149999618530273" hidden="0">
      <x:c r="A7" s="6" t="s">
        <x:v>115</x:v>
      </x:c>
      <x:c r="B7" s="34" t="n">
        <x:f aca="0">'SIM_ビジョン_3%'!$B$4</x:f>
        <x:v>0.03</x:v>
      </x:c>
      <x:c r="C7" s="34" t="e">
        <x:f aca="0">'SIM_ビジョン_3%'!$B$6</x:f>
        <x:v>#NAME?</x:v>
      </x:c>
      <x:c r="D7" s="35" t="n">
        <x:f aca="0">'SIM_ビジョン_3%'!F31</x:f>
        <x:v>0</x:v>
      </x:c>
      <x:c r="E7" s="35" t="n">
        <x:f aca="0">'SIM_ビジョン_3%'!F32</x:f>
        <x:v>0</x:v>
      </x:c>
      <x:c r="F7" s="35" t="n">
        <x:f aca="0">'SIM_ビジョン_3%'!F33</x:f>
        <x:v>0</x:v>
      </x:c>
      <x:c r="G7" s="5" t="e">
        <x:f aca="0">'SIM_ビジョン_3%'!K59</x:f>
        <x:v>#NAME?</x:v>
      </x:c>
      <x:c r="H7" s="5" t="e">
        <x:f aca="0">SUM('SIM_ビジョン_3%'!B54:K54)</x:f>
        <x:v>#NAME?</x:v>
      </x:c>
      <x:c r="I7" s="36" t="str">
        <x:f aca="0">IF(F7&lt;=E7,"OK","要確認")</x:f>
        <x:v>OK</x:v>
      </x:c>
    </x:row>
    <x:row r="8" ht="17.149999618530273" hidden="0">
      <x:c r="A8" s="6" t="s">
        <x:v>116</x:v>
      </x:c>
      <x:c r="B8" s="34" t="n">
        <x:f aca="0">'SIM_置換後_0%'!$B$4</x:f>
        <x:v>0</x:v>
      </x:c>
      <x:c r="C8" s="34" t="e">
        <x:f aca="0">'SIM_置換後_0%'!$B$6</x:f>
        <x:v>#NAME?</x:v>
      </x:c>
      <x:c r="D8" s="35" t="n">
        <x:f aca="0">'SIM_置換後_0%'!F31</x:f>
        <x:v>0</x:v>
      </x:c>
      <x:c r="E8" s="35" t="n">
        <x:f aca="0">'SIM_置換後_0%'!F32</x:f>
        <x:v>0</x:v>
      </x:c>
      <x:c r="F8" s="35" t="n">
        <x:f aca="0">'SIM_置換後_0%'!F33</x:f>
        <x:v>0</x:v>
      </x:c>
      <x:c r="G8" s="5" t="e">
        <x:f aca="0">'SIM_置換後_0%'!K59</x:f>
        <x:v>#NAME?</x:v>
      </x:c>
      <x:c r="H8" s="5" t="e">
        <x:f aca="0">SUM('SIM_置換後_0%'!B54:K54)</x:f>
        <x:v>#NAME?</x:v>
      </x:c>
      <x:c r="I8" s="36" t="str">
        <x:f aca="0">IF(F8&lt;=E8,"OK","要確認")</x:f>
        <x:v>OK</x:v>
      </x:c>
    </x:row>
    <x:row r="9" ht="17.149999618530273" hidden="0">
      <x:c r="A9" s="6" t="s">
        <x:v>116</x:v>
      </x:c>
      <x:c r="B9" s="34" t="n">
        <x:f aca="0">'SIM_置換後_1%'!$B$4</x:f>
        <x:v>0.01</x:v>
      </x:c>
      <x:c r="C9" s="34" t="e">
        <x:f aca="0">'SIM_置換後_1%'!$B$6</x:f>
        <x:v>#NAME?</x:v>
      </x:c>
      <x:c r="D9" s="35" t="n">
        <x:f aca="0">'SIM_置換後_1%'!F31</x:f>
        <x:v>0</x:v>
      </x:c>
      <x:c r="E9" s="35" t="n">
        <x:f aca="0">'SIM_置換後_1%'!F32</x:f>
        <x:v>0</x:v>
      </x:c>
      <x:c r="F9" s="35" t="n">
        <x:f aca="0">'SIM_置換後_1%'!F33</x:f>
        <x:v>0</x:v>
      </x:c>
      <x:c r="G9" s="5" t="e">
        <x:f aca="0">'SIM_置換後_1%'!K59</x:f>
        <x:v>#NAME?</x:v>
      </x:c>
      <x:c r="H9" s="5" t="e">
        <x:f aca="0">SUM('SIM_置換後_1%'!B54:K54)</x:f>
        <x:v>#NAME?</x:v>
      </x:c>
      <x:c r="I9" s="36" t="str">
        <x:f aca="0">IF(F9&lt;=E9,"OK","要確認")</x:f>
        <x:v>OK</x:v>
      </x:c>
    </x:row>
    <x:row r="10" ht="17.149999618530273" hidden="0">
      <x:c r="A10" s="6" t="s">
        <x:v>116</x:v>
      </x:c>
      <x:c r="B10" s="34" t="n">
        <x:f aca="0">'SIM_置換後_2%'!$B$4</x:f>
        <x:v>0.02</x:v>
      </x:c>
      <x:c r="C10" s="34" t="e">
        <x:f aca="0">'SIM_置換後_2%'!$B$6</x:f>
        <x:v>#NAME?</x:v>
      </x:c>
      <x:c r="D10" s="35" t="n">
        <x:f aca="0">'SIM_置換後_2%'!F31</x:f>
        <x:v>0</x:v>
      </x:c>
      <x:c r="E10" s="35" t="n">
        <x:f aca="0">'SIM_置換後_2%'!F32</x:f>
        <x:v>0</x:v>
      </x:c>
      <x:c r="F10" s="35" t="n">
        <x:f aca="0">'SIM_置換後_2%'!F33</x:f>
        <x:v>0</x:v>
      </x:c>
      <x:c r="G10" s="5" t="e">
        <x:f aca="0">'SIM_置換後_2%'!K59</x:f>
        <x:v>#NAME?</x:v>
      </x:c>
      <x:c r="H10" s="5" t="e">
        <x:f aca="0">SUM('SIM_置換後_2%'!B54:K54)</x:f>
        <x:v>#NAME?</x:v>
      </x:c>
      <x:c r="I10" s="36" t="str">
        <x:f aca="0">IF(F10&lt;=E10,"OK","要確認")</x:f>
        <x:v>OK</x:v>
      </x:c>
    </x:row>
    <x:row r="11" ht="17.149999618530273" hidden="0">
      <x:c r="A11" s="6" t="s">
        <x:v>116</x:v>
      </x:c>
      <x:c r="B11" s="34" t="n">
        <x:f aca="0">'SIM_置換後_3%'!$B$4</x:f>
        <x:v>0.03</x:v>
      </x:c>
      <x:c r="C11" s="34" t="e">
        <x:f aca="0">'SIM_置換後_3%'!$B$6</x:f>
        <x:v>#NAME?</x:v>
      </x:c>
      <x:c r="D11" s="35" t="n">
        <x:f aca="0">'SIM_置換後_3%'!F31</x:f>
        <x:v>0</x:v>
      </x:c>
      <x:c r="E11" s="35" t="n">
        <x:f aca="0">'SIM_置換後_3%'!F32</x:f>
        <x:v>0</x:v>
      </x:c>
      <x:c r="F11" s="35" t="n">
        <x:f aca="0">'SIM_置換後_3%'!F33</x:f>
        <x:v>0</x:v>
      </x:c>
      <x:c r="G11" s="5" t="e">
        <x:f aca="0">'SIM_置換後_3%'!K59</x:f>
        <x:v>#NAME?</x:v>
      </x:c>
      <x:c r="H11" s="5" t="e">
        <x:f aca="0">SUM('SIM_置換後_3%'!B54:K54)</x:f>
        <x:v>#NAME?</x:v>
      </x:c>
      <x:c r="I11" s="36" t="str">
        <x:f aca="0">IF(F11&lt;=E11,"OK","要確認")</x:f>
        <x:v>OK</x:v>
      </x:c>
    </x:row>
  </x:sheetData>
  <x:mergeCells>
    <x:mergeCell ref="A1:I1"/>
    <x:mergeCell ref="A2:I2"/>
  </x:mergeCells>
  <x:conditionalFormatting sqref="I4:I11">
    <x:cfRule type="expression" dxfId="0" priority="2" aboveAverage="0" percent="0" bottom="0" rank="0" equalAverage="0">
      <x:formula>I4&lt;&gt;"OK"</x:formula>
    </x:cfRule>
  </x:conditionalFormatting>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2" width="16" hidden="0" customWidth="1"/>
    <x:col min="3" max="5" width="18" hidden="0" customWidth="1"/>
    <x:col min="6" max="6" width="40" hidden="0" customWidth="1"/>
    <x:col min="7" max="7" width="18" hidden="0" customWidth="1"/>
  </x:cols>
  <x:sheetData>
    <x:row r="1" ht="31.5" hidden="0" customHeight="1">
      <x:c r="A1" s="37" t="s">
        <x:v>0</x:v>
      </x:c>
      <x:c r="B1" s="38" t="s">
        <x:v>117</x:v>
      </x:c>
      <x:c r="C1" s="37" t="s">
        <x:v>118</x:v>
      </x:c>
      <x:c r="D1" s="37" t="s">
        <x:v>119</x:v>
      </x:c>
      <x:c r="E1" s="37" t="s">
        <x:v>120</x:v>
      </x:c>
      <x:c r="F1" s="37" t="s">
        <x:v>121</x:v>
      </x:c>
      <x:c r="G1" s="37" t="s">
        <x:v>122</x:v>
      </x:c>
    </x:row>
    <x:row r="2" ht="31.5" hidden="0" customHeight="1">
      <x:c r="A2" s="39" t="s">
        <x:v>123</x:v>
      </x:c>
      <x:c r="B2" s="40" t="n">
        <x:v>1747782</x:v>
      </x:c>
      <x:c r="C2" s="39" t="e">
        <x:f aca="0">02_将来年次投資置換!C5</x:f>
        <x:v>#NAME?</x:v>
      </x:c>
      <x:c r="D2" s="39"/>
      <x:c r="E2" s="39" t="e">
        <x:f aca="0">02_R8予算_年次計画置換!C5</x:f>
        <x:v>#NAME?</x:v>
      </x:c>
      <x:c r="F2" s="41" t="s">
        <x:v>124</x:v>
      </x:c>
      <x:c r="G2" s="41" t="e">
        <x:f aca="0">E2-B2</x:f>
        <x:v>#NAME?</x:v>
      </x:c>
    </x:row>
    <x:row r="3" ht="31.5" hidden="0" customHeight="1">
      <x:c r="A3" s="39" t="s">
        <x:v>125</x:v>
      </x:c>
      <x:c r="B3" s="40" t="n">
        <x:v>1331944</x:v>
      </x:c>
      <x:c r="C3" s="41" t="e">
        <x:f aca="0">02_将来年次投資置換!C7</x:f>
        <x:v>#NAME?</x:v>
      </x:c>
      <x:c r="D3" s="41"/>
      <x:c r="E3" s="41" t="e">
        <x:f aca="0">02_R8予算_年次計画置換!C7</x:f>
        <x:v>#NAME?</x:v>
      </x:c>
      <x:c r="F3" s="41" t="s">
        <x:v>124</x:v>
      </x:c>
      <x:c r="G3" s="41" t="e">
        <x:f aca="0">E3-B3</x:f>
        <x:v>#NAME?</x:v>
      </x:c>
    </x:row>
    <x:row r="4" ht="31.5" hidden="0" customHeight="1">
      <x:c r="A4" s="39" t="s">
        <x:v>126</x:v>
      </x:c>
      <x:c r="B4" s="40" t="n">
        <x:v>1710280</x:v>
      </x:c>
      <x:c r="C4" s="41" t="e">
        <x:f aca="0">02_将来年次投資置換!C17</x:f>
        <x:v>#NAME?</x:v>
      </x:c>
      <x:c r="D4" s="41"/>
      <x:c r="E4" s="41" t="e">
        <x:f aca="0">02_R8予算_年次計画置換!C17</x:f>
        <x:v>#NAME?</x:v>
      </x:c>
      <x:c r="F4" s="41" t="s">
        <x:v>124</x:v>
      </x:c>
      <x:c r="G4" s="41" t="e">
        <x:f aca="0">E4-B4</x:f>
        <x:v>#NAME?</x:v>
      </x:c>
    </x:row>
    <x:row r="5" ht="31.5" hidden="0" customHeight="1">
      <x:c r="A5" s="39" t="s">
        <x:v>127</x:v>
      </x:c>
      <x:c r="B5" s="40" t="n">
        <x:v>861283</x:v>
      </x:c>
      <x:c r="C5" s="41" t="e">
        <x:f aca="0">02_将来年次投資置換!C34</x:f>
        <x:v>#NAME?</x:v>
      </x:c>
      <x:c r="D5" s="41"/>
      <x:c r="E5" s="41" t="e">
        <x:f aca="0">02_R8予算_年次計画置換!C34</x:f>
        <x:v>#NAME?</x:v>
      </x:c>
      <x:c r="F5" s="41" t="s">
        <x:v>124</x:v>
      </x:c>
      <x:c r="G5" s="41" t="e">
        <x:f aca="0">E5-B5</x:f>
        <x:v>#NAME?</x:v>
      </x:c>
    </x:row>
    <x:row r="6" ht="31.5" hidden="0" customHeight="1">
      <x:c r="A6" s="39" t="s">
        <x:v>128</x:v>
      </x:c>
      <x:c r="B6" s="40" t="n">
        <x:v>519900</x:v>
      </x:c>
      <x:c r="C6" s="41" t="e">
        <x:f aca="0">02_将来年次投資置換!C35</x:f>
        <x:v>#NAME?</x:v>
      </x:c>
      <x:c r="D6" s="41"/>
      <x:c r="E6" s="41" t="e">
        <x:f aca="0">02_R8予算_年次計画置換!C35</x:f>
        <x:v>#NAME?</x:v>
      </x:c>
      <x:c r="F6" s="41" t="s">
        <x:v>124</x:v>
      </x:c>
      <x:c r="G6" s="41" t="e">
        <x:f aca="0">E6-B6</x:f>
        <x:v>#NAME?</x:v>
      </x:c>
    </x:row>
    <x:row r="7" ht="31.5" hidden="0" customHeight="1">
      <x:c r="A7" s="39" t="s">
        <x:v>129</x:v>
      </x:c>
      <x:c r="B7" s="40" t="n">
        <x:v>166838</x:v>
      </x:c>
      <x:c r="C7" s="41" t="e">
        <x:f aca="0">02_将来年次投資置換!C36</x:f>
        <x:v>#NAME?</x:v>
      </x:c>
      <x:c r="D7" s="41"/>
      <x:c r="E7" s="41" t="e">
        <x:f aca="0">02_R8予算_年次計画置換!C36</x:f>
        <x:v>#NAME?</x:v>
      </x:c>
      <x:c r="F7" s="41" t="s">
        <x:v>124</x:v>
      </x:c>
      <x:c r="G7" s="41" t="e">
        <x:f aca="0">E7-B7</x:f>
        <x:v>#NAME?</x:v>
      </x:c>
    </x:row>
    <x:row r="8" ht="31.5" hidden="0" customHeight="1">
      <x:c r="A8" s="39" t="s">
        <x:v>130</x:v>
      </x:c>
      <x:c r="B8" s="40" t="n">
        <x:v>2000</x:v>
      </x:c>
      <x:c r="C8" s="41" t="e">
        <x:f aca="0">02_将来年次投資置換!C38</x:f>
        <x:v>#NAME?</x:v>
      </x:c>
      <x:c r="D8" s="41"/>
      <x:c r="E8" s="41" t="e">
        <x:f aca="0">02_R8予算_年次計画置換!C38</x:f>
        <x:v>#NAME?</x:v>
      </x:c>
      <x:c r="F8" s="41" t="s">
        <x:v>124</x:v>
      </x:c>
      <x:c r="G8" s="41" t="e">
        <x:f aca="0">E8-B8</x:f>
        <x:v>#NAME?</x:v>
      </x:c>
    </x:row>
    <x:row r="9" ht="31.5" hidden="0" customHeight="1">
      <x:c r="A9" s="39" t="s">
        <x:v>131</x:v>
      </x:c>
      <x:c r="B9" s="40" t="n">
        <x:v>172545</x:v>
      </x:c>
      <x:c r="C9" s="41" t="e">
        <x:f aca="0">02_将来年次投資置換!C40</x:f>
        <x:v>#NAME?</x:v>
      </x:c>
      <x:c r="D9" s="41"/>
      <x:c r="E9" s="41" t="e">
        <x:f aca="0">02_R8予算_年次計画置換!C40</x:f>
        <x:v>#NAME?</x:v>
      </x:c>
      <x:c r="F9" s="41" t="s">
        <x:v>124</x:v>
      </x:c>
      <x:c r="G9" s="41" t="e">
        <x:f aca="0">E9-B9</x:f>
        <x:v>#NAME?</x:v>
      </x:c>
    </x:row>
    <x:row r="10" ht="31.5" hidden="0" customHeight="1">
      <x:c r="A10" s="39" t="s">
        <x:v>90</x:v>
      </x:c>
      <x:c r="B10" s="40" t="n">
        <x:v>714032</x:v>
      </x:c>
      <x:c r="C10" s="41" t="e">
        <x:f aca="0">01_ビジョン原計画!C45</x:f>
        <x:v>#NAME?</x:v>
      </x:c>
      <x:c r="D10" s="40" t="n">
        <x:v>888542</x:v>
      </x:c>
      <x:c r="E10" s="41" t="e">
        <x:f aca="0">02_R8予算_年次計画置換!C45</x:f>
        <x:v>#NAME?</x:v>
      </x:c>
      <x:c r="F10" s="39" t="s">
        <x:v>132</x:v>
      </x:c>
      <x:c r="G10" s="41" t="e">
        <x:f aca="0">E10-B10</x:f>
        <x:v>#NAME?</x:v>
      </x:c>
    </x:row>
    <x:row r="11" ht="31.5" hidden="0" customHeight="1">
      <x:c r="A11" s="39" t="s">
        <x:v>91</x:v>
      </x:c>
      <x:c r="B11" s="40" t="n">
        <x:v>795933</x:v>
      </x:c>
      <x:c r="C11" s="41" t="e">
        <x:f aca="0">02_将来年次投資置換!C46</x:f>
        <x:v>#NAME?</x:v>
      </x:c>
      <x:c r="D11" s="41"/>
      <x:c r="E11" s="41" t="e">
        <x:f aca="0">02_R8予算_年次計画置換!C46</x:f>
        <x:v>#NAME?</x:v>
      </x:c>
      <x:c r="F11" s="41" t="s">
        <x:v>124</x:v>
      </x:c>
      <x:c r="G11" s="41" t="e">
        <x:f aca="0">E11-B11</x:f>
        <x:v>#NAME?</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4" width="8.880000114440918" hidden="0" customWidth="1"/>
    <x:col min="5" max="11" width="9.75" hidden="0" customWidth="1"/>
  </x:cols>
  <x:sheetData>
    <x:row r="1" ht="21.600000381469727" hidden="0" customHeight="1">
      <x:c r="A1" s="31" t="s">
        <x:v>133</x:v>
      </x:c>
      <x:c r="B1" s="31"/>
      <x:c r="C1" s="31"/>
      <x:c r="D1" s="31"/>
      <x:c r="E1" s="31"/>
      <x:c r="F1" s="31"/>
      <x:c r="G1" s="31"/>
      <x:c r="H1" s="31"/>
      <x:c r="I1" s="31"/>
      <x:c r="J1" s="31"/>
      <x:c r="K1" s="31"/>
    </x:row>
    <x:row r="2" ht="17.149999618530273" hidden="0" customHeight="1">
      <x:c r="A2" s="32" t="s">
        <x:v>134</x:v>
      </x:c>
      <x:c r="B2" s="32"/>
      <x:c r="C2" s="32"/>
      <x:c r="D2" s="32"/>
      <x:c r="E2" s="32"/>
      <x:c r="F2" s="32"/>
      <x:c r="G2" s="32"/>
      <x:c r="H2" s="32"/>
      <x:c r="I2" s="32"/>
      <x:c r="J2" s="32"/>
      <x:c r="K2" s="32"/>
    </x:row>
    <x:row r="3" ht="32.79999923706055" hidden="0">
      <x:c r="A3" s="1" t="s">
        <x:v>41</x:v>
      </x:c>
      <x:c r="B3" s="1" t="s">
        <x:v>42</x:v>
      </x:c>
      <x:c r="C3" s="1" t="s">
        <x:v>43</x:v>
      </x:c>
      <x:c r="D3" s="1" t="s">
        <x:v>44</x:v>
      </x:c>
      <x:c r="E3" s="1" t="s">
        <x:v>45</x:v>
      </x:c>
      <x:c r="F3" s="1" t="s">
        <x:v>46</x:v>
      </x:c>
      <x:c r="G3" s="1" t="s">
        <x:v>47</x:v>
      </x:c>
      <x:c r="H3" s="1" t="s">
        <x:v>48</x:v>
      </x:c>
      <x:c r="I3" s="1" t="s">
        <x:v>49</x:v>
      </x:c>
      <x:c r="J3" s="1" t="s">
        <x:v>50</x:v>
      </x:c>
      <x:c r="K3" s="1" t="s">
        <x:v>51</x:v>
      </x:c>
    </x:row>
    <x:row r="4" ht="17.149999618530273" hidden="0">
      <x:c r="A4" s="6" t="s">
        <x:v>99</x:v>
      </x:c>
      <x:c r="B4" s="34" t="n">
        <x:v>0</x:v>
      </x:c>
      <x:c r="C4" s="34"/>
      <x:c r="D4" s="34"/>
      <x:c r="E4" s="34"/>
      <x:c r="F4" s="34"/>
      <x:c r="G4" s="34"/>
      <x:c r="H4" s="34"/>
      <x:c r="I4" s="34"/>
      <x:c r="J4" s="34"/>
      <x:c r="K4" s="34"/>
    </x:row>
    <x:row r="5" ht="17.149999618530273" hidden="0">
      <x:c r="A5" s="6" t="s">
        <x:v>135</x:v>
      </x:c>
      <x:c r="B5" s="5" t="e">
        <x:f aca="0">00_前提・検証!$B$2*$B$4</x:f>
        <x:v>#NAME?</x:v>
      </x:c>
      <x:c r="C5" s="34"/>
      <x:c r="D5" s="34"/>
      <x:c r="E5" s="34"/>
      <x:c r="F5" s="34"/>
      <x:c r="G5" s="34"/>
      <x:c r="H5" s="34"/>
      <x:c r="I5" s="34"/>
      <x:c r="J5" s="34"/>
      <x:c r="K5" s="34"/>
    </x:row>
    <x:row r="6" ht="17.149999618530273" hidden="0">
      <x:c r="A6" s="6" t="s">
        <x:v>136</x:v>
      </x:c>
      <x:c r="B6" s="34" t="e">
        <x:f aca="0">MAX(0,(SUMPRODUCT((01_ビジョン原計画!F18:J18+01_ビジョン原計画!F28:J28-01_ビジョン原計画!F12:J12-01_ビジョン原計画!F8:J8-01_ビジョン原計画!F11:J11+$B$5)-01_ビジョン原計画!F7:J7)/SUM(01_ビジョン原計画!F7:J7)))</x:f>
        <x:v>#NAME?</x:v>
      </x:c>
      <x:c r="C6" s="34"/>
      <x:c r="D6" s="34"/>
      <x:c r="E6" s="34"/>
      <x:c r="F6" s="34"/>
      <x:c r="G6" s="34"/>
      <x:c r="H6" s="34"/>
      <x:c r="I6" s="34"/>
      <x:c r="J6" s="34"/>
      <x:c r="K6" s="34"/>
    </x:row>
    <x:row r="7" ht="15" hidden="0">
      <x:c r="A7" s="7"/>
      <x:c r="B7" s="7"/>
      <x:c r="C7" s="7"/>
      <x:c r="D7" s="7"/>
      <x:c r="E7" s="7"/>
      <x:c r="F7" s="7"/>
      <x:c r="G7" s="7"/>
      <x:c r="H7" s="7"/>
      <x:c r="I7" s="7"/>
      <x:c r="J7" s="7"/>
      <x:c r="K7" s="7"/>
    </x:row>
    <x:row r="8" ht="17.149999618530273" hidden="0">
      <x:c r="A8" s="42" t="s">
        <x:v>52</x:v>
      </x:c>
      <x:c r="B8" s="43"/>
      <x:c r="C8" s="43"/>
      <x:c r="D8" s="43"/>
      <x:c r="E8" s="43"/>
      <x:c r="F8" s="43"/>
      <x:c r="G8" s="43"/>
      <x:c r="H8" s="43"/>
      <x:c r="I8" s="43"/>
      <x:c r="J8" s="43"/>
      <x:c r="K8" s="43"/>
    </x:row>
    <x:row r="9" ht="17.149999618530273" hidden="0">
      <x:c r="A9" s="6" t="s">
        <x:v>54</x:v>
      </x:c>
      <x:c r="B9" s="5" t="e">
        <x:f aca="0">SUM(B10:B12)</x:f>
        <x:v>#NAME?</x:v>
      </x:c>
      <x:c r="C9" s="5" t="e">
        <x:f aca="0">SUM(C10:C12)</x:f>
        <x:v>#NAME?</x:v>
      </x:c>
      <x:c r="D9" s="5" t="e">
        <x:f aca="0">SUM(D10:D12)</x:f>
        <x:v>#NAME?</x:v>
      </x:c>
      <x:c r="E9" s="5" t="e">
        <x:f aca="0">SUM(E10:E12)</x:f>
        <x:v>#NAME?</x:v>
      </x:c>
      <x:c r="F9" s="5" t="e">
        <x:f aca="0">SUM(F10:F12)</x:f>
        <x:v>#NAME?</x:v>
      </x:c>
      <x:c r="G9" s="5" t="e">
        <x:f aca="0">SUM(G10:G12)</x:f>
        <x:v>#NAME?</x:v>
      </x:c>
      <x:c r="H9" s="5" t="e">
        <x:f aca="0">SUM(H10:H12)</x:f>
        <x:v>#NAME?</x:v>
      </x:c>
      <x:c r="I9" s="5" t="e">
        <x:f aca="0">SUM(I10:I12)</x:f>
        <x:v>#NAME?</x:v>
      </x:c>
      <x:c r="J9" s="5" t="e">
        <x:f aca="0">SUM(J10:J12)</x:f>
        <x:v>#NAME?</x:v>
      </x:c>
      <x:c r="K9" s="5" t="e">
        <x:f aca="0">SUM(K10:K12)</x:f>
        <x:v>#NAME?</x:v>
      </x:c>
    </x:row>
    <x:row r="10" ht="17.149999618530273" hidden="0">
      <x:c r="A10" s="6" t="s">
        <x:v>137</x:v>
      </x:c>
      <x:c r="B10" s="5" t="e">
        <x:f aca="0">01_ビジョン原計画!B7*IF(7&gt;=11,1+$B$6,1)</x:f>
        <x:v>#NAME?</x:v>
      </x:c>
      <x:c r="C10" s="5" t="e">
        <x:f aca="0">01_ビジョン原計画!C7*IF(8&gt;=11,1+$B$6,1)</x:f>
        <x:v>#NAME?</x:v>
      </x:c>
      <x:c r="D10" s="5" t="e">
        <x:f aca="0">01_ビジョン原計画!D7*IF(9&gt;=11,1+$B$6,1)</x:f>
        <x:v>#NAME?</x:v>
      </x:c>
      <x:c r="E10" s="5" t="e">
        <x:f aca="0">01_ビジョン原計画!E7*IF(10&gt;=11,1+$B$6,1)</x:f>
        <x:v>#NAME?</x:v>
      </x:c>
      <x:c r="F10" s="5" t="e">
        <x:f aca="0">01_ビジョン原計画!F7*IF(11&gt;=11,1+$B$6,1)</x:f>
        <x:v>#NAME?</x:v>
      </x:c>
      <x:c r="G10" s="5" t="e">
        <x:f aca="0">01_ビジョン原計画!G7*IF(12&gt;=11,1+$B$6,1)</x:f>
        <x:v>#NAME?</x:v>
      </x:c>
      <x:c r="H10" s="5" t="e">
        <x:f aca="0">01_ビジョン原計画!H7*IF(13&gt;=11,1+$B$6,1)</x:f>
        <x:v>#NAME?</x:v>
      </x:c>
      <x:c r="I10" s="5" t="e">
        <x:f aca="0">01_ビジョン原計画!I7*IF(14&gt;=11,1+$B$6,1)</x:f>
        <x:v>#NAME?</x:v>
      </x:c>
      <x:c r="J10" s="5" t="e">
        <x:f aca="0">01_ビジョン原計画!J7*IF(15&gt;=11,1+$B$6,1)</x:f>
        <x:v>#NAME?</x:v>
      </x:c>
      <x:c r="K10" s="5" t="e">
        <x:f aca="0">01_ビジョン原計画!K7*IF(16&gt;=11,1+$B$6,1)</x:f>
        <x:v>#NAME?</x:v>
      </x:c>
    </x:row>
    <x:row r="11" ht="17.149999618530273" hidden="0">
      <x:c r="A11" s="6" t="s">
        <x:v>138</x:v>
      </x:c>
      <x:c r="B11" s="5" t="e">
        <x:f aca="0">B10-01_ビジョン原計画!B7</x:f>
        <x:v>#NAME?</x:v>
      </x:c>
      <x:c r="C11" s="5" t="e">
        <x:f aca="0">C10-01_ビジョン原計画!C7</x:f>
        <x:v>#NAME?</x:v>
      </x:c>
      <x:c r="D11" s="5" t="e">
        <x:f aca="0">D10-01_ビジョン原計画!D7</x:f>
        <x:v>#NAME?</x:v>
      </x:c>
      <x:c r="E11" s="5" t="e">
        <x:f aca="0">E10-01_ビジョン原計画!E7</x:f>
        <x:v>#NAME?</x:v>
      </x:c>
      <x:c r="F11" s="5" t="e">
        <x:f aca="0">F10-01_ビジョン原計画!F7</x:f>
        <x:v>#NAME?</x:v>
      </x:c>
      <x:c r="G11" s="5" t="e">
        <x:f aca="0">G10-01_ビジョン原計画!G7</x:f>
        <x:v>#NAME?</x:v>
      </x:c>
      <x:c r="H11" s="5" t="e">
        <x:f aca="0">H10-01_ビジョン原計画!H7</x:f>
        <x:v>#NAME?</x:v>
      </x:c>
      <x:c r="I11" s="5" t="e">
        <x:f aca="0">I10-01_ビジョン原計画!I7</x:f>
        <x:v>#NAME?</x:v>
      </x:c>
      <x:c r="J11" s="5" t="e">
        <x:f aca="0">J10-01_ビジョン原計画!J7</x:f>
        <x:v>#NAME?</x:v>
      </x:c>
      <x:c r="K11" s="5" t="e">
        <x:f aca="0">K10-01_ビジョン原計画!K7</x:f>
        <x:v>#NAME?</x:v>
      </x:c>
    </x:row>
    <x:row r="12" ht="17.149999618530273" hidden="0">
      <x:c r="A12" s="6" t="s">
        <x:v>139</x:v>
      </x:c>
      <x:c r="B12" s="5" t="e">
        <x:f aca="0">01_ビジョン原計画!B8</x:f>
        <x:v>#NAME?</x:v>
      </x:c>
      <x:c r="C12" s="5" t="e">
        <x:f aca="0">01_ビジョン原計画!C8</x:f>
        <x:v>#NAME?</x:v>
      </x:c>
      <x:c r="D12" s="5" t="e">
        <x:f aca="0">01_ビジョン原計画!D8</x:f>
        <x:v>#NAME?</x:v>
      </x:c>
      <x:c r="E12" s="5" t="e">
        <x:f aca="0">01_ビジョン原計画!E8</x:f>
        <x:v>#NAME?</x:v>
      </x:c>
      <x:c r="F12" s="5" t="e">
        <x:f aca="0">01_ビジョン原計画!F8</x:f>
        <x:v>#NAME?</x:v>
      </x:c>
      <x:c r="G12" s="5" t="e">
        <x:f aca="0">01_ビジョン原計画!G8</x:f>
        <x:v>#NAME?</x:v>
      </x:c>
      <x:c r="H12" s="5" t="e">
        <x:f aca="0">01_ビジョン原計画!H8</x:f>
        <x:v>#NAME?</x:v>
      </x:c>
      <x:c r="I12" s="5" t="e">
        <x:f aca="0">01_ビジョン原計画!I8</x:f>
        <x:v>#NAME?</x:v>
      </x:c>
      <x:c r="J12" s="5" t="e">
        <x:f aca="0">01_ビジョン原計画!J8</x:f>
        <x:v>#NAME?</x:v>
      </x:c>
      <x:c r="K12" s="5" t="e">
        <x:f aca="0">01_ビジョン原計画!K8</x:f>
        <x:v>#NAME?</x:v>
      </x:c>
    </x:row>
    <x:row r="13" ht="17.149999618530273" hidden="0">
      <x:c r="A13" s="6" t="s">
        <x:v>57</x:v>
      </x:c>
      <x:c r="B13" s="5" t="e">
        <x:f aca="0">01_ビジョン原計画!B9</x:f>
        <x:v>#NAME?</x:v>
      </x:c>
      <x:c r="C13" s="5" t="e">
        <x:f aca="0">01_ビジョン原計画!C9</x:f>
        <x:v>#NAME?</x:v>
      </x:c>
      <x:c r="D13" s="5" t="e">
        <x:f aca="0">01_ビジョン原計画!D9</x:f>
        <x:v>#NAME?</x:v>
      </x:c>
      <x:c r="E13" s="5" t="e">
        <x:f aca="0">01_ビジョン原計画!E9</x:f>
        <x:v>#NAME?</x:v>
      </x:c>
      <x:c r="F13" s="5" t="e">
        <x:f aca="0">01_ビジョン原計画!F9</x:f>
        <x:v>#NAME?</x:v>
      </x:c>
      <x:c r="G13" s="5" t="e">
        <x:f aca="0">01_ビジョン原計画!G9</x:f>
        <x:v>#NAME?</x:v>
      </x:c>
      <x:c r="H13" s="5" t="e">
        <x:f aca="0">01_ビジョン原計画!H9</x:f>
        <x:v>#NAME?</x:v>
      </x:c>
      <x:c r="I13" s="5" t="e">
        <x:f aca="0">01_ビジョン原計画!I9</x:f>
        <x:v>#NAME?</x:v>
      </x:c>
      <x:c r="J13" s="5" t="e">
        <x:f aca="0">01_ビジョン原計画!J9</x:f>
        <x:v>#NAME?</x:v>
      </x:c>
      <x:c r="K13" s="5" t="e">
        <x:f aca="0">01_ビジョン原計画!K9</x:f>
        <x:v>#NAME?</x:v>
      </x:c>
    </x:row>
    <x:row r="14" ht="17.149999618530273" hidden="0">
      <x:c r="A14" s="6" t="s">
        <x:v>140</x:v>
      </x:c>
      <x:c r="B14" s="5" t="e">
        <x:f aca="0">01_ビジョン原計画!B12</x:f>
        <x:v>#NAME?</x:v>
      </x:c>
      <x:c r="C14" s="5" t="e">
        <x:f aca="0">01_ビジョン原計画!C12</x:f>
        <x:v>#NAME?</x:v>
      </x:c>
      <x:c r="D14" s="5" t="e">
        <x:f aca="0">01_ビジョン原計画!D12</x:f>
        <x:v>#NAME?</x:v>
      </x:c>
      <x:c r="E14" s="5" t="e">
        <x:f aca="0">01_ビジョン原計画!E12</x:f>
        <x:v>#NAME?</x:v>
      </x:c>
      <x:c r="F14" s="5" t="e">
        <x:f aca="0">01_ビジョン原計画!F12</x:f>
        <x:v>#NAME?</x:v>
      </x:c>
      <x:c r="G14" s="5" t="e">
        <x:f aca="0">01_ビジョン原計画!G12</x:f>
        <x:v>#NAME?</x:v>
      </x:c>
      <x:c r="H14" s="5" t="e">
        <x:f aca="0">01_ビジョン原計画!H12</x:f>
        <x:v>#NAME?</x:v>
      </x:c>
      <x:c r="I14" s="5" t="e">
        <x:f aca="0">01_ビジョン原計画!I12</x:f>
        <x:v>#NAME?</x:v>
      </x:c>
      <x:c r="J14" s="5" t="e">
        <x:f aca="0">01_ビジョン原計画!J12</x:f>
        <x:v>#NAME?</x:v>
      </x:c>
      <x:c r="K14" s="5" t="e">
        <x:f aca="0">01_ビジョン原計画!K12</x:f>
        <x:v>#NAME?</x:v>
      </x:c>
    </x:row>
    <x:row r="15" ht="17.149999618530273" hidden="0">
      <x:c r="A15" s="6" t="s">
        <x:v>141</x:v>
      </x:c>
      <x:c r="B15" s="5" t="e">
        <x:f aca="0">01_ビジョン原計画!B11</x:f>
        <x:v>#NAME?</x:v>
      </x:c>
      <x:c r="C15" s="5" t="e">
        <x:f aca="0">01_ビジョン原計画!C11</x:f>
        <x:v>#NAME?</x:v>
      </x:c>
      <x:c r="D15" s="5" t="e">
        <x:f aca="0">01_ビジョン原計画!D11</x:f>
        <x:v>#NAME?</x:v>
      </x:c>
      <x:c r="E15" s="5" t="e">
        <x:f aca="0">01_ビジョン原計画!E11</x:f>
        <x:v>#NAME?</x:v>
      </x:c>
      <x:c r="F15" s="5" t="e">
        <x:f aca="0">01_ビジョン原計画!F11</x:f>
        <x:v>#NAME?</x:v>
      </x:c>
      <x:c r="G15" s="5" t="e">
        <x:f aca="0">01_ビジョン原計画!G11</x:f>
        <x:v>#NAME?</x:v>
      </x:c>
      <x:c r="H15" s="5" t="e">
        <x:f aca="0">01_ビジョン原計画!H11</x:f>
        <x:v>#NAME?</x:v>
      </x:c>
      <x:c r="I15" s="5" t="e">
        <x:f aca="0">01_ビジョン原計画!I11</x:f>
        <x:v>#NAME?</x:v>
      </x:c>
      <x:c r="J15" s="5" t="e">
        <x:f aca="0">01_ビジョン原計画!J11</x:f>
        <x:v>#NAME?</x:v>
      </x:c>
      <x:c r="K15" s="5" t="e">
        <x:f aca="0">01_ビジョン原計画!K11</x:f>
        <x:v>#NAME?</x:v>
      </x:c>
    </x:row>
    <x:row r="16" ht="17.149999618530273" hidden="0">
      <x:c r="A16" s="6" t="s">
        <x:v>62</x:v>
      </x:c>
      <x:c r="B16" s="5" t="e">
        <x:f aca="0">01_ビジョン原計画!B14</x:f>
        <x:v>#NAME?</x:v>
      </x:c>
      <x:c r="C16" s="5" t="e">
        <x:f aca="0">01_ビジョン原計画!C14</x:f>
        <x:v>#NAME?</x:v>
      </x:c>
      <x:c r="D16" s="5" t="e">
        <x:f aca="0">01_ビジョン原計画!D14</x:f>
        <x:v>#NAME?</x:v>
      </x:c>
      <x:c r="E16" s="5" t="e">
        <x:f aca="0">01_ビジョン原計画!E14</x:f>
        <x:v>#NAME?</x:v>
      </x:c>
      <x:c r="F16" s="5" t="e">
        <x:f aca="0">01_ビジョン原計画!F14</x:f>
        <x:v>#NAME?</x:v>
      </x:c>
      <x:c r="G16" s="5" t="e">
        <x:f aca="0">01_ビジョン原計画!G14</x:f>
        <x:v>#NAME?</x:v>
      </x:c>
      <x:c r="H16" s="5" t="e">
        <x:f aca="0">01_ビジョン原計画!H14</x:f>
        <x:v>#NAME?</x:v>
      </x:c>
      <x:c r="I16" s="5" t="e">
        <x:f aca="0">01_ビジョン原計画!I14</x:f>
        <x:v>#NAME?</x:v>
      </x:c>
      <x:c r="J16" s="5" t="e">
        <x:f aca="0">01_ビジョン原計画!J14</x:f>
        <x:v>#NAME?</x:v>
      </x:c>
      <x:c r="K16" s="5" t="e">
        <x:f aca="0">01_ビジョン原計画!K14</x:f>
        <x:v>#NAME?</x:v>
      </x:c>
    </x:row>
    <x:row r="17" ht="17.149999618530273" hidden="0">
      <x:c r="A17" s="6" t="s">
        <x:v>142</x:v>
      </x:c>
      <x:c r="B17" s="5" t="e">
        <x:f aca="0">SUM(B9,B13,B16)</x:f>
        <x:v>#NAME?</x:v>
      </x:c>
      <x:c r="C17" s="5" t="e">
        <x:f aca="0">SUM(C9,C13,C16)</x:f>
        <x:v>#NAME?</x:v>
      </x:c>
      <x:c r="D17" s="5" t="e">
        <x:f aca="0">SUM(D9,D13,D16)</x:f>
        <x:v>#NAME?</x:v>
      </x:c>
      <x:c r="E17" s="5" t="e">
        <x:f aca="0">SUM(E9,E13,E16)</x:f>
        <x:v>#NAME?</x:v>
      </x:c>
      <x:c r="F17" s="5" t="e">
        <x:f aca="0">SUM(F9,F13,F16)</x:f>
        <x:v>#NAME?</x:v>
      </x:c>
      <x:c r="G17" s="5" t="e">
        <x:f aca="0">SUM(G9,G13,G16)</x:f>
        <x:v>#NAME?</x:v>
      </x:c>
      <x:c r="H17" s="5" t="e">
        <x:f aca="0">SUM(H9,H13,H16)</x:f>
        <x:v>#NAME?</x:v>
      </x:c>
      <x:c r="I17" s="5" t="e">
        <x:f aca="0">SUM(I9,I13,I16)</x:f>
        <x:v>#NAME?</x:v>
      </x:c>
      <x:c r="J17" s="5" t="e">
        <x:f aca="0">SUM(J9,J13,J16)</x:f>
        <x:v>#NAME?</x:v>
      </x:c>
      <x:c r="K17" s="5" t="e">
        <x:f aca="0">SUM(K9,K13,K16)</x:f>
        <x:v>#NAME?</x:v>
      </x:c>
    </x:row>
    <x:row r="18" ht="15" hidden="0">
      <x:c r="A18" s="7"/>
      <x:c r="B18" s="5"/>
      <x:c r="C18" s="5"/>
      <x:c r="D18" s="5"/>
      <x:c r="E18" s="5"/>
      <x:c r="F18" s="5"/>
      <x:c r="G18" s="5"/>
      <x:c r="H18" s="5"/>
      <x:c r="I18" s="5"/>
      <x:c r="J18" s="5"/>
      <x:c r="K18" s="5"/>
    </x:row>
    <x:row r="19" ht="17.149999618530273" hidden="0">
      <x:c r="A19" s="42" t="s">
        <x:v>63</x:v>
      </x:c>
      <x:c r="B19" s="43"/>
      <x:c r="C19" s="43"/>
      <x:c r="D19" s="43"/>
      <x:c r="E19" s="43"/>
      <x:c r="F19" s="43"/>
      <x:c r="G19" s="43"/>
      <x:c r="H19" s="43"/>
      <x:c r="I19" s="43"/>
      <x:c r="J19" s="43"/>
      <x:c r="K19" s="43"/>
    </x:row>
    <x:row r="20" ht="17.149999618530273" hidden="0">
      <x:c r="A20" s="6" t="s">
        <x:v>65</x:v>
      </x:c>
      <x:c r="B20" s="5" t="e">
        <x:f aca="0">01_ビジョン原計画!B18</x:f>
        <x:v>#NAME?</x:v>
      </x:c>
      <x:c r="C20" s="5" t="e">
        <x:f aca="0">01_ビジョン原計画!C18</x:f>
        <x:v>#NAME?</x:v>
      </x:c>
      <x:c r="D20" s="5" t="e">
        <x:f aca="0">01_ビジョン原計画!D18</x:f>
        <x:v>#NAME?</x:v>
      </x:c>
      <x:c r="E20" s="5" t="e">
        <x:f aca="0">01_ビジョン原計画!E18</x:f>
        <x:v>#NAME?</x:v>
      </x:c>
      <x:c r="F20" s="5" t="e">
        <x:f aca="0">01_ビジョン原計画!F18</x:f>
        <x:v>#NAME?</x:v>
      </x:c>
      <x:c r="G20" s="5" t="e">
        <x:f aca="0">01_ビジョン原計画!G18</x:f>
        <x:v>#NAME?</x:v>
      </x:c>
      <x:c r="H20" s="5" t="e">
        <x:f aca="0">01_ビジョン原計画!H18</x:f>
        <x:v>#NAME?</x:v>
      </x:c>
      <x:c r="I20" s="5" t="e">
        <x:f aca="0">01_ビジョン原計画!I18</x:f>
        <x:v>#NAME?</x:v>
      </x:c>
      <x:c r="J20" s="5" t="e">
        <x:f aca="0">01_ビジョン原計画!J18</x:f>
        <x:v>#NAME?</x:v>
      </x:c>
      <x:c r="K20" s="5" t="e">
        <x:f aca="0">01_ビジョン原計画!K18</x:f>
        <x:v>#NAME?</x:v>
      </x:c>
    </x:row>
    <x:row r="21" ht="17.149999618530273" hidden="0">
      <x:c r="A21" s="6" t="s">
        <x:v>143</x:v>
      </x:c>
      <x:c r="B21" s="5" t="e">
        <x:f aca="0">01_ビジョン原計画!B25</x:f>
        <x:v>#NAME?</x:v>
      </x:c>
      <x:c r="C21" s="5" t="e">
        <x:f aca="0">01_ビジョン原計画!C25</x:f>
        <x:v>#NAME?</x:v>
      </x:c>
      <x:c r="D21" s="5" t="e">
        <x:f aca="0">01_ビジョン原計画!D25</x:f>
        <x:v>#NAME?</x:v>
      </x:c>
      <x:c r="E21" s="5" t="e">
        <x:f aca="0">01_ビジョン原計画!E25</x:f>
        <x:v>#NAME?</x:v>
      </x:c>
      <x:c r="F21" s="5" t="e">
        <x:f aca="0">01_ビジョン原計画!F25</x:f>
        <x:v>#NAME?</x:v>
      </x:c>
      <x:c r="G21" s="5" t="e">
        <x:f aca="0">01_ビジョン原計画!G25</x:f>
        <x:v>#NAME?</x:v>
      </x:c>
      <x:c r="H21" s="5" t="e">
        <x:f aca="0">01_ビジョン原計画!H25</x:f>
        <x:v>#NAME?</x:v>
      </x:c>
      <x:c r="I21" s="5" t="e">
        <x:f aca="0">01_ビジョン原計画!I25</x:f>
        <x:v>#NAME?</x:v>
      </x:c>
      <x:c r="J21" s="5" t="e">
        <x:f aca="0">01_ビジョン原計画!J25</x:f>
        <x:v>#NAME?</x:v>
      </x:c>
      <x:c r="K21" s="5" t="e">
        <x:f aca="0">01_ビジョン原計画!K25</x:f>
        <x:v>#NAME?</x:v>
      </x:c>
    </x:row>
    <x:row r="22" ht="17.149999618530273" hidden="0">
      <x:c r="A22" s="6" t="s">
        <x:v>144</x:v>
      </x:c>
      <x:c r="B22" s="5" t="e">
        <x:f aca="0">01_ビジョン原計画!B26</x:f>
        <x:v>#NAME?</x:v>
      </x:c>
      <x:c r="C22" s="5" t="e">
        <x:f aca="0">01_ビジョン原計画!C26</x:f>
        <x:v>#NAME?</x:v>
      </x:c>
      <x:c r="D22" s="5" t="e">
        <x:f aca="0">01_ビジョン原計画!D26</x:f>
        <x:v>#NAME?</x:v>
      </x:c>
      <x:c r="E22" s="5" t="e">
        <x:f aca="0">01_ビジョン原計画!E26</x:f>
        <x:v>#NAME?</x:v>
      </x:c>
      <x:c r="F22" s="5" t="e">
        <x:f aca="0">01_ビジョン原計画!F26</x:f>
        <x:v>#NAME?</x:v>
      </x:c>
      <x:c r="G22" s="5" t="e">
        <x:f aca="0">01_ビジョン原計画!G26</x:f>
        <x:v>#NAME?</x:v>
      </x:c>
      <x:c r="H22" s="5" t="e">
        <x:f aca="0">01_ビジョン原計画!H26</x:f>
        <x:v>#NAME?</x:v>
      </x:c>
      <x:c r="I22" s="5" t="e">
        <x:f aca="0">01_ビジョン原計画!I26</x:f>
        <x:v>#NAME?</x:v>
      </x:c>
      <x:c r="J22" s="5" t="e">
        <x:f aca="0">01_ビジョン原計画!J26</x:f>
        <x:v>#NAME?</x:v>
      </x:c>
      <x:c r="K22" s="5" t="e">
        <x:f aca="0">01_ビジョン原計画!K26</x:f>
        <x:v>#NAME?</x:v>
      </x:c>
    </x:row>
    <x:row r="23" ht="17.149999618530273" hidden="0">
      <x:c r="A23" s="6" t="s">
        <x:v>75</x:v>
      </x:c>
      <x:c r="B23" s="5" t="e">
        <x:f aca="0">01_ビジョン原計画!B28</x:f>
        <x:v>#NAME?</x:v>
      </x:c>
      <x:c r="C23" s="5" t="e">
        <x:f aca="0">01_ビジョン原計画!C28</x:f>
        <x:v>#NAME?</x:v>
      </x:c>
      <x:c r="D23" s="5" t="e">
        <x:f aca="0">01_ビジョン原計画!D28</x:f>
        <x:v>#NAME?</x:v>
      </x:c>
      <x:c r="E23" s="5" t="e">
        <x:f aca="0">01_ビジョン原計画!E28</x:f>
        <x:v>#NAME?</x:v>
      </x:c>
      <x:c r="F23" s="5" t="e">
        <x:f aca="0">01_ビジョン原計画!F28</x:f>
        <x:v>#NAME?</x:v>
      </x:c>
      <x:c r="G23" s="5" t="e">
        <x:f aca="0">01_ビジョン原計画!G28</x:f>
        <x:v>#NAME?</x:v>
      </x:c>
      <x:c r="H23" s="5" t="e">
        <x:f aca="0">01_ビジョン原計画!H28</x:f>
        <x:v>#NAME?</x:v>
      </x:c>
      <x:c r="I23" s="5" t="e">
        <x:f aca="0">01_ビジョン原計画!I28</x:f>
        <x:v>#NAME?</x:v>
      </x:c>
      <x:c r="J23" s="5" t="e">
        <x:f aca="0">01_ビジョン原計画!J28</x:f>
        <x:v>#NAME?</x:v>
      </x:c>
      <x:c r="K23" s="5" t="e">
        <x:f aca="0">01_ビジョン原計画!K28</x:f>
        <x:v>#NAME?</x:v>
      </x:c>
    </x:row>
    <x:row r="24" ht="17.149999618530273" hidden="0">
      <x:c r="A24" s="6" t="s">
        <x:v>145</x:v>
      </x:c>
      <x:c r="B24" s="5" t="e">
        <x:f aca="0">01_ビジョン原計画!B29</x:f>
        <x:v>#NAME?</x:v>
      </x:c>
      <x:c r="C24" s="5" t="e">
        <x:f aca="0">01_ビジョン原計画!C29</x:f>
        <x:v>#NAME?</x:v>
      </x:c>
      <x:c r="D24" s="5" t="e">
        <x:f aca="0">01_ビジョン原計画!D29</x:f>
        <x:v>#NAME?</x:v>
      </x:c>
      <x:c r="E24" s="5" t="e">
        <x:f aca="0">01_ビジョン原計画!E29</x:f>
        <x:v>#NAME?</x:v>
      </x:c>
      <x:c r="F24" s="5" t="e">
        <x:f aca="0">01_ビジョン原計画!F29</x:f>
        <x:v>#NAME?</x:v>
      </x:c>
      <x:c r="G24" s="5" t="e">
        <x:f aca="0">01_ビジョン原計画!G29</x:f>
        <x:v>#NAME?</x:v>
      </x:c>
      <x:c r="H24" s="5" t="e">
        <x:f aca="0">01_ビジョン原計画!H29</x:f>
        <x:v>#NAME?</x:v>
      </x:c>
      <x:c r="I24" s="5" t="e">
        <x:f aca="0">01_ビジョン原計画!I29</x:f>
        <x:v>#NAME?</x:v>
      </x:c>
      <x:c r="J24" s="5" t="e">
        <x:f aca="0">01_ビジョン原計画!J29</x:f>
        <x:v>#NAME?</x:v>
      </x:c>
      <x:c r="K24" s="5" t="e">
        <x:f aca="0">01_ビジョン原計画!K29</x:f>
        <x:v>#NAME?</x:v>
      </x:c>
    </x:row>
    <x:row r="25" ht="17.149999618530273" hidden="0">
      <x:c r="A25" s="6" t="s">
        <x:v>78</x:v>
      </x:c>
      <x:c r="B25" s="5" t="e">
        <x:f aca="0">01_ビジョン原計画!B31</x:f>
        <x:v>#NAME?</x:v>
      </x:c>
      <x:c r="C25" s="5" t="e">
        <x:f aca="0">01_ビジョン原計画!C31</x:f>
        <x:v>#NAME?</x:v>
      </x:c>
      <x:c r="D25" s="5" t="e">
        <x:f aca="0">01_ビジョン原計画!D31</x:f>
        <x:v>#NAME?</x:v>
      </x:c>
      <x:c r="E25" s="5" t="e">
        <x:f aca="0">01_ビジョン原計画!E31</x:f>
        <x:v>#NAME?</x:v>
      </x:c>
      <x:c r="F25" s="5" t="e">
        <x:f aca="0">01_ビジョン原計画!F31</x:f>
        <x:v>#NAME?</x:v>
      </x:c>
      <x:c r="G25" s="5" t="e">
        <x:f aca="0">01_ビジョン原計画!G31</x:f>
        <x:v>#NAME?</x:v>
      </x:c>
      <x:c r="H25" s="5" t="e">
        <x:f aca="0">01_ビジョン原計画!H31</x:f>
        <x:v>#NAME?</x:v>
      </x:c>
      <x:c r="I25" s="5" t="e">
        <x:f aca="0">01_ビジョン原計画!I31</x:f>
        <x:v>#NAME?</x:v>
      </x:c>
      <x:c r="J25" s="5" t="e">
        <x:f aca="0">01_ビジョン原計画!J31</x:f>
        <x:v>#NAME?</x:v>
      </x:c>
      <x:c r="K25" s="5" t="e">
        <x:f aca="0">01_ビジョン原計画!K31</x:f>
        <x:v>#NAME?</x:v>
      </x:c>
    </x:row>
    <x:row r="26" ht="17.149999618530273" hidden="0">
      <x:c r="A26" s="6" t="s">
        <x:v>146</x:v>
      </x:c>
      <x:c r="B26" s="5" t="e">
        <x:f aca="0">SUM(B20,B23,B25)</x:f>
        <x:v>#NAME?</x:v>
      </x:c>
      <x:c r="C26" s="5" t="e">
        <x:f aca="0">SUM(C20,C23,C25)</x:f>
        <x:v>#NAME?</x:v>
      </x:c>
      <x:c r="D26" s="5" t="e">
        <x:f aca="0">SUM(D20,D23,D25)</x:f>
        <x:v>#NAME?</x:v>
      </x:c>
      <x:c r="E26" s="5" t="e">
        <x:f aca="0">SUM(E20,E23,E25)</x:f>
        <x:v>#NAME?</x:v>
      </x:c>
      <x:c r="F26" s="5" t="e">
        <x:f aca="0">SUM(F20,F23,F25)</x:f>
        <x:v>#NAME?</x:v>
      </x:c>
      <x:c r="G26" s="5" t="e">
        <x:f aca="0">SUM(G20,G23,G25)</x:f>
        <x:v>#NAME?</x:v>
      </x:c>
      <x:c r="H26" s="5" t="e">
        <x:f aca="0">SUM(H20,H23,H25)</x:f>
        <x:v>#NAME?</x:v>
      </x:c>
      <x:c r="I26" s="5" t="e">
        <x:f aca="0">SUM(I20,I23,I25)</x:f>
        <x:v>#NAME?</x:v>
      </x:c>
      <x:c r="J26" s="5" t="e">
        <x:f aca="0">SUM(J20,J23,J25)</x:f>
        <x:v>#NAME?</x:v>
      </x:c>
      <x:c r="K26" s="5" t="e">
        <x:f aca="0">SUM(K20,K23,K25)</x:f>
        <x:v>#NAME?</x:v>
      </x:c>
    </x:row>
    <x:row r="27" ht="17.149999618530273" hidden="0">
      <x:c r="A27" s="6" t="s">
        <x:v>147</x:v>
      </x:c>
      <x:c r="B27" s="5" t="e">
        <x:f aca="0">SUM(B9,B13)-SUM(B20,B23)</x:f>
        <x:v>#NAME?</x:v>
      </x:c>
      <x:c r="C27" s="5" t="e">
        <x:f aca="0">SUM(C9,C13)-SUM(C20,C23)</x:f>
        <x:v>#NAME?</x:v>
      </x:c>
      <x:c r="D27" s="5" t="e">
        <x:f aca="0">SUM(D9,D13)-SUM(D20,D23)</x:f>
        <x:v>#NAME?</x:v>
      </x:c>
      <x:c r="E27" s="5" t="e">
        <x:f aca="0">SUM(E9,E13)-SUM(E20,E23)</x:f>
        <x:v>#NAME?</x:v>
      </x:c>
      <x:c r="F27" s="5" t="e">
        <x:f aca="0">SUM(F9,F13)-SUM(F20,F23)</x:f>
        <x:v>#NAME?</x:v>
      </x:c>
      <x:c r="G27" s="5" t="e">
        <x:f aca="0">SUM(G9,G13)-SUM(G20,G23)</x:f>
        <x:v>#NAME?</x:v>
      </x:c>
      <x:c r="H27" s="5" t="e">
        <x:f aca="0">SUM(H9,H13)-SUM(H20,H23)</x:f>
        <x:v>#NAME?</x:v>
      </x:c>
      <x:c r="I27" s="5" t="e">
        <x:f aca="0">SUM(I9,I13)-SUM(I20,I23)</x:f>
        <x:v>#NAME?</x:v>
      </x:c>
      <x:c r="J27" s="5" t="e">
        <x:f aca="0">SUM(J9,J13)-SUM(J20,J23)</x:f>
        <x:v>#NAME?</x:v>
      </x:c>
      <x:c r="K27" s="5" t="e">
        <x:f aca="0">SUM(K9,K13)-SUM(K20,K23)</x:f>
        <x:v>#NAME?</x:v>
      </x:c>
    </x:row>
    <x:row r="28" ht="17.149999618530273" hidden="0">
      <x:c r="A28" s="6" t="s">
        <x:v>148</x:v>
      </x:c>
      <x:c r="B28" s="5" t="e">
        <x:f aca="0">B27+B16-B25</x:f>
        <x:v>#NAME?</x:v>
      </x:c>
      <x:c r="C28" s="5" t="e">
        <x:f aca="0">C27+C16-C25</x:f>
        <x:v>#NAME?</x:v>
      </x:c>
      <x:c r="D28" s="5" t="e">
        <x:f aca="0">D27+D16-D25</x:f>
        <x:v>#NAME?</x:v>
      </x:c>
      <x:c r="E28" s="5" t="e">
        <x:f aca="0">E27+E16-E25</x:f>
        <x:v>#NAME?</x:v>
      </x:c>
      <x:c r="F28" s="5" t="e">
        <x:f aca="0">F27+F16-F25</x:f>
        <x:v>#NAME?</x:v>
      </x:c>
      <x:c r="G28" s="5" t="e">
        <x:f aca="0">G27+G16-G25</x:f>
        <x:v>#NAME?</x:v>
      </x:c>
      <x:c r="H28" s="5" t="e">
        <x:f aca="0">H27+H16-H25</x:f>
        <x:v>#NAME?</x:v>
      </x:c>
      <x:c r="I28" s="5" t="e">
        <x:f aca="0">I27+I16-I25</x:f>
        <x:v>#NAME?</x:v>
      </x:c>
      <x:c r="J28" s="5" t="e">
        <x:f aca="0">J27+J16-J25</x:f>
        <x:v>#NAME?</x:v>
      </x:c>
      <x:c r="K28" s="5" t="e">
        <x:f aca="0">K27+K16-K25</x:f>
        <x:v>#NAME?</x:v>
      </x:c>
    </x:row>
    <x:row r="29" ht="15" hidden="0">
      <x:c r="A29" s="7"/>
      <x:c r="B29" s="5"/>
      <x:c r="C29" s="5"/>
      <x:c r="D29" s="5"/>
      <x:c r="E29" s="5"/>
      <x:c r="F29" s="5"/>
      <x:c r="G29" s="5"/>
      <x:c r="H29" s="5"/>
      <x:c r="I29" s="5"/>
      <x:c r="J29" s="5"/>
      <x:c r="K29" s="5"/>
    </x:row>
    <x:row r="30" ht="17.149999618530273" hidden="0">
      <x:c r="A30" s="42" t="s">
        <x:v>149</x:v>
      </x:c>
      <x:c r="B30" s="43"/>
      <x:c r="C30" s="43"/>
      <x:c r="D30" s="43"/>
      <x:c r="E30" s="43"/>
      <x:c r="F30" s="43"/>
      <x:c r="G30" s="43"/>
      <x:c r="H30" s="43"/>
      <x:c r="I30" s="43"/>
      <x:c r="J30" s="43"/>
      <x:c r="K30" s="43"/>
    </x:row>
    <x:row r="31" ht="17.149999618530273" hidden="0">
      <x:c r="A31" s="6" t="s">
        <x:v>150</x:v>
      </x:c>
      <x:c r="B31" s="35" t="n">
        <x:f aca="0">IFERROR((SUM(B9,B13)/SUM(B20,B23))*100,0)</x:f>
        <x:v>0</x:v>
      </x:c>
      <x:c r="C31" s="35" t="n">
        <x:f aca="0">IFERROR((SUM(C9,C13)/SUM(C20,C23))*100,0)</x:f>
        <x:v>0</x:v>
      </x:c>
      <x:c r="D31" s="35" t="n">
        <x:f aca="0">IFERROR((SUM(D9,D13)/SUM(D20,D23))*100,0)</x:f>
        <x:v>0</x:v>
      </x:c>
      <x:c r="E31" s="35" t="n">
        <x:f aca="0">IFERROR((SUM(E9,E13)/SUM(E20,E23))*100,0)</x:f>
        <x:v>0</x:v>
      </x:c>
      <x:c r="F31" s="35" t="n">
        <x:f aca="0">IFERROR((SUM(F9,F13)/SUM(F20,F23))*100,0)</x:f>
        <x:v>0</x:v>
      </x:c>
      <x:c r="G31" s="35" t="n">
        <x:f aca="0">IFERROR((SUM(G9,G13)/SUM(G20,G23))*100,0)</x:f>
        <x:v>0</x:v>
      </x:c>
      <x:c r="H31" s="35" t="n">
        <x:f aca="0">IFERROR((SUM(H9,H13)/SUM(H20,H23))*100,0)</x:f>
        <x:v>0</x:v>
      </x:c>
      <x:c r="I31" s="35" t="n">
        <x:f aca="0">IFERROR((SUM(I9,I13)/SUM(I20,I23))*100,0)</x:f>
        <x:v>0</x:v>
      </x:c>
      <x:c r="J31" s="35" t="n">
        <x:f aca="0">IFERROR((SUM(J9,J13)/SUM(J20,J23))*100,0)</x:f>
        <x:v>0</x:v>
      </x:c>
      <x:c r="K31" s="35" t="n">
        <x:f aca="0">IFERROR((SUM(K9,K13)/SUM(K20,K23))*100,0)</x:f>
        <x:v>0</x:v>
      </x:c>
    </x:row>
    <x:row r="32" ht="17.149999618530273" hidden="0">
      <x:c r="A32" s="6" t="s">
        <x:v>151</x:v>
      </x:c>
      <x:c r="B32" s="35" t="n">
        <x:f aca="0">IFERROR(B10/B34*100,0)</x:f>
        <x:v>0</x:v>
      </x:c>
      <x:c r="C32" s="35" t="n">
        <x:f aca="0">IFERROR(C10/C34*100,0)</x:f>
        <x:v>0</x:v>
      </x:c>
      <x:c r="D32" s="35" t="n">
        <x:f aca="0">IFERROR(D10/D34*100,0)</x:f>
        <x:v>0</x:v>
      </x:c>
      <x:c r="E32" s="35" t="n">
        <x:f aca="0">IFERROR(E10/E34*100,0)</x:f>
        <x:v>0</x:v>
      </x:c>
      <x:c r="F32" s="35" t="n">
        <x:f aca="0">IFERROR(F10/F34*100,0)</x:f>
        <x:v>0</x:v>
      </x:c>
      <x:c r="G32" s="35" t="n">
        <x:f aca="0">IFERROR(G10/G34*100,0)</x:f>
        <x:v>0</x:v>
      </x:c>
      <x:c r="H32" s="35" t="n">
        <x:f aca="0">IFERROR(H10/H34*100,0)</x:f>
        <x:v>0</x:v>
      </x:c>
      <x:c r="I32" s="35" t="n">
        <x:f aca="0">IFERROR(I10/I34*100,0)</x:f>
        <x:v>0</x:v>
      </x:c>
      <x:c r="J32" s="35" t="n">
        <x:f aca="0">IFERROR(J10/J34*100,0)</x:f>
        <x:v>0</x:v>
      </x:c>
      <x:c r="K32" s="35" t="n">
        <x:f aca="0">IFERROR(K10/K34*100,0)</x:f>
        <x:v>0</x:v>
      </x:c>
    </x:row>
    <x:row r="33" ht="17.149999618530273" hidden="0">
      <x:c r="A33" s="6" t="s">
        <x:v>152</x:v>
      </x:c>
      <x:c r="B33" s="35" t="n">
        <x:f aca="0">IFERROR(B10/B35*100,0)</x:f>
        <x:v>0</x:v>
      </x:c>
      <x:c r="C33" s="35" t="n">
        <x:f aca="0">IFERROR(C10/C35*100,0)</x:f>
        <x:v>0</x:v>
      </x:c>
      <x:c r="D33" s="35" t="n">
        <x:f aca="0">IFERROR(D10/D35*100,0)</x:f>
        <x:v>0</x:v>
      </x:c>
      <x:c r="E33" s="35" t="n">
        <x:f aca="0">IFERROR(E10/E35*100,0)</x:f>
        <x:v>0</x:v>
      </x:c>
      <x:c r="F33" s="35" t="n">
        <x:f aca="0">IFERROR(F10/F35*100,0)</x:f>
        <x:v>0</x:v>
      </x:c>
      <x:c r="G33" s="35" t="n">
        <x:f aca="0">IFERROR(G10/G35*100,0)</x:f>
        <x:v>0</x:v>
      </x:c>
      <x:c r="H33" s="35" t="n">
        <x:f aca="0">IFERROR(H10/H35*100,0)</x:f>
        <x:v>0</x:v>
      </x:c>
      <x:c r="I33" s="35" t="n">
        <x:f aca="0">IFERROR(I10/I35*100,0)</x:f>
        <x:v>0</x:v>
      </x:c>
      <x:c r="J33" s="35" t="n">
        <x:f aca="0">IFERROR(J10/J35*100,0)</x:f>
        <x:v>0</x:v>
      </x:c>
      <x:c r="K33" s="35" t="n">
        <x:f aca="0">IFERROR(K10/K35*100,0)</x:f>
        <x:v>0</x:v>
      </x:c>
    </x:row>
    <x:row r="34" ht="17.149999618530273" hidden="0">
      <x:c r="A34" s="6" t="s">
        <x:v>153</x:v>
      </x:c>
      <x:c r="B34" s="5" t="e">
        <x:f aca="0">SUM(B20,B23)-B14</x:f>
        <x:v>#NAME?</x:v>
      </x:c>
      <x:c r="C34" s="5" t="e">
        <x:f aca="0">SUM(C20,C23)-C14</x:f>
        <x:v>#NAME?</x:v>
      </x:c>
      <x:c r="D34" s="5" t="e">
        <x:f aca="0">SUM(D20,D23)-D14</x:f>
        <x:v>#NAME?</x:v>
      </x:c>
      <x:c r="E34" s="5" t="e">
        <x:f aca="0">SUM(E20,E23)-E14</x:f>
        <x:v>#NAME?</x:v>
      </x:c>
      <x:c r="F34" s="5" t="e">
        <x:f aca="0">SUM(F20,F23)-F14</x:f>
        <x:v>#NAME?</x:v>
      </x:c>
      <x:c r="G34" s="5" t="e">
        <x:f aca="0">SUM(G20,G23)-G14</x:f>
        <x:v>#NAME?</x:v>
      </x:c>
      <x:c r="H34" s="5" t="e">
        <x:f aca="0">SUM(H20,H23)-H14</x:f>
        <x:v>#NAME?</x:v>
      </x:c>
      <x:c r="I34" s="5" t="e">
        <x:f aca="0">SUM(I20,I23)-I14</x:f>
        <x:v>#NAME?</x:v>
      </x:c>
      <x:c r="J34" s="5" t="e">
        <x:f aca="0">SUM(J20,J23)-J14</x:f>
        <x:v>#NAME?</x:v>
      </x:c>
      <x:c r="K34" s="5" t="e">
        <x:f aca="0">SUM(K20,K23)-K14</x:f>
        <x:v>#NAME?</x:v>
      </x:c>
    </x:row>
    <x:row r="35" ht="17.149999618530273" hidden="0">
      <x:c r="A35" s="6" t="s">
        <x:v>154</x:v>
      </x:c>
      <x:c r="B35" s="5" t="e">
        <x:f aca="0">B34+$B$5</x:f>
        <x:v>#NAME?</x:v>
      </x:c>
      <x:c r="C35" s="5" t="e">
        <x:f aca="0">C34+$B$5</x:f>
        <x:v>#NAME?</x:v>
      </x:c>
      <x:c r="D35" s="5" t="e">
        <x:f aca="0">D34+$B$5</x:f>
        <x:v>#NAME?</x:v>
      </x:c>
      <x:c r="E35" s="5" t="e">
        <x:f aca="0">E34+$B$5</x:f>
        <x:v>#NAME?</x:v>
      </x:c>
      <x:c r="F35" s="5" t="e">
        <x:f aca="0">F34+$B$5</x:f>
        <x:v>#NAME?</x:v>
      </x:c>
      <x:c r="G35" s="5" t="e">
        <x:f aca="0">G34+$B$5</x:f>
        <x:v>#NAME?</x:v>
      </x:c>
      <x:c r="H35" s="5" t="e">
        <x:f aca="0">H34+$B$5</x:f>
        <x:v>#NAME?</x:v>
      </x:c>
      <x:c r="I35" s="5" t="e">
        <x:f aca="0">I34+$B$5</x:f>
        <x:v>#NAME?</x:v>
      </x:c>
      <x:c r="J35" s="5" t="e">
        <x:f aca="0">J34+$B$5</x:f>
        <x:v>#NAME?</x:v>
      </x:c>
      <x:c r="K35" s="5" t="e">
        <x:f aca="0">K34+$B$5</x:f>
        <x:v>#NAME?</x:v>
      </x:c>
    </x:row>
    <x:row r="36" ht="17.149999618530273" hidden="0">
      <x:c r="A36" s="6" t="s">
        <x:v>155</x:v>
      </x:c>
      <x:c r="B36" s="35" t="n">
        <x:f aca="0">IFERROR(B10/(B20+B23-B14-B12-B15+$B$5)*100,0)</x:f>
        <x:v>0</x:v>
      </x:c>
      <x:c r="C36" s="35" t="n">
        <x:f aca="0">IFERROR(C10/(C20+C23-C14-C12-C15+$B$5)*100,0)</x:f>
        <x:v>0</x:v>
      </x:c>
      <x:c r="D36" s="35" t="n">
        <x:f aca="0">IFERROR(D10/(D20+D23-D14-D12-D15+$B$5)*100,0)</x:f>
        <x:v>0</x:v>
      </x:c>
      <x:c r="E36" s="35" t="n">
        <x:f aca="0">IFERROR(E10/(E20+E23-E14-E12-E15+$B$5)*100,0)</x:f>
        <x:v>0</x:v>
      </x:c>
      <x:c r="F36" s="35" t="n">
        <x:f aca="0">IFERROR(F10/(F20+F23-F14-F12-F15+$B$5)*100,0)</x:f>
        <x:v>0</x:v>
      </x:c>
      <x:c r="G36" s="35" t="n">
        <x:f aca="0">IFERROR(G10/(G20+G23-G14-G12-G15+$B$5)*100,0)</x:f>
        <x:v>0</x:v>
      </x:c>
      <x:c r="H36" s="35" t="n">
        <x:f aca="0">IFERROR(H10/(H20+H23-H14-H12-H15+$B$5)*100,0)</x:f>
        <x:v>0</x:v>
      </x:c>
      <x:c r="I36" s="35" t="n">
        <x:f aca="0">IFERROR(I10/(I20+I23-I14-I12-I15+$B$5)*100,0)</x:f>
        <x:v>0</x:v>
      </x:c>
      <x:c r="J36" s="35" t="n">
        <x:f aca="0">IFERROR(J10/(J20+J23-J14-J12-J15+$B$5)*100,0)</x:f>
        <x:v>0</x:v>
      </x:c>
      <x:c r="K36" s="35" t="n">
        <x:f aca="0">IFERROR(K10/(K20+K23-K14-K12-K15+$B$5)*100,0)</x:f>
        <x:v>0</x:v>
      </x:c>
    </x:row>
    <x:row r="37" ht="17.149999618530273" hidden="0">
      <x:c r="A37" s="6" t="s">
        <x:v>156</x:v>
      </x:c>
      <x:c r="B37" s="5" t="str">
        <x:f aca="0">IF(B33&lt;=B32,"OK","要確認")</x:f>
        <x:v>OK</x:v>
      </x:c>
      <x:c r="C37" s="5" t="str">
        <x:f aca="0">IF(C33&lt;=C32,"OK","要確認")</x:f>
        <x:v>OK</x:v>
      </x:c>
      <x:c r="D37" s="5" t="str">
        <x:f aca="0">IF(D33&lt;=D32,"OK","要確認")</x:f>
        <x:v>OK</x:v>
      </x:c>
      <x:c r="E37" s="5" t="str">
        <x:f aca="0">IF(E33&lt;=E32,"OK","要確認")</x:f>
        <x:v>OK</x:v>
      </x:c>
      <x:c r="F37" s="5" t="str">
        <x:f aca="0">IF(F33&lt;=F32,"OK","要確認")</x:f>
        <x:v>OK</x:v>
      </x:c>
      <x:c r="G37" s="5" t="str">
        <x:f aca="0">IF(G33&lt;=G32,"OK","要確認")</x:f>
        <x:v>OK</x:v>
      </x:c>
      <x:c r="H37" s="5" t="str">
        <x:f aca="0">IF(H33&lt;=H32,"OK","要確認")</x:f>
        <x:v>OK</x:v>
      </x:c>
      <x:c r="I37" s="5" t="str">
        <x:f aca="0">IF(I33&lt;=I32,"OK","要確認")</x:f>
        <x:v>OK</x:v>
      </x:c>
      <x:c r="J37" s="5" t="str">
        <x:f aca="0">IF(J33&lt;=J32,"OK","要確認")</x:f>
        <x:v>OK</x:v>
      </x:c>
      <x:c r="K37" s="5" t="str">
        <x:f aca="0">IF(K33&lt;=K32,"OK","要確認")</x:f>
        <x:v>OK</x:v>
      </x:c>
    </x:row>
    <x:row r="38" ht="15" hidden="0">
      <x:c r="A38" s="7"/>
      <x:c r="B38" s="5"/>
      <x:c r="C38" s="5"/>
      <x:c r="D38" s="5"/>
      <x:c r="E38" s="5"/>
      <x:c r="F38" s="5"/>
      <x:c r="G38" s="5"/>
      <x:c r="H38" s="5"/>
      <x:c r="I38" s="5"/>
      <x:c r="J38" s="5"/>
      <x:c r="K38" s="5"/>
    </x:row>
    <x:row r="39" ht="17.149999618530273" hidden="0">
      <x:c r="A39" s="42" t="s">
        <x:v>79</x:v>
      </x:c>
      <x:c r="B39" s="43"/>
      <x:c r="C39" s="43"/>
      <x:c r="D39" s="43"/>
      <x:c r="E39" s="43"/>
      <x:c r="F39" s="43"/>
      <x:c r="G39" s="43"/>
      <x:c r="H39" s="43"/>
      <x:c r="I39" s="43"/>
      <x:c r="J39" s="43"/>
      <x:c r="K39" s="43"/>
    </x:row>
    <x:row r="40" ht="17.149999618530273" hidden="0">
      <x:c r="A40" s="6" t="s">
        <x:v>80</x:v>
      </x:c>
      <x:c r="B40" s="5" t="e">
        <x:f aca="0">01_ビジョン原計画!B34</x:f>
        <x:v>#NAME?</x:v>
      </x:c>
      <x:c r="C40" s="5" t="e">
        <x:f aca="0">01_ビジョン原計画!C34</x:f>
        <x:v>#NAME?</x:v>
      </x:c>
      <x:c r="D40" s="5" t="e">
        <x:f aca="0">01_ビジョン原計画!D34</x:f>
        <x:v>#NAME?</x:v>
      </x:c>
      <x:c r="E40" s="5" t="e">
        <x:f aca="0">01_ビジョン原計画!E34</x:f>
        <x:v>#NAME?</x:v>
      </x:c>
      <x:c r="F40" s="5" t="e">
        <x:f aca="0">01_ビジョン原計画!F34</x:f>
        <x:v>#NAME?</x:v>
      </x:c>
      <x:c r="G40" s="5" t="e">
        <x:f aca="0">01_ビジョン原計画!G34</x:f>
        <x:v>#NAME?</x:v>
      </x:c>
      <x:c r="H40" s="5" t="e">
        <x:f aca="0">01_ビジョン原計画!H34</x:f>
        <x:v>#NAME?</x:v>
      </x:c>
      <x:c r="I40" s="5" t="e">
        <x:f aca="0">01_ビジョン原計画!I34</x:f>
        <x:v>#NAME?</x:v>
      </x:c>
      <x:c r="J40" s="5" t="e">
        <x:f aca="0">01_ビジョン原計画!J34</x:f>
        <x:v>#NAME?</x:v>
      </x:c>
      <x:c r="K40" s="5" t="e">
        <x:f aca="0">01_ビジョン原計画!K34</x:f>
        <x:v>#NAME?</x:v>
      </x:c>
    </x:row>
    <x:row r="41" ht="17.149999618530273" hidden="0">
      <x:c r="A41" s="6" t="s">
        <x:v>81</x:v>
      </x:c>
      <x:c r="B41" s="5" t="e">
        <x:f aca="0">01_ビジョン原計画!B35</x:f>
        <x:v>#NAME?</x:v>
      </x:c>
      <x:c r="C41" s="5" t="e">
        <x:f aca="0">01_ビジョン原計画!C35</x:f>
        <x:v>#NAME?</x:v>
      </x:c>
      <x:c r="D41" s="5" t="e">
        <x:f aca="0">01_ビジョン原計画!D35</x:f>
        <x:v>#NAME?</x:v>
      </x:c>
      <x:c r="E41" s="5" t="e">
        <x:f aca="0">01_ビジョン原計画!E35</x:f>
        <x:v>#NAME?</x:v>
      </x:c>
      <x:c r="F41" s="5" t="e">
        <x:f aca="0">01_ビジョン原計画!F35</x:f>
        <x:v>#NAME?</x:v>
      </x:c>
      <x:c r="G41" s="5" t="e">
        <x:f aca="0">01_ビジョン原計画!G35</x:f>
        <x:v>#NAME?</x:v>
      </x:c>
      <x:c r="H41" s="5" t="e">
        <x:f aca="0">01_ビジョン原計画!H35</x:f>
        <x:v>#NAME?</x:v>
      </x:c>
      <x:c r="I41" s="5" t="e">
        <x:f aca="0">01_ビジョン原計画!I35</x:f>
        <x:v>#NAME?</x:v>
      </x:c>
      <x:c r="J41" s="5" t="e">
        <x:f aca="0">01_ビジョン原計画!J35</x:f>
        <x:v>#NAME?</x:v>
      </x:c>
      <x:c r="K41" s="5" t="e">
        <x:f aca="0">01_ビジョン原計画!K35</x:f>
        <x:v>#NAME?</x:v>
      </x:c>
    </x:row>
    <x:row r="42" ht="17.149999618530273" hidden="0">
      <x:c r="A42" s="6" t="s">
        <x:v>82</x:v>
      </x:c>
      <x:c r="B42" s="5" t="e">
        <x:f aca="0">01_ビジョン原計画!B36</x:f>
        <x:v>#NAME?</x:v>
      </x:c>
      <x:c r="C42" s="5" t="e">
        <x:f aca="0">01_ビジョン原計画!C36</x:f>
        <x:v>#NAME?</x:v>
      </x:c>
      <x:c r="D42" s="5" t="e">
        <x:f aca="0">01_ビジョン原計画!D36</x:f>
        <x:v>#NAME?</x:v>
      </x:c>
      <x:c r="E42" s="5" t="e">
        <x:f aca="0">01_ビジョン原計画!E36</x:f>
        <x:v>#NAME?</x:v>
      </x:c>
      <x:c r="F42" s="5" t="e">
        <x:f aca="0">01_ビジョン原計画!F36</x:f>
        <x:v>#NAME?</x:v>
      </x:c>
      <x:c r="G42" s="5" t="e">
        <x:f aca="0">01_ビジョン原計画!G36</x:f>
        <x:v>#NAME?</x:v>
      </x:c>
      <x:c r="H42" s="5" t="e">
        <x:f aca="0">01_ビジョン原計画!H36</x:f>
        <x:v>#NAME?</x:v>
      </x:c>
      <x:c r="I42" s="5" t="e">
        <x:f aca="0">01_ビジョン原計画!I36</x:f>
        <x:v>#NAME?</x:v>
      </x:c>
      <x:c r="J42" s="5" t="e">
        <x:f aca="0">01_ビジョン原計画!J36</x:f>
        <x:v>#NAME?</x:v>
      </x:c>
      <x:c r="K42" s="5" t="e">
        <x:f aca="0">01_ビジョン原計画!K36</x:f>
        <x:v>#NAME?</x:v>
      </x:c>
    </x:row>
    <x:row r="43" ht="17.149999618530273" hidden="0">
      <x:c r="A43" s="6" t="s">
        <x:v>83</x:v>
      </x:c>
      <x:c r="B43" s="5" t="e">
        <x:f aca="0">01_ビジョン原計画!B37</x:f>
        <x:v>#NAME?</x:v>
      </x:c>
      <x:c r="C43" s="5" t="e">
        <x:f aca="0">01_ビジョン原計画!C37</x:f>
        <x:v>#NAME?</x:v>
      </x:c>
      <x:c r="D43" s="5" t="e">
        <x:f aca="0">01_ビジョン原計画!D37</x:f>
        <x:v>#NAME?</x:v>
      </x:c>
      <x:c r="E43" s="5" t="e">
        <x:f aca="0">01_ビジョン原計画!E37</x:f>
        <x:v>#NAME?</x:v>
      </x:c>
      <x:c r="F43" s="5" t="e">
        <x:f aca="0">01_ビジョン原計画!F37</x:f>
        <x:v>#NAME?</x:v>
      </x:c>
      <x:c r="G43" s="5" t="e">
        <x:f aca="0">01_ビジョン原計画!G37</x:f>
        <x:v>#NAME?</x:v>
      </x:c>
      <x:c r="H43" s="5" t="e">
        <x:f aca="0">01_ビジョン原計画!H37</x:f>
        <x:v>#NAME?</x:v>
      </x:c>
      <x:c r="I43" s="5" t="e">
        <x:f aca="0">01_ビジョン原計画!I37</x:f>
        <x:v>#NAME?</x:v>
      </x:c>
      <x:c r="J43" s="5" t="e">
        <x:f aca="0">01_ビジョン原計画!J37</x:f>
        <x:v>#NAME?</x:v>
      </x:c>
      <x:c r="K43" s="5" t="e">
        <x:f aca="0">01_ビジョン原計画!K37</x:f>
        <x:v>#NAME?</x:v>
      </x:c>
    </x:row>
    <x:row r="44" ht="17.149999618530273" hidden="0">
      <x:c r="A44" s="6" t="s">
        <x:v>84</x:v>
      </x:c>
      <x:c r="B44" s="5" t="e">
        <x:f aca="0">01_ビジョン原計画!B38</x:f>
        <x:v>#NAME?</x:v>
      </x:c>
      <x:c r="C44" s="5" t="e">
        <x:f aca="0">01_ビジョン原計画!C38</x:f>
        <x:v>#NAME?</x:v>
      </x:c>
      <x:c r="D44" s="5" t="e">
        <x:f aca="0">01_ビジョン原計画!D38</x:f>
        <x:v>#NAME?</x:v>
      </x:c>
      <x:c r="E44" s="5" t="e">
        <x:f aca="0">01_ビジョン原計画!E38</x:f>
        <x:v>#NAME?</x:v>
      </x:c>
      <x:c r="F44" s="5" t="e">
        <x:f aca="0">01_ビジョン原計画!F38</x:f>
        <x:v>#NAME?</x:v>
      </x:c>
      <x:c r="G44" s="5" t="e">
        <x:f aca="0">01_ビジョン原計画!G38</x:f>
        <x:v>#NAME?</x:v>
      </x:c>
      <x:c r="H44" s="5" t="e">
        <x:f aca="0">01_ビジョン原計画!H38</x:f>
        <x:v>#NAME?</x:v>
      </x:c>
      <x:c r="I44" s="5" t="e">
        <x:f aca="0">01_ビジョン原計画!I38</x:f>
        <x:v>#NAME?</x:v>
      </x:c>
      <x:c r="J44" s="5" t="e">
        <x:f aca="0">01_ビジョン原計画!J38</x:f>
        <x:v>#NAME?</x:v>
      </x:c>
      <x:c r="K44" s="5" t="e">
        <x:f aca="0">01_ビジョン原計画!K38</x:f>
        <x:v>#NAME?</x:v>
      </x:c>
    </x:row>
    <x:row r="45" ht="17.149999618530273" hidden="0">
      <x:c r="A45" s="6" t="s">
        <x:v>85</x:v>
      </x:c>
      <x:c r="B45" s="5" t="e">
        <x:f aca="0">01_ビジョン原計画!B39</x:f>
        <x:v>#NAME?</x:v>
      </x:c>
      <x:c r="C45" s="5" t="e">
        <x:f aca="0">01_ビジョン原計画!C39</x:f>
        <x:v>#NAME?</x:v>
      </x:c>
      <x:c r="D45" s="5" t="e">
        <x:f aca="0">01_ビジョン原計画!D39</x:f>
        <x:v>#NAME?</x:v>
      </x:c>
      <x:c r="E45" s="5" t="e">
        <x:f aca="0">01_ビジョン原計画!E39</x:f>
        <x:v>#NAME?</x:v>
      </x:c>
      <x:c r="F45" s="5" t="e">
        <x:f aca="0">01_ビジョン原計画!F39</x:f>
        <x:v>#NAME?</x:v>
      </x:c>
      <x:c r="G45" s="5" t="e">
        <x:f aca="0">01_ビジョン原計画!G39</x:f>
        <x:v>#NAME?</x:v>
      </x:c>
      <x:c r="H45" s="5" t="e">
        <x:f aca="0">01_ビジョン原計画!H39</x:f>
        <x:v>#NAME?</x:v>
      </x:c>
      <x:c r="I45" s="5" t="e">
        <x:f aca="0">01_ビジョン原計画!I39</x:f>
        <x:v>#NAME?</x:v>
      </x:c>
      <x:c r="J45" s="5" t="e">
        <x:f aca="0">01_ビジョン原計画!J39</x:f>
        <x:v>#NAME?</x:v>
      </x:c>
      <x:c r="K45" s="5" t="e">
        <x:f aca="0">01_ビジョン原計画!K39</x:f>
        <x:v>#NAME?</x:v>
      </x:c>
    </x:row>
    <x:row r="46" ht="17.149999618530273" hidden="0">
      <x:c r="A46" s="6" t="s">
        <x:v>86</x:v>
      </x:c>
      <x:c r="B46" s="5" t="e">
        <x:f aca="0">01_ビジョン原計画!B40</x:f>
        <x:v>#NAME?</x:v>
      </x:c>
      <x:c r="C46" s="5" t="e">
        <x:f aca="0">01_ビジョン原計画!C40</x:f>
        <x:v>#NAME?</x:v>
      </x:c>
      <x:c r="D46" s="5" t="e">
        <x:f aca="0">01_ビジョン原計画!D40</x:f>
        <x:v>#NAME?</x:v>
      </x:c>
      <x:c r="E46" s="5" t="e">
        <x:f aca="0">01_ビジョン原計画!E40</x:f>
        <x:v>#NAME?</x:v>
      </x:c>
      <x:c r="F46" s="5" t="e">
        <x:f aca="0">01_ビジョン原計画!F40</x:f>
        <x:v>#NAME?</x:v>
      </x:c>
      <x:c r="G46" s="5" t="e">
        <x:f aca="0">01_ビジョン原計画!G40</x:f>
        <x:v>#NAME?</x:v>
      </x:c>
      <x:c r="H46" s="5" t="e">
        <x:f aca="0">01_ビジョン原計画!H40</x:f>
        <x:v>#NAME?</x:v>
      </x:c>
      <x:c r="I46" s="5" t="e">
        <x:f aca="0">01_ビジョン原計画!I40</x:f>
        <x:v>#NAME?</x:v>
      </x:c>
      <x:c r="J46" s="5" t="e">
        <x:f aca="0">01_ビジョン原計画!J40</x:f>
        <x:v>#NAME?</x:v>
      </x:c>
      <x:c r="K46" s="5" t="e">
        <x:f aca="0">01_ビジョン原計画!K40</x:f>
        <x:v>#NAME?</x:v>
      </x:c>
    </x:row>
    <x:row r="47" ht="17.149999618530273" hidden="0">
      <x:c r="A47" s="6" t="s">
        <x:v>87</x:v>
      </x:c>
      <x:c r="B47" s="5" t="e">
        <x:f aca="0">01_ビジョン原計画!B41</x:f>
        <x:v>#NAME?</x:v>
      </x:c>
      <x:c r="C47" s="5" t="e">
        <x:f aca="0">01_ビジョン原計画!C41</x:f>
        <x:v>#NAME?</x:v>
      </x:c>
      <x:c r="D47" s="5" t="e">
        <x:f aca="0">01_ビジョン原計画!D41</x:f>
        <x:v>#NAME?</x:v>
      </x:c>
      <x:c r="E47" s="5" t="e">
        <x:f aca="0">01_ビジョン原計画!E41</x:f>
        <x:v>#NAME?</x:v>
      </x:c>
      <x:c r="F47" s="5" t="e">
        <x:f aca="0">01_ビジョン原計画!F41</x:f>
        <x:v>#NAME?</x:v>
      </x:c>
      <x:c r="G47" s="5" t="e">
        <x:f aca="0">01_ビジョン原計画!G41</x:f>
        <x:v>#NAME?</x:v>
      </x:c>
      <x:c r="H47" s="5" t="e">
        <x:f aca="0">01_ビジョン原計画!H41</x:f>
        <x:v>#NAME?</x:v>
      </x:c>
      <x:c r="I47" s="5" t="e">
        <x:f aca="0">01_ビジョン原計画!I41</x:f>
        <x:v>#NAME?</x:v>
      </x:c>
      <x:c r="J47" s="5" t="e">
        <x:f aca="0">01_ビジョン原計画!J41</x:f>
        <x:v>#NAME?</x:v>
      </x:c>
      <x:c r="K47" s="5" t="e">
        <x:f aca="0">01_ビジョン原計画!K41</x:f>
        <x:v>#NAME?</x:v>
      </x:c>
    </x:row>
    <x:row r="48" ht="15" hidden="0">
      <x:c r="A48" s="7"/>
      <x:c r="B48" s="5"/>
      <x:c r="C48" s="5"/>
      <x:c r="D48" s="5"/>
      <x:c r="E48" s="5"/>
      <x:c r="F48" s="5"/>
      <x:c r="G48" s="5"/>
      <x:c r="H48" s="5"/>
      <x:c r="I48" s="5"/>
      <x:c r="J48" s="5"/>
      <x:c r="K48" s="5"/>
    </x:row>
    <x:row r="49" ht="17.149999618530273" hidden="0">
      <x:c r="A49" s="42" t="s">
        <x:v>88</x:v>
      </x:c>
      <x:c r="B49" s="43"/>
      <x:c r="C49" s="43"/>
      <x:c r="D49" s="43"/>
      <x:c r="E49" s="43"/>
      <x:c r="F49" s="43"/>
      <x:c r="G49" s="43"/>
      <x:c r="H49" s="43"/>
      <x:c r="I49" s="43"/>
      <x:c r="J49" s="43"/>
      <x:c r="K49" s="43"/>
    </x:row>
    <x:row r="50" ht="17.149999618530273" hidden="0">
      <x:c r="A50" s="6" t="s">
        <x:v>89</x:v>
      </x:c>
      <x:c r="B50" s="5" t="e">
        <x:f aca="0">01_ビジョン原計画!B44</x:f>
        <x:v>#NAME?</x:v>
      </x:c>
      <x:c r="C50" s="5" t="e">
        <x:f aca="0">01_ビジョン原計画!C44</x:f>
        <x:v>#NAME?</x:v>
      </x:c>
      <x:c r="D50" s="5" t="e">
        <x:f aca="0">01_ビジョン原計画!D44</x:f>
        <x:v>#NAME?</x:v>
      </x:c>
      <x:c r="E50" s="5" t="e">
        <x:f aca="0">01_ビジョン原計画!E44</x:f>
        <x:v>#NAME?</x:v>
      </x:c>
      <x:c r="F50" s="5" t="e">
        <x:f aca="0">01_ビジョン原計画!F44</x:f>
        <x:v>#NAME?</x:v>
      </x:c>
      <x:c r="G50" s="5" t="e">
        <x:f aca="0">01_ビジョン原計画!G44</x:f>
        <x:v>#NAME?</x:v>
      </x:c>
      <x:c r="H50" s="5" t="e">
        <x:f aca="0">01_ビジョン原計画!H44</x:f>
        <x:v>#NAME?</x:v>
      </x:c>
      <x:c r="I50" s="5" t="e">
        <x:f aca="0">01_ビジョン原計画!I44</x:f>
        <x:v>#NAME?</x:v>
      </x:c>
      <x:c r="J50" s="5" t="e">
        <x:f aca="0">01_ビジョン原計画!J44</x:f>
        <x:v>#NAME?</x:v>
      </x:c>
      <x:c r="K50" s="5" t="e">
        <x:f aca="0">01_ビジョン原計画!K44</x:f>
        <x:v>#NAME?</x:v>
      </x:c>
    </x:row>
    <x:row r="51" ht="17.149999618530273" hidden="0">
      <x:c r="A51" s="6" t="s">
        <x:v>90</x:v>
      </x:c>
      <x:c r="B51" s="5" t="e">
        <x:f aca="0">01_ビジョン原計画!B45</x:f>
        <x:v>#NAME?</x:v>
      </x:c>
      <x:c r="C51" s="5" t="e">
        <x:f aca="0">01_ビジョン原計画!C45</x:f>
        <x:v>#NAME?</x:v>
      </x:c>
      <x:c r="D51" s="5" t="e">
        <x:f aca="0">01_ビジョン原計画!D45</x:f>
        <x:v>#NAME?</x:v>
      </x:c>
      <x:c r="E51" s="5" t="e">
        <x:f aca="0">01_ビジョン原計画!E45</x:f>
        <x:v>#NAME?</x:v>
      </x:c>
      <x:c r="F51" s="5" t="e">
        <x:f aca="0">01_ビジョン原計画!F45</x:f>
        <x:v>#NAME?</x:v>
      </x:c>
      <x:c r="G51" s="5" t="e">
        <x:f aca="0">01_ビジョン原計画!G45</x:f>
        <x:v>#NAME?</x:v>
      </x:c>
      <x:c r="H51" s="5" t="e">
        <x:f aca="0">01_ビジョン原計画!H45</x:f>
        <x:v>#NAME?</x:v>
      </x:c>
      <x:c r="I51" s="5" t="e">
        <x:f aca="0">01_ビジョン原計画!I45</x:f>
        <x:v>#NAME?</x:v>
      </x:c>
      <x:c r="J51" s="5" t="e">
        <x:f aca="0">01_ビジョン原計画!J45</x:f>
        <x:v>#NAME?</x:v>
      </x:c>
      <x:c r="K51" s="5" t="e">
        <x:f aca="0">01_ビジョン原計画!K45</x:f>
        <x:v>#NAME?</x:v>
      </x:c>
    </x:row>
    <x:row r="52" ht="17.149999618530273" hidden="0">
      <x:c r="A52" s="6" t="s">
        <x:v>91</x:v>
      </x:c>
      <x:c r="B52" s="5" t="e">
        <x:f aca="0">01_ビジョン原計画!B46</x:f>
        <x:v>#NAME?</x:v>
      </x:c>
      <x:c r="C52" s="5" t="e">
        <x:f aca="0">01_ビジョン原計画!C46</x:f>
        <x:v>#NAME?</x:v>
      </x:c>
      <x:c r="D52" s="5" t="e">
        <x:f aca="0">01_ビジョン原計画!D46</x:f>
        <x:v>#NAME?</x:v>
      </x:c>
      <x:c r="E52" s="5" t="e">
        <x:f aca="0">01_ビジョン原計画!E46</x:f>
        <x:v>#NAME?</x:v>
      </x:c>
      <x:c r="F52" s="5" t="e">
        <x:f aca="0">01_ビジョン原計画!F46</x:f>
        <x:v>#NAME?</x:v>
      </x:c>
      <x:c r="G52" s="5" t="e">
        <x:f aca="0">01_ビジョン原計画!G46</x:f>
        <x:v>#NAME?</x:v>
      </x:c>
      <x:c r="H52" s="5" t="e">
        <x:f aca="0">01_ビジョン原計画!H46</x:f>
        <x:v>#NAME?</x:v>
      </x:c>
      <x:c r="I52" s="5" t="e">
        <x:f aca="0">01_ビジョン原計画!I46</x:f>
        <x:v>#NAME?</x:v>
      </x:c>
      <x:c r="J52" s="5" t="e">
        <x:f aca="0">01_ビジョン原計画!J46</x:f>
        <x:v>#NAME?</x:v>
      </x:c>
      <x:c r="K52" s="5" t="e">
        <x:f aca="0">01_ビジョン原計画!K46</x:f>
        <x:v>#NAME?</x:v>
      </x:c>
    </x:row>
    <x:row r="53" ht="17.149999618530273" hidden="0">
      <x:c r="A53" s="6" t="s">
        <x:v>92</x:v>
      </x:c>
      <x:c r="B53" s="5" t="e">
        <x:f aca="0">01_ビジョン原計画!B47</x:f>
        <x:v>#NAME?</x:v>
      </x:c>
      <x:c r="C53" s="5" t="e">
        <x:f aca="0">01_ビジョン原計画!C47</x:f>
        <x:v>#NAME?</x:v>
      </x:c>
      <x:c r="D53" s="5" t="e">
        <x:f aca="0">01_ビジョン原計画!D47</x:f>
        <x:v>#NAME?</x:v>
      </x:c>
      <x:c r="E53" s="5" t="e">
        <x:f aca="0">01_ビジョン原計画!E47</x:f>
        <x:v>#NAME?</x:v>
      </x:c>
      <x:c r="F53" s="5" t="e">
        <x:f aca="0">01_ビジョン原計画!F47</x:f>
        <x:v>#NAME?</x:v>
      </x:c>
      <x:c r="G53" s="5" t="e">
        <x:f aca="0">01_ビジョン原計画!G47</x:f>
        <x:v>#NAME?</x:v>
      </x:c>
      <x:c r="H53" s="5" t="e">
        <x:f aca="0">01_ビジョン原計画!H47</x:f>
        <x:v>#NAME?</x:v>
      </x:c>
      <x:c r="I53" s="5" t="e">
        <x:f aca="0">01_ビジョン原計画!I47</x:f>
        <x:v>#NAME?</x:v>
      </x:c>
      <x:c r="J53" s="5" t="e">
        <x:f aca="0">01_ビジョン原計画!J47</x:f>
        <x:v>#NAME?</x:v>
      </x:c>
      <x:c r="K53" s="5" t="e">
        <x:f aca="0">01_ビジョン原計画!K47</x:f>
        <x:v>#NAME?</x:v>
      </x:c>
    </x:row>
    <x:row r="54" ht="32.79999923706055" hidden="0">
      <x:c r="A54" s="6" t="s">
        <x:v>93</x:v>
      </x:c>
      <x:c r="B54" s="5" t="e">
        <x:f aca="0">B40-B50</x:f>
        <x:v>#NAME?</x:v>
      </x:c>
      <x:c r="C54" s="5" t="e">
        <x:f aca="0">C40-C50</x:f>
        <x:v>#NAME?</x:v>
      </x:c>
      <x:c r="D54" s="5" t="e">
        <x:f aca="0">D40-D50</x:f>
        <x:v>#NAME?</x:v>
      </x:c>
      <x:c r="E54" s="5" t="e">
        <x:f aca="0">E40-E50</x:f>
        <x:v>#NAME?</x:v>
      </x:c>
      <x:c r="F54" s="5" t="e">
        <x:f aca="0">F40-F50</x:f>
        <x:v>#NAME?</x:v>
      </x:c>
      <x:c r="G54" s="5" t="e">
        <x:f aca="0">G40-G50</x:f>
        <x:v>#NAME?</x:v>
      </x:c>
      <x:c r="H54" s="5" t="e">
        <x:f aca="0">H40-H50</x:f>
        <x:v>#NAME?</x:v>
      </x:c>
      <x:c r="I54" s="5" t="e">
        <x:f aca="0">I40-I50</x:f>
        <x:v>#NAME?</x:v>
      </x:c>
      <x:c r="J54" s="5" t="e">
        <x:f aca="0">J40-J50</x:f>
        <x:v>#NAME?</x:v>
      </x:c>
      <x:c r="K54" s="5" t="e">
        <x:f aca="0">K40-K50</x:f>
        <x:v>#NAME?</x:v>
      </x:c>
    </x:row>
    <x:row r="55" ht="15" hidden="0">
      <x:c r="A55" s="7"/>
      <x:c r="B55" s="5"/>
      <x:c r="C55" s="5"/>
      <x:c r="D55" s="5"/>
      <x:c r="E55" s="5"/>
      <x:c r="F55" s="5"/>
      <x:c r="G55" s="5"/>
      <x:c r="H55" s="5"/>
      <x:c r="I55" s="5"/>
      <x:c r="J55" s="5"/>
      <x:c r="K55" s="5"/>
    </x:row>
    <x:row r="56" ht="17.149999618530273" hidden="0">
      <x:c r="A56" s="42" t="s">
        <x:v>157</x:v>
      </x:c>
      <x:c r="B56" s="43"/>
      <x:c r="C56" s="43"/>
      <x:c r="D56" s="43"/>
      <x:c r="E56" s="43"/>
      <x:c r="F56" s="43"/>
      <x:c r="G56" s="43"/>
      <x:c r="H56" s="43"/>
      <x:c r="I56" s="43"/>
      <x:c r="J56" s="43"/>
      <x:c r="K56" s="43"/>
    </x:row>
    <x:row r="57" ht="17.149999618530273" hidden="0">
      <x:c r="A57" s="6" t="s">
        <x:v>158</x:v>
      </x:c>
      <x:c r="B57" s="5" t="e">
        <x:f aca="0">B28+B21+B22-B14</x:f>
        <x:v>#NAME?</x:v>
      </x:c>
      <x:c r="C57" s="5" t="e">
        <x:f aca="0">C28+C21+C22-C14</x:f>
        <x:v>#NAME?</x:v>
      </x:c>
      <x:c r="D57" s="5" t="e">
        <x:f aca="0">D28+D21+D22-D14</x:f>
        <x:v>#NAME?</x:v>
      </x:c>
      <x:c r="E57" s="5" t="e">
        <x:f aca="0">E28+E21+E22-E14</x:f>
        <x:v>#NAME?</x:v>
      </x:c>
      <x:c r="F57" s="5" t="e">
        <x:f aca="0">F28+F21+F22-F14</x:f>
        <x:v>#NAME?</x:v>
      </x:c>
      <x:c r="G57" s="5" t="e">
        <x:f aca="0">G28+G21+G22-G14</x:f>
        <x:v>#NAME?</x:v>
      </x:c>
      <x:c r="H57" s="5" t="e">
        <x:f aca="0">H28+H21+H22-H14</x:f>
        <x:v>#NAME?</x:v>
      </x:c>
      <x:c r="I57" s="5" t="e">
        <x:f aca="0">I28+I21+I22-I14</x:f>
        <x:v>#NAME?</x:v>
      </x:c>
      <x:c r="J57" s="5" t="e">
        <x:f aca="0">J28+J21+J22-J14</x:f>
        <x:v>#NAME?</x:v>
      </x:c>
      <x:c r="K57" s="5" t="e">
        <x:f aca="0">K28+K21+K22-K14</x:f>
        <x:v>#NAME?</x:v>
      </x:c>
    </x:row>
    <x:row r="58" ht="17.149999618530273" hidden="0">
      <x:c r="A58" s="6" t="s">
        <x:v>159</x:v>
      </x:c>
      <x:c r="B58" s="5" t="e">
        <x:f aca="0">B54</x:f>
        <x:v>#NAME?</x:v>
      </x:c>
      <x:c r="C58" s="5" t="e">
        <x:f aca="0">C54</x:f>
        <x:v>#NAME?</x:v>
      </x:c>
      <x:c r="D58" s="5" t="e">
        <x:f aca="0">D54</x:f>
        <x:v>#NAME?</x:v>
      </x:c>
      <x:c r="E58" s="5" t="e">
        <x:f aca="0">E54</x:f>
        <x:v>#NAME?</x:v>
      </x:c>
      <x:c r="F58" s="5" t="e">
        <x:f aca="0">F54</x:f>
        <x:v>#NAME?</x:v>
      </x:c>
      <x:c r="G58" s="5" t="e">
        <x:f aca="0">G54</x:f>
        <x:v>#NAME?</x:v>
      </x:c>
      <x:c r="H58" s="5" t="e">
        <x:f aca="0">H54</x:f>
        <x:v>#NAME?</x:v>
      </x:c>
      <x:c r="I58" s="5" t="e">
        <x:f aca="0">I54</x:f>
        <x:v>#NAME?</x:v>
      </x:c>
      <x:c r="J58" s="5" t="e">
        <x:f aca="0">J54</x:f>
        <x:v>#NAME?</x:v>
      </x:c>
      <x:c r="K58" s="5" t="e">
        <x:f aca="0">K54</x:f>
        <x:v>#NAME?</x:v>
      </x:c>
    </x:row>
    <x:row r="59" ht="17.149999618530273" hidden="0">
      <x:c r="A59" s="6" t="s">
        <x:v>160</x:v>
      </x:c>
      <x:c r="B59" s="5" t="e">
        <x:f aca="0">00_前提・検証!$B$6</x:f>
        <x:v>#NAME?</x:v>
      </x:c>
      <x:c r="C59" s="5" t="e">
        <x:f aca="0">B59+C57+C58</x:f>
        <x:v>#NAME?</x:v>
      </x:c>
      <x:c r="D59" s="5" t="e">
        <x:f aca="0">C59+D57+D58</x:f>
        <x:v>#NAME?</x:v>
      </x:c>
      <x:c r="E59" s="5" t="e">
        <x:f aca="0">D59+E57+E58</x:f>
        <x:v>#NAME?</x:v>
      </x:c>
      <x:c r="F59" s="5" t="e">
        <x:f aca="0">E59+F57+F58</x:f>
        <x:v>#NAME?</x:v>
      </x:c>
      <x:c r="G59" s="5" t="e">
        <x:f aca="0">F59+G57+G58</x:f>
        <x:v>#NAME?</x:v>
      </x:c>
      <x:c r="H59" s="5" t="e">
        <x:f aca="0">G59+H57+H58</x:f>
        <x:v>#NAME?</x:v>
      </x:c>
      <x:c r="I59" s="5" t="e">
        <x:f aca="0">H59+I57+I58</x:f>
        <x:v>#NAME?</x:v>
      </x:c>
      <x:c r="J59" s="5" t="e">
        <x:f aca="0">I59+J57+J58</x:f>
        <x:v>#NAME?</x:v>
      </x:c>
      <x:c r="K59" s="5" t="e">
        <x:f aca="0">J59+K57+K58</x:f>
        <x:v>#NAME?</x:v>
      </x:c>
    </x:row>
    <x:row r="60" ht="17.149999618530273" hidden="0">
      <x:c r="A60" s="6" t="s">
        <x:v>161</x:v>
      </x:c>
      <x:c r="B60" s="5" t="e">
        <x:f aca="0">B59-00_前提・検証!$B$7</x:f>
        <x:v>#NAME?</x:v>
      </x:c>
      <x:c r="C60" s="5" t="e">
        <x:f aca="0">C59-00_前提・検証!$B$7</x:f>
        <x:v>#NAME?</x:v>
      </x:c>
      <x:c r="D60" s="5" t="e">
        <x:f aca="0">D59-00_前提・検証!$B$7</x:f>
        <x:v>#NAME?</x:v>
      </x:c>
      <x:c r="E60" s="5" t="e">
        <x:f aca="0">E59-00_前提・検証!$B$7</x:f>
        <x:v>#NAME?</x:v>
      </x:c>
      <x:c r="F60" s="5" t="e">
        <x:f aca="0">F59-00_前提・検証!$B$7</x:f>
        <x:v>#NAME?</x:v>
      </x:c>
      <x:c r="G60" s="5" t="e">
        <x:f aca="0">G59-00_前提・検証!$B$7</x:f>
        <x:v>#NAME?</x:v>
      </x:c>
      <x:c r="H60" s="5" t="e">
        <x:f aca="0">H59-00_前提・検証!$B$7</x:f>
        <x:v>#NAME?</x:v>
      </x:c>
      <x:c r="I60" s="5" t="e">
        <x:f aca="0">I59-00_前提・検証!$B$7</x:f>
        <x:v>#NAME?</x:v>
      </x:c>
      <x:c r="J60" s="5" t="e">
        <x:f aca="0">J59-00_前提・検証!$B$7</x:f>
        <x:v>#NAME?</x:v>
      </x:c>
      <x:c r="K60" s="5" t="e">
        <x:f aca="0">K59-00_前提・検証!$B$7</x:f>
        <x:v>#NAME?</x:v>
      </x:c>
    </x:row>
  </x:sheetData>
  <x:mergeCells>
    <x:mergeCell ref="A1:K1"/>
    <x:mergeCell ref="A2:K2"/>
  </x:mergeCells>
  <x:conditionalFormatting sqref="B37:K37">
    <x:cfRule type="expression" dxfId="0" priority="2" aboveAverage="0" percent="0" bottom="0" rank="0" equalAverage="0">
      <x:formula>B37&lt;&gt;"OK"</x:formula>
    </x:cfRule>
  </x:conditionalFormatting>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4" width="8.880000114440918" hidden="0" customWidth="1"/>
    <x:col min="5" max="11" width="9.75" hidden="0" customWidth="1"/>
  </x:cols>
  <x:sheetData>
    <x:row r="1" ht="21.600000381469727" hidden="0" customHeight="1">
      <x:c r="A1" s="31" t="s">
        <x:v>162</x:v>
      </x:c>
      <x:c r="B1" s="31"/>
      <x:c r="C1" s="31"/>
      <x:c r="D1" s="31"/>
      <x:c r="E1" s="31"/>
      <x:c r="F1" s="31"/>
      <x:c r="G1" s="31"/>
      <x:c r="H1" s="31"/>
      <x:c r="I1" s="31"/>
      <x:c r="J1" s="31"/>
      <x:c r="K1" s="31"/>
    </x:row>
    <x:row r="2" ht="17.149999618530273" hidden="0" customHeight="1">
      <x:c r="A2" s="32" t="s">
        <x:v>134</x:v>
      </x:c>
      <x:c r="B2" s="32"/>
      <x:c r="C2" s="32"/>
      <x:c r="D2" s="32"/>
      <x:c r="E2" s="32"/>
      <x:c r="F2" s="32"/>
      <x:c r="G2" s="32"/>
      <x:c r="H2" s="32"/>
      <x:c r="I2" s="32"/>
      <x:c r="J2" s="32"/>
      <x:c r="K2" s="32"/>
    </x:row>
    <x:row r="3" ht="32.79999923706055" hidden="0">
      <x:c r="A3" s="1" t="s">
        <x:v>41</x:v>
      </x:c>
      <x:c r="B3" s="1" t="s">
        <x:v>42</x:v>
      </x:c>
      <x:c r="C3" s="1" t="s">
        <x:v>43</x:v>
      </x:c>
      <x:c r="D3" s="1" t="s">
        <x:v>44</x:v>
      </x:c>
      <x:c r="E3" s="1" t="s">
        <x:v>45</x:v>
      </x:c>
      <x:c r="F3" s="1" t="s">
        <x:v>46</x:v>
      </x:c>
      <x:c r="G3" s="1" t="s">
        <x:v>47</x:v>
      </x:c>
      <x:c r="H3" s="1" t="s">
        <x:v>48</x:v>
      </x:c>
      <x:c r="I3" s="1" t="s">
        <x:v>49</x:v>
      </x:c>
      <x:c r="J3" s="1" t="s">
        <x:v>50</x:v>
      </x:c>
      <x:c r="K3" s="1" t="s">
        <x:v>51</x:v>
      </x:c>
    </x:row>
    <x:row r="4" ht="17.149999618530273" hidden="0">
      <x:c r="A4" s="6" t="s">
        <x:v>99</x:v>
      </x:c>
      <x:c r="B4" s="34" t="n">
        <x:v>0.01</x:v>
      </x:c>
      <x:c r="C4" s="34"/>
      <x:c r="D4" s="34"/>
      <x:c r="E4" s="34"/>
      <x:c r="F4" s="34"/>
      <x:c r="G4" s="34"/>
      <x:c r="H4" s="34"/>
      <x:c r="I4" s="34"/>
      <x:c r="J4" s="34"/>
      <x:c r="K4" s="34"/>
    </x:row>
    <x:row r="5" ht="17.149999618530273" hidden="0">
      <x:c r="A5" s="6" t="s">
        <x:v>135</x:v>
      </x:c>
      <x:c r="B5" s="5" t="e">
        <x:f aca="0">00_前提・検証!$B$2*$B$4</x:f>
        <x:v>#NAME?</x:v>
      </x:c>
      <x:c r="C5" s="34"/>
      <x:c r="D5" s="34"/>
      <x:c r="E5" s="34"/>
      <x:c r="F5" s="34"/>
      <x:c r="G5" s="34"/>
      <x:c r="H5" s="34"/>
      <x:c r="I5" s="34"/>
      <x:c r="J5" s="34"/>
      <x:c r="K5" s="34"/>
    </x:row>
    <x:row r="6" ht="17.149999618530273" hidden="0">
      <x:c r="A6" s="6" t="s">
        <x:v>136</x:v>
      </x:c>
      <x:c r="B6" s="34" t="e">
        <x:f aca="0">MAX(0,(SUMPRODUCT((01_ビジョン原計画!F18:J18+01_ビジョン原計画!F28:J28-01_ビジョン原計画!F12:J12-01_ビジョン原計画!F8:J8-01_ビジョン原計画!F11:J11+$B$5)-01_ビジョン原計画!F7:J7)/SUM(01_ビジョン原計画!F7:J7)))</x:f>
        <x:v>#NAME?</x:v>
      </x:c>
      <x:c r="C6" s="34"/>
      <x:c r="D6" s="34"/>
      <x:c r="E6" s="34"/>
      <x:c r="F6" s="34"/>
      <x:c r="G6" s="34"/>
      <x:c r="H6" s="34"/>
      <x:c r="I6" s="34"/>
      <x:c r="J6" s="34"/>
      <x:c r="K6" s="34"/>
    </x:row>
    <x:row r="7" ht="15" hidden="0">
      <x:c r="A7" s="7"/>
      <x:c r="B7" s="7"/>
      <x:c r="C7" s="7"/>
      <x:c r="D7" s="7"/>
      <x:c r="E7" s="7"/>
      <x:c r="F7" s="7"/>
      <x:c r="G7" s="7"/>
      <x:c r="H7" s="7"/>
      <x:c r="I7" s="7"/>
      <x:c r="J7" s="7"/>
      <x:c r="K7" s="7"/>
    </x:row>
    <x:row r="8" ht="17.149999618530273" hidden="0">
      <x:c r="A8" s="42" t="s">
        <x:v>52</x:v>
      </x:c>
      <x:c r="B8" s="43"/>
      <x:c r="C8" s="43"/>
      <x:c r="D8" s="43"/>
      <x:c r="E8" s="43"/>
      <x:c r="F8" s="43"/>
      <x:c r="G8" s="43"/>
      <x:c r="H8" s="43"/>
      <x:c r="I8" s="43"/>
      <x:c r="J8" s="43"/>
      <x:c r="K8" s="43"/>
    </x:row>
    <x:row r="9" ht="17.149999618530273" hidden="0">
      <x:c r="A9" s="6" t="s">
        <x:v>54</x:v>
      </x:c>
      <x:c r="B9" s="5" t="e">
        <x:f aca="0">SUM(B10:B12)</x:f>
        <x:v>#NAME?</x:v>
      </x:c>
      <x:c r="C9" s="5" t="e">
        <x:f aca="0">SUM(C10:C12)</x:f>
        <x:v>#NAME?</x:v>
      </x:c>
      <x:c r="D9" s="5" t="e">
        <x:f aca="0">SUM(D10:D12)</x:f>
        <x:v>#NAME?</x:v>
      </x:c>
      <x:c r="E9" s="5" t="e">
        <x:f aca="0">SUM(E10:E12)</x:f>
        <x:v>#NAME?</x:v>
      </x:c>
      <x:c r="F9" s="5" t="e">
        <x:f aca="0">SUM(F10:F12)</x:f>
        <x:v>#NAME?</x:v>
      </x:c>
      <x:c r="G9" s="5" t="e">
        <x:f aca="0">SUM(G10:G12)</x:f>
        <x:v>#NAME?</x:v>
      </x:c>
      <x:c r="H9" s="5" t="e">
        <x:f aca="0">SUM(H10:H12)</x:f>
        <x:v>#NAME?</x:v>
      </x:c>
      <x:c r="I9" s="5" t="e">
        <x:f aca="0">SUM(I10:I12)</x:f>
        <x:v>#NAME?</x:v>
      </x:c>
      <x:c r="J9" s="5" t="e">
        <x:f aca="0">SUM(J10:J12)</x:f>
        <x:v>#NAME?</x:v>
      </x:c>
      <x:c r="K9" s="5" t="e">
        <x:f aca="0">SUM(K10:K12)</x:f>
        <x:v>#NAME?</x:v>
      </x:c>
    </x:row>
    <x:row r="10" ht="17.149999618530273" hidden="0">
      <x:c r="A10" s="6" t="s">
        <x:v>137</x:v>
      </x:c>
      <x:c r="B10" s="5" t="e">
        <x:f aca="0">01_ビジョン原計画!B7*IF(7&gt;=11,1+$B$6,1)</x:f>
        <x:v>#NAME?</x:v>
      </x:c>
      <x:c r="C10" s="5" t="e">
        <x:f aca="0">01_ビジョン原計画!C7*IF(8&gt;=11,1+$B$6,1)</x:f>
        <x:v>#NAME?</x:v>
      </x:c>
      <x:c r="D10" s="5" t="e">
        <x:f aca="0">01_ビジョン原計画!D7*IF(9&gt;=11,1+$B$6,1)</x:f>
        <x:v>#NAME?</x:v>
      </x:c>
      <x:c r="E10" s="5" t="e">
        <x:f aca="0">01_ビジョン原計画!E7*IF(10&gt;=11,1+$B$6,1)</x:f>
        <x:v>#NAME?</x:v>
      </x:c>
      <x:c r="F10" s="5" t="e">
        <x:f aca="0">01_ビジョン原計画!F7*IF(11&gt;=11,1+$B$6,1)</x:f>
        <x:v>#NAME?</x:v>
      </x:c>
      <x:c r="G10" s="5" t="e">
        <x:f aca="0">01_ビジョン原計画!G7*IF(12&gt;=11,1+$B$6,1)</x:f>
        <x:v>#NAME?</x:v>
      </x:c>
      <x:c r="H10" s="5" t="e">
        <x:f aca="0">01_ビジョン原計画!H7*IF(13&gt;=11,1+$B$6,1)</x:f>
        <x:v>#NAME?</x:v>
      </x:c>
      <x:c r="I10" s="5" t="e">
        <x:f aca="0">01_ビジョン原計画!I7*IF(14&gt;=11,1+$B$6,1)</x:f>
        <x:v>#NAME?</x:v>
      </x:c>
      <x:c r="J10" s="5" t="e">
        <x:f aca="0">01_ビジョン原計画!J7*IF(15&gt;=11,1+$B$6,1)</x:f>
        <x:v>#NAME?</x:v>
      </x:c>
      <x:c r="K10" s="5" t="e">
        <x:f aca="0">01_ビジョン原計画!K7*IF(16&gt;=11,1+$B$6,1)</x:f>
        <x:v>#NAME?</x:v>
      </x:c>
    </x:row>
    <x:row r="11" ht="17.149999618530273" hidden="0">
      <x:c r="A11" s="6" t="s">
        <x:v>138</x:v>
      </x:c>
      <x:c r="B11" s="5" t="e">
        <x:f aca="0">B10-01_ビジョン原計画!B7</x:f>
        <x:v>#NAME?</x:v>
      </x:c>
      <x:c r="C11" s="5" t="e">
        <x:f aca="0">C10-01_ビジョン原計画!C7</x:f>
        <x:v>#NAME?</x:v>
      </x:c>
      <x:c r="D11" s="5" t="e">
        <x:f aca="0">D10-01_ビジョン原計画!D7</x:f>
        <x:v>#NAME?</x:v>
      </x:c>
      <x:c r="E11" s="5" t="e">
        <x:f aca="0">E10-01_ビジョン原計画!E7</x:f>
        <x:v>#NAME?</x:v>
      </x:c>
      <x:c r="F11" s="5" t="e">
        <x:f aca="0">F10-01_ビジョン原計画!F7</x:f>
        <x:v>#NAME?</x:v>
      </x:c>
      <x:c r="G11" s="5" t="e">
        <x:f aca="0">G10-01_ビジョン原計画!G7</x:f>
        <x:v>#NAME?</x:v>
      </x:c>
      <x:c r="H11" s="5" t="e">
        <x:f aca="0">H10-01_ビジョン原計画!H7</x:f>
        <x:v>#NAME?</x:v>
      </x:c>
      <x:c r="I11" s="5" t="e">
        <x:f aca="0">I10-01_ビジョン原計画!I7</x:f>
        <x:v>#NAME?</x:v>
      </x:c>
      <x:c r="J11" s="5" t="e">
        <x:f aca="0">J10-01_ビジョン原計画!J7</x:f>
        <x:v>#NAME?</x:v>
      </x:c>
      <x:c r="K11" s="5" t="e">
        <x:f aca="0">K10-01_ビジョン原計画!K7</x:f>
        <x:v>#NAME?</x:v>
      </x:c>
    </x:row>
    <x:row r="12" ht="17.149999618530273" hidden="0">
      <x:c r="A12" s="6" t="s">
        <x:v>139</x:v>
      </x:c>
      <x:c r="B12" s="5" t="e">
        <x:f aca="0">01_ビジョン原計画!B8</x:f>
        <x:v>#NAME?</x:v>
      </x:c>
      <x:c r="C12" s="5" t="e">
        <x:f aca="0">01_ビジョン原計画!C8</x:f>
        <x:v>#NAME?</x:v>
      </x:c>
      <x:c r="D12" s="5" t="e">
        <x:f aca="0">01_ビジョン原計画!D8</x:f>
        <x:v>#NAME?</x:v>
      </x:c>
      <x:c r="E12" s="5" t="e">
        <x:f aca="0">01_ビジョン原計画!E8</x:f>
        <x:v>#NAME?</x:v>
      </x:c>
      <x:c r="F12" s="5" t="e">
        <x:f aca="0">01_ビジョン原計画!F8</x:f>
        <x:v>#NAME?</x:v>
      </x:c>
      <x:c r="G12" s="5" t="e">
        <x:f aca="0">01_ビジョン原計画!G8</x:f>
        <x:v>#NAME?</x:v>
      </x:c>
      <x:c r="H12" s="5" t="e">
        <x:f aca="0">01_ビジョン原計画!H8</x:f>
        <x:v>#NAME?</x:v>
      </x:c>
      <x:c r="I12" s="5" t="e">
        <x:f aca="0">01_ビジョン原計画!I8</x:f>
        <x:v>#NAME?</x:v>
      </x:c>
      <x:c r="J12" s="5" t="e">
        <x:f aca="0">01_ビジョン原計画!J8</x:f>
        <x:v>#NAME?</x:v>
      </x:c>
      <x:c r="K12" s="5" t="e">
        <x:f aca="0">01_ビジョン原計画!K8</x:f>
        <x:v>#NAME?</x:v>
      </x:c>
    </x:row>
    <x:row r="13" ht="17.149999618530273" hidden="0">
      <x:c r="A13" s="6" t="s">
        <x:v>57</x:v>
      </x:c>
      <x:c r="B13" s="5" t="e">
        <x:f aca="0">01_ビジョン原計画!B9</x:f>
        <x:v>#NAME?</x:v>
      </x:c>
      <x:c r="C13" s="5" t="e">
        <x:f aca="0">01_ビジョン原計画!C9</x:f>
        <x:v>#NAME?</x:v>
      </x:c>
      <x:c r="D13" s="5" t="e">
        <x:f aca="0">01_ビジョン原計画!D9</x:f>
        <x:v>#NAME?</x:v>
      </x:c>
      <x:c r="E13" s="5" t="e">
        <x:f aca="0">01_ビジョン原計画!E9</x:f>
        <x:v>#NAME?</x:v>
      </x:c>
      <x:c r="F13" s="5" t="e">
        <x:f aca="0">01_ビジョン原計画!F9</x:f>
        <x:v>#NAME?</x:v>
      </x:c>
      <x:c r="G13" s="5" t="e">
        <x:f aca="0">01_ビジョン原計画!G9</x:f>
        <x:v>#NAME?</x:v>
      </x:c>
      <x:c r="H13" s="5" t="e">
        <x:f aca="0">01_ビジョン原計画!H9</x:f>
        <x:v>#NAME?</x:v>
      </x:c>
      <x:c r="I13" s="5" t="e">
        <x:f aca="0">01_ビジョン原計画!I9</x:f>
        <x:v>#NAME?</x:v>
      </x:c>
      <x:c r="J13" s="5" t="e">
        <x:f aca="0">01_ビジョン原計画!J9</x:f>
        <x:v>#NAME?</x:v>
      </x:c>
      <x:c r="K13" s="5" t="e">
        <x:f aca="0">01_ビジョン原計画!K9</x:f>
        <x:v>#NAME?</x:v>
      </x:c>
    </x:row>
    <x:row r="14" ht="17.149999618530273" hidden="0">
      <x:c r="A14" s="6" t="s">
        <x:v>140</x:v>
      </x:c>
      <x:c r="B14" s="5" t="e">
        <x:f aca="0">01_ビジョン原計画!B12</x:f>
        <x:v>#NAME?</x:v>
      </x:c>
      <x:c r="C14" s="5" t="e">
        <x:f aca="0">01_ビジョン原計画!C12</x:f>
        <x:v>#NAME?</x:v>
      </x:c>
      <x:c r="D14" s="5" t="e">
        <x:f aca="0">01_ビジョン原計画!D12</x:f>
        <x:v>#NAME?</x:v>
      </x:c>
      <x:c r="E14" s="5" t="e">
        <x:f aca="0">01_ビジョン原計画!E12</x:f>
        <x:v>#NAME?</x:v>
      </x:c>
      <x:c r="F14" s="5" t="e">
        <x:f aca="0">01_ビジョン原計画!F12</x:f>
        <x:v>#NAME?</x:v>
      </x:c>
      <x:c r="G14" s="5" t="e">
        <x:f aca="0">01_ビジョン原計画!G12</x:f>
        <x:v>#NAME?</x:v>
      </x:c>
      <x:c r="H14" s="5" t="e">
        <x:f aca="0">01_ビジョン原計画!H12</x:f>
        <x:v>#NAME?</x:v>
      </x:c>
      <x:c r="I14" s="5" t="e">
        <x:f aca="0">01_ビジョン原計画!I12</x:f>
        <x:v>#NAME?</x:v>
      </x:c>
      <x:c r="J14" s="5" t="e">
        <x:f aca="0">01_ビジョン原計画!J12</x:f>
        <x:v>#NAME?</x:v>
      </x:c>
      <x:c r="K14" s="5" t="e">
        <x:f aca="0">01_ビジョン原計画!K12</x:f>
        <x:v>#NAME?</x:v>
      </x:c>
    </x:row>
    <x:row r="15" ht="17.149999618530273" hidden="0">
      <x:c r="A15" s="6" t="s">
        <x:v>141</x:v>
      </x:c>
      <x:c r="B15" s="5" t="e">
        <x:f aca="0">01_ビジョン原計画!B11</x:f>
        <x:v>#NAME?</x:v>
      </x:c>
      <x:c r="C15" s="5" t="e">
        <x:f aca="0">01_ビジョン原計画!C11</x:f>
        <x:v>#NAME?</x:v>
      </x:c>
      <x:c r="D15" s="5" t="e">
        <x:f aca="0">01_ビジョン原計画!D11</x:f>
        <x:v>#NAME?</x:v>
      </x:c>
      <x:c r="E15" s="5" t="e">
        <x:f aca="0">01_ビジョン原計画!E11</x:f>
        <x:v>#NAME?</x:v>
      </x:c>
      <x:c r="F15" s="5" t="e">
        <x:f aca="0">01_ビジョン原計画!F11</x:f>
        <x:v>#NAME?</x:v>
      </x:c>
      <x:c r="G15" s="5" t="e">
        <x:f aca="0">01_ビジョン原計画!G11</x:f>
        <x:v>#NAME?</x:v>
      </x:c>
      <x:c r="H15" s="5" t="e">
        <x:f aca="0">01_ビジョン原計画!H11</x:f>
        <x:v>#NAME?</x:v>
      </x:c>
      <x:c r="I15" s="5" t="e">
        <x:f aca="0">01_ビジョン原計画!I11</x:f>
        <x:v>#NAME?</x:v>
      </x:c>
      <x:c r="J15" s="5" t="e">
        <x:f aca="0">01_ビジョン原計画!J11</x:f>
        <x:v>#NAME?</x:v>
      </x:c>
      <x:c r="K15" s="5" t="e">
        <x:f aca="0">01_ビジョン原計画!K11</x:f>
        <x:v>#NAME?</x:v>
      </x:c>
    </x:row>
    <x:row r="16" ht="17.149999618530273" hidden="0">
      <x:c r="A16" s="6" t="s">
        <x:v>62</x:v>
      </x:c>
      <x:c r="B16" s="5" t="e">
        <x:f aca="0">01_ビジョン原計画!B14</x:f>
        <x:v>#NAME?</x:v>
      </x:c>
      <x:c r="C16" s="5" t="e">
        <x:f aca="0">01_ビジョン原計画!C14</x:f>
        <x:v>#NAME?</x:v>
      </x:c>
      <x:c r="D16" s="5" t="e">
        <x:f aca="0">01_ビジョン原計画!D14</x:f>
        <x:v>#NAME?</x:v>
      </x:c>
      <x:c r="E16" s="5" t="e">
        <x:f aca="0">01_ビジョン原計画!E14</x:f>
        <x:v>#NAME?</x:v>
      </x:c>
      <x:c r="F16" s="5" t="e">
        <x:f aca="0">01_ビジョン原計画!F14</x:f>
        <x:v>#NAME?</x:v>
      </x:c>
      <x:c r="G16" s="5" t="e">
        <x:f aca="0">01_ビジョン原計画!G14</x:f>
        <x:v>#NAME?</x:v>
      </x:c>
      <x:c r="H16" s="5" t="e">
        <x:f aca="0">01_ビジョン原計画!H14</x:f>
        <x:v>#NAME?</x:v>
      </x:c>
      <x:c r="I16" s="5" t="e">
        <x:f aca="0">01_ビジョン原計画!I14</x:f>
        <x:v>#NAME?</x:v>
      </x:c>
      <x:c r="J16" s="5" t="e">
        <x:f aca="0">01_ビジョン原計画!J14</x:f>
        <x:v>#NAME?</x:v>
      </x:c>
      <x:c r="K16" s="5" t="e">
        <x:f aca="0">01_ビジョン原計画!K14</x:f>
        <x:v>#NAME?</x:v>
      </x:c>
    </x:row>
    <x:row r="17" ht="17.149999618530273" hidden="0">
      <x:c r="A17" s="6" t="s">
        <x:v>142</x:v>
      </x:c>
      <x:c r="B17" s="5" t="e">
        <x:f aca="0">SUM(B9,B13,B16)</x:f>
        <x:v>#NAME?</x:v>
      </x:c>
      <x:c r="C17" s="5" t="e">
        <x:f aca="0">SUM(C9,C13,C16)</x:f>
        <x:v>#NAME?</x:v>
      </x:c>
      <x:c r="D17" s="5" t="e">
        <x:f aca="0">SUM(D9,D13,D16)</x:f>
        <x:v>#NAME?</x:v>
      </x:c>
      <x:c r="E17" s="5" t="e">
        <x:f aca="0">SUM(E9,E13,E16)</x:f>
        <x:v>#NAME?</x:v>
      </x:c>
      <x:c r="F17" s="5" t="e">
        <x:f aca="0">SUM(F9,F13,F16)</x:f>
        <x:v>#NAME?</x:v>
      </x:c>
      <x:c r="G17" s="5" t="e">
        <x:f aca="0">SUM(G9,G13,G16)</x:f>
        <x:v>#NAME?</x:v>
      </x:c>
      <x:c r="H17" s="5" t="e">
        <x:f aca="0">SUM(H9,H13,H16)</x:f>
        <x:v>#NAME?</x:v>
      </x:c>
      <x:c r="I17" s="5" t="e">
        <x:f aca="0">SUM(I9,I13,I16)</x:f>
        <x:v>#NAME?</x:v>
      </x:c>
      <x:c r="J17" s="5" t="e">
        <x:f aca="0">SUM(J9,J13,J16)</x:f>
        <x:v>#NAME?</x:v>
      </x:c>
      <x:c r="K17" s="5" t="e">
        <x:f aca="0">SUM(K9,K13,K16)</x:f>
        <x:v>#NAME?</x:v>
      </x:c>
    </x:row>
    <x:row r="18" ht="15" hidden="0">
      <x:c r="A18" s="7"/>
      <x:c r="B18" s="5"/>
      <x:c r="C18" s="5"/>
      <x:c r="D18" s="5"/>
      <x:c r="E18" s="5"/>
      <x:c r="F18" s="5"/>
      <x:c r="G18" s="5"/>
      <x:c r="H18" s="5"/>
      <x:c r="I18" s="5"/>
      <x:c r="J18" s="5"/>
      <x:c r="K18" s="5"/>
    </x:row>
    <x:row r="19" ht="17.149999618530273" hidden="0">
      <x:c r="A19" s="42" t="s">
        <x:v>63</x:v>
      </x:c>
      <x:c r="B19" s="43"/>
      <x:c r="C19" s="43"/>
      <x:c r="D19" s="43"/>
      <x:c r="E19" s="43"/>
      <x:c r="F19" s="43"/>
      <x:c r="G19" s="43"/>
      <x:c r="H19" s="43"/>
      <x:c r="I19" s="43"/>
      <x:c r="J19" s="43"/>
      <x:c r="K19" s="43"/>
    </x:row>
    <x:row r="20" ht="17.149999618530273" hidden="0">
      <x:c r="A20" s="6" t="s">
        <x:v>65</x:v>
      </x:c>
      <x:c r="B20" s="5" t="e">
        <x:f aca="0">01_ビジョン原計画!B18</x:f>
        <x:v>#NAME?</x:v>
      </x:c>
      <x:c r="C20" s="5" t="e">
        <x:f aca="0">01_ビジョン原計画!C18</x:f>
        <x:v>#NAME?</x:v>
      </x:c>
      <x:c r="D20" s="5" t="e">
        <x:f aca="0">01_ビジョン原計画!D18</x:f>
        <x:v>#NAME?</x:v>
      </x:c>
      <x:c r="E20" s="5" t="e">
        <x:f aca="0">01_ビジョン原計画!E18</x:f>
        <x:v>#NAME?</x:v>
      </x:c>
      <x:c r="F20" s="5" t="e">
        <x:f aca="0">01_ビジョン原計画!F18</x:f>
        <x:v>#NAME?</x:v>
      </x:c>
      <x:c r="G20" s="5" t="e">
        <x:f aca="0">01_ビジョン原計画!G18</x:f>
        <x:v>#NAME?</x:v>
      </x:c>
      <x:c r="H20" s="5" t="e">
        <x:f aca="0">01_ビジョン原計画!H18</x:f>
        <x:v>#NAME?</x:v>
      </x:c>
      <x:c r="I20" s="5" t="e">
        <x:f aca="0">01_ビジョン原計画!I18</x:f>
        <x:v>#NAME?</x:v>
      </x:c>
      <x:c r="J20" s="5" t="e">
        <x:f aca="0">01_ビジョン原計画!J18</x:f>
        <x:v>#NAME?</x:v>
      </x:c>
      <x:c r="K20" s="5" t="e">
        <x:f aca="0">01_ビジョン原計画!K18</x:f>
        <x:v>#NAME?</x:v>
      </x:c>
    </x:row>
    <x:row r="21" ht="17.149999618530273" hidden="0">
      <x:c r="A21" s="6" t="s">
        <x:v>143</x:v>
      </x:c>
      <x:c r="B21" s="5" t="e">
        <x:f aca="0">01_ビジョン原計画!B25</x:f>
        <x:v>#NAME?</x:v>
      </x:c>
      <x:c r="C21" s="5" t="e">
        <x:f aca="0">01_ビジョン原計画!C25</x:f>
        <x:v>#NAME?</x:v>
      </x:c>
      <x:c r="D21" s="5" t="e">
        <x:f aca="0">01_ビジョン原計画!D25</x:f>
        <x:v>#NAME?</x:v>
      </x:c>
      <x:c r="E21" s="5" t="e">
        <x:f aca="0">01_ビジョン原計画!E25</x:f>
        <x:v>#NAME?</x:v>
      </x:c>
      <x:c r="F21" s="5" t="e">
        <x:f aca="0">01_ビジョン原計画!F25</x:f>
        <x:v>#NAME?</x:v>
      </x:c>
      <x:c r="G21" s="5" t="e">
        <x:f aca="0">01_ビジョン原計画!G25</x:f>
        <x:v>#NAME?</x:v>
      </x:c>
      <x:c r="H21" s="5" t="e">
        <x:f aca="0">01_ビジョン原計画!H25</x:f>
        <x:v>#NAME?</x:v>
      </x:c>
      <x:c r="I21" s="5" t="e">
        <x:f aca="0">01_ビジョン原計画!I25</x:f>
        <x:v>#NAME?</x:v>
      </x:c>
      <x:c r="J21" s="5" t="e">
        <x:f aca="0">01_ビジョン原計画!J25</x:f>
        <x:v>#NAME?</x:v>
      </x:c>
      <x:c r="K21" s="5" t="e">
        <x:f aca="0">01_ビジョン原計画!K25</x:f>
        <x:v>#NAME?</x:v>
      </x:c>
    </x:row>
    <x:row r="22" ht="17.149999618530273" hidden="0">
      <x:c r="A22" s="6" t="s">
        <x:v>144</x:v>
      </x:c>
      <x:c r="B22" s="5" t="e">
        <x:f aca="0">01_ビジョン原計画!B26</x:f>
        <x:v>#NAME?</x:v>
      </x:c>
      <x:c r="C22" s="5" t="e">
        <x:f aca="0">01_ビジョン原計画!C26</x:f>
        <x:v>#NAME?</x:v>
      </x:c>
      <x:c r="D22" s="5" t="e">
        <x:f aca="0">01_ビジョン原計画!D26</x:f>
        <x:v>#NAME?</x:v>
      </x:c>
      <x:c r="E22" s="5" t="e">
        <x:f aca="0">01_ビジョン原計画!E26</x:f>
        <x:v>#NAME?</x:v>
      </x:c>
      <x:c r="F22" s="5" t="e">
        <x:f aca="0">01_ビジョン原計画!F26</x:f>
        <x:v>#NAME?</x:v>
      </x:c>
      <x:c r="G22" s="5" t="e">
        <x:f aca="0">01_ビジョン原計画!G26</x:f>
        <x:v>#NAME?</x:v>
      </x:c>
      <x:c r="H22" s="5" t="e">
        <x:f aca="0">01_ビジョン原計画!H26</x:f>
        <x:v>#NAME?</x:v>
      </x:c>
      <x:c r="I22" s="5" t="e">
        <x:f aca="0">01_ビジョン原計画!I26</x:f>
        <x:v>#NAME?</x:v>
      </x:c>
      <x:c r="J22" s="5" t="e">
        <x:f aca="0">01_ビジョン原計画!J26</x:f>
        <x:v>#NAME?</x:v>
      </x:c>
      <x:c r="K22" s="5" t="e">
        <x:f aca="0">01_ビジョン原計画!K26</x:f>
        <x:v>#NAME?</x:v>
      </x:c>
    </x:row>
    <x:row r="23" ht="17.149999618530273" hidden="0">
      <x:c r="A23" s="6" t="s">
        <x:v>75</x:v>
      </x:c>
      <x:c r="B23" s="5" t="e">
        <x:f aca="0">01_ビジョン原計画!B28</x:f>
        <x:v>#NAME?</x:v>
      </x:c>
      <x:c r="C23" s="5" t="e">
        <x:f aca="0">01_ビジョン原計画!C28</x:f>
        <x:v>#NAME?</x:v>
      </x:c>
      <x:c r="D23" s="5" t="e">
        <x:f aca="0">01_ビジョン原計画!D28</x:f>
        <x:v>#NAME?</x:v>
      </x:c>
      <x:c r="E23" s="5" t="e">
        <x:f aca="0">01_ビジョン原計画!E28</x:f>
        <x:v>#NAME?</x:v>
      </x:c>
      <x:c r="F23" s="5" t="e">
        <x:f aca="0">01_ビジョン原計画!F28</x:f>
        <x:v>#NAME?</x:v>
      </x:c>
      <x:c r="G23" s="5" t="e">
        <x:f aca="0">01_ビジョン原計画!G28</x:f>
        <x:v>#NAME?</x:v>
      </x:c>
      <x:c r="H23" s="5" t="e">
        <x:f aca="0">01_ビジョン原計画!H28</x:f>
        <x:v>#NAME?</x:v>
      </x:c>
      <x:c r="I23" s="5" t="e">
        <x:f aca="0">01_ビジョン原計画!I28</x:f>
        <x:v>#NAME?</x:v>
      </x:c>
      <x:c r="J23" s="5" t="e">
        <x:f aca="0">01_ビジョン原計画!J28</x:f>
        <x:v>#NAME?</x:v>
      </x:c>
      <x:c r="K23" s="5" t="e">
        <x:f aca="0">01_ビジョン原計画!K28</x:f>
        <x:v>#NAME?</x:v>
      </x:c>
    </x:row>
    <x:row r="24" ht="17.149999618530273" hidden="0">
      <x:c r="A24" s="6" t="s">
        <x:v>145</x:v>
      </x:c>
      <x:c r="B24" s="5" t="e">
        <x:f aca="0">01_ビジョン原計画!B29</x:f>
        <x:v>#NAME?</x:v>
      </x:c>
      <x:c r="C24" s="5" t="e">
        <x:f aca="0">01_ビジョン原計画!C29</x:f>
        <x:v>#NAME?</x:v>
      </x:c>
      <x:c r="D24" s="5" t="e">
        <x:f aca="0">01_ビジョン原計画!D29</x:f>
        <x:v>#NAME?</x:v>
      </x:c>
      <x:c r="E24" s="5" t="e">
        <x:f aca="0">01_ビジョン原計画!E29</x:f>
        <x:v>#NAME?</x:v>
      </x:c>
      <x:c r="F24" s="5" t="e">
        <x:f aca="0">01_ビジョン原計画!F29</x:f>
        <x:v>#NAME?</x:v>
      </x:c>
      <x:c r="G24" s="5" t="e">
        <x:f aca="0">01_ビジョン原計画!G29</x:f>
        <x:v>#NAME?</x:v>
      </x:c>
      <x:c r="H24" s="5" t="e">
        <x:f aca="0">01_ビジョン原計画!H29</x:f>
        <x:v>#NAME?</x:v>
      </x:c>
      <x:c r="I24" s="5" t="e">
        <x:f aca="0">01_ビジョン原計画!I29</x:f>
        <x:v>#NAME?</x:v>
      </x:c>
      <x:c r="J24" s="5" t="e">
        <x:f aca="0">01_ビジョン原計画!J29</x:f>
        <x:v>#NAME?</x:v>
      </x:c>
      <x:c r="K24" s="5" t="e">
        <x:f aca="0">01_ビジョン原計画!K29</x:f>
        <x:v>#NAME?</x:v>
      </x:c>
    </x:row>
    <x:row r="25" ht="17.149999618530273" hidden="0">
      <x:c r="A25" s="6" t="s">
        <x:v>78</x:v>
      </x:c>
      <x:c r="B25" s="5" t="e">
        <x:f aca="0">01_ビジョン原計画!B31</x:f>
        <x:v>#NAME?</x:v>
      </x:c>
      <x:c r="C25" s="5" t="e">
        <x:f aca="0">01_ビジョン原計画!C31</x:f>
        <x:v>#NAME?</x:v>
      </x:c>
      <x:c r="D25" s="5" t="e">
        <x:f aca="0">01_ビジョン原計画!D31</x:f>
        <x:v>#NAME?</x:v>
      </x:c>
      <x:c r="E25" s="5" t="e">
        <x:f aca="0">01_ビジョン原計画!E31</x:f>
        <x:v>#NAME?</x:v>
      </x:c>
      <x:c r="F25" s="5" t="e">
        <x:f aca="0">01_ビジョン原計画!F31</x:f>
        <x:v>#NAME?</x:v>
      </x:c>
      <x:c r="G25" s="5" t="e">
        <x:f aca="0">01_ビジョン原計画!G31</x:f>
        <x:v>#NAME?</x:v>
      </x:c>
      <x:c r="H25" s="5" t="e">
        <x:f aca="0">01_ビジョン原計画!H31</x:f>
        <x:v>#NAME?</x:v>
      </x:c>
      <x:c r="I25" s="5" t="e">
        <x:f aca="0">01_ビジョン原計画!I31</x:f>
        <x:v>#NAME?</x:v>
      </x:c>
      <x:c r="J25" s="5" t="e">
        <x:f aca="0">01_ビジョン原計画!J31</x:f>
        <x:v>#NAME?</x:v>
      </x:c>
      <x:c r="K25" s="5" t="e">
        <x:f aca="0">01_ビジョン原計画!K31</x:f>
        <x:v>#NAME?</x:v>
      </x:c>
    </x:row>
    <x:row r="26" ht="17.149999618530273" hidden="0">
      <x:c r="A26" s="6" t="s">
        <x:v>146</x:v>
      </x:c>
      <x:c r="B26" s="5" t="e">
        <x:f aca="0">SUM(B20,B23,B25)</x:f>
        <x:v>#NAME?</x:v>
      </x:c>
      <x:c r="C26" s="5" t="e">
        <x:f aca="0">SUM(C20,C23,C25)</x:f>
        <x:v>#NAME?</x:v>
      </x:c>
      <x:c r="D26" s="5" t="e">
        <x:f aca="0">SUM(D20,D23,D25)</x:f>
        <x:v>#NAME?</x:v>
      </x:c>
      <x:c r="E26" s="5" t="e">
        <x:f aca="0">SUM(E20,E23,E25)</x:f>
        <x:v>#NAME?</x:v>
      </x:c>
      <x:c r="F26" s="5" t="e">
        <x:f aca="0">SUM(F20,F23,F25)</x:f>
        <x:v>#NAME?</x:v>
      </x:c>
      <x:c r="G26" s="5" t="e">
        <x:f aca="0">SUM(G20,G23,G25)</x:f>
        <x:v>#NAME?</x:v>
      </x:c>
      <x:c r="H26" s="5" t="e">
        <x:f aca="0">SUM(H20,H23,H25)</x:f>
        <x:v>#NAME?</x:v>
      </x:c>
      <x:c r="I26" s="5" t="e">
        <x:f aca="0">SUM(I20,I23,I25)</x:f>
        <x:v>#NAME?</x:v>
      </x:c>
      <x:c r="J26" s="5" t="e">
        <x:f aca="0">SUM(J20,J23,J25)</x:f>
        <x:v>#NAME?</x:v>
      </x:c>
      <x:c r="K26" s="5" t="e">
        <x:f aca="0">SUM(K20,K23,K25)</x:f>
        <x:v>#NAME?</x:v>
      </x:c>
    </x:row>
    <x:row r="27" ht="17.149999618530273" hidden="0">
      <x:c r="A27" s="6" t="s">
        <x:v>147</x:v>
      </x:c>
      <x:c r="B27" s="5" t="e">
        <x:f aca="0">SUM(B9,B13)-SUM(B20,B23)</x:f>
        <x:v>#NAME?</x:v>
      </x:c>
      <x:c r="C27" s="5" t="e">
        <x:f aca="0">SUM(C9,C13)-SUM(C20,C23)</x:f>
        <x:v>#NAME?</x:v>
      </x:c>
      <x:c r="D27" s="5" t="e">
        <x:f aca="0">SUM(D9,D13)-SUM(D20,D23)</x:f>
        <x:v>#NAME?</x:v>
      </x:c>
      <x:c r="E27" s="5" t="e">
        <x:f aca="0">SUM(E9,E13)-SUM(E20,E23)</x:f>
        <x:v>#NAME?</x:v>
      </x:c>
      <x:c r="F27" s="5" t="e">
        <x:f aca="0">SUM(F9,F13)-SUM(F20,F23)</x:f>
        <x:v>#NAME?</x:v>
      </x:c>
      <x:c r="G27" s="5" t="e">
        <x:f aca="0">SUM(G9,G13)-SUM(G20,G23)</x:f>
        <x:v>#NAME?</x:v>
      </x:c>
      <x:c r="H27" s="5" t="e">
        <x:f aca="0">SUM(H9,H13)-SUM(H20,H23)</x:f>
        <x:v>#NAME?</x:v>
      </x:c>
      <x:c r="I27" s="5" t="e">
        <x:f aca="0">SUM(I9,I13)-SUM(I20,I23)</x:f>
        <x:v>#NAME?</x:v>
      </x:c>
      <x:c r="J27" s="5" t="e">
        <x:f aca="0">SUM(J9,J13)-SUM(J20,J23)</x:f>
        <x:v>#NAME?</x:v>
      </x:c>
      <x:c r="K27" s="5" t="e">
        <x:f aca="0">SUM(K9,K13)-SUM(K20,K23)</x:f>
        <x:v>#NAME?</x:v>
      </x:c>
    </x:row>
    <x:row r="28" ht="17.149999618530273" hidden="0">
      <x:c r="A28" s="6" t="s">
        <x:v>148</x:v>
      </x:c>
      <x:c r="B28" s="5" t="e">
        <x:f aca="0">B27+B16-B25</x:f>
        <x:v>#NAME?</x:v>
      </x:c>
      <x:c r="C28" s="5" t="e">
        <x:f aca="0">C27+C16-C25</x:f>
        <x:v>#NAME?</x:v>
      </x:c>
      <x:c r="D28" s="5" t="e">
        <x:f aca="0">D27+D16-D25</x:f>
        <x:v>#NAME?</x:v>
      </x:c>
      <x:c r="E28" s="5" t="e">
        <x:f aca="0">E27+E16-E25</x:f>
        <x:v>#NAME?</x:v>
      </x:c>
      <x:c r="F28" s="5" t="e">
        <x:f aca="0">F27+F16-F25</x:f>
        <x:v>#NAME?</x:v>
      </x:c>
      <x:c r="G28" s="5" t="e">
        <x:f aca="0">G27+G16-G25</x:f>
        <x:v>#NAME?</x:v>
      </x:c>
      <x:c r="H28" s="5" t="e">
        <x:f aca="0">H27+H16-H25</x:f>
        <x:v>#NAME?</x:v>
      </x:c>
      <x:c r="I28" s="5" t="e">
        <x:f aca="0">I27+I16-I25</x:f>
        <x:v>#NAME?</x:v>
      </x:c>
      <x:c r="J28" s="5" t="e">
        <x:f aca="0">J27+J16-J25</x:f>
        <x:v>#NAME?</x:v>
      </x:c>
      <x:c r="K28" s="5" t="e">
        <x:f aca="0">K27+K16-K25</x:f>
        <x:v>#NAME?</x:v>
      </x:c>
    </x:row>
    <x:row r="29" ht="15" hidden="0">
      <x:c r="A29" s="7"/>
      <x:c r="B29" s="5"/>
      <x:c r="C29" s="5"/>
      <x:c r="D29" s="5"/>
      <x:c r="E29" s="5"/>
      <x:c r="F29" s="5"/>
      <x:c r="G29" s="5"/>
      <x:c r="H29" s="5"/>
      <x:c r="I29" s="5"/>
      <x:c r="J29" s="5"/>
      <x:c r="K29" s="5"/>
    </x:row>
    <x:row r="30" ht="17.149999618530273" hidden="0">
      <x:c r="A30" s="42" t="s">
        <x:v>149</x:v>
      </x:c>
      <x:c r="B30" s="43"/>
      <x:c r="C30" s="43"/>
      <x:c r="D30" s="43"/>
      <x:c r="E30" s="43"/>
      <x:c r="F30" s="43"/>
      <x:c r="G30" s="43"/>
      <x:c r="H30" s="43"/>
      <x:c r="I30" s="43"/>
      <x:c r="J30" s="43"/>
      <x:c r="K30" s="43"/>
    </x:row>
    <x:row r="31" ht="17.149999618530273" hidden="0">
      <x:c r="A31" s="6" t="s">
        <x:v>150</x:v>
      </x:c>
      <x:c r="B31" s="35" t="n">
        <x:f aca="0">IFERROR((SUM(B9,B13)/SUM(B20,B23))*100,0)</x:f>
        <x:v>0</x:v>
      </x:c>
      <x:c r="C31" s="35" t="n">
        <x:f aca="0">IFERROR((SUM(C9,C13)/SUM(C20,C23))*100,0)</x:f>
        <x:v>0</x:v>
      </x:c>
      <x:c r="D31" s="35" t="n">
        <x:f aca="0">IFERROR((SUM(D9,D13)/SUM(D20,D23))*100,0)</x:f>
        <x:v>0</x:v>
      </x:c>
      <x:c r="E31" s="35" t="n">
        <x:f aca="0">IFERROR((SUM(E9,E13)/SUM(E20,E23))*100,0)</x:f>
        <x:v>0</x:v>
      </x:c>
      <x:c r="F31" s="35" t="n">
        <x:f aca="0">IFERROR((SUM(F9,F13)/SUM(F20,F23))*100,0)</x:f>
        <x:v>0</x:v>
      </x:c>
      <x:c r="G31" s="35" t="n">
        <x:f aca="0">IFERROR((SUM(G9,G13)/SUM(G20,G23))*100,0)</x:f>
        <x:v>0</x:v>
      </x:c>
      <x:c r="H31" s="35" t="n">
        <x:f aca="0">IFERROR((SUM(H9,H13)/SUM(H20,H23))*100,0)</x:f>
        <x:v>0</x:v>
      </x:c>
      <x:c r="I31" s="35" t="n">
        <x:f aca="0">IFERROR((SUM(I9,I13)/SUM(I20,I23))*100,0)</x:f>
        <x:v>0</x:v>
      </x:c>
      <x:c r="J31" s="35" t="n">
        <x:f aca="0">IFERROR((SUM(J9,J13)/SUM(J20,J23))*100,0)</x:f>
        <x:v>0</x:v>
      </x:c>
      <x:c r="K31" s="35" t="n">
        <x:f aca="0">IFERROR((SUM(K9,K13)/SUM(K20,K23))*100,0)</x:f>
        <x:v>0</x:v>
      </x:c>
    </x:row>
    <x:row r="32" ht="17.149999618530273" hidden="0">
      <x:c r="A32" s="6" t="s">
        <x:v>151</x:v>
      </x:c>
      <x:c r="B32" s="35" t="n">
        <x:f aca="0">IFERROR(B10/B34*100,0)</x:f>
        <x:v>0</x:v>
      </x:c>
      <x:c r="C32" s="35" t="n">
        <x:f aca="0">IFERROR(C10/C34*100,0)</x:f>
        <x:v>0</x:v>
      </x:c>
      <x:c r="D32" s="35" t="n">
        <x:f aca="0">IFERROR(D10/D34*100,0)</x:f>
        <x:v>0</x:v>
      </x:c>
      <x:c r="E32" s="35" t="n">
        <x:f aca="0">IFERROR(E10/E34*100,0)</x:f>
        <x:v>0</x:v>
      </x:c>
      <x:c r="F32" s="35" t="n">
        <x:f aca="0">IFERROR(F10/F34*100,0)</x:f>
        <x:v>0</x:v>
      </x:c>
      <x:c r="G32" s="35" t="n">
        <x:f aca="0">IFERROR(G10/G34*100,0)</x:f>
        <x:v>0</x:v>
      </x:c>
      <x:c r="H32" s="35" t="n">
        <x:f aca="0">IFERROR(H10/H34*100,0)</x:f>
        <x:v>0</x:v>
      </x:c>
      <x:c r="I32" s="35" t="n">
        <x:f aca="0">IFERROR(I10/I34*100,0)</x:f>
        <x:v>0</x:v>
      </x:c>
      <x:c r="J32" s="35" t="n">
        <x:f aca="0">IFERROR(J10/J34*100,0)</x:f>
        <x:v>0</x:v>
      </x:c>
      <x:c r="K32" s="35" t="n">
        <x:f aca="0">IFERROR(K10/K34*100,0)</x:f>
        <x:v>0</x:v>
      </x:c>
    </x:row>
    <x:row r="33" ht="17.149999618530273" hidden="0">
      <x:c r="A33" s="6" t="s">
        <x:v>152</x:v>
      </x:c>
      <x:c r="B33" s="35" t="n">
        <x:f aca="0">IFERROR(B10/B35*100,0)</x:f>
        <x:v>0</x:v>
      </x:c>
      <x:c r="C33" s="35" t="n">
        <x:f aca="0">IFERROR(C10/C35*100,0)</x:f>
        <x:v>0</x:v>
      </x:c>
      <x:c r="D33" s="35" t="n">
        <x:f aca="0">IFERROR(D10/D35*100,0)</x:f>
        <x:v>0</x:v>
      </x:c>
      <x:c r="E33" s="35" t="n">
        <x:f aca="0">IFERROR(E10/E35*100,0)</x:f>
        <x:v>0</x:v>
      </x:c>
      <x:c r="F33" s="35" t="n">
        <x:f aca="0">IFERROR(F10/F35*100,0)</x:f>
        <x:v>0</x:v>
      </x:c>
      <x:c r="G33" s="35" t="n">
        <x:f aca="0">IFERROR(G10/G35*100,0)</x:f>
        <x:v>0</x:v>
      </x:c>
      <x:c r="H33" s="35" t="n">
        <x:f aca="0">IFERROR(H10/H35*100,0)</x:f>
        <x:v>0</x:v>
      </x:c>
      <x:c r="I33" s="35" t="n">
        <x:f aca="0">IFERROR(I10/I35*100,0)</x:f>
        <x:v>0</x:v>
      </x:c>
      <x:c r="J33" s="35" t="n">
        <x:f aca="0">IFERROR(J10/J35*100,0)</x:f>
        <x:v>0</x:v>
      </x:c>
      <x:c r="K33" s="35" t="n">
        <x:f aca="0">IFERROR(K10/K35*100,0)</x:f>
        <x:v>0</x:v>
      </x:c>
    </x:row>
    <x:row r="34" ht="17.149999618530273" hidden="0">
      <x:c r="A34" s="6" t="s">
        <x:v>153</x:v>
      </x:c>
      <x:c r="B34" s="5" t="e">
        <x:f aca="0">SUM(B20,B23)-B14</x:f>
        <x:v>#NAME?</x:v>
      </x:c>
      <x:c r="C34" s="5" t="e">
        <x:f aca="0">SUM(C20,C23)-C14</x:f>
        <x:v>#NAME?</x:v>
      </x:c>
      <x:c r="D34" s="5" t="e">
        <x:f aca="0">SUM(D20,D23)-D14</x:f>
        <x:v>#NAME?</x:v>
      </x:c>
      <x:c r="E34" s="5" t="e">
        <x:f aca="0">SUM(E20,E23)-E14</x:f>
        <x:v>#NAME?</x:v>
      </x:c>
      <x:c r="F34" s="5" t="e">
        <x:f aca="0">SUM(F20,F23)-F14</x:f>
        <x:v>#NAME?</x:v>
      </x:c>
      <x:c r="G34" s="5" t="e">
        <x:f aca="0">SUM(G20,G23)-G14</x:f>
        <x:v>#NAME?</x:v>
      </x:c>
      <x:c r="H34" s="5" t="e">
        <x:f aca="0">SUM(H20,H23)-H14</x:f>
        <x:v>#NAME?</x:v>
      </x:c>
      <x:c r="I34" s="5" t="e">
        <x:f aca="0">SUM(I20,I23)-I14</x:f>
        <x:v>#NAME?</x:v>
      </x:c>
      <x:c r="J34" s="5" t="e">
        <x:f aca="0">SUM(J20,J23)-J14</x:f>
        <x:v>#NAME?</x:v>
      </x:c>
      <x:c r="K34" s="5" t="e">
        <x:f aca="0">SUM(K20,K23)-K14</x:f>
        <x:v>#NAME?</x:v>
      </x:c>
    </x:row>
    <x:row r="35" ht="17.149999618530273" hidden="0">
      <x:c r="A35" s="6" t="s">
        <x:v>154</x:v>
      </x:c>
      <x:c r="B35" s="5" t="e">
        <x:f aca="0">B34+$B$5</x:f>
        <x:v>#NAME?</x:v>
      </x:c>
      <x:c r="C35" s="5" t="e">
        <x:f aca="0">C34+$B$5</x:f>
        <x:v>#NAME?</x:v>
      </x:c>
      <x:c r="D35" s="5" t="e">
        <x:f aca="0">D34+$B$5</x:f>
        <x:v>#NAME?</x:v>
      </x:c>
      <x:c r="E35" s="5" t="e">
        <x:f aca="0">E34+$B$5</x:f>
        <x:v>#NAME?</x:v>
      </x:c>
      <x:c r="F35" s="5" t="e">
        <x:f aca="0">F34+$B$5</x:f>
        <x:v>#NAME?</x:v>
      </x:c>
      <x:c r="G35" s="5" t="e">
        <x:f aca="0">G34+$B$5</x:f>
        <x:v>#NAME?</x:v>
      </x:c>
      <x:c r="H35" s="5" t="e">
        <x:f aca="0">H34+$B$5</x:f>
        <x:v>#NAME?</x:v>
      </x:c>
      <x:c r="I35" s="5" t="e">
        <x:f aca="0">I34+$B$5</x:f>
        <x:v>#NAME?</x:v>
      </x:c>
      <x:c r="J35" s="5" t="e">
        <x:f aca="0">J34+$B$5</x:f>
        <x:v>#NAME?</x:v>
      </x:c>
      <x:c r="K35" s="5" t="e">
        <x:f aca="0">K34+$B$5</x:f>
        <x:v>#NAME?</x:v>
      </x:c>
    </x:row>
    <x:row r="36" ht="17.149999618530273" hidden="0">
      <x:c r="A36" s="6" t="s">
        <x:v>155</x:v>
      </x:c>
      <x:c r="B36" s="35" t="n">
        <x:f aca="0">IFERROR(B10/(B20+B23-B14-B12-B15+$B$5)*100,0)</x:f>
        <x:v>0</x:v>
      </x:c>
      <x:c r="C36" s="35" t="n">
        <x:f aca="0">IFERROR(C10/(C20+C23-C14-C12-C15+$B$5)*100,0)</x:f>
        <x:v>0</x:v>
      </x:c>
      <x:c r="D36" s="35" t="n">
        <x:f aca="0">IFERROR(D10/(D20+D23-D14-D12-D15+$B$5)*100,0)</x:f>
        <x:v>0</x:v>
      </x:c>
      <x:c r="E36" s="35" t="n">
        <x:f aca="0">IFERROR(E10/(E20+E23-E14-E12-E15+$B$5)*100,0)</x:f>
        <x:v>0</x:v>
      </x:c>
      <x:c r="F36" s="35" t="n">
        <x:f aca="0">IFERROR(F10/(F20+F23-F14-F12-F15+$B$5)*100,0)</x:f>
        <x:v>0</x:v>
      </x:c>
      <x:c r="G36" s="35" t="n">
        <x:f aca="0">IFERROR(G10/(G20+G23-G14-G12-G15+$B$5)*100,0)</x:f>
        <x:v>0</x:v>
      </x:c>
      <x:c r="H36" s="35" t="n">
        <x:f aca="0">IFERROR(H10/(H20+H23-H14-H12-H15+$B$5)*100,0)</x:f>
        <x:v>0</x:v>
      </x:c>
      <x:c r="I36" s="35" t="n">
        <x:f aca="0">IFERROR(I10/(I20+I23-I14-I12-I15+$B$5)*100,0)</x:f>
        <x:v>0</x:v>
      </x:c>
      <x:c r="J36" s="35" t="n">
        <x:f aca="0">IFERROR(J10/(J20+J23-J14-J12-J15+$B$5)*100,0)</x:f>
        <x:v>0</x:v>
      </x:c>
      <x:c r="K36" s="35" t="n">
        <x:f aca="0">IFERROR(K10/(K20+K23-K14-K12-K15+$B$5)*100,0)</x:f>
        <x:v>0</x:v>
      </x:c>
    </x:row>
    <x:row r="37" ht="17.149999618530273" hidden="0">
      <x:c r="A37" s="6" t="s">
        <x:v>156</x:v>
      </x:c>
      <x:c r="B37" s="5" t="str">
        <x:f aca="0">IF(B33&lt;=B32,"OK","要確認")</x:f>
        <x:v>OK</x:v>
      </x:c>
      <x:c r="C37" s="5" t="str">
        <x:f aca="0">IF(C33&lt;=C32,"OK","要確認")</x:f>
        <x:v>OK</x:v>
      </x:c>
      <x:c r="D37" s="5" t="str">
        <x:f aca="0">IF(D33&lt;=D32,"OK","要確認")</x:f>
        <x:v>OK</x:v>
      </x:c>
      <x:c r="E37" s="5" t="str">
        <x:f aca="0">IF(E33&lt;=E32,"OK","要確認")</x:f>
        <x:v>OK</x:v>
      </x:c>
      <x:c r="F37" s="5" t="str">
        <x:f aca="0">IF(F33&lt;=F32,"OK","要確認")</x:f>
        <x:v>OK</x:v>
      </x:c>
      <x:c r="G37" s="5" t="str">
        <x:f aca="0">IF(G33&lt;=G32,"OK","要確認")</x:f>
        <x:v>OK</x:v>
      </x:c>
      <x:c r="H37" s="5" t="str">
        <x:f aca="0">IF(H33&lt;=H32,"OK","要確認")</x:f>
        <x:v>OK</x:v>
      </x:c>
      <x:c r="I37" s="5" t="str">
        <x:f aca="0">IF(I33&lt;=I32,"OK","要確認")</x:f>
        <x:v>OK</x:v>
      </x:c>
      <x:c r="J37" s="5" t="str">
        <x:f aca="0">IF(J33&lt;=J32,"OK","要確認")</x:f>
        <x:v>OK</x:v>
      </x:c>
      <x:c r="K37" s="5" t="str">
        <x:f aca="0">IF(K33&lt;=K32,"OK","要確認")</x:f>
        <x:v>OK</x:v>
      </x:c>
    </x:row>
    <x:row r="38" ht="15" hidden="0">
      <x:c r="A38" s="7"/>
      <x:c r="B38" s="5"/>
      <x:c r="C38" s="5"/>
      <x:c r="D38" s="5"/>
      <x:c r="E38" s="5"/>
      <x:c r="F38" s="5"/>
      <x:c r="G38" s="5"/>
      <x:c r="H38" s="5"/>
      <x:c r="I38" s="5"/>
      <x:c r="J38" s="5"/>
      <x:c r="K38" s="5"/>
    </x:row>
    <x:row r="39" ht="17.149999618530273" hidden="0">
      <x:c r="A39" s="42" t="s">
        <x:v>79</x:v>
      </x:c>
      <x:c r="B39" s="43"/>
      <x:c r="C39" s="43"/>
      <x:c r="D39" s="43"/>
      <x:c r="E39" s="43"/>
      <x:c r="F39" s="43"/>
      <x:c r="G39" s="43"/>
      <x:c r="H39" s="43"/>
      <x:c r="I39" s="43"/>
      <x:c r="J39" s="43"/>
      <x:c r="K39" s="43"/>
    </x:row>
    <x:row r="40" ht="17.149999618530273" hidden="0">
      <x:c r="A40" s="6" t="s">
        <x:v>80</x:v>
      </x:c>
      <x:c r="B40" s="5" t="e">
        <x:f aca="0">01_ビジョン原計画!B34</x:f>
        <x:v>#NAME?</x:v>
      </x:c>
      <x:c r="C40" s="5" t="e">
        <x:f aca="0">01_ビジョン原計画!C34</x:f>
        <x:v>#NAME?</x:v>
      </x:c>
      <x:c r="D40" s="5" t="e">
        <x:f aca="0">01_ビジョン原計画!D34</x:f>
        <x:v>#NAME?</x:v>
      </x:c>
      <x:c r="E40" s="5" t="e">
        <x:f aca="0">01_ビジョン原計画!E34</x:f>
        <x:v>#NAME?</x:v>
      </x:c>
      <x:c r="F40" s="5" t="e">
        <x:f aca="0">01_ビジョン原計画!F34</x:f>
        <x:v>#NAME?</x:v>
      </x:c>
      <x:c r="G40" s="5" t="e">
        <x:f aca="0">01_ビジョン原計画!G34</x:f>
        <x:v>#NAME?</x:v>
      </x:c>
      <x:c r="H40" s="5" t="e">
        <x:f aca="0">01_ビジョン原計画!H34</x:f>
        <x:v>#NAME?</x:v>
      </x:c>
      <x:c r="I40" s="5" t="e">
        <x:f aca="0">01_ビジョン原計画!I34</x:f>
        <x:v>#NAME?</x:v>
      </x:c>
      <x:c r="J40" s="5" t="e">
        <x:f aca="0">01_ビジョン原計画!J34</x:f>
        <x:v>#NAME?</x:v>
      </x:c>
      <x:c r="K40" s="5" t="e">
        <x:f aca="0">01_ビジョン原計画!K34</x:f>
        <x:v>#NAME?</x:v>
      </x:c>
    </x:row>
    <x:row r="41" ht="17.149999618530273" hidden="0">
      <x:c r="A41" s="6" t="s">
        <x:v>81</x:v>
      </x:c>
      <x:c r="B41" s="5" t="e">
        <x:f aca="0">01_ビジョン原計画!B35</x:f>
        <x:v>#NAME?</x:v>
      </x:c>
      <x:c r="C41" s="5" t="e">
        <x:f aca="0">01_ビジョン原計画!C35</x:f>
        <x:v>#NAME?</x:v>
      </x:c>
      <x:c r="D41" s="5" t="e">
        <x:f aca="0">01_ビジョン原計画!D35</x:f>
        <x:v>#NAME?</x:v>
      </x:c>
      <x:c r="E41" s="5" t="e">
        <x:f aca="0">01_ビジョン原計画!E35</x:f>
        <x:v>#NAME?</x:v>
      </x:c>
      <x:c r="F41" s="5" t="e">
        <x:f aca="0">01_ビジョン原計画!F35</x:f>
        <x:v>#NAME?</x:v>
      </x:c>
      <x:c r="G41" s="5" t="e">
        <x:f aca="0">01_ビジョン原計画!G35</x:f>
        <x:v>#NAME?</x:v>
      </x:c>
      <x:c r="H41" s="5" t="e">
        <x:f aca="0">01_ビジョン原計画!H35</x:f>
        <x:v>#NAME?</x:v>
      </x:c>
      <x:c r="I41" s="5" t="e">
        <x:f aca="0">01_ビジョン原計画!I35</x:f>
        <x:v>#NAME?</x:v>
      </x:c>
      <x:c r="J41" s="5" t="e">
        <x:f aca="0">01_ビジョン原計画!J35</x:f>
        <x:v>#NAME?</x:v>
      </x:c>
      <x:c r="K41" s="5" t="e">
        <x:f aca="0">01_ビジョン原計画!K35</x:f>
        <x:v>#NAME?</x:v>
      </x:c>
    </x:row>
    <x:row r="42" ht="17.149999618530273" hidden="0">
      <x:c r="A42" s="6" t="s">
        <x:v>82</x:v>
      </x:c>
      <x:c r="B42" s="5" t="e">
        <x:f aca="0">01_ビジョン原計画!B36</x:f>
        <x:v>#NAME?</x:v>
      </x:c>
      <x:c r="C42" s="5" t="e">
        <x:f aca="0">01_ビジョン原計画!C36</x:f>
        <x:v>#NAME?</x:v>
      </x:c>
      <x:c r="D42" s="5" t="e">
        <x:f aca="0">01_ビジョン原計画!D36</x:f>
        <x:v>#NAME?</x:v>
      </x:c>
      <x:c r="E42" s="5" t="e">
        <x:f aca="0">01_ビジョン原計画!E36</x:f>
        <x:v>#NAME?</x:v>
      </x:c>
      <x:c r="F42" s="5" t="e">
        <x:f aca="0">01_ビジョン原計画!F36</x:f>
        <x:v>#NAME?</x:v>
      </x:c>
      <x:c r="G42" s="5" t="e">
        <x:f aca="0">01_ビジョン原計画!G36</x:f>
        <x:v>#NAME?</x:v>
      </x:c>
      <x:c r="H42" s="5" t="e">
        <x:f aca="0">01_ビジョン原計画!H36</x:f>
        <x:v>#NAME?</x:v>
      </x:c>
      <x:c r="I42" s="5" t="e">
        <x:f aca="0">01_ビジョン原計画!I36</x:f>
        <x:v>#NAME?</x:v>
      </x:c>
      <x:c r="J42" s="5" t="e">
        <x:f aca="0">01_ビジョン原計画!J36</x:f>
        <x:v>#NAME?</x:v>
      </x:c>
      <x:c r="K42" s="5" t="e">
        <x:f aca="0">01_ビジョン原計画!K36</x:f>
        <x:v>#NAME?</x:v>
      </x:c>
    </x:row>
    <x:row r="43" ht="17.149999618530273" hidden="0">
      <x:c r="A43" s="6" t="s">
        <x:v>83</x:v>
      </x:c>
      <x:c r="B43" s="5" t="e">
        <x:f aca="0">01_ビジョン原計画!B37</x:f>
        <x:v>#NAME?</x:v>
      </x:c>
      <x:c r="C43" s="5" t="e">
        <x:f aca="0">01_ビジョン原計画!C37</x:f>
        <x:v>#NAME?</x:v>
      </x:c>
      <x:c r="D43" s="5" t="e">
        <x:f aca="0">01_ビジョン原計画!D37</x:f>
        <x:v>#NAME?</x:v>
      </x:c>
      <x:c r="E43" s="5" t="e">
        <x:f aca="0">01_ビジョン原計画!E37</x:f>
        <x:v>#NAME?</x:v>
      </x:c>
      <x:c r="F43" s="5" t="e">
        <x:f aca="0">01_ビジョン原計画!F37</x:f>
        <x:v>#NAME?</x:v>
      </x:c>
      <x:c r="G43" s="5" t="e">
        <x:f aca="0">01_ビジョン原計画!G37</x:f>
        <x:v>#NAME?</x:v>
      </x:c>
      <x:c r="H43" s="5" t="e">
        <x:f aca="0">01_ビジョン原計画!H37</x:f>
        <x:v>#NAME?</x:v>
      </x:c>
      <x:c r="I43" s="5" t="e">
        <x:f aca="0">01_ビジョン原計画!I37</x:f>
        <x:v>#NAME?</x:v>
      </x:c>
      <x:c r="J43" s="5" t="e">
        <x:f aca="0">01_ビジョン原計画!J37</x:f>
        <x:v>#NAME?</x:v>
      </x:c>
      <x:c r="K43" s="5" t="e">
        <x:f aca="0">01_ビジョン原計画!K37</x:f>
        <x:v>#NAME?</x:v>
      </x:c>
    </x:row>
    <x:row r="44" ht="17.149999618530273" hidden="0">
      <x:c r="A44" s="6" t="s">
        <x:v>84</x:v>
      </x:c>
      <x:c r="B44" s="5" t="e">
        <x:f aca="0">01_ビジョン原計画!B38</x:f>
        <x:v>#NAME?</x:v>
      </x:c>
      <x:c r="C44" s="5" t="e">
        <x:f aca="0">01_ビジョン原計画!C38</x:f>
        <x:v>#NAME?</x:v>
      </x:c>
      <x:c r="D44" s="5" t="e">
        <x:f aca="0">01_ビジョン原計画!D38</x:f>
        <x:v>#NAME?</x:v>
      </x:c>
      <x:c r="E44" s="5" t="e">
        <x:f aca="0">01_ビジョン原計画!E38</x:f>
        <x:v>#NAME?</x:v>
      </x:c>
      <x:c r="F44" s="5" t="e">
        <x:f aca="0">01_ビジョン原計画!F38</x:f>
        <x:v>#NAME?</x:v>
      </x:c>
      <x:c r="G44" s="5" t="e">
        <x:f aca="0">01_ビジョン原計画!G38</x:f>
        <x:v>#NAME?</x:v>
      </x:c>
      <x:c r="H44" s="5" t="e">
        <x:f aca="0">01_ビジョン原計画!H38</x:f>
        <x:v>#NAME?</x:v>
      </x:c>
      <x:c r="I44" s="5" t="e">
        <x:f aca="0">01_ビジョン原計画!I38</x:f>
        <x:v>#NAME?</x:v>
      </x:c>
      <x:c r="J44" s="5" t="e">
        <x:f aca="0">01_ビジョン原計画!J38</x:f>
        <x:v>#NAME?</x:v>
      </x:c>
      <x:c r="K44" s="5" t="e">
        <x:f aca="0">01_ビジョン原計画!K38</x:f>
        <x:v>#NAME?</x:v>
      </x:c>
    </x:row>
    <x:row r="45" ht="17.149999618530273" hidden="0">
      <x:c r="A45" s="6" t="s">
        <x:v>85</x:v>
      </x:c>
      <x:c r="B45" s="5" t="e">
        <x:f aca="0">01_ビジョン原計画!B39</x:f>
        <x:v>#NAME?</x:v>
      </x:c>
      <x:c r="C45" s="5" t="e">
        <x:f aca="0">01_ビジョン原計画!C39</x:f>
        <x:v>#NAME?</x:v>
      </x:c>
      <x:c r="D45" s="5" t="e">
        <x:f aca="0">01_ビジョン原計画!D39</x:f>
        <x:v>#NAME?</x:v>
      </x:c>
      <x:c r="E45" s="5" t="e">
        <x:f aca="0">01_ビジョン原計画!E39</x:f>
        <x:v>#NAME?</x:v>
      </x:c>
      <x:c r="F45" s="5" t="e">
        <x:f aca="0">01_ビジョン原計画!F39</x:f>
        <x:v>#NAME?</x:v>
      </x:c>
      <x:c r="G45" s="5" t="e">
        <x:f aca="0">01_ビジョン原計画!G39</x:f>
        <x:v>#NAME?</x:v>
      </x:c>
      <x:c r="H45" s="5" t="e">
        <x:f aca="0">01_ビジョン原計画!H39</x:f>
        <x:v>#NAME?</x:v>
      </x:c>
      <x:c r="I45" s="5" t="e">
        <x:f aca="0">01_ビジョン原計画!I39</x:f>
        <x:v>#NAME?</x:v>
      </x:c>
      <x:c r="J45" s="5" t="e">
        <x:f aca="0">01_ビジョン原計画!J39</x:f>
        <x:v>#NAME?</x:v>
      </x:c>
      <x:c r="K45" s="5" t="e">
        <x:f aca="0">01_ビジョン原計画!K39</x:f>
        <x:v>#NAME?</x:v>
      </x:c>
    </x:row>
    <x:row r="46" ht="17.149999618530273" hidden="0">
      <x:c r="A46" s="6" t="s">
        <x:v>86</x:v>
      </x:c>
      <x:c r="B46" s="5" t="e">
        <x:f aca="0">01_ビジョン原計画!B40</x:f>
        <x:v>#NAME?</x:v>
      </x:c>
      <x:c r="C46" s="5" t="e">
        <x:f aca="0">01_ビジョン原計画!C40</x:f>
        <x:v>#NAME?</x:v>
      </x:c>
      <x:c r="D46" s="5" t="e">
        <x:f aca="0">01_ビジョン原計画!D40</x:f>
        <x:v>#NAME?</x:v>
      </x:c>
      <x:c r="E46" s="5" t="e">
        <x:f aca="0">01_ビジョン原計画!E40</x:f>
        <x:v>#NAME?</x:v>
      </x:c>
      <x:c r="F46" s="5" t="e">
        <x:f aca="0">01_ビジョン原計画!F40</x:f>
        <x:v>#NAME?</x:v>
      </x:c>
      <x:c r="G46" s="5" t="e">
        <x:f aca="0">01_ビジョン原計画!G40</x:f>
        <x:v>#NAME?</x:v>
      </x:c>
      <x:c r="H46" s="5" t="e">
        <x:f aca="0">01_ビジョン原計画!H40</x:f>
        <x:v>#NAME?</x:v>
      </x:c>
      <x:c r="I46" s="5" t="e">
        <x:f aca="0">01_ビジョン原計画!I40</x:f>
        <x:v>#NAME?</x:v>
      </x:c>
      <x:c r="J46" s="5" t="e">
        <x:f aca="0">01_ビジョン原計画!J40</x:f>
        <x:v>#NAME?</x:v>
      </x:c>
      <x:c r="K46" s="5" t="e">
        <x:f aca="0">01_ビジョン原計画!K40</x:f>
        <x:v>#NAME?</x:v>
      </x:c>
    </x:row>
    <x:row r="47" ht="17.149999618530273" hidden="0">
      <x:c r="A47" s="6" t="s">
        <x:v>87</x:v>
      </x:c>
      <x:c r="B47" s="5" t="e">
        <x:f aca="0">01_ビジョン原計画!B41</x:f>
        <x:v>#NAME?</x:v>
      </x:c>
      <x:c r="C47" s="5" t="e">
        <x:f aca="0">01_ビジョン原計画!C41</x:f>
        <x:v>#NAME?</x:v>
      </x:c>
      <x:c r="D47" s="5" t="e">
        <x:f aca="0">01_ビジョン原計画!D41</x:f>
        <x:v>#NAME?</x:v>
      </x:c>
      <x:c r="E47" s="5" t="e">
        <x:f aca="0">01_ビジョン原計画!E41</x:f>
        <x:v>#NAME?</x:v>
      </x:c>
      <x:c r="F47" s="5" t="e">
        <x:f aca="0">01_ビジョン原計画!F41</x:f>
        <x:v>#NAME?</x:v>
      </x:c>
      <x:c r="G47" s="5" t="e">
        <x:f aca="0">01_ビジョン原計画!G41</x:f>
        <x:v>#NAME?</x:v>
      </x:c>
      <x:c r="H47" s="5" t="e">
        <x:f aca="0">01_ビジョン原計画!H41</x:f>
        <x:v>#NAME?</x:v>
      </x:c>
      <x:c r="I47" s="5" t="e">
        <x:f aca="0">01_ビジョン原計画!I41</x:f>
        <x:v>#NAME?</x:v>
      </x:c>
      <x:c r="J47" s="5" t="e">
        <x:f aca="0">01_ビジョン原計画!J41</x:f>
        <x:v>#NAME?</x:v>
      </x:c>
      <x:c r="K47" s="5" t="e">
        <x:f aca="0">01_ビジョン原計画!K41</x:f>
        <x:v>#NAME?</x:v>
      </x:c>
    </x:row>
    <x:row r="48" ht="15" hidden="0">
      <x:c r="A48" s="7"/>
      <x:c r="B48" s="5"/>
      <x:c r="C48" s="5"/>
      <x:c r="D48" s="5"/>
      <x:c r="E48" s="5"/>
      <x:c r="F48" s="5"/>
      <x:c r="G48" s="5"/>
      <x:c r="H48" s="5"/>
      <x:c r="I48" s="5"/>
      <x:c r="J48" s="5"/>
      <x:c r="K48" s="5"/>
    </x:row>
    <x:row r="49" ht="17.149999618530273" hidden="0">
      <x:c r="A49" s="42" t="s">
        <x:v>88</x:v>
      </x:c>
      <x:c r="B49" s="43"/>
      <x:c r="C49" s="43"/>
      <x:c r="D49" s="43"/>
      <x:c r="E49" s="43"/>
      <x:c r="F49" s="43"/>
      <x:c r="G49" s="43"/>
      <x:c r="H49" s="43"/>
      <x:c r="I49" s="43"/>
      <x:c r="J49" s="43"/>
      <x:c r="K49" s="43"/>
    </x:row>
    <x:row r="50" ht="17.149999618530273" hidden="0">
      <x:c r="A50" s="6" t="s">
        <x:v>89</x:v>
      </x:c>
      <x:c r="B50" s="5" t="e">
        <x:f aca="0">01_ビジョン原計画!B44</x:f>
        <x:v>#NAME?</x:v>
      </x:c>
      <x:c r="C50" s="5" t="e">
        <x:f aca="0">01_ビジョン原計画!C44</x:f>
        <x:v>#NAME?</x:v>
      </x:c>
      <x:c r="D50" s="5" t="e">
        <x:f aca="0">01_ビジョン原計画!D44</x:f>
        <x:v>#NAME?</x:v>
      </x:c>
      <x:c r="E50" s="5" t="e">
        <x:f aca="0">01_ビジョン原計画!E44</x:f>
        <x:v>#NAME?</x:v>
      </x:c>
      <x:c r="F50" s="5" t="e">
        <x:f aca="0">01_ビジョン原計画!F44</x:f>
        <x:v>#NAME?</x:v>
      </x:c>
      <x:c r="G50" s="5" t="e">
        <x:f aca="0">01_ビジョン原計画!G44</x:f>
        <x:v>#NAME?</x:v>
      </x:c>
      <x:c r="H50" s="5" t="e">
        <x:f aca="0">01_ビジョン原計画!H44</x:f>
        <x:v>#NAME?</x:v>
      </x:c>
      <x:c r="I50" s="5" t="e">
        <x:f aca="0">01_ビジョン原計画!I44</x:f>
        <x:v>#NAME?</x:v>
      </x:c>
      <x:c r="J50" s="5" t="e">
        <x:f aca="0">01_ビジョン原計画!J44</x:f>
        <x:v>#NAME?</x:v>
      </x:c>
      <x:c r="K50" s="5" t="e">
        <x:f aca="0">01_ビジョン原計画!K44</x:f>
        <x:v>#NAME?</x:v>
      </x:c>
    </x:row>
    <x:row r="51" ht="17.149999618530273" hidden="0">
      <x:c r="A51" s="6" t="s">
        <x:v>90</x:v>
      </x:c>
      <x:c r="B51" s="5" t="e">
        <x:f aca="0">01_ビジョン原計画!B45</x:f>
        <x:v>#NAME?</x:v>
      </x:c>
      <x:c r="C51" s="5" t="e">
        <x:f aca="0">01_ビジョン原計画!C45</x:f>
        <x:v>#NAME?</x:v>
      </x:c>
      <x:c r="D51" s="5" t="e">
        <x:f aca="0">01_ビジョン原計画!D45</x:f>
        <x:v>#NAME?</x:v>
      </x:c>
      <x:c r="E51" s="5" t="e">
        <x:f aca="0">01_ビジョン原計画!E45</x:f>
        <x:v>#NAME?</x:v>
      </x:c>
      <x:c r="F51" s="5" t="e">
        <x:f aca="0">01_ビジョン原計画!F45</x:f>
        <x:v>#NAME?</x:v>
      </x:c>
      <x:c r="G51" s="5" t="e">
        <x:f aca="0">01_ビジョン原計画!G45</x:f>
        <x:v>#NAME?</x:v>
      </x:c>
      <x:c r="H51" s="5" t="e">
        <x:f aca="0">01_ビジョン原計画!H45</x:f>
        <x:v>#NAME?</x:v>
      </x:c>
      <x:c r="I51" s="5" t="e">
        <x:f aca="0">01_ビジョン原計画!I45</x:f>
        <x:v>#NAME?</x:v>
      </x:c>
      <x:c r="J51" s="5" t="e">
        <x:f aca="0">01_ビジョン原計画!J45</x:f>
        <x:v>#NAME?</x:v>
      </x:c>
      <x:c r="K51" s="5" t="e">
        <x:f aca="0">01_ビジョン原計画!K45</x:f>
        <x:v>#NAME?</x:v>
      </x:c>
    </x:row>
    <x:row r="52" ht="17.149999618530273" hidden="0">
      <x:c r="A52" s="6" t="s">
        <x:v>91</x:v>
      </x:c>
      <x:c r="B52" s="5" t="e">
        <x:f aca="0">01_ビジョン原計画!B46</x:f>
        <x:v>#NAME?</x:v>
      </x:c>
      <x:c r="C52" s="5" t="e">
        <x:f aca="0">01_ビジョン原計画!C46</x:f>
        <x:v>#NAME?</x:v>
      </x:c>
      <x:c r="D52" s="5" t="e">
        <x:f aca="0">01_ビジョン原計画!D46</x:f>
        <x:v>#NAME?</x:v>
      </x:c>
      <x:c r="E52" s="5" t="e">
        <x:f aca="0">01_ビジョン原計画!E46</x:f>
        <x:v>#NAME?</x:v>
      </x:c>
      <x:c r="F52" s="5" t="e">
        <x:f aca="0">01_ビジョン原計画!F46</x:f>
        <x:v>#NAME?</x:v>
      </x:c>
      <x:c r="G52" s="5" t="e">
        <x:f aca="0">01_ビジョン原計画!G46</x:f>
        <x:v>#NAME?</x:v>
      </x:c>
      <x:c r="H52" s="5" t="e">
        <x:f aca="0">01_ビジョン原計画!H46</x:f>
        <x:v>#NAME?</x:v>
      </x:c>
      <x:c r="I52" s="5" t="e">
        <x:f aca="0">01_ビジョン原計画!I46</x:f>
        <x:v>#NAME?</x:v>
      </x:c>
      <x:c r="J52" s="5" t="e">
        <x:f aca="0">01_ビジョン原計画!J46</x:f>
        <x:v>#NAME?</x:v>
      </x:c>
      <x:c r="K52" s="5" t="e">
        <x:f aca="0">01_ビジョン原計画!K46</x:f>
        <x:v>#NAME?</x:v>
      </x:c>
    </x:row>
    <x:row r="53" ht="17.149999618530273" hidden="0">
      <x:c r="A53" s="6" t="s">
        <x:v>92</x:v>
      </x:c>
      <x:c r="B53" s="5" t="e">
        <x:f aca="0">01_ビジョン原計画!B47</x:f>
        <x:v>#NAME?</x:v>
      </x:c>
      <x:c r="C53" s="5" t="e">
        <x:f aca="0">01_ビジョン原計画!C47</x:f>
        <x:v>#NAME?</x:v>
      </x:c>
      <x:c r="D53" s="5" t="e">
        <x:f aca="0">01_ビジョン原計画!D47</x:f>
        <x:v>#NAME?</x:v>
      </x:c>
      <x:c r="E53" s="5" t="e">
        <x:f aca="0">01_ビジョン原計画!E47</x:f>
        <x:v>#NAME?</x:v>
      </x:c>
      <x:c r="F53" s="5" t="e">
        <x:f aca="0">01_ビジョン原計画!F47</x:f>
        <x:v>#NAME?</x:v>
      </x:c>
      <x:c r="G53" s="5" t="e">
        <x:f aca="0">01_ビジョン原計画!G47</x:f>
        <x:v>#NAME?</x:v>
      </x:c>
      <x:c r="H53" s="5" t="e">
        <x:f aca="0">01_ビジョン原計画!H47</x:f>
        <x:v>#NAME?</x:v>
      </x:c>
      <x:c r="I53" s="5" t="e">
        <x:f aca="0">01_ビジョン原計画!I47</x:f>
        <x:v>#NAME?</x:v>
      </x:c>
      <x:c r="J53" s="5" t="e">
        <x:f aca="0">01_ビジョン原計画!J47</x:f>
        <x:v>#NAME?</x:v>
      </x:c>
      <x:c r="K53" s="5" t="e">
        <x:f aca="0">01_ビジョン原計画!K47</x:f>
        <x:v>#NAME?</x:v>
      </x:c>
    </x:row>
    <x:row r="54" ht="32.79999923706055" hidden="0">
      <x:c r="A54" s="6" t="s">
        <x:v>93</x:v>
      </x:c>
      <x:c r="B54" s="5" t="e">
        <x:f aca="0">B40-B50</x:f>
        <x:v>#NAME?</x:v>
      </x:c>
      <x:c r="C54" s="5" t="e">
        <x:f aca="0">C40-C50</x:f>
        <x:v>#NAME?</x:v>
      </x:c>
      <x:c r="D54" s="5" t="e">
        <x:f aca="0">D40-D50</x:f>
        <x:v>#NAME?</x:v>
      </x:c>
      <x:c r="E54" s="5" t="e">
        <x:f aca="0">E40-E50</x:f>
        <x:v>#NAME?</x:v>
      </x:c>
      <x:c r="F54" s="5" t="e">
        <x:f aca="0">F40-F50</x:f>
        <x:v>#NAME?</x:v>
      </x:c>
      <x:c r="G54" s="5" t="e">
        <x:f aca="0">G40-G50</x:f>
        <x:v>#NAME?</x:v>
      </x:c>
      <x:c r="H54" s="5" t="e">
        <x:f aca="0">H40-H50</x:f>
        <x:v>#NAME?</x:v>
      </x:c>
      <x:c r="I54" s="5" t="e">
        <x:f aca="0">I40-I50</x:f>
        <x:v>#NAME?</x:v>
      </x:c>
      <x:c r="J54" s="5" t="e">
        <x:f aca="0">J40-J50</x:f>
        <x:v>#NAME?</x:v>
      </x:c>
      <x:c r="K54" s="5" t="e">
        <x:f aca="0">K40-K50</x:f>
        <x:v>#NAME?</x:v>
      </x:c>
    </x:row>
    <x:row r="55" ht="15" hidden="0">
      <x:c r="A55" s="7"/>
      <x:c r="B55" s="5"/>
      <x:c r="C55" s="5"/>
      <x:c r="D55" s="5"/>
      <x:c r="E55" s="5"/>
      <x:c r="F55" s="5"/>
      <x:c r="G55" s="5"/>
      <x:c r="H55" s="5"/>
      <x:c r="I55" s="5"/>
      <x:c r="J55" s="5"/>
      <x:c r="K55" s="5"/>
    </x:row>
    <x:row r="56" ht="17.149999618530273" hidden="0">
      <x:c r="A56" s="42" t="s">
        <x:v>157</x:v>
      </x:c>
      <x:c r="B56" s="43"/>
      <x:c r="C56" s="43"/>
      <x:c r="D56" s="43"/>
      <x:c r="E56" s="43"/>
      <x:c r="F56" s="43"/>
      <x:c r="G56" s="43"/>
      <x:c r="H56" s="43"/>
      <x:c r="I56" s="43"/>
      <x:c r="J56" s="43"/>
      <x:c r="K56" s="43"/>
    </x:row>
    <x:row r="57" ht="17.149999618530273" hidden="0">
      <x:c r="A57" s="6" t="s">
        <x:v>158</x:v>
      </x:c>
      <x:c r="B57" s="5" t="e">
        <x:f aca="0">B28+B21+B22-B14</x:f>
        <x:v>#NAME?</x:v>
      </x:c>
      <x:c r="C57" s="5" t="e">
        <x:f aca="0">C28+C21+C22-C14</x:f>
        <x:v>#NAME?</x:v>
      </x:c>
      <x:c r="D57" s="5" t="e">
        <x:f aca="0">D28+D21+D22-D14</x:f>
        <x:v>#NAME?</x:v>
      </x:c>
      <x:c r="E57" s="5" t="e">
        <x:f aca="0">E28+E21+E22-E14</x:f>
        <x:v>#NAME?</x:v>
      </x:c>
      <x:c r="F57" s="5" t="e">
        <x:f aca="0">F28+F21+F22-F14</x:f>
        <x:v>#NAME?</x:v>
      </x:c>
      <x:c r="G57" s="5" t="e">
        <x:f aca="0">G28+G21+G22-G14</x:f>
        <x:v>#NAME?</x:v>
      </x:c>
      <x:c r="H57" s="5" t="e">
        <x:f aca="0">H28+H21+H22-H14</x:f>
        <x:v>#NAME?</x:v>
      </x:c>
      <x:c r="I57" s="5" t="e">
        <x:f aca="0">I28+I21+I22-I14</x:f>
        <x:v>#NAME?</x:v>
      </x:c>
      <x:c r="J57" s="5" t="e">
        <x:f aca="0">J28+J21+J22-J14</x:f>
        <x:v>#NAME?</x:v>
      </x:c>
      <x:c r="K57" s="5" t="e">
        <x:f aca="0">K28+K21+K22-K14</x:f>
        <x:v>#NAME?</x:v>
      </x:c>
    </x:row>
    <x:row r="58" ht="17.149999618530273" hidden="0">
      <x:c r="A58" s="6" t="s">
        <x:v>159</x:v>
      </x:c>
      <x:c r="B58" s="5" t="e">
        <x:f aca="0">B54</x:f>
        <x:v>#NAME?</x:v>
      </x:c>
      <x:c r="C58" s="5" t="e">
        <x:f aca="0">C54</x:f>
        <x:v>#NAME?</x:v>
      </x:c>
      <x:c r="D58" s="5" t="e">
        <x:f aca="0">D54</x:f>
        <x:v>#NAME?</x:v>
      </x:c>
      <x:c r="E58" s="5" t="e">
        <x:f aca="0">E54</x:f>
        <x:v>#NAME?</x:v>
      </x:c>
      <x:c r="F58" s="5" t="e">
        <x:f aca="0">F54</x:f>
        <x:v>#NAME?</x:v>
      </x:c>
      <x:c r="G58" s="5" t="e">
        <x:f aca="0">G54</x:f>
        <x:v>#NAME?</x:v>
      </x:c>
      <x:c r="H58" s="5" t="e">
        <x:f aca="0">H54</x:f>
        <x:v>#NAME?</x:v>
      </x:c>
      <x:c r="I58" s="5" t="e">
        <x:f aca="0">I54</x:f>
        <x:v>#NAME?</x:v>
      </x:c>
      <x:c r="J58" s="5" t="e">
        <x:f aca="0">J54</x:f>
        <x:v>#NAME?</x:v>
      </x:c>
      <x:c r="K58" s="5" t="e">
        <x:f aca="0">K54</x:f>
        <x:v>#NAME?</x:v>
      </x:c>
    </x:row>
    <x:row r="59" ht="17.149999618530273" hidden="0">
      <x:c r="A59" s="6" t="s">
        <x:v>160</x:v>
      </x:c>
      <x:c r="B59" s="5" t="e">
        <x:f aca="0">00_前提・検証!$B$6</x:f>
        <x:v>#NAME?</x:v>
      </x:c>
      <x:c r="C59" s="5" t="e">
        <x:f aca="0">B59+C57+C58</x:f>
        <x:v>#NAME?</x:v>
      </x:c>
      <x:c r="D59" s="5" t="e">
        <x:f aca="0">C59+D57+D58</x:f>
        <x:v>#NAME?</x:v>
      </x:c>
      <x:c r="E59" s="5" t="e">
        <x:f aca="0">D59+E57+E58</x:f>
        <x:v>#NAME?</x:v>
      </x:c>
      <x:c r="F59" s="5" t="e">
        <x:f aca="0">E59+F57+F58</x:f>
        <x:v>#NAME?</x:v>
      </x:c>
      <x:c r="G59" s="5" t="e">
        <x:f aca="0">F59+G57+G58</x:f>
        <x:v>#NAME?</x:v>
      </x:c>
      <x:c r="H59" s="5" t="e">
        <x:f aca="0">G59+H57+H58</x:f>
        <x:v>#NAME?</x:v>
      </x:c>
      <x:c r="I59" s="5" t="e">
        <x:f aca="0">H59+I57+I58</x:f>
        <x:v>#NAME?</x:v>
      </x:c>
      <x:c r="J59" s="5" t="e">
        <x:f aca="0">I59+J57+J58</x:f>
        <x:v>#NAME?</x:v>
      </x:c>
      <x:c r="K59" s="5" t="e">
        <x:f aca="0">J59+K57+K58</x:f>
        <x:v>#NAME?</x:v>
      </x:c>
    </x:row>
    <x:row r="60" ht="17.149999618530273" hidden="0">
      <x:c r="A60" s="6" t="s">
        <x:v>161</x:v>
      </x:c>
      <x:c r="B60" s="5" t="e">
        <x:f aca="0">B59-00_前提・検証!$B$7</x:f>
        <x:v>#NAME?</x:v>
      </x:c>
      <x:c r="C60" s="5" t="e">
        <x:f aca="0">C59-00_前提・検証!$B$7</x:f>
        <x:v>#NAME?</x:v>
      </x:c>
      <x:c r="D60" s="5" t="e">
        <x:f aca="0">D59-00_前提・検証!$B$7</x:f>
        <x:v>#NAME?</x:v>
      </x:c>
      <x:c r="E60" s="5" t="e">
        <x:f aca="0">E59-00_前提・検証!$B$7</x:f>
        <x:v>#NAME?</x:v>
      </x:c>
      <x:c r="F60" s="5" t="e">
        <x:f aca="0">F59-00_前提・検証!$B$7</x:f>
        <x:v>#NAME?</x:v>
      </x:c>
      <x:c r="G60" s="5" t="e">
        <x:f aca="0">G59-00_前提・検証!$B$7</x:f>
        <x:v>#NAME?</x:v>
      </x:c>
      <x:c r="H60" s="5" t="e">
        <x:f aca="0">H59-00_前提・検証!$B$7</x:f>
        <x:v>#NAME?</x:v>
      </x:c>
      <x:c r="I60" s="5" t="e">
        <x:f aca="0">I59-00_前提・検証!$B$7</x:f>
        <x:v>#NAME?</x:v>
      </x:c>
      <x:c r="J60" s="5" t="e">
        <x:f aca="0">J59-00_前提・検証!$B$7</x:f>
        <x:v>#NAME?</x:v>
      </x:c>
      <x:c r="K60" s="5" t="e">
        <x:f aca="0">K59-00_前提・検証!$B$7</x:f>
        <x:v>#NAME?</x:v>
      </x:c>
    </x:row>
  </x:sheetData>
  <x:mergeCells>
    <x:mergeCell ref="A1:K1"/>
    <x:mergeCell ref="A2:K2"/>
  </x:mergeCells>
  <x:conditionalFormatting sqref="B37:K37">
    <x:cfRule type="expression" dxfId="0" priority="2" aboveAverage="0" percent="0" bottom="0" rank="0" equalAverage="0">
      <x:formula>B37&lt;&gt;"OK"</x:formula>
    </x:cfRule>
  </x:conditionalFormatting>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4" width="8.880000114440918" hidden="0" customWidth="1"/>
    <x:col min="5" max="11" width="9.75" hidden="0" customWidth="1"/>
  </x:cols>
  <x:sheetData>
    <x:row r="1" ht="21.600000381469727" hidden="0" customHeight="1">
      <x:c r="A1" s="31" t="s">
        <x:v>163</x:v>
      </x:c>
      <x:c r="B1" s="31"/>
      <x:c r="C1" s="31"/>
      <x:c r="D1" s="31"/>
      <x:c r="E1" s="31"/>
      <x:c r="F1" s="31"/>
      <x:c r="G1" s="31"/>
      <x:c r="H1" s="31"/>
      <x:c r="I1" s="31"/>
      <x:c r="J1" s="31"/>
      <x:c r="K1" s="31"/>
    </x:row>
    <x:row r="2" ht="17.149999618530273" hidden="0" customHeight="1">
      <x:c r="A2" s="32" t="s">
        <x:v>134</x:v>
      </x:c>
      <x:c r="B2" s="32"/>
      <x:c r="C2" s="32"/>
      <x:c r="D2" s="32"/>
      <x:c r="E2" s="32"/>
      <x:c r="F2" s="32"/>
      <x:c r="G2" s="32"/>
      <x:c r="H2" s="32"/>
      <x:c r="I2" s="32"/>
      <x:c r="J2" s="32"/>
      <x:c r="K2" s="32"/>
    </x:row>
    <x:row r="3" ht="32.79999923706055" hidden="0">
      <x:c r="A3" s="1" t="s">
        <x:v>41</x:v>
      </x:c>
      <x:c r="B3" s="1" t="s">
        <x:v>42</x:v>
      </x:c>
      <x:c r="C3" s="1" t="s">
        <x:v>43</x:v>
      </x:c>
      <x:c r="D3" s="1" t="s">
        <x:v>44</x:v>
      </x:c>
      <x:c r="E3" s="1" t="s">
        <x:v>45</x:v>
      </x:c>
      <x:c r="F3" s="1" t="s">
        <x:v>46</x:v>
      </x:c>
      <x:c r="G3" s="1" t="s">
        <x:v>47</x:v>
      </x:c>
      <x:c r="H3" s="1" t="s">
        <x:v>48</x:v>
      </x:c>
      <x:c r="I3" s="1" t="s">
        <x:v>49</x:v>
      </x:c>
      <x:c r="J3" s="1" t="s">
        <x:v>50</x:v>
      </x:c>
      <x:c r="K3" s="1" t="s">
        <x:v>51</x:v>
      </x:c>
    </x:row>
    <x:row r="4" ht="17.149999618530273" hidden="0">
      <x:c r="A4" s="6" t="s">
        <x:v>99</x:v>
      </x:c>
      <x:c r="B4" s="34" t="n">
        <x:v>0.02</x:v>
      </x:c>
      <x:c r="C4" s="34"/>
      <x:c r="D4" s="34"/>
      <x:c r="E4" s="34"/>
      <x:c r="F4" s="34"/>
      <x:c r="G4" s="34"/>
      <x:c r="H4" s="34"/>
      <x:c r="I4" s="34"/>
      <x:c r="J4" s="34"/>
      <x:c r="K4" s="34"/>
    </x:row>
    <x:row r="5" ht="17.149999618530273" hidden="0">
      <x:c r="A5" s="6" t="s">
        <x:v>135</x:v>
      </x:c>
      <x:c r="B5" s="5" t="e">
        <x:f aca="0">00_前提・検証!$B$2*$B$4</x:f>
        <x:v>#NAME?</x:v>
      </x:c>
      <x:c r="C5" s="34"/>
      <x:c r="D5" s="34"/>
      <x:c r="E5" s="34"/>
      <x:c r="F5" s="34"/>
      <x:c r="G5" s="34"/>
      <x:c r="H5" s="34"/>
      <x:c r="I5" s="34"/>
      <x:c r="J5" s="34"/>
      <x:c r="K5" s="34"/>
    </x:row>
    <x:row r="6" ht="17.149999618530273" hidden="0">
      <x:c r="A6" s="6" t="s">
        <x:v>136</x:v>
      </x:c>
      <x:c r="B6" s="34" t="e">
        <x:f aca="0">MAX(0,(SUMPRODUCT((01_ビジョン原計画!F18:J18+01_ビジョン原計画!F28:J28-01_ビジョン原計画!F12:J12-01_ビジョン原計画!F8:J8-01_ビジョン原計画!F11:J11+$B$5)-01_ビジョン原計画!F7:J7)/SUM(01_ビジョン原計画!F7:J7)))</x:f>
        <x:v>#NAME?</x:v>
      </x:c>
      <x:c r="C6" s="34"/>
      <x:c r="D6" s="34"/>
      <x:c r="E6" s="34"/>
      <x:c r="F6" s="34"/>
      <x:c r="G6" s="34"/>
      <x:c r="H6" s="34"/>
      <x:c r="I6" s="34"/>
      <x:c r="J6" s="34"/>
      <x:c r="K6" s="34"/>
    </x:row>
    <x:row r="7" ht="15" hidden="0">
      <x:c r="A7" s="7"/>
      <x:c r="B7" s="7"/>
      <x:c r="C7" s="7"/>
      <x:c r="D7" s="7"/>
      <x:c r="E7" s="7"/>
      <x:c r="F7" s="7"/>
      <x:c r="G7" s="7"/>
      <x:c r="H7" s="7"/>
      <x:c r="I7" s="7"/>
      <x:c r="J7" s="7"/>
      <x:c r="K7" s="7"/>
    </x:row>
    <x:row r="8" ht="17.149999618530273" hidden="0">
      <x:c r="A8" s="42" t="s">
        <x:v>52</x:v>
      </x:c>
      <x:c r="B8" s="43"/>
      <x:c r="C8" s="43"/>
      <x:c r="D8" s="43"/>
      <x:c r="E8" s="43"/>
      <x:c r="F8" s="43"/>
      <x:c r="G8" s="43"/>
      <x:c r="H8" s="43"/>
      <x:c r="I8" s="43"/>
      <x:c r="J8" s="43"/>
      <x:c r="K8" s="43"/>
    </x:row>
    <x:row r="9" ht="17.149999618530273" hidden="0">
      <x:c r="A9" s="6" t="s">
        <x:v>54</x:v>
      </x:c>
      <x:c r="B9" s="5" t="e">
        <x:f aca="0">SUM(B10:B12)</x:f>
        <x:v>#NAME?</x:v>
      </x:c>
      <x:c r="C9" s="5" t="e">
        <x:f aca="0">SUM(C10:C12)</x:f>
        <x:v>#NAME?</x:v>
      </x:c>
      <x:c r="D9" s="5" t="e">
        <x:f aca="0">SUM(D10:D12)</x:f>
        <x:v>#NAME?</x:v>
      </x:c>
      <x:c r="E9" s="5" t="e">
        <x:f aca="0">SUM(E10:E12)</x:f>
        <x:v>#NAME?</x:v>
      </x:c>
      <x:c r="F9" s="5" t="e">
        <x:f aca="0">SUM(F10:F12)</x:f>
        <x:v>#NAME?</x:v>
      </x:c>
      <x:c r="G9" s="5" t="e">
        <x:f aca="0">SUM(G10:G12)</x:f>
        <x:v>#NAME?</x:v>
      </x:c>
      <x:c r="H9" s="5" t="e">
        <x:f aca="0">SUM(H10:H12)</x:f>
        <x:v>#NAME?</x:v>
      </x:c>
      <x:c r="I9" s="5" t="e">
        <x:f aca="0">SUM(I10:I12)</x:f>
        <x:v>#NAME?</x:v>
      </x:c>
      <x:c r="J9" s="5" t="e">
        <x:f aca="0">SUM(J10:J12)</x:f>
        <x:v>#NAME?</x:v>
      </x:c>
      <x:c r="K9" s="5" t="e">
        <x:f aca="0">SUM(K10:K12)</x:f>
        <x:v>#NAME?</x:v>
      </x:c>
    </x:row>
    <x:row r="10" ht="17.149999618530273" hidden="0">
      <x:c r="A10" s="6" t="s">
        <x:v>137</x:v>
      </x:c>
      <x:c r="B10" s="5" t="e">
        <x:f aca="0">01_ビジョン原計画!B7*IF(7&gt;=11,1+$B$6,1)</x:f>
        <x:v>#NAME?</x:v>
      </x:c>
      <x:c r="C10" s="5" t="e">
        <x:f aca="0">01_ビジョン原計画!C7*IF(8&gt;=11,1+$B$6,1)</x:f>
        <x:v>#NAME?</x:v>
      </x:c>
      <x:c r="D10" s="5" t="e">
        <x:f aca="0">01_ビジョン原計画!D7*IF(9&gt;=11,1+$B$6,1)</x:f>
        <x:v>#NAME?</x:v>
      </x:c>
      <x:c r="E10" s="5" t="e">
        <x:f aca="0">01_ビジョン原計画!E7*IF(10&gt;=11,1+$B$6,1)</x:f>
        <x:v>#NAME?</x:v>
      </x:c>
      <x:c r="F10" s="5" t="e">
        <x:f aca="0">01_ビジョン原計画!F7*IF(11&gt;=11,1+$B$6,1)</x:f>
        <x:v>#NAME?</x:v>
      </x:c>
      <x:c r="G10" s="5" t="e">
        <x:f aca="0">01_ビジョン原計画!G7*IF(12&gt;=11,1+$B$6,1)</x:f>
        <x:v>#NAME?</x:v>
      </x:c>
      <x:c r="H10" s="5" t="e">
        <x:f aca="0">01_ビジョン原計画!H7*IF(13&gt;=11,1+$B$6,1)</x:f>
        <x:v>#NAME?</x:v>
      </x:c>
      <x:c r="I10" s="5" t="e">
        <x:f aca="0">01_ビジョン原計画!I7*IF(14&gt;=11,1+$B$6,1)</x:f>
        <x:v>#NAME?</x:v>
      </x:c>
      <x:c r="J10" s="5" t="e">
        <x:f aca="0">01_ビジョン原計画!J7*IF(15&gt;=11,1+$B$6,1)</x:f>
        <x:v>#NAME?</x:v>
      </x:c>
      <x:c r="K10" s="5" t="e">
        <x:f aca="0">01_ビジョン原計画!K7*IF(16&gt;=11,1+$B$6,1)</x:f>
        <x:v>#NAME?</x:v>
      </x:c>
    </x:row>
    <x:row r="11" ht="17.149999618530273" hidden="0">
      <x:c r="A11" s="6" t="s">
        <x:v>138</x:v>
      </x:c>
      <x:c r="B11" s="5" t="e">
        <x:f aca="0">B10-01_ビジョン原計画!B7</x:f>
        <x:v>#NAME?</x:v>
      </x:c>
      <x:c r="C11" s="5" t="e">
        <x:f aca="0">C10-01_ビジョン原計画!C7</x:f>
        <x:v>#NAME?</x:v>
      </x:c>
      <x:c r="D11" s="5" t="e">
        <x:f aca="0">D10-01_ビジョン原計画!D7</x:f>
        <x:v>#NAME?</x:v>
      </x:c>
      <x:c r="E11" s="5" t="e">
        <x:f aca="0">E10-01_ビジョン原計画!E7</x:f>
        <x:v>#NAME?</x:v>
      </x:c>
      <x:c r="F11" s="5" t="e">
        <x:f aca="0">F10-01_ビジョン原計画!F7</x:f>
        <x:v>#NAME?</x:v>
      </x:c>
      <x:c r="G11" s="5" t="e">
        <x:f aca="0">G10-01_ビジョン原計画!G7</x:f>
        <x:v>#NAME?</x:v>
      </x:c>
      <x:c r="H11" s="5" t="e">
        <x:f aca="0">H10-01_ビジョン原計画!H7</x:f>
        <x:v>#NAME?</x:v>
      </x:c>
      <x:c r="I11" s="5" t="e">
        <x:f aca="0">I10-01_ビジョン原計画!I7</x:f>
        <x:v>#NAME?</x:v>
      </x:c>
      <x:c r="J11" s="5" t="e">
        <x:f aca="0">J10-01_ビジョン原計画!J7</x:f>
        <x:v>#NAME?</x:v>
      </x:c>
      <x:c r="K11" s="5" t="e">
        <x:f aca="0">K10-01_ビジョン原計画!K7</x:f>
        <x:v>#NAME?</x:v>
      </x:c>
    </x:row>
    <x:row r="12" ht="17.149999618530273" hidden="0">
      <x:c r="A12" s="6" t="s">
        <x:v>139</x:v>
      </x:c>
      <x:c r="B12" s="5" t="e">
        <x:f aca="0">01_ビジョン原計画!B8</x:f>
        <x:v>#NAME?</x:v>
      </x:c>
      <x:c r="C12" s="5" t="e">
        <x:f aca="0">01_ビジョン原計画!C8</x:f>
        <x:v>#NAME?</x:v>
      </x:c>
      <x:c r="D12" s="5" t="e">
        <x:f aca="0">01_ビジョン原計画!D8</x:f>
        <x:v>#NAME?</x:v>
      </x:c>
      <x:c r="E12" s="5" t="e">
        <x:f aca="0">01_ビジョン原計画!E8</x:f>
        <x:v>#NAME?</x:v>
      </x:c>
      <x:c r="F12" s="5" t="e">
        <x:f aca="0">01_ビジョン原計画!F8</x:f>
        <x:v>#NAME?</x:v>
      </x:c>
      <x:c r="G12" s="5" t="e">
        <x:f aca="0">01_ビジョン原計画!G8</x:f>
        <x:v>#NAME?</x:v>
      </x:c>
      <x:c r="H12" s="5" t="e">
        <x:f aca="0">01_ビジョン原計画!H8</x:f>
        <x:v>#NAME?</x:v>
      </x:c>
      <x:c r="I12" s="5" t="e">
        <x:f aca="0">01_ビジョン原計画!I8</x:f>
        <x:v>#NAME?</x:v>
      </x:c>
      <x:c r="J12" s="5" t="e">
        <x:f aca="0">01_ビジョン原計画!J8</x:f>
        <x:v>#NAME?</x:v>
      </x:c>
      <x:c r="K12" s="5" t="e">
        <x:f aca="0">01_ビジョン原計画!K8</x:f>
        <x:v>#NAME?</x:v>
      </x:c>
    </x:row>
    <x:row r="13" ht="17.149999618530273" hidden="0">
      <x:c r="A13" s="6" t="s">
        <x:v>57</x:v>
      </x:c>
      <x:c r="B13" s="5" t="e">
        <x:f aca="0">01_ビジョン原計画!B9</x:f>
        <x:v>#NAME?</x:v>
      </x:c>
      <x:c r="C13" s="5" t="e">
        <x:f aca="0">01_ビジョン原計画!C9</x:f>
        <x:v>#NAME?</x:v>
      </x:c>
      <x:c r="D13" s="5" t="e">
        <x:f aca="0">01_ビジョン原計画!D9</x:f>
        <x:v>#NAME?</x:v>
      </x:c>
      <x:c r="E13" s="5" t="e">
        <x:f aca="0">01_ビジョン原計画!E9</x:f>
        <x:v>#NAME?</x:v>
      </x:c>
      <x:c r="F13" s="5" t="e">
        <x:f aca="0">01_ビジョン原計画!F9</x:f>
        <x:v>#NAME?</x:v>
      </x:c>
      <x:c r="G13" s="5" t="e">
        <x:f aca="0">01_ビジョン原計画!G9</x:f>
        <x:v>#NAME?</x:v>
      </x:c>
      <x:c r="H13" s="5" t="e">
        <x:f aca="0">01_ビジョン原計画!H9</x:f>
        <x:v>#NAME?</x:v>
      </x:c>
      <x:c r="I13" s="5" t="e">
        <x:f aca="0">01_ビジョン原計画!I9</x:f>
        <x:v>#NAME?</x:v>
      </x:c>
      <x:c r="J13" s="5" t="e">
        <x:f aca="0">01_ビジョン原計画!J9</x:f>
        <x:v>#NAME?</x:v>
      </x:c>
      <x:c r="K13" s="5" t="e">
        <x:f aca="0">01_ビジョン原計画!K9</x:f>
        <x:v>#NAME?</x:v>
      </x:c>
    </x:row>
    <x:row r="14" ht="17.149999618530273" hidden="0">
      <x:c r="A14" s="6" t="s">
        <x:v>140</x:v>
      </x:c>
      <x:c r="B14" s="5" t="e">
        <x:f aca="0">01_ビジョン原計画!B12</x:f>
        <x:v>#NAME?</x:v>
      </x:c>
      <x:c r="C14" s="5" t="e">
        <x:f aca="0">01_ビジョン原計画!C12</x:f>
        <x:v>#NAME?</x:v>
      </x:c>
      <x:c r="D14" s="5" t="e">
        <x:f aca="0">01_ビジョン原計画!D12</x:f>
        <x:v>#NAME?</x:v>
      </x:c>
      <x:c r="E14" s="5" t="e">
        <x:f aca="0">01_ビジョン原計画!E12</x:f>
        <x:v>#NAME?</x:v>
      </x:c>
      <x:c r="F14" s="5" t="e">
        <x:f aca="0">01_ビジョン原計画!F12</x:f>
        <x:v>#NAME?</x:v>
      </x:c>
      <x:c r="G14" s="5" t="e">
        <x:f aca="0">01_ビジョン原計画!G12</x:f>
        <x:v>#NAME?</x:v>
      </x:c>
      <x:c r="H14" s="5" t="e">
        <x:f aca="0">01_ビジョン原計画!H12</x:f>
        <x:v>#NAME?</x:v>
      </x:c>
      <x:c r="I14" s="5" t="e">
        <x:f aca="0">01_ビジョン原計画!I12</x:f>
        <x:v>#NAME?</x:v>
      </x:c>
      <x:c r="J14" s="5" t="e">
        <x:f aca="0">01_ビジョン原計画!J12</x:f>
        <x:v>#NAME?</x:v>
      </x:c>
      <x:c r="K14" s="5" t="e">
        <x:f aca="0">01_ビジョン原計画!K12</x:f>
        <x:v>#NAME?</x:v>
      </x:c>
    </x:row>
    <x:row r="15" ht="17.149999618530273" hidden="0">
      <x:c r="A15" s="6" t="s">
        <x:v>141</x:v>
      </x:c>
      <x:c r="B15" s="5" t="e">
        <x:f aca="0">01_ビジョン原計画!B11</x:f>
        <x:v>#NAME?</x:v>
      </x:c>
      <x:c r="C15" s="5" t="e">
        <x:f aca="0">01_ビジョン原計画!C11</x:f>
        <x:v>#NAME?</x:v>
      </x:c>
      <x:c r="D15" s="5" t="e">
        <x:f aca="0">01_ビジョン原計画!D11</x:f>
        <x:v>#NAME?</x:v>
      </x:c>
      <x:c r="E15" s="5" t="e">
        <x:f aca="0">01_ビジョン原計画!E11</x:f>
        <x:v>#NAME?</x:v>
      </x:c>
      <x:c r="F15" s="5" t="e">
        <x:f aca="0">01_ビジョン原計画!F11</x:f>
        <x:v>#NAME?</x:v>
      </x:c>
      <x:c r="G15" s="5" t="e">
        <x:f aca="0">01_ビジョン原計画!G11</x:f>
        <x:v>#NAME?</x:v>
      </x:c>
      <x:c r="H15" s="5" t="e">
        <x:f aca="0">01_ビジョン原計画!H11</x:f>
        <x:v>#NAME?</x:v>
      </x:c>
      <x:c r="I15" s="5" t="e">
        <x:f aca="0">01_ビジョン原計画!I11</x:f>
        <x:v>#NAME?</x:v>
      </x:c>
      <x:c r="J15" s="5" t="e">
        <x:f aca="0">01_ビジョン原計画!J11</x:f>
        <x:v>#NAME?</x:v>
      </x:c>
      <x:c r="K15" s="5" t="e">
        <x:f aca="0">01_ビジョン原計画!K11</x:f>
        <x:v>#NAME?</x:v>
      </x:c>
    </x:row>
    <x:row r="16" ht="17.149999618530273" hidden="0">
      <x:c r="A16" s="6" t="s">
        <x:v>62</x:v>
      </x:c>
      <x:c r="B16" s="5" t="e">
        <x:f aca="0">01_ビジョン原計画!B14</x:f>
        <x:v>#NAME?</x:v>
      </x:c>
      <x:c r="C16" s="5" t="e">
        <x:f aca="0">01_ビジョン原計画!C14</x:f>
        <x:v>#NAME?</x:v>
      </x:c>
      <x:c r="D16" s="5" t="e">
        <x:f aca="0">01_ビジョン原計画!D14</x:f>
        <x:v>#NAME?</x:v>
      </x:c>
      <x:c r="E16" s="5" t="e">
        <x:f aca="0">01_ビジョン原計画!E14</x:f>
        <x:v>#NAME?</x:v>
      </x:c>
      <x:c r="F16" s="5" t="e">
        <x:f aca="0">01_ビジョン原計画!F14</x:f>
        <x:v>#NAME?</x:v>
      </x:c>
      <x:c r="G16" s="5" t="e">
        <x:f aca="0">01_ビジョン原計画!G14</x:f>
        <x:v>#NAME?</x:v>
      </x:c>
      <x:c r="H16" s="5" t="e">
        <x:f aca="0">01_ビジョン原計画!H14</x:f>
        <x:v>#NAME?</x:v>
      </x:c>
      <x:c r="I16" s="5" t="e">
        <x:f aca="0">01_ビジョン原計画!I14</x:f>
        <x:v>#NAME?</x:v>
      </x:c>
      <x:c r="J16" s="5" t="e">
        <x:f aca="0">01_ビジョン原計画!J14</x:f>
        <x:v>#NAME?</x:v>
      </x:c>
      <x:c r="K16" s="5" t="e">
        <x:f aca="0">01_ビジョン原計画!K14</x:f>
        <x:v>#NAME?</x:v>
      </x:c>
    </x:row>
    <x:row r="17" ht="17.149999618530273" hidden="0">
      <x:c r="A17" s="6" t="s">
        <x:v>142</x:v>
      </x:c>
      <x:c r="B17" s="5" t="e">
        <x:f aca="0">SUM(B9,B13,B16)</x:f>
        <x:v>#NAME?</x:v>
      </x:c>
      <x:c r="C17" s="5" t="e">
        <x:f aca="0">SUM(C9,C13,C16)</x:f>
        <x:v>#NAME?</x:v>
      </x:c>
      <x:c r="D17" s="5" t="e">
        <x:f aca="0">SUM(D9,D13,D16)</x:f>
        <x:v>#NAME?</x:v>
      </x:c>
      <x:c r="E17" s="5" t="e">
        <x:f aca="0">SUM(E9,E13,E16)</x:f>
        <x:v>#NAME?</x:v>
      </x:c>
      <x:c r="F17" s="5" t="e">
        <x:f aca="0">SUM(F9,F13,F16)</x:f>
        <x:v>#NAME?</x:v>
      </x:c>
      <x:c r="G17" s="5" t="e">
        <x:f aca="0">SUM(G9,G13,G16)</x:f>
        <x:v>#NAME?</x:v>
      </x:c>
      <x:c r="H17" s="5" t="e">
        <x:f aca="0">SUM(H9,H13,H16)</x:f>
        <x:v>#NAME?</x:v>
      </x:c>
      <x:c r="I17" s="5" t="e">
        <x:f aca="0">SUM(I9,I13,I16)</x:f>
        <x:v>#NAME?</x:v>
      </x:c>
      <x:c r="J17" s="5" t="e">
        <x:f aca="0">SUM(J9,J13,J16)</x:f>
        <x:v>#NAME?</x:v>
      </x:c>
      <x:c r="K17" s="5" t="e">
        <x:f aca="0">SUM(K9,K13,K16)</x:f>
        <x:v>#NAME?</x:v>
      </x:c>
    </x:row>
    <x:row r="18" ht="15" hidden="0">
      <x:c r="A18" s="7"/>
      <x:c r="B18" s="5"/>
      <x:c r="C18" s="5"/>
      <x:c r="D18" s="5"/>
      <x:c r="E18" s="5"/>
      <x:c r="F18" s="5"/>
      <x:c r="G18" s="5"/>
      <x:c r="H18" s="5"/>
      <x:c r="I18" s="5"/>
      <x:c r="J18" s="5"/>
      <x:c r="K18" s="5"/>
    </x:row>
    <x:row r="19" ht="17.149999618530273" hidden="0">
      <x:c r="A19" s="42" t="s">
        <x:v>63</x:v>
      </x:c>
      <x:c r="B19" s="43"/>
      <x:c r="C19" s="43"/>
      <x:c r="D19" s="43"/>
      <x:c r="E19" s="43"/>
      <x:c r="F19" s="43"/>
      <x:c r="G19" s="43"/>
      <x:c r="H19" s="43"/>
      <x:c r="I19" s="43"/>
      <x:c r="J19" s="43"/>
      <x:c r="K19" s="43"/>
    </x:row>
    <x:row r="20" ht="17.149999618530273" hidden="0">
      <x:c r="A20" s="6" t="s">
        <x:v>65</x:v>
      </x:c>
      <x:c r="B20" s="5" t="e">
        <x:f aca="0">01_ビジョン原計画!B18</x:f>
        <x:v>#NAME?</x:v>
      </x:c>
      <x:c r="C20" s="5" t="e">
        <x:f aca="0">01_ビジョン原計画!C18</x:f>
        <x:v>#NAME?</x:v>
      </x:c>
      <x:c r="D20" s="5" t="e">
        <x:f aca="0">01_ビジョン原計画!D18</x:f>
        <x:v>#NAME?</x:v>
      </x:c>
      <x:c r="E20" s="5" t="e">
        <x:f aca="0">01_ビジョン原計画!E18</x:f>
        <x:v>#NAME?</x:v>
      </x:c>
      <x:c r="F20" s="5" t="e">
        <x:f aca="0">01_ビジョン原計画!F18</x:f>
        <x:v>#NAME?</x:v>
      </x:c>
      <x:c r="G20" s="5" t="e">
        <x:f aca="0">01_ビジョン原計画!G18</x:f>
        <x:v>#NAME?</x:v>
      </x:c>
      <x:c r="H20" s="5" t="e">
        <x:f aca="0">01_ビジョン原計画!H18</x:f>
        <x:v>#NAME?</x:v>
      </x:c>
      <x:c r="I20" s="5" t="e">
        <x:f aca="0">01_ビジョン原計画!I18</x:f>
        <x:v>#NAME?</x:v>
      </x:c>
      <x:c r="J20" s="5" t="e">
        <x:f aca="0">01_ビジョン原計画!J18</x:f>
        <x:v>#NAME?</x:v>
      </x:c>
      <x:c r="K20" s="5" t="e">
        <x:f aca="0">01_ビジョン原計画!K18</x:f>
        <x:v>#NAME?</x:v>
      </x:c>
    </x:row>
    <x:row r="21" ht="17.149999618530273" hidden="0">
      <x:c r="A21" s="6" t="s">
        <x:v>143</x:v>
      </x:c>
      <x:c r="B21" s="5" t="e">
        <x:f aca="0">01_ビジョン原計画!B25</x:f>
        <x:v>#NAME?</x:v>
      </x:c>
      <x:c r="C21" s="5" t="e">
        <x:f aca="0">01_ビジョン原計画!C25</x:f>
        <x:v>#NAME?</x:v>
      </x:c>
      <x:c r="D21" s="5" t="e">
        <x:f aca="0">01_ビジョン原計画!D25</x:f>
        <x:v>#NAME?</x:v>
      </x:c>
      <x:c r="E21" s="5" t="e">
        <x:f aca="0">01_ビジョン原計画!E25</x:f>
        <x:v>#NAME?</x:v>
      </x:c>
      <x:c r="F21" s="5" t="e">
        <x:f aca="0">01_ビジョン原計画!F25</x:f>
        <x:v>#NAME?</x:v>
      </x:c>
      <x:c r="G21" s="5" t="e">
        <x:f aca="0">01_ビジョン原計画!G25</x:f>
        <x:v>#NAME?</x:v>
      </x:c>
      <x:c r="H21" s="5" t="e">
        <x:f aca="0">01_ビジョン原計画!H25</x:f>
        <x:v>#NAME?</x:v>
      </x:c>
      <x:c r="I21" s="5" t="e">
        <x:f aca="0">01_ビジョン原計画!I25</x:f>
        <x:v>#NAME?</x:v>
      </x:c>
      <x:c r="J21" s="5" t="e">
        <x:f aca="0">01_ビジョン原計画!J25</x:f>
        <x:v>#NAME?</x:v>
      </x:c>
      <x:c r="K21" s="5" t="e">
        <x:f aca="0">01_ビジョン原計画!K25</x:f>
        <x:v>#NAME?</x:v>
      </x:c>
    </x:row>
    <x:row r="22" ht="17.149999618530273" hidden="0">
      <x:c r="A22" s="6" t="s">
        <x:v>144</x:v>
      </x:c>
      <x:c r="B22" s="5" t="e">
        <x:f aca="0">01_ビジョン原計画!B26</x:f>
        <x:v>#NAME?</x:v>
      </x:c>
      <x:c r="C22" s="5" t="e">
        <x:f aca="0">01_ビジョン原計画!C26</x:f>
        <x:v>#NAME?</x:v>
      </x:c>
      <x:c r="D22" s="5" t="e">
        <x:f aca="0">01_ビジョン原計画!D26</x:f>
        <x:v>#NAME?</x:v>
      </x:c>
      <x:c r="E22" s="5" t="e">
        <x:f aca="0">01_ビジョン原計画!E26</x:f>
        <x:v>#NAME?</x:v>
      </x:c>
      <x:c r="F22" s="5" t="e">
        <x:f aca="0">01_ビジョン原計画!F26</x:f>
        <x:v>#NAME?</x:v>
      </x:c>
      <x:c r="G22" s="5" t="e">
        <x:f aca="0">01_ビジョン原計画!G26</x:f>
        <x:v>#NAME?</x:v>
      </x:c>
      <x:c r="H22" s="5" t="e">
        <x:f aca="0">01_ビジョン原計画!H26</x:f>
        <x:v>#NAME?</x:v>
      </x:c>
      <x:c r="I22" s="5" t="e">
        <x:f aca="0">01_ビジョン原計画!I26</x:f>
        <x:v>#NAME?</x:v>
      </x:c>
      <x:c r="J22" s="5" t="e">
        <x:f aca="0">01_ビジョン原計画!J26</x:f>
        <x:v>#NAME?</x:v>
      </x:c>
      <x:c r="K22" s="5" t="e">
        <x:f aca="0">01_ビジョン原計画!K26</x:f>
        <x:v>#NAME?</x:v>
      </x:c>
    </x:row>
    <x:row r="23" ht="17.149999618530273" hidden="0">
      <x:c r="A23" s="6" t="s">
        <x:v>75</x:v>
      </x:c>
      <x:c r="B23" s="5" t="e">
        <x:f aca="0">01_ビジョン原計画!B28</x:f>
        <x:v>#NAME?</x:v>
      </x:c>
      <x:c r="C23" s="5" t="e">
        <x:f aca="0">01_ビジョン原計画!C28</x:f>
        <x:v>#NAME?</x:v>
      </x:c>
      <x:c r="D23" s="5" t="e">
        <x:f aca="0">01_ビジョン原計画!D28</x:f>
        <x:v>#NAME?</x:v>
      </x:c>
      <x:c r="E23" s="5" t="e">
        <x:f aca="0">01_ビジョン原計画!E28</x:f>
        <x:v>#NAME?</x:v>
      </x:c>
      <x:c r="F23" s="5" t="e">
        <x:f aca="0">01_ビジョン原計画!F28</x:f>
        <x:v>#NAME?</x:v>
      </x:c>
      <x:c r="G23" s="5" t="e">
        <x:f aca="0">01_ビジョン原計画!G28</x:f>
        <x:v>#NAME?</x:v>
      </x:c>
      <x:c r="H23" s="5" t="e">
        <x:f aca="0">01_ビジョン原計画!H28</x:f>
        <x:v>#NAME?</x:v>
      </x:c>
      <x:c r="I23" s="5" t="e">
        <x:f aca="0">01_ビジョン原計画!I28</x:f>
        <x:v>#NAME?</x:v>
      </x:c>
      <x:c r="J23" s="5" t="e">
        <x:f aca="0">01_ビジョン原計画!J28</x:f>
        <x:v>#NAME?</x:v>
      </x:c>
      <x:c r="K23" s="5" t="e">
        <x:f aca="0">01_ビジョン原計画!K28</x:f>
        <x:v>#NAME?</x:v>
      </x:c>
    </x:row>
    <x:row r="24" ht="17.149999618530273" hidden="0">
      <x:c r="A24" s="6" t="s">
        <x:v>145</x:v>
      </x:c>
      <x:c r="B24" s="5" t="e">
        <x:f aca="0">01_ビジョン原計画!B29</x:f>
        <x:v>#NAME?</x:v>
      </x:c>
      <x:c r="C24" s="5" t="e">
        <x:f aca="0">01_ビジョン原計画!C29</x:f>
        <x:v>#NAME?</x:v>
      </x:c>
      <x:c r="D24" s="5" t="e">
        <x:f aca="0">01_ビジョン原計画!D29</x:f>
        <x:v>#NAME?</x:v>
      </x:c>
      <x:c r="E24" s="5" t="e">
        <x:f aca="0">01_ビジョン原計画!E29</x:f>
        <x:v>#NAME?</x:v>
      </x:c>
      <x:c r="F24" s="5" t="e">
        <x:f aca="0">01_ビジョン原計画!F29</x:f>
        <x:v>#NAME?</x:v>
      </x:c>
      <x:c r="G24" s="5" t="e">
        <x:f aca="0">01_ビジョン原計画!G29</x:f>
        <x:v>#NAME?</x:v>
      </x:c>
      <x:c r="H24" s="5" t="e">
        <x:f aca="0">01_ビジョン原計画!H29</x:f>
        <x:v>#NAME?</x:v>
      </x:c>
      <x:c r="I24" s="5" t="e">
        <x:f aca="0">01_ビジョン原計画!I29</x:f>
        <x:v>#NAME?</x:v>
      </x:c>
      <x:c r="J24" s="5" t="e">
        <x:f aca="0">01_ビジョン原計画!J29</x:f>
        <x:v>#NAME?</x:v>
      </x:c>
      <x:c r="K24" s="5" t="e">
        <x:f aca="0">01_ビジョン原計画!K29</x:f>
        <x:v>#NAME?</x:v>
      </x:c>
    </x:row>
    <x:row r="25" ht="17.149999618530273" hidden="0">
      <x:c r="A25" s="6" t="s">
        <x:v>78</x:v>
      </x:c>
      <x:c r="B25" s="5" t="e">
        <x:f aca="0">01_ビジョン原計画!B31</x:f>
        <x:v>#NAME?</x:v>
      </x:c>
      <x:c r="C25" s="5" t="e">
        <x:f aca="0">01_ビジョン原計画!C31</x:f>
        <x:v>#NAME?</x:v>
      </x:c>
      <x:c r="D25" s="5" t="e">
        <x:f aca="0">01_ビジョン原計画!D31</x:f>
        <x:v>#NAME?</x:v>
      </x:c>
      <x:c r="E25" s="5" t="e">
        <x:f aca="0">01_ビジョン原計画!E31</x:f>
        <x:v>#NAME?</x:v>
      </x:c>
      <x:c r="F25" s="5" t="e">
        <x:f aca="0">01_ビジョン原計画!F31</x:f>
        <x:v>#NAME?</x:v>
      </x:c>
      <x:c r="G25" s="5" t="e">
        <x:f aca="0">01_ビジョン原計画!G31</x:f>
        <x:v>#NAME?</x:v>
      </x:c>
      <x:c r="H25" s="5" t="e">
        <x:f aca="0">01_ビジョン原計画!H31</x:f>
        <x:v>#NAME?</x:v>
      </x:c>
      <x:c r="I25" s="5" t="e">
        <x:f aca="0">01_ビジョン原計画!I31</x:f>
        <x:v>#NAME?</x:v>
      </x:c>
      <x:c r="J25" s="5" t="e">
        <x:f aca="0">01_ビジョン原計画!J31</x:f>
        <x:v>#NAME?</x:v>
      </x:c>
      <x:c r="K25" s="5" t="e">
        <x:f aca="0">01_ビジョン原計画!K31</x:f>
        <x:v>#NAME?</x:v>
      </x:c>
    </x:row>
    <x:row r="26" ht="17.149999618530273" hidden="0">
      <x:c r="A26" s="6" t="s">
        <x:v>146</x:v>
      </x:c>
      <x:c r="B26" s="5" t="e">
        <x:f aca="0">SUM(B20,B23,B25)</x:f>
        <x:v>#NAME?</x:v>
      </x:c>
      <x:c r="C26" s="5" t="e">
        <x:f aca="0">SUM(C20,C23,C25)</x:f>
        <x:v>#NAME?</x:v>
      </x:c>
      <x:c r="D26" s="5" t="e">
        <x:f aca="0">SUM(D20,D23,D25)</x:f>
        <x:v>#NAME?</x:v>
      </x:c>
      <x:c r="E26" s="5" t="e">
        <x:f aca="0">SUM(E20,E23,E25)</x:f>
        <x:v>#NAME?</x:v>
      </x:c>
      <x:c r="F26" s="5" t="e">
        <x:f aca="0">SUM(F20,F23,F25)</x:f>
        <x:v>#NAME?</x:v>
      </x:c>
      <x:c r="G26" s="5" t="e">
        <x:f aca="0">SUM(G20,G23,G25)</x:f>
        <x:v>#NAME?</x:v>
      </x:c>
      <x:c r="H26" s="5" t="e">
        <x:f aca="0">SUM(H20,H23,H25)</x:f>
        <x:v>#NAME?</x:v>
      </x:c>
      <x:c r="I26" s="5" t="e">
        <x:f aca="0">SUM(I20,I23,I25)</x:f>
        <x:v>#NAME?</x:v>
      </x:c>
      <x:c r="J26" s="5" t="e">
        <x:f aca="0">SUM(J20,J23,J25)</x:f>
        <x:v>#NAME?</x:v>
      </x:c>
      <x:c r="K26" s="5" t="e">
        <x:f aca="0">SUM(K20,K23,K25)</x:f>
        <x:v>#NAME?</x:v>
      </x:c>
    </x:row>
    <x:row r="27" ht="17.149999618530273" hidden="0">
      <x:c r="A27" s="6" t="s">
        <x:v>147</x:v>
      </x:c>
      <x:c r="B27" s="5" t="e">
        <x:f aca="0">SUM(B9,B13)-SUM(B20,B23)</x:f>
        <x:v>#NAME?</x:v>
      </x:c>
      <x:c r="C27" s="5" t="e">
        <x:f aca="0">SUM(C9,C13)-SUM(C20,C23)</x:f>
        <x:v>#NAME?</x:v>
      </x:c>
      <x:c r="D27" s="5" t="e">
        <x:f aca="0">SUM(D9,D13)-SUM(D20,D23)</x:f>
        <x:v>#NAME?</x:v>
      </x:c>
      <x:c r="E27" s="5" t="e">
        <x:f aca="0">SUM(E9,E13)-SUM(E20,E23)</x:f>
        <x:v>#NAME?</x:v>
      </x:c>
      <x:c r="F27" s="5" t="e">
        <x:f aca="0">SUM(F9,F13)-SUM(F20,F23)</x:f>
        <x:v>#NAME?</x:v>
      </x:c>
      <x:c r="G27" s="5" t="e">
        <x:f aca="0">SUM(G9,G13)-SUM(G20,G23)</x:f>
        <x:v>#NAME?</x:v>
      </x:c>
      <x:c r="H27" s="5" t="e">
        <x:f aca="0">SUM(H9,H13)-SUM(H20,H23)</x:f>
        <x:v>#NAME?</x:v>
      </x:c>
      <x:c r="I27" s="5" t="e">
        <x:f aca="0">SUM(I9,I13)-SUM(I20,I23)</x:f>
        <x:v>#NAME?</x:v>
      </x:c>
      <x:c r="J27" s="5" t="e">
        <x:f aca="0">SUM(J9,J13)-SUM(J20,J23)</x:f>
        <x:v>#NAME?</x:v>
      </x:c>
      <x:c r="K27" s="5" t="e">
        <x:f aca="0">SUM(K9,K13)-SUM(K20,K23)</x:f>
        <x:v>#NAME?</x:v>
      </x:c>
    </x:row>
    <x:row r="28" ht="17.149999618530273" hidden="0">
      <x:c r="A28" s="6" t="s">
        <x:v>148</x:v>
      </x:c>
      <x:c r="B28" s="5" t="e">
        <x:f aca="0">B27+B16-B25</x:f>
        <x:v>#NAME?</x:v>
      </x:c>
      <x:c r="C28" s="5" t="e">
        <x:f aca="0">C27+C16-C25</x:f>
        <x:v>#NAME?</x:v>
      </x:c>
      <x:c r="D28" s="5" t="e">
        <x:f aca="0">D27+D16-D25</x:f>
        <x:v>#NAME?</x:v>
      </x:c>
      <x:c r="E28" s="5" t="e">
        <x:f aca="0">E27+E16-E25</x:f>
        <x:v>#NAME?</x:v>
      </x:c>
      <x:c r="F28" s="5" t="e">
        <x:f aca="0">F27+F16-F25</x:f>
        <x:v>#NAME?</x:v>
      </x:c>
      <x:c r="G28" s="5" t="e">
        <x:f aca="0">G27+G16-G25</x:f>
        <x:v>#NAME?</x:v>
      </x:c>
      <x:c r="H28" s="5" t="e">
        <x:f aca="0">H27+H16-H25</x:f>
        <x:v>#NAME?</x:v>
      </x:c>
      <x:c r="I28" s="5" t="e">
        <x:f aca="0">I27+I16-I25</x:f>
        <x:v>#NAME?</x:v>
      </x:c>
      <x:c r="J28" s="5" t="e">
        <x:f aca="0">J27+J16-J25</x:f>
        <x:v>#NAME?</x:v>
      </x:c>
      <x:c r="K28" s="5" t="e">
        <x:f aca="0">K27+K16-K25</x:f>
        <x:v>#NAME?</x:v>
      </x:c>
    </x:row>
    <x:row r="29" ht="15" hidden="0">
      <x:c r="A29" s="7"/>
      <x:c r="B29" s="5"/>
      <x:c r="C29" s="5"/>
      <x:c r="D29" s="5"/>
      <x:c r="E29" s="5"/>
      <x:c r="F29" s="5"/>
      <x:c r="G29" s="5"/>
      <x:c r="H29" s="5"/>
      <x:c r="I29" s="5"/>
      <x:c r="J29" s="5"/>
      <x:c r="K29" s="5"/>
    </x:row>
    <x:row r="30" ht="17.149999618530273" hidden="0">
      <x:c r="A30" s="42" t="s">
        <x:v>149</x:v>
      </x:c>
      <x:c r="B30" s="43"/>
      <x:c r="C30" s="43"/>
      <x:c r="D30" s="43"/>
      <x:c r="E30" s="43"/>
      <x:c r="F30" s="43"/>
      <x:c r="G30" s="43"/>
      <x:c r="H30" s="43"/>
      <x:c r="I30" s="43"/>
      <x:c r="J30" s="43"/>
      <x:c r="K30" s="43"/>
    </x:row>
    <x:row r="31" ht="17.149999618530273" hidden="0">
      <x:c r="A31" s="6" t="s">
        <x:v>150</x:v>
      </x:c>
      <x:c r="B31" s="35" t="n">
        <x:f aca="0">IFERROR((SUM(B9,B13)/SUM(B20,B23))*100,0)</x:f>
        <x:v>0</x:v>
      </x:c>
      <x:c r="C31" s="35" t="n">
        <x:f aca="0">IFERROR((SUM(C9,C13)/SUM(C20,C23))*100,0)</x:f>
        <x:v>0</x:v>
      </x:c>
      <x:c r="D31" s="35" t="n">
        <x:f aca="0">IFERROR((SUM(D9,D13)/SUM(D20,D23))*100,0)</x:f>
        <x:v>0</x:v>
      </x:c>
      <x:c r="E31" s="35" t="n">
        <x:f aca="0">IFERROR((SUM(E9,E13)/SUM(E20,E23))*100,0)</x:f>
        <x:v>0</x:v>
      </x:c>
      <x:c r="F31" s="35" t="n">
        <x:f aca="0">IFERROR((SUM(F9,F13)/SUM(F20,F23))*100,0)</x:f>
        <x:v>0</x:v>
      </x:c>
      <x:c r="G31" s="35" t="n">
        <x:f aca="0">IFERROR((SUM(G9,G13)/SUM(G20,G23))*100,0)</x:f>
        <x:v>0</x:v>
      </x:c>
      <x:c r="H31" s="35" t="n">
        <x:f aca="0">IFERROR((SUM(H9,H13)/SUM(H20,H23))*100,0)</x:f>
        <x:v>0</x:v>
      </x:c>
      <x:c r="I31" s="35" t="n">
        <x:f aca="0">IFERROR((SUM(I9,I13)/SUM(I20,I23))*100,0)</x:f>
        <x:v>0</x:v>
      </x:c>
      <x:c r="J31" s="35" t="n">
        <x:f aca="0">IFERROR((SUM(J9,J13)/SUM(J20,J23))*100,0)</x:f>
        <x:v>0</x:v>
      </x:c>
      <x:c r="K31" s="35" t="n">
        <x:f aca="0">IFERROR((SUM(K9,K13)/SUM(K20,K23))*100,0)</x:f>
        <x:v>0</x:v>
      </x:c>
    </x:row>
    <x:row r="32" ht="17.149999618530273" hidden="0">
      <x:c r="A32" s="6" t="s">
        <x:v>151</x:v>
      </x:c>
      <x:c r="B32" s="35" t="n">
        <x:f aca="0">IFERROR(B10/B34*100,0)</x:f>
        <x:v>0</x:v>
      </x:c>
      <x:c r="C32" s="35" t="n">
        <x:f aca="0">IFERROR(C10/C34*100,0)</x:f>
        <x:v>0</x:v>
      </x:c>
      <x:c r="D32" s="35" t="n">
        <x:f aca="0">IFERROR(D10/D34*100,0)</x:f>
        <x:v>0</x:v>
      </x:c>
      <x:c r="E32" s="35" t="n">
        <x:f aca="0">IFERROR(E10/E34*100,0)</x:f>
        <x:v>0</x:v>
      </x:c>
      <x:c r="F32" s="35" t="n">
        <x:f aca="0">IFERROR(F10/F34*100,0)</x:f>
        <x:v>0</x:v>
      </x:c>
      <x:c r="G32" s="35" t="n">
        <x:f aca="0">IFERROR(G10/G34*100,0)</x:f>
        <x:v>0</x:v>
      </x:c>
      <x:c r="H32" s="35" t="n">
        <x:f aca="0">IFERROR(H10/H34*100,0)</x:f>
        <x:v>0</x:v>
      </x:c>
      <x:c r="I32" s="35" t="n">
        <x:f aca="0">IFERROR(I10/I34*100,0)</x:f>
        <x:v>0</x:v>
      </x:c>
      <x:c r="J32" s="35" t="n">
        <x:f aca="0">IFERROR(J10/J34*100,0)</x:f>
        <x:v>0</x:v>
      </x:c>
      <x:c r="K32" s="35" t="n">
        <x:f aca="0">IFERROR(K10/K34*100,0)</x:f>
        <x:v>0</x:v>
      </x:c>
    </x:row>
    <x:row r="33" ht="17.149999618530273" hidden="0">
      <x:c r="A33" s="6" t="s">
        <x:v>152</x:v>
      </x:c>
      <x:c r="B33" s="35" t="n">
        <x:f aca="0">IFERROR(B10/B35*100,0)</x:f>
        <x:v>0</x:v>
      </x:c>
      <x:c r="C33" s="35" t="n">
        <x:f aca="0">IFERROR(C10/C35*100,0)</x:f>
        <x:v>0</x:v>
      </x:c>
      <x:c r="D33" s="35" t="n">
        <x:f aca="0">IFERROR(D10/D35*100,0)</x:f>
        <x:v>0</x:v>
      </x:c>
      <x:c r="E33" s="35" t="n">
        <x:f aca="0">IFERROR(E10/E35*100,0)</x:f>
        <x:v>0</x:v>
      </x:c>
      <x:c r="F33" s="35" t="n">
        <x:f aca="0">IFERROR(F10/F35*100,0)</x:f>
        <x:v>0</x:v>
      </x:c>
      <x:c r="G33" s="35" t="n">
        <x:f aca="0">IFERROR(G10/G35*100,0)</x:f>
        <x:v>0</x:v>
      </x:c>
      <x:c r="H33" s="35" t="n">
        <x:f aca="0">IFERROR(H10/H35*100,0)</x:f>
        <x:v>0</x:v>
      </x:c>
      <x:c r="I33" s="35" t="n">
        <x:f aca="0">IFERROR(I10/I35*100,0)</x:f>
        <x:v>0</x:v>
      </x:c>
      <x:c r="J33" s="35" t="n">
        <x:f aca="0">IFERROR(J10/J35*100,0)</x:f>
        <x:v>0</x:v>
      </x:c>
      <x:c r="K33" s="35" t="n">
        <x:f aca="0">IFERROR(K10/K35*100,0)</x:f>
        <x:v>0</x:v>
      </x:c>
    </x:row>
    <x:row r="34" ht="17.149999618530273" hidden="0">
      <x:c r="A34" s="6" t="s">
        <x:v>153</x:v>
      </x:c>
      <x:c r="B34" s="5" t="e">
        <x:f aca="0">SUM(B20,B23)-B14</x:f>
        <x:v>#NAME?</x:v>
      </x:c>
      <x:c r="C34" s="5" t="e">
        <x:f aca="0">SUM(C20,C23)-C14</x:f>
        <x:v>#NAME?</x:v>
      </x:c>
      <x:c r="D34" s="5" t="e">
        <x:f aca="0">SUM(D20,D23)-D14</x:f>
        <x:v>#NAME?</x:v>
      </x:c>
      <x:c r="E34" s="5" t="e">
        <x:f aca="0">SUM(E20,E23)-E14</x:f>
        <x:v>#NAME?</x:v>
      </x:c>
      <x:c r="F34" s="5" t="e">
        <x:f aca="0">SUM(F20,F23)-F14</x:f>
        <x:v>#NAME?</x:v>
      </x:c>
      <x:c r="G34" s="5" t="e">
        <x:f aca="0">SUM(G20,G23)-G14</x:f>
        <x:v>#NAME?</x:v>
      </x:c>
      <x:c r="H34" s="5" t="e">
        <x:f aca="0">SUM(H20,H23)-H14</x:f>
        <x:v>#NAME?</x:v>
      </x:c>
      <x:c r="I34" s="5" t="e">
        <x:f aca="0">SUM(I20,I23)-I14</x:f>
        <x:v>#NAME?</x:v>
      </x:c>
      <x:c r="J34" s="5" t="e">
        <x:f aca="0">SUM(J20,J23)-J14</x:f>
        <x:v>#NAME?</x:v>
      </x:c>
      <x:c r="K34" s="5" t="e">
        <x:f aca="0">SUM(K20,K23)-K14</x:f>
        <x:v>#NAME?</x:v>
      </x:c>
    </x:row>
    <x:row r="35" ht="17.149999618530273" hidden="0">
      <x:c r="A35" s="6" t="s">
        <x:v>154</x:v>
      </x:c>
      <x:c r="B35" s="5" t="e">
        <x:f aca="0">B34+$B$5</x:f>
        <x:v>#NAME?</x:v>
      </x:c>
      <x:c r="C35" s="5" t="e">
        <x:f aca="0">C34+$B$5</x:f>
        <x:v>#NAME?</x:v>
      </x:c>
      <x:c r="D35" s="5" t="e">
        <x:f aca="0">D34+$B$5</x:f>
        <x:v>#NAME?</x:v>
      </x:c>
      <x:c r="E35" s="5" t="e">
        <x:f aca="0">E34+$B$5</x:f>
        <x:v>#NAME?</x:v>
      </x:c>
      <x:c r="F35" s="5" t="e">
        <x:f aca="0">F34+$B$5</x:f>
        <x:v>#NAME?</x:v>
      </x:c>
      <x:c r="G35" s="5" t="e">
        <x:f aca="0">G34+$B$5</x:f>
        <x:v>#NAME?</x:v>
      </x:c>
      <x:c r="H35" s="5" t="e">
        <x:f aca="0">H34+$B$5</x:f>
        <x:v>#NAME?</x:v>
      </x:c>
      <x:c r="I35" s="5" t="e">
        <x:f aca="0">I34+$B$5</x:f>
        <x:v>#NAME?</x:v>
      </x:c>
      <x:c r="J35" s="5" t="e">
        <x:f aca="0">J34+$B$5</x:f>
        <x:v>#NAME?</x:v>
      </x:c>
      <x:c r="K35" s="5" t="e">
        <x:f aca="0">K34+$B$5</x:f>
        <x:v>#NAME?</x:v>
      </x:c>
    </x:row>
    <x:row r="36" ht="17.149999618530273" hidden="0">
      <x:c r="A36" s="6" t="s">
        <x:v>155</x:v>
      </x:c>
      <x:c r="B36" s="35" t="n">
        <x:f aca="0">IFERROR(B10/(B20+B23-B14-B12-B15+$B$5)*100,0)</x:f>
        <x:v>0</x:v>
      </x:c>
      <x:c r="C36" s="35" t="n">
        <x:f aca="0">IFERROR(C10/(C20+C23-C14-C12-C15+$B$5)*100,0)</x:f>
        <x:v>0</x:v>
      </x:c>
      <x:c r="D36" s="35" t="n">
        <x:f aca="0">IFERROR(D10/(D20+D23-D14-D12-D15+$B$5)*100,0)</x:f>
        <x:v>0</x:v>
      </x:c>
      <x:c r="E36" s="35" t="n">
        <x:f aca="0">IFERROR(E10/(E20+E23-E14-E12-E15+$B$5)*100,0)</x:f>
        <x:v>0</x:v>
      </x:c>
      <x:c r="F36" s="35" t="n">
        <x:f aca="0">IFERROR(F10/(F20+F23-F14-F12-F15+$B$5)*100,0)</x:f>
        <x:v>0</x:v>
      </x:c>
      <x:c r="G36" s="35" t="n">
        <x:f aca="0">IFERROR(G10/(G20+G23-G14-G12-G15+$B$5)*100,0)</x:f>
        <x:v>0</x:v>
      </x:c>
      <x:c r="H36" s="35" t="n">
        <x:f aca="0">IFERROR(H10/(H20+H23-H14-H12-H15+$B$5)*100,0)</x:f>
        <x:v>0</x:v>
      </x:c>
      <x:c r="I36" s="35" t="n">
        <x:f aca="0">IFERROR(I10/(I20+I23-I14-I12-I15+$B$5)*100,0)</x:f>
        <x:v>0</x:v>
      </x:c>
      <x:c r="J36" s="35" t="n">
        <x:f aca="0">IFERROR(J10/(J20+J23-J14-J12-J15+$B$5)*100,0)</x:f>
        <x:v>0</x:v>
      </x:c>
      <x:c r="K36" s="35" t="n">
        <x:f aca="0">IFERROR(K10/(K20+K23-K14-K12-K15+$B$5)*100,0)</x:f>
        <x:v>0</x:v>
      </x:c>
    </x:row>
    <x:row r="37" ht="17.149999618530273" hidden="0">
      <x:c r="A37" s="6" t="s">
        <x:v>156</x:v>
      </x:c>
      <x:c r="B37" s="5" t="str">
        <x:f aca="0">IF(B33&lt;=B32,"OK","要確認")</x:f>
        <x:v>OK</x:v>
      </x:c>
      <x:c r="C37" s="5" t="str">
        <x:f aca="0">IF(C33&lt;=C32,"OK","要確認")</x:f>
        <x:v>OK</x:v>
      </x:c>
      <x:c r="D37" s="5" t="str">
        <x:f aca="0">IF(D33&lt;=D32,"OK","要確認")</x:f>
        <x:v>OK</x:v>
      </x:c>
      <x:c r="E37" s="5" t="str">
        <x:f aca="0">IF(E33&lt;=E32,"OK","要確認")</x:f>
        <x:v>OK</x:v>
      </x:c>
      <x:c r="F37" s="5" t="str">
        <x:f aca="0">IF(F33&lt;=F32,"OK","要確認")</x:f>
        <x:v>OK</x:v>
      </x:c>
      <x:c r="G37" s="5" t="str">
        <x:f aca="0">IF(G33&lt;=G32,"OK","要確認")</x:f>
        <x:v>OK</x:v>
      </x:c>
      <x:c r="H37" s="5" t="str">
        <x:f aca="0">IF(H33&lt;=H32,"OK","要確認")</x:f>
        <x:v>OK</x:v>
      </x:c>
      <x:c r="I37" s="5" t="str">
        <x:f aca="0">IF(I33&lt;=I32,"OK","要確認")</x:f>
        <x:v>OK</x:v>
      </x:c>
      <x:c r="J37" s="5" t="str">
        <x:f aca="0">IF(J33&lt;=J32,"OK","要確認")</x:f>
        <x:v>OK</x:v>
      </x:c>
      <x:c r="K37" s="5" t="str">
        <x:f aca="0">IF(K33&lt;=K32,"OK","要確認")</x:f>
        <x:v>OK</x:v>
      </x:c>
    </x:row>
    <x:row r="38" ht="15" hidden="0">
      <x:c r="A38" s="7"/>
      <x:c r="B38" s="5"/>
      <x:c r="C38" s="5"/>
      <x:c r="D38" s="5"/>
      <x:c r="E38" s="5"/>
      <x:c r="F38" s="5"/>
      <x:c r="G38" s="5"/>
      <x:c r="H38" s="5"/>
      <x:c r="I38" s="5"/>
      <x:c r="J38" s="5"/>
      <x:c r="K38" s="5"/>
    </x:row>
    <x:row r="39" ht="17.149999618530273" hidden="0">
      <x:c r="A39" s="42" t="s">
        <x:v>79</x:v>
      </x:c>
      <x:c r="B39" s="43"/>
      <x:c r="C39" s="43"/>
      <x:c r="D39" s="43"/>
      <x:c r="E39" s="43"/>
      <x:c r="F39" s="43"/>
      <x:c r="G39" s="43"/>
      <x:c r="H39" s="43"/>
      <x:c r="I39" s="43"/>
      <x:c r="J39" s="43"/>
      <x:c r="K39" s="43"/>
    </x:row>
    <x:row r="40" ht="17.149999618530273" hidden="0">
      <x:c r="A40" s="6" t="s">
        <x:v>80</x:v>
      </x:c>
      <x:c r="B40" s="5" t="e">
        <x:f aca="0">01_ビジョン原計画!B34</x:f>
        <x:v>#NAME?</x:v>
      </x:c>
      <x:c r="C40" s="5" t="e">
        <x:f aca="0">01_ビジョン原計画!C34</x:f>
        <x:v>#NAME?</x:v>
      </x:c>
      <x:c r="D40" s="5" t="e">
        <x:f aca="0">01_ビジョン原計画!D34</x:f>
        <x:v>#NAME?</x:v>
      </x:c>
      <x:c r="E40" s="5" t="e">
        <x:f aca="0">01_ビジョン原計画!E34</x:f>
        <x:v>#NAME?</x:v>
      </x:c>
      <x:c r="F40" s="5" t="e">
        <x:f aca="0">01_ビジョン原計画!F34</x:f>
        <x:v>#NAME?</x:v>
      </x:c>
      <x:c r="G40" s="5" t="e">
        <x:f aca="0">01_ビジョン原計画!G34</x:f>
        <x:v>#NAME?</x:v>
      </x:c>
      <x:c r="H40" s="5" t="e">
        <x:f aca="0">01_ビジョン原計画!H34</x:f>
        <x:v>#NAME?</x:v>
      </x:c>
      <x:c r="I40" s="5" t="e">
        <x:f aca="0">01_ビジョン原計画!I34</x:f>
        <x:v>#NAME?</x:v>
      </x:c>
      <x:c r="J40" s="5" t="e">
        <x:f aca="0">01_ビジョン原計画!J34</x:f>
        <x:v>#NAME?</x:v>
      </x:c>
      <x:c r="K40" s="5" t="e">
        <x:f aca="0">01_ビジョン原計画!K34</x:f>
        <x:v>#NAME?</x:v>
      </x:c>
    </x:row>
    <x:row r="41" ht="17.149999618530273" hidden="0">
      <x:c r="A41" s="6" t="s">
        <x:v>81</x:v>
      </x:c>
      <x:c r="B41" s="5" t="e">
        <x:f aca="0">01_ビジョン原計画!B35</x:f>
        <x:v>#NAME?</x:v>
      </x:c>
      <x:c r="C41" s="5" t="e">
        <x:f aca="0">01_ビジョン原計画!C35</x:f>
        <x:v>#NAME?</x:v>
      </x:c>
      <x:c r="D41" s="5" t="e">
        <x:f aca="0">01_ビジョン原計画!D35</x:f>
        <x:v>#NAME?</x:v>
      </x:c>
      <x:c r="E41" s="5" t="e">
        <x:f aca="0">01_ビジョン原計画!E35</x:f>
        <x:v>#NAME?</x:v>
      </x:c>
      <x:c r="F41" s="5" t="e">
        <x:f aca="0">01_ビジョン原計画!F35</x:f>
        <x:v>#NAME?</x:v>
      </x:c>
      <x:c r="G41" s="5" t="e">
        <x:f aca="0">01_ビジョン原計画!G35</x:f>
        <x:v>#NAME?</x:v>
      </x:c>
      <x:c r="H41" s="5" t="e">
        <x:f aca="0">01_ビジョン原計画!H35</x:f>
        <x:v>#NAME?</x:v>
      </x:c>
      <x:c r="I41" s="5" t="e">
        <x:f aca="0">01_ビジョン原計画!I35</x:f>
        <x:v>#NAME?</x:v>
      </x:c>
      <x:c r="J41" s="5" t="e">
        <x:f aca="0">01_ビジョン原計画!J35</x:f>
        <x:v>#NAME?</x:v>
      </x:c>
      <x:c r="K41" s="5" t="e">
        <x:f aca="0">01_ビジョン原計画!K35</x:f>
        <x:v>#NAME?</x:v>
      </x:c>
    </x:row>
    <x:row r="42" ht="17.149999618530273" hidden="0">
      <x:c r="A42" s="6" t="s">
        <x:v>82</x:v>
      </x:c>
      <x:c r="B42" s="5" t="e">
        <x:f aca="0">01_ビジョン原計画!B36</x:f>
        <x:v>#NAME?</x:v>
      </x:c>
      <x:c r="C42" s="5" t="e">
        <x:f aca="0">01_ビジョン原計画!C36</x:f>
        <x:v>#NAME?</x:v>
      </x:c>
      <x:c r="D42" s="5" t="e">
        <x:f aca="0">01_ビジョン原計画!D36</x:f>
        <x:v>#NAME?</x:v>
      </x:c>
      <x:c r="E42" s="5" t="e">
        <x:f aca="0">01_ビジョン原計画!E36</x:f>
        <x:v>#NAME?</x:v>
      </x:c>
      <x:c r="F42" s="5" t="e">
        <x:f aca="0">01_ビジョン原計画!F36</x:f>
        <x:v>#NAME?</x:v>
      </x:c>
      <x:c r="G42" s="5" t="e">
        <x:f aca="0">01_ビジョン原計画!G36</x:f>
        <x:v>#NAME?</x:v>
      </x:c>
      <x:c r="H42" s="5" t="e">
        <x:f aca="0">01_ビジョン原計画!H36</x:f>
        <x:v>#NAME?</x:v>
      </x:c>
      <x:c r="I42" s="5" t="e">
        <x:f aca="0">01_ビジョン原計画!I36</x:f>
        <x:v>#NAME?</x:v>
      </x:c>
      <x:c r="J42" s="5" t="e">
        <x:f aca="0">01_ビジョン原計画!J36</x:f>
        <x:v>#NAME?</x:v>
      </x:c>
      <x:c r="K42" s="5" t="e">
        <x:f aca="0">01_ビジョン原計画!K36</x:f>
        <x:v>#NAME?</x:v>
      </x:c>
    </x:row>
    <x:row r="43" ht="17.149999618530273" hidden="0">
      <x:c r="A43" s="6" t="s">
        <x:v>83</x:v>
      </x:c>
      <x:c r="B43" s="5" t="e">
        <x:f aca="0">01_ビジョン原計画!B37</x:f>
        <x:v>#NAME?</x:v>
      </x:c>
      <x:c r="C43" s="5" t="e">
        <x:f aca="0">01_ビジョン原計画!C37</x:f>
        <x:v>#NAME?</x:v>
      </x:c>
      <x:c r="D43" s="5" t="e">
        <x:f aca="0">01_ビジョン原計画!D37</x:f>
        <x:v>#NAME?</x:v>
      </x:c>
      <x:c r="E43" s="5" t="e">
        <x:f aca="0">01_ビジョン原計画!E37</x:f>
        <x:v>#NAME?</x:v>
      </x:c>
      <x:c r="F43" s="5" t="e">
        <x:f aca="0">01_ビジョン原計画!F37</x:f>
        <x:v>#NAME?</x:v>
      </x:c>
      <x:c r="G43" s="5" t="e">
        <x:f aca="0">01_ビジョン原計画!G37</x:f>
        <x:v>#NAME?</x:v>
      </x:c>
      <x:c r="H43" s="5" t="e">
        <x:f aca="0">01_ビジョン原計画!H37</x:f>
        <x:v>#NAME?</x:v>
      </x:c>
      <x:c r="I43" s="5" t="e">
        <x:f aca="0">01_ビジョン原計画!I37</x:f>
        <x:v>#NAME?</x:v>
      </x:c>
      <x:c r="J43" s="5" t="e">
        <x:f aca="0">01_ビジョン原計画!J37</x:f>
        <x:v>#NAME?</x:v>
      </x:c>
      <x:c r="K43" s="5" t="e">
        <x:f aca="0">01_ビジョン原計画!K37</x:f>
        <x:v>#NAME?</x:v>
      </x:c>
    </x:row>
    <x:row r="44" ht="17.149999618530273" hidden="0">
      <x:c r="A44" s="6" t="s">
        <x:v>84</x:v>
      </x:c>
      <x:c r="B44" s="5" t="e">
        <x:f aca="0">01_ビジョン原計画!B38</x:f>
        <x:v>#NAME?</x:v>
      </x:c>
      <x:c r="C44" s="5" t="e">
        <x:f aca="0">01_ビジョン原計画!C38</x:f>
        <x:v>#NAME?</x:v>
      </x:c>
      <x:c r="D44" s="5" t="e">
        <x:f aca="0">01_ビジョン原計画!D38</x:f>
        <x:v>#NAME?</x:v>
      </x:c>
      <x:c r="E44" s="5" t="e">
        <x:f aca="0">01_ビジョン原計画!E38</x:f>
        <x:v>#NAME?</x:v>
      </x:c>
      <x:c r="F44" s="5" t="e">
        <x:f aca="0">01_ビジョン原計画!F38</x:f>
        <x:v>#NAME?</x:v>
      </x:c>
      <x:c r="G44" s="5" t="e">
        <x:f aca="0">01_ビジョン原計画!G38</x:f>
        <x:v>#NAME?</x:v>
      </x:c>
      <x:c r="H44" s="5" t="e">
        <x:f aca="0">01_ビジョン原計画!H38</x:f>
        <x:v>#NAME?</x:v>
      </x:c>
      <x:c r="I44" s="5" t="e">
        <x:f aca="0">01_ビジョン原計画!I38</x:f>
        <x:v>#NAME?</x:v>
      </x:c>
      <x:c r="J44" s="5" t="e">
        <x:f aca="0">01_ビジョン原計画!J38</x:f>
        <x:v>#NAME?</x:v>
      </x:c>
      <x:c r="K44" s="5" t="e">
        <x:f aca="0">01_ビジョン原計画!K38</x:f>
        <x:v>#NAME?</x:v>
      </x:c>
    </x:row>
    <x:row r="45" ht="17.149999618530273" hidden="0">
      <x:c r="A45" s="6" t="s">
        <x:v>85</x:v>
      </x:c>
      <x:c r="B45" s="5" t="e">
        <x:f aca="0">01_ビジョン原計画!B39</x:f>
        <x:v>#NAME?</x:v>
      </x:c>
      <x:c r="C45" s="5" t="e">
        <x:f aca="0">01_ビジョン原計画!C39</x:f>
        <x:v>#NAME?</x:v>
      </x:c>
      <x:c r="D45" s="5" t="e">
        <x:f aca="0">01_ビジョン原計画!D39</x:f>
        <x:v>#NAME?</x:v>
      </x:c>
      <x:c r="E45" s="5" t="e">
        <x:f aca="0">01_ビジョン原計画!E39</x:f>
        <x:v>#NAME?</x:v>
      </x:c>
      <x:c r="F45" s="5" t="e">
        <x:f aca="0">01_ビジョン原計画!F39</x:f>
        <x:v>#NAME?</x:v>
      </x:c>
      <x:c r="G45" s="5" t="e">
        <x:f aca="0">01_ビジョン原計画!G39</x:f>
        <x:v>#NAME?</x:v>
      </x:c>
      <x:c r="H45" s="5" t="e">
        <x:f aca="0">01_ビジョン原計画!H39</x:f>
        <x:v>#NAME?</x:v>
      </x:c>
      <x:c r="I45" s="5" t="e">
        <x:f aca="0">01_ビジョン原計画!I39</x:f>
        <x:v>#NAME?</x:v>
      </x:c>
      <x:c r="J45" s="5" t="e">
        <x:f aca="0">01_ビジョン原計画!J39</x:f>
        <x:v>#NAME?</x:v>
      </x:c>
      <x:c r="K45" s="5" t="e">
        <x:f aca="0">01_ビジョン原計画!K39</x:f>
        <x:v>#NAME?</x:v>
      </x:c>
    </x:row>
    <x:row r="46" ht="17.149999618530273" hidden="0">
      <x:c r="A46" s="6" t="s">
        <x:v>86</x:v>
      </x:c>
      <x:c r="B46" s="5" t="e">
        <x:f aca="0">01_ビジョン原計画!B40</x:f>
        <x:v>#NAME?</x:v>
      </x:c>
      <x:c r="C46" s="5" t="e">
        <x:f aca="0">01_ビジョン原計画!C40</x:f>
        <x:v>#NAME?</x:v>
      </x:c>
      <x:c r="D46" s="5" t="e">
        <x:f aca="0">01_ビジョン原計画!D40</x:f>
        <x:v>#NAME?</x:v>
      </x:c>
      <x:c r="E46" s="5" t="e">
        <x:f aca="0">01_ビジョン原計画!E40</x:f>
        <x:v>#NAME?</x:v>
      </x:c>
      <x:c r="F46" s="5" t="e">
        <x:f aca="0">01_ビジョン原計画!F40</x:f>
        <x:v>#NAME?</x:v>
      </x:c>
      <x:c r="G46" s="5" t="e">
        <x:f aca="0">01_ビジョン原計画!G40</x:f>
        <x:v>#NAME?</x:v>
      </x:c>
      <x:c r="H46" s="5" t="e">
        <x:f aca="0">01_ビジョン原計画!H40</x:f>
        <x:v>#NAME?</x:v>
      </x:c>
      <x:c r="I46" s="5" t="e">
        <x:f aca="0">01_ビジョン原計画!I40</x:f>
        <x:v>#NAME?</x:v>
      </x:c>
      <x:c r="J46" s="5" t="e">
        <x:f aca="0">01_ビジョン原計画!J40</x:f>
        <x:v>#NAME?</x:v>
      </x:c>
      <x:c r="K46" s="5" t="e">
        <x:f aca="0">01_ビジョン原計画!K40</x:f>
        <x:v>#NAME?</x:v>
      </x:c>
    </x:row>
    <x:row r="47" ht="17.149999618530273" hidden="0">
      <x:c r="A47" s="6" t="s">
        <x:v>87</x:v>
      </x:c>
      <x:c r="B47" s="5" t="e">
        <x:f aca="0">01_ビジョン原計画!B41</x:f>
        <x:v>#NAME?</x:v>
      </x:c>
      <x:c r="C47" s="5" t="e">
        <x:f aca="0">01_ビジョン原計画!C41</x:f>
        <x:v>#NAME?</x:v>
      </x:c>
      <x:c r="D47" s="5" t="e">
        <x:f aca="0">01_ビジョン原計画!D41</x:f>
        <x:v>#NAME?</x:v>
      </x:c>
      <x:c r="E47" s="5" t="e">
        <x:f aca="0">01_ビジョン原計画!E41</x:f>
        <x:v>#NAME?</x:v>
      </x:c>
      <x:c r="F47" s="5" t="e">
        <x:f aca="0">01_ビジョン原計画!F41</x:f>
        <x:v>#NAME?</x:v>
      </x:c>
      <x:c r="G47" s="5" t="e">
        <x:f aca="0">01_ビジョン原計画!G41</x:f>
        <x:v>#NAME?</x:v>
      </x:c>
      <x:c r="H47" s="5" t="e">
        <x:f aca="0">01_ビジョン原計画!H41</x:f>
        <x:v>#NAME?</x:v>
      </x:c>
      <x:c r="I47" s="5" t="e">
        <x:f aca="0">01_ビジョン原計画!I41</x:f>
        <x:v>#NAME?</x:v>
      </x:c>
      <x:c r="J47" s="5" t="e">
        <x:f aca="0">01_ビジョン原計画!J41</x:f>
        <x:v>#NAME?</x:v>
      </x:c>
      <x:c r="K47" s="5" t="e">
        <x:f aca="0">01_ビジョン原計画!K41</x:f>
        <x:v>#NAME?</x:v>
      </x:c>
    </x:row>
    <x:row r="48" ht="15" hidden="0">
      <x:c r="A48" s="7"/>
      <x:c r="B48" s="5"/>
      <x:c r="C48" s="5"/>
      <x:c r="D48" s="5"/>
      <x:c r="E48" s="5"/>
      <x:c r="F48" s="5"/>
      <x:c r="G48" s="5"/>
      <x:c r="H48" s="5"/>
      <x:c r="I48" s="5"/>
      <x:c r="J48" s="5"/>
      <x:c r="K48" s="5"/>
    </x:row>
    <x:row r="49" ht="17.149999618530273" hidden="0">
      <x:c r="A49" s="42" t="s">
        <x:v>88</x:v>
      </x:c>
      <x:c r="B49" s="43"/>
      <x:c r="C49" s="43"/>
      <x:c r="D49" s="43"/>
      <x:c r="E49" s="43"/>
      <x:c r="F49" s="43"/>
      <x:c r="G49" s="43"/>
      <x:c r="H49" s="43"/>
      <x:c r="I49" s="43"/>
      <x:c r="J49" s="43"/>
      <x:c r="K49" s="43"/>
    </x:row>
    <x:row r="50" ht="17.149999618530273" hidden="0">
      <x:c r="A50" s="6" t="s">
        <x:v>89</x:v>
      </x:c>
      <x:c r="B50" s="5" t="e">
        <x:f aca="0">01_ビジョン原計画!B44</x:f>
        <x:v>#NAME?</x:v>
      </x:c>
      <x:c r="C50" s="5" t="e">
        <x:f aca="0">01_ビジョン原計画!C44</x:f>
        <x:v>#NAME?</x:v>
      </x:c>
      <x:c r="D50" s="5" t="e">
        <x:f aca="0">01_ビジョン原計画!D44</x:f>
        <x:v>#NAME?</x:v>
      </x:c>
      <x:c r="E50" s="5" t="e">
        <x:f aca="0">01_ビジョン原計画!E44</x:f>
        <x:v>#NAME?</x:v>
      </x:c>
      <x:c r="F50" s="5" t="e">
        <x:f aca="0">01_ビジョン原計画!F44</x:f>
        <x:v>#NAME?</x:v>
      </x:c>
      <x:c r="G50" s="5" t="e">
        <x:f aca="0">01_ビジョン原計画!G44</x:f>
        <x:v>#NAME?</x:v>
      </x:c>
      <x:c r="H50" s="5" t="e">
        <x:f aca="0">01_ビジョン原計画!H44</x:f>
        <x:v>#NAME?</x:v>
      </x:c>
      <x:c r="I50" s="5" t="e">
        <x:f aca="0">01_ビジョン原計画!I44</x:f>
        <x:v>#NAME?</x:v>
      </x:c>
      <x:c r="J50" s="5" t="e">
        <x:f aca="0">01_ビジョン原計画!J44</x:f>
        <x:v>#NAME?</x:v>
      </x:c>
      <x:c r="K50" s="5" t="e">
        <x:f aca="0">01_ビジョン原計画!K44</x:f>
        <x:v>#NAME?</x:v>
      </x:c>
    </x:row>
    <x:row r="51" ht="17.149999618530273" hidden="0">
      <x:c r="A51" s="6" t="s">
        <x:v>90</x:v>
      </x:c>
      <x:c r="B51" s="5" t="e">
        <x:f aca="0">01_ビジョン原計画!B45</x:f>
        <x:v>#NAME?</x:v>
      </x:c>
      <x:c r="C51" s="5" t="e">
        <x:f aca="0">01_ビジョン原計画!C45</x:f>
        <x:v>#NAME?</x:v>
      </x:c>
      <x:c r="D51" s="5" t="e">
        <x:f aca="0">01_ビジョン原計画!D45</x:f>
        <x:v>#NAME?</x:v>
      </x:c>
      <x:c r="E51" s="5" t="e">
        <x:f aca="0">01_ビジョン原計画!E45</x:f>
        <x:v>#NAME?</x:v>
      </x:c>
      <x:c r="F51" s="5" t="e">
        <x:f aca="0">01_ビジョン原計画!F45</x:f>
        <x:v>#NAME?</x:v>
      </x:c>
      <x:c r="G51" s="5" t="e">
        <x:f aca="0">01_ビジョン原計画!G45</x:f>
        <x:v>#NAME?</x:v>
      </x:c>
      <x:c r="H51" s="5" t="e">
        <x:f aca="0">01_ビジョン原計画!H45</x:f>
        <x:v>#NAME?</x:v>
      </x:c>
      <x:c r="I51" s="5" t="e">
        <x:f aca="0">01_ビジョン原計画!I45</x:f>
        <x:v>#NAME?</x:v>
      </x:c>
      <x:c r="J51" s="5" t="e">
        <x:f aca="0">01_ビジョン原計画!J45</x:f>
        <x:v>#NAME?</x:v>
      </x:c>
      <x:c r="K51" s="5" t="e">
        <x:f aca="0">01_ビジョン原計画!K45</x:f>
        <x:v>#NAME?</x:v>
      </x:c>
    </x:row>
    <x:row r="52" ht="17.149999618530273" hidden="0">
      <x:c r="A52" s="6" t="s">
        <x:v>91</x:v>
      </x:c>
      <x:c r="B52" s="5" t="e">
        <x:f aca="0">01_ビジョン原計画!B46</x:f>
        <x:v>#NAME?</x:v>
      </x:c>
      <x:c r="C52" s="5" t="e">
        <x:f aca="0">01_ビジョン原計画!C46</x:f>
        <x:v>#NAME?</x:v>
      </x:c>
      <x:c r="D52" s="5" t="e">
        <x:f aca="0">01_ビジョン原計画!D46</x:f>
        <x:v>#NAME?</x:v>
      </x:c>
      <x:c r="E52" s="5" t="e">
        <x:f aca="0">01_ビジョン原計画!E46</x:f>
        <x:v>#NAME?</x:v>
      </x:c>
      <x:c r="F52" s="5" t="e">
        <x:f aca="0">01_ビジョン原計画!F46</x:f>
        <x:v>#NAME?</x:v>
      </x:c>
      <x:c r="G52" s="5" t="e">
        <x:f aca="0">01_ビジョン原計画!G46</x:f>
        <x:v>#NAME?</x:v>
      </x:c>
      <x:c r="H52" s="5" t="e">
        <x:f aca="0">01_ビジョン原計画!H46</x:f>
        <x:v>#NAME?</x:v>
      </x:c>
      <x:c r="I52" s="5" t="e">
        <x:f aca="0">01_ビジョン原計画!I46</x:f>
        <x:v>#NAME?</x:v>
      </x:c>
      <x:c r="J52" s="5" t="e">
        <x:f aca="0">01_ビジョン原計画!J46</x:f>
        <x:v>#NAME?</x:v>
      </x:c>
      <x:c r="K52" s="5" t="e">
        <x:f aca="0">01_ビジョン原計画!K46</x:f>
        <x:v>#NAME?</x:v>
      </x:c>
    </x:row>
    <x:row r="53" ht="17.149999618530273" hidden="0">
      <x:c r="A53" s="6" t="s">
        <x:v>92</x:v>
      </x:c>
      <x:c r="B53" s="5" t="e">
        <x:f aca="0">01_ビジョン原計画!B47</x:f>
        <x:v>#NAME?</x:v>
      </x:c>
      <x:c r="C53" s="5" t="e">
        <x:f aca="0">01_ビジョン原計画!C47</x:f>
        <x:v>#NAME?</x:v>
      </x:c>
      <x:c r="D53" s="5" t="e">
        <x:f aca="0">01_ビジョン原計画!D47</x:f>
        <x:v>#NAME?</x:v>
      </x:c>
      <x:c r="E53" s="5" t="e">
        <x:f aca="0">01_ビジョン原計画!E47</x:f>
        <x:v>#NAME?</x:v>
      </x:c>
      <x:c r="F53" s="5" t="e">
        <x:f aca="0">01_ビジョン原計画!F47</x:f>
        <x:v>#NAME?</x:v>
      </x:c>
      <x:c r="G53" s="5" t="e">
        <x:f aca="0">01_ビジョン原計画!G47</x:f>
        <x:v>#NAME?</x:v>
      </x:c>
      <x:c r="H53" s="5" t="e">
        <x:f aca="0">01_ビジョン原計画!H47</x:f>
        <x:v>#NAME?</x:v>
      </x:c>
      <x:c r="I53" s="5" t="e">
        <x:f aca="0">01_ビジョン原計画!I47</x:f>
        <x:v>#NAME?</x:v>
      </x:c>
      <x:c r="J53" s="5" t="e">
        <x:f aca="0">01_ビジョン原計画!J47</x:f>
        <x:v>#NAME?</x:v>
      </x:c>
      <x:c r="K53" s="5" t="e">
        <x:f aca="0">01_ビジョン原計画!K47</x:f>
        <x:v>#NAME?</x:v>
      </x:c>
    </x:row>
    <x:row r="54" ht="32.79999923706055" hidden="0">
      <x:c r="A54" s="6" t="s">
        <x:v>93</x:v>
      </x:c>
      <x:c r="B54" s="5" t="e">
        <x:f aca="0">B40-B50</x:f>
        <x:v>#NAME?</x:v>
      </x:c>
      <x:c r="C54" s="5" t="e">
        <x:f aca="0">C40-C50</x:f>
        <x:v>#NAME?</x:v>
      </x:c>
      <x:c r="D54" s="5" t="e">
        <x:f aca="0">D40-D50</x:f>
        <x:v>#NAME?</x:v>
      </x:c>
      <x:c r="E54" s="5" t="e">
        <x:f aca="0">E40-E50</x:f>
        <x:v>#NAME?</x:v>
      </x:c>
      <x:c r="F54" s="5" t="e">
        <x:f aca="0">F40-F50</x:f>
        <x:v>#NAME?</x:v>
      </x:c>
      <x:c r="G54" s="5" t="e">
        <x:f aca="0">G40-G50</x:f>
        <x:v>#NAME?</x:v>
      </x:c>
      <x:c r="H54" s="5" t="e">
        <x:f aca="0">H40-H50</x:f>
        <x:v>#NAME?</x:v>
      </x:c>
      <x:c r="I54" s="5" t="e">
        <x:f aca="0">I40-I50</x:f>
        <x:v>#NAME?</x:v>
      </x:c>
      <x:c r="J54" s="5" t="e">
        <x:f aca="0">J40-J50</x:f>
        <x:v>#NAME?</x:v>
      </x:c>
      <x:c r="K54" s="5" t="e">
        <x:f aca="0">K40-K50</x:f>
        <x:v>#NAME?</x:v>
      </x:c>
    </x:row>
    <x:row r="55" ht="15" hidden="0">
      <x:c r="A55" s="7"/>
      <x:c r="B55" s="5"/>
      <x:c r="C55" s="5"/>
      <x:c r="D55" s="5"/>
      <x:c r="E55" s="5"/>
      <x:c r="F55" s="5"/>
      <x:c r="G55" s="5"/>
      <x:c r="H55" s="5"/>
      <x:c r="I55" s="5"/>
      <x:c r="J55" s="5"/>
      <x:c r="K55" s="5"/>
    </x:row>
    <x:row r="56" ht="17.149999618530273" hidden="0">
      <x:c r="A56" s="42" t="s">
        <x:v>157</x:v>
      </x:c>
      <x:c r="B56" s="43"/>
      <x:c r="C56" s="43"/>
      <x:c r="D56" s="43"/>
      <x:c r="E56" s="43"/>
      <x:c r="F56" s="43"/>
      <x:c r="G56" s="43"/>
      <x:c r="H56" s="43"/>
      <x:c r="I56" s="43"/>
      <x:c r="J56" s="43"/>
      <x:c r="K56" s="43"/>
    </x:row>
    <x:row r="57" ht="17.149999618530273" hidden="0">
      <x:c r="A57" s="6" t="s">
        <x:v>158</x:v>
      </x:c>
      <x:c r="B57" s="5" t="e">
        <x:f aca="0">B28+B21+B22-B14</x:f>
        <x:v>#NAME?</x:v>
      </x:c>
      <x:c r="C57" s="5" t="e">
        <x:f aca="0">C28+C21+C22-C14</x:f>
        <x:v>#NAME?</x:v>
      </x:c>
      <x:c r="D57" s="5" t="e">
        <x:f aca="0">D28+D21+D22-D14</x:f>
        <x:v>#NAME?</x:v>
      </x:c>
      <x:c r="E57" s="5" t="e">
        <x:f aca="0">E28+E21+E22-E14</x:f>
        <x:v>#NAME?</x:v>
      </x:c>
      <x:c r="F57" s="5" t="e">
        <x:f aca="0">F28+F21+F22-F14</x:f>
        <x:v>#NAME?</x:v>
      </x:c>
      <x:c r="G57" s="5" t="e">
        <x:f aca="0">G28+G21+G22-G14</x:f>
        <x:v>#NAME?</x:v>
      </x:c>
      <x:c r="H57" s="5" t="e">
        <x:f aca="0">H28+H21+H22-H14</x:f>
        <x:v>#NAME?</x:v>
      </x:c>
      <x:c r="I57" s="5" t="e">
        <x:f aca="0">I28+I21+I22-I14</x:f>
        <x:v>#NAME?</x:v>
      </x:c>
      <x:c r="J57" s="5" t="e">
        <x:f aca="0">J28+J21+J22-J14</x:f>
        <x:v>#NAME?</x:v>
      </x:c>
      <x:c r="K57" s="5" t="e">
        <x:f aca="0">K28+K21+K22-K14</x:f>
        <x:v>#NAME?</x:v>
      </x:c>
    </x:row>
    <x:row r="58" ht="17.149999618530273" hidden="0">
      <x:c r="A58" s="6" t="s">
        <x:v>159</x:v>
      </x:c>
      <x:c r="B58" s="5" t="e">
        <x:f aca="0">B54</x:f>
        <x:v>#NAME?</x:v>
      </x:c>
      <x:c r="C58" s="5" t="e">
        <x:f aca="0">C54</x:f>
        <x:v>#NAME?</x:v>
      </x:c>
      <x:c r="D58" s="5" t="e">
        <x:f aca="0">D54</x:f>
        <x:v>#NAME?</x:v>
      </x:c>
      <x:c r="E58" s="5" t="e">
        <x:f aca="0">E54</x:f>
        <x:v>#NAME?</x:v>
      </x:c>
      <x:c r="F58" s="5" t="e">
        <x:f aca="0">F54</x:f>
        <x:v>#NAME?</x:v>
      </x:c>
      <x:c r="G58" s="5" t="e">
        <x:f aca="0">G54</x:f>
        <x:v>#NAME?</x:v>
      </x:c>
      <x:c r="H58" s="5" t="e">
        <x:f aca="0">H54</x:f>
        <x:v>#NAME?</x:v>
      </x:c>
      <x:c r="I58" s="5" t="e">
        <x:f aca="0">I54</x:f>
        <x:v>#NAME?</x:v>
      </x:c>
      <x:c r="J58" s="5" t="e">
        <x:f aca="0">J54</x:f>
        <x:v>#NAME?</x:v>
      </x:c>
      <x:c r="K58" s="5" t="e">
        <x:f aca="0">K54</x:f>
        <x:v>#NAME?</x:v>
      </x:c>
    </x:row>
    <x:row r="59" ht="17.149999618530273" hidden="0">
      <x:c r="A59" s="6" t="s">
        <x:v>160</x:v>
      </x:c>
      <x:c r="B59" s="5" t="e">
        <x:f aca="0">00_前提・検証!$B$6</x:f>
        <x:v>#NAME?</x:v>
      </x:c>
      <x:c r="C59" s="5" t="e">
        <x:f aca="0">B59+C57+C58</x:f>
        <x:v>#NAME?</x:v>
      </x:c>
      <x:c r="D59" s="5" t="e">
        <x:f aca="0">C59+D57+D58</x:f>
        <x:v>#NAME?</x:v>
      </x:c>
      <x:c r="E59" s="5" t="e">
        <x:f aca="0">D59+E57+E58</x:f>
        <x:v>#NAME?</x:v>
      </x:c>
      <x:c r="F59" s="5" t="e">
        <x:f aca="0">E59+F57+F58</x:f>
        <x:v>#NAME?</x:v>
      </x:c>
      <x:c r="G59" s="5" t="e">
        <x:f aca="0">F59+G57+G58</x:f>
        <x:v>#NAME?</x:v>
      </x:c>
      <x:c r="H59" s="5" t="e">
        <x:f aca="0">G59+H57+H58</x:f>
        <x:v>#NAME?</x:v>
      </x:c>
      <x:c r="I59" s="5" t="e">
        <x:f aca="0">H59+I57+I58</x:f>
        <x:v>#NAME?</x:v>
      </x:c>
      <x:c r="J59" s="5" t="e">
        <x:f aca="0">I59+J57+J58</x:f>
        <x:v>#NAME?</x:v>
      </x:c>
      <x:c r="K59" s="5" t="e">
        <x:f aca="0">J59+K57+K58</x:f>
        <x:v>#NAME?</x:v>
      </x:c>
    </x:row>
    <x:row r="60" ht="17.149999618530273" hidden="0">
      <x:c r="A60" s="6" t="s">
        <x:v>161</x:v>
      </x:c>
      <x:c r="B60" s="5" t="e">
        <x:f aca="0">B59-00_前提・検証!$B$7</x:f>
        <x:v>#NAME?</x:v>
      </x:c>
      <x:c r="C60" s="5" t="e">
        <x:f aca="0">C59-00_前提・検証!$B$7</x:f>
        <x:v>#NAME?</x:v>
      </x:c>
      <x:c r="D60" s="5" t="e">
        <x:f aca="0">D59-00_前提・検証!$B$7</x:f>
        <x:v>#NAME?</x:v>
      </x:c>
      <x:c r="E60" s="5" t="e">
        <x:f aca="0">E59-00_前提・検証!$B$7</x:f>
        <x:v>#NAME?</x:v>
      </x:c>
      <x:c r="F60" s="5" t="e">
        <x:f aca="0">F59-00_前提・検証!$B$7</x:f>
        <x:v>#NAME?</x:v>
      </x:c>
      <x:c r="G60" s="5" t="e">
        <x:f aca="0">G59-00_前提・検証!$B$7</x:f>
        <x:v>#NAME?</x:v>
      </x:c>
      <x:c r="H60" s="5" t="e">
        <x:f aca="0">H59-00_前提・検証!$B$7</x:f>
        <x:v>#NAME?</x:v>
      </x:c>
      <x:c r="I60" s="5" t="e">
        <x:f aca="0">I59-00_前提・検証!$B$7</x:f>
        <x:v>#NAME?</x:v>
      </x:c>
      <x:c r="J60" s="5" t="e">
        <x:f aca="0">J59-00_前提・検証!$B$7</x:f>
        <x:v>#NAME?</x:v>
      </x:c>
      <x:c r="K60" s="5" t="e">
        <x:f aca="0">K59-00_前提・検証!$B$7</x:f>
        <x:v>#NAME?</x:v>
      </x:c>
    </x:row>
  </x:sheetData>
  <x:mergeCells>
    <x:mergeCell ref="A1:K1"/>
    <x:mergeCell ref="A2:K2"/>
  </x:mergeCells>
  <x:conditionalFormatting sqref="B37:K37">
    <x:cfRule type="expression" dxfId="0" priority="2" aboveAverage="0" percent="0" bottom="0" rank="0" equalAverage="0">
      <x:formula>B37&lt;&gt;"OK"</x:formula>
    </x:cfRule>
  </x:conditionalFormatting>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4" width="8.880000114440918" hidden="0" customWidth="1"/>
    <x:col min="5" max="11" width="9.75" hidden="0" customWidth="1"/>
  </x:cols>
  <x:sheetData>
    <x:row r="1" ht="21.600000381469727" hidden="0" customHeight="1">
      <x:c r="A1" s="31" t="s">
        <x:v>164</x:v>
      </x:c>
      <x:c r="B1" s="31"/>
      <x:c r="C1" s="31"/>
      <x:c r="D1" s="31"/>
      <x:c r="E1" s="31"/>
      <x:c r="F1" s="31"/>
      <x:c r="G1" s="31"/>
      <x:c r="H1" s="31"/>
      <x:c r="I1" s="31"/>
      <x:c r="J1" s="31"/>
      <x:c r="K1" s="31"/>
    </x:row>
    <x:row r="2" ht="17.149999618530273" hidden="0" customHeight="1">
      <x:c r="A2" s="32" t="s">
        <x:v>134</x:v>
      </x:c>
      <x:c r="B2" s="32"/>
      <x:c r="C2" s="32"/>
      <x:c r="D2" s="32"/>
      <x:c r="E2" s="32"/>
      <x:c r="F2" s="32"/>
      <x:c r="G2" s="32"/>
      <x:c r="H2" s="32"/>
      <x:c r="I2" s="32"/>
      <x:c r="J2" s="32"/>
      <x:c r="K2" s="32"/>
    </x:row>
    <x:row r="3" ht="32.79999923706055" hidden="0">
      <x:c r="A3" s="1" t="s">
        <x:v>41</x:v>
      </x:c>
      <x:c r="B3" s="1" t="s">
        <x:v>42</x:v>
      </x:c>
      <x:c r="C3" s="1" t="s">
        <x:v>43</x:v>
      </x:c>
      <x:c r="D3" s="1" t="s">
        <x:v>44</x:v>
      </x:c>
      <x:c r="E3" s="1" t="s">
        <x:v>45</x:v>
      </x:c>
      <x:c r="F3" s="1" t="s">
        <x:v>46</x:v>
      </x:c>
      <x:c r="G3" s="1" t="s">
        <x:v>47</x:v>
      </x:c>
      <x:c r="H3" s="1" t="s">
        <x:v>48</x:v>
      </x:c>
      <x:c r="I3" s="1" t="s">
        <x:v>49</x:v>
      </x:c>
      <x:c r="J3" s="1" t="s">
        <x:v>50</x:v>
      </x:c>
      <x:c r="K3" s="1" t="s">
        <x:v>51</x:v>
      </x:c>
    </x:row>
    <x:row r="4" ht="17.149999618530273" hidden="0">
      <x:c r="A4" s="6" t="s">
        <x:v>99</x:v>
      </x:c>
      <x:c r="B4" s="34" t="n">
        <x:v>0.03</x:v>
      </x:c>
      <x:c r="C4" s="34"/>
      <x:c r="D4" s="34"/>
      <x:c r="E4" s="34"/>
      <x:c r="F4" s="34"/>
      <x:c r="G4" s="34"/>
      <x:c r="H4" s="34"/>
      <x:c r="I4" s="34"/>
      <x:c r="J4" s="34"/>
      <x:c r="K4" s="34"/>
    </x:row>
    <x:row r="5" ht="17.149999618530273" hidden="0">
      <x:c r="A5" s="6" t="s">
        <x:v>135</x:v>
      </x:c>
      <x:c r="B5" s="5" t="e">
        <x:f aca="0">00_前提・検証!$B$2*$B$4</x:f>
        <x:v>#NAME?</x:v>
      </x:c>
      <x:c r="C5" s="34"/>
      <x:c r="D5" s="34"/>
      <x:c r="E5" s="34"/>
      <x:c r="F5" s="34"/>
      <x:c r="G5" s="34"/>
      <x:c r="H5" s="34"/>
      <x:c r="I5" s="34"/>
      <x:c r="J5" s="34"/>
      <x:c r="K5" s="34"/>
    </x:row>
    <x:row r="6" ht="17.149999618530273" hidden="0">
      <x:c r="A6" s="6" t="s">
        <x:v>136</x:v>
      </x:c>
      <x:c r="B6" s="34" t="e">
        <x:f aca="0">MAX(0,(SUMPRODUCT((01_ビジョン原計画!F18:J18+01_ビジョン原計画!F28:J28-01_ビジョン原計画!F12:J12-01_ビジョン原計画!F8:J8-01_ビジョン原計画!F11:J11+$B$5)-01_ビジョン原計画!F7:J7)/SUM(01_ビジョン原計画!F7:J7)))</x:f>
        <x:v>#NAME?</x:v>
      </x:c>
      <x:c r="C6" s="34"/>
      <x:c r="D6" s="34"/>
      <x:c r="E6" s="34"/>
      <x:c r="F6" s="34"/>
      <x:c r="G6" s="34"/>
      <x:c r="H6" s="34"/>
      <x:c r="I6" s="34"/>
      <x:c r="J6" s="34"/>
      <x:c r="K6" s="34"/>
    </x:row>
    <x:row r="7" ht="15" hidden="0">
      <x:c r="A7" s="7"/>
      <x:c r="B7" s="7"/>
      <x:c r="C7" s="7"/>
      <x:c r="D7" s="7"/>
      <x:c r="E7" s="7"/>
      <x:c r="F7" s="7"/>
      <x:c r="G7" s="7"/>
      <x:c r="H7" s="7"/>
      <x:c r="I7" s="7"/>
      <x:c r="J7" s="7"/>
      <x:c r="K7" s="7"/>
    </x:row>
    <x:row r="8" ht="17.149999618530273" hidden="0">
      <x:c r="A8" s="42" t="s">
        <x:v>52</x:v>
      </x:c>
      <x:c r="B8" s="43"/>
      <x:c r="C8" s="43"/>
      <x:c r="D8" s="43"/>
      <x:c r="E8" s="43"/>
      <x:c r="F8" s="43"/>
      <x:c r="G8" s="43"/>
      <x:c r="H8" s="43"/>
      <x:c r="I8" s="43"/>
      <x:c r="J8" s="43"/>
      <x:c r="K8" s="43"/>
    </x:row>
    <x:row r="9" ht="17.149999618530273" hidden="0">
      <x:c r="A9" s="6" t="s">
        <x:v>54</x:v>
      </x:c>
      <x:c r="B9" s="5" t="e">
        <x:f aca="0">SUM(B10:B12)</x:f>
        <x:v>#NAME?</x:v>
      </x:c>
      <x:c r="C9" s="5" t="e">
        <x:f aca="0">SUM(C10:C12)</x:f>
        <x:v>#NAME?</x:v>
      </x:c>
      <x:c r="D9" s="5" t="e">
        <x:f aca="0">SUM(D10:D12)</x:f>
        <x:v>#NAME?</x:v>
      </x:c>
      <x:c r="E9" s="5" t="e">
        <x:f aca="0">SUM(E10:E12)</x:f>
        <x:v>#NAME?</x:v>
      </x:c>
      <x:c r="F9" s="5" t="e">
        <x:f aca="0">SUM(F10:F12)</x:f>
        <x:v>#NAME?</x:v>
      </x:c>
      <x:c r="G9" s="5" t="e">
        <x:f aca="0">SUM(G10:G12)</x:f>
        <x:v>#NAME?</x:v>
      </x:c>
      <x:c r="H9" s="5" t="e">
        <x:f aca="0">SUM(H10:H12)</x:f>
        <x:v>#NAME?</x:v>
      </x:c>
      <x:c r="I9" s="5" t="e">
        <x:f aca="0">SUM(I10:I12)</x:f>
        <x:v>#NAME?</x:v>
      </x:c>
      <x:c r="J9" s="5" t="e">
        <x:f aca="0">SUM(J10:J12)</x:f>
        <x:v>#NAME?</x:v>
      </x:c>
      <x:c r="K9" s="5" t="e">
        <x:f aca="0">SUM(K10:K12)</x:f>
        <x:v>#NAME?</x:v>
      </x:c>
    </x:row>
    <x:row r="10" ht="17.149999618530273" hidden="0">
      <x:c r="A10" s="6" t="s">
        <x:v>137</x:v>
      </x:c>
      <x:c r="B10" s="5" t="e">
        <x:f aca="0">01_ビジョン原計画!B7*IF(7&gt;=11,1+$B$6,1)</x:f>
        <x:v>#NAME?</x:v>
      </x:c>
      <x:c r="C10" s="5" t="e">
        <x:f aca="0">01_ビジョン原計画!C7*IF(8&gt;=11,1+$B$6,1)</x:f>
        <x:v>#NAME?</x:v>
      </x:c>
      <x:c r="D10" s="5" t="e">
        <x:f aca="0">01_ビジョン原計画!D7*IF(9&gt;=11,1+$B$6,1)</x:f>
        <x:v>#NAME?</x:v>
      </x:c>
      <x:c r="E10" s="5" t="e">
        <x:f aca="0">01_ビジョン原計画!E7*IF(10&gt;=11,1+$B$6,1)</x:f>
        <x:v>#NAME?</x:v>
      </x:c>
      <x:c r="F10" s="5" t="e">
        <x:f aca="0">01_ビジョン原計画!F7*IF(11&gt;=11,1+$B$6,1)</x:f>
        <x:v>#NAME?</x:v>
      </x:c>
      <x:c r="G10" s="5" t="e">
        <x:f aca="0">01_ビジョン原計画!G7*IF(12&gt;=11,1+$B$6,1)</x:f>
        <x:v>#NAME?</x:v>
      </x:c>
      <x:c r="H10" s="5" t="e">
        <x:f aca="0">01_ビジョン原計画!H7*IF(13&gt;=11,1+$B$6,1)</x:f>
        <x:v>#NAME?</x:v>
      </x:c>
      <x:c r="I10" s="5" t="e">
        <x:f aca="0">01_ビジョン原計画!I7*IF(14&gt;=11,1+$B$6,1)</x:f>
        <x:v>#NAME?</x:v>
      </x:c>
      <x:c r="J10" s="5" t="e">
        <x:f aca="0">01_ビジョン原計画!J7*IF(15&gt;=11,1+$B$6,1)</x:f>
        <x:v>#NAME?</x:v>
      </x:c>
      <x:c r="K10" s="5" t="e">
        <x:f aca="0">01_ビジョン原計画!K7*IF(16&gt;=11,1+$B$6,1)</x:f>
        <x:v>#NAME?</x:v>
      </x:c>
    </x:row>
    <x:row r="11" ht="17.149999618530273" hidden="0">
      <x:c r="A11" s="6" t="s">
        <x:v>138</x:v>
      </x:c>
      <x:c r="B11" s="5" t="e">
        <x:f aca="0">B10-01_ビジョン原計画!B7</x:f>
        <x:v>#NAME?</x:v>
      </x:c>
      <x:c r="C11" s="5" t="e">
        <x:f aca="0">C10-01_ビジョン原計画!C7</x:f>
        <x:v>#NAME?</x:v>
      </x:c>
      <x:c r="D11" s="5" t="e">
        <x:f aca="0">D10-01_ビジョン原計画!D7</x:f>
        <x:v>#NAME?</x:v>
      </x:c>
      <x:c r="E11" s="5" t="e">
        <x:f aca="0">E10-01_ビジョン原計画!E7</x:f>
        <x:v>#NAME?</x:v>
      </x:c>
      <x:c r="F11" s="5" t="e">
        <x:f aca="0">F10-01_ビジョン原計画!F7</x:f>
        <x:v>#NAME?</x:v>
      </x:c>
      <x:c r="G11" s="5" t="e">
        <x:f aca="0">G10-01_ビジョン原計画!G7</x:f>
        <x:v>#NAME?</x:v>
      </x:c>
      <x:c r="H11" s="5" t="e">
        <x:f aca="0">H10-01_ビジョン原計画!H7</x:f>
        <x:v>#NAME?</x:v>
      </x:c>
      <x:c r="I11" s="5" t="e">
        <x:f aca="0">I10-01_ビジョン原計画!I7</x:f>
        <x:v>#NAME?</x:v>
      </x:c>
      <x:c r="J11" s="5" t="e">
        <x:f aca="0">J10-01_ビジョン原計画!J7</x:f>
        <x:v>#NAME?</x:v>
      </x:c>
      <x:c r="K11" s="5" t="e">
        <x:f aca="0">K10-01_ビジョン原計画!K7</x:f>
        <x:v>#NAME?</x:v>
      </x:c>
    </x:row>
    <x:row r="12" ht="17.149999618530273" hidden="0">
      <x:c r="A12" s="6" t="s">
        <x:v>139</x:v>
      </x:c>
      <x:c r="B12" s="5" t="e">
        <x:f aca="0">01_ビジョン原計画!B8</x:f>
        <x:v>#NAME?</x:v>
      </x:c>
      <x:c r="C12" s="5" t="e">
        <x:f aca="0">01_ビジョン原計画!C8</x:f>
        <x:v>#NAME?</x:v>
      </x:c>
      <x:c r="D12" s="5" t="e">
        <x:f aca="0">01_ビジョン原計画!D8</x:f>
        <x:v>#NAME?</x:v>
      </x:c>
      <x:c r="E12" s="5" t="e">
        <x:f aca="0">01_ビジョン原計画!E8</x:f>
        <x:v>#NAME?</x:v>
      </x:c>
      <x:c r="F12" s="5" t="e">
        <x:f aca="0">01_ビジョン原計画!F8</x:f>
        <x:v>#NAME?</x:v>
      </x:c>
      <x:c r="G12" s="5" t="e">
        <x:f aca="0">01_ビジョン原計画!G8</x:f>
        <x:v>#NAME?</x:v>
      </x:c>
      <x:c r="H12" s="5" t="e">
        <x:f aca="0">01_ビジョン原計画!H8</x:f>
        <x:v>#NAME?</x:v>
      </x:c>
      <x:c r="I12" s="5" t="e">
        <x:f aca="0">01_ビジョン原計画!I8</x:f>
        <x:v>#NAME?</x:v>
      </x:c>
      <x:c r="J12" s="5" t="e">
        <x:f aca="0">01_ビジョン原計画!J8</x:f>
        <x:v>#NAME?</x:v>
      </x:c>
      <x:c r="K12" s="5" t="e">
        <x:f aca="0">01_ビジョン原計画!K8</x:f>
        <x:v>#NAME?</x:v>
      </x:c>
    </x:row>
    <x:row r="13" ht="17.149999618530273" hidden="0">
      <x:c r="A13" s="6" t="s">
        <x:v>57</x:v>
      </x:c>
      <x:c r="B13" s="5" t="e">
        <x:f aca="0">01_ビジョン原計画!B9</x:f>
        <x:v>#NAME?</x:v>
      </x:c>
      <x:c r="C13" s="5" t="e">
        <x:f aca="0">01_ビジョン原計画!C9</x:f>
        <x:v>#NAME?</x:v>
      </x:c>
      <x:c r="D13" s="5" t="e">
        <x:f aca="0">01_ビジョン原計画!D9</x:f>
        <x:v>#NAME?</x:v>
      </x:c>
      <x:c r="E13" s="5" t="e">
        <x:f aca="0">01_ビジョン原計画!E9</x:f>
        <x:v>#NAME?</x:v>
      </x:c>
      <x:c r="F13" s="5" t="e">
        <x:f aca="0">01_ビジョン原計画!F9</x:f>
        <x:v>#NAME?</x:v>
      </x:c>
      <x:c r="G13" s="5" t="e">
        <x:f aca="0">01_ビジョン原計画!G9</x:f>
        <x:v>#NAME?</x:v>
      </x:c>
      <x:c r="H13" s="5" t="e">
        <x:f aca="0">01_ビジョン原計画!H9</x:f>
        <x:v>#NAME?</x:v>
      </x:c>
      <x:c r="I13" s="5" t="e">
        <x:f aca="0">01_ビジョン原計画!I9</x:f>
        <x:v>#NAME?</x:v>
      </x:c>
      <x:c r="J13" s="5" t="e">
        <x:f aca="0">01_ビジョン原計画!J9</x:f>
        <x:v>#NAME?</x:v>
      </x:c>
      <x:c r="K13" s="5" t="e">
        <x:f aca="0">01_ビジョン原計画!K9</x:f>
        <x:v>#NAME?</x:v>
      </x:c>
    </x:row>
    <x:row r="14" ht="17.149999618530273" hidden="0">
      <x:c r="A14" s="6" t="s">
        <x:v>140</x:v>
      </x:c>
      <x:c r="B14" s="5" t="e">
        <x:f aca="0">01_ビジョン原計画!B12</x:f>
        <x:v>#NAME?</x:v>
      </x:c>
      <x:c r="C14" s="5" t="e">
        <x:f aca="0">01_ビジョン原計画!C12</x:f>
        <x:v>#NAME?</x:v>
      </x:c>
      <x:c r="D14" s="5" t="e">
        <x:f aca="0">01_ビジョン原計画!D12</x:f>
        <x:v>#NAME?</x:v>
      </x:c>
      <x:c r="E14" s="5" t="e">
        <x:f aca="0">01_ビジョン原計画!E12</x:f>
        <x:v>#NAME?</x:v>
      </x:c>
      <x:c r="F14" s="5" t="e">
        <x:f aca="0">01_ビジョン原計画!F12</x:f>
        <x:v>#NAME?</x:v>
      </x:c>
      <x:c r="G14" s="5" t="e">
        <x:f aca="0">01_ビジョン原計画!G12</x:f>
        <x:v>#NAME?</x:v>
      </x:c>
      <x:c r="H14" s="5" t="e">
        <x:f aca="0">01_ビジョン原計画!H12</x:f>
        <x:v>#NAME?</x:v>
      </x:c>
      <x:c r="I14" s="5" t="e">
        <x:f aca="0">01_ビジョン原計画!I12</x:f>
        <x:v>#NAME?</x:v>
      </x:c>
      <x:c r="J14" s="5" t="e">
        <x:f aca="0">01_ビジョン原計画!J12</x:f>
        <x:v>#NAME?</x:v>
      </x:c>
      <x:c r="K14" s="5" t="e">
        <x:f aca="0">01_ビジョン原計画!K12</x:f>
        <x:v>#NAME?</x:v>
      </x:c>
    </x:row>
    <x:row r="15" ht="17.149999618530273" hidden="0">
      <x:c r="A15" s="6" t="s">
        <x:v>141</x:v>
      </x:c>
      <x:c r="B15" s="5" t="e">
        <x:f aca="0">01_ビジョン原計画!B11</x:f>
        <x:v>#NAME?</x:v>
      </x:c>
      <x:c r="C15" s="5" t="e">
        <x:f aca="0">01_ビジョン原計画!C11</x:f>
        <x:v>#NAME?</x:v>
      </x:c>
      <x:c r="D15" s="5" t="e">
        <x:f aca="0">01_ビジョン原計画!D11</x:f>
        <x:v>#NAME?</x:v>
      </x:c>
      <x:c r="E15" s="5" t="e">
        <x:f aca="0">01_ビジョン原計画!E11</x:f>
        <x:v>#NAME?</x:v>
      </x:c>
      <x:c r="F15" s="5" t="e">
        <x:f aca="0">01_ビジョン原計画!F11</x:f>
        <x:v>#NAME?</x:v>
      </x:c>
      <x:c r="G15" s="5" t="e">
        <x:f aca="0">01_ビジョン原計画!G11</x:f>
        <x:v>#NAME?</x:v>
      </x:c>
      <x:c r="H15" s="5" t="e">
        <x:f aca="0">01_ビジョン原計画!H11</x:f>
        <x:v>#NAME?</x:v>
      </x:c>
      <x:c r="I15" s="5" t="e">
        <x:f aca="0">01_ビジョン原計画!I11</x:f>
        <x:v>#NAME?</x:v>
      </x:c>
      <x:c r="J15" s="5" t="e">
        <x:f aca="0">01_ビジョン原計画!J11</x:f>
        <x:v>#NAME?</x:v>
      </x:c>
      <x:c r="K15" s="5" t="e">
        <x:f aca="0">01_ビジョン原計画!K11</x:f>
        <x:v>#NAME?</x:v>
      </x:c>
    </x:row>
    <x:row r="16" ht="17.149999618530273" hidden="0">
      <x:c r="A16" s="6" t="s">
        <x:v>62</x:v>
      </x:c>
      <x:c r="B16" s="5" t="e">
        <x:f aca="0">01_ビジョン原計画!B14</x:f>
        <x:v>#NAME?</x:v>
      </x:c>
      <x:c r="C16" s="5" t="e">
        <x:f aca="0">01_ビジョン原計画!C14</x:f>
        <x:v>#NAME?</x:v>
      </x:c>
      <x:c r="D16" s="5" t="e">
        <x:f aca="0">01_ビジョン原計画!D14</x:f>
        <x:v>#NAME?</x:v>
      </x:c>
      <x:c r="E16" s="5" t="e">
        <x:f aca="0">01_ビジョン原計画!E14</x:f>
        <x:v>#NAME?</x:v>
      </x:c>
      <x:c r="F16" s="5" t="e">
        <x:f aca="0">01_ビジョン原計画!F14</x:f>
        <x:v>#NAME?</x:v>
      </x:c>
      <x:c r="G16" s="5" t="e">
        <x:f aca="0">01_ビジョン原計画!G14</x:f>
        <x:v>#NAME?</x:v>
      </x:c>
      <x:c r="H16" s="5" t="e">
        <x:f aca="0">01_ビジョン原計画!H14</x:f>
        <x:v>#NAME?</x:v>
      </x:c>
      <x:c r="I16" s="5" t="e">
        <x:f aca="0">01_ビジョン原計画!I14</x:f>
        <x:v>#NAME?</x:v>
      </x:c>
      <x:c r="J16" s="5" t="e">
        <x:f aca="0">01_ビジョン原計画!J14</x:f>
        <x:v>#NAME?</x:v>
      </x:c>
      <x:c r="K16" s="5" t="e">
        <x:f aca="0">01_ビジョン原計画!K14</x:f>
        <x:v>#NAME?</x:v>
      </x:c>
    </x:row>
    <x:row r="17" ht="17.149999618530273" hidden="0">
      <x:c r="A17" s="6" t="s">
        <x:v>142</x:v>
      </x:c>
      <x:c r="B17" s="5" t="e">
        <x:f aca="0">SUM(B9,B13,B16)</x:f>
        <x:v>#NAME?</x:v>
      </x:c>
      <x:c r="C17" s="5" t="e">
        <x:f aca="0">SUM(C9,C13,C16)</x:f>
        <x:v>#NAME?</x:v>
      </x:c>
      <x:c r="D17" s="5" t="e">
        <x:f aca="0">SUM(D9,D13,D16)</x:f>
        <x:v>#NAME?</x:v>
      </x:c>
      <x:c r="E17" s="5" t="e">
        <x:f aca="0">SUM(E9,E13,E16)</x:f>
        <x:v>#NAME?</x:v>
      </x:c>
      <x:c r="F17" s="5" t="e">
        <x:f aca="0">SUM(F9,F13,F16)</x:f>
        <x:v>#NAME?</x:v>
      </x:c>
      <x:c r="G17" s="5" t="e">
        <x:f aca="0">SUM(G9,G13,G16)</x:f>
        <x:v>#NAME?</x:v>
      </x:c>
      <x:c r="H17" s="5" t="e">
        <x:f aca="0">SUM(H9,H13,H16)</x:f>
        <x:v>#NAME?</x:v>
      </x:c>
      <x:c r="I17" s="5" t="e">
        <x:f aca="0">SUM(I9,I13,I16)</x:f>
        <x:v>#NAME?</x:v>
      </x:c>
      <x:c r="J17" s="5" t="e">
        <x:f aca="0">SUM(J9,J13,J16)</x:f>
        <x:v>#NAME?</x:v>
      </x:c>
      <x:c r="K17" s="5" t="e">
        <x:f aca="0">SUM(K9,K13,K16)</x:f>
        <x:v>#NAME?</x:v>
      </x:c>
    </x:row>
    <x:row r="18" ht="15" hidden="0">
      <x:c r="A18" s="7"/>
      <x:c r="B18" s="5"/>
      <x:c r="C18" s="5"/>
      <x:c r="D18" s="5"/>
      <x:c r="E18" s="5"/>
      <x:c r="F18" s="5"/>
      <x:c r="G18" s="5"/>
      <x:c r="H18" s="5"/>
      <x:c r="I18" s="5"/>
      <x:c r="J18" s="5"/>
      <x:c r="K18" s="5"/>
    </x:row>
    <x:row r="19" ht="17.149999618530273" hidden="0">
      <x:c r="A19" s="42" t="s">
        <x:v>63</x:v>
      </x:c>
      <x:c r="B19" s="43"/>
      <x:c r="C19" s="43"/>
      <x:c r="D19" s="43"/>
      <x:c r="E19" s="43"/>
      <x:c r="F19" s="43"/>
      <x:c r="G19" s="43"/>
      <x:c r="H19" s="43"/>
      <x:c r="I19" s="43"/>
      <x:c r="J19" s="43"/>
      <x:c r="K19" s="43"/>
    </x:row>
    <x:row r="20" ht="17.149999618530273" hidden="0">
      <x:c r="A20" s="6" t="s">
        <x:v>65</x:v>
      </x:c>
      <x:c r="B20" s="5" t="e">
        <x:f aca="0">01_ビジョン原計画!B18</x:f>
        <x:v>#NAME?</x:v>
      </x:c>
      <x:c r="C20" s="5" t="e">
        <x:f aca="0">01_ビジョン原計画!C18</x:f>
        <x:v>#NAME?</x:v>
      </x:c>
      <x:c r="D20" s="5" t="e">
        <x:f aca="0">01_ビジョン原計画!D18</x:f>
        <x:v>#NAME?</x:v>
      </x:c>
      <x:c r="E20" s="5" t="e">
        <x:f aca="0">01_ビジョン原計画!E18</x:f>
        <x:v>#NAME?</x:v>
      </x:c>
      <x:c r="F20" s="5" t="e">
        <x:f aca="0">01_ビジョン原計画!F18</x:f>
        <x:v>#NAME?</x:v>
      </x:c>
      <x:c r="G20" s="5" t="e">
        <x:f aca="0">01_ビジョン原計画!G18</x:f>
        <x:v>#NAME?</x:v>
      </x:c>
      <x:c r="H20" s="5" t="e">
        <x:f aca="0">01_ビジョン原計画!H18</x:f>
        <x:v>#NAME?</x:v>
      </x:c>
      <x:c r="I20" s="5" t="e">
        <x:f aca="0">01_ビジョン原計画!I18</x:f>
        <x:v>#NAME?</x:v>
      </x:c>
      <x:c r="J20" s="5" t="e">
        <x:f aca="0">01_ビジョン原計画!J18</x:f>
        <x:v>#NAME?</x:v>
      </x:c>
      <x:c r="K20" s="5" t="e">
        <x:f aca="0">01_ビジョン原計画!K18</x:f>
        <x:v>#NAME?</x:v>
      </x:c>
    </x:row>
    <x:row r="21" ht="17.149999618530273" hidden="0">
      <x:c r="A21" s="6" t="s">
        <x:v>143</x:v>
      </x:c>
      <x:c r="B21" s="5" t="e">
        <x:f aca="0">01_ビジョン原計画!B25</x:f>
        <x:v>#NAME?</x:v>
      </x:c>
      <x:c r="C21" s="5" t="e">
        <x:f aca="0">01_ビジョン原計画!C25</x:f>
        <x:v>#NAME?</x:v>
      </x:c>
      <x:c r="D21" s="5" t="e">
        <x:f aca="0">01_ビジョン原計画!D25</x:f>
        <x:v>#NAME?</x:v>
      </x:c>
      <x:c r="E21" s="5" t="e">
        <x:f aca="0">01_ビジョン原計画!E25</x:f>
        <x:v>#NAME?</x:v>
      </x:c>
      <x:c r="F21" s="5" t="e">
        <x:f aca="0">01_ビジョン原計画!F25</x:f>
        <x:v>#NAME?</x:v>
      </x:c>
      <x:c r="G21" s="5" t="e">
        <x:f aca="0">01_ビジョン原計画!G25</x:f>
        <x:v>#NAME?</x:v>
      </x:c>
      <x:c r="H21" s="5" t="e">
        <x:f aca="0">01_ビジョン原計画!H25</x:f>
        <x:v>#NAME?</x:v>
      </x:c>
      <x:c r="I21" s="5" t="e">
        <x:f aca="0">01_ビジョン原計画!I25</x:f>
        <x:v>#NAME?</x:v>
      </x:c>
      <x:c r="J21" s="5" t="e">
        <x:f aca="0">01_ビジョン原計画!J25</x:f>
        <x:v>#NAME?</x:v>
      </x:c>
      <x:c r="K21" s="5" t="e">
        <x:f aca="0">01_ビジョン原計画!K25</x:f>
        <x:v>#NAME?</x:v>
      </x:c>
    </x:row>
    <x:row r="22" ht="17.149999618530273" hidden="0">
      <x:c r="A22" s="6" t="s">
        <x:v>144</x:v>
      </x:c>
      <x:c r="B22" s="5" t="e">
        <x:f aca="0">01_ビジョン原計画!B26</x:f>
        <x:v>#NAME?</x:v>
      </x:c>
      <x:c r="C22" s="5" t="e">
        <x:f aca="0">01_ビジョン原計画!C26</x:f>
        <x:v>#NAME?</x:v>
      </x:c>
      <x:c r="D22" s="5" t="e">
        <x:f aca="0">01_ビジョン原計画!D26</x:f>
        <x:v>#NAME?</x:v>
      </x:c>
      <x:c r="E22" s="5" t="e">
        <x:f aca="0">01_ビジョン原計画!E26</x:f>
        <x:v>#NAME?</x:v>
      </x:c>
      <x:c r="F22" s="5" t="e">
        <x:f aca="0">01_ビジョン原計画!F26</x:f>
        <x:v>#NAME?</x:v>
      </x:c>
      <x:c r="G22" s="5" t="e">
        <x:f aca="0">01_ビジョン原計画!G26</x:f>
        <x:v>#NAME?</x:v>
      </x:c>
      <x:c r="H22" s="5" t="e">
        <x:f aca="0">01_ビジョン原計画!H26</x:f>
        <x:v>#NAME?</x:v>
      </x:c>
      <x:c r="I22" s="5" t="e">
        <x:f aca="0">01_ビジョン原計画!I26</x:f>
        <x:v>#NAME?</x:v>
      </x:c>
      <x:c r="J22" s="5" t="e">
        <x:f aca="0">01_ビジョン原計画!J26</x:f>
        <x:v>#NAME?</x:v>
      </x:c>
      <x:c r="K22" s="5" t="e">
        <x:f aca="0">01_ビジョン原計画!K26</x:f>
        <x:v>#NAME?</x:v>
      </x:c>
    </x:row>
    <x:row r="23" ht="17.149999618530273" hidden="0">
      <x:c r="A23" s="6" t="s">
        <x:v>75</x:v>
      </x:c>
      <x:c r="B23" s="5" t="e">
        <x:f aca="0">01_ビジョン原計画!B28</x:f>
        <x:v>#NAME?</x:v>
      </x:c>
      <x:c r="C23" s="5" t="e">
        <x:f aca="0">01_ビジョン原計画!C28</x:f>
        <x:v>#NAME?</x:v>
      </x:c>
      <x:c r="D23" s="5" t="e">
        <x:f aca="0">01_ビジョン原計画!D28</x:f>
        <x:v>#NAME?</x:v>
      </x:c>
      <x:c r="E23" s="5" t="e">
        <x:f aca="0">01_ビジョン原計画!E28</x:f>
        <x:v>#NAME?</x:v>
      </x:c>
      <x:c r="F23" s="5" t="e">
        <x:f aca="0">01_ビジョン原計画!F28</x:f>
        <x:v>#NAME?</x:v>
      </x:c>
      <x:c r="G23" s="5" t="e">
        <x:f aca="0">01_ビジョン原計画!G28</x:f>
        <x:v>#NAME?</x:v>
      </x:c>
      <x:c r="H23" s="5" t="e">
        <x:f aca="0">01_ビジョン原計画!H28</x:f>
        <x:v>#NAME?</x:v>
      </x:c>
      <x:c r="I23" s="5" t="e">
        <x:f aca="0">01_ビジョン原計画!I28</x:f>
        <x:v>#NAME?</x:v>
      </x:c>
      <x:c r="J23" s="5" t="e">
        <x:f aca="0">01_ビジョン原計画!J28</x:f>
        <x:v>#NAME?</x:v>
      </x:c>
      <x:c r="K23" s="5" t="e">
        <x:f aca="0">01_ビジョン原計画!K28</x:f>
        <x:v>#NAME?</x:v>
      </x:c>
    </x:row>
    <x:row r="24" ht="17.149999618530273" hidden="0">
      <x:c r="A24" s="6" t="s">
        <x:v>145</x:v>
      </x:c>
      <x:c r="B24" s="5" t="e">
        <x:f aca="0">01_ビジョン原計画!B29</x:f>
        <x:v>#NAME?</x:v>
      </x:c>
      <x:c r="C24" s="5" t="e">
        <x:f aca="0">01_ビジョン原計画!C29</x:f>
        <x:v>#NAME?</x:v>
      </x:c>
      <x:c r="D24" s="5" t="e">
        <x:f aca="0">01_ビジョン原計画!D29</x:f>
        <x:v>#NAME?</x:v>
      </x:c>
      <x:c r="E24" s="5" t="e">
        <x:f aca="0">01_ビジョン原計画!E29</x:f>
        <x:v>#NAME?</x:v>
      </x:c>
      <x:c r="F24" s="5" t="e">
        <x:f aca="0">01_ビジョン原計画!F29</x:f>
        <x:v>#NAME?</x:v>
      </x:c>
      <x:c r="G24" s="5" t="e">
        <x:f aca="0">01_ビジョン原計画!G29</x:f>
        <x:v>#NAME?</x:v>
      </x:c>
      <x:c r="H24" s="5" t="e">
        <x:f aca="0">01_ビジョン原計画!H29</x:f>
        <x:v>#NAME?</x:v>
      </x:c>
      <x:c r="I24" s="5" t="e">
        <x:f aca="0">01_ビジョン原計画!I29</x:f>
        <x:v>#NAME?</x:v>
      </x:c>
      <x:c r="J24" s="5" t="e">
        <x:f aca="0">01_ビジョン原計画!J29</x:f>
        <x:v>#NAME?</x:v>
      </x:c>
      <x:c r="K24" s="5" t="e">
        <x:f aca="0">01_ビジョン原計画!K29</x:f>
        <x:v>#NAME?</x:v>
      </x:c>
    </x:row>
    <x:row r="25" ht="17.149999618530273" hidden="0">
      <x:c r="A25" s="6" t="s">
        <x:v>78</x:v>
      </x:c>
      <x:c r="B25" s="5" t="e">
        <x:f aca="0">01_ビジョン原計画!B31</x:f>
        <x:v>#NAME?</x:v>
      </x:c>
      <x:c r="C25" s="5" t="e">
        <x:f aca="0">01_ビジョン原計画!C31</x:f>
        <x:v>#NAME?</x:v>
      </x:c>
      <x:c r="D25" s="5" t="e">
        <x:f aca="0">01_ビジョン原計画!D31</x:f>
        <x:v>#NAME?</x:v>
      </x:c>
      <x:c r="E25" s="5" t="e">
        <x:f aca="0">01_ビジョン原計画!E31</x:f>
        <x:v>#NAME?</x:v>
      </x:c>
      <x:c r="F25" s="5" t="e">
        <x:f aca="0">01_ビジョン原計画!F31</x:f>
        <x:v>#NAME?</x:v>
      </x:c>
      <x:c r="G25" s="5" t="e">
        <x:f aca="0">01_ビジョン原計画!G31</x:f>
        <x:v>#NAME?</x:v>
      </x:c>
      <x:c r="H25" s="5" t="e">
        <x:f aca="0">01_ビジョン原計画!H31</x:f>
        <x:v>#NAME?</x:v>
      </x:c>
      <x:c r="I25" s="5" t="e">
        <x:f aca="0">01_ビジョン原計画!I31</x:f>
        <x:v>#NAME?</x:v>
      </x:c>
      <x:c r="J25" s="5" t="e">
        <x:f aca="0">01_ビジョン原計画!J31</x:f>
        <x:v>#NAME?</x:v>
      </x:c>
      <x:c r="K25" s="5" t="e">
        <x:f aca="0">01_ビジョン原計画!K31</x:f>
        <x:v>#NAME?</x:v>
      </x:c>
    </x:row>
    <x:row r="26" ht="17.149999618530273" hidden="0">
      <x:c r="A26" s="6" t="s">
        <x:v>146</x:v>
      </x:c>
      <x:c r="B26" s="5" t="e">
        <x:f aca="0">SUM(B20,B23,B25)</x:f>
        <x:v>#NAME?</x:v>
      </x:c>
      <x:c r="C26" s="5" t="e">
        <x:f aca="0">SUM(C20,C23,C25)</x:f>
        <x:v>#NAME?</x:v>
      </x:c>
      <x:c r="D26" s="5" t="e">
        <x:f aca="0">SUM(D20,D23,D25)</x:f>
        <x:v>#NAME?</x:v>
      </x:c>
      <x:c r="E26" s="5" t="e">
        <x:f aca="0">SUM(E20,E23,E25)</x:f>
        <x:v>#NAME?</x:v>
      </x:c>
      <x:c r="F26" s="5" t="e">
        <x:f aca="0">SUM(F20,F23,F25)</x:f>
        <x:v>#NAME?</x:v>
      </x:c>
      <x:c r="G26" s="5" t="e">
        <x:f aca="0">SUM(G20,G23,G25)</x:f>
        <x:v>#NAME?</x:v>
      </x:c>
      <x:c r="H26" s="5" t="e">
        <x:f aca="0">SUM(H20,H23,H25)</x:f>
        <x:v>#NAME?</x:v>
      </x:c>
      <x:c r="I26" s="5" t="e">
        <x:f aca="0">SUM(I20,I23,I25)</x:f>
        <x:v>#NAME?</x:v>
      </x:c>
      <x:c r="J26" s="5" t="e">
        <x:f aca="0">SUM(J20,J23,J25)</x:f>
        <x:v>#NAME?</x:v>
      </x:c>
      <x:c r="K26" s="5" t="e">
        <x:f aca="0">SUM(K20,K23,K25)</x:f>
        <x:v>#NAME?</x:v>
      </x:c>
    </x:row>
    <x:row r="27" ht="17.149999618530273" hidden="0">
      <x:c r="A27" s="6" t="s">
        <x:v>147</x:v>
      </x:c>
      <x:c r="B27" s="5" t="e">
        <x:f aca="0">SUM(B9,B13)-SUM(B20,B23)</x:f>
        <x:v>#NAME?</x:v>
      </x:c>
      <x:c r="C27" s="5" t="e">
        <x:f aca="0">SUM(C9,C13)-SUM(C20,C23)</x:f>
        <x:v>#NAME?</x:v>
      </x:c>
      <x:c r="D27" s="5" t="e">
        <x:f aca="0">SUM(D9,D13)-SUM(D20,D23)</x:f>
        <x:v>#NAME?</x:v>
      </x:c>
      <x:c r="E27" s="5" t="e">
        <x:f aca="0">SUM(E9,E13)-SUM(E20,E23)</x:f>
        <x:v>#NAME?</x:v>
      </x:c>
      <x:c r="F27" s="5" t="e">
        <x:f aca="0">SUM(F9,F13)-SUM(F20,F23)</x:f>
        <x:v>#NAME?</x:v>
      </x:c>
      <x:c r="G27" s="5" t="e">
        <x:f aca="0">SUM(G9,G13)-SUM(G20,G23)</x:f>
        <x:v>#NAME?</x:v>
      </x:c>
      <x:c r="H27" s="5" t="e">
        <x:f aca="0">SUM(H9,H13)-SUM(H20,H23)</x:f>
        <x:v>#NAME?</x:v>
      </x:c>
      <x:c r="I27" s="5" t="e">
        <x:f aca="0">SUM(I9,I13)-SUM(I20,I23)</x:f>
        <x:v>#NAME?</x:v>
      </x:c>
      <x:c r="J27" s="5" t="e">
        <x:f aca="0">SUM(J9,J13)-SUM(J20,J23)</x:f>
        <x:v>#NAME?</x:v>
      </x:c>
      <x:c r="K27" s="5" t="e">
        <x:f aca="0">SUM(K9,K13)-SUM(K20,K23)</x:f>
        <x:v>#NAME?</x:v>
      </x:c>
    </x:row>
    <x:row r="28" ht="17.149999618530273" hidden="0">
      <x:c r="A28" s="6" t="s">
        <x:v>148</x:v>
      </x:c>
      <x:c r="B28" s="5" t="e">
        <x:f aca="0">B27+B16-B25</x:f>
        <x:v>#NAME?</x:v>
      </x:c>
      <x:c r="C28" s="5" t="e">
        <x:f aca="0">C27+C16-C25</x:f>
        <x:v>#NAME?</x:v>
      </x:c>
      <x:c r="D28" s="5" t="e">
        <x:f aca="0">D27+D16-D25</x:f>
        <x:v>#NAME?</x:v>
      </x:c>
      <x:c r="E28" s="5" t="e">
        <x:f aca="0">E27+E16-E25</x:f>
        <x:v>#NAME?</x:v>
      </x:c>
      <x:c r="F28" s="5" t="e">
        <x:f aca="0">F27+F16-F25</x:f>
        <x:v>#NAME?</x:v>
      </x:c>
      <x:c r="G28" s="5" t="e">
        <x:f aca="0">G27+G16-G25</x:f>
        <x:v>#NAME?</x:v>
      </x:c>
      <x:c r="H28" s="5" t="e">
        <x:f aca="0">H27+H16-H25</x:f>
        <x:v>#NAME?</x:v>
      </x:c>
      <x:c r="I28" s="5" t="e">
        <x:f aca="0">I27+I16-I25</x:f>
        <x:v>#NAME?</x:v>
      </x:c>
      <x:c r="J28" s="5" t="e">
        <x:f aca="0">J27+J16-J25</x:f>
        <x:v>#NAME?</x:v>
      </x:c>
      <x:c r="K28" s="5" t="e">
        <x:f aca="0">K27+K16-K25</x:f>
        <x:v>#NAME?</x:v>
      </x:c>
    </x:row>
    <x:row r="29" ht="15" hidden="0">
      <x:c r="A29" s="7"/>
      <x:c r="B29" s="5"/>
      <x:c r="C29" s="5"/>
      <x:c r="D29" s="5"/>
      <x:c r="E29" s="5"/>
      <x:c r="F29" s="5"/>
      <x:c r="G29" s="5"/>
      <x:c r="H29" s="5"/>
      <x:c r="I29" s="5"/>
      <x:c r="J29" s="5"/>
      <x:c r="K29" s="5"/>
    </x:row>
    <x:row r="30" ht="17.149999618530273" hidden="0">
      <x:c r="A30" s="42" t="s">
        <x:v>149</x:v>
      </x:c>
      <x:c r="B30" s="43"/>
      <x:c r="C30" s="43"/>
      <x:c r="D30" s="43"/>
      <x:c r="E30" s="43"/>
      <x:c r="F30" s="43"/>
      <x:c r="G30" s="43"/>
      <x:c r="H30" s="43"/>
      <x:c r="I30" s="43"/>
      <x:c r="J30" s="43"/>
      <x:c r="K30" s="43"/>
    </x:row>
    <x:row r="31" ht="17.149999618530273" hidden="0">
      <x:c r="A31" s="6" t="s">
        <x:v>150</x:v>
      </x:c>
      <x:c r="B31" s="35" t="n">
        <x:f aca="0">IFERROR((SUM(B9,B13)/SUM(B20,B23))*100,0)</x:f>
        <x:v>0</x:v>
      </x:c>
      <x:c r="C31" s="35" t="n">
        <x:f aca="0">IFERROR((SUM(C9,C13)/SUM(C20,C23))*100,0)</x:f>
        <x:v>0</x:v>
      </x:c>
      <x:c r="D31" s="35" t="n">
        <x:f aca="0">IFERROR((SUM(D9,D13)/SUM(D20,D23))*100,0)</x:f>
        <x:v>0</x:v>
      </x:c>
      <x:c r="E31" s="35" t="n">
        <x:f aca="0">IFERROR((SUM(E9,E13)/SUM(E20,E23))*100,0)</x:f>
        <x:v>0</x:v>
      </x:c>
      <x:c r="F31" s="35" t="n">
        <x:f aca="0">IFERROR((SUM(F9,F13)/SUM(F20,F23))*100,0)</x:f>
        <x:v>0</x:v>
      </x:c>
      <x:c r="G31" s="35" t="n">
        <x:f aca="0">IFERROR((SUM(G9,G13)/SUM(G20,G23))*100,0)</x:f>
        <x:v>0</x:v>
      </x:c>
      <x:c r="H31" s="35" t="n">
        <x:f aca="0">IFERROR((SUM(H9,H13)/SUM(H20,H23))*100,0)</x:f>
        <x:v>0</x:v>
      </x:c>
      <x:c r="I31" s="35" t="n">
        <x:f aca="0">IFERROR((SUM(I9,I13)/SUM(I20,I23))*100,0)</x:f>
        <x:v>0</x:v>
      </x:c>
      <x:c r="J31" s="35" t="n">
        <x:f aca="0">IFERROR((SUM(J9,J13)/SUM(J20,J23))*100,0)</x:f>
        <x:v>0</x:v>
      </x:c>
      <x:c r="K31" s="35" t="n">
        <x:f aca="0">IFERROR((SUM(K9,K13)/SUM(K20,K23))*100,0)</x:f>
        <x:v>0</x:v>
      </x:c>
    </x:row>
    <x:row r="32" ht="17.149999618530273" hidden="0">
      <x:c r="A32" s="6" t="s">
        <x:v>151</x:v>
      </x:c>
      <x:c r="B32" s="35" t="n">
        <x:f aca="0">IFERROR(B10/B34*100,0)</x:f>
        <x:v>0</x:v>
      </x:c>
      <x:c r="C32" s="35" t="n">
        <x:f aca="0">IFERROR(C10/C34*100,0)</x:f>
        <x:v>0</x:v>
      </x:c>
      <x:c r="D32" s="35" t="n">
        <x:f aca="0">IFERROR(D10/D34*100,0)</x:f>
        <x:v>0</x:v>
      </x:c>
      <x:c r="E32" s="35" t="n">
        <x:f aca="0">IFERROR(E10/E34*100,0)</x:f>
        <x:v>0</x:v>
      </x:c>
      <x:c r="F32" s="35" t="n">
        <x:f aca="0">IFERROR(F10/F34*100,0)</x:f>
        <x:v>0</x:v>
      </x:c>
      <x:c r="G32" s="35" t="n">
        <x:f aca="0">IFERROR(G10/G34*100,0)</x:f>
        <x:v>0</x:v>
      </x:c>
      <x:c r="H32" s="35" t="n">
        <x:f aca="0">IFERROR(H10/H34*100,0)</x:f>
        <x:v>0</x:v>
      </x:c>
      <x:c r="I32" s="35" t="n">
        <x:f aca="0">IFERROR(I10/I34*100,0)</x:f>
        <x:v>0</x:v>
      </x:c>
      <x:c r="J32" s="35" t="n">
        <x:f aca="0">IFERROR(J10/J34*100,0)</x:f>
        <x:v>0</x:v>
      </x:c>
      <x:c r="K32" s="35" t="n">
        <x:f aca="0">IFERROR(K10/K34*100,0)</x:f>
        <x:v>0</x:v>
      </x:c>
    </x:row>
    <x:row r="33" ht="17.149999618530273" hidden="0">
      <x:c r="A33" s="6" t="s">
        <x:v>152</x:v>
      </x:c>
      <x:c r="B33" s="35" t="n">
        <x:f aca="0">IFERROR(B10/B35*100,0)</x:f>
        <x:v>0</x:v>
      </x:c>
      <x:c r="C33" s="35" t="n">
        <x:f aca="0">IFERROR(C10/C35*100,0)</x:f>
        <x:v>0</x:v>
      </x:c>
      <x:c r="D33" s="35" t="n">
        <x:f aca="0">IFERROR(D10/D35*100,0)</x:f>
        <x:v>0</x:v>
      </x:c>
      <x:c r="E33" s="35" t="n">
        <x:f aca="0">IFERROR(E10/E35*100,0)</x:f>
        <x:v>0</x:v>
      </x:c>
      <x:c r="F33" s="35" t="n">
        <x:f aca="0">IFERROR(F10/F35*100,0)</x:f>
        <x:v>0</x:v>
      </x:c>
      <x:c r="G33" s="35" t="n">
        <x:f aca="0">IFERROR(G10/G35*100,0)</x:f>
        <x:v>0</x:v>
      </x:c>
      <x:c r="H33" s="35" t="n">
        <x:f aca="0">IFERROR(H10/H35*100,0)</x:f>
        <x:v>0</x:v>
      </x:c>
      <x:c r="I33" s="35" t="n">
        <x:f aca="0">IFERROR(I10/I35*100,0)</x:f>
        <x:v>0</x:v>
      </x:c>
      <x:c r="J33" s="35" t="n">
        <x:f aca="0">IFERROR(J10/J35*100,0)</x:f>
        <x:v>0</x:v>
      </x:c>
      <x:c r="K33" s="35" t="n">
        <x:f aca="0">IFERROR(K10/K35*100,0)</x:f>
        <x:v>0</x:v>
      </x:c>
    </x:row>
    <x:row r="34" ht="17.149999618530273" hidden="0">
      <x:c r="A34" s="6" t="s">
        <x:v>153</x:v>
      </x:c>
      <x:c r="B34" s="5" t="e">
        <x:f aca="0">SUM(B20,B23)-B14</x:f>
        <x:v>#NAME?</x:v>
      </x:c>
      <x:c r="C34" s="5" t="e">
        <x:f aca="0">SUM(C20,C23)-C14</x:f>
        <x:v>#NAME?</x:v>
      </x:c>
      <x:c r="D34" s="5" t="e">
        <x:f aca="0">SUM(D20,D23)-D14</x:f>
        <x:v>#NAME?</x:v>
      </x:c>
      <x:c r="E34" s="5" t="e">
        <x:f aca="0">SUM(E20,E23)-E14</x:f>
        <x:v>#NAME?</x:v>
      </x:c>
      <x:c r="F34" s="5" t="e">
        <x:f aca="0">SUM(F20,F23)-F14</x:f>
        <x:v>#NAME?</x:v>
      </x:c>
      <x:c r="G34" s="5" t="e">
        <x:f aca="0">SUM(G20,G23)-G14</x:f>
        <x:v>#NAME?</x:v>
      </x:c>
      <x:c r="H34" s="5" t="e">
        <x:f aca="0">SUM(H20,H23)-H14</x:f>
        <x:v>#NAME?</x:v>
      </x:c>
      <x:c r="I34" s="5" t="e">
        <x:f aca="0">SUM(I20,I23)-I14</x:f>
        <x:v>#NAME?</x:v>
      </x:c>
      <x:c r="J34" s="5" t="e">
        <x:f aca="0">SUM(J20,J23)-J14</x:f>
        <x:v>#NAME?</x:v>
      </x:c>
      <x:c r="K34" s="5" t="e">
        <x:f aca="0">SUM(K20,K23)-K14</x:f>
        <x:v>#NAME?</x:v>
      </x:c>
    </x:row>
    <x:row r="35" ht="17.149999618530273" hidden="0">
      <x:c r="A35" s="6" t="s">
        <x:v>154</x:v>
      </x:c>
      <x:c r="B35" s="5" t="e">
        <x:f aca="0">B34+$B$5</x:f>
        <x:v>#NAME?</x:v>
      </x:c>
      <x:c r="C35" s="5" t="e">
        <x:f aca="0">C34+$B$5</x:f>
        <x:v>#NAME?</x:v>
      </x:c>
      <x:c r="D35" s="5" t="e">
        <x:f aca="0">D34+$B$5</x:f>
        <x:v>#NAME?</x:v>
      </x:c>
      <x:c r="E35" s="5" t="e">
        <x:f aca="0">E34+$B$5</x:f>
        <x:v>#NAME?</x:v>
      </x:c>
      <x:c r="F35" s="5" t="e">
        <x:f aca="0">F34+$B$5</x:f>
        <x:v>#NAME?</x:v>
      </x:c>
      <x:c r="G35" s="5" t="e">
        <x:f aca="0">G34+$B$5</x:f>
        <x:v>#NAME?</x:v>
      </x:c>
      <x:c r="H35" s="5" t="e">
        <x:f aca="0">H34+$B$5</x:f>
        <x:v>#NAME?</x:v>
      </x:c>
      <x:c r="I35" s="5" t="e">
        <x:f aca="0">I34+$B$5</x:f>
        <x:v>#NAME?</x:v>
      </x:c>
      <x:c r="J35" s="5" t="e">
        <x:f aca="0">J34+$B$5</x:f>
        <x:v>#NAME?</x:v>
      </x:c>
      <x:c r="K35" s="5" t="e">
        <x:f aca="0">K34+$B$5</x:f>
        <x:v>#NAME?</x:v>
      </x:c>
    </x:row>
    <x:row r="36" ht="17.149999618530273" hidden="0">
      <x:c r="A36" s="6" t="s">
        <x:v>155</x:v>
      </x:c>
      <x:c r="B36" s="35" t="n">
        <x:f aca="0">IFERROR(B10/(B20+B23-B14-B12-B15+$B$5)*100,0)</x:f>
        <x:v>0</x:v>
      </x:c>
      <x:c r="C36" s="35" t="n">
        <x:f aca="0">IFERROR(C10/(C20+C23-C14-C12-C15+$B$5)*100,0)</x:f>
        <x:v>0</x:v>
      </x:c>
      <x:c r="D36" s="35" t="n">
        <x:f aca="0">IFERROR(D10/(D20+D23-D14-D12-D15+$B$5)*100,0)</x:f>
        <x:v>0</x:v>
      </x:c>
      <x:c r="E36" s="35" t="n">
        <x:f aca="0">IFERROR(E10/(E20+E23-E14-E12-E15+$B$5)*100,0)</x:f>
        <x:v>0</x:v>
      </x:c>
      <x:c r="F36" s="35" t="n">
        <x:f aca="0">IFERROR(F10/(F20+F23-F14-F12-F15+$B$5)*100,0)</x:f>
        <x:v>0</x:v>
      </x:c>
      <x:c r="G36" s="35" t="n">
        <x:f aca="0">IFERROR(G10/(G20+G23-G14-G12-G15+$B$5)*100,0)</x:f>
        <x:v>0</x:v>
      </x:c>
      <x:c r="H36" s="35" t="n">
        <x:f aca="0">IFERROR(H10/(H20+H23-H14-H12-H15+$B$5)*100,0)</x:f>
        <x:v>0</x:v>
      </x:c>
      <x:c r="I36" s="35" t="n">
        <x:f aca="0">IFERROR(I10/(I20+I23-I14-I12-I15+$B$5)*100,0)</x:f>
        <x:v>0</x:v>
      </x:c>
      <x:c r="J36" s="35" t="n">
        <x:f aca="0">IFERROR(J10/(J20+J23-J14-J12-J15+$B$5)*100,0)</x:f>
        <x:v>0</x:v>
      </x:c>
      <x:c r="K36" s="35" t="n">
        <x:f aca="0">IFERROR(K10/(K20+K23-K14-K12-K15+$B$5)*100,0)</x:f>
        <x:v>0</x:v>
      </x:c>
    </x:row>
    <x:row r="37" ht="17.149999618530273" hidden="0">
      <x:c r="A37" s="6" t="s">
        <x:v>156</x:v>
      </x:c>
      <x:c r="B37" s="5" t="str">
        <x:f aca="0">IF(B33&lt;=B32,"OK","要確認")</x:f>
        <x:v>OK</x:v>
      </x:c>
      <x:c r="C37" s="5" t="str">
        <x:f aca="0">IF(C33&lt;=C32,"OK","要確認")</x:f>
        <x:v>OK</x:v>
      </x:c>
      <x:c r="D37" s="5" t="str">
        <x:f aca="0">IF(D33&lt;=D32,"OK","要確認")</x:f>
        <x:v>OK</x:v>
      </x:c>
      <x:c r="E37" s="5" t="str">
        <x:f aca="0">IF(E33&lt;=E32,"OK","要確認")</x:f>
        <x:v>OK</x:v>
      </x:c>
      <x:c r="F37" s="5" t="str">
        <x:f aca="0">IF(F33&lt;=F32,"OK","要確認")</x:f>
        <x:v>OK</x:v>
      </x:c>
      <x:c r="G37" s="5" t="str">
        <x:f aca="0">IF(G33&lt;=G32,"OK","要確認")</x:f>
        <x:v>OK</x:v>
      </x:c>
      <x:c r="H37" s="5" t="str">
        <x:f aca="0">IF(H33&lt;=H32,"OK","要確認")</x:f>
        <x:v>OK</x:v>
      </x:c>
      <x:c r="I37" s="5" t="str">
        <x:f aca="0">IF(I33&lt;=I32,"OK","要確認")</x:f>
        <x:v>OK</x:v>
      </x:c>
      <x:c r="J37" s="5" t="str">
        <x:f aca="0">IF(J33&lt;=J32,"OK","要確認")</x:f>
        <x:v>OK</x:v>
      </x:c>
      <x:c r="K37" s="5" t="str">
        <x:f aca="0">IF(K33&lt;=K32,"OK","要確認")</x:f>
        <x:v>OK</x:v>
      </x:c>
    </x:row>
    <x:row r="38" ht="15" hidden="0">
      <x:c r="A38" s="7"/>
      <x:c r="B38" s="5"/>
      <x:c r="C38" s="5"/>
      <x:c r="D38" s="5"/>
      <x:c r="E38" s="5"/>
      <x:c r="F38" s="5"/>
      <x:c r="G38" s="5"/>
      <x:c r="H38" s="5"/>
      <x:c r="I38" s="5"/>
      <x:c r="J38" s="5"/>
      <x:c r="K38" s="5"/>
    </x:row>
    <x:row r="39" ht="17.149999618530273" hidden="0">
      <x:c r="A39" s="42" t="s">
        <x:v>79</x:v>
      </x:c>
      <x:c r="B39" s="43"/>
      <x:c r="C39" s="43"/>
      <x:c r="D39" s="43"/>
      <x:c r="E39" s="43"/>
      <x:c r="F39" s="43"/>
      <x:c r="G39" s="43"/>
      <x:c r="H39" s="43"/>
      <x:c r="I39" s="43"/>
      <x:c r="J39" s="43"/>
      <x:c r="K39" s="43"/>
    </x:row>
    <x:row r="40" ht="17.149999618530273" hidden="0">
      <x:c r="A40" s="6" t="s">
        <x:v>80</x:v>
      </x:c>
      <x:c r="B40" s="5" t="e">
        <x:f aca="0">01_ビジョン原計画!B34</x:f>
        <x:v>#NAME?</x:v>
      </x:c>
      <x:c r="C40" s="5" t="e">
        <x:f aca="0">01_ビジョン原計画!C34</x:f>
        <x:v>#NAME?</x:v>
      </x:c>
      <x:c r="D40" s="5" t="e">
        <x:f aca="0">01_ビジョン原計画!D34</x:f>
        <x:v>#NAME?</x:v>
      </x:c>
      <x:c r="E40" s="5" t="e">
        <x:f aca="0">01_ビジョン原計画!E34</x:f>
        <x:v>#NAME?</x:v>
      </x:c>
      <x:c r="F40" s="5" t="e">
        <x:f aca="0">01_ビジョン原計画!F34</x:f>
        <x:v>#NAME?</x:v>
      </x:c>
      <x:c r="G40" s="5" t="e">
        <x:f aca="0">01_ビジョン原計画!G34</x:f>
        <x:v>#NAME?</x:v>
      </x:c>
      <x:c r="H40" s="5" t="e">
        <x:f aca="0">01_ビジョン原計画!H34</x:f>
        <x:v>#NAME?</x:v>
      </x:c>
      <x:c r="I40" s="5" t="e">
        <x:f aca="0">01_ビジョン原計画!I34</x:f>
        <x:v>#NAME?</x:v>
      </x:c>
      <x:c r="J40" s="5" t="e">
        <x:f aca="0">01_ビジョン原計画!J34</x:f>
        <x:v>#NAME?</x:v>
      </x:c>
      <x:c r="K40" s="5" t="e">
        <x:f aca="0">01_ビジョン原計画!K34</x:f>
        <x:v>#NAME?</x:v>
      </x:c>
    </x:row>
    <x:row r="41" ht="17.149999618530273" hidden="0">
      <x:c r="A41" s="6" t="s">
        <x:v>81</x:v>
      </x:c>
      <x:c r="B41" s="5" t="e">
        <x:f aca="0">01_ビジョン原計画!B35</x:f>
        <x:v>#NAME?</x:v>
      </x:c>
      <x:c r="C41" s="5" t="e">
        <x:f aca="0">01_ビジョン原計画!C35</x:f>
        <x:v>#NAME?</x:v>
      </x:c>
      <x:c r="D41" s="5" t="e">
        <x:f aca="0">01_ビジョン原計画!D35</x:f>
        <x:v>#NAME?</x:v>
      </x:c>
      <x:c r="E41" s="5" t="e">
        <x:f aca="0">01_ビジョン原計画!E35</x:f>
        <x:v>#NAME?</x:v>
      </x:c>
      <x:c r="F41" s="5" t="e">
        <x:f aca="0">01_ビジョン原計画!F35</x:f>
        <x:v>#NAME?</x:v>
      </x:c>
      <x:c r="G41" s="5" t="e">
        <x:f aca="0">01_ビジョン原計画!G35</x:f>
        <x:v>#NAME?</x:v>
      </x:c>
      <x:c r="H41" s="5" t="e">
        <x:f aca="0">01_ビジョン原計画!H35</x:f>
        <x:v>#NAME?</x:v>
      </x:c>
      <x:c r="I41" s="5" t="e">
        <x:f aca="0">01_ビジョン原計画!I35</x:f>
        <x:v>#NAME?</x:v>
      </x:c>
      <x:c r="J41" s="5" t="e">
        <x:f aca="0">01_ビジョン原計画!J35</x:f>
        <x:v>#NAME?</x:v>
      </x:c>
      <x:c r="K41" s="5" t="e">
        <x:f aca="0">01_ビジョン原計画!K35</x:f>
        <x:v>#NAME?</x:v>
      </x:c>
    </x:row>
    <x:row r="42" ht="17.149999618530273" hidden="0">
      <x:c r="A42" s="6" t="s">
        <x:v>82</x:v>
      </x:c>
      <x:c r="B42" s="5" t="e">
        <x:f aca="0">01_ビジョン原計画!B36</x:f>
        <x:v>#NAME?</x:v>
      </x:c>
      <x:c r="C42" s="5" t="e">
        <x:f aca="0">01_ビジョン原計画!C36</x:f>
        <x:v>#NAME?</x:v>
      </x:c>
      <x:c r="D42" s="5" t="e">
        <x:f aca="0">01_ビジョン原計画!D36</x:f>
        <x:v>#NAME?</x:v>
      </x:c>
      <x:c r="E42" s="5" t="e">
        <x:f aca="0">01_ビジョン原計画!E36</x:f>
        <x:v>#NAME?</x:v>
      </x:c>
      <x:c r="F42" s="5" t="e">
        <x:f aca="0">01_ビジョン原計画!F36</x:f>
        <x:v>#NAME?</x:v>
      </x:c>
      <x:c r="G42" s="5" t="e">
        <x:f aca="0">01_ビジョン原計画!G36</x:f>
        <x:v>#NAME?</x:v>
      </x:c>
      <x:c r="H42" s="5" t="e">
        <x:f aca="0">01_ビジョン原計画!H36</x:f>
        <x:v>#NAME?</x:v>
      </x:c>
      <x:c r="I42" s="5" t="e">
        <x:f aca="0">01_ビジョン原計画!I36</x:f>
        <x:v>#NAME?</x:v>
      </x:c>
      <x:c r="J42" s="5" t="e">
        <x:f aca="0">01_ビジョン原計画!J36</x:f>
        <x:v>#NAME?</x:v>
      </x:c>
      <x:c r="K42" s="5" t="e">
        <x:f aca="0">01_ビジョン原計画!K36</x:f>
        <x:v>#NAME?</x:v>
      </x:c>
    </x:row>
    <x:row r="43" ht="17.149999618530273" hidden="0">
      <x:c r="A43" s="6" t="s">
        <x:v>83</x:v>
      </x:c>
      <x:c r="B43" s="5" t="e">
        <x:f aca="0">01_ビジョン原計画!B37</x:f>
        <x:v>#NAME?</x:v>
      </x:c>
      <x:c r="C43" s="5" t="e">
        <x:f aca="0">01_ビジョン原計画!C37</x:f>
        <x:v>#NAME?</x:v>
      </x:c>
      <x:c r="D43" s="5" t="e">
        <x:f aca="0">01_ビジョン原計画!D37</x:f>
        <x:v>#NAME?</x:v>
      </x:c>
      <x:c r="E43" s="5" t="e">
        <x:f aca="0">01_ビジョン原計画!E37</x:f>
        <x:v>#NAME?</x:v>
      </x:c>
      <x:c r="F43" s="5" t="e">
        <x:f aca="0">01_ビジョン原計画!F37</x:f>
        <x:v>#NAME?</x:v>
      </x:c>
      <x:c r="G43" s="5" t="e">
        <x:f aca="0">01_ビジョン原計画!G37</x:f>
        <x:v>#NAME?</x:v>
      </x:c>
      <x:c r="H43" s="5" t="e">
        <x:f aca="0">01_ビジョン原計画!H37</x:f>
        <x:v>#NAME?</x:v>
      </x:c>
      <x:c r="I43" s="5" t="e">
        <x:f aca="0">01_ビジョン原計画!I37</x:f>
        <x:v>#NAME?</x:v>
      </x:c>
      <x:c r="J43" s="5" t="e">
        <x:f aca="0">01_ビジョン原計画!J37</x:f>
        <x:v>#NAME?</x:v>
      </x:c>
      <x:c r="K43" s="5" t="e">
        <x:f aca="0">01_ビジョン原計画!K37</x:f>
        <x:v>#NAME?</x:v>
      </x:c>
    </x:row>
    <x:row r="44" ht="17.149999618530273" hidden="0">
      <x:c r="A44" s="6" t="s">
        <x:v>84</x:v>
      </x:c>
      <x:c r="B44" s="5" t="e">
        <x:f aca="0">01_ビジョン原計画!B38</x:f>
        <x:v>#NAME?</x:v>
      </x:c>
      <x:c r="C44" s="5" t="e">
        <x:f aca="0">01_ビジョン原計画!C38</x:f>
        <x:v>#NAME?</x:v>
      </x:c>
      <x:c r="D44" s="5" t="e">
        <x:f aca="0">01_ビジョン原計画!D38</x:f>
        <x:v>#NAME?</x:v>
      </x:c>
      <x:c r="E44" s="5" t="e">
        <x:f aca="0">01_ビジョン原計画!E38</x:f>
        <x:v>#NAME?</x:v>
      </x:c>
      <x:c r="F44" s="5" t="e">
        <x:f aca="0">01_ビジョン原計画!F38</x:f>
        <x:v>#NAME?</x:v>
      </x:c>
      <x:c r="G44" s="5" t="e">
        <x:f aca="0">01_ビジョン原計画!G38</x:f>
        <x:v>#NAME?</x:v>
      </x:c>
      <x:c r="H44" s="5" t="e">
        <x:f aca="0">01_ビジョン原計画!H38</x:f>
        <x:v>#NAME?</x:v>
      </x:c>
      <x:c r="I44" s="5" t="e">
        <x:f aca="0">01_ビジョン原計画!I38</x:f>
        <x:v>#NAME?</x:v>
      </x:c>
      <x:c r="J44" s="5" t="e">
        <x:f aca="0">01_ビジョン原計画!J38</x:f>
        <x:v>#NAME?</x:v>
      </x:c>
      <x:c r="K44" s="5" t="e">
        <x:f aca="0">01_ビジョン原計画!K38</x:f>
        <x:v>#NAME?</x:v>
      </x:c>
    </x:row>
    <x:row r="45" ht="17.149999618530273" hidden="0">
      <x:c r="A45" s="6" t="s">
        <x:v>85</x:v>
      </x:c>
      <x:c r="B45" s="5" t="e">
        <x:f aca="0">01_ビジョン原計画!B39</x:f>
        <x:v>#NAME?</x:v>
      </x:c>
      <x:c r="C45" s="5" t="e">
        <x:f aca="0">01_ビジョン原計画!C39</x:f>
        <x:v>#NAME?</x:v>
      </x:c>
      <x:c r="D45" s="5" t="e">
        <x:f aca="0">01_ビジョン原計画!D39</x:f>
        <x:v>#NAME?</x:v>
      </x:c>
      <x:c r="E45" s="5" t="e">
        <x:f aca="0">01_ビジョン原計画!E39</x:f>
        <x:v>#NAME?</x:v>
      </x:c>
      <x:c r="F45" s="5" t="e">
        <x:f aca="0">01_ビジョン原計画!F39</x:f>
        <x:v>#NAME?</x:v>
      </x:c>
      <x:c r="G45" s="5" t="e">
        <x:f aca="0">01_ビジョン原計画!G39</x:f>
        <x:v>#NAME?</x:v>
      </x:c>
      <x:c r="H45" s="5" t="e">
        <x:f aca="0">01_ビジョン原計画!H39</x:f>
        <x:v>#NAME?</x:v>
      </x:c>
      <x:c r="I45" s="5" t="e">
        <x:f aca="0">01_ビジョン原計画!I39</x:f>
        <x:v>#NAME?</x:v>
      </x:c>
      <x:c r="J45" s="5" t="e">
        <x:f aca="0">01_ビジョン原計画!J39</x:f>
        <x:v>#NAME?</x:v>
      </x:c>
      <x:c r="K45" s="5" t="e">
        <x:f aca="0">01_ビジョン原計画!K39</x:f>
        <x:v>#NAME?</x:v>
      </x:c>
    </x:row>
    <x:row r="46" ht="17.149999618530273" hidden="0">
      <x:c r="A46" s="6" t="s">
        <x:v>86</x:v>
      </x:c>
      <x:c r="B46" s="5" t="e">
        <x:f aca="0">01_ビジョン原計画!B40</x:f>
        <x:v>#NAME?</x:v>
      </x:c>
      <x:c r="C46" s="5" t="e">
        <x:f aca="0">01_ビジョン原計画!C40</x:f>
        <x:v>#NAME?</x:v>
      </x:c>
      <x:c r="D46" s="5" t="e">
        <x:f aca="0">01_ビジョン原計画!D40</x:f>
        <x:v>#NAME?</x:v>
      </x:c>
      <x:c r="E46" s="5" t="e">
        <x:f aca="0">01_ビジョン原計画!E40</x:f>
        <x:v>#NAME?</x:v>
      </x:c>
      <x:c r="F46" s="5" t="e">
        <x:f aca="0">01_ビジョン原計画!F40</x:f>
        <x:v>#NAME?</x:v>
      </x:c>
      <x:c r="G46" s="5" t="e">
        <x:f aca="0">01_ビジョン原計画!G40</x:f>
        <x:v>#NAME?</x:v>
      </x:c>
      <x:c r="H46" s="5" t="e">
        <x:f aca="0">01_ビジョン原計画!H40</x:f>
        <x:v>#NAME?</x:v>
      </x:c>
      <x:c r="I46" s="5" t="e">
        <x:f aca="0">01_ビジョン原計画!I40</x:f>
        <x:v>#NAME?</x:v>
      </x:c>
      <x:c r="J46" s="5" t="e">
        <x:f aca="0">01_ビジョン原計画!J40</x:f>
        <x:v>#NAME?</x:v>
      </x:c>
      <x:c r="K46" s="5" t="e">
        <x:f aca="0">01_ビジョン原計画!K40</x:f>
        <x:v>#NAME?</x:v>
      </x:c>
    </x:row>
    <x:row r="47" ht="17.149999618530273" hidden="0">
      <x:c r="A47" s="6" t="s">
        <x:v>87</x:v>
      </x:c>
      <x:c r="B47" s="5" t="e">
        <x:f aca="0">01_ビジョン原計画!B41</x:f>
        <x:v>#NAME?</x:v>
      </x:c>
      <x:c r="C47" s="5" t="e">
        <x:f aca="0">01_ビジョン原計画!C41</x:f>
        <x:v>#NAME?</x:v>
      </x:c>
      <x:c r="D47" s="5" t="e">
        <x:f aca="0">01_ビジョン原計画!D41</x:f>
        <x:v>#NAME?</x:v>
      </x:c>
      <x:c r="E47" s="5" t="e">
        <x:f aca="0">01_ビジョン原計画!E41</x:f>
        <x:v>#NAME?</x:v>
      </x:c>
      <x:c r="F47" s="5" t="e">
        <x:f aca="0">01_ビジョン原計画!F41</x:f>
        <x:v>#NAME?</x:v>
      </x:c>
      <x:c r="G47" s="5" t="e">
        <x:f aca="0">01_ビジョン原計画!G41</x:f>
        <x:v>#NAME?</x:v>
      </x:c>
      <x:c r="H47" s="5" t="e">
        <x:f aca="0">01_ビジョン原計画!H41</x:f>
        <x:v>#NAME?</x:v>
      </x:c>
      <x:c r="I47" s="5" t="e">
        <x:f aca="0">01_ビジョン原計画!I41</x:f>
        <x:v>#NAME?</x:v>
      </x:c>
      <x:c r="J47" s="5" t="e">
        <x:f aca="0">01_ビジョン原計画!J41</x:f>
        <x:v>#NAME?</x:v>
      </x:c>
      <x:c r="K47" s="5" t="e">
        <x:f aca="0">01_ビジョン原計画!K41</x:f>
        <x:v>#NAME?</x:v>
      </x:c>
    </x:row>
    <x:row r="48" ht="15" hidden="0">
      <x:c r="A48" s="7"/>
      <x:c r="B48" s="5"/>
      <x:c r="C48" s="5"/>
      <x:c r="D48" s="5"/>
      <x:c r="E48" s="5"/>
      <x:c r="F48" s="5"/>
      <x:c r="G48" s="5"/>
      <x:c r="H48" s="5"/>
      <x:c r="I48" s="5"/>
      <x:c r="J48" s="5"/>
      <x:c r="K48" s="5"/>
    </x:row>
    <x:row r="49" ht="17.149999618530273" hidden="0">
      <x:c r="A49" s="42" t="s">
        <x:v>88</x:v>
      </x:c>
      <x:c r="B49" s="43"/>
      <x:c r="C49" s="43"/>
      <x:c r="D49" s="43"/>
      <x:c r="E49" s="43"/>
      <x:c r="F49" s="43"/>
      <x:c r="G49" s="43"/>
      <x:c r="H49" s="43"/>
      <x:c r="I49" s="43"/>
      <x:c r="J49" s="43"/>
      <x:c r="K49" s="43"/>
    </x:row>
    <x:row r="50" ht="17.149999618530273" hidden="0">
      <x:c r="A50" s="6" t="s">
        <x:v>89</x:v>
      </x:c>
      <x:c r="B50" s="5" t="e">
        <x:f aca="0">01_ビジョン原計画!B44</x:f>
        <x:v>#NAME?</x:v>
      </x:c>
      <x:c r="C50" s="5" t="e">
        <x:f aca="0">01_ビジョン原計画!C44</x:f>
        <x:v>#NAME?</x:v>
      </x:c>
      <x:c r="D50" s="5" t="e">
        <x:f aca="0">01_ビジョン原計画!D44</x:f>
        <x:v>#NAME?</x:v>
      </x:c>
      <x:c r="E50" s="5" t="e">
        <x:f aca="0">01_ビジョン原計画!E44</x:f>
        <x:v>#NAME?</x:v>
      </x:c>
      <x:c r="F50" s="5" t="e">
        <x:f aca="0">01_ビジョン原計画!F44</x:f>
        <x:v>#NAME?</x:v>
      </x:c>
      <x:c r="G50" s="5" t="e">
        <x:f aca="0">01_ビジョン原計画!G44</x:f>
        <x:v>#NAME?</x:v>
      </x:c>
      <x:c r="H50" s="5" t="e">
        <x:f aca="0">01_ビジョン原計画!H44</x:f>
        <x:v>#NAME?</x:v>
      </x:c>
      <x:c r="I50" s="5" t="e">
        <x:f aca="0">01_ビジョン原計画!I44</x:f>
        <x:v>#NAME?</x:v>
      </x:c>
      <x:c r="J50" s="5" t="e">
        <x:f aca="0">01_ビジョン原計画!J44</x:f>
        <x:v>#NAME?</x:v>
      </x:c>
      <x:c r="K50" s="5" t="e">
        <x:f aca="0">01_ビジョン原計画!K44</x:f>
        <x:v>#NAME?</x:v>
      </x:c>
    </x:row>
    <x:row r="51" ht="17.149999618530273" hidden="0">
      <x:c r="A51" s="6" t="s">
        <x:v>90</x:v>
      </x:c>
      <x:c r="B51" s="5" t="e">
        <x:f aca="0">01_ビジョン原計画!B45</x:f>
        <x:v>#NAME?</x:v>
      </x:c>
      <x:c r="C51" s="5" t="e">
        <x:f aca="0">01_ビジョン原計画!C45</x:f>
        <x:v>#NAME?</x:v>
      </x:c>
      <x:c r="D51" s="5" t="e">
        <x:f aca="0">01_ビジョン原計画!D45</x:f>
        <x:v>#NAME?</x:v>
      </x:c>
      <x:c r="E51" s="5" t="e">
        <x:f aca="0">01_ビジョン原計画!E45</x:f>
        <x:v>#NAME?</x:v>
      </x:c>
      <x:c r="F51" s="5" t="e">
        <x:f aca="0">01_ビジョン原計画!F45</x:f>
        <x:v>#NAME?</x:v>
      </x:c>
      <x:c r="G51" s="5" t="e">
        <x:f aca="0">01_ビジョン原計画!G45</x:f>
        <x:v>#NAME?</x:v>
      </x:c>
      <x:c r="H51" s="5" t="e">
        <x:f aca="0">01_ビジョン原計画!H45</x:f>
        <x:v>#NAME?</x:v>
      </x:c>
      <x:c r="I51" s="5" t="e">
        <x:f aca="0">01_ビジョン原計画!I45</x:f>
        <x:v>#NAME?</x:v>
      </x:c>
      <x:c r="J51" s="5" t="e">
        <x:f aca="0">01_ビジョン原計画!J45</x:f>
        <x:v>#NAME?</x:v>
      </x:c>
      <x:c r="K51" s="5" t="e">
        <x:f aca="0">01_ビジョン原計画!K45</x:f>
        <x:v>#NAME?</x:v>
      </x:c>
    </x:row>
    <x:row r="52" ht="17.149999618530273" hidden="0">
      <x:c r="A52" s="6" t="s">
        <x:v>91</x:v>
      </x:c>
      <x:c r="B52" s="5" t="e">
        <x:f aca="0">01_ビジョン原計画!B46</x:f>
        <x:v>#NAME?</x:v>
      </x:c>
      <x:c r="C52" s="5" t="e">
        <x:f aca="0">01_ビジョン原計画!C46</x:f>
        <x:v>#NAME?</x:v>
      </x:c>
      <x:c r="D52" s="5" t="e">
        <x:f aca="0">01_ビジョン原計画!D46</x:f>
        <x:v>#NAME?</x:v>
      </x:c>
      <x:c r="E52" s="5" t="e">
        <x:f aca="0">01_ビジョン原計画!E46</x:f>
        <x:v>#NAME?</x:v>
      </x:c>
      <x:c r="F52" s="5" t="e">
        <x:f aca="0">01_ビジョン原計画!F46</x:f>
        <x:v>#NAME?</x:v>
      </x:c>
      <x:c r="G52" s="5" t="e">
        <x:f aca="0">01_ビジョン原計画!G46</x:f>
        <x:v>#NAME?</x:v>
      </x:c>
      <x:c r="H52" s="5" t="e">
        <x:f aca="0">01_ビジョン原計画!H46</x:f>
        <x:v>#NAME?</x:v>
      </x:c>
      <x:c r="I52" s="5" t="e">
        <x:f aca="0">01_ビジョン原計画!I46</x:f>
        <x:v>#NAME?</x:v>
      </x:c>
      <x:c r="J52" s="5" t="e">
        <x:f aca="0">01_ビジョン原計画!J46</x:f>
        <x:v>#NAME?</x:v>
      </x:c>
      <x:c r="K52" s="5" t="e">
        <x:f aca="0">01_ビジョン原計画!K46</x:f>
        <x:v>#NAME?</x:v>
      </x:c>
    </x:row>
    <x:row r="53" ht="17.149999618530273" hidden="0">
      <x:c r="A53" s="6" t="s">
        <x:v>92</x:v>
      </x:c>
      <x:c r="B53" s="5" t="e">
        <x:f aca="0">01_ビジョン原計画!B47</x:f>
        <x:v>#NAME?</x:v>
      </x:c>
      <x:c r="C53" s="5" t="e">
        <x:f aca="0">01_ビジョン原計画!C47</x:f>
        <x:v>#NAME?</x:v>
      </x:c>
      <x:c r="D53" s="5" t="e">
        <x:f aca="0">01_ビジョン原計画!D47</x:f>
        <x:v>#NAME?</x:v>
      </x:c>
      <x:c r="E53" s="5" t="e">
        <x:f aca="0">01_ビジョン原計画!E47</x:f>
        <x:v>#NAME?</x:v>
      </x:c>
      <x:c r="F53" s="5" t="e">
        <x:f aca="0">01_ビジョン原計画!F47</x:f>
        <x:v>#NAME?</x:v>
      </x:c>
      <x:c r="G53" s="5" t="e">
        <x:f aca="0">01_ビジョン原計画!G47</x:f>
        <x:v>#NAME?</x:v>
      </x:c>
      <x:c r="H53" s="5" t="e">
        <x:f aca="0">01_ビジョン原計画!H47</x:f>
        <x:v>#NAME?</x:v>
      </x:c>
      <x:c r="I53" s="5" t="e">
        <x:f aca="0">01_ビジョン原計画!I47</x:f>
        <x:v>#NAME?</x:v>
      </x:c>
      <x:c r="J53" s="5" t="e">
        <x:f aca="0">01_ビジョン原計画!J47</x:f>
        <x:v>#NAME?</x:v>
      </x:c>
      <x:c r="K53" s="5" t="e">
        <x:f aca="0">01_ビジョン原計画!K47</x:f>
        <x:v>#NAME?</x:v>
      </x:c>
    </x:row>
    <x:row r="54" ht="32.79999923706055" hidden="0">
      <x:c r="A54" s="6" t="s">
        <x:v>93</x:v>
      </x:c>
      <x:c r="B54" s="5" t="e">
        <x:f aca="0">B40-B50</x:f>
        <x:v>#NAME?</x:v>
      </x:c>
      <x:c r="C54" s="5" t="e">
        <x:f aca="0">C40-C50</x:f>
        <x:v>#NAME?</x:v>
      </x:c>
      <x:c r="D54" s="5" t="e">
        <x:f aca="0">D40-D50</x:f>
        <x:v>#NAME?</x:v>
      </x:c>
      <x:c r="E54" s="5" t="e">
        <x:f aca="0">E40-E50</x:f>
        <x:v>#NAME?</x:v>
      </x:c>
      <x:c r="F54" s="5" t="e">
        <x:f aca="0">F40-F50</x:f>
        <x:v>#NAME?</x:v>
      </x:c>
      <x:c r="G54" s="5" t="e">
        <x:f aca="0">G40-G50</x:f>
        <x:v>#NAME?</x:v>
      </x:c>
      <x:c r="H54" s="5" t="e">
        <x:f aca="0">H40-H50</x:f>
        <x:v>#NAME?</x:v>
      </x:c>
      <x:c r="I54" s="5" t="e">
        <x:f aca="0">I40-I50</x:f>
        <x:v>#NAME?</x:v>
      </x:c>
      <x:c r="J54" s="5" t="e">
        <x:f aca="0">J40-J50</x:f>
        <x:v>#NAME?</x:v>
      </x:c>
      <x:c r="K54" s="5" t="e">
        <x:f aca="0">K40-K50</x:f>
        <x:v>#NAME?</x:v>
      </x:c>
    </x:row>
    <x:row r="55" ht="15" hidden="0">
      <x:c r="A55" s="7"/>
      <x:c r="B55" s="5"/>
      <x:c r="C55" s="5"/>
      <x:c r="D55" s="5"/>
      <x:c r="E55" s="5"/>
      <x:c r="F55" s="5"/>
      <x:c r="G55" s="5"/>
      <x:c r="H55" s="5"/>
      <x:c r="I55" s="5"/>
      <x:c r="J55" s="5"/>
      <x:c r="K55" s="5"/>
    </x:row>
    <x:row r="56" ht="17.149999618530273" hidden="0">
      <x:c r="A56" s="42" t="s">
        <x:v>157</x:v>
      </x:c>
      <x:c r="B56" s="43"/>
      <x:c r="C56" s="43"/>
      <x:c r="D56" s="43"/>
      <x:c r="E56" s="43"/>
      <x:c r="F56" s="43"/>
      <x:c r="G56" s="43"/>
      <x:c r="H56" s="43"/>
      <x:c r="I56" s="43"/>
      <x:c r="J56" s="43"/>
      <x:c r="K56" s="43"/>
    </x:row>
    <x:row r="57" ht="17.149999618530273" hidden="0">
      <x:c r="A57" s="6" t="s">
        <x:v>158</x:v>
      </x:c>
      <x:c r="B57" s="5" t="e">
        <x:f aca="0">B28+B21+B22-B14</x:f>
        <x:v>#NAME?</x:v>
      </x:c>
      <x:c r="C57" s="5" t="e">
        <x:f aca="0">C28+C21+C22-C14</x:f>
        <x:v>#NAME?</x:v>
      </x:c>
      <x:c r="D57" s="5" t="e">
        <x:f aca="0">D28+D21+D22-D14</x:f>
        <x:v>#NAME?</x:v>
      </x:c>
      <x:c r="E57" s="5" t="e">
        <x:f aca="0">E28+E21+E22-E14</x:f>
        <x:v>#NAME?</x:v>
      </x:c>
      <x:c r="F57" s="5" t="e">
        <x:f aca="0">F28+F21+F22-F14</x:f>
        <x:v>#NAME?</x:v>
      </x:c>
      <x:c r="G57" s="5" t="e">
        <x:f aca="0">G28+G21+G22-G14</x:f>
        <x:v>#NAME?</x:v>
      </x:c>
      <x:c r="H57" s="5" t="e">
        <x:f aca="0">H28+H21+H22-H14</x:f>
        <x:v>#NAME?</x:v>
      </x:c>
      <x:c r="I57" s="5" t="e">
        <x:f aca="0">I28+I21+I22-I14</x:f>
        <x:v>#NAME?</x:v>
      </x:c>
      <x:c r="J57" s="5" t="e">
        <x:f aca="0">J28+J21+J22-J14</x:f>
        <x:v>#NAME?</x:v>
      </x:c>
      <x:c r="K57" s="5" t="e">
        <x:f aca="0">K28+K21+K22-K14</x:f>
        <x:v>#NAME?</x:v>
      </x:c>
    </x:row>
    <x:row r="58" ht="17.149999618530273" hidden="0">
      <x:c r="A58" s="6" t="s">
        <x:v>159</x:v>
      </x:c>
      <x:c r="B58" s="5" t="e">
        <x:f aca="0">B54</x:f>
        <x:v>#NAME?</x:v>
      </x:c>
      <x:c r="C58" s="5" t="e">
        <x:f aca="0">C54</x:f>
        <x:v>#NAME?</x:v>
      </x:c>
      <x:c r="D58" s="5" t="e">
        <x:f aca="0">D54</x:f>
        <x:v>#NAME?</x:v>
      </x:c>
      <x:c r="E58" s="5" t="e">
        <x:f aca="0">E54</x:f>
        <x:v>#NAME?</x:v>
      </x:c>
      <x:c r="F58" s="5" t="e">
        <x:f aca="0">F54</x:f>
        <x:v>#NAME?</x:v>
      </x:c>
      <x:c r="G58" s="5" t="e">
        <x:f aca="0">G54</x:f>
        <x:v>#NAME?</x:v>
      </x:c>
      <x:c r="H58" s="5" t="e">
        <x:f aca="0">H54</x:f>
        <x:v>#NAME?</x:v>
      </x:c>
      <x:c r="I58" s="5" t="e">
        <x:f aca="0">I54</x:f>
        <x:v>#NAME?</x:v>
      </x:c>
      <x:c r="J58" s="5" t="e">
        <x:f aca="0">J54</x:f>
        <x:v>#NAME?</x:v>
      </x:c>
      <x:c r="K58" s="5" t="e">
        <x:f aca="0">K54</x:f>
        <x:v>#NAME?</x:v>
      </x:c>
    </x:row>
    <x:row r="59" ht="17.149999618530273" hidden="0">
      <x:c r="A59" s="6" t="s">
        <x:v>160</x:v>
      </x:c>
      <x:c r="B59" s="5" t="e">
        <x:f aca="0">00_前提・検証!$B$6</x:f>
        <x:v>#NAME?</x:v>
      </x:c>
      <x:c r="C59" s="5" t="e">
        <x:f aca="0">B59+C57+C58</x:f>
        <x:v>#NAME?</x:v>
      </x:c>
      <x:c r="D59" s="5" t="e">
        <x:f aca="0">C59+D57+D58</x:f>
        <x:v>#NAME?</x:v>
      </x:c>
      <x:c r="E59" s="5" t="e">
        <x:f aca="0">D59+E57+E58</x:f>
        <x:v>#NAME?</x:v>
      </x:c>
      <x:c r="F59" s="5" t="e">
        <x:f aca="0">E59+F57+F58</x:f>
        <x:v>#NAME?</x:v>
      </x:c>
      <x:c r="G59" s="5" t="e">
        <x:f aca="0">F59+G57+G58</x:f>
        <x:v>#NAME?</x:v>
      </x:c>
      <x:c r="H59" s="5" t="e">
        <x:f aca="0">G59+H57+H58</x:f>
        <x:v>#NAME?</x:v>
      </x:c>
      <x:c r="I59" s="5" t="e">
        <x:f aca="0">H59+I57+I58</x:f>
        <x:v>#NAME?</x:v>
      </x:c>
      <x:c r="J59" s="5" t="e">
        <x:f aca="0">I59+J57+J58</x:f>
        <x:v>#NAME?</x:v>
      </x:c>
      <x:c r="K59" s="5" t="e">
        <x:f aca="0">J59+K57+K58</x:f>
        <x:v>#NAME?</x:v>
      </x:c>
    </x:row>
    <x:row r="60" ht="17.149999618530273" hidden="0">
      <x:c r="A60" s="6" t="s">
        <x:v>161</x:v>
      </x:c>
      <x:c r="B60" s="5" t="e">
        <x:f aca="0">B59-00_前提・検証!$B$7</x:f>
        <x:v>#NAME?</x:v>
      </x:c>
      <x:c r="C60" s="5" t="e">
        <x:f aca="0">C59-00_前提・検証!$B$7</x:f>
        <x:v>#NAME?</x:v>
      </x:c>
      <x:c r="D60" s="5" t="e">
        <x:f aca="0">D59-00_前提・検証!$B$7</x:f>
        <x:v>#NAME?</x:v>
      </x:c>
      <x:c r="E60" s="5" t="e">
        <x:f aca="0">E59-00_前提・検証!$B$7</x:f>
        <x:v>#NAME?</x:v>
      </x:c>
      <x:c r="F60" s="5" t="e">
        <x:f aca="0">F59-00_前提・検証!$B$7</x:f>
        <x:v>#NAME?</x:v>
      </x:c>
      <x:c r="G60" s="5" t="e">
        <x:f aca="0">G59-00_前提・検証!$B$7</x:f>
        <x:v>#NAME?</x:v>
      </x:c>
      <x:c r="H60" s="5" t="e">
        <x:f aca="0">H59-00_前提・検証!$B$7</x:f>
        <x:v>#NAME?</x:v>
      </x:c>
      <x:c r="I60" s="5" t="e">
        <x:f aca="0">I59-00_前提・検証!$B$7</x:f>
        <x:v>#NAME?</x:v>
      </x:c>
      <x:c r="J60" s="5" t="e">
        <x:f aca="0">J59-00_前提・検証!$B$7</x:f>
        <x:v>#NAME?</x:v>
      </x:c>
      <x:c r="K60" s="5" t="e">
        <x:f aca="0">K59-00_前提・検証!$B$7</x:f>
        <x:v>#NAME?</x:v>
      </x:c>
    </x:row>
  </x:sheetData>
  <x:mergeCells>
    <x:mergeCell ref="A1:K1"/>
    <x:mergeCell ref="A2:K2"/>
  </x:mergeCells>
  <x:conditionalFormatting sqref="B37:K37">
    <x:cfRule type="expression" dxfId="0" priority="2" aboveAverage="0" percent="0" bottom="0" rank="0" equalAverage="0">
      <x:formula>B37&lt;&gt;"OK"</x:formula>
    </x:cfRule>
  </x:conditionalFormatting>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4" width="8.880000114440918" hidden="0" customWidth="1"/>
    <x:col min="5" max="11" width="9.75" hidden="0" customWidth="1"/>
  </x:cols>
  <x:sheetData>
    <x:row r="1" ht="21.600000381469727" hidden="0" customHeight="1">
      <x:c r="A1" s="31" t="s">
        <x:v>165</x:v>
      </x:c>
      <x:c r="B1" s="31"/>
      <x:c r="C1" s="31"/>
      <x:c r="D1" s="31"/>
      <x:c r="E1" s="31"/>
      <x:c r="F1" s="31"/>
      <x:c r="G1" s="31"/>
      <x:c r="H1" s="31"/>
      <x:c r="I1" s="31"/>
      <x:c r="J1" s="31"/>
      <x:c r="K1" s="31"/>
    </x:row>
    <x:row r="2" ht="17.149999618530273" hidden="0" customHeight="1">
      <x:c r="A2" s="32" t="s">
        <x:v>134</x:v>
      </x:c>
      <x:c r="B2" s="32"/>
      <x:c r="C2" s="32"/>
      <x:c r="D2" s="32"/>
      <x:c r="E2" s="32"/>
      <x:c r="F2" s="32"/>
      <x:c r="G2" s="32"/>
      <x:c r="H2" s="32"/>
      <x:c r="I2" s="32"/>
      <x:c r="J2" s="32"/>
      <x:c r="K2" s="32"/>
    </x:row>
    <x:row r="3" ht="32.79999923706055" hidden="0">
      <x:c r="A3" s="1" t="s">
        <x:v>41</x:v>
      </x:c>
      <x:c r="B3" s="1" t="s">
        <x:v>42</x:v>
      </x:c>
      <x:c r="C3" s="1" t="s">
        <x:v>43</x:v>
      </x:c>
      <x:c r="D3" s="1" t="s">
        <x:v>44</x:v>
      </x:c>
      <x:c r="E3" s="1" t="s">
        <x:v>45</x:v>
      </x:c>
      <x:c r="F3" s="1" t="s">
        <x:v>46</x:v>
      </x:c>
      <x:c r="G3" s="1" t="s">
        <x:v>47</x:v>
      </x:c>
      <x:c r="H3" s="1" t="s">
        <x:v>48</x:v>
      </x:c>
      <x:c r="I3" s="1" t="s">
        <x:v>49</x:v>
      </x:c>
      <x:c r="J3" s="1" t="s">
        <x:v>50</x:v>
      </x:c>
      <x:c r="K3" s="1" t="s">
        <x:v>51</x:v>
      </x:c>
    </x:row>
    <x:row r="4" ht="17.149999618530273" hidden="0">
      <x:c r="A4" s="6" t="s">
        <x:v>99</x:v>
      </x:c>
      <x:c r="B4" s="34" t="n">
        <x:v>0</x:v>
      </x:c>
      <x:c r="C4" s="34"/>
      <x:c r="D4" s="34"/>
      <x:c r="E4" s="34"/>
      <x:c r="F4" s="34"/>
      <x:c r="G4" s="34"/>
      <x:c r="H4" s="34"/>
      <x:c r="I4" s="34"/>
      <x:c r="J4" s="34"/>
      <x:c r="K4" s="34"/>
    </x:row>
    <x:row r="5" ht="17.149999618530273" hidden="0">
      <x:c r="A5" s="6" t="s">
        <x:v>135</x:v>
      </x:c>
      <x:c r="B5" s="5" t="e">
        <x:f aca="0">00_前提・検証!$B$2*$B$4</x:f>
        <x:v>#NAME?</x:v>
      </x:c>
      <x:c r="C5" s="34"/>
      <x:c r="D5" s="34"/>
      <x:c r="E5" s="34"/>
      <x:c r="F5" s="34"/>
      <x:c r="G5" s="34"/>
      <x:c r="H5" s="34"/>
      <x:c r="I5" s="34"/>
      <x:c r="J5" s="34"/>
      <x:c r="K5" s="34"/>
    </x:row>
    <x:row r="6" ht="17.149999618530273" hidden="0">
      <x:c r="A6" s="6" t="s">
        <x:v>136</x:v>
      </x:c>
      <x:c r="B6" s="34" t="e">
        <x:f aca="0">MAX(0,(SUMPRODUCT((02_将来年次投資置換!F18:J18+02_将来年次投資置換!F28:J28-02_将来年次投資置換!F12:J12-02_将来年次投資置換!F8:J8-02_将来年次投資置換!F11:J11+$B$5)-02_将来年次投資置換!F7:J7)/SUM(02_将来年次投資置換!F7:J7)))</x:f>
        <x:v>#NAME?</x:v>
      </x:c>
      <x:c r="C6" s="34"/>
      <x:c r="D6" s="34"/>
      <x:c r="E6" s="34"/>
      <x:c r="F6" s="34"/>
      <x:c r="G6" s="34"/>
      <x:c r="H6" s="34"/>
      <x:c r="I6" s="34"/>
      <x:c r="J6" s="34"/>
      <x:c r="K6" s="34"/>
    </x:row>
    <x:row r="7" ht="15" hidden="0">
      <x:c r="A7" s="7"/>
      <x:c r="B7" s="7"/>
      <x:c r="C7" s="7"/>
      <x:c r="D7" s="7"/>
      <x:c r="E7" s="7"/>
      <x:c r="F7" s="7"/>
      <x:c r="G7" s="7"/>
      <x:c r="H7" s="7"/>
      <x:c r="I7" s="7"/>
      <x:c r="J7" s="7"/>
      <x:c r="K7" s="7"/>
    </x:row>
    <x:row r="8" ht="17.149999618530273" hidden="0">
      <x:c r="A8" s="42" t="s">
        <x:v>52</x:v>
      </x:c>
      <x:c r="B8" s="43"/>
      <x:c r="C8" s="43"/>
      <x:c r="D8" s="43"/>
      <x:c r="E8" s="43"/>
      <x:c r="F8" s="43"/>
      <x:c r="G8" s="43"/>
      <x:c r="H8" s="43"/>
      <x:c r="I8" s="43"/>
      <x:c r="J8" s="43"/>
      <x:c r="K8" s="43"/>
    </x:row>
    <x:row r="9" ht="17.149999618530273" hidden="0">
      <x:c r="A9" s="6" t="s">
        <x:v>54</x:v>
      </x:c>
      <x:c r="B9" s="5" t="e">
        <x:f aca="0">SUM(B10:B12)</x:f>
        <x:v>#NAME?</x:v>
      </x:c>
      <x:c r="C9" s="5" t="e">
        <x:f aca="0">SUM(C10:C12)</x:f>
        <x:v>#NAME?</x:v>
      </x:c>
      <x:c r="D9" s="5" t="e">
        <x:f aca="0">SUM(D10:D12)</x:f>
        <x:v>#NAME?</x:v>
      </x:c>
      <x:c r="E9" s="5" t="e">
        <x:f aca="0">SUM(E10:E12)</x:f>
        <x:v>#NAME?</x:v>
      </x:c>
      <x:c r="F9" s="5" t="e">
        <x:f aca="0">SUM(F10:F12)</x:f>
        <x:v>#NAME?</x:v>
      </x:c>
      <x:c r="G9" s="5" t="e">
        <x:f aca="0">SUM(G10:G12)</x:f>
        <x:v>#NAME?</x:v>
      </x:c>
      <x:c r="H9" s="5" t="e">
        <x:f aca="0">SUM(H10:H12)</x:f>
        <x:v>#NAME?</x:v>
      </x:c>
      <x:c r="I9" s="5" t="e">
        <x:f aca="0">SUM(I10:I12)</x:f>
        <x:v>#NAME?</x:v>
      </x:c>
      <x:c r="J9" s="5" t="e">
        <x:f aca="0">SUM(J10:J12)</x:f>
        <x:v>#NAME?</x:v>
      </x:c>
      <x:c r="K9" s="5" t="e">
        <x:f aca="0">SUM(K10:K12)</x:f>
        <x:v>#NAME?</x:v>
      </x:c>
    </x:row>
    <x:row r="10" ht="17.149999618530273" hidden="0">
      <x:c r="A10" s="6" t="s">
        <x:v>137</x:v>
      </x:c>
      <x:c r="B10" s="5" t="e">
        <x:f aca="0">02_将来年次投資置換!B7*IF(7&gt;=11,1+$B$6,1)</x:f>
        <x:v>#NAME?</x:v>
      </x:c>
      <x:c r="C10" s="5" t="e">
        <x:f aca="0">02_将来年次投資置換!C7*IF(8&gt;=11,1+$B$6,1)</x:f>
        <x:v>#NAME?</x:v>
      </x:c>
      <x:c r="D10" s="5" t="e">
        <x:f aca="0">02_将来年次投資置換!D7*IF(9&gt;=11,1+$B$6,1)</x:f>
        <x:v>#NAME?</x:v>
      </x:c>
      <x:c r="E10" s="5" t="e">
        <x:f aca="0">02_将来年次投資置換!E7*IF(10&gt;=11,1+$B$6,1)</x:f>
        <x:v>#NAME?</x:v>
      </x:c>
      <x:c r="F10" s="5" t="e">
        <x:f aca="0">02_将来年次投資置換!F7*IF(11&gt;=11,1+$B$6,1)</x:f>
        <x:v>#NAME?</x:v>
      </x:c>
      <x:c r="G10" s="5" t="e">
        <x:f aca="0">02_将来年次投資置換!G7*IF(12&gt;=11,1+$B$6,1)</x:f>
        <x:v>#NAME?</x:v>
      </x:c>
      <x:c r="H10" s="5" t="e">
        <x:f aca="0">02_将来年次投資置換!H7*IF(13&gt;=11,1+$B$6,1)</x:f>
        <x:v>#NAME?</x:v>
      </x:c>
      <x:c r="I10" s="5" t="e">
        <x:f aca="0">02_将来年次投資置換!I7*IF(14&gt;=11,1+$B$6,1)</x:f>
        <x:v>#NAME?</x:v>
      </x:c>
      <x:c r="J10" s="5" t="e">
        <x:f aca="0">02_将来年次投資置換!J7*IF(15&gt;=11,1+$B$6,1)</x:f>
        <x:v>#NAME?</x:v>
      </x:c>
      <x:c r="K10" s="5" t="e">
        <x:f aca="0">02_将来年次投資置換!K7*IF(16&gt;=11,1+$B$6,1)</x:f>
        <x:v>#NAME?</x:v>
      </x:c>
    </x:row>
    <x:row r="11" ht="17.149999618530273" hidden="0">
      <x:c r="A11" s="6" t="s">
        <x:v>138</x:v>
      </x:c>
      <x:c r="B11" s="5" t="e">
        <x:f aca="0">B10-02_将来年次投資置換!B7</x:f>
        <x:v>#NAME?</x:v>
      </x:c>
      <x:c r="C11" s="5" t="e">
        <x:f aca="0">C10-02_将来年次投資置換!C7</x:f>
        <x:v>#NAME?</x:v>
      </x:c>
      <x:c r="D11" s="5" t="e">
        <x:f aca="0">D10-02_将来年次投資置換!D7</x:f>
        <x:v>#NAME?</x:v>
      </x:c>
      <x:c r="E11" s="5" t="e">
        <x:f aca="0">E10-02_将来年次投資置換!E7</x:f>
        <x:v>#NAME?</x:v>
      </x:c>
      <x:c r="F11" s="5" t="e">
        <x:f aca="0">F10-02_将来年次投資置換!F7</x:f>
        <x:v>#NAME?</x:v>
      </x:c>
      <x:c r="G11" s="5" t="e">
        <x:f aca="0">G10-02_将来年次投資置換!G7</x:f>
        <x:v>#NAME?</x:v>
      </x:c>
      <x:c r="H11" s="5" t="e">
        <x:f aca="0">H10-02_将来年次投資置換!H7</x:f>
        <x:v>#NAME?</x:v>
      </x:c>
      <x:c r="I11" s="5" t="e">
        <x:f aca="0">I10-02_将来年次投資置換!I7</x:f>
        <x:v>#NAME?</x:v>
      </x:c>
      <x:c r="J11" s="5" t="e">
        <x:f aca="0">J10-02_将来年次投資置換!J7</x:f>
        <x:v>#NAME?</x:v>
      </x:c>
      <x:c r="K11" s="5" t="e">
        <x:f aca="0">K10-02_将来年次投資置換!K7</x:f>
        <x:v>#NAME?</x:v>
      </x:c>
    </x:row>
    <x:row r="12" ht="17.149999618530273" hidden="0">
      <x:c r="A12" s="6" t="s">
        <x:v>139</x:v>
      </x:c>
      <x:c r="B12" s="5" t="e">
        <x:f aca="0">02_将来年次投資置換!B8</x:f>
        <x:v>#NAME?</x:v>
      </x:c>
      <x:c r="C12" s="5" t="e">
        <x:f aca="0">02_将来年次投資置換!C8</x:f>
        <x:v>#NAME?</x:v>
      </x:c>
      <x:c r="D12" s="5" t="e">
        <x:f aca="0">02_将来年次投資置換!D8</x:f>
        <x:v>#NAME?</x:v>
      </x:c>
      <x:c r="E12" s="5" t="e">
        <x:f aca="0">02_将来年次投資置換!E8</x:f>
        <x:v>#NAME?</x:v>
      </x:c>
      <x:c r="F12" s="5" t="e">
        <x:f aca="0">02_将来年次投資置換!F8</x:f>
        <x:v>#NAME?</x:v>
      </x:c>
      <x:c r="G12" s="5" t="e">
        <x:f aca="0">02_将来年次投資置換!G8</x:f>
        <x:v>#NAME?</x:v>
      </x:c>
      <x:c r="H12" s="5" t="e">
        <x:f aca="0">02_将来年次投資置換!H8</x:f>
        <x:v>#NAME?</x:v>
      </x:c>
      <x:c r="I12" s="5" t="e">
        <x:f aca="0">02_将来年次投資置換!I8</x:f>
        <x:v>#NAME?</x:v>
      </x:c>
      <x:c r="J12" s="5" t="e">
        <x:f aca="0">02_将来年次投資置換!J8</x:f>
        <x:v>#NAME?</x:v>
      </x:c>
      <x:c r="K12" s="5" t="e">
        <x:f aca="0">02_将来年次投資置換!K8</x:f>
        <x:v>#NAME?</x:v>
      </x:c>
    </x:row>
    <x:row r="13" ht="17.149999618530273" hidden="0">
      <x:c r="A13" s="6" t="s">
        <x:v>57</x:v>
      </x:c>
      <x:c r="B13" s="5" t="e">
        <x:f aca="0">02_将来年次投資置換!B9</x:f>
        <x:v>#NAME?</x:v>
      </x:c>
      <x:c r="C13" s="5" t="e">
        <x:f aca="0">02_将来年次投資置換!C9</x:f>
        <x:v>#NAME?</x:v>
      </x:c>
      <x:c r="D13" s="5" t="e">
        <x:f aca="0">02_将来年次投資置換!D9</x:f>
        <x:v>#NAME?</x:v>
      </x:c>
      <x:c r="E13" s="5" t="e">
        <x:f aca="0">02_将来年次投資置換!E9</x:f>
        <x:v>#NAME?</x:v>
      </x:c>
      <x:c r="F13" s="5" t="e">
        <x:f aca="0">02_将来年次投資置換!F9</x:f>
        <x:v>#NAME?</x:v>
      </x:c>
      <x:c r="G13" s="5" t="e">
        <x:f aca="0">02_将来年次投資置換!G9</x:f>
        <x:v>#NAME?</x:v>
      </x:c>
      <x:c r="H13" s="5" t="e">
        <x:f aca="0">02_将来年次投資置換!H9</x:f>
        <x:v>#NAME?</x:v>
      </x:c>
      <x:c r="I13" s="5" t="e">
        <x:f aca="0">02_将来年次投資置換!I9</x:f>
        <x:v>#NAME?</x:v>
      </x:c>
      <x:c r="J13" s="5" t="e">
        <x:f aca="0">02_将来年次投資置換!J9</x:f>
        <x:v>#NAME?</x:v>
      </x:c>
      <x:c r="K13" s="5" t="e">
        <x:f aca="0">02_将来年次投資置換!K9</x:f>
        <x:v>#NAME?</x:v>
      </x:c>
    </x:row>
    <x:row r="14" ht="17.149999618530273" hidden="0">
      <x:c r="A14" s="6" t="s">
        <x:v>140</x:v>
      </x:c>
      <x:c r="B14" s="5" t="e">
        <x:f aca="0">02_将来年次投資置換!B12</x:f>
        <x:v>#NAME?</x:v>
      </x:c>
      <x:c r="C14" s="5" t="e">
        <x:f aca="0">02_将来年次投資置換!C12</x:f>
        <x:v>#NAME?</x:v>
      </x:c>
      <x:c r="D14" s="5" t="e">
        <x:f aca="0">02_将来年次投資置換!D12</x:f>
        <x:v>#NAME?</x:v>
      </x:c>
      <x:c r="E14" s="5" t="e">
        <x:f aca="0">02_将来年次投資置換!E12</x:f>
        <x:v>#NAME?</x:v>
      </x:c>
      <x:c r="F14" s="5" t="e">
        <x:f aca="0">02_将来年次投資置換!F12</x:f>
        <x:v>#NAME?</x:v>
      </x:c>
      <x:c r="G14" s="5" t="e">
        <x:f aca="0">02_将来年次投資置換!G12</x:f>
        <x:v>#NAME?</x:v>
      </x:c>
      <x:c r="H14" s="5" t="e">
        <x:f aca="0">02_将来年次投資置換!H12</x:f>
        <x:v>#NAME?</x:v>
      </x:c>
      <x:c r="I14" s="5" t="e">
        <x:f aca="0">02_将来年次投資置換!I12</x:f>
        <x:v>#NAME?</x:v>
      </x:c>
      <x:c r="J14" s="5" t="e">
        <x:f aca="0">02_将来年次投資置換!J12</x:f>
        <x:v>#NAME?</x:v>
      </x:c>
      <x:c r="K14" s="5" t="e">
        <x:f aca="0">02_将来年次投資置換!K12</x:f>
        <x:v>#NAME?</x:v>
      </x:c>
    </x:row>
    <x:row r="15" ht="17.149999618530273" hidden="0">
      <x:c r="A15" s="6" t="s">
        <x:v>141</x:v>
      </x:c>
      <x:c r="B15" s="5" t="e">
        <x:f aca="0">02_将来年次投資置換!B11</x:f>
        <x:v>#NAME?</x:v>
      </x:c>
      <x:c r="C15" s="5" t="e">
        <x:f aca="0">02_将来年次投資置換!C11</x:f>
        <x:v>#NAME?</x:v>
      </x:c>
      <x:c r="D15" s="5" t="e">
        <x:f aca="0">02_将来年次投資置換!D11</x:f>
        <x:v>#NAME?</x:v>
      </x:c>
      <x:c r="E15" s="5" t="e">
        <x:f aca="0">02_将来年次投資置換!E11</x:f>
        <x:v>#NAME?</x:v>
      </x:c>
      <x:c r="F15" s="5" t="e">
        <x:f aca="0">02_将来年次投資置換!F11</x:f>
        <x:v>#NAME?</x:v>
      </x:c>
      <x:c r="G15" s="5" t="e">
        <x:f aca="0">02_将来年次投資置換!G11</x:f>
        <x:v>#NAME?</x:v>
      </x:c>
      <x:c r="H15" s="5" t="e">
        <x:f aca="0">02_将来年次投資置換!H11</x:f>
        <x:v>#NAME?</x:v>
      </x:c>
      <x:c r="I15" s="5" t="e">
        <x:f aca="0">02_将来年次投資置換!I11</x:f>
        <x:v>#NAME?</x:v>
      </x:c>
      <x:c r="J15" s="5" t="e">
        <x:f aca="0">02_将来年次投資置換!J11</x:f>
        <x:v>#NAME?</x:v>
      </x:c>
      <x:c r="K15" s="5" t="e">
        <x:f aca="0">02_将来年次投資置換!K11</x:f>
        <x:v>#NAME?</x:v>
      </x:c>
    </x:row>
    <x:row r="16" ht="17.149999618530273" hidden="0">
      <x:c r="A16" s="6" t="s">
        <x:v>62</x:v>
      </x:c>
      <x:c r="B16" s="5" t="e">
        <x:f aca="0">02_将来年次投資置換!B14</x:f>
        <x:v>#NAME?</x:v>
      </x:c>
      <x:c r="C16" s="5" t="e">
        <x:f aca="0">02_将来年次投資置換!C14</x:f>
        <x:v>#NAME?</x:v>
      </x:c>
      <x:c r="D16" s="5" t="e">
        <x:f aca="0">02_将来年次投資置換!D14</x:f>
        <x:v>#NAME?</x:v>
      </x:c>
      <x:c r="E16" s="5" t="e">
        <x:f aca="0">02_将来年次投資置換!E14</x:f>
        <x:v>#NAME?</x:v>
      </x:c>
      <x:c r="F16" s="5" t="e">
        <x:f aca="0">02_将来年次投資置換!F14</x:f>
        <x:v>#NAME?</x:v>
      </x:c>
      <x:c r="G16" s="5" t="e">
        <x:f aca="0">02_将来年次投資置換!G14</x:f>
        <x:v>#NAME?</x:v>
      </x:c>
      <x:c r="H16" s="5" t="e">
        <x:f aca="0">02_将来年次投資置換!H14</x:f>
        <x:v>#NAME?</x:v>
      </x:c>
      <x:c r="I16" s="5" t="e">
        <x:f aca="0">02_将来年次投資置換!I14</x:f>
        <x:v>#NAME?</x:v>
      </x:c>
      <x:c r="J16" s="5" t="e">
        <x:f aca="0">02_将来年次投資置換!J14</x:f>
        <x:v>#NAME?</x:v>
      </x:c>
      <x:c r="K16" s="5" t="e">
        <x:f aca="0">02_将来年次投資置換!K14</x:f>
        <x:v>#NAME?</x:v>
      </x:c>
    </x:row>
    <x:row r="17" ht="17.149999618530273" hidden="0">
      <x:c r="A17" s="6" t="s">
        <x:v>142</x:v>
      </x:c>
      <x:c r="B17" s="5" t="e">
        <x:f aca="0">SUM(B9,B13,B16)</x:f>
        <x:v>#NAME?</x:v>
      </x:c>
      <x:c r="C17" s="5" t="e">
        <x:f aca="0">SUM(C9,C13,C16)</x:f>
        <x:v>#NAME?</x:v>
      </x:c>
      <x:c r="D17" s="5" t="e">
        <x:f aca="0">SUM(D9,D13,D16)</x:f>
        <x:v>#NAME?</x:v>
      </x:c>
      <x:c r="E17" s="5" t="e">
        <x:f aca="0">SUM(E9,E13,E16)</x:f>
        <x:v>#NAME?</x:v>
      </x:c>
      <x:c r="F17" s="5" t="e">
        <x:f aca="0">SUM(F9,F13,F16)</x:f>
        <x:v>#NAME?</x:v>
      </x:c>
      <x:c r="G17" s="5" t="e">
        <x:f aca="0">SUM(G9,G13,G16)</x:f>
        <x:v>#NAME?</x:v>
      </x:c>
      <x:c r="H17" s="5" t="e">
        <x:f aca="0">SUM(H9,H13,H16)</x:f>
        <x:v>#NAME?</x:v>
      </x:c>
      <x:c r="I17" s="5" t="e">
        <x:f aca="0">SUM(I9,I13,I16)</x:f>
        <x:v>#NAME?</x:v>
      </x:c>
      <x:c r="J17" s="5" t="e">
        <x:f aca="0">SUM(J9,J13,J16)</x:f>
        <x:v>#NAME?</x:v>
      </x:c>
      <x:c r="K17" s="5" t="e">
        <x:f aca="0">SUM(K9,K13,K16)</x:f>
        <x:v>#NAME?</x:v>
      </x:c>
    </x:row>
    <x:row r="18" ht="15" hidden="0">
      <x:c r="A18" s="7"/>
      <x:c r="B18" s="5"/>
      <x:c r="C18" s="5"/>
      <x:c r="D18" s="5"/>
      <x:c r="E18" s="5"/>
      <x:c r="F18" s="5"/>
      <x:c r="G18" s="5"/>
      <x:c r="H18" s="5"/>
      <x:c r="I18" s="5"/>
      <x:c r="J18" s="5"/>
      <x:c r="K18" s="5"/>
    </x:row>
    <x:row r="19" ht="17.149999618530273" hidden="0">
      <x:c r="A19" s="42" t="s">
        <x:v>63</x:v>
      </x:c>
      <x:c r="B19" s="43"/>
      <x:c r="C19" s="43"/>
      <x:c r="D19" s="43"/>
      <x:c r="E19" s="43"/>
      <x:c r="F19" s="43"/>
      <x:c r="G19" s="43"/>
      <x:c r="H19" s="43"/>
      <x:c r="I19" s="43"/>
      <x:c r="J19" s="43"/>
      <x:c r="K19" s="43"/>
    </x:row>
    <x:row r="20" ht="17.149999618530273" hidden="0">
      <x:c r="A20" s="6" t="s">
        <x:v>65</x:v>
      </x:c>
      <x:c r="B20" s="5" t="e">
        <x:f aca="0">02_将来年次投資置換!B18</x:f>
        <x:v>#NAME?</x:v>
      </x:c>
      <x:c r="C20" s="5" t="e">
        <x:f aca="0">02_将来年次投資置換!C18</x:f>
        <x:v>#NAME?</x:v>
      </x:c>
      <x:c r="D20" s="5" t="e">
        <x:f aca="0">02_将来年次投資置換!D18</x:f>
        <x:v>#NAME?</x:v>
      </x:c>
      <x:c r="E20" s="5" t="e">
        <x:f aca="0">02_将来年次投資置換!E18</x:f>
        <x:v>#NAME?</x:v>
      </x:c>
      <x:c r="F20" s="5" t="e">
        <x:f aca="0">02_将来年次投資置換!F18</x:f>
        <x:v>#NAME?</x:v>
      </x:c>
      <x:c r="G20" s="5" t="e">
        <x:f aca="0">02_将来年次投資置換!G18</x:f>
        <x:v>#NAME?</x:v>
      </x:c>
      <x:c r="H20" s="5" t="e">
        <x:f aca="0">02_将来年次投資置換!H18</x:f>
        <x:v>#NAME?</x:v>
      </x:c>
      <x:c r="I20" s="5" t="e">
        <x:f aca="0">02_将来年次投資置換!I18</x:f>
        <x:v>#NAME?</x:v>
      </x:c>
      <x:c r="J20" s="5" t="e">
        <x:f aca="0">02_将来年次投資置換!J18</x:f>
        <x:v>#NAME?</x:v>
      </x:c>
      <x:c r="K20" s="5" t="e">
        <x:f aca="0">02_将来年次投資置換!K18</x:f>
        <x:v>#NAME?</x:v>
      </x:c>
    </x:row>
    <x:row r="21" ht="17.149999618530273" hidden="0">
      <x:c r="A21" s="6" t="s">
        <x:v>143</x:v>
      </x:c>
      <x:c r="B21" s="5" t="e">
        <x:f aca="0">02_将来年次投資置換!B25</x:f>
        <x:v>#NAME?</x:v>
      </x:c>
      <x:c r="C21" s="5" t="e">
        <x:f aca="0">02_将来年次投資置換!C25</x:f>
        <x:v>#NAME?</x:v>
      </x:c>
      <x:c r="D21" s="5" t="e">
        <x:f aca="0">02_将来年次投資置換!D25</x:f>
        <x:v>#NAME?</x:v>
      </x:c>
      <x:c r="E21" s="5" t="e">
        <x:f aca="0">02_将来年次投資置換!E25</x:f>
        <x:v>#NAME?</x:v>
      </x:c>
      <x:c r="F21" s="5" t="e">
        <x:f aca="0">02_将来年次投資置換!F25</x:f>
        <x:v>#NAME?</x:v>
      </x:c>
      <x:c r="G21" s="5" t="e">
        <x:f aca="0">02_将来年次投資置換!G25</x:f>
        <x:v>#NAME?</x:v>
      </x:c>
      <x:c r="H21" s="5" t="e">
        <x:f aca="0">02_将来年次投資置換!H25</x:f>
        <x:v>#NAME?</x:v>
      </x:c>
      <x:c r="I21" s="5" t="e">
        <x:f aca="0">02_将来年次投資置換!I25</x:f>
        <x:v>#NAME?</x:v>
      </x:c>
      <x:c r="J21" s="5" t="e">
        <x:f aca="0">02_将来年次投資置換!J25</x:f>
        <x:v>#NAME?</x:v>
      </x:c>
      <x:c r="K21" s="5" t="e">
        <x:f aca="0">02_将来年次投資置換!K25</x:f>
        <x:v>#NAME?</x:v>
      </x:c>
    </x:row>
    <x:row r="22" ht="17.149999618530273" hidden="0">
      <x:c r="A22" s="6" t="s">
        <x:v>144</x:v>
      </x:c>
      <x:c r="B22" s="5" t="e">
        <x:f aca="0">02_将来年次投資置換!B26</x:f>
        <x:v>#NAME?</x:v>
      </x:c>
      <x:c r="C22" s="5" t="e">
        <x:f aca="0">02_将来年次投資置換!C26</x:f>
        <x:v>#NAME?</x:v>
      </x:c>
      <x:c r="D22" s="5" t="e">
        <x:f aca="0">02_将来年次投資置換!D26</x:f>
        <x:v>#NAME?</x:v>
      </x:c>
      <x:c r="E22" s="5" t="e">
        <x:f aca="0">02_将来年次投資置換!E26</x:f>
        <x:v>#NAME?</x:v>
      </x:c>
      <x:c r="F22" s="5" t="e">
        <x:f aca="0">02_将来年次投資置換!F26</x:f>
        <x:v>#NAME?</x:v>
      </x:c>
      <x:c r="G22" s="5" t="e">
        <x:f aca="0">02_将来年次投資置換!G26</x:f>
        <x:v>#NAME?</x:v>
      </x:c>
      <x:c r="H22" s="5" t="e">
        <x:f aca="0">02_将来年次投資置換!H26</x:f>
        <x:v>#NAME?</x:v>
      </x:c>
      <x:c r="I22" s="5" t="e">
        <x:f aca="0">02_将来年次投資置換!I26</x:f>
        <x:v>#NAME?</x:v>
      </x:c>
      <x:c r="J22" s="5" t="e">
        <x:f aca="0">02_将来年次投資置換!J26</x:f>
        <x:v>#NAME?</x:v>
      </x:c>
      <x:c r="K22" s="5" t="e">
        <x:f aca="0">02_将来年次投資置換!K26</x:f>
        <x:v>#NAME?</x:v>
      </x:c>
    </x:row>
    <x:row r="23" ht="17.149999618530273" hidden="0">
      <x:c r="A23" s="6" t="s">
        <x:v>75</x:v>
      </x:c>
      <x:c r="B23" s="5" t="e">
        <x:f aca="0">02_将来年次投資置換!B28</x:f>
        <x:v>#NAME?</x:v>
      </x:c>
      <x:c r="C23" s="5" t="e">
        <x:f aca="0">02_将来年次投資置換!C28</x:f>
        <x:v>#NAME?</x:v>
      </x:c>
      <x:c r="D23" s="5" t="e">
        <x:f aca="0">02_将来年次投資置換!D28</x:f>
        <x:v>#NAME?</x:v>
      </x:c>
      <x:c r="E23" s="5" t="e">
        <x:f aca="0">02_将来年次投資置換!E28</x:f>
        <x:v>#NAME?</x:v>
      </x:c>
      <x:c r="F23" s="5" t="e">
        <x:f aca="0">02_将来年次投資置換!F28</x:f>
        <x:v>#NAME?</x:v>
      </x:c>
      <x:c r="G23" s="5" t="e">
        <x:f aca="0">02_将来年次投資置換!G28</x:f>
        <x:v>#NAME?</x:v>
      </x:c>
      <x:c r="H23" s="5" t="e">
        <x:f aca="0">02_将来年次投資置換!H28</x:f>
        <x:v>#NAME?</x:v>
      </x:c>
      <x:c r="I23" s="5" t="e">
        <x:f aca="0">02_将来年次投資置換!I28</x:f>
        <x:v>#NAME?</x:v>
      </x:c>
      <x:c r="J23" s="5" t="e">
        <x:f aca="0">02_将来年次投資置換!J28</x:f>
        <x:v>#NAME?</x:v>
      </x:c>
      <x:c r="K23" s="5" t="e">
        <x:f aca="0">02_将来年次投資置換!K28</x:f>
        <x:v>#NAME?</x:v>
      </x:c>
    </x:row>
    <x:row r="24" ht="17.149999618530273" hidden="0">
      <x:c r="A24" s="6" t="s">
        <x:v>145</x:v>
      </x:c>
      <x:c r="B24" s="5" t="e">
        <x:f aca="0">02_将来年次投資置換!B29</x:f>
        <x:v>#NAME?</x:v>
      </x:c>
      <x:c r="C24" s="5" t="e">
        <x:f aca="0">02_将来年次投資置換!C29</x:f>
        <x:v>#NAME?</x:v>
      </x:c>
      <x:c r="D24" s="5" t="e">
        <x:f aca="0">02_将来年次投資置換!D29</x:f>
        <x:v>#NAME?</x:v>
      </x:c>
      <x:c r="E24" s="5" t="e">
        <x:f aca="0">02_将来年次投資置換!E29</x:f>
        <x:v>#NAME?</x:v>
      </x:c>
      <x:c r="F24" s="5" t="e">
        <x:f aca="0">02_将来年次投資置換!F29</x:f>
        <x:v>#NAME?</x:v>
      </x:c>
      <x:c r="G24" s="5" t="e">
        <x:f aca="0">02_将来年次投資置換!G29</x:f>
        <x:v>#NAME?</x:v>
      </x:c>
      <x:c r="H24" s="5" t="e">
        <x:f aca="0">02_将来年次投資置換!H29</x:f>
        <x:v>#NAME?</x:v>
      </x:c>
      <x:c r="I24" s="5" t="e">
        <x:f aca="0">02_将来年次投資置換!I29</x:f>
        <x:v>#NAME?</x:v>
      </x:c>
      <x:c r="J24" s="5" t="e">
        <x:f aca="0">02_将来年次投資置換!J29</x:f>
        <x:v>#NAME?</x:v>
      </x:c>
      <x:c r="K24" s="5" t="e">
        <x:f aca="0">02_将来年次投資置換!K29</x:f>
        <x:v>#NAME?</x:v>
      </x:c>
    </x:row>
    <x:row r="25" ht="17.149999618530273" hidden="0">
      <x:c r="A25" s="6" t="s">
        <x:v>78</x:v>
      </x:c>
      <x:c r="B25" s="5" t="e">
        <x:f aca="0">02_将来年次投資置換!B31</x:f>
        <x:v>#NAME?</x:v>
      </x:c>
      <x:c r="C25" s="5" t="e">
        <x:f aca="0">02_将来年次投資置換!C31</x:f>
        <x:v>#NAME?</x:v>
      </x:c>
      <x:c r="D25" s="5" t="e">
        <x:f aca="0">02_将来年次投資置換!D31</x:f>
        <x:v>#NAME?</x:v>
      </x:c>
      <x:c r="E25" s="5" t="e">
        <x:f aca="0">02_将来年次投資置換!E31</x:f>
        <x:v>#NAME?</x:v>
      </x:c>
      <x:c r="F25" s="5" t="e">
        <x:f aca="0">02_将来年次投資置換!F31</x:f>
        <x:v>#NAME?</x:v>
      </x:c>
      <x:c r="G25" s="5" t="e">
        <x:f aca="0">02_将来年次投資置換!G31</x:f>
        <x:v>#NAME?</x:v>
      </x:c>
      <x:c r="H25" s="5" t="e">
        <x:f aca="0">02_将来年次投資置換!H31</x:f>
        <x:v>#NAME?</x:v>
      </x:c>
      <x:c r="I25" s="5" t="e">
        <x:f aca="0">02_将来年次投資置換!I31</x:f>
        <x:v>#NAME?</x:v>
      </x:c>
      <x:c r="J25" s="5" t="e">
        <x:f aca="0">02_将来年次投資置換!J31</x:f>
        <x:v>#NAME?</x:v>
      </x:c>
      <x:c r="K25" s="5" t="e">
        <x:f aca="0">02_将来年次投資置換!K31</x:f>
        <x:v>#NAME?</x:v>
      </x:c>
    </x:row>
    <x:row r="26" ht="17.149999618530273" hidden="0">
      <x:c r="A26" s="6" t="s">
        <x:v>146</x:v>
      </x:c>
      <x:c r="B26" s="5" t="e">
        <x:f aca="0">SUM(B20,B23,B25)</x:f>
        <x:v>#NAME?</x:v>
      </x:c>
      <x:c r="C26" s="5" t="e">
        <x:f aca="0">SUM(C20,C23,C25)</x:f>
        <x:v>#NAME?</x:v>
      </x:c>
      <x:c r="D26" s="5" t="e">
        <x:f aca="0">SUM(D20,D23,D25)</x:f>
        <x:v>#NAME?</x:v>
      </x:c>
      <x:c r="E26" s="5" t="e">
        <x:f aca="0">SUM(E20,E23,E25)</x:f>
        <x:v>#NAME?</x:v>
      </x:c>
      <x:c r="F26" s="5" t="e">
        <x:f aca="0">SUM(F20,F23,F25)</x:f>
        <x:v>#NAME?</x:v>
      </x:c>
      <x:c r="G26" s="5" t="e">
        <x:f aca="0">SUM(G20,G23,G25)</x:f>
        <x:v>#NAME?</x:v>
      </x:c>
      <x:c r="H26" s="5" t="e">
        <x:f aca="0">SUM(H20,H23,H25)</x:f>
        <x:v>#NAME?</x:v>
      </x:c>
      <x:c r="I26" s="5" t="e">
        <x:f aca="0">SUM(I20,I23,I25)</x:f>
        <x:v>#NAME?</x:v>
      </x:c>
      <x:c r="J26" s="5" t="e">
        <x:f aca="0">SUM(J20,J23,J25)</x:f>
        <x:v>#NAME?</x:v>
      </x:c>
      <x:c r="K26" s="5" t="e">
        <x:f aca="0">SUM(K20,K23,K25)</x:f>
        <x:v>#NAME?</x:v>
      </x:c>
    </x:row>
    <x:row r="27" ht="17.149999618530273" hidden="0">
      <x:c r="A27" s="6" t="s">
        <x:v>147</x:v>
      </x:c>
      <x:c r="B27" s="5" t="e">
        <x:f aca="0">SUM(B9,B13)-SUM(B20,B23)</x:f>
        <x:v>#NAME?</x:v>
      </x:c>
      <x:c r="C27" s="5" t="e">
        <x:f aca="0">SUM(C9,C13)-SUM(C20,C23)</x:f>
        <x:v>#NAME?</x:v>
      </x:c>
      <x:c r="D27" s="5" t="e">
        <x:f aca="0">SUM(D9,D13)-SUM(D20,D23)</x:f>
        <x:v>#NAME?</x:v>
      </x:c>
      <x:c r="E27" s="5" t="e">
        <x:f aca="0">SUM(E9,E13)-SUM(E20,E23)</x:f>
        <x:v>#NAME?</x:v>
      </x:c>
      <x:c r="F27" s="5" t="e">
        <x:f aca="0">SUM(F9,F13)-SUM(F20,F23)</x:f>
        <x:v>#NAME?</x:v>
      </x:c>
      <x:c r="G27" s="5" t="e">
        <x:f aca="0">SUM(G9,G13)-SUM(G20,G23)</x:f>
        <x:v>#NAME?</x:v>
      </x:c>
      <x:c r="H27" s="5" t="e">
        <x:f aca="0">SUM(H9,H13)-SUM(H20,H23)</x:f>
        <x:v>#NAME?</x:v>
      </x:c>
      <x:c r="I27" s="5" t="e">
        <x:f aca="0">SUM(I9,I13)-SUM(I20,I23)</x:f>
        <x:v>#NAME?</x:v>
      </x:c>
      <x:c r="J27" s="5" t="e">
        <x:f aca="0">SUM(J9,J13)-SUM(J20,J23)</x:f>
        <x:v>#NAME?</x:v>
      </x:c>
      <x:c r="K27" s="5" t="e">
        <x:f aca="0">SUM(K9,K13)-SUM(K20,K23)</x:f>
        <x:v>#NAME?</x:v>
      </x:c>
    </x:row>
    <x:row r="28" ht="17.149999618530273" hidden="0">
      <x:c r="A28" s="6" t="s">
        <x:v>148</x:v>
      </x:c>
      <x:c r="B28" s="5" t="e">
        <x:f aca="0">B27+B16-B25</x:f>
        <x:v>#NAME?</x:v>
      </x:c>
      <x:c r="C28" s="5" t="e">
        <x:f aca="0">C27+C16-C25</x:f>
        <x:v>#NAME?</x:v>
      </x:c>
      <x:c r="D28" s="5" t="e">
        <x:f aca="0">D27+D16-D25</x:f>
        <x:v>#NAME?</x:v>
      </x:c>
      <x:c r="E28" s="5" t="e">
        <x:f aca="0">E27+E16-E25</x:f>
        <x:v>#NAME?</x:v>
      </x:c>
      <x:c r="F28" s="5" t="e">
        <x:f aca="0">F27+F16-F25</x:f>
        <x:v>#NAME?</x:v>
      </x:c>
      <x:c r="G28" s="5" t="e">
        <x:f aca="0">G27+G16-G25</x:f>
        <x:v>#NAME?</x:v>
      </x:c>
      <x:c r="H28" s="5" t="e">
        <x:f aca="0">H27+H16-H25</x:f>
        <x:v>#NAME?</x:v>
      </x:c>
      <x:c r="I28" s="5" t="e">
        <x:f aca="0">I27+I16-I25</x:f>
        <x:v>#NAME?</x:v>
      </x:c>
      <x:c r="J28" s="5" t="e">
        <x:f aca="0">J27+J16-J25</x:f>
        <x:v>#NAME?</x:v>
      </x:c>
      <x:c r="K28" s="5" t="e">
        <x:f aca="0">K27+K16-K25</x:f>
        <x:v>#NAME?</x:v>
      </x:c>
    </x:row>
    <x:row r="29" ht="15" hidden="0">
      <x:c r="A29" s="7"/>
      <x:c r="B29" s="5"/>
      <x:c r="C29" s="5"/>
      <x:c r="D29" s="5"/>
      <x:c r="E29" s="5"/>
      <x:c r="F29" s="5"/>
      <x:c r="G29" s="5"/>
      <x:c r="H29" s="5"/>
      <x:c r="I29" s="5"/>
      <x:c r="J29" s="5"/>
      <x:c r="K29" s="5"/>
    </x:row>
    <x:row r="30" ht="17.149999618530273" hidden="0">
      <x:c r="A30" s="42" t="s">
        <x:v>149</x:v>
      </x:c>
      <x:c r="B30" s="43"/>
      <x:c r="C30" s="43"/>
      <x:c r="D30" s="43"/>
      <x:c r="E30" s="43"/>
      <x:c r="F30" s="43"/>
      <x:c r="G30" s="43"/>
      <x:c r="H30" s="43"/>
      <x:c r="I30" s="43"/>
      <x:c r="J30" s="43"/>
      <x:c r="K30" s="43"/>
    </x:row>
    <x:row r="31" ht="17.149999618530273" hidden="0">
      <x:c r="A31" s="6" t="s">
        <x:v>150</x:v>
      </x:c>
      <x:c r="B31" s="35" t="n">
        <x:f aca="0">IFERROR((SUM(B9,B13)/SUM(B20,B23))*100,0)</x:f>
        <x:v>0</x:v>
      </x:c>
      <x:c r="C31" s="35" t="n">
        <x:f aca="0">IFERROR((SUM(C9,C13)/SUM(C20,C23))*100,0)</x:f>
        <x:v>0</x:v>
      </x:c>
      <x:c r="D31" s="35" t="n">
        <x:f aca="0">IFERROR((SUM(D9,D13)/SUM(D20,D23))*100,0)</x:f>
        <x:v>0</x:v>
      </x:c>
      <x:c r="E31" s="35" t="n">
        <x:f aca="0">IFERROR((SUM(E9,E13)/SUM(E20,E23))*100,0)</x:f>
        <x:v>0</x:v>
      </x:c>
      <x:c r="F31" s="35" t="n">
        <x:f aca="0">IFERROR((SUM(F9,F13)/SUM(F20,F23))*100,0)</x:f>
        <x:v>0</x:v>
      </x:c>
      <x:c r="G31" s="35" t="n">
        <x:f aca="0">IFERROR((SUM(G9,G13)/SUM(G20,G23))*100,0)</x:f>
        <x:v>0</x:v>
      </x:c>
      <x:c r="H31" s="35" t="n">
        <x:f aca="0">IFERROR((SUM(H9,H13)/SUM(H20,H23))*100,0)</x:f>
        <x:v>0</x:v>
      </x:c>
      <x:c r="I31" s="35" t="n">
        <x:f aca="0">IFERROR((SUM(I9,I13)/SUM(I20,I23))*100,0)</x:f>
        <x:v>0</x:v>
      </x:c>
      <x:c r="J31" s="35" t="n">
        <x:f aca="0">IFERROR((SUM(J9,J13)/SUM(J20,J23))*100,0)</x:f>
        <x:v>0</x:v>
      </x:c>
      <x:c r="K31" s="35" t="n">
        <x:f aca="0">IFERROR((SUM(K9,K13)/SUM(K20,K23))*100,0)</x:f>
        <x:v>0</x:v>
      </x:c>
    </x:row>
    <x:row r="32" ht="17.149999618530273" hidden="0">
      <x:c r="A32" s="6" t="s">
        <x:v>151</x:v>
      </x:c>
      <x:c r="B32" s="35" t="n">
        <x:f aca="0">IFERROR(B10/B34*100,0)</x:f>
        <x:v>0</x:v>
      </x:c>
      <x:c r="C32" s="35" t="n">
        <x:f aca="0">IFERROR(C10/C34*100,0)</x:f>
        <x:v>0</x:v>
      </x:c>
      <x:c r="D32" s="35" t="n">
        <x:f aca="0">IFERROR(D10/D34*100,0)</x:f>
        <x:v>0</x:v>
      </x:c>
      <x:c r="E32" s="35" t="n">
        <x:f aca="0">IFERROR(E10/E34*100,0)</x:f>
        <x:v>0</x:v>
      </x:c>
      <x:c r="F32" s="35" t="n">
        <x:f aca="0">IFERROR(F10/F34*100,0)</x:f>
        <x:v>0</x:v>
      </x:c>
      <x:c r="G32" s="35" t="n">
        <x:f aca="0">IFERROR(G10/G34*100,0)</x:f>
        <x:v>0</x:v>
      </x:c>
      <x:c r="H32" s="35" t="n">
        <x:f aca="0">IFERROR(H10/H34*100,0)</x:f>
        <x:v>0</x:v>
      </x:c>
      <x:c r="I32" s="35" t="n">
        <x:f aca="0">IFERROR(I10/I34*100,0)</x:f>
        <x:v>0</x:v>
      </x:c>
      <x:c r="J32" s="35" t="n">
        <x:f aca="0">IFERROR(J10/J34*100,0)</x:f>
        <x:v>0</x:v>
      </x:c>
      <x:c r="K32" s="35" t="n">
        <x:f aca="0">IFERROR(K10/K34*100,0)</x:f>
        <x:v>0</x:v>
      </x:c>
    </x:row>
    <x:row r="33" ht="17.149999618530273" hidden="0">
      <x:c r="A33" s="6" t="s">
        <x:v>152</x:v>
      </x:c>
      <x:c r="B33" s="35" t="n">
        <x:f aca="0">IFERROR(B10/B35*100,0)</x:f>
        <x:v>0</x:v>
      </x:c>
      <x:c r="C33" s="35" t="n">
        <x:f aca="0">IFERROR(C10/C35*100,0)</x:f>
        <x:v>0</x:v>
      </x:c>
      <x:c r="D33" s="35" t="n">
        <x:f aca="0">IFERROR(D10/D35*100,0)</x:f>
        <x:v>0</x:v>
      </x:c>
      <x:c r="E33" s="35" t="n">
        <x:f aca="0">IFERROR(E10/E35*100,0)</x:f>
        <x:v>0</x:v>
      </x:c>
      <x:c r="F33" s="35" t="n">
        <x:f aca="0">IFERROR(F10/F35*100,0)</x:f>
        <x:v>0</x:v>
      </x:c>
      <x:c r="G33" s="35" t="n">
        <x:f aca="0">IFERROR(G10/G35*100,0)</x:f>
        <x:v>0</x:v>
      </x:c>
      <x:c r="H33" s="35" t="n">
        <x:f aca="0">IFERROR(H10/H35*100,0)</x:f>
        <x:v>0</x:v>
      </x:c>
      <x:c r="I33" s="35" t="n">
        <x:f aca="0">IFERROR(I10/I35*100,0)</x:f>
        <x:v>0</x:v>
      </x:c>
      <x:c r="J33" s="35" t="n">
        <x:f aca="0">IFERROR(J10/J35*100,0)</x:f>
        <x:v>0</x:v>
      </x:c>
      <x:c r="K33" s="35" t="n">
        <x:f aca="0">IFERROR(K10/K35*100,0)</x:f>
        <x:v>0</x:v>
      </x:c>
    </x:row>
    <x:row r="34" ht="17.149999618530273" hidden="0">
      <x:c r="A34" s="6" t="s">
        <x:v>153</x:v>
      </x:c>
      <x:c r="B34" s="5" t="e">
        <x:f aca="0">SUM(B20,B23)-B14</x:f>
        <x:v>#NAME?</x:v>
      </x:c>
      <x:c r="C34" s="5" t="e">
        <x:f aca="0">SUM(C20,C23)-C14</x:f>
        <x:v>#NAME?</x:v>
      </x:c>
      <x:c r="D34" s="5" t="e">
        <x:f aca="0">SUM(D20,D23)-D14</x:f>
        <x:v>#NAME?</x:v>
      </x:c>
      <x:c r="E34" s="5" t="e">
        <x:f aca="0">SUM(E20,E23)-E14</x:f>
        <x:v>#NAME?</x:v>
      </x:c>
      <x:c r="F34" s="5" t="e">
        <x:f aca="0">SUM(F20,F23)-F14</x:f>
        <x:v>#NAME?</x:v>
      </x:c>
      <x:c r="G34" s="5" t="e">
        <x:f aca="0">SUM(G20,G23)-G14</x:f>
        <x:v>#NAME?</x:v>
      </x:c>
      <x:c r="H34" s="5" t="e">
        <x:f aca="0">SUM(H20,H23)-H14</x:f>
        <x:v>#NAME?</x:v>
      </x:c>
      <x:c r="I34" s="5" t="e">
        <x:f aca="0">SUM(I20,I23)-I14</x:f>
        <x:v>#NAME?</x:v>
      </x:c>
      <x:c r="J34" s="5" t="e">
        <x:f aca="0">SUM(J20,J23)-J14</x:f>
        <x:v>#NAME?</x:v>
      </x:c>
      <x:c r="K34" s="5" t="e">
        <x:f aca="0">SUM(K20,K23)-K14</x:f>
        <x:v>#NAME?</x:v>
      </x:c>
    </x:row>
    <x:row r="35" ht="17.149999618530273" hidden="0">
      <x:c r="A35" s="6" t="s">
        <x:v>154</x:v>
      </x:c>
      <x:c r="B35" s="5" t="e">
        <x:f aca="0">B34+$B$5</x:f>
        <x:v>#NAME?</x:v>
      </x:c>
      <x:c r="C35" s="5" t="e">
        <x:f aca="0">C34+$B$5</x:f>
        <x:v>#NAME?</x:v>
      </x:c>
      <x:c r="D35" s="5" t="e">
        <x:f aca="0">D34+$B$5</x:f>
        <x:v>#NAME?</x:v>
      </x:c>
      <x:c r="E35" s="5" t="e">
        <x:f aca="0">E34+$B$5</x:f>
        <x:v>#NAME?</x:v>
      </x:c>
      <x:c r="F35" s="5" t="e">
        <x:f aca="0">F34+$B$5</x:f>
        <x:v>#NAME?</x:v>
      </x:c>
      <x:c r="G35" s="5" t="e">
        <x:f aca="0">G34+$B$5</x:f>
        <x:v>#NAME?</x:v>
      </x:c>
      <x:c r="H35" s="5" t="e">
        <x:f aca="0">H34+$B$5</x:f>
        <x:v>#NAME?</x:v>
      </x:c>
      <x:c r="I35" s="5" t="e">
        <x:f aca="0">I34+$B$5</x:f>
        <x:v>#NAME?</x:v>
      </x:c>
      <x:c r="J35" s="5" t="e">
        <x:f aca="0">J34+$B$5</x:f>
        <x:v>#NAME?</x:v>
      </x:c>
      <x:c r="K35" s="5" t="e">
        <x:f aca="0">K34+$B$5</x:f>
        <x:v>#NAME?</x:v>
      </x:c>
    </x:row>
    <x:row r="36" ht="17.149999618530273" hidden="0">
      <x:c r="A36" s="6" t="s">
        <x:v>155</x:v>
      </x:c>
      <x:c r="B36" s="35" t="n">
        <x:f aca="0">IFERROR(B10/(B20+B23-B14-B12-B15+$B$5)*100,0)</x:f>
        <x:v>0</x:v>
      </x:c>
      <x:c r="C36" s="35" t="n">
        <x:f aca="0">IFERROR(C10/(C20+C23-C14-C12-C15+$B$5)*100,0)</x:f>
        <x:v>0</x:v>
      </x:c>
      <x:c r="D36" s="35" t="n">
        <x:f aca="0">IFERROR(D10/(D20+D23-D14-D12-D15+$B$5)*100,0)</x:f>
        <x:v>0</x:v>
      </x:c>
      <x:c r="E36" s="35" t="n">
        <x:f aca="0">IFERROR(E10/(E20+E23-E14-E12-E15+$B$5)*100,0)</x:f>
        <x:v>0</x:v>
      </x:c>
      <x:c r="F36" s="35" t="n">
        <x:f aca="0">IFERROR(F10/(F20+F23-F14-F12-F15+$B$5)*100,0)</x:f>
        <x:v>0</x:v>
      </x:c>
      <x:c r="G36" s="35" t="n">
        <x:f aca="0">IFERROR(G10/(G20+G23-G14-G12-G15+$B$5)*100,0)</x:f>
        <x:v>0</x:v>
      </x:c>
      <x:c r="H36" s="35" t="n">
        <x:f aca="0">IFERROR(H10/(H20+H23-H14-H12-H15+$B$5)*100,0)</x:f>
        <x:v>0</x:v>
      </x:c>
      <x:c r="I36" s="35" t="n">
        <x:f aca="0">IFERROR(I10/(I20+I23-I14-I12-I15+$B$5)*100,0)</x:f>
        <x:v>0</x:v>
      </x:c>
      <x:c r="J36" s="35" t="n">
        <x:f aca="0">IFERROR(J10/(J20+J23-J14-J12-J15+$B$5)*100,0)</x:f>
        <x:v>0</x:v>
      </x:c>
      <x:c r="K36" s="35" t="n">
        <x:f aca="0">IFERROR(K10/(K20+K23-K14-K12-K15+$B$5)*100,0)</x:f>
        <x:v>0</x:v>
      </x:c>
    </x:row>
    <x:row r="37" ht="17.149999618530273" hidden="0">
      <x:c r="A37" s="6" t="s">
        <x:v>156</x:v>
      </x:c>
      <x:c r="B37" s="5" t="str">
        <x:f aca="0">IF(B33&lt;=B32,"OK","要確認")</x:f>
        <x:v>OK</x:v>
      </x:c>
      <x:c r="C37" s="5" t="str">
        <x:f aca="0">IF(C33&lt;=C32,"OK","要確認")</x:f>
        <x:v>OK</x:v>
      </x:c>
      <x:c r="D37" s="5" t="str">
        <x:f aca="0">IF(D33&lt;=D32,"OK","要確認")</x:f>
        <x:v>OK</x:v>
      </x:c>
      <x:c r="E37" s="5" t="str">
        <x:f aca="0">IF(E33&lt;=E32,"OK","要確認")</x:f>
        <x:v>OK</x:v>
      </x:c>
      <x:c r="F37" s="5" t="str">
        <x:f aca="0">IF(F33&lt;=F32,"OK","要確認")</x:f>
        <x:v>OK</x:v>
      </x:c>
      <x:c r="G37" s="5" t="str">
        <x:f aca="0">IF(G33&lt;=G32,"OK","要確認")</x:f>
        <x:v>OK</x:v>
      </x:c>
      <x:c r="H37" s="5" t="str">
        <x:f aca="0">IF(H33&lt;=H32,"OK","要確認")</x:f>
        <x:v>OK</x:v>
      </x:c>
      <x:c r="I37" s="5" t="str">
        <x:f aca="0">IF(I33&lt;=I32,"OK","要確認")</x:f>
        <x:v>OK</x:v>
      </x:c>
      <x:c r="J37" s="5" t="str">
        <x:f aca="0">IF(J33&lt;=J32,"OK","要確認")</x:f>
        <x:v>OK</x:v>
      </x:c>
      <x:c r="K37" s="5" t="str">
        <x:f aca="0">IF(K33&lt;=K32,"OK","要確認")</x:f>
        <x:v>OK</x:v>
      </x:c>
    </x:row>
    <x:row r="38" ht="15" hidden="0">
      <x:c r="A38" s="7"/>
      <x:c r="B38" s="5"/>
      <x:c r="C38" s="5"/>
      <x:c r="D38" s="5"/>
      <x:c r="E38" s="5"/>
      <x:c r="F38" s="5"/>
      <x:c r="G38" s="5"/>
      <x:c r="H38" s="5"/>
      <x:c r="I38" s="5"/>
      <x:c r="J38" s="5"/>
      <x:c r="K38" s="5"/>
    </x:row>
    <x:row r="39" ht="17.149999618530273" hidden="0">
      <x:c r="A39" s="42" t="s">
        <x:v>79</x:v>
      </x:c>
      <x:c r="B39" s="43"/>
      <x:c r="C39" s="43"/>
      <x:c r="D39" s="43"/>
      <x:c r="E39" s="43"/>
      <x:c r="F39" s="43"/>
      <x:c r="G39" s="43"/>
      <x:c r="H39" s="43"/>
      <x:c r="I39" s="43"/>
      <x:c r="J39" s="43"/>
      <x:c r="K39" s="43"/>
    </x:row>
    <x:row r="40" ht="17.149999618530273" hidden="0">
      <x:c r="A40" s="6" t="s">
        <x:v>80</x:v>
      </x:c>
      <x:c r="B40" s="5" t="e">
        <x:f aca="0">02_将来年次投資置換!B34</x:f>
        <x:v>#NAME?</x:v>
      </x:c>
      <x:c r="C40" s="5" t="e">
        <x:f aca="0">02_将来年次投資置換!C34</x:f>
        <x:v>#NAME?</x:v>
      </x:c>
      <x:c r="D40" s="5" t="e">
        <x:f aca="0">02_将来年次投資置換!D34</x:f>
        <x:v>#NAME?</x:v>
      </x:c>
      <x:c r="E40" s="5" t="e">
        <x:f aca="0">02_将来年次投資置換!E34</x:f>
        <x:v>#NAME?</x:v>
      </x:c>
      <x:c r="F40" s="5" t="e">
        <x:f aca="0">02_将来年次投資置換!F34</x:f>
        <x:v>#NAME?</x:v>
      </x:c>
      <x:c r="G40" s="5" t="e">
        <x:f aca="0">02_将来年次投資置換!G34</x:f>
        <x:v>#NAME?</x:v>
      </x:c>
      <x:c r="H40" s="5" t="e">
        <x:f aca="0">02_将来年次投資置換!H34</x:f>
        <x:v>#NAME?</x:v>
      </x:c>
      <x:c r="I40" s="5" t="e">
        <x:f aca="0">02_将来年次投資置換!I34</x:f>
        <x:v>#NAME?</x:v>
      </x:c>
      <x:c r="J40" s="5" t="e">
        <x:f aca="0">02_将来年次投資置換!J34</x:f>
        <x:v>#NAME?</x:v>
      </x:c>
      <x:c r="K40" s="5" t="e">
        <x:f aca="0">02_将来年次投資置換!K34</x:f>
        <x:v>#NAME?</x:v>
      </x:c>
    </x:row>
    <x:row r="41" ht="17.149999618530273" hidden="0">
      <x:c r="A41" s="6" t="s">
        <x:v>81</x:v>
      </x:c>
      <x:c r="B41" s="5" t="e">
        <x:f aca="0">02_将来年次投資置換!B35</x:f>
        <x:v>#NAME?</x:v>
      </x:c>
      <x:c r="C41" s="5" t="e">
        <x:f aca="0">02_将来年次投資置換!C35</x:f>
        <x:v>#NAME?</x:v>
      </x:c>
      <x:c r="D41" s="5" t="e">
        <x:f aca="0">02_将来年次投資置換!D35</x:f>
        <x:v>#NAME?</x:v>
      </x:c>
      <x:c r="E41" s="5" t="e">
        <x:f aca="0">02_将来年次投資置換!E35</x:f>
        <x:v>#NAME?</x:v>
      </x:c>
      <x:c r="F41" s="5" t="e">
        <x:f aca="0">02_将来年次投資置換!F35</x:f>
        <x:v>#NAME?</x:v>
      </x:c>
      <x:c r="G41" s="5" t="e">
        <x:f aca="0">02_将来年次投資置換!G35</x:f>
        <x:v>#NAME?</x:v>
      </x:c>
      <x:c r="H41" s="5" t="e">
        <x:f aca="0">02_将来年次投資置換!H35</x:f>
        <x:v>#NAME?</x:v>
      </x:c>
      <x:c r="I41" s="5" t="e">
        <x:f aca="0">02_将来年次投資置換!I35</x:f>
        <x:v>#NAME?</x:v>
      </x:c>
      <x:c r="J41" s="5" t="e">
        <x:f aca="0">02_将来年次投資置換!J35</x:f>
        <x:v>#NAME?</x:v>
      </x:c>
      <x:c r="K41" s="5" t="e">
        <x:f aca="0">02_将来年次投資置換!K35</x:f>
        <x:v>#NAME?</x:v>
      </x:c>
    </x:row>
    <x:row r="42" ht="17.149999618530273" hidden="0">
      <x:c r="A42" s="6" t="s">
        <x:v>82</x:v>
      </x:c>
      <x:c r="B42" s="5" t="e">
        <x:f aca="0">02_将来年次投資置換!B36</x:f>
        <x:v>#NAME?</x:v>
      </x:c>
      <x:c r="C42" s="5" t="e">
        <x:f aca="0">02_将来年次投資置換!C36</x:f>
        <x:v>#NAME?</x:v>
      </x:c>
      <x:c r="D42" s="5" t="e">
        <x:f aca="0">02_将来年次投資置換!D36</x:f>
        <x:v>#NAME?</x:v>
      </x:c>
      <x:c r="E42" s="5" t="e">
        <x:f aca="0">02_将来年次投資置換!E36</x:f>
        <x:v>#NAME?</x:v>
      </x:c>
      <x:c r="F42" s="5" t="e">
        <x:f aca="0">02_将来年次投資置換!F36</x:f>
        <x:v>#NAME?</x:v>
      </x:c>
      <x:c r="G42" s="5" t="e">
        <x:f aca="0">02_将来年次投資置換!G36</x:f>
        <x:v>#NAME?</x:v>
      </x:c>
      <x:c r="H42" s="5" t="e">
        <x:f aca="0">02_将来年次投資置換!H36</x:f>
        <x:v>#NAME?</x:v>
      </x:c>
      <x:c r="I42" s="5" t="e">
        <x:f aca="0">02_将来年次投資置換!I36</x:f>
        <x:v>#NAME?</x:v>
      </x:c>
      <x:c r="J42" s="5" t="e">
        <x:f aca="0">02_将来年次投資置換!J36</x:f>
        <x:v>#NAME?</x:v>
      </x:c>
      <x:c r="K42" s="5" t="e">
        <x:f aca="0">02_将来年次投資置換!K36</x:f>
        <x:v>#NAME?</x:v>
      </x:c>
    </x:row>
    <x:row r="43" ht="17.149999618530273" hidden="0">
      <x:c r="A43" s="6" t="s">
        <x:v>83</x:v>
      </x:c>
      <x:c r="B43" s="5" t="e">
        <x:f aca="0">02_将来年次投資置換!B37</x:f>
        <x:v>#NAME?</x:v>
      </x:c>
      <x:c r="C43" s="5" t="e">
        <x:f aca="0">02_将来年次投資置換!C37</x:f>
        <x:v>#NAME?</x:v>
      </x:c>
      <x:c r="D43" s="5" t="e">
        <x:f aca="0">02_将来年次投資置換!D37</x:f>
        <x:v>#NAME?</x:v>
      </x:c>
      <x:c r="E43" s="5" t="e">
        <x:f aca="0">02_将来年次投資置換!E37</x:f>
        <x:v>#NAME?</x:v>
      </x:c>
      <x:c r="F43" s="5" t="e">
        <x:f aca="0">02_将来年次投資置換!F37</x:f>
        <x:v>#NAME?</x:v>
      </x:c>
      <x:c r="G43" s="5" t="e">
        <x:f aca="0">02_将来年次投資置換!G37</x:f>
        <x:v>#NAME?</x:v>
      </x:c>
      <x:c r="H43" s="5" t="e">
        <x:f aca="0">02_将来年次投資置換!H37</x:f>
        <x:v>#NAME?</x:v>
      </x:c>
      <x:c r="I43" s="5" t="e">
        <x:f aca="0">02_将来年次投資置換!I37</x:f>
        <x:v>#NAME?</x:v>
      </x:c>
      <x:c r="J43" s="5" t="e">
        <x:f aca="0">02_将来年次投資置換!J37</x:f>
        <x:v>#NAME?</x:v>
      </x:c>
      <x:c r="K43" s="5" t="e">
        <x:f aca="0">02_将来年次投資置換!K37</x:f>
        <x:v>#NAME?</x:v>
      </x:c>
    </x:row>
    <x:row r="44" ht="17.149999618530273" hidden="0">
      <x:c r="A44" s="6" t="s">
        <x:v>84</x:v>
      </x:c>
      <x:c r="B44" s="5" t="e">
        <x:f aca="0">02_将来年次投資置換!B38</x:f>
        <x:v>#NAME?</x:v>
      </x:c>
      <x:c r="C44" s="5" t="e">
        <x:f aca="0">02_将来年次投資置換!C38</x:f>
        <x:v>#NAME?</x:v>
      </x:c>
      <x:c r="D44" s="5" t="e">
        <x:f aca="0">02_将来年次投資置換!D38</x:f>
        <x:v>#NAME?</x:v>
      </x:c>
      <x:c r="E44" s="5" t="e">
        <x:f aca="0">02_将来年次投資置換!E38</x:f>
        <x:v>#NAME?</x:v>
      </x:c>
      <x:c r="F44" s="5" t="e">
        <x:f aca="0">02_将来年次投資置換!F38</x:f>
        <x:v>#NAME?</x:v>
      </x:c>
      <x:c r="G44" s="5" t="e">
        <x:f aca="0">02_将来年次投資置換!G38</x:f>
        <x:v>#NAME?</x:v>
      </x:c>
      <x:c r="H44" s="5" t="e">
        <x:f aca="0">02_将来年次投資置換!H38</x:f>
        <x:v>#NAME?</x:v>
      </x:c>
      <x:c r="I44" s="5" t="e">
        <x:f aca="0">02_将来年次投資置換!I38</x:f>
        <x:v>#NAME?</x:v>
      </x:c>
      <x:c r="J44" s="5" t="e">
        <x:f aca="0">02_将来年次投資置換!J38</x:f>
        <x:v>#NAME?</x:v>
      </x:c>
      <x:c r="K44" s="5" t="e">
        <x:f aca="0">02_将来年次投資置換!K38</x:f>
        <x:v>#NAME?</x:v>
      </x:c>
    </x:row>
    <x:row r="45" ht="17.149999618530273" hidden="0">
      <x:c r="A45" s="6" t="s">
        <x:v>85</x:v>
      </x:c>
      <x:c r="B45" s="5" t="e">
        <x:f aca="0">02_将来年次投資置換!B39</x:f>
        <x:v>#NAME?</x:v>
      </x:c>
      <x:c r="C45" s="5" t="e">
        <x:f aca="0">02_将来年次投資置換!C39</x:f>
        <x:v>#NAME?</x:v>
      </x:c>
      <x:c r="D45" s="5" t="e">
        <x:f aca="0">02_将来年次投資置換!D39</x:f>
        <x:v>#NAME?</x:v>
      </x:c>
      <x:c r="E45" s="5" t="e">
        <x:f aca="0">02_将来年次投資置換!E39</x:f>
        <x:v>#NAME?</x:v>
      </x:c>
      <x:c r="F45" s="5" t="e">
        <x:f aca="0">02_将来年次投資置換!F39</x:f>
        <x:v>#NAME?</x:v>
      </x:c>
      <x:c r="G45" s="5" t="e">
        <x:f aca="0">02_将来年次投資置換!G39</x:f>
        <x:v>#NAME?</x:v>
      </x:c>
      <x:c r="H45" s="5" t="e">
        <x:f aca="0">02_将来年次投資置換!H39</x:f>
        <x:v>#NAME?</x:v>
      </x:c>
      <x:c r="I45" s="5" t="e">
        <x:f aca="0">02_将来年次投資置換!I39</x:f>
        <x:v>#NAME?</x:v>
      </x:c>
      <x:c r="J45" s="5" t="e">
        <x:f aca="0">02_将来年次投資置換!J39</x:f>
        <x:v>#NAME?</x:v>
      </x:c>
      <x:c r="K45" s="5" t="e">
        <x:f aca="0">02_将来年次投資置換!K39</x:f>
        <x:v>#NAME?</x:v>
      </x:c>
    </x:row>
    <x:row r="46" ht="17.149999618530273" hidden="0">
      <x:c r="A46" s="6" t="s">
        <x:v>86</x:v>
      </x:c>
      <x:c r="B46" s="5" t="e">
        <x:f aca="0">02_将来年次投資置換!B40</x:f>
        <x:v>#NAME?</x:v>
      </x:c>
      <x:c r="C46" s="5" t="e">
        <x:f aca="0">02_将来年次投資置換!C40</x:f>
        <x:v>#NAME?</x:v>
      </x:c>
      <x:c r="D46" s="5" t="e">
        <x:f aca="0">02_将来年次投資置換!D40</x:f>
        <x:v>#NAME?</x:v>
      </x:c>
      <x:c r="E46" s="5" t="e">
        <x:f aca="0">02_将来年次投資置換!E40</x:f>
        <x:v>#NAME?</x:v>
      </x:c>
      <x:c r="F46" s="5" t="e">
        <x:f aca="0">02_将来年次投資置換!F40</x:f>
        <x:v>#NAME?</x:v>
      </x:c>
      <x:c r="G46" s="5" t="e">
        <x:f aca="0">02_将来年次投資置換!G40</x:f>
        <x:v>#NAME?</x:v>
      </x:c>
      <x:c r="H46" s="5" t="e">
        <x:f aca="0">02_将来年次投資置換!H40</x:f>
        <x:v>#NAME?</x:v>
      </x:c>
      <x:c r="I46" s="5" t="e">
        <x:f aca="0">02_将来年次投資置換!I40</x:f>
        <x:v>#NAME?</x:v>
      </x:c>
      <x:c r="J46" s="5" t="e">
        <x:f aca="0">02_将来年次投資置換!J40</x:f>
        <x:v>#NAME?</x:v>
      </x:c>
      <x:c r="K46" s="5" t="e">
        <x:f aca="0">02_将来年次投資置換!K40</x:f>
        <x:v>#NAME?</x:v>
      </x:c>
    </x:row>
    <x:row r="47" ht="17.149999618530273" hidden="0">
      <x:c r="A47" s="6" t="s">
        <x:v>87</x:v>
      </x:c>
      <x:c r="B47" s="5" t="e">
        <x:f aca="0">02_将来年次投資置換!B41</x:f>
        <x:v>#NAME?</x:v>
      </x:c>
      <x:c r="C47" s="5" t="e">
        <x:f aca="0">02_将来年次投資置換!C41</x:f>
        <x:v>#NAME?</x:v>
      </x:c>
      <x:c r="D47" s="5" t="e">
        <x:f aca="0">02_将来年次投資置換!D41</x:f>
        <x:v>#NAME?</x:v>
      </x:c>
      <x:c r="E47" s="5" t="e">
        <x:f aca="0">02_将来年次投資置換!E41</x:f>
        <x:v>#NAME?</x:v>
      </x:c>
      <x:c r="F47" s="5" t="e">
        <x:f aca="0">02_将来年次投資置換!F41</x:f>
        <x:v>#NAME?</x:v>
      </x:c>
      <x:c r="G47" s="5" t="e">
        <x:f aca="0">02_将来年次投資置換!G41</x:f>
        <x:v>#NAME?</x:v>
      </x:c>
      <x:c r="H47" s="5" t="e">
        <x:f aca="0">02_将来年次投資置換!H41</x:f>
        <x:v>#NAME?</x:v>
      </x:c>
      <x:c r="I47" s="5" t="e">
        <x:f aca="0">02_将来年次投資置換!I41</x:f>
        <x:v>#NAME?</x:v>
      </x:c>
      <x:c r="J47" s="5" t="e">
        <x:f aca="0">02_将来年次投資置換!J41</x:f>
        <x:v>#NAME?</x:v>
      </x:c>
      <x:c r="K47" s="5" t="e">
        <x:f aca="0">02_将来年次投資置換!K41</x:f>
        <x:v>#NAME?</x:v>
      </x:c>
    </x:row>
    <x:row r="48" ht="15" hidden="0">
      <x:c r="A48" s="7"/>
      <x:c r="B48" s="5"/>
      <x:c r="C48" s="5"/>
      <x:c r="D48" s="5"/>
      <x:c r="E48" s="5"/>
      <x:c r="F48" s="5"/>
      <x:c r="G48" s="5"/>
      <x:c r="H48" s="5"/>
      <x:c r="I48" s="5"/>
      <x:c r="J48" s="5"/>
      <x:c r="K48" s="5"/>
    </x:row>
    <x:row r="49" ht="17.149999618530273" hidden="0">
      <x:c r="A49" s="42" t="s">
        <x:v>88</x:v>
      </x:c>
      <x:c r="B49" s="43"/>
      <x:c r="C49" s="43"/>
      <x:c r="D49" s="43"/>
      <x:c r="E49" s="43"/>
      <x:c r="F49" s="43"/>
      <x:c r="G49" s="43"/>
      <x:c r="H49" s="43"/>
      <x:c r="I49" s="43"/>
      <x:c r="J49" s="43"/>
      <x:c r="K49" s="43"/>
    </x:row>
    <x:row r="50" ht="17.149999618530273" hidden="0">
      <x:c r="A50" s="6" t="s">
        <x:v>89</x:v>
      </x:c>
      <x:c r="B50" s="5" t="e">
        <x:f aca="0">02_将来年次投資置換!B44</x:f>
        <x:v>#NAME?</x:v>
      </x:c>
      <x:c r="C50" s="5" t="e">
        <x:f aca="0">02_将来年次投資置換!C44</x:f>
        <x:v>#NAME?</x:v>
      </x:c>
      <x:c r="D50" s="5" t="e">
        <x:f aca="0">02_将来年次投資置換!D44</x:f>
        <x:v>#NAME?</x:v>
      </x:c>
      <x:c r="E50" s="5" t="e">
        <x:f aca="0">02_将来年次投資置換!E44</x:f>
        <x:v>#NAME?</x:v>
      </x:c>
      <x:c r="F50" s="5" t="e">
        <x:f aca="0">02_将来年次投資置換!F44</x:f>
        <x:v>#NAME?</x:v>
      </x:c>
      <x:c r="G50" s="5" t="e">
        <x:f aca="0">02_将来年次投資置換!G44</x:f>
        <x:v>#NAME?</x:v>
      </x:c>
      <x:c r="H50" s="5" t="e">
        <x:f aca="0">02_将来年次投資置換!H44</x:f>
        <x:v>#NAME?</x:v>
      </x:c>
      <x:c r="I50" s="5" t="e">
        <x:f aca="0">02_将来年次投資置換!I44</x:f>
        <x:v>#NAME?</x:v>
      </x:c>
      <x:c r="J50" s="5" t="e">
        <x:f aca="0">02_将来年次投資置換!J44</x:f>
        <x:v>#NAME?</x:v>
      </x:c>
      <x:c r="K50" s="5" t="e">
        <x:f aca="0">02_将来年次投資置換!K44</x:f>
        <x:v>#NAME?</x:v>
      </x:c>
    </x:row>
    <x:row r="51" ht="17.149999618530273" hidden="0">
      <x:c r="A51" s="6" t="s">
        <x:v>90</x:v>
      </x:c>
      <x:c r="B51" s="5" t="e">
        <x:f aca="0">02_将来年次投資置換!B45</x:f>
        <x:v>#NAME?</x:v>
      </x:c>
      <x:c r="C51" s="5" t="e">
        <x:f aca="0">02_将来年次投資置換!C45</x:f>
        <x:v>#NAME?</x:v>
      </x:c>
      <x:c r="D51" s="5" t="e">
        <x:f aca="0">02_将来年次投資置換!D45</x:f>
        <x:v>#NAME?</x:v>
      </x:c>
      <x:c r="E51" s="5" t="e">
        <x:f aca="0">02_将来年次投資置換!E45</x:f>
        <x:v>#NAME?</x:v>
      </x:c>
      <x:c r="F51" s="5" t="e">
        <x:f aca="0">02_将来年次投資置換!F45</x:f>
        <x:v>#NAME?</x:v>
      </x:c>
      <x:c r="G51" s="5" t="e">
        <x:f aca="0">02_将来年次投資置換!G45</x:f>
        <x:v>#NAME?</x:v>
      </x:c>
      <x:c r="H51" s="5" t="e">
        <x:f aca="0">02_将来年次投資置換!H45</x:f>
        <x:v>#NAME?</x:v>
      </x:c>
      <x:c r="I51" s="5" t="e">
        <x:f aca="0">02_将来年次投資置換!I45</x:f>
        <x:v>#NAME?</x:v>
      </x:c>
      <x:c r="J51" s="5" t="e">
        <x:f aca="0">02_将来年次投資置換!J45</x:f>
        <x:v>#NAME?</x:v>
      </x:c>
      <x:c r="K51" s="5" t="e">
        <x:f aca="0">02_将来年次投資置換!K45</x:f>
        <x:v>#NAME?</x:v>
      </x:c>
    </x:row>
    <x:row r="52" ht="17.149999618530273" hidden="0">
      <x:c r="A52" s="6" t="s">
        <x:v>91</x:v>
      </x:c>
      <x:c r="B52" s="5" t="e">
        <x:f aca="0">02_将来年次投資置換!B46</x:f>
        <x:v>#NAME?</x:v>
      </x:c>
      <x:c r="C52" s="5" t="e">
        <x:f aca="0">02_将来年次投資置換!C46</x:f>
        <x:v>#NAME?</x:v>
      </x:c>
      <x:c r="D52" s="5" t="e">
        <x:f aca="0">02_将来年次投資置換!D46</x:f>
        <x:v>#NAME?</x:v>
      </x:c>
      <x:c r="E52" s="5" t="e">
        <x:f aca="0">02_将来年次投資置換!E46</x:f>
        <x:v>#NAME?</x:v>
      </x:c>
      <x:c r="F52" s="5" t="e">
        <x:f aca="0">02_将来年次投資置換!F46</x:f>
        <x:v>#NAME?</x:v>
      </x:c>
      <x:c r="G52" s="5" t="e">
        <x:f aca="0">02_将来年次投資置換!G46</x:f>
        <x:v>#NAME?</x:v>
      </x:c>
      <x:c r="H52" s="5" t="e">
        <x:f aca="0">02_将来年次投資置換!H46</x:f>
        <x:v>#NAME?</x:v>
      </x:c>
      <x:c r="I52" s="5" t="e">
        <x:f aca="0">02_将来年次投資置換!I46</x:f>
        <x:v>#NAME?</x:v>
      </x:c>
      <x:c r="J52" s="5" t="e">
        <x:f aca="0">02_将来年次投資置換!J46</x:f>
        <x:v>#NAME?</x:v>
      </x:c>
      <x:c r="K52" s="5" t="e">
        <x:f aca="0">02_将来年次投資置換!K46</x:f>
        <x:v>#NAME?</x:v>
      </x:c>
    </x:row>
    <x:row r="53" ht="17.149999618530273" hidden="0">
      <x:c r="A53" s="6" t="s">
        <x:v>92</x:v>
      </x:c>
      <x:c r="B53" s="5" t="e">
        <x:f aca="0">02_将来年次投資置換!B47</x:f>
        <x:v>#NAME?</x:v>
      </x:c>
      <x:c r="C53" s="5" t="e">
        <x:f aca="0">02_将来年次投資置換!C47</x:f>
        <x:v>#NAME?</x:v>
      </x:c>
      <x:c r="D53" s="5" t="e">
        <x:f aca="0">02_将来年次投資置換!D47</x:f>
        <x:v>#NAME?</x:v>
      </x:c>
      <x:c r="E53" s="5" t="e">
        <x:f aca="0">02_将来年次投資置換!E47</x:f>
        <x:v>#NAME?</x:v>
      </x:c>
      <x:c r="F53" s="5" t="e">
        <x:f aca="0">02_将来年次投資置換!F47</x:f>
        <x:v>#NAME?</x:v>
      </x:c>
      <x:c r="G53" s="5" t="e">
        <x:f aca="0">02_将来年次投資置換!G47</x:f>
        <x:v>#NAME?</x:v>
      </x:c>
      <x:c r="H53" s="5" t="e">
        <x:f aca="0">02_将来年次投資置換!H47</x:f>
        <x:v>#NAME?</x:v>
      </x:c>
      <x:c r="I53" s="5" t="e">
        <x:f aca="0">02_将来年次投資置換!I47</x:f>
        <x:v>#NAME?</x:v>
      </x:c>
      <x:c r="J53" s="5" t="e">
        <x:f aca="0">02_将来年次投資置換!J47</x:f>
        <x:v>#NAME?</x:v>
      </x:c>
      <x:c r="K53" s="5" t="e">
        <x:f aca="0">02_将来年次投資置換!K47</x:f>
        <x:v>#NAME?</x:v>
      </x:c>
    </x:row>
    <x:row r="54" ht="32.79999923706055" hidden="0">
      <x:c r="A54" s="6" t="s">
        <x:v>93</x:v>
      </x:c>
      <x:c r="B54" s="5" t="e">
        <x:f aca="0">B40-B50</x:f>
        <x:v>#NAME?</x:v>
      </x:c>
      <x:c r="C54" s="5" t="e">
        <x:f aca="0">C40-C50</x:f>
        <x:v>#NAME?</x:v>
      </x:c>
      <x:c r="D54" s="5" t="e">
        <x:f aca="0">D40-D50</x:f>
        <x:v>#NAME?</x:v>
      </x:c>
      <x:c r="E54" s="5" t="e">
        <x:f aca="0">E40-E50</x:f>
        <x:v>#NAME?</x:v>
      </x:c>
      <x:c r="F54" s="5" t="e">
        <x:f aca="0">F40-F50</x:f>
        <x:v>#NAME?</x:v>
      </x:c>
      <x:c r="G54" s="5" t="e">
        <x:f aca="0">G40-G50</x:f>
        <x:v>#NAME?</x:v>
      </x:c>
      <x:c r="H54" s="5" t="e">
        <x:f aca="0">H40-H50</x:f>
        <x:v>#NAME?</x:v>
      </x:c>
      <x:c r="I54" s="5" t="e">
        <x:f aca="0">I40-I50</x:f>
        <x:v>#NAME?</x:v>
      </x:c>
      <x:c r="J54" s="5" t="e">
        <x:f aca="0">J40-J50</x:f>
        <x:v>#NAME?</x:v>
      </x:c>
      <x:c r="K54" s="5" t="e">
        <x:f aca="0">K40-K50</x:f>
        <x:v>#NAME?</x:v>
      </x:c>
    </x:row>
    <x:row r="55" ht="15" hidden="0">
      <x:c r="A55" s="7"/>
      <x:c r="B55" s="5"/>
      <x:c r="C55" s="5"/>
      <x:c r="D55" s="5"/>
      <x:c r="E55" s="5"/>
      <x:c r="F55" s="5"/>
      <x:c r="G55" s="5"/>
      <x:c r="H55" s="5"/>
      <x:c r="I55" s="5"/>
      <x:c r="J55" s="5"/>
      <x:c r="K55" s="5"/>
    </x:row>
    <x:row r="56" ht="17.149999618530273" hidden="0">
      <x:c r="A56" s="42" t="s">
        <x:v>157</x:v>
      </x:c>
      <x:c r="B56" s="43"/>
      <x:c r="C56" s="43"/>
      <x:c r="D56" s="43"/>
      <x:c r="E56" s="43"/>
      <x:c r="F56" s="43"/>
      <x:c r="G56" s="43"/>
      <x:c r="H56" s="43"/>
      <x:c r="I56" s="43"/>
      <x:c r="J56" s="43"/>
      <x:c r="K56" s="43"/>
    </x:row>
    <x:row r="57" ht="17.149999618530273" hidden="0">
      <x:c r="A57" s="6" t="s">
        <x:v>158</x:v>
      </x:c>
      <x:c r="B57" s="5" t="e">
        <x:f aca="0">B28+B21+B22-B14</x:f>
        <x:v>#NAME?</x:v>
      </x:c>
      <x:c r="C57" s="5" t="e">
        <x:f aca="0">C28+C21+C22-C14</x:f>
        <x:v>#NAME?</x:v>
      </x:c>
      <x:c r="D57" s="5" t="e">
        <x:f aca="0">D28+D21+D22-D14</x:f>
        <x:v>#NAME?</x:v>
      </x:c>
      <x:c r="E57" s="5" t="e">
        <x:f aca="0">E28+E21+E22-E14</x:f>
        <x:v>#NAME?</x:v>
      </x:c>
      <x:c r="F57" s="5" t="e">
        <x:f aca="0">F28+F21+F22-F14</x:f>
        <x:v>#NAME?</x:v>
      </x:c>
      <x:c r="G57" s="5" t="e">
        <x:f aca="0">G28+G21+G22-G14</x:f>
        <x:v>#NAME?</x:v>
      </x:c>
      <x:c r="H57" s="5" t="e">
        <x:f aca="0">H28+H21+H22-H14</x:f>
        <x:v>#NAME?</x:v>
      </x:c>
      <x:c r="I57" s="5" t="e">
        <x:f aca="0">I28+I21+I22-I14</x:f>
        <x:v>#NAME?</x:v>
      </x:c>
      <x:c r="J57" s="5" t="e">
        <x:f aca="0">J28+J21+J22-J14</x:f>
        <x:v>#NAME?</x:v>
      </x:c>
      <x:c r="K57" s="5" t="e">
        <x:f aca="0">K28+K21+K22-K14</x:f>
        <x:v>#NAME?</x:v>
      </x:c>
    </x:row>
    <x:row r="58" ht="17.149999618530273" hidden="0">
      <x:c r="A58" s="6" t="s">
        <x:v>159</x:v>
      </x:c>
      <x:c r="B58" s="5" t="e">
        <x:f aca="0">B54</x:f>
        <x:v>#NAME?</x:v>
      </x:c>
      <x:c r="C58" s="5" t="e">
        <x:f aca="0">C54</x:f>
        <x:v>#NAME?</x:v>
      </x:c>
      <x:c r="D58" s="5" t="e">
        <x:f aca="0">D54</x:f>
        <x:v>#NAME?</x:v>
      </x:c>
      <x:c r="E58" s="5" t="e">
        <x:f aca="0">E54</x:f>
        <x:v>#NAME?</x:v>
      </x:c>
      <x:c r="F58" s="5" t="e">
        <x:f aca="0">F54</x:f>
        <x:v>#NAME?</x:v>
      </x:c>
      <x:c r="G58" s="5" t="e">
        <x:f aca="0">G54</x:f>
        <x:v>#NAME?</x:v>
      </x:c>
      <x:c r="H58" s="5" t="e">
        <x:f aca="0">H54</x:f>
        <x:v>#NAME?</x:v>
      </x:c>
      <x:c r="I58" s="5" t="e">
        <x:f aca="0">I54</x:f>
        <x:v>#NAME?</x:v>
      </x:c>
      <x:c r="J58" s="5" t="e">
        <x:f aca="0">J54</x:f>
        <x:v>#NAME?</x:v>
      </x:c>
      <x:c r="K58" s="5" t="e">
        <x:f aca="0">K54</x:f>
        <x:v>#NAME?</x:v>
      </x:c>
    </x:row>
    <x:row r="59" ht="17.149999618530273" hidden="0">
      <x:c r="A59" s="6" t="s">
        <x:v>160</x:v>
      </x:c>
      <x:c r="B59" s="5" t="e">
        <x:f aca="0">00_前提・検証!$B$6</x:f>
        <x:v>#NAME?</x:v>
      </x:c>
      <x:c r="C59" s="5" t="e">
        <x:f aca="0">B59+C57+C58</x:f>
        <x:v>#NAME?</x:v>
      </x:c>
      <x:c r="D59" s="5" t="e">
        <x:f aca="0">C59+D57+D58</x:f>
        <x:v>#NAME?</x:v>
      </x:c>
      <x:c r="E59" s="5" t="e">
        <x:f aca="0">D59+E57+E58</x:f>
        <x:v>#NAME?</x:v>
      </x:c>
      <x:c r="F59" s="5" t="e">
        <x:f aca="0">E59+F57+F58</x:f>
        <x:v>#NAME?</x:v>
      </x:c>
      <x:c r="G59" s="5" t="e">
        <x:f aca="0">F59+G57+G58</x:f>
        <x:v>#NAME?</x:v>
      </x:c>
      <x:c r="H59" s="5" t="e">
        <x:f aca="0">G59+H57+H58</x:f>
        <x:v>#NAME?</x:v>
      </x:c>
      <x:c r="I59" s="5" t="e">
        <x:f aca="0">H59+I57+I58</x:f>
        <x:v>#NAME?</x:v>
      </x:c>
      <x:c r="J59" s="5" t="e">
        <x:f aca="0">I59+J57+J58</x:f>
        <x:v>#NAME?</x:v>
      </x:c>
      <x:c r="K59" s="5" t="e">
        <x:f aca="0">J59+K57+K58</x:f>
        <x:v>#NAME?</x:v>
      </x:c>
    </x:row>
    <x:row r="60" ht="17.149999618530273" hidden="0">
      <x:c r="A60" s="6" t="s">
        <x:v>161</x:v>
      </x:c>
      <x:c r="B60" s="5" t="e">
        <x:f aca="0">B59-00_前提・検証!$B$7</x:f>
        <x:v>#NAME?</x:v>
      </x:c>
      <x:c r="C60" s="5" t="e">
        <x:f aca="0">C59-00_前提・検証!$B$7</x:f>
        <x:v>#NAME?</x:v>
      </x:c>
      <x:c r="D60" s="5" t="e">
        <x:f aca="0">D59-00_前提・検証!$B$7</x:f>
        <x:v>#NAME?</x:v>
      </x:c>
      <x:c r="E60" s="5" t="e">
        <x:f aca="0">E59-00_前提・検証!$B$7</x:f>
        <x:v>#NAME?</x:v>
      </x:c>
      <x:c r="F60" s="5" t="e">
        <x:f aca="0">F59-00_前提・検証!$B$7</x:f>
        <x:v>#NAME?</x:v>
      </x:c>
      <x:c r="G60" s="5" t="e">
        <x:f aca="0">G59-00_前提・検証!$B$7</x:f>
        <x:v>#NAME?</x:v>
      </x:c>
      <x:c r="H60" s="5" t="e">
        <x:f aca="0">H59-00_前提・検証!$B$7</x:f>
        <x:v>#NAME?</x:v>
      </x:c>
      <x:c r="I60" s="5" t="e">
        <x:f aca="0">I59-00_前提・検証!$B$7</x:f>
        <x:v>#NAME?</x:v>
      </x:c>
      <x:c r="J60" s="5" t="e">
        <x:f aca="0">J59-00_前提・検証!$B$7</x:f>
        <x:v>#NAME?</x:v>
      </x:c>
      <x:c r="K60" s="5" t="e">
        <x:f aca="0">K59-00_前提・検証!$B$7</x:f>
        <x:v>#NAME?</x:v>
      </x:c>
    </x:row>
  </x:sheetData>
  <x:mergeCells>
    <x:mergeCell ref="A1:K1"/>
    <x:mergeCell ref="A2:K2"/>
  </x:mergeCells>
  <x:conditionalFormatting sqref="B37:K37">
    <x:cfRule type="expression" dxfId="0" priority="2" aboveAverage="0" percent="0" bottom="0" rank="0" equalAverage="0">
      <x:formula>B37&lt;&gt;"OK"</x:formula>
    </x:cfRule>
  </x:conditionalFormatting>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4" width="8.880000114440918" hidden="0" customWidth="1"/>
    <x:col min="5" max="11" width="9.75" hidden="0" customWidth="1"/>
  </x:cols>
  <x:sheetData>
    <x:row r="1" ht="21.600000381469727" hidden="0" customHeight="1">
      <x:c r="A1" s="31" t="s">
        <x:v>166</x:v>
      </x:c>
      <x:c r="B1" s="31"/>
      <x:c r="C1" s="31"/>
      <x:c r="D1" s="31"/>
      <x:c r="E1" s="31"/>
      <x:c r="F1" s="31"/>
      <x:c r="G1" s="31"/>
      <x:c r="H1" s="31"/>
      <x:c r="I1" s="31"/>
      <x:c r="J1" s="31"/>
      <x:c r="K1" s="31"/>
    </x:row>
    <x:row r="2" ht="17.149999618530273" hidden="0" customHeight="1">
      <x:c r="A2" s="32" t="s">
        <x:v>134</x:v>
      </x:c>
      <x:c r="B2" s="32"/>
      <x:c r="C2" s="32"/>
      <x:c r="D2" s="32"/>
      <x:c r="E2" s="32"/>
      <x:c r="F2" s="32"/>
      <x:c r="G2" s="32"/>
      <x:c r="H2" s="32"/>
      <x:c r="I2" s="32"/>
      <x:c r="J2" s="32"/>
      <x:c r="K2" s="32"/>
    </x:row>
    <x:row r="3" ht="32.79999923706055" hidden="0">
      <x:c r="A3" s="1" t="s">
        <x:v>41</x:v>
      </x:c>
      <x:c r="B3" s="1" t="s">
        <x:v>42</x:v>
      </x:c>
      <x:c r="C3" s="1" t="s">
        <x:v>43</x:v>
      </x:c>
      <x:c r="D3" s="1" t="s">
        <x:v>44</x:v>
      </x:c>
      <x:c r="E3" s="1" t="s">
        <x:v>45</x:v>
      </x:c>
      <x:c r="F3" s="1" t="s">
        <x:v>46</x:v>
      </x:c>
      <x:c r="G3" s="1" t="s">
        <x:v>47</x:v>
      </x:c>
      <x:c r="H3" s="1" t="s">
        <x:v>48</x:v>
      </x:c>
      <x:c r="I3" s="1" t="s">
        <x:v>49</x:v>
      </x:c>
      <x:c r="J3" s="1" t="s">
        <x:v>50</x:v>
      </x:c>
      <x:c r="K3" s="1" t="s">
        <x:v>51</x:v>
      </x:c>
    </x:row>
    <x:row r="4" ht="17.149999618530273" hidden="0">
      <x:c r="A4" s="6" t="s">
        <x:v>99</x:v>
      </x:c>
      <x:c r="B4" s="34" t="n">
        <x:v>0.01</x:v>
      </x:c>
      <x:c r="C4" s="34"/>
      <x:c r="D4" s="34"/>
      <x:c r="E4" s="34"/>
      <x:c r="F4" s="34"/>
      <x:c r="G4" s="34"/>
      <x:c r="H4" s="34"/>
      <x:c r="I4" s="34"/>
      <x:c r="J4" s="34"/>
      <x:c r="K4" s="34"/>
    </x:row>
    <x:row r="5" ht="17.149999618530273" hidden="0">
      <x:c r="A5" s="6" t="s">
        <x:v>135</x:v>
      </x:c>
      <x:c r="B5" s="5" t="e">
        <x:f aca="0">00_前提・検証!$B$2*$B$4</x:f>
        <x:v>#NAME?</x:v>
      </x:c>
      <x:c r="C5" s="34"/>
      <x:c r="D5" s="34"/>
      <x:c r="E5" s="34"/>
      <x:c r="F5" s="34"/>
      <x:c r="G5" s="34"/>
      <x:c r="H5" s="34"/>
      <x:c r="I5" s="34"/>
      <x:c r="J5" s="34"/>
      <x:c r="K5" s="34"/>
    </x:row>
    <x:row r="6" ht="17.149999618530273" hidden="0">
      <x:c r="A6" s="6" t="s">
        <x:v>136</x:v>
      </x:c>
      <x:c r="B6" s="34" t="e">
        <x:f aca="0">MAX(0,(SUMPRODUCT((02_将来年次投資置換!F18:J18+02_将来年次投資置換!F28:J28-02_将来年次投資置換!F12:J12-02_将来年次投資置換!F8:J8-02_将来年次投資置換!F11:J11+$B$5)-02_将来年次投資置換!F7:J7)/SUM(02_将来年次投資置換!F7:J7)))</x:f>
        <x:v>#NAME?</x:v>
      </x:c>
      <x:c r="C6" s="34"/>
      <x:c r="D6" s="34"/>
      <x:c r="E6" s="34"/>
      <x:c r="F6" s="34"/>
      <x:c r="G6" s="34"/>
      <x:c r="H6" s="34"/>
      <x:c r="I6" s="34"/>
      <x:c r="J6" s="34"/>
      <x:c r="K6" s="34"/>
    </x:row>
    <x:row r="7" ht="15" hidden="0">
      <x:c r="A7" s="7"/>
      <x:c r="B7" s="7"/>
      <x:c r="C7" s="7"/>
      <x:c r="D7" s="7"/>
      <x:c r="E7" s="7"/>
      <x:c r="F7" s="7"/>
      <x:c r="G7" s="7"/>
      <x:c r="H7" s="7"/>
      <x:c r="I7" s="7"/>
      <x:c r="J7" s="7"/>
      <x:c r="K7" s="7"/>
    </x:row>
    <x:row r="8" ht="17.149999618530273" hidden="0">
      <x:c r="A8" s="42" t="s">
        <x:v>52</x:v>
      </x:c>
      <x:c r="B8" s="43"/>
      <x:c r="C8" s="43"/>
      <x:c r="D8" s="43"/>
      <x:c r="E8" s="43"/>
      <x:c r="F8" s="43"/>
      <x:c r="G8" s="43"/>
      <x:c r="H8" s="43"/>
      <x:c r="I8" s="43"/>
      <x:c r="J8" s="43"/>
      <x:c r="K8" s="43"/>
    </x:row>
    <x:row r="9" ht="17.149999618530273" hidden="0">
      <x:c r="A9" s="6" t="s">
        <x:v>54</x:v>
      </x:c>
      <x:c r="B9" s="5" t="e">
        <x:f aca="0">SUM(B10:B12)</x:f>
        <x:v>#NAME?</x:v>
      </x:c>
      <x:c r="C9" s="5" t="e">
        <x:f aca="0">SUM(C10:C12)</x:f>
        <x:v>#NAME?</x:v>
      </x:c>
      <x:c r="D9" s="5" t="e">
        <x:f aca="0">SUM(D10:D12)</x:f>
        <x:v>#NAME?</x:v>
      </x:c>
      <x:c r="E9" s="5" t="e">
        <x:f aca="0">SUM(E10:E12)</x:f>
        <x:v>#NAME?</x:v>
      </x:c>
      <x:c r="F9" s="5" t="e">
        <x:f aca="0">SUM(F10:F12)</x:f>
        <x:v>#NAME?</x:v>
      </x:c>
      <x:c r="G9" s="5" t="e">
        <x:f aca="0">SUM(G10:G12)</x:f>
        <x:v>#NAME?</x:v>
      </x:c>
      <x:c r="H9" s="5" t="e">
        <x:f aca="0">SUM(H10:H12)</x:f>
        <x:v>#NAME?</x:v>
      </x:c>
      <x:c r="I9" s="5" t="e">
        <x:f aca="0">SUM(I10:I12)</x:f>
        <x:v>#NAME?</x:v>
      </x:c>
      <x:c r="J9" s="5" t="e">
        <x:f aca="0">SUM(J10:J12)</x:f>
        <x:v>#NAME?</x:v>
      </x:c>
      <x:c r="K9" s="5" t="e">
        <x:f aca="0">SUM(K10:K12)</x:f>
        <x:v>#NAME?</x:v>
      </x:c>
    </x:row>
    <x:row r="10" ht="17.149999618530273" hidden="0">
      <x:c r="A10" s="6" t="s">
        <x:v>137</x:v>
      </x:c>
      <x:c r="B10" s="5" t="e">
        <x:f aca="0">02_将来年次投資置換!B7*IF(7&gt;=11,1+$B$6,1)</x:f>
        <x:v>#NAME?</x:v>
      </x:c>
      <x:c r="C10" s="5" t="e">
        <x:f aca="0">02_将来年次投資置換!C7*IF(8&gt;=11,1+$B$6,1)</x:f>
        <x:v>#NAME?</x:v>
      </x:c>
      <x:c r="D10" s="5" t="e">
        <x:f aca="0">02_将来年次投資置換!D7*IF(9&gt;=11,1+$B$6,1)</x:f>
        <x:v>#NAME?</x:v>
      </x:c>
      <x:c r="E10" s="5" t="e">
        <x:f aca="0">02_将来年次投資置換!E7*IF(10&gt;=11,1+$B$6,1)</x:f>
        <x:v>#NAME?</x:v>
      </x:c>
      <x:c r="F10" s="5" t="e">
        <x:f aca="0">02_将来年次投資置換!F7*IF(11&gt;=11,1+$B$6,1)</x:f>
        <x:v>#NAME?</x:v>
      </x:c>
      <x:c r="G10" s="5" t="e">
        <x:f aca="0">02_将来年次投資置換!G7*IF(12&gt;=11,1+$B$6,1)</x:f>
        <x:v>#NAME?</x:v>
      </x:c>
      <x:c r="H10" s="5" t="e">
        <x:f aca="0">02_将来年次投資置換!H7*IF(13&gt;=11,1+$B$6,1)</x:f>
        <x:v>#NAME?</x:v>
      </x:c>
      <x:c r="I10" s="5" t="e">
        <x:f aca="0">02_将来年次投資置換!I7*IF(14&gt;=11,1+$B$6,1)</x:f>
        <x:v>#NAME?</x:v>
      </x:c>
      <x:c r="J10" s="5" t="e">
        <x:f aca="0">02_将来年次投資置換!J7*IF(15&gt;=11,1+$B$6,1)</x:f>
        <x:v>#NAME?</x:v>
      </x:c>
      <x:c r="K10" s="5" t="e">
        <x:f aca="0">02_将来年次投資置換!K7*IF(16&gt;=11,1+$B$6,1)</x:f>
        <x:v>#NAME?</x:v>
      </x:c>
    </x:row>
    <x:row r="11" ht="17.149999618530273" hidden="0">
      <x:c r="A11" s="6" t="s">
        <x:v>138</x:v>
      </x:c>
      <x:c r="B11" s="5" t="e">
        <x:f aca="0">B10-02_将来年次投資置換!B7</x:f>
        <x:v>#NAME?</x:v>
      </x:c>
      <x:c r="C11" s="5" t="e">
        <x:f aca="0">C10-02_将来年次投資置換!C7</x:f>
        <x:v>#NAME?</x:v>
      </x:c>
      <x:c r="D11" s="5" t="e">
        <x:f aca="0">D10-02_将来年次投資置換!D7</x:f>
        <x:v>#NAME?</x:v>
      </x:c>
      <x:c r="E11" s="5" t="e">
        <x:f aca="0">E10-02_将来年次投資置換!E7</x:f>
        <x:v>#NAME?</x:v>
      </x:c>
      <x:c r="F11" s="5" t="e">
        <x:f aca="0">F10-02_将来年次投資置換!F7</x:f>
        <x:v>#NAME?</x:v>
      </x:c>
      <x:c r="G11" s="5" t="e">
        <x:f aca="0">G10-02_将来年次投資置換!G7</x:f>
        <x:v>#NAME?</x:v>
      </x:c>
      <x:c r="H11" s="5" t="e">
        <x:f aca="0">H10-02_将来年次投資置換!H7</x:f>
        <x:v>#NAME?</x:v>
      </x:c>
      <x:c r="I11" s="5" t="e">
        <x:f aca="0">I10-02_将来年次投資置換!I7</x:f>
        <x:v>#NAME?</x:v>
      </x:c>
      <x:c r="J11" s="5" t="e">
        <x:f aca="0">J10-02_将来年次投資置換!J7</x:f>
        <x:v>#NAME?</x:v>
      </x:c>
      <x:c r="K11" s="5" t="e">
        <x:f aca="0">K10-02_将来年次投資置換!K7</x:f>
        <x:v>#NAME?</x:v>
      </x:c>
    </x:row>
    <x:row r="12" ht="17.149999618530273" hidden="0">
      <x:c r="A12" s="6" t="s">
        <x:v>139</x:v>
      </x:c>
      <x:c r="B12" s="5" t="e">
        <x:f aca="0">02_将来年次投資置換!B8</x:f>
        <x:v>#NAME?</x:v>
      </x:c>
      <x:c r="C12" s="5" t="e">
        <x:f aca="0">02_将来年次投資置換!C8</x:f>
        <x:v>#NAME?</x:v>
      </x:c>
      <x:c r="D12" s="5" t="e">
        <x:f aca="0">02_将来年次投資置換!D8</x:f>
        <x:v>#NAME?</x:v>
      </x:c>
      <x:c r="E12" s="5" t="e">
        <x:f aca="0">02_将来年次投資置換!E8</x:f>
        <x:v>#NAME?</x:v>
      </x:c>
      <x:c r="F12" s="5" t="e">
        <x:f aca="0">02_将来年次投資置換!F8</x:f>
        <x:v>#NAME?</x:v>
      </x:c>
      <x:c r="G12" s="5" t="e">
        <x:f aca="0">02_将来年次投資置換!G8</x:f>
        <x:v>#NAME?</x:v>
      </x:c>
      <x:c r="H12" s="5" t="e">
        <x:f aca="0">02_将来年次投資置換!H8</x:f>
        <x:v>#NAME?</x:v>
      </x:c>
      <x:c r="I12" s="5" t="e">
        <x:f aca="0">02_将来年次投資置換!I8</x:f>
        <x:v>#NAME?</x:v>
      </x:c>
      <x:c r="J12" s="5" t="e">
        <x:f aca="0">02_将来年次投資置換!J8</x:f>
        <x:v>#NAME?</x:v>
      </x:c>
      <x:c r="K12" s="5" t="e">
        <x:f aca="0">02_将来年次投資置換!K8</x:f>
        <x:v>#NAME?</x:v>
      </x:c>
    </x:row>
    <x:row r="13" ht="17.149999618530273" hidden="0">
      <x:c r="A13" s="6" t="s">
        <x:v>57</x:v>
      </x:c>
      <x:c r="B13" s="5" t="e">
        <x:f aca="0">02_将来年次投資置換!B9</x:f>
        <x:v>#NAME?</x:v>
      </x:c>
      <x:c r="C13" s="5" t="e">
        <x:f aca="0">02_将来年次投資置換!C9</x:f>
        <x:v>#NAME?</x:v>
      </x:c>
      <x:c r="D13" s="5" t="e">
        <x:f aca="0">02_将来年次投資置換!D9</x:f>
        <x:v>#NAME?</x:v>
      </x:c>
      <x:c r="E13" s="5" t="e">
        <x:f aca="0">02_将来年次投資置換!E9</x:f>
        <x:v>#NAME?</x:v>
      </x:c>
      <x:c r="F13" s="5" t="e">
        <x:f aca="0">02_将来年次投資置換!F9</x:f>
        <x:v>#NAME?</x:v>
      </x:c>
      <x:c r="G13" s="5" t="e">
        <x:f aca="0">02_将来年次投資置換!G9</x:f>
        <x:v>#NAME?</x:v>
      </x:c>
      <x:c r="H13" s="5" t="e">
        <x:f aca="0">02_将来年次投資置換!H9</x:f>
        <x:v>#NAME?</x:v>
      </x:c>
      <x:c r="I13" s="5" t="e">
        <x:f aca="0">02_将来年次投資置換!I9</x:f>
        <x:v>#NAME?</x:v>
      </x:c>
      <x:c r="J13" s="5" t="e">
        <x:f aca="0">02_将来年次投資置換!J9</x:f>
        <x:v>#NAME?</x:v>
      </x:c>
      <x:c r="K13" s="5" t="e">
        <x:f aca="0">02_将来年次投資置換!K9</x:f>
        <x:v>#NAME?</x:v>
      </x:c>
    </x:row>
    <x:row r="14" ht="17.149999618530273" hidden="0">
      <x:c r="A14" s="6" t="s">
        <x:v>140</x:v>
      </x:c>
      <x:c r="B14" s="5" t="e">
        <x:f aca="0">02_将来年次投資置換!B12</x:f>
        <x:v>#NAME?</x:v>
      </x:c>
      <x:c r="C14" s="5" t="e">
        <x:f aca="0">02_将来年次投資置換!C12</x:f>
        <x:v>#NAME?</x:v>
      </x:c>
      <x:c r="D14" s="5" t="e">
        <x:f aca="0">02_将来年次投資置換!D12</x:f>
        <x:v>#NAME?</x:v>
      </x:c>
      <x:c r="E14" s="5" t="e">
        <x:f aca="0">02_将来年次投資置換!E12</x:f>
        <x:v>#NAME?</x:v>
      </x:c>
      <x:c r="F14" s="5" t="e">
        <x:f aca="0">02_将来年次投資置換!F12</x:f>
        <x:v>#NAME?</x:v>
      </x:c>
      <x:c r="G14" s="5" t="e">
        <x:f aca="0">02_将来年次投資置換!G12</x:f>
        <x:v>#NAME?</x:v>
      </x:c>
      <x:c r="H14" s="5" t="e">
        <x:f aca="0">02_将来年次投資置換!H12</x:f>
        <x:v>#NAME?</x:v>
      </x:c>
      <x:c r="I14" s="5" t="e">
        <x:f aca="0">02_将来年次投資置換!I12</x:f>
        <x:v>#NAME?</x:v>
      </x:c>
      <x:c r="J14" s="5" t="e">
        <x:f aca="0">02_将来年次投資置換!J12</x:f>
        <x:v>#NAME?</x:v>
      </x:c>
      <x:c r="K14" s="5" t="e">
        <x:f aca="0">02_将来年次投資置換!K12</x:f>
        <x:v>#NAME?</x:v>
      </x:c>
    </x:row>
    <x:row r="15" ht="17.149999618530273" hidden="0">
      <x:c r="A15" s="6" t="s">
        <x:v>141</x:v>
      </x:c>
      <x:c r="B15" s="5" t="e">
        <x:f aca="0">02_将来年次投資置換!B11</x:f>
        <x:v>#NAME?</x:v>
      </x:c>
      <x:c r="C15" s="5" t="e">
        <x:f aca="0">02_将来年次投資置換!C11</x:f>
        <x:v>#NAME?</x:v>
      </x:c>
      <x:c r="D15" s="5" t="e">
        <x:f aca="0">02_将来年次投資置換!D11</x:f>
        <x:v>#NAME?</x:v>
      </x:c>
      <x:c r="E15" s="5" t="e">
        <x:f aca="0">02_将来年次投資置換!E11</x:f>
        <x:v>#NAME?</x:v>
      </x:c>
      <x:c r="F15" s="5" t="e">
        <x:f aca="0">02_将来年次投資置換!F11</x:f>
        <x:v>#NAME?</x:v>
      </x:c>
      <x:c r="G15" s="5" t="e">
        <x:f aca="0">02_将来年次投資置換!G11</x:f>
        <x:v>#NAME?</x:v>
      </x:c>
      <x:c r="H15" s="5" t="e">
        <x:f aca="0">02_将来年次投資置換!H11</x:f>
        <x:v>#NAME?</x:v>
      </x:c>
      <x:c r="I15" s="5" t="e">
        <x:f aca="0">02_将来年次投資置換!I11</x:f>
        <x:v>#NAME?</x:v>
      </x:c>
      <x:c r="J15" s="5" t="e">
        <x:f aca="0">02_将来年次投資置換!J11</x:f>
        <x:v>#NAME?</x:v>
      </x:c>
      <x:c r="K15" s="5" t="e">
        <x:f aca="0">02_将来年次投資置換!K11</x:f>
        <x:v>#NAME?</x:v>
      </x:c>
    </x:row>
    <x:row r="16" ht="17.149999618530273" hidden="0">
      <x:c r="A16" s="6" t="s">
        <x:v>62</x:v>
      </x:c>
      <x:c r="B16" s="5" t="e">
        <x:f aca="0">02_将来年次投資置換!B14</x:f>
        <x:v>#NAME?</x:v>
      </x:c>
      <x:c r="C16" s="5" t="e">
        <x:f aca="0">02_将来年次投資置換!C14</x:f>
        <x:v>#NAME?</x:v>
      </x:c>
      <x:c r="D16" s="5" t="e">
        <x:f aca="0">02_将来年次投資置換!D14</x:f>
        <x:v>#NAME?</x:v>
      </x:c>
      <x:c r="E16" s="5" t="e">
        <x:f aca="0">02_将来年次投資置換!E14</x:f>
        <x:v>#NAME?</x:v>
      </x:c>
      <x:c r="F16" s="5" t="e">
        <x:f aca="0">02_将来年次投資置換!F14</x:f>
        <x:v>#NAME?</x:v>
      </x:c>
      <x:c r="G16" s="5" t="e">
        <x:f aca="0">02_将来年次投資置換!G14</x:f>
        <x:v>#NAME?</x:v>
      </x:c>
      <x:c r="H16" s="5" t="e">
        <x:f aca="0">02_将来年次投資置換!H14</x:f>
        <x:v>#NAME?</x:v>
      </x:c>
      <x:c r="I16" s="5" t="e">
        <x:f aca="0">02_将来年次投資置換!I14</x:f>
        <x:v>#NAME?</x:v>
      </x:c>
      <x:c r="J16" s="5" t="e">
        <x:f aca="0">02_将来年次投資置換!J14</x:f>
        <x:v>#NAME?</x:v>
      </x:c>
      <x:c r="K16" s="5" t="e">
        <x:f aca="0">02_将来年次投資置換!K14</x:f>
        <x:v>#NAME?</x:v>
      </x:c>
    </x:row>
    <x:row r="17" ht="17.149999618530273" hidden="0">
      <x:c r="A17" s="6" t="s">
        <x:v>142</x:v>
      </x:c>
      <x:c r="B17" s="5" t="e">
        <x:f aca="0">SUM(B9,B13,B16)</x:f>
        <x:v>#NAME?</x:v>
      </x:c>
      <x:c r="C17" s="5" t="e">
        <x:f aca="0">SUM(C9,C13,C16)</x:f>
        <x:v>#NAME?</x:v>
      </x:c>
      <x:c r="D17" s="5" t="e">
        <x:f aca="0">SUM(D9,D13,D16)</x:f>
        <x:v>#NAME?</x:v>
      </x:c>
      <x:c r="E17" s="5" t="e">
        <x:f aca="0">SUM(E9,E13,E16)</x:f>
        <x:v>#NAME?</x:v>
      </x:c>
      <x:c r="F17" s="5" t="e">
        <x:f aca="0">SUM(F9,F13,F16)</x:f>
        <x:v>#NAME?</x:v>
      </x:c>
      <x:c r="G17" s="5" t="e">
        <x:f aca="0">SUM(G9,G13,G16)</x:f>
        <x:v>#NAME?</x:v>
      </x:c>
      <x:c r="H17" s="5" t="e">
        <x:f aca="0">SUM(H9,H13,H16)</x:f>
        <x:v>#NAME?</x:v>
      </x:c>
      <x:c r="I17" s="5" t="e">
        <x:f aca="0">SUM(I9,I13,I16)</x:f>
        <x:v>#NAME?</x:v>
      </x:c>
      <x:c r="J17" s="5" t="e">
        <x:f aca="0">SUM(J9,J13,J16)</x:f>
        <x:v>#NAME?</x:v>
      </x:c>
      <x:c r="K17" s="5" t="e">
        <x:f aca="0">SUM(K9,K13,K16)</x:f>
        <x:v>#NAME?</x:v>
      </x:c>
    </x:row>
    <x:row r="18" ht="15" hidden="0">
      <x:c r="A18" s="7"/>
      <x:c r="B18" s="5"/>
      <x:c r="C18" s="5"/>
      <x:c r="D18" s="5"/>
      <x:c r="E18" s="5"/>
      <x:c r="F18" s="5"/>
      <x:c r="G18" s="5"/>
      <x:c r="H18" s="5"/>
      <x:c r="I18" s="5"/>
      <x:c r="J18" s="5"/>
      <x:c r="K18" s="5"/>
    </x:row>
    <x:row r="19" ht="17.149999618530273" hidden="0">
      <x:c r="A19" s="42" t="s">
        <x:v>63</x:v>
      </x:c>
      <x:c r="B19" s="43"/>
      <x:c r="C19" s="43"/>
      <x:c r="D19" s="43"/>
      <x:c r="E19" s="43"/>
      <x:c r="F19" s="43"/>
      <x:c r="G19" s="43"/>
      <x:c r="H19" s="43"/>
      <x:c r="I19" s="43"/>
      <x:c r="J19" s="43"/>
      <x:c r="K19" s="43"/>
    </x:row>
    <x:row r="20" ht="17.149999618530273" hidden="0">
      <x:c r="A20" s="6" t="s">
        <x:v>65</x:v>
      </x:c>
      <x:c r="B20" s="5" t="e">
        <x:f aca="0">02_将来年次投資置換!B18</x:f>
        <x:v>#NAME?</x:v>
      </x:c>
      <x:c r="C20" s="5" t="e">
        <x:f aca="0">02_将来年次投資置換!C18</x:f>
        <x:v>#NAME?</x:v>
      </x:c>
      <x:c r="D20" s="5" t="e">
        <x:f aca="0">02_将来年次投資置換!D18</x:f>
        <x:v>#NAME?</x:v>
      </x:c>
      <x:c r="E20" s="5" t="e">
        <x:f aca="0">02_将来年次投資置換!E18</x:f>
        <x:v>#NAME?</x:v>
      </x:c>
      <x:c r="F20" s="5" t="e">
        <x:f aca="0">02_将来年次投資置換!F18</x:f>
        <x:v>#NAME?</x:v>
      </x:c>
      <x:c r="G20" s="5" t="e">
        <x:f aca="0">02_将来年次投資置換!G18</x:f>
        <x:v>#NAME?</x:v>
      </x:c>
      <x:c r="H20" s="5" t="e">
        <x:f aca="0">02_将来年次投資置換!H18</x:f>
        <x:v>#NAME?</x:v>
      </x:c>
      <x:c r="I20" s="5" t="e">
        <x:f aca="0">02_将来年次投資置換!I18</x:f>
        <x:v>#NAME?</x:v>
      </x:c>
      <x:c r="J20" s="5" t="e">
        <x:f aca="0">02_将来年次投資置換!J18</x:f>
        <x:v>#NAME?</x:v>
      </x:c>
      <x:c r="K20" s="5" t="e">
        <x:f aca="0">02_将来年次投資置換!K18</x:f>
        <x:v>#NAME?</x:v>
      </x:c>
    </x:row>
    <x:row r="21" ht="17.149999618530273" hidden="0">
      <x:c r="A21" s="6" t="s">
        <x:v>143</x:v>
      </x:c>
      <x:c r="B21" s="5" t="e">
        <x:f aca="0">02_将来年次投資置換!B25</x:f>
        <x:v>#NAME?</x:v>
      </x:c>
      <x:c r="C21" s="5" t="e">
        <x:f aca="0">02_将来年次投資置換!C25</x:f>
        <x:v>#NAME?</x:v>
      </x:c>
      <x:c r="D21" s="5" t="e">
        <x:f aca="0">02_将来年次投資置換!D25</x:f>
        <x:v>#NAME?</x:v>
      </x:c>
      <x:c r="E21" s="5" t="e">
        <x:f aca="0">02_将来年次投資置換!E25</x:f>
        <x:v>#NAME?</x:v>
      </x:c>
      <x:c r="F21" s="5" t="e">
        <x:f aca="0">02_将来年次投資置換!F25</x:f>
        <x:v>#NAME?</x:v>
      </x:c>
      <x:c r="G21" s="5" t="e">
        <x:f aca="0">02_将来年次投資置換!G25</x:f>
        <x:v>#NAME?</x:v>
      </x:c>
      <x:c r="H21" s="5" t="e">
        <x:f aca="0">02_将来年次投資置換!H25</x:f>
        <x:v>#NAME?</x:v>
      </x:c>
      <x:c r="I21" s="5" t="e">
        <x:f aca="0">02_将来年次投資置換!I25</x:f>
        <x:v>#NAME?</x:v>
      </x:c>
      <x:c r="J21" s="5" t="e">
        <x:f aca="0">02_将来年次投資置換!J25</x:f>
        <x:v>#NAME?</x:v>
      </x:c>
      <x:c r="K21" s="5" t="e">
        <x:f aca="0">02_将来年次投資置換!K25</x:f>
        <x:v>#NAME?</x:v>
      </x:c>
    </x:row>
    <x:row r="22" ht="17.149999618530273" hidden="0">
      <x:c r="A22" s="6" t="s">
        <x:v>144</x:v>
      </x:c>
      <x:c r="B22" s="5" t="e">
        <x:f aca="0">02_将来年次投資置換!B26</x:f>
        <x:v>#NAME?</x:v>
      </x:c>
      <x:c r="C22" s="5" t="e">
        <x:f aca="0">02_将来年次投資置換!C26</x:f>
        <x:v>#NAME?</x:v>
      </x:c>
      <x:c r="D22" s="5" t="e">
        <x:f aca="0">02_将来年次投資置換!D26</x:f>
        <x:v>#NAME?</x:v>
      </x:c>
      <x:c r="E22" s="5" t="e">
        <x:f aca="0">02_将来年次投資置換!E26</x:f>
        <x:v>#NAME?</x:v>
      </x:c>
      <x:c r="F22" s="5" t="e">
        <x:f aca="0">02_将来年次投資置換!F26</x:f>
        <x:v>#NAME?</x:v>
      </x:c>
      <x:c r="G22" s="5" t="e">
        <x:f aca="0">02_将来年次投資置換!G26</x:f>
        <x:v>#NAME?</x:v>
      </x:c>
      <x:c r="H22" s="5" t="e">
        <x:f aca="0">02_将来年次投資置換!H26</x:f>
        <x:v>#NAME?</x:v>
      </x:c>
      <x:c r="I22" s="5" t="e">
        <x:f aca="0">02_将来年次投資置換!I26</x:f>
        <x:v>#NAME?</x:v>
      </x:c>
      <x:c r="J22" s="5" t="e">
        <x:f aca="0">02_将来年次投資置換!J26</x:f>
        <x:v>#NAME?</x:v>
      </x:c>
      <x:c r="K22" s="5" t="e">
        <x:f aca="0">02_将来年次投資置換!K26</x:f>
        <x:v>#NAME?</x:v>
      </x:c>
    </x:row>
    <x:row r="23" ht="17.149999618530273" hidden="0">
      <x:c r="A23" s="6" t="s">
        <x:v>75</x:v>
      </x:c>
      <x:c r="B23" s="5" t="e">
        <x:f aca="0">02_将来年次投資置換!B28</x:f>
        <x:v>#NAME?</x:v>
      </x:c>
      <x:c r="C23" s="5" t="e">
        <x:f aca="0">02_将来年次投資置換!C28</x:f>
        <x:v>#NAME?</x:v>
      </x:c>
      <x:c r="D23" s="5" t="e">
        <x:f aca="0">02_将来年次投資置換!D28</x:f>
        <x:v>#NAME?</x:v>
      </x:c>
      <x:c r="E23" s="5" t="e">
        <x:f aca="0">02_将来年次投資置換!E28</x:f>
        <x:v>#NAME?</x:v>
      </x:c>
      <x:c r="F23" s="5" t="e">
        <x:f aca="0">02_将来年次投資置換!F28</x:f>
        <x:v>#NAME?</x:v>
      </x:c>
      <x:c r="G23" s="5" t="e">
        <x:f aca="0">02_将来年次投資置換!G28</x:f>
        <x:v>#NAME?</x:v>
      </x:c>
      <x:c r="H23" s="5" t="e">
        <x:f aca="0">02_将来年次投資置換!H28</x:f>
        <x:v>#NAME?</x:v>
      </x:c>
      <x:c r="I23" s="5" t="e">
        <x:f aca="0">02_将来年次投資置換!I28</x:f>
        <x:v>#NAME?</x:v>
      </x:c>
      <x:c r="J23" s="5" t="e">
        <x:f aca="0">02_将来年次投資置換!J28</x:f>
        <x:v>#NAME?</x:v>
      </x:c>
      <x:c r="K23" s="5" t="e">
        <x:f aca="0">02_将来年次投資置換!K28</x:f>
        <x:v>#NAME?</x:v>
      </x:c>
    </x:row>
    <x:row r="24" ht="17.149999618530273" hidden="0">
      <x:c r="A24" s="6" t="s">
        <x:v>145</x:v>
      </x:c>
      <x:c r="B24" s="5" t="e">
        <x:f aca="0">02_将来年次投資置換!B29</x:f>
        <x:v>#NAME?</x:v>
      </x:c>
      <x:c r="C24" s="5" t="e">
        <x:f aca="0">02_将来年次投資置換!C29</x:f>
        <x:v>#NAME?</x:v>
      </x:c>
      <x:c r="D24" s="5" t="e">
        <x:f aca="0">02_将来年次投資置換!D29</x:f>
        <x:v>#NAME?</x:v>
      </x:c>
      <x:c r="E24" s="5" t="e">
        <x:f aca="0">02_将来年次投資置換!E29</x:f>
        <x:v>#NAME?</x:v>
      </x:c>
      <x:c r="F24" s="5" t="e">
        <x:f aca="0">02_将来年次投資置換!F29</x:f>
        <x:v>#NAME?</x:v>
      </x:c>
      <x:c r="G24" s="5" t="e">
        <x:f aca="0">02_将来年次投資置換!G29</x:f>
        <x:v>#NAME?</x:v>
      </x:c>
      <x:c r="H24" s="5" t="e">
        <x:f aca="0">02_将来年次投資置換!H29</x:f>
        <x:v>#NAME?</x:v>
      </x:c>
      <x:c r="I24" s="5" t="e">
        <x:f aca="0">02_将来年次投資置換!I29</x:f>
        <x:v>#NAME?</x:v>
      </x:c>
      <x:c r="J24" s="5" t="e">
        <x:f aca="0">02_将来年次投資置換!J29</x:f>
        <x:v>#NAME?</x:v>
      </x:c>
      <x:c r="K24" s="5" t="e">
        <x:f aca="0">02_将来年次投資置換!K29</x:f>
        <x:v>#NAME?</x:v>
      </x:c>
    </x:row>
    <x:row r="25" ht="17.149999618530273" hidden="0">
      <x:c r="A25" s="6" t="s">
        <x:v>78</x:v>
      </x:c>
      <x:c r="B25" s="5" t="e">
        <x:f aca="0">02_将来年次投資置換!B31</x:f>
        <x:v>#NAME?</x:v>
      </x:c>
      <x:c r="C25" s="5" t="e">
        <x:f aca="0">02_将来年次投資置換!C31</x:f>
        <x:v>#NAME?</x:v>
      </x:c>
      <x:c r="D25" s="5" t="e">
        <x:f aca="0">02_将来年次投資置換!D31</x:f>
        <x:v>#NAME?</x:v>
      </x:c>
      <x:c r="E25" s="5" t="e">
        <x:f aca="0">02_将来年次投資置換!E31</x:f>
        <x:v>#NAME?</x:v>
      </x:c>
      <x:c r="F25" s="5" t="e">
        <x:f aca="0">02_将来年次投資置換!F31</x:f>
        <x:v>#NAME?</x:v>
      </x:c>
      <x:c r="G25" s="5" t="e">
        <x:f aca="0">02_将来年次投資置換!G31</x:f>
        <x:v>#NAME?</x:v>
      </x:c>
      <x:c r="H25" s="5" t="e">
        <x:f aca="0">02_将来年次投資置換!H31</x:f>
        <x:v>#NAME?</x:v>
      </x:c>
      <x:c r="I25" s="5" t="e">
        <x:f aca="0">02_将来年次投資置換!I31</x:f>
        <x:v>#NAME?</x:v>
      </x:c>
      <x:c r="J25" s="5" t="e">
        <x:f aca="0">02_将来年次投資置換!J31</x:f>
        <x:v>#NAME?</x:v>
      </x:c>
      <x:c r="K25" s="5" t="e">
        <x:f aca="0">02_将来年次投資置換!K31</x:f>
        <x:v>#NAME?</x:v>
      </x:c>
    </x:row>
    <x:row r="26" ht="17.149999618530273" hidden="0">
      <x:c r="A26" s="6" t="s">
        <x:v>146</x:v>
      </x:c>
      <x:c r="B26" s="5" t="e">
        <x:f aca="0">SUM(B20,B23,B25)</x:f>
        <x:v>#NAME?</x:v>
      </x:c>
      <x:c r="C26" s="5" t="e">
        <x:f aca="0">SUM(C20,C23,C25)</x:f>
        <x:v>#NAME?</x:v>
      </x:c>
      <x:c r="D26" s="5" t="e">
        <x:f aca="0">SUM(D20,D23,D25)</x:f>
        <x:v>#NAME?</x:v>
      </x:c>
      <x:c r="E26" s="5" t="e">
        <x:f aca="0">SUM(E20,E23,E25)</x:f>
        <x:v>#NAME?</x:v>
      </x:c>
      <x:c r="F26" s="5" t="e">
        <x:f aca="0">SUM(F20,F23,F25)</x:f>
        <x:v>#NAME?</x:v>
      </x:c>
      <x:c r="G26" s="5" t="e">
        <x:f aca="0">SUM(G20,G23,G25)</x:f>
        <x:v>#NAME?</x:v>
      </x:c>
      <x:c r="H26" s="5" t="e">
        <x:f aca="0">SUM(H20,H23,H25)</x:f>
        <x:v>#NAME?</x:v>
      </x:c>
      <x:c r="I26" s="5" t="e">
        <x:f aca="0">SUM(I20,I23,I25)</x:f>
        <x:v>#NAME?</x:v>
      </x:c>
      <x:c r="J26" s="5" t="e">
        <x:f aca="0">SUM(J20,J23,J25)</x:f>
        <x:v>#NAME?</x:v>
      </x:c>
      <x:c r="K26" s="5" t="e">
        <x:f aca="0">SUM(K20,K23,K25)</x:f>
        <x:v>#NAME?</x:v>
      </x:c>
    </x:row>
    <x:row r="27" ht="17.149999618530273" hidden="0">
      <x:c r="A27" s="6" t="s">
        <x:v>147</x:v>
      </x:c>
      <x:c r="B27" s="5" t="e">
        <x:f aca="0">SUM(B9,B13)-SUM(B20,B23)</x:f>
        <x:v>#NAME?</x:v>
      </x:c>
      <x:c r="C27" s="5" t="e">
        <x:f aca="0">SUM(C9,C13)-SUM(C20,C23)</x:f>
        <x:v>#NAME?</x:v>
      </x:c>
      <x:c r="D27" s="5" t="e">
        <x:f aca="0">SUM(D9,D13)-SUM(D20,D23)</x:f>
        <x:v>#NAME?</x:v>
      </x:c>
      <x:c r="E27" s="5" t="e">
        <x:f aca="0">SUM(E9,E13)-SUM(E20,E23)</x:f>
        <x:v>#NAME?</x:v>
      </x:c>
      <x:c r="F27" s="5" t="e">
        <x:f aca="0">SUM(F9,F13)-SUM(F20,F23)</x:f>
        <x:v>#NAME?</x:v>
      </x:c>
      <x:c r="G27" s="5" t="e">
        <x:f aca="0">SUM(G9,G13)-SUM(G20,G23)</x:f>
        <x:v>#NAME?</x:v>
      </x:c>
      <x:c r="H27" s="5" t="e">
        <x:f aca="0">SUM(H9,H13)-SUM(H20,H23)</x:f>
        <x:v>#NAME?</x:v>
      </x:c>
      <x:c r="I27" s="5" t="e">
        <x:f aca="0">SUM(I9,I13)-SUM(I20,I23)</x:f>
        <x:v>#NAME?</x:v>
      </x:c>
      <x:c r="J27" s="5" t="e">
        <x:f aca="0">SUM(J9,J13)-SUM(J20,J23)</x:f>
        <x:v>#NAME?</x:v>
      </x:c>
      <x:c r="K27" s="5" t="e">
        <x:f aca="0">SUM(K9,K13)-SUM(K20,K23)</x:f>
        <x:v>#NAME?</x:v>
      </x:c>
    </x:row>
    <x:row r="28" ht="17.149999618530273" hidden="0">
      <x:c r="A28" s="6" t="s">
        <x:v>148</x:v>
      </x:c>
      <x:c r="B28" s="5" t="e">
        <x:f aca="0">B27+B16-B25</x:f>
        <x:v>#NAME?</x:v>
      </x:c>
      <x:c r="C28" s="5" t="e">
        <x:f aca="0">C27+C16-C25</x:f>
        <x:v>#NAME?</x:v>
      </x:c>
      <x:c r="D28" s="5" t="e">
        <x:f aca="0">D27+D16-D25</x:f>
        <x:v>#NAME?</x:v>
      </x:c>
      <x:c r="E28" s="5" t="e">
        <x:f aca="0">E27+E16-E25</x:f>
        <x:v>#NAME?</x:v>
      </x:c>
      <x:c r="F28" s="5" t="e">
        <x:f aca="0">F27+F16-F25</x:f>
        <x:v>#NAME?</x:v>
      </x:c>
      <x:c r="G28" s="5" t="e">
        <x:f aca="0">G27+G16-G25</x:f>
        <x:v>#NAME?</x:v>
      </x:c>
      <x:c r="H28" s="5" t="e">
        <x:f aca="0">H27+H16-H25</x:f>
        <x:v>#NAME?</x:v>
      </x:c>
      <x:c r="I28" s="5" t="e">
        <x:f aca="0">I27+I16-I25</x:f>
        <x:v>#NAME?</x:v>
      </x:c>
      <x:c r="J28" s="5" t="e">
        <x:f aca="0">J27+J16-J25</x:f>
        <x:v>#NAME?</x:v>
      </x:c>
      <x:c r="K28" s="5" t="e">
        <x:f aca="0">K27+K16-K25</x:f>
        <x:v>#NAME?</x:v>
      </x:c>
    </x:row>
    <x:row r="29" ht="15" hidden="0">
      <x:c r="A29" s="7"/>
      <x:c r="B29" s="5"/>
      <x:c r="C29" s="5"/>
      <x:c r="D29" s="5"/>
      <x:c r="E29" s="5"/>
      <x:c r="F29" s="5"/>
      <x:c r="G29" s="5"/>
      <x:c r="H29" s="5"/>
      <x:c r="I29" s="5"/>
      <x:c r="J29" s="5"/>
      <x:c r="K29" s="5"/>
    </x:row>
    <x:row r="30" ht="17.149999618530273" hidden="0">
      <x:c r="A30" s="42" t="s">
        <x:v>149</x:v>
      </x:c>
      <x:c r="B30" s="43"/>
      <x:c r="C30" s="43"/>
      <x:c r="D30" s="43"/>
      <x:c r="E30" s="43"/>
      <x:c r="F30" s="43"/>
      <x:c r="G30" s="43"/>
      <x:c r="H30" s="43"/>
      <x:c r="I30" s="43"/>
      <x:c r="J30" s="43"/>
      <x:c r="K30" s="43"/>
    </x:row>
    <x:row r="31" ht="17.149999618530273" hidden="0">
      <x:c r="A31" s="6" t="s">
        <x:v>150</x:v>
      </x:c>
      <x:c r="B31" s="35" t="n">
        <x:f aca="0">IFERROR((SUM(B9,B13)/SUM(B20,B23))*100,0)</x:f>
        <x:v>0</x:v>
      </x:c>
      <x:c r="C31" s="35" t="n">
        <x:f aca="0">IFERROR((SUM(C9,C13)/SUM(C20,C23))*100,0)</x:f>
        <x:v>0</x:v>
      </x:c>
      <x:c r="D31" s="35" t="n">
        <x:f aca="0">IFERROR((SUM(D9,D13)/SUM(D20,D23))*100,0)</x:f>
        <x:v>0</x:v>
      </x:c>
      <x:c r="E31" s="35" t="n">
        <x:f aca="0">IFERROR((SUM(E9,E13)/SUM(E20,E23))*100,0)</x:f>
        <x:v>0</x:v>
      </x:c>
      <x:c r="F31" s="35" t="n">
        <x:f aca="0">IFERROR((SUM(F9,F13)/SUM(F20,F23))*100,0)</x:f>
        <x:v>0</x:v>
      </x:c>
      <x:c r="G31" s="35" t="n">
        <x:f aca="0">IFERROR((SUM(G9,G13)/SUM(G20,G23))*100,0)</x:f>
        <x:v>0</x:v>
      </x:c>
      <x:c r="H31" s="35" t="n">
        <x:f aca="0">IFERROR((SUM(H9,H13)/SUM(H20,H23))*100,0)</x:f>
        <x:v>0</x:v>
      </x:c>
      <x:c r="I31" s="35" t="n">
        <x:f aca="0">IFERROR((SUM(I9,I13)/SUM(I20,I23))*100,0)</x:f>
        <x:v>0</x:v>
      </x:c>
      <x:c r="J31" s="35" t="n">
        <x:f aca="0">IFERROR((SUM(J9,J13)/SUM(J20,J23))*100,0)</x:f>
        <x:v>0</x:v>
      </x:c>
      <x:c r="K31" s="35" t="n">
        <x:f aca="0">IFERROR((SUM(K9,K13)/SUM(K20,K23))*100,0)</x:f>
        <x:v>0</x:v>
      </x:c>
    </x:row>
    <x:row r="32" ht="17.149999618530273" hidden="0">
      <x:c r="A32" s="6" t="s">
        <x:v>151</x:v>
      </x:c>
      <x:c r="B32" s="35" t="n">
        <x:f aca="0">IFERROR(B10/B34*100,0)</x:f>
        <x:v>0</x:v>
      </x:c>
      <x:c r="C32" s="35" t="n">
        <x:f aca="0">IFERROR(C10/C34*100,0)</x:f>
        <x:v>0</x:v>
      </x:c>
      <x:c r="D32" s="35" t="n">
        <x:f aca="0">IFERROR(D10/D34*100,0)</x:f>
        <x:v>0</x:v>
      </x:c>
      <x:c r="E32" s="35" t="n">
        <x:f aca="0">IFERROR(E10/E34*100,0)</x:f>
        <x:v>0</x:v>
      </x:c>
      <x:c r="F32" s="35" t="n">
        <x:f aca="0">IFERROR(F10/F34*100,0)</x:f>
        <x:v>0</x:v>
      </x:c>
      <x:c r="G32" s="35" t="n">
        <x:f aca="0">IFERROR(G10/G34*100,0)</x:f>
        <x:v>0</x:v>
      </x:c>
      <x:c r="H32" s="35" t="n">
        <x:f aca="0">IFERROR(H10/H34*100,0)</x:f>
        <x:v>0</x:v>
      </x:c>
      <x:c r="I32" s="35" t="n">
        <x:f aca="0">IFERROR(I10/I34*100,0)</x:f>
        <x:v>0</x:v>
      </x:c>
      <x:c r="J32" s="35" t="n">
        <x:f aca="0">IFERROR(J10/J34*100,0)</x:f>
        <x:v>0</x:v>
      </x:c>
      <x:c r="K32" s="35" t="n">
        <x:f aca="0">IFERROR(K10/K34*100,0)</x:f>
        <x:v>0</x:v>
      </x:c>
    </x:row>
    <x:row r="33" ht="17.149999618530273" hidden="0">
      <x:c r="A33" s="6" t="s">
        <x:v>152</x:v>
      </x:c>
      <x:c r="B33" s="35" t="n">
        <x:f aca="0">IFERROR(B10/B35*100,0)</x:f>
        <x:v>0</x:v>
      </x:c>
      <x:c r="C33" s="35" t="n">
        <x:f aca="0">IFERROR(C10/C35*100,0)</x:f>
        <x:v>0</x:v>
      </x:c>
      <x:c r="D33" s="35" t="n">
        <x:f aca="0">IFERROR(D10/D35*100,0)</x:f>
        <x:v>0</x:v>
      </x:c>
      <x:c r="E33" s="35" t="n">
        <x:f aca="0">IFERROR(E10/E35*100,0)</x:f>
        <x:v>0</x:v>
      </x:c>
      <x:c r="F33" s="35" t="n">
        <x:f aca="0">IFERROR(F10/F35*100,0)</x:f>
        <x:v>0</x:v>
      </x:c>
      <x:c r="G33" s="35" t="n">
        <x:f aca="0">IFERROR(G10/G35*100,0)</x:f>
        <x:v>0</x:v>
      </x:c>
      <x:c r="H33" s="35" t="n">
        <x:f aca="0">IFERROR(H10/H35*100,0)</x:f>
        <x:v>0</x:v>
      </x:c>
      <x:c r="I33" s="35" t="n">
        <x:f aca="0">IFERROR(I10/I35*100,0)</x:f>
        <x:v>0</x:v>
      </x:c>
      <x:c r="J33" s="35" t="n">
        <x:f aca="0">IFERROR(J10/J35*100,0)</x:f>
        <x:v>0</x:v>
      </x:c>
      <x:c r="K33" s="35" t="n">
        <x:f aca="0">IFERROR(K10/K35*100,0)</x:f>
        <x:v>0</x:v>
      </x:c>
    </x:row>
    <x:row r="34" ht="17.149999618530273" hidden="0">
      <x:c r="A34" s="6" t="s">
        <x:v>153</x:v>
      </x:c>
      <x:c r="B34" s="5" t="e">
        <x:f aca="0">SUM(B20,B23)-B14</x:f>
        <x:v>#NAME?</x:v>
      </x:c>
      <x:c r="C34" s="5" t="e">
        <x:f aca="0">SUM(C20,C23)-C14</x:f>
        <x:v>#NAME?</x:v>
      </x:c>
      <x:c r="D34" s="5" t="e">
        <x:f aca="0">SUM(D20,D23)-D14</x:f>
        <x:v>#NAME?</x:v>
      </x:c>
      <x:c r="E34" s="5" t="e">
        <x:f aca="0">SUM(E20,E23)-E14</x:f>
        <x:v>#NAME?</x:v>
      </x:c>
      <x:c r="F34" s="5" t="e">
        <x:f aca="0">SUM(F20,F23)-F14</x:f>
        <x:v>#NAME?</x:v>
      </x:c>
      <x:c r="G34" s="5" t="e">
        <x:f aca="0">SUM(G20,G23)-G14</x:f>
        <x:v>#NAME?</x:v>
      </x:c>
      <x:c r="H34" s="5" t="e">
        <x:f aca="0">SUM(H20,H23)-H14</x:f>
        <x:v>#NAME?</x:v>
      </x:c>
      <x:c r="I34" s="5" t="e">
        <x:f aca="0">SUM(I20,I23)-I14</x:f>
        <x:v>#NAME?</x:v>
      </x:c>
      <x:c r="J34" s="5" t="e">
        <x:f aca="0">SUM(J20,J23)-J14</x:f>
        <x:v>#NAME?</x:v>
      </x:c>
      <x:c r="K34" s="5" t="e">
        <x:f aca="0">SUM(K20,K23)-K14</x:f>
        <x:v>#NAME?</x:v>
      </x:c>
    </x:row>
    <x:row r="35" ht="17.149999618530273" hidden="0">
      <x:c r="A35" s="6" t="s">
        <x:v>154</x:v>
      </x:c>
      <x:c r="B35" s="5" t="e">
        <x:f aca="0">B34+$B$5</x:f>
        <x:v>#NAME?</x:v>
      </x:c>
      <x:c r="C35" s="5" t="e">
        <x:f aca="0">C34+$B$5</x:f>
        <x:v>#NAME?</x:v>
      </x:c>
      <x:c r="D35" s="5" t="e">
        <x:f aca="0">D34+$B$5</x:f>
        <x:v>#NAME?</x:v>
      </x:c>
      <x:c r="E35" s="5" t="e">
        <x:f aca="0">E34+$B$5</x:f>
        <x:v>#NAME?</x:v>
      </x:c>
      <x:c r="F35" s="5" t="e">
        <x:f aca="0">F34+$B$5</x:f>
        <x:v>#NAME?</x:v>
      </x:c>
      <x:c r="G35" s="5" t="e">
        <x:f aca="0">G34+$B$5</x:f>
        <x:v>#NAME?</x:v>
      </x:c>
      <x:c r="H35" s="5" t="e">
        <x:f aca="0">H34+$B$5</x:f>
        <x:v>#NAME?</x:v>
      </x:c>
      <x:c r="I35" s="5" t="e">
        <x:f aca="0">I34+$B$5</x:f>
        <x:v>#NAME?</x:v>
      </x:c>
      <x:c r="J35" s="5" t="e">
        <x:f aca="0">J34+$B$5</x:f>
        <x:v>#NAME?</x:v>
      </x:c>
      <x:c r="K35" s="5" t="e">
        <x:f aca="0">K34+$B$5</x:f>
        <x:v>#NAME?</x:v>
      </x:c>
    </x:row>
    <x:row r="36" ht="17.149999618530273" hidden="0">
      <x:c r="A36" s="6" t="s">
        <x:v>155</x:v>
      </x:c>
      <x:c r="B36" s="35" t="n">
        <x:f aca="0">IFERROR(B10/(B20+B23-B14-B12-B15+$B$5)*100,0)</x:f>
        <x:v>0</x:v>
      </x:c>
      <x:c r="C36" s="35" t="n">
        <x:f aca="0">IFERROR(C10/(C20+C23-C14-C12-C15+$B$5)*100,0)</x:f>
        <x:v>0</x:v>
      </x:c>
      <x:c r="D36" s="35" t="n">
        <x:f aca="0">IFERROR(D10/(D20+D23-D14-D12-D15+$B$5)*100,0)</x:f>
        <x:v>0</x:v>
      </x:c>
      <x:c r="E36" s="35" t="n">
        <x:f aca="0">IFERROR(E10/(E20+E23-E14-E12-E15+$B$5)*100,0)</x:f>
        <x:v>0</x:v>
      </x:c>
      <x:c r="F36" s="35" t="n">
        <x:f aca="0">IFERROR(F10/(F20+F23-F14-F12-F15+$B$5)*100,0)</x:f>
        <x:v>0</x:v>
      </x:c>
      <x:c r="G36" s="35" t="n">
        <x:f aca="0">IFERROR(G10/(G20+G23-G14-G12-G15+$B$5)*100,0)</x:f>
        <x:v>0</x:v>
      </x:c>
      <x:c r="H36" s="35" t="n">
        <x:f aca="0">IFERROR(H10/(H20+H23-H14-H12-H15+$B$5)*100,0)</x:f>
        <x:v>0</x:v>
      </x:c>
      <x:c r="I36" s="35" t="n">
        <x:f aca="0">IFERROR(I10/(I20+I23-I14-I12-I15+$B$5)*100,0)</x:f>
        <x:v>0</x:v>
      </x:c>
      <x:c r="J36" s="35" t="n">
        <x:f aca="0">IFERROR(J10/(J20+J23-J14-J12-J15+$B$5)*100,0)</x:f>
        <x:v>0</x:v>
      </x:c>
      <x:c r="K36" s="35" t="n">
        <x:f aca="0">IFERROR(K10/(K20+K23-K14-K12-K15+$B$5)*100,0)</x:f>
        <x:v>0</x:v>
      </x:c>
    </x:row>
    <x:row r="37" ht="17.149999618530273" hidden="0">
      <x:c r="A37" s="6" t="s">
        <x:v>156</x:v>
      </x:c>
      <x:c r="B37" s="5" t="str">
        <x:f aca="0">IF(B33&lt;=B32,"OK","要確認")</x:f>
        <x:v>OK</x:v>
      </x:c>
      <x:c r="C37" s="5" t="str">
        <x:f aca="0">IF(C33&lt;=C32,"OK","要確認")</x:f>
        <x:v>OK</x:v>
      </x:c>
      <x:c r="D37" s="5" t="str">
        <x:f aca="0">IF(D33&lt;=D32,"OK","要確認")</x:f>
        <x:v>OK</x:v>
      </x:c>
      <x:c r="E37" s="5" t="str">
        <x:f aca="0">IF(E33&lt;=E32,"OK","要確認")</x:f>
        <x:v>OK</x:v>
      </x:c>
      <x:c r="F37" s="5" t="str">
        <x:f aca="0">IF(F33&lt;=F32,"OK","要確認")</x:f>
        <x:v>OK</x:v>
      </x:c>
      <x:c r="G37" s="5" t="str">
        <x:f aca="0">IF(G33&lt;=G32,"OK","要確認")</x:f>
        <x:v>OK</x:v>
      </x:c>
      <x:c r="H37" s="5" t="str">
        <x:f aca="0">IF(H33&lt;=H32,"OK","要確認")</x:f>
        <x:v>OK</x:v>
      </x:c>
      <x:c r="I37" s="5" t="str">
        <x:f aca="0">IF(I33&lt;=I32,"OK","要確認")</x:f>
        <x:v>OK</x:v>
      </x:c>
      <x:c r="J37" s="5" t="str">
        <x:f aca="0">IF(J33&lt;=J32,"OK","要確認")</x:f>
        <x:v>OK</x:v>
      </x:c>
      <x:c r="K37" s="5" t="str">
        <x:f aca="0">IF(K33&lt;=K32,"OK","要確認")</x:f>
        <x:v>OK</x:v>
      </x:c>
    </x:row>
    <x:row r="38" ht="15" hidden="0">
      <x:c r="A38" s="7"/>
      <x:c r="B38" s="5"/>
      <x:c r="C38" s="5"/>
      <x:c r="D38" s="5"/>
      <x:c r="E38" s="5"/>
      <x:c r="F38" s="5"/>
      <x:c r="G38" s="5"/>
      <x:c r="H38" s="5"/>
      <x:c r="I38" s="5"/>
      <x:c r="J38" s="5"/>
      <x:c r="K38" s="5"/>
    </x:row>
    <x:row r="39" ht="17.149999618530273" hidden="0">
      <x:c r="A39" s="42" t="s">
        <x:v>79</x:v>
      </x:c>
      <x:c r="B39" s="43"/>
      <x:c r="C39" s="43"/>
      <x:c r="D39" s="43"/>
      <x:c r="E39" s="43"/>
      <x:c r="F39" s="43"/>
      <x:c r="G39" s="43"/>
      <x:c r="H39" s="43"/>
      <x:c r="I39" s="43"/>
      <x:c r="J39" s="43"/>
      <x:c r="K39" s="43"/>
    </x:row>
    <x:row r="40" ht="17.149999618530273" hidden="0">
      <x:c r="A40" s="6" t="s">
        <x:v>80</x:v>
      </x:c>
      <x:c r="B40" s="5" t="e">
        <x:f aca="0">02_将来年次投資置換!B34</x:f>
        <x:v>#NAME?</x:v>
      </x:c>
      <x:c r="C40" s="5" t="e">
        <x:f aca="0">02_将来年次投資置換!C34</x:f>
        <x:v>#NAME?</x:v>
      </x:c>
      <x:c r="D40" s="5" t="e">
        <x:f aca="0">02_将来年次投資置換!D34</x:f>
        <x:v>#NAME?</x:v>
      </x:c>
      <x:c r="E40" s="5" t="e">
        <x:f aca="0">02_将来年次投資置換!E34</x:f>
        <x:v>#NAME?</x:v>
      </x:c>
      <x:c r="F40" s="5" t="e">
        <x:f aca="0">02_将来年次投資置換!F34</x:f>
        <x:v>#NAME?</x:v>
      </x:c>
      <x:c r="G40" s="5" t="e">
        <x:f aca="0">02_将来年次投資置換!G34</x:f>
        <x:v>#NAME?</x:v>
      </x:c>
      <x:c r="H40" s="5" t="e">
        <x:f aca="0">02_将来年次投資置換!H34</x:f>
        <x:v>#NAME?</x:v>
      </x:c>
      <x:c r="I40" s="5" t="e">
        <x:f aca="0">02_将来年次投資置換!I34</x:f>
        <x:v>#NAME?</x:v>
      </x:c>
      <x:c r="J40" s="5" t="e">
        <x:f aca="0">02_将来年次投資置換!J34</x:f>
        <x:v>#NAME?</x:v>
      </x:c>
      <x:c r="K40" s="5" t="e">
        <x:f aca="0">02_将来年次投資置換!K34</x:f>
        <x:v>#NAME?</x:v>
      </x:c>
    </x:row>
    <x:row r="41" ht="17.149999618530273" hidden="0">
      <x:c r="A41" s="6" t="s">
        <x:v>81</x:v>
      </x:c>
      <x:c r="B41" s="5" t="e">
        <x:f aca="0">02_将来年次投資置換!B35</x:f>
        <x:v>#NAME?</x:v>
      </x:c>
      <x:c r="C41" s="5" t="e">
        <x:f aca="0">02_将来年次投資置換!C35</x:f>
        <x:v>#NAME?</x:v>
      </x:c>
      <x:c r="D41" s="5" t="e">
        <x:f aca="0">02_将来年次投資置換!D35</x:f>
        <x:v>#NAME?</x:v>
      </x:c>
      <x:c r="E41" s="5" t="e">
        <x:f aca="0">02_将来年次投資置換!E35</x:f>
        <x:v>#NAME?</x:v>
      </x:c>
      <x:c r="F41" s="5" t="e">
        <x:f aca="0">02_将来年次投資置換!F35</x:f>
        <x:v>#NAME?</x:v>
      </x:c>
      <x:c r="G41" s="5" t="e">
        <x:f aca="0">02_将来年次投資置換!G35</x:f>
        <x:v>#NAME?</x:v>
      </x:c>
      <x:c r="H41" s="5" t="e">
        <x:f aca="0">02_将来年次投資置換!H35</x:f>
        <x:v>#NAME?</x:v>
      </x:c>
      <x:c r="I41" s="5" t="e">
        <x:f aca="0">02_将来年次投資置換!I35</x:f>
        <x:v>#NAME?</x:v>
      </x:c>
      <x:c r="J41" s="5" t="e">
        <x:f aca="0">02_将来年次投資置換!J35</x:f>
        <x:v>#NAME?</x:v>
      </x:c>
      <x:c r="K41" s="5" t="e">
        <x:f aca="0">02_将来年次投資置換!K35</x:f>
        <x:v>#NAME?</x:v>
      </x:c>
    </x:row>
    <x:row r="42" ht="17.149999618530273" hidden="0">
      <x:c r="A42" s="6" t="s">
        <x:v>82</x:v>
      </x:c>
      <x:c r="B42" s="5" t="e">
        <x:f aca="0">02_将来年次投資置換!B36</x:f>
        <x:v>#NAME?</x:v>
      </x:c>
      <x:c r="C42" s="5" t="e">
        <x:f aca="0">02_将来年次投資置換!C36</x:f>
        <x:v>#NAME?</x:v>
      </x:c>
      <x:c r="D42" s="5" t="e">
        <x:f aca="0">02_将来年次投資置換!D36</x:f>
        <x:v>#NAME?</x:v>
      </x:c>
      <x:c r="E42" s="5" t="e">
        <x:f aca="0">02_将来年次投資置換!E36</x:f>
        <x:v>#NAME?</x:v>
      </x:c>
      <x:c r="F42" s="5" t="e">
        <x:f aca="0">02_将来年次投資置換!F36</x:f>
        <x:v>#NAME?</x:v>
      </x:c>
      <x:c r="G42" s="5" t="e">
        <x:f aca="0">02_将来年次投資置換!G36</x:f>
        <x:v>#NAME?</x:v>
      </x:c>
      <x:c r="H42" s="5" t="e">
        <x:f aca="0">02_将来年次投資置換!H36</x:f>
        <x:v>#NAME?</x:v>
      </x:c>
      <x:c r="I42" s="5" t="e">
        <x:f aca="0">02_将来年次投資置換!I36</x:f>
        <x:v>#NAME?</x:v>
      </x:c>
      <x:c r="J42" s="5" t="e">
        <x:f aca="0">02_将来年次投資置換!J36</x:f>
        <x:v>#NAME?</x:v>
      </x:c>
      <x:c r="K42" s="5" t="e">
        <x:f aca="0">02_将来年次投資置換!K36</x:f>
        <x:v>#NAME?</x:v>
      </x:c>
    </x:row>
    <x:row r="43" ht="17.149999618530273" hidden="0">
      <x:c r="A43" s="6" t="s">
        <x:v>83</x:v>
      </x:c>
      <x:c r="B43" s="5" t="e">
        <x:f aca="0">02_将来年次投資置換!B37</x:f>
        <x:v>#NAME?</x:v>
      </x:c>
      <x:c r="C43" s="5" t="e">
        <x:f aca="0">02_将来年次投資置換!C37</x:f>
        <x:v>#NAME?</x:v>
      </x:c>
      <x:c r="D43" s="5" t="e">
        <x:f aca="0">02_将来年次投資置換!D37</x:f>
        <x:v>#NAME?</x:v>
      </x:c>
      <x:c r="E43" s="5" t="e">
        <x:f aca="0">02_将来年次投資置換!E37</x:f>
        <x:v>#NAME?</x:v>
      </x:c>
      <x:c r="F43" s="5" t="e">
        <x:f aca="0">02_将来年次投資置換!F37</x:f>
        <x:v>#NAME?</x:v>
      </x:c>
      <x:c r="G43" s="5" t="e">
        <x:f aca="0">02_将来年次投資置換!G37</x:f>
        <x:v>#NAME?</x:v>
      </x:c>
      <x:c r="H43" s="5" t="e">
        <x:f aca="0">02_将来年次投資置換!H37</x:f>
        <x:v>#NAME?</x:v>
      </x:c>
      <x:c r="I43" s="5" t="e">
        <x:f aca="0">02_将来年次投資置換!I37</x:f>
        <x:v>#NAME?</x:v>
      </x:c>
      <x:c r="J43" s="5" t="e">
        <x:f aca="0">02_将来年次投資置換!J37</x:f>
        <x:v>#NAME?</x:v>
      </x:c>
      <x:c r="K43" s="5" t="e">
        <x:f aca="0">02_将来年次投資置換!K37</x:f>
        <x:v>#NAME?</x:v>
      </x:c>
    </x:row>
    <x:row r="44" ht="17.149999618530273" hidden="0">
      <x:c r="A44" s="6" t="s">
        <x:v>84</x:v>
      </x:c>
      <x:c r="B44" s="5" t="e">
        <x:f aca="0">02_将来年次投資置換!B38</x:f>
        <x:v>#NAME?</x:v>
      </x:c>
      <x:c r="C44" s="5" t="e">
        <x:f aca="0">02_将来年次投資置換!C38</x:f>
        <x:v>#NAME?</x:v>
      </x:c>
      <x:c r="D44" s="5" t="e">
        <x:f aca="0">02_将来年次投資置換!D38</x:f>
        <x:v>#NAME?</x:v>
      </x:c>
      <x:c r="E44" s="5" t="e">
        <x:f aca="0">02_将来年次投資置換!E38</x:f>
        <x:v>#NAME?</x:v>
      </x:c>
      <x:c r="F44" s="5" t="e">
        <x:f aca="0">02_将来年次投資置換!F38</x:f>
        <x:v>#NAME?</x:v>
      </x:c>
      <x:c r="G44" s="5" t="e">
        <x:f aca="0">02_将来年次投資置換!G38</x:f>
        <x:v>#NAME?</x:v>
      </x:c>
      <x:c r="H44" s="5" t="e">
        <x:f aca="0">02_将来年次投資置換!H38</x:f>
        <x:v>#NAME?</x:v>
      </x:c>
      <x:c r="I44" s="5" t="e">
        <x:f aca="0">02_将来年次投資置換!I38</x:f>
        <x:v>#NAME?</x:v>
      </x:c>
      <x:c r="J44" s="5" t="e">
        <x:f aca="0">02_将来年次投資置換!J38</x:f>
        <x:v>#NAME?</x:v>
      </x:c>
      <x:c r="K44" s="5" t="e">
        <x:f aca="0">02_将来年次投資置換!K38</x:f>
        <x:v>#NAME?</x:v>
      </x:c>
    </x:row>
    <x:row r="45" ht="17.149999618530273" hidden="0">
      <x:c r="A45" s="6" t="s">
        <x:v>85</x:v>
      </x:c>
      <x:c r="B45" s="5" t="e">
        <x:f aca="0">02_将来年次投資置換!B39</x:f>
        <x:v>#NAME?</x:v>
      </x:c>
      <x:c r="C45" s="5" t="e">
        <x:f aca="0">02_将来年次投資置換!C39</x:f>
        <x:v>#NAME?</x:v>
      </x:c>
      <x:c r="D45" s="5" t="e">
        <x:f aca="0">02_将来年次投資置換!D39</x:f>
        <x:v>#NAME?</x:v>
      </x:c>
      <x:c r="E45" s="5" t="e">
        <x:f aca="0">02_将来年次投資置換!E39</x:f>
        <x:v>#NAME?</x:v>
      </x:c>
      <x:c r="F45" s="5" t="e">
        <x:f aca="0">02_将来年次投資置換!F39</x:f>
        <x:v>#NAME?</x:v>
      </x:c>
      <x:c r="G45" s="5" t="e">
        <x:f aca="0">02_将来年次投資置換!G39</x:f>
        <x:v>#NAME?</x:v>
      </x:c>
      <x:c r="H45" s="5" t="e">
        <x:f aca="0">02_将来年次投資置換!H39</x:f>
        <x:v>#NAME?</x:v>
      </x:c>
      <x:c r="I45" s="5" t="e">
        <x:f aca="0">02_将来年次投資置換!I39</x:f>
        <x:v>#NAME?</x:v>
      </x:c>
      <x:c r="J45" s="5" t="e">
        <x:f aca="0">02_将来年次投資置換!J39</x:f>
        <x:v>#NAME?</x:v>
      </x:c>
      <x:c r="K45" s="5" t="e">
        <x:f aca="0">02_将来年次投資置換!K39</x:f>
        <x:v>#NAME?</x:v>
      </x:c>
    </x:row>
    <x:row r="46" ht="17.149999618530273" hidden="0">
      <x:c r="A46" s="6" t="s">
        <x:v>86</x:v>
      </x:c>
      <x:c r="B46" s="5" t="e">
        <x:f aca="0">02_将来年次投資置換!B40</x:f>
        <x:v>#NAME?</x:v>
      </x:c>
      <x:c r="C46" s="5" t="e">
        <x:f aca="0">02_将来年次投資置換!C40</x:f>
        <x:v>#NAME?</x:v>
      </x:c>
      <x:c r="D46" s="5" t="e">
        <x:f aca="0">02_将来年次投資置換!D40</x:f>
        <x:v>#NAME?</x:v>
      </x:c>
      <x:c r="E46" s="5" t="e">
        <x:f aca="0">02_将来年次投資置換!E40</x:f>
        <x:v>#NAME?</x:v>
      </x:c>
      <x:c r="F46" s="5" t="e">
        <x:f aca="0">02_将来年次投資置換!F40</x:f>
        <x:v>#NAME?</x:v>
      </x:c>
      <x:c r="G46" s="5" t="e">
        <x:f aca="0">02_将来年次投資置換!G40</x:f>
        <x:v>#NAME?</x:v>
      </x:c>
      <x:c r="H46" s="5" t="e">
        <x:f aca="0">02_将来年次投資置換!H40</x:f>
        <x:v>#NAME?</x:v>
      </x:c>
      <x:c r="I46" s="5" t="e">
        <x:f aca="0">02_将来年次投資置換!I40</x:f>
        <x:v>#NAME?</x:v>
      </x:c>
      <x:c r="J46" s="5" t="e">
        <x:f aca="0">02_将来年次投資置換!J40</x:f>
        <x:v>#NAME?</x:v>
      </x:c>
      <x:c r="K46" s="5" t="e">
        <x:f aca="0">02_将来年次投資置換!K40</x:f>
        <x:v>#NAME?</x:v>
      </x:c>
    </x:row>
    <x:row r="47" ht="17.149999618530273" hidden="0">
      <x:c r="A47" s="6" t="s">
        <x:v>87</x:v>
      </x:c>
      <x:c r="B47" s="5" t="e">
        <x:f aca="0">02_将来年次投資置換!B41</x:f>
        <x:v>#NAME?</x:v>
      </x:c>
      <x:c r="C47" s="5" t="e">
        <x:f aca="0">02_将来年次投資置換!C41</x:f>
        <x:v>#NAME?</x:v>
      </x:c>
      <x:c r="D47" s="5" t="e">
        <x:f aca="0">02_将来年次投資置換!D41</x:f>
        <x:v>#NAME?</x:v>
      </x:c>
      <x:c r="E47" s="5" t="e">
        <x:f aca="0">02_将来年次投資置換!E41</x:f>
        <x:v>#NAME?</x:v>
      </x:c>
      <x:c r="F47" s="5" t="e">
        <x:f aca="0">02_将来年次投資置換!F41</x:f>
        <x:v>#NAME?</x:v>
      </x:c>
      <x:c r="G47" s="5" t="e">
        <x:f aca="0">02_将来年次投資置換!G41</x:f>
        <x:v>#NAME?</x:v>
      </x:c>
      <x:c r="H47" s="5" t="e">
        <x:f aca="0">02_将来年次投資置換!H41</x:f>
        <x:v>#NAME?</x:v>
      </x:c>
      <x:c r="I47" s="5" t="e">
        <x:f aca="0">02_将来年次投資置換!I41</x:f>
        <x:v>#NAME?</x:v>
      </x:c>
      <x:c r="J47" s="5" t="e">
        <x:f aca="0">02_将来年次投資置換!J41</x:f>
        <x:v>#NAME?</x:v>
      </x:c>
      <x:c r="K47" s="5" t="e">
        <x:f aca="0">02_将来年次投資置換!K41</x:f>
        <x:v>#NAME?</x:v>
      </x:c>
    </x:row>
    <x:row r="48" ht="15" hidden="0">
      <x:c r="A48" s="7"/>
      <x:c r="B48" s="5"/>
      <x:c r="C48" s="5"/>
      <x:c r="D48" s="5"/>
      <x:c r="E48" s="5"/>
      <x:c r="F48" s="5"/>
      <x:c r="G48" s="5"/>
      <x:c r="H48" s="5"/>
      <x:c r="I48" s="5"/>
      <x:c r="J48" s="5"/>
      <x:c r="K48" s="5"/>
    </x:row>
    <x:row r="49" ht="17.149999618530273" hidden="0">
      <x:c r="A49" s="42" t="s">
        <x:v>88</x:v>
      </x:c>
      <x:c r="B49" s="43"/>
      <x:c r="C49" s="43"/>
      <x:c r="D49" s="43"/>
      <x:c r="E49" s="43"/>
      <x:c r="F49" s="43"/>
      <x:c r="G49" s="43"/>
      <x:c r="H49" s="43"/>
      <x:c r="I49" s="43"/>
      <x:c r="J49" s="43"/>
      <x:c r="K49" s="43"/>
    </x:row>
    <x:row r="50" ht="17.149999618530273" hidden="0">
      <x:c r="A50" s="6" t="s">
        <x:v>89</x:v>
      </x:c>
      <x:c r="B50" s="5" t="e">
        <x:f aca="0">02_将来年次投資置換!B44</x:f>
        <x:v>#NAME?</x:v>
      </x:c>
      <x:c r="C50" s="5" t="e">
        <x:f aca="0">02_将来年次投資置換!C44</x:f>
        <x:v>#NAME?</x:v>
      </x:c>
      <x:c r="D50" s="5" t="e">
        <x:f aca="0">02_将来年次投資置換!D44</x:f>
        <x:v>#NAME?</x:v>
      </x:c>
      <x:c r="E50" s="5" t="e">
        <x:f aca="0">02_将来年次投資置換!E44</x:f>
        <x:v>#NAME?</x:v>
      </x:c>
      <x:c r="F50" s="5" t="e">
        <x:f aca="0">02_将来年次投資置換!F44</x:f>
        <x:v>#NAME?</x:v>
      </x:c>
      <x:c r="G50" s="5" t="e">
        <x:f aca="0">02_将来年次投資置換!G44</x:f>
        <x:v>#NAME?</x:v>
      </x:c>
      <x:c r="H50" s="5" t="e">
        <x:f aca="0">02_将来年次投資置換!H44</x:f>
        <x:v>#NAME?</x:v>
      </x:c>
      <x:c r="I50" s="5" t="e">
        <x:f aca="0">02_将来年次投資置換!I44</x:f>
        <x:v>#NAME?</x:v>
      </x:c>
      <x:c r="J50" s="5" t="e">
        <x:f aca="0">02_将来年次投資置換!J44</x:f>
        <x:v>#NAME?</x:v>
      </x:c>
      <x:c r="K50" s="5" t="e">
        <x:f aca="0">02_将来年次投資置換!K44</x:f>
        <x:v>#NAME?</x:v>
      </x:c>
    </x:row>
    <x:row r="51" ht="17.149999618530273" hidden="0">
      <x:c r="A51" s="6" t="s">
        <x:v>90</x:v>
      </x:c>
      <x:c r="B51" s="5" t="e">
        <x:f aca="0">02_将来年次投資置換!B45</x:f>
        <x:v>#NAME?</x:v>
      </x:c>
      <x:c r="C51" s="5" t="e">
        <x:f aca="0">02_将来年次投資置換!C45</x:f>
        <x:v>#NAME?</x:v>
      </x:c>
      <x:c r="D51" s="5" t="e">
        <x:f aca="0">02_将来年次投資置換!D45</x:f>
        <x:v>#NAME?</x:v>
      </x:c>
      <x:c r="E51" s="5" t="e">
        <x:f aca="0">02_将来年次投資置換!E45</x:f>
        <x:v>#NAME?</x:v>
      </x:c>
      <x:c r="F51" s="5" t="e">
        <x:f aca="0">02_将来年次投資置換!F45</x:f>
        <x:v>#NAME?</x:v>
      </x:c>
      <x:c r="G51" s="5" t="e">
        <x:f aca="0">02_将来年次投資置換!G45</x:f>
        <x:v>#NAME?</x:v>
      </x:c>
      <x:c r="H51" s="5" t="e">
        <x:f aca="0">02_将来年次投資置換!H45</x:f>
        <x:v>#NAME?</x:v>
      </x:c>
      <x:c r="I51" s="5" t="e">
        <x:f aca="0">02_将来年次投資置換!I45</x:f>
        <x:v>#NAME?</x:v>
      </x:c>
      <x:c r="J51" s="5" t="e">
        <x:f aca="0">02_将来年次投資置換!J45</x:f>
        <x:v>#NAME?</x:v>
      </x:c>
      <x:c r="K51" s="5" t="e">
        <x:f aca="0">02_将来年次投資置換!K45</x:f>
        <x:v>#NAME?</x:v>
      </x:c>
    </x:row>
    <x:row r="52" ht="17.149999618530273" hidden="0">
      <x:c r="A52" s="6" t="s">
        <x:v>91</x:v>
      </x:c>
      <x:c r="B52" s="5" t="e">
        <x:f aca="0">02_将来年次投資置換!B46</x:f>
        <x:v>#NAME?</x:v>
      </x:c>
      <x:c r="C52" s="5" t="e">
        <x:f aca="0">02_将来年次投資置換!C46</x:f>
        <x:v>#NAME?</x:v>
      </x:c>
      <x:c r="D52" s="5" t="e">
        <x:f aca="0">02_将来年次投資置換!D46</x:f>
        <x:v>#NAME?</x:v>
      </x:c>
      <x:c r="E52" s="5" t="e">
        <x:f aca="0">02_将来年次投資置換!E46</x:f>
        <x:v>#NAME?</x:v>
      </x:c>
      <x:c r="F52" s="5" t="e">
        <x:f aca="0">02_将来年次投資置換!F46</x:f>
        <x:v>#NAME?</x:v>
      </x:c>
      <x:c r="G52" s="5" t="e">
        <x:f aca="0">02_将来年次投資置換!G46</x:f>
        <x:v>#NAME?</x:v>
      </x:c>
      <x:c r="H52" s="5" t="e">
        <x:f aca="0">02_将来年次投資置換!H46</x:f>
        <x:v>#NAME?</x:v>
      </x:c>
      <x:c r="I52" s="5" t="e">
        <x:f aca="0">02_将来年次投資置換!I46</x:f>
        <x:v>#NAME?</x:v>
      </x:c>
      <x:c r="J52" s="5" t="e">
        <x:f aca="0">02_将来年次投資置換!J46</x:f>
        <x:v>#NAME?</x:v>
      </x:c>
      <x:c r="K52" s="5" t="e">
        <x:f aca="0">02_将来年次投資置換!K46</x:f>
        <x:v>#NAME?</x:v>
      </x:c>
    </x:row>
    <x:row r="53" ht="17.149999618530273" hidden="0">
      <x:c r="A53" s="6" t="s">
        <x:v>92</x:v>
      </x:c>
      <x:c r="B53" s="5" t="e">
        <x:f aca="0">02_将来年次投資置換!B47</x:f>
        <x:v>#NAME?</x:v>
      </x:c>
      <x:c r="C53" s="5" t="e">
        <x:f aca="0">02_将来年次投資置換!C47</x:f>
        <x:v>#NAME?</x:v>
      </x:c>
      <x:c r="D53" s="5" t="e">
        <x:f aca="0">02_将来年次投資置換!D47</x:f>
        <x:v>#NAME?</x:v>
      </x:c>
      <x:c r="E53" s="5" t="e">
        <x:f aca="0">02_将来年次投資置換!E47</x:f>
        <x:v>#NAME?</x:v>
      </x:c>
      <x:c r="F53" s="5" t="e">
        <x:f aca="0">02_将来年次投資置換!F47</x:f>
        <x:v>#NAME?</x:v>
      </x:c>
      <x:c r="G53" s="5" t="e">
        <x:f aca="0">02_将来年次投資置換!G47</x:f>
        <x:v>#NAME?</x:v>
      </x:c>
      <x:c r="H53" s="5" t="e">
        <x:f aca="0">02_将来年次投資置換!H47</x:f>
        <x:v>#NAME?</x:v>
      </x:c>
      <x:c r="I53" s="5" t="e">
        <x:f aca="0">02_将来年次投資置換!I47</x:f>
        <x:v>#NAME?</x:v>
      </x:c>
      <x:c r="J53" s="5" t="e">
        <x:f aca="0">02_将来年次投資置換!J47</x:f>
        <x:v>#NAME?</x:v>
      </x:c>
      <x:c r="K53" s="5" t="e">
        <x:f aca="0">02_将来年次投資置換!K47</x:f>
        <x:v>#NAME?</x:v>
      </x:c>
    </x:row>
    <x:row r="54" ht="32.79999923706055" hidden="0">
      <x:c r="A54" s="6" t="s">
        <x:v>93</x:v>
      </x:c>
      <x:c r="B54" s="5" t="e">
        <x:f aca="0">B40-B50</x:f>
        <x:v>#NAME?</x:v>
      </x:c>
      <x:c r="C54" s="5" t="e">
        <x:f aca="0">C40-C50</x:f>
        <x:v>#NAME?</x:v>
      </x:c>
      <x:c r="D54" s="5" t="e">
        <x:f aca="0">D40-D50</x:f>
        <x:v>#NAME?</x:v>
      </x:c>
      <x:c r="E54" s="5" t="e">
        <x:f aca="0">E40-E50</x:f>
        <x:v>#NAME?</x:v>
      </x:c>
      <x:c r="F54" s="5" t="e">
        <x:f aca="0">F40-F50</x:f>
        <x:v>#NAME?</x:v>
      </x:c>
      <x:c r="G54" s="5" t="e">
        <x:f aca="0">G40-G50</x:f>
        <x:v>#NAME?</x:v>
      </x:c>
      <x:c r="H54" s="5" t="e">
        <x:f aca="0">H40-H50</x:f>
        <x:v>#NAME?</x:v>
      </x:c>
      <x:c r="I54" s="5" t="e">
        <x:f aca="0">I40-I50</x:f>
        <x:v>#NAME?</x:v>
      </x:c>
      <x:c r="J54" s="5" t="e">
        <x:f aca="0">J40-J50</x:f>
        <x:v>#NAME?</x:v>
      </x:c>
      <x:c r="K54" s="5" t="e">
        <x:f aca="0">K40-K50</x:f>
        <x:v>#NAME?</x:v>
      </x:c>
    </x:row>
    <x:row r="55" ht="15" hidden="0">
      <x:c r="A55" s="7"/>
      <x:c r="B55" s="5"/>
      <x:c r="C55" s="5"/>
      <x:c r="D55" s="5"/>
      <x:c r="E55" s="5"/>
      <x:c r="F55" s="5"/>
      <x:c r="G55" s="5"/>
      <x:c r="H55" s="5"/>
      <x:c r="I55" s="5"/>
      <x:c r="J55" s="5"/>
      <x:c r="K55" s="5"/>
    </x:row>
    <x:row r="56" ht="17.149999618530273" hidden="0">
      <x:c r="A56" s="42" t="s">
        <x:v>157</x:v>
      </x:c>
      <x:c r="B56" s="43"/>
      <x:c r="C56" s="43"/>
      <x:c r="D56" s="43"/>
      <x:c r="E56" s="43"/>
      <x:c r="F56" s="43"/>
      <x:c r="G56" s="43"/>
      <x:c r="H56" s="43"/>
      <x:c r="I56" s="43"/>
      <x:c r="J56" s="43"/>
      <x:c r="K56" s="43"/>
    </x:row>
    <x:row r="57" ht="17.149999618530273" hidden="0">
      <x:c r="A57" s="6" t="s">
        <x:v>158</x:v>
      </x:c>
      <x:c r="B57" s="5" t="e">
        <x:f aca="0">B28+B21+B22-B14</x:f>
        <x:v>#NAME?</x:v>
      </x:c>
      <x:c r="C57" s="5" t="e">
        <x:f aca="0">C28+C21+C22-C14</x:f>
        <x:v>#NAME?</x:v>
      </x:c>
      <x:c r="D57" s="5" t="e">
        <x:f aca="0">D28+D21+D22-D14</x:f>
        <x:v>#NAME?</x:v>
      </x:c>
      <x:c r="E57" s="5" t="e">
        <x:f aca="0">E28+E21+E22-E14</x:f>
        <x:v>#NAME?</x:v>
      </x:c>
      <x:c r="F57" s="5" t="e">
        <x:f aca="0">F28+F21+F22-F14</x:f>
        <x:v>#NAME?</x:v>
      </x:c>
      <x:c r="G57" s="5" t="e">
        <x:f aca="0">G28+G21+G22-G14</x:f>
        <x:v>#NAME?</x:v>
      </x:c>
      <x:c r="H57" s="5" t="e">
        <x:f aca="0">H28+H21+H22-H14</x:f>
        <x:v>#NAME?</x:v>
      </x:c>
      <x:c r="I57" s="5" t="e">
        <x:f aca="0">I28+I21+I22-I14</x:f>
        <x:v>#NAME?</x:v>
      </x:c>
      <x:c r="J57" s="5" t="e">
        <x:f aca="0">J28+J21+J22-J14</x:f>
        <x:v>#NAME?</x:v>
      </x:c>
      <x:c r="K57" s="5" t="e">
        <x:f aca="0">K28+K21+K22-K14</x:f>
        <x:v>#NAME?</x:v>
      </x:c>
    </x:row>
    <x:row r="58" ht="17.149999618530273" hidden="0">
      <x:c r="A58" s="6" t="s">
        <x:v>159</x:v>
      </x:c>
      <x:c r="B58" s="5" t="e">
        <x:f aca="0">B54</x:f>
        <x:v>#NAME?</x:v>
      </x:c>
      <x:c r="C58" s="5" t="e">
        <x:f aca="0">C54</x:f>
        <x:v>#NAME?</x:v>
      </x:c>
      <x:c r="D58" s="5" t="e">
        <x:f aca="0">D54</x:f>
        <x:v>#NAME?</x:v>
      </x:c>
      <x:c r="E58" s="5" t="e">
        <x:f aca="0">E54</x:f>
        <x:v>#NAME?</x:v>
      </x:c>
      <x:c r="F58" s="5" t="e">
        <x:f aca="0">F54</x:f>
        <x:v>#NAME?</x:v>
      </x:c>
      <x:c r="G58" s="5" t="e">
        <x:f aca="0">G54</x:f>
        <x:v>#NAME?</x:v>
      </x:c>
      <x:c r="H58" s="5" t="e">
        <x:f aca="0">H54</x:f>
        <x:v>#NAME?</x:v>
      </x:c>
      <x:c r="I58" s="5" t="e">
        <x:f aca="0">I54</x:f>
        <x:v>#NAME?</x:v>
      </x:c>
      <x:c r="J58" s="5" t="e">
        <x:f aca="0">J54</x:f>
        <x:v>#NAME?</x:v>
      </x:c>
      <x:c r="K58" s="5" t="e">
        <x:f aca="0">K54</x:f>
        <x:v>#NAME?</x:v>
      </x:c>
    </x:row>
    <x:row r="59" ht="17.149999618530273" hidden="0">
      <x:c r="A59" s="6" t="s">
        <x:v>160</x:v>
      </x:c>
      <x:c r="B59" s="5" t="e">
        <x:f aca="0">00_前提・検証!$B$6</x:f>
        <x:v>#NAME?</x:v>
      </x:c>
      <x:c r="C59" s="5" t="e">
        <x:f aca="0">B59+C57+C58</x:f>
        <x:v>#NAME?</x:v>
      </x:c>
      <x:c r="D59" s="5" t="e">
        <x:f aca="0">C59+D57+D58</x:f>
        <x:v>#NAME?</x:v>
      </x:c>
      <x:c r="E59" s="5" t="e">
        <x:f aca="0">D59+E57+E58</x:f>
        <x:v>#NAME?</x:v>
      </x:c>
      <x:c r="F59" s="5" t="e">
        <x:f aca="0">E59+F57+F58</x:f>
        <x:v>#NAME?</x:v>
      </x:c>
      <x:c r="G59" s="5" t="e">
        <x:f aca="0">F59+G57+G58</x:f>
        <x:v>#NAME?</x:v>
      </x:c>
      <x:c r="H59" s="5" t="e">
        <x:f aca="0">G59+H57+H58</x:f>
        <x:v>#NAME?</x:v>
      </x:c>
      <x:c r="I59" s="5" t="e">
        <x:f aca="0">H59+I57+I58</x:f>
        <x:v>#NAME?</x:v>
      </x:c>
      <x:c r="J59" s="5" t="e">
        <x:f aca="0">I59+J57+J58</x:f>
        <x:v>#NAME?</x:v>
      </x:c>
      <x:c r="K59" s="5" t="e">
        <x:f aca="0">J59+K57+K58</x:f>
        <x:v>#NAME?</x:v>
      </x:c>
    </x:row>
    <x:row r="60" ht="17.149999618530273" hidden="0">
      <x:c r="A60" s="6" t="s">
        <x:v>161</x:v>
      </x:c>
      <x:c r="B60" s="5" t="e">
        <x:f aca="0">B59-00_前提・検証!$B$7</x:f>
        <x:v>#NAME?</x:v>
      </x:c>
      <x:c r="C60" s="5" t="e">
        <x:f aca="0">C59-00_前提・検証!$B$7</x:f>
        <x:v>#NAME?</x:v>
      </x:c>
      <x:c r="D60" s="5" t="e">
        <x:f aca="0">D59-00_前提・検証!$B$7</x:f>
        <x:v>#NAME?</x:v>
      </x:c>
      <x:c r="E60" s="5" t="e">
        <x:f aca="0">E59-00_前提・検証!$B$7</x:f>
        <x:v>#NAME?</x:v>
      </x:c>
      <x:c r="F60" s="5" t="e">
        <x:f aca="0">F59-00_前提・検証!$B$7</x:f>
        <x:v>#NAME?</x:v>
      </x:c>
      <x:c r="G60" s="5" t="e">
        <x:f aca="0">G59-00_前提・検証!$B$7</x:f>
        <x:v>#NAME?</x:v>
      </x:c>
      <x:c r="H60" s="5" t="e">
        <x:f aca="0">H59-00_前提・検証!$B$7</x:f>
        <x:v>#NAME?</x:v>
      </x:c>
      <x:c r="I60" s="5" t="e">
        <x:f aca="0">I59-00_前提・検証!$B$7</x:f>
        <x:v>#NAME?</x:v>
      </x:c>
      <x:c r="J60" s="5" t="e">
        <x:f aca="0">J59-00_前提・検証!$B$7</x:f>
        <x:v>#NAME?</x:v>
      </x:c>
      <x:c r="K60" s="5" t="e">
        <x:f aca="0">K59-00_前提・検証!$B$7</x:f>
        <x:v>#NAME?</x:v>
      </x:c>
    </x:row>
  </x:sheetData>
  <x:mergeCells>
    <x:mergeCell ref="A1:K1"/>
    <x:mergeCell ref="A2:K2"/>
  </x:mergeCells>
  <x:conditionalFormatting sqref="B37:K37">
    <x:cfRule type="expression" dxfId="0" priority="2" aboveAverage="0" percent="0" bottom="0" rank="0" equalAverage="0">
      <x:formula>B37&lt;&gt;"OK"</x:formula>
    </x:cfRule>
  </x:conditionalFormatting>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4" width="8.880000114440918" hidden="0" customWidth="1"/>
    <x:col min="5" max="11" width="9.75" hidden="0" customWidth="1"/>
  </x:cols>
  <x:sheetData>
    <x:row r="1" ht="21.600000381469727" hidden="0" customHeight="1">
      <x:c r="A1" s="31" t="s">
        <x:v>167</x:v>
      </x:c>
      <x:c r="B1" s="31"/>
      <x:c r="C1" s="31"/>
      <x:c r="D1" s="31"/>
      <x:c r="E1" s="31"/>
      <x:c r="F1" s="31"/>
      <x:c r="G1" s="31"/>
      <x:c r="H1" s="31"/>
      <x:c r="I1" s="31"/>
      <x:c r="J1" s="31"/>
      <x:c r="K1" s="31"/>
    </x:row>
    <x:row r="2" ht="17.149999618530273" hidden="0" customHeight="1">
      <x:c r="A2" s="32" t="s">
        <x:v>134</x:v>
      </x:c>
      <x:c r="B2" s="32"/>
      <x:c r="C2" s="32"/>
      <x:c r="D2" s="32"/>
      <x:c r="E2" s="32"/>
      <x:c r="F2" s="32"/>
      <x:c r="G2" s="32"/>
      <x:c r="H2" s="32"/>
      <x:c r="I2" s="32"/>
      <x:c r="J2" s="32"/>
      <x:c r="K2" s="32"/>
    </x:row>
    <x:row r="3" ht="32.79999923706055" hidden="0">
      <x:c r="A3" s="1" t="s">
        <x:v>41</x:v>
      </x:c>
      <x:c r="B3" s="1" t="s">
        <x:v>42</x:v>
      </x:c>
      <x:c r="C3" s="1" t="s">
        <x:v>43</x:v>
      </x:c>
      <x:c r="D3" s="1" t="s">
        <x:v>44</x:v>
      </x:c>
      <x:c r="E3" s="1" t="s">
        <x:v>45</x:v>
      </x:c>
      <x:c r="F3" s="1" t="s">
        <x:v>46</x:v>
      </x:c>
      <x:c r="G3" s="1" t="s">
        <x:v>47</x:v>
      </x:c>
      <x:c r="H3" s="1" t="s">
        <x:v>48</x:v>
      </x:c>
      <x:c r="I3" s="1" t="s">
        <x:v>49</x:v>
      </x:c>
      <x:c r="J3" s="1" t="s">
        <x:v>50</x:v>
      </x:c>
      <x:c r="K3" s="1" t="s">
        <x:v>51</x:v>
      </x:c>
    </x:row>
    <x:row r="4" ht="17.149999618530273" hidden="0">
      <x:c r="A4" s="6" t="s">
        <x:v>99</x:v>
      </x:c>
      <x:c r="B4" s="34" t="n">
        <x:v>0.02</x:v>
      </x:c>
      <x:c r="C4" s="34"/>
      <x:c r="D4" s="34"/>
      <x:c r="E4" s="34"/>
      <x:c r="F4" s="34"/>
      <x:c r="G4" s="34"/>
      <x:c r="H4" s="34"/>
      <x:c r="I4" s="34"/>
      <x:c r="J4" s="34"/>
      <x:c r="K4" s="34"/>
    </x:row>
    <x:row r="5" ht="17.149999618530273" hidden="0">
      <x:c r="A5" s="6" t="s">
        <x:v>135</x:v>
      </x:c>
      <x:c r="B5" s="5" t="e">
        <x:f aca="0">00_前提・検証!$B$2*$B$4</x:f>
        <x:v>#NAME?</x:v>
      </x:c>
      <x:c r="C5" s="34"/>
      <x:c r="D5" s="34"/>
      <x:c r="E5" s="34"/>
      <x:c r="F5" s="34"/>
      <x:c r="G5" s="34"/>
      <x:c r="H5" s="34"/>
      <x:c r="I5" s="34"/>
      <x:c r="J5" s="34"/>
      <x:c r="K5" s="34"/>
    </x:row>
    <x:row r="6" ht="17.149999618530273" hidden="0">
      <x:c r="A6" s="6" t="s">
        <x:v>136</x:v>
      </x:c>
      <x:c r="B6" s="34" t="e">
        <x:f aca="0">MAX(0,(SUMPRODUCT((02_将来年次投資置換!F18:J18+02_将来年次投資置換!F28:J28-02_将来年次投資置換!F12:J12-02_将来年次投資置換!F8:J8-02_将来年次投資置換!F11:J11+$B$5)-02_将来年次投資置換!F7:J7)/SUM(02_将来年次投資置換!F7:J7)))</x:f>
        <x:v>#NAME?</x:v>
      </x:c>
      <x:c r="C6" s="34"/>
      <x:c r="D6" s="34"/>
      <x:c r="E6" s="34"/>
      <x:c r="F6" s="34"/>
      <x:c r="G6" s="34"/>
      <x:c r="H6" s="34"/>
      <x:c r="I6" s="34"/>
      <x:c r="J6" s="34"/>
      <x:c r="K6" s="34"/>
    </x:row>
    <x:row r="7" ht="15" hidden="0">
      <x:c r="A7" s="7"/>
      <x:c r="B7" s="7"/>
      <x:c r="C7" s="7"/>
      <x:c r="D7" s="7"/>
      <x:c r="E7" s="7"/>
      <x:c r="F7" s="7"/>
      <x:c r="G7" s="7"/>
      <x:c r="H7" s="7"/>
      <x:c r="I7" s="7"/>
      <x:c r="J7" s="7"/>
      <x:c r="K7" s="7"/>
    </x:row>
    <x:row r="8" ht="17.149999618530273" hidden="0">
      <x:c r="A8" s="42" t="s">
        <x:v>52</x:v>
      </x:c>
      <x:c r="B8" s="43"/>
      <x:c r="C8" s="43"/>
      <x:c r="D8" s="43"/>
      <x:c r="E8" s="43"/>
      <x:c r="F8" s="43"/>
      <x:c r="G8" s="43"/>
      <x:c r="H8" s="43"/>
      <x:c r="I8" s="43"/>
      <x:c r="J8" s="43"/>
      <x:c r="K8" s="43"/>
    </x:row>
    <x:row r="9" ht="17.149999618530273" hidden="0">
      <x:c r="A9" s="6" t="s">
        <x:v>54</x:v>
      </x:c>
      <x:c r="B9" s="5" t="e">
        <x:f aca="0">SUM(B10:B12)</x:f>
        <x:v>#NAME?</x:v>
      </x:c>
      <x:c r="C9" s="5" t="e">
        <x:f aca="0">SUM(C10:C12)</x:f>
        <x:v>#NAME?</x:v>
      </x:c>
      <x:c r="D9" s="5" t="e">
        <x:f aca="0">SUM(D10:D12)</x:f>
        <x:v>#NAME?</x:v>
      </x:c>
      <x:c r="E9" s="5" t="e">
        <x:f aca="0">SUM(E10:E12)</x:f>
        <x:v>#NAME?</x:v>
      </x:c>
      <x:c r="F9" s="5" t="e">
        <x:f aca="0">SUM(F10:F12)</x:f>
        <x:v>#NAME?</x:v>
      </x:c>
      <x:c r="G9" s="5" t="e">
        <x:f aca="0">SUM(G10:G12)</x:f>
        <x:v>#NAME?</x:v>
      </x:c>
      <x:c r="H9" s="5" t="e">
        <x:f aca="0">SUM(H10:H12)</x:f>
        <x:v>#NAME?</x:v>
      </x:c>
      <x:c r="I9" s="5" t="e">
        <x:f aca="0">SUM(I10:I12)</x:f>
        <x:v>#NAME?</x:v>
      </x:c>
      <x:c r="J9" s="5" t="e">
        <x:f aca="0">SUM(J10:J12)</x:f>
        <x:v>#NAME?</x:v>
      </x:c>
      <x:c r="K9" s="5" t="e">
        <x:f aca="0">SUM(K10:K12)</x:f>
        <x:v>#NAME?</x:v>
      </x:c>
    </x:row>
    <x:row r="10" ht="17.149999618530273" hidden="0">
      <x:c r="A10" s="6" t="s">
        <x:v>137</x:v>
      </x:c>
      <x:c r="B10" s="5" t="e">
        <x:f aca="0">02_将来年次投資置換!B7*IF(7&gt;=11,1+$B$6,1)</x:f>
        <x:v>#NAME?</x:v>
      </x:c>
      <x:c r="C10" s="5" t="e">
        <x:f aca="0">02_将来年次投資置換!C7*IF(8&gt;=11,1+$B$6,1)</x:f>
        <x:v>#NAME?</x:v>
      </x:c>
      <x:c r="D10" s="5" t="e">
        <x:f aca="0">02_将来年次投資置換!D7*IF(9&gt;=11,1+$B$6,1)</x:f>
        <x:v>#NAME?</x:v>
      </x:c>
      <x:c r="E10" s="5" t="e">
        <x:f aca="0">02_将来年次投資置換!E7*IF(10&gt;=11,1+$B$6,1)</x:f>
        <x:v>#NAME?</x:v>
      </x:c>
      <x:c r="F10" s="5" t="e">
        <x:f aca="0">02_将来年次投資置換!F7*IF(11&gt;=11,1+$B$6,1)</x:f>
        <x:v>#NAME?</x:v>
      </x:c>
      <x:c r="G10" s="5" t="e">
        <x:f aca="0">02_将来年次投資置換!G7*IF(12&gt;=11,1+$B$6,1)</x:f>
        <x:v>#NAME?</x:v>
      </x:c>
      <x:c r="H10" s="5" t="e">
        <x:f aca="0">02_将来年次投資置換!H7*IF(13&gt;=11,1+$B$6,1)</x:f>
        <x:v>#NAME?</x:v>
      </x:c>
      <x:c r="I10" s="5" t="e">
        <x:f aca="0">02_将来年次投資置換!I7*IF(14&gt;=11,1+$B$6,1)</x:f>
        <x:v>#NAME?</x:v>
      </x:c>
      <x:c r="J10" s="5" t="e">
        <x:f aca="0">02_将来年次投資置換!J7*IF(15&gt;=11,1+$B$6,1)</x:f>
        <x:v>#NAME?</x:v>
      </x:c>
      <x:c r="K10" s="5" t="e">
        <x:f aca="0">02_将来年次投資置換!K7*IF(16&gt;=11,1+$B$6,1)</x:f>
        <x:v>#NAME?</x:v>
      </x:c>
    </x:row>
    <x:row r="11" ht="17.149999618530273" hidden="0">
      <x:c r="A11" s="6" t="s">
        <x:v>138</x:v>
      </x:c>
      <x:c r="B11" s="5" t="e">
        <x:f aca="0">B10-02_将来年次投資置換!B7</x:f>
        <x:v>#NAME?</x:v>
      </x:c>
      <x:c r="C11" s="5" t="e">
        <x:f aca="0">C10-02_将来年次投資置換!C7</x:f>
        <x:v>#NAME?</x:v>
      </x:c>
      <x:c r="D11" s="5" t="e">
        <x:f aca="0">D10-02_将来年次投資置換!D7</x:f>
        <x:v>#NAME?</x:v>
      </x:c>
      <x:c r="E11" s="5" t="e">
        <x:f aca="0">E10-02_将来年次投資置換!E7</x:f>
        <x:v>#NAME?</x:v>
      </x:c>
      <x:c r="F11" s="5" t="e">
        <x:f aca="0">F10-02_将来年次投資置換!F7</x:f>
        <x:v>#NAME?</x:v>
      </x:c>
      <x:c r="G11" s="5" t="e">
        <x:f aca="0">G10-02_将来年次投資置換!G7</x:f>
        <x:v>#NAME?</x:v>
      </x:c>
      <x:c r="H11" s="5" t="e">
        <x:f aca="0">H10-02_将来年次投資置換!H7</x:f>
        <x:v>#NAME?</x:v>
      </x:c>
      <x:c r="I11" s="5" t="e">
        <x:f aca="0">I10-02_将来年次投資置換!I7</x:f>
        <x:v>#NAME?</x:v>
      </x:c>
      <x:c r="J11" s="5" t="e">
        <x:f aca="0">J10-02_将来年次投資置換!J7</x:f>
        <x:v>#NAME?</x:v>
      </x:c>
      <x:c r="K11" s="5" t="e">
        <x:f aca="0">K10-02_将来年次投資置換!K7</x:f>
        <x:v>#NAME?</x:v>
      </x:c>
    </x:row>
    <x:row r="12" ht="17.149999618530273" hidden="0">
      <x:c r="A12" s="6" t="s">
        <x:v>139</x:v>
      </x:c>
      <x:c r="B12" s="5" t="e">
        <x:f aca="0">02_将来年次投資置換!B8</x:f>
        <x:v>#NAME?</x:v>
      </x:c>
      <x:c r="C12" s="5" t="e">
        <x:f aca="0">02_将来年次投資置換!C8</x:f>
        <x:v>#NAME?</x:v>
      </x:c>
      <x:c r="D12" s="5" t="e">
        <x:f aca="0">02_将来年次投資置換!D8</x:f>
        <x:v>#NAME?</x:v>
      </x:c>
      <x:c r="E12" s="5" t="e">
        <x:f aca="0">02_将来年次投資置換!E8</x:f>
        <x:v>#NAME?</x:v>
      </x:c>
      <x:c r="F12" s="5" t="e">
        <x:f aca="0">02_将来年次投資置換!F8</x:f>
        <x:v>#NAME?</x:v>
      </x:c>
      <x:c r="G12" s="5" t="e">
        <x:f aca="0">02_将来年次投資置換!G8</x:f>
        <x:v>#NAME?</x:v>
      </x:c>
      <x:c r="H12" s="5" t="e">
        <x:f aca="0">02_将来年次投資置換!H8</x:f>
        <x:v>#NAME?</x:v>
      </x:c>
      <x:c r="I12" s="5" t="e">
        <x:f aca="0">02_将来年次投資置換!I8</x:f>
        <x:v>#NAME?</x:v>
      </x:c>
      <x:c r="J12" s="5" t="e">
        <x:f aca="0">02_将来年次投資置換!J8</x:f>
        <x:v>#NAME?</x:v>
      </x:c>
      <x:c r="K12" s="5" t="e">
        <x:f aca="0">02_将来年次投資置換!K8</x:f>
        <x:v>#NAME?</x:v>
      </x:c>
    </x:row>
    <x:row r="13" ht="17.149999618530273" hidden="0">
      <x:c r="A13" s="6" t="s">
        <x:v>57</x:v>
      </x:c>
      <x:c r="B13" s="5" t="e">
        <x:f aca="0">02_将来年次投資置換!B9</x:f>
        <x:v>#NAME?</x:v>
      </x:c>
      <x:c r="C13" s="5" t="e">
        <x:f aca="0">02_将来年次投資置換!C9</x:f>
        <x:v>#NAME?</x:v>
      </x:c>
      <x:c r="D13" s="5" t="e">
        <x:f aca="0">02_将来年次投資置換!D9</x:f>
        <x:v>#NAME?</x:v>
      </x:c>
      <x:c r="E13" s="5" t="e">
        <x:f aca="0">02_将来年次投資置換!E9</x:f>
        <x:v>#NAME?</x:v>
      </x:c>
      <x:c r="F13" s="5" t="e">
        <x:f aca="0">02_将来年次投資置換!F9</x:f>
        <x:v>#NAME?</x:v>
      </x:c>
      <x:c r="G13" s="5" t="e">
        <x:f aca="0">02_将来年次投資置換!G9</x:f>
        <x:v>#NAME?</x:v>
      </x:c>
      <x:c r="H13" s="5" t="e">
        <x:f aca="0">02_将来年次投資置換!H9</x:f>
        <x:v>#NAME?</x:v>
      </x:c>
      <x:c r="I13" s="5" t="e">
        <x:f aca="0">02_将来年次投資置換!I9</x:f>
        <x:v>#NAME?</x:v>
      </x:c>
      <x:c r="J13" s="5" t="e">
        <x:f aca="0">02_将来年次投資置換!J9</x:f>
        <x:v>#NAME?</x:v>
      </x:c>
      <x:c r="K13" s="5" t="e">
        <x:f aca="0">02_将来年次投資置換!K9</x:f>
        <x:v>#NAME?</x:v>
      </x:c>
    </x:row>
    <x:row r="14" ht="17.149999618530273" hidden="0">
      <x:c r="A14" s="6" t="s">
        <x:v>140</x:v>
      </x:c>
      <x:c r="B14" s="5" t="e">
        <x:f aca="0">02_将来年次投資置換!B12</x:f>
        <x:v>#NAME?</x:v>
      </x:c>
      <x:c r="C14" s="5" t="e">
        <x:f aca="0">02_将来年次投資置換!C12</x:f>
        <x:v>#NAME?</x:v>
      </x:c>
      <x:c r="D14" s="5" t="e">
        <x:f aca="0">02_将来年次投資置換!D12</x:f>
        <x:v>#NAME?</x:v>
      </x:c>
      <x:c r="E14" s="5" t="e">
        <x:f aca="0">02_将来年次投資置換!E12</x:f>
        <x:v>#NAME?</x:v>
      </x:c>
      <x:c r="F14" s="5" t="e">
        <x:f aca="0">02_将来年次投資置換!F12</x:f>
        <x:v>#NAME?</x:v>
      </x:c>
      <x:c r="G14" s="5" t="e">
        <x:f aca="0">02_将来年次投資置換!G12</x:f>
        <x:v>#NAME?</x:v>
      </x:c>
      <x:c r="H14" s="5" t="e">
        <x:f aca="0">02_将来年次投資置換!H12</x:f>
        <x:v>#NAME?</x:v>
      </x:c>
      <x:c r="I14" s="5" t="e">
        <x:f aca="0">02_将来年次投資置換!I12</x:f>
        <x:v>#NAME?</x:v>
      </x:c>
      <x:c r="J14" s="5" t="e">
        <x:f aca="0">02_将来年次投資置換!J12</x:f>
        <x:v>#NAME?</x:v>
      </x:c>
      <x:c r="K14" s="5" t="e">
        <x:f aca="0">02_将来年次投資置換!K12</x:f>
        <x:v>#NAME?</x:v>
      </x:c>
    </x:row>
    <x:row r="15" ht="17.149999618530273" hidden="0">
      <x:c r="A15" s="6" t="s">
        <x:v>141</x:v>
      </x:c>
      <x:c r="B15" s="5" t="e">
        <x:f aca="0">02_将来年次投資置換!B11</x:f>
        <x:v>#NAME?</x:v>
      </x:c>
      <x:c r="C15" s="5" t="e">
        <x:f aca="0">02_将来年次投資置換!C11</x:f>
        <x:v>#NAME?</x:v>
      </x:c>
      <x:c r="D15" s="5" t="e">
        <x:f aca="0">02_将来年次投資置換!D11</x:f>
        <x:v>#NAME?</x:v>
      </x:c>
      <x:c r="E15" s="5" t="e">
        <x:f aca="0">02_将来年次投資置換!E11</x:f>
        <x:v>#NAME?</x:v>
      </x:c>
      <x:c r="F15" s="5" t="e">
        <x:f aca="0">02_将来年次投資置換!F11</x:f>
        <x:v>#NAME?</x:v>
      </x:c>
      <x:c r="G15" s="5" t="e">
        <x:f aca="0">02_将来年次投資置換!G11</x:f>
        <x:v>#NAME?</x:v>
      </x:c>
      <x:c r="H15" s="5" t="e">
        <x:f aca="0">02_将来年次投資置換!H11</x:f>
        <x:v>#NAME?</x:v>
      </x:c>
      <x:c r="I15" s="5" t="e">
        <x:f aca="0">02_将来年次投資置換!I11</x:f>
        <x:v>#NAME?</x:v>
      </x:c>
      <x:c r="J15" s="5" t="e">
        <x:f aca="0">02_将来年次投資置換!J11</x:f>
        <x:v>#NAME?</x:v>
      </x:c>
      <x:c r="K15" s="5" t="e">
        <x:f aca="0">02_将来年次投資置換!K11</x:f>
        <x:v>#NAME?</x:v>
      </x:c>
    </x:row>
    <x:row r="16" ht="17.149999618530273" hidden="0">
      <x:c r="A16" s="6" t="s">
        <x:v>62</x:v>
      </x:c>
      <x:c r="B16" s="5" t="e">
        <x:f aca="0">02_将来年次投資置換!B14</x:f>
        <x:v>#NAME?</x:v>
      </x:c>
      <x:c r="C16" s="5" t="e">
        <x:f aca="0">02_将来年次投資置換!C14</x:f>
        <x:v>#NAME?</x:v>
      </x:c>
      <x:c r="D16" s="5" t="e">
        <x:f aca="0">02_将来年次投資置換!D14</x:f>
        <x:v>#NAME?</x:v>
      </x:c>
      <x:c r="E16" s="5" t="e">
        <x:f aca="0">02_将来年次投資置換!E14</x:f>
        <x:v>#NAME?</x:v>
      </x:c>
      <x:c r="F16" s="5" t="e">
        <x:f aca="0">02_将来年次投資置換!F14</x:f>
        <x:v>#NAME?</x:v>
      </x:c>
      <x:c r="G16" s="5" t="e">
        <x:f aca="0">02_将来年次投資置換!G14</x:f>
        <x:v>#NAME?</x:v>
      </x:c>
      <x:c r="H16" s="5" t="e">
        <x:f aca="0">02_将来年次投資置換!H14</x:f>
        <x:v>#NAME?</x:v>
      </x:c>
      <x:c r="I16" s="5" t="e">
        <x:f aca="0">02_将来年次投資置換!I14</x:f>
        <x:v>#NAME?</x:v>
      </x:c>
      <x:c r="J16" s="5" t="e">
        <x:f aca="0">02_将来年次投資置換!J14</x:f>
        <x:v>#NAME?</x:v>
      </x:c>
      <x:c r="K16" s="5" t="e">
        <x:f aca="0">02_将来年次投資置換!K14</x:f>
        <x:v>#NAME?</x:v>
      </x:c>
    </x:row>
    <x:row r="17" ht="17.149999618530273" hidden="0">
      <x:c r="A17" s="6" t="s">
        <x:v>142</x:v>
      </x:c>
      <x:c r="B17" s="5" t="e">
        <x:f aca="0">SUM(B9,B13,B16)</x:f>
        <x:v>#NAME?</x:v>
      </x:c>
      <x:c r="C17" s="5" t="e">
        <x:f aca="0">SUM(C9,C13,C16)</x:f>
        <x:v>#NAME?</x:v>
      </x:c>
      <x:c r="D17" s="5" t="e">
        <x:f aca="0">SUM(D9,D13,D16)</x:f>
        <x:v>#NAME?</x:v>
      </x:c>
      <x:c r="E17" s="5" t="e">
        <x:f aca="0">SUM(E9,E13,E16)</x:f>
        <x:v>#NAME?</x:v>
      </x:c>
      <x:c r="F17" s="5" t="e">
        <x:f aca="0">SUM(F9,F13,F16)</x:f>
        <x:v>#NAME?</x:v>
      </x:c>
      <x:c r="G17" s="5" t="e">
        <x:f aca="0">SUM(G9,G13,G16)</x:f>
        <x:v>#NAME?</x:v>
      </x:c>
      <x:c r="H17" s="5" t="e">
        <x:f aca="0">SUM(H9,H13,H16)</x:f>
        <x:v>#NAME?</x:v>
      </x:c>
      <x:c r="I17" s="5" t="e">
        <x:f aca="0">SUM(I9,I13,I16)</x:f>
        <x:v>#NAME?</x:v>
      </x:c>
      <x:c r="J17" s="5" t="e">
        <x:f aca="0">SUM(J9,J13,J16)</x:f>
        <x:v>#NAME?</x:v>
      </x:c>
      <x:c r="K17" s="5" t="e">
        <x:f aca="0">SUM(K9,K13,K16)</x:f>
        <x:v>#NAME?</x:v>
      </x:c>
    </x:row>
    <x:row r="18" ht="15" hidden="0">
      <x:c r="A18" s="7"/>
      <x:c r="B18" s="5"/>
      <x:c r="C18" s="5"/>
      <x:c r="D18" s="5"/>
      <x:c r="E18" s="5"/>
      <x:c r="F18" s="5"/>
      <x:c r="G18" s="5"/>
      <x:c r="H18" s="5"/>
      <x:c r="I18" s="5"/>
      <x:c r="J18" s="5"/>
      <x:c r="K18" s="5"/>
    </x:row>
    <x:row r="19" ht="17.149999618530273" hidden="0">
      <x:c r="A19" s="42" t="s">
        <x:v>63</x:v>
      </x:c>
      <x:c r="B19" s="43"/>
      <x:c r="C19" s="43"/>
      <x:c r="D19" s="43"/>
      <x:c r="E19" s="43"/>
      <x:c r="F19" s="43"/>
      <x:c r="G19" s="43"/>
      <x:c r="H19" s="43"/>
      <x:c r="I19" s="43"/>
      <x:c r="J19" s="43"/>
      <x:c r="K19" s="43"/>
    </x:row>
    <x:row r="20" ht="17.149999618530273" hidden="0">
      <x:c r="A20" s="6" t="s">
        <x:v>65</x:v>
      </x:c>
      <x:c r="B20" s="5" t="e">
        <x:f aca="0">02_将来年次投資置換!B18</x:f>
        <x:v>#NAME?</x:v>
      </x:c>
      <x:c r="C20" s="5" t="e">
        <x:f aca="0">02_将来年次投資置換!C18</x:f>
        <x:v>#NAME?</x:v>
      </x:c>
      <x:c r="D20" s="5" t="e">
        <x:f aca="0">02_将来年次投資置換!D18</x:f>
        <x:v>#NAME?</x:v>
      </x:c>
      <x:c r="E20" s="5" t="e">
        <x:f aca="0">02_将来年次投資置換!E18</x:f>
        <x:v>#NAME?</x:v>
      </x:c>
      <x:c r="F20" s="5" t="e">
        <x:f aca="0">02_将来年次投資置換!F18</x:f>
        <x:v>#NAME?</x:v>
      </x:c>
      <x:c r="G20" s="5" t="e">
        <x:f aca="0">02_将来年次投資置換!G18</x:f>
        <x:v>#NAME?</x:v>
      </x:c>
      <x:c r="H20" s="5" t="e">
        <x:f aca="0">02_将来年次投資置換!H18</x:f>
        <x:v>#NAME?</x:v>
      </x:c>
      <x:c r="I20" s="5" t="e">
        <x:f aca="0">02_将来年次投資置換!I18</x:f>
        <x:v>#NAME?</x:v>
      </x:c>
      <x:c r="J20" s="5" t="e">
        <x:f aca="0">02_将来年次投資置換!J18</x:f>
        <x:v>#NAME?</x:v>
      </x:c>
      <x:c r="K20" s="5" t="e">
        <x:f aca="0">02_将来年次投資置換!K18</x:f>
        <x:v>#NAME?</x:v>
      </x:c>
    </x:row>
    <x:row r="21" ht="17.149999618530273" hidden="0">
      <x:c r="A21" s="6" t="s">
        <x:v>143</x:v>
      </x:c>
      <x:c r="B21" s="5" t="e">
        <x:f aca="0">02_将来年次投資置換!B25</x:f>
        <x:v>#NAME?</x:v>
      </x:c>
      <x:c r="C21" s="5" t="e">
        <x:f aca="0">02_将来年次投資置換!C25</x:f>
        <x:v>#NAME?</x:v>
      </x:c>
      <x:c r="D21" s="5" t="e">
        <x:f aca="0">02_将来年次投資置換!D25</x:f>
        <x:v>#NAME?</x:v>
      </x:c>
      <x:c r="E21" s="5" t="e">
        <x:f aca="0">02_将来年次投資置換!E25</x:f>
        <x:v>#NAME?</x:v>
      </x:c>
      <x:c r="F21" s="5" t="e">
        <x:f aca="0">02_将来年次投資置換!F25</x:f>
        <x:v>#NAME?</x:v>
      </x:c>
      <x:c r="G21" s="5" t="e">
        <x:f aca="0">02_将来年次投資置換!G25</x:f>
        <x:v>#NAME?</x:v>
      </x:c>
      <x:c r="H21" s="5" t="e">
        <x:f aca="0">02_将来年次投資置換!H25</x:f>
        <x:v>#NAME?</x:v>
      </x:c>
      <x:c r="I21" s="5" t="e">
        <x:f aca="0">02_将来年次投資置換!I25</x:f>
        <x:v>#NAME?</x:v>
      </x:c>
      <x:c r="J21" s="5" t="e">
        <x:f aca="0">02_将来年次投資置換!J25</x:f>
        <x:v>#NAME?</x:v>
      </x:c>
      <x:c r="K21" s="5" t="e">
        <x:f aca="0">02_将来年次投資置換!K25</x:f>
        <x:v>#NAME?</x:v>
      </x:c>
    </x:row>
    <x:row r="22" ht="17.149999618530273" hidden="0">
      <x:c r="A22" s="6" t="s">
        <x:v>144</x:v>
      </x:c>
      <x:c r="B22" s="5" t="e">
        <x:f aca="0">02_将来年次投資置換!B26</x:f>
        <x:v>#NAME?</x:v>
      </x:c>
      <x:c r="C22" s="5" t="e">
        <x:f aca="0">02_将来年次投資置換!C26</x:f>
        <x:v>#NAME?</x:v>
      </x:c>
      <x:c r="D22" s="5" t="e">
        <x:f aca="0">02_将来年次投資置換!D26</x:f>
        <x:v>#NAME?</x:v>
      </x:c>
      <x:c r="E22" s="5" t="e">
        <x:f aca="0">02_将来年次投資置換!E26</x:f>
        <x:v>#NAME?</x:v>
      </x:c>
      <x:c r="F22" s="5" t="e">
        <x:f aca="0">02_将来年次投資置換!F26</x:f>
        <x:v>#NAME?</x:v>
      </x:c>
      <x:c r="G22" s="5" t="e">
        <x:f aca="0">02_将来年次投資置換!G26</x:f>
        <x:v>#NAME?</x:v>
      </x:c>
      <x:c r="H22" s="5" t="e">
        <x:f aca="0">02_将来年次投資置換!H26</x:f>
        <x:v>#NAME?</x:v>
      </x:c>
      <x:c r="I22" s="5" t="e">
        <x:f aca="0">02_将来年次投資置換!I26</x:f>
        <x:v>#NAME?</x:v>
      </x:c>
      <x:c r="J22" s="5" t="e">
        <x:f aca="0">02_将来年次投資置換!J26</x:f>
        <x:v>#NAME?</x:v>
      </x:c>
      <x:c r="K22" s="5" t="e">
        <x:f aca="0">02_将来年次投資置換!K26</x:f>
        <x:v>#NAME?</x:v>
      </x:c>
    </x:row>
    <x:row r="23" ht="17.149999618530273" hidden="0">
      <x:c r="A23" s="6" t="s">
        <x:v>75</x:v>
      </x:c>
      <x:c r="B23" s="5" t="e">
        <x:f aca="0">02_将来年次投資置換!B28</x:f>
        <x:v>#NAME?</x:v>
      </x:c>
      <x:c r="C23" s="5" t="e">
        <x:f aca="0">02_将来年次投資置換!C28</x:f>
        <x:v>#NAME?</x:v>
      </x:c>
      <x:c r="D23" s="5" t="e">
        <x:f aca="0">02_将来年次投資置換!D28</x:f>
        <x:v>#NAME?</x:v>
      </x:c>
      <x:c r="E23" s="5" t="e">
        <x:f aca="0">02_将来年次投資置換!E28</x:f>
        <x:v>#NAME?</x:v>
      </x:c>
      <x:c r="F23" s="5" t="e">
        <x:f aca="0">02_将来年次投資置換!F28</x:f>
        <x:v>#NAME?</x:v>
      </x:c>
      <x:c r="G23" s="5" t="e">
        <x:f aca="0">02_将来年次投資置換!G28</x:f>
        <x:v>#NAME?</x:v>
      </x:c>
      <x:c r="H23" s="5" t="e">
        <x:f aca="0">02_将来年次投資置換!H28</x:f>
        <x:v>#NAME?</x:v>
      </x:c>
      <x:c r="I23" s="5" t="e">
        <x:f aca="0">02_将来年次投資置換!I28</x:f>
        <x:v>#NAME?</x:v>
      </x:c>
      <x:c r="J23" s="5" t="e">
        <x:f aca="0">02_将来年次投資置換!J28</x:f>
        <x:v>#NAME?</x:v>
      </x:c>
      <x:c r="K23" s="5" t="e">
        <x:f aca="0">02_将来年次投資置換!K28</x:f>
        <x:v>#NAME?</x:v>
      </x:c>
    </x:row>
    <x:row r="24" ht="17.149999618530273" hidden="0">
      <x:c r="A24" s="6" t="s">
        <x:v>145</x:v>
      </x:c>
      <x:c r="B24" s="5" t="e">
        <x:f aca="0">02_将来年次投資置換!B29</x:f>
        <x:v>#NAME?</x:v>
      </x:c>
      <x:c r="C24" s="5" t="e">
        <x:f aca="0">02_将来年次投資置換!C29</x:f>
        <x:v>#NAME?</x:v>
      </x:c>
      <x:c r="D24" s="5" t="e">
        <x:f aca="0">02_将来年次投資置換!D29</x:f>
        <x:v>#NAME?</x:v>
      </x:c>
      <x:c r="E24" s="5" t="e">
        <x:f aca="0">02_将来年次投資置換!E29</x:f>
        <x:v>#NAME?</x:v>
      </x:c>
      <x:c r="F24" s="5" t="e">
        <x:f aca="0">02_将来年次投資置換!F29</x:f>
        <x:v>#NAME?</x:v>
      </x:c>
      <x:c r="G24" s="5" t="e">
        <x:f aca="0">02_将来年次投資置換!G29</x:f>
        <x:v>#NAME?</x:v>
      </x:c>
      <x:c r="H24" s="5" t="e">
        <x:f aca="0">02_将来年次投資置換!H29</x:f>
        <x:v>#NAME?</x:v>
      </x:c>
      <x:c r="I24" s="5" t="e">
        <x:f aca="0">02_将来年次投資置換!I29</x:f>
        <x:v>#NAME?</x:v>
      </x:c>
      <x:c r="J24" s="5" t="e">
        <x:f aca="0">02_将来年次投資置換!J29</x:f>
        <x:v>#NAME?</x:v>
      </x:c>
      <x:c r="K24" s="5" t="e">
        <x:f aca="0">02_将来年次投資置換!K29</x:f>
        <x:v>#NAME?</x:v>
      </x:c>
    </x:row>
    <x:row r="25" ht="17.149999618530273" hidden="0">
      <x:c r="A25" s="6" t="s">
        <x:v>78</x:v>
      </x:c>
      <x:c r="B25" s="5" t="e">
        <x:f aca="0">02_将来年次投資置換!B31</x:f>
        <x:v>#NAME?</x:v>
      </x:c>
      <x:c r="C25" s="5" t="e">
        <x:f aca="0">02_将来年次投資置換!C31</x:f>
        <x:v>#NAME?</x:v>
      </x:c>
      <x:c r="D25" s="5" t="e">
        <x:f aca="0">02_将来年次投資置換!D31</x:f>
        <x:v>#NAME?</x:v>
      </x:c>
      <x:c r="E25" s="5" t="e">
        <x:f aca="0">02_将来年次投資置換!E31</x:f>
        <x:v>#NAME?</x:v>
      </x:c>
      <x:c r="F25" s="5" t="e">
        <x:f aca="0">02_将来年次投資置換!F31</x:f>
        <x:v>#NAME?</x:v>
      </x:c>
      <x:c r="G25" s="5" t="e">
        <x:f aca="0">02_将来年次投資置換!G31</x:f>
        <x:v>#NAME?</x:v>
      </x:c>
      <x:c r="H25" s="5" t="e">
        <x:f aca="0">02_将来年次投資置換!H31</x:f>
        <x:v>#NAME?</x:v>
      </x:c>
      <x:c r="I25" s="5" t="e">
        <x:f aca="0">02_将来年次投資置換!I31</x:f>
        <x:v>#NAME?</x:v>
      </x:c>
      <x:c r="J25" s="5" t="e">
        <x:f aca="0">02_将来年次投資置換!J31</x:f>
        <x:v>#NAME?</x:v>
      </x:c>
      <x:c r="K25" s="5" t="e">
        <x:f aca="0">02_将来年次投資置換!K31</x:f>
        <x:v>#NAME?</x:v>
      </x:c>
    </x:row>
    <x:row r="26" ht="17.149999618530273" hidden="0">
      <x:c r="A26" s="6" t="s">
        <x:v>146</x:v>
      </x:c>
      <x:c r="B26" s="5" t="e">
        <x:f aca="0">SUM(B20,B23,B25)</x:f>
        <x:v>#NAME?</x:v>
      </x:c>
      <x:c r="C26" s="5" t="e">
        <x:f aca="0">SUM(C20,C23,C25)</x:f>
        <x:v>#NAME?</x:v>
      </x:c>
      <x:c r="D26" s="5" t="e">
        <x:f aca="0">SUM(D20,D23,D25)</x:f>
        <x:v>#NAME?</x:v>
      </x:c>
      <x:c r="E26" s="5" t="e">
        <x:f aca="0">SUM(E20,E23,E25)</x:f>
        <x:v>#NAME?</x:v>
      </x:c>
      <x:c r="F26" s="5" t="e">
        <x:f aca="0">SUM(F20,F23,F25)</x:f>
        <x:v>#NAME?</x:v>
      </x:c>
      <x:c r="G26" s="5" t="e">
        <x:f aca="0">SUM(G20,G23,G25)</x:f>
        <x:v>#NAME?</x:v>
      </x:c>
      <x:c r="H26" s="5" t="e">
        <x:f aca="0">SUM(H20,H23,H25)</x:f>
        <x:v>#NAME?</x:v>
      </x:c>
      <x:c r="I26" s="5" t="e">
        <x:f aca="0">SUM(I20,I23,I25)</x:f>
        <x:v>#NAME?</x:v>
      </x:c>
      <x:c r="J26" s="5" t="e">
        <x:f aca="0">SUM(J20,J23,J25)</x:f>
        <x:v>#NAME?</x:v>
      </x:c>
      <x:c r="K26" s="5" t="e">
        <x:f aca="0">SUM(K20,K23,K25)</x:f>
        <x:v>#NAME?</x:v>
      </x:c>
    </x:row>
    <x:row r="27" ht="17.149999618530273" hidden="0">
      <x:c r="A27" s="6" t="s">
        <x:v>147</x:v>
      </x:c>
      <x:c r="B27" s="5" t="e">
        <x:f aca="0">SUM(B9,B13)-SUM(B20,B23)</x:f>
        <x:v>#NAME?</x:v>
      </x:c>
      <x:c r="C27" s="5" t="e">
        <x:f aca="0">SUM(C9,C13)-SUM(C20,C23)</x:f>
        <x:v>#NAME?</x:v>
      </x:c>
      <x:c r="D27" s="5" t="e">
        <x:f aca="0">SUM(D9,D13)-SUM(D20,D23)</x:f>
        <x:v>#NAME?</x:v>
      </x:c>
      <x:c r="E27" s="5" t="e">
        <x:f aca="0">SUM(E9,E13)-SUM(E20,E23)</x:f>
        <x:v>#NAME?</x:v>
      </x:c>
      <x:c r="F27" s="5" t="e">
        <x:f aca="0">SUM(F9,F13)-SUM(F20,F23)</x:f>
        <x:v>#NAME?</x:v>
      </x:c>
      <x:c r="G27" s="5" t="e">
        <x:f aca="0">SUM(G9,G13)-SUM(G20,G23)</x:f>
        <x:v>#NAME?</x:v>
      </x:c>
      <x:c r="H27" s="5" t="e">
        <x:f aca="0">SUM(H9,H13)-SUM(H20,H23)</x:f>
        <x:v>#NAME?</x:v>
      </x:c>
      <x:c r="I27" s="5" t="e">
        <x:f aca="0">SUM(I9,I13)-SUM(I20,I23)</x:f>
        <x:v>#NAME?</x:v>
      </x:c>
      <x:c r="J27" s="5" t="e">
        <x:f aca="0">SUM(J9,J13)-SUM(J20,J23)</x:f>
        <x:v>#NAME?</x:v>
      </x:c>
      <x:c r="K27" s="5" t="e">
        <x:f aca="0">SUM(K9,K13)-SUM(K20,K23)</x:f>
        <x:v>#NAME?</x:v>
      </x:c>
    </x:row>
    <x:row r="28" ht="17.149999618530273" hidden="0">
      <x:c r="A28" s="6" t="s">
        <x:v>148</x:v>
      </x:c>
      <x:c r="B28" s="5" t="e">
        <x:f aca="0">B27+B16-B25</x:f>
        <x:v>#NAME?</x:v>
      </x:c>
      <x:c r="C28" s="5" t="e">
        <x:f aca="0">C27+C16-C25</x:f>
        <x:v>#NAME?</x:v>
      </x:c>
      <x:c r="D28" s="5" t="e">
        <x:f aca="0">D27+D16-D25</x:f>
        <x:v>#NAME?</x:v>
      </x:c>
      <x:c r="E28" s="5" t="e">
        <x:f aca="0">E27+E16-E25</x:f>
        <x:v>#NAME?</x:v>
      </x:c>
      <x:c r="F28" s="5" t="e">
        <x:f aca="0">F27+F16-F25</x:f>
        <x:v>#NAME?</x:v>
      </x:c>
      <x:c r="G28" s="5" t="e">
        <x:f aca="0">G27+G16-G25</x:f>
        <x:v>#NAME?</x:v>
      </x:c>
      <x:c r="H28" s="5" t="e">
        <x:f aca="0">H27+H16-H25</x:f>
        <x:v>#NAME?</x:v>
      </x:c>
      <x:c r="I28" s="5" t="e">
        <x:f aca="0">I27+I16-I25</x:f>
        <x:v>#NAME?</x:v>
      </x:c>
      <x:c r="J28" s="5" t="e">
        <x:f aca="0">J27+J16-J25</x:f>
        <x:v>#NAME?</x:v>
      </x:c>
      <x:c r="K28" s="5" t="e">
        <x:f aca="0">K27+K16-K25</x:f>
        <x:v>#NAME?</x:v>
      </x:c>
    </x:row>
    <x:row r="29" ht="15" hidden="0">
      <x:c r="A29" s="7"/>
      <x:c r="B29" s="5"/>
      <x:c r="C29" s="5"/>
      <x:c r="D29" s="5"/>
      <x:c r="E29" s="5"/>
      <x:c r="F29" s="5"/>
      <x:c r="G29" s="5"/>
      <x:c r="H29" s="5"/>
      <x:c r="I29" s="5"/>
      <x:c r="J29" s="5"/>
      <x:c r="K29" s="5"/>
    </x:row>
    <x:row r="30" ht="17.149999618530273" hidden="0">
      <x:c r="A30" s="42" t="s">
        <x:v>149</x:v>
      </x:c>
      <x:c r="B30" s="43"/>
      <x:c r="C30" s="43"/>
      <x:c r="D30" s="43"/>
      <x:c r="E30" s="43"/>
      <x:c r="F30" s="43"/>
      <x:c r="G30" s="43"/>
      <x:c r="H30" s="43"/>
      <x:c r="I30" s="43"/>
      <x:c r="J30" s="43"/>
      <x:c r="K30" s="43"/>
    </x:row>
    <x:row r="31" ht="17.149999618530273" hidden="0">
      <x:c r="A31" s="6" t="s">
        <x:v>150</x:v>
      </x:c>
      <x:c r="B31" s="35" t="n">
        <x:f aca="0">IFERROR((SUM(B9,B13)/SUM(B20,B23))*100,0)</x:f>
        <x:v>0</x:v>
      </x:c>
      <x:c r="C31" s="35" t="n">
        <x:f aca="0">IFERROR((SUM(C9,C13)/SUM(C20,C23))*100,0)</x:f>
        <x:v>0</x:v>
      </x:c>
      <x:c r="D31" s="35" t="n">
        <x:f aca="0">IFERROR((SUM(D9,D13)/SUM(D20,D23))*100,0)</x:f>
        <x:v>0</x:v>
      </x:c>
      <x:c r="E31" s="35" t="n">
        <x:f aca="0">IFERROR((SUM(E9,E13)/SUM(E20,E23))*100,0)</x:f>
        <x:v>0</x:v>
      </x:c>
      <x:c r="F31" s="35" t="n">
        <x:f aca="0">IFERROR((SUM(F9,F13)/SUM(F20,F23))*100,0)</x:f>
        <x:v>0</x:v>
      </x:c>
      <x:c r="G31" s="35" t="n">
        <x:f aca="0">IFERROR((SUM(G9,G13)/SUM(G20,G23))*100,0)</x:f>
        <x:v>0</x:v>
      </x:c>
      <x:c r="H31" s="35" t="n">
        <x:f aca="0">IFERROR((SUM(H9,H13)/SUM(H20,H23))*100,0)</x:f>
        <x:v>0</x:v>
      </x:c>
      <x:c r="I31" s="35" t="n">
        <x:f aca="0">IFERROR((SUM(I9,I13)/SUM(I20,I23))*100,0)</x:f>
        <x:v>0</x:v>
      </x:c>
      <x:c r="J31" s="35" t="n">
        <x:f aca="0">IFERROR((SUM(J9,J13)/SUM(J20,J23))*100,0)</x:f>
        <x:v>0</x:v>
      </x:c>
      <x:c r="K31" s="35" t="n">
        <x:f aca="0">IFERROR((SUM(K9,K13)/SUM(K20,K23))*100,0)</x:f>
        <x:v>0</x:v>
      </x:c>
    </x:row>
    <x:row r="32" ht="17.149999618530273" hidden="0">
      <x:c r="A32" s="6" t="s">
        <x:v>151</x:v>
      </x:c>
      <x:c r="B32" s="35" t="n">
        <x:f aca="0">IFERROR(B10/B34*100,0)</x:f>
        <x:v>0</x:v>
      </x:c>
      <x:c r="C32" s="35" t="n">
        <x:f aca="0">IFERROR(C10/C34*100,0)</x:f>
        <x:v>0</x:v>
      </x:c>
      <x:c r="D32" s="35" t="n">
        <x:f aca="0">IFERROR(D10/D34*100,0)</x:f>
        <x:v>0</x:v>
      </x:c>
      <x:c r="E32" s="35" t="n">
        <x:f aca="0">IFERROR(E10/E34*100,0)</x:f>
        <x:v>0</x:v>
      </x:c>
      <x:c r="F32" s="35" t="n">
        <x:f aca="0">IFERROR(F10/F34*100,0)</x:f>
        <x:v>0</x:v>
      </x:c>
      <x:c r="G32" s="35" t="n">
        <x:f aca="0">IFERROR(G10/G34*100,0)</x:f>
        <x:v>0</x:v>
      </x:c>
      <x:c r="H32" s="35" t="n">
        <x:f aca="0">IFERROR(H10/H34*100,0)</x:f>
        <x:v>0</x:v>
      </x:c>
      <x:c r="I32" s="35" t="n">
        <x:f aca="0">IFERROR(I10/I34*100,0)</x:f>
        <x:v>0</x:v>
      </x:c>
      <x:c r="J32" s="35" t="n">
        <x:f aca="0">IFERROR(J10/J34*100,0)</x:f>
        <x:v>0</x:v>
      </x:c>
      <x:c r="K32" s="35" t="n">
        <x:f aca="0">IFERROR(K10/K34*100,0)</x:f>
        <x:v>0</x:v>
      </x:c>
    </x:row>
    <x:row r="33" ht="17.149999618530273" hidden="0">
      <x:c r="A33" s="6" t="s">
        <x:v>152</x:v>
      </x:c>
      <x:c r="B33" s="35" t="n">
        <x:f aca="0">IFERROR(B10/B35*100,0)</x:f>
        <x:v>0</x:v>
      </x:c>
      <x:c r="C33" s="35" t="n">
        <x:f aca="0">IFERROR(C10/C35*100,0)</x:f>
        <x:v>0</x:v>
      </x:c>
      <x:c r="D33" s="35" t="n">
        <x:f aca="0">IFERROR(D10/D35*100,0)</x:f>
        <x:v>0</x:v>
      </x:c>
      <x:c r="E33" s="35" t="n">
        <x:f aca="0">IFERROR(E10/E35*100,0)</x:f>
        <x:v>0</x:v>
      </x:c>
      <x:c r="F33" s="35" t="n">
        <x:f aca="0">IFERROR(F10/F35*100,0)</x:f>
        <x:v>0</x:v>
      </x:c>
      <x:c r="G33" s="35" t="n">
        <x:f aca="0">IFERROR(G10/G35*100,0)</x:f>
        <x:v>0</x:v>
      </x:c>
      <x:c r="H33" s="35" t="n">
        <x:f aca="0">IFERROR(H10/H35*100,0)</x:f>
        <x:v>0</x:v>
      </x:c>
      <x:c r="I33" s="35" t="n">
        <x:f aca="0">IFERROR(I10/I35*100,0)</x:f>
        <x:v>0</x:v>
      </x:c>
      <x:c r="J33" s="35" t="n">
        <x:f aca="0">IFERROR(J10/J35*100,0)</x:f>
        <x:v>0</x:v>
      </x:c>
      <x:c r="K33" s="35" t="n">
        <x:f aca="0">IFERROR(K10/K35*100,0)</x:f>
        <x:v>0</x:v>
      </x:c>
    </x:row>
    <x:row r="34" ht="17.149999618530273" hidden="0">
      <x:c r="A34" s="6" t="s">
        <x:v>153</x:v>
      </x:c>
      <x:c r="B34" s="5" t="e">
        <x:f aca="0">SUM(B20,B23)-B14</x:f>
        <x:v>#NAME?</x:v>
      </x:c>
      <x:c r="C34" s="5" t="e">
        <x:f aca="0">SUM(C20,C23)-C14</x:f>
        <x:v>#NAME?</x:v>
      </x:c>
      <x:c r="D34" s="5" t="e">
        <x:f aca="0">SUM(D20,D23)-D14</x:f>
        <x:v>#NAME?</x:v>
      </x:c>
      <x:c r="E34" s="5" t="e">
        <x:f aca="0">SUM(E20,E23)-E14</x:f>
        <x:v>#NAME?</x:v>
      </x:c>
      <x:c r="F34" s="5" t="e">
        <x:f aca="0">SUM(F20,F23)-F14</x:f>
        <x:v>#NAME?</x:v>
      </x:c>
      <x:c r="G34" s="5" t="e">
        <x:f aca="0">SUM(G20,G23)-G14</x:f>
        <x:v>#NAME?</x:v>
      </x:c>
      <x:c r="H34" s="5" t="e">
        <x:f aca="0">SUM(H20,H23)-H14</x:f>
        <x:v>#NAME?</x:v>
      </x:c>
      <x:c r="I34" s="5" t="e">
        <x:f aca="0">SUM(I20,I23)-I14</x:f>
        <x:v>#NAME?</x:v>
      </x:c>
      <x:c r="J34" s="5" t="e">
        <x:f aca="0">SUM(J20,J23)-J14</x:f>
        <x:v>#NAME?</x:v>
      </x:c>
      <x:c r="K34" s="5" t="e">
        <x:f aca="0">SUM(K20,K23)-K14</x:f>
        <x:v>#NAME?</x:v>
      </x:c>
    </x:row>
    <x:row r="35" ht="17.149999618530273" hidden="0">
      <x:c r="A35" s="6" t="s">
        <x:v>154</x:v>
      </x:c>
      <x:c r="B35" s="5" t="e">
        <x:f aca="0">B34+$B$5</x:f>
        <x:v>#NAME?</x:v>
      </x:c>
      <x:c r="C35" s="5" t="e">
        <x:f aca="0">C34+$B$5</x:f>
        <x:v>#NAME?</x:v>
      </x:c>
      <x:c r="D35" s="5" t="e">
        <x:f aca="0">D34+$B$5</x:f>
        <x:v>#NAME?</x:v>
      </x:c>
      <x:c r="E35" s="5" t="e">
        <x:f aca="0">E34+$B$5</x:f>
        <x:v>#NAME?</x:v>
      </x:c>
      <x:c r="F35" s="5" t="e">
        <x:f aca="0">F34+$B$5</x:f>
        <x:v>#NAME?</x:v>
      </x:c>
      <x:c r="G35" s="5" t="e">
        <x:f aca="0">G34+$B$5</x:f>
        <x:v>#NAME?</x:v>
      </x:c>
      <x:c r="H35" s="5" t="e">
        <x:f aca="0">H34+$B$5</x:f>
        <x:v>#NAME?</x:v>
      </x:c>
      <x:c r="I35" s="5" t="e">
        <x:f aca="0">I34+$B$5</x:f>
        <x:v>#NAME?</x:v>
      </x:c>
      <x:c r="J35" s="5" t="e">
        <x:f aca="0">J34+$B$5</x:f>
        <x:v>#NAME?</x:v>
      </x:c>
      <x:c r="K35" s="5" t="e">
        <x:f aca="0">K34+$B$5</x:f>
        <x:v>#NAME?</x:v>
      </x:c>
    </x:row>
    <x:row r="36" ht="17.149999618530273" hidden="0">
      <x:c r="A36" s="6" t="s">
        <x:v>155</x:v>
      </x:c>
      <x:c r="B36" s="35" t="n">
        <x:f aca="0">IFERROR(B10/(B20+B23-B14-B12-B15+$B$5)*100,0)</x:f>
        <x:v>0</x:v>
      </x:c>
      <x:c r="C36" s="35" t="n">
        <x:f aca="0">IFERROR(C10/(C20+C23-C14-C12-C15+$B$5)*100,0)</x:f>
        <x:v>0</x:v>
      </x:c>
      <x:c r="D36" s="35" t="n">
        <x:f aca="0">IFERROR(D10/(D20+D23-D14-D12-D15+$B$5)*100,0)</x:f>
        <x:v>0</x:v>
      </x:c>
      <x:c r="E36" s="35" t="n">
        <x:f aca="0">IFERROR(E10/(E20+E23-E14-E12-E15+$B$5)*100,0)</x:f>
        <x:v>0</x:v>
      </x:c>
      <x:c r="F36" s="35" t="n">
        <x:f aca="0">IFERROR(F10/(F20+F23-F14-F12-F15+$B$5)*100,0)</x:f>
        <x:v>0</x:v>
      </x:c>
      <x:c r="G36" s="35" t="n">
        <x:f aca="0">IFERROR(G10/(G20+G23-G14-G12-G15+$B$5)*100,0)</x:f>
        <x:v>0</x:v>
      </x:c>
      <x:c r="H36" s="35" t="n">
        <x:f aca="0">IFERROR(H10/(H20+H23-H14-H12-H15+$B$5)*100,0)</x:f>
        <x:v>0</x:v>
      </x:c>
      <x:c r="I36" s="35" t="n">
        <x:f aca="0">IFERROR(I10/(I20+I23-I14-I12-I15+$B$5)*100,0)</x:f>
        <x:v>0</x:v>
      </x:c>
      <x:c r="J36" s="35" t="n">
        <x:f aca="0">IFERROR(J10/(J20+J23-J14-J12-J15+$B$5)*100,0)</x:f>
        <x:v>0</x:v>
      </x:c>
      <x:c r="K36" s="35" t="n">
        <x:f aca="0">IFERROR(K10/(K20+K23-K14-K12-K15+$B$5)*100,0)</x:f>
        <x:v>0</x:v>
      </x:c>
    </x:row>
    <x:row r="37" ht="17.149999618530273" hidden="0">
      <x:c r="A37" s="6" t="s">
        <x:v>156</x:v>
      </x:c>
      <x:c r="B37" s="5" t="str">
        <x:f aca="0">IF(B33&lt;=B32,"OK","要確認")</x:f>
        <x:v>OK</x:v>
      </x:c>
      <x:c r="C37" s="5" t="str">
        <x:f aca="0">IF(C33&lt;=C32,"OK","要確認")</x:f>
        <x:v>OK</x:v>
      </x:c>
      <x:c r="D37" s="5" t="str">
        <x:f aca="0">IF(D33&lt;=D32,"OK","要確認")</x:f>
        <x:v>OK</x:v>
      </x:c>
      <x:c r="E37" s="5" t="str">
        <x:f aca="0">IF(E33&lt;=E32,"OK","要確認")</x:f>
        <x:v>OK</x:v>
      </x:c>
      <x:c r="F37" s="5" t="str">
        <x:f aca="0">IF(F33&lt;=F32,"OK","要確認")</x:f>
        <x:v>OK</x:v>
      </x:c>
      <x:c r="G37" s="5" t="str">
        <x:f aca="0">IF(G33&lt;=G32,"OK","要確認")</x:f>
        <x:v>OK</x:v>
      </x:c>
      <x:c r="H37" s="5" t="str">
        <x:f aca="0">IF(H33&lt;=H32,"OK","要確認")</x:f>
        <x:v>OK</x:v>
      </x:c>
      <x:c r="I37" s="5" t="str">
        <x:f aca="0">IF(I33&lt;=I32,"OK","要確認")</x:f>
        <x:v>OK</x:v>
      </x:c>
      <x:c r="J37" s="5" t="str">
        <x:f aca="0">IF(J33&lt;=J32,"OK","要確認")</x:f>
        <x:v>OK</x:v>
      </x:c>
      <x:c r="K37" s="5" t="str">
        <x:f aca="0">IF(K33&lt;=K32,"OK","要確認")</x:f>
        <x:v>OK</x:v>
      </x:c>
    </x:row>
    <x:row r="38" ht="15" hidden="0">
      <x:c r="A38" s="7"/>
      <x:c r="B38" s="5"/>
      <x:c r="C38" s="5"/>
      <x:c r="D38" s="5"/>
      <x:c r="E38" s="5"/>
      <x:c r="F38" s="5"/>
      <x:c r="G38" s="5"/>
      <x:c r="H38" s="5"/>
      <x:c r="I38" s="5"/>
      <x:c r="J38" s="5"/>
      <x:c r="K38" s="5"/>
    </x:row>
    <x:row r="39" ht="17.149999618530273" hidden="0">
      <x:c r="A39" s="42" t="s">
        <x:v>79</x:v>
      </x:c>
      <x:c r="B39" s="43"/>
      <x:c r="C39" s="43"/>
      <x:c r="D39" s="43"/>
      <x:c r="E39" s="43"/>
      <x:c r="F39" s="43"/>
      <x:c r="G39" s="43"/>
      <x:c r="H39" s="43"/>
      <x:c r="I39" s="43"/>
      <x:c r="J39" s="43"/>
      <x:c r="K39" s="43"/>
    </x:row>
    <x:row r="40" ht="17.149999618530273" hidden="0">
      <x:c r="A40" s="6" t="s">
        <x:v>80</x:v>
      </x:c>
      <x:c r="B40" s="5" t="e">
        <x:f aca="0">02_将来年次投資置換!B34</x:f>
        <x:v>#NAME?</x:v>
      </x:c>
      <x:c r="C40" s="5" t="e">
        <x:f aca="0">02_将来年次投資置換!C34</x:f>
        <x:v>#NAME?</x:v>
      </x:c>
      <x:c r="D40" s="5" t="e">
        <x:f aca="0">02_将来年次投資置換!D34</x:f>
        <x:v>#NAME?</x:v>
      </x:c>
      <x:c r="E40" s="5" t="e">
        <x:f aca="0">02_将来年次投資置換!E34</x:f>
        <x:v>#NAME?</x:v>
      </x:c>
      <x:c r="F40" s="5" t="e">
        <x:f aca="0">02_将来年次投資置換!F34</x:f>
        <x:v>#NAME?</x:v>
      </x:c>
      <x:c r="G40" s="5" t="e">
        <x:f aca="0">02_将来年次投資置換!G34</x:f>
        <x:v>#NAME?</x:v>
      </x:c>
      <x:c r="H40" s="5" t="e">
        <x:f aca="0">02_将来年次投資置換!H34</x:f>
        <x:v>#NAME?</x:v>
      </x:c>
      <x:c r="I40" s="5" t="e">
        <x:f aca="0">02_将来年次投資置換!I34</x:f>
        <x:v>#NAME?</x:v>
      </x:c>
      <x:c r="J40" s="5" t="e">
        <x:f aca="0">02_将来年次投資置換!J34</x:f>
        <x:v>#NAME?</x:v>
      </x:c>
      <x:c r="K40" s="5" t="e">
        <x:f aca="0">02_将来年次投資置換!K34</x:f>
        <x:v>#NAME?</x:v>
      </x:c>
    </x:row>
    <x:row r="41" ht="17.149999618530273" hidden="0">
      <x:c r="A41" s="6" t="s">
        <x:v>81</x:v>
      </x:c>
      <x:c r="B41" s="5" t="e">
        <x:f aca="0">02_将来年次投資置換!B35</x:f>
        <x:v>#NAME?</x:v>
      </x:c>
      <x:c r="C41" s="5" t="e">
        <x:f aca="0">02_将来年次投資置換!C35</x:f>
        <x:v>#NAME?</x:v>
      </x:c>
      <x:c r="D41" s="5" t="e">
        <x:f aca="0">02_将来年次投資置換!D35</x:f>
        <x:v>#NAME?</x:v>
      </x:c>
      <x:c r="E41" s="5" t="e">
        <x:f aca="0">02_将来年次投資置換!E35</x:f>
        <x:v>#NAME?</x:v>
      </x:c>
      <x:c r="F41" s="5" t="e">
        <x:f aca="0">02_将来年次投資置換!F35</x:f>
        <x:v>#NAME?</x:v>
      </x:c>
      <x:c r="G41" s="5" t="e">
        <x:f aca="0">02_将来年次投資置換!G35</x:f>
        <x:v>#NAME?</x:v>
      </x:c>
      <x:c r="H41" s="5" t="e">
        <x:f aca="0">02_将来年次投資置換!H35</x:f>
        <x:v>#NAME?</x:v>
      </x:c>
      <x:c r="I41" s="5" t="e">
        <x:f aca="0">02_将来年次投資置換!I35</x:f>
        <x:v>#NAME?</x:v>
      </x:c>
      <x:c r="J41" s="5" t="e">
        <x:f aca="0">02_将来年次投資置換!J35</x:f>
        <x:v>#NAME?</x:v>
      </x:c>
      <x:c r="K41" s="5" t="e">
        <x:f aca="0">02_将来年次投資置換!K35</x:f>
        <x:v>#NAME?</x:v>
      </x:c>
    </x:row>
    <x:row r="42" ht="17.149999618530273" hidden="0">
      <x:c r="A42" s="6" t="s">
        <x:v>82</x:v>
      </x:c>
      <x:c r="B42" s="5" t="e">
        <x:f aca="0">02_将来年次投資置換!B36</x:f>
        <x:v>#NAME?</x:v>
      </x:c>
      <x:c r="C42" s="5" t="e">
        <x:f aca="0">02_将来年次投資置換!C36</x:f>
        <x:v>#NAME?</x:v>
      </x:c>
      <x:c r="D42" s="5" t="e">
        <x:f aca="0">02_将来年次投資置換!D36</x:f>
        <x:v>#NAME?</x:v>
      </x:c>
      <x:c r="E42" s="5" t="e">
        <x:f aca="0">02_将来年次投資置換!E36</x:f>
        <x:v>#NAME?</x:v>
      </x:c>
      <x:c r="F42" s="5" t="e">
        <x:f aca="0">02_将来年次投資置換!F36</x:f>
        <x:v>#NAME?</x:v>
      </x:c>
      <x:c r="G42" s="5" t="e">
        <x:f aca="0">02_将来年次投資置換!G36</x:f>
        <x:v>#NAME?</x:v>
      </x:c>
      <x:c r="H42" s="5" t="e">
        <x:f aca="0">02_将来年次投資置換!H36</x:f>
        <x:v>#NAME?</x:v>
      </x:c>
      <x:c r="I42" s="5" t="e">
        <x:f aca="0">02_将来年次投資置換!I36</x:f>
        <x:v>#NAME?</x:v>
      </x:c>
      <x:c r="J42" s="5" t="e">
        <x:f aca="0">02_将来年次投資置換!J36</x:f>
        <x:v>#NAME?</x:v>
      </x:c>
      <x:c r="K42" s="5" t="e">
        <x:f aca="0">02_将来年次投資置換!K36</x:f>
        <x:v>#NAME?</x:v>
      </x:c>
    </x:row>
    <x:row r="43" ht="17.149999618530273" hidden="0">
      <x:c r="A43" s="6" t="s">
        <x:v>83</x:v>
      </x:c>
      <x:c r="B43" s="5" t="e">
        <x:f aca="0">02_将来年次投資置換!B37</x:f>
        <x:v>#NAME?</x:v>
      </x:c>
      <x:c r="C43" s="5" t="e">
        <x:f aca="0">02_将来年次投資置換!C37</x:f>
        <x:v>#NAME?</x:v>
      </x:c>
      <x:c r="D43" s="5" t="e">
        <x:f aca="0">02_将来年次投資置換!D37</x:f>
        <x:v>#NAME?</x:v>
      </x:c>
      <x:c r="E43" s="5" t="e">
        <x:f aca="0">02_将来年次投資置換!E37</x:f>
        <x:v>#NAME?</x:v>
      </x:c>
      <x:c r="F43" s="5" t="e">
        <x:f aca="0">02_将来年次投資置換!F37</x:f>
        <x:v>#NAME?</x:v>
      </x:c>
      <x:c r="G43" s="5" t="e">
        <x:f aca="0">02_将来年次投資置換!G37</x:f>
        <x:v>#NAME?</x:v>
      </x:c>
      <x:c r="H43" s="5" t="e">
        <x:f aca="0">02_将来年次投資置換!H37</x:f>
        <x:v>#NAME?</x:v>
      </x:c>
      <x:c r="I43" s="5" t="e">
        <x:f aca="0">02_将来年次投資置換!I37</x:f>
        <x:v>#NAME?</x:v>
      </x:c>
      <x:c r="J43" s="5" t="e">
        <x:f aca="0">02_将来年次投資置換!J37</x:f>
        <x:v>#NAME?</x:v>
      </x:c>
      <x:c r="K43" s="5" t="e">
        <x:f aca="0">02_将来年次投資置換!K37</x:f>
        <x:v>#NAME?</x:v>
      </x:c>
    </x:row>
    <x:row r="44" ht="17.149999618530273" hidden="0">
      <x:c r="A44" s="6" t="s">
        <x:v>84</x:v>
      </x:c>
      <x:c r="B44" s="5" t="e">
        <x:f aca="0">02_将来年次投資置換!B38</x:f>
        <x:v>#NAME?</x:v>
      </x:c>
      <x:c r="C44" s="5" t="e">
        <x:f aca="0">02_将来年次投資置換!C38</x:f>
        <x:v>#NAME?</x:v>
      </x:c>
      <x:c r="D44" s="5" t="e">
        <x:f aca="0">02_将来年次投資置換!D38</x:f>
        <x:v>#NAME?</x:v>
      </x:c>
      <x:c r="E44" s="5" t="e">
        <x:f aca="0">02_将来年次投資置換!E38</x:f>
        <x:v>#NAME?</x:v>
      </x:c>
      <x:c r="F44" s="5" t="e">
        <x:f aca="0">02_将来年次投資置換!F38</x:f>
        <x:v>#NAME?</x:v>
      </x:c>
      <x:c r="G44" s="5" t="e">
        <x:f aca="0">02_将来年次投資置換!G38</x:f>
        <x:v>#NAME?</x:v>
      </x:c>
      <x:c r="H44" s="5" t="e">
        <x:f aca="0">02_将来年次投資置換!H38</x:f>
        <x:v>#NAME?</x:v>
      </x:c>
      <x:c r="I44" s="5" t="e">
        <x:f aca="0">02_将来年次投資置換!I38</x:f>
        <x:v>#NAME?</x:v>
      </x:c>
      <x:c r="J44" s="5" t="e">
        <x:f aca="0">02_将来年次投資置換!J38</x:f>
        <x:v>#NAME?</x:v>
      </x:c>
      <x:c r="K44" s="5" t="e">
        <x:f aca="0">02_将来年次投資置換!K38</x:f>
        <x:v>#NAME?</x:v>
      </x:c>
    </x:row>
    <x:row r="45" ht="17.149999618530273" hidden="0">
      <x:c r="A45" s="6" t="s">
        <x:v>85</x:v>
      </x:c>
      <x:c r="B45" s="5" t="e">
        <x:f aca="0">02_将来年次投資置換!B39</x:f>
        <x:v>#NAME?</x:v>
      </x:c>
      <x:c r="C45" s="5" t="e">
        <x:f aca="0">02_将来年次投資置換!C39</x:f>
        <x:v>#NAME?</x:v>
      </x:c>
      <x:c r="D45" s="5" t="e">
        <x:f aca="0">02_将来年次投資置換!D39</x:f>
        <x:v>#NAME?</x:v>
      </x:c>
      <x:c r="E45" s="5" t="e">
        <x:f aca="0">02_将来年次投資置換!E39</x:f>
        <x:v>#NAME?</x:v>
      </x:c>
      <x:c r="F45" s="5" t="e">
        <x:f aca="0">02_将来年次投資置換!F39</x:f>
        <x:v>#NAME?</x:v>
      </x:c>
      <x:c r="G45" s="5" t="e">
        <x:f aca="0">02_将来年次投資置換!G39</x:f>
        <x:v>#NAME?</x:v>
      </x:c>
      <x:c r="H45" s="5" t="e">
        <x:f aca="0">02_将来年次投資置換!H39</x:f>
        <x:v>#NAME?</x:v>
      </x:c>
      <x:c r="I45" s="5" t="e">
        <x:f aca="0">02_将来年次投資置換!I39</x:f>
        <x:v>#NAME?</x:v>
      </x:c>
      <x:c r="J45" s="5" t="e">
        <x:f aca="0">02_将来年次投資置換!J39</x:f>
        <x:v>#NAME?</x:v>
      </x:c>
      <x:c r="K45" s="5" t="e">
        <x:f aca="0">02_将来年次投資置換!K39</x:f>
        <x:v>#NAME?</x:v>
      </x:c>
    </x:row>
    <x:row r="46" ht="17.149999618530273" hidden="0">
      <x:c r="A46" s="6" t="s">
        <x:v>86</x:v>
      </x:c>
      <x:c r="B46" s="5" t="e">
        <x:f aca="0">02_将来年次投資置換!B40</x:f>
        <x:v>#NAME?</x:v>
      </x:c>
      <x:c r="C46" s="5" t="e">
        <x:f aca="0">02_将来年次投資置換!C40</x:f>
        <x:v>#NAME?</x:v>
      </x:c>
      <x:c r="D46" s="5" t="e">
        <x:f aca="0">02_将来年次投資置換!D40</x:f>
        <x:v>#NAME?</x:v>
      </x:c>
      <x:c r="E46" s="5" t="e">
        <x:f aca="0">02_将来年次投資置換!E40</x:f>
        <x:v>#NAME?</x:v>
      </x:c>
      <x:c r="F46" s="5" t="e">
        <x:f aca="0">02_将来年次投資置換!F40</x:f>
        <x:v>#NAME?</x:v>
      </x:c>
      <x:c r="G46" s="5" t="e">
        <x:f aca="0">02_将来年次投資置換!G40</x:f>
        <x:v>#NAME?</x:v>
      </x:c>
      <x:c r="H46" s="5" t="e">
        <x:f aca="0">02_将来年次投資置換!H40</x:f>
        <x:v>#NAME?</x:v>
      </x:c>
      <x:c r="I46" s="5" t="e">
        <x:f aca="0">02_将来年次投資置換!I40</x:f>
        <x:v>#NAME?</x:v>
      </x:c>
      <x:c r="J46" s="5" t="e">
        <x:f aca="0">02_将来年次投資置換!J40</x:f>
        <x:v>#NAME?</x:v>
      </x:c>
      <x:c r="K46" s="5" t="e">
        <x:f aca="0">02_将来年次投資置換!K40</x:f>
        <x:v>#NAME?</x:v>
      </x:c>
    </x:row>
    <x:row r="47" ht="17.149999618530273" hidden="0">
      <x:c r="A47" s="6" t="s">
        <x:v>87</x:v>
      </x:c>
      <x:c r="B47" s="5" t="e">
        <x:f aca="0">02_将来年次投資置換!B41</x:f>
        <x:v>#NAME?</x:v>
      </x:c>
      <x:c r="C47" s="5" t="e">
        <x:f aca="0">02_将来年次投資置換!C41</x:f>
        <x:v>#NAME?</x:v>
      </x:c>
      <x:c r="D47" s="5" t="e">
        <x:f aca="0">02_将来年次投資置換!D41</x:f>
        <x:v>#NAME?</x:v>
      </x:c>
      <x:c r="E47" s="5" t="e">
        <x:f aca="0">02_将来年次投資置換!E41</x:f>
        <x:v>#NAME?</x:v>
      </x:c>
      <x:c r="F47" s="5" t="e">
        <x:f aca="0">02_将来年次投資置換!F41</x:f>
        <x:v>#NAME?</x:v>
      </x:c>
      <x:c r="G47" s="5" t="e">
        <x:f aca="0">02_将来年次投資置換!G41</x:f>
        <x:v>#NAME?</x:v>
      </x:c>
      <x:c r="H47" s="5" t="e">
        <x:f aca="0">02_将来年次投資置換!H41</x:f>
        <x:v>#NAME?</x:v>
      </x:c>
      <x:c r="I47" s="5" t="e">
        <x:f aca="0">02_将来年次投資置換!I41</x:f>
        <x:v>#NAME?</x:v>
      </x:c>
      <x:c r="J47" s="5" t="e">
        <x:f aca="0">02_将来年次投資置換!J41</x:f>
        <x:v>#NAME?</x:v>
      </x:c>
      <x:c r="K47" s="5" t="e">
        <x:f aca="0">02_将来年次投資置換!K41</x:f>
        <x:v>#NAME?</x:v>
      </x:c>
    </x:row>
    <x:row r="48" ht="15" hidden="0">
      <x:c r="A48" s="7"/>
      <x:c r="B48" s="5"/>
      <x:c r="C48" s="5"/>
      <x:c r="D48" s="5"/>
      <x:c r="E48" s="5"/>
      <x:c r="F48" s="5"/>
      <x:c r="G48" s="5"/>
      <x:c r="H48" s="5"/>
      <x:c r="I48" s="5"/>
      <x:c r="J48" s="5"/>
      <x:c r="K48" s="5"/>
    </x:row>
    <x:row r="49" ht="17.149999618530273" hidden="0">
      <x:c r="A49" s="42" t="s">
        <x:v>88</x:v>
      </x:c>
      <x:c r="B49" s="43"/>
      <x:c r="C49" s="43"/>
      <x:c r="D49" s="43"/>
      <x:c r="E49" s="43"/>
      <x:c r="F49" s="43"/>
      <x:c r="G49" s="43"/>
      <x:c r="H49" s="43"/>
      <x:c r="I49" s="43"/>
      <x:c r="J49" s="43"/>
      <x:c r="K49" s="43"/>
    </x:row>
    <x:row r="50" ht="17.149999618530273" hidden="0">
      <x:c r="A50" s="6" t="s">
        <x:v>89</x:v>
      </x:c>
      <x:c r="B50" s="5" t="e">
        <x:f aca="0">02_将来年次投資置換!B44</x:f>
        <x:v>#NAME?</x:v>
      </x:c>
      <x:c r="C50" s="5" t="e">
        <x:f aca="0">02_将来年次投資置換!C44</x:f>
        <x:v>#NAME?</x:v>
      </x:c>
      <x:c r="D50" s="5" t="e">
        <x:f aca="0">02_将来年次投資置換!D44</x:f>
        <x:v>#NAME?</x:v>
      </x:c>
      <x:c r="E50" s="5" t="e">
        <x:f aca="0">02_将来年次投資置換!E44</x:f>
        <x:v>#NAME?</x:v>
      </x:c>
      <x:c r="F50" s="5" t="e">
        <x:f aca="0">02_将来年次投資置換!F44</x:f>
        <x:v>#NAME?</x:v>
      </x:c>
      <x:c r="G50" s="5" t="e">
        <x:f aca="0">02_将来年次投資置換!G44</x:f>
        <x:v>#NAME?</x:v>
      </x:c>
      <x:c r="H50" s="5" t="e">
        <x:f aca="0">02_将来年次投資置換!H44</x:f>
        <x:v>#NAME?</x:v>
      </x:c>
      <x:c r="I50" s="5" t="e">
        <x:f aca="0">02_将来年次投資置換!I44</x:f>
        <x:v>#NAME?</x:v>
      </x:c>
      <x:c r="J50" s="5" t="e">
        <x:f aca="0">02_将来年次投資置換!J44</x:f>
        <x:v>#NAME?</x:v>
      </x:c>
      <x:c r="K50" s="5" t="e">
        <x:f aca="0">02_将来年次投資置換!K44</x:f>
        <x:v>#NAME?</x:v>
      </x:c>
    </x:row>
    <x:row r="51" ht="17.149999618530273" hidden="0">
      <x:c r="A51" s="6" t="s">
        <x:v>90</x:v>
      </x:c>
      <x:c r="B51" s="5" t="e">
        <x:f aca="0">02_将来年次投資置換!B45</x:f>
        <x:v>#NAME?</x:v>
      </x:c>
      <x:c r="C51" s="5" t="e">
        <x:f aca="0">02_将来年次投資置換!C45</x:f>
        <x:v>#NAME?</x:v>
      </x:c>
      <x:c r="D51" s="5" t="e">
        <x:f aca="0">02_将来年次投資置換!D45</x:f>
        <x:v>#NAME?</x:v>
      </x:c>
      <x:c r="E51" s="5" t="e">
        <x:f aca="0">02_将来年次投資置換!E45</x:f>
        <x:v>#NAME?</x:v>
      </x:c>
      <x:c r="F51" s="5" t="e">
        <x:f aca="0">02_将来年次投資置換!F45</x:f>
        <x:v>#NAME?</x:v>
      </x:c>
      <x:c r="G51" s="5" t="e">
        <x:f aca="0">02_将来年次投資置換!G45</x:f>
        <x:v>#NAME?</x:v>
      </x:c>
      <x:c r="H51" s="5" t="e">
        <x:f aca="0">02_将来年次投資置換!H45</x:f>
        <x:v>#NAME?</x:v>
      </x:c>
      <x:c r="I51" s="5" t="e">
        <x:f aca="0">02_将来年次投資置換!I45</x:f>
        <x:v>#NAME?</x:v>
      </x:c>
      <x:c r="J51" s="5" t="e">
        <x:f aca="0">02_将来年次投資置換!J45</x:f>
        <x:v>#NAME?</x:v>
      </x:c>
      <x:c r="K51" s="5" t="e">
        <x:f aca="0">02_将来年次投資置換!K45</x:f>
        <x:v>#NAME?</x:v>
      </x:c>
    </x:row>
    <x:row r="52" ht="17.149999618530273" hidden="0">
      <x:c r="A52" s="6" t="s">
        <x:v>91</x:v>
      </x:c>
      <x:c r="B52" s="5" t="e">
        <x:f aca="0">02_将来年次投資置換!B46</x:f>
        <x:v>#NAME?</x:v>
      </x:c>
      <x:c r="C52" s="5" t="e">
        <x:f aca="0">02_将来年次投資置換!C46</x:f>
        <x:v>#NAME?</x:v>
      </x:c>
      <x:c r="D52" s="5" t="e">
        <x:f aca="0">02_将来年次投資置換!D46</x:f>
        <x:v>#NAME?</x:v>
      </x:c>
      <x:c r="E52" s="5" t="e">
        <x:f aca="0">02_将来年次投資置換!E46</x:f>
        <x:v>#NAME?</x:v>
      </x:c>
      <x:c r="F52" s="5" t="e">
        <x:f aca="0">02_将来年次投資置換!F46</x:f>
        <x:v>#NAME?</x:v>
      </x:c>
      <x:c r="G52" s="5" t="e">
        <x:f aca="0">02_将来年次投資置換!G46</x:f>
        <x:v>#NAME?</x:v>
      </x:c>
      <x:c r="H52" s="5" t="e">
        <x:f aca="0">02_将来年次投資置換!H46</x:f>
        <x:v>#NAME?</x:v>
      </x:c>
      <x:c r="I52" s="5" t="e">
        <x:f aca="0">02_将来年次投資置換!I46</x:f>
        <x:v>#NAME?</x:v>
      </x:c>
      <x:c r="J52" s="5" t="e">
        <x:f aca="0">02_将来年次投資置換!J46</x:f>
        <x:v>#NAME?</x:v>
      </x:c>
      <x:c r="K52" s="5" t="e">
        <x:f aca="0">02_将来年次投資置換!K46</x:f>
        <x:v>#NAME?</x:v>
      </x:c>
    </x:row>
    <x:row r="53" ht="17.149999618530273" hidden="0">
      <x:c r="A53" s="6" t="s">
        <x:v>92</x:v>
      </x:c>
      <x:c r="B53" s="5" t="e">
        <x:f aca="0">02_将来年次投資置換!B47</x:f>
        <x:v>#NAME?</x:v>
      </x:c>
      <x:c r="C53" s="5" t="e">
        <x:f aca="0">02_将来年次投資置換!C47</x:f>
        <x:v>#NAME?</x:v>
      </x:c>
      <x:c r="D53" s="5" t="e">
        <x:f aca="0">02_将来年次投資置換!D47</x:f>
        <x:v>#NAME?</x:v>
      </x:c>
      <x:c r="E53" s="5" t="e">
        <x:f aca="0">02_将来年次投資置換!E47</x:f>
        <x:v>#NAME?</x:v>
      </x:c>
      <x:c r="F53" s="5" t="e">
        <x:f aca="0">02_将来年次投資置換!F47</x:f>
        <x:v>#NAME?</x:v>
      </x:c>
      <x:c r="G53" s="5" t="e">
        <x:f aca="0">02_将来年次投資置換!G47</x:f>
        <x:v>#NAME?</x:v>
      </x:c>
      <x:c r="H53" s="5" t="e">
        <x:f aca="0">02_将来年次投資置換!H47</x:f>
        <x:v>#NAME?</x:v>
      </x:c>
      <x:c r="I53" s="5" t="e">
        <x:f aca="0">02_将来年次投資置換!I47</x:f>
        <x:v>#NAME?</x:v>
      </x:c>
      <x:c r="J53" s="5" t="e">
        <x:f aca="0">02_将来年次投資置換!J47</x:f>
        <x:v>#NAME?</x:v>
      </x:c>
      <x:c r="K53" s="5" t="e">
        <x:f aca="0">02_将来年次投資置換!K47</x:f>
        <x:v>#NAME?</x:v>
      </x:c>
    </x:row>
    <x:row r="54" ht="32.79999923706055" hidden="0">
      <x:c r="A54" s="6" t="s">
        <x:v>93</x:v>
      </x:c>
      <x:c r="B54" s="5" t="e">
        <x:f aca="0">B40-B50</x:f>
        <x:v>#NAME?</x:v>
      </x:c>
      <x:c r="C54" s="5" t="e">
        <x:f aca="0">C40-C50</x:f>
        <x:v>#NAME?</x:v>
      </x:c>
      <x:c r="D54" s="5" t="e">
        <x:f aca="0">D40-D50</x:f>
        <x:v>#NAME?</x:v>
      </x:c>
      <x:c r="E54" s="5" t="e">
        <x:f aca="0">E40-E50</x:f>
        <x:v>#NAME?</x:v>
      </x:c>
      <x:c r="F54" s="5" t="e">
        <x:f aca="0">F40-F50</x:f>
        <x:v>#NAME?</x:v>
      </x:c>
      <x:c r="G54" s="5" t="e">
        <x:f aca="0">G40-G50</x:f>
        <x:v>#NAME?</x:v>
      </x:c>
      <x:c r="H54" s="5" t="e">
        <x:f aca="0">H40-H50</x:f>
        <x:v>#NAME?</x:v>
      </x:c>
      <x:c r="I54" s="5" t="e">
        <x:f aca="0">I40-I50</x:f>
        <x:v>#NAME?</x:v>
      </x:c>
      <x:c r="J54" s="5" t="e">
        <x:f aca="0">J40-J50</x:f>
        <x:v>#NAME?</x:v>
      </x:c>
      <x:c r="K54" s="5" t="e">
        <x:f aca="0">K40-K50</x:f>
        <x:v>#NAME?</x:v>
      </x:c>
    </x:row>
    <x:row r="55" ht="15" hidden="0">
      <x:c r="A55" s="7"/>
      <x:c r="B55" s="5"/>
      <x:c r="C55" s="5"/>
      <x:c r="D55" s="5"/>
      <x:c r="E55" s="5"/>
      <x:c r="F55" s="5"/>
      <x:c r="G55" s="5"/>
      <x:c r="H55" s="5"/>
      <x:c r="I55" s="5"/>
      <x:c r="J55" s="5"/>
      <x:c r="K55" s="5"/>
    </x:row>
    <x:row r="56" ht="17.149999618530273" hidden="0">
      <x:c r="A56" s="42" t="s">
        <x:v>157</x:v>
      </x:c>
      <x:c r="B56" s="43"/>
      <x:c r="C56" s="43"/>
      <x:c r="D56" s="43"/>
      <x:c r="E56" s="43"/>
      <x:c r="F56" s="43"/>
      <x:c r="G56" s="43"/>
      <x:c r="H56" s="43"/>
      <x:c r="I56" s="43"/>
      <x:c r="J56" s="43"/>
      <x:c r="K56" s="43"/>
    </x:row>
    <x:row r="57" ht="17.149999618530273" hidden="0">
      <x:c r="A57" s="6" t="s">
        <x:v>158</x:v>
      </x:c>
      <x:c r="B57" s="5" t="e">
        <x:f aca="0">B28+B21+B22-B14</x:f>
        <x:v>#NAME?</x:v>
      </x:c>
      <x:c r="C57" s="5" t="e">
        <x:f aca="0">C28+C21+C22-C14</x:f>
        <x:v>#NAME?</x:v>
      </x:c>
      <x:c r="D57" s="5" t="e">
        <x:f aca="0">D28+D21+D22-D14</x:f>
        <x:v>#NAME?</x:v>
      </x:c>
      <x:c r="E57" s="5" t="e">
        <x:f aca="0">E28+E21+E22-E14</x:f>
        <x:v>#NAME?</x:v>
      </x:c>
      <x:c r="F57" s="5" t="e">
        <x:f aca="0">F28+F21+F22-F14</x:f>
        <x:v>#NAME?</x:v>
      </x:c>
      <x:c r="G57" s="5" t="e">
        <x:f aca="0">G28+G21+G22-G14</x:f>
        <x:v>#NAME?</x:v>
      </x:c>
      <x:c r="H57" s="5" t="e">
        <x:f aca="0">H28+H21+H22-H14</x:f>
        <x:v>#NAME?</x:v>
      </x:c>
      <x:c r="I57" s="5" t="e">
        <x:f aca="0">I28+I21+I22-I14</x:f>
        <x:v>#NAME?</x:v>
      </x:c>
      <x:c r="J57" s="5" t="e">
        <x:f aca="0">J28+J21+J22-J14</x:f>
        <x:v>#NAME?</x:v>
      </x:c>
      <x:c r="K57" s="5" t="e">
        <x:f aca="0">K28+K21+K22-K14</x:f>
        <x:v>#NAME?</x:v>
      </x:c>
    </x:row>
    <x:row r="58" ht="17.149999618530273" hidden="0">
      <x:c r="A58" s="6" t="s">
        <x:v>159</x:v>
      </x:c>
      <x:c r="B58" s="5" t="e">
        <x:f aca="0">B54</x:f>
        <x:v>#NAME?</x:v>
      </x:c>
      <x:c r="C58" s="5" t="e">
        <x:f aca="0">C54</x:f>
        <x:v>#NAME?</x:v>
      </x:c>
      <x:c r="D58" s="5" t="e">
        <x:f aca="0">D54</x:f>
        <x:v>#NAME?</x:v>
      </x:c>
      <x:c r="E58" s="5" t="e">
        <x:f aca="0">E54</x:f>
        <x:v>#NAME?</x:v>
      </x:c>
      <x:c r="F58" s="5" t="e">
        <x:f aca="0">F54</x:f>
        <x:v>#NAME?</x:v>
      </x:c>
      <x:c r="G58" s="5" t="e">
        <x:f aca="0">G54</x:f>
        <x:v>#NAME?</x:v>
      </x:c>
      <x:c r="H58" s="5" t="e">
        <x:f aca="0">H54</x:f>
        <x:v>#NAME?</x:v>
      </x:c>
      <x:c r="I58" s="5" t="e">
        <x:f aca="0">I54</x:f>
        <x:v>#NAME?</x:v>
      </x:c>
      <x:c r="J58" s="5" t="e">
        <x:f aca="0">J54</x:f>
        <x:v>#NAME?</x:v>
      </x:c>
      <x:c r="K58" s="5" t="e">
        <x:f aca="0">K54</x:f>
        <x:v>#NAME?</x:v>
      </x:c>
    </x:row>
    <x:row r="59" ht="17.149999618530273" hidden="0">
      <x:c r="A59" s="6" t="s">
        <x:v>160</x:v>
      </x:c>
      <x:c r="B59" s="5" t="e">
        <x:f aca="0">00_前提・検証!$B$6</x:f>
        <x:v>#NAME?</x:v>
      </x:c>
      <x:c r="C59" s="5" t="e">
        <x:f aca="0">B59+C57+C58</x:f>
        <x:v>#NAME?</x:v>
      </x:c>
      <x:c r="D59" s="5" t="e">
        <x:f aca="0">C59+D57+D58</x:f>
        <x:v>#NAME?</x:v>
      </x:c>
      <x:c r="E59" s="5" t="e">
        <x:f aca="0">D59+E57+E58</x:f>
        <x:v>#NAME?</x:v>
      </x:c>
      <x:c r="F59" s="5" t="e">
        <x:f aca="0">E59+F57+F58</x:f>
        <x:v>#NAME?</x:v>
      </x:c>
      <x:c r="G59" s="5" t="e">
        <x:f aca="0">F59+G57+G58</x:f>
        <x:v>#NAME?</x:v>
      </x:c>
      <x:c r="H59" s="5" t="e">
        <x:f aca="0">G59+H57+H58</x:f>
        <x:v>#NAME?</x:v>
      </x:c>
      <x:c r="I59" s="5" t="e">
        <x:f aca="0">H59+I57+I58</x:f>
        <x:v>#NAME?</x:v>
      </x:c>
      <x:c r="J59" s="5" t="e">
        <x:f aca="0">I59+J57+J58</x:f>
        <x:v>#NAME?</x:v>
      </x:c>
      <x:c r="K59" s="5" t="e">
        <x:f aca="0">J59+K57+K58</x:f>
        <x:v>#NAME?</x:v>
      </x:c>
    </x:row>
    <x:row r="60" ht="17.149999618530273" hidden="0">
      <x:c r="A60" s="6" t="s">
        <x:v>161</x:v>
      </x:c>
      <x:c r="B60" s="5" t="e">
        <x:f aca="0">B59-00_前提・検証!$B$7</x:f>
        <x:v>#NAME?</x:v>
      </x:c>
      <x:c r="C60" s="5" t="e">
        <x:f aca="0">C59-00_前提・検証!$B$7</x:f>
        <x:v>#NAME?</x:v>
      </x:c>
      <x:c r="D60" s="5" t="e">
        <x:f aca="0">D59-00_前提・検証!$B$7</x:f>
        <x:v>#NAME?</x:v>
      </x:c>
      <x:c r="E60" s="5" t="e">
        <x:f aca="0">E59-00_前提・検証!$B$7</x:f>
        <x:v>#NAME?</x:v>
      </x:c>
      <x:c r="F60" s="5" t="e">
        <x:f aca="0">F59-00_前提・検証!$B$7</x:f>
        <x:v>#NAME?</x:v>
      </x:c>
      <x:c r="G60" s="5" t="e">
        <x:f aca="0">G59-00_前提・検証!$B$7</x:f>
        <x:v>#NAME?</x:v>
      </x:c>
      <x:c r="H60" s="5" t="e">
        <x:f aca="0">H59-00_前提・検証!$B$7</x:f>
        <x:v>#NAME?</x:v>
      </x:c>
      <x:c r="I60" s="5" t="e">
        <x:f aca="0">I59-00_前提・検証!$B$7</x:f>
        <x:v>#NAME?</x:v>
      </x:c>
      <x:c r="J60" s="5" t="e">
        <x:f aca="0">J59-00_前提・検証!$B$7</x:f>
        <x:v>#NAME?</x:v>
      </x:c>
      <x:c r="K60" s="5" t="e">
        <x:f aca="0">K59-00_前提・検証!$B$7</x:f>
        <x:v>#NAME?</x:v>
      </x:c>
    </x:row>
  </x:sheetData>
  <x:mergeCells>
    <x:mergeCell ref="A1:K1"/>
    <x:mergeCell ref="A2:K2"/>
  </x:mergeCells>
  <x:conditionalFormatting sqref="B37:K37">
    <x:cfRule type="expression" dxfId="0" priority="2" aboveAverage="0" percent="0" bottom="0" rank="0" equalAverage="0">
      <x:formula>B37&lt;&gt;"OK"</x:formula>
    </x:cfRule>
  </x:conditionalFormatting>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4" width="8.880000114440918" hidden="0" customWidth="1"/>
    <x:col min="5" max="11" width="9.75" hidden="0" customWidth="1"/>
  </x:cols>
  <x:sheetData>
    <x:row r="1" ht="21.600000381469727" hidden="0" customHeight="1">
      <x:c r="A1" s="31" t="s">
        <x:v>168</x:v>
      </x:c>
      <x:c r="B1" s="31"/>
      <x:c r="C1" s="31"/>
      <x:c r="D1" s="31"/>
      <x:c r="E1" s="31"/>
      <x:c r="F1" s="31"/>
      <x:c r="G1" s="31"/>
      <x:c r="H1" s="31"/>
      <x:c r="I1" s="31"/>
      <x:c r="J1" s="31"/>
      <x:c r="K1" s="31"/>
    </x:row>
    <x:row r="2" ht="17.149999618530273" hidden="0" customHeight="1">
      <x:c r="A2" s="32" t="s">
        <x:v>134</x:v>
      </x:c>
      <x:c r="B2" s="32"/>
      <x:c r="C2" s="32"/>
      <x:c r="D2" s="32"/>
      <x:c r="E2" s="32"/>
      <x:c r="F2" s="32"/>
      <x:c r="G2" s="32"/>
      <x:c r="H2" s="32"/>
      <x:c r="I2" s="32"/>
      <x:c r="J2" s="32"/>
      <x:c r="K2" s="32"/>
    </x:row>
    <x:row r="3" ht="32.79999923706055" hidden="0">
      <x:c r="A3" s="1" t="s">
        <x:v>41</x:v>
      </x:c>
      <x:c r="B3" s="1" t="s">
        <x:v>42</x:v>
      </x:c>
      <x:c r="C3" s="1" t="s">
        <x:v>43</x:v>
      </x:c>
      <x:c r="D3" s="1" t="s">
        <x:v>44</x:v>
      </x:c>
      <x:c r="E3" s="1" t="s">
        <x:v>45</x:v>
      </x:c>
      <x:c r="F3" s="1" t="s">
        <x:v>46</x:v>
      </x:c>
      <x:c r="G3" s="1" t="s">
        <x:v>47</x:v>
      </x:c>
      <x:c r="H3" s="1" t="s">
        <x:v>48</x:v>
      </x:c>
      <x:c r="I3" s="1" t="s">
        <x:v>49</x:v>
      </x:c>
      <x:c r="J3" s="1" t="s">
        <x:v>50</x:v>
      </x:c>
      <x:c r="K3" s="1" t="s">
        <x:v>51</x:v>
      </x:c>
    </x:row>
    <x:row r="4" ht="17.149999618530273" hidden="0">
      <x:c r="A4" s="6" t="s">
        <x:v>99</x:v>
      </x:c>
      <x:c r="B4" s="34" t="n">
        <x:v>0.03</x:v>
      </x:c>
      <x:c r="C4" s="34"/>
      <x:c r="D4" s="34"/>
      <x:c r="E4" s="34"/>
      <x:c r="F4" s="34"/>
      <x:c r="G4" s="34"/>
      <x:c r="H4" s="34"/>
      <x:c r="I4" s="34"/>
      <x:c r="J4" s="34"/>
      <x:c r="K4" s="34"/>
    </x:row>
    <x:row r="5" ht="17.149999618530273" hidden="0">
      <x:c r="A5" s="6" t="s">
        <x:v>135</x:v>
      </x:c>
      <x:c r="B5" s="5" t="e">
        <x:f aca="0">00_前提・検証!$B$2*$B$4</x:f>
        <x:v>#NAME?</x:v>
      </x:c>
      <x:c r="C5" s="34"/>
      <x:c r="D5" s="34"/>
      <x:c r="E5" s="34"/>
      <x:c r="F5" s="34"/>
      <x:c r="G5" s="34"/>
      <x:c r="H5" s="34"/>
      <x:c r="I5" s="34"/>
      <x:c r="J5" s="34"/>
      <x:c r="K5" s="34"/>
    </x:row>
    <x:row r="6" ht="17.149999618530273" hidden="0">
      <x:c r="A6" s="6" t="s">
        <x:v>136</x:v>
      </x:c>
      <x:c r="B6" s="34" t="e">
        <x:f aca="0">MAX(0,(SUMPRODUCT((02_将来年次投資置換!F18:J18+02_将来年次投資置換!F28:J28-02_将来年次投資置換!F12:J12-02_将来年次投資置換!F8:J8-02_将来年次投資置換!F11:J11+$B$5)-02_将来年次投資置換!F7:J7)/SUM(02_将来年次投資置換!F7:J7)))</x:f>
        <x:v>#NAME?</x:v>
      </x:c>
      <x:c r="C6" s="34"/>
      <x:c r="D6" s="34"/>
      <x:c r="E6" s="34"/>
      <x:c r="F6" s="34"/>
      <x:c r="G6" s="34"/>
      <x:c r="H6" s="34"/>
      <x:c r="I6" s="34"/>
      <x:c r="J6" s="34"/>
      <x:c r="K6" s="34"/>
    </x:row>
    <x:row r="7" ht="15" hidden="0">
      <x:c r="A7" s="7"/>
      <x:c r="B7" s="7"/>
      <x:c r="C7" s="7"/>
      <x:c r="D7" s="7"/>
      <x:c r="E7" s="7"/>
      <x:c r="F7" s="7"/>
      <x:c r="G7" s="7"/>
      <x:c r="H7" s="7"/>
      <x:c r="I7" s="7"/>
      <x:c r="J7" s="7"/>
      <x:c r="K7" s="7"/>
    </x:row>
    <x:row r="8" ht="17.149999618530273" hidden="0">
      <x:c r="A8" s="42" t="s">
        <x:v>52</x:v>
      </x:c>
      <x:c r="B8" s="43"/>
      <x:c r="C8" s="43"/>
      <x:c r="D8" s="43"/>
      <x:c r="E8" s="43"/>
      <x:c r="F8" s="43"/>
      <x:c r="G8" s="43"/>
      <x:c r="H8" s="43"/>
      <x:c r="I8" s="43"/>
      <x:c r="J8" s="43"/>
      <x:c r="K8" s="43"/>
    </x:row>
    <x:row r="9" ht="17.149999618530273" hidden="0">
      <x:c r="A9" s="6" t="s">
        <x:v>54</x:v>
      </x:c>
      <x:c r="B9" s="5" t="e">
        <x:f aca="0">SUM(B10:B12)</x:f>
        <x:v>#NAME?</x:v>
      </x:c>
      <x:c r="C9" s="5" t="e">
        <x:f aca="0">SUM(C10:C12)</x:f>
        <x:v>#NAME?</x:v>
      </x:c>
      <x:c r="D9" s="5" t="e">
        <x:f aca="0">SUM(D10:D12)</x:f>
        <x:v>#NAME?</x:v>
      </x:c>
      <x:c r="E9" s="5" t="e">
        <x:f aca="0">SUM(E10:E12)</x:f>
        <x:v>#NAME?</x:v>
      </x:c>
      <x:c r="F9" s="5" t="e">
        <x:f aca="0">SUM(F10:F12)</x:f>
        <x:v>#NAME?</x:v>
      </x:c>
      <x:c r="G9" s="5" t="e">
        <x:f aca="0">SUM(G10:G12)</x:f>
        <x:v>#NAME?</x:v>
      </x:c>
      <x:c r="H9" s="5" t="e">
        <x:f aca="0">SUM(H10:H12)</x:f>
        <x:v>#NAME?</x:v>
      </x:c>
      <x:c r="I9" s="5" t="e">
        <x:f aca="0">SUM(I10:I12)</x:f>
        <x:v>#NAME?</x:v>
      </x:c>
      <x:c r="J9" s="5" t="e">
        <x:f aca="0">SUM(J10:J12)</x:f>
        <x:v>#NAME?</x:v>
      </x:c>
      <x:c r="K9" s="5" t="e">
        <x:f aca="0">SUM(K10:K12)</x:f>
        <x:v>#NAME?</x:v>
      </x:c>
    </x:row>
    <x:row r="10" ht="17.149999618530273" hidden="0">
      <x:c r="A10" s="6" t="s">
        <x:v>137</x:v>
      </x:c>
      <x:c r="B10" s="5" t="e">
        <x:f aca="0">02_将来年次投資置換!B7*IF(7&gt;=11,1+$B$6,1)</x:f>
        <x:v>#NAME?</x:v>
      </x:c>
      <x:c r="C10" s="5" t="e">
        <x:f aca="0">02_将来年次投資置換!C7*IF(8&gt;=11,1+$B$6,1)</x:f>
        <x:v>#NAME?</x:v>
      </x:c>
      <x:c r="D10" s="5" t="e">
        <x:f aca="0">02_将来年次投資置換!D7*IF(9&gt;=11,1+$B$6,1)</x:f>
        <x:v>#NAME?</x:v>
      </x:c>
      <x:c r="E10" s="5" t="e">
        <x:f aca="0">02_将来年次投資置換!E7*IF(10&gt;=11,1+$B$6,1)</x:f>
        <x:v>#NAME?</x:v>
      </x:c>
      <x:c r="F10" s="5" t="e">
        <x:f aca="0">02_将来年次投資置換!F7*IF(11&gt;=11,1+$B$6,1)</x:f>
        <x:v>#NAME?</x:v>
      </x:c>
      <x:c r="G10" s="5" t="e">
        <x:f aca="0">02_将来年次投資置換!G7*IF(12&gt;=11,1+$B$6,1)</x:f>
        <x:v>#NAME?</x:v>
      </x:c>
      <x:c r="H10" s="5" t="e">
        <x:f aca="0">02_将来年次投資置換!H7*IF(13&gt;=11,1+$B$6,1)</x:f>
        <x:v>#NAME?</x:v>
      </x:c>
      <x:c r="I10" s="5" t="e">
        <x:f aca="0">02_将来年次投資置換!I7*IF(14&gt;=11,1+$B$6,1)</x:f>
        <x:v>#NAME?</x:v>
      </x:c>
      <x:c r="J10" s="5" t="e">
        <x:f aca="0">02_将来年次投資置換!J7*IF(15&gt;=11,1+$B$6,1)</x:f>
        <x:v>#NAME?</x:v>
      </x:c>
      <x:c r="K10" s="5" t="e">
        <x:f aca="0">02_将来年次投資置換!K7*IF(16&gt;=11,1+$B$6,1)</x:f>
        <x:v>#NAME?</x:v>
      </x:c>
    </x:row>
    <x:row r="11" ht="17.149999618530273" hidden="0">
      <x:c r="A11" s="6" t="s">
        <x:v>138</x:v>
      </x:c>
      <x:c r="B11" s="5" t="e">
        <x:f aca="0">B10-02_将来年次投資置換!B7</x:f>
        <x:v>#NAME?</x:v>
      </x:c>
      <x:c r="C11" s="5" t="e">
        <x:f aca="0">C10-02_将来年次投資置換!C7</x:f>
        <x:v>#NAME?</x:v>
      </x:c>
      <x:c r="D11" s="5" t="e">
        <x:f aca="0">D10-02_将来年次投資置換!D7</x:f>
        <x:v>#NAME?</x:v>
      </x:c>
      <x:c r="E11" s="5" t="e">
        <x:f aca="0">E10-02_将来年次投資置換!E7</x:f>
        <x:v>#NAME?</x:v>
      </x:c>
      <x:c r="F11" s="5" t="e">
        <x:f aca="0">F10-02_将来年次投資置換!F7</x:f>
        <x:v>#NAME?</x:v>
      </x:c>
      <x:c r="G11" s="5" t="e">
        <x:f aca="0">G10-02_将来年次投資置換!G7</x:f>
        <x:v>#NAME?</x:v>
      </x:c>
      <x:c r="H11" s="5" t="e">
        <x:f aca="0">H10-02_将来年次投資置換!H7</x:f>
        <x:v>#NAME?</x:v>
      </x:c>
      <x:c r="I11" s="5" t="e">
        <x:f aca="0">I10-02_将来年次投資置換!I7</x:f>
        <x:v>#NAME?</x:v>
      </x:c>
      <x:c r="J11" s="5" t="e">
        <x:f aca="0">J10-02_将来年次投資置換!J7</x:f>
        <x:v>#NAME?</x:v>
      </x:c>
      <x:c r="K11" s="5" t="e">
        <x:f aca="0">K10-02_将来年次投資置換!K7</x:f>
        <x:v>#NAME?</x:v>
      </x:c>
    </x:row>
    <x:row r="12" ht="17.149999618530273" hidden="0">
      <x:c r="A12" s="6" t="s">
        <x:v>139</x:v>
      </x:c>
      <x:c r="B12" s="5" t="e">
        <x:f aca="0">02_将来年次投資置換!B8</x:f>
        <x:v>#NAME?</x:v>
      </x:c>
      <x:c r="C12" s="5" t="e">
        <x:f aca="0">02_将来年次投資置換!C8</x:f>
        <x:v>#NAME?</x:v>
      </x:c>
      <x:c r="D12" s="5" t="e">
        <x:f aca="0">02_将来年次投資置換!D8</x:f>
        <x:v>#NAME?</x:v>
      </x:c>
      <x:c r="E12" s="5" t="e">
        <x:f aca="0">02_将来年次投資置換!E8</x:f>
        <x:v>#NAME?</x:v>
      </x:c>
      <x:c r="F12" s="5" t="e">
        <x:f aca="0">02_将来年次投資置換!F8</x:f>
        <x:v>#NAME?</x:v>
      </x:c>
      <x:c r="G12" s="5" t="e">
        <x:f aca="0">02_将来年次投資置換!G8</x:f>
        <x:v>#NAME?</x:v>
      </x:c>
      <x:c r="H12" s="5" t="e">
        <x:f aca="0">02_将来年次投資置換!H8</x:f>
        <x:v>#NAME?</x:v>
      </x:c>
      <x:c r="I12" s="5" t="e">
        <x:f aca="0">02_将来年次投資置換!I8</x:f>
        <x:v>#NAME?</x:v>
      </x:c>
      <x:c r="J12" s="5" t="e">
        <x:f aca="0">02_将来年次投資置換!J8</x:f>
        <x:v>#NAME?</x:v>
      </x:c>
      <x:c r="K12" s="5" t="e">
        <x:f aca="0">02_将来年次投資置換!K8</x:f>
        <x:v>#NAME?</x:v>
      </x:c>
    </x:row>
    <x:row r="13" ht="17.149999618530273" hidden="0">
      <x:c r="A13" s="6" t="s">
        <x:v>57</x:v>
      </x:c>
      <x:c r="B13" s="5" t="e">
        <x:f aca="0">02_将来年次投資置換!B9</x:f>
        <x:v>#NAME?</x:v>
      </x:c>
      <x:c r="C13" s="5" t="e">
        <x:f aca="0">02_将来年次投資置換!C9</x:f>
        <x:v>#NAME?</x:v>
      </x:c>
      <x:c r="D13" s="5" t="e">
        <x:f aca="0">02_将来年次投資置換!D9</x:f>
        <x:v>#NAME?</x:v>
      </x:c>
      <x:c r="E13" s="5" t="e">
        <x:f aca="0">02_将来年次投資置換!E9</x:f>
        <x:v>#NAME?</x:v>
      </x:c>
      <x:c r="F13" s="5" t="e">
        <x:f aca="0">02_将来年次投資置換!F9</x:f>
        <x:v>#NAME?</x:v>
      </x:c>
      <x:c r="G13" s="5" t="e">
        <x:f aca="0">02_将来年次投資置換!G9</x:f>
        <x:v>#NAME?</x:v>
      </x:c>
      <x:c r="H13" s="5" t="e">
        <x:f aca="0">02_将来年次投資置換!H9</x:f>
        <x:v>#NAME?</x:v>
      </x:c>
      <x:c r="I13" s="5" t="e">
        <x:f aca="0">02_将来年次投資置換!I9</x:f>
        <x:v>#NAME?</x:v>
      </x:c>
      <x:c r="J13" s="5" t="e">
        <x:f aca="0">02_将来年次投資置換!J9</x:f>
        <x:v>#NAME?</x:v>
      </x:c>
      <x:c r="K13" s="5" t="e">
        <x:f aca="0">02_将来年次投資置換!K9</x:f>
        <x:v>#NAME?</x:v>
      </x:c>
    </x:row>
    <x:row r="14" ht="17.149999618530273" hidden="0">
      <x:c r="A14" s="6" t="s">
        <x:v>140</x:v>
      </x:c>
      <x:c r="B14" s="5" t="e">
        <x:f aca="0">02_将来年次投資置換!B12</x:f>
        <x:v>#NAME?</x:v>
      </x:c>
      <x:c r="C14" s="5" t="e">
        <x:f aca="0">02_将来年次投資置換!C12</x:f>
        <x:v>#NAME?</x:v>
      </x:c>
      <x:c r="D14" s="5" t="e">
        <x:f aca="0">02_将来年次投資置換!D12</x:f>
        <x:v>#NAME?</x:v>
      </x:c>
      <x:c r="E14" s="5" t="e">
        <x:f aca="0">02_将来年次投資置換!E12</x:f>
        <x:v>#NAME?</x:v>
      </x:c>
      <x:c r="F14" s="5" t="e">
        <x:f aca="0">02_将来年次投資置換!F12</x:f>
        <x:v>#NAME?</x:v>
      </x:c>
      <x:c r="G14" s="5" t="e">
        <x:f aca="0">02_将来年次投資置換!G12</x:f>
        <x:v>#NAME?</x:v>
      </x:c>
      <x:c r="H14" s="5" t="e">
        <x:f aca="0">02_将来年次投資置換!H12</x:f>
        <x:v>#NAME?</x:v>
      </x:c>
      <x:c r="I14" s="5" t="e">
        <x:f aca="0">02_将来年次投資置換!I12</x:f>
        <x:v>#NAME?</x:v>
      </x:c>
      <x:c r="J14" s="5" t="e">
        <x:f aca="0">02_将来年次投資置換!J12</x:f>
        <x:v>#NAME?</x:v>
      </x:c>
      <x:c r="K14" s="5" t="e">
        <x:f aca="0">02_将来年次投資置換!K12</x:f>
        <x:v>#NAME?</x:v>
      </x:c>
    </x:row>
    <x:row r="15" ht="17.149999618530273" hidden="0">
      <x:c r="A15" s="6" t="s">
        <x:v>141</x:v>
      </x:c>
      <x:c r="B15" s="5" t="e">
        <x:f aca="0">02_将来年次投資置換!B11</x:f>
        <x:v>#NAME?</x:v>
      </x:c>
      <x:c r="C15" s="5" t="e">
        <x:f aca="0">02_将来年次投資置換!C11</x:f>
        <x:v>#NAME?</x:v>
      </x:c>
      <x:c r="D15" s="5" t="e">
        <x:f aca="0">02_将来年次投資置換!D11</x:f>
        <x:v>#NAME?</x:v>
      </x:c>
      <x:c r="E15" s="5" t="e">
        <x:f aca="0">02_将来年次投資置換!E11</x:f>
        <x:v>#NAME?</x:v>
      </x:c>
      <x:c r="F15" s="5" t="e">
        <x:f aca="0">02_将来年次投資置換!F11</x:f>
        <x:v>#NAME?</x:v>
      </x:c>
      <x:c r="G15" s="5" t="e">
        <x:f aca="0">02_将来年次投資置換!G11</x:f>
        <x:v>#NAME?</x:v>
      </x:c>
      <x:c r="H15" s="5" t="e">
        <x:f aca="0">02_将来年次投資置換!H11</x:f>
        <x:v>#NAME?</x:v>
      </x:c>
      <x:c r="I15" s="5" t="e">
        <x:f aca="0">02_将来年次投資置換!I11</x:f>
        <x:v>#NAME?</x:v>
      </x:c>
      <x:c r="J15" s="5" t="e">
        <x:f aca="0">02_将来年次投資置換!J11</x:f>
        <x:v>#NAME?</x:v>
      </x:c>
      <x:c r="K15" s="5" t="e">
        <x:f aca="0">02_将来年次投資置換!K11</x:f>
        <x:v>#NAME?</x:v>
      </x:c>
    </x:row>
    <x:row r="16" ht="17.149999618530273" hidden="0">
      <x:c r="A16" s="6" t="s">
        <x:v>62</x:v>
      </x:c>
      <x:c r="B16" s="5" t="e">
        <x:f aca="0">02_将来年次投資置換!B14</x:f>
        <x:v>#NAME?</x:v>
      </x:c>
      <x:c r="C16" s="5" t="e">
        <x:f aca="0">02_将来年次投資置換!C14</x:f>
        <x:v>#NAME?</x:v>
      </x:c>
      <x:c r="D16" s="5" t="e">
        <x:f aca="0">02_将来年次投資置換!D14</x:f>
        <x:v>#NAME?</x:v>
      </x:c>
      <x:c r="E16" s="5" t="e">
        <x:f aca="0">02_将来年次投資置換!E14</x:f>
        <x:v>#NAME?</x:v>
      </x:c>
      <x:c r="F16" s="5" t="e">
        <x:f aca="0">02_将来年次投資置換!F14</x:f>
        <x:v>#NAME?</x:v>
      </x:c>
      <x:c r="G16" s="5" t="e">
        <x:f aca="0">02_将来年次投資置換!G14</x:f>
        <x:v>#NAME?</x:v>
      </x:c>
      <x:c r="H16" s="5" t="e">
        <x:f aca="0">02_将来年次投資置換!H14</x:f>
        <x:v>#NAME?</x:v>
      </x:c>
      <x:c r="I16" s="5" t="e">
        <x:f aca="0">02_将来年次投資置換!I14</x:f>
        <x:v>#NAME?</x:v>
      </x:c>
      <x:c r="J16" s="5" t="e">
        <x:f aca="0">02_将来年次投資置換!J14</x:f>
        <x:v>#NAME?</x:v>
      </x:c>
      <x:c r="K16" s="5" t="e">
        <x:f aca="0">02_将来年次投資置換!K14</x:f>
        <x:v>#NAME?</x:v>
      </x:c>
    </x:row>
    <x:row r="17" ht="17.149999618530273" hidden="0">
      <x:c r="A17" s="6" t="s">
        <x:v>142</x:v>
      </x:c>
      <x:c r="B17" s="5" t="e">
        <x:f aca="0">SUM(B9,B13,B16)</x:f>
        <x:v>#NAME?</x:v>
      </x:c>
      <x:c r="C17" s="5" t="e">
        <x:f aca="0">SUM(C9,C13,C16)</x:f>
        <x:v>#NAME?</x:v>
      </x:c>
      <x:c r="D17" s="5" t="e">
        <x:f aca="0">SUM(D9,D13,D16)</x:f>
        <x:v>#NAME?</x:v>
      </x:c>
      <x:c r="E17" s="5" t="e">
        <x:f aca="0">SUM(E9,E13,E16)</x:f>
        <x:v>#NAME?</x:v>
      </x:c>
      <x:c r="F17" s="5" t="e">
        <x:f aca="0">SUM(F9,F13,F16)</x:f>
        <x:v>#NAME?</x:v>
      </x:c>
      <x:c r="G17" s="5" t="e">
        <x:f aca="0">SUM(G9,G13,G16)</x:f>
        <x:v>#NAME?</x:v>
      </x:c>
      <x:c r="H17" s="5" t="e">
        <x:f aca="0">SUM(H9,H13,H16)</x:f>
        <x:v>#NAME?</x:v>
      </x:c>
      <x:c r="I17" s="5" t="e">
        <x:f aca="0">SUM(I9,I13,I16)</x:f>
        <x:v>#NAME?</x:v>
      </x:c>
      <x:c r="J17" s="5" t="e">
        <x:f aca="0">SUM(J9,J13,J16)</x:f>
        <x:v>#NAME?</x:v>
      </x:c>
      <x:c r="K17" s="5" t="e">
        <x:f aca="0">SUM(K9,K13,K16)</x:f>
        <x:v>#NAME?</x:v>
      </x:c>
    </x:row>
    <x:row r="18" ht="15" hidden="0">
      <x:c r="A18" s="7"/>
      <x:c r="B18" s="5"/>
      <x:c r="C18" s="5"/>
      <x:c r="D18" s="5"/>
      <x:c r="E18" s="5"/>
      <x:c r="F18" s="5"/>
      <x:c r="G18" s="5"/>
      <x:c r="H18" s="5"/>
      <x:c r="I18" s="5"/>
      <x:c r="J18" s="5"/>
      <x:c r="K18" s="5"/>
    </x:row>
    <x:row r="19" ht="17.149999618530273" hidden="0">
      <x:c r="A19" s="42" t="s">
        <x:v>63</x:v>
      </x:c>
      <x:c r="B19" s="43"/>
      <x:c r="C19" s="43"/>
      <x:c r="D19" s="43"/>
      <x:c r="E19" s="43"/>
      <x:c r="F19" s="43"/>
      <x:c r="G19" s="43"/>
      <x:c r="H19" s="43"/>
      <x:c r="I19" s="43"/>
      <x:c r="J19" s="43"/>
      <x:c r="K19" s="43"/>
    </x:row>
    <x:row r="20" ht="17.149999618530273" hidden="0">
      <x:c r="A20" s="6" t="s">
        <x:v>65</x:v>
      </x:c>
      <x:c r="B20" s="5" t="e">
        <x:f aca="0">02_将来年次投資置換!B18</x:f>
        <x:v>#NAME?</x:v>
      </x:c>
      <x:c r="C20" s="5" t="e">
        <x:f aca="0">02_将来年次投資置換!C18</x:f>
        <x:v>#NAME?</x:v>
      </x:c>
      <x:c r="D20" s="5" t="e">
        <x:f aca="0">02_将来年次投資置換!D18</x:f>
        <x:v>#NAME?</x:v>
      </x:c>
      <x:c r="E20" s="5" t="e">
        <x:f aca="0">02_将来年次投資置換!E18</x:f>
        <x:v>#NAME?</x:v>
      </x:c>
      <x:c r="F20" s="5" t="e">
        <x:f aca="0">02_将来年次投資置換!F18</x:f>
        <x:v>#NAME?</x:v>
      </x:c>
      <x:c r="G20" s="5" t="e">
        <x:f aca="0">02_将来年次投資置換!G18</x:f>
        <x:v>#NAME?</x:v>
      </x:c>
      <x:c r="H20" s="5" t="e">
        <x:f aca="0">02_将来年次投資置換!H18</x:f>
        <x:v>#NAME?</x:v>
      </x:c>
      <x:c r="I20" s="5" t="e">
        <x:f aca="0">02_将来年次投資置換!I18</x:f>
        <x:v>#NAME?</x:v>
      </x:c>
      <x:c r="J20" s="5" t="e">
        <x:f aca="0">02_将来年次投資置換!J18</x:f>
        <x:v>#NAME?</x:v>
      </x:c>
      <x:c r="K20" s="5" t="e">
        <x:f aca="0">02_将来年次投資置換!K18</x:f>
        <x:v>#NAME?</x:v>
      </x:c>
    </x:row>
    <x:row r="21" ht="17.149999618530273" hidden="0">
      <x:c r="A21" s="6" t="s">
        <x:v>143</x:v>
      </x:c>
      <x:c r="B21" s="5" t="e">
        <x:f aca="0">02_将来年次投資置換!B25</x:f>
        <x:v>#NAME?</x:v>
      </x:c>
      <x:c r="C21" s="5" t="e">
        <x:f aca="0">02_将来年次投資置換!C25</x:f>
        <x:v>#NAME?</x:v>
      </x:c>
      <x:c r="D21" s="5" t="e">
        <x:f aca="0">02_将来年次投資置換!D25</x:f>
        <x:v>#NAME?</x:v>
      </x:c>
      <x:c r="E21" s="5" t="e">
        <x:f aca="0">02_将来年次投資置換!E25</x:f>
        <x:v>#NAME?</x:v>
      </x:c>
      <x:c r="F21" s="5" t="e">
        <x:f aca="0">02_将来年次投資置換!F25</x:f>
        <x:v>#NAME?</x:v>
      </x:c>
      <x:c r="G21" s="5" t="e">
        <x:f aca="0">02_将来年次投資置換!G25</x:f>
        <x:v>#NAME?</x:v>
      </x:c>
      <x:c r="H21" s="5" t="e">
        <x:f aca="0">02_将来年次投資置換!H25</x:f>
        <x:v>#NAME?</x:v>
      </x:c>
      <x:c r="I21" s="5" t="e">
        <x:f aca="0">02_将来年次投資置換!I25</x:f>
        <x:v>#NAME?</x:v>
      </x:c>
      <x:c r="J21" s="5" t="e">
        <x:f aca="0">02_将来年次投資置換!J25</x:f>
        <x:v>#NAME?</x:v>
      </x:c>
      <x:c r="K21" s="5" t="e">
        <x:f aca="0">02_将来年次投資置換!K25</x:f>
        <x:v>#NAME?</x:v>
      </x:c>
    </x:row>
    <x:row r="22" ht="17.149999618530273" hidden="0">
      <x:c r="A22" s="6" t="s">
        <x:v>144</x:v>
      </x:c>
      <x:c r="B22" s="5" t="e">
        <x:f aca="0">02_将来年次投資置換!B26</x:f>
        <x:v>#NAME?</x:v>
      </x:c>
      <x:c r="C22" s="5" t="e">
        <x:f aca="0">02_将来年次投資置換!C26</x:f>
        <x:v>#NAME?</x:v>
      </x:c>
      <x:c r="D22" s="5" t="e">
        <x:f aca="0">02_将来年次投資置換!D26</x:f>
        <x:v>#NAME?</x:v>
      </x:c>
      <x:c r="E22" s="5" t="e">
        <x:f aca="0">02_将来年次投資置換!E26</x:f>
        <x:v>#NAME?</x:v>
      </x:c>
      <x:c r="F22" s="5" t="e">
        <x:f aca="0">02_将来年次投資置換!F26</x:f>
        <x:v>#NAME?</x:v>
      </x:c>
      <x:c r="G22" s="5" t="e">
        <x:f aca="0">02_将来年次投資置換!G26</x:f>
        <x:v>#NAME?</x:v>
      </x:c>
      <x:c r="H22" s="5" t="e">
        <x:f aca="0">02_将来年次投資置換!H26</x:f>
        <x:v>#NAME?</x:v>
      </x:c>
      <x:c r="I22" s="5" t="e">
        <x:f aca="0">02_将来年次投資置換!I26</x:f>
        <x:v>#NAME?</x:v>
      </x:c>
      <x:c r="J22" s="5" t="e">
        <x:f aca="0">02_将来年次投資置換!J26</x:f>
        <x:v>#NAME?</x:v>
      </x:c>
      <x:c r="K22" s="5" t="e">
        <x:f aca="0">02_将来年次投資置換!K26</x:f>
        <x:v>#NAME?</x:v>
      </x:c>
    </x:row>
    <x:row r="23" ht="17.149999618530273" hidden="0">
      <x:c r="A23" s="6" t="s">
        <x:v>75</x:v>
      </x:c>
      <x:c r="B23" s="5" t="e">
        <x:f aca="0">02_将来年次投資置換!B28</x:f>
        <x:v>#NAME?</x:v>
      </x:c>
      <x:c r="C23" s="5" t="e">
        <x:f aca="0">02_将来年次投資置換!C28</x:f>
        <x:v>#NAME?</x:v>
      </x:c>
      <x:c r="D23" s="5" t="e">
        <x:f aca="0">02_将来年次投資置換!D28</x:f>
        <x:v>#NAME?</x:v>
      </x:c>
      <x:c r="E23" s="5" t="e">
        <x:f aca="0">02_将来年次投資置換!E28</x:f>
        <x:v>#NAME?</x:v>
      </x:c>
      <x:c r="F23" s="5" t="e">
        <x:f aca="0">02_将来年次投資置換!F28</x:f>
        <x:v>#NAME?</x:v>
      </x:c>
      <x:c r="G23" s="5" t="e">
        <x:f aca="0">02_将来年次投資置換!G28</x:f>
        <x:v>#NAME?</x:v>
      </x:c>
      <x:c r="H23" s="5" t="e">
        <x:f aca="0">02_将来年次投資置換!H28</x:f>
        <x:v>#NAME?</x:v>
      </x:c>
      <x:c r="I23" s="5" t="e">
        <x:f aca="0">02_将来年次投資置換!I28</x:f>
        <x:v>#NAME?</x:v>
      </x:c>
      <x:c r="J23" s="5" t="e">
        <x:f aca="0">02_将来年次投資置換!J28</x:f>
        <x:v>#NAME?</x:v>
      </x:c>
      <x:c r="K23" s="5" t="e">
        <x:f aca="0">02_将来年次投資置換!K28</x:f>
        <x:v>#NAME?</x:v>
      </x:c>
    </x:row>
    <x:row r="24" ht="17.149999618530273" hidden="0">
      <x:c r="A24" s="6" t="s">
        <x:v>145</x:v>
      </x:c>
      <x:c r="B24" s="5" t="e">
        <x:f aca="0">02_将来年次投資置換!B29</x:f>
        <x:v>#NAME?</x:v>
      </x:c>
      <x:c r="C24" s="5" t="e">
        <x:f aca="0">02_将来年次投資置換!C29</x:f>
        <x:v>#NAME?</x:v>
      </x:c>
      <x:c r="D24" s="5" t="e">
        <x:f aca="0">02_将来年次投資置換!D29</x:f>
        <x:v>#NAME?</x:v>
      </x:c>
      <x:c r="E24" s="5" t="e">
        <x:f aca="0">02_将来年次投資置換!E29</x:f>
        <x:v>#NAME?</x:v>
      </x:c>
      <x:c r="F24" s="5" t="e">
        <x:f aca="0">02_将来年次投資置換!F29</x:f>
        <x:v>#NAME?</x:v>
      </x:c>
      <x:c r="G24" s="5" t="e">
        <x:f aca="0">02_将来年次投資置換!G29</x:f>
        <x:v>#NAME?</x:v>
      </x:c>
      <x:c r="H24" s="5" t="e">
        <x:f aca="0">02_将来年次投資置換!H29</x:f>
        <x:v>#NAME?</x:v>
      </x:c>
      <x:c r="I24" s="5" t="e">
        <x:f aca="0">02_将来年次投資置換!I29</x:f>
        <x:v>#NAME?</x:v>
      </x:c>
      <x:c r="J24" s="5" t="e">
        <x:f aca="0">02_将来年次投資置換!J29</x:f>
        <x:v>#NAME?</x:v>
      </x:c>
      <x:c r="K24" s="5" t="e">
        <x:f aca="0">02_将来年次投資置換!K29</x:f>
        <x:v>#NAME?</x:v>
      </x:c>
    </x:row>
    <x:row r="25" ht="17.149999618530273" hidden="0">
      <x:c r="A25" s="6" t="s">
        <x:v>78</x:v>
      </x:c>
      <x:c r="B25" s="5" t="e">
        <x:f aca="0">02_将来年次投資置換!B31</x:f>
        <x:v>#NAME?</x:v>
      </x:c>
      <x:c r="C25" s="5" t="e">
        <x:f aca="0">02_将来年次投資置換!C31</x:f>
        <x:v>#NAME?</x:v>
      </x:c>
      <x:c r="D25" s="5" t="e">
        <x:f aca="0">02_将来年次投資置換!D31</x:f>
        <x:v>#NAME?</x:v>
      </x:c>
      <x:c r="E25" s="5" t="e">
        <x:f aca="0">02_将来年次投資置換!E31</x:f>
        <x:v>#NAME?</x:v>
      </x:c>
      <x:c r="F25" s="5" t="e">
        <x:f aca="0">02_将来年次投資置換!F31</x:f>
        <x:v>#NAME?</x:v>
      </x:c>
      <x:c r="G25" s="5" t="e">
        <x:f aca="0">02_将来年次投資置換!G31</x:f>
        <x:v>#NAME?</x:v>
      </x:c>
      <x:c r="H25" s="5" t="e">
        <x:f aca="0">02_将来年次投資置換!H31</x:f>
        <x:v>#NAME?</x:v>
      </x:c>
      <x:c r="I25" s="5" t="e">
        <x:f aca="0">02_将来年次投資置換!I31</x:f>
        <x:v>#NAME?</x:v>
      </x:c>
      <x:c r="J25" s="5" t="e">
        <x:f aca="0">02_将来年次投資置換!J31</x:f>
        <x:v>#NAME?</x:v>
      </x:c>
      <x:c r="K25" s="5" t="e">
        <x:f aca="0">02_将来年次投資置換!K31</x:f>
        <x:v>#NAME?</x:v>
      </x:c>
    </x:row>
    <x:row r="26" ht="17.149999618530273" hidden="0">
      <x:c r="A26" s="6" t="s">
        <x:v>146</x:v>
      </x:c>
      <x:c r="B26" s="5" t="e">
        <x:f aca="0">SUM(B20,B23,B25)</x:f>
        <x:v>#NAME?</x:v>
      </x:c>
      <x:c r="C26" s="5" t="e">
        <x:f aca="0">SUM(C20,C23,C25)</x:f>
        <x:v>#NAME?</x:v>
      </x:c>
      <x:c r="D26" s="5" t="e">
        <x:f aca="0">SUM(D20,D23,D25)</x:f>
        <x:v>#NAME?</x:v>
      </x:c>
      <x:c r="E26" s="5" t="e">
        <x:f aca="0">SUM(E20,E23,E25)</x:f>
        <x:v>#NAME?</x:v>
      </x:c>
      <x:c r="F26" s="5" t="e">
        <x:f aca="0">SUM(F20,F23,F25)</x:f>
        <x:v>#NAME?</x:v>
      </x:c>
      <x:c r="G26" s="5" t="e">
        <x:f aca="0">SUM(G20,G23,G25)</x:f>
        <x:v>#NAME?</x:v>
      </x:c>
      <x:c r="H26" s="5" t="e">
        <x:f aca="0">SUM(H20,H23,H25)</x:f>
        <x:v>#NAME?</x:v>
      </x:c>
      <x:c r="I26" s="5" t="e">
        <x:f aca="0">SUM(I20,I23,I25)</x:f>
        <x:v>#NAME?</x:v>
      </x:c>
      <x:c r="J26" s="5" t="e">
        <x:f aca="0">SUM(J20,J23,J25)</x:f>
        <x:v>#NAME?</x:v>
      </x:c>
      <x:c r="K26" s="5" t="e">
        <x:f aca="0">SUM(K20,K23,K25)</x:f>
        <x:v>#NAME?</x:v>
      </x:c>
    </x:row>
    <x:row r="27" ht="17.149999618530273" hidden="0">
      <x:c r="A27" s="6" t="s">
        <x:v>147</x:v>
      </x:c>
      <x:c r="B27" s="5" t="e">
        <x:f aca="0">SUM(B9,B13)-SUM(B20,B23)</x:f>
        <x:v>#NAME?</x:v>
      </x:c>
      <x:c r="C27" s="5" t="e">
        <x:f aca="0">SUM(C9,C13)-SUM(C20,C23)</x:f>
        <x:v>#NAME?</x:v>
      </x:c>
      <x:c r="D27" s="5" t="e">
        <x:f aca="0">SUM(D9,D13)-SUM(D20,D23)</x:f>
        <x:v>#NAME?</x:v>
      </x:c>
      <x:c r="E27" s="5" t="e">
        <x:f aca="0">SUM(E9,E13)-SUM(E20,E23)</x:f>
        <x:v>#NAME?</x:v>
      </x:c>
      <x:c r="F27" s="5" t="e">
        <x:f aca="0">SUM(F9,F13)-SUM(F20,F23)</x:f>
        <x:v>#NAME?</x:v>
      </x:c>
      <x:c r="G27" s="5" t="e">
        <x:f aca="0">SUM(G9,G13)-SUM(G20,G23)</x:f>
        <x:v>#NAME?</x:v>
      </x:c>
      <x:c r="H27" s="5" t="e">
        <x:f aca="0">SUM(H9,H13)-SUM(H20,H23)</x:f>
        <x:v>#NAME?</x:v>
      </x:c>
      <x:c r="I27" s="5" t="e">
        <x:f aca="0">SUM(I9,I13)-SUM(I20,I23)</x:f>
        <x:v>#NAME?</x:v>
      </x:c>
      <x:c r="J27" s="5" t="e">
        <x:f aca="0">SUM(J9,J13)-SUM(J20,J23)</x:f>
        <x:v>#NAME?</x:v>
      </x:c>
      <x:c r="K27" s="5" t="e">
        <x:f aca="0">SUM(K9,K13)-SUM(K20,K23)</x:f>
        <x:v>#NAME?</x:v>
      </x:c>
    </x:row>
    <x:row r="28" ht="17.149999618530273" hidden="0">
      <x:c r="A28" s="6" t="s">
        <x:v>148</x:v>
      </x:c>
      <x:c r="B28" s="5" t="e">
        <x:f aca="0">B27+B16-B25</x:f>
        <x:v>#NAME?</x:v>
      </x:c>
      <x:c r="C28" s="5" t="e">
        <x:f aca="0">C27+C16-C25</x:f>
        <x:v>#NAME?</x:v>
      </x:c>
      <x:c r="D28" s="5" t="e">
        <x:f aca="0">D27+D16-D25</x:f>
        <x:v>#NAME?</x:v>
      </x:c>
      <x:c r="E28" s="5" t="e">
        <x:f aca="0">E27+E16-E25</x:f>
        <x:v>#NAME?</x:v>
      </x:c>
      <x:c r="F28" s="5" t="e">
        <x:f aca="0">F27+F16-F25</x:f>
        <x:v>#NAME?</x:v>
      </x:c>
      <x:c r="G28" s="5" t="e">
        <x:f aca="0">G27+G16-G25</x:f>
        <x:v>#NAME?</x:v>
      </x:c>
      <x:c r="H28" s="5" t="e">
        <x:f aca="0">H27+H16-H25</x:f>
        <x:v>#NAME?</x:v>
      </x:c>
      <x:c r="I28" s="5" t="e">
        <x:f aca="0">I27+I16-I25</x:f>
        <x:v>#NAME?</x:v>
      </x:c>
      <x:c r="J28" s="5" t="e">
        <x:f aca="0">J27+J16-J25</x:f>
        <x:v>#NAME?</x:v>
      </x:c>
      <x:c r="K28" s="5" t="e">
        <x:f aca="0">K27+K16-K25</x:f>
        <x:v>#NAME?</x:v>
      </x:c>
    </x:row>
    <x:row r="29" ht="15" hidden="0">
      <x:c r="A29" s="7"/>
      <x:c r="B29" s="5"/>
      <x:c r="C29" s="5"/>
      <x:c r="D29" s="5"/>
      <x:c r="E29" s="5"/>
      <x:c r="F29" s="5"/>
      <x:c r="G29" s="5"/>
      <x:c r="H29" s="5"/>
      <x:c r="I29" s="5"/>
      <x:c r="J29" s="5"/>
      <x:c r="K29" s="5"/>
    </x:row>
    <x:row r="30" ht="17.149999618530273" hidden="0">
      <x:c r="A30" s="42" t="s">
        <x:v>149</x:v>
      </x:c>
      <x:c r="B30" s="43"/>
      <x:c r="C30" s="43"/>
      <x:c r="D30" s="43"/>
      <x:c r="E30" s="43"/>
      <x:c r="F30" s="43"/>
      <x:c r="G30" s="43"/>
      <x:c r="H30" s="43"/>
      <x:c r="I30" s="43"/>
      <x:c r="J30" s="43"/>
      <x:c r="K30" s="43"/>
    </x:row>
    <x:row r="31" ht="17.149999618530273" hidden="0">
      <x:c r="A31" s="6" t="s">
        <x:v>150</x:v>
      </x:c>
      <x:c r="B31" s="35" t="n">
        <x:f aca="0">IFERROR((SUM(B9,B13)/SUM(B20,B23))*100,0)</x:f>
        <x:v>0</x:v>
      </x:c>
      <x:c r="C31" s="35" t="n">
        <x:f aca="0">IFERROR((SUM(C9,C13)/SUM(C20,C23))*100,0)</x:f>
        <x:v>0</x:v>
      </x:c>
      <x:c r="D31" s="35" t="n">
        <x:f aca="0">IFERROR((SUM(D9,D13)/SUM(D20,D23))*100,0)</x:f>
        <x:v>0</x:v>
      </x:c>
      <x:c r="E31" s="35" t="n">
        <x:f aca="0">IFERROR((SUM(E9,E13)/SUM(E20,E23))*100,0)</x:f>
        <x:v>0</x:v>
      </x:c>
      <x:c r="F31" s="35" t="n">
        <x:f aca="0">IFERROR((SUM(F9,F13)/SUM(F20,F23))*100,0)</x:f>
        <x:v>0</x:v>
      </x:c>
      <x:c r="G31" s="35" t="n">
        <x:f aca="0">IFERROR((SUM(G9,G13)/SUM(G20,G23))*100,0)</x:f>
        <x:v>0</x:v>
      </x:c>
      <x:c r="H31" s="35" t="n">
        <x:f aca="0">IFERROR((SUM(H9,H13)/SUM(H20,H23))*100,0)</x:f>
        <x:v>0</x:v>
      </x:c>
      <x:c r="I31" s="35" t="n">
        <x:f aca="0">IFERROR((SUM(I9,I13)/SUM(I20,I23))*100,0)</x:f>
        <x:v>0</x:v>
      </x:c>
      <x:c r="J31" s="35" t="n">
        <x:f aca="0">IFERROR((SUM(J9,J13)/SUM(J20,J23))*100,0)</x:f>
        <x:v>0</x:v>
      </x:c>
      <x:c r="K31" s="35" t="n">
        <x:f aca="0">IFERROR((SUM(K9,K13)/SUM(K20,K23))*100,0)</x:f>
        <x:v>0</x:v>
      </x:c>
    </x:row>
    <x:row r="32" ht="17.149999618530273" hidden="0">
      <x:c r="A32" s="6" t="s">
        <x:v>151</x:v>
      </x:c>
      <x:c r="B32" s="35" t="n">
        <x:f aca="0">IFERROR(B10/B34*100,0)</x:f>
        <x:v>0</x:v>
      </x:c>
      <x:c r="C32" s="35" t="n">
        <x:f aca="0">IFERROR(C10/C34*100,0)</x:f>
        <x:v>0</x:v>
      </x:c>
      <x:c r="D32" s="35" t="n">
        <x:f aca="0">IFERROR(D10/D34*100,0)</x:f>
        <x:v>0</x:v>
      </x:c>
      <x:c r="E32" s="35" t="n">
        <x:f aca="0">IFERROR(E10/E34*100,0)</x:f>
        <x:v>0</x:v>
      </x:c>
      <x:c r="F32" s="35" t="n">
        <x:f aca="0">IFERROR(F10/F34*100,0)</x:f>
        <x:v>0</x:v>
      </x:c>
      <x:c r="G32" s="35" t="n">
        <x:f aca="0">IFERROR(G10/G34*100,0)</x:f>
        <x:v>0</x:v>
      </x:c>
      <x:c r="H32" s="35" t="n">
        <x:f aca="0">IFERROR(H10/H34*100,0)</x:f>
        <x:v>0</x:v>
      </x:c>
      <x:c r="I32" s="35" t="n">
        <x:f aca="0">IFERROR(I10/I34*100,0)</x:f>
        <x:v>0</x:v>
      </x:c>
      <x:c r="J32" s="35" t="n">
        <x:f aca="0">IFERROR(J10/J34*100,0)</x:f>
        <x:v>0</x:v>
      </x:c>
      <x:c r="K32" s="35" t="n">
        <x:f aca="0">IFERROR(K10/K34*100,0)</x:f>
        <x:v>0</x:v>
      </x:c>
    </x:row>
    <x:row r="33" ht="17.149999618530273" hidden="0">
      <x:c r="A33" s="6" t="s">
        <x:v>152</x:v>
      </x:c>
      <x:c r="B33" s="35" t="n">
        <x:f aca="0">IFERROR(B10/B35*100,0)</x:f>
        <x:v>0</x:v>
      </x:c>
      <x:c r="C33" s="35" t="n">
        <x:f aca="0">IFERROR(C10/C35*100,0)</x:f>
        <x:v>0</x:v>
      </x:c>
      <x:c r="D33" s="35" t="n">
        <x:f aca="0">IFERROR(D10/D35*100,0)</x:f>
        <x:v>0</x:v>
      </x:c>
      <x:c r="E33" s="35" t="n">
        <x:f aca="0">IFERROR(E10/E35*100,0)</x:f>
        <x:v>0</x:v>
      </x:c>
      <x:c r="F33" s="35" t="n">
        <x:f aca="0">IFERROR(F10/F35*100,0)</x:f>
        <x:v>0</x:v>
      </x:c>
      <x:c r="G33" s="35" t="n">
        <x:f aca="0">IFERROR(G10/G35*100,0)</x:f>
        <x:v>0</x:v>
      </x:c>
      <x:c r="H33" s="35" t="n">
        <x:f aca="0">IFERROR(H10/H35*100,0)</x:f>
        <x:v>0</x:v>
      </x:c>
      <x:c r="I33" s="35" t="n">
        <x:f aca="0">IFERROR(I10/I35*100,0)</x:f>
        <x:v>0</x:v>
      </x:c>
      <x:c r="J33" s="35" t="n">
        <x:f aca="0">IFERROR(J10/J35*100,0)</x:f>
        <x:v>0</x:v>
      </x:c>
      <x:c r="K33" s="35" t="n">
        <x:f aca="0">IFERROR(K10/K35*100,0)</x:f>
        <x:v>0</x:v>
      </x:c>
    </x:row>
    <x:row r="34" ht="17.149999618530273" hidden="0">
      <x:c r="A34" s="6" t="s">
        <x:v>153</x:v>
      </x:c>
      <x:c r="B34" s="5" t="e">
        <x:f aca="0">SUM(B20,B23)-B14</x:f>
        <x:v>#NAME?</x:v>
      </x:c>
      <x:c r="C34" s="5" t="e">
        <x:f aca="0">SUM(C20,C23)-C14</x:f>
        <x:v>#NAME?</x:v>
      </x:c>
      <x:c r="D34" s="5" t="e">
        <x:f aca="0">SUM(D20,D23)-D14</x:f>
        <x:v>#NAME?</x:v>
      </x:c>
      <x:c r="E34" s="5" t="e">
        <x:f aca="0">SUM(E20,E23)-E14</x:f>
        <x:v>#NAME?</x:v>
      </x:c>
      <x:c r="F34" s="5" t="e">
        <x:f aca="0">SUM(F20,F23)-F14</x:f>
        <x:v>#NAME?</x:v>
      </x:c>
      <x:c r="G34" s="5" t="e">
        <x:f aca="0">SUM(G20,G23)-G14</x:f>
        <x:v>#NAME?</x:v>
      </x:c>
      <x:c r="H34" s="5" t="e">
        <x:f aca="0">SUM(H20,H23)-H14</x:f>
        <x:v>#NAME?</x:v>
      </x:c>
      <x:c r="I34" s="5" t="e">
        <x:f aca="0">SUM(I20,I23)-I14</x:f>
        <x:v>#NAME?</x:v>
      </x:c>
      <x:c r="J34" s="5" t="e">
        <x:f aca="0">SUM(J20,J23)-J14</x:f>
        <x:v>#NAME?</x:v>
      </x:c>
      <x:c r="K34" s="5" t="e">
        <x:f aca="0">SUM(K20,K23)-K14</x:f>
        <x:v>#NAME?</x:v>
      </x:c>
    </x:row>
    <x:row r="35" ht="17.149999618530273" hidden="0">
      <x:c r="A35" s="6" t="s">
        <x:v>154</x:v>
      </x:c>
      <x:c r="B35" s="5" t="e">
        <x:f aca="0">B34+$B$5</x:f>
        <x:v>#NAME?</x:v>
      </x:c>
      <x:c r="C35" s="5" t="e">
        <x:f aca="0">C34+$B$5</x:f>
        <x:v>#NAME?</x:v>
      </x:c>
      <x:c r="D35" s="5" t="e">
        <x:f aca="0">D34+$B$5</x:f>
        <x:v>#NAME?</x:v>
      </x:c>
      <x:c r="E35" s="5" t="e">
        <x:f aca="0">E34+$B$5</x:f>
        <x:v>#NAME?</x:v>
      </x:c>
      <x:c r="F35" s="5" t="e">
        <x:f aca="0">F34+$B$5</x:f>
        <x:v>#NAME?</x:v>
      </x:c>
      <x:c r="G35" s="5" t="e">
        <x:f aca="0">G34+$B$5</x:f>
        <x:v>#NAME?</x:v>
      </x:c>
      <x:c r="H35" s="5" t="e">
        <x:f aca="0">H34+$B$5</x:f>
        <x:v>#NAME?</x:v>
      </x:c>
      <x:c r="I35" s="5" t="e">
        <x:f aca="0">I34+$B$5</x:f>
        <x:v>#NAME?</x:v>
      </x:c>
      <x:c r="J35" s="5" t="e">
        <x:f aca="0">J34+$B$5</x:f>
        <x:v>#NAME?</x:v>
      </x:c>
      <x:c r="K35" s="5" t="e">
        <x:f aca="0">K34+$B$5</x:f>
        <x:v>#NAME?</x:v>
      </x:c>
    </x:row>
    <x:row r="36" ht="17.149999618530273" hidden="0">
      <x:c r="A36" s="6" t="s">
        <x:v>155</x:v>
      </x:c>
      <x:c r="B36" s="35" t="n">
        <x:f aca="0">IFERROR(B10/(B20+B23-B14-B12-B15+$B$5)*100,0)</x:f>
        <x:v>0</x:v>
      </x:c>
      <x:c r="C36" s="35" t="n">
        <x:f aca="0">IFERROR(C10/(C20+C23-C14-C12-C15+$B$5)*100,0)</x:f>
        <x:v>0</x:v>
      </x:c>
      <x:c r="D36" s="35" t="n">
        <x:f aca="0">IFERROR(D10/(D20+D23-D14-D12-D15+$B$5)*100,0)</x:f>
        <x:v>0</x:v>
      </x:c>
      <x:c r="E36" s="35" t="n">
        <x:f aca="0">IFERROR(E10/(E20+E23-E14-E12-E15+$B$5)*100,0)</x:f>
        <x:v>0</x:v>
      </x:c>
      <x:c r="F36" s="35" t="n">
        <x:f aca="0">IFERROR(F10/(F20+F23-F14-F12-F15+$B$5)*100,0)</x:f>
        <x:v>0</x:v>
      </x:c>
      <x:c r="G36" s="35" t="n">
        <x:f aca="0">IFERROR(G10/(G20+G23-G14-G12-G15+$B$5)*100,0)</x:f>
        <x:v>0</x:v>
      </x:c>
      <x:c r="H36" s="35" t="n">
        <x:f aca="0">IFERROR(H10/(H20+H23-H14-H12-H15+$B$5)*100,0)</x:f>
        <x:v>0</x:v>
      </x:c>
      <x:c r="I36" s="35" t="n">
        <x:f aca="0">IFERROR(I10/(I20+I23-I14-I12-I15+$B$5)*100,0)</x:f>
        <x:v>0</x:v>
      </x:c>
      <x:c r="J36" s="35" t="n">
        <x:f aca="0">IFERROR(J10/(J20+J23-J14-J12-J15+$B$5)*100,0)</x:f>
        <x:v>0</x:v>
      </x:c>
      <x:c r="K36" s="35" t="n">
        <x:f aca="0">IFERROR(K10/(K20+K23-K14-K12-K15+$B$5)*100,0)</x:f>
        <x:v>0</x:v>
      </x:c>
    </x:row>
    <x:row r="37" ht="17.149999618530273" hidden="0">
      <x:c r="A37" s="6" t="s">
        <x:v>156</x:v>
      </x:c>
      <x:c r="B37" s="5" t="str">
        <x:f aca="0">IF(B33&lt;=B32,"OK","要確認")</x:f>
        <x:v>OK</x:v>
      </x:c>
      <x:c r="C37" s="5" t="str">
        <x:f aca="0">IF(C33&lt;=C32,"OK","要確認")</x:f>
        <x:v>OK</x:v>
      </x:c>
      <x:c r="D37" s="5" t="str">
        <x:f aca="0">IF(D33&lt;=D32,"OK","要確認")</x:f>
        <x:v>OK</x:v>
      </x:c>
      <x:c r="E37" s="5" t="str">
        <x:f aca="0">IF(E33&lt;=E32,"OK","要確認")</x:f>
        <x:v>OK</x:v>
      </x:c>
      <x:c r="F37" s="5" t="str">
        <x:f aca="0">IF(F33&lt;=F32,"OK","要確認")</x:f>
        <x:v>OK</x:v>
      </x:c>
      <x:c r="G37" s="5" t="str">
        <x:f aca="0">IF(G33&lt;=G32,"OK","要確認")</x:f>
        <x:v>OK</x:v>
      </x:c>
      <x:c r="H37" s="5" t="str">
        <x:f aca="0">IF(H33&lt;=H32,"OK","要確認")</x:f>
        <x:v>OK</x:v>
      </x:c>
      <x:c r="I37" s="5" t="str">
        <x:f aca="0">IF(I33&lt;=I32,"OK","要確認")</x:f>
        <x:v>OK</x:v>
      </x:c>
      <x:c r="J37" s="5" t="str">
        <x:f aca="0">IF(J33&lt;=J32,"OK","要確認")</x:f>
        <x:v>OK</x:v>
      </x:c>
      <x:c r="K37" s="5" t="str">
        <x:f aca="0">IF(K33&lt;=K32,"OK","要確認")</x:f>
        <x:v>OK</x:v>
      </x:c>
    </x:row>
    <x:row r="38" ht="15" hidden="0">
      <x:c r="A38" s="7"/>
      <x:c r="B38" s="5"/>
      <x:c r="C38" s="5"/>
      <x:c r="D38" s="5"/>
      <x:c r="E38" s="5"/>
      <x:c r="F38" s="5"/>
      <x:c r="G38" s="5"/>
      <x:c r="H38" s="5"/>
      <x:c r="I38" s="5"/>
      <x:c r="J38" s="5"/>
      <x:c r="K38" s="5"/>
    </x:row>
    <x:row r="39" ht="17.149999618530273" hidden="0">
      <x:c r="A39" s="42" t="s">
        <x:v>79</x:v>
      </x:c>
      <x:c r="B39" s="43"/>
      <x:c r="C39" s="43"/>
      <x:c r="D39" s="43"/>
      <x:c r="E39" s="43"/>
      <x:c r="F39" s="43"/>
      <x:c r="G39" s="43"/>
      <x:c r="H39" s="43"/>
      <x:c r="I39" s="43"/>
      <x:c r="J39" s="43"/>
      <x:c r="K39" s="43"/>
    </x:row>
    <x:row r="40" ht="17.149999618530273" hidden="0">
      <x:c r="A40" s="6" t="s">
        <x:v>80</x:v>
      </x:c>
      <x:c r="B40" s="5" t="e">
        <x:f aca="0">02_将来年次投資置換!B34</x:f>
        <x:v>#NAME?</x:v>
      </x:c>
      <x:c r="C40" s="5" t="e">
        <x:f aca="0">02_将来年次投資置換!C34</x:f>
        <x:v>#NAME?</x:v>
      </x:c>
      <x:c r="D40" s="5" t="e">
        <x:f aca="0">02_将来年次投資置換!D34</x:f>
        <x:v>#NAME?</x:v>
      </x:c>
      <x:c r="E40" s="5" t="e">
        <x:f aca="0">02_将来年次投資置換!E34</x:f>
        <x:v>#NAME?</x:v>
      </x:c>
      <x:c r="F40" s="5" t="e">
        <x:f aca="0">02_将来年次投資置換!F34</x:f>
        <x:v>#NAME?</x:v>
      </x:c>
      <x:c r="G40" s="5" t="e">
        <x:f aca="0">02_将来年次投資置換!G34</x:f>
        <x:v>#NAME?</x:v>
      </x:c>
      <x:c r="H40" s="5" t="e">
        <x:f aca="0">02_将来年次投資置換!H34</x:f>
        <x:v>#NAME?</x:v>
      </x:c>
      <x:c r="I40" s="5" t="e">
        <x:f aca="0">02_将来年次投資置換!I34</x:f>
        <x:v>#NAME?</x:v>
      </x:c>
      <x:c r="J40" s="5" t="e">
        <x:f aca="0">02_将来年次投資置換!J34</x:f>
        <x:v>#NAME?</x:v>
      </x:c>
      <x:c r="K40" s="5" t="e">
        <x:f aca="0">02_将来年次投資置換!K34</x:f>
        <x:v>#NAME?</x:v>
      </x:c>
    </x:row>
    <x:row r="41" ht="17.149999618530273" hidden="0">
      <x:c r="A41" s="6" t="s">
        <x:v>81</x:v>
      </x:c>
      <x:c r="B41" s="5" t="e">
        <x:f aca="0">02_将来年次投資置換!B35</x:f>
        <x:v>#NAME?</x:v>
      </x:c>
      <x:c r="C41" s="5" t="e">
        <x:f aca="0">02_将来年次投資置換!C35</x:f>
        <x:v>#NAME?</x:v>
      </x:c>
      <x:c r="D41" s="5" t="e">
        <x:f aca="0">02_将来年次投資置換!D35</x:f>
        <x:v>#NAME?</x:v>
      </x:c>
      <x:c r="E41" s="5" t="e">
        <x:f aca="0">02_将来年次投資置換!E35</x:f>
        <x:v>#NAME?</x:v>
      </x:c>
      <x:c r="F41" s="5" t="e">
        <x:f aca="0">02_将来年次投資置換!F35</x:f>
        <x:v>#NAME?</x:v>
      </x:c>
      <x:c r="G41" s="5" t="e">
        <x:f aca="0">02_将来年次投資置換!G35</x:f>
        <x:v>#NAME?</x:v>
      </x:c>
      <x:c r="H41" s="5" t="e">
        <x:f aca="0">02_将来年次投資置換!H35</x:f>
        <x:v>#NAME?</x:v>
      </x:c>
      <x:c r="I41" s="5" t="e">
        <x:f aca="0">02_将来年次投資置換!I35</x:f>
        <x:v>#NAME?</x:v>
      </x:c>
      <x:c r="J41" s="5" t="e">
        <x:f aca="0">02_将来年次投資置換!J35</x:f>
        <x:v>#NAME?</x:v>
      </x:c>
      <x:c r="K41" s="5" t="e">
        <x:f aca="0">02_将来年次投資置換!K35</x:f>
        <x:v>#NAME?</x:v>
      </x:c>
    </x:row>
    <x:row r="42" ht="17.149999618530273" hidden="0">
      <x:c r="A42" s="6" t="s">
        <x:v>82</x:v>
      </x:c>
      <x:c r="B42" s="5" t="e">
        <x:f aca="0">02_将来年次投資置換!B36</x:f>
        <x:v>#NAME?</x:v>
      </x:c>
      <x:c r="C42" s="5" t="e">
        <x:f aca="0">02_将来年次投資置換!C36</x:f>
        <x:v>#NAME?</x:v>
      </x:c>
      <x:c r="D42" s="5" t="e">
        <x:f aca="0">02_将来年次投資置換!D36</x:f>
        <x:v>#NAME?</x:v>
      </x:c>
      <x:c r="E42" s="5" t="e">
        <x:f aca="0">02_将来年次投資置換!E36</x:f>
        <x:v>#NAME?</x:v>
      </x:c>
      <x:c r="F42" s="5" t="e">
        <x:f aca="0">02_将来年次投資置換!F36</x:f>
        <x:v>#NAME?</x:v>
      </x:c>
      <x:c r="G42" s="5" t="e">
        <x:f aca="0">02_将来年次投資置換!G36</x:f>
        <x:v>#NAME?</x:v>
      </x:c>
      <x:c r="H42" s="5" t="e">
        <x:f aca="0">02_将来年次投資置換!H36</x:f>
        <x:v>#NAME?</x:v>
      </x:c>
      <x:c r="I42" s="5" t="e">
        <x:f aca="0">02_将来年次投資置換!I36</x:f>
        <x:v>#NAME?</x:v>
      </x:c>
      <x:c r="J42" s="5" t="e">
        <x:f aca="0">02_将来年次投資置換!J36</x:f>
        <x:v>#NAME?</x:v>
      </x:c>
      <x:c r="K42" s="5" t="e">
        <x:f aca="0">02_将来年次投資置換!K36</x:f>
        <x:v>#NAME?</x:v>
      </x:c>
    </x:row>
    <x:row r="43" ht="17.149999618530273" hidden="0">
      <x:c r="A43" s="6" t="s">
        <x:v>83</x:v>
      </x:c>
      <x:c r="B43" s="5" t="e">
        <x:f aca="0">02_将来年次投資置換!B37</x:f>
        <x:v>#NAME?</x:v>
      </x:c>
      <x:c r="C43" s="5" t="e">
        <x:f aca="0">02_将来年次投資置換!C37</x:f>
        <x:v>#NAME?</x:v>
      </x:c>
      <x:c r="D43" s="5" t="e">
        <x:f aca="0">02_将来年次投資置換!D37</x:f>
        <x:v>#NAME?</x:v>
      </x:c>
      <x:c r="E43" s="5" t="e">
        <x:f aca="0">02_将来年次投資置換!E37</x:f>
        <x:v>#NAME?</x:v>
      </x:c>
      <x:c r="F43" s="5" t="e">
        <x:f aca="0">02_将来年次投資置換!F37</x:f>
        <x:v>#NAME?</x:v>
      </x:c>
      <x:c r="G43" s="5" t="e">
        <x:f aca="0">02_将来年次投資置換!G37</x:f>
        <x:v>#NAME?</x:v>
      </x:c>
      <x:c r="H43" s="5" t="e">
        <x:f aca="0">02_将来年次投資置換!H37</x:f>
        <x:v>#NAME?</x:v>
      </x:c>
      <x:c r="I43" s="5" t="e">
        <x:f aca="0">02_将来年次投資置換!I37</x:f>
        <x:v>#NAME?</x:v>
      </x:c>
      <x:c r="J43" s="5" t="e">
        <x:f aca="0">02_将来年次投資置換!J37</x:f>
        <x:v>#NAME?</x:v>
      </x:c>
      <x:c r="K43" s="5" t="e">
        <x:f aca="0">02_将来年次投資置換!K37</x:f>
        <x:v>#NAME?</x:v>
      </x:c>
    </x:row>
    <x:row r="44" ht="17.149999618530273" hidden="0">
      <x:c r="A44" s="6" t="s">
        <x:v>84</x:v>
      </x:c>
      <x:c r="B44" s="5" t="e">
        <x:f aca="0">02_将来年次投資置換!B38</x:f>
        <x:v>#NAME?</x:v>
      </x:c>
      <x:c r="C44" s="5" t="e">
        <x:f aca="0">02_将来年次投資置換!C38</x:f>
        <x:v>#NAME?</x:v>
      </x:c>
      <x:c r="D44" s="5" t="e">
        <x:f aca="0">02_将来年次投資置換!D38</x:f>
        <x:v>#NAME?</x:v>
      </x:c>
      <x:c r="E44" s="5" t="e">
        <x:f aca="0">02_将来年次投資置換!E38</x:f>
        <x:v>#NAME?</x:v>
      </x:c>
      <x:c r="F44" s="5" t="e">
        <x:f aca="0">02_将来年次投資置換!F38</x:f>
        <x:v>#NAME?</x:v>
      </x:c>
      <x:c r="G44" s="5" t="e">
        <x:f aca="0">02_将来年次投資置換!G38</x:f>
        <x:v>#NAME?</x:v>
      </x:c>
      <x:c r="H44" s="5" t="e">
        <x:f aca="0">02_将来年次投資置換!H38</x:f>
        <x:v>#NAME?</x:v>
      </x:c>
      <x:c r="I44" s="5" t="e">
        <x:f aca="0">02_将来年次投資置換!I38</x:f>
        <x:v>#NAME?</x:v>
      </x:c>
      <x:c r="J44" s="5" t="e">
        <x:f aca="0">02_将来年次投資置換!J38</x:f>
        <x:v>#NAME?</x:v>
      </x:c>
      <x:c r="K44" s="5" t="e">
        <x:f aca="0">02_将来年次投資置換!K38</x:f>
        <x:v>#NAME?</x:v>
      </x:c>
    </x:row>
    <x:row r="45" ht="17.149999618530273" hidden="0">
      <x:c r="A45" s="6" t="s">
        <x:v>85</x:v>
      </x:c>
      <x:c r="B45" s="5" t="e">
        <x:f aca="0">02_将来年次投資置換!B39</x:f>
        <x:v>#NAME?</x:v>
      </x:c>
      <x:c r="C45" s="5" t="e">
        <x:f aca="0">02_将来年次投資置換!C39</x:f>
        <x:v>#NAME?</x:v>
      </x:c>
      <x:c r="D45" s="5" t="e">
        <x:f aca="0">02_将来年次投資置換!D39</x:f>
        <x:v>#NAME?</x:v>
      </x:c>
      <x:c r="E45" s="5" t="e">
        <x:f aca="0">02_将来年次投資置換!E39</x:f>
        <x:v>#NAME?</x:v>
      </x:c>
      <x:c r="F45" s="5" t="e">
        <x:f aca="0">02_将来年次投資置換!F39</x:f>
        <x:v>#NAME?</x:v>
      </x:c>
      <x:c r="G45" s="5" t="e">
        <x:f aca="0">02_将来年次投資置換!G39</x:f>
        <x:v>#NAME?</x:v>
      </x:c>
      <x:c r="H45" s="5" t="e">
        <x:f aca="0">02_将来年次投資置換!H39</x:f>
        <x:v>#NAME?</x:v>
      </x:c>
      <x:c r="I45" s="5" t="e">
        <x:f aca="0">02_将来年次投資置換!I39</x:f>
        <x:v>#NAME?</x:v>
      </x:c>
      <x:c r="J45" s="5" t="e">
        <x:f aca="0">02_将来年次投資置換!J39</x:f>
        <x:v>#NAME?</x:v>
      </x:c>
      <x:c r="K45" s="5" t="e">
        <x:f aca="0">02_将来年次投資置換!K39</x:f>
        <x:v>#NAME?</x:v>
      </x:c>
    </x:row>
    <x:row r="46" ht="17.149999618530273" hidden="0">
      <x:c r="A46" s="6" t="s">
        <x:v>86</x:v>
      </x:c>
      <x:c r="B46" s="5" t="e">
        <x:f aca="0">02_将来年次投資置換!B40</x:f>
        <x:v>#NAME?</x:v>
      </x:c>
      <x:c r="C46" s="5" t="e">
        <x:f aca="0">02_将来年次投資置換!C40</x:f>
        <x:v>#NAME?</x:v>
      </x:c>
      <x:c r="D46" s="5" t="e">
        <x:f aca="0">02_将来年次投資置換!D40</x:f>
        <x:v>#NAME?</x:v>
      </x:c>
      <x:c r="E46" s="5" t="e">
        <x:f aca="0">02_将来年次投資置換!E40</x:f>
        <x:v>#NAME?</x:v>
      </x:c>
      <x:c r="F46" s="5" t="e">
        <x:f aca="0">02_将来年次投資置換!F40</x:f>
        <x:v>#NAME?</x:v>
      </x:c>
      <x:c r="G46" s="5" t="e">
        <x:f aca="0">02_将来年次投資置換!G40</x:f>
        <x:v>#NAME?</x:v>
      </x:c>
      <x:c r="H46" s="5" t="e">
        <x:f aca="0">02_将来年次投資置換!H40</x:f>
        <x:v>#NAME?</x:v>
      </x:c>
      <x:c r="I46" s="5" t="e">
        <x:f aca="0">02_将来年次投資置換!I40</x:f>
        <x:v>#NAME?</x:v>
      </x:c>
      <x:c r="J46" s="5" t="e">
        <x:f aca="0">02_将来年次投資置換!J40</x:f>
        <x:v>#NAME?</x:v>
      </x:c>
      <x:c r="K46" s="5" t="e">
        <x:f aca="0">02_将来年次投資置換!K40</x:f>
        <x:v>#NAME?</x:v>
      </x:c>
    </x:row>
    <x:row r="47" ht="17.149999618530273" hidden="0">
      <x:c r="A47" s="6" t="s">
        <x:v>87</x:v>
      </x:c>
      <x:c r="B47" s="5" t="e">
        <x:f aca="0">02_将来年次投資置換!B41</x:f>
        <x:v>#NAME?</x:v>
      </x:c>
      <x:c r="C47" s="5" t="e">
        <x:f aca="0">02_将来年次投資置換!C41</x:f>
        <x:v>#NAME?</x:v>
      </x:c>
      <x:c r="D47" s="5" t="e">
        <x:f aca="0">02_将来年次投資置換!D41</x:f>
        <x:v>#NAME?</x:v>
      </x:c>
      <x:c r="E47" s="5" t="e">
        <x:f aca="0">02_将来年次投資置換!E41</x:f>
        <x:v>#NAME?</x:v>
      </x:c>
      <x:c r="F47" s="5" t="e">
        <x:f aca="0">02_将来年次投資置換!F41</x:f>
        <x:v>#NAME?</x:v>
      </x:c>
      <x:c r="G47" s="5" t="e">
        <x:f aca="0">02_将来年次投資置換!G41</x:f>
        <x:v>#NAME?</x:v>
      </x:c>
      <x:c r="H47" s="5" t="e">
        <x:f aca="0">02_将来年次投資置換!H41</x:f>
        <x:v>#NAME?</x:v>
      </x:c>
      <x:c r="I47" s="5" t="e">
        <x:f aca="0">02_将来年次投資置換!I41</x:f>
        <x:v>#NAME?</x:v>
      </x:c>
      <x:c r="J47" s="5" t="e">
        <x:f aca="0">02_将来年次投資置換!J41</x:f>
        <x:v>#NAME?</x:v>
      </x:c>
      <x:c r="K47" s="5" t="e">
        <x:f aca="0">02_将来年次投資置換!K41</x:f>
        <x:v>#NAME?</x:v>
      </x:c>
    </x:row>
    <x:row r="48" ht="15" hidden="0">
      <x:c r="A48" s="7"/>
      <x:c r="B48" s="5"/>
      <x:c r="C48" s="5"/>
      <x:c r="D48" s="5"/>
      <x:c r="E48" s="5"/>
      <x:c r="F48" s="5"/>
      <x:c r="G48" s="5"/>
      <x:c r="H48" s="5"/>
      <x:c r="I48" s="5"/>
      <x:c r="J48" s="5"/>
      <x:c r="K48" s="5"/>
    </x:row>
    <x:row r="49" ht="17.149999618530273" hidden="0">
      <x:c r="A49" s="42" t="s">
        <x:v>88</x:v>
      </x:c>
      <x:c r="B49" s="43"/>
      <x:c r="C49" s="43"/>
      <x:c r="D49" s="43"/>
      <x:c r="E49" s="43"/>
      <x:c r="F49" s="43"/>
      <x:c r="G49" s="43"/>
      <x:c r="H49" s="43"/>
      <x:c r="I49" s="43"/>
      <x:c r="J49" s="43"/>
      <x:c r="K49" s="43"/>
    </x:row>
    <x:row r="50" ht="17.149999618530273" hidden="0">
      <x:c r="A50" s="6" t="s">
        <x:v>89</x:v>
      </x:c>
      <x:c r="B50" s="5" t="e">
        <x:f aca="0">02_将来年次投資置換!B44</x:f>
        <x:v>#NAME?</x:v>
      </x:c>
      <x:c r="C50" s="5" t="e">
        <x:f aca="0">02_将来年次投資置換!C44</x:f>
        <x:v>#NAME?</x:v>
      </x:c>
      <x:c r="D50" s="5" t="e">
        <x:f aca="0">02_将来年次投資置換!D44</x:f>
        <x:v>#NAME?</x:v>
      </x:c>
      <x:c r="E50" s="5" t="e">
        <x:f aca="0">02_将来年次投資置換!E44</x:f>
        <x:v>#NAME?</x:v>
      </x:c>
      <x:c r="F50" s="5" t="e">
        <x:f aca="0">02_将来年次投資置換!F44</x:f>
        <x:v>#NAME?</x:v>
      </x:c>
      <x:c r="G50" s="5" t="e">
        <x:f aca="0">02_将来年次投資置換!G44</x:f>
        <x:v>#NAME?</x:v>
      </x:c>
      <x:c r="H50" s="5" t="e">
        <x:f aca="0">02_将来年次投資置換!H44</x:f>
        <x:v>#NAME?</x:v>
      </x:c>
      <x:c r="I50" s="5" t="e">
        <x:f aca="0">02_将来年次投資置換!I44</x:f>
        <x:v>#NAME?</x:v>
      </x:c>
      <x:c r="J50" s="5" t="e">
        <x:f aca="0">02_将来年次投資置換!J44</x:f>
        <x:v>#NAME?</x:v>
      </x:c>
      <x:c r="K50" s="5" t="e">
        <x:f aca="0">02_将来年次投資置換!K44</x:f>
        <x:v>#NAME?</x:v>
      </x:c>
    </x:row>
    <x:row r="51" ht="17.149999618530273" hidden="0">
      <x:c r="A51" s="6" t="s">
        <x:v>90</x:v>
      </x:c>
      <x:c r="B51" s="5" t="e">
        <x:f aca="0">02_将来年次投資置換!B45</x:f>
        <x:v>#NAME?</x:v>
      </x:c>
      <x:c r="C51" s="5" t="e">
        <x:f aca="0">02_将来年次投資置換!C45</x:f>
        <x:v>#NAME?</x:v>
      </x:c>
      <x:c r="D51" s="5" t="e">
        <x:f aca="0">02_将来年次投資置換!D45</x:f>
        <x:v>#NAME?</x:v>
      </x:c>
      <x:c r="E51" s="5" t="e">
        <x:f aca="0">02_将来年次投資置換!E45</x:f>
        <x:v>#NAME?</x:v>
      </x:c>
      <x:c r="F51" s="5" t="e">
        <x:f aca="0">02_将来年次投資置換!F45</x:f>
        <x:v>#NAME?</x:v>
      </x:c>
      <x:c r="G51" s="5" t="e">
        <x:f aca="0">02_将来年次投資置換!G45</x:f>
        <x:v>#NAME?</x:v>
      </x:c>
      <x:c r="H51" s="5" t="e">
        <x:f aca="0">02_将来年次投資置換!H45</x:f>
        <x:v>#NAME?</x:v>
      </x:c>
      <x:c r="I51" s="5" t="e">
        <x:f aca="0">02_将来年次投資置換!I45</x:f>
        <x:v>#NAME?</x:v>
      </x:c>
      <x:c r="J51" s="5" t="e">
        <x:f aca="0">02_将来年次投資置換!J45</x:f>
        <x:v>#NAME?</x:v>
      </x:c>
      <x:c r="K51" s="5" t="e">
        <x:f aca="0">02_将来年次投資置換!K45</x:f>
        <x:v>#NAME?</x:v>
      </x:c>
    </x:row>
    <x:row r="52" ht="17.149999618530273" hidden="0">
      <x:c r="A52" s="6" t="s">
        <x:v>91</x:v>
      </x:c>
      <x:c r="B52" s="5" t="e">
        <x:f aca="0">02_将来年次投資置換!B46</x:f>
        <x:v>#NAME?</x:v>
      </x:c>
      <x:c r="C52" s="5" t="e">
        <x:f aca="0">02_将来年次投資置換!C46</x:f>
        <x:v>#NAME?</x:v>
      </x:c>
      <x:c r="D52" s="5" t="e">
        <x:f aca="0">02_将来年次投資置換!D46</x:f>
        <x:v>#NAME?</x:v>
      </x:c>
      <x:c r="E52" s="5" t="e">
        <x:f aca="0">02_将来年次投資置換!E46</x:f>
        <x:v>#NAME?</x:v>
      </x:c>
      <x:c r="F52" s="5" t="e">
        <x:f aca="0">02_将来年次投資置換!F46</x:f>
        <x:v>#NAME?</x:v>
      </x:c>
      <x:c r="G52" s="5" t="e">
        <x:f aca="0">02_将来年次投資置換!G46</x:f>
        <x:v>#NAME?</x:v>
      </x:c>
      <x:c r="H52" s="5" t="e">
        <x:f aca="0">02_将来年次投資置換!H46</x:f>
        <x:v>#NAME?</x:v>
      </x:c>
      <x:c r="I52" s="5" t="e">
        <x:f aca="0">02_将来年次投資置換!I46</x:f>
        <x:v>#NAME?</x:v>
      </x:c>
      <x:c r="J52" s="5" t="e">
        <x:f aca="0">02_将来年次投資置換!J46</x:f>
        <x:v>#NAME?</x:v>
      </x:c>
      <x:c r="K52" s="5" t="e">
        <x:f aca="0">02_将来年次投資置換!K46</x:f>
        <x:v>#NAME?</x:v>
      </x:c>
    </x:row>
    <x:row r="53" ht="17.149999618530273" hidden="0">
      <x:c r="A53" s="6" t="s">
        <x:v>92</x:v>
      </x:c>
      <x:c r="B53" s="5" t="e">
        <x:f aca="0">02_将来年次投資置換!B47</x:f>
        <x:v>#NAME?</x:v>
      </x:c>
      <x:c r="C53" s="5" t="e">
        <x:f aca="0">02_将来年次投資置換!C47</x:f>
        <x:v>#NAME?</x:v>
      </x:c>
      <x:c r="D53" s="5" t="e">
        <x:f aca="0">02_将来年次投資置換!D47</x:f>
        <x:v>#NAME?</x:v>
      </x:c>
      <x:c r="E53" s="5" t="e">
        <x:f aca="0">02_将来年次投資置換!E47</x:f>
        <x:v>#NAME?</x:v>
      </x:c>
      <x:c r="F53" s="5" t="e">
        <x:f aca="0">02_将来年次投資置換!F47</x:f>
        <x:v>#NAME?</x:v>
      </x:c>
      <x:c r="G53" s="5" t="e">
        <x:f aca="0">02_将来年次投資置換!G47</x:f>
        <x:v>#NAME?</x:v>
      </x:c>
      <x:c r="H53" s="5" t="e">
        <x:f aca="0">02_将来年次投資置換!H47</x:f>
        <x:v>#NAME?</x:v>
      </x:c>
      <x:c r="I53" s="5" t="e">
        <x:f aca="0">02_将来年次投資置換!I47</x:f>
        <x:v>#NAME?</x:v>
      </x:c>
      <x:c r="J53" s="5" t="e">
        <x:f aca="0">02_将来年次投資置換!J47</x:f>
        <x:v>#NAME?</x:v>
      </x:c>
      <x:c r="K53" s="5" t="e">
        <x:f aca="0">02_将来年次投資置換!K47</x:f>
        <x:v>#NAME?</x:v>
      </x:c>
    </x:row>
    <x:row r="54" ht="32.79999923706055" hidden="0">
      <x:c r="A54" s="6" t="s">
        <x:v>93</x:v>
      </x:c>
      <x:c r="B54" s="5" t="e">
        <x:f aca="0">B40-B50</x:f>
        <x:v>#NAME?</x:v>
      </x:c>
      <x:c r="C54" s="5" t="e">
        <x:f aca="0">C40-C50</x:f>
        <x:v>#NAME?</x:v>
      </x:c>
      <x:c r="D54" s="5" t="e">
        <x:f aca="0">D40-D50</x:f>
        <x:v>#NAME?</x:v>
      </x:c>
      <x:c r="E54" s="5" t="e">
        <x:f aca="0">E40-E50</x:f>
        <x:v>#NAME?</x:v>
      </x:c>
      <x:c r="F54" s="5" t="e">
        <x:f aca="0">F40-F50</x:f>
        <x:v>#NAME?</x:v>
      </x:c>
      <x:c r="G54" s="5" t="e">
        <x:f aca="0">G40-G50</x:f>
        <x:v>#NAME?</x:v>
      </x:c>
      <x:c r="H54" s="5" t="e">
        <x:f aca="0">H40-H50</x:f>
        <x:v>#NAME?</x:v>
      </x:c>
      <x:c r="I54" s="5" t="e">
        <x:f aca="0">I40-I50</x:f>
        <x:v>#NAME?</x:v>
      </x:c>
      <x:c r="J54" s="5" t="e">
        <x:f aca="0">J40-J50</x:f>
        <x:v>#NAME?</x:v>
      </x:c>
      <x:c r="K54" s="5" t="e">
        <x:f aca="0">K40-K50</x:f>
        <x:v>#NAME?</x:v>
      </x:c>
    </x:row>
    <x:row r="55" ht="15" hidden="0">
      <x:c r="A55" s="7"/>
      <x:c r="B55" s="5"/>
      <x:c r="C55" s="5"/>
      <x:c r="D55" s="5"/>
      <x:c r="E55" s="5"/>
      <x:c r="F55" s="5"/>
      <x:c r="G55" s="5"/>
      <x:c r="H55" s="5"/>
      <x:c r="I55" s="5"/>
      <x:c r="J55" s="5"/>
      <x:c r="K55" s="5"/>
    </x:row>
    <x:row r="56" ht="17.149999618530273" hidden="0">
      <x:c r="A56" s="42" t="s">
        <x:v>157</x:v>
      </x:c>
      <x:c r="B56" s="43"/>
      <x:c r="C56" s="43"/>
      <x:c r="D56" s="43"/>
      <x:c r="E56" s="43"/>
      <x:c r="F56" s="43"/>
      <x:c r="G56" s="43"/>
      <x:c r="H56" s="43"/>
      <x:c r="I56" s="43"/>
      <x:c r="J56" s="43"/>
      <x:c r="K56" s="43"/>
    </x:row>
    <x:row r="57" ht="17.149999618530273" hidden="0">
      <x:c r="A57" s="6" t="s">
        <x:v>158</x:v>
      </x:c>
      <x:c r="B57" s="5" t="e">
        <x:f aca="0">B28+B21+B22-B14</x:f>
        <x:v>#NAME?</x:v>
      </x:c>
      <x:c r="C57" s="5" t="e">
        <x:f aca="0">C28+C21+C22-C14</x:f>
        <x:v>#NAME?</x:v>
      </x:c>
      <x:c r="D57" s="5" t="e">
        <x:f aca="0">D28+D21+D22-D14</x:f>
        <x:v>#NAME?</x:v>
      </x:c>
      <x:c r="E57" s="5" t="e">
        <x:f aca="0">E28+E21+E22-E14</x:f>
        <x:v>#NAME?</x:v>
      </x:c>
      <x:c r="F57" s="5" t="e">
        <x:f aca="0">F28+F21+F22-F14</x:f>
        <x:v>#NAME?</x:v>
      </x:c>
      <x:c r="G57" s="5" t="e">
        <x:f aca="0">G28+G21+G22-G14</x:f>
        <x:v>#NAME?</x:v>
      </x:c>
      <x:c r="H57" s="5" t="e">
        <x:f aca="0">H28+H21+H22-H14</x:f>
        <x:v>#NAME?</x:v>
      </x:c>
      <x:c r="I57" s="5" t="e">
        <x:f aca="0">I28+I21+I22-I14</x:f>
        <x:v>#NAME?</x:v>
      </x:c>
      <x:c r="J57" s="5" t="e">
        <x:f aca="0">J28+J21+J22-J14</x:f>
        <x:v>#NAME?</x:v>
      </x:c>
      <x:c r="K57" s="5" t="e">
        <x:f aca="0">K28+K21+K22-K14</x:f>
        <x:v>#NAME?</x:v>
      </x:c>
    </x:row>
    <x:row r="58" ht="17.149999618530273" hidden="0">
      <x:c r="A58" s="6" t="s">
        <x:v>159</x:v>
      </x:c>
      <x:c r="B58" s="5" t="e">
        <x:f aca="0">B54</x:f>
        <x:v>#NAME?</x:v>
      </x:c>
      <x:c r="C58" s="5" t="e">
        <x:f aca="0">C54</x:f>
        <x:v>#NAME?</x:v>
      </x:c>
      <x:c r="D58" s="5" t="e">
        <x:f aca="0">D54</x:f>
        <x:v>#NAME?</x:v>
      </x:c>
      <x:c r="E58" s="5" t="e">
        <x:f aca="0">E54</x:f>
        <x:v>#NAME?</x:v>
      </x:c>
      <x:c r="F58" s="5" t="e">
        <x:f aca="0">F54</x:f>
        <x:v>#NAME?</x:v>
      </x:c>
      <x:c r="G58" s="5" t="e">
        <x:f aca="0">G54</x:f>
        <x:v>#NAME?</x:v>
      </x:c>
      <x:c r="H58" s="5" t="e">
        <x:f aca="0">H54</x:f>
        <x:v>#NAME?</x:v>
      </x:c>
      <x:c r="I58" s="5" t="e">
        <x:f aca="0">I54</x:f>
        <x:v>#NAME?</x:v>
      </x:c>
      <x:c r="J58" s="5" t="e">
        <x:f aca="0">J54</x:f>
        <x:v>#NAME?</x:v>
      </x:c>
      <x:c r="K58" s="5" t="e">
        <x:f aca="0">K54</x:f>
        <x:v>#NAME?</x:v>
      </x:c>
    </x:row>
    <x:row r="59" ht="17.149999618530273" hidden="0">
      <x:c r="A59" s="6" t="s">
        <x:v>160</x:v>
      </x:c>
      <x:c r="B59" s="5" t="e">
        <x:f aca="0">00_前提・検証!$B$6</x:f>
        <x:v>#NAME?</x:v>
      </x:c>
      <x:c r="C59" s="5" t="e">
        <x:f aca="0">B59+C57+C58</x:f>
        <x:v>#NAME?</x:v>
      </x:c>
      <x:c r="D59" s="5" t="e">
        <x:f aca="0">C59+D57+D58</x:f>
        <x:v>#NAME?</x:v>
      </x:c>
      <x:c r="E59" s="5" t="e">
        <x:f aca="0">D59+E57+E58</x:f>
        <x:v>#NAME?</x:v>
      </x:c>
      <x:c r="F59" s="5" t="e">
        <x:f aca="0">E59+F57+F58</x:f>
        <x:v>#NAME?</x:v>
      </x:c>
      <x:c r="G59" s="5" t="e">
        <x:f aca="0">F59+G57+G58</x:f>
        <x:v>#NAME?</x:v>
      </x:c>
      <x:c r="H59" s="5" t="e">
        <x:f aca="0">G59+H57+H58</x:f>
        <x:v>#NAME?</x:v>
      </x:c>
      <x:c r="I59" s="5" t="e">
        <x:f aca="0">H59+I57+I58</x:f>
        <x:v>#NAME?</x:v>
      </x:c>
      <x:c r="J59" s="5" t="e">
        <x:f aca="0">I59+J57+J58</x:f>
        <x:v>#NAME?</x:v>
      </x:c>
      <x:c r="K59" s="5" t="e">
        <x:f aca="0">J59+K57+K58</x:f>
        <x:v>#NAME?</x:v>
      </x:c>
    </x:row>
    <x:row r="60" ht="17.149999618530273" hidden="0">
      <x:c r="A60" s="6" t="s">
        <x:v>161</x:v>
      </x:c>
      <x:c r="B60" s="5" t="e">
        <x:f aca="0">B59-00_前提・検証!$B$7</x:f>
        <x:v>#NAME?</x:v>
      </x:c>
      <x:c r="C60" s="5" t="e">
        <x:f aca="0">C59-00_前提・検証!$B$7</x:f>
        <x:v>#NAME?</x:v>
      </x:c>
      <x:c r="D60" s="5" t="e">
        <x:f aca="0">D59-00_前提・検証!$B$7</x:f>
        <x:v>#NAME?</x:v>
      </x:c>
      <x:c r="E60" s="5" t="e">
        <x:f aca="0">E59-00_前提・検証!$B$7</x:f>
        <x:v>#NAME?</x:v>
      </x:c>
      <x:c r="F60" s="5" t="e">
        <x:f aca="0">F59-00_前提・検証!$B$7</x:f>
        <x:v>#NAME?</x:v>
      </x:c>
      <x:c r="G60" s="5" t="e">
        <x:f aca="0">G59-00_前提・検証!$B$7</x:f>
        <x:v>#NAME?</x:v>
      </x:c>
      <x:c r="H60" s="5" t="e">
        <x:f aca="0">H59-00_前提・検証!$B$7</x:f>
        <x:v>#NAME?</x:v>
      </x:c>
      <x:c r="I60" s="5" t="e">
        <x:f aca="0">I59-00_前提・検証!$B$7</x:f>
        <x:v>#NAME?</x:v>
      </x:c>
      <x:c r="J60" s="5" t="e">
        <x:f aca="0">J59-00_前提・検証!$B$7</x:f>
        <x:v>#NAME?</x:v>
      </x:c>
      <x:c r="K60" s="5" t="e">
        <x:f aca="0">K59-00_前提・検証!$B$7</x:f>
        <x:v>#NAME?</x:v>
      </x:c>
    </x:row>
  </x:sheetData>
  <x:mergeCells>
    <x:mergeCell ref="A1:K1"/>
    <x:mergeCell ref="A2:K2"/>
  </x:mergeCells>
  <x:conditionalFormatting sqref="B37:K37">
    <x:cfRule type="expression" dxfId="0" priority="2" aboveAverage="0" percent="0" bottom="0" rank="0" equalAverage="0">
      <x:formula>B37&lt;&gt;"OK"</x:formula>
    </x:cfRule>
  </x:conditionalFormatting>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11" width="14" hidden="0" customWidth="1"/>
  </x:cols>
  <x:sheetData>
    <x:row r="1" ht="21.75" hidden="0" customHeight="1">
      <x:c r="A1" s="44" t="s">
        <x:v>169</x:v>
      </x:c>
      <x:c r="B1" s="44"/>
      <x:c r="C1" s="44"/>
      <x:c r="D1" s="44"/>
      <x:c r="E1" s="44"/>
      <x:c r="F1" s="44"/>
      <x:c r="G1" s="44"/>
      <x:c r="H1" s="44"/>
      <x:c r="I1" s="44"/>
      <x:c r="J1" s="44"/>
      <x:c r="K1" s="44"/>
    </x:row>
    <x:row r="2" ht="21.75" hidden="0" customHeight="1">
      <x:c r="A2" s="45" t="s">
        <x:v>170</x:v>
      </x:c>
      <x:c r="B2" s="45"/>
      <x:c r="C2" s="45"/>
      <x:c r="D2" s="45"/>
      <x:c r="E2" s="45"/>
      <x:c r="F2" s="45"/>
      <x:c r="G2" s="45"/>
      <x:c r="H2" s="45"/>
      <x:c r="I2" s="45"/>
      <x:c r="J2" s="45"/>
      <x:c r="K2" s="45"/>
    </x:row>
    <x:row r="3" ht="21.75" hidden="0" customHeight="1">
      <x:c r="A3" s="15" t="s">
        <x:v>41</x:v>
      </x:c>
      <x:c r="B3" s="16" t="s">
        <x:v>42</x:v>
      </x:c>
      <x:c r="C3" s="16" t="s">
        <x:v>43</x:v>
      </x:c>
      <x:c r="D3" s="16" t="s">
        <x:v>44</x:v>
      </x:c>
      <x:c r="E3" s="16" t="s">
        <x:v>45</x:v>
      </x:c>
      <x:c r="F3" s="16" t="s">
        <x:v>46</x:v>
      </x:c>
      <x:c r="G3" s="16" t="s">
        <x:v>47</x:v>
      </x:c>
      <x:c r="H3" s="16" t="s">
        <x:v>48</x:v>
      </x:c>
      <x:c r="I3" s="16" t="s">
        <x:v>49</x:v>
      </x:c>
      <x:c r="J3" s="16" t="s">
        <x:v>50</x:v>
      </x:c>
      <x:c r="K3" s="16" t="s">
        <x:v>51</x:v>
      </x:c>
    </x:row>
    <x:row r="4" ht="21.75" hidden="0" customHeight="1">
      <x:c r="A4" s="17" t="s">
        <x:v>52</x:v>
      </x:c>
      <x:c r="B4" s="18"/>
      <x:c r="C4" s="18"/>
      <x:c r="D4" s="18"/>
      <x:c r="E4" s="18"/>
      <x:c r="F4" s="18"/>
      <x:c r="G4" s="18"/>
      <x:c r="H4" s="18"/>
      <x:c r="I4" s="18"/>
      <x:c r="J4" s="18"/>
      <x:c r="K4" s="18"/>
    </x:row>
    <x:row r="5" ht="21.75" hidden="0" customHeight="1">
      <x:c r="A5" s="19" t="s">
        <x:v>53</x:v>
      </x:c>
      <x:c r="B5" s="20" t="n">
        <x:f aca="0">SUM(B6,B9,B14)</x:f>
        <x:v>1619060</x:v>
      </x:c>
      <x:c r="C5" s="20" t="n">
        <x:f aca="0">SUM(C6,C9,C14)</x:f>
        <x:v>1747782</x:v>
      </x:c>
      <x:c r="D5" s="20" t="n">
        <x:f aca="0">SUM(D6,D9,D14)</x:f>
        <x:v>1586060</x:v>
      </x:c>
      <x:c r="E5" s="20" t="n">
        <x:f aca="0">SUM(E6,E9,E14)</x:f>
        <x:v>1568503</x:v>
      </x:c>
      <x:c r="F5" s="20" t="n">
        <x:f aca="0">SUM(F6,F9,F14)</x:f>
        <x:v>1550232</x:v>
      </x:c>
      <x:c r="G5" s="20" t="n">
        <x:f aca="0">SUM(G6,G9,G14)</x:f>
        <x:v>1544775</x:v>
      </x:c>
      <x:c r="H5" s="20" t="n">
        <x:f aca="0">SUM(H6,H9,H14)</x:f>
        <x:v>1532660</x:v>
      </x:c>
      <x:c r="I5" s="20" t="n">
        <x:f aca="0">SUM(I6,I9,I14)</x:f>
        <x:v>1511152</x:v>
      </x:c>
      <x:c r="J5" s="20" t="n">
        <x:f aca="0">SUM(J6,J9,J14)</x:f>
        <x:v>1481696</x:v>
      </x:c>
      <x:c r="K5" s="20" t="n">
        <x:f aca="0">SUM(K6,K9,K14)</x:f>
        <x:v>1463657</x:v>
      </x:c>
    </x:row>
    <x:row r="6" ht="21.75" hidden="0" customHeight="1">
      <x:c r="A6" s="19" t="s">
        <x:v>54</x:v>
      </x:c>
      <x:c r="B6" s="20" t="n">
        <x:f aca="0">SUM(B7:B8)</x:f>
        <x:v>1261575</x:v>
      </x:c>
      <x:c r="C6" s="20" t="n">
        <x:f aca="0">SUM(C7:C8)</x:f>
        <x:v>1366275</x:v>
      </x:c>
      <x:c r="D6" s="20" t="n">
        <x:f aca="0">SUM(D7:D8)</x:f>
        <x:v>1237293</x:v>
      </x:c>
      <x:c r="E6" s="20" t="n">
        <x:f aca="0">SUM(E7:E8)</x:f>
        <x:v>1225373</x:v>
      </x:c>
      <x:c r="F6" s="20" t="n">
        <x:f aca="0">SUM(F7:F8)</x:f>
        <x:v>1213574</x:v>
      </x:c>
      <x:c r="G6" s="20" t="n">
        <x:f aca="0">SUM(G7:G8)</x:f>
        <x:v>1201896</x:v>
      </x:c>
      <x:c r="H6" s="20" t="n">
        <x:f aca="0">SUM(H7:H8)</x:f>
        <x:v>1190336</x:v>
      </x:c>
      <x:c r="I6" s="20" t="n">
        <x:f aca="0">SUM(I7:I8)</x:f>
        <x:v>1178894</x:v>
      </x:c>
      <x:c r="J6" s="20" t="n">
        <x:f aca="0">SUM(J7:J8)</x:f>
        <x:v>1167569</x:v>
      </x:c>
      <x:c r="K6" s="20" t="n">
        <x:f aca="0">SUM(K7:K8)</x:f>
        <x:v>1156360</x:v>
      </x:c>
    </x:row>
    <x:row r="7" ht="21.75" hidden="0" customHeight="1">
      <x:c r="A7" s="19" t="s">
        <x:v>55</x:v>
      </x:c>
      <x:c r="B7" s="20" t="n">
        <x:v>1231181</x:v>
      </x:c>
      <x:c r="C7" s="20" t="n">
        <x:v>1331944</x:v>
      </x:c>
      <x:c r="D7" s="20" t="n">
        <x:v>1206680</x:v>
      </x:c>
      <x:c r="E7" s="20" t="n">
        <x:v>1194613</x:v>
      </x:c>
      <x:c r="F7" s="20" t="n">
        <x:v>1182666</x:v>
      </x:c>
      <x:c r="G7" s="20" t="n">
        <x:v>1170839</x:v>
      </x:c>
      <x:c r="H7" s="20" t="n">
        <x:v>1159130</x:v>
      </x:c>
      <x:c r="I7" s="20" t="n">
        <x:v>1147538</x:v>
      </x:c>
      <x:c r="J7" s="20" t="n">
        <x:v>1136062</x:v>
      </x:c>
      <x:c r="K7" s="20" t="n">
        <x:v>1124701</x:v>
      </x:c>
    </x:row>
    <x:row r="8" ht="21.75" hidden="0" customHeight="1">
      <x:c r="A8" s="19" t="s">
        <x:v>56</x:v>
      </x:c>
      <x:c r="B8" s="20" t="n">
        <x:v>30394</x:v>
      </x:c>
      <x:c r="C8" s="20" t="n">
        <x:v>34331</x:v>
      </x:c>
      <x:c r="D8" s="20" t="n">
        <x:v>30613</x:v>
      </x:c>
      <x:c r="E8" s="20" t="n">
        <x:v>30760</x:v>
      </x:c>
      <x:c r="F8" s="20" t="n">
        <x:v>30908</x:v>
      </x:c>
      <x:c r="G8" s="20" t="n">
        <x:v>31057</x:v>
      </x:c>
      <x:c r="H8" s="20" t="n">
        <x:v>31206</x:v>
      </x:c>
      <x:c r="I8" s="20" t="n">
        <x:v>31356</x:v>
      </x:c>
      <x:c r="J8" s="20" t="n">
        <x:v>31507</x:v>
      </x:c>
      <x:c r="K8" s="20" t="n">
        <x:v>31659</x:v>
      </x:c>
    </x:row>
    <x:row r="9" ht="21.75" hidden="0" customHeight="1">
      <x:c r="A9" s="19" t="s">
        <x:v>57</x:v>
      </x:c>
      <x:c r="B9" s="20" t="n">
        <x:f aca="0">SUM(B10:B13)</x:f>
        <x:v>354909</x:v>
      </x:c>
      <x:c r="C9" s="20" t="n">
        <x:f aca="0">SUM(C10:C13)</x:f>
        <x:v>351507</x:v>
      </x:c>
      <x:c r="D9" s="20" t="n">
        <x:f aca="0">SUM(D10:D13)</x:f>
        <x:v>348767</x:v>
      </x:c>
      <x:c r="E9" s="20" t="n">
        <x:f aca="0">SUM(E10:E13)</x:f>
        <x:v>343130</x:v>
      </x:c>
      <x:c r="F9" s="20" t="n">
        <x:f aca="0">SUM(F10:F13)</x:f>
        <x:v>336658</x:v>
      </x:c>
      <x:c r="G9" s="20" t="n">
        <x:f aca="0">SUM(G10:G13)</x:f>
        <x:v>342879</x:v>
      </x:c>
      <x:c r="H9" s="20" t="n">
        <x:f aca="0">SUM(H10:H13)</x:f>
        <x:v>342324</x:v>
      </x:c>
      <x:c r="I9" s="20" t="n">
        <x:f aca="0">SUM(I10:I13)</x:f>
        <x:v>332258</x:v>
      </x:c>
      <x:c r="J9" s="20" t="n">
        <x:f aca="0">SUM(J10:J13)</x:f>
        <x:v>314127</x:v>
      </x:c>
      <x:c r="K9" s="20" t="n">
        <x:f aca="0">SUM(K10:K13)</x:f>
        <x:v>307297</x:v>
      </x:c>
    </x:row>
    <x:row r="10" ht="21.75" hidden="0" customHeight="1">
      <x:c r="A10" s="19" t="s">
        <x:v>58</x:v>
      </x:c>
      <x:c r="B10" s="20" t="n">
        <x:v>1</x:v>
      </x:c>
      <x:c r="C10" s="20" t="n">
        <x:v>17</x:v>
      </x:c>
      <x:c r="D10" s="20" t="n">
        <x:v>0</x:v>
      </x:c>
      <x:c r="E10" s="20" t="n">
        <x:v>0</x:v>
      </x:c>
      <x:c r="F10" s="20" t="n">
        <x:v>0</x:v>
      </x:c>
      <x:c r="G10" s="20" t="n">
        <x:v>0</x:v>
      </x:c>
      <x:c r="H10" s="20" t="n">
        <x:v>0</x:v>
      </x:c>
      <x:c r="I10" s="20" t="n">
        <x:v>0</x:v>
      </x:c>
      <x:c r="J10" s="20" t="n">
        <x:v>0</x:v>
      </x:c>
      <x:c r="K10" s="20" t="n">
        <x:v>0</x:v>
      </x:c>
    </x:row>
    <x:row r="11" ht="21.75" hidden="0" customHeight="1">
      <x:c r="A11" s="19" t="s">
        <x:v>59</x:v>
      </x:c>
      <x:c r="B11" s="20" t="n">
        <x:v>73283</x:v>
      </x:c>
      <x:c r="C11" s="20" t="n">
        <x:v>72779</x:v>
      </x:c>
      <x:c r="D11" s="20" t="n">
        <x:v>68955</x:v>
      </x:c>
      <x:c r="E11" s="20" t="n">
        <x:v>66740</x:v>
      </x:c>
      <x:c r="F11" s="20" t="n">
        <x:v>64490</x:v>
      </x:c>
      <x:c r="G11" s="20" t="n">
        <x:v>62175</x:v>
      </x:c>
      <x:c r="H11" s="20" t="n">
        <x:v>59946</x:v>
      </x:c>
      <x:c r="I11" s="20" t="n">
        <x:v>57892</x:v>
      </x:c>
      <x:c r="J11" s="20" t="n">
        <x:v>56062</x:v>
      </x:c>
      <x:c r="K11" s="20" t="n">
        <x:v>54385</x:v>
      </x:c>
    </x:row>
    <x:row r="12" ht="21.75" hidden="0" customHeight="1">
      <x:c r="A12" s="19" t="s">
        <x:v>60</x:v>
      </x:c>
      <x:c r="B12" s="20" t="n">
        <x:v>281625</x:v>
      </x:c>
      <x:c r="C12" s="20" t="n">
        <x:v>278623</x:v>
      </x:c>
      <x:c r="D12" s="20" t="n">
        <x:v>279812</x:v>
      </x:c>
      <x:c r="E12" s="20" t="n">
        <x:v>276390</x:v>
      </x:c>
      <x:c r="F12" s="20" t="n">
        <x:v>272168</x:v>
      </x:c>
      <x:c r="G12" s="20" t="n">
        <x:v>272926</x:v>
      </x:c>
      <x:c r="H12" s="20" t="n">
        <x:v>274600</x:v>
      </x:c>
      <x:c r="I12" s="20" t="n">
        <x:v>266588</x:v>
      </x:c>
      <x:c r="J12" s="20" t="n">
        <x:v>250287</x:v>
      </x:c>
      <x:c r="K12" s="20" t="n">
        <x:v>245134</x:v>
      </x:c>
    </x:row>
    <x:row r="13" ht="21.75" hidden="0" customHeight="1">
      <x:c r="A13" s="19" t="s">
        <x:v>61</x:v>
      </x:c>
      <x:c r="B13" s="20" t="n">
        <x:v>0</x:v>
      </x:c>
      <x:c r="C13" s="20" t="n">
        <x:v>88</x:v>
      </x:c>
      <x:c r="D13" s="20" t="n">
        <x:v>0</x:v>
      </x:c>
      <x:c r="E13" s="20" t="n">
        <x:v>0</x:v>
      </x:c>
      <x:c r="F13" s="20" t="n">
        <x:v>0</x:v>
      </x:c>
      <x:c r="G13" s="20" t="n">
        <x:v>7778</x:v>
      </x:c>
      <x:c r="H13" s="20" t="n">
        <x:v>7778</x:v>
      </x:c>
      <x:c r="I13" s="20" t="n">
        <x:v>7778</x:v>
      </x:c>
      <x:c r="J13" s="20" t="n">
        <x:v>7778</x:v>
      </x:c>
      <x:c r="K13" s="20" t="n">
        <x:v>7778</x:v>
      </x:c>
    </x:row>
    <x:row r="14" ht="21.75" hidden="0" customHeight="1">
      <x:c r="A14" s="19" t="s">
        <x:v>62</x:v>
      </x:c>
      <x:c r="B14" s="20" t="n">
        <x:v>2576</x:v>
      </x:c>
      <x:c r="C14" s="20" t="n">
        <x:v>30000</x:v>
      </x:c>
      <x:c r="D14" s="20" t="n">
        <x:v>0</x:v>
      </x:c>
      <x:c r="E14" s="20" t="n">
        <x:v>0</x:v>
      </x:c>
      <x:c r="F14" s="20" t="n">
        <x:v>0</x:v>
      </x:c>
      <x:c r="G14" s="20" t="n">
        <x:v>0</x:v>
      </x:c>
      <x:c r="H14" s="20" t="n">
        <x:v>0</x:v>
      </x:c>
      <x:c r="I14" s="20" t="n">
        <x:v>0</x:v>
      </x:c>
      <x:c r="J14" s="20" t="n">
        <x:v>0</x:v>
      </x:c>
      <x:c r="K14" s="20" t="n">
        <x:v>0</x:v>
      </x:c>
    </x:row>
    <x:row r="15" ht="21.75" hidden="0" customHeight="1">
      <x:c r="A15" s="19"/>
      <x:c r="B15" s="20"/>
      <x:c r="C15" s="20"/>
      <x:c r="D15" s="20"/>
      <x:c r="E15" s="20"/>
      <x:c r="F15" s="20"/>
      <x:c r="G15" s="20"/>
      <x:c r="H15" s="20"/>
      <x:c r="I15" s="20"/>
      <x:c r="J15" s="20"/>
      <x:c r="K15" s="20"/>
    </x:row>
    <x:row r="16" ht="21.75" hidden="0" customHeight="1">
      <x:c r="A16" s="17" t="s">
        <x:v>63</x:v>
      </x:c>
      <x:c r="B16" s="18"/>
      <x:c r="C16" s="18"/>
      <x:c r="D16" s="18"/>
      <x:c r="E16" s="18"/>
      <x:c r="F16" s="18"/>
      <x:c r="G16" s="18"/>
      <x:c r="H16" s="18"/>
      <x:c r="I16" s="18"/>
      <x:c r="J16" s="18"/>
      <x:c r="K16" s="18"/>
    </x:row>
    <x:row r="17" ht="21.75" hidden="0" customHeight="1">
      <x:c r="A17" s="19" t="s">
        <x:v>64</x:v>
      </x:c>
      <x:c r="B17" s="20" t="n">
        <x:f aca="0">SUM(B18,B28,B31)</x:f>
        <x:v>2121103</x:v>
      </x:c>
      <x:c r="C17" s="20" t="n">
        <x:f aca="0">SUM(C18,C28,C31)</x:f>
        <x:v>1710280</x:v>
      </x:c>
      <x:c r="D17" s="20" t="n">
        <x:f aca="0">SUM(D18,D28,D31)</x:f>
        <x:v>2104089</x:v>
      </x:c>
      <x:c r="E17" s="20" t="n">
        <x:f aca="0">SUM(E18,E28,E31)</x:f>
        <x:v>2099430</x:v>
      </x:c>
      <x:c r="F17" s="20" t="n">
        <x:f aca="0">SUM(F18,F28,F31)</x:f>
        <x:v>2098567</x:v>
      </x:c>
      <x:c r="G17" s="20" t="n">
        <x:f aca="0">SUM(G18,G28,G31)</x:f>
        <x:v>2101122</x:v>
      </x:c>
      <x:c r="H17" s="20" t="n">
        <x:f aca="0">SUM(H18,H28,H31)</x:f>
        <x:v>2108674</x:v>
      </x:c>
      <x:c r="I17" s="20" t="n">
        <x:f aca="0">SUM(I18,I28,I31)</x:f>
        <x:v>2105514</x:v>
      </x:c>
      <x:c r="J17" s="20" t="n">
        <x:f aca="0">SUM(J18,J28,J31)</x:f>
        <x:v>2089879</x:v>
      </x:c>
      <x:c r="K17" s="20" t="n">
        <x:f aca="0">SUM(K18,K28,K31)</x:f>
        <x:v>2089427</x:v>
      </x:c>
    </x:row>
    <x:row r="18" ht="21.75" hidden="0" customHeight="1">
      <x:c r="A18" s="19" t="s">
        <x:v>65</x:v>
      </x:c>
      <x:c r="B18" s="20" t="n">
        <x:f aca="0">SUM(B19:B27)</x:f>
        <x:v>1992335</x:v>
      </x:c>
      <x:c r="C18" s="20" t="n">
        <x:f aca="0">SUM(C19:C27)</x:f>
        <x:v>1546573</x:v>
      </x:c>
      <x:c r="D18" s="20" t="n">
        <x:f aca="0">SUM(D19:D27)</x:f>
        <x:v>1986677</x:v>
      </x:c>
      <x:c r="E18" s="20" t="n">
        <x:f aca="0">SUM(E19:E27)</x:f>
        <x:v>1983773</x:v>
      </x:c>
      <x:c r="F18" s="20" t="n">
        <x:f aca="0">SUM(F19:F27)</x:f>
        <x:v>1984507</x:v>
      </x:c>
      <x:c r="G18" s="20" t="n">
        <x:f aca="0">SUM(G19:G27)</x:f>
        <x:v>1990028</x:v>
      </x:c>
      <x:c r="H18" s="20" t="n">
        <x:f aca="0">SUM(H19:H27)</x:f>
        <x:v>1999836</x:v>
      </x:c>
      <x:c r="I18" s="20" t="n">
        <x:f aca="0">SUM(I19:I27)</x:f>
        <x:v>1997829</x:v>
      </x:c>
      <x:c r="J18" s="20" t="n">
        <x:f aca="0">SUM(J19:J27)</x:f>
        <x:v>1982498</x:v>
      </x:c>
      <x:c r="K18" s="20" t="n">
        <x:f aca="0">SUM(K19:K27)</x:f>
        <x:v>1984037</x:v>
      </x:c>
    </x:row>
    <x:row r="19" ht="21.75" hidden="0" customHeight="1">
      <x:c r="A19" s="19" t="s">
        <x:v>66</x:v>
      </x:c>
      <x:c r="B19" s="20" t="n">
        <x:v>176462</x:v>
      </x:c>
      <x:c r="C19" s="20" t="n">
        <x:v>188373</x:v>
      </x:c>
      <x:c r="D19" s="20" t="n">
        <x:v>176462</x:v>
      </x:c>
      <x:c r="E19" s="20" t="n">
        <x:v>176462</x:v>
      </x:c>
      <x:c r="F19" s="20" t="n">
        <x:v>176462</x:v>
      </x:c>
      <x:c r="G19" s="20" t="n">
        <x:v>176462</x:v>
      </x:c>
      <x:c r="H19" s="20" t="n">
        <x:v>176462</x:v>
      </x:c>
      <x:c r="I19" s="20" t="n">
        <x:v>176462</x:v>
      </x:c>
      <x:c r="J19" s="20" t="n">
        <x:v>176462</x:v>
      </x:c>
      <x:c r="K19" s="20" t="n">
        <x:v>176462</x:v>
      </x:c>
    </x:row>
    <x:row r="20" ht="21.75" hidden="0" customHeight="1">
      <x:c r="A20" s="19" t="s">
        <x:v>67</x:v>
      </x:c>
      <x:c r="B20" s="20" t="n">
        <x:v>547263</x:v>
      </x:c>
      <x:c r="C20" s="20" t="n">
        <x:v>599689</x:v>
      </x:c>
      <x:c r="D20" s="20" t="n">
        <x:v>545648</x:v>
      </x:c>
      <x:c r="E20" s="20" t="n">
        <x:v>545957</x:v>
      </x:c>
      <x:c r="F20" s="20" t="n">
        <x:v>546267</x:v>
      </x:c>
      <x:c r="G20" s="20" t="n">
        <x:v>546577</x:v>
      </x:c>
      <x:c r="H20" s="20" t="n">
        <x:v>546888</x:v>
      </x:c>
      <x:c r="I20" s="20" t="n">
        <x:v>547200</x:v>
      </x:c>
      <x:c r="J20" s="20" t="n">
        <x:v>547513</x:v>
      </x:c>
      <x:c r="K20" s="20" t="n">
        <x:v>547827</x:v>
      </x:c>
    </x:row>
    <x:row r="21" ht="21.75" hidden="0" customHeight="1">
      <x:c r="A21" s="19" t="s">
        <x:v>68</x:v>
      </x:c>
      <x:c r="B21" s="20" t="n">
        <x:v>65247</x:v>
      </x:c>
      <x:c r="C21" s="20" t="n">
        <x:v>0</x:v>
      </x:c>
      <x:c r="D21" s="20" t="n">
        <x:v>65000</x:v>
      </x:c>
      <x:c r="E21" s="20" t="n">
        <x:v>65000</x:v>
      </x:c>
      <x:c r="F21" s="20" t="n">
        <x:v>65000</x:v>
      </x:c>
      <x:c r="G21" s="20" t="n">
        <x:v>65000</x:v>
      </x:c>
      <x:c r="H21" s="20" t="n">
        <x:v>65000</x:v>
      </x:c>
      <x:c r="I21" s="20" t="n">
        <x:v>65000</x:v>
      </x:c>
      <x:c r="J21" s="20" t="n">
        <x:v>65000</x:v>
      </x:c>
      <x:c r="K21" s="20" t="n">
        <x:v>65000</x:v>
      </x:c>
    </x:row>
    <x:row r="22" ht="21.75" hidden="0" customHeight="1">
      <x:c r="A22" s="19" t="s">
        <x:v>69</x:v>
      </x:c>
      <x:c r="B22" s="20" t="n">
        <x:v>102261</x:v>
      </x:c>
      <x:c r="C22" s="20" t="n">
        <x:v>0</x:v>
      </x:c>
      <x:c r="D22" s="20" t="n">
        <x:v>102876</x:v>
      </x:c>
      <x:c r="E22" s="20" t="n">
        <x:v>103185</x:v>
      </x:c>
      <x:c r="F22" s="20" t="n">
        <x:v>103495</x:v>
      </x:c>
      <x:c r="G22" s="20" t="n">
        <x:v>103805</x:v>
      </x:c>
      <x:c r="H22" s="20" t="n">
        <x:v>104116</x:v>
      </x:c>
      <x:c r="I22" s="20" t="n">
        <x:v>104428</x:v>
      </x:c>
      <x:c r="J22" s="20" t="n">
        <x:v>104741</x:v>
      </x:c>
      <x:c r="K22" s="20" t="n">
        <x:v>105055</x:v>
      </x:c>
    </x:row>
    <x:row r="23" ht="21.75" hidden="0" customHeight="1">
      <x:c r="A23" s="19" t="s">
        <x:v>70</x:v>
      </x:c>
      <x:c r="B23" s="20" t="n">
        <x:v>15316</x:v>
      </x:c>
      <x:c r="C23" s="20" t="n">
        <x:v>0</x:v>
      </x:c>
      <x:c r="D23" s="20" t="n">
        <x:v>15000</x:v>
      </x:c>
      <x:c r="E23" s="20" t="n">
        <x:v>15000</x:v>
      </x:c>
      <x:c r="F23" s="20" t="n">
        <x:v>15000</x:v>
      </x:c>
      <x:c r="G23" s="20" t="n">
        <x:v>15000</x:v>
      </x:c>
      <x:c r="H23" s="20" t="n">
        <x:v>15000</x:v>
      </x:c>
      <x:c r="I23" s="20" t="n">
        <x:v>15000</x:v>
      </x:c>
      <x:c r="J23" s="20" t="n">
        <x:v>15000</x:v>
      </x:c>
      <x:c r="K23" s="20" t="n">
        <x:v>15000</x:v>
      </x:c>
    </x:row>
    <x:row r="24" ht="21.75" hidden="0" customHeight="1">
      <x:c r="A24" s="19" t="s">
        <x:v>71</x:v>
      </x:c>
      <x:c r="B24" s="20" t="n">
        <x:v>304419</x:v>
      </x:c>
      <x:c r="C24" s="20" t="n">
        <x:v>0</x:v>
      </x:c>
      <x:c r="D24" s="20" t="n">
        <x:v>304000</x:v>
      </x:c>
      <x:c r="E24" s="20" t="n">
        <x:v>304000</x:v>
      </x:c>
      <x:c r="F24" s="20" t="n">
        <x:v>304000</x:v>
      </x:c>
      <x:c r="G24" s="20" t="n">
        <x:v>304000</x:v>
      </x:c>
      <x:c r="H24" s="20" t="n">
        <x:v>304000</x:v>
      </x:c>
      <x:c r="I24" s="20" t="n">
        <x:v>304000</x:v>
      </x:c>
      <x:c r="J24" s="20" t="n">
        <x:v>304000</x:v>
      </x:c>
      <x:c r="K24" s="20" t="n">
        <x:v>304000</x:v>
      </x:c>
    </x:row>
    <x:row r="25" ht="21.75" hidden="0" customHeight="1">
      <x:c r="A25" s="19" t="s">
        <x:v>72</x:v>
      </x:c>
      <x:c r="B25" s="20" t="n">
        <x:v>755782</x:v>
      </x:c>
      <x:c r="C25" s="20" t="n">
        <x:v>746511</x:v>
      </x:c>
      <x:c r="D25" s="20" t="n">
        <x:v>752391</x:v>
      </x:c>
      <x:c r="E25" s="20" t="n">
        <x:v>748869</x:v>
      </x:c>
      <x:c r="F25" s="20" t="n">
        <x:v>748983</x:v>
      </x:c>
      <x:c r="G25" s="20" t="n">
        <x:v>753884</x:v>
      </x:c>
      <x:c r="H25" s="20" t="n">
        <x:v>763070</x:v>
      </x:c>
      <x:c r="I25" s="20" t="n">
        <x:v>760439</x:v>
      </x:c>
      <x:c r="J25" s="20" t="n">
        <x:v>744482</x:v>
      </x:c>
      <x:c r="K25" s="20" t="n">
        <x:v>745393</x:v>
      </x:c>
    </x:row>
    <x:row r="26" ht="21.75" hidden="0" customHeight="1">
      <x:c r="A26" s="19" t="s">
        <x:v>73</x:v>
      </x:c>
      <x:c r="B26" s="20" t="n">
        <x:v>10000</x:v>
      </x:c>
      <x:c r="C26" s="20" t="n">
        <x:v>12000</x:v>
      </x:c>
      <x:c r="D26" s="20" t="n">
        <x:v>10000</x:v>
      </x:c>
      <x:c r="E26" s="20" t="n">
        <x:v>10000</x:v>
      </x:c>
      <x:c r="F26" s="20" t="n">
        <x:v>10000</x:v>
      </x:c>
      <x:c r="G26" s="20" t="n">
        <x:v>10000</x:v>
      </x:c>
      <x:c r="H26" s="20" t="n">
        <x:v>10000</x:v>
      </x:c>
      <x:c r="I26" s="20" t="n">
        <x:v>10000</x:v>
      </x:c>
      <x:c r="J26" s="20" t="n">
        <x:v>10000</x:v>
      </x:c>
      <x:c r="K26" s="20" t="n">
        <x:v>10000</x:v>
      </x:c>
    </x:row>
    <x:row r="27" ht="21.75" hidden="0" customHeight="1">
      <x:c r="A27" s="19" t="s">
        <x:v>74</x:v>
      </x:c>
      <x:c r="B27" s="20" t="n">
        <x:v>15585</x:v>
      </x:c>
      <x:c r="C27" s="20" t="n">
        <x:v>0</x:v>
      </x:c>
      <x:c r="D27" s="20" t="n">
        <x:v>15300</x:v>
      </x:c>
      <x:c r="E27" s="20" t="n">
        <x:v>15300</x:v>
      </x:c>
      <x:c r="F27" s="20" t="n">
        <x:v>15300</x:v>
      </x:c>
      <x:c r="G27" s="20" t="n">
        <x:v>15300</x:v>
      </x:c>
      <x:c r="H27" s="20" t="n">
        <x:v>15300</x:v>
      </x:c>
      <x:c r="I27" s="20" t="n">
        <x:v>15300</x:v>
      </x:c>
      <x:c r="J27" s="20" t="n">
        <x:v>15300</x:v>
      </x:c>
      <x:c r="K27" s="20" t="n">
        <x:v>15300</x:v>
      </x:c>
    </x:row>
    <x:row r="28" ht="21.75" hidden="0" customHeight="1">
      <x:c r="A28" s="19" t="s">
        <x:v>75</x:v>
      </x:c>
      <x:c r="B28" s="20" t="n">
        <x:f aca="0">SUM(B29:B30)</x:f>
        <x:v>128495</x:v>
      </x:c>
      <x:c r="C28" s="20" t="n">
        <x:f aca="0">SUM(C29:C30)</x:f>
        <x:v>163407</x:v>
      </x:c>
      <x:c r="D28" s="20" t="n">
        <x:f aca="0">SUM(D29:D30)</x:f>
        <x:v>117139</x:v>
      </x:c>
      <x:c r="E28" s="20" t="n">
        <x:f aca="0">SUM(E29:E30)</x:f>
        <x:v>115384</x:v>
      </x:c>
      <x:c r="F28" s="20" t="n">
        <x:f aca="0">SUM(F29:F30)</x:f>
        <x:v>113787</x:v>
      </x:c>
      <x:c r="G28" s="20" t="n">
        <x:f aca="0">SUM(G29:G30)</x:f>
        <x:v>110821</x:v>
      </x:c>
      <x:c r="H28" s="20" t="n">
        <x:f aca="0">SUM(H29:H30)</x:f>
        <x:v>108565</x:v>
      </x:c>
      <x:c r="I28" s="20" t="n">
        <x:f aca="0">SUM(I29:I30)</x:f>
        <x:v>107412</x:v>
      </x:c>
      <x:c r="J28" s="20" t="n">
        <x:f aca="0">SUM(J29:J30)</x:f>
        <x:v>107108</x:v>
      </x:c>
      <x:c r="K28" s="20" t="n">
        <x:f aca="0">SUM(K29:K30)</x:f>
        <x:v>105117</x:v>
      </x:c>
    </x:row>
    <x:row r="29" ht="21.75" hidden="0" customHeight="1">
      <x:c r="A29" s="19" t="s">
        <x:v>76</x:v>
      </x:c>
      <x:c r="B29" s="20" t="n">
        <x:v>118910</x:v>
      </x:c>
      <x:c r="C29" s="20" t="n">
        <x:v>113113</x:v>
      </x:c>
      <x:c r="D29" s="20" t="n">
        <x:v>108458</x:v>
      </x:c>
      <x:c r="E29" s="20" t="n">
        <x:v>106668</x:v>
      </x:c>
      <x:c r="F29" s="20" t="n">
        <x:v>105071</x:v>
      </x:c>
      <x:c r="G29" s="20" t="n">
        <x:v>102070</x:v>
      </x:c>
      <x:c r="H29" s="20" t="n">
        <x:v>99779</x:v>
      </x:c>
      <x:c r="I29" s="20" t="n">
        <x:v>98626</x:v>
      </x:c>
      <x:c r="J29" s="20" t="n">
        <x:v>98322</x:v>
      </x:c>
      <x:c r="K29" s="20" t="n">
        <x:v>96331</x:v>
      </x:c>
    </x:row>
    <x:row r="30" ht="21.75" hidden="0" customHeight="1">
      <x:c r="A30" s="19" t="s">
        <x:v>77</x:v>
      </x:c>
      <x:c r="B30" s="20" t="n">
        <x:v>9585</x:v>
      </x:c>
      <x:c r="C30" s="20" t="n">
        <x:v>50294</x:v>
      </x:c>
      <x:c r="D30" s="20" t="n">
        <x:v>8681</x:v>
      </x:c>
      <x:c r="E30" s="20" t="n">
        <x:v>8716</x:v>
      </x:c>
      <x:c r="F30" s="20" t="n">
        <x:v>8716</x:v>
      </x:c>
      <x:c r="G30" s="20" t="n">
        <x:v>8751</x:v>
      </x:c>
      <x:c r="H30" s="20" t="n">
        <x:v>8786</x:v>
      </x:c>
      <x:c r="I30" s="20" t="n">
        <x:v>8786</x:v>
      </x:c>
      <x:c r="J30" s="20" t="n">
        <x:v>8786</x:v>
      </x:c>
      <x:c r="K30" s="20" t="n">
        <x:v>8786</x:v>
      </x:c>
    </x:row>
    <x:row r="31" ht="21.75" hidden="0" customHeight="1">
      <x:c r="A31" s="19" t="s">
        <x:v>78</x:v>
      </x:c>
      <x:c r="B31" s="21" t="n">
        <x:v>273</x:v>
      </x:c>
      <x:c r="C31" s="21" t="n">
        <x:v>300</x:v>
      </x:c>
      <x:c r="D31" s="21" t="n">
        <x:v>273</x:v>
      </x:c>
      <x:c r="E31" s="21" t="n">
        <x:v>273</x:v>
      </x:c>
      <x:c r="F31" s="21" t="n">
        <x:v>273</x:v>
      </x:c>
      <x:c r="G31" s="21" t="n">
        <x:v>273</x:v>
      </x:c>
      <x:c r="H31" s="21" t="n">
        <x:v>273</x:v>
      </x:c>
      <x:c r="I31" s="21" t="n">
        <x:v>273</x:v>
      </x:c>
      <x:c r="J31" s="21" t="n">
        <x:v>273</x:v>
      </x:c>
      <x:c r="K31" s="21" t="n">
        <x:v>273</x:v>
      </x:c>
    </x:row>
    <x:row r="32" ht="21.75" hidden="0" customHeight="1">
      <x:c r="A32" s="19"/>
      <x:c r="B32" s="21"/>
      <x:c r="C32" s="21"/>
      <x:c r="D32" s="21"/>
      <x:c r="E32" s="21"/>
      <x:c r="F32" s="21"/>
      <x:c r="G32" s="21"/>
      <x:c r="H32" s="21"/>
      <x:c r="I32" s="21"/>
      <x:c r="J32" s="21"/>
      <x:c r="K32" s="21"/>
    </x:row>
    <x:row r="33" ht="21.75" hidden="0" customHeight="1">
      <x:c r="A33" s="17" t="s">
        <x:v>79</x:v>
      </x:c>
      <x:c r="B33" s="22"/>
      <x:c r="C33" s="22"/>
      <x:c r="D33" s="22"/>
      <x:c r="E33" s="22"/>
      <x:c r="F33" s="22"/>
      <x:c r="G33" s="22"/>
      <x:c r="H33" s="22"/>
      <x:c r="I33" s="22"/>
      <x:c r="J33" s="22"/>
      <x:c r="K33" s="22"/>
    </x:row>
    <x:row r="34" ht="21.75" hidden="0" customHeight="1">
      <x:c r="A34" s="19" t="s">
        <x:v>80</x:v>
      </x:c>
      <x:c r="B34" s="20" t="n">
        <x:v>698941</x:v>
      </x:c>
      <x:c r="C34" s="20" t="n">
        <x:f aca="0">SUM(C35:C40)</x:f>
        <x:v>861283</x:v>
      </x:c>
      <x:c r="D34" s="20" t="n">
        <x:v>636408</x:v>
      </x:c>
      <x:c r="E34" s="20" t="n">
        <x:v>715698</x:v>
      </x:c>
      <x:c r="F34" s="20" t="n">
        <x:v>627649</x:v>
      </x:c>
      <x:c r="G34" s="20" t="n">
        <x:v>570213</x:v>
      </x:c>
      <x:c r="H34" s="20" t="n">
        <x:v>571338</x:v>
      </x:c>
      <x:c r="I34" s="20" t="n">
        <x:v>536592</x:v>
      </x:c>
      <x:c r="J34" s="20" t="n">
        <x:v>406734</x:v>
      </x:c>
      <x:c r="K34" s="20" t="n">
        <x:v>365000</x:v>
      </x:c>
    </x:row>
    <x:row r="35" ht="21.75" hidden="0" customHeight="1">
      <x:c r="A35" s="19" t="s">
        <x:v>81</x:v>
      </x:c>
      <x:c r="B35" s="20" t="n">
        <x:v>329000</x:v>
      </x:c>
      <x:c r="C35" s="20" t="n">
        <x:v>519900</x:v>
      </x:c>
      <x:c r="D35" s="20" t="n">
        <x:v>399000</x:v>
      </x:c>
      <x:c r="E35" s="20" t="n">
        <x:v>400000</x:v>
      </x:c>
      <x:c r="F35" s="20" t="n">
        <x:v>232000</x:v>
      </x:c>
      <x:c r="G35" s="20" t="n">
        <x:v>283000</x:v>
      </x:c>
      <x:c r="H35" s="20" t="n">
        <x:v>286000</x:v>
      </x:c>
      <x:c r="I35" s="20" t="n">
        <x:v>368000</x:v>
      </x:c>
      <x:c r="J35" s="20" t="n">
        <x:v>251000</x:v>
      </x:c>
      <x:c r="K35" s="20" t="n">
        <x:v>230000</x:v>
      </x:c>
    </x:row>
    <x:row r="36" ht="21.75" hidden="0" customHeight="1">
      <x:c r="A36" s="19" t="s">
        <x:v>82</x:v>
      </x:c>
      <x:c r="B36" s="20" t="n">
        <x:v>169041</x:v>
      </x:c>
      <x:c r="C36" s="20" t="n">
        <x:v>166838</x:v>
      </x:c>
      <x:c r="D36" s="20" t="n">
        <x:v>162408</x:v>
      </x:c>
      <x:c r="E36" s="20" t="n">
        <x:v>167998</x:v>
      </x:c>
      <x:c r="F36" s="20" t="n">
        <x:v>173649</x:v>
      </x:c>
      <x:c r="G36" s="20" t="n">
        <x:v>182213</x:v>
      </x:c>
      <x:c r="H36" s="20" t="n">
        <x:v>180338</x:v>
      </x:c>
      <x:c r="I36" s="20" t="n">
        <x:v>168592</x:v>
      </x:c>
      <x:c r="J36" s="20" t="n">
        <x:v>155734</x:v>
      </x:c>
      <x:c r="K36" s="20" t="n">
        <x:v>135000</x:v>
      </x:c>
    </x:row>
    <x:row r="37" ht="21.75" hidden="0" customHeight="1">
      <x:c r="A37" s="19" t="s">
        <x:v>83</x:v>
      </x:c>
      <x:c r="B37" s="20" t="n">
        <x:v>0</x:v>
      </x:c>
      <x:c r="C37" s="20" t="n">
        <x:v>0</x:v>
      </x:c>
      <x:c r="D37" s="20" t="n">
        <x:v>0</x:v>
      </x:c>
      <x:c r="E37" s="20" t="n">
        <x:v>0</x:v>
      </x:c>
      <x:c r="F37" s="20" t="n">
        <x:v>0</x:v>
      </x:c>
      <x:c r="G37" s="20" t="n">
        <x:v>0</x:v>
      </x:c>
      <x:c r="H37" s="20" t="n">
        <x:v>0</x:v>
      </x:c>
      <x:c r="I37" s="20" t="n">
        <x:v>0</x:v>
      </x:c>
      <x:c r="J37" s="20" t="n">
        <x:v>0</x:v>
      </x:c>
      <x:c r="K37" s="20" t="n">
        <x:v>0</x:v>
      </x:c>
    </x:row>
    <x:row r="38" ht="21.75" hidden="0" customHeight="1">
      <x:c r="A38" s="19" t="s">
        <x:v>84</x:v>
      </x:c>
      <x:c r="B38" s="20" t="n">
        <x:v>0</x:v>
      </x:c>
      <x:c r="C38" s="20" t="n">
        <x:v>2000</x:v>
      </x:c>
      <x:c r="D38" s="20" t="n">
        <x:v>75000</x:v>
      </x:c>
      <x:c r="E38" s="20" t="n">
        <x:v>147700</x:v>
      </x:c>
      <x:c r="F38" s="20" t="n">
        <x:v>222000</x:v>
      </x:c>
      <x:c r="G38" s="20" t="n">
        <x:v>105000</x:v>
      </x:c>
      <x:c r="H38" s="20" t="n">
        <x:v>105000</x:v>
      </x:c>
      <x:c r="I38" s="20" t="n">
        <x:v>0</x:v>
      </x:c>
      <x:c r="J38" s="20" t="n">
        <x:v>0</x:v>
      </x:c>
      <x:c r="K38" s="20" t="n">
        <x:v>0</x:v>
      </x:c>
    </x:row>
    <x:row r="39" ht="21.75" hidden="0" customHeight="1">
      <x:c r="A39" s="19" t="s">
        <x:v>85</x:v>
      </x:c>
      <x:c r="B39" s="20" t="n">
        <x:v>0</x:v>
      </x:c>
      <x:c r="C39" s="20" t="n">
        <x:v>0</x:v>
      </x:c>
      <x:c r="D39" s="20" t="n">
        <x:v>0</x:v>
      </x:c>
      <x:c r="E39" s="20" t="n">
        <x:v>0</x:v>
      </x:c>
      <x:c r="F39" s="20" t="n">
        <x:v>0</x:v>
      </x:c>
      <x:c r="G39" s="20" t="n">
        <x:v>0</x:v>
      </x:c>
      <x:c r="H39" s="20" t="n">
        <x:v>0</x:v>
      </x:c>
      <x:c r="I39" s="20" t="n">
        <x:v>0</x:v>
      </x:c>
      <x:c r="J39" s="20" t="n">
        <x:v>0</x:v>
      </x:c>
      <x:c r="K39" s="20" t="n">
        <x:v>0</x:v>
      </x:c>
    </x:row>
    <x:row r="40" ht="21.75" hidden="0" customHeight="1">
      <x:c r="A40" s="19" t="s">
        <x:v>86</x:v>
      </x:c>
      <x:c r="B40" s="20" t="n">
        <x:v>200900</x:v>
      </x:c>
      <x:c r="C40" s="20" t="n">
        <x:v>172545</x:v>
      </x:c>
      <x:c r="D40" s="20" t="n">
        <x:v>0</x:v>
      </x:c>
      <x:c r="E40" s="20" t="n">
        <x:v>0</x:v>
      </x:c>
      <x:c r="F40" s="20" t="n">
        <x:v>0</x:v>
      </x:c>
      <x:c r="G40" s="20" t="n">
        <x:v>0</x:v>
      </x:c>
      <x:c r="H40" s="20" t="n">
        <x:v>0</x:v>
      </x:c>
      <x:c r="I40" s="20" t="n">
        <x:v>0</x:v>
      </x:c>
      <x:c r="J40" s="20" t="n">
        <x:v>0</x:v>
      </x:c>
      <x:c r="K40" s="20" t="n">
        <x:v>0</x:v>
      </x:c>
    </x:row>
    <x:row r="41" ht="21.75" hidden="0" customHeight="1">
      <x:c r="A41" s="19" t="s">
        <x:v>87</x:v>
      </x:c>
      <x:c r="B41" s="20" t="n">
        <x:f aca="0">B34-SUM(B35:B40)</x:f>
        <x:v>0</x:v>
      </x:c>
      <x:c r="C41" s="20" t="n">
        <x:f aca="0">C34-SUM(C35:C40)</x:f>
        <x:v>0</x:v>
      </x:c>
      <x:c r="D41" s="20" t="n">
        <x:f aca="0">D34-SUM(D35:D40)</x:f>
        <x:v>0</x:v>
      </x:c>
      <x:c r="E41" s="20" t="n">
        <x:f aca="0">E34-SUM(E35:E40)</x:f>
        <x:v>0</x:v>
      </x:c>
      <x:c r="F41" s="20" t="n">
        <x:f aca="0">F34-SUM(F35:F40)</x:f>
        <x:v>0</x:v>
      </x:c>
      <x:c r="G41" s="20" t="n">
        <x:f aca="0">G34-SUM(G35:G40)</x:f>
        <x:v>0</x:v>
      </x:c>
      <x:c r="H41" s="20" t="n">
        <x:f aca="0">H34-SUM(H35:H40)</x:f>
        <x:v>0</x:v>
      </x:c>
      <x:c r="I41" s="20" t="n">
        <x:f aca="0">I34-SUM(I35:I40)</x:f>
        <x:v>0</x:v>
      </x:c>
      <x:c r="J41" s="20" t="n">
        <x:f aca="0">J34-SUM(J35:J40)</x:f>
        <x:v>0</x:v>
      </x:c>
      <x:c r="K41" s="20" t="n">
        <x:f aca="0">K34-SUM(K35:K40)</x:f>
        <x:v>0</x:v>
      </x:c>
    </x:row>
    <x:row r="42" ht="21.75" hidden="0" customHeight="1">
      <x:c r="A42" s="19"/>
      <x:c r="B42" s="20"/>
      <x:c r="C42" s="20"/>
      <x:c r="D42" s="20"/>
      <x:c r="E42" s="20"/>
      <x:c r="F42" s="20"/>
      <x:c r="G42" s="20"/>
      <x:c r="H42" s="20"/>
      <x:c r="I42" s="20"/>
      <x:c r="J42" s="20"/>
      <x:c r="K42" s="20"/>
    </x:row>
    <x:row r="43" ht="21.75" hidden="0" customHeight="1">
      <x:c r="A43" s="17" t="s">
        <x:v>88</x:v>
      </x:c>
      <x:c r="B43" s="18"/>
      <x:c r="C43" s="18"/>
      <x:c r="D43" s="18"/>
      <x:c r="E43" s="18"/>
      <x:c r="F43" s="18"/>
      <x:c r="G43" s="18"/>
      <x:c r="H43" s="18"/>
      <x:c r="I43" s="18"/>
      <x:c r="J43" s="18"/>
      <x:c r="K43" s="18"/>
    </x:row>
    <x:row r="44" ht="21.75" hidden="0" customHeight="1">
      <x:c r="A44" s="19" t="s">
        <x:v>89</x:v>
      </x:c>
      <x:c r="B44" s="20" t="n">
        <x:f aca="0">SUM(B45:B47)</x:f>
        <x:v>1123770</x:v>
      </x:c>
      <x:c r="C44" s="20" t="n">
        <x:f aca="0">SUM(C45:C47)</x:f>
        <x:v>1684475</x:v>
      </x:c>
      <x:c r="D44" s="20" t="n">
        <x:f aca="0">SUM(D45:D47)</x:f>
        <x:v>1131274</x:v>
      </x:c>
      <x:c r="E44" s="20" t="n">
        <x:f aca="0">SUM(E45:E47)</x:f>
        <x:v>1433926</x:v>
      </x:c>
      <x:c r="F44" s="20" t="n">
        <x:f aca="0">SUM(F45:F47)</x:f>
        <x:v>1196811</x:v>
      </x:c>
      <x:c r="G44" s="20" t="n">
        <x:f aca="0">SUM(G45:G47)</x:f>
        <x:v>965587</x:v>
      </x:c>
      <x:c r="H44" s="20" t="n">
        <x:f aca="0">SUM(H45:H47)</x:f>
        <x:v>945526</x:v>
      </x:c>
      <x:c r="I44" s="20" t="n">
        <x:f aca="0">SUM(I45:I47)</x:f>
        <x:v>916106</x:v>
      </x:c>
      <x:c r="J44" s="20" t="n">
        <x:f aca="0">SUM(J45:J47)</x:f>
        <x:v>811966</x:v>
      </x:c>
      <x:c r="K44" s="20" t="n">
        <x:f aca="0">SUM(K45:K47)</x:f>
        <x:v>763357</x:v>
      </x:c>
    </x:row>
    <x:row r="45" ht="21.75" hidden="0" customHeight="1">
      <x:c r="A45" s="19" t="s">
        <x:v>90</x:v>
      </x:c>
      <x:c r="B45" s="20" t="n">
        <x:v>268741</x:v>
      </x:c>
      <x:c r="C45" s="20" t="n">
        <x:v>888542</x:v>
      </x:c>
      <x:c r="D45" s="20" t="n">
        <x:v>403455</x:v>
      </x:c>
      <x:c r="E45" s="20" t="n">
        <x:v>761285</x:v>
      </x:c>
      <x:c r="F45" s="20" t="n">
        <x:v>558200</x:v>
      </x:c>
      <x:c r="G45" s="20" t="n">
        <x:v>389300</x:v>
      </x:c>
      <x:c r="H45" s="20" t="n">
        <x:v>382930</x:v>
      </x:c>
      <x:c r="I45" s="20" t="n">
        <x:v>368500</x:v>
      </x:c>
      <x:c r="J45" s="20" t="n">
        <x:v>265720</x:v>
      </x:c>
      <x:c r="K45" s="20" t="n">
        <x:v>230500</x:v>
      </x:c>
    </x:row>
    <x:row r="46" ht="21.75" hidden="0" customHeight="1">
      <x:c r="A46" s="19" t="s">
        <x:v>91</x:v>
      </x:c>
      <x:c r="B46" s="20" t="n">
        <x:v>855029</x:v>
      </x:c>
      <x:c r="C46" s="20" t="n">
        <x:v>795933</x:v>
      </x:c>
      <x:c r="D46" s="20" t="n">
        <x:v>727819</x:v>
      </x:c>
      <x:c r="E46" s="20" t="n">
        <x:v>672641</x:v>
      </x:c>
      <x:c r="F46" s="20" t="n">
        <x:v>638611</x:v>
      </x:c>
      <x:c r="G46" s="20" t="n">
        <x:v>576287</x:v>
      </x:c>
      <x:c r="H46" s="20" t="n">
        <x:v>562596</x:v>
      </x:c>
      <x:c r="I46" s="20" t="n">
        <x:v>547606</x:v>
      </x:c>
      <x:c r="J46" s="20" t="n">
        <x:v>546246</x:v>
      </x:c>
      <x:c r="K46" s="20" t="n">
        <x:v>532857</x:v>
      </x:c>
    </x:row>
    <x:row r="47" ht="21.75" hidden="0" customHeight="1">
      <x:c r="A47" s="19" t="s">
        <x:v>92</x:v>
      </x:c>
      <x:c r="B47" s="20" t="n">
        <x:v>0</x:v>
      </x:c>
      <x:c r="C47" s="20" t="n">
        <x:v>0</x:v>
      </x:c>
      <x:c r="D47" s="20" t="n">
        <x:v>0</x:v>
      </x:c>
      <x:c r="E47" s="20" t="n">
        <x:v>0</x:v>
      </x:c>
      <x:c r="F47" s="20" t="n">
        <x:v>0</x:v>
      </x:c>
      <x:c r="G47" s="20" t="n">
        <x:v>0</x:v>
      </x:c>
      <x:c r="H47" s="20" t="n">
        <x:v>0</x:v>
      </x:c>
      <x:c r="I47" s="20" t="n">
        <x:v>0</x:v>
      </x:c>
      <x:c r="J47" s="20" t="n">
        <x:v>0</x:v>
      </x:c>
      <x:c r="K47" s="20" t="n">
        <x:v>0</x:v>
      </x:c>
    </x:row>
    <x:row r="48" ht="21.75" hidden="0" customHeight="1">
      <x:c r="A48" s="19" t="s">
        <x:v>93</x:v>
      </x:c>
      <x:c r="B48" s="20" t="n">
        <x:f aca="0">B34-B44</x:f>
        <x:v>-424829</x:v>
      </x:c>
      <x:c r="C48" s="20" t="n">
        <x:f aca="0">C34-C44</x:f>
        <x:v>-823192</x:v>
      </x:c>
      <x:c r="D48" s="20" t="n">
        <x:f aca="0">D34-D44</x:f>
        <x:v>-494866</x:v>
      </x:c>
      <x:c r="E48" s="20" t="n">
        <x:f aca="0">E34-E44</x:f>
        <x:v>-718228</x:v>
      </x:c>
      <x:c r="F48" s="20" t="n">
        <x:f aca="0">F34-F44</x:f>
        <x:v>-569162</x:v>
      </x:c>
      <x:c r="G48" s="20" t="n">
        <x:f aca="0">G34-G44</x:f>
        <x:v>-395374</x:v>
      </x:c>
      <x:c r="H48" s="20" t="n">
        <x:f aca="0">H34-H44</x:f>
        <x:v>-374188</x:v>
      </x:c>
      <x:c r="I48" s="20" t="n">
        <x:f aca="0">I34-I44</x:f>
        <x:v>-379514</x:v>
      </x:c>
      <x:c r="J48" s="20" t="n">
        <x:f aca="0">J34-J44</x:f>
        <x:v>-405232</x:v>
      </x:c>
      <x:c r="K48" s="20" t="n">
        <x:f aca="0">K34-K44</x:f>
        <x:v>-398357</x:v>
      </x:c>
    </x:row>
    <x:row r="49" ht="21.75" hidden="0" customHeight="1">
      <x:c r="A49" s="46" t="s">
        <x:v>171</x:v>
      </x:c>
      <x:c r="B49" s="46"/>
      <x:c r="C49" s="46"/>
      <x:c r="D49" s="46"/>
      <x:c r="E49" s="46"/>
      <x:c r="F49" s="46"/>
      <x:c r="G49" s="46"/>
      <x:c r="H49" s="46"/>
      <x:c r="I49" s="46"/>
      <x:c r="J49" s="46"/>
      <x:c r="K49" s="46"/>
    </x:row>
    <x:row r="50" ht="21.75" hidden="0" customHeight="1">
      <x:c r="A50" s="47" t="s">
        <x:v>172</x:v>
      </x:c>
      <x:c r="B50" s="47"/>
      <x:c r="C50" s="47"/>
      <x:c r="D50" s="47"/>
      <x:c r="E50" s="47"/>
      <x:c r="F50" s="47"/>
      <x:c r="G50" s="47"/>
      <x:c r="H50" s="47"/>
      <x:c r="I50" s="47"/>
      <x:c r="J50" s="47"/>
      <x:c r="K50" s="47"/>
    </x:row>
    <x:row r="51" ht="21.75" hidden="0" customHeight="1">
      <x:c r="A51" s="47" t="s">
        <x:v>173</x:v>
      </x:c>
      <x:c r="B51" s="47"/>
      <x:c r="C51" s="47"/>
      <x:c r="D51" s="47"/>
      <x:c r="E51" s="47"/>
      <x:c r="F51" s="47"/>
      <x:c r="G51" s="47"/>
      <x:c r="H51" s="47"/>
      <x:c r="I51" s="47"/>
      <x:c r="J51" s="47"/>
      <x:c r="K51" s="47"/>
    </x:row>
    <x:row r="52" ht="21.75" hidden="0" customHeight="1">
      <x:c r="A52" s="47" t="s">
        <x:v>174</x:v>
      </x:c>
      <x:c r="B52" s="47"/>
      <x:c r="C52" s="47"/>
      <x:c r="D52" s="47"/>
      <x:c r="E52" s="47"/>
      <x:c r="F52" s="47"/>
      <x:c r="G52" s="47"/>
      <x:c r="H52" s="47"/>
      <x:c r="I52" s="47"/>
      <x:c r="J52" s="47"/>
      <x:c r="K52" s="47"/>
    </x:row>
  </x:sheetData>
  <x:mergeCells>
    <x:mergeCell ref="A1:K1"/>
    <x:mergeCell ref="A2:K2"/>
    <x:mergeCell ref="A49:K49"/>
    <x:mergeCell ref="A50:K50"/>
    <x:mergeCell ref="A51:K51"/>
    <x:mergeCell ref="A52:K52"/>
  </x:mergeCell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11" width="14" hidden="0" customWidth="1"/>
  </x:cols>
  <x:sheetData>
    <x:row r="1" ht="21.75" hidden="0" customHeight="1">
      <x:c r="A1" s="44" t="s">
        <x:v>175</x:v>
      </x:c>
      <x:c r="B1" s="44"/>
      <x:c r="C1" s="44"/>
      <x:c r="D1" s="44"/>
      <x:c r="E1" s="44"/>
      <x:c r="F1" s="44"/>
      <x:c r="G1" s="44"/>
      <x:c r="H1" s="44"/>
      <x:c r="I1" s="44"/>
      <x:c r="J1" s="44"/>
      <x:c r="K1" s="44"/>
    </x:row>
    <x:row r="2" ht="21.75" hidden="0" customHeight="1">
      <x:c r="A2" s="14" t="s">
        <x:v>134</x:v>
      </x:c>
      <x:c r="B2" s="14"/>
      <x:c r="C2" s="14"/>
      <x:c r="D2" s="14"/>
      <x:c r="E2" s="14"/>
      <x:c r="F2" s="14"/>
      <x:c r="G2" s="14"/>
      <x:c r="H2" s="14"/>
      <x:c r="I2" s="14"/>
      <x:c r="J2" s="14"/>
      <x:c r="K2" s="14"/>
    </x:row>
    <x:row r="3" ht="21.75" hidden="0" customHeight="1">
      <x:c r="A3" s="15" t="s">
        <x:v>41</x:v>
      </x:c>
      <x:c r="B3" s="16" t="s">
        <x:v>42</x:v>
      </x:c>
      <x:c r="C3" s="16" t="s">
        <x:v>43</x:v>
      </x:c>
      <x:c r="D3" s="16" t="s">
        <x:v>44</x:v>
      </x:c>
      <x:c r="E3" s="16" t="s">
        <x:v>45</x:v>
      </x:c>
      <x:c r="F3" s="16" t="s">
        <x:v>46</x:v>
      </x:c>
      <x:c r="G3" s="16" t="s">
        <x:v>47</x:v>
      </x:c>
      <x:c r="H3" s="16" t="s">
        <x:v>48</x:v>
      </x:c>
      <x:c r="I3" s="16" t="s">
        <x:v>49</x:v>
      </x:c>
      <x:c r="J3" s="16" t="s">
        <x:v>50</x:v>
      </x:c>
      <x:c r="K3" s="16" t="s">
        <x:v>51</x:v>
      </x:c>
    </x:row>
    <x:row r="4" ht="21.75" hidden="0" customHeight="1">
      <x:c r="A4" s="19" t="s">
        <x:v>99</x:v>
      </x:c>
      <x:c r="B4" s="20" t="n">
        <x:v>0</x:v>
      </x:c>
      <x:c r="C4" s="20"/>
      <x:c r="D4" s="20"/>
      <x:c r="E4" s="20"/>
      <x:c r="F4" s="20"/>
      <x:c r="G4" s="20"/>
      <x:c r="H4" s="20"/>
      <x:c r="I4" s="20"/>
      <x:c r="J4" s="20"/>
      <x:c r="K4" s="20"/>
    </x:row>
    <x:row r="5" ht="21.75" hidden="0" customHeight="1">
      <x:c r="A5" s="19" t="s">
        <x:v>135</x:v>
      </x:c>
      <x:c r="B5" s="20" t="e">
        <x:f aca="0">00_前提・検証!$B$2*$B$4</x:f>
        <x:v>#NAME?</x:v>
      </x:c>
      <x:c r="C5" s="20"/>
      <x:c r="D5" s="20"/>
      <x:c r="E5" s="20"/>
      <x:c r="F5" s="20"/>
      <x:c r="G5" s="20"/>
      <x:c r="H5" s="20"/>
      <x:c r="I5" s="20"/>
      <x:c r="J5" s="20"/>
      <x:c r="K5" s="20"/>
    </x:row>
    <x:row r="6" ht="21.75" hidden="0" customHeight="1">
      <x:c r="A6" s="19" t="s">
        <x:v>136</x:v>
      </x:c>
      <x:c r="B6" s="20" t="e">
        <x:f aca="0">MAX(0,(SUM(02_R8予算_年次計画置換!F18:J18)+SUM(02_R8予算_年次計画置換!F28:J28)-SUM(02_R8予算_年次計画置換!F12:J12)-SUM(02_R8予算_年次計画置換!F8:J8)-SUM(02_R8予算_年次計画置換!F11:J11)+$B$5*5-SUM(02_R8予算_年次計画置換!F7:J7))/SUM(02_R8予算_年次計画置換!F7:J7))</x:f>
        <x:v>#NAME?</x:v>
      </x:c>
      <x:c r="C6" s="20"/>
      <x:c r="D6" s="20"/>
      <x:c r="E6" s="20"/>
      <x:c r="F6" s="20"/>
      <x:c r="G6" s="20"/>
      <x:c r="H6" s="20"/>
      <x:c r="I6" s="20"/>
      <x:c r="J6" s="20"/>
      <x:c r="K6" s="20"/>
    </x:row>
    <x:row r="7" ht="21.75" hidden="0" customHeight="1">
      <x:c r="A7" s="19"/>
      <x:c r="B7" s="20"/>
      <x:c r="C7" s="20"/>
      <x:c r="D7" s="20"/>
      <x:c r="E7" s="20"/>
      <x:c r="F7" s="20"/>
      <x:c r="G7" s="20"/>
      <x:c r="H7" s="20"/>
      <x:c r="I7" s="20"/>
      <x:c r="J7" s="20"/>
      <x:c r="K7" s="20"/>
    </x:row>
    <x:row r="8" ht="21.75" hidden="0" customHeight="1">
      <x:c r="A8" s="17" t="s">
        <x:v>52</x:v>
      </x:c>
      <x:c r="B8" s="18"/>
      <x:c r="C8" s="18"/>
      <x:c r="D8" s="18"/>
      <x:c r="E8" s="18"/>
      <x:c r="F8" s="18"/>
      <x:c r="G8" s="18"/>
      <x:c r="H8" s="18"/>
      <x:c r="I8" s="18"/>
      <x:c r="J8" s="18"/>
      <x:c r="K8" s="18"/>
    </x:row>
    <x:row r="9" ht="21.75" hidden="0" customHeight="1">
      <x:c r="A9" s="19" t="s">
        <x:v>54</x:v>
      </x:c>
      <x:c r="B9" s="20" t="e">
        <x:f aca="0">SUM(B10:B12)</x:f>
        <x:v>#NAME?</x:v>
      </x:c>
      <x:c r="C9" s="20" t="e">
        <x:f aca="0">SUM(C10:C12)</x:f>
        <x:v>#NAME?</x:v>
      </x:c>
      <x:c r="D9" s="20" t="e">
        <x:f aca="0">SUM(D10:D12)</x:f>
        <x:v>#NAME?</x:v>
      </x:c>
      <x:c r="E9" s="20" t="e">
        <x:f aca="0">SUM(E10:E12)</x:f>
        <x:v>#NAME?</x:v>
      </x:c>
      <x:c r="F9" s="20" t="e">
        <x:f aca="0">SUM(F10:F12)</x:f>
        <x:v>#NAME?</x:v>
      </x:c>
      <x:c r="G9" s="20" t="e">
        <x:f aca="0">SUM(G10:G12)</x:f>
        <x:v>#NAME?</x:v>
      </x:c>
      <x:c r="H9" s="20" t="e">
        <x:f aca="0">SUM(H10:H12)</x:f>
        <x:v>#NAME?</x:v>
      </x:c>
      <x:c r="I9" s="20" t="e">
        <x:f aca="0">SUM(I10:I12)</x:f>
        <x:v>#NAME?</x:v>
      </x:c>
      <x:c r="J9" s="20" t="e">
        <x:f aca="0">SUM(J10:J12)</x:f>
        <x:v>#NAME?</x:v>
      </x:c>
      <x:c r="K9" s="20" t="e">
        <x:f aca="0">SUM(K10:K12)</x:f>
        <x:v>#NAME?</x:v>
      </x:c>
    </x:row>
    <x:row r="10" ht="21.75" hidden="0" customHeight="1">
      <x:c r="A10" s="19" t="s">
        <x:v>137</x:v>
      </x:c>
      <x:c r="B10" s="20" t="e">
        <x:f aca="0">02_R8予算_年次計画置換!B7*IF(7&gt;=11,1+$B$6,1)</x:f>
        <x:v>#NAME?</x:v>
      </x:c>
      <x:c r="C10" s="20" t="e">
        <x:f aca="0">02_R8予算_年次計画置換!C7*IF(8&gt;=11,1+$B$6,1)</x:f>
        <x:v>#NAME?</x:v>
      </x:c>
      <x:c r="D10" s="20" t="e">
        <x:f aca="0">02_R8予算_年次計画置換!D7*IF(9&gt;=11,1+$B$6,1)</x:f>
        <x:v>#NAME?</x:v>
      </x:c>
      <x:c r="E10" s="20" t="e">
        <x:f aca="0">02_R8予算_年次計画置換!E7*IF(10&gt;=11,1+$B$6,1)</x:f>
        <x:v>#NAME?</x:v>
      </x:c>
      <x:c r="F10" s="20" t="e">
        <x:f aca="0">02_R8予算_年次計画置換!F7*IF(11&gt;=11,1+$B$6,1)</x:f>
        <x:v>#NAME?</x:v>
      </x:c>
      <x:c r="G10" s="20" t="e">
        <x:f aca="0">02_R8予算_年次計画置換!G7*IF(12&gt;=11,1+$B$6,1)</x:f>
        <x:v>#NAME?</x:v>
      </x:c>
      <x:c r="H10" s="20" t="e">
        <x:f aca="0">02_R8予算_年次計画置換!H7*IF(13&gt;=11,1+$B$6,1)</x:f>
        <x:v>#NAME?</x:v>
      </x:c>
      <x:c r="I10" s="20" t="e">
        <x:f aca="0">02_R8予算_年次計画置換!I7*IF(14&gt;=11,1+$B$6,1)</x:f>
        <x:v>#NAME?</x:v>
      </x:c>
      <x:c r="J10" s="20" t="e">
        <x:f aca="0">02_R8予算_年次計画置換!J7*IF(15&gt;=11,1+$B$6,1)</x:f>
        <x:v>#NAME?</x:v>
      </x:c>
      <x:c r="K10" s="20" t="e">
        <x:f aca="0">02_R8予算_年次計画置換!K7*IF(16&gt;=11,1+$B$6,1)</x:f>
        <x:v>#NAME?</x:v>
      </x:c>
    </x:row>
    <x:row r="11" ht="21.75" hidden="0" customHeight="1">
      <x:c r="A11" s="19" t="s">
        <x:v>138</x:v>
      </x:c>
      <x:c r="B11" s="20" t="e">
        <x:f aca="0">B10-02_R8予算_年次計画置換!B7</x:f>
        <x:v>#NAME?</x:v>
      </x:c>
      <x:c r="C11" s="20" t="e">
        <x:f aca="0">C10-02_R8予算_年次計画置換!C7</x:f>
        <x:v>#NAME?</x:v>
      </x:c>
      <x:c r="D11" s="20" t="e">
        <x:f aca="0">D10-02_R8予算_年次計画置換!D7</x:f>
        <x:v>#NAME?</x:v>
      </x:c>
      <x:c r="E11" s="20" t="e">
        <x:f aca="0">E10-02_R8予算_年次計画置換!E7</x:f>
        <x:v>#NAME?</x:v>
      </x:c>
      <x:c r="F11" s="20" t="e">
        <x:f aca="0">F10-02_R8予算_年次計画置換!F7</x:f>
        <x:v>#NAME?</x:v>
      </x:c>
      <x:c r="G11" s="20" t="e">
        <x:f aca="0">G10-02_R8予算_年次計画置換!G7</x:f>
        <x:v>#NAME?</x:v>
      </x:c>
      <x:c r="H11" s="20" t="e">
        <x:f aca="0">H10-02_R8予算_年次計画置換!H7</x:f>
        <x:v>#NAME?</x:v>
      </x:c>
      <x:c r="I11" s="20" t="e">
        <x:f aca="0">I10-02_R8予算_年次計画置換!I7</x:f>
        <x:v>#NAME?</x:v>
      </x:c>
      <x:c r="J11" s="20" t="e">
        <x:f aca="0">J10-02_R8予算_年次計画置換!J7</x:f>
        <x:v>#NAME?</x:v>
      </x:c>
      <x:c r="K11" s="20" t="e">
        <x:f aca="0">K10-02_R8予算_年次計画置換!K7</x:f>
        <x:v>#NAME?</x:v>
      </x:c>
    </x:row>
    <x:row r="12" ht="21.75" hidden="0" customHeight="1">
      <x:c r="A12" s="19" t="s">
        <x:v>139</x:v>
      </x:c>
      <x:c r="B12" s="20" t="e">
        <x:f aca="0">02_R8予算_年次計画置換!B8</x:f>
        <x:v>#NAME?</x:v>
      </x:c>
      <x:c r="C12" s="20" t="e">
        <x:f aca="0">02_R8予算_年次計画置換!C8</x:f>
        <x:v>#NAME?</x:v>
      </x:c>
      <x:c r="D12" s="20" t="e">
        <x:f aca="0">02_R8予算_年次計画置換!D8</x:f>
        <x:v>#NAME?</x:v>
      </x:c>
      <x:c r="E12" s="20" t="e">
        <x:f aca="0">02_R8予算_年次計画置換!E8</x:f>
        <x:v>#NAME?</x:v>
      </x:c>
      <x:c r="F12" s="20" t="e">
        <x:f aca="0">02_R8予算_年次計画置換!F8</x:f>
        <x:v>#NAME?</x:v>
      </x:c>
      <x:c r="G12" s="20" t="e">
        <x:f aca="0">02_R8予算_年次計画置換!G8</x:f>
        <x:v>#NAME?</x:v>
      </x:c>
      <x:c r="H12" s="20" t="e">
        <x:f aca="0">02_R8予算_年次計画置換!H8</x:f>
        <x:v>#NAME?</x:v>
      </x:c>
      <x:c r="I12" s="20" t="e">
        <x:f aca="0">02_R8予算_年次計画置換!I8</x:f>
        <x:v>#NAME?</x:v>
      </x:c>
      <x:c r="J12" s="20" t="e">
        <x:f aca="0">02_R8予算_年次計画置換!J8</x:f>
        <x:v>#NAME?</x:v>
      </x:c>
      <x:c r="K12" s="20" t="e">
        <x:f aca="0">02_R8予算_年次計画置換!K8</x:f>
        <x:v>#NAME?</x:v>
      </x:c>
    </x:row>
    <x:row r="13" ht="21.75" hidden="0" customHeight="1">
      <x:c r="A13" s="19" t="s">
        <x:v>57</x:v>
      </x:c>
      <x:c r="B13" s="20" t="e">
        <x:f aca="0">02_R8予算_年次計画置換!B9</x:f>
        <x:v>#NAME?</x:v>
      </x:c>
      <x:c r="C13" s="20" t="e">
        <x:f aca="0">02_R8予算_年次計画置換!C9</x:f>
        <x:v>#NAME?</x:v>
      </x:c>
      <x:c r="D13" s="20" t="e">
        <x:f aca="0">02_R8予算_年次計画置換!D9</x:f>
        <x:v>#NAME?</x:v>
      </x:c>
      <x:c r="E13" s="20" t="e">
        <x:f aca="0">02_R8予算_年次計画置換!E9</x:f>
        <x:v>#NAME?</x:v>
      </x:c>
      <x:c r="F13" s="20" t="e">
        <x:f aca="0">02_R8予算_年次計画置換!F9</x:f>
        <x:v>#NAME?</x:v>
      </x:c>
      <x:c r="G13" s="20" t="e">
        <x:f aca="0">02_R8予算_年次計画置換!G9</x:f>
        <x:v>#NAME?</x:v>
      </x:c>
      <x:c r="H13" s="20" t="e">
        <x:f aca="0">02_R8予算_年次計画置換!H9</x:f>
        <x:v>#NAME?</x:v>
      </x:c>
      <x:c r="I13" s="20" t="e">
        <x:f aca="0">02_R8予算_年次計画置換!I9</x:f>
        <x:v>#NAME?</x:v>
      </x:c>
      <x:c r="J13" s="20" t="e">
        <x:f aca="0">02_R8予算_年次計画置換!J9</x:f>
        <x:v>#NAME?</x:v>
      </x:c>
      <x:c r="K13" s="20" t="e">
        <x:f aca="0">02_R8予算_年次計画置換!K9</x:f>
        <x:v>#NAME?</x:v>
      </x:c>
    </x:row>
    <x:row r="14" ht="21.75" hidden="0" customHeight="1">
      <x:c r="A14" s="19" t="s">
        <x:v>140</x:v>
      </x:c>
      <x:c r="B14" s="20" t="e">
        <x:f aca="0">02_R8予算_年次計画置換!B12</x:f>
        <x:v>#NAME?</x:v>
      </x:c>
      <x:c r="C14" s="20" t="e">
        <x:f aca="0">02_R8予算_年次計画置換!C12</x:f>
        <x:v>#NAME?</x:v>
      </x:c>
      <x:c r="D14" s="20" t="e">
        <x:f aca="0">02_R8予算_年次計画置換!D12</x:f>
        <x:v>#NAME?</x:v>
      </x:c>
      <x:c r="E14" s="20" t="e">
        <x:f aca="0">02_R8予算_年次計画置換!E12</x:f>
        <x:v>#NAME?</x:v>
      </x:c>
      <x:c r="F14" s="20" t="e">
        <x:f aca="0">02_R8予算_年次計画置換!F12</x:f>
        <x:v>#NAME?</x:v>
      </x:c>
      <x:c r="G14" s="20" t="e">
        <x:f aca="0">02_R8予算_年次計画置換!G12</x:f>
        <x:v>#NAME?</x:v>
      </x:c>
      <x:c r="H14" s="20" t="e">
        <x:f aca="0">02_R8予算_年次計画置換!H12</x:f>
        <x:v>#NAME?</x:v>
      </x:c>
      <x:c r="I14" s="20" t="e">
        <x:f aca="0">02_R8予算_年次計画置換!I12</x:f>
        <x:v>#NAME?</x:v>
      </x:c>
      <x:c r="J14" s="20" t="e">
        <x:f aca="0">02_R8予算_年次計画置換!J12</x:f>
        <x:v>#NAME?</x:v>
      </x:c>
      <x:c r="K14" s="20" t="e">
        <x:f aca="0">02_R8予算_年次計画置換!K12</x:f>
        <x:v>#NAME?</x:v>
      </x:c>
    </x:row>
    <x:row r="15" ht="21.75" hidden="0" customHeight="1">
      <x:c r="A15" s="19" t="s">
        <x:v>141</x:v>
      </x:c>
      <x:c r="B15" s="20" t="e">
        <x:f aca="0">02_R8予算_年次計画置換!B11</x:f>
        <x:v>#NAME?</x:v>
      </x:c>
      <x:c r="C15" s="20" t="e">
        <x:f aca="0">02_R8予算_年次計画置換!C11</x:f>
        <x:v>#NAME?</x:v>
      </x:c>
      <x:c r="D15" s="20" t="e">
        <x:f aca="0">02_R8予算_年次計画置換!D11</x:f>
        <x:v>#NAME?</x:v>
      </x:c>
      <x:c r="E15" s="20" t="e">
        <x:f aca="0">02_R8予算_年次計画置換!E11</x:f>
        <x:v>#NAME?</x:v>
      </x:c>
      <x:c r="F15" s="20" t="e">
        <x:f aca="0">02_R8予算_年次計画置換!F11</x:f>
        <x:v>#NAME?</x:v>
      </x:c>
      <x:c r="G15" s="20" t="e">
        <x:f aca="0">02_R8予算_年次計画置換!G11</x:f>
        <x:v>#NAME?</x:v>
      </x:c>
      <x:c r="H15" s="20" t="e">
        <x:f aca="0">02_R8予算_年次計画置換!H11</x:f>
        <x:v>#NAME?</x:v>
      </x:c>
      <x:c r="I15" s="20" t="e">
        <x:f aca="0">02_R8予算_年次計画置換!I11</x:f>
        <x:v>#NAME?</x:v>
      </x:c>
      <x:c r="J15" s="20" t="e">
        <x:f aca="0">02_R8予算_年次計画置換!J11</x:f>
        <x:v>#NAME?</x:v>
      </x:c>
      <x:c r="K15" s="20" t="e">
        <x:f aca="0">02_R8予算_年次計画置換!K11</x:f>
        <x:v>#NAME?</x:v>
      </x:c>
    </x:row>
    <x:row r="16" ht="21.75" hidden="0" customHeight="1">
      <x:c r="A16" s="19" t="s">
        <x:v>62</x:v>
      </x:c>
      <x:c r="B16" s="20" t="e">
        <x:f aca="0">02_R8予算_年次計画置換!B14</x:f>
        <x:v>#NAME?</x:v>
      </x:c>
      <x:c r="C16" s="20" t="e">
        <x:f aca="0">02_R8予算_年次計画置換!C14</x:f>
        <x:v>#NAME?</x:v>
      </x:c>
      <x:c r="D16" s="20" t="e">
        <x:f aca="0">02_R8予算_年次計画置換!D14</x:f>
        <x:v>#NAME?</x:v>
      </x:c>
      <x:c r="E16" s="20" t="e">
        <x:f aca="0">02_R8予算_年次計画置換!E14</x:f>
        <x:v>#NAME?</x:v>
      </x:c>
      <x:c r="F16" s="20" t="e">
        <x:f aca="0">02_R8予算_年次計画置換!F14</x:f>
        <x:v>#NAME?</x:v>
      </x:c>
      <x:c r="G16" s="20" t="e">
        <x:f aca="0">02_R8予算_年次計画置換!G14</x:f>
        <x:v>#NAME?</x:v>
      </x:c>
      <x:c r="H16" s="20" t="e">
        <x:f aca="0">02_R8予算_年次計画置換!H14</x:f>
        <x:v>#NAME?</x:v>
      </x:c>
      <x:c r="I16" s="20" t="e">
        <x:f aca="0">02_R8予算_年次計画置換!I14</x:f>
        <x:v>#NAME?</x:v>
      </x:c>
      <x:c r="J16" s="20" t="e">
        <x:f aca="0">02_R8予算_年次計画置換!J14</x:f>
        <x:v>#NAME?</x:v>
      </x:c>
      <x:c r="K16" s="20" t="e">
        <x:f aca="0">02_R8予算_年次計画置換!K14</x:f>
        <x:v>#NAME?</x:v>
      </x:c>
    </x:row>
    <x:row r="17" ht="21.75" hidden="0" customHeight="1">
      <x:c r="A17" s="19" t="s">
        <x:v>142</x:v>
      </x:c>
      <x:c r="B17" s="20" t="e">
        <x:f aca="0">SUM(B9,B13,B16)</x:f>
        <x:v>#NAME?</x:v>
      </x:c>
      <x:c r="C17" s="20" t="e">
        <x:f aca="0">SUM(C9,C13,C16)</x:f>
        <x:v>#NAME?</x:v>
      </x:c>
      <x:c r="D17" s="20" t="e">
        <x:f aca="0">SUM(D9,D13,D16)</x:f>
        <x:v>#NAME?</x:v>
      </x:c>
      <x:c r="E17" s="20" t="e">
        <x:f aca="0">SUM(E9,E13,E16)</x:f>
        <x:v>#NAME?</x:v>
      </x:c>
      <x:c r="F17" s="20" t="e">
        <x:f aca="0">SUM(F9,F13,F16)</x:f>
        <x:v>#NAME?</x:v>
      </x:c>
      <x:c r="G17" s="20" t="e">
        <x:f aca="0">SUM(G9,G13,G16)</x:f>
        <x:v>#NAME?</x:v>
      </x:c>
      <x:c r="H17" s="20" t="e">
        <x:f aca="0">SUM(H9,H13,H16)</x:f>
        <x:v>#NAME?</x:v>
      </x:c>
      <x:c r="I17" s="20" t="e">
        <x:f aca="0">SUM(I9,I13,I16)</x:f>
        <x:v>#NAME?</x:v>
      </x:c>
      <x:c r="J17" s="20" t="e">
        <x:f aca="0">SUM(J9,J13,J16)</x:f>
        <x:v>#NAME?</x:v>
      </x:c>
      <x:c r="K17" s="20" t="e">
        <x:f aca="0">SUM(K9,K13,K16)</x:f>
        <x:v>#NAME?</x:v>
      </x:c>
    </x:row>
    <x:row r="18" ht="21.75" hidden="0" customHeight="1">
      <x:c r="A18" s="19"/>
      <x:c r="B18" s="20"/>
      <x:c r="C18" s="20"/>
      <x:c r="D18" s="20"/>
      <x:c r="E18" s="20"/>
      <x:c r="F18" s="20"/>
      <x:c r="G18" s="20"/>
      <x:c r="H18" s="20"/>
      <x:c r="I18" s="20"/>
      <x:c r="J18" s="20"/>
      <x:c r="K18" s="20"/>
    </x:row>
    <x:row r="19" ht="21.75" hidden="0" customHeight="1">
      <x:c r="A19" s="17" t="s">
        <x:v>63</x:v>
      </x:c>
      <x:c r="B19" s="18"/>
      <x:c r="C19" s="18"/>
      <x:c r="D19" s="18"/>
      <x:c r="E19" s="18"/>
      <x:c r="F19" s="18"/>
      <x:c r="G19" s="18"/>
      <x:c r="H19" s="18"/>
      <x:c r="I19" s="18"/>
      <x:c r="J19" s="18"/>
      <x:c r="K19" s="18"/>
    </x:row>
    <x:row r="20" ht="21.75" hidden="0" customHeight="1">
      <x:c r="A20" s="19" t="s">
        <x:v>65</x:v>
      </x:c>
      <x:c r="B20" s="20" t="e">
        <x:f aca="0">02_R8予算_年次計画置換!B18</x:f>
        <x:v>#NAME?</x:v>
      </x:c>
      <x:c r="C20" s="20" t="e">
        <x:f aca="0">02_R8予算_年次計画置換!C18</x:f>
        <x:v>#NAME?</x:v>
      </x:c>
      <x:c r="D20" s="20" t="e">
        <x:f aca="0">02_R8予算_年次計画置換!D18</x:f>
        <x:v>#NAME?</x:v>
      </x:c>
      <x:c r="E20" s="20" t="e">
        <x:f aca="0">02_R8予算_年次計画置換!E18</x:f>
        <x:v>#NAME?</x:v>
      </x:c>
      <x:c r="F20" s="20" t="e">
        <x:f aca="0">02_R8予算_年次計画置換!F18</x:f>
        <x:v>#NAME?</x:v>
      </x:c>
      <x:c r="G20" s="20" t="e">
        <x:f aca="0">02_R8予算_年次計画置換!G18</x:f>
        <x:v>#NAME?</x:v>
      </x:c>
      <x:c r="H20" s="20" t="e">
        <x:f aca="0">02_R8予算_年次計画置換!H18</x:f>
        <x:v>#NAME?</x:v>
      </x:c>
      <x:c r="I20" s="20" t="e">
        <x:f aca="0">02_R8予算_年次計画置換!I18</x:f>
        <x:v>#NAME?</x:v>
      </x:c>
      <x:c r="J20" s="20" t="e">
        <x:f aca="0">02_R8予算_年次計画置換!J18</x:f>
        <x:v>#NAME?</x:v>
      </x:c>
      <x:c r="K20" s="20" t="e">
        <x:f aca="0">02_R8予算_年次計画置換!K18</x:f>
        <x:v>#NAME?</x:v>
      </x:c>
    </x:row>
    <x:row r="21" ht="21.75" hidden="0" customHeight="1">
      <x:c r="A21" s="19" t="s">
        <x:v>143</x:v>
      </x:c>
      <x:c r="B21" s="20" t="e">
        <x:f aca="0">02_R8予算_年次計画置換!B25</x:f>
        <x:v>#NAME?</x:v>
      </x:c>
      <x:c r="C21" s="20" t="e">
        <x:f aca="0">02_R8予算_年次計画置換!C25</x:f>
        <x:v>#NAME?</x:v>
      </x:c>
      <x:c r="D21" s="20" t="e">
        <x:f aca="0">02_R8予算_年次計画置換!D25</x:f>
        <x:v>#NAME?</x:v>
      </x:c>
      <x:c r="E21" s="20" t="e">
        <x:f aca="0">02_R8予算_年次計画置換!E25</x:f>
        <x:v>#NAME?</x:v>
      </x:c>
      <x:c r="F21" s="20" t="e">
        <x:f aca="0">02_R8予算_年次計画置換!F25</x:f>
        <x:v>#NAME?</x:v>
      </x:c>
      <x:c r="G21" s="20" t="e">
        <x:f aca="0">02_R8予算_年次計画置換!G25</x:f>
        <x:v>#NAME?</x:v>
      </x:c>
      <x:c r="H21" s="20" t="e">
        <x:f aca="0">02_R8予算_年次計画置換!H25</x:f>
        <x:v>#NAME?</x:v>
      </x:c>
      <x:c r="I21" s="20" t="e">
        <x:f aca="0">02_R8予算_年次計画置換!I25</x:f>
        <x:v>#NAME?</x:v>
      </x:c>
      <x:c r="J21" s="20" t="e">
        <x:f aca="0">02_R8予算_年次計画置換!J25</x:f>
        <x:v>#NAME?</x:v>
      </x:c>
      <x:c r="K21" s="20" t="e">
        <x:f aca="0">02_R8予算_年次計画置換!K25</x:f>
        <x:v>#NAME?</x:v>
      </x:c>
    </x:row>
    <x:row r="22" ht="21.75" hidden="0" customHeight="1">
      <x:c r="A22" s="19" t="s">
        <x:v>144</x:v>
      </x:c>
      <x:c r="B22" s="20" t="e">
        <x:f aca="0">02_R8予算_年次計画置換!B26</x:f>
        <x:v>#NAME?</x:v>
      </x:c>
      <x:c r="C22" s="20" t="e">
        <x:f aca="0">02_R8予算_年次計画置換!C26</x:f>
        <x:v>#NAME?</x:v>
      </x:c>
      <x:c r="D22" s="20" t="e">
        <x:f aca="0">02_R8予算_年次計画置換!D26</x:f>
        <x:v>#NAME?</x:v>
      </x:c>
      <x:c r="E22" s="20" t="e">
        <x:f aca="0">02_R8予算_年次計画置換!E26</x:f>
        <x:v>#NAME?</x:v>
      </x:c>
      <x:c r="F22" s="20" t="e">
        <x:f aca="0">02_R8予算_年次計画置換!F26</x:f>
        <x:v>#NAME?</x:v>
      </x:c>
      <x:c r="G22" s="20" t="e">
        <x:f aca="0">02_R8予算_年次計画置換!G26</x:f>
        <x:v>#NAME?</x:v>
      </x:c>
      <x:c r="H22" s="20" t="e">
        <x:f aca="0">02_R8予算_年次計画置換!H26</x:f>
        <x:v>#NAME?</x:v>
      </x:c>
      <x:c r="I22" s="20" t="e">
        <x:f aca="0">02_R8予算_年次計画置換!I26</x:f>
        <x:v>#NAME?</x:v>
      </x:c>
      <x:c r="J22" s="20" t="e">
        <x:f aca="0">02_R8予算_年次計画置換!J26</x:f>
        <x:v>#NAME?</x:v>
      </x:c>
      <x:c r="K22" s="20" t="e">
        <x:f aca="0">02_R8予算_年次計画置換!K26</x:f>
        <x:v>#NAME?</x:v>
      </x:c>
    </x:row>
    <x:row r="23" ht="21.75" hidden="0" customHeight="1">
      <x:c r="A23" s="19" t="s">
        <x:v>75</x:v>
      </x:c>
      <x:c r="B23" s="20" t="e">
        <x:f aca="0">02_R8予算_年次計画置換!B28</x:f>
        <x:v>#NAME?</x:v>
      </x:c>
      <x:c r="C23" s="20" t="e">
        <x:f aca="0">02_R8予算_年次計画置換!C28</x:f>
        <x:v>#NAME?</x:v>
      </x:c>
      <x:c r="D23" s="20" t="e">
        <x:f aca="0">02_R8予算_年次計画置換!D28</x:f>
        <x:v>#NAME?</x:v>
      </x:c>
      <x:c r="E23" s="20" t="e">
        <x:f aca="0">02_R8予算_年次計画置換!E28</x:f>
        <x:v>#NAME?</x:v>
      </x:c>
      <x:c r="F23" s="20" t="e">
        <x:f aca="0">02_R8予算_年次計画置換!F28</x:f>
        <x:v>#NAME?</x:v>
      </x:c>
      <x:c r="G23" s="20" t="e">
        <x:f aca="0">02_R8予算_年次計画置換!G28</x:f>
        <x:v>#NAME?</x:v>
      </x:c>
      <x:c r="H23" s="20" t="e">
        <x:f aca="0">02_R8予算_年次計画置換!H28</x:f>
        <x:v>#NAME?</x:v>
      </x:c>
      <x:c r="I23" s="20" t="e">
        <x:f aca="0">02_R8予算_年次計画置換!I28</x:f>
        <x:v>#NAME?</x:v>
      </x:c>
      <x:c r="J23" s="20" t="e">
        <x:f aca="0">02_R8予算_年次計画置換!J28</x:f>
        <x:v>#NAME?</x:v>
      </x:c>
      <x:c r="K23" s="20" t="e">
        <x:f aca="0">02_R8予算_年次計画置換!K28</x:f>
        <x:v>#NAME?</x:v>
      </x:c>
    </x:row>
    <x:row r="24" ht="21.75" hidden="0" customHeight="1">
      <x:c r="A24" s="19" t="s">
        <x:v>145</x:v>
      </x:c>
      <x:c r="B24" s="20" t="e">
        <x:f aca="0">02_R8予算_年次計画置換!B29</x:f>
        <x:v>#NAME?</x:v>
      </x:c>
      <x:c r="C24" s="20" t="e">
        <x:f aca="0">02_R8予算_年次計画置換!C29</x:f>
        <x:v>#NAME?</x:v>
      </x:c>
      <x:c r="D24" s="20" t="e">
        <x:f aca="0">02_R8予算_年次計画置換!D29</x:f>
        <x:v>#NAME?</x:v>
      </x:c>
      <x:c r="E24" s="20" t="e">
        <x:f aca="0">02_R8予算_年次計画置換!E29</x:f>
        <x:v>#NAME?</x:v>
      </x:c>
      <x:c r="F24" s="20" t="e">
        <x:f aca="0">02_R8予算_年次計画置換!F29</x:f>
        <x:v>#NAME?</x:v>
      </x:c>
      <x:c r="G24" s="20" t="e">
        <x:f aca="0">02_R8予算_年次計画置換!G29</x:f>
        <x:v>#NAME?</x:v>
      </x:c>
      <x:c r="H24" s="20" t="e">
        <x:f aca="0">02_R8予算_年次計画置換!H29</x:f>
        <x:v>#NAME?</x:v>
      </x:c>
      <x:c r="I24" s="20" t="e">
        <x:f aca="0">02_R8予算_年次計画置換!I29</x:f>
        <x:v>#NAME?</x:v>
      </x:c>
      <x:c r="J24" s="20" t="e">
        <x:f aca="0">02_R8予算_年次計画置換!J29</x:f>
        <x:v>#NAME?</x:v>
      </x:c>
      <x:c r="K24" s="20" t="e">
        <x:f aca="0">02_R8予算_年次計画置換!K29</x:f>
        <x:v>#NAME?</x:v>
      </x:c>
    </x:row>
    <x:row r="25" ht="21.75" hidden="0" customHeight="1">
      <x:c r="A25" s="19" t="s">
        <x:v>78</x:v>
      </x:c>
      <x:c r="B25" s="20" t="e">
        <x:f aca="0">02_R8予算_年次計画置換!B31</x:f>
        <x:v>#NAME?</x:v>
      </x:c>
      <x:c r="C25" s="20" t="e">
        <x:f aca="0">02_R8予算_年次計画置換!C31</x:f>
        <x:v>#NAME?</x:v>
      </x:c>
      <x:c r="D25" s="20" t="e">
        <x:f aca="0">02_R8予算_年次計画置換!D31</x:f>
        <x:v>#NAME?</x:v>
      </x:c>
      <x:c r="E25" s="20" t="e">
        <x:f aca="0">02_R8予算_年次計画置換!E31</x:f>
        <x:v>#NAME?</x:v>
      </x:c>
      <x:c r="F25" s="20" t="e">
        <x:f aca="0">02_R8予算_年次計画置換!F31</x:f>
        <x:v>#NAME?</x:v>
      </x:c>
      <x:c r="G25" s="20" t="e">
        <x:f aca="0">02_R8予算_年次計画置換!G31</x:f>
        <x:v>#NAME?</x:v>
      </x:c>
      <x:c r="H25" s="20" t="e">
        <x:f aca="0">02_R8予算_年次計画置換!H31</x:f>
        <x:v>#NAME?</x:v>
      </x:c>
      <x:c r="I25" s="20" t="e">
        <x:f aca="0">02_R8予算_年次計画置換!I31</x:f>
        <x:v>#NAME?</x:v>
      </x:c>
      <x:c r="J25" s="20" t="e">
        <x:f aca="0">02_R8予算_年次計画置換!J31</x:f>
        <x:v>#NAME?</x:v>
      </x:c>
      <x:c r="K25" s="20" t="e">
        <x:f aca="0">02_R8予算_年次計画置換!K31</x:f>
        <x:v>#NAME?</x:v>
      </x:c>
    </x:row>
    <x:row r="26" ht="21.75" hidden="0" customHeight="1">
      <x:c r="A26" s="19" t="s">
        <x:v>146</x:v>
      </x:c>
      <x:c r="B26" s="20" t="e">
        <x:f aca="0">SUM(B20,B23,B25)</x:f>
        <x:v>#NAME?</x:v>
      </x:c>
      <x:c r="C26" s="20" t="e">
        <x:f aca="0">SUM(C20,C23,C25)</x:f>
        <x:v>#NAME?</x:v>
      </x:c>
      <x:c r="D26" s="20" t="e">
        <x:f aca="0">SUM(D20,D23,D25)</x:f>
        <x:v>#NAME?</x:v>
      </x:c>
      <x:c r="E26" s="20" t="e">
        <x:f aca="0">SUM(E20,E23,E25)</x:f>
        <x:v>#NAME?</x:v>
      </x:c>
      <x:c r="F26" s="20" t="e">
        <x:f aca="0">SUM(F20,F23,F25)</x:f>
        <x:v>#NAME?</x:v>
      </x:c>
      <x:c r="G26" s="20" t="e">
        <x:f aca="0">SUM(G20,G23,G25)</x:f>
        <x:v>#NAME?</x:v>
      </x:c>
      <x:c r="H26" s="20" t="e">
        <x:f aca="0">SUM(H20,H23,H25)</x:f>
        <x:v>#NAME?</x:v>
      </x:c>
      <x:c r="I26" s="20" t="e">
        <x:f aca="0">SUM(I20,I23,I25)</x:f>
        <x:v>#NAME?</x:v>
      </x:c>
      <x:c r="J26" s="20" t="e">
        <x:f aca="0">SUM(J20,J23,J25)</x:f>
        <x:v>#NAME?</x:v>
      </x:c>
      <x:c r="K26" s="20" t="e">
        <x:f aca="0">SUM(K20,K23,K25)</x:f>
        <x:v>#NAME?</x:v>
      </x:c>
    </x:row>
    <x:row r="27" ht="21.75" hidden="0" customHeight="1">
      <x:c r="A27" s="19" t="s">
        <x:v>147</x:v>
      </x:c>
      <x:c r="B27" s="20" t="e">
        <x:f aca="0">SUM(B9,B13)-SUM(B20,B23)</x:f>
        <x:v>#NAME?</x:v>
      </x:c>
      <x:c r="C27" s="20" t="e">
        <x:f aca="0">SUM(C9,C13)-SUM(C20,C23)</x:f>
        <x:v>#NAME?</x:v>
      </x:c>
      <x:c r="D27" s="20" t="e">
        <x:f aca="0">SUM(D9,D13)-SUM(D20,D23)</x:f>
        <x:v>#NAME?</x:v>
      </x:c>
      <x:c r="E27" s="20" t="e">
        <x:f aca="0">SUM(E9,E13)-SUM(E20,E23)</x:f>
        <x:v>#NAME?</x:v>
      </x:c>
      <x:c r="F27" s="20" t="e">
        <x:f aca="0">SUM(F9,F13)-SUM(F20,F23)</x:f>
        <x:v>#NAME?</x:v>
      </x:c>
      <x:c r="G27" s="20" t="e">
        <x:f aca="0">SUM(G9,G13)-SUM(G20,G23)</x:f>
        <x:v>#NAME?</x:v>
      </x:c>
      <x:c r="H27" s="20" t="e">
        <x:f aca="0">SUM(H9,H13)-SUM(H20,H23)</x:f>
        <x:v>#NAME?</x:v>
      </x:c>
      <x:c r="I27" s="20" t="e">
        <x:f aca="0">SUM(I9,I13)-SUM(I20,I23)</x:f>
        <x:v>#NAME?</x:v>
      </x:c>
      <x:c r="J27" s="20" t="e">
        <x:f aca="0">SUM(J9,J13)-SUM(J20,J23)</x:f>
        <x:v>#NAME?</x:v>
      </x:c>
      <x:c r="K27" s="20" t="e">
        <x:f aca="0">SUM(K9,K13)-SUM(K20,K23)</x:f>
        <x:v>#NAME?</x:v>
      </x:c>
    </x:row>
    <x:row r="28" ht="21.75" hidden="0" customHeight="1">
      <x:c r="A28" s="19" t="s">
        <x:v>148</x:v>
      </x:c>
      <x:c r="B28" s="20" t="e">
        <x:f aca="0">B27+B16-B25</x:f>
        <x:v>#NAME?</x:v>
      </x:c>
      <x:c r="C28" s="20" t="e">
        <x:f aca="0">C27+C16-C25</x:f>
        <x:v>#NAME?</x:v>
      </x:c>
      <x:c r="D28" s="20" t="e">
        <x:f aca="0">D27+D16-D25</x:f>
        <x:v>#NAME?</x:v>
      </x:c>
      <x:c r="E28" s="20" t="e">
        <x:f aca="0">E27+E16-E25</x:f>
        <x:v>#NAME?</x:v>
      </x:c>
      <x:c r="F28" s="20" t="e">
        <x:f aca="0">F27+F16-F25</x:f>
        <x:v>#NAME?</x:v>
      </x:c>
      <x:c r="G28" s="20" t="e">
        <x:f aca="0">G27+G16-G25</x:f>
        <x:v>#NAME?</x:v>
      </x:c>
      <x:c r="H28" s="20" t="e">
        <x:f aca="0">H27+H16-H25</x:f>
        <x:v>#NAME?</x:v>
      </x:c>
      <x:c r="I28" s="20" t="e">
        <x:f aca="0">I27+I16-I25</x:f>
        <x:v>#NAME?</x:v>
      </x:c>
      <x:c r="J28" s="20" t="e">
        <x:f aca="0">J27+J16-J25</x:f>
        <x:v>#NAME?</x:v>
      </x:c>
      <x:c r="K28" s="20" t="e">
        <x:f aca="0">K27+K16-K25</x:f>
        <x:v>#NAME?</x:v>
      </x:c>
    </x:row>
    <x:row r="29" ht="21.75" hidden="0" customHeight="1">
      <x:c r="A29" s="19"/>
      <x:c r="B29" s="20"/>
      <x:c r="C29" s="20"/>
      <x:c r="D29" s="20"/>
      <x:c r="E29" s="20"/>
      <x:c r="F29" s="20"/>
      <x:c r="G29" s="20"/>
      <x:c r="H29" s="20"/>
      <x:c r="I29" s="20"/>
      <x:c r="J29" s="20"/>
      <x:c r="K29" s="20"/>
    </x:row>
    <x:row r="30" ht="21.75" hidden="0" customHeight="1">
      <x:c r="A30" s="17" t="s">
        <x:v>149</x:v>
      </x:c>
      <x:c r="B30" s="18"/>
      <x:c r="C30" s="18"/>
      <x:c r="D30" s="18"/>
      <x:c r="E30" s="18"/>
      <x:c r="F30" s="18"/>
      <x:c r="G30" s="18"/>
      <x:c r="H30" s="18"/>
      <x:c r="I30" s="18"/>
      <x:c r="J30" s="18"/>
      <x:c r="K30" s="18"/>
    </x:row>
    <x:row r="31" ht="21.75" hidden="0" customHeight="1">
      <x:c r="A31" s="19" t="s">
        <x:v>150</x:v>
      </x:c>
      <x:c r="B31" s="21" t="n">
        <x:f aca="0">IFERROR((SUM(B9,B13)/SUM(B20,B23))*100,0)</x:f>
        <x:v>0</x:v>
      </x:c>
      <x:c r="C31" s="21" t="n">
        <x:f aca="0">IFERROR((SUM(C9,C13)/SUM(C20,C23))*100,0)</x:f>
        <x:v>0</x:v>
      </x:c>
      <x:c r="D31" s="21" t="n">
        <x:f aca="0">IFERROR((SUM(D9,D13)/SUM(D20,D23))*100,0)</x:f>
        <x:v>0</x:v>
      </x:c>
      <x:c r="E31" s="21" t="n">
        <x:f aca="0">IFERROR((SUM(E9,E13)/SUM(E20,E23))*100,0)</x:f>
        <x:v>0</x:v>
      </x:c>
      <x:c r="F31" s="21" t="n">
        <x:f aca="0">IFERROR((SUM(F9,F13)/SUM(F20,F23))*100,0)</x:f>
        <x:v>0</x:v>
      </x:c>
      <x:c r="G31" s="21" t="n">
        <x:f aca="0">IFERROR((SUM(G9,G13)/SUM(G20,G23))*100,0)</x:f>
        <x:v>0</x:v>
      </x:c>
      <x:c r="H31" s="21" t="n">
        <x:f aca="0">IFERROR((SUM(H9,H13)/SUM(H20,H23))*100,0)</x:f>
        <x:v>0</x:v>
      </x:c>
      <x:c r="I31" s="21" t="n">
        <x:f aca="0">IFERROR((SUM(I9,I13)/SUM(I20,I23))*100,0)</x:f>
        <x:v>0</x:v>
      </x:c>
      <x:c r="J31" s="21" t="n">
        <x:f aca="0">IFERROR((SUM(J9,J13)/SUM(J20,J23))*100,0)</x:f>
        <x:v>0</x:v>
      </x:c>
      <x:c r="K31" s="21" t="n">
        <x:f aca="0">IFERROR((SUM(K9,K13)/SUM(K20,K23))*100,0)</x:f>
        <x:v>0</x:v>
      </x:c>
    </x:row>
    <x:row r="32" ht="21.75" hidden="0" customHeight="1">
      <x:c r="A32" s="19" t="s">
        <x:v>151</x:v>
      </x:c>
      <x:c r="B32" s="21" t="n">
        <x:f aca="0">IFERROR(B10/B34*100,0)</x:f>
        <x:v>0</x:v>
      </x:c>
      <x:c r="C32" s="21" t="n">
        <x:f aca="0">IFERROR(C10/C34*100,0)</x:f>
        <x:v>0</x:v>
      </x:c>
      <x:c r="D32" s="21" t="n">
        <x:f aca="0">IFERROR(D10/D34*100,0)</x:f>
        <x:v>0</x:v>
      </x:c>
      <x:c r="E32" s="21" t="n">
        <x:f aca="0">IFERROR(E10/E34*100,0)</x:f>
        <x:v>0</x:v>
      </x:c>
      <x:c r="F32" s="21" t="n">
        <x:f aca="0">IFERROR(F10/F34*100,0)</x:f>
        <x:v>0</x:v>
      </x:c>
      <x:c r="G32" s="21" t="n">
        <x:f aca="0">IFERROR(G10/G34*100,0)</x:f>
        <x:v>0</x:v>
      </x:c>
      <x:c r="H32" s="21" t="n">
        <x:f aca="0">IFERROR(H10/H34*100,0)</x:f>
        <x:v>0</x:v>
      </x:c>
      <x:c r="I32" s="21" t="n">
        <x:f aca="0">IFERROR(I10/I34*100,0)</x:f>
        <x:v>0</x:v>
      </x:c>
      <x:c r="J32" s="21" t="n">
        <x:f aca="0">IFERROR(J10/J34*100,0)</x:f>
        <x:v>0</x:v>
      </x:c>
      <x:c r="K32" s="21" t="n">
        <x:f aca="0">IFERROR(K10/K34*100,0)</x:f>
        <x:v>0</x:v>
      </x:c>
    </x:row>
    <x:row r="33" ht="21.75" hidden="0" customHeight="1">
      <x:c r="A33" s="19" t="s">
        <x:v>152</x:v>
      </x:c>
      <x:c r="B33" s="21" t="n">
        <x:f aca="0">IFERROR(B10/B35*100,0)</x:f>
        <x:v>0</x:v>
      </x:c>
      <x:c r="C33" s="21" t="n">
        <x:f aca="0">IFERROR(C10/C35*100,0)</x:f>
        <x:v>0</x:v>
      </x:c>
      <x:c r="D33" s="21" t="n">
        <x:f aca="0">IFERROR(D10/D35*100,0)</x:f>
        <x:v>0</x:v>
      </x:c>
      <x:c r="E33" s="21" t="n">
        <x:f aca="0">IFERROR(E10/E35*100,0)</x:f>
        <x:v>0</x:v>
      </x:c>
      <x:c r="F33" s="21" t="n">
        <x:f aca="0">IFERROR(F10/F35*100,0)</x:f>
        <x:v>0</x:v>
      </x:c>
      <x:c r="G33" s="21" t="n">
        <x:f aca="0">IFERROR(G10/G35*100,0)</x:f>
        <x:v>0</x:v>
      </x:c>
      <x:c r="H33" s="21" t="n">
        <x:f aca="0">IFERROR(H10/H35*100,0)</x:f>
        <x:v>0</x:v>
      </x:c>
      <x:c r="I33" s="21" t="n">
        <x:f aca="0">IFERROR(I10/I35*100,0)</x:f>
        <x:v>0</x:v>
      </x:c>
      <x:c r="J33" s="21" t="n">
        <x:f aca="0">IFERROR(J10/J35*100,0)</x:f>
        <x:v>0</x:v>
      </x:c>
      <x:c r="K33" s="21" t="n">
        <x:f aca="0">IFERROR(K10/K35*100,0)</x:f>
        <x:v>0</x:v>
      </x:c>
    </x:row>
    <x:row r="34" ht="21.75" hidden="0" customHeight="1">
      <x:c r="A34" s="19" t="s">
        <x:v>153</x:v>
      </x:c>
      <x:c r="B34" s="20" t="e">
        <x:f aca="0">SUM(B20,B23)-B14</x:f>
        <x:v>#NAME?</x:v>
      </x:c>
      <x:c r="C34" s="20" t="e">
        <x:f aca="0">SUM(C20,C23)-C14</x:f>
        <x:v>#NAME?</x:v>
      </x:c>
      <x:c r="D34" s="20" t="e">
        <x:f aca="0">SUM(D20,D23)-D14</x:f>
        <x:v>#NAME?</x:v>
      </x:c>
      <x:c r="E34" s="20" t="e">
        <x:f aca="0">SUM(E20,E23)-E14</x:f>
        <x:v>#NAME?</x:v>
      </x:c>
      <x:c r="F34" s="20" t="e">
        <x:f aca="0">SUM(F20,F23)-F14</x:f>
        <x:v>#NAME?</x:v>
      </x:c>
      <x:c r="G34" s="20" t="e">
        <x:f aca="0">SUM(G20,G23)-G14</x:f>
        <x:v>#NAME?</x:v>
      </x:c>
      <x:c r="H34" s="20" t="e">
        <x:f aca="0">SUM(H20,H23)-H14</x:f>
        <x:v>#NAME?</x:v>
      </x:c>
      <x:c r="I34" s="20" t="e">
        <x:f aca="0">SUM(I20,I23)-I14</x:f>
        <x:v>#NAME?</x:v>
      </x:c>
      <x:c r="J34" s="20" t="e">
        <x:f aca="0">SUM(J20,J23)-J14</x:f>
        <x:v>#NAME?</x:v>
      </x:c>
      <x:c r="K34" s="20" t="e">
        <x:f aca="0">SUM(K20,K23)-K14</x:f>
        <x:v>#NAME?</x:v>
      </x:c>
    </x:row>
    <x:row r="35" ht="21.75" hidden="0" customHeight="1">
      <x:c r="A35" s="19" t="s">
        <x:v>154</x:v>
      </x:c>
      <x:c r="B35" s="20" t="e">
        <x:f aca="0">B34+$B$5</x:f>
        <x:v>#NAME?</x:v>
      </x:c>
      <x:c r="C35" s="20" t="e">
        <x:f aca="0">C34+$B$5</x:f>
        <x:v>#NAME?</x:v>
      </x:c>
      <x:c r="D35" s="20" t="e">
        <x:f aca="0">D34+$B$5</x:f>
        <x:v>#NAME?</x:v>
      </x:c>
      <x:c r="E35" s="20" t="e">
        <x:f aca="0">E34+$B$5</x:f>
        <x:v>#NAME?</x:v>
      </x:c>
      <x:c r="F35" s="20" t="e">
        <x:f aca="0">F34+$B$5</x:f>
        <x:v>#NAME?</x:v>
      </x:c>
      <x:c r="G35" s="20" t="e">
        <x:f aca="0">G34+$B$5</x:f>
        <x:v>#NAME?</x:v>
      </x:c>
      <x:c r="H35" s="20" t="e">
        <x:f aca="0">H34+$B$5</x:f>
        <x:v>#NAME?</x:v>
      </x:c>
      <x:c r="I35" s="20" t="e">
        <x:f aca="0">I34+$B$5</x:f>
        <x:v>#NAME?</x:v>
      </x:c>
      <x:c r="J35" s="20" t="e">
        <x:f aca="0">J34+$B$5</x:f>
        <x:v>#NAME?</x:v>
      </x:c>
      <x:c r="K35" s="20" t="e">
        <x:f aca="0">K34+$B$5</x:f>
        <x:v>#NAME?</x:v>
      </x:c>
    </x:row>
    <x:row r="36" ht="21.75" hidden="0" customHeight="1">
      <x:c r="A36" s="19" t="s">
        <x:v>155</x:v>
      </x:c>
      <x:c r="B36" s="20" t="n">
        <x:f aca="0">IFERROR(B10/(B20+B23-B14-B12-B15+$B$5)*100,0)</x:f>
        <x:v>0</x:v>
      </x:c>
      <x:c r="C36" s="20" t="n">
        <x:f aca="0">IFERROR(C10/(C20+C23-C14-C12-C15+$B$5)*100,0)</x:f>
        <x:v>0</x:v>
      </x:c>
      <x:c r="D36" s="20" t="n">
        <x:f aca="0">IFERROR(D10/(D20+D23-D14-D12-D15+$B$5)*100,0)</x:f>
        <x:v>0</x:v>
      </x:c>
      <x:c r="E36" s="20" t="n">
        <x:f aca="0">IFERROR(E10/(E20+E23-E14-E12-E15+$B$5)*100,0)</x:f>
        <x:v>0</x:v>
      </x:c>
      <x:c r="F36" s="20" t="n">
        <x:f aca="0">IFERROR(F10/(F20+F23-F14-F12-F15+$B$5)*100,0)</x:f>
        <x:v>0</x:v>
      </x:c>
      <x:c r="G36" s="20" t="n">
        <x:f aca="0">IFERROR(G10/(G20+G23-G14-G12-G15+$B$5)*100,0)</x:f>
        <x:v>0</x:v>
      </x:c>
      <x:c r="H36" s="20" t="n">
        <x:f aca="0">IFERROR(H10/(H20+H23-H14-H12-H15+$B$5)*100,0)</x:f>
        <x:v>0</x:v>
      </x:c>
      <x:c r="I36" s="20" t="n">
        <x:f aca="0">IFERROR(I10/(I20+I23-I14-I12-I15+$B$5)*100,0)</x:f>
        <x:v>0</x:v>
      </x:c>
      <x:c r="J36" s="20" t="n">
        <x:f aca="0">IFERROR(J10/(J20+J23-J14-J12-J15+$B$5)*100,0)</x:f>
        <x:v>0</x:v>
      </x:c>
      <x:c r="K36" s="20" t="n">
        <x:f aca="0">IFERROR(K10/(K20+K23-K14-K12-K15+$B$5)*100,0)</x:f>
        <x:v>0</x:v>
      </x:c>
    </x:row>
    <x:row r="37" ht="21.75" hidden="0" customHeight="1">
      <x:c r="A37" s="19" t="s">
        <x:v>156</x:v>
      </x:c>
      <x:c r="B37" s="20" t="str">
        <x:f aca="0">IF(B33&lt;=B32,"OK","要確認")</x:f>
        <x:v>OK</x:v>
      </x:c>
      <x:c r="C37" s="20" t="str">
        <x:f aca="0">IF(C33&lt;=C32,"OK","要確認")</x:f>
        <x:v>OK</x:v>
      </x:c>
      <x:c r="D37" s="20" t="str">
        <x:f aca="0">IF(D33&lt;=D32,"OK","要確認")</x:f>
        <x:v>OK</x:v>
      </x:c>
      <x:c r="E37" s="20" t="str">
        <x:f aca="0">IF(E33&lt;=E32,"OK","要確認")</x:f>
        <x:v>OK</x:v>
      </x:c>
      <x:c r="F37" s="20" t="str">
        <x:f aca="0">IF(F33&lt;=F32,"OK","要確認")</x:f>
        <x:v>OK</x:v>
      </x:c>
      <x:c r="G37" s="20" t="str">
        <x:f aca="0">IF(G33&lt;=G32,"OK","要確認")</x:f>
        <x:v>OK</x:v>
      </x:c>
      <x:c r="H37" s="20" t="str">
        <x:f aca="0">IF(H33&lt;=H32,"OK","要確認")</x:f>
        <x:v>OK</x:v>
      </x:c>
      <x:c r="I37" s="20" t="str">
        <x:f aca="0">IF(I33&lt;=I32,"OK","要確認")</x:f>
        <x:v>OK</x:v>
      </x:c>
      <x:c r="J37" s="20" t="str">
        <x:f aca="0">IF(J33&lt;=J32,"OK","要確認")</x:f>
        <x:v>OK</x:v>
      </x:c>
      <x:c r="K37" s="20" t="str">
        <x:f aca="0">IF(K33&lt;=K32,"OK","要確認")</x:f>
        <x:v>OK</x:v>
      </x:c>
    </x:row>
    <x:row r="38" ht="21.75" hidden="0" customHeight="1">
      <x:c r="A38" s="19"/>
      <x:c r="B38" s="20"/>
      <x:c r="C38" s="20"/>
      <x:c r="D38" s="20"/>
      <x:c r="E38" s="20"/>
      <x:c r="F38" s="20"/>
      <x:c r="G38" s="20"/>
      <x:c r="H38" s="20"/>
      <x:c r="I38" s="20"/>
      <x:c r="J38" s="20"/>
      <x:c r="K38" s="20"/>
    </x:row>
    <x:row r="39" ht="21.75" hidden="0" customHeight="1">
      <x:c r="A39" s="17" t="s">
        <x:v>79</x:v>
      </x:c>
      <x:c r="B39" s="18"/>
      <x:c r="C39" s="18"/>
      <x:c r="D39" s="18"/>
      <x:c r="E39" s="18"/>
      <x:c r="F39" s="18"/>
      <x:c r="G39" s="18"/>
      <x:c r="H39" s="18"/>
      <x:c r="I39" s="18"/>
      <x:c r="J39" s="18"/>
      <x:c r="K39" s="18"/>
    </x:row>
    <x:row r="40" ht="21.75" hidden="0" customHeight="1">
      <x:c r="A40" s="19" t="s">
        <x:v>80</x:v>
      </x:c>
      <x:c r="B40" s="20" t="e">
        <x:f aca="0">02_R8予算_年次計画置換!B34</x:f>
        <x:v>#NAME?</x:v>
      </x:c>
      <x:c r="C40" s="20" t="e">
        <x:f aca="0">02_R8予算_年次計画置換!C34</x:f>
        <x:v>#NAME?</x:v>
      </x:c>
      <x:c r="D40" s="20" t="e">
        <x:f aca="0">02_R8予算_年次計画置換!D34</x:f>
        <x:v>#NAME?</x:v>
      </x:c>
      <x:c r="E40" s="20" t="e">
        <x:f aca="0">02_R8予算_年次計画置換!E34</x:f>
        <x:v>#NAME?</x:v>
      </x:c>
      <x:c r="F40" s="20" t="e">
        <x:f aca="0">02_R8予算_年次計画置換!F34</x:f>
        <x:v>#NAME?</x:v>
      </x:c>
      <x:c r="G40" s="20" t="e">
        <x:f aca="0">02_R8予算_年次計画置換!G34</x:f>
        <x:v>#NAME?</x:v>
      </x:c>
      <x:c r="H40" s="20" t="e">
        <x:f aca="0">02_R8予算_年次計画置換!H34</x:f>
        <x:v>#NAME?</x:v>
      </x:c>
      <x:c r="I40" s="20" t="e">
        <x:f aca="0">02_R8予算_年次計画置換!I34</x:f>
        <x:v>#NAME?</x:v>
      </x:c>
      <x:c r="J40" s="20" t="e">
        <x:f aca="0">02_R8予算_年次計画置換!J34</x:f>
        <x:v>#NAME?</x:v>
      </x:c>
      <x:c r="K40" s="20" t="e">
        <x:f aca="0">02_R8予算_年次計画置換!K34</x:f>
        <x:v>#NAME?</x:v>
      </x:c>
    </x:row>
    <x:row r="41" ht="21.75" hidden="0" customHeight="1">
      <x:c r="A41" s="19" t="s">
        <x:v>81</x:v>
      </x:c>
      <x:c r="B41" s="20" t="e">
        <x:f aca="0">02_R8予算_年次計画置換!B35</x:f>
        <x:v>#NAME?</x:v>
      </x:c>
      <x:c r="C41" s="20" t="e">
        <x:f aca="0">02_R8予算_年次計画置換!C35</x:f>
        <x:v>#NAME?</x:v>
      </x:c>
      <x:c r="D41" s="20" t="e">
        <x:f aca="0">02_R8予算_年次計画置換!D35</x:f>
        <x:v>#NAME?</x:v>
      </x:c>
      <x:c r="E41" s="20" t="e">
        <x:f aca="0">02_R8予算_年次計画置換!E35</x:f>
        <x:v>#NAME?</x:v>
      </x:c>
      <x:c r="F41" s="20" t="e">
        <x:f aca="0">02_R8予算_年次計画置換!F35</x:f>
        <x:v>#NAME?</x:v>
      </x:c>
      <x:c r="G41" s="20" t="e">
        <x:f aca="0">02_R8予算_年次計画置換!G35</x:f>
        <x:v>#NAME?</x:v>
      </x:c>
      <x:c r="H41" s="20" t="e">
        <x:f aca="0">02_R8予算_年次計画置換!H35</x:f>
        <x:v>#NAME?</x:v>
      </x:c>
      <x:c r="I41" s="20" t="e">
        <x:f aca="0">02_R8予算_年次計画置換!I35</x:f>
        <x:v>#NAME?</x:v>
      </x:c>
      <x:c r="J41" s="20" t="e">
        <x:f aca="0">02_R8予算_年次計画置換!J35</x:f>
        <x:v>#NAME?</x:v>
      </x:c>
      <x:c r="K41" s="20" t="e">
        <x:f aca="0">02_R8予算_年次計画置換!K35</x:f>
        <x:v>#NAME?</x:v>
      </x:c>
    </x:row>
    <x:row r="42" ht="21.75" hidden="0" customHeight="1">
      <x:c r="A42" s="19" t="s">
        <x:v>82</x:v>
      </x:c>
      <x:c r="B42" s="20" t="e">
        <x:f aca="0">02_R8予算_年次計画置換!B36</x:f>
        <x:v>#NAME?</x:v>
      </x:c>
      <x:c r="C42" s="20" t="e">
        <x:f aca="0">02_R8予算_年次計画置換!C36</x:f>
        <x:v>#NAME?</x:v>
      </x:c>
      <x:c r="D42" s="20" t="e">
        <x:f aca="0">02_R8予算_年次計画置換!D36</x:f>
        <x:v>#NAME?</x:v>
      </x:c>
      <x:c r="E42" s="20" t="e">
        <x:f aca="0">02_R8予算_年次計画置換!E36</x:f>
        <x:v>#NAME?</x:v>
      </x:c>
      <x:c r="F42" s="20" t="e">
        <x:f aca="0">02_R8予算_年次計画置換!F36</x:f>
        <x:v>#NAME?</x:v>
      </x:c>
      <x:c r="G42" s="20" t="e">
        <x:f aca="0">02_R8予算_年次計画置換!G36</x:f>
        <x:v>#NAME?</x:v>
      </x:c>
      <x:c r="H42" s="20" t="e">
        <x:f aca="0">02_R8予算_年次計画置換!H36</x:f>
        <x:v>#NAME?</x:v>
      </x:c>
      <x:c r="I42" s="20" t="e">
        <x:f aca="0">02_R8予算_年次計画置換!I36</x:f>
        <x:v>#NAME?</x:v>
      </x:c>
      <x:c r="J42" s="20" t="e">
        <x:f aca="0">02_R8予算_年次計画置換!J36</x:f>
        <x:v>#NAME?</x:v>
      </x:c>
      <x:c r="K42" s="20" t="e">
        <x:f aca="0">02_R8予算_年次計画置換!K36</x:f>
        <x:v>#NAME?</x:v>
      </x:c>
    </x:row>
    <x:row r="43" ht="21.75" hidden="0" customHeight="1">
      <x:c r="A43" s="19" t="s">
        <x:v>83</x:v>
      </x:c>
      <x:c r="B43" s="20" t="e">
        <x:f aca="0">02_R8予算_年次計画置換!B37</x:f>
        <x:v>#NAME?</x:v>
      </x:c>
      <x:c r="C43" s="20" t="e">
        <x:f aca="0">02_R8予算_年次計画置換!C37</x:f>
        <x:v>#NAME?</x:v>
      </x:c>
      <x:c r="D43" s="20" t="e">
        <x:f aca="0">02_R8予算_年次計画置換!D37</x:f>
        <x:v>#NAME?</x:v>
      </x:c>
      <x:c r="E43" s="20" t="e">
        <x:f aca="0">02_R8予算_年次計画置換!E37</x:f>
        <x:v>#NAME?</x:v>
      </x:c>
      <x:c r="F43" s="20" t="e">
        <x:f aca="0">02_R8予算_年次計画置換!F37</x:f>
        <x:v>#NAME?</x:v>
      </x:c>
      <x:c r="G43" s="20" t="e">
        <x:f aca="0">02_R8予算_年次計画置換!G37</x:f>
        <x:v>#NAME?</x:v>
      </x:c>
      <x:c r="H43" s="20" t="e">
        <x:f aca="0">02_R8予算_年次計画置換!H37</x:f>
        <x:v>#NAME?</x:v>
      </x:c>
      <x:c r="I43" s="20" t="e">
        <x:f aca="0">02_R8予算_年次計画置換!I37</x:f>
        <x:v>#NAME?</x:v>
      </x:c>
      <x:c r="J43" s="20" t="e">
        <x:f aca="0">02_R8予算_年次計画置換!J37</x:f>
        <x:v>#NAME?</x:v>
      </x:c>
      <x:c r="K43" s="20" t="e">
        <x:f aca="0">02_R8予算_年次計画置換!K37</x:f>
        <x:v>#NAME?</x:v>
      </x:c>
    </x:row>
    <x:row r="44" ht="21.75" hidden="0" customHeight="1">
      <x:c r="A44" s="19" t="s">
        <x:v>84</x:v>
      </x:c>
      <x:c r="B44" s="20" t="e">
        <x:f aca="0">02_R8予算_年次計画置換!B38</x:f>
        <x:v>#NAME?</x:v>
      </x:c>
      <x:c r="C44" s="20" t="e">
        <x:f aca="0">02_R8予算_年次計画置換!C38</x:f>
        <x:v>#NAME?</x:v>
      </x:c>
      <x:c r="D44" s="20" t="e">
        <x:f aca="0">02_R8予算_年次計画置換!D38</x:f>
        <x:v>#NAME?</x:v>
      </x:c>
      <x:c r="E44" s="20" t="e">
        <x:f aca="0">02_R8予算_年次計画置換!E38</x:f>
        <x:v>#NAME?</x:v>
      </x:c>
      <x:c r="F44" s="20" t="e">
        <x:f aca="0">02_R8予算_年次計画置換!F38</x:f>
        <x:v>#NAME?</x:v>
      </x:c>
      <x:c r="G44" s="20" t="e">
        <x:f aca="0">02_R8予算_年次計画置換!G38</x:f>
        <x:v>#NAME?</x:v>
      </x:c>
      <x:c r="H44" s="20" t="e">
        <x:f aca="0">02_R8予算_年次計画置換!H38</x:f>
        <x:v>#NAME?</x:v>
      </x:c>
      <x:c r="I44" s="20" t="e">
        <x:f aca="0">02_R8予算_年次計画置換!I38</x:f>
        <x:v>#NAME?</x:v>
      </x:c>
      <x:c r="J44" s="20" t="e">
        <x:f aca="0">02_R8予算_年次計画置換!J38</x:f>
        <x:v>#NAME?</x:v>
      </x:c>
      <x:c r="K44" s="20" t="e">
        <x:f aca="0">02_R8予算_年次計画置換!K38</x:f>
        <x:v>#NAME?</x:v>
      </x:c>
    </x:row>
    <x:row r="45" ht="21.75" hidden="0" customHeight="1">
      <x:c r="A45" s="19" t="s">
        <x:v>85</x:v>
      </x:c>
      <x:c r="B45" s="20" t="e">
        <x:f aca="0">02_R8予算_年次計画置換!B39</x:f>
        <x:v>#NAME?</x:v>
      </x:c>
      <x:c r="C45" s="20" t="e">
        <x:f aca="0">02_R8予算_年次計画置換!C39</x:f>
        <x:v>#NAME?</x:v>
      </x:c>
      <x:c r="D45" s="20" t="e">
        <x:f aca="0">02_R8予算_年次計画置換!D39</x:f>
        <x:v>#NAME?</x:v>
      </x:c>
      <x:c r="E45" s="20" t="e">
        <x:f aca="0">02_R8予算_年次計画置換!E39</x:f>
        <x:v>#NAME?</x:v>
      </x:c>
      <x:c r="F45" s="20" t="e">
        <x:f aca="0">02_R8予算_年次計画置換!F39</x:f>
        <x:v>#NAME?</x:v>
      </x:c>
      <x:c r="G45" s="20" t="e">
        <x:f aca="0">02_R8予算_年次計画置換!G39</x:f>
        <x:v>#NAME?</x:v>
      </x:c>
      <x:c r="H45" s="20" t="e">
        <x:f aca="0">02_R8予算_年次計画置換!H39</x:f>
        <x:v>#NAME?</x:v>
      </x:c>
      <x:c r="I45" s="20" t="e">
        <x:f aca="0">02_R8予算_年次計画置換!I39</x:f>
        <x:v>#NAME?</x:v>
      </x:c>
      <x:c r="J45" s="20" t="e">
        <x:f aca="0">02_R8予算_年次計画置換!J39</x:f>
        <x:v>#NAME?</x:v>
      </x:c>
      <x:c r="K45" s="20" t="e">
        <x:f aca="0">02_R8予算_年次計画置換!K39</x:f>
        <x:v>#NAME?</x:v>
      </x:c>
    </x:row>
    <x:row r="46" ht="21.75" hidden="0" customHeight="1">
      <x:c r="A46" s="19" t="s">
        <x:v>86</x:v>
      </x:c>
      <x:c r="B46" s="20" t="e">
        <x:f aca="0">02_R8予算_年次計画置換!B40</x:f>
        <x:v>#NAME?</x:v>
      </x:c>
      <x:c r="C46" s="20" t="e">
        <x:f aca="0">02_R8予算_年次計画置換!C40</x:f>
        <x:v>#NAME?</x:v>
      </x:c>
      <x:c r="D46" s="20" t="e">
        <x:f aca="0">02_R8予算_年次計画置換!D40</x:f>
        <x:v>#NAME?</x:v>
      </x:c>
      <x:c r="E46" s="20" t="e">
        <x:f aca="0">02_R8予算_年次計画置換!E40</x:f>
        <x:v>#NAME?</x:v>
      </x:c>
      <x:c r="F46" s="20" t="e">
        <x:f aca="0">02_R8予算_年次計画置換!F40</x:f>
        <x:v>#NAME?</x:v>
      </x:c>
      <x:c r="G46" s="20" t="e">
        <x:f aca="0">02_R8予算_年次計画置換!G40</x:f>
        <x:v>#NAME?</x:v>
      </x:c>
      <x:c r="H46" s="20" t="e">
        <x:f aca="0">02_R8予算_年次計画置換!H40</x:f>
        <x:v>#NAME?</x:v>
      </x:c>
      <x:c r="I46" s="20" t="e">
        <x:f aca="0">02_R8予算_年次計画置換!I40</x:f>
        <x:v>#NAME?</x:v>
      </x:c>
      <x:c r="J46" s="20" t="e">
        <x:f aca="0">02_R8予算_年次計画置換!J40</x:f>
        <x:v>#NAME?</x:v>
      </x:c>
      <x:c r="K46" s="20" t="e">
        <x:f aca="0">02_R8予算_年次計画置換!K40</x:f>
        <x:v>#NAME?</x:v>
      </x:c>
    </x:row>
    <x:row r="47" ht="21.75" hidden="0" customHeight="1">
      <x:c r="A47" s="19" t="s">
        <x:v>87</x:v>
      </x:c>
      <x:c r="B47" s="20" t="e">
        <x:f aca="0">02_R8予算_年次計画置換!B41</x:f>
        <x:v>#NAME?</x:v>
      </x:c>
      <x:c r="C47" s="20" t="e">
        <x:f aca="0">02_R8予算_年次計画置換!C41</x:f>
        <x:v>#NAME?</x:v>
      </x:c>
      <x:c r="D47" s="20" t="e">
        <x:f aca="0">02_R8予算_年次計画置換!D41</x:f>
        <x:v>#NAME?</x:v>
      </x:c>
      <x:c r="E47" s="20" t="e">
        <x:f aca="0">02_R8予算_年次計画置換!E41</x:f>
        <x:v>#NAME?</x:v>
      </x:c>
      <x:c r="F47" s="20" t="e">
        <x:f aca="0">02_R8予算_年次計画置換!F41</x:f>
        <x:v>#NAME?</x:v>
      </x:c>
      <x:c r="G47" s="20" t="e">
        <x:f aca="0">02_R8予算_年次計画置換!G41</x:f>
        <x:v>#NAME?</x:v>
      </x:c>
      <x:c r="H47" s="20" t="e">
        <x:f aca="0">02_R8予算_年次計画置換!H41</x:f>
        <x:v>#NAME?</x:v>
      </x:c>
      <x:c r="I47" s="20" t="e">
        <x:f aca="0">02_R8予算_年次計画置換!I41</x:f>
        <x:v>#NAME?</x:v>
      </x:c>
      <x:c r="J47" s="20" t="e">
        <x:f aca="0">02_R8予算_年次計画置換!J41</x:f>
        <x:v>#NAME?</x:v>
      </x:c>
      <x:c r="K47" s="20" t="e">
        <x:f aca="0">02_R8予算_年次計画置換!K41</x:f>
        <x:v>#NAME?</x:v>
      </x:c>
    </x:row>
    <x:row r="48" ht="21.75" hidden="0" customHeight="1">
      <x:c r="A48" s="19"/>
      <x:c r="B48" s="20"/>
      <x:c r="C48" s="20"/>
      <x:c r="D48" s="20"/>
      <x:c r="E48" s="20"/>
      <x:c r="F48" s="20"/>
      <x:c r="G48" s="20"/>
      <x:c r="H48" s="20"/>
      <x:c r="I48" s="20"/>
      <x:c r="J48" s="20"/>
      <x:c r="K48" s="20"/>
    </x:row>
    <x:row r="49" ht="21.75" hidden="0" customHeight="1">
      <x:c r="A49" s="17" t="s">
        <x:v>88</x:v>
      </x:c>
      <x:c r="B49" s="18"/>
      <x:c r="C49" s="18"/>
      <x:c r="D49" s="18"/>
      <x:c r="E49" s="18"/>
      <x:c r="F49" s="18"/>
      <x:c r="G49" s="18"/>
      <x:c r="H49" s="18"/>
      <x:c r="I49" s="18"/>
      <x:c r="J49" s="18"/>
      <x:c r="K49" s="18"/>
    </x:row>
    <x:row r="50" ht="21.75" hidden="0" customHeight="1">
      <x:c r="A50" s="19" t="s">
        <x:v>89</x:v>
      </x:c>
      <x:c r="B50" s="20" t="e">
        <x:f aca="0">02_R8予算_年次計画置換!B44</x:f>
        <x:v>#NAME?</x:v>
      </x:c>
      <x:c r="C50" s="20" t="e">
        <x:f aca="0">02_R8予算_年次計画置換!C44</x:f>
        <x:v>#NAME?</x:v>
      </x:c>
      <x:c r="D50" s="20" t="e">
        <x:f aca="0">02_R8予算_年次計画置換!D44</x:f>
        <x:v>#NAME?</x:v>
      </x:c>
      <x:c r="E50" s="20" t="e">
        <x:f aca="0">02_R8予算_年次計画置換!E44</x:f>
        <x:v>#NAME?</x:v>
      </x:c>
      <x:c r="F50" s="20" t="e">
        <x:f aca="0">02_R8予算_年次計画置換!F44</x:f>
        <x:v>#NAME?</x:v>
      </x:c>
      <x:c r="G50" s="20" t="e">
        <x:f aca="0">02_R8予算_年次計画置換!G44</x:f>
        <x:v>#NAME?</x:v>
      </x:c>
      <x:c r="H50" s="20" t="e">
        <x:f aca="0">02_R8予算_年次計画置換!H44</x:f>
        <x:v>#NAME?</x:v>
      </x:c>
      <x:c r="I50" s="20" t="e">
        <x:f aca="0">02_R8予算_年次計画置換!I44</x:f>
        <x:v>#NAME?</x:v>
      </x:c>
      <x:c r="J50" s="20" t="e">
        <x:f aca="0">02_R8予算_年次計画置換!J44</x:f>
        <x:v>#NAME?</x:v>
      </x:c>
      <x:c r="K50" s="20" t="e">
        <x:f aca="0">02_R8予算_年次計画置換!K44</x:f>
        <x:v>#NAME?</x:v>
      </x:c>
    </x:row>
    <x:row r="51" ht="21.75" hidden="0" customHeight="1">
      <x:c r="A51" s="19" t="s">
        <x:v>90</x:v>
      </x:c>
      <x:c r="B51" s="20" t="e">
        <x:f aca="0">02_R8予算_年次計画置換!B45</x:f>
        <x:v>#NAME?</x:v>
      </x:c>
      <x:c r="C51" s="20" t="e">
        <x:f aca="0">02_R8予算_年次計画置換!C45</x:f>
        <x:v>#NAME?</x:v>
      </x:c>
      <x:c r="D51" s="20" t="e">
        <x:f aca="0">02_R8予算_年次計画置換!D45</x:f>
        <x:v>#NAME?</x:v>
      </x:c>
      <x:c r="E51" s="20" t="e">
        <x:f aca="0">02_R8予算_年次計画置換!E45</x:f>
        <x:v>#NAME?</x:v>
      </x:c>
      <x:c r="F51" s="20" t="e">
        <x:f aca="0">02_R8予算_年次計画置換!F45</x:f>
        <x:v>#NAME?</x:v>
      </x:c>
      <x:c r="G51" s="20" t="e">
        <x:f aca="0">02_R8予算_年次計画置換!G45</x:f>
        <x:v>#NAME?</x:v>
      </x:c>
      <x:c r="H51" s="20" t="e">
        <x:f aca="0">02_R8予算_年次計画置換!H45</x:f>
        <x:v>#NAME?</x:v>
      </x:c>
      <x:c r="I51" s="20" t="e">
        <x:f aca="0">02_R8予算_年次計画置換!I45</x:f>
        <x:v>#NAME?</x:v>
      </x:c>
      <x:c r="J51" s="20" t="e">
        <x:f aca="0">02_R8予算_年次計画置換!J45</x:f>
        <x:v>#NAME?</x:v>
      </x:c>
      <x:c r="K51" s="20" t="e">
        <x:f aca="0">02_R8予算_年次計画置換!K45</x:f>
        <x:v>#NAME?</x:v>
      </x:c>
    </x:row>
    <x:row r="52" ht="21.75" hidden="0" customHeight="1">
      <x:c r="A52" s="19" t="s">
        <x:v>91</x:v>
      </x:c>
      <x:c r="B52" s="20" t="e">
        <x:f aca="0">02_R8予算_年次計画置換!B46</x:f>
        <x:v>#NAME?</x:v>
      </x:c>
      <x:c r="C52" s="20" t="e">
        <x:f aca="0">02_R8予算_年次計画置換!C46</x:f>
        <x:v>#NAME?</x:v>
      </x:c>
      <x:c r="D52" s="20" t="e">
        <x:f aca="0">02_R8予算_年次計画置換!D46</x:f>
        <x:v>#NAME?</x:v>
      </x:c>
      <x:c r="E52" s="20" t="e">
        <x:f aca="0">02_R8予算_年次計画置換!E46</x:f>
        <x:v>#NAME?</x:v>
      </x:c>
      <x:c r="F52" s="20" t="e">
        <x:f aca="0">02_R8予算_年次計画置換!F46</x:f>
        <x:v>#NAME?</x:v>
      </x:c>
      <x:c r="G52" s="20" t="e">
        <x:f aca="0">02_R8予算_年次計画置換!G46</x:f>
        <x:v>#NAME?</x:v>
      </x:c>
      <x:c r="H52" s="20" t="e">
        <x:f aca="0">02_R8予算_年次計画置換!H46</x:f>
        <x:v>#NAME?</x:v>
      </x:c>
      <x:c r="I52" s="20" t="e">
        <x:f aca="0">02_R8予算_年次計画置換!I46</x:f>
        <x:v>#NAME?</x:v>
      </x:c>
      <x:c r="J52" s="20" t="e">
        <x:f aca="0">02_R8予算_年次計画置換!J46</x:f>
        <x:v>#NAME?</x:v>
      </x:c>
      <x:c r="K52" s="20" t="e">
        <x:f aca="0">02_R8予算_年次計画置換!K46</x:f>
        <x:v>#NAME?</x:v>
      </x:c>
    </x:row>
    <x:row r="53" ht="21.75" hidden="0" customHeight="1">
      <x:c r="A53" s="19" t="s">
        <x:v>92</x:v>
      </x:c>
      <x:c r="B53" s="20" t="e">
        <x:f aca="0">02_R8予算_年次計画置換!B47</x:f>
        <x:v>#NAME?</x:v>
      </x:c>
      <x:c r="C53" s="20" t="e">
        <x:f aca="0">02_R8予算_年次計画置換!C47</x:f>
        <x:v>#NAME?</x:v>
      </x:c>
      <x:c r="D53" s="20" t="e">
        <x:f aca="0">02_R8予算_年次計画置換!D47</x:f>
        <x:v>#NAME?</x:v>
      </x:c>
      <x:c r="E53" s="20" t="e">
        <x:f aca="0">02_R8予算_年次計画置換!E47</x:f>
        <x:v>#NAME?</x:v>
      </x:c>
      <x:c r="F53" s="20" t="e">
        <x:f aca="0">02_R8予算_年次計画置換!F47</x:f>
        <x:v>#NAME?</x:v>
      </x:c>
      <x:c r="G53" s="20" t="e">
        <x:f aca="0">02_R8予算_年次計画置換!G47</x:f>
        <x:v>#NAME?</x:v>
      </x:c>
      <x:c r="H53" s="20" t="e">
        <x:f aca="0">02_R8予算_年次計画置換!H47</x:f>
        <x:v>#NAME?</x:v>
      </x:c>
      <x:c r="I53" s="20" t="e">
        <x:f aca="0">02_R8予算_年次計画置換!I47</x:f>
        <x:v>#NAME?</x:v>
      </x:c>
      <x:c r="J53" s="20" t="e">
        <x:f aca="0">02_R8予算_年次計画置換!J47</x:f>
        <x:v>#NAME?</x:v>
      </x:c>
      <x:c r="K53" s="20" t="e">
        <x:f aca="0">02_R8予算_年次計画置換!K47</x:f>
        <x:v>#NAME?</x:v>
      </x:c>
    </x:row>
    <x:row r="54" ht="21.75" hidden="0" customHeight="1">
      <x:c r="A54" s="19" t="s">
        <x:v>93</x:v>
      </x:c>
      <x:c r="B54" s="20" t="e">
        <x:f aca="0">B40-B50</x:f>
        <x:v>#NAME?</x:v>
      </x:c>
      <x:c r="C54" s="20" t="e">
        <x:f aca="0">C40-C50</x:f>
        <x:v>#NAME?</x:v>
      </x:c>
      <x:c r="D54" s="20" t="e">
        <x:f aca="0">D40-D50</x:f>
        <x:v>#NAME?</x:v>
      </x:c>
      <x:c r="E54" s="20" t="e">
        <x:f aca="0">E40-E50</x:f>
        <x:v>#NAME?</x:v>
      </x:c>
      <x:c r="F54" s="20" t="e">
        <x:f aca="0">F40-F50</x:f>
        <x:v>#NAME?</x:v>
      </x:c>
      <x:c r="G54" s="20" t="e">
        <x:f aca="0">G40-G50</x:f>
        <x:v>#NAME?</x:v>
      </x:c>
      <x:c r="H54" s="20" t="e">
        <x:f aca="0">H40-H50</x:f>
        <x:v>#NAME?</x:v>
      </x:c>
      <x:c r="I54" s="20" t="e">
        <x:f aca="0">I40-I50</x:f>
        <x:v>#NAME?</x:v>
      </x:c>
      <x:c r="J54" s="20" t="e">
        <x:f aca="0">J40-J50</x:f>
        <x:v>#NAME?</x:v>
      </x:c>
      <x:c r="K54" s="20" t="e">
        <x:f aca="0">K40-K50</x:f>
        <x:v>#NAME?</x:v>
      </x:c>
    </x:row>
    <x:row r="55" ht="21.75" hidden="0" customHeight="1">
      <x:c r="A55" s="19"/>
      <x:c r="B55" s="20"/>
      <x:c r="C55" s="20"/>
      <x:c r="D55" s="20"/>
      <x:c r="E55" s="20"/>
      <x:c r="F55" s="20"/>
      <x:c r="G55" s="20"/>
      <x:c r="H55" s="20"/>
      <x:c r="I55" s="20"/>
      <x:c r="J55" s="20"/>
      <x:c r="K55" s="20"/>
    </x:row>
    <x:row r="56" ht="21.75" hidden="0" customHeight="1">
      <x:c r="A56" s="17" t="s">
        <x:v>157</x:v>
      </x:c>
      <x:c r="B56" s="18"/>
      <x:c r="C56" s="18"/>
      <x:c r="D56" s="18"/>
      <x:c r="E56" s="18"/>
      <x:c r="F56" s="18"/>
      <x:c r="G56" s="18"/>
      <x:c r="H56" s="18"/>
      <x:c r="I56" s="18"/>
      <x:c r="J56" s="18"/>
      <x:c r="K56" s="18"/>
    </x:row>
    <x:row r="57" ht="21.75" hidden="0" customHeight="1">
      <x:c r="A57" s="19" t="s">
        <x:v>158</x:v>
      </x:c>
      <x:c r="B57" s="20" t="e">
        <x:f aca="0">B28+B21+B22-B14</x:f>
        <x:v>#NAME?</x:v>
      </x:c>
      <x:c r="C57" s="20" t="e">
        <x:f aca="0">C28+C21+C22-C14</x:f>
        <x:v>#NAME?</x:v>
      </x:c>
      <x:c r="D57" s="20" t="e">
        <x:f aca="0">D28+D21+D22-D14</x:f>
        <x:v>#NAME?</x:v>
      </x:c>
      <x:c r="E57" s="20" t="e">
        <x:f aca="0">E28+E21+E22-E14</x:f>
        <x:v>#NAME?</x:v>
      </x:c>
      <x:c r="F57" s="20" t="e">
        <x:f aca="0">F28+F21+F22-F14</x:f>
        <x:v>#NAME?</x:v>
      </x:c>
      <x:c r="G57" s="20" t="e">
        <x:f aca="0">G28+G21+G22-G14</x:f>
        <x:v>#NAME?</x:v>
      </x:c>
      <x:c r="H57" s="20" t="e">
        <x:f aca="0">H28+H21+H22-H14</x:f>
        <x:v>#NAME?</x:v>
      </x:c>
      <x:c r="I57" s="20" t="e">
        <x:f aca="0">I28+I21+I22-I14</x:f>
        <x:v>#NAME?</x:v>
      </x:c>
      <x:c r="J57" s="20" t="e">
        <x:f aca="0">J28+J21+J22-J14</x:f>
        <x:v>#NAME?</x:v>
      </x:c>
      <x:c r="K57" s="20" t="e">
        <x:f aca="0">K28+K21+K22-K14</x:f>
        <x:v>#NAME?</x:v>
      </x:c>
    </x:row>
    <x:row r="58" ht="21.75" hidden="0" customHeight="1">
      <x:c r="A58" s="19" t="s">
        <x:v>159</x:v>
      </x:c>
      <x:c r="B58" s="20" t="e">
        <x:f aca="0">B54</x:f>
        <x:v>#NAME?</x:v>
      </x:c>
      <x:c r="C58" s="20" t="e">
        <x:f aca="0">C54</x:f>
        <x:v>#NAME?</x:v>
      </x:c>
      <x:c r="D58" s="20" t="e">
        <x:f aca="0">D54</x:f>
        <x:v>#NAME?</x:v>
      </x:c>
      <x:c r="E58" s="20" t="e">
        <x:f aca="0">E54</x:f>
        <x:v>#NAME?</x:v>
      </x:c>
      <x:c r="F58" s="20" t="e">
        <x:f aca="0">F54</x:f>
        <x:v>#NAME?</x:v>
      </x:c>
      <x:c r="G58" s="20" t="e">
        <x:f aca="0">G54</x:f>
        <x:v>#NAME?</x:v>
      </x:c>
      <x:c r="H58" s="20" t="e">
        <x:f aca="0">H54</x:f>
        <x:v>#NAME?</x:v>
      </x:c>
      <x:c r="I58" s="20" t="e">
        <x:f aca="0">I54</x:f>
        <x:v>#NAME?</x:v>
      </x:c>
      <x:c r="J58" s="20" t="e">
        <x:f aca="0">J54</x:f>
        <x:v>#NAME?</x:v>
      </x:c>
      <x:c r="K58" s="20" t="e">
        <x:f aca="0">K54</x:f>
        <x:v>#NAME?</x:v>
      </x:c>
    </x:row>
    <x:row r="59" ht="21.75" hidden="0" customHeight="1">
      <x:c r="A59" s="19" t="s">
        <x:v>160</x:v>
      </x:c>
      <x:c r="B59" s="20" t="e">
        <x:f aca="0">00_前提・検証!$B$6</x:f>
        <x:v>#NAME?</x:v>
      </x:c>
      <x:c r="C59" s="20" t="e">
        <x:f aca="0">B59+C57+C58</x:f>
        <x:v>#NAME?</x:v>
      </x:c>
      <x:c r="D59" s="20" t="e">
        <x:f aca="0">C59+D57+D58</x:f>
        <x:v>#NAME?</x:v>
      </x:c>
      <x:c r="E59" s="20" t="e">
        <x:f aca="0">D59+E57+E58</x:f>
        <x:v>#NAME?</x:v>
      </x:c>
      <x:c r="F59" s="20" t="e">
        <x:f aca="0">E59+F57+F58</x:f>
        <x:v>#NAME?</x:v>
      </x:c>
      <x:c r="G59" s="20" t="e">
        <x:f aca="0">F59+G57+G58</x:f>
        <x:v>#NAME?</x:v>
      </x:c>
      <x:c r="H59" s="20" t="e">
        <x:f aca="0">G59+H57+H58</x:f>
        <x:v>#NAME?</x:v>
      </x:c>
      <x:c r="I59" s="20" t="e">
        <x:f aca="0">H59+I57+I58</x:f>
        <x:v>#NAME?</x:v>
      </x:c>
      <x:c r="J59" s="20" t="e">
        <x:f aca="0">I59+J57+J58</x:f>
        <x:v>#NAME?</x:v>
      </x:c>
      <x:c r="K59" s="20" t="e">
        <x:f aca="0">J59+K57+K58</x:f>
        <x:v>#NAME?</x:v>
      </x:c>
    </x:row>
    <x:row r="60" ht="21.75" hidden="0" customHeight="1">
      <x:c r="A60" s="19" t="s">
        <x:v>161</x:v>
      </x:c>
      <x:c r="B60" s="20" t="e">
        <x:f aca="0">B59-00_前提・検証!$B$7</x:f>
        <x:v>#NAME?</x:v>
      </x:c>
      <x:c r="C60" s="20" t="e">
        <x:f aca="0">C59-00_前提・検証!$B$7</x:f>
        <x:v>#NAME?</x:v>
      </x:c>
      <x:c r="D60" s="20" t="e">
        <x:f aca="0">D59-00_前提・検証!$B$7</x:f>
        <x:v>#NAME?</x:v>
      </x:c>
      <x:c r="E60" s="20" t="e">
        <x:f aca="0">E59-00_前提・検証!$B$7</x:f>
        <x:v>#NAME?</x:v>
      </x:c>
      <x:c r="F60" s="20" t="e">
        <x:f aca="0">F59-00_前提・検証!$B$7</x:f>
        <x:v>#NAME?</x:v>
      </x:c>
      <x:c r="G60" s="20" t="e">
        <x:f aca="0">G59-00_前提・検証!$B$7</x:f>
        <x:v>#NAME?</x:v>
      </x:c>
      <x:c r="H60" s="20" t="e">
        <x:f aca="0">H59-00_前提・検証!$B$7</x:f>
        <x:v>#NAME?</x:v>
      </x:c>
      <x:c r="I60" s="20" t="e">
        <x:f aca="0">I59-00_前提・検証!$B$7</x:f>
        <x:v>#NAME?</x:v>
      </x:c>
      <x:c r="J60" s="20" t="e">
        <x:f aca="0">J59-00_前提・検証!$B$7</x:f>
        <x:v>#NAME?</x:v>
      </x:c>
      <x:c r="K60" s="20" t="e">
        <x:f aca="0">K59-00_前提・検証!$B$7</x:f>
        <x:v>#NAME?</x:v>
      </x:c>
    </x:row>
    <x:row r="62">
      <x:c r="A62" s="58" t="str">
        <x:v>【建設仮勘定・追加企業債の精緻化影響（参考反映）】</x:v>
      </x:c>
      <x:c r="B62" s="58"/>
      <x:c r="C62" s="58"/>
      <x:c r="D62" s="58"/>
      <x:c r="E62" s="58"/>
      <x:c r="F62" s="58"/>
      <x:c r="G62" s="58"/>
      <x:c r="H62" s="58"/>
      <x:c r="I62" s="58"/>
      <x:c r="J62" s="58"/>
      <x:c r="K62" s="58"/>
    </x:row>
    <x:row r="63">
      <x:c r="A63" s="54" t="str">
        <x:v>項目</x:v>
      </x:c>
      <x:c r="B63" s="54" t="str">
        <x:v>令和7年度</x:v>
      </x:c>
      <x:c r="C63" s="54" t="str">
        <x:v>令和8年度</x:v>
      </x:c>
      <x:c r="D63" s="54" t="str">
        <x:v>令和9年度</x:v>
      </x:c>
      <x:c r="E63" s="54" t="str">
        <x:v>令和10年度</x:v>
      </x:c>
      <x:c r="F63" s="54" t="str">
        <x:v>令和11年度</x:v>
      </x:c>
      <x:c r="G63" s="54" t="str">
        <x:v>令和12年度</x:v>
      </x:c>
      <x:c r="H63" s="54" t="str">
        <x:v>令和13年度</x:v>
      </x:c>
      <x:c r="I63" s="54" t="str">
        <x:v>令和14年度</x:v>
      </x:c>
      <x:c r="J63" s="54" t="str">
        <x:v>令和15年度</x:v>
      </x:c>
      <x:c r="K63" s="54" t="str">
        <x:v>令和16年度</x:v>
      </x:c>
    </x:row>
    <x:row r="64">
      <x:c r="A64" s="55" t="str">
        <x:v>減価償却費増加</x:v>
      </x:c>
      <x:c r="B64" s="56" t="n">
        <x:f>'05_建設仮勘定・企業債'!B40</x:f>
        <x:v>0</x:v>
      </x:c>
      <x:c r="C64" s="56" t="n">
        <x:f>'05_建設仮勘定・企業債'!C40</x:f>
        <x:v>0</x:v>
      </x:c>
      <x:c r="D64" s="56" t="n">
        <x:f>'05_建設仮勘定・企業債'!D40</x:f>
        <x:v>0</x:v>
      </x:c>
      <x:c r="E64" s="56" t="n">
        <x:f>'05_建設仮勘定・企業債'!E40</x:f>
        <x:v>11639</x:v>
      </x:c>
      <x:c r="F64" s="56" t="n">
        <x:f>'05_建設仮勘定・企業債'!F40</x:f>
        <x:v>11639</x:v>
      </x:c>
      <x:c r="G64" s="56" t="n">
        <x:f>'05_建設仮勘定・企業債'!G40</x:f>
        <x:v>11639</x:v>
      </x:c>
      <x:c r="H64" s="56" t="n">
        <x:f>'05_建設仮勘定・企業債'!H40</x:f>
        <x:v>11639</x:v>
      </x:c>
      <x:c r="I64" s="56" t="n">
        <x:f>'05_建設仮勘定・企業債'!I40</x:f>
        <x:v>11639</x:v>
      </x:c>
      <x:c r="J64" s="56" t="n">
        <x:f>'05_建設仮勘定・企業債'!J40</x:f>
        <x:v>11639</x:v>
      </x:c>
      <x:c r="K64" s="56" t="n">
        <x:f>'05_建設仮勘定・企業債'!K40</x:f>
        <x:v>11639</x:v>
      </x:c>
    </x:row>
    <x:row r="65">
      <x:c r="A65" s="55" t="str">
        <x:v>長期前受金戻入増加</x:v>
      </x:c>
      <x:c r="B65" s="56" t="n">
        <x:f>'05_建設仮勘定・企業債'!B41</x:f>
        <x:v>0</x:v>
      </x:c>
      <x:c r="C65" s="56" t="n">
        <x:f>'05_建設仮勘定・企業債'!C41</x:f>
        <x:v>0</x:v>
      </x:c>
      <x:c r="D65" s="56" t="n">
        <x:f>'05_建設仮勘定・企業債'!D41</x:f>
        <x:v>0</x:v>
      </x:c>
      <x:c r="E65" s="56" t="n">
        <x:f>'05_建設仮勘定・企業債'!E41</x:f>
        <x:v>8655</x:v>
      </x:c>
      <x:c r="F65" s="56" t="n">
        <x:f>'05_建設仮勘定・企業債'!F41</x:f>
        <x:v>8655</x:v>
      </x:c>
      <x:c r="G65" s="56" t="n">
        <x:f>'05_建設仮勘定・企業債'!G41</x:f>
        <x:v>8655</x:v>
      </x:c>
      <x:c r="H65" s="56" t="n">
        <x:f>'05_建設仮勘定・企業債'!H41</x:f>
        <x:v>8655</x:v>
      </x:c>
      <x:c r="I65" s="56" t="n">
        <x:f>'05_建設仮勘定・企業債'!I41</x:f>
        <x:v>8655</x:v>
      </x:c>
      <x:c r="J65" s="56" t="n">
        <x:f>'05_建設仮勘定・企業債'!J41</x:f>
        <x:v>8655</x:v>
      </x:c>
      <x:c r="K65" s="56" t="n">
        <x:f>'05_建設仮勘定・企業債'!K41</x:f>
        <x:v>8655</x:v>
      </x:c>
    </x:row>
    <x:row r="66">
      <x:c r="A66" s="55" t="str">
        <x:v>支払利息増加</x:v>
      </x:c>
      <x:c r="B66" s="56" t="n">
        <x:f>'05_建設仮勘定・企業債'!B44</x:f>
        <x:v>0</x:v>
      </x:c>
      <x:c r="C66" s="56" t="n">
        <x:f>'05_建設仮勘定・企業債'!C44</x:f>
        <x:v>0</x:v>
      </x:c>
      <x:c r="D66" s="56" t="n">
        <x:f>'05_建設仮勘定・企業債'!D44</x:f>
        <x:v>0</x:v>
      </x:c>
      <x:c r="E66" s="56" t="n">
        <x:f>'05_建設仮勘定・企業債'!E44</x:f>
        <x:v>3582</x:v>
      </x:c>
      <x:c r="F66" s="56" t="n">
        <x:f>'05_建設仮勘定・企業債'!F44</x:f>
        <x:v>3492</x:v>
      </x:c>
      <x:c r="G66" s="56" t="n">
        <x:f>'05_建設仮勘定・企業債'!G44</x:f>
        <x:v>3402</x:v>
      </x:c>
      <x:c r="H66" s="56" t="n">
        <x:f>'05_建設仮勘定・企業債'!H44</x:f>
        <x:v>3313</x:v>
      </x:c>
      <x:c r="I66" s="56" t="n">
        <x:f>'05_建設仮勘定・企業債'!I44</x:f>
        <x:v>3223</x:v>
      </x:c>
      <x:c r="J66" s="56" t="n">
        <x:f>'05_建設仮勘定・企業債'!J44</x:f>
        <x:v>3134</x:v>
      </x:c>
      <x:c r="K66" s="56" t="n">
        <x:f>'05_建設仮勘定・企業債'!K44</x:f>
        <x:v>3044</x:v>
      </x:c>
    </x:row>
    <x:row r="67">
      <x:c r="A67" s="55" t="str">
        <x:v>企業債元金償還増加</x:v>
      </x:c>
      <x:c r="B67" s="56" t="n">
        <x:f>'05_建設仮勘定・企業債'!B45</x:f>
        <x:v>0</x:v>
      </x:c>
      <x:c r="C67" s="56" t="n">
        <x:f>'05_建設仮勘定・企業債'!C45</x:f>
        <x:v>0</x:v>
      </x:c>
      <x:c r="D67" s="56" t="n">
        <x:f>'05_建設仮勘定・企業債'!D45</x:f>
        <x:v>0</x:v>
      </x:c>
      <x:c r="E67" s="56" t="n">
        <x:f>'05_建設仮勘定・企業債'!E45</x:f>
        <x:v>2985</x:v>
      </x:c>
      <x:c r="F67" s="56" t="n">
        <x:f>'05_建設仮勘定・企業債'!F45</x:f>
        <x:v>2985</x:v>
      </x:c>
      <x:c r="G67" s="56" t="n">
        <x:f>'05_建設仮勘定・企業債'!G45</x:f>
        <x:v>2985</x:v>
      </x:c>
      <x:c r="H67" s="56" t="n">
        <x:f>'05_建設仮勘定・企業債'!H45</x:f>
        <x:v>2985</x:v>
      </x:c>
      <x:c r="I67" s="56" t="n">
        <x:f>'05_建設仮勘定・企業債'!I45</x:f>
        <x:v>2985</x:v>
      </x:c>
      <x:c r="J67" s="56" t="n">
        <x:f>'05_建設仮勘定・企業債'!J45</x:f>
        <x:v>2985</x:v>
      </x:c>
      <x:c r="K67" s="56" t="n">
        <x:f>'05_建設仮勘定・企業債'!K45</x:f>
        <x:v>2985</x:v>
      </x:c>
    </x:row>
    <x:row r="68">
      <x:c r="A68" s="55" t="str">
        <x:v>3条純損益影響</x:v>
      </x:c>
      <x:c r="B68" s="56" t="n">
        <x:f>B64-B65+B66</x:f>
        <x:v>0</x:v>
      </x:c>
      <x:c r="C68" s="56" t="n">
        <x:f>C64-C65+C66</x:f>
        <x:v>0</x:v>
      </x:c>
      <x:c r="D68" s="56" t="n">
        <x:f>D64-D65+D66</x:f>
        <x:v>0</x:v>
      </x:c>
      <x:c r="E68" s="56" t="n">
        <x:f>E64-E65+E66</x:f>
        <x:v>6566</x:v>
      </x:c>
      <x:c r="F68" s="56" t="n">
        <x:f>F64-F65+F66</x:f>
        <x:v>6476</x:v>
      </x:c>
      <x:c r="G68" s="56" t="n">
        <x:f>G64-G65+G66</x:f>
        <x:v>6386</x:v>
      </x:c>
      <x:c r="H68" s="56" t="n">
        <x:f>H64-H65+H66</x:f>
        <x:v>6297</x:v>
      </x:c>
      <x:c r="I68" s="56" t="n">
        <x:f>I64-I65+I66</x:f>
        <x:v>6207</x:v>
      </x:c>
      <x:c r="J68" s="56" t="n">
        <x:f>J64-J65+J66</x:f>
        <x:v>6118</x:v>
      </x:c>
      <x:c r="K68" s="56" t="n">
        <x:f>K64-K65+K66</x:f>
        <x:v>6028</x:v>
      </x:c>
    </x:row>
    <x:row r="69">
      <x:c r="A69" s="55" t="str">
        <x:v>現金支出影響</x:v>
      </x:c>
      <x:c r="B69" s="56" t="n">
        <x:f>B66+B67</x:f>
        <x:v>0</x:v>
      </x:c>
      <x:c r="C69" s="56" t="n">
        <x:f>C66+C67</x:f>
        <x:v>0</x:v>
      </x:c>
      <x:c r="D69" s="56" t="n">
        <x:f>D66+D67</x:f>
        <x:v>0</x:v>
      </x:c>
      <x:c r="E69" s="56" t="n">
        <x:f>E66+E67</x:f>
        <x:v>6567</x:v>
      </x:c>
      <x:c r="F69" s="56" t="n">
        <x:f>F66+F67</x:f>
        <x:v>6477</x:v>
      </x:c>
      <x:c r="G69" s="56" t="n">
        <x:f>G66+G67</x:f>
        <x:v>6387</x:v>
      </x:c>
      <x:c r="H69" s="56" t="n">
        <x:f>H66+H67</x:f>
        <x:v>6298</x:v>
      </x:c>
      <x:c r="I69" s="56" t="n">
        <x:f>I66+I67</x:f>
        <x:v>6208</x:v>
      </x:c>
      <x:c r="J69" s="56" t="n">
        <x:f>J66+J67</x:f>
        <x:v>6119</x:v>
      </x:c>
      <x:c r="K69" s="56" t="n">
        <x:f>K66+K67</x:f>
        <x:v>6029</x:v>
      </x:c>
    </x:row>
    <x:row r="70">
      <x:c r="A70" s="55" t="str">
        <x:v>年度末現預金残高（精緻化後参考）</x:v>
      </x:c>
      <x:c r="B70" s="56" t="e">
        <x:f>B59-B69</x:f>
        <x:v>#NAME?</x:v>
      </x:c>
      <x:c r="C70" s="56" t="e">
        <x:f>C59-SUM($B$69:C69)</x:f>
        <x:v>#NAME?</x:v>
      </x:c>
      <x:c r="D70" s="56" t="e">
        <x:f>D59-SUM($B$69:D69)</x:f>
        <x:v>#NAME?</x:v>
      </x:c>
      <x:c r="E70" s="56" t="e">
        <x:f>E59-SUM($B$69:E69)</x:f>
        <x:v>#NAME?</x:v>
      </x:c>
      <x:c r="F70" s="56" t="e">
        <x:f>F59-SUM($B$69:F69)</x:f>
        <x:v>#NAME?</x:v>
      </x:c>
      <x:c r="G70" s="56" t="e">
        <x:f>G59-SUM($B$69:G69)</x:f>
        <x:v>#NAME?</x:v>
      </x:c>
      <x:c r="H70" s="56" t="e">
        <x:f>H59-SUM($B$69:H69)</x:f>
        <x:v>#NAME?</x:v>
      </x:c>
      <x:c r="I70" s="56" t="e">
        <x:f>I59-SUM($B$69:I69)</x:f>
        <x:v>#NAME?</x:v>
      </x:c>
      <x:c r="J70" s="56" t="e">
        <x:f>J59-SUM($B$69:J69)</x:f>
        <x:v>#NAME?</x:v>
      </x:c>
      <x:c r="K70" s="56" t="e">
        <x:f>K59-SUM($B$69:K69)</x:f>
        <x:v>#NAME?</x:v>
      </x:c>
    </x:row>
  </x:sheetData>
  <x:mergeCells>
    <x:mergeCell ref="A1:K1"/>
    <x:mergeCell ref="A2:K2"/>
    <x:mergeCell ref="A62:K62"/>
  </x:mergeCells>
  <x:pageMargins left="0.7" right="0.7" top="0.75" bottom="0.75" header="0.3" footer="0.3"/>
</x:worksheet>
</file>

<file path=xl/worksheets/sheet17.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11" width="14" hidden="0" customWidth="1"/>
  </x:cols>
  <x:sheetData>
    <x:row r="1" ht="21.75" hidden="0" customHeight="1">
      <x:c r="A1" s="44" t="s">
        <x:v>176</x:v>
      </x:c>
      <x:c r="B1" s="44"/>
      <x:c r="C1" s="44"/>
      <x:c r="D1" s="44"/>
      <x:c r="E1" s="44"/>
      <x:c r="F1" s="44"/>
      <x:c r="G1" s="44"/>
      <x:c r="H1" s="44"/>
      <x:c r="I1" s="44"/>
      <x:c r="J1" s="44"/>
      <x:c r="K1" s="44"/>
    </x:row>
    <x:row r="2" ht="21.75" hidden="0" customHeight="1">
      <x:c r="A2" s="14" t="s">
        <x:v>134</x:v>
      </x:c>
      <x:c r="B2" s="14"/>
      <x:c r="C2" s="14"/>
      <x:c r="D2" s="14"/>
      <x:c r="E2" s="14"/>
      <x:c r="F2" s="14"/>
      <x:c r="G2" s="14"/>
      <x:c r="H2" s="14"/>
      <x:c r="I2" s="14"/>
      <x:c r="J2" s="14"/>
      <x:c r="K2" s="14"/>
    </x:row>
    <x:row r="3" ht="21.75" hidden="0" customHeight="1">
      <x:c r="A3" s="15" t="s">
        <x:v>41</x:v>
      </x:c>
      <x:c r="B3" s="16" t="s">
        <x:v>42</x:v>
      </x:c>
      <x:c r="C3" s="16" t="s">
        <x:v>43</x:v>
      </x:c>
      <x:c r="D3" s="16" t="s">
        <x:v>44</x:v>
      </x:c>
      <x:c r="E3" s="16" t="s">
        <x:v>45</x:v>
      </x:c>
      <x:c r="F3" s="16" t="s">
        <x:v>46</x:v>
      </x:c>
      <x:c r="G3" s="16" t="s">
        <x:v>47</x:v>
      </x:c>
      <x:c r="H3" s="16" t="s">
        <x:v>48</x:v>
      </x:c>
      <x:c r="I3" s="16" t="s">
        <x:v>49</x:v>
      </x:c>
      <x:c r="J3" s="16" t="s">
        <x:v>50</x:v>
      </x:c>
      <x:c r="K3" s="16" t="s">
        <x:v>51</x:v>
      </x:c>
    </x:row>
    <x:row r="4" ht="21.75" hidden="0" customHeight="1">
      <x:c r="A4" s="19" t="s">
        <x:v>99</x:v>
      </x:c>
      <x:c r="B4" s="20" t="n">
        <x:v>0.01</x:v>
      </x:c>
      <x:c r="C4" s="20"/>
      <x:c r="D4" s="20"/>
      <x:c r="E4" s="20"/>
      <x:c r="F4" s="20"/>
      <x:c r="G4" s="20"/>
      <x:c r="H4" s="20"/>
      <x:c r="I4" s="20"/>
      <x:c r="J4" s="20"/>
      <x:c r="K4" s="20"/>
    </x:row>
    <x:row r="5" ht="21.75" hidden="0" customHeight="1">
      <x:c r="A5" s="19" t="s">
        <x:v>135</x:v>
      </x:c>
      <x:c r="B5" s="20" t="e">
        <x:f aca="0">00_前提・検証!$B$2*$B$4</x:f>
        <x:v>#NAME?</x:v>
      </x:c>
      <x:c r="C5" s="20"/>
      <x:c r="D5" s="20"/>
      <x:c r="E5" s="20"/>
      <x:c r="F5" s="20"/>
      <x:c r="G5" s="20"/>
      <x:c r="H5" s="20"/>
      <x:c r="I5" s="20"/>
      <x:c r="J5" s="20"/>
      <x:c r="K5" s="20"/>
    </x:row>
    <x:row r="6" ht="21.75" hidden="0" customHeight="1">
      <x:c r="A6" s="19" t="s">
        <x:v>136</x:v>
      </x:c>
      <x:c r="B6" s="20" t="e">
        <x:f aca="0">MAX(0,(SUM(02_R8予算_年次計画置換!F18:J18)+SUM(02_R8予算_年次計画置換!F28:J28)-SUM(02_R8予算_年次計画置換!F12:J12)-SUM(02_R8予算_年次計画置換!F8:J8)-SUM(02_R8予算_年次計画置換!F11:J11)+$B$5*5-SUM(02_R8予算_年次計画置換!F7:J7))/SUM(02_R8予算_年次計画置換!F7:J7))</x:f>
        <x:v>#NAME?</x:v>
      </x:c>
      <x:c r="C6" s="20"/>
      <x:c r="D6" s="20"/>
      <x:c r="E6" s="20"/>
      <x:c r="F6" s="20"/>
      <x:c r="G6" s="20"/>
      <x:c r="H6" s="20"/>
      <x:c r="I6" s="20"/>
      <x:c r="J6" s="20"/>
      <x:c r="K6" s="20"/>
    </x:row>
    <x:row r="7" ht="21.75" hidden="0" customHeight="1">
      <x:c r="A7" s="19"/>
      <x:c r="B7" s="20"/>
      <x:c r="C7" s="20"/>
      <x:c r="D7" s="20"/>
      <x:c r="E7" s="20"/>
      <x:c r="F7" s="20"/>
      <x:c r="G7" s="20"/>
      <x:c r="H7" s="20"/>
      <x:c r="I7" s="20"/>
      <x:c r="J7" s="20"/>
      <x:c r="K7" s="20"/>
    </x:row>
    <x:row r="8" ht="21.75" hidden="0" customHeight="1">
      <x:c r="A8" s="17" t="s">
        <x:v>52</x:v>
      </x:c>
      <x:c r="B8" s="18"/>
      <x:c r="C8" s="18"/>
      <x:c r="D8" s="18"/>
      <x:c r="E8" s="18"/>
      <x:c r="F8" s="18"/>
      <x:c r="G8" s="18"/>
      <x:c r="H8" s="18"/>
      <x:c r="I8" s="18"/>
      <x:c r="J8" s="18"/>
      <x:c r="K8" s="18"/>
    </x:row>
    <x:row r="9" ht="21.75" hidden="0" customHeight="1">
      <x:c r="A9" s="19" t="s">
        <x:v>54</x:v>
      </x:c>
      <x:c r="B9" s="20" t="e">
        <x:f aca="0">SUM(B10:B12)</x:f>
        <x:v>#NAME?</x:v>
      </x:c>
      <x:c r="C9" s="20" t="e">
        <x:f aca="0">SUM(C10:C12)</x:f>
        <x:v>#NAME?</x:v>
      </x:c>
      <x:c r="D9" s="20" t="e">
        <x:f aca="0">SUM(D10:D12)</x:f>
        <x:v>#NAME?</x:v>
      </x:c>
      <x:c r="E9" s="20" t="e">
        <x:f aca="0">SUM(E10:E12)</x:f>
        <x:v>#NAME?</x:v>
      </x:c>
      <x:c r="F9" s="20" t="e">
        <x:f aca="0">SUM(F10:F12)</x:f>
        <x:v>#NAME?</x:v>
      </x:c>
      <x:c r="G9" s="20" t="e">
        <x:f aca="0">SUM(G10:G12)</x:f>
        <x:v>#NAME?</x:v>
      </x:c>
      <x:c r="H9" s="20" t="e">
        <x:f aca="0">SUM(H10:H12)</x:f>
        <x:v>#NAME?</x:v>
      </x:c>
      <x:c r="I9" s="20" t="e">
        <x:f aca="0">SUM(I10:I12)</x:f>
        <x:v>#NAME?</x:v>
      </x:c>
      <x:c r="J9" s="20" t="e">
        <x:f aca="0">SUM(J10:J12)</x:f>
        <x:v>#NAME?</x:v>
      </x:c>
      <x:c r="K9" s="20" t="e">
        <x:f aca="0">SUM(K10:K12)</x:f>
        <x:v>#NAME?</x:v>
      </x:c>
    </x:row>
    <x:row r="10" ht="21.75" hidden="0" customHeight="1">
      <x:c r="A10" s="19" t="s">
        <x:v>137</x:v>
      </x:c>
      <x:c r="B10" s="20" t="e">
        <x:f aca="0">02_R8予算_年次計画置換!B7*IF(7&gt;=11,1+$B$6,1)</x:f>
        <x:v>#NAME?</x:v>
      </x:c>
      <x:c r="C10" s="20" t="e">
        <x:f aca="0">02_R8予算_年次計画置換!C7*IF(8&gt;=11,1+$B$6,1)</x:f>
        <x:v>#NAME?</x:v>
      </x:c>
      <x:c r="D10" s="20" t="e">
        <x:f aca="0">02_R8予算_年次計画置換!D7*IF(9&gt;=11,1+$B$6,1)</x:f>
        <x:v>#NAME?</x:v>
      </x:c>
      <x:c r="E10" s="20" t="e">
        <x:f aca="0">02_R8予算_年次計画置換!E7*IF(10&gt;=11,1+$B$6,1)</x:f>
        <x:v>#NAME?</x:v>
      </x:c>
      <x:c r="F10" s="20" t="e">
        <x:f aca="0">02_R8予算_年次計画置換!F7*IF(11&gt;=11,1+$B$6,1)</x:f>
        <x:v>#NAME?</x:v>
      </x:c>
      <x:c r="G10" s="20" t="e">
        <x:f aca="0">02_R8予算_年次計画置換!G7*IF(12&gt;=11,1+$B$6,1)</x:f>
        <x:v>#NAME?</x:v>
      </x:c>
      <x:c r="H10" s="20" t="e">
        <x:f aca="0">02_R8予算_年次計画置換!H7*IF(13&gt;=11,1+$B$6,1)</x:f>
        <x:v>#NAME?</x:v>
      </x:c>
      <x:c r="I10" s="20" t="e">
        <x:f aca="0">02_R8予算_年次計画置換!I7*IF(14&gt;=11,1+$B$6,1)</x:f>
        <x:v>#NAME?</x:v>
      </x:c>
      <x:c r="J10" s="20" t="e">
        <x:f aca="0">02_R8予算_年次計画置換!J7*IF(15&gt;=11,1+$B$6,1)</x:f>
        <x:v>#NAME?</x:v>
      </x:c>
      <x:c r="K10" s="20" t="e">
        <x:f aca="0">02_R8予算_年次計画置換!K7*IF(16&gt;=11,1+$B$6,1)</x:f>
        <x:v>#NAME?</x:v>
      </x:c>
    </x:row>
    <x:row r="11" ht="21.75" hidden="0" customHeight="1">
      <x:c r="A11" s="19" t="s">
        <x:v>138</x:v>
      </x:c>
      <x:c r="B11" s="20" t="e">
        <x:f aca="0">B10-02_R8予算_年次計画置換!B7</x:f>
        <x:v>#NAME?</x:v>
      </x:c>
      <x:c r="C11" s="20" t="e">
        <x:f aca="0">C10-02_R8予算_年次計画置換!C7</x:f>
        <x:v>#NAME?</x:v>
      </x:c>
      <x:c r="D11" s="20" t="e">
        <x:f aca="0">D10-02_R8予算_年次計画置換!D7</x:f>
        <x:v>#NAME?</x:v>
      </x:c>
      <x:c r="E11" s="20" t="e">
        <x:f aca="0">E10-02_R8予算_年次計画置換!E7</x:f>
        <x:v>#NAME?</x:v>
      </x:c>
      <x:c r="F11" s="20" t="e">
        <x:f aca="0">F10-02_R8予算_年次計画置換!F7</x:f>
        <x:v>#NAME?</x:v>
      </x:c>
      <x:c r="G11" s="20" t="e">
        <x:f aca="0">G10-02_R8予算_年次計画置換!G7</x:f>
        <x:v>#NAME?</x:v>
      </x:c>
      <x:c r="H11" s="20" t="e">
        <x:f aca="0">H10-02_R8予算_年次計画置換!H7</x:f>
        <x:v>#NAME?</x:v>
      </x:c>
      <x:c r="I11" s="20" t="e">
        <x:f aca="0">I10-02_R8予算_年次計画置換!I7</x:f>
        <x:v>#NAME?</x:v>
      </x:c>
      <x:c r="J11" s="20" t="e">
        <x:f aca="0">J10-02_R8予算_年次計画置換!J7</x:f>
        <x:v>#NAME?</x:v>
      </x:c>
      <x:c r="K11" s="20" t="e">
        <x:f aca="0">K10-02_R8予算_年次計画置換!K7</x:f>
        <x:v>#NAME?</x:v>
      </x:c>
    </x:row>
    <x:row r="12" ht="21.75" hidden="0" customHeight="1">
      <x:c r="A12" s="19" t="s">
        <x:v>139</x:v>
      </x:c>
      <x:c r="B12" s="20" t="e">
        <x:f aca="0">02_R8予算_年次計画置換!B8</x:f>
        <x:v>#NAME?</x:v>
      </x:c>
      <x:c r="C12" s="20" t="e">
        <x:f aca="0">02_R8予算_年次計画置換!C8</x:f>
        <x:v>#NAME?</x:v>
      </x:c>
      <x:c r="D12" s="20" t="e">
        <x:f aca="0">02_R8予算_年次計画置換!D8</x:f>
        <x:v>#NAME?</x:v>
      </x:c>
      <x:c r="E12" s="20" t="e">
        <x:f aca="0">02_R8予算_年次計画置換!E8</x:f>
        <x:v>#NAME?</x:v>
      </x:c>
      <x:c r="F12" s="20" t="e">
        <x:f aca="0">02_R8予算_年次計画置換!F8</x:f>
        <x:v>#NAME?</x:v>
      </x:c>
      <x:c r="G12" s="20" t="e">
        <x:f aca="0">02_R8予算_年次計画置換!G8</x:f>
        <x:v>#NAME?</x:v>
      </x:c>
      <x:c r="H12" s="20" t="e">
        <x:f aca="0">02_R8予算_年次計画置換!H8</x:f>
        <x:v>#NAME?</x:v>
      </x:c>
      <x:c r="I12" s="20" t="e">
        <x:f aca="0">02_R8予算_年次計画置換!I8</x:f>
        <x:v>#NAME?</x:v>
      </x:c>
      <x:c r="J12" s="20" t="e">
        <x:f aca="0">02_R8予算_年次計画置換!J8</x:f>
        <x:v>#NAME?</x:v>
      </x:c>
      <x:c r="K12" s="20" t="e">
        <x:f aca="0">02_R8予算_年次計画置換!K8</x:f>
        <x:v>#NAME?</x:v>
      </x:c>
    </x:row>
    <x:row r="13" ht="21.75" hidden="0" customHeight="1">
      <x:c r="A13" s="19" t="s">
        <x:v>57</x:v>
      </x:c>
      <x:c r="B13" s="20" t="e">
        <x:f aca="0">02_R8予算_年次計画置換!B9</x:f>
        <x:v>#NAME?</x:v>
      </x:c>
      <x:c r="C13" s="20" t="e">
        <x:f aca="0">02_R8予算_年次計画置換!C9</x:f>
        <x:v>#NAME?</x:v>
      </x:c>
      <x:c r="D13" s="20" t="e">
        <x:f aca="0">02_R8予算_年次計画置換!D9</x:f>
        <x:v>#NAME?</x:v>
      </x:c>
      <x:c r="E13" s="20" t="e">
        <x:f aca="0">02_R8予算_年次計画置換!E9</x:f>
        <x:v>#NAME?</x:v>
      </x:c>
      <x:c r="F13" s="20" t="e">
        <x:f aca="0">02_R8予算_年次計画置換!F9</x:f>
        <x:v>#NAME?</x:v>
      </x:c>
      <x:c r="G13" s="20" t="e">
        <x:f aca="0">02_R8予算_年次計画置換!G9</x:f>
        <x:v>#NAME?</x:v>
      </x:c>
      <x:c r="H13" s="20" t="e">
        <x:f aca="0">02_R8予算_年次計画置換!H9</x:f>
        <x:v>#NAME?</x:v>
      </x:c>
      <x:c r="I13" s="20" t="e">
        <x:f aca="0">02_R8予算_年次計画置換!I9</x:f>
        <x:v>#NAME?</x:v>
      </x:c>
      <x:c r="J13" s="20" t="e">
        <x:f aca="0">02_R8予算_年次計画置換!J9</x:f>
        <x:v>#NAME?</x:v>
      </x:c>
      <x:c r="K13" s="20" t="e">
        <x:f aca="0">02_R8予算_年次計画置換!K9</x:f>
        <x:v>#NAME?</x:v>
      </x:c>
    </x:row>
    <x:row r="14" ht="21.75" hidden="0" customHeight="1">
      <x:c r="A14" s="19" t="s">
        <x:v>140</x:v>
      </x:c>
      <x:c r="B14" s="20" t="e">
        <x:f aca="0">02_R8予算_年次計画置換!B12</x:f>
        <x:v>#NAME?</x:v>
      </x:c>
      <x:c r="C14" s="20" t="e">
        <x:f aca="0">02_R8予算_年次計画置換!C12</x:f>
        <x:v>#NAME?</x:v>
      </x:c>
      <x:c r="D14" s="20" t="e">
        <x:f aca="0">02_R8予算_年次計画置換!D12</x:f>
        <x:v>#NAME?</x:v>
      </x:c>
      <x:c r="E14" s="20" t="e">
        <x:f aca="0">02_R8予算_年次計画置換!E12</x:f>
        <x:v>#NAME?</x:v>
      </x:c>
      <x:c r="F14" s="20" t="e">
        <x:f aca="0">02_R8予算_年次計画置換!F12</x:f>
        <x:v>#NAME?</x:v>
      </x:c>
      <x:c r="G14" s="20" t="e">
        <x:f aca="0">02_R8予算_年次計画置換!G12</x:f>
        <x:v>#NAME?</x:v>
      </x:c>
      <x:c r="H14" s="20" t="e">
        <x:f aca="0">02_R8予算_年次計画置換!H12</x:f>
        <x:v>#NAME?</x:v>
      </x:c>
      <x:c r="I14" s="20" t="e">
        <x:f aca="0">02_R8予算_年次計画置換!I12</x:f>
        <x:v>#NAME?</x:v>
      </x:c>
      <x:c r="J14" s="20" t="e">
        <x:f aca="0">02_R8予算_年次計画置換!J12</x:f>
        <x:v>#NAME?</x:v>
      </x:c>
      <x:c r="K14" s="20" t="e">
        <x:f aca="0">02_R8予算_年次計画置換!K12</x:f>
        <x:v>#NAME?</x:v>
      </x:c>
    </x:row>
    <x:row r="15" ht="21.75" hidden="0" customHeight="1">
      <x:c r="A15" s="19" t="s">
        <x:v>141</x:v>
      </x:c>
      <x:c r="B15" s="20" t="e">
        <x:f aca="0">02_R8予算_年次計画置換!B11</x:f>
        <x:v>#NAME?</x:v>
      </x:c>
      <x:c r="C15" s="20" t="e">
        <x:f aca="0">02_R8予算_年次計画置換!C11</x:f>
        <x:v>#NAME?</x:v>
      </x:c>
      <x:c r="D15" s="20" t="e">
        <x:f aca="0">02_R8予算_年次計画置換!D11</x:f>
        <x:v>#NAME?</x:v>
      </x:c>
      <x:c r="E15" s="20" t="e">
        <x:f aca="0">02_R8予算_年次計画置換!E11</x:f>
        <x:v>#NAME?</x:v>
      </x:c>
      <x:c r="F15" s="20" t="e">
        <x:f aca="0">02_R8予算_年次計画置換!F11</x:f>
        <x:v>#NAME?</x:v>
      </x:c>
      <x:c r="G15" s="20" t="e">
        <x:f aca="0">02_R8予算_年次計画置換!G11</x:f>
        <x:v>#NAME?</x:v>
      </x:c>
      <x:c r="H15" s="20" t="e">
        <x:f aca="0">02_R8予算_年次計画置換!H11</x:f>
        <x:v>#NAME?</x:v>
      </x:c>
      <x:c r="I15" s="20" t="e">
        <x:f aca="0">02_R8予算_年次計画置換!I11</x:f>
        <x:v>#NAME?</x:v>
      </x:c>
      <x:c r="J15" s="20" t="e">
        <x:f aca="0">02_R8予算_年次計画置換!J11</x:f>
        <x:v>#NAME?</x:v>
      </x:c>
      <x:c r="K15" s="20" t="e">
        <x:f aca="0">02_R8予算_年次計画置換!K11</x:f>
        <x:v>#NAME?</x:v>
      </x:c>
    </x:row>
    <x:row r="16" ht="21.75" hidden="0" customHeight="1">
      <x:c r="A16" s="19" t="s">
        <x:v>62</x:v>
      </x:c>
      <x:c r="B16" s="20" t="e">
        <x:f aca="0">02_R8予算_年次計画置換!B14</x:f>
        <x:v>#NAME?</x:v>
      </x:c>
      <x:c r="C16" s="20" t="e">
        <x:f aca="0">02_R8予算_年次計画置換!C14</x:f>
        <x:v>#NAME?</x:v>
      </x:c>
      <x:c r="D16" s="20" t="e">
        <x:f aca="0">02_R8予算_年次計画置換!D14</x:f>
        <x:v>#NAME?</x:v>
      </x:c>
      <x:c r="E16" s="20" t="e">
        <x:f aca="0">02_R8予算_年次計画置換!E14</x:f>
        <x:v>#NAME?</x:v>
      </x:c>
      <x:c r="F16" s="20" t="e">
        <x:f aca="0">02_R8予算_年次計画置換!F14</x:f>
        <x:v>#NAME?</x:v>
      </x:c>
      <x:c r="G16" s="20" t="e">
        <x:f aca="0">02_R8予算_年次計画置換!G14</x:f>
        <x:v>#NAME?</x:v>
      </x:c>
      <x:c r="H16" s="20" t="e">
        <x:f aca="0">02_R8予算_年次計画置換!H14</x:f>
        <x:v>#NAME?</x:v>
      </x:c>
      <x:c r="I16" s="20" t="e">
        <x:f aca="0">02_R8予算_年次計画置換!I14</x:f>
        <x:v>#NAME?</x:v>
      </x:c>
      <x:c r="J16" s="20" t="e">
        <x:f aca="0">02_R8予算_年次計画置換!J14</x:f>
        <x:v>#NAME?</x:v>
      </x:c>
      <x:c r="K16" s="20" t="e">
        <x:f aca="0">02_R8予算_年次計画置換!K14</x:f>
        <x:v>#NAME?</x:v>
      </x:c>
    </x:row>
    <x:row r="17" ht="21.75" hidden="0" customHeight="1">
      <x:c r="A17" s="19" t="s">
        <x:v>142</x:v>
      </x:c>
      <x:c r="B17" s="20" t="e">
        <x:f aca="0">SUM(B9,B13,B16)</x:f>
        <x:v>#NAME?</x:v>
      </x:c>
      <x:c r="C17" s="20" t="e">
        <x:f aca="0">SUM(C9,C13,C16)</x:f>
        <x:v>#NAME?</x:v>
      </x:c>
      <x:c r="D17" s="20" t="e">
        <x:f aca="0">SUM(D9,D13,D16)</x:f>
        <x:v>#NAME?</x:v>
      </x:c>
      <x:c r="E17" s="20" t="e">
        <x:f aca="0">SUM(E9,E13,E16)</x:f>
        <x:v>#NAME?</x:v>
      </x:c>
      <x:c r="F17" s="20" t="e">
        <x:f aca="0">SUM(F9,F13,F16)</x:f>
        <x:v>#NAME?</x:v>
      </x:c>
      <x:c r="G17" s="20" t="e">
        <x:f aca="0">SUM(G9,G13,G16)</x:f>
        <x:v>#NAME?</x:v>
      </x:c>
      <x:c r="H17" s="20" t="e">
        <x:f aca="0">SUM(H9,H13,H16)</x:f>
        <x:v>#NAME?</x:v>
      </x:c>
      <x:c r="I17" s="20" t="e">
        <x:f aca="0">SUM(I9,I13,I16)</x:f>
        <x:v>#NAME?</x:v>
      </x:c>
      <x:c r="J17" s="20" t="e">
        <x:f aca="0">SUM(J9,J13,J16)</x:f>
        <x:v>#NAME?</x:v>
      </x:c>
      <x:c r="K17" s="20" t="e">
        <x:f aca="0">SUM(K9,K13,K16)</x:f>
        <x:v>#NAME?</x:v>
      </x:c>
    </x:row>
    <x:row r="18" ht="21.75" hidden="0" customHeight="1">
      <x:c r="A18" s="19"/>
      <x:c r="B18" s="20"/>
      <x:c r="C18" s="20"/>
      <x:c r="D18" s="20"/>
      <x:c r="E18" s="20"/>
      <x:c r="F18" s="20"/>
      <x:c r="G18" s="20"/>
      <x:c r="H18" s="20"/>
      <x:c r="I18" s="20"/>
      <x:c r="J18" s="20"/>
      <x:c r="K18" s="20"/>
    </x:row>
    <x:row r="19" ht="21.75" hidden="0" customHeight="1">
      <x:c r="A19" s="17" t="s">
        <x:v>63</x:v>
      </x:c>
      <x:c r="B19" s="18"/>
      <x:c r="C19" s="18"/>
      <x:c r="D19" s="18"/>
      <x:c r="E19" s="18"/>
      <x:c r="F19" s="18"/>
      <x:c r="G19" s="18"/>
      <x:c r="H19" s="18"/>
      <x:c r="I19" s="18"/>
      <x:c r="J19" s="18"/>
      <x:c r="K19" s="18"/>
    </x:row>
    <x:row r="20" ht="21.75" hidden="0" customHeight="1">
      <x:c r="A20" s="19" t="s">
        <x:v>65</x:v>
      </x:c>
      <x:c r="B20" s="20" t="e">
        <x:f aca="0">02_R8予算_年次計画置換!B18</x:f>
        <x:v>#NAME?</x:v>
      </x:c>
      <x:c r="C20" s="20" t="e">
        <x:f aca="0">02_R8予算_年次計画置換!C18</x:f>
        <x:v>#NAME?</x:v>
      </x:c>
      <x:c r="D20" s="20" t="e">
        <x:f aca="0">02_R8予算_年次計画置換!D18</x:f>
        <x:v>#NAME?</x:v>
      </x:c>
      <x:c r="E20" s="20" t="e">
        <x:f aca="0">02_R8予算_年次計画置換!E18</x:f>
        <x:v>#NAME?</x:v>
      </x:c>
      <x:c r="F20" s="20" t="e">
        <x:f aca="0">02_R8予算_年次計画置換!F18</x:f>
        <x:v>#NAME?</x:v>
      </x:c>
      <x:c r="G20" s="20" t="e">
        <x:f aca="0">02_R8予算_年次計画置換!G18</x:f>
        <x:v>#NAME?</x:v>
      </x:c>
      <x:c r="H20" s="20" t="e">
        <x:f aca="0">02_R8予算_年次計画置換!H18</x:f>
        <x:v>#NAME?</x:v>
      </x:c>
      <x:c r="I20" s="20" t="e">
        <x:f aca="0">02_R8予算_年次計画置換!I18</x:f>
        <x:v>#NAME?</x:v>
      </x:c>
      <x:c r="J20" s="20" t="e">
        <x:f aca="0">02_R8予算_年次計画置換!J18</x:f>
        <x:v>#NAME?</x:v>
      </x:c>
      <x:c r="K20" s="20" t="e">
        <x:f aca="0">02_R8予算_年次計画置換!K18</x:f>
        <x:v>#NAME?</x:v>
      </x:c>
    </x:row>
    <x:row r="21" ht="21.75" hidden="0" customHeight="1">
      <x:c r="A21" s="19" t="s">
        <x:v>143</x:v>
      </x:c>
      <x:c r="B21" s="20" t="e">
        <x:f aca="0">02_R8予算_年次計画置換!B25</x:f>
        <x:v>#NAME?</x:v>
      </x:c>
      <x:c r="C21" s="20" t="e">
        <x:f aca="0">02_R8予算_年次計画置換!C25</x:f>
        <x:v>#NAME?</x:v>
      </x:c>
      <x:c r="D21" s="20" t="e">
        <x:f aca="0">02_R8予算_年次計画置換!D25</x:f>
        <x:v>#NAME?</x:v>
      </x:c>
      <x:c r="E21" s="20" t="e">
        <x:f aca="0">02_R8予算_年次計画置換!E25</x:f>
        <x:v>#NAME?</x:v>
      </x:c>
      <x:c r="F21" s="20" t="e">
        <x:f aca="0">02_R8予算_年次計画置換!F25</x:f>
        <x:v>#NAME?</x:v>
      </x:c>
      <x:c r="G21" s="20" t="e">
        <x:f aca="0">02_R8予算_年次計画置換!G25</x:f>
        <x:v>#NAME?</x:v>
      </x:c>
      <x:c r="H21" s="20" t="e">
        <x:f aca="0">02_R8予算_年次計画置換!H25</x:f>
        <x:v>#NAME?</x:v>
      </x:c>
      <x:c r="I21" s="20" t="e">
        <x:f aca="0">02_R8予算_年次計画置換!I25</x:f>
        <x:v>#NAME?</x:v>
      </x:c>
      <x:c r="J21" s="20" t="e">
        <x:f aca="0">02_R8予算_年次計画置換!J25</x:f>
        <x:v>#NAME?</x:v>
      </x:c>
      <x:c r="K21" s="20" t="e">
        <x:f aca="0">02_R8予算_年次計画置換!K25</x:f>
        <x:v>#NAME?</x:v>
      </x:c>
    </x:row>
    <x:row r="22" ht="21.75" hidden="0" customHeight="1">
      <x:c r="A22" s="19" t="s">
        <x:v>144</x:v>
      </x:c>
      <x:c r="B22" s="20" t="e">
        <x:f aca="0">02_R8予算_年次計画置換!B26</x:f>
        <x:v>#NAME?</x:v>
      </x:c>
      <x:c r="C22" s="20" t="e">
        <x:f aca="0">02_R8予算_年次計画置換!C26</x:f>
        <x:v>#NAME?</x:v>
      </x:c>
      <x:c r="D22" s="20" t="e">
        <x:f aca="0">02_R8予算_年次計画置換!D26</x:f>
        <x:v>#NAME?</x:v>
      </x:c>
      <x:c r="E22" s="20" t="e">
        <x:f aca="0">02_R8予算_年次計画置換!E26</x:f>
        <x:v>#NAME?</x:v>
      </x:c>
      <x:c r="F22" s="20" t="e">
        <x:f aca="0">02_R8予算_年次計画置換!F26</x:f>
        <x:v>#NAME?</x:v>
      </x:c>
      <x:c r="G22" s="20" t="e">
        <x:f aca="0">02_R8予算_年次計画置換!G26</x:f>
        <x:v>#NAME?</x:v>
      </x:c>
      <x:c r="H22" s="20" t="e">
        <x:f aca="0">02_R8予算_年次計画置換!H26</x:f>
        <x:v>#NAME?</x:v>
      </x:c>
      <x:c r="I22" s="20" t="e">
        <x:f aca="0">02_R8予算_年次計画置換!I26</x:f>
        <x:v>#NAME?</x:v>
      </x:c>
      <x:c r="J22" s="20" t="e">
        <x:f aca="0">02_R8予算_年次計画置換!J26</x:f>
        <x:v>#NAME?</x:v>
      </x:c>
      <x:c r="K22" s="20" t="e">
        <x:f aca="0">02_R8予算_年次計画置換!K26</x:f>
        <x:v>#NAME?</x:v>
      </x:c>
    </x:row>
    <x:row r="23" ht="21.75" hidden="0" customHeight="1">
      <x:c r="A23" s="19" t="s">
        <x:v>75</x:v>
      </x:c>
      <x:c r="B23" s="20" t="e">
        <x:f aca="0">02_R8予算_年次計画置換!B28</x:f>
        <x:v>#NAME?</x:v>
      </x:c>
      <x:c r="C23" s="20" t="e">
        <x:f aca="0">02_R8予算_年次計画置換!C28</x:f>
        <x:v>#NAME?</x:v>
      </x:c>
      <x:c r="D23" s="20" t="e">
        <x:f aca="0">02_R8予算_年次計画置換!D28</x:f>
        <x:v>#NAME?</x:v>
      </x:c>
      <x:c r="E23" s="20" t="e">
        <x:f aca="0">02_R8予算_年次計画置換!E28</x:f>
        <x:v>#NAME?</x:v>
      </x:c>
      <x:c r="F23" s="20" t="e">
        <x:f aca="0">02_R8予算_年次計画置換!F28</x:f>
        <x:v>#NAME?</x:v>
      </x:c>
      <x:c r="G23" s="20" t="e">
        <x:f aca="0">02_R8予算_年次計画置換!G28</x:f>
        <x:v>#NAME?</x:v>
      </x:c>
      <x:c r="H23" s="20" t="e">
        <x:f aca="0">02_R8予算_年次計画置換!H28</x:f>
        <x:v>#NAME?</x:v>
      </x:c>
      <x:c r="I23" s="20" t="e">
        <x:f aca="0">02_R8予算_年次計画置換!I28</x:f>
        <x:v>#NAME?</x:v>
      </x:c>
      <x:c r="J23" s="20" t="e">
        <x:f aca="0">02_R8予算_年次計画置換!J28</x:f>
        <x:v>#NAME?</x:v>
      </x:c>
      <x:c r="K23" s="20" t="e">
        <x:f aca="0">02_R8予算_年次計画置換!K28</x:f>
        <x:v>#NAME?</x:v>
      </x:c>
    </x:row>
    <x:row r="24" ht="21.75" hidden="0" customHeight="1">
      <x:c r="A24" s="19" t="s">
        <x:v>145</x:v>
      </x:c>
      <x:c r="B24" s="20" t="e">
        <x:f aca="0">02_R8予算_年次計画置換!B29</x:f>
        <x:v>#NAME?</x:v>
      </x:c>
      <x:c r="C24" s="20" t="e">
        <x:f aca="0">02_R8予算_年次計画置換!C29</x:f>
        <x:v>#NAME?</x:v>
      </x:c>
      <x:c r="D24" s="20" t="e">
        <x:f aca="0">02_R8予算_年次計画置換!D29</x:f>
        <x:v>#NAME?</x:v>
      </x:c>
      <x:c r="E24" s="20" t="e">
        <x:f aca="0">02_R8予算_年次計画置換!E29</x:f>
        <x:v>#NAME?</x:v>
      </x:c>
      <x:c r="F24" s="20" t="e">
        <x:f aca="0">02_R8予算_年次計画置換!F29</x:f>
        <x:v>#NAME?</x:v>
      </x:c>
      <x:c r="G24" s="20" t="e">
        <x:f aca="0">02_R8予算_年次計画置換!G29</x:f>
        <x:v>#NAME?</x:v>
      </x:c>
      <x:c r="H24" s="20" t="e">
        <x:f aca="0">02_R8予算_年次計画置換!H29</x:f>
        <x:v>#NAME?</x:v>
      </x:c>
      <x:c r="I24" s="20" t="e">
        <x:f aca="0">02_R8予算_年次計画置換!I29</x:f>
        <x:v>#NAME?</x:v>
      </x:c>
      <x:c r="J24" s="20" t="e">
        <x:f aca="0">02_R8予算_年次計画置換!J29</x:f>
        <x:v>#NAME?</x:v>
      </x:c>
      <x:c r="K24" s="20" t="e">
        <x:f aca="0">02_R8予算_年次計画置換!K29</x:f>
        <x:v>#NAME?</x:v>
      </x:c>
    </x:row>
    <x:row r="25" ht="21.75" hidden="0" customHeight="1">
      <x:c r="A25" s="19" t="s">
        <x:v>78</x:v>
      </x:c>
      <x:c r="B25" s="20" t="e">
        <x:f aca="0">02_R8予算_年次計画置換!B31</x:f>
        <x:v>#NAME?</x:v>
      </x:c>
      <x:c r="C25" s="20" t="e">
        <x:f aca="0">02_R8予算_年次計画置換!C31</x:f>
        <x:v>#NAME?</x:v>
      </x:c>
      <x:c r="D25" s="20" t="e">
        <x:f aca="0">02_R8予算_年次計画置換!D31</x:f>
        <x:v>#NAME?</x:v>
      </x:c>
      <x:c r="E25" s="20" t="e">
        <x:f aca="0">02_R8予算_年次計画置換!E31</x:f>
        <x:v>#NAME?</x:v>
      </x:c>
      <x:c r="F25" s="20" t="e">
        <x:f aca="0">02_R8予算_年次計画置換!F31</x:f>
        <x:v>#NAME?</x:v>
      </x:c>
      <x:c r="G25" s="20" t="e">
        <x:f aca="0">02_R8予算_年次計画置換!G31</x:f>
        <x:v>#NAME?</x:v>
      </x:c>
      <x:c r="H25" s="20" t="e">
        <x:f aca="0">02_R8予算_年次計画置換!H31</x:f>
        <x:v>#NAME?</x:v>
      </x:c>
      <x:c r="I25" s="20" t="e">
        <x:f aca="0">02_R8予算_年次計画置換!I31</x:f>
        <x:v>#NAME?</x:v>
      </x:c>
      <x:c r="J25" s="20" t="e">
        <x:f aca="0">02_R8予算_年次計画置換!J31</x:f>
        <x:v>#NAME?</x:v>
      </x:c>
      <x:c r="K25" s="20" t="e">
        <x:f aca="0">02_R8予算_年次計画置換!K31</x:f>
        <x:v>#NAME?</x:v>
      </x:c>
    </x:row>
    <x:row r="26" ht="21.75" hidden="0" customHeight="1">
      <x:c r="A26" s="19" t="s">
        <x:v>146</x:v>
      </x:c>
      <x:c r="B26" s="20" t="e">
        <x:f aca="0">SUM(B20,B23,B25)</x:f>
        <x:v>#NAME?</x:v>
      </x:c>
      <x:c r="C26" s="20" t="e">
        <x:f aca="0">SUM(C20,C23,C25)</x:f>
        <x:v>#NAME?</x:v>
      </x:c>
      <x:c r="D26" s="20" t="e">
        <x:f aca="0">SUM(D20,D23,D25)</x:f>
        <x:v>#NAME?</x:v>
      </x:c>
      <x:c r="E26" s="20" t="e">
        <x:f aca="0">SUM(E20,E23,E25)</x:f>
        <x:v>#NAME?</x:v>
      </x:c>
      <x:c r="F26" s="20" t="e">
        <x:f aca="0">SUM(F20,F23,F25)</x:f>
        <x:v>#NAME?</x:v>
      </x:c>
      <x:c r="G26" s="20" t="e">
        <x:f aca="0">SUM(G20,G23,G25)</x:f>
        <x:v>#NAME?</x:v>
      </x:c>
      <x:c r="H26" s="20" t="e">
        <x:f aca="0">SUM(H20,H23,H25)</x:f>
        <x:v>#NAME?</x:v>
      </x:c>
      <x:c r="I26" s="20" t="e">
        <x:f aca="0">SUM(I20,I23,I25)</x:f>
        <x:v>#NAME?</x:v>
      </x:c>
      <x:c r="J26" s="20" t="e">
        <x:f aca="0">SUM(J20,J23,J25)</x:f>
        <x:v>#NAME?</x:v>
      </x:c>
      <x:c r="K26" s="20" t="e">
        <x:f aca="0">SUM(K20,K23,K25)</x:f>
        <x:v>#NAME?</x:v>
      </x:c>
    </x:row>
    <x:row r="27" ht="21.75" hidden="0" customHeight="1">
      <x:c r="A27" s="19" t="s">
        <x:v>147</x:v>
      </x:c>
      <x:c r="B27" s="20" t="e">
        <x:f aca="0">SUM(B9,B13)-SUM(B20,B23)</x:f>
        <x:v>#NAME?</x:v>
      </x:c>
      <x:c r="C27" s="20" t="e">
        <x:f aca="0">SUM(C9,C13)-SUM(C20,C23)</x:f>
        <x:v>#NAME?</x:v>
      </x:c>
      <x:c r="D27" s="20" t="e">
        <x:f aca="0">SUM(D9,D13)-SUM(D20,D23)</x:f>
        <x:v>#NAME?</x:v>
      </x:c>
      <x:c r="E27" s="20" t="e">
        <x:f aca="0">SUM(E9,E13)-SUM(E20,E23)</x:f>
        <x:v>#NAME?</x:v>
      </x:c>
      <x:c r="F27" s="20" t="e">
        <x:f aca="0">SUM(F9,F13)-SUM(F20,F23)</x:f>
        <x:v>#NAME?</x:v>
      </x:c>
      <x:c r="G27" s="20" t="e">
        <x:f aca="0">SUM(G9,G13)-SUM(G20,G23)</x:f>
        <x:v>#NAME?</x:v>
      </x:c>
      <x:c r="H27" s="20" t="e">
        <x:f aca="0">SUM(H9,H13)-SUM(H20,H23)</x:f>
        <x:v>#NAME?</x:v>
      </x:c>
      <x:c r="I27" s="20" t="e">
        <x:f aca="0">SUM(I9,I13)-SUM(I20,I23)</x:f>
        <x:v>#NAME?</x:v>
      </x:c>
      <x:c r="J27" s="20" t="e">
        <x:f aca="0">SUM(J9,J13)-SUM(J20,J23)</x:f>
        <x:v>#NAME?</x:v>
      </x:c>
      <x:c r="K27" s="20" t="e">
        <x:f aca="0">SUM(K9,K13)-SUM(K20,K23)</x:f>
        <x:v>#NAME?</x:v>
      </x:c>
    </x:row>
    <x:row r="28" ht="21.75" hidden="0" customHeight="1">
      <x:c r="A28" s="19" t="s">
        <x:v>148</x:v>
      </x:c>
      <x:c r="B28" s="20" t="e">
        <x:f aca="0">B27+B16-B25</x:f>
        <x:v>#NAME?</x:v>
      </x:c>
      <x:c r="C28" s="20" t="e">
        <x:f aca="0">C27+C16-C25</x:f>
        <x:v>#NAME?</x:v>
      </x:c>
      <x:c r="D28" s="20" t="e">
        <x:f aca="0">D27+D16-D25</x:f>
        <x:v>#NAME?</x:v>
      </x:c>
      <x:c r="E28" s="20" t="e">
        <x:f aca="0">E27+E16-E25</x:f>
        <x:v>#NAME?</x:v>
      </x:c>
      <x:c r="F28" s="20" t="e">
        <x:f aca="0">F27+F16-F25</x:f>
        <x:v>#NAME?</x:v>
      </x:c>
      <x:c r="G28" s="20" t="e">
        <x:f aca="0">G27+G16-G25</x:f>
        <x:v>#NAME?</x:v>
      </x:c>
      <x:c r="H28" s="20" t="e">
        <x:f aca="0">H27+H16-H25</x:f>
        <x:v>#NAME?</x:v>
      </x:c>
      <x:c r="I28" s="20" t="e">
        <x:f aca="0">I27+I16-I25</x:f>
        <x:v>#NAME?</x:v>
      </x:c>
      <x:c r="J28" s="20" t="e">
        <x:f aca="0">J27+J16-J25</x:f>
        <x:v>#NAME?</x:v>
      </x:c>
      <x:c r="K28" s="20" t="e">
        <x:f aca="0">K27+K16-K25</x:f>
        <x:v>#NAME?</x:v>
      </x:c>
    </x:row>
    <x:row r="29" ht="21.75" hidden="0" customHeight="1">
      <x:c r="A29" s="19"/>
      <x:c r="B29" s="20"/>
      <x:c r="C29" s="20"/>
      <x:c r="D29" s="20"/>
      <x:c r="E29" s="20"/>
      <x:c r="F29" s="20"/>
      <x:c r="G29" s="20"/>
      <x:c r="H29" s="20"/>
      <x:c r="I29" s="20"/>
      <x:c r="J29" s="20"/>
      <x:c r="K29" s="20"/>
    </x:row>
    <x:row r="30" ht="21.75" hidden="0" customHeight="1">
      <x:c r="A30" s="17" t="s">
        <x:v>149</x:v>
      </x:c>
      <x:c r="B30" s="18"/>
      <x:c r="C30" s="18"/>
      <x:c r="D30" s="18"/>
      <x:c r="E30" s="18"/>
      <x:c r="F30" s="18"/>
      <x:c r="G30" s="18"/>
      <x:c r="H30" s="18"/>
      <x:c r="I30" s="18"/>
      <x:c r="J30" s="18"/>
      <x:c r="K30" s="18"/>
    </x:row>
    <x:row r="31" ht="21.75" hidden="0" customHeight="1">
      <x:c r="A31" s="19" t="s">
        <x:v>150</x:v>
      </x:c>
      <x:c r="B31" s="21" t="n">
        <x:f aca="0">IFERROR((SUM(B9,B13)/SUM(B20,B23))*100,0)</x:f>
        <x:v>0</x:v>
      </x:c>
      <x:c r="C31" s="21" t="n">
        <x:f aca="0">IFERROR((SUM(C9,C13)/SUM(C20,C23))*100,0)</x:f>
        <x:v>0</x:v>
      </x:c>
      <x:c r="D31" s="21" t="n">
        <x:f aca="0">IFERROR((SUM(D9,D13)/SUM(D20,D23))*100,0)</x:f>
        <x:v>0</x:v>
      </x:c>
      <x:c r="E31" s="21" t="n">
        <x:f aca="0">IFERROR((SUM(E9,E13)/SUM(E20,E23))*100,0)</x:f>
        <x:v>0</x:v>
      </x:c>
      <x:c r="F31" s="21" t="n">
        <x:f aca="0">IFERROR((SUM(F9,F13)/SUM(F20,F23))*100,0)</x:f>
        <x:v>0</x:v>
      </x:c>
      <x:c r="G31" s="21" t="n">
        <x:f aca="0">IFERROR((SUM(G9,G13)/SUM(G20,G23))*100,0)</x:f>
        <x:v>0</x:v>
      </x:c>
      <x:c r="H31" s="21" t="n">
        <x:f aca="0">IFERROR((SUM(H9,H13)/SUM(H20,H23))*100,0)</x:f>
        <x:v>0</x:v>
      </x:c>
      <x:c r="I31" s="21" t="n">
        <x:f aca="0">IFERROR((SUM(I9,I13)/SUM(I20,I23))*100,0)</x:f>
        <x:v>0</x:v>
      </x:c>
      <x:c r="J31" s="21" t="n">
        <x:f aca="0">IFERROR((SUM(J9,J13)/SUM(J20,J23))*100,0)</x:f>
        <x:v>0</x:v>
      </x:c>
      <x:c r="K31" s="21" t="n">
        <x:f aca="0">IFERROR((SUM(K9,K13)/SUM(K20,K23))*100,0)</x:f>
        <x:v>0</x:v>
      </x:c>
    </x:row>
    <x:row r="32" ht="21.75" hidden="0" customHeight="1">
      <x:c r="A32" s="19" t="s">
        <x:v>151</x:v>
      </x:c>
      <x:c r="B32" s="21" t="n">
        <x:f aca="0">IFERROR(B10/B34*100,0)</x:f>
        <x:v>0</x:v>
      </x:c>
      <x:c r="C32" s="21" t="n">
        <x:f aca="0">IFERROR(C10/C34*100,0)</x:f>
        <x:v>0</x:v>
      </x:c>
      <x:c r="D32" s="21" t="n">
        <x:f aca="0">IFERROR(D10/D34*100,0)</x:f>
        <x:v>0</x:v>
      </x:c>
      <x:c r="E32" s="21" t="n">
        <x:f aca="0">IFERROR(E10/E34*100,0)</x:f>
        <x:v>0</x:v>
      </x:c>
      <x:c r="F32" s="21" t="n">
        <x:f aca="0">IFERROR(F10/F34*100,0)</x:f>
        <x:v>0</x:v>
      </x:c>
      <x:c r="G32" s="21" t="n">
        <x:f aca="0">IFERROR(G10/G34*100,0)</x:f>
        <x:v>0</x:v>
      </x:c>
      <x:c r="H32" s="21" t="n">
        <x:f aca="0">IFERROR(H10/H34*100,0)</x:f>
        <x:v>0</x:v>
      </x:c>
      <x:c r="I32" s="21" t="n">
        <x:f aca="0">IFERROR(I10/I34*100,0)</x:f>
        <x:v>0</x:v>
      </x:c>
      <x:c r="J32" s="21" t="n">
        <x:f aca="0">IFERROR(J10/J34*100,0)</x:f>
        <x:v>0</x:v>
      </x:c>
      <x:c r="K32" s="21" t="n">
        <x:f aca="0">IFERROR(K10/K34*100,0)</x:f>
        <x:v>0</x:v>
      </x:c>
    </x:row>
    <x:row r="33" ht="21.75" hidden="0" customHeight="1">
      <x:c r="A33" s="19" t="s">
        <x:v>152</x:v>
      </x:c>
      <x:c r="B33" s="21" t="n">
        <x:f aca="0">IFERROR(B10/B35*100,0)</x:f>
        <x:v>0</x:v>
      </x:c>
      <x:c r="C33" s="21" t="n">
        <x:f aca="0">IFERROR(C10/C35*100,0)</x:f>
        <x:v>0</x:v>
      </x:c>
      <x:c r="D33" s="21" t="n">
        <x:f aca="0">IFERROR(D10/D35*100,0)</x:f>
        <x:v>0</x:v>
      </x:c>
      <x:c r="E33" s="21" t="n">
        <x:f aca="0">IFERROR(E10/E35*100,0)</x:f>
        <x:v>0</x:v>
      </x:c>
      <x:c r="F33" s="21" t="n">
        <x:f aca="0">IFERROR(F10/F35*100,0)</x:f>
        <x:v>0</x:v>
      </x:c>
      <x:c r="G33" s="21" t="n">
        <x:f aca="0">IFERROR(G10/G35*100,0)</x:f>
        <x:v>0</x:v>
      </x:c>
      <x:c r="H33" s="21" t="n">
        <x:f aca="0">IFERROR(H10/H35*100,0)</x:f>
        <x:v>0</x:v>
      </x:c>
      <x:c r="I33" s="21" t="n">
        <x:f aca="0">IFERROR(I10/I35*100,0)</x:f>
        <x:v>0</x:v>
      </x:c>
      <x:c r="J33" s="21" t="n">
        <x:f aca="0">IFERROR(J10/J35*100,0)</x:f>
        <x:v>0</x:v>
      </x:c>
      <x:c r="K33" s="21" t="n">
        <x:f aca="0">IFERROR(K10/K35*100,0)</x:f>
        <x:v>0</x:v>
      </x:c>
    </x:row>
    <x:row r="34" ht="21.75" hidden="0" customHeight="1">
      <x:c r="A34" s="19" t="s">
        <x:v>153</x:v>
      </x:c>
      <x:c r="B34" s="20" t="e">
        <x:f aca="0">SUM(B20,B23)-B14</x:f>
        <x:v>#NAME?</x:v>
      </x:c>
      <x:c r="C34" s="20" t="e">
        <x:f aca="0">SUM(C20,C23)-C14</x:f>
        <x:v>#NAME?</x:v>
      </x:c>
      <x:c r="D34" s="20" t="e">
        <x:f aca="0">SUM(D20,D23)-D14</x:f>
        <x:v>#NAME?</x:v>
      </x:c>
      <x:c r="E34" s="20" t="e">
        <x:f aca="0">SUM(E20,E23)-E14</x:f>
        <x:v>#NAME?</x:v>
      </x:c>
      <x:c r="F34" s="20" t="e">
        <x:f aca="0">SUM(F20,F23)-F14</x:f>
        <x:v>#NAME?</x:v>
      </x:c>
      <x:c r="G34" s="20" t="e">
        <x:f aca="0">SUM(G20,G23)-G14</x:f>
        <x:v>#NAME?</x:v>
      </x:c>
      <x:c r="H34" s="20" t="e">
        <x:f aca="0">SUM(H20,H23)-H14</x:f>
        <x:v>#NAME?</x:v>
      </x:c>
      <x:c r="I34" s="20" t="e">
        <x:f aca="0">SUM(I20,I23)-I14</x:f>
        <x:v>#NAME?</x:v>
      </x:c>
      <x:c r="J34" s="20" t="e">
        <x:f aca="0">SUM(J20,J23)-J14</x:f>
        <x:v>#NAME?</x:v>
      </x:c>
      <x:c r="K34" s="20" t="e">
        <x:f aca="0">SUM(K20,K23)-K14</x:f>
        <x:v>#NAME?</x:v>
      </x:c>
    </x:row>
    <x:row r="35" ht="21.75" hidden="0" customHeight="1">
      <x:c r="A35" s="19" t="s">
        <x:v>154</x:v>
      </x:c>
      <x:c r="B35" s="20" t="e">
        <x:f aca="0">B34+$B$5</x:f>
        <x:v>#NAME?</x:v>
      </x:c>
      <x:c r="C35" s="20" t="e">
        <x:f aca="0">C34+$B$5</x:f>
        <x:v>#NAME?</x:v>
      </x:c>
      <x:c r="D35" s="20" t="e">
        <x:f aca="0">D34+$B$5</x:f>
        <x:v>#NAME?</x:v>
      </x:c>
      <x:c r="E35" s="20" t="e">
        <x:f aca="0">E34+$B$5</x:f>
        <x:v>#NAME?</x:v>
      </x:c>
      <x:c r="F35" s="20" t="e">
        <x:f aca="0">F34+$B$5</x:f>
        <x:v>#NAME?</x:v>
      </x:c>
      <x:c r="G35" s="20" t="e">
        <x:f aca="0">G34+$B$5</x:f>
        <x:v>#NAME?</x:v>
      </x:c>
      <x:c r="H35" s="20" t="e">
        <x:f aca="0">H34+$B$5</x:f>
        <x:v>#NAME?</x:v>
      </x:c>
      <x:c r="I35" s="20" t="e">
        <x:f aca="0">I34+$B$5</x:f>
        <x:v>#NAME?</x:v>
      </x:c>
      <x:c r="J35" s="20" t="e">
        <x:f aca="0">J34+$B$5</x:f>
        <x:v>#NAME?</x:v>
      </x:c>
      <x:c r="K35" s="20" t="e">
        <x:f aca="0">K34+$B$5</x:f>
        <x:v>#NAME?</x:v>
      </x:c>
    </x:row>
    <x:row r="36" ht="21.75" hidden="0" customHeight="1">
      <x:c r="A36" s="19" t="s">
        <x:v>155</x:v>
      </x:c>
      <x:c r="B36" s="20" t="n">
        <x:f aca="0">IFERROR(B10/(B20+B23-B14-B12-B15+$B$5)*100,0)</x:f>
        <x:v>0</x:v>
      </x:c>
      <x:c r="C36" s="20" t="n">
        <x:f aca="0">IFERROR(C10/(C20+C23-C14-C12-C15+$B$5)*100,0)</x:f>
        <x:v>0</x:v>
      </x:c>
      <x:c r="D36" s="20" t="n">
        <x:f aca="0">IFERROR(D10/(D20+D23-D14-D12-D15+$B$5)*100,0)</x:f>
        <x:v>0</x:v>
      </x:c>
      <x:c r="E36" s="20" t="n">
        <x:f aca="0">IFERROR(E10/(E20+E23-E14-E12-E15+$B$5)*100,0)</x:f>
        <x:v>0</x:v>
      </x:c>
      <x:c r="F36" s="20" t="n">
        <x:f aca="0">IFERROR(F10/(F20+F23-F14-F12-F15+$B$5)*100,0)</x:f>
        <x:v>0</x:v>
      </x:c>
      <x:c r="G36" s="20" t="n">
        <x:f aca="0">IFERROR(G10/(G20+G23-G14-G12-G15+$B$5)*100,0)</x:f>
        <x:v>0</x:v>
      </x:c>
      <x:c r="H36" s="20" t="n">
        <x:f aca="0">IFERROR(H10/(H20+H23-H14-H12-H15+$B$5)*100,0)</x:f>
        <x:v>0</x:v>
      </x:c>
      <x:c r="I36" s="20" t="n">
        <x:f aca="0">IFERROR(I10/(I20+I23-I14-I12-I15+$B$5)*100,0)</x:f>
        <x:v>0</x:v>
      </x:c>
      <x:c r="J36" s="20" t="n">
        <x:f aca="0">IFERROR(J10/(J20+J23-J14-J12-J15+$B$5)*100,0)</x:f>
        <x:v>0</x:v>
      </x:c>
      <x:c r="K36" s="20" t="n">
        <x:f aca="0">IFERROR(K10/(K20+K23-K14-K12-K15+$B$5)*100,0)</x:f>
        <x:v>0</x:v>
      </x:c>
    </x:row>
    <x:row r="37" ht="21.75" hidden="0" customHeight="1">
      <x:c r="A37" s="19" t="s">
        <x:v>156</x:v>
      </x:c>
      <x:c r="B37" s="20" t="str">
        <x:f aca="0">IF(B33&lt;=B32,"OK","要確認")</x:f>
        <x:v>OK</x:v>
      </x:c>
      <x:c r="C37" s="20" t="str">
        <x:f aca="0">IF(C33&lt;=C32,"OK","要確認")</x:f>
        <x:v>OK</x:v>
      </x:c>
      <x:c r="D37" s="20" t="str">
        <x:f aca="0">IF(D33&lt;=D32,"OK","要確認")</x:f>
        <x:v>OK</x:v>
      </x:c>
      <x:c r="E37" s="20" t="str">
        <x:f aca="0">IF(E33&lt;=E32,"OK","要確認")</x:f>
        <x:v>OK</x:v>
      </x:c>
      <x:c r="F37" s="20" t="str">
        <x:f aca="0">IF(F33&lt;=F32,"OK","要確認")</x:f>
        <x:v>OK</x:v>
      </x:c>
      <x:c r="G37" s="20" t="str">
        <x:f aca="0">IF(G33&lt;=G32,"OK","要確認")</x:f>
        <x:v>OK</x:v>
      </x:c>
      <x:c r="H37" s="20" t="str">
        <x:f aca="0">IF(H33&lt;=H32,"OK","要確認")</x:f>
        <x:v>OK</x:v>
      </x:c>
      <x:c r="I37" s="20" t="str">
        <x:f aca="0">IF(I33&lt;=I32,"OK","要確認")</x:f>
        <x:v>OK</x:v>
      </x:c>
      <x:c r="J37" s="20" t="str">
        <x:f aca="0">IF(J33&lt;=J32,"OK","要確認")</x:f>
        <x:v>OK</x:v>
      </x:c>
      <x:c r="K37" s="20" t="str">
        <x:f aca="0">IF(K33&lt;=K32,"OK","要確認")</x:f>
        <x:v>OK</x:v>
      </x:c>
    </x:row>
    <x:row r="38" ht="21.75" hidden="0" customHeight="1">
      <x:c r="A38" s="19"/>
      <x:c r="B38" s="20"/>
      <x:c r="C38" s="20"/>
      <x:c r="D38" s="20"/>
      <x:c r="E38" s="20"/>
      <x:c r="F38" s="20"/>
      <x:c r="G38" s="20"/>
      <x:c r="H38" s="20"/>
      <x:c r="I38" s="20"/>
      <x:c r="J38" s="20"/>
      <x:c r="K38" s="20"/>
    </x:row>
    <x:row r="39" ht="21.75" hidden="0" customHeight="1">
      <x:c r="A39" s="17" t="s">
        <x:v>79</x:v>
      </x:c>
      <x:c r="B39" s="18"/>
      <x:c r="C39" s="18"/>
      <x:c r="D39" s="18"/>
      <x:c r="E39" s="18"/>
      <x:c r="F39" s="18"/>
      <x:c r="G39" s="18"/>
      <x:c r="H39" s="18"/>
      <x:c r="I39" s="18"/>
      <x:c r="J39" s="18"/>
      <x:c r="K39" s="18"/>
    </x:row>
    <x:row r="40" ht="21.75" hidden="0" customHeight="1">
      <x:c r="A40" s="19" t="s">
        <x:v>80</x:v>
      </x:c>
      <x:c r="B40" s="20" t="e">
        <x:f aca="0">02_R8予算_年次計画置換!B34</x:f>
        <x:v>#NAME?</x:v>
      </x:c>
      <x:c r="C40" s="20" t="e">
        <x:f aca="0">02_R8予算_年次計画置換!C34</x:f>
        <x:v>#NAME?</x:v>
      </x:c>
      <x:c r="D40" s="20" t="e">
        <x:f aca="0">02_R8予算_年次計画置換!D34</x:f>
        <x:v>#NAME?</x:v>
      </x:c>
      <x:c r="E40" s="20" t="e">
        <x:f aca="0">02_R8予算_年次計画置換!E34</x:f>
        <x:v>#NAME?</x:v>
      </x:c>
      <x:c r="F40" s="20" t="e">
        <x:f aca="0">02_R8予算_年次計画置換!F34</x:f>
        <x:v>#NAME?</x:v>
      </x:c>
      <x:c r="G40" s="20" t="e">
        <x:f aca="0">02_R8予算_年次計画置換!G34</x:f>
        <x:v>#NAME?</x:v>
      </x:c>
      <x:c r="H40" s="20" t="e">
        <x:f aca="0">02_R8予算_年次計画置換!H34</x:f>
        <x:v>#NAME?</x:v>
      </x:c>
      <x:c r="I40" s="20" t="e">
        <x:f aca="0">02_R8予算_年次計画置換!I34</x:f>
        <x:v>#NAME?</x:v>
      </x:c>
      <x:c r="J40" s="20" t="e">
        <x:f aca="0">02_R8予算_年次計画置換!J34</x:f>
        <x:v>#NAME?</x:v>
      </x:c>
      <x:c r="K40" s="20" t="e">
        <x:f aca="0">02_R8予算_年次計画置換!K34</x:f>
        <x:v>#NAME?</x:v>
      </x:c>
    </x:row>
    <x:row r="41" ht="21.75" hidden="0" customHeight="1">
      <x:c r="A41" s="19" t="s">
        <x:v>81</x:v>
      </x:c>
      <x:c r="B41" s="20" t="e">
        <x:f aca="0">02_R8予算_年次計画置換!B35</x:f>
        <x:v>#NAME?</x:v>
      </x:c>
      <x:c r="C41" s="20" t="e">
        <x:f aca="0">02_R8予算_年次計画置換!C35</x:f>
        <x:v>#NAME?</x:v>
      </x:c>
      <x:c r="D41" s="20" t="e">
        <x:f aca="0">02_R8予算_年次計画置換!D35</x:f>
        <x:v>#NAME?</x:v>
      </x:c>
      <x:c r="E41" s="20" t="e">
        <x:f aca="0">02_R8予算_年次計画置換!E35</x:f>
        <x:v>#NAME?</x:v>
      </x:c>
      <x:c r="F41" s="20" t="e">
        <x:f aca="0">02_R8予算_年次計画置換!F35</x:f>
        <x:v>#NAME?</x:v>
      </x:c>
      <x:c r="G41" s="20" t="e">
        <x:f aca="0">02_R8予算_年次計画置換!G35</x:f>
        <x:v>#NAME?</x:v>
      </x:c>
      <x:c r="H41" s="20" t="e">
        <x:f aca="0">02_R8予算_年次計画置換!H35</x:f>
        <x:v>#NAME?</x:v>
      </x:c>
      <x:c r="I41" s="20" t="e">
        <x:f aca="0">02_R8予算_年次計画置換!I35</x:f>
        <x:v>#NAME?</x:v>
      </x:c>
      <x:c r="J41" s="20" t="e">
        <x:f aca="0">02_R8予算_年次計画置換!J35</x:f>
        <x:v>#NAME?</x:v>
      </x:c>
      <x:c r="K41" s="20" t="e">
        <x:f aca="0">02_R8予算_年次計画置換!K35</x:f>
        <x:v>#NAME?</x:v>
      </x:c>
    </x:row>
    <x:row r="42" ht="21.75" hidden="0" customHeight="1">
      <x:c r="A42" s="19" t="s">
        <x:v>82</x:v>
      </x:c>
      <x:c r="B42" s="20" t="e">
        <x:f aca="0">02_R8予算_年次計画置換!B36</x:f>
        <x:v>#NAME?</x:v>
      </x:c>
      <x:c r="C42" s="20" t="e">
        <x:f aca="0">02_R8予算_年次計画置換!C36</x:f>
        <x:v>#NAME?</x:v>
      </x:c>
      <x:c r="D42" s="20" t="e">
        <x:f aca="0">02_R8予算_年次計画置換!D36</x:f>
        <x:v>#NAME?</x:v>
      </x:c>
      <x:c r="E42" s="20" t="e">
        <x:f aca="0">02_R8予算_年次計画置換!E36</x:f>
        <x:v>#NAME?</x:v>
      </x:c>
      <x:c r="F42" s="20" t="e">
        <x:f aca="0">02_R8予算_年次計画置換!F36</x:f>
        <x:v>#NAME?</x:v>
      </x:c>
      <x:c r="G42" s="20" t="e">
        <x:f aca="0">02_R8予算_年次計画置換!G36</x:f>
        <x:v>#NAME?</x:v>
      </x:c>
      <x:c r="H42" s="20" t="e">
        <x:f aca="0">02_R8予算_年次計画置換!H36</x:f>
        <x:v>#NAME?</x:v>
      </x:c>
      <x:c r="I42" s="20" t="e">
        <x:f aca="0">02_R8予算_年次計画置換!I36</x:f>
        <x:v>#NAME?</x:v>
      </x:c>
      <x:c r="J42" s="20" t="e">
        <x:f aca="0">02_R8予算_年次計画置換!J36</x:f>
        <x:v>#NAME?</x:v>
      </x:c>
      <x:c r="K42" s="20" t="e">
        <x:f aca="0">02_R8予算_年次計画置換!K36</x:f>
        <x:v>#NAME?</x:v>
      </x:c>
    </x:row>
    <x:row r="43" ht="21.75" hidden="0" customHeight="1">
      <x:c r="A43" s="19" t="s">
        <x:v>83</x:v>
      </x:c>
      <x:c r="B43" s="20" t="e">
        <x:f aca="0">02_R8予算_年次計画置換!B37</x:f>
        <x:v>#NAME?</x:v>
      </x:c>
      <x:c r="C43" s="20" t="e">
        <x:f aca="0">02_R8予算_年次計画置換!C37</x:f>
        <x:v>#NAME?</x:v>
      </x:c>
      <x:c r="D43" s="20" t="e">
        <x:f aca="0">02_R8予算_年次計画置換!D37</x:f>
        <x:v>#NAME?</x:v>
      </x:c>
      <x:c r="E43" s="20" t="e">
        <x:f aca="0">02_R8予算_年次計画置換!E37</x:f>
        <x:v>#NAME?</x:v>
      </x:c>
      <x:c r="F43" s="20" t="e">
        <x:f aca="0">02_R8予算_年次計画置換!F37</x:f>
        <x:v>#NAME?</x:v>
      </x:c>
      <x:c r="G43" s="20" t="e">
        <x:f aca="0">02_R8予算_年次計画置換!G37</x:f>
        <x:v>#NAME?</x:v>
      </x:c>
      <x:c r="H43" s="20" t="e">
        <x:f aca="0">02_R8予算_年次計画置換!H37</x:f>
        <x:v>#NAME?</x:v>
      </x:c>
      <x:c r="I43" s="20" t="e">
        <x:f aca="0">02_R8予算_年次計画置換!I37</x:f>
        <x:v>#NAME?</x:v>
      </x:c>
      <x:c r="J43" s="20" t="e">
        <x:f aca="0">02_R8予算_年次計画置換!J37</x:f>
        <x:v>#NAME?</x:v>
      </x:c>
      <x:c r="K43" s="20" t="e">
        <x:f aca="0">02_R8予算_年次計画置換!K37</x:f>
        <x:v>#NAME?</x:v>
      </x:c>
    </x:row>
    <x:row r="44" ht="21.75" hidden="0" customHeight="1">
      <x:c r="A44" s="19" t="s">
        <x:v>84</x:v>
      </x:c>
      <x:c r="B44" s="20" t="e">
        <x:f aca="0">02_R8予算_年次計画置換!B38</x:f>
        <x:v>#NAME?</x:v>
      </x:c>
      <x:c r="C44" s="20" t="e">
        <x:f aca="0">02_R8予算_年次計画置換!C38</x:f>
        <x:v>#NAME?</x:v>
      </x:c>
      <x:c r="D44" s="20" t="e">
        <x:f aca="0">02_R8予算_年次計画置換!D38</x:f>
        <x:v>#NAME?</x:v>
      </x:c>
      <x:c r="E44" s="20" t="e">
        <x:f aca="0">02_R8予算_年次計画置換!E38</x:f>
        <x:v>#NAME?</x:v>
      </x:c>
      <x:c r="F44" s="20" t="e">
        <x:f aca="0">02_R8予算_年次計画置換!F38</x:f>
        <x:v>#NAME?</x:v>
      </x:c>
      <x:c r="G44" s="20" t="e">
        <x:f aca="0">02_R8予算_年次計画置換!G38</x:f>
        <x:v>#NAME?</x:v>
      </x:c>
      <x:c r="H44" s="20" t="e">
        <x:f aca="0">02_R8予算_年次計画置換!H38</x:f>
        <x:v>#NAME?</x:v>
      </x:c>
      <x:c r="I44" s="20" t="e">
        <x:f aca="0">02_R8予算_年次計画置換!I38</x:f>
        <x:v>#NAME?</x:v>
      </x:c>
      <x:c r="J44" s="20" t="e">
        <x:f aca="0">02_R8予算_年次計画置換!J38</x:f>
        <x:v>#NAME?</x:v>
      </x:c>
      <x:c r="K44" s="20" t="e">
        <x:f aca="0">02_R8予算_年次計画置換!K38</x:f>
        <x:v>#NAME?</x:v>
      </x:c>
    </x:row>
    <x:row r="45" ht="21.75" hidden="0" customHeight="1">
      <x:c r="A45" s="19" t="s">
        <x:v>85</x:v>
      </x:c>
      <x:c r="B45" s="20" t="e">
        <x:f aca="0">02_R8予算_年次計画置換!B39</x:f>
        <x:v>#NAME?</x:v>
      </x:c>
      <x:c r="C45" s="20" t="e">
        <x:f aca="0">02_R8予算_年次計画置換!C39</x:f>
        <x:v>#NAME?</x:v>
      </x:c>
      <x:c r="D45" s="20" t="e">
        <x:f aca="0">02_R8予算_年次計画置換!D39</x:f>
        <x:v>#NAME?</x:v>
      </x:c>
      <x:c r="E45" s="20" t="e">
        <x:f aca="0">02_R8予算_年次計画置換!E39</x:f>
        <x:v>#NAME?</x:v>
      </x:c>
      <x:c r="F45" s="20" t="e">
        <x:f aca="0">02_R8予算_年次計画置換!F39</x:f>
        <x:v>#NAME?</x:v>
      </x:c>
      <x:c r="G45" s="20" t="e">
        <x:f aca="0">02_R8予算_年次計画置換!G39</x:f>
        <x:v>#NAME?</x:v>
      </x:c>
      <x:c r="H45" s="20" t="e">
        <x:f aca="0">02_R8予算_年次計画置換!H39</x:f>
        <x:v>#NAME?</x:v>
      </x:c>
      <x:c r="I45" s="20" t="e">
        <x:f aca="0">02_R8予算_年次計画置換!I39</x:f>
        <x:v>#NAME?</x:v>
      </x:c>
      <x:c r="J45" s="20" t="e">
        <x:f aca="0">02_R8予算_年次計画置換!J39</x:f>
        <x:v>#NAME?</x:v>
      </x:c>
      <x:c r="K45" s="20" t="e">
        <x:f aca="0">02_R8予算_年次計画置換!K39</x:f>
        <x:v>#NAME?</x:v>
      </x:c>
    </x:row>
    <x:row r="46" ht="21.75" hidden="0" customHeight="1">
      <x:c r="A46" s="19" t="s">
        <x:v>86</x:v>
      </x:c>
      <x:c r="B46" s="20" t="e">
        <x:f aca="0">02_R8予算_年次計画置換!B40</x:f>
        <x:v>#NAME?</x:v>
      </x:c>
      <x:c r="C46" s="20" t="e">
        <x:f aca="0">02_R8予算_年次計画置換!C40</x:f>
        <x:v>#NAME?</x:v>
      </x:c>
      <x:c r="D46" s="20" t="e">
        <x:f aca="0">02_R8予算_年次計画置換!D40</x:f>
        <x:v>#NAME?</x:v>
      </x:c>
      <x:c r="E46" s="20" t="e">
        <x:f aca="0">02_R8予算_年次計画置換!E40</x:f>
        <x:v>#NAME?</x:v>
      </x:c>
      <x:c r="F46" s="20" t="e">
        <x:f aca="0">02_R8予算_年次計画置換!F40</x:f>
        <x:v>#NAME?</x:v>
      </x:c>
      <x:c r="G46" s="20" t="e">
        <x:f aca="0">02_R8予算_年次計画置換!G40</x:f>
        <x:v>#NAME?</x:v>
      </x:c>
      <x:c r="H46" s="20" t="e">
        <x:f aca="0">02_R8予算_年次計画置換!H40</x:f>
        <x:v>#NAME?</x:v>
      </x:c>
      <x:c r="I46" s="20" t="e">
        <x:f aca="0">02_R8予算_年次計画置換!I40</x:f>
        <x:v>#NAME?</x:v>
      </x:c>
      <x:c r="J46" s="20" t="e">
        <x:f aca="0">02_R8予算_年次計画置換!J40</x:f>
        <x:v>#NAME?</x:v>
      </x:c>
      <x:c r="K46" s="20" t="e">
        <x:f aca="0">02_R8予算_年次計画置換!K40</x:f>
        <x:v>#NAME?</x:v>
      </x:c>
    </x:row>
    <x:row r="47" ht="21.75" hidden="0" customHeight="1">
      <x:c r="A47" s="19" t="s">
        <x:v>87</x:v>
      </x:c>
      <x:c r="B47" s="20" t="e">
        <x:f aca="0">02_R8予算_年次計画置換!B41</x:f>
        <x:v>#NAME?</x:v>
      </x:c>
      <x:c r="C47" s="20" t="e">
        <x:f aca="0">02_R8予算_年次計画置換!C41</x:f>
        <x:v>#NAME?</x:v>
      </x:c>
      <x:c r="D47" s="20" t="e">
        <x:f aca="0">02_R8予算_年次計画置換!D41</x:f>
        <x:v>#NAME?</x:v>
      </x:c>
      <x:c r="E47" s="20" t="e">
        <x:f aca="0">02_R8予算_年次計画置換!E41</x:f>
        <x:v>#NAME?</x:v>
      </x:c>
      <x:c r="F47" s="20" t="e">
        <x:f aca="0">02_R8予算_年次計画置換!F41</x:f>
        <x:v>#NAME?</x:v>
      </x:c>
      <x:c r="G47" s="20" t="e">
        <x:f aca="0">02_R8予算_年次計画置換!G41</x:f>
        <x:v>#NAME?</x:v>
      </x:c>
      <x:c r="H47" s="20" t="e">
        <x:f aca="0">02_R8予算_年次計画置換!H41</x:f>
        <x:v>#NAME?</x:v>
      </x:c>
      <x:c r="I47" s="20" t="e">
        <x:f aca="0">02_R8予算_年次計画置換!I41</x:f>
        <x:v>#NAME?</x:v>
      </x:c>
      <x:c r="J47" s="20" t="e">
        <x:f aca="0">02_R8予算_年次計画置換!J41</x:f>
        <x:v>#NAME?</x:v>
      </x:c>
      <x:c r="K47" s="20" t="e">
        <x:f aca="0">02_R8予算_年次計画置換!K41</x:f>
        <x:v>#NAME?</x:v>
      </x:c>
    </x:row>
    <x:row r="48" ht="21.75" hidden="0" customHeight="1">
      <x:c r="A48" s="19"/>
      <x:c r="B48" s="20"/>
      <x:c r="C48" s="20"/>
      <x:c r="D48" s="20"/>
      <x:c r="E48" s="20"/>
      <x:c r="F48" s="20"/>
      <x:c r="G48" s="20"/>
      <x:c r="H48" s="20"/>
      <x:c r="I48" s="20"/>
      <x:c r="J48" s="20"/>
      <x:c r="K48" s="20"/>
    </x:row>
    <x:row r="49" ht="21.75" hidden="0" customHeight="1">
      <x:c r="A49" s="17" t="s">
        <x:v>88</x:v>
      </x:c>
      <x:c r="B49" s="18"/>
      <x:c r="C49" s="18"/>
      <x:c r="D49" s="18"/>
      <x:c r="E49" s="18"/>
      <x:c r="F49" s="18"/>
      <x:c r="G49" s="18"/>
      <x:c r="H49" s="18"/>
      <x:c r="I49" s="18"/>
      <x:c r="J49" s="18"/>
      <x:c r="K49" s="18"/>
    </x:row>
    <x:row r="50" ht="21.75" hidden="0" customHeight="1">
      <x:c r="A50" s="19" t="s">
        <x:v>89</x:v>
      </x:c>
      <x:c r="B50" s="20" t="e">
        <x:f aca="0">02_R8予算_年次計画置換!B44</x:f>
        <x:v>#NAME?</x:v>
      </x:c>
      <x:c r="C50" s="20" t="e">
        <x:f aca="0">02_R8予算_年次計画置換!C44</x:f>
        <x:v>#NAME?</x:v>
      </x:c>
      <x:c r="D50" s="20" t="e">
        <x:f aca="0">02_R8予算_年次計画置換!D44</x:f>
        <x:v>#NAME?</x:v>
      </x:c>
      <x:c r="E50" s="20" t="e">
        <x:f aca="0">02_R8予算_年次計画置換!E44</x:f>
        <x:v>#NAME?</x:v>
      </x:c>
      <x:c r="F50" s="20" t="e">
        <x:f aca="0">02_R8予算_年次計画置換!F44</x:f>
        <x:v>#NAME?</x:v>
      </x:c>
      <x:c r="G50" s="20" t="e">
        <x:f aca="0">02_R8予算_年次計画置換!G44</x:f>
        <x:v>#NAME?</x:v>
      </x:c>
      <x:c r="H50" s="20" t="e">
        <x:f aca="0">02_R8予算_年次計画置換!H44</x:f>
        <x:v>#NAME?</x:v>
      </x:c>
      <x:c r="I50" s="20" t="e">
        <x:f aca="0">02_R8予算_年次計画置換!I44</x:f>
        <x:v>#NAME?</x:v>
      </x:c>
      <x:c r="J50" s="20" t="e">
        <x:f aca="0">02_R8予算_年次計画置換!J44</x:f>
        <x:v>#NAME?</x:v>
      </x:c>
      <x:c r="K50" s="20" t="e">
        <x:f aca="0">02_R8予算_年次計画置換!K44</x:f>
        <x:v>#NAME?</x:v>
      </x:c>
    </x:row>
    <x:row r="51" ht="21.75" hidden="0" customHeight="1">
      <x:c r="A51" s="19" t="s">
        <x:v>90</x:v>
      </x:c>
      <x:c r="B51" s="20" t="e">
        <x:f aca="0">02_R8予算_年次計画置換!B45</x:f>
        <x:v>#NAME?</x:v>
      </x:c>
      <x:c r="C51" s="20" t="e">
        <x:f aca="0">02_R8予算_年次計画置換!C45</x:f>
        <x:v>#NAME?</x:v>
      </x:c>
      <x:c r="D51" s="20" t="e">
        <x:f aca="0">02_R8予算_年次計画置換!D45</x:f>
        <x:v>#NAME?</x:v>
      </x:c>
      <x:c r="E51" s="20" t="e">
        <x:f aca="0">02_R8予算_年次計画置換!E45</x:f>
        <x:v>#NAME?</x:v>
      </x:c>
      <x:c r="F51" s="20" t="e">
        <x:f aca="0">02_R8予算_年次計画置換!F45</x:f>
        <x:v>#NAME?</x:v>
      </x:c>
      <x:c r="G51" s="20" t="e">
        <x:f aca="0">02_R8予算_年次計画置換!G45</x:f>
        <x:v>#NAME?</x:v>
      </x:c>
      <x:c r="H51" s="20" t="e">
        <x:f aca="0">02_R8予算_年次計画置換!H45</x:f>
        <x:v>#NAME?</x:v>
      </x:c>
      <x:c r="I51" s="20" t="e">
        <x:f aca="0">02_R8予算_年次計画置換!I45</x:f>
        <x:v>#NAME?</x:v>
      </x:c>
      <x:c r="J51" s="20" t="e">
        <x:f aca="0">02_R8予算_年次計画置換!J45</x:f>
        <x:v>#NAME?</x:v>
      </x:c>
      <x:c r="K51" s="20" t="e">
        <x:f aca="0">02_R8予算_年次計画置換!K45</x:f>
        <x:v>#NAME?</x:v>
      </x:c>
    </x:row>
    <x:row r="52" ht="21.75" hidden="0" customHeight="1">
      <x:c r="A52" s="19" t="s">
        <x:v>91</x:v>
      </x:c>
      <x:c r="B52" s="20" t="e">
        <x:f aca="0">02_R8予算_年次計画置換!B46</x:f>
        <x:v>#NAME?</x:v>
      </x:c>
      <x:c r="C52" s="20" t="e">
        <x:f aca="0">02_R8予算_年次計画置換!C46</x:f>
        <x:v>#NAME?</x:v>
      </x:c>
      <x:c r="D52" s="20" t="e">
        <x:f aca="0">02_R8予算_年次計画置換!D46</x:f>
        <x:v>#NAME?</x:v>
      </x:c>
      <x:c r="E52" s="20" t="e">
        <x:f aca="0">02_R8予算_年次計画置換!E46</x:f>
        <x:v>#NAME?</x:v>
      </x:c>
      <x:c r="F52" s="20" t="e">
        <x:f aca="0">02_R8予算_年次計画置換!F46</x:f>
        <x:v>#NAME?</x:v>
      </x:c>
      <x:c r="G52" s="20" t="e">
        <x:f aca="0">02_R8予算_年次計画置換!G46</x:f>
        <x:v>#NAME?</x:v>
      </x:c>
      <x:c r="H52" s="20" t="e">
        <x:f aca="0">02_R8予算_年次計画置換!H46</x:f>
        <x:v>#NAME?</x:v>
      </x:c>
      <x:c r="I52" s="20" t="e">
        <x:f aca="0">02_R8予算_年次計画置換!I46</x:f>
        <x:v>#NAME?</x:v>
      </x:c>
      <x:c r="J52" s="20" t="e">
        <x:f aca="0">02_R8予算_年次計画置換!J46</x:f>
        <x:v>#NAME?</x:v>
      </x:c>
      <x:c r="K52" s="20" t="e">
        <x:f aca="0">02_R8予算_年次計画置換!K46</x:f>
        <x:v>#NAME?</x:v>
      </x:c>
    </x:row>
    <x:row r="53" ht="21.75" hidden="0" customHeight="1">
      <x:c r="A53" s="19" t="s">
        <x:v>92</x:v>
      </x:c>
      <x:c r="B53" s="20" t="e">
        <x:f aca="0">02_R8予算_年次計画置換!B47</x:f>
        <x:v>#NAME?</x:v>
      </x:c>
      <x:c r="C53" s="20" t="e">
        <x:f aca="0">02_R8予算_年次計画置換!C47</x:f>
        <x:v>#NAME?</x:v>
      </x:c>
      <x:c r="D53" s="20" t="e">
        <x:f aca="0">02_R8予算_年次計画置換!D47</x:f>
        <x:v>#NAME?</x:v>
      </x:c>
      <x:c r="E53" s="20" t="e">
        <x:f aca="0">02_R8予算_年次計画置換!E47</x:f>
        <x:v>#NAME?</x:v>
      </x:c>
      <x:c r="F53" s="20" t="e">
        <x:f aca="0">02_R8予算_年次計画置換!F47</x:f>
        <x:v>#NAME?</x:v>
      </x:c>
      <x:c r="G53" s="20" t="e">
        <x:f aca="0">02_R8予算_年次計画置換!G47</x:f>
        <x:v>#NAME?</x:v>
      </x:c>
      <x:c r="H53" s="20" t="e">
        <x:f aca="0">02_R8予算_年次計画置換!H47</x:f>
        <x:v>#NAME?</x:v>
      </x:c>
      <x:c r="I53" s="20" t="e">
        <x:f aca="0">02_R8予算_年次計画置換!I47</x:f>
        <x:v>#NAME?</x:v>
      </x:c>
      <x:c r="J53" s="20" t="e">
        <x:f aca="0">02_R8予算_年次計画置換!J47</x:f>
        <x:v>#NAME?</x:v>
      </x:c>
      <x:c r="K53" s="20" t="e">
        <x:f aca="0">02_R8予算_年次計画置換!K47</x:f>
        <x:v>#NAME?</x:v>
      </x:c>
    </x:row>
    <x:row r="54" ht="21.75" hidden="0" customHeight="1">
      <x:c r="A54" s="19" t="s">
        <x:v>93</x:v>
      </x:c>
      <x:c r="B54" s="20" t="e">
        <x:f aca="0">B40-B50</x:f>
        <x:v>#NAME?</x:v>
      </x:c>
      <x:c r="C54" s="20" t="e">
        <x:f aca="0">C40-C50</x:f>
        <x:v>#NAME?</x:v>
      </x:c>
      <x:c r="D54" s="20" t="e">
        <x:f aca="0">D40-D50</x:f>
        <x:v>#NAME?</x:v>
      </x:c>
      <x:c r="E54" s="20" t="e">
        <x:f aca="0">E40-E50</x:f>
        <x:v>#NAME?</x:v>
      </x:c>
      <x:c r="F54" s="20" t="e">
        <x:f aca="0">F40-F50</x:f>
        <x:v>#NAME?</x:v>
      </x:c>
      <x:c r="G54" s="20" t="e">
        <x:f aca="0">G40-G50</x:f>
        <x:v>#NAME?</x:v>
      </x:c>
      <x:c r="H54" s="20" t="e">
        <x:f aca="0">H40-H50</x:f>
        <x:v>#NAME?</x:v>
      </x:c>
      <x:c r="I54" s="20" t="e">
        <x:f aca="0">I40-I50</x:f>
        <x:v>#NAME?</x:v>
      </x:c>
      <x:c r="J54" s="20" t="e">
        <x:f aca="0">J40-J50</x:f>
        <x:v>#NAME?</x:v>
      </x:c>
      <x:c r="K54" s="20" t="e">
        <x:f aca="0">K40-K50</x:f>
        <x:v>#NAME?</x:v>
      </x:c>
    </x:row>
    <x:row r="55" ht="21.75" hidden="0" customHeight="1">
      <x:c r="A55" s="19"/>
      <x:c r="B55" s="20"/>
      <x:c r="C55" s="20"/>
      <x:c r="D55" s="20"/>
      <x:c r="E55" s="20"/>
      <x:c r="F55" s="20"/>
      <x:c r="G55" s="20"/>
      <x:c r="H55" s="20"/>
      <x:c r="I55" s="20"/>
      <x:c r="J55" s="20"/>
      <x:c r="K55" s="20"/>
    </x:row>
    <x:row r="56" ht="21.75" hidden="0" customHeight="1">
      <x:c r="A56" s="17" t="s">
        <x:v>157</x:v>
      </x:c>
      <x:c r="B56" s="18"/>
      <x:c r="C56" s="18"/>
      <x:c r="D56" s="18"/>
      <x:c r="E56" s="18"/>
      <x:c r="F56" s="18"/>
      <x:c r="G56" s="18"/>
      <x:c r="H56" s="18"/>
      <x:c r="I56" s="18"/>
      <x:c r="J56" s="18"/>
      <x:c r="K56" s="18"/>
    </x:row>
    <x:row r="57" ht="21.75" hidden="0" customHeight="1">
      <x:c r="A57" s="19" t="s">
        <x:v>158</x:v>
      </x:c>
      <x:c r="B57" s="20" t="e">
        <x:f aca="0">B28+B21+B22-B14</x:f>
        <x:v>#NAME?</x:v>
      </x:c>
      <x:c r="C57" s="20" t="e">
        <x:f aca="0">C28+C21+C22-C14</x:f>
        <x:v>#NAME?</x:v>
      </x:c>
      <x:c r="D57" s="20" t="e">
        <x:f aca="0">D28+D21+D22-D14</x:f>
        <x:v>#NAME?</x:v>
      </x:c>
      <x:c r="E57" s="20" t="e">
        <x:f aca="0">E28+E21+E22-E14</x:f>
        <x:v>#NAME?</x:v>
      </x:c>
      <x:c r="F57" s="20" t="e">
        <x:f aca="0">F28+F21+F22-F14</x:f>
        <x:v>#NAME?</x:v>
      </x:c>
      <x:c r="G57" s="20" t="e">
        <x:f aca="0">G28+G21+G22-G14</x:f>
        <x:v>#NAME?</x:v>
      </x:c>
      <x:c r="H57" s="20" t="e">
        <x:f aca="0">H28+H21+H22-H14</x:f>
        <x:v>#NAME?</x:v>
      </x:c>
      <x:c r="I57" s="20" t="e">
        <x:f aca="0">I28+I21+I22-I14</x:f>
        <x:v>#NAME?</x:v>
      </x:c>
      <x:c r="J57" s="20" t="e">
        <x:f aca="0">J28+J21+J22-J14</x:f>
        <x:v>#NAME?</x:v>
      </x:c>
      <x:c r="K57" s="20" t="e">
        <x:f aca="0">K28+K21+K22-K14</x:f>
        <x:v>#NAME?</x:v>
      </x:c>
    </x:row>
    <x:row r="58" ht="21.75" hidden="0" customHeight="1">
      <x:c r="A58" s="19" t="s">
        <x:v>159</x:v>
      </x:c>
      <x:c r="B58" s="20" t="e">
        <x:f aca="0">B54</x:f>
        <x:v>#NAME?</x:v>
      </x:c>
      <x:c r="C58" s="20" t="e">
        <x:f aca="0">C54</x:f>
        <x:v>#NAME?</x:v>
      </x:c>
      <x:c r="D58" s="20" t="e">
        <x:f aca="0">D54</x:f>
        <x:v>#NAME?</x:v>
      </x:c>
      <x:c r="E58" s="20" t="e">
        <x:f aca="0">E54</x:f>
        <x:v>#NAME?</x:v>
      </x:c>
      <x:c r="F58" s="20" t="e">
        <x:f aca="0">F54</x:f>
        <x:v>#NAME?</x:v>
      </x:c>
      <x:c r="G58" s="20" t="e">
        <x:f aca="0">G54</x:f>
        <x:v>#NAME?</x:v>
      </x:c>
      <x:c r="H58" s="20" t="e">
        <x:f aca="0">H54</x:f>
        <x:v>#NAME?</x:v>
      </x:c>
      <x:c r="I58" s="20" t="e">
        <x:f aca="0">I54</x:f>
        <x:v>#NAME?</x:v>
      </x:c>
      <x:c r="J58" s="20" t="e">
        <x:f aca="0">J54</x:f>
        <x:v>#NAME?</x:v>
      </x:c>
      <x:c r="K58" s="20" t="e">
        <x:f aca="0">K54</x:f>
        <x:v>#NAME?</x:v>
      </x:c>
    </x:row>
    <x:row r="59" ht="21.75" hidden="0" customHeight="1">
      <x:c r="A59" s="19" t="s">
        <x:v>160</x:v>
      </x:c>
      <x:c r="B59" s="20" t="e">
        <x:f aca="0">00_前提・検証!$B$6</x:f>
        <x:v>#NAME?</x:v>
      </x:c>
      <x:c r="C59" s="20" t="e">
        <x:f aca="0">B59+C57+C58</x:f>
        <x:v>#NAME?</x:v>
      </x:c>
      <x:c r="D59" s="20" t="e">
        <x:f aca="0">C59+D57+D58</x:f>
        <x:v>#NAME?</x:v>
      </x:c>
      <x:c r="E59" s="20" t="e">
        <x:f aca="0">D59+E57+E58</x:f>
        <x:v>#NAME?</x:v>
      </x:c>
      <x:c r="F59" s="20" t="e">
        <x:f aca="0">E59+F57+F58</x:f>
        <x:v>#NAME?</x:v>
      </x:c>
      <x:c r="G59" s="20" t="e">
        <x:f aca="0">F59+G57+G58</x:f>
        <x:v>#NAME?</x:v>
      </x:c>
      <x:c r="H59" s="20" t="e">
        <x:f aca="0">G59+H57+H58</x:f>
        <x:v>#NAME?</x:v>
      </x:c>
      <x:c r="I59" s="20" t="e">
        <x:f aca="0">H59+I57+I58</x:f>
        <x:v>#NAME?</x:v>
      </x:c>
      <x:c r="J59" s="20" t="e">
        <x:f aca="0">I59+J57+J58</x:f>
        <x:v>#NAME?</x:v>
      </x:c>
      <x:c r="K59" s="20" t="e">
        <x:f aca="0">J59+K57+K58</x:f>
        <x:v>#NAME?</x:v>
      </x:c>
    </x:row>
    <x:row r="60" ht="21.75" hidden="0" customHeight="1">
      <x:c r="A60" s="19" t="s">
        <x:v>161</x:v>
      </x:c>
      <x:c r="B60" s="20" t="e">
        <x:f aca="0">B59-00_前提・検証!$B$7</x:f>
        <x:v>#NAME?</x:v>
      </x:c>
      <x:c r="C60" s="20" t="e">
        <x:f aca="0">C59-00_前提・検証!$B$7</x:f>
        <x:v>#NAME?</x:v>
      </x:c>
      <x:c r="D60" s="20" t="e">
        <x:f aca="0">D59-00_前提・検証!$B$7</x:f>
        <x:v>#NAME?</x:v>
      </x:c>
      <x:c r="E60" s="20" t="e">
        <x:f aca="0">E59-00_前提・検証!$B$7</x:f>
        <x:v>#NAME?</x:v>
      </x:c>
      <x:c r="F60" s="20" t="e">
        <x:f aca="0">F59-00_前提・検証!$B$7</x:f>
        <x:v>#NAME?</x:v>
      </x:c>
      <x:c r="G60" s="20" t="e">
        <x:f aca="0">G59-00_前提・検証!$B$7</x:f>
        <x:v>#NAME?</x:v>
      </x:c>
      <x:c r="H60" s="20" t="e">
        <x:f aca="0">H59-00_前提・検証!$B$7</x:f>
        <x:v>#NAME?</x:v>
      </x:c>
      <x:c r="I60" s="20" t="e">
        <x:f aca="0">I59-00_前提・検証!$B$7</x:f>
        <x:v>#NAME?</x:v>
      </x:c>
      <x:c r="J60" s="20" t="e">
        <x:f aca="0">J59-00_前提・検証!$B$7</x:f>
        <x:v>#NAME?</x:v>
      </x:c>
      <x:c r="K60" s="20" t="e">
        <x:f aca="0">K59-00_前提・検証!$B$7</x:f>
        <x:v>#NAME?</x:v>
      </x:c>
    </x:row>
    <x:row r="62">
      <x:c r="A62" s="58" t="str">
        <x:v>【建設仮勘定・追加企業債の精緻化影響（参考反映）】</x:v>
      </x:c>
      <x:c r="B62" s="58"/>
      <x:c r="C62" s="58"/>
      <x:c r="D62" s="58"/>
      <x:c r="E62" s="58"/>
      <x:c r="F62" s="58"/>
      <x:c r="G62" s="58"/>
      <x:c r="H62" s="58"/>
      <x:c r="I62" s="58"/>
      <x:c r="J62" s="58"/>
      <x:c r="K62" s="58"/>
    </x:row>
    <x:row r="63">
      <x:c r="A63" s="54" t="str">
        <x:v>項目</x:v>
      </x:c>
      <x:c r="B63" s="54" t="str">
        <x:v>令和7年度</x:v>
      </x:c>
      <x:c r="C63" s="54" t="str">
        <x:v>令和8年度</x:v>
      </x:c>
      <x:c r="D63" s="54" t="str">
        <x:v>令和9年度</x:v>
      </x:c>
      <x:c r="E63" s="54" t="str">
        <x:v>令和10年度</x:v>
      </x:c>
      <x:c r="F63" s="54" t="str">
        <x:v>令和11年度</x:v>
      </x:c>
      <x:c r="G63" s="54" t="str">
        <x:v>令和12年度</x:v>
      </x:c>
      <x:c r="H63" s="54" t="str">
        <x:v>令和13年度</x:v>
      </x:c>
      <x:c r="I63" s="54" t="str">
        <x:v>令和14年度</x:v>
      </x:c>
      <x:c r="J63" s="54" t="str">
        <x:v>令和15年度</x:v>
      </x:c>
      <x:c r="K63" s="54" t="str">
        <x:v>令和16年度</x:v>
      </x:c>
    </x:row>
    <x:row r="64">
      <x:c r="A64" s="55" t="str">
        <x:v>減価償却費増加</x:v>
      </x:c>
      <x:c r="B64" s="56" t="n">
        <x:f>'05_建設仮勘定・企業債'!B40</x:f>
        <x:v>0</x:v>
      </x:c>
      <x:c r="C64" s="56" t="n">
        <x:f>'05_建設仮勘定・企業債'!C40</x:f>
        <x:v>0</x:v>
      </x:c>
      <x:c r="D64" s="56" t="n">
        <x:f>'05_建設仮勘定・企業債'!D40</x:f>
        <x:v>0</x:v>
      </x:c>
      <x:c r="E64" s="56" t="n">
        <x:f>'05_建設仮勘定・企業債'!E40</x:f>
        <x:v>11639</x:v>
      </x:c>
      <x:c r="F64" s="56" t="n">
        <x:f>'05_建設仮勘定・企業債'!F40</x:f>
        <x:v>11639</x:v>
      </x:c>
      <x:c r="G64" s="56" t="n">
        <x:f>'05_建設仮勘定・企業債'!G40</x:f>
        <x:v>11639</x:v>
      </x:c>
      <x:c r="H64" s="56" t="n">
        <x:f>'05_建設仮勘定・企業債'!H40</x:f>
        <x:v>11639</x:v>
      </x:c>
      <x:c r="I64" s="56" t="n">
        <x:f>'05_建設仮勘定・企業債'!I40</x:f>
        <x:v>11639</x:v>
      </x:c>
      <x:c r="J64" s="56" t="n">
        <x:f>'05_建設仮勘定・企業債'!J40</x:f>
        <x:v>11639</x:v>
      </x:c>
      <x:c r="K64" s="56" t="n">
        <x:f>'05_建設仮勘定・企業債'!K40</x:f>
        <x:v>11639</x:v>
      </x:c>
    </x:row>
    <x:row r="65">
      <x:c r="A65" s="55" t="str">
        <x:v>長期前受金戻入増加</x:v>
      </x:c>
      <x:c r="B65" s="56" t="n">
        <x:f>'05_建設仮勘定・企業債'!B41</x:f>
        <x:v>0</x:v>
      </x:c>
      <x:c r="C65" s="56" t="n">
        <x:f>'05_建設仮勘定・企業債'!C41</x:f>
        <x:v>0</x:v>
      </x:c>
      <x:c r="D65" s="56" t="n">
        <x:f>'05_建設仮勘定・企業債'!D41</x:f>
        <x:v>0</x:v>
      </x:c>
      <x:c r="E65" s="56" t="n">
        <x:f>'05_建設仮勘定・企業債'!E41</x:f>
        <x:v>8655</x:v>
      </x:c>
      <x:c r="F65" s="56" t="n">
        <x:f>'05_建設仮勘定・企業債'!F41</x:f>
        <x:v>8655</x:v>
      </x:c>
      <x:c r="G65" s="56" t="n">
        <x:f>'05_建設仮勘定・企業債'!G41</x:f>
        <x:v>8655</x:v>
      </x:c>
      <x:c r="H65" s="56" t="n">
        <x:f>'05_建設仮勘定・企業債'!H41</x:f>
        <x:v>8655</x:v>
      </x:c>
      <x:c r="I65" s="56" t="n">
        <x:f>'05_建設仮勘定・企業債'!I41</x:f>
        <x:v>8655</x:v>
      </x:c>
      <x:c r="J65" s="56" t="n">
        <x:f>'05_建設仮勘定・企業債'!J41</x:f>
        <x:v>8655</x:v>
      </x:c>
      <x:c r="K65" s="56" t="n">
        <x:f>'05_建設仮勘定・企業債'!K41</x:f>
        <x:v>8655</x:v>
      </x:c>
    </x:row>
    <x:row r="66">
      <x:c r="A66" s="55" t="str">
        <x:v>支払利息増加</x:v>
      </x:c>
      <x:c r="B66" s="56" t="n">
        <x:f>'05_建設仮勘定・企業債'!B44</x:f>
        <x:v>0</x:v>
      </x:c>
      <x:c r="C66" s="56" t="n">
        <x:f>'05_建設仮勘定・企業債'!C44</x:f>
        <x:v>0</x:v>
      </x:c>
      <x:c r="D66" s="56" t="n">
        <x:f>'05_建設仮勘定・企業債'!D44</x:f>
        <x:v>0</x:v>
      </x:c>
      <x:c r="E66" s="56" t="n">
        <x:f>'05_建設仮勘定・企業債'!E44</x:f>
        <x:v>3582</x:v>
      </x:c>
      <x:c r="F66" s="56" t="n">
        <x:f>'05_建設仮勘定・企業債'!F44</x:f>
        <x:v>3492</x:v>
      </x:c>
      <x:c r="G66" s="56" t="n">
        <x:f>'05_建設仮勘定・企業債'!G44</x:f>
        <x:v>3402</x:v>
      </x:c>
      <x:c r="H66" s="56" t="n">
        <x:f>'05_建設仮勘定・企業債'!H44</x:f>
        <x:v>3313</x:v>
      </x:c>
      <x:c r="I66" s="56" t="n">
        <x:f>'05_建設仮勘定・企業債'!I44</x:f>
        <x:v>3223</x:v>
      </x:c>
      <x:c r="J66" s="56" t="n">
        <x:f>'05_建設仮勘定・企業債'!J44</x:f>
        <x:v>3134</x:v>
      </x:c>
      <x:c r="K66" s="56" t="n">
        <x:f>'05_建設仮勘定・企業債'!K44</x:f>
        <x:v>3044</x:v>
      </x:c>
    </x:row>
    <x:row r="67">
      <x:c r="A67" s="55" t="str">
        <x:v>企業債元金償還増加</x:v>
      </x:c>
      <x:c r="B67" s="56" t="n">
        <x:f>'05_建設仮勘定・企業債'!B45</x:f>
        <x:v>0</x:v>
      </x:c>
      <x:c r="C67" s="56" t="n">
        <x:f>'05_建設仮勘定・企業債'!C45</x:f>
        <x:v>0</x:v>
      </x:c>
      <x:c r="D67" s="56" t="n">
        <x:f>'05_建設仮勘定・企業債'!D45</x:f>
        <x:v>0</x:v>
      </x:c>
      <x:c r="E67" s="56" t="n">
        <x:f>'05_建設仮勘定・企業債'!E45</x:f>
        <x:v>2985</x:v>
      </x:c>
      <x:c r="F67" s="56" t="n">
        <x:f>'05_建設仮勘定・企業債'!F45</x:f>
        <x:v>2985</x:v>
      </x:c>
      <x:c r="G67" s="56" t="n">
        <x:f>'05_建設仮勘定・企業債'!G45</x:f>
        <x:v>2985</x:v>
      </x:c>
      <x:c r="H67" s="56" t="n">
        <x:f>'05_建設仮勘定・企業債'!H45</x:f>
        <x:v>2985</x:v>
      </x:c>
      <x:c r="I67" s="56" t="n">
        <x:f>'05_建設仮勘定・企業債'!I45</x:f>
        <x:v>2985</x:v>
      </x:c>
      <x:c r="J67" s="56" t="n">
        <x:f>'05_建設仮勘定・企業債'!J45</x:f>
        <x:v>2985</x:v>
      </x:c>
      <x:c r="K67" s="56" t="n">
        <x:f>'05_建設仮勘定・企業債'!K45</x:f>
        <x:v>2985</x:v>
      </x:c>
    </x:row>
    <x:row r="68">
      <x:c r="A68" s="55" t="str">
        <x:v>3条純損益影響</x:v>
      </x:c>
      <x:c r="B68" s="56" t="n">
        <x:f>B64-B65+B66</x:f>
        <x:v>0</x:v>
      </x:c>
      <x:c r="C68" s="56" t="n">
        <x:f>C64-C65+C66</x:f>
        <x:v>0</x:v>
      </x:c>
      <x:c r="D68" s="56" t="n">
        <x:f>D64-D65+D66</x:f>
        <x:v>0</x:v>
      </x:c>
      <x:c r="E68" s="56" t="n">
        <x:f>E64-E65+E66</x:f>
        <x:v>6566</x:v>
      </x:c>
      <x:c r="F68" s="56" t="n">
        <x:f>F64-F65+F66</x:f>
        <x:v>6476</x:v>
      </x:c>
      <x:c r="G68" s="56" t="n">
        <x:f>G64-G65+G66</x:f>
        <x:v>6386</x:v>
      </x:c>
      <x:c r="H68" s="56" t="n">
        <x:f>H64-H65+H66</x:f>
        <x:v>6297</x:v>
      </x:c>
      <x:c r="I68" s="56" t="n">
        <x:f>I64-I65+I66</x:f>
        <x:v>6207</x:v>
      </x:c>
      <x:c r="J68" s="56" t="n">
        <x:f>J64-J65+J66</x:f>
        <x:v>6118</x:v>
      </x:c>
      <x:c r="K68" s="56" t="n">
        <x:f>K64-K65+K66</x:f>
        <x:v>6028</x:v>
      </x:c>
    </x:row>
    <x:row r="69">
      <x:c r="A69" s="55" t="str">
        <x:v>現金支出影響</x:v>
      </x:c>
      <x:c r="B69" s="56" t="n">
        <x:f>B66+B67</x:f>
        <x:v>0</x:v>
      </x:c>
      <x:c r="C69" s="56" t="n">
        <x:f>C66+C67</x:f>
        <x:v>0</x:v>
      </x:c>
      <x:c r="D69" s="56" t="n">
        <x:f>D66+D67</x:f>
        <x:v>0</x:v>
      </x:c>
      <x:c r="E69" s="56" t="n">
        <x:f>E66+E67</x:f>
        <x:v>6567</x:v>
      </x:c>
      <x:c r="F69" s="56" t="n">
        <x:f>F66+F67</x:f>
        <x:v>6477</x:v>
      </x:c>
      <x:c r="G69" s="56" t="n">
        <x:f>G66+G67</x:f>
        <x:v>6387</x:v>
      </x:c>
      <x:c r="H69" s="56" t="n">
        <x:f>H66+H67</x:f>
        <x:v>6298</x:v>
      </x:c>
      <x:c r="I69" s="56" t="n">
        <x:f>I66+I67</x:f>
        <x:v>6208</x:v>
      </x:c>
      <x:c r="J69" s="56" t="n">
        <x:f>J66+J67</x:f>
        <x:v>6119</x:v>
      </x:c>
      <x:c r="K69" s="56" t="n">
        <x:f>K66+K67</x:f>
        <x:v>6029</x:v>
      </x:c>
    </x:row>
    <x:row r="70">
      <x:c r="A70" s="55" t="str">
        <x:v>年度末現預金残高（精緻化後参考）</x:v>
      </x:c>
      <x:c r="B70" s="56" t="e">
        <x:f>B59-B69</x:f>
        <x:v>#NAME?</x:v>
      </x:c>
      <x:c r="C70" s="56" t="e">
        <x:f>C59-SUM($B$69:C69)</x:f>
        <x:v>#NAME?</x:v>
      </x:c>
      <x:c r="D70" s="56" t="e">
        <x:f>D59-SUM($B$69:D69)</x:f>
        <x:v>#NAME?</x:v>
      </x:c>
      <x:c r="E70" s="56" t="e">
        <x:f>E59-SUM($B$69:E69)</x:f>
        <x:v>#NAME?</x:v>
      </x:c>
      <x:c r="F70" s="56" t="e">
        <x:f>F59-SUM($B$69:F69)</x:f>
        <x:v>#NAME?</x:v>
      </x:c>
      <x:c r="G70" s="56" t="e">
        <x:f>G59-SUM($B$69:G69)</x:f>
        <x:v>#NAME?</x:v>
      </x:c>
      <x:c r="H70" s="56" t="e">
        <x:f>H59-SUM($B$69:H69)</x:f>
        <x:v>#NAME?</x:v>
      </x:c>
      <x:c r="I70" s="56" t="e">
        <x:f>I59-SUM($B$69:I69)</x:f>
        <x:v>#NAME?</x:v>
      </x:c>
      <x:c r="J70" s="56" t="e">
        <x:f>J59-SUM($B$69:J69)</x:f>
        <x:v>#NAME?</x:v>
      </x:c>
      <x:c r="K70" s="56" t="e">
        <x:f>K59-SUM($B$69:K69)</x:f>
        <x:v>#NAME?</x:v>
      </x:c>
    </x:row>
  </x:sheetData>
  <x:mergeCells>
    <x:mergeCell ref="A1:K1"/>
    <x:mergeCell ref="A2:K2"/>
    <x:mergeCell ref="A62:K62"/>
  </x:mergeCells>
  <x:pageMargins left="0.7" right="0.7" top="0.75" bottom="0.75" header="0.3" footer="0.3"/>
</x:worksheet>
</file>

<file path=xl/worksheets/sheet18.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11" width="14" hidden="0" customWidth="1"/>
  </x:cols>
  <x:sheetData>
    <x:row r="1" ht="21.75" hidden="0" customHeight="1">
      <x:c r="A1" s="44" t="s">
        <x:v>177</x:v>
      </x:c>
      <x:c r="B1" s="44"/>
      <x:c r="C1" s="44"/>
      <x:c r="D1" s="44"/>
      <x:c r="E1" s="44"/>
      <x:c r="F1" s="44"/>
      <x:c r="G1" s="44"/>
      <x:c r="H1" s="44"/>
      <x:c r="I1" s="44"/>
      <x:c r="J1" s="44"/>
      <x:c r="K1" s="44"/>
    </x:row>
    <x:row r="2" ht="21.75" hidden="0" customHeight="1">
      <x:c r="A2" s="14" t="s">
        <x:v>134</x:v>
      </x:c>
      <x:c r="B2" s="14"/>
      <x:c r="C2" s="14"/>
      <x:c r="D2" s="14"/>
      <x:c r="E2" s="14"/>
      <x:c r="F2" s="14"/>
      <x:c r="G2" s="14"/>
      <x:c r="H2" s="14"/>
      <x:c r="I2" s="14"/>
      <x:c r="J2" s="14"/>
      <x:c r="K2" s="14"/>
    </x:row>
    <x:row r="3" ht="21.75" hidden="0" customHeight="1">
      <x:c r="A3" s="15" t="s">
        <x:v>41</x:v>
      </x:c>
      <x:c r="B3" s="16" t="s">
        <x:v>42</x:v>
      </x:c>
      <x:c r="C3" s="16" t="s">
        <x:v>43</x:v>
      </x:c>
      <x:c r="D3" s="16" t="s">
        <x:v>44</x:v>
      </x:c>
      <x:c r="E3" s="16" t="s">
        <x:v>45</x:v>
      </x:c>
      <x:c r="F3" s="16" t="s">
        <x:v>46</x:v>
      </x:c>
      <x:c r="G3" s="16" t="s">
        <x:v>47</x:v>
      </x:c>
      <x:c r="H3" s="16" t="s">
        <x:v>48</x:v>
      </x:c>
      <x:c r="I3" s="16" t="s">
        <x:v>49</x:v>
      </x:c>
      <x:c r="J3" s="16" t="s">
        <x:v>50</x:v>
      </x:c>
      <x:c r="K3" s="16" t="s">
        <x:v>51</x:v>
      </x:c>
    </x:row>
    <x:row r="4" ht="21.75" hidden="0" customHeight="1">
      <x:c r="A4" s="19" t="s">
        <x:v>99</x:v>
      </x:c>
      <x:c r="B4" s="20" t="n">
        <x:v>0.02</x:v>
      </x:c>
      <x:c r="C4" s="20"/>
      <x:c r="D4" s="20"/>
      <x:c r="E4" s="20"/>
      <x:c r="F4" s="20"/>
      <x:c r="G4" s="20"/>
      <x:c r="H4" s="20"/>
      <x:c r="I4" s="20"/>
      <x:c r="J4" s="20"/>
      <x:c r="K4" s="20"/>
    </x:row>
    <x:row r="5" ht="21.75" hidden="0" customHeight="1">
      <x:c r="A5" s="19" t="s">
        <x:v>135</x:v>
      </x:c>
      <x:c r="B5" s="20" t="e">
        <x:f aca="0">00_前提・検証!$B$2*$B$4</x:f>
        <x:v>#NAME?</x:v>
      </x:c>
      <x:c r="C5" s="20"/>
      <x:c r="D5" s="20"/>
      <x:c r="E5" s="20"/>
      <x:c r="F5" s="20"/>
      <x:c r="G5" s="20"/>
      <x:c r="H5" s="20"/>
      <x:c r="I5" s="20"/>
      <x:c r="J5" s="20"/>
      <x:c r="K5" s="20"/>
    </x:row>
    <x:row r="6" ht="21.75" hidden="0" customHeight="1">
      <x:c r="A6" s="19" t="s">
        <x:v>136</x:v>
      </x:c>
      <x:c r="B6" s="20" t="e">
        <x:f aca="0">MAX(0,(SUM(02_R8予算_年次計画置換!F18:J18)+SUM(02_R8予算_年次計画置換!F28:J28)-SUM(02_R8予算_年次計画置換!F12:J12)-SUM(02_R8予算_年次計画置換!F8:J8)-SUM(02_R8予算_年次計画置換!F11:J11)+$B$5*5-SUM(02_R8予算_年次計画置換!F7:J7))/SUM(02_R8予算_年次計画置換!F7:J7))</x:f>
        <x:v>#NAME?</x:v>
      </x:c>
      <x:c r="C6" s="20"/>
      <x:c r="D6" s="20"/>
      <x:c r="E6" s="20"/>
      <x:c r="F6" s="20"/>
      <x:c r="G6" s="20"/>
      <x:c r="H6" s="20"/>
      <x:c r="I6" s="20"/>
      <x:c r="J6" s="20"/>
      <x:c r="K6" s="20"/>
    </x:row>
    <x:row r="7" ht="21.75" hidden="0" customHeight="1">
      <x:c r="A7" s="19"/>
      <x:c r="B7" s="20"/>
      <x:c r="C7" s="20"/>
      <x:c r="D7" s="20"/>
      <x:c r="E7" s="20"/>
      <x:c r="F7" s="20"/>
      <x:c r="G7" s="20"/>
      <x:c r="H7" s="20"/>
      <x:c r="I7" s="20"/>
      <x:c r="J7" s="20"/>
      <x:c r="K7" s="20"/>
    </x:row>
    <x:row r="8" ht="21.75" hidden="0" customHeight="1">
      <x:c r="A8" s="17" t="s">
        <x:v>52</x:v>
      </x:c>
      <x:c r="B8" s="18"/>
      <x:c r="C8" s="18"/>
      <x:c r="D8" s="18"/>
      <x:c r="E8" s="18"/>
      <x:c r="F8" s="18"/>
      <x:c r="G8" s="18"/>
      <x:c r="H8" s="18"/>
      <x:c r="I8" s="18"/>
      <x:c r="J8" s="18"/>
      <x:c r="K8" s="18"/>
    </x:row>
    <x:row r="9" ht="21.75" hidden="0" customHeight="1">
      <x:c r="A9" s="19" t="s">
        <x:v>54</x:v>
      </x:c>
      <x:c r="B9" s="20" t="e">
        <x:f aca="0">SUM(B10:B12)</x:f>
        <x:v>#NAME?</x:v>
      </x:c>
      <x:c r="C9" s="20" t="e">
        <x:f aca="0">SUM(C10:C12)</x:f>
        <x:v>#NAME?</x:v>
      </x:c>
      <x:c r="D9" s="20" t="e">
        <x:f aca="0">SUM(D10:D12)</x:f>
        <x:v>#NAME?</x:v>
      </x:c>
      <x:c r="E9" s="20" t="e">
        <x:f aca="0">SUM(E10:E12)</x:f>
        <x:v>#NAME?</x:v>
      </x:c>
      <x:c r="F9" s="20" t="e">
        <x:f aca="0">SUM(F10:F12)</x:f>
        <x:v>#NAME?</x:v>
      </x:c>
      <x:c r="G9" s="20" t="e">
        <x:f aca="0">SUM(G10:G12)</x:f>
        <x:v>#NAME?</x:v>
      </x:c>
      <x:c r="H9" s="20" t="e">
        <x:f aca="0">SUM(H10:H12)</x:f>
        <x:v>#NAME?</x:v>
      </x:c>
      <x:c r="I9" s="20" t="e">
        <x:f aca="0">SUM(I10:I12)</x:f>
        <x:v>#NAME?</x:v>
      </x:c>
      <x:c r="J9" s="20" t="e">
        <x:f aca="0">SUM(J10:J12)</x:f>
        <x:v>#NAME?</x:v>
      </x:c>
      <x:c r="K9" s="20" t="e">
        <x:f aca="0">SUM(K10:K12)</x:f>
        <x:v>#NAME?</x:v>
      </x:c>
    </x:row>
    <x:row r="10" ht="21.75" hidden="0" customHeight="1">
      <x:c r="A10" s="19" t="s">
        <x:v>137</x:v>
      </x:c>
      <x:c r="B10" s="20" t="e">
        <x:f aca="0">02_R8予算_年次計画置換!B7*IF(7&gt;=11,1+$B$6,1)</x:f>
        <x:v>#NAME?</x:v>
      </x:c>
      <x:c r="C10" s="20" t="e">
        <x:f aca="0">02_R8予算_年次計画置換!C7*IF(8&gt;=11,1+$B$6,1)</x:f>
        <x:v>#NAME?</x:v>
      </x:c>
      <x:c r="D10" s="20" t="e">
        <x:f aca="0">02_R8予算_年次計画置換!D7*IF(9&gt;=11,1+$B$6,1)</x:f>
        <x:v>#NAME?</x:v>
      </x:c>
      <x:c r="E10" s="20" t="e">
        <x:f aca="0">02_R8予算_年次計画置換!E7*IF(10&gt;=11,1+$B$6,1)</x:f>
        <x:v>#NAME?</x:v>
      </x:c>
      <x:c r="F10" s="20" t="e">
        <x:f aca="0">02_R8予算_年次計画置換!F7*IF(11&gt;=11,1+$B$6,1)</x:f>
        <x:v>#NAME?</x:v>
      </x:c>
      <x:c r="G10" s="20" t="e">
        <x:f aca="0">02_R8予算_年次計画置換!G7*IF(12&gt;=11,1+$B$6,1)</x:f>
        <x:v>#NAME?</x:v>
      </x:c>
      <x:c r="H10" s="20" t="e">
        <x:f aca="0">02_R8予算_年次計画置換!H7*IF(13&gt;=11,1+$B$6,1)</x:f>
        <x:v>#NAME?</x:v>
      </x:c>
      <x:c r="I10" s="20" t="e">
        <x:f aca="0">02_R8予算_年次計画置換!I7*IF(14&gt;=11,1+$B$6,1)</x:f>
        <x:v>#NAME?</x:v>
      </x:c>
      <x:c r="J10" s="20" t="e">
        <x:f aca="0">02_R8予算_年次計画置換!J7*IF(15&gt;=11,1+$B$6,1)</x:f>
        <x:v>#NAME?</x:v>
      </x:c>
      <x:c r="K10" s="20" t="e">
        <x:f aca="0">02_R8予算_年次計画置換!K7*IF(16&gt;=11,1+$B$6,1)</x:f>
        <x:v>#NAME?</x:v>
      </x:c>
    </x:row>
    <x:row r="11" ht="21.75" hidden="0" customHeight="1">
      <x:c r="A11" s="19" t="s">
        <x:v>138</x:v>
      </x:c>
      <x:c r="B11" s="20" t="e">
        <x:f aca="0">B10-02_R8予算_年次計画置換!B7</x:f>
        <x:v>#NAME?</x:v>
      </x:c>
      <x:c r="C11" s="20" t="e">
        <x:f aca="0">C10-02_R8予算_年次計画置換!C7</x:f>
        <x:v>#NAME?</x:v>
      </x:c>
      <x:c r="D11" s="20" t="e">
        <x:f aca="0">D10-02_R8予算_年次計画置換!D7</x:f>
        <x:v>#NAME?</x:v>
      </x:c>
      <x:c r="E11" s="20" t="e">
        <x:f aca="0">E10-02_R8予算_年次計画置換!E7</x:f>
        <x:v>#NAME?</x:v>
      </x:c>
      <x:c r="F11" s="20" t="e">
        <x:f aca="0">F10-02_R8予算_年次計画置換!F7</x:f>
        <x:v>#NAME?</x:v>
      </x:c>
      <x:c r="G11" s="20" t="e">
        <x:f aca="0">G10-02_R8予算_年次計画置換!G7</x:f>
        <x:v>#NAME?</x:v>
      </x:c>
      <x:c r="H11" s="20" t="e">
        <x:f aca="0">H10-02_R8予算_年次計画置換!H7</x:f>
        <x:v>#NAME?</x:v>
      </x:c>
      <x:c r="I11" s="20" t="e">
        <x:f aca="0">I10-02_R8予算_年次計画置換!I7</x:f>
        <x:v>#NAME?</x:v>
      </x:c>
      <x:c r="J11" s="20" t="e">
        <x:f aca="0">J10-02_R8予算_年次計画置換!J7</x:f>
        <x:v>#NAME?</x:v>
      </x:c>
      <x:c r="K11" s="20" t="e">
        <x:f aca="0">K10-02_R8予算_年次計画置換!K7</x:f>
        <x:v>#NAME?</x:v>
      </x:c>
    </x:row>
    <x:row r="12" ht="21.75" hidden="0" customHeight="1">
      <x:c r="A12" s="19" t="s">
        <x:v>139</x:v>
      </x:c>
      <x:c r="B12" s="20" t="e">
        <x:f aca="0">02_R8予算_年次計画置換!B8</x:f>
        <x:v>#NAME?</x:v>
      </x:c>
      <x:c r="C12" s="20" t="e">
        <x:f aca="0">02_R8予算_年次計画置換!C8</x:f>
        <x:v>#NAME?</x:v>
      </x:c>
      <x:c r="D12" s="20" t="e">
        <x:f aca="0">02_R8予算_年次計画置換!D8</x:f>
        <x:v>#NAME?</x:v>
      </x:c>
      <x:c r="E12" s="20" t="e">
        <x:f aca="0">02_R8予算_年次計画置換!E8</x:f>
        <x:v>#NAME?</x:v>
      </x:c>
      <x:c r="F12" s="20" t="e">
        <x:f aca="0">02_R8予算_年次計画置換!F8</x:f>
        <x:v>#NAME?</x:v>
      </x:c>
      <x:c r="G12" s="20" t="e">
        <x:f aca="0">02_R8予算_年次計画置換!G8</x:f>
        <x:v>#NAME?</x:v>
      </x:c>
      <x:c r="H12" s="20" t="e">
        <x:f aca="0">02_R8予算_年次計画置換!H8</x:f>
        <x:v>#NAME?</x:v>
      </x:c>
      <x:c r="I12" s="20" t="e">
        <x:f aca="0">02_R8予算_年次計画置換!I8</x:f>
        <x:v>#NAME?</x:v>
      </x:c>
      <x:c r="J12" s="20" t="e">
        <x:f aca="0">02_R8予算_年次計画置換!J8</x:f>
        <x:v>#NAME?</x:v>
      </x:c>
      <x:c r="K12" s="20" t="e">
        <x:f aca="0">02_R8予算_年次計画置換!K8</x:f>
        <x:v>#NAME?</x:v>
      </x:c>
    </x:row>
    <x:row r="13" ht="21.75" hidden="0" customHeight="1">
      <x:c r="A13" s="19" t="s">
        <x:v>57</x:v>
      </x:c>
      <x:c r="B13" s="20" t="e">
        <x:f aca="0">02_R8予算_年次計画置換!B9</x:f>
        <x:v>#NAME?</x:v>
      </x:c>
      <x:c r="C13" s="20" t="e">
        <x:f aca="0">02_R8予算_年次計画置換!C9</x:f>
        <x:v>#NAME?</x:v>
      </x:c>
      <x:c r="D13" s="20" t="e">
        <x:f aca="0">02_R8予算_年次計画置換!D9</x:f>
        <x:v>#NAME?</x:v>
      </x:c>
      <x:c r="E13" s="20" t="e">
        <x:f aca="0">02_R8予算_年次計画置換!E9</x:f>
        <x:v>#NAME?</x:v>
      </x:c>
      <x:c r="F13" s="20" t="e">
        <x:f aca="0">02_R8予算_年次計画置換!F9</x:f>
        <x:v>#NAME?</x:v>
      </x:c>
      <x:c r="G13" s="20" t="e">
        <x:f aca="0">02_R8予算_年次計画置換!G9</x:f>
        <x:v>#NAME?</x:v>
      </x:c>
      <x:c r="H13" s="20" t="e">
        <x:f aca="0">02_R8予算_年次計画置換!H9</x:f>
        <x:v>#NAME?</x:v>
      </x:c>
      <x:c r="I13" s="20" t="e">
        <x:f aca="0">02_R8予算_年次計画置換!I9</x:f>
        <x:v>#NAME?</x:v>
      </x:c>
      <x:c r="J13" s="20" t="e">
        <x:f aca="0">02_R8予算_年次計画置換!J9</x:f>
        <x:v>#NAME?</x:v>
      </x:c>
      <x:c r="K13" s="20" t="e">
        <x:f aca="0">02_R8予算_年次計画置換!K9</x:f>
        <x:v>#NAME?</x:v>
      </x:c>
    </x:row>
    <x:row r="14" ht="21.75" hidden="0" customHeight="1">
      <x:c r="A14" s="19" t="s">
        <x:v>140</x:v>
      </x:c>
      <x:c r="B14" s="20" t="e">
        <x:f aca="0">02_R8予算_年次計画置換!B12</x:f>
        <x:v>#NAME?</x:v>
      </x:c>
      <x:c r="C14" s="20" t="e">
        <x:f aca="0">02_R8予算_年次計画置換!C12</x:f>
        <x:v>#NAME?</x:v>
      </x:c>
      <x:c r="D14" s="20" t="e">
        <x:f aca="0">02_R8予算_年次計画置換!D12</x:f>
        <x:v>#NAME?</x:v>
      </x:c>
      <x:c r="E14" s="20" t="e">
        <x:f aca="0">02_R8予算_年次計画置換!E12</x:f>
        <x:v>#NAME?</x:v>
      </x:c>
      <x:c r="F14" s="20" t="e">
        <x:f aca="0">02_R8予算_年次計画置換!F12</x:f>
        <x:v>#NAME?</x:v>
      </x:c>
      <x:c r="G14" s="20" t="e">
        <x:f aca="0">02_R8予算_年次計画置換!G12</x:f>
        <x:v>#NAME?</x:v>
      </x:c>
      <x:c r="H14" s="20" t="e">
        <x:f aca="0">02_R8予算_年次計画置換!H12</x:f>
        <x:v>#NAME?</x:v>
      </x:c>
      <x:c r="I14" s="20" t="e">
        <x:f aca="0">02_R8予算_年次計画置換!I12</x:f>
        <x:v>#NAME?</x:v>
      </x:c>
      <x:c r="J14" s="20" t="e">
        <x:f aca="0">02_R8予算_年次計画置換!J12</x:f>
        <x:v>#NAME?</x:v>
      </x:c>
      <x:c r="K14" s="20" t="e">
        <x:f aca="0">02_R8予算_年次計画置換!K12</x:f>
        <x:v>#NAME?</x:v>
      </x:c>
    </x:row>
    <x:row r="15" ht="21.75" hidden="0" customHeight="1">
      <x:c r="A15" s="19" t="s">
        <x:v>141</x:v>
      </x:c>
      <x:c r="B15" s="20" t="e">
        <x:f aca="0">02_R8予算_年次計画置換!B11</x:f>
        <x:v>#NAME?</x:v>
      </x:c>
      <x:c r="C15" s="20" t="e">
        <x:f aca="0">02_R8予算_年次計画置換!C11</x:f>
        <x:v>#NAME?</x:v>
      </x:c>
      <x:c r="D15" s="20" t="e">
        <x:f aca="0">02_R8予算_年次計画置換!D11</x:f>
        <x:v>#NAME?</x:v>
      </x:c>
      <x:c r="E15" s="20" t="e">
        <x:f aca="0">02_R8予算_年次計画置換!E11</x:f>
        <x:v>#NAME?</x:v>
      </x:c>
      <x:c r="F15" s="20" t="e">
        <x:f aca="0">02_R8予算_年次計画置換!F11</x:f>
        <x:v>#NAME?</x:v>
      </x:c>
      <x:c r="G15" s="20" t="e">
        <x:f aca="0">02_R8予算_年次計画置換!G11</x:f>
        <x:v>#NAME?</x:v>
      </x:c>
      <x:c r="H15" s="20" t="e">
        <x:f aca="0">02_R8予算_年次計画置換!H11</x:f>
        <x:v>#NAME?</x:v>
      </x:c>
      <x:c r="I15" s="20" t="e">
        <x:f aca="0">02_R8予算_年次計画置換!I11</x:f>
        <x:v>#NAME?</x:v>
      </x:c>
      <x:c r="J15" s="20" t="e">
        <x:f aca="0">02_R8予算_年次計画置換!J11</x:f>
        <x:v>#NAME?</x:v>
      </x:c>
      <x:c r="K15" s="20" t="e">
        <x:f aca="0">02_R8予算_年次計画置換!K11</x:f>
        <x:v>#NAME?</x:v>
      </x:c>
    </x:row>
    <x:row r="16" ht="21.75" hidden="0" customHeight="1">
      <x:c r="A16" s="19" t="s">
        <x:v>62</x:v>
      </x:c>
      <x:c r="B16" s="20" t="e">
        <x:f aca="0">02_R8予算_年次計画置換!B14</x:f>
        <x:v>#NAME?</x:v>
      </x:c>
      <x:c r="C16" s="20" t="e">
        <x:f aca="0">02_R8予算_年次計画置換!C14</x:f>
        <x:v>#NAME?</x:v>
      </x:c>
      <x:c r="D16" s="20" t="e">
        <x:f aca="0">02_R8予算_年次計画置換!D14</x:f>
        <x:v>#NAME?</x:v>
      </x:c>
      <x:c r="E16" s="20" t="e">
        <x:f aca="0">02_R8予算_年次計画置換!E14</x:f>
        <x:v>#NAME?</x:v>
      </x:c>
      <x:c r="F16" s="20" t="e">
        <x:f aca="0">02_R8予算_年次計画置換!F14</x:f>
        <x:v>#NAME?</x:v>
      </x:c>
      <x:c r="G16" s="20" t="e">
        <x:f aca="0">02_R8予算_年次計画置換!G14</x:f>
        <x:v>#NAME?</x:v>
      </x:c>
      <x:c r="H16" s="20" t="e">
        <x:f aca="0">02_R8予算_年次計画置換!H14</x:f>
        <x:v>#NAME?</x:v>
      </x:c>
      <x:c r="I16" s="20" t="e">
        <x:f aca="0">02_R8予算_年次計画置換!I14</x:f>
        <x:v>#NAME?</x:v>
      </x:c>
      <x:c r="J16" s="20" t="e">
        <x:f aca="0">02_R8予算_年次計画置換!J14</x:f>
        <x:v>#NAME?</x:v>
      </x:c>
      <x:c r="K16" s="20" t="e">
        <x:f aca="0">02_R8予算_年次計画置換!K14</x:f>
        <x:v>#NAME?</x:v>
      </x:c>
    </x:row>
    <x:row r="17" ht="21.75" hidden="0" customHeight="1">
      <x:c r="A17" s="19" t="s">
        <x:v>142</x:v>
      </x:c>
      <x:c r="B17" s="20" t="e">
        <x:f aca="0">SUM(B9,B13,B16)</x:f>
        <x:v>#NAME?</x:v>
      </x:c>
      <x:c r="C17" s="20" t="e">
        <x:f aca="0">SUM(C9,C13,C16)</x:f>
        <x:v>#NAME?</x:v>
      </x:c>
      <x:c r="D17" s="20" t="e">
        <x:f aca="0">SUM(D9,D13,D16)</x:f>
        <x:v>#NAME?</x:v>
      </x:c>
      <x:c r="E17" s="20" t="e">
        <x:f aca="0">SUM(E9,E13,E16)</x:f>
        <x:v>#NAME?</x:v>
      </x:c>
      <x:c r="F17" s="20" t="e">
        <x:f aca="0">SUM(F9,F13,F16)</x:f>
        <x:v>#NAME?</x:v>
      </x:c>
      <x:c r="G17" s="20" t="e">
        <x:f aca="0">SUM(G9,G13,G16)</x:f>
        <x:v>#NAME?</x:v>
      </x:c>
      <x:c r="H17" s="20" t="e">
        <x:f aca="0">SUM(H9,H13,H16)</x:f>
        <x:v>#NAME?</x:v>
      </x:c>
      <x:c r="I17" s="20" t="e">
        <x:f aca="0">SUM(I9,I13,I16)</x:f>
        <x:v>#NAME?</x:v>
      </x:c>
      <x:c r="J17" s="20" t="e">
        <x:f aca="0">SUM(J9,J13,J16)</x:f>
        <x:v>#NAME?</x:v>
      </x:c>
      <x:c r="K17" s="20" t="e">
        <x:f aca="0">SUM(K9,K13,K16)</x:f>
        <x:v>#NAME?</x:v>
      </x:c>
    </x:row>
    <x:row r="18" ht="21.75" hidden="0" customHeight="1">
      <x:c r="A18" s="19"/>
      <x:c r="B18" s="20"/>
      <x:c r="C18" s="20"/>
      <x:c r="D18" s="20"/>
      <x:c r="E18" s="20"/>
      <x:c r="F18" s="20"/>
      <x:c r="G18" s="20"/>
      <x:c r="H18" s="20"/>
      <x:c r="I18" s="20"/>
      <x:c r="J18" s="20"/>
      <x:c r="K18" s="20"/>
    </x:row>
    <x:row r="19" ht="21.75" hidden="0" customHeight="1">
      <x:c r="A19" s="17" t="s">
        <x:v>63</x:v>
      </x:c>
      <x:c r="B19" s="18"/>
      <x:c r="C19" s="18"/>
      <x:c r="D19" s="18"/>
      <x:c r="E19" s="18"/>
      <x:c r="F19" s="18"/>
      <x:c r="G19" s="18"/>
      <x:c r="H19" s="18"/>
      <x:c r="I19" s="18"/>
      <x:c r="J19" s="18"/>
      <x:c r="K19" s="18"/>
    </x:row>
    <x:row r="20" ht="21.75" hidden="0" customHeight="1">
      <x:c r="A20" s="19" t="s">
        <x:v>65</x:v>
      </x:c>
      <x:c r="B20" s="20" t="e">
        <x:f aca="0">02_R8予算_年次計画置換!B18</x:f>
        <x:v>#NAME?</x:v>
      </x:c>
      <x:c r="C20" s="20" t="e">
        <x:f aca="0">02_R8予算_年次計画置換!C18</x:f>
        <x:v>#NAME?</x:v>
      </x:c>
      <x:c r="D20" s="20" t="e">
        <x:f aca="0">02_R8予算_年次計画置換!D18</x:f>
        <x:v>#NAME?</x:v>
      </x:c>
      <x:c r="E20" s="20" t="e">
        <x:f aca="0">02_R8予算_年次計画置換!E18</x:f>
        <x:v>#NAME?</x:v>
      </x:c>
      <x:c r="F20" s="20" t="e">
        <x:f aca="0">02_R8予算_年次計画置換!F18</x:f>
        <x:v>#NAME?</x:v>
      </x:c>
      <x:c r="G20" s="20" t="e">
        <x:f aca="0">02_R8予算_年次計画置換!G18</x:f>
        <x:v>#NAME?</x:v>
      </x:c>
      <x:c r="H20" s="20" t="e">
        <x:f aca="0">02_R8予算_年次計画置換!H18</x:f>
        <x:v>#NAME?</x:v>
      </x:c>
      <x:c r="I20" s="20" t="e">
        <x:f aca="0">02_R8予算_年次計画置換!I18</x:f>
        <x:v>#NAME?</x:v>
      </x:c>
      <x:c r="J20" s="20" t="e">
        <x:f aca="0">02_R8予算_年次計画置換!J18</x:f>
        <x:v>#NAME?</x:v>
      </x:c>
      <x:c r="K20" s="20" t="e">
        <x:f aca="0">02_R8予算_年次計画置換!K18</x:f>
        <x:v>#NAME?</x:v>
      </x:c>
    </x:row>
    <x:row r="21" ht="21.75" hidden="0" customHeight="1">
      <x:c r="A21" s="19" t="s">
        <x:v>143</x:v>
      </x:c>
      <x:c r="B21" s="20" t="e">
        <x:f aca="0">02_R8予算_年次計画置換!B25</x:f>
        <x:v>#NAME?</x:v>
      </x:c>
      <x:c r="C21" s="20" t="e">
        <x:f aca="0">02_R8予算_年次計画置換!C25</x:f>
        <x:v>#NAME?</x:v>
      </x:c>
      <x:c r="D21" s="20" t="e">
        <x:f aca="0">02_R8予算_年次計画置換!D25</x:f>
        <x:v>#NAME?</x:v>
      </x:c>
      <x:c r="E21" s="20" t="e">
        <x:f aca="0">02_R8予算_年次計画置換!E25</x:f>
        <x:v>#NAME?</x:v>
      </x:c>
      <x:c r="F21" s="20" t="e">
        <x:f aca="0">02_R8予算_年次計画置換!F25</x:f>
        <x:v>#NAME?</x:v>
      </x:c>
      <x:c r="G21" s="20" t="e">
        <x:f aca="0">02_R8予算_年次計画置換!G25</x:f>
        <x:v>#NAME?</x:v>
      </x:c>
      <x:c r="H21" s="20" t="e">
        <x:f aca="0">02_R8予算_年次計画置換!H25</x:f>
        <x:v>#NAME?</x:v>
      </x:c>
      <x:c r="I21" s="20" t="e">
        <x:f aca="0">02_R8予算_年次計画置換!I25</x:f>
        <x:v>#NAME?</x:v>
      </x:c>
      <x:c r="J21" s="20" t="e">
        <x:f aca="0">02_R8予算_年次計画置換!J25</x:f>
        <x:v>#NAME?</x:v>
      </x:c>
      <x:c r="K21" s="20" t="e">
        <x:f aca="0">02_R8予算_年次計画置換!K25</x:f>
        <x:v>#NAME?</x:v>
      </x:c>
    </x:row>
    <x:row r="22" ht="21.75" hidden="0" customHeight="1">
      <x:c r="A22" s="19" t="s">
        <x:v>144</x:v>
      </x:c>
      <x:c r="B22" s="20" t="e">
        <x:f aca="0">02_R8予算_年次計画置換!B26</x:f>
        <x:v>#NAME?</x:v>
      </x:c>
      <x:c r="C22" s="20" t="e">
        <x:f aca="0">02_R8予算_年次計画置換!C26</x:f>
        <x:v>#NAME?</x:v>
      </x:c>
      <x:c r="D22" s="20" t="e">
        <x:f aca="0">02_R8予算_年次計画置換!D26</x:f>
        <x:v>#NAME?</x:v>
      </x:c>
      <x:c r="E22" s="20" t="e">
        <x:f aca="0">02_R8予算_年次計画置換!E26</x:f>
        <x:v>#NAME?</x:v>
      </x:c>
      <x:c r="F22" s="20" t="e">
        <x:f aca="0">02_R8予算_年次計画置換!F26</x:f>
        <x:v>#NAME?</x:v>
      </x:c>
      <x:c r="G22" s="20" t="e">
        <x:f aca="0">02_R8予算_年次計画置換!G26</x:f>
        <x:v>#NAME?</x:v>
      </x:c>
      <x:c r="H22" s="20" t="e">
        <x:f aca="0">02_R8予算_年次計画置換!H26</x:f>
        <x:v>#NAME?</x:v>
      </x:c>
      <x:c r="I22" s="20" t="e">
        <x:f aca="0">02_R8予算_年次計画置換!I26</x:f>
        <x:v>#NAME?</x:v>
      </x:c>
      <x:c r="J22" s="20" t="e">
        <x:f aca="0">02_R8予算_年次計画置換!J26</x:f>
        <x:v>#NAME?</x:v>
      </x:c>
      <x:c r="K22" s="20" t="e">
        <x:f aca="0">02_R8予算_年次計画置換!K26</x:f>
        <x:v>#NAME?</x:v>
      </x:c>
    </x:row>
    <x:row r="23" ht="21.75" hidden="0" customHeight="1">
      <x:c r="A23" s="19" t="s">
        <x:v>75</x:v>
      </x:c>
      <x:c r="B23" s="20" t="e">
        <x:f aca="0">02_R8予算_年次計画置換!B28</x:f>
        <x:v>#NAME?</x:v>
      </x:c>
      <x:c r="C23" s="20" t="e">
        <x:f aca="0">02_R8予算_年次計画置換!C28</x:f>
        <x:v>#NAME?</x:v>
      </x:c>
      <x:c r="D23" s="20" t="e">
        <x:f aca="0">02_R8予算_年次計画置換!D28</x:f>
        <x:v>#NAME?</x:v>
      </x:c>
      <x:c r="E23" s="20" t="e">
        <x:f aca="0">02_R8予算_年次計画置換!E28</x:f>
        <x:v>#NAME?</x:v>
      </x:c>
      <x:c r="F23" s="20" t="e">
        <x:f aca="0">02_R8予算_年次計画置換!F28</x:f>
        <x:v>#NAME?</x:v>
      </x:c>
      <x:c r="G23" s="20" t="e">
        <x:f aca="0">02_R8予算_年次計画置換!G28</x:f>
        <x:v>#NAME?</x:v>
      </x:c>
      <x:c r="H23" s="20" t="e">
        <x:f aca="0">02_R8予算_年次計画置換!H28</x:f>
        <x:v>#NAME?</x:v>
      </x:c>
      <x:c r="I23" s="20" t="e">
        <x:f aca="0">02_R8予算_年次計画置換!I28</x:f>
        <x:v>#NAME?</x:v>
      </x:c>
      <x:c r="J23" s="20" t="e">
        <x:f aca="0">02_R8予算_年次計画置換!J28</x:f>
        <x:v>#NAME?</x:v>
      </x:c>
      <x:c r="K23" s="20" t="e">
        <x:f aca="0">02_R8予算_年次計画置換!K28</x:f>
        <x:v>#NAME?</x:v>
      </x:c>
    </x:row>
    <x:row r="24" ht="21.75" hidden="0" customHeight="1">
      <x:c r="A24" s="19" t="s">
        <x:v>145</x:v>
      </x:c>
      <x:c r="B24" s="20" t="e">
        <x:f aca="0">02_R8予算_年次計画置換!B29</x:f>
        <x:v>#NAME?</x:v>
      </x:c>
      <x:c r="C24" s="20" t="e">
        <x:f aca="0">02_R8予算_年次計画置換!C29</x:f>
        <x:v>#NAME?</x:v>
      </x:c>
      <x:c r="D24" s="20" t="e">
        <x:f aca="0">02_R8予算_年次計画置換!D29</x:f>
        <x:v>#NAME?</x:v>
      </x:c>
      <x:c r="E24" s="20" t="e">
        <x:f aca="0">02_R8予算_年次計画置換!E29</x:f>
        <x:v>#NAME?</x:v>
      </x:c>
      <x:c r="F24" s="20" t="e">
        <x:f aca="0">02_R8予算_年次計画置換!F29</x:f>
        <x:v>#NAME?</x:v>
      </x:c>
      <x:c r="G24" s="20" t="e">
        <x:f aca="0">02_R8予算_年次計画置換!G29</x:f>
        <x:v>#NAME?</x:v>
      </x:c>
      <x:c r="H24" s="20" t="e">
        <x:f aca="0">02_R8予算_年次計画置換!H29</x:f>
        <x:v>#NAME?</x:v>
      </x:c>
      <x:c r="I24" s="20" t="e">
        <x:f aca="0">02_R8予算_年次計画置換!I29</x:f>
        <x:v>#NAME?</x:v>
      </x:c>
      <x:c r="J24" s="20" t="e">
        <x:f aca="0">02_R8予算_年次計画置換!J29</x:f>
        <x:v>#NAME?</x:v>
      </x:c>
      <x:c r="K24" s="20" t="e">
        <x:f aca="0">02_R8予算_年次計画置換!K29</x:f>
        <x:v>#NAME?</x:v>
      </x:c>
    </x:row>
    <x:row r="25" ht="21.75" hidden="0" customHeight="1">
      <x:c r="A25" s="19" t="s">
        <x:v>78</x:v>
      </x:c>
      <x:c r="B25" s="20" t="e">
        <x:f aca="0">02_R8予算_年次計画置換!B31</x:f>
        <x:v>#NAME?</x:v>
      </x:c>
      <x:c r="C25" s="20" t="e">
        <x:f aca="0">02_R8予算_年次計画置換!C31</x:f>
        <x:v>#NAME?</x:v>
      </x:c>
      <x:c r="D25" s="20" t="e">
        <x:f aca="0">02_R8予算_年次計画置換!D31</x:f>
        <x:v>#NAME?</x:v>
      </x:c>
      <x:c r="E25" s="20" t="e">
        <x:f aca="0">02_R8予算_年次計画置換!E31</x:f>
        <x:v>#NAME?</x:v>
      </x:c>
      <x:c r="F25" s="20" t="e">
        <x:f aca="0">02_R8予算_年次計画置換!F31</x:f>
        <x:v>#NAME?</x:v>
      </x:c>
      <x:c r="G25" s="20" t="e">
        <x:f aca="0">02_R8予算_年次計画置換!G31</x:f>
        <x:v>#NAME?</x:v>
      </x:c>
      <x:c r="H25" s="20" t="e">
        <x:f aca="0">02_R8予算_年次計画置換!H31</x:f>
        <x:v>#NAME?</x:v>
      </x:c>
      <x:c r="I25" s="20" t="e">
        <x:f aca="0">02_R8予算_年次計画置換!I31</x:f>
        <x:v>#NAME?</x:v>
      </x:c>
      <x:c r="J25" s="20" t="e">
        <x:f aca="0">02_R8予算_年次計画置換!J31</x:f>
        <x:v>#NAME?</x:v>
      </x:c>
      <x:c r="K25" s="20" t="e">
        <x:f aca="0">02_R8予算_年次計画置換!K31</x:f>
        <x:v>#NAME?</x:v>
      </x:c>
    </x:row>
    <x:row r="26" ht="21.75" hidden="0" customHeight="1">
      <x:c r="A26" s="19" t="s">
        <x:v>146</x:v>
      </x:c>
      <x:c r="B26" s="20" t="e">
        <x:f aca="0">SUM(B20,B23,B25)</x:f>
        <x:v>#NAME?</x:v>
      </x:c>
      <x:c r="C26" s="20" t="e">
        <x:f aca="0">SUM(C20,C23,C25)</x:f>
        <x:v>#NAME?</x:v>
      </x:c>
      <x:c r="D26" s="20" t="e">
        <x:f aca="0">SUM(D20,D23,D25)</x:f>
        <x:v>#NAME?</x:v>
      </x:c>
      <x:c r="E26" s="20" t="e">
        <x:f aca="0">SUM(E20,E23,E25)</x:f>
        <x:v>#NAME?</x:v>
      </x:c>
      <x:c r="F26" s="20" t="e">
        <x:f aca="0">SUM(F20,F23,F25)</x:f>
        <x:v>#NAME?</x:v>
      </x:c>
      <x:c r="G26" s="20" t="e">
        <x:f aca="0">SUM(G20,G23,G25)</x:f>
        <x:v>#NAME?</x:v>
      </x:c>
      <x:c r="H26" s="20" t="e">
        <x:f aca="0">SUM(H20,H23,H25)</x:f>
        <x:v>#NAME?</x:v>
      </x:c>
      <x:c r="I26" s="20" t="e">
        <x:f aca="0">SUM(I20,I23,I25)</x:f>
        <x:v>#NAME?</x:v>
      </x:c>
      <x:c r="J26" s="20" t="e">
        <x:f aca="0">SUM(J20,J23,J25)</x:f>
        <x:v>#NAME?</x:v>
      </x:c>
      <x:c r="K26" s="20" t="e">
        <x:f aca="0">SUM(K20,K23,K25)</x:f>
        <x:v>#NAME?</x:v>
      </x:c>
    </x:row>
    <x:row r="27" ht="21.75" hidden="0" customHeight="1">
      <x:c r="A27" s="19" t="s">
        <x:v>147</x:v>
      </x:c>
      <x:c r="B27" s="20" t="e">
        <x:f aca="0">SUM(B9,B13)-SUM(B20,B23)</x:f>
        <x:v>#NAME?</x:v>
      </x:c>
      <x:c r="C27" s="20" t="e">
        <x:f aca="0">SUM(C9,C13)-SUM(C20,C23)</x:f>
        <x:v>#NAME?</x:v>
      </x:c>
      <x:c r="D27" s="20" t="e">
        <x:f aca="0">SUM(D9,D13)-SUM(D20,D23)</x:f>
        <x:v>#NAME?</x:v>
      </x:c>
      <x:c r="E27" s="20" t="e">
        <x:f aca="0">SUM(E9,E13)-SUM(E20,E23)</x:f>
        <x:v>#NAME?</x:v>
      </x:c>
      <x:c r="F27" s="20" t="e">
        <x:f aca="0">SUM(F9,F13)-SUM(F20,F23)</x:f>
        <x:v>#NAME?</x:v>
      </x:c>
      <x:c r="G27" s="20" t="e">
        <x:f aca="0">SUM(G9,G13)-SUM(G20,G23)</x:f>
        <x:v>#NAME?</x:v>
      </x:c>
      <x:c r="H27" s="20" t="e">
        <x:f aca="0">SUM(H9,H13)-SUM(H20,H23)</x:f>
        <x:v>#NAME?</x:v>
      </x:c>
      <x:c r="I27" s="20" t="e">
        <x:f aca="0">SUM(I9,I13)-SUM(I20,I23)</x:f>
        <x:v>#NAME?</x:v>
      </x:c>
      <x:c r="J27" s="20" t="e">
        <x:f aca="0">SUM(J9,J13)-SUM(J20,J23)</x:f>
        <x:v>#NAME?</x:v>
      </x:c>
      <x:c r="K27" s="20" t="e">
        <x:f aca="0">SUM(K9,K13)-SUM(K20,K23)</x:f>
        <x:v>#NAME?</x:v>
      </x:c>
    </x:row>
    <x:row r="28" ht="21.75" hidden="0" customHeight="1">
      <x:c r="A28" s="19" t="s">
        <x:v>148</x:v>
      </x:c>
      <x:c r="B28" s="20" t="e">
        <x:f aca="0">B27+B16-B25</x:f>
        <x:v>#NAME?</x:v>
      </x:c>
      <x:c r="C28" s="20" t="e">
        <x:f aca="0">C27+C16-C25</x:f>
        <x:v>#NAME?</x:v>
      </x:c>
      <x:c r="D28" s="20" t="e">
        <x:f aca="0">D27+D16-D25</x:f>
        <x:v>#NAME?</x:v>
      </x:c>
      <x:c r="E28" s="20" t="e">
        <x:f aca="0">E27+E16-E25</x:f>
        <x:v>#NAME?</x:v>
      </x:c>
      <x:c r="F28" s="20" t="e">
        <x:f aca="0">F27+F16-F25</x:f>
        <x:v>#NAME?</x:v>
      </x:c>
      <x:c r="G28" s="20" t="e">
        <x:f aca="0">G27+G16-G25</x:f>
        <x:v>#NAME?</x:v>
      </x:c>
      <x:c r="H28" s="20" t="e">
        <x:f aca="0">H27+H16-H25</x:f>
        <x:v>#NAME?</x:v>
      </x:c>
      <x:c r="I28" s="20" t="e">
        <x:f aca="0">I27+I16-I25</x:f>
        <x:v>#NAME?</x:v>
      </x:c>
      <x:c r="J28" s="20" t="e">
        <x:f aca="0">J27+J16-J25</x:f>
        <x:v>#NAME?</x:v>
      </x:c>
      <x:c r="K28" s="20" t="e">
        <x:f aca="0">K27+K16-K25</x:f>
        <x:v>#NAME?</x:v>
      </x:c>
    </x:row>
    <x:row r="29" ht="21.75" hidden="0" customHeight="1">
      <x:c r="A29" s="19"/>
      <x:c r="B29" s="20"/>
      <x:c r="C29" s="20"/>
      <x:c r="D29" s="20"/>
      <x:c r="E29" s="20"/>
      <x:c r="F29" s="20"/>
      <x:c r="G29" s="20"/>
      <x:c r="H29" s="20"/>
      <x:c r="I29" s="20"/>
      <x:c r="J29" s="20"/>
      <x:c r="K29" s="20"/>
    </x:row>
    <x:row r="30" ht="21.75" hidden="0" customHeight="1">
      <x:c r="A30" s="17" t="s">
        <x:v>149</x:v>
      </x:c>
      <x:c r="B30" s="18"/>
      <x:c r="C30" s="18"/>
      <x:c r="D30" s="18"/>
      <x:c r="E30" s="18"/>
      <x:c r="F30" s="18"/>
      <x:c r="G30" s="18"/>
      <x:c r="H30" s="18"/>
      <x:c r="I30" s="18"/>
      <x:c r="J30" s="18"/>
      <x:c r="K30" s="18"/>
    </x:row>
    <x:row r="31" ht="21.75" hidden="0" customHeight="1">
      <x:c r="A31" s="19" t="s">
        <x:v>150</x:v>
      </x:c>
      <x:c r="B31" s="21" t="n">
        <x:f aca="0">IFERROR((SUM(B9,B13)/SUM(B20,B23))*100,0)</x:f>
        <x:v>0</x:v>
      </x:c>
      <x:c r="C31" s="21" t="n">
        <x:f aca="0">IFERROR((SUM(C9,C13)/SUM(C20,C23))*100,0)</x:f>
        <x:v>0</x:v>
      </x:c>
      <x:c r="D31" s="21" t="n">
        <x:f aca="0">IFERROR((SUM(D9,D13)/SUM(D20,D23))*100,0)</x:f>
        <x:v>0</x:v>
      </x:c>
      <x:c r="E31" s="21" t="n">
        <x:f aca="0">IFERROR((SUM(E9,E13)/SUM(E20,E23))*100,0)</x:f>
        <x:v>0</x:v>
      </x:c>
      <x:c r="F31" s="21" t="n">
        <x:f aca="0">IFERROR((SUM(F9,F13)/SUM(F20,F23))*100,0)</x:f>
        <x:v>0</x:v>
      </x:c>
      <x:c r="G31" s="21" t="n">
        <x:f aca="0">IFERROR((SUM(G9,G13)/SUM(G20,G23))*100,0)</x:f>
        <x:v>0</x:v>
      </x:c>
      <x:c r="H31" s="21" t="n">
        <x:f aca="0">IFERROR((SUM(H9,H13)/SUM(H20,H23))*100,0)</x:f>
        <x:v>0</x:v>
      </x:c>
      <x:c r="I31" s="21" t="n">
        <x:f aca="0">IFERROR((SUM(I9,I13)/SUM(I20,I23))*100,0)</x:f>
        <x:v>0</x:v>
      </x:c>
      <x:c r="J31" s="21" t="n">
        <x:f aca="0">IFERROR((SUM(J9,J13)/SUM(J20,J23))*100,0)</x:f>
        <x:v>0</x:v>
      </x:c>
      <x:c r="K31" s="21" t="n">
        <x:f aca="0">IFERROR((SUM(K9,K13)/SUM(K20,K23))*100,0)</x:f>
        <x:v>0</x:v>
      </x:c>
    </x:row>
    <x:row r="32" ht="21.75" hidden="0" customHeight="1">
      <x:c r="A32" s="19" t="s">
        <x:v>151</x:v>
      </x:c>
      <x:c r="B32" s="21" t="n">
        <x:f aca="0">IFERROR(B10/B34*100,0)</x:f>
        <x:v>0</x:v>
      </x:c>
      <x:c r="C32" s="21" t="n">
        <x:f aca="0">IFERROR(C10/C34*100,0)</x:f>
        <x:v>0</x:v>
      </x:c>
      <x:c r="D32" s="21" t="n">
        <x:f aca="0">IFERROR(D10/D34*100,0)</x:f>
        <x:v>0</x:v>
      </x:c>
      <x:c r="E32" s="21" t="n">
        <x:f aca="0">IFERROR(E10/E34*100,0)</x:f>
        <x:v>0</x:v>
      </x:c>
      <x:c r="F32" s="21" t="n">
        <x:f aca="0">IFERROR(F10/F34*100,0)</x:f>
        <x:v>0</x:v>
      </x:c>
      <x:c r="G32" s="21" t="n">
        <x:f aca="0">IFERROR(G10/G34*100,0)</x:f>
        <x:v>0</x:v>
      </x:c>
      <x:c r="H32" s="21" t="n">
        <x:f aca="0">IFERROR(H10/H34*100,0)</x:f>
        <x:v>0</x:v>
      </x:c>
      <x:c r="I32" s="21" t="n">
        <x:f aca="0">IFERROR(I10/I34*100,0)</x:f>
        <x:v>0</x:v>
      </x:c>
      <x:c r="J32" s="21" t="n">
        <x:f aca="0">IFERROR(J10/J34*100,0)</x:f>
        <x:v>0</x:v>
      </x:c>
      <x:c r="K32" s="21" t="n">
        <x:f aca="0">IFERROR(K10/K34*100,0)</x:f>
        <x:v>0</x:v>
      </x:c>
    </x:row>
    <x:row r="33" ht="21.75" hidden="0" customHeight="1">
      <x:c r="A33" s="19" t="s">
        <x:v>152</x:v>
      </x:c>
      <x:c r="B33" s="21" t="n">
        <x:f aca="0">IFERROR(B10/B35*100,0)</x:f>
        <x:v>0</x:v>
      </x:c>
      <x:c r="C33" s="21" t="n">
        <x:f aca="0">IFERROR(C10/C35*100,0)</x:f>
        <x:v>0</x:v>
      </x:c>
      <x:c r="D33" s="21" t="n">
        <x:f aca="0">IFERROR(D10/D35*100,0)</x:f>
        <x:v>0</x:v>
      </x:c>
      <x:c r="E33" s="21" t="n">
        <x:f aca="0">IFERROR(E10/E35*100,0)</x:f>
        <x:v>0</x:v>
      </x:c>
      <x:c r="F33" s="21" t="n">
        <x:f aca="0">IFERROR(F10/F35*100,0)</x:f>
        <x:v>0</x:v>
      </x:c>
      <x:c r="G33" s="21" t="n">
        <x:f aca="0">IFERROR(G10/G35*100,0)</x:f>
        <x:v>0</x:v>
      </x:c>
      <x:c r="H33" s="21" t="n">
        <x:f aca="0">IFERROR(H10/H35*100,0)</x:f>
        <x:v>0</x:v>
      </x:c>
      <x:c r="I33" s="21" t="n">
        <x:f aca="0">IFERROR(I10/I35*100,0)</x:f>
        <x:v>0</x:v>
      </x:c>
      <x:c r="J33" s="21" t="n">
        <x:f aca="0">IFERROR(J10/J35*100,0)</x:f>
        <x:v>0</x:v>
      </x:c>
      <x:c r="K33" s="21" t="n">
        <x:f aca="0">IFERROR(K10/K35*100,0)</x:f>
        <x:v>0</x:v>
      </x:c>
    </x:row>
    <x:row r="34" ht="21.75" hidden="0" customHeight="1">
      <x:c r="A34" s="19" t="s">
        <x:v>153</x:v>
      </x:c>
      <x:c r="B34" s="20" t="e">
        <x:f aca="0">SUM(B20,B23)-B14</x:f>
        <x:v>#NAME?</x:v>
      </x:c>
      <x:c r="C34" s="20" t="e">
        <x:f aca="0">SUM(C20,C23)-C14</x:f>
        <x:v>#NAME?</x:v>
      </x:c>
      <x:c r="D34" s="20" t="e">
        <x:f aca="0">SUM(D20,D23)-D14</x:f>
        <x:v>#NAME?</x:v>
      </x:c>
      <x:c r="E34" s="20" t="e">
        <x:f aca="0">SUM(E20,E23)-E14</x:f>
        <x:v>#NAME?</x:v>
      </x:c>
      <x:c r="F34" s="20" t="e">
        <x:f aca="0">SUM(F20,F23)-F14</x:f>
        <x:v>#NAME?</x:v>
      </x:c>
      <x:c r="G34" s="20" t="e">
        <x:f aca="0">SUM(G20,G23)-G14</x:f>
        <x:v>#NAME?</x:v>
      </x:c>
      <x:c r="H34" s="20" t="e">
        <x:f aca="0">SUM(H20,H23)-H14</x:f>
        <x:v>#NAME?</x:v>
      </x:c>
      <x:c r="I34" s="20" t="e">
        <x:f aca="0">SUM(I20,I23)-I14</x:f>
        <x:v>#NAME?</x:v>
      </x:c>
      <x:c r="J34" s="20" t="e">
        <x:f aca="0">SUM(J20,J23)-J14</x:f>
        <x:v>#NAME?</x:v>
      </x:c>
      <x:c r="K34" s="20" t="e">
        <x:f aca="0">SUM(K20,K23)-K14</x:f>
        <x:v>#NAME?</x:v>
      </x:c>
    </x:row>
    <x:row r="35" ht="21.75" hidden="0" customHeight="1">
      <x:c r="A35" s="19" t="s">
        <x:v>154</x:v>
      </x:c>
      <x:c r="B35" s="20" t="e">
        <x:f aca="0">B34+$B$5</x:f>
        <x:v>#NAME?</x:v>
      </x:c>
      <x:c r="C35" s="20" t="e">
        <x:f aca="0">C34+$B$5</x:f>
        <x:v>#NAME?</x:v>
      </x:c>
      <x:c r="D35" s="20" t="e">
        <x:f aca="0">D34+$B$5</x:f>
        <x:v>#NAME?</x:v>
      </x:c>
      <x:c r="E35" s="20" t="e">
        <x:f aca="0">E34+$B$5</x:f>
        <x:v>#NAME?</x:v>
      </x:c>
      <x:c r="F35" s="20" t="e">
        <x:f aca="0">F34+$B$5</x:f>
        <x:v>#NAME?</x:v>
      </x:c>
      <x:c r="G35" s="20" t="e">
        <x:f aca="0">G34+$B$5</x:f>
        <x:v>#NAME?</x:v>
      </x:c>
      <x:c r="H35" s="20" t="e">
        <x:f aca="0">H34+$B$5</x:f>
        <x:v>#NAME?</x:v>
      </x:c>
      <x:c r="I35" s="20" t="e">
        <x:f aca="0">I34+$B$5</x:f>
        <x:v>#NAME?</x:v>
      </x:c>
      <x:c r="J35" s="20" t="e">
        <x:f aca="0">J34+$B$5</x:f>
        <x:v>#NAME?</x:v>
      </x:c>
      <x:c r="K35" s="20" t="e">
        <x:f aca="0">K34+$B$5</x:f>
        <x:v>#NAME?</x:v>
      </x:c>
    </x:row>
    <x:row r="36" ht="21.75" hidden="0" customHeight="1">
      <x:c r="A36" s="19" t="s">
        <x:v>155</x:v>
      </x:c>
      <x:c r="B36" s="20" t="n">
        <x:f aca="0">IFERROR(B10/(B20+B23-B14-B12-B15+$B$5)*100,0)</x:f>
        <x:v>0</x:v>
      </x:c>
      <x:c r="C36" s="20" t="n">
        <x:f aca="0">IFERROR(C10/(C20+C23-C14-C12-C15+$B$5)*100,0)</x:f>
        <x:v>0</x:v>
      </x:c>
      <x:c r="D36" s="20" t="n">
        <x:f aca="0">IFERROR(D10/(D20+D23-D14-D12-D15+$B$5)*100,0)</x:f>
        <x:v>0</x:v>
      </x:c>
      <x:c r="E36" s="20" t="n">
        <x:f aca="0">IFERROR(E10/(E20+E23-E14-E12-E15+$B$5)*100,0)</x:f>
        <x:v>0</x:v>
      </x:c>
      <x:c r="F36" s="20" t="n">
        <x:f aca="0">IFERROR(F10/(F20+F23-F14-F12-F15+$B$5)*100,0)</x:f>
        <x:v>0</x:v>
      </x:c>
      <x:c r="G36" s="20" t="n">
        <x:f aca="0">IFERROR(G10/(G20+G23-G14-G12-G15+$B$5)*100,0)</x:f>
        <x:v>0</x:v>
      </x:c>
      <x:c r="H36" s="20" t="n">
        <x:f aca="0">IFERROR(H10/(H20+H23-H14-H12-H15+$B$5)*100,0)</x:f>
        <x:v>0</x:v>
      </x:c>
      <x:c r="I36" s="20" t="n">
        <x:f aca="0">IFERROR(I10/(I20+I23-I14-I12-I15+$B$5)*100,0)</x:f>
        <x:v>0</x:v>
      </x:c>
      <x:c r="J36" s="20" t="n">
        <x:f aca="0">IFERROR(J10/(J20+J23-J14-J12-J15+$B$5)*100,0)</x:f>
        <x:v>0</x:v>
      </x:c>
      <x:c r="K36" s="20" t="n">
        <x:f aca="0">IFERROR(K10/(K20+K23-K14-K12-K15+$B$5)*100,0)</x:f>
        <x:v>0</x:v>
      </x:c>
    </x:row>
    <x:row r="37" ht="21.75" hidden="0" customHeight="1">
      <x:c r="A37" s="19" t="s">
        <x:v>156</x:v>
      </x:c>
      <x:c r="B37" s="20" t="str">
        <x:f aca="0">IF(B33&lt;=B32,"OK","要確認")</x:f>
        <x:v>OK</x:v>
      </x:c>
      <x:c r="C37" s="20" t="str">
        <x:f aca="0">IF(C33&lt;=C32,"OK","要確認")</x:f>
        <x:v>OK</x:v>
      </x:c>
      <x:c r="D37" s="20" t="str">
        <x:f aca="0">IF(D33&lt;=D32,"OK","要確認")</x:f>
        <x:v>OK</x:v>
      </x:c>
      <x:c r="E37" s="20" t="str">
        <x:f aca="0">IF(E33&lt;=E32,"OK","要確認")</x:f>
        <x:v>OK</x:v>
      </x:c>
      <x:c r="F37" s="20" t="str">
        <x:f aca="0">IF(F33&lt;=F32,"OK","要確認")</x:f>
        <x:v>OK</x:v>
      </x:c>
      <x:c r="G37" s="20" t="str">
        <x:f aca="0">IF(G33&lt;=G32,"OK","要確認")</x:f>
        <x:v>OK</x:v>
      </x:c>
      <x:c r="H37" s="20" t="str">
        <x:f aca="0">IF(H33&lt;=H32,"OK","要確認")</x:f>
        <x:v>OK</x:v>
      </x:c>
      <x:c r="I37" s="20" t="str">
        <x:f aca="0">IF(I33&lt;=I32,"OK","要確認")</x:f>
        <x:v>OK</x:v>
      </x:c>
      <x:c r="J37" s="20" t="str">
        <x:f aca="0">IF(J33&lt;=J32,"OK","要確認")</x:f>
        <x:v>OK</x:v>
      </x:c>
      <x:c r="K37" s="20" t="str">
        <x:f aca="0">IF(K33&lt;=K32,"OK","要確認")</x:f>
        <x:v>OK</x:v>
      </x:c>
    </x:row>
    <x:row r="38" ht="21.75" hidden="0" customHeight="1">
      <x:c r="A38" s="19"/>
      <x:c r="B38" s="20"/>
      <x:c r="C38" s="20"/>
      <x:c r="D38" s="20"/>
      <x:c r="E38" s="20"/>
      <x:c r="F38" s="20"/>
      <x:c r="G38" s="20"/>
      <x:c r="H38" s="20"/>
      <x:c r="I38" s="20"/>
      <x:c r="J38" s="20"/>
      <x:c r="K38" s="20"/>
    </x:row>
    <x:row r="39" ht="21.75" hidden="0" customHeight="1">
      <x:c r="A39" s="17" t="s">
        <x:v>79</x:v>
      </x:c>
      <x:c r="B39" s="18"/>
      <x:c r="C39" s="18"/>
      <x:c r="D39" s="18"/>
      <x:c r="E39" s="18"/>
      <x:c r="F39" s="18"/>
      <x:c r="G39" s="18"/>
      <x:c r="H39" s="18"/>
      <x:c r="I39" s="18"/>
      <x:c r="J39" s="18"/>
      <x:c r="K39" s="18"/>
    </x:row>
    <x:row r="40" ht="21.75" hidden="0" customHeight="1">
      <x:c r="A40" s="19" t="s">
        <x:v>80</x:v>
      </x:c>
      <x:c r="B40" s="20" t="e">
        <x:f aca="0">02_R8予算_年次計画置換!B34</x:f>
        <x:v>#NAME?</x:v>
      </x:c>
      <x:c r="C40" s="20" t="e">
        <x:f aca="0">02_R8予算_年次計画置換!C34</x:f>
        <x:v>#NAME?</x:v>
      </x:c>
      <x:c r="D40" s="20" t="e">
        <x:f aca="0">02_R8予算_年次計画置換!D34</x:f>
        <x:v>#NAME?</x:v>
      </x:c>
      <x:c r="E40" s="20" t="e">
        <x:f aca="0">02_R8予算_年次計画置換!E34</x:f>
        <x:v>#NAME?</x:v>
      </x:c>
      <x:c r="F40" s="20" t="e">
        <x:f aca="0">02_R8予算_年次計画置換!F34</x:f>
        <x:v>#NAME?</x:v>
      </x:c>
      <x:c r="G40" s="20" t="e">
        <x:f aca="0">02_R8予算_年次計画置換!G34</x:f>
        <x:v>#NAME?</x:v>
      </x:c>
      <x:c r="H40" s="20" t="e">
        <x:f aca="0">02_R8予算_年次計画置換!H34</x:f>
        <x:v>#NAME?</x:v>
      </x:c>
      <x:c r="I40" s="20" t="e">
        <x:f aca="0">02_R8予算_年次計画置換!I34</x:f>
        <x:v>#NAME?</x:v>
      </x:c>
      <x:c r="J40" s="20" t="e">
        <x:f aca="0">02_R8予算_年次計画置換!J34</x:f>
        <x:v>#NAME?</x:v>
      </x:c>
      <x:c r="K40" s="20" t="e">
        <x:f aca="0">02_R8予算_年次計画置換!K34</x:f>
        <x:v>#NAME?</x:v>
      </x:c>
    </x:row>
    <x:row r="41" ht="21.75" hidden="0" customHeight="1">
      <x:c r="A41" s="19" t="s">
        <x:v>81</x:v>
      </x:c>
      <x:c r="B41" s="20" t="e">
        <x:f aca="0">02_R8予算_年次計画置換!B35</x:f>
        <x:v>#NAME?</x:v>
      </x:c>
      <x:c r="C41" s="20" t="e">
        <x:f aca="0">02_R8予算_年次計画置換!C35</x:f>
        <x:v>#NAME?</x:v>
      </x:c>
      <x:c r="D41" s="20" t="e">
        <x:f aca="0">02_R8予算_年次計画置換!D35</x:f>
        <x:v>#NAME?</x:v>
      </x:c>
      <x:c r="E41" s="20" t="e">
        <x:f aca="0">02_R8予算_年次計画置換!E35</x:f>
        <x:v>#NAME?</x:v>
      </x:c>
      <x:c r="F41" s="20" t="e">
        <x:f aca="0">02_R8予算_年次計画置換!F35</x:f>
        <x:v>#NAME?</x:v>
      </x:c>
      <x:c r="G41" s="20" t="e">
        <x:f aca="0">02_R8予算_年次計画置換!G35</x:f>
        <x:v>#NAME?</x:v>
      </x:c>
      <x:c r="H41" s="20" t="e">
        <x:f aca="0">02_R8予算_年次計画置換!H35</x:f>
        <x:v>#NAME?</x:v>
      </x:c>
      <x:c r="I41" s="20" t="e">
        <x:f aca="0">02_R8予算_年次計画置換!I35</x:f>
        <x:v>#NAME?</x:v>
      </x:c>
      <x:c r="J41" s="20" t="e">
        <x:f aca="0">02_R8予算_年次計画置換!J35</x:f>
        <x:v>#NAME?</x:v>
      </x:c>
      <x:c r="K41" s="20" t="e">
        <x:f aca="0">02_R8予算_年次計画置換!K35</x:f>
        <x:v>#NAME?</x:v>
      </x:c>
    </x:row>
    <x:row r="42" ht="21.75" hidden="0" customHeight="1">
      <x:c r="A42" s="19" t="s">
        <x:v>82</x:v>
      </x:c>
      <x:c r="B42" s="20" t="e">
        <x:f aca="0">02_R8予算_年次計画置換!B36</x:f>
        <x:v>#NAME?</x:v>
      </x:c>
      <x:c r="C42" s="20" t="e">
        <x:f aca="0">02_R8予算_年次計画置換!C36</x:f>
        <x:v>#NAME?</x:v>
      </x:c>
      <x:c r="D42" s="20" t="e">
        <x:f aca="0">02_R8予算_年次計画置換!D36</x:f>
        <x:v>#NAME?</x:v>
      </x:c>
      <x:c r="E42" s="20" t="e">
        <x:f aca="0">02_R8予算_年次計画置換!E36</x:f>
        <x:v>#NAME?</x:v>
      </x:c>
      <x:c r="F42" s="20" t="e">
        <x:f aca="0">02_R8予算_年次計画置換!F36</x:f>
        <x:v>#NAME?</x:v>
      </x:c>
      <x:c r="G42" s="20" t="e">
        <x:f aca="0">02_R8予算_年次計画置換!G36</x:f>
        <x:v>#NAME?</x:v>
      </x:c>
      <x:c r="H42" s="20" t="e">
        <x:f aca="0">02_R8予算_年次計画置換!H36</x:f>
        <x:v>#NAME?</x:v>
      </x:c>
      <x:c r="I42" s="20" t="e">
        <x:f aca="0">02_R8予算_年次計画置換!I36</x:f>
        <x:v>#NAME?</x:v>
      </x:c>
      <x:c r="J42" s="20" t="e">
        <x:f aca="0">02_R8予算_年次計画置換!J36</x:f>
        <x:v>#NAME?</x:v>
      </x:c>
      <x:c r="K42" s="20" t="e">
        <x:f aca="0">02_R8予算_年次計画置換!K36</x:f>
        <x:v>#NAME?</x:v>
      </x:c>
    </x:row>
    <x:row r="43" ht="21.75" hidden="0" customHeight="1">
      <x:c r="A43" s="19" t="s">
        <x:v>83</x:v>
      </x:c>
      <x:c r="B43" s="20" t="e">
        <x:f aca="0">02_R8予算_年次計画置換!B37</x:f>
        <x:v>#NAME?</x:v>
      </x:c>
      <x:c r="C43" s="20" t="e">
        <x:f aca="0">02_R8予算_年次計画置換!C37</x:f>
        <x:v>#NAME?</x:v>
      </x:c>
      <x:c r="D43" s="20" t="e">
        <x:f aca="0">02_R8予算_年次計画置換!D37</x:f>
        <x:v>#NAME?</x:v>
      </x:c>
      <x:c r="E43" s="20" t="e">
        <x:f aca="0">02_R8予算_年次計画置換!E37</x:f>
        <x:v>#NAME?</x:v>
      </x:c>
      <x:c r="F43" s="20" t="e">
        <x:f aca="0">02_R8予算_年次計画置換!F37</x:f>
        <x:v>#NAME?</x:v>
      </x:c>
      <x:c r="G43" s="20" t="e">
        <x:f aca="0">02_R8予算_年次計画置換!G37</x:f>
        <x:v>#NAME?</x:v>
      </x:c>
      <x:c r="H43" s="20" t="e">
        <x:f aca="0">02_R8予算_年次計画置換!H37</x:f>
        <x:v>#NAME?</x:v>
      </x:c>
      <x:c r="I43" s="20" t="e">
        <x:f aca="0">02_R8予算_年次計画置換!I37</x:f>
        <x:v>#NAME?</x:v>
      </x:c>
      <x:c r="J43" s="20" t="e">
        <x:f aca="0">02_R8予算_年次計画置換!J37</x:f>
        <x:v>#NAME?</x:v>
      </x:c>
      <x:c r="K43" s="20" t="e">
        <x:f aca="0">02_R8予算_年次計画置換!K37</x:f>
        <x:v>#NAME?</x:v>
      </x:c>
    </x:row>
    <x:row r="44" ht="21.75" hidden="0" customHeight="1">
      <x:c r="A44" s="19" t="s">
        <x:v>84</x:v>
      </x:c>
      <x:c r="B44" s="20" t="e">
        <x:f aca="0">02_R8予算_年次計画置換!B38</x:f>
        <x:v>#NAME?</x:v>
      </x:c>
      <x:c r="C44" s="20" t="e">
        <x:f aca="0">02_R8予算_年次計画置換!C38</x:f>
        <x:v>#NAME?</x:v>
      </x:c>
      <x:c r="D44" s="20" t="e">
        <x:f aca="0">02_R8予算_年次計画置換!D38</x:f>
        <x:v>#NAME?</x:v>
      </x:c>
      <x:c r="E44" s="20" t="e">
        <x:f aca="0">02_R8予算_年次計画置換!E38</x:f>
        <x:v>#NAME?</x:v>
      </x:c>
      <x:c r="F44" s="20" t="e">
        <x:f aca="0">02_R8予算_年次計画置換!F38</x:f>
        <x:v>#NAME?</x:v>
      </x:c>
      <x:c r="G44" s="20" t="e">
        <x:f aca="0">02_R8予算_年次計画置換!G38</x:f>
        <x:v>#NAME?</x:v>
      </x:c>
      <x:c r="H44" s="20" t="e">
        <x:f aca="0">02_R8予算_年次計画置換!H38</x:f>
        <x:v>#NAME?</x:v>
      </x:c>
      <x:c r="I44" s="20" t="e">
        <x:f aca="0">02_R8予算_年次計画置換!I38</x:f>
        <x:v>#NAME?</x:v>
      </x:c>
      <x:c r="J44" s="20" t="e">
        <x:f aca="0">02_R8予算_年次計画置換!J38</x:f>
        <x:v>#NAME?</x:v>
      </x:c>
      <x:c r="K44" s="20" t="e">
        <x:f aca="0">02_R8予算_年次計画置換!K38</x:f>
        <x:v>#NAME?</x:v>
      </x:c>
    </x:row>
    <x:row r="45" ht="21.75" hidden="0" customHeight="1">
      <x:c r="A45" s="19" t="s">
        <x:v>85</x:v>
      </x:c>
      <x:c r="B45" s="20" t="e">
        <x:f aca="0">02_R8予算_年次計画置換!B39</x:f>
        <x:v>#NAME?</x:v>
      </x:c>
      <x:c r="C45" s="20" t="e">
        <x:f aca="0">02_R8予算_年次計画置換!C39</x:f>
        <x:v>#NAME?</x:v>
      </x:c>
      <x:c r="D45" s="20" t="e">
        <x:f aca="0">02_R8予算_年次計画置換!D39</x:f>
        <x:v>#NAME?</x:v>
      </x:c>
      <x:c r="E45" s="20" t="e">
        <x:f aca="0">02_R8予算_年次計画置換!E39</x:f>
        <x:v>#NAME?</x:v>
      </x:c>
      <x:c r="F45" s="20" t="e">
        <x:f aca="0">02_R8予算_年次計画置換!F39</x:f>
        <x:v>#NAME?</x:v>
      </x:c>
      <x:c r="G45" s="20" t="e">
        <x:f aca="0">02_R8予算_年次計画置換!G39</x:f>
        <x:v>#NAME?</x:v>
      </x:c>
      <x:c r="H45" s="20" t="e">
        <x:f aca="0">02_R8予算_年次計画置換!H39</x:f>
        <x:v>#NAME?</x:v>
      </x:c>
      <x:c r="I45" s="20" t="e">
        <x:f aca="0">02_R8予算_年次計画置換!I39</x:f>
        <x:v>#NAME?</x:v>
      </x:c>
      <x:c r="J45" s="20" t="e">
        <x:f aca="0">02_R8予算_年次計画置換!J39</x:f>
        <x:v>#NAME?</x:v>
      </x:c>
      <x:c r="K45" s="20" t="e">
        <x:f aca="0">02_R8予算_年次計画置換!K39</x:f>
        <x:v>#NAME?</x:v>
      </x:c>
    </x:row>
    <x:row r="46" ht="21.75" hidden="0" customHeight="1">
      <x:c r="A46" s="19" t="s">
        <x:v>86</x:v>
      </x:c>
      <x:c r="B46" s="20" t="e">
        <x:f aca="0">02_R8予算_年次計画置換!B40</x:f>
        <x:v>#NAME?</x:v>
      </x:c>
      <x:c r="C46" s="20" t="e">
        <x:f aca="0">02_R8予算_年次計画置換!C40</x:f>
        <x:v>#NAME?</x:v>
      </x:c>
      <x:c r="D46" s="20" t="e">
        <x:f aca="0">02_R8予算_年次計画置換!D40</x:f>
        <x:v>#NAME?</x:v>
      </x:c>
      <x:c r="E46" s="20" t="e">
        <x:f aca="0">02_R8予算_年次計画置換!E40</x:f>
        <x:v>#NAME?</x:v>
      </x:c>
      <x:c r="F46" s="20" t="e">
        <x:f aca="0">02_R8予算_年次計画置換!F40</x:f>
        <x:v>#NAME?</x:v>
      </x:c>
      <x:c r="G46" s="20" t="e">
        <x:f aca="0">02_R8予算_年次計画置換!G40</x:f>
        <x:v>#NAME?</x:v>
      </x:c>
      <x:c r="H46" s="20" t="e">
        <x:f aca="0">02_R8予算_年次計画置換!H40</x:f>
        <x:v>#NAME?</x:v>
      </x:c>
      <x:c r="I46" s="20" t="e">
        <x:f aca="0">02_R8予算_年次計画置換!I40</x:f>
        <x:v>#NAME?</x:v>
      </x:c>
      <x:c r="J46" s="20" t="e">
        <x:f aca="0">02_R8予算_年次計画置換!J40</x:f>
        <x:v>#NAME?</x:v>
      </x:c>
      <x:c r="K46" s="20" t="e">
        <x:f aca="0">02_R8予算_年次計画置換!K40</x:f>
        <x:v>#NAME?</x:v>
      </x:c>
    </x:row>
    <x:row r="47" ht="21.75" hidden="0" customHeight="1">
      <x:c r="A47" s="19" t="s">
        <x:v>87</x:v>
      </x:c>
      <x:c r="B47" s="20" t="e">
        <x:f aca="0">02_R8予算_年次計画置換!B41</x:f>
        <x:v>#NAME?</x:v>
      </x:c>
      <x:c r="C47" s="20" t="e">
        <x:f aca="0">02_R8予算_年次計画置換!C41</x:f>
        <x:v>#NAME?</x:v>
      </x:c>
      <x:c r="D47" s="20" t="e">
        <x:f aca="0">02_R8予算_年次計画置換!D41</x:f>
        <x:v>#NAME?</x:v>
      </x:c>
      <x:c r="E47" s="20" t="e">
        <x:f aca="0">02_R8予算_年次計画置換!E41</x:f>
        <x:v>#NAME?</x:v>
      </x:c>
      <x:c r="F47" s="20" t="e">
        <x:f aca="0">02_R8予算_年次計画置換!F41</x:f>
        <x:v>#NAME?</x:v>
      </x:c>
      <x:c r="G47" s="20" t="e">
        <x:f aca="0">02_R8予算_年次計画置換!G41</x:f>
        <x:v>#NAME?</x:v>
      </x:c>
      <x:c r="H47" s="20" t="e">
        <x:f aca="0">02_R8予算_年次計画置換!H41</x:f>
        <x:v>#NAME?</x:v>
      </x:c>
      <x:c r="I47" s="20" t="e">
        <x:f aca="0">02_R8予算_年次計画置換!I41</x:f>
        <x:v>#NAME?</x:v>
      </x:c>
      <x:c r="J47" s="20" t="e">
        <x:f aca="0">02_R8予算_年次計画置換!J41</x:f>
        <x:v>#NAME?</x:v>
      </x:c>
      <x:c r="K47" s="20" t="e">
        <x:f aca="0">02_R8予算_年次計画置換!K41</x:f>
        <x:v>#NAME?</x:v>
      </x:c>
    </x:row>
    <x:row r="48" ht="21.75" hidden="0" customHeight="1">
      <x:c r="A48" s="19"/>
      <x:c r="B48" s="20"/>
      <x:c r="C48" s="20"/>
      <x:c r="D48" s="20"/>
      <x:c r="E48" s="20"/>
      <x:c r="F48" s="20"/>
      <x:c r="G48" s="20"/>
      <x:c r="H48" s="20"/>
      <x:c r="I48" s="20"/>
      <x:c r="J48" s="20"/>
      <x:c r="K48" s="20"/>
    </x:row>
    <x:row r="49" ht="21.75" hidden="0" customHeight="1">
      <x:c r="A49" s="17" t="s">
        <x:v>88</x:v>
      </x:c>
      <x:c r="B49" s="18"/>
      <x:c r="C49" s="18"/>
      <x:c r="D49" s="18"/>
      <x:c r="E49" s="18"/>
      <x:c r="F49" s="18"/>
      <x:c r="G49" s="18"/>
      <x:c r="H49" s="18"/>
      <x:c r="I49" s="18"/>
      <x:c r="J49" s="18"/>
      <x:c r="K49" s="18"/>
    </x:row>
    <x:row r="50" ht="21.75" hidden="0" customHeight="1">
      <x:c r="A50" s="19" t="s">
        <x:v>89</x:v>
      </x:c>
      <x:c r="B50" s="20" t="e">
        <x:f aca="0">02_R8予算_年次計画置換!B44</x:f>
        <x:v>#NAME?</x:v>
      </x:c>
      <x:c r="C50" s="20" t="e">
        <x:f aca="0">02_R8予算_年次計画置換!C44</x:f>
        <x:v>#NAME?</x:v>
      </x:c>
      <x:c r="D50" s="20" t="e">
        <x:f aca="0">02_R8予算_年次計画置換!D44</x:f>
        <x:v>#NAME?</x:v>
      </x:c>
      <x:c r="E50" s="20" t="e">
        <x:f aca="0">02_R8予算_年次計画置換!E44</x:f>
        <x:v>#NAME?</x:v>
      </x:c>
      <x:c r="F50" s="20" t="e">
        <x:f aca="0">02_R8予算_年次計画置換!F44</x:f>
        <x:v>#NAME?</x:v>
      </x:c>
      <x:c r="G50" s="20" t="e">
        <x:f aca="0">02_R8予算_年次計画置換!G44</x:f>
        <x:v>#NAME?</x:v>
      </x:c>
      <x:c r="H50" s="20" t="e">
        <x:f aca="0">02_R8予算_年次計画置換!H44</x:f>
        <x:v>#NAME?</x:v>
      </x:c>
      <x:c r="I50" s="20" t="e">
        <x:f aca="0">02_R8予算_年次計画置換!I44</x:f>
        <x:v>#NAME?</x:v>
      </x:c>
      <x:c r="J50" s="20" t="e">
        <x:f aca="0">02_R8予算_年次計画置換!J44</x:f>
        <x:v>#NAME?</x:v>
      </x:c>
      <x:c r="K50" s="20" t="e">
        <x:f aca="0">02_R8予算_年次計画置換!K44</x:f>
        <x:v>#NAME?</x:v>
      </x:c>
    </x:row>
    <x:row r="51" ht="21.75" hidden="0" customHeight="1">
      <x:c r="A51" s="19" t="s">
        <x:v>90</x:v>
      </x:c>
      <x:c r="B51" s="20" t="e">
        <x:f aca="0">02_R8予算_年次計画置換!B45</x:f>
        <x:v>#NAME?</x:v>
      </x:c>
      <x:c r="C51" s="20" t="e">
        <x:f aca="0">02_R8予算_年次計画置換!C45</x:f>
        <x:v>#NAME?</x:v>
      </x:c>
      <x:c r="D51" s="20" t="e">
        <x:f aca="0">02_R8予算_年次計画置換!D45</x:f>
        <x:v>#NAME?</x:v>
      </x:c>
      <x:c r="E51" s="20" t="e">
        <x:f aca="0">02_R8予算_年次計画置換!E45</x:f>
        <x:v>#NAME?</x:v>
      </x:c>
      <x:c r="F51" s="20" t="e">
        <x:f aca="0">02_R8予算_年次計画置換!F45</x:f>
        <x:v>#NAME?</x:v>
      </x:c>
      <x:c r="G51" s="20" t="e">
        <x:f aca="0">02_R8予算_年次計画置換!G45</x:f>
        <x:v>#NAME?</x:v>
      </x:c>
      <x:c r="H51" s="20" t="e">
        <x:f aca="0">02_R8予算_年次計画置換!H45</x:f>
        <x:v>#NAME?</x:v>
      </x:c>
      <x:c r="I51" s="20" t="e">
        <x:f aca="0">02_R8予算_年次計画置換!I45</x:f>
        <x:v>#NAME?</x:v>
      </x:c>
      <x:c r="J51" s="20" t="e">
        <x:f aca="0">02_R8予算_年次計画置換!J45</x:f>
        <x:v>#NAME?</x:v>
      </x:c>
      <x:c r="K51" s="20" t="e">
        <x:f aca="0">02_R8予算_年次計画置換!K45</x:f>
        <x:v>#NAME?</x:v>
      </x:c>
    </x:row>
    <x:row r="52" ht="21.75" hidden="0" customHeight="1">
      <x:c r="A52" s="19" t="s">
        <x:v>91</x:v>
      </x:c>
      <x:c r="B52" s="20" t="e">
        <x:f aca="0">02_R8予算_年次計画置換!B46</x:f>
        <x:v>#NAME?</x:v>
      </x:c>
      <x:c r="C52" s="20" t="e">
        <x:f aca="0">02_R8予算_年次計画置換!C46</x:f>
        <x:v>#NAME?</x:v>
      </x:c>
      <x:c r="D52" s="20" t="e">
        <x:f aca="0">02_R8予算_年次計画置換!D46</x:f>
        <x:v>#NAME?</x:v>
      </x:c>
      <x:c r="E52" s="20" t="e">
        <x:f aca="0">02_R8予算_年次計画置換!E46</x:f>
        <x:v>#NAME?</x:v>
      </x:c>
      <x:c r="F52" s="20" t="e">
        <x:f aca="0">02_R8予算_年次計画置換!F46</x:f>
        <x:v>#NAME?</x:v>
      </x:c>
      <x:c r="G52" s="20" t="e">
        <x:f aca="0">02_R8予算_年次計画置換!G46</x:f>
        <x:v>#NAME?</x:v>
      </x:c>
      <x:c r="H52" s="20" t="e">
        <x:f aca="0">02_R8予算_年次計画置換!H46</x:f>
        <x:v>#NAME?</x:v>
      </x:c>
      <x:c r="I52" s="20" t="e">
        <x:f aca="0">02_R8予算_年次計画置換!I46</x:f>
        <x:v>#NAME?</x:v>
      </x:c>
      <x:c r="J52" s="20" t="e">
        <x:f aca="0">02_R8予算_年次計画置換!J46</x:f>
        <x:v>#NAME?</x:v>
      </x:c>
      <x:c r="K52" s="20" t="e">
        <x:f aca="0">02_R8予算_年次計画置換!K46</x:f>
        <x:v>#NAME?</x:v>
      </x:c>
    </x:row>
    <x:row r="53" ht="21.75" hidden="0" customHeight="1">
      <x:c r="A53" s="19" t="s">
        <x:v>92</x:v>
      </x:c>
      <x:c r="B53" s="20" t="e">
        <x:f aca="0">02_R8予算_年次計画置換!B47</x:f>
        <x:v>#NAME?</x:v>
      </x:c>
      <x:c r="C53" s="20" t="e">
        <x:f aca="0">02_R8予算_年次計画置換!C47</x:f>
        <x:v>#NAME?</x:v>
      </x:c>
      <x:c r="D53" s="20" t="e">
        <x:f aca="0">02_R8予算_年次計画置換!D47</x:f>
        <x:v>#NAME?</x:v>
      </x:c>
      <x:c r="E53" s="20" t="e">
        <x:f aca="0">02_R8予算_年次計画置換!E47</x:f>
        <x:v>#NAME?</x:v>
      </x:c>
      <x:c r="F53" s="20" t="e">
        <x:f aca="0">02_R8予算_年次計画置換!F47</x:f>
        <x:v>#NAME?</x:v>
      </x:c>
      <x:c r="G53" s="20" t="e">
        <x:f aca="0">02_R8予算_年次計画置換!G47</x:f>
        <x:v>#NAME?</x:v>
      </x:c>
      <x:c r="H53" s="20" t="e">
        <x:f aca="0">02_R8予算_年次計画置換!H47</x:f>
        <x:v>#NAME?</x:v>
      </x:c>
      <x:c r="I53" s="20" t="e">
        <x:f aca="0">02_R8予算_年次計画置換!I47</x:f>
        <x:v>#NAME?</x:v>
      </x:c>
      <x:c r="J53" s="20" t="e">
        <x:f aca="0">02_R8予算_年次計画置換!J47</x:f>
        <x:v>#NAME?</x:v>
      </x:c>
      <x:c r="K53" s="20" t="e">
        <x:f aca="0">02_R8予算_年次計画置換!K47</x:f>
        <x:v>#NAME?</x:v>
      </x:c>
    </x:row>
    <x:row r="54" ht="21.75" hidden="0" customHeight="1">
      <x:c r="A54" s="19" t="s">
        <x:v>93</x:v>
      </x:c>
      <x:c r="B54" s="20" t="e">
        <x:f aca="0">B40-B50</x:f>
        <x:v>#NAME?</x:v>
      </x:c>
      <x:c r="C54" s="20" t="e">
        <x:f aca="0">C40-C50</x:f>
        <x:v>#NAME?</x:v>
      </x:c>
      <x:c r="D54" s="20" t="e">
        <x:f aca="0">D40-D50</x:f>
        <x:v>#NAME?</x:v>
      </x:c>
      <x:c r="E54" s="20" t="e">
        <x:f aca="0">E40-E50</x:f>
        <x:v>#NAME?</x:v>
      </x:c>
      <x:c r="F54" s="20" t="e">
        <x:f aca="0">F40-F50</x:f>
        <x:v>#NAME?</x:v>
      </x:c>
      <x:c r="G54" s="20" t="e">
        <x:f aca="0">G40-G50</x:f>
        <x:v>#NAME?</x:v>
      </x:c>
      <x:c r="H54" s="20" t="e">
        <x:f aca="0">H40-H50</x:f>
        <x:v>#NAME?</x:v>
      </x:c>
      <x:c r="I54" s="20" t="e">
        <x:f aca="0">I40-I50</x:f>
        <x:v>#NAME?</x:v>
      </x:c>
      <x:c r="J54" s="20" t="e">
        <x:f aca="0">J40-J50</x:f>
        <x:v>#NAME?</x:v>
      </x:c>
      <x:c r="K54" s="20" t="e">
        <x:f aca="0">K40-K50</x:f>
        <x:v>#NAME?</x:v>
      </x:c>
    </x:row>
    <x:row r="55" ht="21.75" hidden="0" customHeight="1">
      <x:c r="A55" s="19"/>
      <x:c r="B55" s="20"/>
      <x:c r="C55" s="20"/>
      <x:c r="D55" s="20"/>
      <x:c r="E55" s="20"/>
      <x:c r="F55" s="20"/>
      <x:c r="G55" s="20"/>
      <x:c r="H55" s="20"/>
      <x:c r="I55" s="20"/>
      <x:c r="J55" s="20"/>
      <x:c r="K55" s="20"/>
    </x:row>
    <x:row r="56" ht="21.75" hidden="0" customHeight="1">
      <x:c r="A56" s="17" t="s">
        <x:v>157</x:v>
      </x:c>
      <x:c r="B56" s="18"/>
      <x:c r="C56" s="18"/>
      <x:c r="D56" s="18"/>
      <x:c r="E56" s="18"/>
      <x:c r="F56" s="18"/>
      <x:c r="G56" s="18"/>
      <x:c r="H56" s="18"/>
      <x:c r="I56" s="18"/>
      <x:c r="J56" s="18"/>
      <x:c r="K56" s="18"/>
    </x:row>
    <x:row r="57" ht="21.75" hidden="0" customHeight="1">
      <x:c r="A57" s="19" t="s">
        <x:v>158</x:v>
      </x:c>
      <x:c r="B57" s="20" t="e">
        <x:f aca="0">B28+B21+B22-B14</x:f>
        <x:v>#NAME?</x:v>
      </x:c>
      <x:c r="C57" s="20" t="e">
        <x:f aca="0">C28+C21+C22-C14</x:f>
        <x:v>#NAME?</x:v>
      </x:c>
      <x:c r="D57" s="20" t="e">
        <x:f aca="0">D28+D21+D22-D14</x:f>
        <x:v>#NAME?</x:v>
      </x:c>
      <x:c r="E57" s="20" t="e">
        <x:f aca="0">E28+E21+E22-E14</x:f>
        <x:v>#NAME?</x:v>
      </x:c>
      <x:c r="F57" s="20" t="e">
        <x:f aca="0">F28+F21+F22-F14</x:f>
        <x:v>#NAME?</x:v>
      </x:c>
      <x:c r="G57" s="20" t="e">
        <x:f aca="0">G28+G21+G22-G14</x:f>
        <x:v>#NAME?</x:v>
      </x:c>
      <x:c r="H57" s="20" t="e">
        <x:f aca="0">H28+H21+H22-H14</x:f>
        <x:v>#NAME?</x:v>
      </x:c>
      <x:c r="I57" s="20" t="e">
        <x:f aca="0">I28+I21+I22-I14</x:f>
        <x:v>#NAME?</x:v>
      </x:c>
      <x:c r="J57" s="20" t="e">
        <x:f aca="0">J28+J21+J22-J14</x:f>
        <x:v>#NAME?</x:v>
      </x:c>
      <x:c r="K57" s="20" t="e">
        <x:f aca="0">K28+K21+K22-K14</x:f>
        <x:v>#NAME?</x:v>
      </x:c>
    </x:row>
    <x:row r="58" ht="21.75" hidden="0" customHeight="1">
      <x:c r="A58" s="19" t="s">
        <x:v>159</x:v>
      </x:c>
      <x:c r="B58" s="20" t="e">
        <x:f aca="0">B54</x:f>
        <x:v>#NAME?</x:v>
      </x:c>
      <x:c r="C58" s="20" t="e">
        <x:f aca="0">C54</x:f>
        <x:v>#NAME?</x:v>
      </x:c>
      <x:c r="D58" s="20" t="e">
        <x:f aca="0">D54</x:f>
        <x:v>#NAME?</x:v>
      </x:c>
      <x:c r="E58" s="20" t="e">
        <x:f aca="0">E54</x:f>
        <x:v>#NAME?</x:v>
      </x:c>
      <x:c r="F58" s="20" t="e">
        <x:f aca="0">F54</x:f>
        <x:v>#NAME?</x:v>
      </x:c>
      <x:c r="G58" s="20" t="e">
        <x:f aca="0">G54</x:f>
        <x:v>#NAME?</x:v>
      </x:c>
      <x:c r="H58" s="20" t="e">
        <x:f aca="0">H54</x:f>
        <x:v>#NAME?</x:v>
      </x:c>
      <x:c r="I58" s="20" t="e">
        <x:f aca="0">I54</x:f>
        <x:v>#NAME?</x:v>
      </x:c>
      <x:c r="J58" s="20" t="e">
        <x:f aca="0">J54</x:f>
        <x:v>#NAME?</x:v>
      </x:c>
      <x:c r="K58" s="20" t="e">
        <x:f aca="0">K54</x:f>
        <x:v>#NAME?</x:v>
      </x:c>
    </x:row>
    <x:row r="59" ht="21.75" hidden="0" customHeight="1">
      <x:c r="A59" s="19" t="s">
        <x:v>160</x:v>
      </x:c>
      <x:c r="B59" s="20" t="e">
        <x:f aca="0">00_前提・検証!$B$6</x:f>
        <x:v>#NAME?</x:v>
      </x:c>
      <x:c r="C59" s="20" t="e">
        <x:f aca="0">B59+C57+C58</x:f>
        <x:v>#NAME?</x:v>
      </x:c>
      <x:c r="D59" s="20" t="e">
        <x:f aca="0">C59+D57+D58</x:f>
        <x:v>#NAME?</x:v>
      </x:c>
      <x:c r="E59" s="20" t="e">
        <x:f aca="0">D59+E57+E58</x:f>
        <x:v>#NAME?</x:v>
      </x:c>
      <x:c r="F59" s="20" t="e">
        <x:f aca="0">E59+F57+F58</x:f>
        <x:v>#NAME?</x:v>
      </x:c>
      <x:c r="G59" s="20" t="e">
        <x:f aca="0">F59+G57+G58</x:f>
        <x:v>#NAME?</x:v>
      </x:c>
      <x:c r="H59" s="20" t="e">
        <x:f aca="0">G59+H57+H58</x:f>
        <x:v>#NAME?</x:v>
      </x:c>
      <x:c r="I59" s="20" t="e">
        <x:f aca="0">H59+I57+I58</x:f>
        <x:v>#NAME?</x:v>
      </x:c>
      <x:c r="J59" s="20" t="e">
        <x:f aca="0">I59+J57+J58</x:f>
        <x:v>#NAME?</x:v>
      </x:c>
      <x:c r="K59" s="20" t="e">
        <x:f aca="0">J59+K57+K58</x:f>
        <x:v>#NAME?</x:v>
      </x:c>
    </x:row>
    <x:row r="60" ht="21.75" hidden="0" customHeight="1">
      <x:c r="A60" s="19" t="s">
        <x:v>161</x:v>
      </x:c>
      <x:c r="B60" s="20" t="e">
        <x:f aca="0">B59-00_前提・検証!$B$7</x:f>
        <x:v>#NAME?</x:v>
      </x:c>
      <x:c r="C60" s="20" t="e">
        <x:f aca="0">C59-00_前提・検証!$B$7</x:f>
        <x:v>#NAME?</x:v>
      </x:c>
      <x:c r="D60" s="20" t="e">
        <x:f aca="0">D59-00_前提・検証!$B$7</x:f>
        <x:v>#NAME?</x:v>
      </x:c>
      <x:c r="E60" s="20" t="e">
        <x:f aca="0">E59-00_前提・検証!$B$7</x:f>
        <x:v>#NAME?</x:v>
      </x:c>
      <x:c r="F60" s="20" t="e">
        <x:f aca="0">F59-00_前提・検証!$B$7</x:f>
        <x:v>#NAME?</x:v>
      </x:c>
      <x:c r="G60" s="20" t="e">
        <x:f aca="0">G59-00_前提・検証!$B$7</x:f>
        <x:v>#NAME?</x:v>
      </x:c>
      <x:c r="H60" s="20" t="e">
        <x:f aca="0">H59-00_前提・検証!$B$7</x:f>
        <x:v>#NAME?</x:v>
      </x:c>
      <x:c r="I60" s="20" t="e">
        <x:f aca="0">I59-00_前提・検証!$B$7</x:f>
        <x:v>#NAME?</x:v>
      </x:c>
      <x:c r="J60" s="20" t="e">
        <x:f aca="0">J59-00_前提・検証!$B$7</x:f>
        <x:v>#NAME?</x:v>
      </x:c>
      <x:c r="K60" s="20" t="e">
        <x:f aca="0">K59-00_前提・検証!$B$7</x:f>
        <x:v>#NAME?</x:v>
      </x:c>
    </x:row>
    <x:row r="62">
      <x:c r="A62" s="58" t="str">
        <x:v>【建設仮勘定・追加企業債の精緻化影響（参考反映）】</x:v>
      </x:c>
      <x:c r="B62" s="58"/>
      <x:c r="C62" s="58"/>
      <x:c r="D62" s="58"/>
      <x:c r="E62" s="58"/>
      <x:c r="F62" s="58"/>
      <x:c r="G62" s="58"/>
      <x:c r="H62" s="58"/>
      <x:c r="I62" s="58"/>
      <x:c r="J62" s="58"/>
      <x:c r="K62" s="58"/>
    </x:row>
    <x:row r="63">
      <x:c r="A63" s="54" t="str">
        <x:v>項目</x:v>
      </x:c>
      <x:c r="B63" s="54" t="str">
        <x:v>令和7年度</x:v>
      </x:c>
      <x:c r="C63" s="54" t="str">
        <x:v>令和8年度</x:v>
      </x:c>
      <x:c r="D63" s="54" t="str">
        <x:v>令和9年度</x:v>
      </x:c>
      <x:c r="E63" s="54" t="str">
        <x:v>令和10年度</x:v>
      </x:c>
      <x:c r="F63" s="54" t="str">
        <x:v>令和11年度</x:v>
      </x:c>
      <x:c r="G63" s="54" t="str">
        <x:v>令和12年度</x:v>
      </x:c>
      <x:c r="H63" s="54" t="str">
        <x:v>令和13年度</x:v>
      </x:c>
      <x:c r="I63" s="54" t="str">
        <x:v>令和14年度</x:v>
      </x:c>
      <x:c r="J63" s="54" t="str">
        <x:v>令和15年度</x:v>
      </x:c>
      <x:c r="K63" s="54" t="str">
        <x:v>令和16年度</x:v>
      </x:c>
    </x:row>
    <x:row r="64">
      <x:c r="A64" s="55" t="str">
        <x:v>減価償却費増加</x:v>
      </x:c>
      <x:c r="B64" s="56" t="n">
        <x:f>'05_建設仮勘定・企業債'!B40</x:f>
        <x:v>0</x:v>
      </x:c>
      <x:c r="C64" s="56" t="n">
        <x:f>'05_建設仮勘定・企業債'!C40</x:f>
        <x:v>0</x:v>
      </x:c>
      <x:c r="D64" s="56" t="n">
        <x:f>'05_建設仮勘定・企業債'!D40</x:f>
        <x:v>0</x:v>
      </x:c>
      <x:c r="E64" s="56" t="n">
        <x:f>'05_建設仮勘定・企業債'!E40</x:f>
        <x:v>11639</x:v>
      </x:c>
      <x:c r="F64" s="56" t="n">
        <x:f>'05_建設仮勘定・企業債'!F40</x:f>
        <x:v>11639</x:v>
      </x:c>
      <x:c r="G64" s="56" t="n">
        <x:f>'05_建設仮勘定・企業債'!G40</x:f>
        <x:v>11639</x:v>
      </x:c>
      <x:c r="H64" s="56" t="n">
        <x:f>'05_建設仮勘定・企業債'!H40</x:f>
        <x:v>11639</x:v>
      </x:c>
      <x:c r="I64" s="56" t="n">
        <x:f>'05_建設仮勘定・企業債'!I40</x:f>
        <x:v>11639</x:v>
      </x:c>
      <x:c r="J64" s="56" t="n">
        <x:f>'05_建設仮勘定・企業債'!J40</x:f>
        <x:v>11639</x:v>
      </x:c>
      <x:c r="K64" s="56" t="n">
        <x:f>'05_建設仮勘定・企業債'!K40</x:f>
        <x:v>11639</x:v>
      </x:c>
    </x:row>
    <x:row r="65">
      <x:c r="A65" s="55" t="str">
        <x:v>長期前受金戻入増加</x:v>
      </x:c>
      <x:c r="B65" s="56" t="n">
        <x:f>'05_建設仮勘定・企業債'!B41</x:f>
        <x:v>0</x:v>
      </x:c>
      <x:c r="C65" s="56" t="n">
        <x:f>'05_建設仮勘定・企業債'!C41</x:f>
        <x:v>0</x:v>
      </x:c>
      <x:c r="D65" s="56" t="n">
        <x:f>'05_建設仮勘定・企業債'!D41</x:f>
        <x:v>0</x:v>
      </x:c>
      <x:c r="E65" s="56" t="n">
        <x:f>'05_建設仮勘定・企業債'!E41</x:f>
        <x:v>8655</x:v>
      </x:c>
      <x:c r="F65" s="56" t="n">
        <x:f>'05_建設仮勘定・企業債'!F41</x:f>
        <x:v>8655</x:v>
      </x:c>
      <x:c r="G65" s="56" t="n">
        <x:f>'05_建設仮勘定・企業債'!G41</x:f>
        <x:v>8655</x:v>
      </x:c>
      <x:c r="H65" s="56" t="n">
        <x:f>'05_建設仮勘定・企業債'!H41</x:f>
        <x:v>8655</x:v>
      </x:c>
      <x:c r="I65" s="56" t="n">
        <x:f>'05_建設仮勘定・企業債'!I41</x:f>
        <x:v>8655</x:v>
      </x:c>
      <x:c r="J65" s="56" t="n">
        <x:f>'05_建設仮勘定・企業債'!J41</x:f>
        <x:v>8655</x:v>
      </x:c>
      <x:c r="K65" s="56" t="n">
        <x:f>'05_建設仮勘定・企業債'!K41</x:f>
        <x:v>8655</x:v>
      </x:c>
    </x:row>
    <x:row r="66">
      <x:c r="A66" s="55" t="str">
        <x:v>支払利息増加</x:v>
      </x:c>
      <x:c r="B66" s="56" t="n">
        <x:f>'05_建設仮勘定・企業債'!B44</x:f>
        <x:v>0</x:v>
      </x:c>
      <x:c r="C66" s="56" t="n">
        <x:f>'05_建設仮勘定・企業債'!C44</x:f>
        <x:v>0</x:v>
      </x:c>
      <x:c r="D66" s="56" t="n">
        <x:f>'05_建設仮勘定・企業債'!D44</x:f>
        <x:v>0</x:v>
      </x:c>
      <x:c r="E66" s="56" t="n">
        <x:f>'05_建設仮勘定・企業債'!E44</x:f>
        <x:v>3582</x:v>
      </x:c>
      <x:c r="F66" s="56" t="n">
        <x:f>'05_建設仮勘定・企業債'!F44</x:f>
        <x:v>3492</x:v>
      </x:c>
      <x:c r="G66" s="56" t="n">
        <x:f>'05_建設仮勘定・企業債'!G44</x:f>
        <x:v>3402</x:v>
      </x:c>
      <x:c r="H66" s="56" t="n">
        <x:f>'05_建設仮勘定・企業債'!H44</x:f>
        <x:v>3313</x:v>
      </x:c>
      <x:c r="I66" s="56" t="n">
        <x:f>'05_建設仮勘定・企業債'!I44</x:f>
        <x:v>3223</x:v>
      </x:c>
      <x:c r="J66" s="56" t="n">
        <x:f>'05_建設仮勘定・企業債'!J44</x:f>
        <x:v>3134</x:v>
      </x:c>
      <x:c r="K66" s="56" t="n">
        <x:f>'05_建設仮勘定・企業債'!K44</x:f>
        <x:v>3044</x:v>
      </x:c>
    </x:row>
    <x:row r="67">
      <x:c r="A67" s="55" t="str">
        <x:v>企業債元金償還増加</x:v>
      </x:c>
      <x:c r="B67" s="56" t="n">
        <x:f>'05_建設仮勘定・企業債'!B45</x:f>
        <x:v>0</x:v>
      </x:c>
      <x:c r="C67" s="56" t="n">
        <x:f>'05_建設仮勘定・企業債'!C45</x:f>
        <x:v>0</x:v>
      </x:c>
      <x:c r="D67" s="56" t="n">
        <x:f>'05_建設仮勘定・企業債'!D45</x:f>
        <x:v>0</x:v>
      </x:c>
      <x:c r="E67" s="56" t="n">
        <x:f>'05_建設仮勘定・企業債'!E45</x:f>
        <x:v>2985</x:v>
      </x:c>
      <x:c r="F67" s="56" t="n">
        <x:f>'05_建設仮勘定・企業債'!F45</x:f>
        <x:v>2985</x:v>
      </x:c>
      <x:c r="G67" s="56" t="n">
        <x:f>'05_建設仮勘定・企業債'!G45</x:f>
        <x:v>2985</x:v>
      </x:c>
      <x:c r="H67" s="56" t="n">
        <x:f>'05_建設仮勘定・企業債'!H45</x:f>
        <x:v>2985</x:v>
      </x:c>
      <x:c r="I67" s="56" t="n">
        <x:f>'05_建設仮勘定・企業債'!I45</x:f>
        <x:v>2985</x:v>
      </x:c>
      <x:c r="J67" s="56" t="n">
        <x:f>'05_建設仮勘定・企業債'!J45</x:f>
        <x:v>2985</x:v>
      </x:c>
      <x:c r="K67" s="56" t="n">
        <x:f>'05_建設仮勘定・企業債'!K45</x:f>
        <x:v>2985</x:v>
      </x:c>
    </x:row>
    <x:row r="68">
      <x:c r="A68" s="55" t="str">
        <x:v>3条純損益影響</x:v>
      </x:c>
      <x:c r="B68" s="56" t="n">
        <x:f>B64-B65+B66</x:f>
        <x:v>0</x:v>
      </x:c>
      <x:c r="C68" s="56" t="n">
        <x:f>C64-C65+C66</x:f>
        <x:v>0</x:v>
      </x:c>
      <x:c r="D68" s="56" t="n">
        <x:f>D64-D65+D66</x:f>
        <x:v>0</x:v>
      </x:c>
      <x:c r="E68" s="56" t="n">
        <x:f>E64-E65+E66</x:f>
        <x:v>6566</x:v>
      </x:c>
      <x:c r="F68" s="56" t="n">
        <x:f>F64-F65+F66</x:f>
        <x:v>6476</x:v>
      </x:c>
      <x:c r="G68" s="56" t="n">
        <x:f>G64-G65+G66</x:f>
        <x:v>6386</x:v>
      </x:c>
      <x:c r="H68" s="56" t="n">
        <x:f>H64-H65+H66</x:f>
        <x:v>6297</x:v>
      </x:c>
      <x:c r="I68" s="56" t="n">
        <x:f>I64-I65+I66</x:f>
        <x:v>6207</x:v>
      </x:c>
      <x:c r="J68" s="56" t="n">
        <x:f>J64-J65+J66</x:f>
        <x:v>6118</x:v>
      </x:c>
      <x:c r="K68" s="56" t="n">
        <x:f>K64-K65+K66</x:f>
        <x:v>6028</x:v>
      </x:c>
    </x:row>
    <x:row r="69">
      <x:c r="A69" s="55" t="str">
        <x:v>現金支出影響</x:v>
      </x:c>
      <x:c r="B69" s="56" t="n">
        <x:f>B66+B67</x:f>
        <x:v>0</x:v>
      </x:c>
      <x:c r="C69" s="56" t="n">
        <x:f>C66+C67</x:f>
        <x:v>0</x:v>
      </x:c>
      <x:c r="D69" s="56" t="n">
        <x:f>D66+D67</x:f>
        <x:v>0</x:v>
      </x:c>
      <x:c r="E69" s="56" t="n">
        <x:f>E66+E67</x:f>
        <x:v>6567</x:v>
      </x:c>
      <x:c r="F69" s="56" t="n">
        <x:f>F66+F67</x:f>
        <x:v>6477</x:v>
      </x:c>
      <x:c r="G69" s="56" t="n">
        <x:f>G66+G67</x:f>
        <x:v>6387</x:v>
      </x:c>
      <x:c r="H69" s="56" t="n">
        <x:f>H66+H67</x:f>
        <x:v>6298</x:v>
      </x:c>
      <x:c r="I69" s="56" t="n">
        <x:f>I66+I67</x:f>
        <x:v>6208</x:v>
      </x:c>
      <x:c r="J69" s="56" t="n">
        <x:f>J66+J67</x:f>
        <x:v>6119</x:v>
      </x:c>
      <x:c r="K69" s="56" t="n">
        <x:f>K66+K67</x:f>
        <x:v>6029</x:v>
      </x:c>
    </x:row>
    <x:row r="70">
      <x:c r="A70" s="55" t="str">
        <x:v>年度末現預金残高（精緻化後参考）</x:v>
      </x:c>
      <x:c r="B70" s="56" t="e">
        <x:f>B59-B69</x:f>
        <x:v>#NAME?</x:v>
      </x:c>
      <x:c r="C70" s="56" t="e">
        <x:f>C59-SUM($B$69:C69)</x:f>
        <x:v>#NAME?</x:v>
      </x:c>
      <x:c r="D70" s="56" t="e">
        <x:f>D59-SUM($B$69:D69)</x:f>
        <x:v>#NAME?</x:v>
      </x:c>
      <x:c r="E70" s="56" t="e">
        <x:f>E59-SUM($B$69:E69)</x:f>
        <x:v>#NAME?</x:v>
      </x:c>
      <x:c r="F70" s="56" t="e">
        <x:f>F59-SUM($B$69:F69)</x:f>
        <x:v>#NAME?</x:v>
      </x:c>
      <x:c r="G70" s="56" t="e">
        <x:f>G59-SUM($B$69:G69)</x:f>
        <x:v>#NAME?</x:v>
      </x:c>
      <x:c r="H70" s="56" t="e">
        <x:f>H59-SUM($B$69:H69)</x:f>
        <x:v>#NAME?</x:v>
      </x:c>
      <x:c r="I70" s="56" t="e">
        <x:f>I59-SUM($B$69:I69)</x:f>
        <x:v>#NAME?</x:v>
      </x:c>
      <x:c r="J70" s="56" t="e">
        <x:f>J59-SUM($B$69:J69)</x:f>
        <x:v>#NAME?</x:v>
      </x:c>
      <x:c r="K70" s="56" t="e">
        <x:f>K59-SUM($B$69:K69)</x:f>
        <x:v>#NAME?</x:v>
      </x:c>
    </x:row>
  </x:sheetData>
  <x:mergeCells>
    <x:mergeCell ref="A1:K1"/>
    <x:mergeCell ref="A2:K2"/>
    <x:mergeCell ref="A62:K62"/>
  </x:mergeCells>
  <x:pageMargins left="0.7" right="0.7" top="0.75" bottom="0.75" header="0.3" footer="0.3"/>
</x:worksheet>
</file>

<file path=xl/worksheets/sheet19.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11" width="14" hidden="0" customWidth="1"/>
  </x:cols>
  <x:sheetData>
    <x:row r="1" ht="21.75" hidden="0" customHeight="1">
      <x:c r="A1" s="44" t="s">
        <x:v>178</x:v>
      </x:c>
      <x:c r="B1" s="44"/>
      <x:c r="C1" s="44"/>
      <x:c r="D1" s="44"/>
      <x:c r="E1" s="44"/>
      <x:c r="F1" s="44"/>
      <x:c r="G1" s="44"/>
      <x:c r="H1" s="44"/>
      <x:c r="I1" s="44"/>
      <x:c r="J1" s="44"/>
      <x:c r="K1" s="44"/>
    </x:row>
    <x:row r="2" ht="21.75" hidden="0" customHeight="1">
      <x:c r="A2" s="14" t="s">
        <x:v>134</x:v>
      </x:c>
      <x:c r="B2" s="14"/>
      <x:c r="C2" s="14"/>
      <x:c r="D2" s="14"/>
      <x:c r="E2" s="14"/>
      <x:c r="F2" s="14"/>
      <x:c r="G2" s="14"/>
      <x:c r="H2" s="14"/>
      <x:c r="I2" s="14"/>
      <x:c r="J2" s="14"/>
      <x:c r="K2" s="14"/>
    </x:row>
    <x:row r="3" ht="21.75" hidden="0" customHeight="1">
      <x:c r="A3" s="15" t="s">
        <x:v>41</x:v>
      </x:c>
      <x:c r="B3" s="16" t="s">
        <x:v>42</x:v>
      </x:c>
      <x:c r="C3" s="16" t="s">
        <x:v>43</x:v>
      </x:c>
      <x:c r="D3" s="16" t="s">
        <x:v>44</x:v>
      </x:c>
      <x:c r="E3" s="16" t="s">
        <x:v>45</x:v>
      </x:c>
      <x:c r="F3" s="16" t="s">
        <x:v>46</x:v>
      </x:c>
      <x:c r="G3" s="16" t="s">
        <x:v>47</x:v>
      </x:c>
      <x:c r="H3" s="16" t="s">
        <x:v>48</x:v>
      </x:c>
      <x:c r="I3" s="16" t="s">
        <x:v>49</x:v>
      </x:c>
      <x:c r="J3" s="16" t="s">
        <x:v>50</x:v>
      </x:c>
      <x:c r="K3" s="16" t="s">
        <x:v>51</x:v>
      </x:c>
    </x:row>
    <x:row r="4" ht="21.75" hidden="0" customHeight="1">
      <x:c r="A4" s="19" t="s">
        <x:v>99</x:v>
      </x:c>
      <x:c r="B4" s="20" t="n">
        <x:v>0.03</x:v>
      </x:c>
      <x:c r="C4" s="20"/>
      <x:c r="D4" s="20"/>
      <x:c r="E4" s="20"/>
      <x:c r="F4" s="20"/>
      <x:c r="G4" s="20"/>
      <x:c r="H4" s="20"/>
      <x:c r="I4" s="20"/>
      <x:c r="J4" s="20"/>
      <x:c r="K4" s="20"/>
    </x:row>
    <x:row r="5" ht="21.75" hidden="0" customHeight="1">
      <x:c r="A5" s="19" t="s">
        <x:v>135</x:v>
      </x:c>
      <x:c r="B5" s="20" t="e">
        <x:f aca="0">00_前提・検証!$B$2*$B$4</x:f>
        <x:v>#NAME?</x:v>
      </x:c>
      <x:c r="C5" s="20"/>
      <x:c r="D5" s="20"/>
      <x:c r="E5" s="20"/>
      <x:c r="F5" s="20"/>
      <x:c r="G5" s="20"/>
      <x:c r="H5" s="20"/>
      <x:c r="I5" s="20"/>
      <x:c r="J5" s="20"/>
      <x:c r="K5" s="20"/>
    </x:row>
    <x:row r="6" ht="21.75" hidden="0" customHeight="1">
      <x:c r="A6" s="19" t="s">
        <x:v>136</x:v>
      </x:c>
      <x:c r="B6" s="20" t="e">
        <x:f aca="0">MAX(0,(SUM(02_R8予算_年次計画置換!F18:J18)+SUM(02_R8予算_年次計画置換!F28:J28)-SUM(02_R8予算_年次計画置換!F12:J12)-SUM(02_R8予算_年次計画置換!F8:J8)-SUM(02_R8予算_年次計画置換!F11:J11)+$B$5*5-SUM(02_R8予算_年次計画置換!F7:J7))/SUM(02_R8予算_年次計画置換!F7:J7))</x:f>
        <x:v>#NAME?</x:v>
      </x:c>
      <x:c r="C6" s="20"/>
      <x:c r="D6" s="20"/>
      <x:c r="E6" s="20"/>
      <x:c r="F6" s="20"/>
      <x:c r="G6" s="20"/>
      <x:c r="H6" s="20"/>
      <x:c r="I6" s="20"/>
      <x:c r="J6" s="20"/>
      <x:c r="K6" s="20"/>
    </x:row>
    <x:row r="7" ht="21.75" hidden="0" customHeight="1">
      <x:c r="A7" s="19"/>
      <x:c r="B7" s="20"/>
      <x:c r="C7" s="20"/>
      <x:c r="D7" s="20"/>
      <x:c r="E7" s="20"/>
      <x:c r="F7" s="20"/>
      <x:c r="G7" s="20"/>
      <x:c r="H7" s="20"/>
      <x:c r="I7" s="20"/>
      <x:c r="J7" s="20"/>
      <x:c r="K7" s="20"/>
    </x:row>
    <x:row r="8" ht="21.75" hidden="0" customHeight="1">
      <x:c r="A8" s="17" t="s">
        <x:v>52</x:v>
      </x:c>
      <x:c r="B8" s="18"/>
      <x:c r="C8" s="18"/>
      <x:c r="D8" s="18"/>
      <x:c r="E8" s="18"/>
      <x:c r="F8" s="18"/>
      <x:c r="G8" s="18"/>
      <x:c r="H8" s="18"/>
      <x:c r="I8" s="18"/>
      <x:c r="J8" s="18"/>
      <x:c r="K8" s="18"/>
    </x:row>
    <x:row r="9" ht="21.75" hidden="0" customHeight="1">
      <x:c r="A9" s="19" t="s">
        <x:v>54</x:v>
      </x:c>
      <x:c r="B9" s="20" t="e">
        <x:f aca="0">SUM(B10:B12)</x:f>
        <x:v>#NAME?</x:v>
      </x:c>
      <x:c r="C9" s="20" t="e">
        <x:f aca="0">SUM(C10:C12)</x:f>
        <x:v>#NAME?</x:v>
      </x:c>
      <x:c r="D9" s="20" t="e">
        <x:f aca="0">SUM(D10:D12)</x:f>
        <x:v>#NAME?</x:v>
      </x:c>
      <x:c r="E9" s="20" t="e">
        <x:f aca="0">SUM(E10:E12)</x:f>
        <x:v>#NAME?</x:v>
      </x:c>
      <x:c r="F9" s="20" t="e">
        <x:f aca="0">SUM(F10:F12)</x:f>
        <x:v>#NAME?</x:v>
      </x:c>
      <x:c r="G9" s="20" t="e">
        <x:f aca="0">SUM(G10:G12)</x:f>
        <x:v>#NAME?</x:v>
      </x:c>
      <x:c r="H9" s="20" t="e">
        <x:f aca="0">SUM(H10:H12)</x:f>
        <x:v>#NAME?</x:v>
      </x:c>
      <x:c r="I9" s="20" t="e">
        <x:f aca="0">SUM(I10:I12)</x:f>
        <x:v>#NAME?</x:v>
      </x:c>
      <x:c r="J9" s="20" t="e">
        <x:f aca="0">SUM(J10:J12)</x:f>
        <x:v>#NAME?</x:v>
      </x:c>
      <x:c r="K9" s="20" t="e">
        <x:f aca="0">SUM(K10:K12)</x:f>
        <x:v>#NAME?</x:v>
      </x:c>
    </x:row>
    <x:row r="10" ht="21.75" hidden="0" customHeight="1">
      <x:c r="A10" s="19" t="s">
        <x:v>137</x:v>
      </x:c>
      <x:c r="B10" s="20" t="e">
        <x:f aca="0">02_R8予算_年次計画置換!B7*IF(7&gt;=11,1+$B$6,1)</x:f>
        <x:v>#NAME?</x:v>
      </x:c>
      <x:c r="C10" s="20" t="e">
        <x:f aca="0">02_R8予算_年次計画置換!C7*IF(8&gt;=11,1+$B$6,1)</x:f>
        <x:v>#NAME?</x:v>
      </x:c>
      <x:c r="D10" s="20" t="e">
        <x:f aca="0">02_R8予算_年次計画置換!D7*IF(9&gt;=11,1+$B$6,1)</x:f>
        <x:v>#NAME?</x:v>
      </x:c>
      <x:c r="E10" s="20" t="e">
        <x:f aca="0">02_R8予算_年次計画置換!E7*IF(10&gt;=11,1+$B$6,1)</x:f>
        <x:v>#NAME?</x:v>
      </x:c>
      <x:c r="F10" s="20" t="e">
        <x:f aca="0">02_R8予算_年次計画置換!F7*IF(11&gt;=11,1+$B$6,1)</x:f>
        <x:v>#NAME?</x:v>
      </x:c>
      <x:c r="G10" s="20" t="e">
        <x:f aca="0">02_R8予算_年次計画置換!G7*IF(12&gt;=11,1+$B$6,1)</x:f>
        <x:v>#NAME?</x:v>
      </x:c>
      <x:c r="H10" s="20" t="e">
        <x:f aca="0">02_R8予算_年次計画置換!H7*IF(13&gt;=11,1+$B$6,1)</x:f>
        <x:v>#NAME?</x:v>
      </x:c>
      <x:c r="I10" s="20" t="e">
        <x:f aca="0">02_R8予算_年次計画置換!I7*IF(14&gt;=11,1+$B$6,1)</x:f>
        <x:v>#NAME?</x:v>
      </x:c>
      <x:c r="J10" s="20" t="e">
        <x:f aca="0">02_R8予算_年次計画置換!J7*IF(15&gt;=11,1+$B$6,1)</x:f>
        <x:v>#NAME?</x:v>
      </x:c>
      <x:c r="K10" s="20" t="e">
        <x:f aca="0">02_R8予算_年次計画置換!K7*IF(16&gt;=11,1+$B$6,1)</x:f>
        <x:v>#NAME?</x:v>
      </x:c>
    </x:row>
    <x:row r="11" ht="21.75" hidden="0" customHeight="1">
      <x:c r="A11" s="19" t="s">
        <x:v>138</x:v>
      </x:c>
      <x:c r="B11" s="20" t="e">
        <x:f aca="0">B10-02_R8予算_年次計画置換!B7</x:f>
        <x:v>#NAME?</x:v>
      </x:c>
      <x:c r="C11" s="20" t="e">
        <x:f aca="0">C10-02_R8予算_年次計画置換!C7</x:f>
        <x:v>#NAME?</x:v>
      </x:c>
      <x:c r="D11" s="20" t="e">
        <x:f aca="0">D10-02_R8予算_年次計画置換!D7</x:f>
        <x:v>#NAME?</x:v>
      </x:c>
      <x:c r="E11" s="20" t="e">
        <x:f aca="0">E10-02_R8予算_年次計画置換!E7</x:f>
        <x:v>#NAME?</x:v>
      </x:c>
      <x:c r="F11" s="20" t="e">
        <x:f aca="0">F10-02_R8予算_年次計画置換!F7</x:f>
        <x:v>#NAME?</x:v>
      </x:c>
      <x:c r="G11" s="20" t="e">
        <x:f aca="0">G10-02_R8予算_年次計画置換!G7</x:f>
        <x:v>#NAME?</x:v>
      </x:c>
      <x:c r="H11" s="20" t="e">
        <x:f aca="0">H10-02_R8予算_年次計画置換!H7</x:f>
        <x:v>#NAME?</x:v>
      </x:c>
      <x:c r="I11" s="20" t="e">
        <x:f aca="0">I10-02_R8予算_年次計画置換!I7</x:f>
        <x:v>#NAME?</x:v>
      </x:c>
      <x:c r="J11" s="20" t="e">
        <x:f aca="0">J10-02_R8予算_年次計画置換!J7</x:f>
        <x:v>#NAME?</x:v>
      </x:c>
      <x:c r="K11" s="20" t="e">
        <x:f aca="0">K10-02_R8予算_年次計画置換!K7</x:f>
        <x:v>#NAME?</x:v>
      </x:c>
    </x:row>
    <x:row r="12" ht="21.75" hidden="0" customHeight="1">
      <x:c r="A12" s="19" t="s">
        <x:v>139</x:v>
      </x:c>
      <x:c r="B12" s="20" t="e">
        <x:f aca="0">02_R8予算_年次計画置換!B8</x:f>
        <x:v>#NAME?</x:v>
      </x:c>
      <x:c r="C12" s="20" t="e">
        <x:f aca="0">02_R8予算_年次計画置換!C8</x:f>
        <x:v>#NAME?</x:v>
      </x:c>
      <x:c r="D12" s="20" t="e">
        <x:f aca="0">02_R8予算_年次計画置換!D8</x:f>
        <x:v>#NAME?</x:v>
      </x:c>
      <x:c r="E12" s="20" t="e">
        <x:f aca="0">02_R8予算_年次計画置換!E8</x:f>
        <x:v>#NAME?</x:v>
      </x:c>
      <x:c r="F12" s="20" t="e">
        <x:f aca="0">02_R8予算_年次計画置換!F8</x:f>
        <x:v>#NAME?</x:v>
      </x:c>
      <x:c r="G12" s="20" t="e">
        <x:f aca="0">02_R8予算_年次計画置換!G8</x:f>
        <x:v>#NAME?</x:v>
      </x:c>
      <x:c r="H12" s="20" t="e">
        <x:f aca="0">02_R8予算_年次計画置換!H8</x:f>
        <x:v>#NAME?</x:v>
      </x:c>
      <x:c r="I12" s="20" t="e">
        <x:f aca="0">02_R8予算_年次計画置換!I8</x:f>
        <x:v>#NAME?</x:v>
      </x:c>
      <x:c r="J12" s="20" t="e">
        <x:f aca="0">02_R8予算_年次計画置換!J8</x:f>
        <x:v>#NAME?</x:v>
      </x:c>
      <x:c r="K12" s="20" t="e">
        <x:f aca="0">02_R8予算_年次計画置換!K8</x:f>
        <x:v>#NAME?</x:v>
      </x:c>
    </x:row>
    <x:row r="13" ht="21.75" hidden="0" customHeight="1">
      <x:c r="A13" s="19" t="s">
        <x:v>57</x:v>
      </x:c>
      <x:c r="B13" s="20" t="e">
        <x:f aca="0">02_R8予算_年次計画置換!B9</x:f>
        <x:v>#NAME?</x:v>
      </x:c>
      <x:c r="C13" s="20" t="e">
        <x:f aca="0">02_R8予算_年次計画置換!C9</x:f>
        <x:v>#NAME?</x:v>
      </x:c>
      <x:c r="D13" s="20" t="e">
        <x:f aca="0">02_R8予算_年次計画置換!D9</x:f>
        <x:v>#NAME?</x:v>
      </x:c>
      <x:c r="E13" s="20" t="e">
        <x:f aca="0">02_R8予算_年次計画置換!E9</x:f>
        <x:v>#NAME?</x:v>
      </x:c>
      <x:c r="F13" s="20" t="e">
        <x:f aca="0">02_R8予算_年次計画置換!F9</x:f>
        <x:v>#NAME?</x:v>
      </x:c>
      <x:c r="G13" s="20" t="e">
        <x:f aca="0">02_R8予算_年次計画置換!G9</x:f>
        <x:v>#NAME?</x:v>
      </x:c>
      <x:c r="H13" s="20" t="e">
        <x:f aca="0">02_R8予算_年次計画置換!H9</x:f>
        <x:v>#NAME?</x:v>
      </x:c>
      <x:c r="I13" s="20" t="e">
        <x:f aca="0">02_R8予算_年次計画置換!I9</x:f>
        <x:v>#NAME?</x:v>
      </x:c>
      <x:c r="J13" s="20" t="e">
        <x:f aca="0">02_R8予算_年次計画置換!J9</x:f>
        <x:v>#NAME?</x:v>
      </x:c>
      <x:c r="K13" s="20" t="e">
        <x:f aca="0">02_R8予算_年次計画置換!K9</x:f>
        <x:v>#NAME?</x:v>
      </x:c>
    </x:row>
    <x:row r="14" ht="21.75" hidden="0" customHeight="1">
      <x:c r="A14" s="19" t="s">
        <x:v>140</x:v>
      </x:c>
      <x:c r="B14" s="20" t="e">
        <x:f aca="0">02_R8予算_年次計画置換!B12</x:f>
        <x:v>#NAME?</x:v>
      </x:c>
      <x:c r="C14" s="20" t="e">
        <x:f aca="0">02_R8予算_年次計画置換!C12</x:f>
        <x:v>#NAME?</x:v>
      </x:c>
      <x:c r="D14" s="20" t="e">
        <x:f aca="0">02_R8予算_年次計画置換!D12</x:f>
        <x:v>#NAME?</x:v>
      </x:c>
      <x:c r="E14" s="20" t="e">
        <x:f aca="0">02_R8予算_年次計画置換!E12</x:f>
        <x:v>#NAME?</x:v>
      </x:c>
      <x:c r="F14" s="20" t="e">
        <x:f aca="0">02_R8予算_年次計画置換!F12</x:f>
        <x:v>#NAME?</x:v>
      </x:c>
      <x:c r="G14" s="20" t="e">
        <x:f aca="0">02_R8予算_年次計画置換!G12</x:f>
        <x:v>#NAME?</x:v>
      </x:c>
      <x:c r="H14" s="20" t="e">
        <x:f aca="0">02_R8予算_年次計画置換!H12</x:f>
        <x:v>#NAME?</x:v>
      </x:c>
      <x:c r="I14" s="20" t="e">
        <x:f aca="0">02_R8予算_年次計画置換!I12</x:f>
        <x:v>#NAME?</x:v>
      </x:c>
      <x:c r="J14" s="20" t="e">
        <x:f aca="0">02_R8予算_年次計画置換!J12</x:f>
        <x:v>#NAME?</x:v>
      </x:c>
      <x:c r="K14" s="20" t="e">
        <x:f aca="0">02_R8予算_年次計画置換!K12</x:f>
        <x:v>#NAME?</x:v>
      </x:c>
    </x:row>
    <x:row r="15" ht="21.75" hidden="0" customHeight="1">
      <x:c r="A15" s="19" t="s">
        <x:v>141</x:v>
      </x:c>
      <x:c r="B15" s="20" t="e">
        <x:f aca="0">02_R8予算_年次計画置換!B11</x:f>
        <x:v>#NAME?</x:v>
      </x:c>
      <x:c r="C15" s="20" t="e">
        <x:f aca="0">02_R8予算_年次計画置換!C11</x:f>
        <x:v>#NAME?</x:v>
      </x:c>
      <x:c r="D15" s="20" t="e">
        <x:f aca="0">02_R8予算_年次計画置換!D11</x:f>
        <x:v>#NAME?</x:v>
      </x:c>
      <x:c r="E15" s="20" t="e">
        <x:f aca="0">02_R8予算_年次計画置換!E11</x:f>
        <x:v>#NAME?</x:v>
      </x:c>
      <x:c r="F15" s="20" t="e">
        <x:f aca="0">02_R8予算_年次計画置換!F11</x:f>
        <x:v>#NAME?</x:v>
      </x:c>
      <x:c r="G15" s="20" t="e">
        <x:f aca="0">02_R8予算_年次計画置換!G11</x:f>
        <x:v>#NAME?</x:v>
      </x:c>
      <x:c r="H15" s="20" t="e">
        <x:f aca="0">02_R8予算_年次計画置換!H11</x:f>
        <x:v>#NAME?</x:v>
      </x:c>
      <x:c r="I15" s="20" t="e">
        <x:f aca="0">02_R8予算_年次計画置換!I11</x:f>
        <x:v>#NAME?</x:v>
      </x:c>
      <x:c r="J15" s="20" t="e">
        <x:f aca="0">02_R8予算_年次計画置換!J11</x:f>
        <x:v>#NAME?</x:v>
      </x:c>
      <x:c r="K15" s="20" t="e">
        <x:f aca="0">02_R8予算_年次計画置換!K11</x:f>
        <x:v>#NAME?</x:v>
      </x:c>
    </x:row>
    <x:row r="16" ht="21.75" hidden="0" customHeight="1">
      <x:c r="A16" s="19" t="s">
        <x:v>62</x:v>
      </x:c>
      <x:c r="B16" s="20" t="e">
        <x:f aca="0">02_R8予算_年次計画置換!B14</x:f>
        <x:v>#NAME?</x:v>
      </x:c>
      <x:c r="C16" s="20" t="e">
        <x:f aca="0">02_R8予算_年次計画置換!C14</x:f>
        <x:v>#NAME?</x:v>
      </x:c>
      <x:c r="D16" s="20" t="e">
        <x:f aca="0">02_R8予算_年次計画置換!D14</x:f>
        <x:v>#NAME?</x:v>
      </x:c>
      <x:c r="E16" s="20" t="e">
        <x:f aca="0">02_R8予算_年次計画置換!E14</x:f>
        <x:v>#NAME?</x:v>
      </x:c>
      <x:c r="F16" s="20" t="e">
        <x:f aca="0">02_R8予算_年次計画置換!F14</x:f>
        <x:v>#NAME?</x:v>
      </x:c>
      <x:c r="G16" s="20" t="e">
        <x:f aca="0">02_R8予算_年次計画置換!G14</x:f>
        <x:v>#NAME?</x:v>
      </x:c>
      <x:c r="H16" s="20" t="e">
        <x:f aca="0">02_R8予算_年次計画置換!H14</x:f>
        <x:v>#NAME?</x:v>
      </x:c>
      <x:c r="I16" s="20" t="e">
        <x:f aca="0">02_R8予算_年次計画置換!I14</x:f>
        <x:v>#NAME?</x:v>
      </x:c>
      <x:c r="J16" s="20" t="e">
        <x:f aca="0">02_R8予算_年次計画置換!J14</x:f>
        <x:v>#NAME?</x:v>
      </x:c>
      <x:c r="K16" s="20" t="e">
        <x:f aca="0">02_R8予算_年次計画置換!K14</x:f>
        <x:v>#NAME?</x:v>
      </x:c>
    </x:row>
    <x:row r="17" ht="21.75" hidden="0" customHeight="1">
      <x:c r="A17" s="19" t="s">
        <x:v>142</x:v>
      </x:c>
      <x:c r="B17" s="20" t="e">
        <x:f aca="0">SUM(B9,B13,B16)</x:f>
        <x:v>#NAME?</x:v>
      </x:c>
      <x:c r="C17" s="20" t="e">
        <x:f aca="0">SUM(C9,C13,C16)</x:f>
        <x:v>#NAME?</x:v>
      </x:c>
      <x:c r="D17" s="20" t="e">
        <x:f aca="0">SUM(D9,D13,D16)</x:f>
        <x:v>#NAME?</x:v>
      </x:c>
      <x:c r="E17" s="20" t="e">
        <x:f aca="0">SUM(E9,E13,E16)</x:f>
        <x:v>#NAME?</x:v>
      </x:c>
      <x:c r="F17" s="20" t="e">
        <x:f aca="0">SUM(F9,F13,F16)</x:f>
        <x:v>#NAME?</x:v>
      </x:c>
      <x:c r="G17" s="20" t="e">
        <x:f aca="0">SUM(G9,G13,G16)</x:f>
        <x:v>#NAME?</x:v>
      </x:c>
      <x:c r="H17" s="20" t="e">
        <x:f aca="0">SUM(H9,H13,H16)</x:f>
        <x:v>#NAME?</x:v>
      </x:c>
      <x:c r="I17" s="20" t="e">
        <x:f aca="0">SUM(I9,I13,I16)</x:f>
        <x:v>#NAME?</x:v>
      </x:c>
      <x:c r="J17" s="20" t="e">
        <x:f aca="0">SUM(J9,J13,J16)</x:f>
        <x:v>#NAME?</x:v>
      </x:c>
      <x:c r="K17" s="20" t="e">
        <x:f aca="0">SUM(K9,K13,K16)</x:f>
        <x:v>#NAME?</x:v>
      </x:c>
    </x:row>
    <x:row r="18" ht="21.75" hidden="0" customHeight="1">
      <x:c r="A18" s="19"/>
      <x:c r="B18" s="20"/>
      <x:c r="C18" s="20"/>
      <x:c r="D18" s="20"/>
      <x:c r="E18" s="20"/>
      <x:c r="F18" s="20"/>
      <x:c r="G18" s="20"/>
      <x:c r="H18" s="20"/>
      <x:c r="I18" s="20"/>
      <x:c r="J18" s="20"/>
      <x:c r="K18" s="20"/>
    </x:row>
    <x:row r="19" ht="21.75" hidden="0" customHeight="1">
      <x:c r="A19" s="17" t="s">
        <x:v>63</x:v>
      </x:c>
      <x:c r="B19" s="18"/>
      <x:c r="C19" s="18"/>
      <x:c r="D19" s="18"/>
      <x:c r="E19" s="18"/>
      <x:c r="F19" s="18"/>
      <x:c r="G19" s="18"/>
      <x:c r="H19" s="18"/>
      <x:c r="I19" s="18"/>
      <x:c r="J19" s="18"/>
      <x:c r="K19" s="18"/>
    </x:row>
    <x:row r="20" ht="21.75" hidden="0" customHeight="1">
      <x:c r="A20" s="19" t="s">
        <x:v>65</x:v>
      </x:c>
      <x:c r="B20" s="20" t="e">
        <x:f aca="0">02_R8予算_年次計画置換!B18</x:f>
        <x:v>#NAME?</x:v>
      </x:c>
      <x:c r="C20" s="20" t="e">
        <x:f aca="0">02_R8予算_年次計画置換!C18</x:f>
        <x:v>#NAME?</x:v>
      </x:c>
      <x:c r="D20" s="20" t="e">
        <x:f aca="0">02_R8予算_年次計画置換!D18</x:f>
        <x:v>#NAME?</x:v>
      </x:c>
      <x:c r="E20" s="20" t="e">
        <x:f aca="0">02_R8予算_年次計画置換!E18</x:f>
        <x:v>#NAME?</x:v>
      </x:c>
      <x:c r="F20" s="20" t="e">
        <x:f aca="0">02_R8予算_年次計画置換!F18</x:f>
        <x:v>#NAME?</x:v>
      </x:c>
      <x:c r="G20" s="20" t="e">
        <x:f aca="0">02_R8予算_年次計画置換!G18</x:f>
        <x:v>#NAME?</x:v>
      </x:c>
      <x:c r="H20" s="20" t="e">
        <x:f aca="0">02_R8予算_年次計画置換!H18</x:f>
        <x:v>#NAME?</x:v>
      </x:c>
      <x:c r="I20" s="20" t="e">
        <x:f aca="0">02_R8予算_年次計画置換!I18</x:f>
        <x:v>#NAME?</x:v>
      </x:c>
      <x:c r="J20" s="20" t="e">
        <x:f aca="0">02_R8予算_年次計画置換!J18</x:f>
        <x:v>#NAME?</x:v>
      </x:c>
      <x:c r="K20" s="20" t="e">
        <x:f aca="0">02_R8予算_年次計画置換!K18</x:f>
        <x:v>#NAME?</x:v>
      </x:c>
    </x:row>
    <x:row r="21" ht="21.75" hidden="0" customHeight="1">
      <x:c r="A21" s="19" t="s">
        <x:v>143</x:v>
      </x:c>
      <x:c r="B21" s="20" t="e">
        <x:f aca="0">02_R8予算_年次計画置換!B25</x:f>
        <x:v>#NAME?</x:v>
      </x:c>
      <x:c r="C21" s="20" t="e">
        <x:f aca="0">02_R8予算_年次計画置換!C25</x:f>
        <x:v>#NAME?</x:v>
      </x:c>
      <x:c r="D21" s="20" t="e">
        <x:f aca="0">02_R8予算_年次計画置換!D25</x:f>
        <x:v>#NAME?</x:v>
      </x:c>
      <x:c r="E21" s="20" t="e">
        <x:f aca="0">02_R8予算_年次計画置換!E25</x:f>
        <x:v>#NAME?</x:v>
      </x:c>
      <x:c r="F21" s="20" t="e">
        <x:f aca="0">02_R8予算_年次計画置換!F25</x:f>
        <x:v>#NAME?</x:v>
      </x:c>
      <x:c r="G21" s="20" t="e">
        <x:f aca="0">02_R8予算_年次計画置換!G25</x:f>
        <x:v>#NAME?</x:v>
      </x:c>
      <x:c r="H21" s="20" t="e">
        <x:f aca="0">02_R8予算_年次計画置換!H25</x:f>
        <x:v>#NAME?</x:v>
      </x:c>
      <x:c r="I21" s="20" t="e">
        <x:f aca="0">02_R8予算_年次計画置換!I25</x:f>
        <x:v>#NAME?</x:v>
      </x:c>
      <x:c r="J21" s="20" t="e">
        <x:f aca="0">02_R8予算_年次計画置換!J25</x:f>
        <x:v>#NAME?</x:v>
      </x:c>
      <x:c r="K21" s="20" t="e">
        <x:f aca="0">02_R8予算_年次計画置換!K25</x:f>
        <x:v>#NAME?</x:v>
      </x:c>
    </x:row>
    <x:row r="22" ht="21.75" hidden="0" customHeight="1">
      <x:c r="A22" s="19" t="s">
        <x:v>144</x:v>
      </x:c>
      <x:c r="B22" s="20" t="e">
        <x:f aca="0">02_R8予算_年次計画置換!B26</x:f>
        <x:v>#NAME?</x:v>
      </x:c>
      <x:c r="C22" s="20" t="e">
        <x:f aca="0">02_R8予算_年次計画置換!C26</x:f>
        <x:v>#NAME?</x:v>
      </x:c>
      <x:c r="D22" s="20" t="e">
        <x:f aca="0">02_R8予算_年次計画置換!D26</x:f>
        <x:v>#NAME?</x:v>
      </x:c>
      <x:c r="E22" s="20" t="e">
        <x:f aca="0">02_R8予算_年次計画置換!E26</x:f>
        <x:v>#NAME?</x:v>
      </x:c>
      <x:c r="F22" s="20" t="e">
        <x:f aca="0">02_R8予算_年次計画置換!F26</x:f>
        <x:v>#NAME?</x:v>
      </x:c>
      <x:c r="G22" s="20" t="e">
        <x:f aca="0">02_R8予算_年次計画置換!G26</x:f>
        <x:v>#NAME?</x:v>
      </x:c>
      <x:c r="H22" s="20" t="e">
        <x:f aca="0">02_R8予算_年次計画置換!H26</x:f>
        <x:v>#NAME?</x:v>
      </x:c>
      <x:c r="I22" s="20" t="e">
        <x:f aca="0">02_R8予算_年次計画置換!I26</x:f>
        <x:v>#NAME?</x:v>
      </x:c>
      <x:c r="J22" s="20" t="e">
        <x:f aca="0">02_R8予算_年次計画置換!J26</x:f>
        <x:v>#NAME?</x:v>
      </x:c>
      <x:c r="K22" s="20" t="e">
        <x:f aca="0">02_R8予算_年次計画置換!K26</x:f>
        <x:v>#NAME?</x:v>
      </x:c>
    </x:row>
    <x:row r="23" ht="21.75" hidden="0" customHeight="1">
      <x:c r="A23" s="19" t="s">
        <x:v>75</x:v>
      </x:c>
      <x:c r="B23" s="20" t="e">
        <x:f aca="0">02_R8予算_年次計画置換!B28</x:f>
        <x:v>#NAME?</x:v>
      </x:c>
      <x:c r="C23" s="20" t="e">
        <x:f aca="0">02_R8予算_年次計画置換!C28</x:f>
        <x:v>#NAME?</x:v>
      </x:c>
      <x:c r="D23" s="20" t="e">
        <x:f aca="0">02_R8予算_年次計画置換!D28</x:f>
        <x:v>#NAME?</x:v>
      </x:c>
      <x:c r="E23" s="20" t="e">
        <x:f aca="0">02_R8予算_年次計画置換!E28</x:f>
        <x:v>#NAME?</x:v>
      </x:c>
      <x:c r="F23" s="20" t="e">
        <x:f aca="0">02_R8予算_年次計画置換!F28</x:f>
        <x:v>#NAME?</x:v>
      </x:c>
      <x:c r="G23" s="20" t="e">
        <x:f aca="0">02_R8予算_年次計画置換!G28</x:f>
        <x:v>#NAME?</x:v>
      </x:c>
      <x:c r="H23" s="20" t="e">
        <x:f aca="0">02_R8予算_年次計画置換!H28</x:f>
        <x:v>#NAME?</x:v>
      </x:c>
      <x:c r="I23" s="20" t="e">
        <x:f aca="0">02_R8予算_年次計画置換!I28</x:f>
        <x:v>#NAME?</x:v>
      </x:c>
      <x:c r="J23" s="20" t="e">
        <x:f aca="0">02_R8予算_年次計画置換!J28</x:f>
        <x:v>#NAME?</x:v>
      </x:c>
      <x:c r="K23" s="20" t="e">
        <x:f aca="0">02_R8予算_年次計画置換!K28</x:f>
        <x:v>#NAME?</x:v>
      </x:c>
    </x:row>
    <x:row r="24" ht="21.75" hidden="0" customHeight="1">
      <x:c r="A24" s="19" t="s">
        <x:v>145</x:v>
      </x:c>
      <x:c r="B24" s="20" t="e">
        <x:f aca="0">02_R8予算_年次計画置換!B29</x:f>
        <x:v>#NAME?</x:v>
      </x:c>
      <x:c r="C24" s="20" t="e">
        <x:f aca="0">02_R8予算_年次計画置換!C29</x:f>
        <x:v>#NAME?</x:v>
      </x:c>
      <x:c r="D24" s="20" t="e">
        <x:f aca="0">02_R8予算_年次計画置換!D29</x:f>
        <x:v>#NAME?</x:v>
      </x:c>
      <x:c r="E24" s="20" t="e">
        <x:f aca="0">02_R8予算_年次計画置換!E29</x:f>
        <x:v>#NAME?</x:v>
      </x:c>
      <x:c r="F24" s="20" t="e">
        <x:f aca="0">02_R8予算_年次計画置換!F29</x:f>
        <x:v>#NAME?</x:v>
      </x:c>
      <x:c r="G24" s="20" t="e">
        <x:f aca="0">02_R8予算_年次計画置換!G29</x:f>
        <x:v>#NAME?</x:v>
      </x:c>
      <x:c r="H24" s="20" t="e">
        <x:f aca="0">02_R8予算_年次計画置換!H29</x:f>
        <x:v>#NAME?</x:v>
      </x:c>
      <x:c r="I24" s="20" t="e">
        <x:f aca="0">02_R8予算_年次計画置換!I29</x:f>
        <x:v>#NAME?</x:v>
      </x:c>
      <x:c r="J24" s="20" t="e">
        <x:f aca="0">02_R8予算_年次計画置換!J29</x:f>
        <x:v>#NAME?</x:v>
      </x:c>
      <x:c r="K24" s="20" t="e">
        <x:f aca="0">02_R8予算_年次計画置換!K29</x:f>
        <x:v>#NAME?</x:v>
      </x:c>
    </x:row>
    <x:row r="25" ht="21.75" hidden="0" customHeight="1">
      <x:c r="A25" s="19" t="s">
        <x:v>78</x:v>
      </x:c>
      <x:c r="B25" s="20" t="e">
        <x:f aca="0">02_R8予算_年次計画置換!B31</x:f>
        <x:v>#NAME?</x:v>
      </x:c>
      <x:c r="C25" s="20" t="e">
        <x:f aca="0">02_R8予算_年次計画置換!C31</x:f>
        <x:v>#NAME?</x:v>
      </x:c>
      <x:c r="D25" s="20" t="e">
        <x:f aca="0">02_R8予算_年次計画置換!D31</x:f>
        <x:v>#NAME?</x:v>
      </x:c>
      <x:c r="E25" s="20" t="e">
        <x:f aca="0">02_R8予算_年次計画置換!E31</x:f>
        <x:v>#NAME?</x:v>
      </x:c>
      <x:c r="F25" s="20" t="e">
        <x:f aca="0">02_R8予算_年次計画置換!F31</x:f>
        <x:v>#NAME?</x:v>
      </x:c>
      <x:c r="G25" s="20" t="e">
        <x:f aca="0">02_R8予算_年次計画置換!G31</x:f>
        <x:v>#NAME?</x:v>
      </x:c>
      <x:c r="H25" s="20" t="e">
        <x:f aca="0">02_R8予算_年次計画置換!H31</x:f>
        <x:v>#NAME?</x:v>
      </x:c>
      <x:c r="I25" s="20" t="e">
        <x:f aca="0">02_R8予算_年次計画置換!I31</x:f>
        <x:v>#NAME?</x:v>
      </x:c>
      <x:c r="J25" s="20" t="e">
        <x:f aca="0">02_R8予算_年次計画置換!J31</x:f>
        <x:v>#NAME?</x:v>
      </x:c>
      <x:c r="K25" s="20" t="e">
        <x:f aca="0">02_R8予算_年次計画置換!K31</x:f>
        <x:v>#NAME?</x:v>
      </x:c>
    </x:row>
    <x:row r="26" ht="21.75" hidden="0" customHeight="1">
      <x:c r="A26" s="19" t="s">
        <x:v>146</x:v>
      </x:c>
      <x:c r="B26" s="20" t="e">
        <x:f aca="0">SUM(B20,B23,B25)</x:f>
        <x:v>#NAME?</x:v>
      </x:c>
      <x:c r="C26" s="20" t="e">
        <x:f aca="0">SUM(C20,C23,C25)</x:f>
        <x:v>#NAME?</x:v>
      </x:c>
      <x:c r="D26" s="20" t="e">
        <x:f aca="0">SUM(D20,D23,D25)</x:f>
        <x:v>#NAME?</x:v>
      </x:c>
      <x:c r="E26" s="20" t="e">
        <x:f aca="0">SUM(E20,E23,E25)</x:f>
        <x:v>#NAME?</x:v>
      </x:c>
      <x:c r="F26" s="20" t="e">
        <x:f aca="0">SUM(F20,F23,F25)</x:f>
        <x:v>#NAME?</x:v>
      </x:c>
      <x:c r="G26" s="20" t="e">
        <x:f aca="0">SUM(G20,G23,G25)</x:f>
        <x:v>#NAME?</x:v>
      </x:c>
      <x:c r="H26" s="20" t="e">
        <x:f aca="0">SUM(H20,H23,H25)</x:f>
        <x:v>#NAME?</x:v>
      </x:c>
      <x:c r="I26" s="20" t="e">
        <x:f aca="0">SUM(I20,I23,I25)</x:f>
        <x:v>#NAME?</x:v>
      </x:c>
      <x:c r="J26" s="20" t="e">
        <x:f aca="0">SUM(J20,J23,J25)</x:f>
        <x:v>#NAME?</x:v>
      </x:c>
      <x:c r="K26" s="20" t="e">
        <x:f aca="0">SUM(K20,K23,K25)</x:f>
        <x:v>#NAME?</x:v>
      </x:c>
    </x:row>
    <x:row r="27" ht="21.75" hidden="0" customHeight="1">
      <x:c r="A27" s="19" t="s">
        <x:v>147</x:v>
      </x:c>
      <x:c r="B27" s="20" t="e">
        <x:f aca="0">SUM(B9,B13)-SUM(B20,B23)</x:f>
        <x:v>#NAME?</x:v>
      </x:c>
      <x:c r="C27" s="20" t="e">
        <x:f aca="0">SUM(C9,C13)-SUM(C20,C23)</x:f>
        <x:v>#NAME?</x:v>
      </x:c>
      <x:c r="D27" s="20" t="e">
        <x:f aca="0">SUM(D9,D13)-SUM(D20,D23)</x:f>
        <x:v>#NAME?</x:v>
      </x:c>
      <x:c r="E27" s="20" t="e">
        <x:f aca="0">SUM(E9,E13)-SUM(E20,E23)</x:f>
        <x:v>#NAME?</x:v>
      </x:c>
      <x:c r="F27" s="20" t="e">
        <x:f aca="0">SUM(F9,F13)-SUM(F20,F23)</x:f>
        <x:v>#NAME?</x:v>
      </x:c>
      <x:c r="G27" s="20" t="e">
        <x:f aca="0">SUM(G9,G13)-SUM(G20,G23)</x:f>
        <x:v>#NAME?</x:v>
      </x:c>
      <x:c r="H27" s="20" t="e">
        <x:f aca="0">SUM(H9,H13)-SUM(H20,H23)</x:f>
        <x:v>#NAME?</x:v>
      </x:c>
      <x:c r="I27" s="20" t="e">
        <x:f aca="0">SUM(I9,I13)-SUM(I20,I23)</x:f>
        <x:v>#NAME?</x:v>
      </x:c>
      <x:c r="J27" s="20" t="e">
        <x:f aca="0">SUM(J9,J13)-SUM(J20,J23)</x:f>
        <x:v>#NAME?</x:v>
      </x:c>
      <x:c r="K27" s="20" t="e">
        <x:f aca="0">SUM(K9,K13)-SUM(K20,K23)</x:f>
        <x:v>#NAME?</x:v>
      </x:c>
    </x:row>
    <x:row r="28" ht="21.75" hidden="0" customHeight="1">
      <x:c r="A28" s="19" t="s">
        <x:v>148</x:v>
      </x:c>
      <x:c r="B28" s="20" t="e">
        <x:f aca="0">B27+B16-B25</x:f>
        <x:v>#NAME?</x:v>
      </x:c>
      <x:c r="C28" s="20" t="e">
        <x:f aca="0">C27+C16-C25</x:f>
        <x:v>#NAME?</x:v>
      </x:c>
      <x:c r="D28" s="20" t="e">
        <x:f aca="0">D27+D16-D25</x:f>
        <x:v>#NAME?</x:v>
      </x:c>
      <x:c r="E28" s="20" t="e">
        <x:f aca="0">E27+E16-E25</x:f>
        <x:v>#NAME?</x:v>
      </x:c>
      <x:c r="F28" s="20" t="e">
        <x:f aca="0">F27+F16-F25</x:f>
        <x:v>#NAME?</x:v>
      </x:c>
      <x:c r="G28" s="20" t="e">
        <x:f aca="0">G27+G16-G25</x:f>
        <x:v>#NAME?</x:v>
      </x:c>
      <x:c r="H28" s="20" t="e">
        <x:f aca="0">H27+H16-H25</x:f>
        <x:v>#NAME?</x:v>
      </x:c>
      <x:c r="I28" s="20" t="e">
        <x:f aca="0">I27+I16-I25</x:f>
        <x:v>#NAME?</x:v>
      </x:c>
      <x:c r="J28" s="20" t="e">
        <x:f aca="0">J27+J16-J25</x:f>
        <x:v>#NAME?</x:v>
      </x:c>
      <x:c r="K28" s="20" t="e">
        <x:f aca="0">K27+K16-K25</x:f>
        <x:v>#NAME?</x:v>
      </x:c>
    </x:row>
    <x:row r="29" ht="21.75" hidden="0" customHeight="1">
      <x:c r="A29" s="19"/>
      <x:c r="B29" s="20"/>
      <x:c r="C29" s="20"/>
      <x:c r="D29" s="20"/>
      <x:c r="E29" s="20"/>
      <x:c r="F29" s="20"/>
      <x:c r="G29" s="20"/>
      <x:c r="H29" s="20"/>
      <x:c r="I29" s="20"/>
      <x:c r="J29" s="20"/>
      <x:c r="K29" s="20"/>
    </x:row>
    <x:row r="30" ht="21.75" hidden="0" customHeight="1">
      <x:c r="A30" s="17" t="s">
        <x:v>149</x:v>
      </x:c>
      <x:c r="B30" s="18"/>
      <x:c r="C30" s="18"/>
      <x:c r="D30" s="18"/>
      <x:c r="E30" s="18"/>
      <x:c r="F30" s="18"/>
      <x:c r="G30" s="18"/>
      <x:c r="H30" s="18"/>
      <x:c r="I30" s="18"/>
      <x:c r="J30" s="18"/>
      <x:c r="K30" s="18"/>
    </x:row>
    <x:row r="31" ht="21.75" hidden="0" customHeight="1">
      <x:c r="A31" s="19" t="s">
        <x:v>150</x:v>
      </x:c>
      <x:c r="B31" s="21" t="n">
        <x:f aca="0">IFERROR((SUM(B9,B13)/SUM(B20,B23))*100,0)</x:f>
        <x:v>0</x:v>
      </x:c>
      <x:c r="C31" s="21" t="n">
        <x:f aca="0">IFERROR((SUM(C9,C13)/SUM(C20,C23))*100,0)</x:f>
        <x:v>0</x:v>
      </x:c>
      <x:c r="D31" s="21" t="n">
        <x:f aca="0">IFERROR((SUM(D9,D13)/SUM(D20,D23))*100,0)</x:f>
        <x:v>0</x:v>
      </x:c>
      <x:c r="E31" s="21" t="n">
        <x:f aca="0">IFERROR((SUM(E9,E13)/SUM(E20,E23))*100,0)</x:f>
        <x:v>0</x:v>
      </x:c>
      <x:c r="F31" s="21" t="n">
        <x:f aca="0">IFERROR((SUM(F9,F13)/SUM(F20,F23))*100,0)</x:f>
        <x:v>0</x:v>
      </x:c>
      <x:c r="G31" s="21" t="n">
        <x:f aca="0">IFERROR((SUM(G9,G13)/SUM(G20,G23))*100,0)</x:f>
        <x:v>0</x:v>
      </x:c>
      <x:c r="H31" s="21" t="n">
        <x:f aca="0">IFERROR((SUM(H9,H13)/SUM(H20,H23))*100,0)</x:f>
        <x:v>0</x:v>
      </x:c>
      <x:c r="I31" s="21" t="n">
        <x:f aca="0">IFERROR((SUM(I9,I13)/SUM(I20,I23))*100,0)</x:f>
        <x:v>0</x:v>
      </x:c>
      <x:c r="J31" s="21" t="n">
        <x:f aca="0">IFERROR((SUM(J9,J13)/SUM(J20,J23))*100,0)</x:f>
        <x:v>0</x:v>
      </x:c>
      <x:c r="K31" s="21" t="n">
        <x:f aca="0">IFERROR((SUM(K9,K13)/SUM(K20,K23))*100,0)</x:f>
        <x:v>0</x:v>
      </x:c>
    </x:row>
    <x:row r="32" ht="21.75" hidden="0" customHeight="1">
      <x:c r="A32" s="19" t="s">
        <x:v>151</x:v>
      </x:c>
      <x:c r="B32" s="21" t="n">
        <x:f aca="0">IFERROR(B10/B34*100,0)</x:f>
        <x:v>0</x:v>
      </x:c>
      <x:c r="C32" s="21" t="n">
        <x:f aca="0">IFERROR(C10/C34*100,0)</x:f>
        <x:v>0</x:v>
      </x:c>
      <x:c r="D32" s="21" t="n">
        <x:f aca="0">IFERROR(D10/D34*100,0)</x:f>
        <x:v>0</x:v>
      </x:c>
      <x:c r="E32" s="21" t="n">
        <x:f aca="0">IFERROR(E10/E34*100,0)</x:f>
        <x:v>0</x:v>
      </x:c>
      <x:c r="F32" s="21" t="n">
        <x:f aca="0">IFERROR(F10/F34*100,0)</x:f>
        <x:v>0</x:v>
      </x:c>
      <x:c r="G32" s="21" t="n">
        <x:f aca="0">IFERROR(G10/G34*100,0)</x:f>
        <x:v>0</x:v>
      </x:c>
      <x:c r="H32" s="21" t="n">
        <x:f aca="0">IFERROR(H10/H34*100,0)</x:f>
        <x:v>0</x:v>
      </x:c>
      <x:c r="I32" s="21" t="n">
        <x:f aca="0">IFERROR(I10/I34*100,0)</x:f>
        <x:v>0</x:v>
      </x:c>
      <x:c r="J32" s="21" t="n">
        <x:f aca="0">IFERROR(J10/J34*100,0)</x:f>
        <x:v>0</x:v>
      </x:c>
      <x:c r="K32" s="21" t="n">
        <x:f aca="0">IFERROR(K10/K34*100,0)</x:f>
        <x:v>0</x:v>
      </x:c>
    </x:row>
    <x:row r="33" ht="21.75" hidden="0" customHeight="1">
      <x:c r="A33" s="19" t="s">
        <x:v>152</x:v>
      </x:c>
      <x:c r="B33" s="21" t="n">
        <x:f aca="0">IFERROR(B10/B35*100,0)</x:f>
        <x:v>0</x:v>
      </x:c>
      <x:c r="C33" s="21" t="n">
        <x:f aca="0">IFERROR(C10/C35*100,0)</x:f>
        <x:v>0</x:v>
      </x:c>
      <x:c r="D33" s="21" t="n">
        <x:f aca="0">IFERROR(D10/D35*100,0)</x:f>
        <x:v>0</x:v>
      </x:c>
      <x:c r="E33" s="21" t="n">
        <x:f aca="0">IFERROR(E10/E35*100,0)</x:f>
        <x:v>0</x:v>
      </x:c>
      <x:c r="F33" s="21" t="n">
        <x:f aca="0">IFERROR(F10/F35*100,0)</x:f>
        <x:v>0</x:v>
      </x:c>
      <x:c r="G33" s="21" t="n">
        <x:f aca="0">IFERROR(G10/G35*100,0)</x:f>
        <x:v>0</x:v>
      </x:c>
      <x:c r="H33" s="21" t="n">
        <x:f aca="0">IFERROR(H10/H35*100,0)</x:f>
        <x:v>0</x:v>
      </x:c>
      <x:c r="I33" s="21" t="n">
        <x:f aca="0">IFERROR(I10/I35*100,0)</x:f>
        <x:v>0</x:v>
      </x:c>
      <x:c r="J33" s="21" t="n">
        <x:f aca="0">IFERROR(J10/J35*100,0)</x:f>
        <x:v>0</x:v>
      </x:c>
      <x:c r="K33" s="21" t="n">
        <x:f aca="0">IFERROR(K10/K35*100,0)</x:f>
        <x:v>0</x:v>
      </x:c>
    </x:row>
    <x:row r="34" ht="21.75" hidden="0" customHeight="1">
      <x:c r="A34" s="19" t="s">
        <x:v>153</x:v>
      </x:c>
      <x:c r="B34" s="20" t="e">
        <x:f aca="0">SUM(B20,B23)-B14</x:f>
        <x:v>#NAME?</x:v>
      </x:c>
      <x:c r="C34" s="20" t="e">
        <x:f aca="0">SUM(C20,C23)-C14</x:f>
        <x:v>#NAME?</x:v>
      </x:c>
      <x:c r="D34" s="20" t="e">
        <x:f aca="0">SUM(D20,D23)-D14</x:f>
        <x:v>#NAME?</x:v>
      </x:c>
      <x:c r="E34" s="20" t="e">
        <x:f aca="0">SUM(E20,E23)-E14</x:f>
        <x:v>#NAME?</x:v>
      </x:c>
      <x:c r="F34" s="20" t="e">
        <x:f aca="0">SUM(F20,F23)-F14</x:f>
        <x:v>#NAME?</x:v>
      </x:c>
      <x:c r="G34" s="20" t="e">
        <x:f aca="0">SUM(G20,G23)-G14</x:f>
        <x:v>#NAME?</x:v>
      </x:c>
      <x:c r="H34" s="20" t="e">
        <x:f aca="0">SUM(H20,H23)-H14</x:f>
        <x:v>#NAME?</x:v>
      </x:c>
      <x:c r="I34" s="20" t="e">
        <x:f aca="0">SUM(I20,I23)-I14</x:f>
        <x:v>#NAME?</x:v>
      </x:c>
      <x:c r="J34" s="20" t="e">
        <x:f aca="0">SUM(J20,J23)-J14</x:f>
        <x:v>#NAME?</x:v>
      </x:c>
      <x:c r="K34" s="20" t="e">
        <x:f aca="0">SUM(K20,K23)-K14</x:f>
        <x:v>#NAME?</x:v>
      </x:c>
    </x:row>
    <x:row r="35" ht="21.75" hidden="0" customHeight="1">
      <x:c r="A35" s="19" t="s">
        <x:v>154</x:v>
      </x:c>
      <x:c r="B35" s="20" t="e">
        <x:f aca="0">B34+$B$5</x:f>
        <x:v>#NAME?</x:v>
      </x:c>
      <x:c r="C35" s="20" t="e">
        <x:f aca="0">C34+$B$5</x:f>
        <x:v>#NAME?</x:v>
      </x:c>
      <x:c r="D35" s="20" t="e">
        <x:f aca="0">D34+$B$5</x:f>
        <x:v>#NAME?</x:v>
      </x:c>
      <x:c r="E35" s="20" t="e">
        <x:f aca="0">E34+$B$5</x:f>
        <x:v>#NAME?</x:v>
      </x:c>
      <x:c r="F35" s="20" t="e">
        <x:f aca="0">F34+$B$5</x:f>
        <x:v>#NAME?</x:v>
      </x:c>
      <x:c r="G35" s="20" t="e">
        <x:f aca="0">G34+$B$5</x:f>
        <x:v>#NAME?</x:v>
      </x:c>
      <x:c r="H35" s="20" t="e">
        <x:f aca="0">H34+$B$5</x:f>
        <x:v>#NAME?</x:v>
      </x:c>
      <x:c r="I35" s="20" t="e">
        <x:f aca="0">I34+$B$5</x:f>
        <x:v>#NAME?</x:v>
      </x:c>
      <x:c r="J35" s="20" t="e">
        <x:f aca="0">J34+$B$5</x:f>
        <x:v>#NAME?</x:v>
      </x:c>
      <x:c r="K35" s="20" t="e">
        <x:f aca="0">K34+$B$5</x:f>
        <x:v>#NAME?</x:v>
      </x:c>
    </x:row>
    <x:row r="36" ht="21.75" hidden="0" customHeight="1">
      <x:c r="A36" s="19" t="s">
        <x:v>155</x:v>
      </x:c>
      <x:c r="B36" s="20" t="n">
        <x:f aca="0">IFERROR(B10/(B20+B23-B14-B12-B15+$B$5)*100,0)</x:f>
        <x:v>0</x:v>
      </x:c>
      <x:c r="C36" s="20" t="n">
        <x:f aca="0">IFERROR(C10/(C20+C23-C14-C12-C15+$B$5)*100,0)</x:f>
        <x:v>0</x:v>
      </x:c>
      <x:c r="D36" s="20" t="n">
        <x:f aca="0">IFERROR(D10/(D20+D23-D14-D12-D15+$B$5)*100,0)</x:f>
        <x:v>0</x:v>
      </x:c>
      <x:c r="E36" s="20" t="n">
        <x:f aca="0">IFERROR(E10/(E20+E23-E14-E12-E15+$B$5)*100,0)</x:f>
        <x:v>0</x:v>
      </x:c>
      <x:c r="F36" s="20" t="n">
        <x:f aca="0">IFERROR(F10/(F20+F23-F14-F12-F15+$B$5)*100,0)</x:f>
        <x:v>0</x:v>
      </x:c>
      <x:c r="G36" s="20" t="n">
        <x:f aca="0">IFERROR(G10/(G20+G23-G14-G12-G15+$B$5)*100,0)</x:f>
        <x:v>0</x:v>
      </x:c>
      <x:c r="H36" s="20" t="n">
        <x:f aca="0">IFERROR(H10/(H20+H23-H14-H12-H15+$B$5)*100,0)</x:f>
        <x:v>0</x:v>
      </x:c>
      <x:c r="I36" s="20" t="n">
        <x:f aca="0">IFERROR(I10/(I20+I23-I14-I12-I15+$B$5)*100,0)</x:f>
        <x:v>0</x:v>
      </x:c>
      <x:c r="J36" s="20" t="n">
        <x:f aca="0">IFERROR(J10/(J20+J23-J14-J12-J15+$B$5)*100,0)</x:f>
        <x:v>0</x:v>
      </x:c>
      <x:c r="K36" s="20" t="n">
        <x:f aca="0">IFERROR(K10/(K20+K23-K14-K12-K15+$B$5)*100,0)</x:f>
        <x:v>0</x:v>
      </x:c>
    </x:row>
    <x:row r="37" ht="21.75" hidden="0" customHeight="1">
      <x:c r="A37" s="19" t="s">
        <x:v>156</x:v>
      </x:c>
      <x:c r="B37" s="20" t="str">
        <x:f aca="0">IF(B33&lt;=B32,"OK","要確認")</x:f>
        <x:v>OK</x:v>
      </x:c>
      <x:c r="C37" s="20" t="str">
        <x:f aca="0">IF(C33&lt;=C32,"OK","要確認")</x:f>
        <x:v>OK</x:v>
      </x:c>
      <x:c r="D37" s="20" t="str">
        <x:f aca="0">IF(D33&lt;=D32,"OK","要確認")</x:f>
        <x:v>OK</x:v>
      </x:c>
      <x:c r="E37" s="20" t="str">
        <x:f aca="0">IF(E33&lt;=E32,"OK","要確認")</x:f>
        <x:v>OK</x:v>
      </x:c>
      <x:c r="F37" s="20" t="str">
        <x:f aca="0">IF(F33&lt;=F32,"OK","要確認")</x:f>
        <x:v>OK</x:v>
      </x:c>
      <x:c r="G37" s="20" t="str">
        <x:f aca="0">IF(G33&lt;=G32,"OK","要確認")</x:f>
        <x:v>OK</x:v>
      </x:c>
      <x:c r="H37" s="20" t="str">
        <x:f aca="0">IF(H33&lt;=H32,"OK","要確認")</x:f>
        <x:v>OK</x:v>
      </x:c>
      <x:c r="I37" s="20" t="str">
        <x:f aca="0">IF(I33&lt;=I32,"OK","要確認")</x:f>
        <x:v>OK</x:v>
      </x:c>
      <x:c r="J37" s="20" t="str">
        <x:f aca="0">IF(J33&lt;=J32,"OK","要確認")</x:f>
        <x:v>OK</x:v>
      </x:c>
      <x:c r="K37" s="20" t="str">
        <x:f aca="0">IF(K33&lt;=K32,"OK","要確認")</x:f>
        <x:v>OK</x:v>
      </x:c>
    </x:row>
    <x:row r="38" ht="21.75" hidden="0" customHeight="1">
      <x:c r="A38" s="19"/>
      <x:c r="B38" s="20"/>
      <x:c r="C38" s="20"/>
      <x:c r="D38" s="20"/>
      <x:c r="E38" s="20"/>
      <x:c r="F38" s="20"/>
      <x:c r="G38" s="20"/>
      <x:c r="H38" s="20"/>
      <x:c r="I38" s="20"/>
      <x:c r="J38" s="20"/>
      <x:c r="K38" s="20"/>
    </x:row>
    <x:row r="39" ht="21.75" hidden="0" customHeight="1">
      <x:c r="A39" s="17" t="s">
        <x:v>79</x:v>
      </x:c>
      <x:c r="B39" s="18"/>
      <x:c r="C39" s="18"/>
      <x:c r="D39" s="18"/>
      <x:c r="E39" s="18"/>
      <x:c r="F39" s="18"/>
      <x:c r="G39" s="18"/>
      <x:c r="H39" s="18"/>
      <x:c r="I39" s="18"/>
      <x:c r="J39" s="18"/>
      <x:c r="K39" s="18"/>
    </x:row>
    <x:row r="40" ht="21.75" hidden="0" customHeight="1">
      <x:c r="A40" s="19" t="s">
        <x:v>80</x:v>
      </x:c>
      <x:c r="B40" s="20" t="e">
        <x:f aca="0">02_R8予算_年次計画置換!B34</x:f>
        <x:v>#NAME?</x:v>
      </x:c>
      <x:c r="C40" s="20" t="e">
        <x:f aca="0">02_R8予算_年次計画置換!C34</x:f>
        <x:v>#NAME?</x:v>
      </x:c>
      <x:c r="D40" s="20" t="e">
        <x:f aca="0">02_R8予算_年次計画置換!D34</x:f>
        <x:v>#NAME?</x:v>
      </x:c>
      <x:c r="E40" s="20" t="e">
        <x:f aca="0">02_R8予算_年次計画置換!E34</x:f>
        <x:v>#NAME?</x:v>
      </x:c>
      <x:c r="F40" s="20" t="e">
        <x:f aca="0">02_R8予算_年次計画置換!F34</x:f>
        <x:v>#NAME?</x:v>
      </x:c>
      <x:c r="G40" s="20" t="e">
        <x:f aca="0">02_R8予算_年次計画置換!G34</x:f>
        <x:v>#NAME?</x:v>
      </x:c>
      <x:c r="H40" s="20" t="e">
        <x:f aca="0">02_R8予算_年次計画置換!H34</x:f>
        <x:v>#NAME?</x:v>
      </x:c>
      <x:c r="I40" s="20" t="e">
        <x:f aca="0">02_R8予算_年次計画置換!I34</x:f>
        <x:v>#NAME?</x:v>
      </x:c>
      <x:c r="J40" s="20" t="e">
        <x:f aca="0">02_R8予算_年次計画置換!J34</x:f>
        <x:v>#NAME?</x:v>
      </x:c>
      <x:c r="K40" s="20" t="e">
        <x:f aca="0">02_R8予算_年次計画置換!K34</x:f>
        <x:v>#NAME?</x:v>
      </x:c>
    </x:row>
    <x:row r="41" ht="21.75" hidden="0" customHeight="1">
      <x:c r="A41" s="19" t="s">
        <x:v>81</x:v>
      </x:c>
      <x:c r="B41" s="20" t="e">
        <x:f aca="0">02_R8予算_年次計画置換!B35</x:f>
        <x:v>#NAME?</x:v>
      </x:c>
      <x:c r="C41" s="20" t="e">
        <x:f aca="0">02_R8予算_年次計画置換!C35</x:f>
        <x:v>#NAME?</x:v>
      </x:c>
      <x:c r="D41" s="20" t="e">
        <x:f aca="0">02_R8予算_年次計画置換!D35</x:f>
        <x:v>#NAME?</x:v>
      </x:c>
      <x:c r="E41" s="20" t="e">
        <x:f aca="0">02_R8予算_年次計画置換!E35</x:f>
        <x:v>#NAME?</x:v>
      </x:c>
      <x:c r="F41" s="20" t="e">
        <x:f aca="0">02_R8予算_年次計画置換!F35</x:f>
        <x:v>#NAME?</x:v>
      </x:c>
      <x:c r="G41" s="20" t="e">
        <x:f aca="0">02_R8予算_年次計画置換!G35</x:f>
        <x:v>#NAME?</x:v>
      </x:c>
      <x:c r="H41" s="20" t="e">
        <x:f aca="0">02_R8予算_年次計画置換!H35</x:f>
        <x:v>#NAME?</x:v>
      </x:c>
      <x:c r="I41" s="20" t="e">
        <x:f aca="0">02_R8予算_年次計画置換!I35</x:f>
        <x:v>#NAME?</x:v>
      </x:c>
      <x:c r="J41" s="20" t="e">
        <x:f aca="0">02_R8予算_年次計画置換!J35</x:f>
        <x:v>#NAME?</x:v>
      </x:c>
      <x:c r="K41" s="20" t="e">
        <x:f aca="0">02_R8予算_年次計画置換!K35</x:f>
        <x:v>#NAME?</x:v>
      </x:c>
    </x:row>
    <x:row r="42" ht="21.75" hidden="0" customHeight="1">
      <x:c r="A42" s="19" t="s">
        <x:v>82</x:v>
      </x:c>
      <x:c r="B42" s="20" t="e">
        <x:f aca="0">02_R8予算_年次計画置換!B36</x:f>
        <x:v>#NAME?</x:v>
      </x:c>
      <x:c r="C42" s="20" t="e">
        <x:f aca="0">02_R8予算_年次計画置換!C36</x:f>
        <x:v>#NAME?</x:v>
      </x:c>
      <x:c r="D42" s="20" t="e">
        <x:f aca="0">02_R8予算_年次計画置換!D36</x:f>
        <x:v>#NAME?</x:v>
      </x:c>
      <x:c r="E42" s="20" t="e">
        <x:f aca="0">02_R8予算_年次計画置換!E36</x:f>
        <x:v>#NAME?</x:v>
      </x:c>
      <x:c r="F42" s="20" t="e">
        <x:f aca="0">02_R8予算_年次計画置換!F36</x:f>
        <x:v>#NAME?</x:v>
      </x:c>
      <x:c r="G42" s="20" t="e">
        <x:f aca="0">02_R8予算_年次計画置換!G36</x:f>
        <x:v>#NAME?</x:v>
      </x:c>
      <x:c r="H42" s="20" t="e">
        <x:f aca="0">02_R8予算_年次計画置換!H36</x:f>
        <x:v>#NAME?</x:v>
      </x:c>
      <x:c r="I42" s="20" t="e">
        <x:f aca="0">02_R8予算_年次計画置換!I36</x:f>
        <x:v>#NAME?</x:v>
      </x:c>
      <x:c r="J42" s="20" t="e">
        <x:f aca="0">02_R8予算_年次計画置換!J36</x:f>
        <x:v>#NAME?</x:v>
      </x:c>
      <x:c r="K42" s="20" t="e">
        <x:f aca="0">02_R8予算_年次計画置換!K36</x:f>
        <x:v>#NAME?</x:v>
      </x:c>
    </x:row>
    <x:row r="43" ht="21.75" hidden="0" customHeight="1">
      <x:c r="A43" s="19" t="s">
        <x:v>83</x:v>
      </x:c>
      <x:c r="B43" s="20" t="e">
        <x:f aca="0">02_R8予算_年次計画置換!B37</x:f>
        <x:v>#NAME?</x:v>
      </x:c>
      <x:c r="C43" s="20" t="e">
        <x:f aca="0">02_R8予算_年次計画置換!C37</x:f>
        <x:v>#NAME?</x:v>
      </x:c>
      <x:c r="D43" s="20" t="e">
        <x:f aca="0">02_R8予算_年次計画置換!D37</x:f>
        <x:v>#NAME?</x:v>
      </x:c>
      <x:c r="E43" s="20" t="e">
        <x:f aca="0">02_R8予算_年次計画置換!E37</x:f>
        <x:v>#NAME?</x:v>
      </x:c>
      <x:c r="F43" s="20" t="e">
        <x:f aca="0">02_R8予算_年次計画置換!F37</x:f>
        <x:v>#NAME?</x:v>
      </x:c>
      <x:c r="G43" s="20" t="e">
        <x:f aca="0">02_R8予算_年次計画置換!G37</x:f>
        <x:v>#NAME?</x:v>
      </x:c>
      <x:c r="H43" s="20" t="e">
        <x:f aca="0">02_R8予算_年次計画置換!H37</x:f>
        <x:v>#NAME?</x:v>
      </x:c>
      <x:c r="I43" s="20" t="e">
        <x:f aca="0">02_R8予算_年次計画置換!I37</x:f>
        <x:v>#NAME?</x:v>
      </x:c>
      <x:c r="J43" s="20" t="e">
        <x:f aca="0">02_R8予算_年次計画置換!J37</x:f>
        <x:v>#NAME?</x:v>
      </x:c>
      <x:c r="K43" s="20" t="e">
        <x:f aca="0">02_R8予算_年次計画置換!K37</x:f>
        <x:v>#NAME?</x:v>
      </x:c>
    </x:row>
    <x:row r="44" ht="21.75" hidden="0" customHeight="1">
      <x:c r="A44" s="19" t="s">
        <x:v>84</x:v>
      </x:c>
      <x:c r="B44" s="20" t="e">
        <x:f aca="0">02_R8予算_年次計画置換!B38</x:f>
        <x:v>#NAME?</x:v>
      </x:c>
      <x:c r="C44" s="20" t="e">
        <x:f aca="0">02_R8予算_年次計画置換!C38</x:f>
        <x:v>#NAME?</x:v>
      </x:c>
      <x:c r="D44" s="20" t="e">
        <x:f aca="0">02_R8予算_年次計画置換!D38</x:f>
        <x:v>#NAME?</x:v>
      </x:c>
      <x:c r="E44" s="20" t="e">
        <x:f aca="0">02_R8予算_年次計画置換!E38</x:f>
        <x:v>#NAME?</x:v>
      </x:c>
      <x:c r="F44" s="20" t="e">
        <x:f aca="0">02_R8予算_年次計画置換!F38</x:f>
        <x:v>#NAME?</x:v>
      </x:c>
      <x:c r="G44" s="20" t="e">
        <x:f aca="0">02_R8予算_年次計画置換!G38</x:f>
        <x:v>#NAME?</x:v>
      </x:c>
      <x:c r="H44" s="20" t="e">
        <x:f aca="0">02_R8予算_年次計画置換!H38</x:f>
        <x:v>#NAME?</x:v>
      </x:c>
      <x:c r="I44" s="20" t="e">
        <x:f aca="0">02_R8予算_年次計画置換!I38</x:f>
        <x:v>#NAME?</x:v>
      </x:c>
      <x:c r="J44" s="20" t="e">
        <x:f aca="0">02_R8予算_年次計画置換!J38</x:f>
        <x:v>#NAME?</x:v>
      </x:c>
      <x:c r="K44" s="20" t="e">
        <x:f aca="0">02_R8予算_年次計画置換!K38</x:f>
        <x:v>#NAME?</x:v>
      </x:c>
    </x:row>
    <x:row r="45" ht="21.75" hidden="0" customHeight="1">
      <x:c r="A45" s="19" t="s">
        <x:v>85</x:v>
      </x:c>
      <x:c r="B45" s="20" t="e">
        <x:f aca="0">02_R8予算_年次計画置換!B39</x:f>
        <x:v>#NAME?</x:v>
      </x:c>
      <x:c r="C45" s="20" t="e">
        <x:f aca="0">02_R8予算_年次計画置換!C39</x:f>
        <x:v>#NAME?</x:v>
      </x:c>
      <x:c r="D45" s="20" t="e">
        <x:f aca="0">02_R8予算_年次計画置換!D39</x:f>
        <x:v>#NAME?</x:v>
      </x:c>
      <x:c r="E45" s="20" t="e">
        <x:f aca="0">02_R8予算_年次計画置換!E39</x:f>
        <x:v>#NAME?</x:v>
      </x:c>
      <x:c r="F45" s="20" t="e">
        <x:f aca="0">02_R8予算_年次計画置換!F39</x:f>
        <x:v>#NAME?</x:v>
      </x:c>
      <x:c r="G45" s="20" t="e">
        <x:f aca="0">02_R8予算_年次計画置換!G39</x:f>
        <x:v>#NAME?</x:v>
      </x:c>
      <x:c r="H45" s="20" t="e">
        <x:f aca="0">02_R8予算_年次計画置換!H39</x:f>
        <x:v>#NAME?</x:v>
      </x:c>
      <x:c r="I45" s="20" t="e">
        <x:f aca="0">02_R8予算_年次計画置換!I39</x:f>
        <x:v>#NAME?</x:v>
      </x:c>
      <x:c r="J45" s="20" t="e">
        <x:f aca="0">02_R8予算_年次計画置換!J39</x:f>
        <x:v>#NAME?</x:v>
      </x:c>
      <x:c r="K45" s="20" t="e">
        <x:f aca="0">02_R8予算_年次計画置換!K39</x:f>
        <x:v>#NAME?</x:v>
      </x:c>
    </x:row>
    <x:row r="46" ht="21.75" hidden="0" customHeight="1">
      <x:c r="A46" s="19" t="s">
        <x:v>86</x:v>
      </x:c>
      <x:c r="B46" s="20" t="e">
        <x:f aca="0">02_R8予算_年次計画置換!B40</x:f>
        <x:v>#NAME?</x:v>
      </x:c>
      <x:c r="C46" s="20" t="e">
        <x:f aca="0">02_R8予算_年次計画置換!C40</x:f>
        <x:v>#NAME?</x:v>
      </x:c>
      <x:c r="D46" s="20" t="e">
        <x:f aca="0">02_R8予算_年次計画置換!D40</x:f>
        <x:v>#NAME?</x:v>
      </x:c>
      <x:c r="E46" s="20" t="e">
        <x:f aca="0">02_R8予算_年次計画置換!E40</x:f>
        <x:v>#NAME?</x:v>
      </x:c>
      <x:c r="F46" s="20" t="e">
        <x:f aca="0">02_R8予算_年次計画置換!F40</x:f>
        <x:v>#NAME?</x:v>
      </x:c>
      <x:c r="G46" s="20" t="e">
        <x:f aca="0">02_R8予算_年次計画置換!G40</x:f>
        <x:v>#NAME?</x:v>
      </x:c>
      <x:c r="H46" s="20" t="e">
        <x:f aca="0">02_R8予算_年次計画置換!H40</x:f>
        <x:v>#NAME?</x:v>
      </x:c>
      <x:c r="I46" s="20" t="e">
        <x:f aca="0">02_R8予算_年次計画置換!I40</x:f>
        <x:v>#NAME?</x:v>
      </x:c>
      <x:c r="J46" s="20" t="e">
        <x:f aca="0">02_R8予算_年次計画置換!J40</x:f>
        <x:v>#NAME?</x:v>
      </x:c>
      <x:c r="K46" s="20" t="e">
        <x:f aca="0">02_R8予算_年次計画置換!K40</x:f>
        <x:v>#NAME?</x:v>
      </x:c>
    </x:row>
    <x:row r="47" ht="21.75" hidden="0" customHeight="1">
      <x:c r="A47" s="19" t="s">
        <x:v>87</x:v>
      </x:c>
      <x:c r="B47" s="20" t="e">
        <x:f aca="0">02_R8予算_年次計画置換!B41</x:f>
        <x:v>#NAME?</x:v>
      </x:c>
      <x:c r="C47" s="20" t="e">
        <x:f aca="0">02_R8予算_年次計画置換!C41</x:f>
        <x:v>#NAME?</x:v>
      </x:c>
      <x:c r="D47" s="20" t="e">
        <x:f aca="0">02_R8予算_年次計画置換!D41</x:f>
        <x:v>#NAME?</x:v>
      </x:c>
      <x:c r="E47" s="20" t="e">
        <x:f aca="0">02_R8予算_年次計画置換!E41</x:f>
        <x:v>#NAME?</x:v>
      </x:c>
      <x:c r="F47" s="20" t="e">
        <x:f aca="0">02_R8予算_年次計画置換!F41</x:f>
        <x:v>#NAME?</x:v>
      </x:c>
      <x:c r="G47" s="20" t="e">
        <x:f aca="0">02_R8予算_年次計画置換!G41</x:f>
        <x:v>#NAME?</x:v>
      </x:c>
      <x:c r="H47" s="20" t="e">
        <x:f aca="0">02_R8予算_年次計画置換!H41</x:f>
        <x:v>#NAME?</x:v>
      </x:c>
      <x:c r="I47" s="20" t="e">
        <x:f aca="0">02_R8予算_年次計画置換!I41</x:f>
        <x:v>#NAME?</x:v>
      </x:c>
      <x:c r="J47" s="20" t="e">
        <x:f aca="0">02_R8予算_年次計画置換!J41</x:f>
        <x:v>#NAME?</x:v>
      </x:c>
      <x:c r="K47" s="20" t="e">
        <x:f aca="0">02_R8予算_年次計画置換!K41</x:f>
        <x:v>#NAME?</x:v>
      </x:c>
    </x:row>
    <x:row r="48" ht="21.75" hidden="0" customHeight="1">
      <x:c r="A48" s="19"/>
      <x:c r="B48" s="20"/>
      <x:c r="C48" s="20"/>
      <x:c r="D48" s="20"/>
      <x:c r="E48" s="20"/>
      <x:c r="F48" s="20"/>
      <x:c r="G48" s="20"/>
      <x:c r="H48" s="20"/>
      <x:c r="I48" s="20"/>
      <x:c r="J48" s="20"/>
      <x:c r="K48" s="20"/>
    </x:row>
    <x:row r="49" ht="21.75" hidden="0" customHeight="1">
      <x:c r="A49" s="17" t="s">
        <x:v>88</x:v>
      </x:c>
      <x:c r="B49" s="18"/>
      <x:c r="C49" s="18"/>
      <x:c r="D49" s="18"/>
      <x:c r="E49" s="18"/>
      <x:c r="F49" s="18"/>
      <x:c r="G49" s="18"/>
      <x:c r="H49" s="18"/>
      <x:c r="I49" s="18"/>
      <x:c r="J49" s="18"/>
      <x:c r="K49" s="18"/>
    </x:row>
    <x:row r="50" ht="21.75" hidden="0" customHeight="1">
      <x:c r="A50" s="19" t="s">
        <x:v>89</x:v>
      </x:c>
      <x:c r="B50" s="20" t="e">
        <x:f aca="0">02_R8予算_年次計画置換!B44</x:f>
        <x:v>#NAME?</x:v>
      </x:c>
      <x:c r="C50" s="20" t="e">
        <x:f aca="0">02_R8予算_年次計画置換!C44</x:f>
        <x:v>#NAME?</x:v>
      </x:c>
      <x:c r="D50" s="20" t="e">
        <x:f aca="0">02_R8予算_年次計画置換!D44</x:f>
        <x:v>#NAME?</x:v>
      </x:c>
      <x:c r="E50" s="20" t="e">
        <x:f aca="0">02_R8予算_年次計画置換!E44</x:f>
        <x:v>#NAME?</x:v>
      </x:c>
      <x:c r="F50" s="20" t="e">
        <x:f aca="0">02_R8予算_年次計画置換!F44</x:f>
        <x:v>#NAME?</x:v>
      </x:c>
      <x:c r="G50" s="20" t="e">
        <x:f aca="0">02_R8予算_年次計画置換!G44</x:f>
        <x:v>#NAME?</x:v>
      </x:c>
      <x:c r="H50" s="20" t="e">
        <x:f aca="0">02_R8予算_年次計画置換!H44</x:f>
        <x:v>#NAME?</x:v>
      </x:c>
      <x:c r="I50" s="20" t="e">
        <x:f aca="0">02_R8予算_年次計画置換!I44</x:f>
        <x:v>#NAME?</x:v>
      </x:c>
      <x:c r="J50" s="20" t="e">
        <x:f aca="0">02_R8予算_年次計画置換!J44</x:f>
        <x:v>#NAME?</x:v>
      </x:c>
      <x:c r="K50" s="20" t="e">
        <x:f aca="0">02_R8予算_年次計画置換!K44</x:f>
        <x:v>#NAME?</x:v>
      </x:c>
    </x:row>
    <x:row r="51" ht="21.75" hidden="0" customHeight="1">
      <x:c r="A51" s="19" t="s">
        <x:v>90</x:v>
      </x:c>
      <x:c r="B51" s="20" t="e">
        <x:f aca="0">02_R8予算_年次計画置換!B45</x:f>
        <x:v>#NAME?</x:v>
      </x:c>
      <x:c r="C51" s="20" t="e">
        <x:f aca="0">02_R8予算_年次計画置換!C45</x:f>
        <x:v>#NAME?</x:v>
      </x:c>
      <x:c r="D51" s="20" t="e">
        <x:f aca="0">02_R8予算_年次計画置換!D45</x:f>
        <x:v>#NAME?</x:v>
      </x:c>
      <x:c r="E51" s="20" t="e">
        <x:f aca="0">02_R8予算_年次計画置換!E45</x:f>
        <x:v>#NAME?</x:v>
      </x:c>
      <x:c r="F51" s="20" t="e">
        <x:f aca="0">02_R8予算_年次計画置換!F45</x:f>
        <x:v>#NAME?</x:v>
      </x:c>
      <x:c r="G51" s="20" t="e">
        <x:f aca="0">02_R8予算_年次計画置換!G45</x:f>
        <x:v>#NAME?</x:v>
      </x:c>
      <x:c r="H51" s="20" t="e">
        <x:f aca="0">02_R8予算_年次計画置換!H45</x:f>
        <x:v>#NAME?</x:v>
      </x:c>
      <x:c r="I51" s="20" t="e">
        <x:f aca="0">02_R8予算_年次計画置換!I45</x:f>
        <x:v>#NAME?</x:v>
      </x:c>
      <x:c r="J51" s="20" t="e">
        <x:f aca="0">02_R8予算_年次計画置換!J45</x:f>
        <x:v>#NAME?</x:v>
      </x:c>
      <x:c r="K51" s="20" t="e">
        <x:f aca="0">02_R8予算_年次計画置換!K45</x:f>
        <x:v>#NAME?</x:v>
      </x:c>
    </x:row>
    <x:row r="52" ht="21.75" hidden="0" customHeight="1">
      <x:c r="A52" s="19" t="s">
        <x:v>91</x:v>
      </x:c>
      <x:c r="B52" s="20" t="e">
        <x:f aca="0">02_R8予算_年次計画置換!B46</x:f>
        <x:v>#NAME?</x:v>
      </x:c>
      <x:c r="C52" s="20" t="e">
        <x:f aca="0">02_R8予算_年次計画置換!C46</x:f>
        <x:v>#NAME?</x:v>
      </x:c>
      <x:c r="D52" s="20" t="e">
        <x:f aca="0">02_R8予算_年次計画置換!D46</x:f>
        <x:v>#NAME?</x:v>
      </x:c>
      <x:c r="E52" s="20" t="e">
        <x:f aca="0">02_R8予算_年次計画置換!E46</x:f>
        <x:v>#NAME?</x:v>
      </x:c>
      <x:c r="F52" s="20" t="e">
        <x:f aca="0">02_R8予算_年次計画置換!F46</x:f>
        <x:v>#NAME?</x:v>
      </x:c>
      <x:c r="G52" s="20" t="e">
        <x:f aca="0">02_R8予算_年次計画置換!G46</x:f>
        <x:v>#NAME?</x:v>
      </x:c>
      <x:c r="H52" s="20" t="e">
        <x:f aca="0">02_R8予算_年次計画置換!H46</x:f>
        <x:v>#NAME?</x:v>
      </x:c>
      <x:c r="I52" s="20" t="e">
        <x:f aca="0">02_R8予算_年次計画置換!I46</x:f>
        <x:v>#NAME?</x:v>
      </x:c>
      <x:c r="J52" s="20" t="e">
        <x:f aca="0">02_R8予算_年次計画置換!J46</x:f>
        <x:v>#NAME?</x:v>
      </x:c>
      <x:c r="K52" s="20" t="e">
        <x:f aca="0">02_R8予算_年次計画置換!K46</x:f>
        <x:v>#NAME?</x:v>
      </x:c>
    </x:row>
    <x:row r="53" ht="21.75" hidden="0" customHeight="1">
      <x:c r="A53" s="19" t="s">
        <x:v>92</x:v>
      </x:c>
      <x:c r="B53" s="20" t="e">
        <x:f aca="0">02_R8予算_年次計画置換!B47</x:f>
        <x:v>#NAME?</x:v>
      </x:c>
      <x:c r="C53" s="20" t="e">
        <x:f aca="0">02_R8予算_年次計画置換!C47</x:f>
        <x:v>#NAME?</x:v>
      </x:c>
      <x:c r="D53" s="20" t="e">
        <x:f aca="0">02_R8予算_年次計画置換!D47</x:f>
        <x:v>#NAME?</x:v>
      </x:c>
      <x:c r="E53" s="20" t="e">
        <x:f aca="0">02_R8予算_年次計画置換!E47</x:f>
        <x:v>#NAME?</x:v>
      </x:c>
      <x:c r="F53" s="20" t="e">
        <x:f aca="0">02_R8予算_年次計画置換!F47</x:f>
        <x:v>#NAME?</x:v>
      </x:c>
      <x:c r="G53" s="20" t="e">
        <x:f aca="0">02_R8予算_年次計画置換!G47</x:f>
        <x:v>#NAME?</x:v>
      </x:c>
      <x:c r="H53" s="20" t="e">
        <x:f aca="0">02_R8予算_年次計画置換!H47</x:f>
        <x:v>#NAME?</x:v>
      </x:c>
      <x:c r="I53" s="20" t="e">
        <x:f aca="0">02_R8予算_年次計画置換!I47</x:f>
        <x:v>#NAME?</x:v>
      </x:c>
      <x:c r="J53" s="20" t="e">
        <x:f aca="0">02_R8予算_年次計画置換!J47</x:f>
        <x:v>#NAME?</x:v>
      </x:c>
      <x:c r="K53" s="20" t="e">
        <x:f aca="0">02_R8予算_年次計画置換!K47</x:f>
        <x:v>#NAME?</x:v>
      </x:c>
    </x:row>
    <x:row r="54" ht="21.75" hidden="0" customHeight="1">
      <x:c r="A54" s="19" t="s">
        <x:v>93</x:v>
      </x:c>
      <x:c r="B54" s="20" t="e">
        <x:f aca="0">B40-B50</x:f>
        <x:v>#NAME?</x:v>
      </x:c>
      <x:c r="C54" s="20" t="e">
        <x:f aca="0">C40-C50</x:f>
        <x:v>#NAME?</x:v>
      </x:c>
      <x:c r="D54" s="20" t="e">
        <x:f aca="0">D40-D50</x:f>
        <x:v>#NAME?</x:v>
      </x:c>
      <x:c r="E54" s="20" t="e">
        <x:f aca="0">E40-E50</x:f>
        <x:v>#NAME?</x:v>
      </x:c>
      <x:c r="F54" s="20" t="e">
        <x:f aca="0">F40-F50</x:f>
        <x:v>#NAME?</x:v>
      </x:c>
      <x:c r="G54" s="20" t="e">
        <x:f aca="0">G40-G50</x:f>
        <x:v>#NAME?</x:v>
      </x:c>
      <x:c r="H54" s="20" t="e">
        <x:f aca="0">H40-H50</x:f>
        <x:v>#NAME?</x:v>
      </x:c>
      <x:c r="I54" s="20" t="e">
        <x:f aca="0">I40-I50</x:f>
        <x:v>#NAME?</x:v>
      </x:c>
      <x:c r="J54" s="20" t="e">
        <x:f aca="0">J40-J50</x:f>
        <x:v>#NAME?</x:v>
      </x:c>
      <x:c r="K54" s="20" t="e">
        <x:f aca="0">K40-K50</x:f>
        <x:v>#NAME?</x:v>
      </x:c>
    </x:row>
    <x:row r="55" ht="21.75" hidden="0" customHeight="1">
      <x:c r="A55" s="19"/>
      <x:c r="B55" s="20"/>
      <x:c r="C55" s="20"/>
      <x:c r="D55" s="20"/>
      <x:c r="E55" s="20"/>
      <x:c r="F55" s="20"/>
      <x:c r="G55" s="20"/>
      <x:c r="H55" s="20"/>
      <x:c r="I55" s="20"/>
      <x:c r="J55" s="20"/>
      <x:c r="K55" s="20"/>
    </x:row>
    <x:row r="56" ht="21.75" hidden="0" customHeight="1">
      <x:c r="A56" s="17" t="s">
        <x:v>157</x:v>
      </x:c>
      <x:c r="B56" s="18"/>
      <x:c r="C56" s="18"/>
      <x:c r="D56" s="18"/>
      <x:c r="E56" s="18"/>
      <x:c r="F56" s="18"/>
      <x:c r="G56" s="18"/>
      <x:c r="H56" s="18"/>
      <x:c r="I56" s="18"/>
      <x:c r="J56" s="18"/>
      <x:c r="K56" s="18"/>
    </x:row>
    <x:row r="57" ht="21.75" hidden="0" customHeight="1">
      <x:c r="A57" s="19" t="s">
        <x:v>158</x:v>
      </x:c>
      <x:c r="B57" s="20" t="e">
        <x:f aca="0">B28+B21+B22-B14</x:f>
        <x:v>#NAME?</x:v>
      </x:c>
      <x:c r="C57" s="20" t="e">
        <x:f aca="0">C28+C21+C22-C14</x:f>
        <x:v>#NAME?</x:v>
      </x:c>
      <x:c r="D57" s="20" t="e">
        <x:f aca="0">D28+D21+D22-D14</x:f>
        <x:v>#NAME?</x:v>
      </x:c>
      <x:c r="E57" s="20" t="e">
        <x:f aca="0">E28+E21+E22-E14</x:f>
        <x:v>#NAME?</x:v>
      </x:c>
      <x:c r="F57" s="20" t="e">
        <x:f aca="0">F28+F21+F22-F14</x:f>
        <x:v>#NAME?</x:v>
      </x:c>
      <x:c r="G57" s="20" t="e">
        <x:f aca="0">G28+G21+G22-G14</x:f>
        <x:v>#NAME?</x:v>
      </x:c>
      <x:c r="H57" s="20" t="e">
        <x:f aca="0">H28+H21+H22-H14</x:f>
        <x:v>#NAME?</x:v>
      </x:c>
      <x:c r="I57" s="20" t="e">
        <x:f aca="0">I28+I21+I22-I14</x:f>
        <x:v>#NAME?</x:v>
      </x:c>
      <x:c r="J57" s="20" t="e">
        <x:f aca="0">J28+J21+J22-J14</x:f>
        <x:v>#NAME?</x:v>
      </x:c>
      <x:c r="K57" s="20" t="e">
        <x:f aca="0">K28+K21+K22-K14</x:f>
        <x:v>#NAME?</x:v>
      </x:c>
    </x:row>
    <x:row r="58" ht="21.75" hidden="0" customHeight="1">
      <x:c r="A58" s="19" t="s">
        <x:v>159</x:v>
      </x:c>
      <x:c r="B58" s="20" t="e">
        <x:f aca="0">B54</x:f>
        <x:v>#NAME?</x:v>
      </x:c>
      <x:c r="C58" s="20" t="e">
        <x:f aca="0">C54</x:f>
        <x:v>#NAME?</x:v>
      </x:c>
      <x:c r="D58" s="20" t="e">
        <x:f aca="0">D54</x:f>
        <x:v>#NAME?</x:v>
      </x:c>
      <x:c r="E58" s="20" t="e">
        <x:f aca="0">E54</x:f>
        <x:v>#NAME?</x:v>
      </x:c>
      <x:c r="F58" s="20" t="e">
        <x:f aca="0">F54</x:f>
        <x:v>#NAME?</x:v>
      </x:c>
      <x:c r="G58" s="20" t="e">
        <x:f aca="0">G54</x:f>
        <x:v>#NAME?</x:v>
      </x:c>
      <x:c r="H58" s="20" t="e">
        <x:f aca="0">H54</x:f>
        <x:v>#NAME?</x:v>
      </x:c>
      <x:c r="I58" s="20" t="e">
        <x:f aca="0">I54</x:f>
        <x:v>#NAME?</x:v>
      </x:c>
      <x:c r="J58" s="20" t="e">
        <x:f aca="0">J54</x:f>
        <x:v>#NAME?</x:v>
      </x:c>
      <x:c r="K58" s="20" t="e">
        <x:f aca="0">K54</x:f>
        <x:v>#NAME?</x:v>
      </x:c>
    </x:row>
    <x:row r="59" ht="21.75" hidden="0" customHeight="1">
      <x:c r="A59" s="19" t="s">
        <x:v>160</x:v>
      </x:c>
      <x:c r="B59" s="20" t="e">
        <x:f aca="0">00_前提・検証!$B$6</x:f>
        <x:v>#NAME?</x:v>
      </x:c>
      <x:c r="C59" s="20" t="e">
        <x:f aca="0">B59+C57+C58</x:f>
        <x:v>#NAME?</x:v>
      </x:c>
      <x:c r="D59" s="20" t="e">
        <x:f aca="0">C59+D57+D58</x:f>
        <x:v>#NAME?</x:v>
      </x:c>
      <x:c r="E59" s="20" t="e">
        <x:f aca="0">D59+E57+E58</x:f>
        <x:v>#NAME?</x:v>
      </x:c>
      <x:c r="F59" s="20" t="e">
        <x:f aca="0">E59+F57+F58</x:f>
        <x:v>#NAME?</x:v>
      </x:c>
      <x:c r="G59" s="20" t="e">
        <x:f aca="0">F59+G57+G58</x:f>
        <x:v>#NAME?</x:v>
      </x:c>
      <x:c r="H59" s="20" t="e">
        <x:f aca="0">G59+H57+H58</x:f>
        <x:v>#NAME?</x:v>
      </x:c>
      <x:c r="I59" s="20" t="e">
        <x:f aca="0">H59+I57+I58</x:f>
        <x:v>#NAME?</x:v>
      </x:c>
      <x:c r="J59" s="20" t="e">
        <x:f aca="0">I59+J57+J58</x:f>
        <x:v>#NAME?</x:v>
      </x:c>
      <x:c r="K59" s="20" t="e">
        <x:f aca="0">J59+K57+K58</x:f>
        <x:v>#NAME?</x:v>
      </x:c>
    </x:row>
    <x:row r="60" ht="21.75" hidden="0" customHeight="1">
      <x:c r="A60" s="19" t="s">
        <x:v>161</x:v>
      </x:c>
      <x:c r="B60" s="20" t="e">
        <x:f aca="0">B59-00_前提・検証!$B$7</x:f>
        <x:v>#NAME?</x:v>
      </x:c>
      <x:c r="C60" s="20" t="e">
        <x:f aca="0">C59-00_前提・検証!$B$7</x:f>
        <x:v>#NAME?</x:v>
      </x:c>
      <x:c r="D60" s="20" t="e">
        <x:f aca="0">D59-00_前提・検証!$B$7</x:f>
        <x:v>#NAME?</x:v>
      </x:c>
      <x:c r="E60" s="20" t="e">
        <x:f aca="0">E59-00_前提・検証!$B$7</x:f>
        <x:v>#NAME?</x:v>
      </x:c>
      <x:c r="F60" s="20" t="e">
        <x:f aca="0">F59-00_前提・検証!$B$7</x:f>
        <x:v>#NAME?</x:v>
      </x:c>
      <x:c r="G60" s="20" t="e">
        <x:f aca="0">G59-00_前提・検証!$B$7</x:f>
        <x:v>#NAME?</x:v>
      </x:c>
      <x:c r="H60" s="20" t="e">
        <x:f aca="0">H59-00_前提・検証!$B$7</x:f>
        <x:v>#NAME?</x:v>
      </x:c>
      <x:c r="I60" s="20" t="e">
        <x:f aca="0">I59-00_前提・検証!$B$7</x:f>
        <x:v>#NAME?</x:v>
      </x:c>
      <x:c r="J60" s="20" t="e">
        <x:f aca="0">J59-00_前提・検証!$B$7</x:f>
        <x:v>#NAME?</x:v>
      </x:c>
      <x:c r="K60" s="20" t="e">
        <x:f aca="0">K59-00_前提・検証!$B$7</x:f>
        <x:v>#NAME?</x:v>
      </x:c>
    </x:row>
    <x:row r="62">
      <x:c r="A62" s="58" t="str">
        <x:v>【建設仮勘定・追加企業債の精緻化影響（参考反映）】</x:v>
      </x:c>
      <x:c r="B62" s="58"/>
      <x:c r="C62" s="58"/>
      <x:c r="D62" s="58"/>
      <x:c r="E62" s="58"/>
      <x:c r="F62" s="58"/>
      <x:c r="G62" s="58"/>
      <x:c r="H62" s="58"/>
      <x:c r="I62" s="58"/>
      <x:c r="J62" s="58"/>
      <x:c r="K62" s="58"/>
    </x:row>
    <x:row r="63">
      <x:c r="A63" s="54" t="str">
        <x:v>項目</x:v>
      </x:c>
      <x:c r="B63" s="54" t="str">
        <x:v>令和7年度</x:v>
      </x:c>
      <x:c r="C63" s="54" t="str">
        <x:v>令和8年度</x:v>
      </x:c>
      <x:c r="D63" s="54" t="str">
        <x:v>令和9年度</x:v>
      </x:c>
      <x:c r="E63" s="54" t="str">
        <x:v>令和10年度</x:v>
      </x:c>
      <x:c r="F63" s="54" t="str">
        <x:v>令和11年度</x:v>
      </x:c>
      <x:c r="G63" s="54" t="str">
        <x:v>令和12年度</x:v>
      </x:c>
      <x:c r="H63" s="54" t="str">
        <x:v>令和13年度</x:v>
      </x:c>
      <x:c r="I63" s="54" t="str">
        <x:v>令和14年度</x:v>
      </x:c>
      <x:c r="J63" s="54" t="str">
        <x:v>令和15年度</x:v>
      </x:c>
      <x:c r="K63" s="54" t="str">
        <x:v>令和16年度</x:v>
      </x:c>
    </x:row>
    <x:row r="64">
      <x:c r="A64" s="55" t="str">
        <x:v>減価償却費増加</x:v>
      </x:c>
      <x:c r="B64" s="56" t="n">
        <x:f>'05_建設仮勘定・企業債'!B40</x:f>
        <x:v>0</x:v>
      </x:c>
      <x:c r="C64" s="56" t="n">
        <x:f>'05_建設仮勘定・企業債'!C40</x:f>
        <x:v>0</x:v>
      </x:c>
      <x:c r="D64" s="56" t="n">
        <x:f>'05_建設仮勘定・企業債'!D40</x:f>
        <x:v>0</x:v>
      </x:c>
      <x:c r="E64" s="56" t="n">
        <x:f>'05_建設仮勘定・企業債'!E40</x:f>
        <x:v>11639</x:v>
      </x:c>
      <x:c r="F64" s="56" t="n">
        <x:f>'05_建設仮勘定・企業債'!F40</x:f>
        <x:v>11639</x:v>
      </x:c>
      <x:c r="G64" s="56" t="n">
        <x:f>'05_建設仮勘定・企業債'!G40</x:f>
        <x:v>11639</x:v>
      </x:c>
      <x:c r="H64" s="56" t="n">
        <x:f>'05_建設仮勘定・企業債'!H40</x:f>
        <x:v>11639</x:v>
      </x:c>
      <x:c r="I64" s="56" t="n">
        <x:f>'05_建設仮勘定・企業債'!I40</x:f>
        <x:v>11639</x:v>
      </x:c>
      <x:c r="J64" s="56" t="n">
        <x:f>'05_建設仮勘定・企業債'!J40</x:f>
        <x:v>11639</x:v>
      </x:c>
      <x:c r="K64" s="56" t="n">
        <x:f>'05_建設仮勘定・企業債'!K40</x:f>
        <x:v>11639</x:v>
      </x:c>
    </x:row>
    <x:row r="65">
      <x:c r="A65" s="55" t="str">
        <x:v>長期前受金戻入増加</x:v>
      </x:c>
      <x:c r="B65" s="56" t="n">
        <x:f>'05_建設仮勘定・企業債'!B41</x:f>
        <x:v>0</x:v>
      </x:c>
      <x:c r="C65" s="56" t="n">
        <x:f>'05_建設仮勘定・企業債'!C41</x:f>
        <x:v>0</x:v>
      </x:c>
      <x:c r="D65" s="56" t="n">
        <x:f>'05_建設仮勘定・企業債'!D41</x:f>
        <x:v>0</x:v>
      </x:c>
      <x:c r="E65" s="56" t="n">
        <x:f>'05_建設仮勘定・企業債'!E41</x:f>
        <x:v>8655</x:v>
      </x:c>
      <x:c r="F65" s="56" t="n">
        <x:f>'05_建設仮勘定・企業債'!F41</x:f>
        <x:v>8655</x:v>
      </x:c>
      <x:c r="G65" s="56" t="n">
        <x:f>'05_建設仮勘定・企業債'!G41</x:f>
        <x:v>8655</x:v>
      </x:c>
      <x:c r="H65" s="56" t="n">
        <x:f>'05_建設仮勘定・企業債'!H41</x:f>
        <x:v>8655</x:v>
      </x:c>
      <x:c r="I65" s="56" t="n">
        <x:f>'05_建設仮勘定・企業債'!I41</x:f>
        <x:v>8655</x:v>
      </x:c>
      <x:c r="J65" s="56" t="n">
        <x:f>'05_建設仮勘定・企業債'!J41</x:f>
        <x:v>8655</x:v>
      </x:c>
      <x:c r="K65" s="56" t="n">
        <x:f>'05_建設仮勘定・企業債'!K41</x:f>
        <x:v>8655</x:v>
      </x:c>
    </x:row>
    <x:row r="66">
      <x:c r="A66" s="55" t="str">
        <x:v>支払利息増加</x:v>
      </x:c>
      <x:c r="B66" s="56" t="n">
        <x:f>'05_建設仮勘定・企業債'!B44</x:f>
        <x:v>0</x:v>
      </x:c>
      <x:c r="C66" s="56" t="n">
        <x:f>'05_建設仮勘定・企業債'!C44</x:f>
        <x:v>0</x:v>
      </x:c>
      <x:c r="D66" s="56" t="n">
        <x:f>'05_建設仮勘定・企業債'!D44</x:f>
        <x:v>0</x:v>
      </x:c>
      <x:c r="E66" s="56" t="n">
        <x:f>'05_建設仮勘定・企業債'!E44</x:f>
        <x:v>3582</x:v>
      </x:c>
      <x:c r="F66" s="56" t="n">
        <x:f>'05_建設仮勘定・企業債'!F44</x:f>
        <x:v>3492</x:v>
      </x:c>
      <x:c r="G66" s="56" t="n">
        <x:f>'05_建設仮勘定・企業債'!G44</x:f>
        <x:v>3402</x:v>
      </x:c>
      <x:c r="H66" s="56" t="n">
        <x:f>'05_建設仮勘定・企業債'!H44</x:f>
        <x:v>3313</x:v>
      </x:c>
      <x:c r="I66" s="56" t="n">
        <x:f>'05_建設仮勘定・企業債'!I44</x:f>
        <x:v>3223</x:v>
      </x:c>
      <x:c r="J66" s="56" t="n">
        <x:f>'05_建設仮勘定・企業債'!J44</x:f>
        <x:v>3134</x:v>
      </x:c>
      <x:c r="K66" s="56" t="n">
        <x:f>'05_建設仮勘定・企業債'!K44</x:f>
        <x:v>3044</x:v>
      </x:c>
    </x:row>
    <x:row r="67">
      <x:c r="A67" s="55" t="str">
        <x:v>企業債元金償還増加</x:v>
      </x:c>
      <x:c r="B67" s="56" t="n">
        <x:f>'05_建設仮勘定・企業債'!B45</x:f>
        <x:v>0</x:v>
      </x:c>
      <x:c r="C67" s="56" t="n">
        <x:f>'05_建設仮勘定・企業債'!C45</x:f>
        <x:v>0</x:v>
      </x:c>
      <x:c r="D67" s="56" t="n">
        <x:f>'05_建設仮勘定・企業債'!D45</x:f>
        <x:v>0</x:v>
      </x:c>
      <x:c r="E67" s="56" t="n">
        <x:f>'05_建設仮勘定・企業債'!E45</x:f>
        <x:v>2985</x:v>
      </x:c>
      <x:c r="F67" s="56" t="n">
        <x:f>'05_建設仮勘定・企業債'!F45</x:f>
        <x:v>2985</x:v>
      </x:c>
      <x:c r="G67" s="56" t="n">
        <x:f>'05_建設仮勘定・企業債'!G45</x:f>
        <x:v>2985</x:v>
      </x:c>
      <x:c r="H67" s="56" t="n">
        <x:f>'05_建設仮勘定・企業債'!H45</x:f>
        <x:v>2985</x:v>
      </x:c>
      <x:c r="I67" s="56" t="n">
        <x:f>'05_建設仮勘定・企業債'!I45</x:f>
        <x:v>2985</x:v>
      </x:c>
      <x:c r="J67" s="56" t="n">
        <x:f>'05_建設仮勘定・企業債'!J45</x:f>
        <x:v>2985</x:v>
      </x:c>
      <x:c r="K67" s="56" t="n">
        <x:f>'05_建設仮勘定・企業債'!K45</x:f>
        <x:v>2985</x:v>
      </x:c>
    </x:row>
    <x:row r="68">
      <x:c r="A68" s="55" t="str">
        <x:v>3条純損益影響</x:v>
      </x:c>
      <x:c r="B68" s="56" t="n">
        <x:f>B64-B65+B66</x:f>
        <x:v>0</x:v>
      </x:c>
      <x:c r="C68" s="56" t="n">
        <x:f>C64-C65+C66</x:f>
        <x:v>0</x:v>
      </x:c>
      <x:c r="D68" s="56" t="n">
        <x:f>D64-D65+D66</x:f>
        <x:v>0</x:v>
      </x:c>
      <x:c r="E68" s="56" t="n">
        <x:f>E64-E65+E66</x:f>
        <x:v>6566</x:v>
      </x:c>
      <x:c r="F68" s="56" t="n">
        <x:f>F64-F65+F66</x:f>
        <x:v>6476</x:v>
      </x:c>
      <x:c r="G68" s="56" t="n">
        <x:f>G64-G65+G66</x:f>
        <x:v>6386</x:v>
      </x:c>
      <x:c r="H68" s="56" t="n">
        <x:f>H64-H65+H66</x:f>
        <x:v>6297</x:v>
      </x:c>
      <x:c r="I68" s="56" t="n">
        <x:f>I64-I65+I66</x:f>
        <x:v>6207</x:v>
      </x:c>
      <x:c r="J68" s="56" t="n">
        <x:f>J64-J65+J66</x:f>
        <x:v>6118</x:v>
      </x:c>
      <x:c r="K68" s="56" t="n">
        <x:f>K64-K65+K66</x:f>
        <x:v>6028</x:v>
      </x:c>
    </x:row>
    <x:row r="69">
      <x:c r="A69" s="55" t="str">
        <x:v>現金支出影響</x:v>
      </x:c>
      <x:c r="B69" s="56" t="n">
        <x:f>B66+B67</x:f>
        <x:v>0</x:v>
      </x:c>
      <x:c r="C69" s="56" t="n">
        <x:f>C66+C67</x:f>
        <x:v>0</x:v>
      </x:c>
      <x:c r="D69" s="56" t="n">
        <x:f>D66+D67</x:f>
        <x:v>0</x:v>
      </x:c>
      <x:c r="E69" s="56" t="n">
        <x:f>E66+E67</x:f>
        <x:v>6567</x:v>
      </x:c>
      <x:c r="F69" s="56" t="n">
        <x:f>F66+F67</x:f>
        <x:v>6477</x:v>
      </x:c>
      <x:c r="G69" s="56" t="n">
        <x:f>G66+G67</x:f>
        <x:v>6387</x:v>
      </x:c>
      <x:c r="H69" s="56" t="n">
        <x:f>H66+H67</x:f>
        <x:v>6298</x:v>
      </x:c>
      <x:c r="I69" s="56" t="n">
        <x:f>I66+I67</x:f>
        <x:v>6208</x:v>
      </x:c>
      <x:c r="J69" s="56" t="n">
        <x:f>J66+J67</x:f>
        <x:v>6119</x:v>
      </x:c>
      <x:c r="K69" s="56" t="n">
        <x:f>K66+K67</x:f>
        <x:v>6029</x:v>
      </x:c>
    </x:row>
    <x:row r="70">
      <x:c r="A70" s="55" t="str">
        <x:v>年度末現預金残高（精緻化後参考）</x:v>
      </x:c>
      <x:c r="B70" s="56" t="e">
        <x:f>B59-B69</x:f>
        <x:v>#NAME?</x:v>
      </x:c>
      <x:c r="C70" s="56" t="e">
        <x:f>C59-SUM($B$69:C69)</x:f>
        <x:v>#NAME?</x:v>
      </x:c>
      <x:c r="D70" s="56" t="e">
        <x:f>D59-SUM($B$69:D69)</x:f>
        <x:v>#NAME?</x:v>
      </x:c>
      <x:c r="E70" s="56" t="e">
        <x:f>E59-SUM($B$69:E69)</x:f>
        <x:v>#NAME?</x:v>
      </x:c>
      <x:c r="F70" s="56" t="e">
        <x:f>F59-SUM($B$69:F69)</x:f>
        <x:v>#NAME?</x:v>
      </x:c>
      <x:c r="G70" s="56" t="e">
        <x:f>G59-SUM($B$69:G69)</x:f>
        <x:v>#NAME?</x:v>
      </x:c>
      <x:c r="H70" s="56" t="e">
        <x:f>H59-SUM($B$69:H69)</x:f>
        <x:v>#NAME?</x:v>
      </x:c>
      <x:c r="I70" s="56" t="e">
        <x:f>I59-SUM($B$69:I69)</x:f>
        <x:v>#NAME?</x:v>
      </x:c>
      <x:c r="J70" s="56" t="e">
        <x:f>J59-SUM($B$69:J69)</x:f>
        <x:v>#NAME?</x:v>
      </x:c>
      <x:c r="K70" s="56" t="e">
        <x:f>K59-SUM($B$69:K69)</x:f>
        <x:v>#NAME?</x:v>
      </x:c>
    </x:row>
  </x:sheetData>
  <x:mergeCells>
    <x:mergeCell ref="A1:K1"/>
    <x:mergeCell ref="A2:K2"/>
    <x:mergeCell ref="A62:K62"/>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21.5" hidden="0" customWidth="1"/>
    <x:col min="2" max="2" width="18" hidden="0" customWidth="1"/>
    <x:col min="3" max="3" width="14" hidden="0" customWidth="1"/>
    <x:col min="4" max="4" width="42" hidden="0" customWidth="1"/>
    <x:col min="5" max="5" width="12" hidden="0" customWidth="1"/>
    <x:col min="6" max="6" width="9.880000114440918" hidden="0" customWidth="1"/>
    <x:col min="7" max="7" width="9.880000114440918" hidden="0" customWidth="1"/>
    <x:col min="8" max="8" width="27.75" hidden="0" customWidth="1"/>
    <x:col min="9" max="9" width="9.880000114440918" hidden="0" customWidth="1"/>
    <x:col min="10" max="10" width="9.880000114440918" hidden="0" customWidth="1"/>
    <x:col min="11" max="11" width="9.880000114440918" hidden="0" customWidth="1"/>
  </x:cols>
  <x:sheetData>
    <x:row r="1">
      <x:c r="A1" s="49" t="str">
        <x:v>建設仮勘定・長期前受金・追加企業債 精緻化</x:v>
      </x:c>
      <x:c r="B1" s="49"/>
      <x:c r="C1" s="49"/>
      <x:c r="D1" s="49"/>
      <x:c r="E1" s="49"/>
      <x:c r="F1" s="49"/>
      <x:c r="G1" s="49"/>
      <x:c r="H1" s="49"/>
      <x:c r="I1" s="49"/>
      <x:c r="J1" s="49"/>
      <x:c r="K1" s="49"/>
    </x:row>
    <x:row r="2">
      <x:c r="A2" t="str">
        <x:v>令和9年度末供用開始、令和10年度から40年償却。金額は円単位、SIM参照行では千円換算。</x:v>
      </x:c>
    </x:row>
    <x:row r="4">
      <x:c r="A4" s="54" t="str">
        <x:v>年度</x:v>
      </x:c>
      <x:c r="B4" s="54" t="str">
        <x:v>事業名</x:v>
      </x:c>
      <x:c r="C4" s="54" t="str">
        <x:v>税込金額</x:v>
      </x:c>
      <x:c r="D4" s="54" t="str">
        <x:v>供用開始</x:v>
      </x:c>
      <x:c r="E4" s="54" t="str">
        <x:v>耐用年数</x:v>
      </x:c>
      <x:c r="G4" s="54" t="str">
        <x:v>区分</x:v>
      </x:c>
      <x:c r="H4" s="54" t="str">
        <x:v>内容</x:v>
      </x:c>
      <x:c r="I4" s="54" t="str">
        <x:v>金額</x:v>
      </x:c>
    </x:row>
    <x:row r="5">
      <x:c r="A5" s="55" t="str">
        <x:v>令和5年度</x:v>
      </x:c>
      <x:c r="B5" s="55" t="str">
        <x:v>大湊BP配水管仮設工事</x:v>
      </x:c>
      <x:c r="C5" s="56" t="n">
        <x:v>87359553</x:v>
      </x:c>
      <x:c r="D5" s="55" t="str">
        <x:v>令和9年度末</x:v>
      </x:c>
      <x:c r="E5" s="55" t="n">
        <x:v>40</x:v>
      </x:c>
      <x:c r="G5" s="55" t="str">
        <x:v>令和7年度末</x:v>
      </x:c>
      <x:c r="H5" s="55" t="str">
        <x:v>工事負担金</x:v>
      </x:c>
      <x:c r="I5" s="56" t="n">
        <x:v>101870654</x:v>
      </x:c>
    </x:row>
    <x:row r="6">
      <x:c r="A6" s="55" t="str">
        <x:v>令和5年度</x:v>
      </x:c>
      <x:c r="B6" s="55" t="str">
        <x:v>大湊BP既設配水管撤去工事</x:v>
      </x:c>
      <x:c r="C6" s="56" t="n">
        <x:v>10595699</x:v>
      </x:c>
      <x:c r="D6" s="55" t="str">
        <x:v>令和9年度末</x:v>
      </x:c>
      <x:c r="E6" s="55" t="n">
        <x:v>40</x:v>
      </x:c>
      <x:c r="G6" s="55" t="str">
        <x:v>令和7年度末</x:v>
      </x:c>
      <x:c r="H6" s="55" t="str">
        <x:v>工事負担金</x:v>
      </x:c>
      <x:c r="I6" s="56" t="n">
        <x:v>122589239</x:v>
      </x:c>
    </x:row>
    <x:row r="7">
      <x:c r="A7" s="55" t="str">
        <x:v>令和5年度</x:v>
      </x:c>
      <x:c r="B7" s="55" t="str">
        <x:v>大湊BP仮設配水管維持工事</x:v>
      </x:c>
      <x:c r="C7" s="56" t="n">
        <x:v>4616384</x:v>
      </x:c>
      <x:c r="D7" s="55" t="str">
        <x:v>令和9年度末</x:v>
      </x:c>
      <x:c r="E7" s="55" t="n">
        <x:v>40</x:v>
      </x:c>
      <x:c r="G7" s="55" t="str">
        <x:v>令和8年度</x:v>
      </x:c>
      <x:c r="H7" s="55" t="str">
        <x:v>大湊BPⅡ期工事（１工区）県補償金</x:v>
      </x:c>
      <x:c r="I7" s="56" t="n">
        <x:v>62694000</x:v>
      </x:c>
    </x:row>
    <x:row r="8">
      <x:c r="A8" s="55" t="str">
        <x:v>令和5年度</x:v>
      </x:c>
      <x:c r="B8" s="55" t="str">
        <x:v>大湊BP設計業務委託（非控除消費税相当額）</x:v>
      </x:c>
      <x:c r="C8" s="56" t="n">
        <x:v>386641</x:v>
      </x:c>
      <x:c r="D8" s="55" t="str">
        <x:v>令和9年度末</x:v>
      </x:c>
      <x:c r="E8" s="55" t="n">
        <x:v>40</x:v>
      </x:c>
      <x:c r="G8" s="55" t="str">
        <x:v>令和8年度</x:v>
      </x:c>
      <x:c r="H8" s="55" t="str">
        <x:v>大湊BPⅡ期工事（２工区）県補償金</x:v>
      </x:c>
      <x:c r="I8" s="56" t="n">
        <x:v>59031000</x:v>
      </x:c>
    </x:row>
    <x:row r="9">
      <x:c r="A9" s="55" t="str">
        <x:v>令和6年度</x:v>
      </x:c>
      <x:c r="B9" s="55" t="str">
        <x:v>大湊BP仮設配水管維持工事</x:v>
      </x:c>
      <x:c r="C9" s="56" t="n">
        <x:v>3500000</x:v>
      </x:c>
      <x:c r="D9" s="55" t="str">
        <x:v>令和9年度末</x:v>
      </x:c>
      <x:c r="E9" s="55" t="n">
        <x:v>40</x:v>
      </x:c>
    </x:row>
    <x:row r="10">
      <x:c r="A10" s="55" t="str">
        <x:v>令和6年度</x:v>
      </x:c>
      <x:c r="B10" s="55" t="str">
        <x:v>大湊BPⅡ期（第２工区）配水管移設設計業務委託</x:v>
      </x:c>
      <x:c r="C10" s="56" t="n">
        <x:v>13600000</x:v>
      </x:c>
      <x:c r="D10" s="55" t="str">
        <x:v>令和9年度末</x:v>
      </x:c>
      <x:c r="E10" s="55" t="n">
        <x:v>40</x:v>
      </x:c>
    </x:row>
    <x:row r="11">
      <x:c r="A11" s="55" t="str">
        <x:v>令和7年度</x:v>
      </x:c>
      <x:c r="B11" s="55" t="str">
        <x:v>大湊BP仮設配水管維持工事</x:v>
      </x:c>
      <x:c r="C11" s="56" t="n">
        <x:v>3850000</x:v>
      </x:c>
      <x:c r="D11" s="55" t="str">
        <x:v>令和9年度末</x:v>
      </x:c>
      <x:c r="E11" s="55" t="n">
        <x:v>40</x:v>
      </x:c>
    </x:row>
    <x:row r="12">
      <x:c r="A12" s="55" t="str">
        <x:v>令和7年度</x:v>
      </x:c>
      <x:c r="B12" s="55" t="str">
        <x:v>大湊BP（２工区）仮設配水管維持工事</x:v>
      </x:c>
      <x:c r="C12" s="56" t="n">
        <x:v>4070000</x:v>
      </x:c>
      <x:c r="D12" s="55" t="str">
        <x:v>令和9年度末</x:v>
      </x:c>
      <x:c r="E12" s="55" t="n">
        <x:v>40</x:v>
      </x:c>
    </x:row>
    <x:row r="13">
      <x:c r="A13" s="55" t="str">
        <x:v>令和7年度</x:v>
      </x:c>
      <x:c r="B13" s="55" t="str">
        <x:v>大湊BPⅡ期（２工区）配水管切廻し工事（第三工区）</x:v>
      </x:c>
      <x:c r="C13" s="56" t="n">
        <x:v>45353000</x:v>
      </x:c>
      <x:c r="D13" s="55" t="str">
        <x:v>令和9年度末</x:v>
      </x:c>
      <x:c r="E13" s="55" t="n">
        <x:v>40</x:v>
      </x:c>
    </x:row>
    <x:row r="14">
      <x:c r="A14" s="55" t="str">
        <x:v>令和7年度</x:v>
      </x:c>
      <x:c r="B14" s="55" t="str">
        <x:v>大湊BPⅡ期（２工区）仮設配水管設置工事</x:v>
      </x:c>
      <x:c r="C14" s="56" t="n">
        <x:v>63195000</x:v>
      </x:c>
      <x:c r="D14" s="55" t="str">
        <x:v>令和9年度末</x:v>
      </x:c>
      <x:c r="E14" s="55" t="n">
        <x:v>40</x:v>
      </x:c>
    </x:row>
    <x:row r="15">
      <x:c r="A15" s="55" t="str">
        <x:v>令和8年度</x:v>
      </x:c>
      <x:c r="B15" s="55" t="str">
        <x:v>大湊BPⅡ期工事（１工区）配水管切廻し工事</x:v>
      </x:c>
      <x:c r="C15" s="56" t="n">
        <x:v>116809000</x:v>
      </x:c>
      <x:c r="D15" s="55" t="str">
        <x:v>令和9年度末</x:v>
      </x:c>
      <x:c r="E15" s="55" t="n">
        <x:v>40</x:v>
      </x:c>
    </x:row>
    <x:row r="16">
      <x:c r="A16" s="55" t="str">
        <x:v>令和8年度</x:v>
      </x:c>
      <x:c r="B16" s="55" t="str">
        <x:v>大湊BPⅡ期工事（２工区）配水管切廻し工事（第一工区）</x:v>
      </x:c>
      <x:c r="C16" s="56" t="n">
        <x:v>9988000</x:v>
      </x:c>
      <x:c r="D16" s="55" t="str">
        <x:v>令和9年度末</x:v>
      </x:c>
      <x:c r="E16" s="55" t="n">
        <x:v>40</x:v>
      </x:c>
    </x:row>
    <x:row r="17">
      <x:c r="A17" s="55" t="str">
        <x:v>令和8年度</x:v>
      </x:c>
      <x:c r="B17" s="55" t="str">
        <x:v>大湊BPⅡ期工事（２工区）配水管切廻し工事（第二工区）</x:v>
      </x:c>
      <x:c r="C17" s="56" t="n">
        <x:v>30767000</x:v>
      </x:c>
      <x:c r="D17" s="55" t="str">
        <x:v>令和9年度末</x:v>
      </x:c>
      <x:c r="E17" s="55" t="n">
        <x:v>40</x:v>
      </x:c>
    </x:row>
    <x:row r="18">
      <x:c r="A18" s="55" t="str">
        <x:v>令和8年度</x:v>
      </x:c>
      <x:c r="B18" s="55" t="str">
        <x:v>大湊BPⅡ期工事（２工区）配水管切廻し工事（第四工区）</x:v>
      </x:c>
      <x:c r="C18" s="56" t="n">
        <x:v>31790000</x:v>
      </x:c>
      <x:c r="D18" s="55" t="str">
        <x:v>令和9年度末</x:v>
      </x:c>
      <x:c r="E18" s="55" t="n">
        <x:v>40</x:v>
      </x:c>
    </x:row>
    <x:row r="19">
      <x:c r="A19" s="55" t="str">
        <x:v>令和8年度</x:v>
      </x:c>
      <x:c r="B19" s="55" t="str">
        <x:v>大湊BPⅡ期工事（２工区）配水管切廻し工事（第五工区）</x:v>
      </x:c>
      <x:c r="C19" s="56" t="n">
        <x:v>7656000</x:v>
      </x:c>
      <x:c r="D19" s="55" t="str">
        <x:v>令和9年度末</x:v>
      </x:c>
      <x:c r="E19" s="55" t="n">
        <x:v>40</x:v>
      </x:c>
    </x:row>
    <x:row r="20">
      <x:c r="A20" s="55" t="str">
        <x:v>令和8年度</x:v>
      </x:c>
      <x:c r="B20" s="55" t="str">
        <x:v>大湊BPⅡ期工事（２工区）配水管切廻し工事（第六工区）</x:v>
      </x:c>
      <x:c r="C20" s="56" t="n">
        <x:v>17622000</x:v>
      </x:c>
      <x:c r="D20" s="55" t="str">
        <x:v>令和9年度末</x:v>
      </x:c>
      <x:c r="E20" s="55" t="n">
        <x:v>40</x:v>
      </x:c>
    </x:row>
    <x:row r="21">
      <x:c r="A21" s="55" t="str">
        <x:v>令和8年度</x:v>
      </x:c>
      <x:c r="B21" s="55" t="str">
        <x:v>大湊BPⅡ期工事（１工区）仮設管維持工事</x:v>
      </x:c>
      <x:c r="C21" s="56" t="n">
        <x:v>4290000</x:v>
      </x:c>
      <x:c r="D21" s="55" t="str">
        <x:v>令和9年度末</x:v>
      </x:c>
      <x:c r="E21" s="55" t="n">
        <x:v>40</x:v>
      </x:c>
    </x:row>
    <x:row r="22">
      <x:c r="A22" s="55" t="str">
        <x:v>令和8年度</x:v>
      </x:c>
      <x:c r="B22" s="55" t="str">
        <x:v>大湊BPⅡ期工事（２工区）仮設管維持工事</x:v>
      </x:c>
      <x:c r="C22" s="56" t="n">
        <x:v>10120000</x:v>
      </x:c>
      <x:c r="D22" s="55" t="str">
        <x:v>令和9年度末</x:v>
      </x:c>
      <x:c r="E22" s="55" t="n">
        <x:v>40</x:v>
      </x:c>
    </x:row>
    <x:row r="25">
      <x:c r="A25" s="58" t="str">
        <x:v>集計</x:v>
      </x:c>
      <x:c r="B25" s="58"/>
      <x:c r="D25" s="58" t="str">
        <x:v>追加企業債の前提（利率は必要に応じて実際条件へ置換）</x:v>
      </x:c>
      <x:c r="E25" s="58"/>
      <x:c r="F25" s="58"/>
      <x:c r="G25" s="58"/>
      <x:c r="H25" s="58"/>
      <x:c r="I25" s="58"/>
    </x:row>
    <x:row r="26">
      <x:c r="A26" s="54" t="str">
        <x:v>項目</x:v>
      </x:c>
      <x:c r="B26" s="54" t="str">
        <x:v>金額・率</x:v>
      </x:c>
      <x:c r="D26" s="54" t="str">
        <x:v>借入区分</x:v>
      </x:c>
      <x:c r="E26" s="54" t="str">
        <x:v>内容</x:v>
      </x:c>
      <x:c r="F26" s="54" t="str">
        <x:v>借入額</x:v>
      </x:c>
      <x:c r="G26" s="54" t="str">
        <x:v>利率</x:v>
      </x:c>
      <x:c r="H26" s="54" t="str">
        <x:v>償還年数</x:v>
      </x:c>
      <x:c r="I26" s="54" t="str">
        <x:v>償還開始</x:v>
      </x:c>
    </x:row>
    <x:row r="27">
      <x:c r="A27" s="55" t="str">
        <x:v>建設仮勘定対象事業 合計</x:v>
      </x:c>
      <x:c r="B27" s="56" t="n">
        <x:f>SUM(C5:C22)</x:f>
        <x:v>465568277</x:v>
      </x:c>
      <x:c r="D27" s="55" t="str">
        <x:v>令和7年度以前分</x:v>
      </x:c>
      <x:c r="E27" s="55" t="str">
        <x:v>令和5-7年度事業から令和7年度末工事負担金等を控除した純額</x:v>
      </x:c>
      <x:c r="F27" s="56" t="n">
        <x:f>MAX(0,$B$30-$B$31)</x:f>
        <x:v>12066384</x:v>
      </x:c>
      <x:c r="G27" s="59" t="n">
        <x:v>0.03</x:v>
      </x:c>
      <x:c r="H27" s="55" t="n">
        <x:v>40</x:v>
      </x:c>
      <x:c r="I27" s="55" t="str">
        <x:v>令和10年度</x:v>
      </x:c>
    </x:row>
    <x:row r="28">
      <x:c r="A28" s="55" t="str">
        <x:v>建設仮勘定長期前受金等 合計</x:v>
      </x:c>
      <x:c r="B28" s="56" t="n">
        <x:f>SUM(I5:I8)</x:f>
        <x:v>346184893</x:v>
      </x:c>
      <x:c r="D28" s="55" t="str">
        <x:v>令和8年度分</x:v>
      </x:c>
      <x:c r="E28" s="55" t="str">
        <x:v>令和8年度事業から令和8年度県補償金等を控除した純額</x:v>
      </x:c>
      <x:c r="F28" s="56" t="n">
        <x:f>MAX(0,$B$32-$B$33)</x:f>
        <x:v>107317000</x:v>
      </x:c>
      <x:c r="G28" s="59" t="n">
        <x:v>0.03</x:v>
      </x:c>
      <x:c r="H28" s="55" t="n">
        <x:v>40</x:v>
      </x:c>
      <x:c r="I28" s="55" t="str">
        <x:v>令和10年度</x:v>
      </x:c>
    </x:row>
    <x:row r="29">
      <x:c r="A29" s="55" t="str">
        <x:v>純額（追加企業債対象額）</x:v>
      </x:c>
      <x:c r="B29" s="56" t="n">
        <x:f>B27-B28</x:f>
        <x:v>119383384</x:v>
      </x:c>
    </x:row>
    <x:row r="30">
      <x:c r="A30" s="55" t="str">
        <x:v>令和5-7年度事業 合計</x:v>
      </x:c>
      <x:c r="B30" s="56" t="n">
        <x:f>SUMIF(A5:A22,"&lt;&gt;令和8年度",C5:C22)</x:f>
        <x:v>236526277</x:v>
      </x:c>
    </x:row>
    <x:row r="31">
      <x:c r="A31" s="55" t="str">
        <x:v>令和7年度末工事負担金等</x:v>
      </x:c>
      <x:c r="B31" s="56" t="n">
        <x:f>SUM(I5:I6)</x:f>
        <x:v>224459893</x:v>
      </x:c>
    </x:row>
    <x:row r="32">
      <x:c r="A32" s="55" t="str">
        <x:v>令和8年度事業 合計</x:v>
      </x:c>
      <x:c r="B32" s="56" t="n">
        <x:f>SUMIF(A5:A22,"令和8年度",C5:C22)</x:f>
        <x:v>229042000</x:v>
      </x:c>
    </x:row>
    <x:row r="33">
      <x:c r="A33" s="55" t="str">
        <x:v>令和8年度県補償金等</x:v>
      </x:c>
      <x:c r="B33" s="56" t="n">
        <x:f>SUM(I7:I8)</x:f>
        <x:v>121725000</x:v>
      </x:c>
    </x:row>
    <x:row r="34">
      <x:c r="A34" s="55" t="str">
        <x:v>年額減価償却費</x:v>
      </x:c>
      <x:c r="B34" s="56" t="n">
        <x:f>B27/40</x:f>
        <x:v>11639206.925</x:v>
      </x:c>
    </x:row>
    <x:row r="35">
      <x:c r="A35" s="55" t="str">
        <x:v>年額長期前受金戻入</x:v>
      </x:c>
      <x:c r="B35" s="56" t="n">
        <x:f>B28/40</x:f>
        <x:v>8654622.325</x:v>
      </x:c>
    </x:row>
    <x:row r="36">
      <x:c r="A36" s="55" t="str">
        <x:v>年額純費用影響</x:v>
      </x:c>
      <x:c r="B36" s="56" t="n">
        <x:f>B34-B35</x:f>
        <x:v>2984584.6000000015</x:v>
      </x:c>
    </x:row>
    <x:row r="39">
      <x:c r="A39" s="54" t="str">
        <x:v>年度</x:v>
      </x:c>
      <x:c r="B39" s="54" t="str">
        <x:v>令和7年度</x:v>
      </x:c>
      <x:c r="C39" s="54" t="str">
        <x:v>令和8年度</x:v>
      </x:c>
      <x:c r="D39" s="54" t="str">
        <x:v>令和9年度</x:v>
      </x:c>
      <x:c r="E39" s="54" t="str">
        <x:v>令和10年度</x:v>
      </x:c>
      <x:c r="F39" s="54" t="str">
        <x:v>令和11年度</x:v>
      </x:c>
      <x:c r="G39" s="54" t="str">
        <x:v>令和12年度</x:v>
      </x:c>
      <x:c r="H39" s="54" t="str">
        <x:v>令和13年度</x:v>
      </x:c>
      <x:c r="I39" s="54" t="str">
        <x:v>令和14年度</x:v>
      </x:c>
      <x:c r="J39" s="54" t="str">
        <x:v>令和15年度</x:v>
      </x:c>
      <x:c r="K39" s="54" t="str">
        <x:v>令和16年度</x:v>
      </x:c>
    </x:row>
    <x:row r="40">
      <x:c r="A40" s="55" t="str">
        <x:v>減価償却費増加（千円）</x:v>
      </x:c>
      <x:c r="B40" s="56" t="n">
        <x:f>0</x:f>
        <x:v>0</x:v>
      </x:c>
      <x:c r="C40" s="56" t="n">
        <x:f>0</x:f>
        <x:v>0</x:v>
      </x:c>
      <x:c r="D40" s="56" t="n">
        <x:f>0</x:f>
        <x:v>0</x:v>
      </x:c>
      <x:c r="E40" s="56" t="n">
        <x:f>ROUND($B$34/1000,0)</x:f>
        <x:v>11639</x:v>
      </x:c>
      <x:c r="F40" s="56" t="n">
        <x:f>ROUND($B$34/1000,0)</x:f>
        <x:v>11639</x:v>
      </x:c>
      <x:c r="G40" s="56" t="n">
        <x:f>ROUND($B$34/1000,0)</x:f>
        <x:v>11639</x:v>
      </x:c>
      <x:c r="H40" s="56" t="n">
        <x:f>ROUND($B$34/1000,0)</x:f>
        <x:v>11639</x:v>
      </x:c>
      <x:c r="I40" s="56" t="n">
        <x:f>ROUND($B$34/1000,0)</x:f>
        <x:v>11639</x:v>
      </x:c>
      <x:c r="J40" s="56" t="n">
        <x:f>ROUND($B$34/1000,0)</x:f>
        <x:v>11639</x:v>
      </x:c>
      <x:c r="K40" s="56" t="n">
        <x:f>ROUND($B$34/1000,0)</x:f>
        <x:v>11639</x:v>
      </x:c>
    </x:row>
    <x:row r="41">
      <x:c r="A41" s="55" t="str">
        <x:v>長期前受金戻入増加（千円）</x:v>
      </x:c>
      <x:c r="B41" s="56" t="n">
        <x:f>0</x:f>
        <x:v>0</x:v>
      </x:c>
      <x:c r="C41" s="56" t="n">
        <x:f>0</x:f>
        <x:v>0</x:v>
      </x:c>
      <x:c r="D41" s="56" t="n">
        <x:f>0</x:f>
        <x:v>0</x:v>
      </x:c>
      <x:c r="E41" s="56" t="n">
        <x:f>ROUND($B$35/1000,0)</x:f>
        <x:v>8655</x:v>
      </x:c>
      <x:c r="F41" s="56" t="n">
        <x:f>ROUND($B$35/1000,0)</x:f>
        <x:v>8655</x:v>
      </x:c>
      <x:c r="G41" s="56" t="n">
        <x:f>ROUND($B$35/1000,0)</x:f>
        <x:v>8655</x:v>
      </x:c>
      <x:c r="H41" s="56" t="n">
        <x:f>ROUND($B$35/1000,0)</x:f>
        <x:v>8655</x:v>
      </x:c>
      <x:c r="I41" s="56" t="n">
        <x:f>ROUND($B$35/1000,0)</x:f>
        <x:v>8655</x:v>
      </x:c>
      <x:c r="J41" s="56" t="n">
        <x:f>ROUND($B$35/1000,0)</x:f>
        <x:v>8655</x:v>
      </x:c>
      <x:c r="K41" s="56" t="n">
        <x:f>ROUND($B$35/1000,0)</x:f>
        <x:v>8655</x:v>
      </x:c>
    </x:row>
    <x:row r="42">
      <x:c r="A42" s="55" t="str">
        <x:v>純費用影響（千円）</x:v>
      </x:c>
      <x:c r="B42" s="56" t="n">
        <x:f>B40-B41</x:f>
        <x:v>0</x:v>
      </x:c>
      <x:c r="C42" s="56" t="n">
        <x:f>C40-C41</x:f>
        <x:v>0</x:v>
      </x:c>
      <x:c r="D42" s="56" t="n">
        <x:f>D40-D41</x:f>
        <x:v>0</x:v>
      </x:c>
      <x:c r="E42" s="56" t="n">
        <x:f>E40-E41</x:f>
        <x:v>2984</x:v>
      </x:c>
      <x:c r="F42" s="56" t="n">
        <x:f>F40-F41</x:f>
        <x:v>2984</x:v>
      </x:c>
      <x:c r="G42" s="56" t="n">
        <x:f>G40-G41</x:f>
        <x:v>2984</x:v>
      </x:c>
      <x:c r="H42" s="56" t="n">
        <x:f>H40-H41</x:f>
        <x:v>2984</x:v>
      </x:c>
      <x:c r="I42" s="56" t="n">
        <x:f>I40-I41</x:f>
        <x:v>2984</x:v>
      </x:c>
      <x:c r="J42" s="56" t="n">
        <x:f>J40-J41</x:f>
        <x:v>2984</x:v>
      </x:c>
      <x:c r="K42" s="56" t="n">
        <x:f>K40-K41</x:f>
        <x:v>2984</x:v>
      </x:c>
    </x:row>
    <x:row r="43">
      <x:c r="A43" s="55" t="str">
        <x:v>追加企業債残高（円）</x:v>
      </x:c>
      <x:c r="B43" s="56" t="n">
        <x:f>0</x:f>
        <x:v>0</x:v>
      </x:c>
      <x:c r="C43" s="56" t="n">
        <x:f>0</x:f>
        <x:v>0</x:v>
      </x:c>
      <x:c r="D43" s="56" t="n">
        <x:f>0</x:f>
        <x:v>0</x:v>
      </x:c>
      <x:c r="E43" s="56" t="n">
        <x:f>SUM($F$27:$F$28)</x:f>
        <x:v>119383384</x:v>
      </x:c>
      <x:c r="F43" s="56" t="n">
        <x:f>MAX(0,E43-E45*1000)</x:f>
        <x:v>116398384</x:v>
      </x:c>
      <x:c r="G43" s="56" t="n">
        <x:f>MAX(0,F43-F45*1000)</x:f>
        <x:v>113413384</x:v>
      </x:c>
      <x:c r="H43" s="56" t="n">
        <x:f>MAX(0,G43-G45*1000)</x:f>
        <x:v>110428384</x:v>
      </x:c>
      <x:c r="I43" s="56" t="n">
        <x:f>MAX(0,H43-H45*1000)</x:f>
        <x:v>107443384</x:v>
      </x:c>
      <x:c r="J43" s="56" t="n">
        <x:f>MAX(0,I43-I45*1000)</x:f>
        <x:v>104458384</x:v>
      </x:c>
      <x:c r="K43" s="56" t="n">
        <x:f>MAX(0,J43-J45*1000)</x:f>
        <x:v>101473384</x:v>
      </x:c>
    </x:row>
    <x:row r="44">
      <x:c r="A44" s="55" t="str">
        <x:v>支払利息増加（千円）</x:v>
      </x:c>
      <x:c r="B44" s="56" t="n">
        <x:f>0</x:f>
        <x:v>0</x:v>
      </x:c>
      <x:c r="C44" s="56" t="n">
        <x:f>0</x:f>
        <x:v>0</x:v>
      </x:c>
      <x:c r="D44" s="56" t="n">
        <x:f>0</x:f>
        <x:v>0</x:v>
      </x:c>
      <x:c r="E44" s="56" t="n">
        <x:f>ROUND(SUMPRODUCT($F$27:$F$28,$G$27:$G$28)/1000,0)</x:f>
        <x:v>3582</x:v>
      </x:c>
      <x:c r="F44" s="56" t="n">
        <x:f>ROUND(F43*AVERAGE($G$27:$G$28)/1000,0)</x:f>
        <x:v>3492</x:v>
      </x:c>
      <x:c r="G44" s="56" t="n">
        <x:f>ROUND(G43*AVERAGE($G$27:$G$28)/1000,0)</x:f>
        <x:v>3402</x:v>
      </x:c>
      <x:c r="H44" s="56" t="n">
        <x:f>ROUND(H43*AVERAGE($G$27:$G$28)/1000,0)</x:f>
        <x:v>3313</x:v>
      </x:c>
      <x:c r="I44" s="56" t="n">
        <x:f>ROUND(I43*AVERAGE($G$27:$G$28)/1000,0)</x:f>
        <x:v>3223</x:v>
      </x:c>
      <x:c r="J44" s="56" t="n">
        <x:f>ROUND(J43*AVERAGE($G$27:$G$28)/1000,0)</x:f>
        <x:v>3134</x:v>
      </x:c>
      <x:c r="K44" s="56" t="n">
        <x:f>ROUND(K43*AVERAGE($G$27:$G$28)/1000,0)</x:f>
        <x:v>3044</x:v>
      </x:c>
    </x:row>
    <x:row r="45">
      <x:c r="A45" s="55" t="str">
        <x:v>元金償還増加（千円）</x:v>
      </x:c>
      <x:c r="B45" s="56" t="n">
        <x:f>0</x:f>
        <x:v>0</x:v>
      </x:c>
      <x:c r="C45" s="56" t="n">
        <x:f>0</x:f>
        <x:v>0</x:v>
      </x:c>
      <x:c r="D45" s="56" t="n">
        <x:f>0</x:f>
        <x:v>0</x:v>
      </x:c>
      <x:c r="E45" s="56" t="n">
        <x:f>ROUND(SUMPRODUCT($F$27:$F$28,1/$H$27:$H$28)/1000,0)</x:f>
        <x:v>2985</x:v>
      </x:c>
      <x:c r="F45" s="56" t="n">
        <x:f>ROUND(SUMPRODUCT($F$27:$F$28,1/$H$27:$H$28)/1000,0)</x:f>
        <x:v>2985</x:v>
      </x:c>
      <x:c r="G45" s="56" t="n">
        <x:f>ROUND(SUMPRODUCT($F$27:$F$28,1/$H$27:$H$28)/1000,0)</x:f>
        <x:v>2985</x:v>
      </x:c>
      <x:c r="H45" s="56" t="n">
        <x:f>ROUND(SUMPRODUCT($F$27:$F$28,1/$H$27:$H$28)/1000,0)</x:f>
        <x:v>2985</x:v>
      </x:c>
      <x:c r="I45" s="56" t="n">
        <x:f>ROUND(SUMPRODUCT($F$27:$F$28,1/$H$27:$H$28)/1000,0)</x:f>
        <x:v>2985</x:v>
      </x:c>
      <x:c r="J45" s="56" t="n">
        <x:f>ROUND(SUMPRODUCT($F$27:$F$28,1/$H$27:$H$28)/1000,0)</x:f>
        <x:v>2985</x:v>
      </x:c>
      <x:c r="K45" s="56" t="n">
        <x:f>ROUND(SUMPRODUCT($F$27:$F$28,1/$H$27:$H$28)/1000,0)</x:f>
        <x:v>2985</x:v>
      </x:c>
    </x:row>
    <x:row r="46">
      <x:c r="A46" s="55" t="str">
        <x:v>3条純損益影響（千円）</x:v>
      </x:c>
      <x:c r="B46" s="56" t="n">
        <x:f>B40-B41+B44</x:f>
        <x:v>0</x:v>
      </x:c>
      <x:c r="C46" s="56" t="n">
        <x:f>C40-C41+C44</x:f>
        <x:v>0</x:v>
      </x:c>
      <x:c r="D46" s="56" t="n">
        <x:f>D40-D41+D44</x:f>
        <x:v>0</x:v>
      </x:c>
      <x:c r="E46" s="56" t="n">
        <x:f>E40-E41+E44</x:f>
        <x:v>6566</x:v>
      </x:c>
      <x:c r="F46" s="56" t="n">
        <x:f>F40-F41+F44</x:f>
        <x:v>6476</x:v>
      </x:c>
      <x:c r="G46" s="56" t="n">
        <x:f>G40-G41+G44</x:f>
        <x:v>6386</x:v>
      </x:c>
      <x:c r="H46" s="56" t="n">
        <x:f>H40-H41+H44</x:f>
        <x:v>6297</x:v>
      </x:c>
      <x:c r="I46" s="56" t="n">
        <x:f>I40-I41+I44</x:f>
        <x:v>6207</x:v>
      </x:c>
      <x:c r="J46" s="56" t="n">
        <x:f>J40-J41+J44</x:f>
        <x:v>6118</x:v>
      </x:c>
      <x:c r="K46" s="56" t="n">
        <x:f>K40-K41+K44</x:f>
        <x:v>6028</x:v>
      </x:c>
    </x:row>
    <x:row r="47">
      <x:c r="A47" s="55" t="str">
        <x:v>現金支出影響（千円）</x:v>
      </x:c>
      <x:c r="B47" s="56" t="n">
        <x:f>B44+B45</x:f>
        <x:v>0</x:v>
      </x:c>
      <x:c r="C47" s="56" t="n">
        <x:f>C44+C45</x:f>
        <x:v>0</x:v>
      </x:c>
      <x:c r="D47" s="56" t="n">
        <x:f>D44+D45</x:f>
        <x:v>0</x:v>
      </x:c>
      <x:c r="E47" s="56" t="n">
        <x:f>E44+E45</x:f>
        <x:v>6567</x:v>
      </x:c>
      <x:c r="F47" s="56" t="n">
        <x:f>F44+F45</x:f>
        <x:v>6477</x:v>
      </x:c>
      <x:c r="G47" s="56" t="n">
        <x:f>G44+G45</x:f>
        <x:v>6387</x:v>
      </x:c>
      <x:c r="H47" s="56" t="n">
        <x:f>H44+H45</x:f>
        <x:v>6298</x:v>
      </x:c>
      <x:c r="I47" s="56" t="n">
        <x:f>I44+I45</x:f>
        <x:v>6208</x:v>
      </x:c>
      <x:c r="J47" s="56" t="n">
        <x:f>J44+J45</x:f>
        <x:v>6119</x:v>
      </x:c>
      <x:c r="K47" s="56" t="n">
        <x:f>K44+K45</x:f>
        <x:v>6029</x:v>
      </x:c>
    </x:row>
    <x:row r="50">
      <x:c r="A50" s="62" t="str">
        <x:v>注: 本表は、いただいた建設仮勘定明細をもとにした精緻化用の追加影響表です。利率は各借入区分ごとに変更可能です。実際の起債条件が確定したらG27:G28を置換してください。</x:v>
      </x:c>
      <x:c r="B50" s="62"/>
      <x:c r="C50" s="62"/>
      <x:c r="D50" s="62"/>
      <x:c r="E50" s="62"/>
      <x:c r="F50" s="62"/>
      <x:c r="G50" s="62"/>
      <x:c r="H50" s="62"/>
      <x:c r="I50" s="62"/>
      <x:c r="J50" s="62"/>
      <x:c r="K50" s="62"/>
    </x:row>
  </x:sheetData>
  <x:mergeCells>
    <x:mergeCell ref="A1:K1"/>
    <x:mergeCell ref="A2:K2"/>
    <x:mergeCell ref="A25:B25"/>
    <x:mergeCell ref="D25:I25"/>
    <x:mergeCell ref="A50:K50"/>
  </x:mergeCells>
  <x:pageMargins left="0.7" right="0.7" top="0.75" bottom="0.75" header="0.3" footer="0.3"/>
</x:worksheet>
</file>