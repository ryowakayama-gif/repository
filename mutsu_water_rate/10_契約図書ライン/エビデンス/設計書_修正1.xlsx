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-oka\Documents\00_料金改定\20260408打合せ後\"/>
    </mc:Choice>
  </mc:AlternateContent>
  <xr:revisionPtr revIDLastSave="0" documentId="13_ncr:1_{897BD906-E2A0-4226-B1C9-6ABAB742223F}" xr6:coauthVersionLast="47" xr6:coauthVersionMax="47" xr10:uidLastSave="{00000000-0000-0000-0000-000000000000}"/>
  <bookViews>
    <workbookView xWindow="-120" yWindow="-120" windowWidth="20730" windowHeight="11040" tabRatio="887" xr2:uid="{00000000-000D-0000-FFFF-FFFF00000000}"/>
  </bookViews>
  <sheets>
    <sheet name="表紙" sheetId="92" r:id="rId1"/>
    <sheet name="総括表" sheetId="59" r:id="rId2"/>
    <sheet name="1.内訳書（設計）" sheetId="31" r:id="rId3"/>
    <sheet name="1号　設計協議等" sheetId="1" state="hidden" r:id="rId4"/>
    <sheet name="４号　現地調査" sheetId="93" state="hidden" r:id="rId5"/>
    <sheet name="５号　水管橋添架詳細設計" sheetId="86" state="hidden" r:id="rId6"/>
    <sheet name="R７　人件費単価" sheetId="32" state="hidden" r:id="rId7"/>
  </sheets>
  <externalReferences>
    <externalReference r:id="rId8"/>
  </externalReferences>
  <definedNames>
    <definedName name="_A">#REF!</definedName>
    <definedName name="_L">#REF!</definedName>
    <definedName name="_P">#REF!</definedName>
    <definedName name="_R">#REF!</definedName>
    <definedName name="_X">#REF!</definedName>
    <definedName name="a">#REF!</definedName>
    <definedName name="ＣＯＤＥ">#REF!</definedName>
    <definedName name="Cood路">#REF!</definedName>
    <definedName name="inputarea">#REF!,#REF!,#REF!,#REF!,#REF!,#REF!,#REF!,#REF!,#REF!,#REF!,#REF!,#REF!,#REF!</definedName>
    <definedName name="inputarea2">#REF!,#REF!,#REF!,#REF!,#REF!,#REF!,#REF!,#REF!,#REF!,#REF!,#REF!,#REF!,#REF!</definedName>
    <definedName name="NO">#REF!</definedName>
    <definedName name="page">#REF!</definedName>
    <definedName name="page路">#REF!</definedName>
    <definedName name="_xlnm.Print_Area" localSheetId="2">'1.内訳書（設計）'!$A$1:$J$47</definedName>
    <definedName name="_xlnm.Print_Area" localSheetId="3">'1号　設計協議等'!$A$1:$N$99</definedName>
    <definedName name="_xlnm.Print_Area" localSheetId="4">'４号　現地調査'!$A$1:$N$33</definedName>
    <definedName name="_xlnm.Print_Area" localSheetId="5">'５号　水管橋添架詳細設計'!$A$1:$O$198</definedName>
    <definedName name="_xlnm.Print_Area" localSheetId="1">総括表!$A$1:$K$37</definedName>
    <definedName name="_xlnm.Print_Area" localSheetId="0">表紙!$A$1:$U$32</definedName>
    <definedName name="_xlnm.Print_Titles" localSheetId="2">'1.内訳書（設計）'!$1:$2</definedName>
    <definedName name="ryoukin">#REF!</definedName>
    <definedName name="ryoukin2">#REF!</definedName>
    <definedName name="s10_0.10D">#REF!</definedName>
    <definedName name="s10_0.10L">#REF!</definedName>
    <definedName name="s10_0.35D">#REF!</definedName>
    <definedName name="s10_0.35L">#REF!</definedName>
    <definedName name="s10_0.60D">#REF!</definedName>
    <definedName name="s10_0.60L">#REF!</definedName>
    <definedName name="s2_0.10D">#REF!</definedName>
    <definedName name="s2_0.10L">#REF!</definedName>
    <definedName name="s4_0.20D">#REF!</definedName>
    <definedName name="s4_0.20L">#REF!</definedName>
    <definedName name="ten_T">#REF!</definedName>
    <definedName name="ten_T1">#REF!</definedName>
    <definedName name="おＰ">#REF!</definedName>
    <definedName name="ﾀﾌﾟ">#REF!</definedName>
    <definedName name="安全費金入">#REF!</definedName>
    <definedName name="安全費金抜">#REF!</definedName>
    <definedName name="按分表">#REF!</definedName>
    <definedName name="一号">#REF!</definedName>
    <definedName name="運搬費単独金入">#REF!</definedName>
    <definedName name="運搬費単独金抜">#REF!</definedName>
    <definedName name="規模">#REF!</definedName>
    <definedName name="給水土">#REF!</definedName>
    <definedName name="金額">#REF!</definedName>
    <definedName name="金入給水">#REF!</definedName>
    <definedName name="金入消火栓">#REF!</definedName>
    <definedName name="金抜給水">#REF!,#REF!</definedName>
    <definedName name="金抜消火栓">#REF!,#REF!</definedName>
    <definedName name="金抜配管1">#REF!,#REF!</definedName>
    <definedName name="金抜配管2">#REF!,#REF!</definedName>
    <definedName name="金抜配管3">#REF!,#REF!</definedName>
    <definedName name="厚">#REF!</definedName>
    <definedName name="工事総括単独金入">#REF!</definedName>
    <definedName name="工事総括単独金抜">#REF!</definedName>
    <definedName name="砂">#REF!</definedName>
    <definedName name="消火栓土">#REF!</definedName>
    <definedName name="人ﾌｨ">#REF!</definedName>
    <definedName name="単位">#REF!</definedName>
    <definedName name="当初_諸経費">#REF!</definedName>
    <definedName name="配管土1">#REF!</definedName>
    <definedName name="配管土2">#REF!</definedName>
    <definedName name="配管土3">#REF!</definedName>
    <definedName name="飛">#REF!</definedName>
    <definedName name="歩掛入力表">[1]歩掛表新!$B$4:$Q$324</definedName>
    <definedName name="歩車">#REF!</definedName>
    <definedName name="名称">#REF!</definedName>
    <definedName name="路">#REF!</definedName>
    <definedName name="路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31" l="1"/>
  <c r="H35" i="31" s="1"/>
  <c r="H32" i="31"/>
  <c r="H26" i="31" s="1"/>
  <c r="H29" i="31"/>
  <c r="H38" i="31" l="1"/>
  <c r="H41" i="31" s="1"/>
  <c r="G195" i="86"/>
  <c r="G162" i="86"/>
  <c r="G129" i="86"/>
  <c r="G96" i="86"/>
  <c r="G63" i="86"/>
  <c r="G30" i="86"/>
  <c r="N115" i="86" s="1"/>
  <c r="G115" i="86" s="1"/>
  <c r="I115" i="86" s="1"/>
  <c r="B68" i="86"/>
  <c r="B101" i="86" s="1"/>
  <c r="B134" i="86" s="1"/>
  <c r="B167" i="86" s="1"/>
  <c r="B35" i="86"/>
  <c r="L183" i="86"/>
  <c r="L181" i="86"/>
  <c r="L150" i="86"/>
  <c r="L148" i="86"/>
  <c r="L117" i="86"/>
  <c r="L115" i="86"/>
  <c r="L113" i="86"/>
  <c r="L84" i="86"/>
  <c r="L82" i="86"/>
  <c r="L51" i="86"/>
  <c r="L49" i="86"/>
  <c r="H185" i="86"/>
  <c r="G185" i="86"/>
  <c r="I185" i="86" s="1"/>
  <c r="H183" i="86"/>
  <c r="H181" i="86"/>
  <c r="L179" i="86"/>
  <c r="H179" i="86"/>
  <c r="H177" i="86"/>
  <c r="H175" i="86"/>
  <c r="G175" i="86"/>
  <c r="H152" i="86"/>
  <c r="G152" i="86"/>
  <c r="H150" i="86"/>
  <c r="H148" i="86"/>
  <c r="L146" i="86"/>
  <c r="H146" i="86"/>
  <c r="L144" i="86"/>
  <c r="H144" i="86"/>
  <c r="H142" i="86"/>
  <c r="G142" i="86"/>
  <c r="H119" i="86"/>
  <c r="G119" i="86"/>
  <c r="I119" i="86" s="1"/>
  <c r="H117" i="86"/>
  <c r="H115" i="86"/>
  <c r="H113" i="86"/>
  <c r="H111" i="86"/>
  <c r="H109" i="86"/>
  <c r="G109" i="86"/>
  <c r="H86" i="86"/>
  <c r="G86" i="86"/>
  <c r="I86" i="86" s="1"/>
  <c r="H84" i="86"/>
  <c r="H82" i="86"/>
  <c r="L80" i="86"/>
  <c r="H80" i="86"/>
  <c r="H78" i="86"/>
  <c r="H76" i="86"/>
  <c r="G76" i="86"/>
  <c r="H53" i="86"/>
  <c r="G53" i="86"/>
  <c r="I53" i="86" s="1"/>
  <c r="H51" i="86"/>
  <c r="H49" i="86"/>
  <c r="L47" i="86"/>
  <c r="H47" i="86"/>
  <c r="L45" i="86"/>
  <c r="H45" i="86"/>
  <c r="H43" i="86"/>
  <c r="G43" i="86"/>
  <c r="G20" i="86"/>
  <c r="G18" i="86"/>
  <c r="G16" i="86"/>
  <c r="G10" i="86"/>
  <c r="L14" i="86"/>
  <c r="L12" i="86"/>
  <c r="H44" i="31" l="1"/>
  <c r="H47" i="31" s="1"/>
  <c r="I11" i="59"/>
  <c r="I76" i="86"/>
  <c r="I152" i="86"/>
  <c r="I43" i="86"/>
  <c r="I142" i="86"/>
  <c r="N183" i="86"/>
  <c r="G183" i="86" s="1"/>
  <c r="I183" i="86" s="1"/>
  <c r="N113" i="86"/>
  <c r="G113" i="86" s="1"/>
  <c r="I113" i="86" s="1"/>
  <c r="N117" i="86"/>
  <c r="G117" i="86" s="1"/>
  <c r="I117" i="86" s="1"/>
  <c r="N51" i="86"/>
  <c r="G51" i="86" s="1"/>
  <c r="I51" i="86" s="1"/>
  <c r="N82" i="86"/>
  <c r="G82" i="86" s="1"/>
  <c r="I82" i="86" s="1"/>
  <c r="N84" i="86"/>
  <c r="G84" i="86" s="1"/>
  <c r="I84" i="86" s="1"/>
  <c r="I175" i="86"/>
  <c r="N150" i="86"/>
  <c r="G150" i="86" s="1"/>
  <c r="I150" i="86" s="1"/>
  <c r="N181" i="86"/>
  <c r="G181" i="86" s="1"/>
  <c r="I181" i="86" s="1"/>
  <c r="N148" i="86"/>
  <c r="G148" i="86" s="1"/>
  <c r="I148" i="86" s="1"/>
  <c r="I109" i="86"/>
  <c r="N49" i="86"/>
  <c r="G49" i="86" s="1"/>
  <c r="I49" i="86" s="1"/>
  <c r="N146" i="86"/>
  <c r="G146" i="86" s="1"/>
  <c r="I146" i="86" s="1"/>
  <c r="N45" i="86"/>
  <c r="G45" i="86" s="1"/>
  <c r="I45" i="86" s="1"/>
  <c r="N80" i="86"/>
  <c r="G80" i="86" s="1"/>
  <c r="I80" i="86" s="1"/>
  <c r="N12" i="86"/>
  <c r="G12" i="86" s="1"/>
  <c r="N14" i="86"/>
  <c r="G14" i="86" s="1"/>
  <c r="G177" i="86"/>
  <c r="I177" i="86" s="1"/>
  <c r="N144" i="86"/>
  <c r="G144" i="86" s="1"/>
  <c r="I144" i="86" s="1"/>
  <c r="N179" i="86"/>
  <c r="G179" i="86" s="1"/>
  <c r="I179" i="86" s="1"/>
  <c r="G111" i="86"/>
  <c r="I111" i="86" s="1"/>
  <c r="N47" i="86"/>
  <c r="G47" i="86" s="1"/>
  <c r="I47" i="86" s="1"/>
  <c r="G78" i="86"/>
  <c r="I78" i="86" s="1"/>
  <c r="I189" i="86" l="1"/>
  <c r="I90" i="86"/>
  <c r="I156" i="86"/>
  <c r="I123" i="86"/>
  <c r="I57" i="86"/>
  <c r="H14" i="93" l="1"/>
  <c r="I14" i="93" s="1"/>
  <c r="H1204" i="93"/>
  <c r="H12" i="93"/>
  <c r="I12" i="93" s="1"/>
  <c r="H10" i="93"/>
  <c r="I10" i="93" s="1"/>
  <c r="I20" i="93" l="1"/>
  <c r="H961" i="86" l="1"/>
  <c r="H20" i="86"/>
  <c r="I20" i="86"/>
  <c r="H18" i="86"/>
  <c r="I18" i="86"/>
  <c r="H16" i="86"/>
  <c r="H14" i="86"/>
  <c r="H12" i="86"/>
  <c r="I12" i="86"/>
  <c r="H10" i="86"/>
  <c r="I10" i="86"/>
  <c r="I14" i="86" l="1"/>
  <c r="I16" i="86"/>
  <c r="I24" i="86" l="1"/>
  <c r="H78" i="1" l="1"/>
  <c r="I78" i="1" s="1"/>
  <c r="H76" i="1"/>
  <c r="I76" i="1" s="1"/>
  <c r="H45" i="1"/>
  <c r="I45" i="1" s="1"/>
  <c r="H43" i="1"/>
  <c r="I43" i="1" s="1"/>
  <c r="H10" i="1"/>
  <c r="I10" i="1" s="1"/>
  <c r="L110" i="31"/>
  <c r="L109" i="31" s="1"/>
  <c r="H1277" i="1"/>
  <c r="H12" i="1"/>
  <c r="I12" i="1" s="1"/>
  <c r="I86" i="1" l="1"/>
  <c r="I20" i="1"/>
  <c r="I53" i="1"/>
  <c r="L116" i="31" l="1"/>
  <c r="L117" i="31" l="1"/>
  <c r="L118" i="31" s="1"/>
  <c r="M118" i="31" s="1"/>
  <c r="I26" i="59" l="1"/>
  <c r="I32" i="59" s="1"/>
  <c r="I35" i="59" s="1"/>
</calcChain>
</file>

<file path=xl/sharedStrings.xml><?xml version="1.0" encoding="utf-8"?>
<sst xmlns="http://schemas.openxmlformats.org/spreadsheetml/2006/main" count="437" uniqueCount="116">
  <si>
    <t>単位</t>
    <rPh sb="0" eb="2">
      <t>タンイ</t>
    </rPh>
    <phoneticPr fontId="1"/>
  </si>
  <si>
    <t>数　　　量</t>
    <rPh sb="0" eb="1">
      <t>スウ</t>
    </rPh>
    <rPh sb="4" eb="5">
      <t>リョウ</t>
    </rPh>
    <phoneticPr fontId="1"/>
  </si>
  <si>
    <t>単　　　価</t>
    <rPh sb="0" eb="1">
      <t>タン</t>
    </rPh>
    <rPh sb="4" eb="5">
      <t>アタイ</t>
    </rPh>
    <phoneticPr fontId="1"/>
  </si>
  <si>
    <t>摘　　　　　　　　　要</t>
    <rPh sb="0" eb="1">
      <t>ツ</t>
    </rPh>
    <rPh sb="10" eb="11">
      <t>ヨウ</t>
    </rPh>
    <phoneticPr fontId="1"/>
  </si>
  <si>
    <t>名　　　　称</t>
    <rPh sb="0" eb="1">
      <t>ナ</t>
    </rPh>
    <rPh sb="5" eb="6">
      <t>ショウ</t>
    </rPh>
    <phoneticPr fontId="1"/>
  </si>
  <si>
    <t>規　　　　格</t>
    <phoneticPr fontId="1"/>
  </si>
  <si>
    <t>金　　　　額</t>
    <rPh sb="0" eb="1">
      <t>キン</t>
    </rPh>
    <rPh sb="5" eb="6">
      <t>ガク</t>
    </rPh>
    <phoneticPr fontId="1"/>
  </si>
  <si>
    <t>工　　種　：</t>
    <rPh sb="0" eb="1">
      <t>コウ</t>
    </rPh>
    <rPh sb="3" eb="4">
      <t>シュ</t>
    </rPh>
    <phoneticPr fontId="1"/>
  </si>
  <si>
    <t>明　　　　　　　　細　　　　　　　　表</t>
    <rPh sb="0" eb="1">
      <t>ミョウ</t>
    </rPh>
    <rPh sb="9" eb="10">
      <t>サイ</t>
    </rPh>
    <rPh sb="18" eb="19">
      <t>ヒョウ</t>
    </rPh>
    <phoneticPr fontId="1"/>
  </si>
  <si>
    <t>人</t>
    <rPh sb="0" eb="1">
      <t>ニン</t>
    </rPh>
    <phoneticPr fontId="1"/>
  </si>
  <si>
    <t>主　任　技　師</t>
    <rPh sb="0" eb="1">
      <t>シュ</t>
    </rPh>
    <rPh sb="2" eb="3">
      <t>ニン</t>
    </rPh>
    <rPh sb="4" eb="5">
      <t>ワザ</t>
    </rPh>
    <rPh sb="6" eb="7">
      <t>シ</t>
    </rPh>
    <phoneticPr fontId="1"/>
  </si>
  <si>
    <t>技　師　（A）</t>
    <rPh sb="0" eb="1">
      <t>ワザ</t>
    </rPh>
    <rPh sb="2" eb="3">
      <t>シ</t>
    </rPh>
    <phoneticPr fontId="1"/>
  </si>
  <si>
    <t>技　師　（B）</t>
    <rPh sb="0" eb="1">
      <t>ワザ</t>
    </rPh>
    <rPh sb="2" eb="3">
      <t>シ</t>
    </rPh>
    <phoneticPr fontId="1"/>
  </si>
  <si>
    <t>計</t>
    <rPh sb="0" eb="1">
      <t>ケイ</t>
    </rPh>
    <phoneticPr fontId="1"/>
  </si>
  <si>
    <t>１業務当たり</t>
    <rPh sb="1" eb="3">
      <t>ギョウム</t>
    </rPh>
    <rPh sb="3" eb="4">
      <t>ア</t>
    </rPh>
    <phoneticPr fontId="1"/>
  </si>
  <si>
    <t>合　　計</t>
    <rPh sb="0" eb="1">
      <t>ゴウ</t>
    </rPh>
    <rPh sb="3" eb="4">
      <t>ケイ</t>
    </rPh>
    <phoneticPr fontId="1"/>
  </si>
  <si>
    <t>測量主任技師</t>
    <rPh sb="0" eb="2">
      <t>ソクリョウ</t>
    </rPh>
    <rPh sb="2" eb="4">
      <t>シュニン</t>
    </rPh>
    <rPh sb="4" eb="6">
      <t>ギシ</t>
    </rPh>
    <phoneticPr fontId="1"/>
  </si>
  <si>
    <t>測量技師</t>
    <rPh sb="0" eb="2">
      <t>ソクリョウ</t>
    </rPh>
    <rPh sb="2" eb="4">
      <t>ギシ</t>
    </rPh>
    <phoneticPr fontId="1"/>
  </si>
  <si>
    <t>測量技師補</t>
    <rPh sb="0" eb="2">
      <t>ソクリョウ</t>
    </rPh>
    <rPh sb="2" eb="4">
      <t>ギシ</t>
    </rPh>
    <rPh sb="4" eb="5">
      <t>ホ</t>
    </rPh>
    <phoneticPr fontId="1"/>
  </si>
  <si>
    <t>測量助手</t>
    <rPh sb="0" eb="2">
      <t>ソクリョウ</t>
    </rPh>
    <rPh sb="2" eb="4">
      <t>ジョシュ</t>
    </rPh>
    <phoneticPr fontId="1"/>
  </si>
  <si>
    <t>普通作業員</t>
    <rPh sb="0" eb="2">
      <t>フツウ</t>
    </rPh>
    <rPh sb="2" eb="5">
      <t>サギョウイン</t>
    </rPh>
    <phoneticPr fontId="1"/>
  </si>
  <si>
    <t>工　　　種</t>
  </si>
  <si>
    <t>種　　　別</t>
  </si>
  <si>
    <t>細　　　別</t>
  </si>
  <si>
    <t>規　　格</t>
  </si>
  <si>
    <t>単　位</t>
  </si>
  <si>
    <t>数　量</t>
  </si>
  <si>
    <t>単　　価</t>
  </si>
  <si>
    <t>金　　額</t>
  </si>
  <si>
    <t>摘　　要</t>
  </si>
  <si>
    <t>業務委託費</t>
    <rPh sb="0" eb="2">
      <t>ギョウム</t>
    </rPh>
    <rPh sb="2" eb="4">
      <t>イタク</t>
    </rPh>
    <rPh sb="4" eb="5">
      <t>ヒ</t>
    </rPh>
    <phoneticPr fontId="1"/>
  </si>
  <si>
    <t>式</t>
    <rPh sb="0" eb="1">
      <t>シキ</t>
    </rPh>
    <phoneticPr fontId="1"/>
  </si>
  <si>
    <t>消費税相当額</t>
    <rPh sb="0" eb="3">
      <t>ショウヒゼイ</t>
    </rPh>
    <rPh sb="3" eb="5">
      <t>ソウトウ</t>
    </rPh>
    <rPh sb="5" eb="6">
      <t>ガク</t>
    </rPh>
    <phoneticPr fontId="1"/>
  </si>
  <si>
    <t>業務委託費設計額</t>
    <rPh sb="0" eb="2">
      <t>ギョウム</t>
    </rPh>
    <rPh sb="2" eb="4">
      <t>イタク</t>
    </rPh>
    <rPh sb="4" eb="5">
      <t>ヒ</t>
    </rPh>
    <rPh sb="5" eb="7">
      <t>セッケイ</t>
    </rPh>
    <rPh sb="7" eb="8">
      <t>ガク</t>
    </rPh>
    <phoneticPr fontId="1"/>
  </si>
  <si>
    <t>委　　託　　費　　内　　訳　　書</t>
    <rPh sb="0" eb="4">
      <t>イタク</t>
    </rPh>
    <phoneticPr fontId="1"/>
  </si>
  <si>
    <t>主任技術者</t>
    <rPh sb="0" eb="2">
      <t>シュニン</t>
    </rPh>
    <rPh sb="2" eb="5">
      <t>ギジュツシャ</t>
    </rPh>
    <phoneticPr fontId="1"/>
  </si>
  <si>
    <t>技 師 長</t>
    <rPh sb="0" eb="1">
      <t>ワザ</t>
    </rPh>
    <rPh sb="2" eb="3">
      <t>シ</t>
    </rPh>
    <rPh sb="4" eb="5">
      <t>チョウ</t>
    </rPh>
    <phoneticPr fontId="1"/>
  </si>
  <si>
    <t>主 任 技 師</t>
    <rPh sb="0" eb="1">
      <t>シュ</t>
    </rPh>
    <rPh sb="2" eb="3">
      <t>ニン</t>
    </rPh>
    <rPh sb="4" eb="5">
      <t>ワザ</t>
    </rPh>
    <rPh sb="6" eb="7">
      <t>シ</t>
    </rPh>
    <phoneticPr fontId="1"/>
  </si>
  <si>
    <t>技 師  (Ａ)</t>
    <rPh sb="0" eb="1">
      <t>ワザ</t>
    </rPh>
    <rPh sb="2" eb="3">
      <t>シ</t>
    </rPh>
    <phoneticPr fontId="1"/>
  </si>
  <si>
    <t>技 師  (Ｂ)</t>
    <rPh sb="0" eb="1">
      <t>ワザ</t>
    </rPh>
    <rPh sb="2" eb="3">
      <t>シ</t>
    </rPh>
    <phoneticPr fontId="1"/>
  </si>
  <si>
    <t>技 師  (Ｃ)</t>
    <rPh sb="0" eb="1">
      <t>ワザ</t>
    </rPh>
    <rPh sb="2" eb="3">
      <t>シ</t>
    </rPh>
    <phoneticPr fontId="1"/>
  </si>
  <si>
    <t>技 術 員</t>
    <rPh sb="0" eb="1">
      <t>ワザ</t>
    </rPh>
    <rPh sb="2" eb="3">
      <t>ジュツ</t>
    </rPh>
    <rPh sb="4" eb="5">
      <t>イン</t>
    </rPh>
    <phoneticPr fontId="1"/>
  </si>
  <si>
    <t>測量上級主任技師</t>
    <rPh sb="0" eb="2">
      <t>ソクリョウ</t>
    </rPh>
    <rPh sb="2" eb="4">
      <t>ジョウキュウ</t>
    </rPh>
    <rPh sb="4" eb="6">
      <t>シュニン</t>
    </rPh>
    <rPh sb="6" eb="8">
      <t>ギシ</t>
    </rPh>
    <phoneticPr fontId="1"/>
  </si>
  <si>
    <t>軽作業員</t>
    <rPh sb="0" eb="1">
      <t>ケイ</t>
    </rPh>
    <rPh sb="1" eb="4">
      <t>サギョウイン</t>
    </rPh>
    <phoneticPr fontId="1"/>
  </si>
  <si>
    <t>職種</t>
    <rPh sb="0" eb="2">
      <t>ショクシュ</t>
    </rPh>
    <phoneticPr fontId="1"/>
  </si>
  <si>
    <t>単価</t>
    <rPh sb="0" eb="2">
      <t>タンカ</t>
    </rPh>
    <phoneticPr fontId="1"/>
  </si>
  <si>
    <t>％</t>
    <phoneticPr fontId="1"/>
  </si>
  <si>
    <t>技   術   員</t>
    <rPh sb="0" eb="1">
      <t>ワザ</t>
    </rPh>
    <rPh sb="4" eb="5">
      <t>ジュツ</t>
    </rPh>
    <rPh sb="8" eb="9">
      <t>イン</t>
    </rPh>
    <phoneticPr fontId="1"/>
  </si>
  <si>
    <t>　　　　　内は変更後を示す</t>
    <rPh sb="9" eb="10">
      <t>ゴ</t>
    </rPh>
    <phoneticPr fontId="1"/>
  </si>
  <si>
    <t xml:space="preserve"> 内は変更後を示す</t>
    <rPh sb="1" eb="2">
      <t>ナイ</t>
    </rPh>
    <rPh sb="3" eb="5">
      <t>ヘンコウ</t>
    </rPh>
    <rPh sb="5" eb="6">
      <t>ゴ</t>
    </rPh>
    <rPh sb="7" eb="8">
      <t>シメ</t>
    </rPh>
    <phoneticPr fontId="1"/>
  </si>
  <si>
    <t>設計協議</t>
    <rPh sb="0" eb="2">
      <t>セッケイ</t>
    </rPh>
    <rPh sb="2" eb="4">
      <t>キョウギ</t>
    </rPh>
    <phoneticPr fontId="1"/>
  </si>
  <si>
    <t>測量補助員</t>
    <rPh sb="0" eb="2">
      <t>ソクリョウ</t>
    </rPh>
    <rPh sb="2" eb="5">
      <t>ホジョイン</t>
    </rPh>
    <phoneticPr fontId="1"/>
  </si>
  <si>
    <t>業務</t>
    <rPh sb="0" eb="2">
      <t>ギョウム</t>
    </rPh>
    <phoneticPr fontId="1"/>
  </si>
  <si>
    <t>技　師　（C）</t>
    <rPh sb="0" eb="1">
      <t>ワザ</t>
    </rPh>
    <rPh sb="2" eb="3">
      <t>シ</t>
    </rPh>
    <phoneticPr fontId="1"/>
  </si>
  <si>
    <t>地質調査技師</t>
    <rPh sb="0" eb="2">
      <t>チシツ</t>
    </rPh>
    <rPh sb="2" eb="4">
      <t>チョウサ</t>
    </rPh>
    <rPh sb="4" eb="6">
      <t>ギシ</t>
    </rPh>
    <phoneticPr fontId="1"/>
  </si>
  <si>
    <t>主任地質調査員</t>
    <rPh sb="0" eb="2">
      <t>シュニン</t>
    </rPh>
    <rPh sb="2" eb="4">
      <t>チシツ</t>
    </rPh>
    <rPh sb="4" eb="7">
      <t>チョウサイン</t>
    </rPh>
    <phoneticPr fontId="1"/>
  </si>
  <si>
    <t>地質調査員</t>
    <rPh sb="0" eb="4">
      <t>チシツチョウサ</t>
    </rPh>
    <rPh sb="4" eb="5">
      <t>イン</t>
    </rPh>
    <phoneticPr fontId="1"/>
  </si>
  <si>
    <t>技　　師　　長</t>
    <rPh sb="0" eb="1">
      <t>ワザ</t>
    </rPh>
    <rPh sb="3" eb="4">
      <t>シ</t>
    </rPh>
    <rPh sb="6" eb="7">
      <t>チョウ</t>
    </rPh>
    <phoneticPr fontId="23"/>
  </si>
  <si>
    <t>人</t>
    <rPh sb="0" eb="1">
      <t>ヒト</t>
    </rPh>
    <phoneticPr fontId="23"/>
  </si>
  <si>
    <t>×</t>
    <phoneticPr fontId="23"/>
  </si>
  <si>
    <t>第１回打合せ</t>
    <rPh sb="0" eb="1">
      <t>ダイ</t>
    </rPh>
    <rPh sb="2" eb="3">
      <t>カイ</t>
    </rPh>
    <rPh sb="3" eb="5">
      <t>ウチアワ</t>
    </rPh>
    <phoneticPr fontId="1"/>
  </si>
  <si>
    <t>中間打合せ</t>
    <rPh sb="0" eb="2">
      <t>チュウカン</t>
    </rPh>
    <rPh sb="2" eb="4">
      <t>ウチアワ</t>
    </rPh>
    <phoneticPr fontId="1"/>
  </si>
  <si>
    <t>最終打合せ</t>
    <rPh sb="0" eb="2">
      <t>サイシュウ</t>
    </rPh>
    <rPh sb="2" eb="4">
      <t>ウチアワ</t>
    </rPh>
    <phoneticPr fontId="1"/>
  </si>
  <si>
    <t>現地調査</t>
    <rPh sb="0" eb="4">
      <t>ゲンチチョウサ</t>
    </rPh>
    <phoneticPr fontId="1"/>
  </si>
  <si>
    <t>2025年度</t>
    <rPh sb="4" eb="6">
      <t>ネンド</t>
    </rPh>
    <phoneticPr fontId="1"/>
  </si>
  <si>
    <t>令和7年度　人件費単価</t>
    <rPh sb="0" eb="1">
      <t>レイ</t>
    </rPh>
    <rPh sb="1" eb="2">
      <t>ワ</t>
    </rPh>
    <rPh sb="3" eb="4">
      <t>ネン</t>
    </rPh>
    <rPh sb="4" eb="5">
      <t>ド</t>
    </rPh>
    <rPh sb="6" eb="9">
      <t>ジンケンヒ</t>
    </rPh>
    <rPh sb="9" eb="11">
      <t>タンカ</t>
    </rPh>
    <phoneticPr fontId="1"/>
  </si>
  <si>
    <t xml:space="preserve"> </t>
    <phoneticPr fontId="1"/>
  </si>
  <si>
    <t>委託番号</t>
    <rPh sb="0" eb="2">
      <t>イタク</t>
    </rPh>
    <rPh sb="2" eb="4">
      <t>バンゴウ</t>
    </rPh>
    <phoneticPr fontId="1"/>
  </si>
  <si>
    <t>(建設リサイクル法対象建設工事)</t>
    <rPh sb="1" eb="3">
      <t>ケンセツ</t>
    </rPh>
    <rPh sb="8" eb="9">
      <t>ホウ</t>
    </rPh>
    <rPh sb="9" eb="11">
      <t>タイショウ</t>
    </rPh>
    <rPh sb="11" eb="13">
      <t>ケンセツ</t>
    </rPh>
    <rPh sb="13" eb="15">
      <t>コウジ</t>
    </rPh>
    <phoneticPr fontId="38"/>
  </si>
  <si>
    <t>工事場所</t>
    <rPh sb="0" eb="1">
      <t>コウ</t>
    </rPh>
    <rPh sb="1" eb="2">
      <t>コト</t>
    </rPh>
    <rPh sb="2" eb="3">
      <t>バ</t>
    </rPh>
    <rPh sb="3" eb="4">
      <t>ショ</t>
    </rPh>
    <phoneticPr fontId="1"/>
  </si>
  <si>
    <t>むつ市大畑町大畑道地内</t>
    <rPh sb="3" eb="6">
      <t>オオハタマチ</t>
    </rPh>
    <rPh sb="6" eb="8">
      <t>オオハタ</t>
    </rPh>
    <rPh sb="8" eb="9">
      <t>ミチ</t>
    </rPh>
    <rPh sb="9" eb="10">
      <t>チ</t>
    </rPh>
    <rPh sb="10" eb="11">
      <t>メジ</t>
    </rPh>
    <phoneticPr fontId="1"/>
  </si>
  <si>
    <t>む　つ　市　上　下　水　道　局</t>
    <rPh sb="4" eb="5">
      <t>シ</t>
    </rPh>
    <rPh sb="6" eb="7">
      <t>ウエ</t>
    </rPh>
    <rPh sb="8" eb="9">
      <t>シタ</t>
    </rPh>
    <rPh sb="10" eb="11">
      <t>スイ</t>
    </rPh>
    <rPh sb="12" eb="13">
      <t>ミチ</t>
    </rPh>
    <rPh sb="14" eb="15">
      <t>キョク</t>
    </rPh>
    <phoneticPr fontId="1"/>
  </si>
  <si>
    <t>水管橋詳細設計</t>
    <rPh sb="0" eb="2">
      <t>スイカン</t>
    </rPh>
    <rPh sb="2" eb="3">
      <t>ハシ</t>
    </rPh>
    <rPh sb="3" eb="7">
      <t>ショウサイセッケイ</t>
    </rPh>
    <phoneticPr fontId="29"/>
  </si>
  <si>
    <t>設計計画</t>
    <rPh sb="0" eb="4">
      <t>セッケイケイカク</t>
    </rPh>
    <phoneticPr fontId="29"/>
  </si>
  <si>
    <t>添架形式のため各歩掛－１０％</t>
    <rPh sb="0" eb="1">
      <t>テン</t>
    </rPh>
    <rPh sb="1" eb="2">
      <t>カ</t>
    </rPh>
    <rPh sb="2" eb="4">
      <t>ケイシキ</t>
    </rPh>
    <rPh sb="7" eb="8">
      <t>カク</t>
    </rPh>
    <rPh sb="8" eb="9">
      <t>フ</t>
    </rPh>
    <rPh sb="9" eb="10">
      <t>カ</t>
    </rPh>
    <phoneticPr fontId="29"/>
  </si>
  <si>
    <t>（１）添架形式補正</t>
    <rPh sb="3" eb="4">
      <t>テン</t>
    </rPh>
    <rPh sb="4" eb="5">
      <t>カ</t>
    </rPh>
    <rPh sb="5" eb="7">
      <t>ケイシキ</t>
    </rPh>
    <rPh sb="7" eb="9">
      <t>ホセイ</t>
    </rPh>
    <phoneticPr fontId="29"/>
  </si>
  <si>
    <t>（２）橋長補正</t>
    <rPh sb="3" eb="4">
      <t>ハシ</t>
    </rPh>
    <rPh sb="4" eb="5">
      <t>チョウ</t>
    </rPh>
    <rPh sb="5" eb="7">
      <t>ホセイ</t>
    </rPh>
    <phoneticPr fontId="29"/>
  </si>
  <si>
    <t>Y=（１．５９９×橋長33.0m＋68.02）／１００</t>
    <rPh sb="9" eb="10">
      <t>ハシ</t>
    </rPh>
    <rPh sb="10" eb="11">
      <t>チョウ</t>
    </rPh>
    <phoneticPr fontId="29"/>
  </si>
  <si>
    <t>(1)補正</t>
    <rPh sb="3" eb="5">
      <t>ホセイ</t>
    </rPh>
    <phoneticPr fontId="29"/>
  </si>
  <si>
    <t>(２)補正</t>
    <rPh sb="3" eb="5">
      <t>ホセイ</t>
    </rPh>
    <phoneticPr fontId="29"/>
  </si>
  <si>
    <t>標準歩掛</t>
    <rPh sb="0" eb="2">
      <t>ヒョウジュン</t>
    </rPh>
    <rPh sb="2" eb="3">
      <t>フ</t>
    </rPh>
    <rPh sb="3" eb="4">
      <t>カ</t>
    </rPh>
    <phoneticPr fontId="29"/>
  </si>
  <si>
    <t>添架形式</t>
    <rPh sb="0" eb="1">
      <t>テン</t>
    </rPh>
    <rPh sb="1" eb="2">
      <t>カ</t>
    </rPh>
    <rPh sb="2" eb="4">
      <t>ケイシキ</t>
    </rPh>
    <phoneticPr fontId="29"/>
  </si>
  <si>
    <t>設計計算</t>
    <rPh sb="0" eb="4">
      <t>セッケイケイサン</t>
    </rPh>
    <phoneticPr fontId="29"/>
  </si>
  <si>
    <t>×</t>
    <phoneticPr fontId="29"/>
  </si>
  <si>
    <t>設計図</t>
    <rPh sb="0" eb="3">
      <t>セッケイズ</t>
    </rPh>
    <phoneticPr fontId="29"/>
  </si>
  <si>
    <t>数量計算</t>
    <rPh sb="0" eb="4">
      <t>スウリョウケイサン</t>
    </rPh>
    <phoneticPr fontId="29"/>
  </si>
  <si>
    <t>照査</t>
    <rPh sb="0" eb="2">
      <t>ショウサ</t>
    </rPh>
    <phoneticPr fontId="29"/>
  </si>
  <si>
    <t>報告書作成</t>
    <rPh sb="0" eb="5">
      <t>ホウコクショサクセイ</t>
    </rPh>
    <phoneticPr fontId="29"/>
  </si>
  <si>
    <t>（基本設計なしのため0.05を加算）</t>
    <rPh sb="1" eb="3">
      <t>キホン</t>
    </rPh>
    <rPh sb="3" eb="5">
      <t>セッケイ</t>
    </rPh>
    <rPh sb="15" eb="17">
      <t>カサン</t>
    </rPh>
    <phoneticPr fontId="29"/>
  </si>
  <si>
    <t>1.0回</t>
    <rPh sb="3" eb="4">
      <t>カイ</t>
    </rPh>
    <phoneticPr fontId="1"/>
  </si>
  <si>
    <t>局財～第５号</t>
    <rPh sb="0" eb="2">
      <t>キョクザイ</t>
    </rPh>
    <rPh sb="3" eb="4">
      <t>ダイ</t>
    </rPh>
    <rPh sb="5" eb="6">
      <t>ゴウ</t>
    </rPh>
    <phoneticPr fontId="1"/>
  </si>
  <si>
    <t>業　務　委　託　費　内　訳</t>
    <rPh sb="0" eb="1">
      <t>ゴウ</t>
    </rPh>
    <rPh sb="2" eb="3">
      <t>ツトム</t>
    </rPh>
    <rPh sb="4" eb="5">
      <t>イ</t>
    </rPh>
    <rPh sb="6" eb="7">
      <t>タク</t>
    </rPh>
    <rPh sb="8" eb="9">
      <t>ヒ</t>
    </rPh>
    <rPh sb="10" eb="13">
      <t>ウチワケ</t>
    </rPh>
    <phoneticPr fontId="1"/>
  </si>
  <si>
    <t>業務委託</t>
    <rPh sb="0" eb="4">
      <t>ギョウムイタク</t>
    </rPh>
    <phoneticPr fontId="1"/>
  </si>
  <si>
    <t>直接人件費（A）</t>
    <rPh sb="0" eb="5">
      <t>チョクセツジンケンヒ</t>
    </rPh>
    <phoneticPr fontId="1"/>
  </si>
  <si>
    <t>業務</t>
    <rPh sb="0" eb="2">
      <t>ギョウム</t>
    </rPh>
    <phoneticPr fontId="1"/>
  </si>
  <si>
    <t>業務委託費計</t>
    <rPh sb="0" eb="4">
      <t>ギョウムイタク</t>
    </rPh>
    <rPh sb="4" eb="5">
      <t>ヒ</t>
    </rPh>
    <rPh sb="5" eb="6">
      <t>ケイ</t>
    </rPh>
    <phoneticPr fontId="1"/>
  </si>
  <si>
    <t>機器損料</t>
    <rPh sb="0" eb="2">
      <t>キキ</t>
    </rPh>
    <rPh sb="2" eb="4">
      <t>ソンリョウ</t>
    </rPh>
    <phoneticPr fontId="1"/>
  </si>
  <si>
    <t>交通費</t>
    <rPh sb="0" eb="3">
      <t>コウツウヒ</t>
    </rPh>
    <phoneticPr fontId="1"/>
  </si>
  <si>
    <t>台日</t>
    <rPh sb="0" eb="1">
      <t>ダイ</t>
    </rPh>
    <rPh sb="1" eb="2">
      <t>ニチ</t>
    </rPh>
    <phoneticPr fontId="1"/>
  </si>
  <si>
    <t>往復</t>
    <rPh sb="0" eb="2">
      <t>オウフク</t>
    </rPh>
    <phoneticPr fontId="1"/>
  </si>
  <si>
    <t>パソコン、プリンタ損料</t>
    <rPh sb="9" eb="11">
      <t>ソンリョウ</t>
    </rPh>
    <phoneticPr fontId="1"/>
  </si>
  <si>
    <t>直接経費（B）</t>
    <rPh sb="0" eb="4">
      <t>チョクセツケイヒ</t>
    </rPh>
    <phoneticPr fontId="1"/>
  </si>
  <si>
    <t>その他原価（C）</t>
    <rPh sb="2" eb="3">
      <t>タ</t>
    </rPh>
    <rPh sb="3" eb="5">
      <t>ゲンカ</t>
    </rPh>
    <phoneticPr fontId="1"/>
  </si>
  <si>
    <t>直接人件費（A）×0.35/（1-0.35）</t>
    <rPh sb="0" eb="2">
      <t>チョクセツ</t>
    </rPh>
    <rPh sb="2" eb="5">
      <t>ジンケンヒ</t>
    </rPh>
    <phoneticPr fontId="1"/>
  </si>
  <si>
    <t>一般管理費等（D）</t>
    <rPh sb="0" eb="5">
      <t>イッパンカンリヒ</t>
    </rPh>
    <rPh sb="5" eb="6">
      <t>トウ</t>
    </rPh>
    <phoneticPr fontId="1"/>
  </si>
  <si>
    <t>（（A）+（B）+（C）)×0.35/（1-0.35）</t>
    <phoneticPr fontId="1"/>
  </si>
  <si>
    <t>（A）+（B）+（C）+（D）</t>
    <phoneticPr fontId="1"/>
  </si>
  <si>
    <t>消費税</t>
    <rPh sb="0" eb="3">
      <t>ショウヒゼイ</t>
    </rPh>
    <phoneticPr fontId="1"/>
  </si>
  <si>
    <t>小計</t>
    <rPh sb="0" eb="2">
      <t>ショウケイ</t>
    </rPh>
    <phoneticPr fontId="1"/>
  </si>
  <si>
    <t>合計</t>
    <rPh sb="0" eb="2">
      <t>ゴウケイ</t>
    </rPh>
    <phoneticPr fontId="1"/>
  </si>
  <si>
    <t>令和8年度</t>
    <rPh sb="0" eb="2">
      <t>レイワ</t>
    </rPh>
    <rPh sb="3" eb="5">
      <t>ネンド</t>
    </rPh>
    <phoneticPr fontId="1"/>
  </si>
  <si>
    <t>水道事業経営分析及び予測シミュレーション策定業務委託</t>
    <rPh sb="0" eb="2">
      <t>スイドウ</t>
    </rPh>
    <rPh sb="2" eb="4">
      <t>ジギョウ</t>
    </rPh>
    <rPh sb="4" eb="6">
      <t>ケイエイ</t>
    </rPh>
    <rPh sb="6" eb="8">
      <t>ブンセキ</t>
    </rPh>
    <rPh sb="8" eb="9">
      <t>オヨ</t>
    </rPh>
    <rPh sb="10" eb="12">
      <t>ヨソク</t>
    </rPh>
    <rPh sb="20" eb="22">
      <t>サクテイ</t>
    </rPh>
    <rPh sb="22" eb="24">
      <t>ギョウム</t>
    </rPh>
    <rPh sb="24" eb="26">
      <t>イタク</t>
    </rPh>
    <phoneticPr fontId="38"/>
  </si>
  <si>
    <t>シミュレーション策定業務</t>
    <rPh sb="8" eb="10">
      <t>サクテイ</t>
    </rPh>
    <rPh sb="10" eb="12">
      <t>ギョウム</t>
    </rPh>
    <phoneticPr fontId="1"/>
  </si>
  <si>
    <t>経営状況分析</t>
    <rPh sb="0" eb="2">
      <t>ケイエイ</t>
    </rPh>
    <rPh sb="2" eb="4">
      <t>ジョウキョウ</t>
    </rPh>
    <rPh sb="4" eb="6">
      <t>ブンセキ</t>
    </rPh>
    <phoneticPr fontId="1"/>
  </si>
  <si>
    <t>現状シミュレーション</t>
    <phoneticPr fontId="1"/>
  </si>
  <si>
    <t>審議会運営設計</t>
    <rPh sb="0" eb="3">
      <t>シンギカイ</t>
    </rPh>
    <rPh sb="3" eb="5">
      <t>ウンエイ</t>
    </rPh>
    <rPh sb="5" eb="7">
      <t>セッケイ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</si>
</sst>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76" formatCode="#,##0.0_ "/>
    <numFmt numFmtId="177" formatCode="0.000_ "/>
    <numFmt numFmtId="178" formatCode="#,##0_ "/>
    <numFmt numFmtId="179" formatCode="#,##0_);\(#,##0\)"/>
    <numFmt numFmtId="180" formatCode="#,##0_);[Red]\(#,##0\)"/>
    <numFmt numFmtId="181" formatCode="&quot;第　&quot;##&quot;　号&quot;"/>
    <numFmt numFmtId="182" formatCode="0.000_);[Red]\(0.000\)"/>
    <numFmt numFmtId="183" formatCode="0.00_);[Red]\(0.00\)"/>
    <numFmt numFmtId="184" formatCode="0.0_);[Red]\(0.0\)"/>
    <numFmt numFmtId="185" formatCode="0.00_ "/>
    <numFmt numFmtId="186" formatCode="&quot;明細表　第&quot;##&quot;号&quot;"/>
    <numFmt numFmtId="187" formatCode="&quot;P&quot;##&quot;参照&quot;"/>
    <numFmt numFmtId="188" formatCode="_ * #,##0.000_ ;_ * \-#,##0.000_ ;_ * &quot;-&quot;???_ ;_ @_ "/>
    <numFmt numFmtId="189" formatCode="&quot;L=&quot;##.##0&quot;ｍ&quot;"/>
    <numFmt numFmtId="190" formatCode="&quot;令和&quot;##&quot;年改訂版　水道事業実務必携 第三編&quot;"/>
  </numFmts>
  <fonts count="44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6"/>
      <name val="ＭＳ Ｐ明朝"/>
      <family val="1"/>
      <charset val="128"/>
    </font>
    <font>
      <sz val="18"/>
      <color indexed="8"/>
      <name val="HGPｺﾞｼｯｸM"/>
      <family val="3"/>
      <charset val="128"/>
    </font>
    <font>
      <sz val="16"/>
      <color indexed="8"/>
      <name val="HGPｺﾞｼｯｸM"/>
      <family val="3"/>
      <charset val="128"/>
    </font>
    <font>
      <sz val="10"/>
      <color indexed="8"/>
      <name val="HGPｺﾞｼｯｸM"/>
      <family val="3"/>
      <charset val="128"/>
    </font>
    <font>
      <sz val="12"/>
      <color indexed="8"/>
      <name val="HGPｺﾞｼｯｸM"/>
      <family val="3"/>
      <charset val="128"/>
    </font>
    <font>
      <sz val="11"/>
      <name val="HGPｺﾞｼｯｸM"/>
      <family val="3"/>
      <charset val="128"/>
    </font>
    <font>
      <sz val="12"/>
      <name val="HGPｺﾞｼｯｸM"/>
      <family val="3"/>
      <charset val="128"/>
    </font>
    <font>
      <sz val="16"/>
      <name val="HGPｺﾞｼｯｸM"/>
      <family val="3"/>
      <charset val="128"/>
    </font>
    <font>
      <sz val="10"/>
      <name val="HGPｺﾞｼｯｸM"/>
      <family val="3"/>
      <charset val="128"/>
    </font>
    <font>
      <sz val="14"/>
      <name val="HGPｺﾞｼｯｸM"/>
      <family val="3"/>
      <charset val="128"/>
    </font>
    <font>
      <b/>
      <sz val="14"/>
      <color indexed="10"/>
      <name val="HGPｺﾞｼｯｸM"/>
      <family val="3"/>
      <charset val="128"/>
    </font>
    <font>
      <b/>
      <sz val="11"/>
      <color indexed="8"/>
      <name val="HGPｺﾞｼｯｸM"/>
      <family val="3"/>
      <charset val="128"/>
    </font>
    <font>
      <b/>
      <sz val="11"/>
      <color indexed="10"/>
      <name val="HGPｺﾞｼｯｸM"/>
      <family val="3"/>
      <charset val="128"/>
    </font>
    <font>
      <sz val="11"/>
      <color indexed="8"/>
      <name val="HGPｺﾞｼｯｸM"/>
      <family val="3"/>
      <charset val="128"/>
    </font>
    <font>
      <sz val="6"/>
      <name val="ＭＳ Ｐゴシック"/>
      <family val="3"/>
      <charset val="128"/>
    </font>
    <font>
      <b/>
      <sz val="11"/>
      <name val="HGPｺﾞｼｯｸM"/>
      <family val="3"/>
      <charset val="128"/>
    </font>
    <font>
      <sz val="11"/>
      <name val="HGSｺﾞｼｯｸM"/>
      <family val="3"/>
      <charset val="128"/>
    </font>
    <font>
      <sz val="12"/>
      <name val="HGSｺﾞｼｯｸM"/>
      <family val="3"/>
      <charset val="128"/>
    </font>
    <font>
      <u/>
      <sz val="11"/>
      <name val="HGSｺﾞｼｯｸM"/>
      <family val="3"/>
      <charset val="128"/>
    </font>
    <font>
      <sz val="6"/>
      <name val="ＭＳ Ｐゴシック"/>
      <family val="3"/>
      <charset val="128"/>
    </font>
    <font>
      <sz val="11"/>
      <color theme="1"/>
      <name val="HGPｺﾞｼｯｸM"/>
      <family val="3"/>
      <charset val="128"/>
    </font>
    <font>
      <sz val="11"/>
      <color rgb="FFFF0000"/>
      <name val="HGPｺﾞｼｯｸM"/>
      <family val="3"/>
      <charset val="128"/>
    </font>
    <font>
      <sz val="10"/>
      <color theme="1"/>
      <name val="HGPｺﾞｼｯｸM"/>
      <family val="3"/>
      <charset val="128"/>
    </font>
    <font>
      <b/>
      <sz val="11"/>
      <color theme="1"/>
      <name val="HGPｺﾞｼｯｸM"/>
      <family val="3"/>
      <charset val="128"/>
    </font>
    <font>
      <sz val="9"/>
      <color theme="1"/>
      <name val="HGPｺﾞｼｯｸM"/>
      <family val="3"/>
      <charset val="128"/>
    </font>
    <font>
      <sz val="6"/>
      <name val="ＭＳ Ｐゴシック"/>
      <family val="3"/>
      <charset val="128"/>
      <scheme val="minor"/>
    </font>
    <font>
      <sz val="8"/>
      <color theme="1"/>
      <name val="HGPｺﾞｼｯｸM"/>
      <family val="3"/>
      <charset val="128"/>
    </font>
    <font>
      <sz val="9"/>
      <color indexed="8"/>
      <name val="HGP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明朝"/>
      <family val="1"/>
      <charset val="128"/>
    </font>
    <font>
      <sz val="6"/>
      <color indexed="8"/>
      <name val="ＭＳ Ｐ明朝"/>
      <family val="1"/>
      <charset val="128"/>
    </font>
    <font>
      <sz val="16"/>
      <color indexed="8"/>
      <name val="ＭＳ Ｐ明朝"/>
      <family val="1"/>
      <charset val="128"/>
    </font>
    <font>
      <sz val="26"/>
      <name val="ＭＳ Ｐ明朝"/>
      <family val="1"/>
      <charset val="128"/>
    </font>
    <font>
      <sz val="26"/>
      <color indexed="8"/>
      <name val="ＭＳ Ｐ明朝"/>
      <family val="1"/>
      <charset val="128"/>
    </font>
    <font>
      <sz val="6"/>
      <name val="明朝"/>
      <family val="1"/>
      <charset val="128"/>
    </font>
    <font>
      <sz val="26"/>
      <color rgb="FFFF0000"/>
      <name val="ＭＳ Ｐ明朝"/>
      <family val="1"/>
      <charset val="128"/>
    </font>
    <font>
      <sz val="14"/>
      <color theme="0"/>
      <name val="ＭＳ Ｐ明朝"/>
      <family val="1"/>
      <charset val="128"/>
    </font>
    <font>
      <sz val="11"/>
      <color theme="0"/>
      <name val="ＭＳ Ｐ明朝"/>
      <family val="1"/>
      <charset val="128"/>
    </font>
    <font>
      <sz val="12"/>
      <color theme="0"/>
      <name val="ＭＳ Ｐ明朝"/>
      <family val="1"/>
      <charset val="128"/>
    </font>
    <font>
      <sz val="22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3" fillId="0" borderId="0"/>
    <xf numFmtId="0" fontId="32" fillId="0" borderId="0">
      <alignment vertical="center"/>
    </xf>
  </cellStyleXfs>
  <cellXfs count="358">
    <xf numFmtId="0" fontId="0" fillId="0" borderId="0" xfId="0">
      <alignment vertical="center"/>
    </xf>
    <xf numFmtId="0" fontId="24" fillId="0" borderId="2" xfId="0" applyFont="1" applyBorder="1">
      <alignment vertical="center"/>
    </xf>
    <xf numFmtId="0" fontId="24" fillId="0" borderId="3" xfId="0" applyFont="1" applyBorder="1">
      <alignment vertical="center"/>
    </xf>
    <xf numFmtId="184" fontId="24" fillId="0" borderId="3" xfId="0" applyNumberFormat="1" applyFont="1" applyBorder="1">
      <alignment vertical="center"/>
    </xf>
    <xf numFmtId="41" fontId="24" fillId="0" borderId="3" xfId="0" applyNumberFormat="1" applyFont="1" applyBorder="1">
      <alignment vertical="center"/>
    </xf>
    <xf numFmtId="0" fontId="24" fillId="0" borderId="4" xfId="0" applyFont="1" applyBorder="1">
      <alignment vertical="center"/>
    </xf>
    <xf numFmtId="0" fontId="24" fillId="0" borderId="0" xfId="0" applyFont="1">
      <alignment vertical="center"/>
    </xf>
    <xf numFmtId="0" fontId="24" fillId="0" borderId="5" xfId="0" applyFont="1" applyBorder="1">
      <alignment vertical="center"/>
    </xf>
    <xf numFmtId="181" fontId="24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4" fillId="0" borderId="6" xfId="0" applyFont="1" applyBorder="1">
      <alignment vertical="center"/>
    </xf>
    <xf numFmtId="0" fontId="24" fillId="2" borderId="7" xfId="0" applyFont="1" applyFill="1" applyBorder="1">
      <alignment vertical="center"/>
    </xf>
    <xf numFmtId="184" fontId="24" fillId="0" borderId="0" xfId="0" applyNumberFormat="1" applyFont="1">
      <alignment vertical="center"/>
    </xf>
    <xf numFmtId="41" fontId="24" fillId="0" borderId="0" xfId="0" applyNumberFormat="1" applyFont="1">
      <alignment vertical="center"/>
    </xf>
    <xf numFmtId="184" fontId="24" fillId="2" borderId="8" xfId="0" applyNumberFormat="1" applyFont="1" applyFill="1" applyBorder="1">
      <alignment vertical="center"/>
    </xf>
    <xf numFmtId="178" fontId="24" fillId="2" borderId="8" xfId="0" applyNumberFormat="1" applyFont="1" applyFill="1" applyBorder="1">
      <alignment vertical="center"/>
    </xf>
    <xf numFmtId="41" fontId="24" fillId="2" borderId="8" xfId="0" applyNumberFormat="1" applyFont="1" applyFill="1" applyBorder="1">
      <alignment vertical="center"/>
    </xf>
    <xf numFmtId="184" fontId="24" fillId="0" borderId="9" xfId="0" applyNumberFormat="1" applyFont="1" applyBorder="1">
      <alignment vertical="center"/>
    </xf>
    <xf numFmtId="178" fontId="24" fillId="0" borderId="9" xfId="0" applyNumberFormat="1" applyFont="1" applyBorder="1">
      <alignment vertical="center"/>
    </xf>
    <xf numFmtId="41" fontId="24" fillId="0" borderId="9" xfId="0" applyNumberFormat="1" applyFont="1" applyBorder="1">
      <alignment vertical="center"/>
    </xf>
    <xf numFmtId="0" fontId="24" fillId="0" borderId="10" xfId="0" applyFont="1" applyBorder="1">
      <alignment vertical="center"/>
    </xf>
    <xf numFmtId="0" fontId="24" fillId="0" borderId="11" xfId="0" applyFont="1" applyBorder="1">
      <alignment vertical="center"/>
    </xf>
    <xf numFmtId="0" fontId="24" fillId="0" borderId="12" xfId="0" applyFont="1" applyBorder="1">
      <alignment vertical="center"/>
    </xf>
    <xf numFmtId="0" fontId="24" fillId="0" borderId="13" xfId="0" applyFont="1" applyBorder="1">
      <alignment vertical="center"/>
    </xf>
    <xf numFmtId="0" fontId="24" fillId="0" borderId="14" xfId="0" applyFont="1" applyBorder="1">
      <alignment vertical="center"/>
    </xf>
    <xf numFmtId="0" fontId="24" fillId="0" borderId="15" xfId="0" applyFont="1" applyBorder="1">
      <alignment vertical="center"/>
    </xf>
    <xf numFmtId="0" fontId="24" fillId="2" borderId="8" xfId="0" applyFont="1" applyFill="1" applyBorder="1">
      <alignment vertical="center"/>
    </xf>
    <xf numFmtId="0" fontId="24" fillId="0" borderId="9" xfId="0" applyFont="1" applyBorder="1">
      <alignment vertical="center"/>
    </xf>
    <xf numFmtId="0" fontId="9" fillId="3" borderId="11" xfId="1" applyFont="1" applyFill="1" applyBorder="1"/>
    <xf numFmtId="0" fontId="9" fillId="3" borderId="16" xfId="1" applyFont="1" applyFill="1" applyBorder="1"/>
    <xf numFmtId="0" fontId="9" fillId="3" borderId="15" xfId="1" applyFont="1" applyFill="1" applyBorder="1"/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10" xfId="0" applyFont="1" applyBorder="1">
      <alignment vertical="center"/>
    </xf>
    <xf numFmtId="184" fontId="24" fillId="0" borderId="17" xfId="0" applyNumberFormat="1" applyFont="1" applyBorder="1">
      <alignment vertical="center"/>
    </xf>
    <xf numFmtId="0" fontId="24" fillId="0" borderId="17" xfId="0" applyFont="1" applyBorder="1">
      <alignment vertical="center"/>
    </xf>
    <xf numFmtId="41" fontId="24" fillId="0" borderId="17" xfId="0" applyNumberFormat="1" applyFont="1" applyBorder="1">
      <alignment vertical="center"/>
    </xf>
    <xf numFmtId="0" fontId="7" fillId="0" borderId="18" xfId="0" applyFont="1" applyBorder="1">
      <alignment vertical="center"/>
    </xf>
    <xf numFmtId="0" fontId="24" fillId="0" borderId="19" xfId="0" applyFont="1" applyBorder="1">
      <alignment vertical="center"/>
    </xf>
    <xf numFmtId="0" fontId="24" fillId="0" borderId="18" xfId="0" applyFont="1" applyBorder="1">
      <alignment vertical="center"/>
    </xf>
    <xf numFmtId="184" fontId="24" fillId="0" borderId="18" xfId="0" applyNumberFormat="1" applyFont="1" applyBorder="1">
      <alignment vertical="center"/>
    </xf>
    <xf numFmtId="41" fontId="24" fillId="0" borderId="18" xfId="0" applyNumberFormat="1" applyFont="1" applyBorder="1">
      <alignment vertical="center"/>
    </xf>
    <xf numFmtId="0" fontId="24" fillId="0" borderId="20" xfId="0" applyFont="1" applyBorder="1">
      <alignment vertical="center"/>
    </xf>
    <xf numFmtId="0" fontId="12" fillId="3" borderId="0" xfId="1" applyFont="1" applyFill="1"/>
    <xf numFmtId="0" fontId="12" fillId="3" borderId="21" xfId="1" applyFont="1" applyFill="1" applyBorder="1" applyAlignment="1">
      <alignment horizontal="center" vertical="center"/>
    </xf>
    <xf numFmtId="0" fontId="12" fillId="3" borderId="22" xfId="1" applyFont="1" applyFill="1" applyBorder="1" applyAlignment="1">
      <alignment horizontal="center" vertical="center"/>
    </xf>
    <xf numFmtId="0" fontId="9" fillId="3" borderId="23" xfId="1" applyFont="1" applyFill="1" applyBorder="1"/>
    <xf numFmtId="0" fontId="10" fillId="3" borderId="8" xfId="1" applyFont="1" applyFill="1" applyBorder="1"/>
    <xf numFmtId="0" fontId="10" fillId="3" borderId="12" xfId="1" applyFont="1" applyFill="1" applyBorder="1"/>
    <xf numFmtId="0" fontId="10" fillId="3" borderId="8" xfId="1" applyFont="1" applyFill="1" applyBorder="1" applyAlignment="1">
      <alignment horizontal="center"/>
    </xf>
    <xf numFmtId="184" fontId="10" fillId="3" borderId="12" xfId="1" applyNumberFormat="1" applyFont="1" applyFill="1" applyBorder="1"/>
    <xf numFmtId="178" fontId="9" fillId="3" borderId="8" xfId="1" applyNumberFormat="1" applyFont="1" applyFill="1" applyBorder="1"/>
    <xf numFmtId="178" fontId="10" fillId="3" borderId="8" xfId="1" applyNumberFormat="1" applyFont="1" applyFill="1" applyBorder="1"/>
    <xf numFmtId="0" fontId="9" fillId="3" borderId="12" xfId="1" applyFont="1" applyFill="1" applyBorder="1"/>
    <xf numFmtId="0" fontId="9" fillId="3" borderId="13" xfId="1" applyFont="1" applyFill="1" applyBorder="1"/>
    <xf numFmtId="0" fontId="10" fillId="3" borderId="9" xfId="1" applyFont="1" applyFill="1" applyBorder="1"/>
    <xf numFmtId="0" fontId="10" fillId="3" borderId="0" xfId="1" applyFont="1" applyFill="1"/>
    <xf numFmtId="184" fontId="10" fillId="3" borderId="0" xfId="1" applyNumberFormat="1" applyFont="1" applyFill="1"/>
    <xf numFmtId="0" fontId="12" fillId="3" borderId="9" xfId="1" applyFont="1" applyFill="1" applyBorder="1"/>
    <xf numFmtId="0" fontId="12" fillId="3" borderId="6" xfId="1" applyFont="1" applyFill="1" applyBorder="1"/>
    <xf numFmtId="0" fontId="9" fillId="3" borderId="24" xfId="1" applyFont="1" applyFill="1" applyBorder="1" applyAlignment="1">
      <alignment horizontal="distributed"/>
    </xf>
    <xf numFmtId="0" fontId="10" fillId="3" borderId="25" xfId="1" applyFont="1" applyFill="1" applyBorder="1"/>
    <xf numFmtId="0" fontId="10" fillId="3" borderId="14" xfId="1" applyFont="1" applyFill="1" applyBorder="1"/>
    <xf numFmtId="184" fontId="10" fillId="3" borderId="14" xfId="1" applyNumberFormat="1" applyFont="1" applyFill="1" applyBorder="1"/>
    <xf numFmtId="0" fontId="9" fillId="3" borderId="25" xfId="1" applyFont="1" applyFill="1" applyBorder="1"/>
    <xf numFmtId="0" fontId="9" fillId="3" borderId="14" xfId="1" applyFont="1" applyFill="1" applyBorder="1"/>
    <xf numFmtId="0" fontId="9" fillId="3" borderId="10" xfId="1" applyFont="1" applyFill="1" applyBorder="1"/>
    <xf numFmtId="184" fontId="10" fillId="3" borderId="8" xfId="1" applyNumberFormat="1" applyFont="1" applyFill="1" applyBorder="1"/>
    <xf numFmtId="178" fontId="9" fillId="3" borderId="8" xfId="1" applyNumberFormat="1" applyFont="1" applyFill="1" applyBorder="1" applyAlignment="1">
      <alignment horizontal="right"/>
    </xf>
    <xf numFmtId="0" fontId="9" fillId="3" borderId="24" xfId="1" applyFont="1" applyFill="1" applyBorder="1"/>
    <xf numFmtId="0" fontId="9" fillId="3" borderId="9" xfId="1" applyFont="1" applyFill="1" applyBorder="1"/>
    <xf numFmtId="0" fontId="10" fillId="3" borderId="9" xfId="1" applyFont="1" applyFill="1" applyBorder="1" applyAlignment="1">
      <alignment horizontal="center"/>
    </xf>
    <xf numFmtId="184" fontId="10" fillId="3" borderId="9" xfId="1" applyNumberFormat="1" applyFont="1" applyFill="1" applyBorder="1"/>
    <xf numFmtId="178" fontId="9" fillId="3" borderId="9" xfId="1" applyNumberFormat="1" applyFont="1" applyFill="1" applyBorder="1" applyAlignment="1">
      <alignment horizontal="right"/>
    </xf>
    <xf numFmtId="178" fontId="10" fillId="3" borderId="9" xfId="1" applyNumberFormat="1" applyFont="1" applyFill="1" applyBorder="1"/>
    <xf numFmtId="0" fontId="9" fillId="3" borderId="0" xfId="1" applyFont="1" applyFill="1"/>
    <xf numFmtId="0" fontId="9" fillId="3" borderId="6" xfId="1" applyFont="1" applyFill="1" applyBorder="1"/>
    <xf numFmtId="178" fontId="10" fillId="3" borderId="9" xfId="1" applyNumberFormat="1" applyFont="1" applyFill="1" applyBorder="1" applyAlignment="1">
      <alignment horizontal="right"/>
    </xf>
    <xf numFmtId="0" fontId="10" fillId="3" borderId="9" xfId="1" applyFont="1" applyFill="1" applyBorder="1" applyAlignment="1">
      <alignment wrapText="1"/>
    </xf>
    <xf numFmtId="0" fontId="10" fillId="3" borderId="8" xfId="1" applyFont="1" applyFill="1" applyBorder="1" applyAlignment="1">
      <alignment shrinkToFit="1"/>
    </xf>
    <xf numFmtId="0" fontId="10" fillId="3" borderId="9" xfId="1" applyFont="1" applyFill="1" applyBorder="1" applyAlignment="1">
      <alignment shrinkToFit="1"/>
    </xf>
    <xf numFmtId="178" fontId="9" fillId="3" borderId="9" xfId="1" applyNumberFormat="1" applyFont="1" applyFill="1" applyBorder="1"/>
    <xf numFmtId="0" fontId="10" fillId="3" borderId="0" xfId="1" applyFont="1" applyFill="1" applyAlignment="1">
      <alignment horizontal="center"/>
    </xf>
    <xf numFmtId="0" fontId="10" fillId="3" borderId="25" xfId="1" applyFont="1" applyFill="1" applyBorder="1" applyAlignment="1">
      <alignment horizontal="center"/>
    </xf>
    <xf numFmtId="0" fontId="9" fillId="3" borderId="26" xfId="1" applyFont="1" applyFill="1" applyBorder="1"/>
    <xf numFmtId="0" fontId="10" fillId="3" borderId="17" xfId="1" applyFont="1" applyFill="1" applyBorder="1" applyAlignment="1">
      <alignment horizontal="center"/>
    </xf>
    <xf numFmtId="0" fontId="10" fillId="3" borderId="17" xfId="1" applyFont="1" applyFill="1" applyBorder="1" applyAlignment="1">
      <alignment wrapText="1"/>
    </xf>
    <xf numFmtId="0" fontId="10" fillId="3" borderId="17" xfId="1" applyFont="1" applyFill="1" applyBorder="1"/>
    <xf numFmtId="184" fontId="10" fillId="3" borderId="17" xfId="1" applyNumberFormat="1" applyFont="1" applyFill="1" applyBorder="1"/>
    <xf numFmtId="178" fontId="9" fillId="3" borderId="17" xfId="1" applyNumberFormat="1" applyFont="1" applyFill="1" applyBorder="1" applyAlignment="1">
      <alignment horizontal="right"/>
    </xf>
    <xf numFmtId="178" fontId="10" fillId="3" borderId="17" xfId="1" applyNumberFormat="1" applyFont="1" applyFill="1" applyBorder="1"/>
    <xf numFmtId="0" fontId="9" fillId="3" borderId="18" xfId="1" applyFont="1" applyFill="1" applyBorder="1"/>
    <xf numFmtId="0" fontId="9" fillId="3" borderId="20" xfId="1" applyFont="1" applyFill="1" applyBorder="1"/>
    <xf numFmtId="0" fontId="12" fillId="3" borderId="0" xfId="1" applyFont="1" applyFill="1" applyAlignment="1">
      <alignment horizontal="center"/>
    </xf>
    <xf numFmtId="0" fontId="9" fillId="3" borderId="16" xfId="1" applyFont="1" applyFill="1" applyBorder="1" applyAlignment="1">
      <alignment shrinkToFit="1"/>
    </xf>
    <xf numFmtId="0" fontId="9" fillId="2" borderId="8" xfId="1" applyFont="1" applyFill="1" applyBorder="1"/>
    <xf numFmtId="0" fontId="9" fillId="2" borderId="8" xfId="1" applyFont="1" applyFill="1" applyBorder="1" applyAlignment="1">
      <alignment shrinkToFit="1"/>
    </xf>
    <xf numFmtId="0" fontId="9" fillId="2" borderId="8" xfId="1" applyFont="1" applyFill="1" applyBorder="1" applyAlignment="1">
      <alignment horizontal="center"/>
    </xf>
    <xf numFmtId="178" fontId="9" fillId="2" borderId="8" xfId="1" applyNumberFormat="1" applyFont="1" applyFill="1" applyBorder="1" applyAlignment="1">
      <alignment horizontal="right"/>
    </xf>
    <xf numFmtId="178" fontId="10" fillId="2" borderId="8" xfId="1" applyNumberFormat="1" applyFont="1" applyFill="1" applyBorder="1"/>
    <xf numFmtId="0" fontId="9" fillId="3" borderId="9" xfId="1" applyFont="1" applyFill="1" applyBorder="1" applyAlignment="1">
      <alignment shrinkToFit="1"/>
    </xf>
    <xf numFmtId="0" fontId="9" fillId="3" borderId="9" xfId="1" applyFont="1" applyFill="1" applyBorder="1" applyAlignment="1">
      <alignment horizontal="center"/>
    </xf>
    <xf numFmtId="176" fontId="9" fillId="2" borderId="8" xfId="1" applyNumberFormat="1" applyFont="1" applyFill="1" applyBorder="1" applyAlignment="1">
      <alignment horizontal="center"/>
    </xf>
    <xf numFmtId="178" fontId="9" fillId="2" borderId="8" xfId="1" applyNumberFormat="1" applyFont="1" applyFill="1" applyBorder="1"/>
    <xf numFmtId="0" fontId="9" fillId="3" borderId="25" xfId="1" applyFont="1" applyFill="1" applyBorder="1" applyAlignment="1">
      <alignment horizontal="center"/>
    </xf>
    <xf numFmtId="179" fontId="9" fillId="3" borderId="9" xfId="1" applyNumberFormat="1" applyFont="1" applyFill="1" applyBorder="1" applyAlignment="1">
      <alignment horizontal="right"/>
    </xf>
    <xf numFmtId="176" fontId="9" fillId="3" borderId="9" xfId="1" applyNumberFormat="1" applyFont="1" applyFill="1" applyBorder="1" applyAlignment="1">
      <alignment horizontal="center"/>
    </xf>
    <xf numFmtId="0" fontId="9" fillId="3" borderId="25" xfId="1" applyFont="1" applyFill="1" applyBorder="1" applyAlignment="1">
      <alignment shrinkToFit="1"/>
    </xf>
    <xf numFmtId="178" fontId="9" fillId="3" borderId="25" xfId="1" applyNumberFormat="1" applyFont="1" applyFill="1" applyBorder="1" applyAlignment="1">
      <alignment horizontal="right"/>
    </xf>
    <xf numFmtId="178" fontId="10" fillId="3" borderId="25" xfId="1" applyNumberFormat="1" applyFont="1" applyFill="1" applyBorder="1"/>
    <xf numFmtId="0" fontId="9" fillId="0" borderId="0" xfId="0" applyFont="1">
      <alignment vertical="center"/>
    </xf>
    <xf numFmtId="179" fontId="10" fillId="3" borderId="9" xfId="1" applyNumberFormat="1" applyFont="1" applyFill="1" applyBorder="1"/>
    <xf numFmtId="0" fontId="9" fillId="2" borderId="9" xfId="1" applyFont="1" applyFill="1" applyBorder="1"/>
    <xf numFmtId="0" fontId="9" fillId="2" borderId="9" xfId="1" applyFont="1" applyFill="1" applyBorder="1" applyAlignment="1">
      <alignment shrinkToFit="1"/>
    </xf>
    <xf numFmtId="0" fontId="9" fillId="2" borderId="9" xfId="1" applyFont="1" applyFill="1" applyBorder="1" applyAlignment="1">
      <alignment horizontal="center"/>
    </xf>
    <xf numFmtId="178" fontId="9" fillId="2" borderId="9" xfId="1" applyNumberFormat="1" applyFont="1" applyFill="1" applyBorder="1" applyAlignment="1">
      <alignment horizontal="right"/>
    </xf>
    <xf numFmtId="178" fontId="10" fillId="2" borderId="9" xfId="1" applyNumberFormat="1" applyFont="1" applyFill="1" applyBorder="1"/>
    <xf numFmtId="178" fontId="9" fillId="3" borderId="25" xfId="1" applyNumberFormat="1" applyFont="1" applyFill="1" applyBorder="1"/>
    <xf numFmtId="176" fontId="9" fillId="3" borderId="25" xfId="1" applyNumberFormat="1" applyFont="1" applyFill="1" applyBorder="1" applyAlignment="1">
      <alignment horizontal="center"/>
    </xf>
    <xf numFmtId="0" fontId="12" fillId="3" borderId="0" xfId="1" applyFont="1" applyFill="1" applyAlignment="1">
      <alignment shrinkToFit="1"/>
    </xf>
    <xf numFmtId="0" fontId="12" fillId="3" borderId="0" xfId="1" applyFont="1" applyFill="1" applyAlignment="1">
      <alignment horizontal="left"/>
    </xf>
    <xf numFmtId="178" fontId="12" fillId="3" borderId="0" xfId="1" applyNumberFormat="1" applyFont="1" applyFill="1"/>
    <xf numFmtId="0" fontId="15" fillId="4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9" fillId="3" borderId="7" xfId="2" applyFont="1" applyFill="1" applyBorder="1" applyAlignment="1">
      <alignment horizontal="center" vertical="center"/>
    </xf>
    <xf numFmtId="180" fontId="17" fillId="0" borderId="7" xfId="0" applyNumberFormat="1" applyFont="1" applyBorder="1">
      <alignment vertical="center"/>
    </xf>
    <xf numFmtId="186" fontId="9" fillId="3" borderId="29" xfId="1" applyNumberFormat="1" applyFont="1" applyFill="1" applyBorder="1" applyAlignment="1">
      <alignment horizontal="left" shrinkToFit="1"/>
    </xf>
    <xf numFmtId="186" fontId="9" fillId="3" borderId="15" xfId="1" applyNumberFormat="1" applyFont="1" applyFill="1" applyBorder="1" applyAlignment="1">
      <alignment horizontal="left" shrinkToFit="1"/>
    </xf>
    <xf numFmtId="186" fontId="9" fillId="2" borderId="11" xfId="1" applyNumberFormat="1" applyFont="1" applyFill="1" applyBorder="1" applyAlignment="1">
      <alignment horizontal="left" shrinkToFit="1"/>
    </xf>
    <xf numFmtId="186" fontId="12" fillId="3" borderId="29" xfId="1" applyNumberFormat="1" applyFont="1" applyFill="1" applyBorder="1" applyAlignment="1">
      <alignment horizontal="left" shrinkToFit="1"/>
    </xf>
    <xf numFmtId="186" fontId="9" fillId="2" borderId="29" xfId="1" applyNumberFormat="1" applyFont="1" applyFill="1" applyBorder="1" applyAlignment="1">
      <alignment horizontal="left" shrinkToFit="1"/>
    </xf>
    <xf numFmtId="178" fontId="9" fillId="2" borderId="11" xfId="1" applyNumberFormat="1" applyFont="1" applyFill="1" applyBorder="1" applyAlignment="1">
      <alignment horizontal="left" shrinkToFit="1"/>
    </xf>
    <xf numFmtId="178" fontId="9" fillId="3" borderId="29" xfId="1" applyNumberFormat="1" applyFont="1" applyFill="1" applyBorder="1" applyAlignment="1">
      <alignment horizontal="left" shrinkToFit="1"/>
    </xf>
    <xf numFmtId="178" fontId="12" fillId="3" borderId="29" xfId="1" applyNumberFormat="1" applyFont="1" applyFill="1" applyBorder="1" applyAlignment="1">
      <alignment horizontal="left" shrinkToFit="1"/>
    </xf>
    <xf numFmtId="0" fontId="9" fillId="2" borderId="11" xfId="1" applyFont="1" applyFill="1" applyBorder="1" applyAlignment="1">
      <alignment horizontal="left" shrinkToFit="1"/>
    </xf>
    <xf numFmtId="0" fontId="12" fillId="3" borderId="29" xfId="1" applyFont="1" applyFill="1" applyBorder="1" applyAlignment="1">
      <alignment horizontal="left" shrinkToFit="1"/>
    </xf>
    <xf numFmtId="186" fontId="9" fillId="3" borderId="15" xfId="1" applyNumberFormat="1" applyFont="1" applyFill="1" applyBorder="1" applyAlignment="1">
      <alignment shrinkToFit="1"/>
    </xf>
    <xf numFmtId="0" fontId="9" fillId="3" borderId="29" xfId="1" applyFont="1" applyFill="1" applyBorder="1" applyAlignment="1">
      <alignment horizontal="left" shrinkToFit="1"/>
    </xf>
    <xf numFmtId="0" fontId="9" fillId="3" borderId="15" xfId="1" applyFont="1" applyFill="1" applyBorder="1" applyAlignment="1">
      <alignment horizontal="left" shrinkToFit="1"/>
    </xf>
    <xf numFmtId="178" fontId="9" fillId="2" borderId="29" xfId="1" applyNumberFormat="1" applyFont="1" applyFill="1" applyBorder="1" applyAlignment="1">
      <alignment horizontal="left" shrinkToFit="1"/>
    </xf>
    <xf numFmtId="178" fontId="9" fillId="3" borderId="15" xfId="1" applyNumberFormat="1" applyFont="1" applyFill="1" applyBorder="1" applyAlignment="1">
      <alignment horizontal="left" shrinkToFit="1"/>
    </xf>
    <xf numFmtId="183" fontId="9" fillId="3" borderId="9" xfId="1" applyNumberFormat="1" applyFont="1" applyFill="1" applyBorder="1"/>
    <xf numFmtId="183" fontId="9" fillId="2" borderId="8" xfId="1" applyNumberFormat="1" applyFont="1" applyFill="1" applyBorder="1"/>
    <xf numFmtId="183" fontId="9" fillId="2" borderId="8" xfId="1" applyNumberFormat="1" applyFont="1" applyFill="1" applyBorder="1" applyAlignment="1">
      <alignment horizontal="right"/>
    </xf>
    <xf numFmtId="183" fontId="9" fillId="3" borderId="9" xfId="1" applyNumberFormat="1" applyFont="1" applyFill="1" applyBorder="1" applyAlignment="1">
      <alignment horizontal="right"/>
    </xf>
    <xf numFmtId="183" fontId="9" fillId="3" borderId="25" xfId="1" applyNumberFormat="1" applyFont="1" applyFill="1" applyBorder="1"/>
    <xf numFmtId="183" fontId="9" fillId="3" borderId="25" xfId="1" applyNumberFormat="1" applyFont="1" applyFill="1" applyBorder="1" applyAlignment="1">
      <alignment horizontal="right"/>
    </xf>
    <xf numFmtId="183" fontId="9" fillId="2" borderId="9" xfId="1" applyNumberFormat="1" applyFont="1" applyFill="1" applyBorder="1"/>
    <xf numFmtId="183" fontId="12" fillId="3" borderId="0" xfId="1" applyNumberFormat="1" applyFont="1" applyFill="1"/>
    <xf numFmtId="186" fontId="25" fillId="3" borderId="29" xfId="1" applyNumberFormat="1" applyFont="1" applyFill="1" applyBorder="1" applyAlignment="1">
      <alignment horizontal="left" shrinkToFit="1"/>
    </xf>
    <xf numFmtId="186" fontId="19" fillId="2" borderId="11" xfId="1" applyNumberFormat="1" applyFont="1" applyFill="1" applyBorder="1" applyAlignment="1">
      <alignment horizontal="left" shrinkToFit="1"/>
    </xf>
    <xf numFmtId="186" fontId="19" fillId="3" borderId="29" xfId="1" applyNumberFormat="1" applyFont="1" applyFill="1" applyBorder="1" applyAlignment="1">
      <alignment horizontal="left" shrinkToFit="1"/>
    </xf>
    <xf numFmtId="183" fontId="9" fillId="2" borderId="9" xfId="1" applyNumberFormat="1" applyFont="1" applyFill="1" applyBorder="1" applyAlignment="1">
      <alignment horizontal="right"/>
    </xf>
    <xf numFmtId="183" fontId="24" fillId="0" borderId="9" xfId="0" applyNumberFormat="1" applyFont="1" applyBorder="1">
      <alignment vertical="center"/>
    </xf>
    <xf numFmtId="0" fontId="20" fillId="3" borderId="0" xfId="0" applyFont="1" applyFill="1" applyAlignment="1"/>
    <xf numFmtId="0" fontId="22" fillId="3" borderId="0" xfId="0" applyFont="1" applyFill="1" applyAlignment="1"/>
    <xf numFmtId="0" fontId="21" fillId="3" borderId="0" xfId="0" applyFont="1" applyFill="1" applyAlignment="1"/>
    <xf numFmtId="187" fontId="7" fillId="0" borderId="20" xfId="0" applyNumberFormat="1" applyFont="1" applyBorder="1">
      <alignment vertical="center"/>
    </xf>
    <xf numFmtId="187" fontId="7" fillId="0" borderId="34" xfId="0" applyNumberFormat="1" applyFont="1" applyBorder="1">
      <alignment vertical="center"/>
    </xf>
    <xf numFmtId="0" fontId="9" fillId="3" borderId="31" xfId="1" applyFont="1" applyFill="1" applyBorder="1"/>
    <xf numFmtId="183" fontId="24" fillId="2" borderId="8" xfId="0" applyNumberFormat="1" applyFont="1" applyFill="1" applyBorder="1">
      <alignment vertical="center"/>
    </xf>
    <xf numFmtId="182" fontId="24" fillId="0" borderId="9" xfId="0" applyNumberFormat="1" applyFont="1" applyBorder="1">
      <alignment vertical="center"/>
    </xf>
    <xf numFmtId="180" fontId="24" fillId="0" borderId="7" xfId="0" applyNumberFormat="1" applyFont="1" applyBorder="1">
      <alignment vertical="center"/>
    </xf>
    <xf numFmtId="0" fontId="24" fillId="0" borderId="7" xfId="0" applyFont="1" applyBorder="1" applyAlignment="1">
      <alignment horizontal="center" vertical="center"/>
    </xf>
    <xf numFmtId="183" fontId="10" fillId="3" borderId="8" xfId="1" applyNumberFormat="1" applyFont="1" applyFill="1" applyBorder="1"/>
    <xf numFmtId="183" fontId="10" fillId="3" borderId="9" xfId="1" applyNumberFormat="1" applyFont="1" applyFill="1" applyBorder="1"/>
    <xf numFmtId="0" fontId="26" fillId="0" borderId="12" xfId="0" applyFont="1" applyBorder="1" applyAlignment="1">
      <alignment vertical="center" shrinkToFit="1"/>
    </xf>
    <xf numFmtId="0" fontId="26" fillId="0" borderId="13" xfId="0" applyFont="1" applyBorder="1" applyAlignment="1">
      <alignment vertical="center" shrinkToFit="1"/>
    </xf>
    <xf numFmtId="0" fontId="27" fillId="0" borderId="0" xfId="0" applyFont="1">
      <alignment vertical="center"/>
    </xf>
    <xf numFmtId="177" fontId="12" fillId="3" borderId="0" xfId="1" applyNumberFormat="1" applyFont="1" applyFill="1"/>
    <xf numFmtId="178" fontId="9" fillId="0" borderId="14" xfId="0" applyNumberFormat="1" applyFont="1" applyBorder="1">
      <alignment vertical="center"/>
    </xf>
    <xf numFmtId="0" fontId="12" fillId="3" borderId="8" xfId="1" applyFont="1" applyFill="1" applyBorder="1" applyAlignment="1">
      <alignment horizontal="center" vertical="center"/>
    </xf>
    <xf numFmtId="183" fontId="12" fillId="3" borderId="8" xfId="1" applyNumberFormat="1" applyFont="1" applyFill="1" applyBorder="1" applyAlignment="1">
      <alignment horizontal="center" vertical="center"/>
    </xf>
    <xf numFmtId="186" fontId="9" fillId="3" borderId="16" xfId="1" applyNumberFormat="1" applyFont="1" applyFill="1" applyBorder="1" applyAlignment="1">
      <alignment shrinkToFit="1"/>
    </xf>
    <xf numFmtId="186" fontId="9" fillId="3" borderId="31" xfId="1" applyNumberFormat="1" applyFont="1" applyFill="1" applyBorder="1" applyAlignment="1">
      <alignment shrinkToFit="1"/>
    </xf>
    <xf numFmtId="186" fontId="9" fillId="2" borderId="36" xfId="1" applyNumberFormat="1" applyFont="1" applyFill="1" applyBorder="1" applyAlignment="1">
      <alignment shrinkToFit="1"/>
    </xf>
    <xf numFmtId="186" fontId="19" fillId="2" borderId="36" xfId="1" applyNumberFormat="1" applyFont="1" applyFill="1" applyBorder="1" applyAlignment="1">
      <alignment shrinkToFit="1"/>
    </xf>
    <xf numFmtId="186" fontId="19" fillId="3" borderId="16" xfId="1" applyNumberFormat="1" applyFont="1" applyFill="1" applyBorder="1" applyAlignment="1">
      <alignment shrinkToFit="1"/>
    </xf>
    <xf numFmtId="186" fontId="9" fillId="3" borderId="31" xfId="1" applyNumberFormat="1" applyFont="1" applyFill="1" applyBorder="1" applyAlignment="1">
      <alignment horizontal="left" shrinkToFit="1"/>
    </xf>
    <xf numFmtId="186" fontId="19" fillId="3" borderId="31" xfId="1" applyNumberFormat="1" applyFont="1" applyFill="1" applyBorder="1" applyAlignment="1">
      <alignment shrinkToFit="1"/>
    </xf>
    <xf numFmtId="186" fontId="9" fillId="2" borderId="16" xfId="1" applyNumberFormat="1" applyFont="1" applyFill="1" applyBorder="1" applyAlignment="1">
      <alignment shrinkToFit="1"/>
    </xf>
    <xf numFmtId="178" fontId="9" fillId="2" borderId="36" xfId="1" applyNumberFormat="1" applyFont="1" applyFill="1" applyBorder="1" applyAlignment="1">
      <alignment shrinkToFit="1"/>
    </xf>
    <xf numFmtId="178" fontId="9" fillId="3" borderId="16" xfId="1" applyNumberFormat="1" applyFont="1" applyFill="1" applyBorder="1" applyAlignment="1">
      <alignment shrinkToFit="1"/>
    </xf>
    <xf numFmtId="178" fontId="9" fillId="2" borderId="16" xfId="1" applyNumberFormat="1" applyFont="1" applyFill="1" applyBorder="1" applyAlignment="1">
      <alignment shrinkToFit="1"/>
    </xf>
    <xf numFmtId="178" fontId="9" fillId="3" borderId="31" xfId="1" applyNumberFormat="1" applyFont="1" applyFill="1" applyBorder="1" applyAlignment="1">
      <alignment shrinkToFit="1"/>
    </xf>
    <xf numFmtId="186" fontId="9" fillId="3" borderId="16" xfId="1" applyNumberFormat="1" applyFont="1" applyFill="1" applyBorder="1" applyAlignment="1">
      <alignment horizontal="left" shrinkToFit="1"/>
    </xf>
    <xf numFmtId="0" fontId="9" fillId="2" borderId="36" xfId="1" applyFont="1" applyFill="1" applyBorder="1" applyAlignment="1">
      <alignment shrinkToFit="1"/>
    </xf>
    <xf numFmtId="186" fontId="9" fillId="2" borderId="36" xfId="1" applyNumberFormat="1" applyFont="1" applyFill="1" applyBorder="1" applyAlignment="1">
      <alignment horizontal="left" shrinkToFit="1"/>
    </xf>
    <xf numFmtId="188" fontId="24" fillId="2" borderId="8" xfId="0" applyNumberFormat="1" applyFont="1" applyFill="1" applyBorder="1">
      <alignment vertical="center"/>
    </xf>
    <xf numFmtId="188" fontId="24" fillId="0" borderId="9" xfId="0" applyNumberFormat="1" applyFont="1" applyBorder="1">
      <alignment vertical="center"/>
    </xf>
    <xf numFmtId="41" fontId="12" fillId="3" borderId="0" xfId="1" applyNumberFormat="1" applyFont="1" applyFill="1"/>
    <xf numFmtId="0" fontId="12" fillId="3" borderId="36" xfId="1" applyFont="1" applyFill="1" applyBorder="1" applyAlignment="1">
      <alignment horizontal="center" vertical="center" shrinkToFit="1"/>
    </xf>
    <xf numFmtId="43" fontId="24" fillId="0" borderId="9" xfId="0" applyNumberFormat="1" applyFont="1" applyBorder="1">
      <alignment vertical="center"/>
    </xf>
    <xf numFmtId="185" fontId="24" fillId="0" borderId="11" xfId="0" applyNumberFormat="1" applyFont="1" applyBorder="1">
      <alignment vertical="center"/>
    </xf>
    <xf numFmtId="185" fontId="24" fillId="0" borderId="15" xfId="0" applyNumberFormat="1" applyFont="1" applyBorder="1">
      <alignment vertical="center"/>
    </xf>
    <xf numFmtId="43" fontId="26" fillId="0" borderId="11" xfId="0" applyNumberFormat="1" applyFont="1" applyBorder="1" applyAlignment="1">
      <alignment vertical="center" shrinkToFit="1"/>
    </xf>
    <xf numFmtId="43" fontId="24" fillId="0" borderId="0" xfId="0" applyNumberFormat="1" applyFont="1">
      <alignment vertical="center"/>
    </xf>
    <xf numFmtId="43" fontId="24" fillId="0" borderId="11" xfId="0" applyNumberFormat="1" applyFont="1" applyBorder="1">
      <alignment vertical="center"/>
    </xf>
    <xf numFmtId="43" fontId="24" fillId="0" borderId="15" xfId="0" applyNumberFormat="1" applyFont="1" applyBorder="1">
      <alignment vertical="center"/>
    </xf>
    <xf numFmtId="182" fontId="24" fillId="0" borderId="14" xfId="0" applyNumberFormat="1" applyFont="1" applyBorder="1">
      <alignment vertical="center"/>
    </xf>
    <xf numFmtId="0" fontId="2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6" fillId="0" borderId="6" xfId="0" applyFont="1" applyBorder="1" applyAlignment="1">
      <alignment vertical="center" shrinkToFit="1"/>
    </xf>
    <xf numFmtId="0" fontId="24" fillId="0" borderId="37" xfId="0" applyFont="1" applyBorder="1">
      <alignment vertical="center"/>
    </xf>
    <xf numFmtId="184" fontId="24" fillId="0" borderId="37" xfId="0" applyNumberFormat="1" applyFont="1" applyBorder="1">
      <alignment vertical="center"/>
    </xf>
    <xf numFmtId="41" fontId="24" fillId="0" borderId="37" xfId="0" applyNumberFormat="1" applyFont="1" applyBorder="1">
      <alignment vertical="center"/>
    </xf>
    <xf numFmtId="0" fontId="24" fillId="0" borderId="37" xfId="0" applyFont="1" applyBorder="1" applyAlignment="1">
      <alignment horizontal="center" vertical="center"/>
    </xf>
    <xf numFmtId="0" fontId="9" fillId="3" borderId="8" xfId="1" applyFont="1" applyFill="1" applyBorder="1"/>
    <xf numFmtId="183" fontId="24" fillId="5" borderId="9" xfId="0" applyNumberFormat="1" applyFont="1" applyFill="1" applyBorder="1">
      <alignment vertical="center"/>
    </xf>
    <xf numFmtId="0" fontId="24" fillId="5" borderId="9" xfId="0" applyFont="1" applyFill="1" applyBorder="1">
      <alignment vertical="center"/>
    </xf>
    <xf numFmtId="41" fontId="24" fillId="5" borderId="9" xfId="0" applyNumberFormat="1" applyFont="1" applyFill="1" applyBorder="1">
      <alignment vertical="center"/>
    </xf>
    <xf numFmtId="182" fontId="24" fillId="5" borderId="9" xfId="0" applyNumberFormat="1" applyFont="1" applyFill="1" applyBorder="1">
      <alignment vertical="center"/>
    </xf>
    <xf numFmtId="184" fontId="24" fillId="5" borderId="17" xfId="0" applyNumberFormat="1" applyFont="1" applyFill="1" applyBorder="1">
      <alignment vertical="center"/>
    </xf>
    <xf numFmtId="0" fontId="24" fillId="5" borderId="17" xfId="0" applyFont="1" applyFill="1" applyBorder="1">
      <alignment vertical="center"/>
    </xf>
    <xf numFmtId="41" fontId="24" fillId="5" borderId="17" xfId="0" applyNumberFormat="1" applyFont="1" applyFill="1" applyBorder="1">
      <alignment vertical="center"/>
    </xf>
    <xf numFmtId="177" fontId="24" fillId="0" borderId="0" xfId="0" applyNumberFormat="1" applyFont="1">
      <alignment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horizontal="center" vertical="center"/>
    </xf>
    <xf numFmtId="0" fontId="28" fillId="5" borderId="36" xfId="0" applyFont="1" applyFill="1" applyBorder="1" applyAlignment="1">
      <alignment horizontal="left" vertical="center" shrinkToFit="1"/>
    </xf>
    <xf numFmtId="0" fontId="33" fillId="0" borderId="0" xfId="3" applyFont="1" applyAlignment="1"/>
    <xf numFmtId="0" fontId="33" fillId="0" borderId="0" xfId="3" applyFont="1" applyAlignment="1">
      <alignment horizontal="center"/>
    </xf>
    <xf numFmtId="0" fontId="35" fillId="0" borderId="0" xfId="3" applyFont="1" applyAlignment="1"/>
    <xf numFmtId="0" fontId="4" fillId="0" borderId="0" xfId="3" applyFont="1" applyAlignment="1"/>
    <xf numFmtId="0" fontId="37" fillId="0" borderId="0" xfId="3" applyFont="1" applyAlignment="1"/>
    <xf numFmtId="0" fontId="36" fillId="0" borderId="0" xfId="3" applyFont="1" applyAlignment="1"/>
    <xf numFmtId="0" fontId="36" fillId="0" borderId="0" xfId="3" applyFont="1" applyAlignment="1">
      <alignment horizontal="center"/>
    </xf>
    <xf numFmtId="0" fontId="41" fillId="0" borderId="0" xfId="3" applyFont="1" applyAlignment="1"/>
    <xf numFmtId="0" fontId="42" fillId="0" borderId="0" xfId="3" applyFont="1" applyAlignment="1"/>
    <xf numFmtId="0" fontId="33" fillId="0" borderId="0" xfId="3" applyFont="1">
      <alignment vertical="center"/>
    </xf>
    <xf numFmtId="0" fontId="28" fillId="5" borderId="12" xfId="0" applyFont="1" applyFill="1" applyBorder="1" applyAlignment="1">
      <alignment horizontal="left" vertical="center" shrinkToFit="1"/>
    </xf>
    <xf numFmtId="0" fontId="24" fillId="0" borderId="32" xfId="0" applyFont="1" applyBorder="1" applyAlignment="1">
      <alignment horizontal="left" vertical="top"/>
    </xf>
    <xf numFmtId="0" fontId="24" fillId="0" borderId="12" xfId="0" applyFont="1" applyBorder="1" applyAlignment="1">
      <alignment horizontal="left" vertical="top"/>
    </xf>
    <xf numFmtId="0" fontId="24" fillId="0" borderId="33" xfId="0" applyFont="1" applyBorder="1" applyAlignment="1">
      <alignment horizontal="left" vertical="top"/>
    </xf>
    <xf numFmtId="0" fontId="24" fillId="5" borderId="32" xfId="0" applyFont="1" applyFill="1" applyBorder="1" applyAlignment="1">
      <alignment horizontal="left" vertical="top"/>
    </xf>
    <xf numFmtId="0" fontId="24" fillId="5" borderId="33" xfId="0" applyFont="1" applyFill="1" applyBorder="1" applyAlignment="1">
      <alignment horizontal="left" vertical="top"/>
    </xf>
    <xf numFmtId="182" fontId="24" fillId="0" borderId="10" xfId="0" applyNumberFormat="1" applyFont="1" applyBorder="1">
      <alignment vertical="center"/>
    </xf>
    <xf numFmtId="0" fontId="28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43" fontId="31" fillId="0" borderId="11" xfId="0" applyNumberFormat="1" applyFont="1" applyBorder="1" applyAlignment="1">
      <alignment horizontal="center" vertical="center"/>
    </xf>
    <xf numFmtId="189" fontId="28" fillId="0" borderId="0" xfId="0" applyNumberFormat="1" applyFont="1" applyAlignment="1">
      <alignment vertical="center" shrinkToFit="1"/>
    </xf>
    <xf numFmtId="0" fontId="28" fillId="5" borderId="12" xfId="0" applyFont="1" applyFill="1" applyBorder="1" applyAlignment="1">
      <alignment horizontal="left" vertical="top"/>
    </xf>
    <xf numFmtId="0" fontId="10" fillId="3" borderId="18" xfId="1" applyFont="1" applyFill="1" applyBorder="1" applyAlignment="1">
      <alignment horizontal="left" vertical="center"/>
    </xf>
    <xf numFmtId="0" fontId="10" fillId="3" borderId="40" xfId="1" applyFont="1" applyFill="1" applyBorder="1" applyAlignment="1">
      <alignment horizontal="left" vertical="center"/>
    </xf>
    <xf numFmtId="0" fontId="9" fillId="3" borderId="23" xfId="1" applyFont="1" applyFill="1" applyBorder="1" applyAlignment="1">
      <alignment horizontal="center" vertical="center"/>
    </xf>
    <xf numFmtId="0" fontId="12" fillId="3" borderId="47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wrapText="1"/>
    </xf>
    <xf numFmtId="0" fontId="10" fillId="3" borderId="9" xfId="1" applyFont="1" applyFill="1" applyBorder="1" applyAlignment="1">
      <alignment wrapText="1"/>
    </xf>
    <xf numFmtId="0" fontId="10" fillId="3" borderId="25" xfId="1" applyFont="1" applyFill="1" applyBorder="1" applyAlignment="1">
      <alignment wrapText="1"/>
    </xf>
    <xf numFmtId="0" fontId="11" fillId="3" borderId="18" xfId="1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right" vertical="center"/>
    </xf>
    <xf numFmtId="0" fontId="12" fillId="3" borderId="38" xfId="1" applyFont="1" applyFill="1" applyBorder="1" applyAlignment="1">
      <alignment horizontal="center" vertical="center"/>
    </xf>
    <xf numFmtId="0" fontId="12" fillId="3" borderId="39" xfId="1" applyFont="1" applyFill="1" applyBorder="1" applyAlignment="1">
      <alignment horizontal="center" vertical="center"/>
    </xf>
    <xf numFmtId="0" fontId="43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39" fillId="0" borderId="0" xfId="3" applyFont="1" applyAlignment="1">
      <alignment horizontal="distributed"/>
    </xf>
    <xf numFmtId="0" fontId="40" fillId="0" borderId="0" xfId="3" applyFont="1" applyAlignment="1">
      <alignment horizontal="center" vertical="center"/>
    </xf>
    <xf numFmtId="0" fontId="42" fillId="0" borderId="0" xfId="3" applyFont="1" applyAlignment="1">
      <alignment horizontal="center"/>
    </xf>
    <xf numFmtId="0" fontId="42" fillId="0" borderId="0" xfId="3" applyFont="1" applyAlignment="1"/>
    <xf numFmtId="0" fontId="34" fillId="0" borderId="0" xfId="3" applyFont="1" applyAlignment="1">
      <alignment horizontal="center" vertical="center" textRotation="255" wrapText="1"/>
    </xf>
    <xf numFmtId="0" fontId="4" fillId="0" borderId="18" xfId="3" applyFont="1" applyBorder="1" applyAlignment="1">
      <alignment horizontal="center"/>
    </xf>
    <xf numFmtId="186" fontId="9" fillId="3" borderId="15" xfId="1" applyNumberFormat="1" applyFont="1" applyFill="1" applyBorder="1" applyAlignment="1">
      <alignment horizontal="left" shrinkToFit="1"/>
    </xf>
    <xf numFmtId="186" fontId="9" fillId="3" borderId="31" xfId="1" applyNumberFormat="1" applyFont="1" applyFill="1" applyBorder="1" applyAlignment="1">
      <alignment horizontal="left" shrinkToFit="1"/>
    </xf>
    <xf numFmtId="0" fontId="13" fillId="3" borderId="41" xfId="1" applyFont="1" applyFill="1" applyBorder="1" applyAlignment="1">
      <alignment horizontal="center" vertical="center"/>
    </xf>
    <xf numFmtId="0" fontId="10" fillId="3" borderId="41" xfId="1" applyFont="1" applyFill="1" applyBorder="1" applyAlignment="1">
      <alignment horizontal="right" vertical="center"/>
    </xf>
    <xf numFmtId="0" fontId="10" fillId="3" borderId="42" xfId="1" applyFont="1" applyFill="1" applyBorder="1" applyAlignment="1">
      <alignment horizontal="right" vertical="center"/>
    </xf>
    <xf numFmtId="0" fontId="12" fillId="3" borderId="11" xfId="1" applyFont="1" applyFill="1" applyBorder="1" applyAlignment="1">
      <alignment horizontal="center" vertical="center"/>
    </xf>
    <xf numFmtId="0" fontId="12" fillId="3" borderId="36" xfId="1" applyFont="1" applyFill="1" applyBorder="1" applyAlignment="1">
      <alignment horizontal="center" vertical="center"/>
    </xf>
    <xf numFmtId="186" fontId="9" fillId="3" borderId="15" xfId="1" applyNumberFormat="1" applyFont="1" applyFill="1" applyBorder="1" applyAlignment="1">
      <alignment horizontal="left" vertical="center" shrinkToFit="1"/>
    </xf>
    <xf numFmtId="186" fontId="9" fillId="3" borderId="31" xfId="1" applyNumberFormat="1" applyFont="1" applyFill="1" applyBorder="1" applyAlignment="1">
      <alignment horizontal="left" vertical="center" shrinkToFit="1"/>
    </xf>
    <xf numFmtId="0" fontId="9" fillId="3" borderId="15" xfId="1" applyFont="1" applyFill="1" applyBorder="1" applyAlignment="1">
      <alignment horizontal="left" shrinkToFit="1"/>
    </xf>
    <xf numFmtId="0" fontId="9" fillId="3" borderId="31" xfId="1" applyFont="1" applyFill="1" applyBorder="1" applyAlignment="1">
      <alignment horizontal="left" shrinkToFit="1"/>
    </xf>
    <xf numFmtId="186" fontId="9" fillId="3" borderId="29" xfId="1" applyNumberFormat="1" applyFont="1" applyFill="1" applyBorder="1" applyAlignment="1">
      <alignment horizontal="left" shrinkToFit="1"/>
    </xf>
    <xf numFmtId="186" fontId="9" fillId="3" borderId="16" xfId="1" applyNumberFormat="1" applyFont="1" applyFill="1" applyBorder="1" applyAlignment="1">
      <alignment horizontal="left" shrinkToFit="1"/>
    </xf>
    <xf numFmtId="0" fontId="12" fillId="3" borderId="29" xfId="1" applyFont="1" applyFill="1" applyBorder="1" applyAlignment="1">
      <alignment horizontal="left" shrinkToFit="1"/>
    </xf>
    <xf numFmtId="0" fontId="12" fillId="3" borderId="16" xfId="1" applyFont="1" applyFill="1" applyBorder="1" applyAlignment="1">
      <alignment horizontal="left" shrinkToFit="1"/>
    </xf>
    <xf numFmtId="190" fontId="7" fillId="0" borderId="11" xfId="0" applyNumberFormat="1" applyFont="1" applyBorder="1" applyAlignment="1">
      <alignment horizontal="left" vertical="center"/>
    </xf>
    <xf numFmtId="190" fontId="7" fillId="0" borderId="12" xfId="0" applyNumberFormat="1" applyFont="1" applyBorder="1" applyAlignment="1">
      <alignment horizontal="left" vertical="center"/>
    </xf>
    <xf numFmtId="190" fontId="7" fillId="0" borderId="13" xfId="0" applyNumberFormat="1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84" fontId="8" fillId="0" borderId="28" xfId="0" applyNumberFormat="1" applyFont="1" applyBorder="1" applyAlignment="1">
      <alignment horizontal="center" vertical="center"/>
    </xf>
    <xf numFmtId="184" fontId="8" fillId="0" borderId="25" xfId="0" applyNumberFormat="1" applyFont="1" applyBorder="1" applyAlignment="1">
      <alignment horizontal="center" vertical="center"/>
    </xf>
    <xf numFmtId="41" fontId="8" fillId="0" borderId="28" xfId="0" applyNumberFormat="1" applyFont="1" applyBorder="1" applyAlignment="1">
      <alignment horizontal="center" vertical="center"/>
    </xf>
    <xf numFmtId="41" fontId="8" fillId="0" borderId="25" xfId="0" applyNumberFormat="1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15" xfId="0" applyFont="1" applyBorder="1">
      <alignment vertical="center"/>
    </xf>
    <xf numFmtId="0" fontId="24" fillId="0" borderId="31" xfId="0" applyFont="1" applyBorder="1">
      <alignment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24" fillId="0" borderId="32" xfId="0" applyFont="1" applyBorder="1">
      <alignment vertical="center"/>
    </xf>
    <xf numFmtId="0" fontId="24" fillId="0" borderId="36" xfId="0" applyFont="1" applyBorder="1">
      <alignment vertical="center"/>
    </xf>
    <xf numFmtId="0" fontId="24" fillId="0" borderId="33" xfId="0" applyFont="1" applyBorder="1">
      <alignment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36" xfId="0" applyFont="1" applyBorder="1" applyAlignment="1">
      <alignment horizontal="center" vertical="center" shrinkToFit="1"/>
    </xf>
    <xf numFmtId="0" fontId="24" fillId="0" borderId="15" xfId="0" applyFont="1" applyBorder="1" applyAlignment="1">
      <alignment horizontal="center" vertical="center" shrinkToFit="1"/>
    </xf>
    <xf numFmtId="0" fontId="24" fillId="0" borderId="31" xfId="0" applyFont="1" applyBorder="1" applyAlignment="1">
      <alignment horizontal="center" vertical="center" shrinkToFit="1"/>
    </xf>
    <xf numFmtId="0" fontId="24" fillId="0" borderId="0" xfId="0" applyFont="1" applyAlignment="1">
      <alignment vertical="center" shrinkToFit="1"/>
    </xf>
    <xf numFmtId="0" fontId="28" fillId="0" borderId="0" xfId="0" applyFont="1" applyAlignment="1">
      <alignment horizontal="right" vertical="center"/>
    </xf>
    <xf numFmtId="0" fontId="24" fillId="5" borderId="32" xfId="0" applyFont="1" applyFill="1" applyBorder="1" applyAlignment="1">
      <alignment horizontal="center" vertical="center"/>
    </xf>
    <xf numFmtId="0" fontId="24" fillId="5" borderId="36" xfId="0" applyFont="1" applyFill="1" applyBorder="1" applyAlignment="1">
      <alignment horizontal="center" vertical="center"/>
    </xf>
    <xf numFmtId="0" fontId="24" fillId="5" borderId="33" xfId="0" applyFont="1" applyFill="1" applyBorder="1" applyAlignment="1">
      <alignment horizontal="center" vertical="center"/>
    </xf>
    <xf numFmtId="0" fontId="24" fillId="5" borderId="31" xfId="0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horizontal="center" vertical="center"/>
    </xf>
    <xf numFmtId="0" fontId="24" fillId="5" borderId="15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0" fontId="28" fillId="0" borderId="31" xfId="0" applyFont="1" applyBorder="1" applyAlignment="1">
      <alignment vertical="center" shrinkToFit="1"/>
    </xf>
    <xf numFmtId="49" fontId="28" fillId="5" borderId="14" xfId="0" applyNumberFormat="1" applyFont="1" applyFill="1" applyBorder="1" applyAlignment="1">
      <alignment horizontal="left" vertical="center" shrinkToFit="1"/>
    </xf>
    <xf numFmtId="49" fontId="28" fillId="5" borderId="31" xfId="0" applyNumberFormat="1" applyFont="1" applyFill="1" applyBorder="1" applyAlignment="1">
      <alignment horizontal="left" vertical="center" shrinkToFit="1"/>
    </xf>
    <xf numFmtId="0" fontId="30" fillId="0" borderId="11" xfId="0" applyFont="1" applyBorder="1">
      <alignment vertical="center"/>
    </xf>
    <xf numFmtId="0" fontId="30" fillId="0" borderId="12" xfId="0" applyFont="1" applyBorder="1">
      <alignment vertical="center"/>
    </xf>
    <xf numFmtId="0" fontId="30" fillId="0" borderId="13" xfId="0" applyFont="1" applyBorder="1">
      <alignment vertical="center"/>
    </xf>
    <xf numFmtId="185" fontId="30" fillId="0" borderId="15" xfId="0" applyNumberFormat="1" applyFont="1" applyBorder="1" applyAlignment="1">
      <alignment vertical="center" shrinkToFit="1"/>
    </xf>
    <xf numFmtId="185" fontId="30" fillId="0" borderId="14" xfId="0" applyNumberFormat="1" applyFont="1" applyBorder="1" applyAlignment="1">
      <alignment vertical="center" shrinkToFit="1"/>
    </xf>
    <xf numFmtId="185" fontId="30" fillId="0" borderId="10" xfId="0" applyNumberFormat="1" applyFont="1" applyBorder="1" applyAlignment="1">
      <alignment vertical="center" shrinkToFit="1"/>
    </xf>
    <xf numFmtId="0" fontId="28" fillId="5" borderId="11" xfId="0" applyFont="1" applyFill="1" applyBorder="1" applyAlignment="1">
      <alignment horizontal="left" vertical="center"/>
    </xf>
    <xf numFmtId="0" fontId="28" fillId="5" borderId="36" xfId="0" applyFont="1" applyFill="1" applyBorder="1" applyAlignment="1">
      <alignment horizontal="left" vertical="center"/>
    </xf>
    <xf numFmtId="0" fontId="28" fillId="5" borderId="15" xfId="0" applyFont="1" applyFill="1" applyBorder="1" applyAlignment="1">
      <alignment horizontal="left" vertical="center"/>
    </xf>
    <xf numFmtId="0" fontId="28" fillId="5" borderId="31" xfId="0" applyFont="1" applyFill="1" applyBorder="1" applyAlignment="1">
      <alignment horizontal="left" vertical="center"/>
    </xf>
    <xf numFmtId="0" fontId="24" fillId="5" borderId="34" xfId="0" applyFont="1" applyFill="1" applyBorder="1" applyAlignment="1">
      <alignment horizontal="center" vertical="center"/>
    </xf>
    <xf numFmtId="0" fontId="24" fillId="5" borderId="43" xfId="0" applyFont="1" applyFill="1" applyBorder="1" applyAlignment="1">
      <alignment horizontal="center" vertical="center"/>
    </xf>
    <xf numFmtId="0" fontId="24" fillId="5" borderId="19" xfId="0" applyFont="1" applyFill="1" applyBorder="1" applyAlignment="1">
      <alignment horizontal="center" vertical="center"/>
    </xf>
    <xf numFmtId="0" fontId="24" fillId="5" borderId="17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</cellXfs>
  <cellStyles count="4">
    <cellStyle name="標準" xfId="0" builtinId="0"/>
    <cellStyle name="標準 3" xfId="3" xr:uid="{00000000-0005-0000-0000-000001000000}"/>
    <cellStyle name="標準_enseki" xfId="1" xr:uid="{00000000-0005-0000-0000-000002000000}"/>
    <cellStyle name="標準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0</xdr:row>
      <xdr:rowOff>152400</xdr:rowOff>
    </xdr:from>
    <xdr:to>
      <xdr:col>8</xdr:col>
      <xdr:colOff>762000</xdr:colOff>
      <xdr:row>0</xdr:row>
      <xdr:rowOff>342900</xdr:rowOff>
    </xdr:to>
    <xdr:sp macro="" textlink="">
      <xdr:nvSpPr>
        <xdr:cNvPr id="74850" name="Rectangle 1">
          <a:extLst>
            <a:ext uri="{FF2B5EF4-FFF2-40B4-BE49-F238E27FC236}">
              <a16:creationId xmlns:a16="http://schemas.microsoft.com/office/drawing/2014/main" id="{11D154A9-99B2-BFA1-51E9-C7729511E5AC}"/>
            </a:ext>
          </a:extLst>
        </xdr:cNvPr>
        <xdr:cNvSpPr>
          <a:spLocks noChangeArrowheads="1"/>
        </xdr:cNvSpPr>
      </xdr:nvSpPr>
      <xdr:spPr bwMode="auto">
        <a:xfrm>
          <a:off x="10706100" y="152400"/>
          <a:ext cx="676275" cy="1905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76200</xdr:colOff>
      <xdr:row>0</xdr:row>
      <xdr:rowOff>152400</xdr:rowOff>
    </xdr:from>
    <xdr:to>
      <xdr:col>8</xdr:col>
      <xdr:colOff>752475</xdr:colOff>
      <xdr:row>0</xdr:row>
      <xdr:rowOff>342900</xdr:rowOff>
    </xdr:to>
    <xdr:sp macro="" textlink="">
      <xdr:nvSpPr>
        <xdr:cNvPr id="74851" name="Rectangle 1">
          <a:extLst>
            <a:ext uri="{FF2B5EF4-FFF2-40B4-BE49-F238E27FC236}">
              <a16:creationId xmlns:a16="http://schemas.microsoft.com/office/drawing/2014/main" id="{036D8DC6-6A1C-2366-904F-F67594674380}"/>
            </a:ext>
          </a:extLst>
        </xdr:cNvPr>
        <xdr:cNvSpPr>
          <a:spLocks noChangeArrowheads="1"/>
        </xdr:cNvSpPr>
      </xdr:nvSpPr>
      <xdr:spPr bwMode="auto">
        <a:xfrm>
          <a:off x="10696575" y="152400"/>
          <a:ext cx="676275" cy="1905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373;&#35336;&#21172;&#21209;&#21336;&#20385;&#65320;&#65297;&#653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"/>
      <sheetName val="代価"/>
      <sheetName val="Sheet1"/>
      <sheetName val="代価２"/>
      <sheetName val="代価総括"/>
      <sheetName val="歩掛表新"/>
      <sheetName val="ﾎﾟﾘｽﾘｰﾌﾞ計算"/>
      <sheetName val="代価様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B6">
            <v>1</v>
          </cell>
          <cell r="C6" t="str">
            <v>鋳鉄管据付工</v>
          </cell>
          <cell r="D6" t="str">
            <v>10m当り</v>
          </cell>
          <cell r="E6" t="str">
            <v>人力</v>
          </cell>
          <cell r="F6" t="str">
            <v>鋳鉄管据付工人力</v>
          </cell>
          <cell r="G6" t="str">
            <v>φ75以下</v>
          </cell>
          <cell r="H6" t="str">
            <v>ｍ</v>
          </cell>
          <cell r="I6">
            <v>0.17</v>
          </cell>
          <cell r="J6">
            <v>0.52</v>
          </cell>
          <cell r="M6">
            <v>10</v>
          </cell>
          <cell r="O6">
            <v>1</v>
          </cell>
          <cell r="P6">
            <v>33</v>
          </cell>
          <cell r="Q6">
            <v>1</v>
          </cell>
        </row>
        <row r="7">
          <cell r="B7">
            <v>2</v>
          </cell>
          <cell r="C7" t="str">
            <v>鋳鉄管据付工</v>
          </cell>
          <cell r="D7" t="str">
            <v>10m当り</v>
          </cell>
          <cell r="E7" t="str">
            <v>人力</v>
          </cell>
          <cell r="F7" t="str">
            <v>鋳鉄管据付工人力</v>
          </cell>
          <cell r="G7" t="str">
            <v>φ100</v>
          </cell>
          <cell r="H7" t="str">
            <v>ｍ</v>
          </cell>
          <cell r="I7">
            <v>0.19</v>
          </cell>
          <cell r="J7">
            <v>0.65</v>
          </cell>
          <cell r="M7">
            <v>10</v>
          </cell>
          <cell r="Q7">
            <v>1</v>
          </cell>
        </row>
        <row r="8">
          <cell r="B8">
            <v>3</v>
          </cell>
          <cell r="C8" t="str">
            <v>鋳鉄管据付工</v>
          </cell>
          <cell r="D8" t="str">
            <v>10m当り</v>
          </cell>
          <cell r="E8" t="str">
            <v>人力</v>
          </cell>
          <cell r="F8" t="str">
            <v>鋳鉄管据付工人力</v>
          </cell>
          <cell r="G8" t="str">
            <v>φ150</v>
          </cell>
          <cell r="H8" t="str">
            <v>ｍ</v>
          </cell>
          <cell r="I8">
            <v>0.25</v>
          </cell>
          <cell r="J8">
            <v>0.91</v>
          </cell>
          <cell r="M8">
            <v>10</v>
          </cell>
          <cell r="Q8">
            <v>1</v>
          </cell>
        </row>
        <row r="9">
          <cell r="B9">
            <v>4</v>
          </cell>
          <cell r="C9" t="str">
            <v>鋳鉄管据付工</v>
          </cell>
          <cell r="D9" t="str">
            <v>10m当り</v>
          </cell>
          <cell r="E9" t="str">
            <v>人力</v>
          </cell>
          <cell r="F9" t="str">
            <v>鋳鉄管据付工人力</v>
          </cell>
          <cell r="G9" t="str">
            <v>φ200</v>
          </cell>
          <cell r="H9" t="str">
            <v>ｍ</v>
          </cell>
          <cell r="I9">
            <v>0.37</v>
          </cell>
          <cell r="J9">
            <v>1.1299999999999999</v>
          </cell>
          <cell r="M9">
            <v>10</v>
          </cell>
          <cell r="Q9">
            <v>1</v>
          </cell>
        </row>
        <row r="10">
          <cell r="B10">
            <v>5</v>
          </cell>
          <cell r="C10" t="str">
            <v>鋳鉄管据付工</v>
          </cell>
          <cell r="D10" t="str">
            <v>10m当り</v>
          </cell>
          <cell r="E10" t="str">
            <v>人力</v>
          </cell>
          <cell r="F10" t="str">
            <v>鋳鉄管据付工人力</v>
          </cell>
          <cell r="G10" t="str">
            <v>φ250</v>
          </cell>
          <cell r="H10" t="str">
            <v>ｍ</v>
          </cell>
          <cell r="I10">
            <v>0.5</v>
          </cell>
          <cell r="J10">
            <v>1.38</v>
          </cell>
          <cell r="M10">
            <v>10</v>
          </cell>
          <cell r="Q10">
            <v>1</v>
          </cell>
        </row>
        <row r="11">
          <cell r="B11">
            <v>6</v>
          </cell>
          <cell r="C11" t="str">
            <v>鋳鉄管据付工</v>
          </cell>
          <cell r="D11" t="str">
            <v>10m当り</v>
          </cell>
          <cell r="E11" t="str">
            <v>人力</v>
          </cell>
          <cell r="F11" t="str">
            <v>鋳鉄管据付工人力</v>
          </cell>
          <cell r="G11" t="str">
            <v>φ300</v>
          </cell>
          <cell r="H11" t="str">
            <v>ｍ</v>
          </cell>
          <cell r="I11">
            <v>0.65</v>
          </cell>
          <cell r="J11">
            <v>1.66</v>
          </cell>
          <cell r="M11">
            <v>10</v>
          </cell>
          <cell r="Q11">
            <v>1</v>
          </cell>
        </row>
        <row r="12">
          <cell r="B12">
            <v>7</v>
          </cell>
          <cell r="C12" t="str">
            <v>鋳鉄管据付工</v>
          </cell>
          <cell r="D12" t="str">
            <v>10m当り</v>
          </cell>
          <cell r="E12" t="str">
            <v>人力</v>
          </cell>
          <cell r="F12" t="str">
            <v>鋳鉄管据付工人力</v>
          </cell>
          <cell r="G12" t="str">
            <v>φ350</v>
          </cell>
          <cell r="H12" t="str">
            <v>ｍ</v>
          </cell>
          <cell r="I12">
            <v>0.9</v>
          </cell>
          <cell r="J12">
            <v>1.98</v>
          </cell>
          <cell r="M12">
            <v>10</v>
          </cell>
          <cell r="Q12">
            <v>1</v>
          </cell>
        </row>
        <row r="13">
          <cell r="B13">
            <v>8</v>
          </cell>
          <cell r="C13" t="str">
            <v>鋳鉄管据付工</v>
          </cell>
          <cell r="D13" t="str">
            <v>10m当り</v>
          </cell>
          <cell r="E13" t="str">
            <v>人力</v>
          </cell>
          <cell r="F13" t="str">
            <v>鋳鉄管据付工人力</v>
          </cell>
          <cell r="G13" t="str">
            <v>φ400</v>
          </cell>
          <cell r="H13" t="str">
            <v>ｍ</v>
          </cell>
          <cell r="I13">
            <v>1.1399999999999999</v>
          </cell>
          <cell r="J13">
            <v>2.37</v>
          </cell>
          <cell r="M13">
            <v>10</v>
          </cell>
          <cell r="Q13">
            <v>1</v>
          </cell>
        </row>
        <row r="14">
          <cell r="B14">
            <v>9</v>
          </cell>
          <cell r="C14" t="str">
            <v>鋳鉄管据付工</v>
          </cell>
          <cell r="D14" t="str">
            <v>10m当り</v>
          </cell>
          <cell r="E14" t="str">
            <v>人力</v>
          </cell>
          <cell r="F14" t="str">
            <v>鋳鉄管据付工人力</v>
          </cell>
          <cell r="G14" t="str">
            <v>φ450</v>
          </cell>
          <cell r="H14" t="str">
            <v>ｍ</v>
          </cell>
          <cell r="I14">
            <v>1.4</v>
          </cell>
          <cell r="J14">
            <v>2.76</v>
          </cell>
          <cell r="M14">
            <v>10</v>
          </cell>
          <cell r="Q14">
            <v>1</v>
          </cell>
        </row>
        <row r="15">
          <cell r="B15">
            <v>10</v>
          </cell>
          <cell r="C15" t="str">
            <v>鋳鉄管据付工</v>
          </cell>
          <cell r="D15" t="str">
            <v>10m当り</v>
          </cell>
          <cell r="E15" t="str">
            <v>機械</v>
          </cell>
          <cell r="F15" t="str">
            <v>鋳鉄管据付工機械</v>
          </cell>
          <cell r="G15" t="str">
            <v>φ75以下</v>
          </cell>
          <cell r="H15" t="str">
            <v>ｍ</v>
          </cell>
          <cell r="I15">
            <v>0.06</v>
          </cell>
          <cell r="J15">
            <v>0.13</v>
          </cell>
          <cell r="K15">
            <v>1.21</v>
          </cell>
          <cell r="L15">
            <v>0</v>
          </cell>
          <cell r="M15">
            <v>10</v>
          </cell>
          <cell r="O15">
            <v>2</v>
          </cell>
          <cell r="P15">
            <v>32</v>
          </cell>
          <cell r="Q15">
            <v>2</v>
          </cell>
        </row>
        <row r="16">
          <cell r="B16">
            <v>11</v>
          </cell>
          <cell r="C16" t="str">
            <v>鋳鉄管据付工</v>
          </cell>
          <cell r="D16" t="str">
            <v>10m当り</v>
          </cell>
          <cell r="E16" t="str">
            <v>機械</v>
          </cell>
          <cell r="F16" t="str">
            <v>鋳鉄管据付工機械</v>
          </cell>
          <cell r="G16" t="str">
            <v>φ100</v>
          </cell>
          <cell r="H16" t="str">
            <v>ｍ</v>
          </cell>
          <cell r="I16">
            <v>7.0000000000000007E-2</v>
          </cell>
          <cell r="J16">
            <v>0.13</v>
          </cell>
          <cell r="K16">
            <v>1.21</v>
          </cell>
          <cell r="L16">
            <v>0</v>
          </cell>
          <cell r="M16">
            <v>10</v>
          </cell>
          <cell r="Q16">
            <v>2</v>
          </cell>
        </row>
        <row r="17">
          <cell r="B17">
            <v>12</v>
          </cell>
          <cell r="C17" t="str">
            <v>鋳鉄管据付工</v>
          </cell>
          <cell r="D17" t="str">
            <v>10m当り</v>
          </cell>
          <cell r="E17" t="str">
            <v>機械</v>
          </cell>
          <cell r="F17" t="str">
            <v>鋳鉄管据付工機械</v>
          </cell>
          <cell r="G17" t="str">
            <v>φ150</v>
          </cell>
          <cell r="H17" t="str">
            <v>ｍ</v>
          </cell>
          <cell r="I17">
            <v>0.09</v>
          </cell>
          <cell r="J17">
            <v>0.15</v>
          </cell>
          <cell r="K17">
            <v>1.34</v>
          </cell>
          <cell r="L17">
            <v>0</v>
          </cell>
          <cell r="M17">
            <v>10</v>
          </cell>
          <cell r="Q17">
            <v>2</v>
          </cell>
        </row>
        <row r="18">
          <cell r="B18">
            <v>13</v>
          </cell>
          <cell r="C18" t="str">
            <v>鋳鉄管据付工</v>
          </cell>
          <cell r="D18" t="str">
            <v>10m当り</v>
          </cell>
          <cell r="E18" t="str">
            <v>機械</v>
          </cell>
          <cell r="F18" t="str">
            <v>鋳鉄管据付工機械</v>
          </cell>
          <cell r="G18" t="str">
            <v>φ200</v>
          </cell>
          <cell r="H18" t="str">
            <v>ｍ</v>
          </cell>
          <cell r="I18">
            <v>0.1</v>
          </cell>
          <cell r="J18">
            <v>0.16</v>
          </cell>
          <cell r="K18">
            <v>1.41</v>
          </cell>
          <cell r="L18">
            <v>0</v>
          </cell>
          <cell r="M18">
            <v>10</v>
          </cell>
          <cell r="Q18">
            <v>2</v>
          </cell>
        </row>
        <row r="19">
          <cell r="B19">
            <v>14</v>
          </cell>
          <cell r="C19" t="str">
            <v>鋳鉄管据付工</v>
          </cell>
          <cell r="D19" t="str">
            <v>10m当り</v>
          </cell>
          <cell r="E19" t="str">
            <v>機械</v>
          </cell>
          <cell r="F19" t="str">
            <v>鋳鉄管据付工機械</v>
          </cell>
          <cell r="G19" t="str">
            <v>φ250</v>
          </cell>
          <cell r="H19" t="str">
            <v>ｍ</v>
          </cell>
          <cell r="I19">
            <v>0.11</v>
          </cell>
          <cell r="J19">
            <v>0.17</v>
          </cell>
          <cell r="K19">
            <v>1.47</v>
          </cell>
          <cell r="L19">
            <v>0</v>
          </cell>
          <cell r="M19">
            <v>10</v>
          </cell>
          <cell r="Q19">
            <v>2</v>
          </cell>
        </row>
        <row r="20">
          <cell r="B20">
            <v>15</v>
          </cell>
          <cell r="C20" t="str">
            <v>鋳鉄管据付工</v>
          </cell>
          <cell r="D20" t="str">
            <v>10m当り</v>
          </cell>
          <cell r="E20" t="str">
            <v>機械</v>
          </cell>
          <cell r="F20" t="str">
            <v>鋳鉄管据付工機械</v>
          </cell>
          <cell r="G20" t="str">
            <v>φ300</v>
          </cell>
          <cell r="H20" t="str">
            <v>ｍ</v>
          </cell>
          <cell r="I20">
            <v>0.13</v>
          </cell>
          <cell r="J20">
            <v>0.19</v>
          </cell>
          <cell r="K20">
            <v>1.54</v>
          </cell>
          <cell r="L20">
            <v>0</v>
          </cell>
          <cell r="M20">
            <v>10</v>
          </cell>
          <cell r="Q20">
            <v>2</v>
          </cell>
        </row>
        <row r="21">
          <cell r="B21">
            <v>16</v>
          </cell>
          <cell r="C21" t="str">
            <v>鋳鉄管据付工</v>
          </cell>
          <cell r="D21" t="str">
            <v>10m当り</v>
          </cell>
          <cell r="E21" t="str">
            <v>機械</v>
          </cell>
          <cell r="F21" t="str">
            <v>鋳鉄管据付工機械</v>
          </cell>
          <cell r="G21" t="str">
            <v>φ350</v>
          </cell>
          <cell r="H21" t="str">
            <v>ｍ</v>
          </cell>
          <cell r="I21">
            <v>0.17</v>
          </cell>
          <cell r="J21">
            <v>0.25</v>
          </cell>
          <cell r="K21">
            <v>1.61</v>
          </cell>
          <cell r="L21">
            <v>0</v>
          </cell>
          <cell r="M21">
            <v>10</v>
          </cell>
          <cell r="Q21">
            <v>2</v>
          </cell>
        </row>
        <row r="22">
          <cell r="B22">
            <v>17</v>
          </cell>
          <cell r="C22" t="str">
            <v>鋳鉄管据付工</v>
          </cell>
          <cell r="D22" t="str">
            <v>10m当り</v>
          </cell>
          <cell r="E22" t="str">
            <v>機械</v>
          </cell>
          <cell r="F22" t="str">
            <v>鋳鉄管据付工機械</v>
          </cell>
          <cell r="G22" t="str">
            <v>φ400</v>
          </cell>
          <cell r="H22" t="str">
            <v>ｍ</v>
          </cell>
          <cell r="I22">
            <v>0.21</v>
          </cell>
          <cell r="J22">
            <v>0.31</v>
          </cell>
          <cell r="K22">
            <v>0</v>
          </cell>
          <cell r="L22">
            <v>1.68</v>
          </cell>
          <cell r="M22">
            <v>10</v>
          </cell>
          <cell r="Q22">
            <v>2</v>
          </cell>
        </row>
        <row r="23">
          <cell r="B23">
            <v>18</v>
          </cell>
          <cell r="C23" t="str">
            <v>鋳鉄管据付工</v>
          </cell>
          <cell r="D23" t="str">
            <v>10m当り</v>
          </cell>
          <cell r="E23" t="str">
            <v>機械</v>
          </cell>
          <cell r="F23" t="str">
            <v>鋳鉄管据付工機械</v>
          </cell>
          <cell r="G23" t="str">
            <v>φ450</v>
          </cell>
          <cell r="H23" t="str">
            <v>ｍ</v>
          </cell>
          <cell r="I23">
            <v>0.25</v>
          </cell>
          <cell r="J23">
            <v>0.37</v>
          </cell>
          <cell r="K23">
            <v>0</v>
          </cell>
          <cell r="L23">
            <v>1.74</v>
          </cell>
          <cell r="M23">
            <v>10</v>
          </cell>
          <cell r="Q23">
            <v>2</v>
          </cell>
        </row>
        <row r="24">
          <cell r="B24">
            <v>19</v>
          </cell>
          <cell r="C24" t="str">
            <v>ＶＷＰ据付工</v>
          </cell>
          <cell r="D24" t="str">
            <v>10m当り</v>
          </cell>
          <cell r="E24" t="str">
            <v>人力</v>
          </cell>
          <cell r="F24" t="str">
            <v>ＶＷＰ据付工人力</v>
          </cell>
          <cell r="G24" t="str">
            <v>φ13</v>
          </cell>
          <cell r="H24" t="str">
            <v>ｍ</v>
          </cell>
          <cell r="I24">
            <v>0.06</v>
          </cell>
          <cell r="J24">
            <v>0.1</v>
          </cell>
          <cell r="M24">
            <v>10</v>
          </cell>
          <cell r="O24">
            <v>3</v>
          </cell>
          <cell r="P24">
            <v>47</v>
          </cell>
          <cell r="Q24">
            <v>1</v>
          </cell>
        </row>
        <row r="25">
          <cell r="B25">
            <v>20</v>
          </cell>
          <cell r="C25" t="str">
            <v>ＶＷＰ据付工</v>
          </cell>
          <cell r="D25" t="str">
            <v>10m当り</v>
          </cell>
          <cell r="E25" t="str">
            <v>人力</v>
          </cell>
          <cell r="F25" t="str">
            <v>ＶＷＰ据付工人力</v>
          </cell>
          <cell r="G25" t="str">
            <v>φ20</v>
          </cell>
          <cell r="H25" t="str">
            <v>ｍ</v>
          </cell>
          <cell r="I25">
            <v>7.0000000000000007E-2</v>
          </cell>
          <cell r="J25">
            <v>0.12</v>
          </cell>
          <cell r="M25">
            <v>10</v>
          </cell>
          <cell r="Q25">
            <v>1</v>
          </cell>
        </row>
        <row r="26">
          <cell r="B26">
            <v>21</v>
          </cell>
          <cell r="C26" t="str">
            <v>ＶＷＰ据付工</v>
          </cell>
          <cell r="D26" t="str">
            <v>10m当り</v>
          </cell>
          <cell r="E26" t="str">
            <v>人力</v>
          </cell>
          <cell r="F26" t="str">
            <v>ＶＷＰ据付工人力</v>
          </cell>
          <cell r="G26" t="str">
            <v>φ25</v>
          </cell>
          <cell r="H26" t="str">
            <v>ｍ</v>
          </cell>
          <cell r="I26">
            <v>7.0000000000000007E-2</v>
          </cell>
          <cell r="J26">
            <v>0.12</v>
          </cell>
          <cell r="M26">
            <v>10</v>
          </cell>
          <cell r="Q26">
            <v>1</v>
          </cell>
        </row>
        <row r="27">
          <cell r="B27">
            <v>22</v>
          </cell>
          <cell r="C27" t="str">
            <v>ＶＷＰ据付工</v>
          </cell>
          <cell r="D27" t="str">
            <v>10m当り</v>
          </cell>
          <cell r="E27" t="str">
            <v>人力</v>
          </cell>
          <cell r="F27" t="str">
            <v>ＶＷＰ据付工人力</v>
          </cell>
          <cell r="G27" t="str">
            <v>φ30</v>
          </cell>
          <cell r="H27" t="str">
            <v>ｍ</v>
          </cell>
          <cell r="I27">
            <v>0.08</v>
          </cell>
          <cell r="J27">
            <v>0.14000000000000001</v>
          </cell>
          <cell r="M27">
            <v>10</v>
          </cell>
          <cell r="Q27">
            <v>1</v>
          </cell>
        </row>
        <row r="28">
          <cell r="B28">
            <v>23</v>
          </cell>
          <cell r="C28" t="str">
            <v>ＶＷＰ据付工</v>
          </cell>
          <cell r="D28" t="str">
            <v>10m当り</v>
          </cell>
          <cell r="E28" t="str">
            <v>人力</v>
          </cell>
          <cell r="F28" t="str">
            <v>ＶＷＰ据付工人力</v>
          </cell>
          <cell r="G28" t="str">
            <v>φ40</v>
          </cell>
          <cell r="H28" t="str">
            <v>ｍ</v>
          </cell>
          <cell r="I28">
            <v>0.08</v>
          </cell>
          <cell r="J28">
            <v>0.14000000000000001</v>
          </cell>
          <cell r="M28">
            <v>10</v>
          </cell>
          <cell r="Q28">
            <v>1</v>
          </cell>
        </row>
        <row r="29">
          <cell r="B29">
            <v>24</v>
          </cell>
          <cell r="C29" t="str">
            <v>ＶＷＰ据付工</v>
          </cell>
          <cell r="D29" t="str">
            <v>10m当り</v>
          </cell>
          <cell r="E29" t="str">
            <v>人力</v>
          </cell>
          <cell r="F29" t="str">
            <v>ＶＷＰ据付工人力</v>
          </cell>
          <cell r="G29" t="str">
            <v>φ50</v>
          </cell>
          <cell r="H29" t="str">
            <v>ｍ</v>
          </cell>
          <cell r="I29">
            <v>0.1</v>
          </cell>
          <cell r="J29">
            <v>0.18</v>
          </cell>
          <cell r="M29">
            <v>10</v>
          </cell>
          <cell r="Q29">
            <v>1</v>
          </cell>
        </row>
        <row r="30">
          <cell r="B30">
            <v>25</v>
          </cell>
          <cell r="C30" t="str">
            <v>ＶＷＰ据付工</v>
          </cell>
          <cell r="D30" t="str">
            <v>10m当り</v>
          </cell>
          <cell r="E30" t="str">
            <v>人力</v>
          </cell>
          <cell r="F30" t="str">
            <v>ＶＷＰ据付工人力</v>
          </cell>
          <cell r="G30" t="str">
            <v>φ75</v>
          </cell>
          <cell r="H30" t="str">
            <v>ｍ</v>
          </cell>
          <cell r="I30">
            <v>0.1</v>
          </cell>
          <cell r="J30">
            <v>0.18</v>
          </cell>
          <cell r="M30">
            <v>10</v>
          </cell>
          <cell r="Q30">
            <v>1</v>
          </cell>
        </row>
        <row r="31">
          <cell r="B31">
            <v>26</v>
          </cell>
          <cell r="C31" t="str">
            <v>ＶＷＰ据付工</v>
          </cell>
          <cell r="D31" t="str">
            <v>10m当り</v>
          </cell>
          <cell r="E31" t="str">
            <v>人力</v>
          </cell>
          <cell r="F31" t="str">
            <v>ＶＷＰ据付工人力</v>
          </cell>
          <cell r="G31" t="str">
            <v>φ100</v>
          </cell>
          <cell r="H31" t="str">
            <v>ｍ</v>
          </cell>
          <cell r="I31">
            <v>0.12</v>
          </cell>
          <cell r="J31">
            <v>0.2</v>
          </cell>
          <cell r="M31">
            <v>10</v>
          </cell>
          <cell r="Q31">
            <v>1</v>
          </cell>
        </row>
        <row r="32">
          <cell r="B32">
            <v>27</v>
          </cell>
          <cell r="C32" t="str">
            <v>ＶＷＰ据付工</v>
          </cell>
          <cell r="D32" t="str">
            <v>10m当り</v>
          </cell>
          <cell r="E32" t="str">
            <v>人力</v>
          </cell>
          <cell r="F32" t="str">
            <v>ＶＷＰ据付工人力</v>
          </cell>
          <cell r="G32" t="str">
            <v>φ125</v>
          </cell>
          <cell r="H32" t="str">
            <v>ｍ</v>
          </cell>
          <cell r="I32">
            <v>0.12</v>
          </cell>
          <cell r="J32">
            <v>0.2</v>
          </cell>
          <cell r="M32">
            <v>10</v>
          </cell>
          <cell r="Q32">
            <v>1</v>
          </cell>
        </row>
        <row r="33">
          <cell r="B33">
            <v>28</v>
          </cell>
          <cell r="C33" t="str">
            <v>ＶＷＰ据付工</v>
          </cell>
          <cell r="D33" t="str">
            <v>10m当り</v>
          </cell>
          <cell r="E33" t="str">
            <v>人力</v>
          </cell>
          <cell r="F33" t="str">
            <v>ＶＷＰ据付工人力</v>
          </cell>
          <cell r="G33" t="str">
            <v>φ150</v>
          </cell>
          <cell r="H33" t="str">
            <v>ｍ</v>
          </cell>
          <cell r="I33">
            <v>0.18</v>
          </cell>
          <cell r="J33">
            <v>0.26</v>
          </cell>
          <cell r="M33">
            <v>10</v>
          </cell>
          <cell r="Q33">
            <v>1</v>
          </cell>
        </row>
        <row r="34">
          <cell r="B34">
            <v>29</v>
          </cell>
          <cell r="C34" t="str">
            <v>鋼管据付工</v>
          </cell>
          <cell r="D34" t="str">
            <v>10m当り</v>
          </cell>
          <cell r="E34" t="str">
            <v>人力</v>
          </cell>
          <cell r="F34" t="str">
            <v>鋼管据付工人力</v>
          </cell>
          <cell r="G34" t="str">
            <v>φ15</v>
          </cell>
          <cell r="H34" t="str">
            <v>ｍ</v>
          </cell>
          <cell r="I34">
            <v>0.1</v>
          </cell>
          <cell r="J34">
            <v>0.1</v>
          </cell>
          <cell r="M34">
            <v>10</v>
          </cell>
          <cell r="O34">
            <v>4</v>
          </cell>
          <cell r="P34">
            <v>38</v>
          </cell>
          <cell r="Q34">
            <v>1</v>
          </cell>
        </row>
        <row r="35">
          <cell r="B35">
            <v>30</v>
          </cell>
          <cell r="C35" t="str">
            <v>鋼管据付工</v>
          </cell>
          <cell r="D35" t="str">
            <v>10m当り</v>
          </cell>
          <cell r="E35" t="str">
            <v>人力</v>
          </cell>
          <cell r="F35" t="str">
            <v>鋼管据付工人力</v>
          </cell>
          <cell r="G35" t="str">
            <v>φ20</v>
          </cell>
          <cell r="H35" t="str">
            <v>ｍ</v>
          </cell>
          <cell r="I35">
            <v>0.11</v>
          </cell>
          <cell r="J35">
            <v>0.12</v>
          </cell>
          <cell r="M35">
            <v>10</v>
          </cell>
          <cell r="Q35">
            <v>1</v>
          </cell>
        </row>
        <row r="36">
          <cell r="B36">
            <v>31</v>
          </cell>
          <cell r="C36" t="str">
            <v>鋼管据付工</v>
          </cell>
          <cell r="D36" t="str">
            <v>10m当り</v>
          </cell>
          <cell r="E36" t="str">
            <v>人力</v>
          </cell>
          <cell r="F36" t="str">
            <v>鋼管据付工人力</v>
          </cell>
          <cell r="G36" t="str">
            <v>φ25</v>
          </cell>
          <cell r="H36" t="str">
            <v>ｍ</v>
          </cell>
          <cell r="I36">
            <v>0.13</v>
          </cell>
          <cell r="J36">
            <v>0.13</v>
          </cell>
          <cell r="M36">
            <v>10</v>
          </cell>
          <cell r="Q36">
            <v>1</v>
          </cell>
        </row>
        <row r="37">
          <cell r="B37">
            <v>32</v>
          </cell>
          <cell r="C37" t="str">
            <v>鋼管据付工</v>
          </cell>
          <cell r="D37" t="str">
            <v>10m当り</v>
          </cell>
          <cell r="E37" t="str">
            <v>人力</v>
          </cell>
          <cell r="F37" t="str">
            <v>鋼管据付工人力</v>
          </cell>
          <cell r="G37" t="str">
            <v>φ30</v>
          </cell>
          <cell r="H37" t="str">
            <v>ｍ</v>
          </cell>
          <cell r="I37">
            <v>0.14000000000000001</v>
          </cell>
          <cell r="J37">
            <v>0.14000000000000001</v>
          </cell>
          <cell r="M37">
            <v>10</v>
          </cell>
          <cell r="Q37">
            <v>1</v>
          </cell>
        </row>
        <row r="38">
          <cell r="B38">
            <v>33</v>
          </cell>
          <cell r="C38" t="str">
            <v>鋼管据付工</v>
          </cell>
          <cell r="D38" t="str">
            <v>10m当り</v>
          </cell>
          <cell r="E38" t="str">
            <v>人力</v>
          </cell>
          <cell r="F38" t="str">
            <v>鋼管据付工人力</v>
          </cell>
          <cell r="G38" t="str">
            <v>φ40</v>
          </cell>
          <cell r="H38" t="str">
            <v>ｍ</v>
          </cell>
          <cell r="I38">
            <v>0.15</v>
          </cell>
          <cell r="J38">
            <v>0.16</v>
          </cell>
          <cell r="M38">
            <v>10</v>
          </cell>
          <cell r="Q38">
            <v>1</v>
          </cell>
        </row>
        <row r="39">
          <cell r="B39">
            <v>34</v>
          </cell>
          <cell r="C39" t="str">
            <v>鋼管据付工</v>
          </cell>
          <cell r="D39" t="str">
            <v>10m当り</v>
          </cell>
          <cell r="E39" t="str">
            <v>人力</v>
          </cell>
          <cell r="F39" t="str">
            <v>鋼管据付工人力</v>
          </cell>
          <cell r="G39" t="str">
            <v>φ50</v>
          </cell>
          <cell r="H39" t="str">
            <v>ｍ</v>
          </cell>
          <cell r="I39">
            <v>0.18</v>
          </cell>
          <cell r="J39">
            <v>0.18</v>
          </cell>
          <cell r="M39">
            <v>10</v>
          </cell>
          <cell r="Q39">
            <v>1</v>
          </cell>
        </row>
        <row r="40">
          <cell r="B40">
            <v>35</v>
          </cell>
          <cell r="C40" t="str">
            <v>鋼管据付工</v>
          </cell>
          <cell r="D40" t="str">
            <v>10m当り</v>
          </cell>
          <cell r="E40" t="str">
            <v>人力</v>
          </cell>
          <cell r="F40" t="str">
            <v>鋼管据付工人力</v>
          </cell>
          <cell r="G40" t="str">
            <v>φ65</v>
          </cell>
          <cell r="H40" t="str">
            <v>ｍ</v>
          </cell>
          <cell r="I40">
            <v>0.19</v>
          </cell>
          <cell r="J40">
            <v>0.2</v>
          </cell>
          <cell r="M40">
            <v>10</v>
          </cell>
          <cell r="Q40">
            <v>1</v>
          </cell>
        </row>
        <row r="41">
          <cell r="B41">
            <v>36</v>
          </cell>
          <cell r="C41" t="str">
            <v>鋼管据付工</v>
          </cell>
          <cell r="D41" t="str">
            <v>10m当り</v>
          </cell>
          <cell r="E41" t="str">
            <v>人力</v>
          </cell>
          <cell r="F41" t="str">
            <v>鋼管据付工人力</v>
          </cell>
          <cell r="G41" t="str">
            <v>φ80</v>
          </cell>
          <cell r="H41" t="str">
            <v>ｍ</v>
          </cell>
          <cell r="I41">
            <v>0.2</v>
          </cell>
          <cell r="J41">
            <v>0.23</v>
          </cell>
          <cell r="M41">
            <v>10</v>
          </cell>
          <cell r="Q41">
            <v>1</v>
          </cell>
        </row>
        <row r="42">
          <cell r="B42">
            <v>37</v>
          </cell>
          <cell r="C42" t="str">
            <v>鋼管据付工</v>
          </cell>
          <cell r="D42" t="str">
            <v>10m当り</v>
          </cell>
          <cell r="E42" t="str">
            <v>人力</v>
          </cell>
          <cell r="F42" t="str">
            <v>鋼管据付工人力</v>
          </cell>
          <cell r="G42" t="str">
            <v>φ100</v>
          </cell>
          <cell r="H42" t="str">
            <v>ｍ</v>
          </cell>
          <cell r="I42">
            <v>0.23</v>
          </cell>
          <cell r="J42">
            <v>0.25</v>
          </cell>
          <cell r="M42">
            <v>10</v>
          </cell>
          <cell r="Q42">
            <v>1</v>
          </cell>
        </row>
        <row r="43">
          <cell r="B43">
            <v>38</v>
          </cell>
          <cell r="C43" t="str">
            <v>鋼管据付工</v>
          </cell>
          <cell r="D43" t="str">
            <v>10m当り</v>
          </cell>
          <cell r="E43" t="str">
            <v>人力</v>
          </cell>
          <cell r="F43" t="str">
            <v>鋼管据付工人力</v>
          </cell>
          <cell r="G43" t="str">
            <v>φ125</v>
          </cell>
          <cell r="H43" t="str">
            <v>ｍ</v>
          </cell>
          <cell r="I43">
            <v>0.25</v>
          </cell>
          <cell r="J43">
            <v>0.3</v>
          </cell>
          <cell r="M43">
            <v>10</v>
          </cell>
          <cell r="Q43">
            <v>1</v>
          </cell>
        </row>
        <row r="44">
          <cell r="B44">
            <v>39</v>
          </cell>
          <cell r="C44" t="str">
            <v>鋼管据付工</v>
          </cell>
          <cell r="D44" t="str">
            <v>10m当り</v>
          </cell>
          <cell r="E44" t="str">
            <v>人力</v>
          </cell>
          <cell r="F44" t="str">
            <v>鋼管据付工人力</v>
          </cell>
          <cell r="G44" t="str">
            <v>φ150</v>
          </cell>
          <cell r="H44" t="str">
            <v>ｍ</v>
          </cell>
          <cell r="I44">
            <v>0.3</v>
          </cell>
          <cell r="J44">
            <v>0.35</v>
          </cell>
          <cell r="M44">
            <v>10</v>
          </cell>
          <cell r="Q44">
            <v>1</v>
          </cell>
        </row>
        <row r="45">
          <cell r="B45">
            <v>40</v>
          </cell>
          <cell r="C45" t="str">
            <v>鋼管据付工</v>
          </cell>
          <cell r="D45" t="str">
            <v>10m当り</v>
          </cell>
          <cell r="E45" t="str">
            <v>機械</v>
          </cell>
          <cell r="F45" t="str">
            <v>鋼管据付工機械</v>
          </cell>
          <cell r="G45" t="str">
            <v>φ80</v>
          </cell>
          <cell r="H45" t="str">
            <v>ｍ</v>
          </cell>
          <cell r="I45">
            <v>0.05</v>
          </cell>
          <cell r="J45">
            <v>7.0000000000000007E-2</v>
          </cell>
          <cell r="K45">
            <v>1.1399999999999999</v>
          </cell>
          <cell r="M45">
            <v>10</v>
          </cell>
          <cell r="O45">
            <v>5</v>
          </cell>
          <cell r="P45">
            <v>39</v>
          </cell>
          <cell r="Q45">
            <v>2</v>
          </cell>
        </row>
        <row r="46">
          <cell r="B46">
            <v>41</v>
          </cell>
          <cell r="C46" t="str">
            <v>鋼管据付工</v>
          </cell>
          <cell r="D46" t="str">
            <v>10m当り</v>
          </cell>
          <cell r="E46" t="str">
            <v>機械</v>
          </cell>
          <cell r="F46" t="str">
            <v>鋼管据付工機械</v>
          </cell>
          <cell r="G46" t="str">
            <v>φ100</v>
          </cell>
          <cell r="H46" t="str">
            <v>ｍ</v>
          </cell>
          <cell r="I46">
            <v>0.05</v>
          </cell>
          <cell r="J46">
            <v>7.0000000000000007E-2</v>
          </cell>
          <cell r="K46">
            <v>1.27</v>
          </cell>
          <cell r="M46">
            <v>10</v>
          </cell>
          <cell r="Q46">
            <v>2</v>
          </cell>
        </row>
        <row r="47">
          <cell r="B47">
            <v>42</v>
          </cell>
          <cell r="C47" t="str">
            <v>鋼管据付工</v>
          </cell>
          <cell r="D47" t="str">
            <v>10m当り</v>
          </cell>
          <cell r="E47" t="str">
            <v>機械</v>
          </cell>
          <cell r="F47" t="str">
            <v>鋼管据付工機械</v>
          </cell>
          <cell r="G47" t="str">
            <v>φ125</v>
          </cell>
          <cell r="H47" t="str">
            <v>ｍ</v>
          </cell>
          <cell r="I47">
            <v>0.05</v>
          </cell>
          <cell r="J47">
            <v>7.0000000000000007E-2</v>
          </cell>
          <cell r="K47">
            <v>1.34</v>
          </cell>
          <cell r="M47">
            <v>10</v>
          </cell>
          <cell r="Q47">
            <v>2</v>
          </cell>
        </row>
        <row r="48">
          <cell r="B48">
            <v>43</v>
          </cell>
          <cell r="C48" t="str">
            <v>鋼管据付工</v>
          </cell>
          <cell r="D48" t="str">
            <v>10m当り</v>
          </cell>
          <cell r="E48" t="str">
            <v>機械</v>
          </cell>
          <cell r="F48" t="str">
            <v>鋼管据付工機械</v>
          </cell>
          <cell r="G48" t="str">
            <v>φ150</v>
          </cell>
          <cell r="H48" t="str">
            <v>ｍ</v>
          </cell>
          <cell r="I48">
            <v>0.06</v>
          </cell>
          <cell r="J48">
            <v>0.08</v>
          </cell>
          <cell r="K48">
            <v>1.34</v>
          </cell>
          <cell r="M48">
            <v>10</v>
          </cell>
          <cell r="Q48">
            <v>2</v>
          </cell>
        </row>
        <row r="49">
          <cell r="B49">
            <v>44</v>
          </cell>
          <cell r="C49" t="str">
            <v>鋼管据付工</v>
          </cell>
          <cell r="D49" t="str">
            <v>10m当り</v>
          </cell>
          <cell r="E49" t="str">
            <v>機械</v>
          </cell>
          <cell r="F49" t="str">
            <v>鋼管据付工機械</v>
          </cell>
          <cell r="G49" t="str">
            <v>φ200</v>
          </cell>
          <cell r="H49" t="str">
            <v>ｍ</v>
          </cell>
          <cell r="I49">
            <v>7.0000000000000007E-2</v>
          </cell>
          <cell r="J49">
            <v>0.09</v>
          </cell>
          <cell r="K49">
            <v>1.41</v>
          </cell>
          <cell r="M49">
            <v>10</v>
          </cell>
          <cell r="Q49">
            <v>2</v>
          </cell>
        </row>
        <row r="50">
          <cell r="B50">
            <v>45</v>
          </cell>
          <cell r="C50" t="str">
            <v>鋼管据付工</v>
          </cell>
          <cell r="D50" t="str">
            <v>10m当り</v>
          </cell>
          <cell r="E50" t="str">
            <v>機械</v>
          </cell>
          <cell r="F50" t="str">
            <v>鋼管据付工機械</v>
          </cell>
          <cell r="G50" t="str">
            <v>φ250</v>
          </cell>
          <cell r="H50" t="str">
            <v>ｍ</v>
          </cell>
          <cell r="I50">
            <v>0.09</v>
          </cell>
          <cell r="J50">
            <v>0.12</v>
          </cell>
          <cell r="K50">
            <v>1.47</v>
          </cell>
          <cell r="M50">
            <v>10</v>
          </cell>
          <cell r="Q50">
            <v>2</v>
          </cell>
        </row>
        <row r="51">
          <cell r="B51">
            <v>46</v>
          </cell>
          <cell r="C51" t="str">
            <v>鋼管据付工</v>
          </cell>
          <cell r="D51" t="str">
            <v>10m当り</v>
          </cell>
          <cell r="E51" t="str">
            <v>機械</v>
          </cell>
          <cell r="F51" t="str">
            <v>鋼管据付工機械</v>
          </cell>
          <cell r="G51" t="str">
            <v>φ300</v>
          </cell>
          <cell r="H51" t="str">
            <v>ｍ</v>
          </cell>
          <cell r="I51">
            <v>0.09</v>
          </cell>
          <cell r="J51">
            <v>0.17</v>
          </cell>
          <cell r="K51">
            <v>1.54</v>
          </cell>
          <cell r="M51">
            <v>10</v>
          </cell>
          <cell r="Q51">
            <v>2</v>
          </cell>
        </row>
        <row r="52">
          <cell r="B52">
            <v>47</v>
          </cell>
          <cell r="C52" t="str">
            <v>鋼管据付工</v>
          </cell>
          <cell r="D52" t="str">
            <v>10m当り</v>
          </cell>
          <cell r="E52" t="str">
            <v>機械</v>
          </cell>
          <cell r="F52" t="str">
            <v>鋼管据付工機械</v>
          </cell>
          <cell r="G52" t="str">
            <v>φ350</v>
          </cell>
          <cell r="H52" t="str">
            <v>ｍ</v>
          </cell>
          <cell r="I52">
            <v>0.12</v>
          </cell>
          <cell r="J52">
            <v>0.2</v>
          </cell>
          <cell r="K52">
            <v>1.61</v>
          </cell>
          <cell r="M52">
            <v>10</v>
          </cell>
          <cell r="Q52">
            <v>2</v>
          </cell>
        </row>
        <row r="53">
          <cell r="B53">
            <v>48</v>
          </cell>
          <cell r="C53" t="str">
            <v>鋼管据付工</v>
          </cell>
          <cell r="D53" t="str">
            <v>10m当り</v>
          </cell>
          <cell r="E53" t="str">
            <v>機械</v>
          </cell>
          <cell r="F53" t="str">
            <v>鋼管据付工機械</v>
          </cell>
          <cell r="G53" t="str">
            <v>φ400</v>
          </cell>
          <cell r="H53" t="str">
            <v>ｍ</v>
          </cell>
          <cell r="I53">
            <v>0.15</v>
          </cell>
          <cell r="J53">
            <v>0.23</v>
          </cell>
          <cell r="L53">
            <v>1.68</v>
          </cell>
          <cell r="M53">
            <v>10</v>
          </cell>
          <cell r="Q53">
            <v>2</v>
          </cell>
        </row>
        <row r="54">
          <cell r="B54">
            <v>49</v>
          </cell>
          <cell r="C54" t="str">
            <v>ＰＰ据付工</v>
          </cell>
          <cell r="D54" t="str">
            <v>10m当り</v>
          </cell>
          <cell r="E54" t="str">
            <v>人力</v>
          </cell>
          <cell r="F54" t="str">
            <v>ＰＰ据付工人力</v>
          </cell>
          <cell r="G54" t="str">
            <v>φ13</v>
          </cell>
          <cell r="H54" t="str">
            <v>ｍ</v>
          </cell>
          <cell r="I54">
            <v>0.06</v>
          </cell>
          <cell r="J54">
            <v>0.1</v>
          </cell>
          <cell r="M54">
            <v>10</v>
          </cell>
          <cell r="O54">
            <v>6</v>
          </cell>
          <cell r="P54">
            <v>48</v>
          </cell>
          <cell r="Q54">
            <v>1</v>
          </cell>
        </row>
        <row r="55">
          <cell r="B55">
            <v>50</v>
          </cell>
          <cell r="C55" t="str">
            <v>ＰＰ据付工</v>
          </cell>
          <cell r="D55" t="str">
            <v>10m当り</v>
          </cell>
          <cell r="E55" t="str">
            <v>人力</v>
          </cell>
          <cell r="F55" t="str">
            <v>ＰＰ据付工人力</v>
          </cell>
          <cell r="G55" t="str">
            <v>φ20</v>
          </cell>
          <cell r="H55" t="str">
            <v>ｍ</v>
          </cell>
          <cell r="I55">
            <v>7.0000000000000007E-2</v>
          </cell>
          <cell r="J55">
            <v>0.12</v>
          </cell>
          <cell r="M55">
            <v>10</v>
          </cell>
          <cell r="Q55">
            <v>1</v>
          </cell>
        </row>
        <row r="56">
          <cell r="B56">
            <v>51</v>
          </cell>
          <cell r="C56" t="str">
            <v>ＰＰ据付工</v>
          </cell>
          <cell r="D56" t="str">
            <v>10m当り</v>
          </cell>
          <cell r="E56" t="str">
            <v>人力</v>
          </cell>
          <cell r="F56" t="str">
            <v>ＰＰ据付工人力</v>
          </cell>
          <cell r="G56" t="str">
            <v>φ25</v>
          </cell>
          <cell r="H56" t="str">
            <v>ｍ</v>
          </cell>
          <cell r="I56">
            <v>7.0000000000000007E-2</v>
          </cell>
          <cell r="J56">
            <v>0.12</v>
          </cell>
          <cell r="M56">
            <v>10</v>
          </cell>
          <cell r="Q56">
            <v>1</v>
          </cell>
        </row>
        <row r="57">
          <cell r="B57">
            <v>52</v>
          </cell>
          <cell r="C57" t="str">
            <v>ＰＰ据付工</v>
          </cell>
          <cell r="D57" t="str">
            <v>10m当り</v>
          </cell>
          <cell r="E57" t="str">
            <v>人力</v>
          </cell>
          <cell r="F57" t="str">
            <v>ＰＰ据付工人力</v>
          </cell>
          <cell r="G57" t="str">
            <v>φ30</v>
          </cell>
          <cell r="H57" t="str">
            <v>ｍ</v>
          </cell>
          <cell r="I57">
            <v>0.08</v>
          </cell>
          <cell r="J57">
            <v>0.14000000000000001</v>
          </cell>
          <cell r="M57">
            <v>10</v>
          </cell>
          <cell r="Q57">
            <v>1</v>
          </cell>
        </row>
        <row r="58">
          <cell r="B58">
            <v>53</v>
          </cell>
          <cell r="C58" t="str">
            <v>ＰＰ据付工</v>
          </cell>
          <cell r="D58" t="str">
            <v>10m当り</v>
          </cell>
          <cell r="E58" t="str">
            <v>人力</v>
          </cell>
          <cell r="F58" t="str">
            <v>ＰＰ据付工人力</v>
          </cell>
          <cell r="G58" t="str">
            <v>φ40</v>
          </cell>
          <cell r="H58" t="str">
            <v>ｍ</v>
          </cell>
          <cell r="I58">
            <v>0.08</v>
          </cell>
          <cell r="J58">
            <v>0.14000000000000001</v>
          </cell>
          <cell r="M58">
            <v>10</v>
          </cell>
          <cell r="Q58">
            <v>1</v>
          </cell>
        </row>
        <row r="59">
          <cell r="B59">
            <v>54</v>
          </cell>
          <cell r="C59" t="str">
            <v>ＰＰ据付工</v>
          </cell>
          <cell r="D59" t="str">
            <v>10m当り</v>
          </cell>
          <cell r="E59" t="str">
            <v>人力</v>
          </cell>
          <cell r="F59" t="str">
            <v>ＰＰ据付工人力</v>
          </cell>
          <cell r="G59" t="str">
            <v>φ50</v>
          </cell>
          <cell r="H59" t="str">
            <v>ｍ</v>
          </cell>
          <cell r="I59">
            <v>0.1</v>
          </cell>
          <cell r="J59">
            <v>0.18</v>
          </cell>
          <cell r="M59">
            <v>10</v>
          </cell>
          <cell r="Q59">
            <v>1</v>
          </cell>
        </row>
        <row r="60">
          <cell r="B60">
            <v>55</v>
          </cell>
          <cell r="C60" t="str">
            <v>ＰＰ据付工</v>
          </cell>
          <cell r="D60" t="str">
            <v>10m当り</v>
          </cell>
          <cell r="E60" t="str">
            <v>人力</v>
          </cell>
          <cell r="F60" t="str">
            <v>ＰＰ据付工人力</v>
          </cell>
          <cell r="G60" t="str">
            <v>φ75</v>
          </cell>
          <cell r="H60" t="str">
            <v>ｍ</v>
          </cell>
          <cell r="I60">
            <v>0.1</v>
          </cell>
          <cell r="J60">
            <v>0.18</v>
          </cell>
          <cell r="M60">
            <v>10</v>
          </cell>
          <cell r="Q60">
            <v>1</v>
          </cell>
        </row>
        <row r="61">
          <cell r="B61">
            <v>56</v>
          </cell>
          <cell r="C61" t="str">
            <v>ＰＰ据付工</v>
          </cell>
          <cell r="D61" t="str">
            <v>10m当り</v>
          </cell>
          <cell r="E61" t="str">
            <v>人力</v>
          </cell>
          <cell r="F61" t="str">
            <v>ＰＰ据付工人力</v>
          </cell>
          <cell r="G61" t="str">
            <v>φ100</v>
          </cell>
          <cell r="H61" t="str">
            <v>ｍ</v>
          </cell>
          <cell r="I61">
            <v>0.12</v>
          </cell>
          <cell r="J61">
            <v>0.2</v>
          </cell>
          <cell r="M61">
            <v>10</v>
          </cell>
          <cell r="Q61">
            <v>1</v>
          </cell>
        </row>
        <row r="62">
          <cell r="B62">
            <v>57</v>
          </cell>
          <cell r="C62" t="str">
            <v>ＰＰ据付工</v>
          </cell>
          <cell r="D62" t="str">
            <v>10m当り</v>
          </cell>
          <cell r="E62" t="str">
            <v>人力</v>
          </cell>
          <cell r="F62" t="str">
            <v>ＰＰ据付工人力</v>
          </cell>
          <cell r="G62" t="str">
            <v>φ150</v>
          </cell>
          <cell r="H62" t="str">
            <v>ｍ</v>
          </cell>
          <cell r="I62">
            <v>0.18</v>
          </cell>
          <cell r="J62">
            <v>0.26</v>
          </cell>
          <cell r="M62">
            <v>10</v>
          </cell>
          <cell r="Q62">
            <v>1</v>
          </cell>
        </row>
        <row r="63">
          <cell r="B63">
            <v>58</v>
          </cell>
          <cell r="C63" t="str">
            <v>ＰＰ据付工</v>
          </cell>
          <cell r="D63" t="str">
            <v>10m当り</v>
          </cell>
          <cell r="E63" t="str">
            <v>人力</v>
          </cell>
          <cell r="F63" t="str">
            <v>ＰＰ据付工人力</v>
          </cell>
          <cell r="G63" t="str">
            <v>φ200</v>
          </cell>
          <cell r="H63" t="str">
            <v>ｍ</v>
          </cell>
          <cell r="I63">
            <v>0.25</v>
          </cell>
          <cell r="J63">
            <v>0.49</v>
          </cell>
          <cell r="M63">
            <v>10</v>
          </cell>
          <cell r="Q63">
            <v>1</v>
          </cell>
        </row>
        <row r="64">
          <cell r="B64">
            <v>59</v>
          </cell>
          <cell r="C64" t="str">
            <v>鋳鉄管切断工</v>
          </cell>
          <cell r="D64" t="str">
            <v>1口当り</v>
          </cell>
          <cell r="E64" t="str">
            <v>エンジンカッター</v>
          </cell>
          <cell r="F64" t="str">
            <v>鋳鉄管切断工エンジンカッター</v>
          </cell>
          <cell r="G64" t="str">
            <v>φ75</v>
          </cell>
          <cell r="H64" t="str">
            <v>口</v>
          </cell>
          <cell r="I64">
            <v>0.03</v>
          </cell>
          <cell r="J64">
            <v>0.06</v>
          </cell>
          <cell r="K64">
            <v>5</v>
          </cell>
          <cell r="L64">
            <v>0.03</v>
          </cell>
          <cell r="O64">
            <v>7</v>
          </cell>
          <cell r="P64">
            <v>51</v>
          </cell>
          <cell r="Q64">
            <v>4</v>
          </cell>
        </row>
        <row r="65">
          <cell r="B65">
            <v>60</v>
          </cell>
          <cell r="C65" t="str">
            <v>鋳鉄管切断工</v>
          </cell>
          <cell r="D65" t="str">
            <v>1口当り</v>
          </cell>
          <cell r="E65" t="str">
            <v>エンジンカッター</v>
          </cell>
          <cell r="F65" t="str">
            <v>鋳鉄管切断工エンジンカッター</v>
          </cell>
          <cell r="G65" t="str">
            <v>φ100</v>
          </cell>
          <cell r="H65" t="str">
            <v>口</v>
          </cell>
          <cell r="I65">
            <v>0.03</v>
          </cell>
          <cell r="J65">
            <v>0.06</v>
          </cell>
          <cell r="K65">
            <v>5</v>
          </cell>
          <cell r="L65">
            <v>0.03</v>
          </cell>
          <cell r="Q65">
            <v>4</v>
          </cell>
        </row>
        <row r="66">
          <cell r="B66">
            <v>61</v>
          </cell>
          <cell r="C66" t="str">
            <v>鋳鉄管切断工</v>
          </cell>
          <cell r="D66" t="str">
            <v>1口当り</v>
          </cell>
          <cell r="E66" t="str">
            <v>エンジンカッター</v>
          </cell>
          <cell r="F66" t="str">
            <v>鋳鉄管切断工エンジンカッター</v>
          </cell>
          <cell r="G66" t="str">
            <v>φ150</v>
          </cell>
          <cell r="H66" t="str">
            <v>口</v>
          </cell>
          <cell r="I66">
            <v>0.04</v>
          </cell>
          <cell r="J66">
            <v>0.08</v>
          </cell>
          <cell r="K66">
            <v>5</v>
          </cell>
          <cell r="L66">
            <v>0.04</v>
          </cell>
          <cell r="Q66">
            <v>4</v>
          </cell>
        </row>
        <row r="67">
          <cell r="B67">
            <v>62</v>
          </cell>
          <cell r="C67" t="str">
            <v>鋳鉄管切断工</v>
          </cell>
          <cell r="D67" t="str">
            <v>1口当り</v>
          </cell>
          <cell r="E67" t="str">
            <v>エンジンカッター</v>
          </cell>
          <cell r="F67" t="str">
            <v>鋳鉄管切断工エンジンカッター</v>
          </cell>
          <cell r="G67" t="str">
            <v>φ200</v>
          </cell>
          <cell r="H67" t="str">
            <v>口</v>
          </cell>
          <cell r="I67">
            <v>0.05</v>
          </cell>
          <cell r="J67">
            <v>0.09</v>
          </cell>
          <cell r="K67">
            <v>5</v>
          </cell>
          <cell r="L67">
            <v>0.05</v>
          </cell>
          <cell r="Q67">
            <v>4</v>
          </cell>
        </row>
        <row r="68">
          <cell r="B68">
            <v>63</v>
          </cell>
          <cell r="C68" t="str">
            <v>鋳鉄管切断工</v>
          </cell>
          <cell r="D68" t="str">
            <v>1口当り</v>
          </cell>
          <cell r="E68" t="str">
            <v>エンジンカッター</v>
          </cell>
          <cell r="F68" t="str">
            <v>鋳鉄管切断工エンジンカッター</v>
          </cell>
          <cell r="G68" t="str">
            <v>φ250</v>
          </cell>
          <cell r="H68" t="str">
            <v>口</v>
          </cell>
          <cell r="I68">
            <v>0.05</v>
          </cell>
          <cell r="J68">
            <v>0.1</v>
          </cell>
          <cell r="K68">
            <v>5</v>
          </cell>
          <cell r="L68">
            <v>0.05</v>
          </cell>
          <cell r="Q68">
            <v>4</v>
          </cell>
        </row>
        <row r="69">
          <cell r="B69">
            <v>64</v>
          </cell>
          <cell r="C69" t="str">
            <v>鋳鉄管切断工</v>
          </cell>
          <cell r="D69" t="str">
            <v>1口当り</v>
          </cell>
          <cell r="E69" t="str">
            <v>エンジンカッター</v>
          </cell>
          <cell r="F69" t="str">
            <v>鋳鉄管切断工エンジンカッター</v>
          </cell>
          <cell r="G69" t="str">
            <v>φ300</v>
          </cell>
          <cell r="H69" t="str">
            <v>口</v>
          </cell>
          <cell r="I69">
            <v>0.06</v>
          </cell>
          <cell r="J69">
            <v>0.18</v>
          </cell>
          <cell r="K69">
            <v>5</v>
          </cell>
          <cell r="L69">
            <v>0.06</v>
          </cell>
          <cell r="Q69">
            <v>4</v>
          </cell>
        </row>
        <row r="70">
          <cell r="B70">
            <v>65</v>
          </cell>
          <cell r="C70" t="str">
            <v>鋳鉄管切断工</v>
          </cell>
          <cell r="D70" t="str">
            <v>1口当り</v>
          </cell>
          <cell r="E70" t="str">
            <v>エンジンカッター</v>
          </cell>
          <cell r="F70" t="str">
            <v>鋳鉄管切断工エンジンカッター</v>
          </cell>
          <cell r="G70" t="str">
            <v>φ350</v>
          </cell>
          <cell r="H70" t="str">
            <v>口</v>
          </cell>
          <cell r="I70">
            <v>7.0000000000000007E-2</v>
          </cell>
          <cell r="J70">
            <v>0.2</v>
          </cell>
          <cell r="K70">
            <v>5</v>
          </cell>
          <cell r="L70">
            <v>7.0000000000000007E-2</v>
          </cell>
          <cell r="Q70">
            <v>4</v>
          </cell>
        </row>
        <row r="71">
          <cell r="B71">
            <v>66</v>
          </cell>
          <cell r="C71" t="str">
            <v>鋳鉄管切断工</v>
          </cell>
          <cell r="D71" t="str">
            <v>1口当り</v>
          </cell>
          <cell r="E71" t="str">
            <v>エンジンカッター</v>
          </cell>
          <cell r="F71" t="str">
            <v>鋳鉄管切断工エンジンカッター</v>
          </cell>
          <cell r="G71" t="str">
            <v>φ400</v>
          </cell>
          <cell r="H71" t="str">
            <v>口</v>
          </cell>
          <cell r="I71">
            <v>7.0000000000000007E-2</v>
          </cell>
          <cell r="J71">
            <v>0.22</v>
          </cell>
          <cell r="K71">
            <v>5</v>
          </cell>
          <cell r="L71">
            <v>7.0000000000000007E-2</v>
          </cell>
          <cell r="Q71">
            <v>4</v>
          </cell>
        </row>
        <row r="72">
          <cell r="B72">
            <v>67</v>
          </cell>
          <cell r="C72" t="str">
            <v>鋳鉄管切断工</v>
          </cell>
          <cell r="D72" t="str">
            <v>1口当り</v>
          </cell>
          <cell r="E72" t="str">
            <v>エンジンカッター</v>
          </cell>
          <cell r="F72" t="str">
            <v>鋳鉄管切断工エンジンカッター</v>
          </cell>
          <cell r="G72" t="str">
            <v>φ450</v>
          </cell>
          <cell r="H72" t="str">
            <v>口</v>
          </cell>
          <cell r="I72">
            <v>0.08</v>
          </cell>
          <cell r="J72">
            <v>0.24</v>
          </cell>
          <cell r="K72">
            <v>5</v>
          </cell>
          <cell r="L72">
            <v>0.08</v>
          </cell>
          <cell r="Q72">
            <v>4</v>
          </cell>
        </row>
        <row r="73">
          <cell r="B73">
            <v>68</v>
          </cell>
          <cell r="C73" t="str">
            <v>鋼管切断工</v>
          </cell>
          <cell r="D73" t="str">
            <v>1個所当り</v>
          </cell>
          <cell r="F73" t="str">
            <v>鋼管切断工</v>
          </cell>
          <cell r="G73" t="str">
            <v>φ50</v>
          </cell>
          <cell r="H73" t="str">
            <v>箇所</v>
          </cell>
          <cell r="I73">
            <v>0.02</v>
          </cell>
          <cell r="J73">
            <v>0.01</v>
          </cell>
          <cell r="K73">
            <v>3</v>
          </cell>
          <cell r="O73">
            <v>8</v>
          </cell>
          <cell r="P73">
            <v>38</v>
          </cell>
          <cell r="Q73">
            <v>5</v>
          </cell>
        </row>
        <row r="74">
          <cell r="B74">
            <v>69</v>
          </cell>
          <cell r="C74" t="str">
            <v>鋼管切断工</v>
          </cell>
          <cell r="D74" t="str">
            <v>1個所当り</v>
          </cell>
          <cell r="F74" t="str">
            <v>鋼管切断工</v>
          </cell>
          <cell r="G74" t="str">
            <v>φ80</v>
          </cell>
          <cell r="H74" t="str">
            <v>箇所</v>
          </cell>
          <cell r="I74">
            <v>0.03</v>
          </cell>
          <cell r="J74">
            <v>0.02</v>
          </cell>
          <cell r="K74">
            <v>3</v>
          </cell>
          <cell r="Q74">
            <v>5</v>
          </cell>
        </row>
        <row r="75">
          <cell r="B75">
            <v>70</v>
          </cell>
          <cell r="C75" t="str">
            <v>鋼管切断工</v>
          </cell>
          <cell r="D75" t="str">
            <v>1個所当り</v>
          </cell>
          <cell r="F75" t="str">
            <v>鋼管切断工</v>
          </cell>
          <cell r="G75" t="str">
            <v>φ100</v>
          </cell>
          <cell r="H75" t="str">
            <v>箇所</v>
          </cell>
          <cell r="I75">
            <v>0.03</v>
          </cell>
          <cell r="J75">
            <v>0.02</v>
          </cell>
          <cell r="K75">
            <v>3</v>
          </cell>
          <cell r="Q75">
            <v>5</v>
          </cell>
        </row>
        <row r="76">
          <cell r="B76">
            <v>71</v>
          </cell>
          <cell r="C76" t="str">
            <v>鋼管切断工</v>
          </cell>
          <cell r="D76" t="str">
            <v>1個所当り</v>
          </cell>
          <cell r="F76" t="str">
            <v>鋼管切断工</v>
          </cell>
          <cell r="G76" t="str">
            <v>φ125</v>
          </cell>
          <cell r="H76" t="str">
            <v>箇所</v>
          </cell>
          <cell r="I76">
            <v>0.04</v>
          </cell>
          <cell r="J76">
            <v>0.03</v>
          </cell>
          <cell r="K76">
            <v>3</v>
          </cell>
          <cell r="Q76">
            <v>5</v>
          </cell>
        </row>
        <row r="77">
          <cell r="B77">
            <v>72</v>
          </cell>
          <cell r="C77" t="str">
            <v>鋼管切断工</v>
          </cell>
          <cell r="D77" t="str">
            <v>1個所当り</v>
          </cell>
          <cell r="F77" t="str">
            <v>鋼管切断工</v>
          </cell>
          <cell r="G77" t="str">
            <v>φ150</v>
          </cell>
          <cell r="H77" t="str">
            <v>箇所</v>
          </cell>
          <cell r="I77">
            <v>0.04</v>
          </cell>
          <cell r="J77">
            <v>0.03</v>
          </cell>
          <cell r="K77">
            <v>3</v>
          </cell>
          <cell r="Q77">
            <v>5</v>
          </cell>
        </row>
        <row r="78">
          <cell r="B78">
            <v>73</v>
          </cell>
          <cell r="C78" t="str">
            <v>ﾒｶﾆｶﾙ継手工</v>
          </cell>
          <cell r="D78" t="str">
            <v>1口当り</v>
          </cell>
          <cell r="F78" t="str">
            <v>ﾒｶﾆｶﾙ継手工</v>
          </cell>
          <cell r="G78" t="str">
            <v>φ75以下</v>
          </cell>
          <cell r="H78" t="str">
            <v>口</v>
          </cell>
          <cell r="I78">
            <v>0.05</v>
          </cell>
          <cell r="J78">
            <v>0.05</v>
          </cell>
          <cell r="K78">
            <v>1</v>
          </cell>
          <cell r="O78">
            <v>9</v>
          </cell>
          <cell r="P78">
            <v>33</v>
          </cell>
          <cell r="Q78">
            <v>5</v>
          </cell>
        </row>
        <row r="79">
          <cell r="B79">
            <v>74</v>
          </cell>
          <cell r="C79" t="str">
            <v>ﾒｶﾆｶﾙ継手工</v>
          </cell>
          <cell r="D79" t="str">
            <v>1口当り</v>
          </cell>
          <cell r="F79" t="str">
            <v>ﾒｶﾆｶﾙ継手工</v>
          </cell>
          <cell r="G79" t="str">
            <v>φ100</v>
          </cell>
          <cell r="H79" t="str">
            <v>口</v>
          </cell>
          <cell r="I79">
            <v>0.05</v>
          </cell>
          <cell r="J79">
            <v>0.05</v>
          </cell>
          <cell r="K79">
            <v>1</v>
          </cell>
          <cell r="Q79">
            <v>5</v>
          </cell>
        </row>
        <row r="80">
          <cell r="B80">
            <v>75</v>
          </cell>
          <cell r="C80" t="str">
            <v>ﾒｶﾆｶﾙ継手工</v>
          </cell>
          <cell r="D80" t="str">
            <v>1口当り</v>
          </cell>
          <cell r="F80" t="str">
            <v>ﾒｶﾆｶﾙ継手工</v>
          </cell>
          <cell r="G80" t="str">
            <v>φ150</v>
          </cell>
          <cell r="H80" t="str">
            <v>口</v>
          </cell>
          <cell r="I80">
            <v>0.06</v>
          </cell>
          <cell r="J80">
            <v>0.06</v>
          </cell>
          <cell r="K80">
            <v>1</v>
          </cell>
          <cell r="Q80">
            <v>5</v>
          </cell>
        </row>
        <row r="81">
          <cell r="B81">
            <v>76</v>
          </cell>
          <cell r="C81" t="str">
            <v>ﾒｶﾆｶﾙ継手工</v>
          </cell>
          <cell r="D81" t="str">
            <v>1口当り</v>
          </cell>
          <cell r="F81" t="str">
            <v>ﾒｶﾆｶﾙ継手工</v>
          </cell>
          <cell r="G81" t="str">
            <v>φ200</v>
          </cell>
          <cell r="H81" t="str">
            <v>口</v>
          </cell>
          <cell r="I81">
            <v>7.0000000000000007E-2</v>
          </cell>
          <cell r="J81">
            <v>7.0000000000000007E-2</v>
          </cell>
          <cell r="K81">
            <v>1</v>
          </cell>
          <cell r="Q81">
            <v>5</v>
          </cell>
        </row>
        <row r="82">
          <cell r="B82">
            <v>77</v>
          </cell>
          <cell r="C82" t="str">
            <v>ﾒｶﾆｶﾙ継手工</v>
          </cell>
          <cell r="D82" t="str">
            <v>1口当り</v>
          </cell>
          <cell r="F82" t="str">
            <v>ﾒｶﾆｶﾙ継手工</v>
          </cell>
          <cell r="G82" t="str">
            <v>φ250</v>
          </cell>
          <cell r="H82" t="str">
            <v>口</v>
          </cell>
          <cell r="I82">
            <v>0.08</v>
          </cell>
          <cell r="J82">
            <v>0.08</v>
          </cell>
          <cell r="K82">
            <v>1</v>
          </cell>
          <cell r="Q82">
            <v>5</v>
          </cell>
        </row>
        <row r="83">
          <cell r="B83">
            <v>78</v>
          </cell>
          <cell r="C83" t="str">
            <v>ﾒｶﾆｶﾙ継手工</v>
          </cell>
          <cell r="D83" t="str">
            <v>1口当り</v>
          </cell>
          <cell r="F83" t="str">
            <v>ﾒｶﾆｶﾙ継手工</v>
          </cell>
          <cell r="G83" t="str">
            <v>φ300</v>
          </cell>
          <cell r="H83" t="str">
            <v>口</v>
          </cell>
          <cell r="I83">
            <v>0.09</v>
          </cell>
          <cell r="J83">
            <v>0.09</v>
          </cell>
          <cell r="K83">
            <v>1</v>
          </cell>
          <cell r="Q83">
            <v>5</v>
          </cell>
        </row>
        <row r="84">
          <cell r="B84">
            <v>79</v>
          </cell>
          <cell r="C84" t="str">
            <v>ﾒｶﾆｶﾙ継手工</v>
          </cell>
          <cell r="D84" t="str">
            <v>1口当り</v>
          </cell>
          <cell r="F84" t="str">
            <v>ﾒｶﾆｶﾙ継手工</v>
          </cell>
          <cell r="G84" t="str">
            <v>φ350</v>
          </cell>
          <cell r="H84" t="str">
            <v>口</v>
          </cell>
          <cell r="I84">
            <v>0.09</v>
          </cell>
          <cell r="J84">
            <v>0.09</v>
          </cell>
          <cell r="K84">
            <v>1</v>
          </cell>
          <cell r="Q84">
            <v>5</v>
          </cell>
        </row>
        <row r="85">
          <cell r="B85">
            <v>80</v>
          </cell>
          <cell r="C85" t="str">
            <v>ﾒｶﾆｶﾙ継手工</v>
          </cell>
          <cell r="D85" t="str">
            <v>1口当り</v>
          </cell>
          <cell r="F85" t="str">
            <v>ﾒｶﾆｶﾙ継手工</v>
          </cell>
          <cell r="G85" t="str">
            <v>φ400</v>
          </cell>
          <cell r="H85" t="str">
            <v>口</v>
          </cell>
          <cell r="I85">
            <v>0.1</v>
          </cell>
          <cell r="J85">
            <v>0.1</v>
          </cell>
          <cell r="K85">
            <v>1</v>
          </cell>
          <cell r="Q85">
            <v>5</v>
          </cell>
        </row>
        <row r="86">
          <cell r="B86">
            <v>81</v>
          </cell>
          <cell r="C86" t="str">
            <v>ﾒｶﾆｶﾙ継手工</v>
          </cell>
          <cell r="D86" t="str">
            <v>1口当り</v>
          </cell>
          <cell r="F86" t="str">
            <v>ﾒｶﾆｶﾙ継手工</v>
          </cell>
          <cell r="G86" t="str">
            <v>φ450</v>
          </cell>
          <cell r="H86" t="str">
            <v>口</v>
          </cell>
          <cell r="I86">
            <v>0.11</v>
          </cell>
          <cell r="J86">
            <v>0.11</v>
          </cell>
          <cell r="K86">
            <v>1</v>
          </cell>
          <cell r="Q86">
            <v>5</v>
          </cell>
        </row>
        <row r="87">
          <cell r="B87">
            <v>82</v>
          </cell>
          <cell r="C87" t="str">
            <v>ﾒｶﾆｶﾙ継手工</v>
          </cell>
          <cell r="D87" t="str">
            <v>1口当り</v>
          </cell>
          <cell r="E87" t="str">
            <v>抜止付</v>
          </cell>
          <cell r="F87" t="str">
            <v>ﾒｶﾆｶﾙ継手工抜止付</v>
          </cell>
          <cell r="G87" t="str">
            <v>φ75以下</v>
          </cell>
          <cell r="H87" t="str">
            <v>口</v>
          </cell>
          <cell r="I87">
            <v>0.05</v>
          </cell>
          <cell r="J87">
            <v>0.05</v>
          </cell>
          <cell r="K87">
            <v>1</v>
          </cell>
          <cell r="L87">
            <v>15</v>
          </cell>
          <cell r="N87" t="str">
            <v>特殊押輪</v>
          </cell>
          <cell r="O87">
            <v>10</v>
          </cell>
          <cell r="P87">
            <v>33</v>
          </cell>
          <cell r="Q87">
            <v>8</v>
          </cell>
        </row>
        <row r="88">
          <cell r="B88">
            <v>83</v>
          </cell>
          <cell r="C88" t="str">
            <v>ﾒｶﾆｶﾙ継手工</v>
          </cell>
          <cell r="D88" t="str">
            <v>1口当り</v>
          </cell>
          <cell r="E88" t="str">
            <v>抜止付</v>
          </cell>
          <cell r="F88" t="str">
            <v>ﾒｶﾆｶﾙ継手工抜止付</v>
          </cell>
          <cell r="G88" t="str">
            <v>φ100</v>
          </cell>
          <cell r="H88" t="str">
            <v>口</v>
          </cell>
          <cell r="I88">
            <v>0.05</v>
          </cell>
          <cell r="J88">
            <v>0.05</v>
          </cell>
          <cell r="K88">
            <v>1</v>
          </cell>
          <cell r="L88">
            <v>15</v>
          </cell>
          <cell r="N88" t="str">
            <v>特殊押輪</v>
          </cell>
          <cell r="Q88">
            <v>8</v>
          </cell>
        </row>
        <row r="89">
          <cell r="B89">
            <v>84</v>
          </cell>
          <cell r="C89" t="str">
            <v>ﾒｶﾆｶﾙ継手工</v>
          </cell>
          <cell r="D89" t="str">
            <v>1口当り</v>
          </cell>
          <cell r="E89" t="str">
            <v>抜止付</v>
          </cell>
          <cell r="F89" t="str">
            <v>ﾒｶﾆｶﾙ継手工抜止付</v>
          </cell>
          <cell r="G89" t="str">
            <v>φ150</v>
          </cell>
          <cell r="H89" t="str">
            <v>口</v>
          </cell>
          <cell r="I89">
            <v>0.06</v>
          </cell>
          <cell r="J89">
            <v>0.06</v>
          </cell>
          <cell r="K89">
            <v>1</v>
          </cell>
          <cell r="L89">
            <v>15</v>
          </cell>
          <cell r="N89" t="str">
            <v>特殊押輪</v>
          </cell>
          <cell r="Q89">
            <v>8</v>
          </cell>
        </row>
        <row r="90">
          <cell r="B90">
            <v>85</v>
          </cell>
          <cell r="C90" t="str">
            <v>ﾒｶﾆｶﾙ継手工</v>
          </cell>
          <cell r="D90" t="str">
            <v>1口当り</v>
          </cell>
          <cell r="E90" t="str">
            <v>抜止付</v>
          </cell>
          <cell r="F90" t="str">
            <v>ﾒｶﾆｶﾙ継手工抜止付</v>
          </cell>
          <cell r="G90" t="str">
            <v>φ200</v>
          </cell>
          <cell r="H90" t="str">
            <v>口</v>
          </cell>
          <cell r="I90">
            <v>7.0000000000000007E-2</v>
          </cell>
          <cell r="J90">
            <v>7.0000000000000007E-2</v>
          </cell>
          <cell r="K90">
            <v>1</v>
          </cell>
          <cell r="L90">
            <v>15</v>
          </cell>
          <cell r="N90" t="str">
            <v>特殊押輪</v>
          </cell>
          <cell r="Q90">
            <v>8</v>
          </cell>
        </row>
        <row r="91">
          <cell r="B91">
            <v>86</v>
          </cell>
          <cell r="C91" t="str">
            <v>ﾒｶﾆｶﾙ継手工</v>
          </cell>
          <cell r="D91" t="str">
            <v>1口当り</v>
          </cell>
          <cell r="E91" t="str">
            <v>抜止付</v>
          </cell>
          <cell r="F91" t="str">
            <v>ﾒｶﾆｶﾙ継手工抜止付</v>
          </cell>
          <cell r="G91" t="str">
            <v>φ250</v>
          </cell>
          <cell r="H91" t="str">
            <v>口</v>
          </cell>
          <cell r="I91">
            <v>0.08</v>
          </cell>
          <cell r="J91">
            <v>0.08</v>
          </cell>
          <cell r="K91">
            <v>1</v>
          </cell>
          <cell r="L91">
            <v>15</v>
          </cell>
          <cell r="N91" t="str">
            <v>特殊押輪</v>
          </cell>
          <cell r="Q91">
            <v>8</v>
          </cell>
        </row>
        <row r="92">
          <cell r="B92">
            <v>87</v>
          </cell>
          <cell r="C92" t="str">
            <v>ﾒｶﾆｶﾙ継手工</v>
          </cell>
          <cell r="D92" t="str">
            <v>1口当り</v>
          </cell>
          <cell r="E92" t="str">
            <v>抜止付</v>
          </cell>
          <cell r="F92" t="str">
            <v>ﾒｶﾆｶﾙ継手工抜止付</v>
          </cell>
          <cell r="G92" t="str">
            <v>φ300</v>
          </cell>
          <cell r="H92" t="str">
            <v>口</v>
          </cell>
          <cell r="I92">
            <v>0.09</v>
          </cell>
          <cell r="J92">
            <v>0.09</v>
          </cell>
          <cell r="K92">
            <v>1</v>
          </cell>
          <cell r="L92">
            <v>15</v>
          </cell>
          <cell r="N92" t="str">
            <v>特殊押輪</v>
          </cell>
          <cell r="Q92">
            <v>8</v>
          </cell>
        </row>
        <row r="93">
          <cell r="B93">
            <v>88</v>
          </cell>
          <cell r="C93" t="str">
            <v>ﾒｶﾆｶﾙ継手工</v>
          </cell>
          <cell r="D93" t="str">
            <v>1口当り</v>
          </cell>
          <cell r="E93" t="str">
            <v>抜止付</v>
          </cell>
          <cell r="F93" t="str">
            <v>ﾒｶﾆｶﾙ継手工抜止付</v>
          </cell>
          <cell r="G93" t="str">
            <v>φ350</v>
          </cell>
          <cell r="H93" t="str">
            <v>口</v>
          </cell>
          <cell r="I93">
            <v>0.09</v>
          </cell>
          <cell r="J93">
            <v>0.09</v>
          </cell>
          <cell r="K93">
            <v>1</v>
          </cell>
          <cell r="L93">
            <v>15</v>
          </cell>
          <cell r="N93" t="str">
            <v>特殊押輪</v>
          </cell>
          <cell r="Q93">
            <v>8</v>
          </cell>
        </row>
        <row r="94">
          <cell r="B94">
            <v>89</v>
          </cell>
          <cell r="C94" t="str">
            <v>ﾒｶﾆｶﾙ継手工</v>
          </cell>
          <cell r="D94" t="str">
            <v>1口当り</v>
          </cell>
          <cell r="E94" t="str">
            <v>抜止付</v>
          </cell>
          <cell r="F94" t="str">
            <v>ﾒｶﾆｶﾙ継手工抜止付</v>
          </cell>
          <cell r="G94" t="str">
            <v>φ400</v>
          </cell>
          <cell r="H94" t="str">
            <v>口</v>
          </cell>
          <cell r="I94">
            <v>0.1</v>
          </cell>
          <cell r="J94">
            <v>0.1</v>
          </cell>
          <cell r="K94">
            <v>1</v>
          </cell>
          <cell r="L94">
            <v>15</v>
          </cell>
          <cell r="N94" t="str">
            <v>特殊押輪</v>
          </cell>
          <cell r="Q94">
            <v>8</v>
          </cell>
        </row>
        <row r="95">
          <cell r="B95">
            <v>90</v>
          </cell>
          <cell r="C95" t="str">
            <v>ﾒｶﾆｶﾙ継手工</v>
          </cell>
          <cell r="D95" t="str">
            <v>1口当り</v>
          </cell>
          <cell r="E95" t="str">
            <v>抜止付</v>
          </cell>
          <cell r="F95" t="str">
            <v>ﾒｶﾆｶﾙ継手工抜止付</v>
          </cell>
          <cell r="G95" t="str">
            <v>φ450</v>
          </cell>
          <cell r="H95" t="str">
            <v>口</v>
          </cell>
          <cell r="I95">
            <v>0.11</v>
          </cell>
          <cell r="J95">
            <v>0.11</v>
          </cell>
          <cell r="K95">
            <v>1</v>
          </cell>
          <cell r="L95">
            <v>15</v>
          </cell>
          <cell r="N95" t="str">
            <v>特殊押輪</v>
          </cell>
          <cell r="Q95">
            <v>8</v>
          </cell>
        </row>
        <row r="96">
          <cell r="B96">
            <v>91</v>
          </cell>
          <cell r="C96" t="str">
            <v>VWP-TS継手工</v>
          </cell>
          <cell r="D96" t="str">
            <v>2口当り</v>
          </cell>
          <cell r="F96" t="str">
            <v>VWP-TS継手工</v>
          </cell>
          <cell r="G96" t="str">
            <v>φ13</v>
          </cell>
          <cell r="H96" t="str">
            <v>ヶ所</v>
          </cell>
          <cell r="I96">
            <v>0.01</v>
          </cell>
          <cell r="J96">
            <v>0.01</v>
          </cell>
          <cell r="N96" t="str">
            <v>2口当り</v>
          </cell>
          <cell r="O96">
            <v>11</v>
          </cell>
          <cell r="P96">
            <v>47</v>
          </cell>
          <cell r="Q96">
            <v>10</v>
          </cell>
        </row>
        <row r="97">
          <cell r="B97">
            <v>92</v>
          </cell>
          <cell r="C97" t="str">
            <v>VWP-TS継手工</v>
          </cell>
          <cell r="D97" t="str">
            <v>2口当り</v>
          </cell>
          <cell r="F97" t="str">
            <v>VWP-TS継手工</v>
          </cell>
          <cell r="G97" t="str">
            <v>φ20</v>
          </cell>
          <cell r="H97" t="str">
            <v>ヶ所</v>
          </cell>
          <cell r="I97">
            <v>0.02</v>
          </cell>
          <cell r="J97">
            <v>0.02</v>
          </cell>
          <cell r="N97" t="str">
            <v>2口当り</v>
          </cell>
          <cell r="Q97">
            <v>10</v>
          </cell>
        </row>
        <row r="98">
          <cell r="B98">
            <v>93</v>
          </cell>
          <cell r="C98" t="str">
            <v>VWP-TS継手工</v>
          </cell>
          <cell r="D98" t="str">
            <v>2口当り</v>
          </cell>
          <cell r="F98" t="str">
            <v>VWP-TS継手工</v>
          </cell>
          <cell r="G98" t="str">
            <v>φ25</v>
          </cell>
          <cell r="H98" t="str">
            <v>ヶ所</v>
          </cell>
          <cell r="I98">
            <v>0.02</v>
          </cell>
          <cell r="J98">
            <v>0.02</v>
          </cell>
          <cell r="N98" t="str">
            <v>2口当り</v>
          </cell>
          <cell r="Q98">
            <v>10</v>
          </cell>
        </row>
        <row r="99">
          <cell r="B99">
            <v>94</v>
          </cell>
          <cell r="C99" t="str">
            <v>VWP-TS継手工</v>
          </cell>
          <cell r="D99" t="str">
            <v>2口当り</v>
          </cell>
          <cell r="F99" t="str">
            <v>VWP-TS継手工</v>
          </cell>
          <cell r="G99" t="str">
            <v>φ30</v>
          </cell>
          <cell r="H99" t="str">
            <v>ヶ所</v>
          </cell>
          <cell r="I99">
            <v>0.03</v>
          </cell>
          <cell r="J99">
            <v>0.03</v>
          </cell>
          <cell r="N99" t="str">
            <v>2口当り</v>
          </cell>
          <cell r="Q99">
            <v>10</v>
          </cell>
        </row>
        <row r="100">
          <cell r="B100">
            <v>95</v>
          </cell>
          <cell r="C100" t="str">
            <v>VWP-TS継手工</v>
          </cell>
          <cell r="D100" t="str">
            <v>2口当り</v>
          </cell>
          <cell r="F100" t="str">
            <v>VWP-TS継手工</v>
          </cell>
          <cell r="G100" t="str">
            <v>φ40</v>
          </cell>
          <cell r="H100" t="str">
            <v>ヶ所</v>
          </cell>
          <cell r="I100">
            <v>0.03</v>
          </cell>
          <cell r="J100">
            <v>0.03</v>
          </cell>
          <cell r="N100" t="str">
            <v>2口当り</v>
          </cell>
          <cell r="Q100">
            <v>10</v>
          </cell>
        </row>
        <row r="101">
          <cell r="B101">
            <v>96</v>
          </cell>
          <cell r="C101" t="str">
            <v>VWP-TS継手工</v>
          </cell>
          <cell r="D101" t="str">
            <v>2口当り</v>
          </cell>
          <cell r="F101" t="str">
            <v>VWP-TS継手工</v>
          </cell>
          <cell r="G101" t="str">
            <v>φ50</v>
          </cell>
          <cell r="H101" t="str">
            <v>ヶ所</v>
          </cell>
          <cell r="I101">
            <v>0.04</v>
          </cell>
          <cell r="J101">
            <v>0.04</v>
          </cell>
          <cell r="N101" t="str">
            <v>2口当り</v>
          </cell>
          <cell r="Q101">
            <v>10</v>
          </cell>
        </row>
        <row r="102">
          <cell r="B102">
            <v>97</v>
          </cell>
          <cell r="C102" t="str">
            <v>VWP-TS継手工</v>
          </cell>
          <cell r="D102" t="str">
            <v>2口当り</v>
          </cell>
          <cell r="F102" t="str">
            <v>VWP-TS継手工</v>
          </cell>
          <cell r="G102" t="str">
            <v>φ75</v>
          </cell>
          <cell r="H102" t="str">
            <v>ヶ所</v>
          </cell>
          <cell r="I102">
            <v>0.04</v>
          </cell>
          <cell r="J102">
            <v>0.04</v>
          </cell>
          <cell r="N102" t="str">
            <v>2口当り</v>
          </cell>
          <cell r="Q102">
            <v>10</v>
          </cell>
        </row>
        <row r="103">
          <cell r="B103">
            <v>98</v>
          </cell>
          <cell r="C103" t="str">
            <v>VWP-TS継手工</v>
          </cell>
          <cell r="D103" t="str">
            <v>2口当り</v>
          </cell>
          <cell r="F103" t="str">
            <v>VWP-TS継手工</v>
          </cell>
          <cell r="G103" t="str">
            <v>φ100</v>
          </cell>
          <cell r="H103" t="str">
            <v>ヶ所</v>
          </cell>
          <cell r="I103">
            <v>0.06</v>
          </cell>
          <cell r="J103">
            <v>0.06</v>
          </cell>
          <cell r="N103" t="str">
            <v>2口当り</v>
          </cell>
          <cell r="Q103">
            <v>10</v>
          </cell>
        </row>
        <row r="104">
          <cell r="B104">
            <v>99</v>
          </cell>
          <cell r="C104" t="str">
            <v>VWP-TS継手工</v>
          </cell>
          <cell r="D104" t="str">
            <v>2口当り</v>
          </cell>
          <cell r="F104" t="str">
            <v>VWP-TS継手工</v>
          </cell>
          <cell r="G104" t="str">
            <v>φ125</v>
          </cell>
          <cell r="H104" t="str">
            <v>ヶ所</v>
          </cell>
          <cell r="I104">
            <v>0.06</v>
          </cell>
          <cell r="J104">
            <v>0.06</v>
          </cell>
          <cell r="N104" t="str">
            <v>2口当り</v>
          </cell>
          <cell r="Q104">
            <v>10</v>
          </cell>
        </row>
        <row r="105">
          <cell r="B105">
            <v>100</v>
          </cell>
          <cell r="C105" t="str">
            <v>VWP-TS継手工</v>
          </cell>
          <cell r="D105" t="str">
            <v>2口当り</v>
          </cell>
          <cell r="F105" t="str">
            <v>VWP-TS継手工</v>
          </cell>
          <cell r="G105" t="str">
            <v>φ150</v>
          </cell>
          <cell r="H105" t="str">
            <v>ヶ所</v>
          </cell>
          <cell r="I105">
            <v>7.0000000000000007E-2</v>
          </cell>
          <cell r="J105">
            <v>7.0000000000000007E-2</v>
          </cell>
          <cell r="N105" t="str">
            <v>2口当り</v>
          </cell>
          <cell r="Q105">
            <v>10</v>
          </cell>
        </row>
        <row r="106">
          <cell r="B106">
            <v>101</v>
          </cell>
          <cell r="C106" t="str">
            <v>VWP-RR継手工</v>
          </cell>
          <cell r="D106" t="str">
            <v>1口当り</v>
          </cell>
          <cell r="F106" t="str">
            <v>VWP-RR継手工</v>
          </cell>
          <cell r="G106" t="str">
            <v>φ50</v>
          </cell>
          <cell r="H106" t="str">
            <v>口</v>
          </cell>
          <cell r="I106">
            <v>0.03</v>
          </cell>
          <cell r="J106">
            <v>0.03</v>
          </cell>
          <cell r="O106">
            <v>12</v>
          </cell>
          <cell r="P106">
            <v>47</v>
          </cell>
          <cell r="Q106">
            <v>10</v>
          </cell>
        </row>
        <row r="107">
          <cell r="B107">
            <v>102</v>
          </cell>
          <cell r="C107" t="str">
            <v>VWP-RR継手工</v>
          </cell>
          <cell r="D107" t="str">
            <v>1口当り</v>
          </cell>
          <cell r="F107" t="str">
            <v>VWP-RR継手工</v>
          </cell>
          <cell r="G107" t="str">
            <v>φ75</v>
          </cell>
          <cell r="H107" t="str">
            <v>口</v>
          </cell>
          <cell r="I107">
            <v>0.03</v>
          </cell>
          <cell r="J107">
            <v>0.03</v>
          </cell>
          <cell r="Q107">
            <v>10</v>
          </cell>
        </row>
        <row r="108">
          <cell r="B108">
            <v>103</v>
          </cell>
          <cell r="C108" t="str">
            <v>VWP-RR継手工</v>
          </cell>
          <cell r="D108" t="str">
            <v>1口当り</v>
          </cell>
          <cell r="F108" t="str">
            <v>VWP-RR継手工</v>
          </cell>
          <cell r="G108" t="str">
            <v>φ100</v>
          </cell>
          <cell r="H108" t="str">
            <v>口</v>
          </cell>
          <cell r="I108">
            <v>0.05</v>
          </cell>
          <cell r="J108">
            <v>0.05</v>
          </cell>
          <cell r="Q108">
            <v>10</v>
          </cell>
        </row>
        <row r="109">
          <cell r="B109">
            <v>104</v>
          </cell>
          <cell r="C109" t="str">
            <v>VWP-RR継手工</v>
          </cell>
          <cell r="D109" t="str">
            <v>1口当り</v>
          </cell>
          <cell r="F109" t="str">
            <v>VWP-RR継手工</v>
          </cell>
          <cell r="G109" t="str">
            <v>φ125</v>
          </cell>
          <cell r="H109" t="str">
            <v>口</v>
          </cell>
          <cell r="I109">
            <v>0.05</v>
          </cell>
          <cell r="J109">
            <v>0.05</v>
          </cell>
          <cell r="Q109">
            <v>10</v>
          </cell>
        </row>
        <row r="110">
          <cell r="B110">
            <v>105</v>
          </cell>
          <cell r="C110" t="str">
            <v>VWP-RR継手工</v>
          </cell>
          <cell r="D110" t="str">
            <v>1口当り</v>
          </cell>
          <cell r="F110" t="str">
            <v>VWP-RR継手工</v>
          </cell>
          <cell r="G110" t="str">
            <v>φ150</v>
          </cell>
          <cell r="H110" t="str">
            <v>口</v>
          </cell>
          <cell r="I110">
            <v>0.06</v>
          </cell>
          <cell r="J110">
            <v>0.06</v>
          </cell>
          <cell r="Q110">
            <v>10</v>
          </cell>
        </row>
        <row r="111">
          <cell r="B111">
            <v>106</v>
          </cell>
          <cell r="C111" t="str">
            <v>VWP-RR継手工</v>
          </cell>
          <cell r="D111" t="str">
            <v>1口当り</v>
          </cell>
          <cell r="E111" t="str">
            <v>抜止付</v>
          </cell>
          <cell r="F111" t="str">
            <v>VWP-RR継手工抜止付</v>
          </cell>
          <cell r="G111" t="str">
            <v>φ50</v>
          </cell>
          <cell r="H111" t="str">
            <v>口</v>
          </cell>
          <cell r="I111">
            <v>0.03</v>
          </cell>
          <cell r="J111">
            <v>0.03</v>
          </cell>
          <cell r="K111">
            <v>30</v>
          </cell>
          <cell r="N111" t="str">
            <v>離脱防止金具</v>
          </cell>
          <cell r="O111">
            <v>13</v>
          </cell>
          <cell r="P111">
            <v>47</v>
          </cell>
          <cell r="Q111">
            <v>11</v>
          </cell>
        </row>
        <row r="112">
          <cell r="B112">
            <v>107</v>
          </cell>
          <cell r="C112" t="str">
            <v>VWP-RR継手工</v>
          </cell>
          <cell r="D112" t="str">
            <v>1口当り</v>
          </cell>
          <cell r="E112" t="str">
            <v>抜止付</v>
          </cell>
          <cell r="F112" t="str">
            <v>VWP-RR継手工抜止付</v>
          </cell>
          <cell r="G112" t="str">
            <v>φ75</v>
          </cell>
          <cell r="H112" t="str">
            <v>口</v>
          </cell>
          <cell r="I112">
            <v>0.03</v>
          </cell>
          <cell r="J112">
            <v>0.03</v>
          </cell>
          <cell r="K112">
            <v>30</v>
          </cell>
          <cell r="N112" t="str">
            <v>離脱防止金具</v>
          </cell>
          <cell r="Q112">
            <v>11</v>
          </cell>
        </row>
        <row r="113">
          <cell r="B113">
            <v>108</v>
          </cell>
          <cell r="C113" t="str">
            <v>VWP-RR継手工</v>
          </cell>
          <cell r="D113" t="str">
            <v>1口当り</v>
          </cell>
          <cell r="E113" t="str">
            <v>抜止付</v>
          </cell>
          <cell r="F113" t="str">
            <v>VWP-RR継手工抜止付</v>
          </cell>
          <cell r="G113" t="str">
            <v>φ100</v>
          </cell>
          <cell r="H113" t="str">
            <v>口</v>
          </cell>
          <cell r="I113">
            <v>0.05</v>
          </cell>
          <cell r="J113">
            <v>0.05</v>
          </cell>
          <cell r="K113">
            <v>30</v>
          </cell>
          <cell r="N113" t="str">
            <v>離脱防止金具</v>
          </cell>
          <cell r="Q113">
            <v>11</v>
          </cell>
        </row>
        <row r="114">
          <cell r="B114">
            <v>109</v>
          </cell>
          <cell r="C114" t="str">
            <v>VWP-RR継手工</v>
          </cell>
          <cell r="D114" t="str">
            <v>1口当り</v>
          </cell>
          <cell r="E114" t="str">
            <v>抜止付</v>
          </cell>
          <cell r="F114" t="str">
            <v>VWP-RR継手工抜止付</v>
          </cell>
          <cell r="G114" t="str">
            <v>φ125</v>
          </cell>
          <cell r="H114" t="str">
            <v>口</v>
          </cell>
          <cell r="I114">
            <v>0.05</v>
          </cell>
          <cell r="J114">
            <v>0.05</v>
          </cell>
          <cell r="K114">
            <v>30</v>
          </cell>
          <cell r="N114" t="str">
            <v>離脱防止金具</v>
          </cell>
          <cell r="Q114">
            <v>11</v>
          </cell>
        </row>
        <row r="115">
          <cell r="B115">
            <v>110</v>
          </cell>
          <cell r="C115" t="str">
            <v>VWP-RR継手工</v>
          </cell>
          <cell r="D115" t="str">
            <v>1口当り</v>
          </cell>
          <cell r="E115" t="str">
            <v>抜止付</v>
          </cell>
          <cell r="F115" t="str">
            <v>VWP-RR継手工抜止付</v>
          </cell>
          <cell r="G115" t="str">
            <v>φ150</v>
          </cell>
          <cell r="H115" t="str">
            <v>口</v>
          </cell>
          <cell r="I115">
            <v>0.06</v>
          </cell>
          <cell r="J115">
            <v>0.06</v>
          </cell>
          <cell r="K115">
            <v>30</v>
          </cell>
          <cell r="N115" t="str">
            <v>離脱防止金具</v>
          </cell>
          <cell r="Q115">
            <v>11</v>
          </cell>
        </row>
        <row r="116">
          <cell r="B116">
            <v>111</v>
          </cell>
          <cell r="C116" t="str">
            <v>鋼管継手工</v>
          </cell>
          <cell r="D116" t="str">
            <v>1個所当り</v>
          </cell>
          <cell r="E116" t="str">
            <v>ねじ込み</v>
          </cell>
          <cell r="F116" t="str">
            <v>鋼管継手工ねじ込み</v>
          </cell>
          <cell r="G116" t="str">
            <v>φ15</v>
          </cell>
          <cell r="H116" t="str">
            <v>箇所</v>
          </cell>
          <cell r="I116">
            <v>0.02</v>
          </cell>
          <cell r="J116">
            <v>0.04</v>
          </cell>
          <cell r="K116">
            <v>3</v>
          </cell>
          <cell r="N116" t="str">
            <v>2口当り</v>
          </cell>
          <cell r="O116">
            <v>14</v>
          </cell>
          <cell r="P116">
            <v>38</v>
          </cell>
          <cell r="Q116">
            <v>5</v>
          </cell>
        </row>
        <row r="117">
          <cell r="B117">
            <v>112</v>
          </cell>
          <cell r="C117" t="str">
            <v>鋼管継手工</v>
          </cell>
          <cell r="D117" t="str">
            <v>1個所当り</v>
          </cell>
          <cell r="E117" t="str">
            <v>ねじ込み</v>
          </cell>
          <cell r="F117" t="str">
            <v>鋼管継手工ねじ込み</v>
          </cell>
          <cell r="G117" t="str">
            <v>φ20</v>
          </cell>
          <cell r="H117" t="str">
            <v>箇所</v>
          </cell>
          <cell r="I117">
            <v>0.02</v>
          </cell>
          <cell r="J117">
            <v>0.04</v>
          </cell>
          <cell r="K117">
            <v>3</v>
          </cell>
          <cell r="N117" t="str">
            <v>2口当り</v>
          </cell>
          <cell r="Q117">
            <v>5</v>
          </cell>
        </row>
        <row r="118">
          <cell r="B118">
            <v>113</v>
          </cell>
          <cell r="C118" t="str">
            <v>鋼管継手工</v>
          </cell>
          <cell r="D118" t="str">
            <v>1個所当り</v>
          </cell>
          <cell r="E118" t="str">
            <v>ねじ込み</v>
          </cell>
          <cell r="F118" t="str">
            <v>鋼管継手工ねじ込み</v>
          </cell>
          <cell r="G118" t="str">
            <v>φ25</v>
          </cell>
          <cell r="H118" t="str">
            <v>箇所</v>
          </cell>
          <cell r="I118">
            <v>0.02</v>
          </cell>
          <cell r="J118">
            <v>0.04</v>
          </cell>
          <cell r="K118">
            <v>3</v>
          </cell>
          <cell r="N118" t="str">
            <v>2口当り</v>
          </cell>
          <cell r="Q118">
            <v>5</v>
          </cell>
        </row>
        <row r="119">
          <cell r="B119">
            <v>114</v>
          </cell>
          <cell r="C119" t="str">
            <v>鋼管継手工</v>
          </cell>
          <cell r="D119" t="str">
            <v>1個所当り</v>
          </cell>
          <cell r="E119" t="str">
            <v>ねじ込み</v>
          </cell>
          <cell r="F119" t="str">
            <v>鋼管継手工ねじ込み</v>
          </cell>
          <cell r="G119" t="str">
            <v>φ32</v>
          </cell>
          <cell r="H119" t="str">
            <v>箇所</v>
          </cell>
          <cell r="I119">
            <v>0.02</v>
          </cell>
          <cell r="J119">
            <v>0.04</v>
          </cell>
          <cell r="K119">
            <v>3</v>
          </cell>
          <cell r="N119" t="str">
            <v>2口当り</v>
          </cell>
          <cell r="Q119">
            <v>5</v>
          </cell>
        </row>
        <row r="120">
          <cell r="B120">
            <v>115</v>
          </cell>
          <cell r="C120" t="str">
            <v>鋼管継手工</v>
          </cell>
          <cell r="D120" t="str">
            <v>1個所当り</v>
          </cell>
          <cell r="E120" t="str">
            <v>ねじ込み</v>
          </cell>
          <cell r="F120" t="str">
            <v>鋼管継手工ねじ込み</v>
          </cell>
          <cell r="G120" t="str">
            <v>φ40</v>
          </cell>
          <cell r="H120" t="str">
            <v>箇所</v>
          </cell>
          <cell r="I120">
            <v>0.02</v>
          </cell>
          <cell r="J120">
            <v>0.04</v>
          </cell>
          <cell r="K120">
            <v>3</v>
          </cell>
          <cell r="N120" t="str">
            <v>2口当り</v>
          </cell>
          <cell r="Q120">
            <v>5</v>
          </cell>
        </row>
        <row r="121">
          <cell r="B121">
            <v>116</v>
          </cell>
          <cell r="C121" t="str">
            <v>鋼管継手工</v>
          </cell>
          <cell r="D121" t="str">
            <v>1個所当り</v>
          </cell>
          <cell r="E121" t="str">
            <v>ねじ込み</v>
          </cell>
          <cell r="F121" t="str">
            <v>鋼管継手工ねじ込み</v>
          </cell>
          <cell r="G121" t="str">
            <v>φ50</v>
          </cell>
          <cell r="H121" t="str">
            <v>箇所</v>
          </cell>
          <cell r="I121">
            <v>0.02</v>
          </cell>
          <cell r="J121">
            <v>0.05</v>
          </cell>
          <cell r="K121">
            <v>3</v>
          </cell>
          <cell r="N121" t="str">
            <v>2口当り</v>
          </cell>
          <cell r="Q121">
            <v>5</v>
          </cell>
        </row>
        <row r="122">
          <cell r="B122">
            <v>117</v>
          </cell>
          <cell r="C122" t="str">
            <v>鋼管継手工</v>
          </cell>
          <cell r="D122" t="str">
            <v>1個所当り</v>
          </cell>
          <cell r="E122" t="str">
            <v>ねじ込み</v>
          </cell>
          <cell r="F122" t="str">
            <v>鋼管継手工ねじ込み</v>
          </cell>
          <cell r="G122" t="str">
            <v>φ65</v>
          </cell>
          <cell r="H122" t="str">
            <v>箇所</v>
          </cell>
          <cell r="I122">
            <v>0.02</v>
          </cell>
          <cell r="J122">
            <v>0.05</v>
          </cell>
          <cell r="K122">
            <v>3</v>
          </cell>
          <cell r="N122" t="str">
            <v>2口当り</v>
          </cell>
          <cell r="Q122">
            <v>5</v>
          </cell>
        </row>
        <row r="123">
          <cell r="B123">
            <v>118</v>
          </cell>
          <cell r="C123" t="str">
            <v>鋼管継手工</v>
          </cell>
          <cell r="D123" t="str">
            <v>1個所当り</v>
          </cell>
          <cell r="E123" t="str">
            <v>ねじ込み</v>
          </cell>
          <cell r="F123" t="str">
            <v>鋼管継手工ねじ込み</v>
          </cell>
          <cell r="G123" t="str">
            <v>φ80</v>
          </cell>
          <cell r="H123" t="str">
            <v>箇所</v>
          </cell>
          <cell r="I123">
            <v>0.03</v>
          </cell>
          <cell r="J123">
            <v>0.05</v>
          </cell>
          <cell r="K123">
            <v>3</v>
          </cell>
          <cell r="N123" t="str">
            <v>2口当り</v>
          </cell>
          <cell r="Q123">
            <v>5</v>
          </cell>
        </row>
        <row r="124">
          <cell r="B124">
            <v>119</v>
          </cell>
          <cell r="C124" t="str">
            <v>鋼管継手工</v>
          </cell>
          <cell r="D124" t="str">
            <v>1個所当り</v>
          </cell>
          <cell r="E124" t="str">
            <v>ねじ込み</v>
          </cell>
          <cell r="F124" t="str">
            <v>鋼管継手工ねじ込み</v>
          </cell>
          <cell r="G124" t="str">
            <v>φ100</v>
          </cell>
          <cell r="H124" t="str">
            <v>箇所</v>
          </cell>
          <cell r="I124">
            <v>0.03</v>
          </cell>
          <cell r="J124">
            <v>0.06</v>
          </cell>
          <cell r="K124">
            <v>3</v>
          </cell>
          <cell r="N124" t="str">
            <v>2口当り</v>
          </cell>
          <cell r="Q124">
            <v>5</v>
          </cell>
        </row>
        <row r="125">
          <cell r="B125">
            <v>120</v>
          </cell>
          <cell r="C125" t="str">
            <v>鋼管継手工</v>
          </cell>
          <cell r="D125" t="str">
            <v>1個所当り</v>
          </cell>
          <cell r="E125" t="str">
            <v>ねじ込み</v>
          </cell>
          <cell r="F125" t="str">
            <v>鋼管継手工ねじ込み</v>
          </cell>
          <cell r="G125" t="str">
            <v>φ125</v>
          </cell>
          <cell r="H125" t="str">
            <v>箇所</v>
          </cell>
          <cell r="I125">
            <v>0.03</v>
          </cell>
          <cell r="J125">
            <v>7.0000000000000007E-2</v>
          </cell>
          <cell r="K125">
            <v>3</v>
          </cell>
          <cell r="N125" t="str">
            <v>2口当り</v>
          </cell>
          <cell r="Q125">
            <v>5</v>
          </cell>
        </row>
        <row r="126">
          <cell r="B126">
            <v>121</v>
          </cell>
          <cell r="C126" t="str">
            <v>鋼管継手工</v>
          </cell>
          <cell r="D126" t="str">
            <v>1個所当り</v>
          </cell>
          <cell r="E126" t="str">
            <v>ねじ込み</v>
          </cell>
          <cell r="F126" t="str">
            <v>鋼管継手工ねじ込み</v>
          </cell>
          <cell r="G126" t="str">
            <v>φ150</v>
          </cell>
          <cell r="H126" t="str">
            <v>箇所</v>
          </cell>
          <cell r="I126">
            <v>0.05</v>
          </cell>
          <cell r="J126">
            <v>0.08</v>
          </cell>
          <cell r="K126">
            <v>3</v>
          </cell>
          <cell r="N126" t="str">
            <v>2口当り</v>
          </cell>
          <cell r="Q126">
            <v>5</v>
          </cell>
        </row>
        <row r="127">
          <cell r="B127">
            <v>122</v>
          </cell>
          <cell r="C127" t="str">
            <v>鋼管継手工</v>
          </cell>
          <cell r="D127" t="str">
            <v>1個所当り</v>
          </cell>
          <cell r="E127" t="str">
            <v>ねじ立て含む</v>
          </cell>
          <cell r="F127" t="str">
            <v>鋼管継手工ねじ立て含む</v>
          </cell>
          <cell r="G127" t="str">
            <v>φ15</v>
          </cell>
          <cell r="H127" t="str">
            <v>箇所</v>
          </cell>
          <cell r="I127">
            <v>0.06</v>
          </cell>
          <cell r="J127">
            <v>7.0000000000000007E-2</v>
          </cell>
          <cell r="K127">
            <v>3</v>
          </cell>
          <cell r="N127" t="str">
            <v>2口当り</v>
          </cell>
          <cell r="O127">
            <v>15</v>
          </cell>
          <cell r="P127">
            <v>38</v>
          </cell>
          <cell r="Q127">
            <v>5</v>
          </cell>
        </row>
        <row r="128">
          <cell r="B128">
            <v>123</v>
          </cell>
          <cell r="C128" t="str">
            <v>鋼管継手工</v>
          </cell>
          <cell r="D128" t="str">
            <v>1個所当り</v>
          </cell>
          <cell r="E128" t="str">
            <v>ねじ立て含む</v>
          </cell>
          <cell r="F128" t="str">
            <v>鋼管継手工ねじ立て含む</v>
          </cell>
          <cell r="G128" t="str">
            <v>φ20</v>
          </cell>
          <cell r="H128" t="str">
            <v>箇所</v>
          </cell>
          <cell r="I128">
            <v>0.06</v>
          </cell>
          <cell r="J128">
            <v>7.0000000000000007E-2</v>
          </cell>
          <cell r="K128">
            <v>3</v>
          </cell>
          <cell r="N128" t="str">
            <v>2口当り</v>
          </cell>
          <cell r="Q128">
            <v>5</v>
          </cell>
        </row>
        <row r="129">
          <cell r="B129">
            <v>124</v>
          </cell>
          <cell r="C129" t="str">
            <v>鋼管継手工</v>
          </cell>
          <cell r="D129" t="str">
            <v>1個所当り</v>
          </cell>
          <cell r="E129" t="str">
            <v>ねじ立て含む</v>
          </cell>
          <cell r="F129" t="str">
            <v>鋼管継手工ねじ立て含む</v>
          </cell>
          <cell r="G129" t="str">
            <v>φ25</v>
          </cell>
          <cell r="H129" t="str">
            <v>箇所</v>
          </cell>
          <cell r="I129">
            <v>7.0000000000000007E-2</v>
          </cell>
          <cell r="J129">
            <v>0.08</v>
          </cell>
          <cell r="K129">
            <v>3</v>
          </cell>
          <cell r="N129" t="str">
            <v>2口当り</v>
          </cell>
          <cell r="Q129">
            <v>5</v>
          </cell>
        </row>
        <row r="130">
          <cell r="B130">
            <v>125</v>
          </cell>
          <cell r="C130" t="str">
            <v>鋼管継手工</v>
          </cell>
          <cell r="D130" t="str">
            <v>1個所当り</v>
          </cell>
          <cell r="E130" t="str">
            <v>ねじ立て含む</v>
          </cell>
          <cell r="F130" t="str">
            <v>鋼管継手工ねじ立て含む</v>
          </cell>
          <cell r="G130" t="str">
            <v>φ32</v>
          </cell>
          <cell r="H130" t="str">
            <v>箇所</v>
          </cell>
          <cell r="I130">
            <v>7.0000000000000007E-2</v>
          </cell>
          <cell r="J130">
            <v>0.09</v>
          </cell>
          <cell r="K130">
            <v>3</v>
          </cell>
          <cell r="N130" t="str">
            <v>2口当り</v>
          </cell>
          <cell r="Q130">
            <v>5</v>
          </cell>
        </row>
        <row r="131">
          <cell r="B131">
            <v>126</v>
          </cell>
          <cell r="C131" t="str">
            <v>鋼管継手工</v>
          </cell>
          <cell r="D131" t="str">
            <v>1個所当り</v>
          </cell>
          <cell r="E131" t="str">
            <v>ねじ立て含む</v>
          </cell>
          <cell r="F131" t="str">
            <v>鋼管継手工ねじ立て含む</v>
          </cell>
          <cell r="G131" t="str">
            <v>φ40</v>
          </cell>
          <cell r="H131" t="str">
            <v>箇所</v>
          </cell>
          <cell r="I131">
            <v>0.08</v>
          </cell>
          <cell r="J131">
            <v>0.09</v>
          </cell>
          <cell r="K131">
            <v>3</v>
          </cell>
          <cell r="N131" t="str">
            <v>2口当り</v>
          </cell>
          <cell r="Q131">
            <v>5</v>
          </cell>
        </row>
        <row r="132">
          <cell r="B132">
            <v>127</v>
          </cell>
          <cell r="C132" t="str">
            <v>鋼管継手工</v>
          </cell>
          <cell r="D132" t="str">
            <v>1個所当り</v>
          </cell>
          <cell r="E132" t="str">
            <v>ねじ立て含む</v>
          </cell>
          <cell r="F132" t="str">
            <v>鋼管継手工ねじ立て含む</v>
          </cell>
          <cell r="G132" t="str">
            <v>φ50</v>
          </cell>
          <cell r="H132" t="str">
            <v>箇所</v>
          </cell>
          <cell r="I132">
            <v>0.09</v>
          </cell>
          <cell r="J132">
            <v>0.11</v>
          </cell>
          <cell r="K132">
            <v>3</v>
          </cell>
          <cell r="N132" t="str">
            <v>2口当り</v>
          </cell>
          <cell r="Q132">
            <v>5</v>
          </cell>
        </row>
        <row r="133">
          <cell r="B133">
            <v>128</v>
          </cell>
          <cell r="C133" t="str">
            <v>鋼管継手工</v>
          </cell>
          <cell r="D133" t="str">
            <v>1個所当り</v>
          </cell>
          <cell r="E133" t="str">
            <v>ねじ立て含む</v>
          </cell>
          <cell r="F133" t="str">
            <v>鋼管継手工ねじ立て含む</v>
          </cell>
          <cell r="G133" t="str">
            <v>φ65</v>
          </cell>
          <cell r="H133" t="str">
            <v>箇所</v>
          </cell>
          <cell r="I133">
            <v>0.1</v>
          </cell>
          <cell r="J133">
            <v>0.11</v>
          </cell>
          <cell r="K133">
            <v>3</v>
          </cell>
          <cell r="N133" t="str">
            <v>2口当り</v>
          </cell>
          <cell r="Q133">
            <v>5</v>
          </cell>
        </row>
        <row r="134">
          <cell r="B134">
            <v>129</v>
          </cell>
          <cell r="C134" t="str">
            <v>鋼管継手工</v>
          </cell>
          <cell r="D134" t="str">
            <v>1個所当り</v>
          </cell>
          <cell r="E134" t="str">
            <v>ねじ立て含む</v>
          </cell>
          <cell r="F134" t="str">
            <v>鋼管継手工ねじ立て含む</v>
          </cell>
          <cell r="G134" t="str">
            <v>φ80</v>
          </cell>
          <cell r="H134" t="str">
            <v>箇所</v>
          </cell>
          <cell r="I134">
            <v>0.11</v>
          </cell>
          <cell r="J134">
            <v>0.12</v>
          </cell>
          <cell r="K134">
            <v>3</v>
          </cell>
          <cell r="N134" t="str">
            <v>2口当り</v>
          </cell>
          <cell r="Q134">
            <v>5</v>
          </cell>
        </row>
        <row r="135">
          <cell r="B135">
            <v>130</v>
          </cell>
          <cell r="C135" t="str">
            <v>鋼管継手工</v>
          </cell>
          <cell r="D135" t="str">
            <v>1個所当り</v>
          </cell>
          <cell r="E135" t="str">
            <v>ねじ立て含む</v>
          </cell>
          <cell r="F135" t="str">
            <v>鋼管継手工ねじ立て含む</v>
          </cell>
          <cell r="G135" t="str">
            <v>φ100</v>
          </cell>
          <cell r="H135" t="str">
            <v>箇所</v>
          </cell>
          <cell r="I135">
            <v>0.12</v>
          </cell>
          <cell r="J135">
            <v>0.14000000000000001</v>
          </cell>
          <cell r="K135">
            <v>3</v>
          </cell>
          <cell r="N135" t="str">
            <v>2口当り</v>
          </cell>
          <cell r="Q135">
            <v>5</v>
          </cell>
        </row>
        <row r="136">
          <cell r="B136">
            <v>131</v>
          </cell>
          <cell r="C136" t="str">
            <v>鋼管継手工</v>
          </cell>
          <cell r="D136" t="str">
            <v>1個所当り</v>
          </cell>
          <cell r="E136" t="str">
            <v>ねじ立て含む</v>
          </cell>
          <cell r="F136" t="str">
            <v>鋼管継手工ねじ立て含む</v>
          </cell>
          <cell r="G136" t="str">
            <v>φ125</v>
          </cell>
          <cell r="H136" t="str">
            <v>箇所</v>
          </cell>
          <cell r="I136">
            <v>0.14000000000000001</v>
          </cell>
          <cell r="J136">
            <v>0.17</v>
          </cell>
          <cell r="K136">
            <v>3</v>
          </cell>
          <cell r="N136" t="str">
            <v>2口当り</v>
          </cell>
          <cell r="Q136">
            <v>5</v>
          </cell>
        </row>
        <row r="137">
          <cell r="B137">
            <v>132</v>
          </cell>
          <cell r="C137" t="str">
            <v>鋼管継手工</v>
          </cell>
          <cell r="D137" t="str">
            <v>1個所当り</v>
          </cell>
          <cell r="E137" t="str">
            <v>ねじ立て含む</v>
          </cell>
          <cell r="F137" t="str">
            <v>鋼管継手工ねじ立て含む</v>
          </cell>
          <cell r="G137" t="str">
            <v>φ150</v>
          </cell>
          <cell r="H137" t="str">
            <v>箇所</v>
          </cell>
          <cell r="I137">
            <v>0.17</v>
          </cell>
          <cell r="J137">
            <v>0.19</v>
          </cell>
          <cell r="K137">
            <v>3</v>
          </cell>
          <cell r="N137" t="str">
            <v>2口当り</v>
          </cell>
          <cell r="Q137">
            <v>5</v>
          </cell>
        </row>
        <row r="138">
          <cell r="B138">
            <v>133</v>
          </cell>
          <cell r="C138" t="str">
            <v>ＰＰ継手工</v>
          </cell>
          <cell r="D138" t="str">
            <v>1口当り</v>
          </cell>
          <cell r="F138" t="str">
            <v>ＰＰ継手工</v>
          </cell>
          <cell r="G138" t="str">
            <v>φ13</v>
          </cell>
          <cell r="H138" t="str">
            <v>口</v>
          </cell>
          <cell r="I138">
            <v>0.01</v>
          </cell>
          <cell r="J138">
            <v>0.01</v>
          </cell>
          <cell r="O138">
            <v>16</v>
          </cell>
          <cell r="P138">
            <v>48</v>
          </cell>
          <cell r="Q138">
            <v>10</v>
          </cell>
        </row>
        <row r="139">
          <cell r="B139">
            <v>134</v>
          </cell>
          <cell r="C139" t="str">
            <v>ＰＰ継手工</v>
          </cell>
          <cell r="D139" t="str">
            <v>1口当り</v>
          </cell>
          <cell r="F139" t="str">
            <v>ＰＰ継手工</v>
          </cell>
          <cell r="G139" t="str">
            <v>φ20</v>
          </cell>
          <cell r="H139" t="str">
            <v>口</v>
          </cell>
          <cell r="I139">
            <v>0.02</v>
          </cell>
          <cell r="J139">
            <v>0.02</v>
          </cell>
          <cell r="Q139">
            <v>10</v>
          </cell>
        </row>
        <row r="140">
          <cell r="B140">
            <v>135</v>
          </cell>
          <cell r="C140" t="str">
            <v>ＰＰ継手工</v>
          </cell>
          <cell r="D140" t="str">
            <v>1口当り</v>
          </cell>
          <cell r="F140" t="str">
            <v>ＰＰ継手工</v>
          </cell>
          <cell r="G140" t="str">
            <v>φ25</v>
          </cell>
          <cell r="H140" t="str">
            <v>口</v>
          </cell>
          <cell r="I140">
            <v>0.02</v>
          </cell>
          <cell r="J140">
            <v>0.02</v>
          </cell>
          <cell r="Q140">
            <v>10</v>
          </cell>
        </row>
        <row r="141">
          <cell r="B141">
            <v>136</v>
          </cell>
          <cell r="C141" t="str">
            <v>ＰＰ継手工</v>
          </cell>
          <cell r="D141" t="str">
            <v>1口当り</v>
          </cell>
          <cell r="F141" t="str">
            <v>ＰＰ継手工</v>
          </cell>
          <cell r="G141" t="str">
            <v>φ30</v>
          </cell>
          <cell r="H141" t="str">
            <v>口</v>
          </cell>
          <cell r="I141">
            <v>0.03</v>
          </cell>
          <cell r="J141">
            <v>0.03</v>
          </cell>
          <cell r="Q141">
            <v>10</v>
          </cell>
        </row>
        <row r="142">
          <cell r="B142">
            <v>137</v>
          </cell>
          <cell r="C142" t="str">
            <v>ＰＰ継手工</v>
          </cell>
          <cell r="D142" t="str">
            <v>1口当り</v>
          </cell>
          <cell r="F142" t="str">
            <v>ＰＰ継手工</v>
          </cell>
          <cell r="G142" t="str">
            <v>φ40</v>
          </cell>
          <cell r="H142" t="str">
            <v>口</v>
          </cell>
          <cell r="I142">
            <v>0.03</v>
          </cell>
          <cell r="J142">
            <v>0.03</v>
          </cell>
          <cell r="Q142">
            <v>10</v>
          </cell>
        </row>
        <row r="143">
          <cell r="B143">
            <v>138</v>
          </cell>
          <cell r="C143" t="str">
            <v>ＰＰ継手工</v>
          </cell>
          <cell r="D143" t="str">
            <v>1口当り</v>
          </cell>
          <cell r="F143" t="str">
            <v>ＰＰ継手工</v>
          </cell>
          <cell r="G143" t="str">
            <v>φ50</v>
          </cell>
          <cell r="H143" t="str">
            <v>口</v>
          </cell>
          <cell r="I143">
            <v>0.04</v>
          </cell>
          <cell r="J143">
            <v>0.04</v>
          </cell>
          <cell r="Q143">
            <v>10</v>
          </cell>
        </row>
        <row r="144">
          <cell r="B144">
            <v>139</v>
          </cell>
          <cell r="C144" t="str">
            <v>ＰＰ継手工</v>
          </cell>
          <cell r="D144" t="str">
            <v>1口当り</v>
          </cell>
          <cell r="E144" t="str">
            <v>融着継手</v>
          </cell>
          <cell r="F144" t="str">
            <v>ＰＰ継手工融着継手</v>
          </cell>
          <cell r="G144" t="str">
            <v>φ75</v>
          </cell>
          <cell r="H144" t="str">
            <v>口</v>
          </cell>
          <cell r="I144">
            <v>0.04</v>
          </cell>
          <cell r="J144">
            <v>0.04</v>
          </cell>
          <cell r="K144">
            <v>8.5</v>
          </cell>
          <cell r="Q144">
            <v>5</v>
          </cell>
        </row>
        <row r="145">
          <cell r="B145">
            <v>140</v>
          </cell>
          <cell r="C145" t="str">
            <v>ＰＰ継手工</v>
          </cell>
          <cell r="D145" t="str">
            <v>1口当り</v>
          </cell>
          <cell r="E145" t="str">
            <v>融着継手</v>
          </cell>
          <cell r="F145" t="str">
            <v>ＰＰ継手工融着継手</v>
          </cell>
          <cell r="G145" t="str">
            <v>φ100</v>
          </cell>
          <cell r="H145" t="str">
            <v>口</v>
          </cell>
          <cell r="I145">
            <v>0.06</v>
          </cell>
          <cell r="J145">
            <v>0.06</v>
          </cell>
          <cell r="K145">
            <v>8.5</v>
          </cell>
          <cell r="Q145">
            <v>5</v>
          </cell>
        </row>
        <row r="146">
          <cell r="B146">
            <v>141</v>
          </cell>
          <cell r="C146" t="str">
            <v>ＰＰ継手工</v>
          </cell>
          <cell r="D146" t="str">
            <v>1口当り</v>
          </cell>
          <cell r="E146" t="str">
            <v>融着継手</v>
          </cell>
          <cell r="F146" t="str">
            <v>ＰＰ継手工融着継手</v>
          </cell>
          <cell r="G146" t="str">
            <v>φ150</v>
          </cell>
          <cell r="H146" t="str">
            <v>口</v>
          </cell>
          <cell r="I146">
            <v>7.0000000000000007E-2</v>
          </cell>
          <cell r="J146">
            <v>7.0000000000000007E-2</v>
          </cell>
          <cell r="K146">
            <v>8.5</v>
          </cell>
          <cell r="Q146">
            <v>5</v>
          </cell>
        </row>
        <row r="147">
          <cell r="B147">
            <v>142</v>
          </cell>
          <cell r="C147" t="str">
            <v>ＰＰ継手工</v>
          </cell>
          <cell r="D147" t="str">
            <v>1口当り</v>
          </cell>
          <cell r="E147" t="str">
            <v>融着継手</v>
          </cell>
          <cell r="F147" t="str">
            <v>ＰＰ継手工融着継手</v>
          </cell>
          <cell r="G147" t="str">
            <v>φ200</v>
          </cell>
          <cell r="H147" t="str">
            <v>口</v>
          </cell>
          <cell r="I147">
            <v>7.0000000000000007E-2</v>
          </cell>
          <cell r="J147">
            <v>7.0000000000000007E-2</v>
          </cell>
          <cell r="K147">
            <v>8.5</v>
          </cell>
          <cell r="Q147">
            <v>5</v>
          </cell>
        </row>
        <row r="148">
          <cell r="B148">
            <v>143</v>
          </cell>
          <cell r="C148" t="str">
            <v>ﾌﾗﾝｼﾞ継手工</v>
          </cell>
          <cell r="D148" t="str">
            <v>1口当り</v>
          </cell>
          <cell r="E148" t="str">
            <v>7.5k</v>
          </cell>
          <cell r="F148" t="str">
            <v>ﾌﾗﾝｼﾞ継手工7.5k</v>
          </cell>
          <cell r="G148" t="str">
            <v>φ65以下</v>
          </cell>
          <cell r="H148" t="str">
            <v>口</v>
          </cell>
          <cell r="I148">
            <v>0.05</v>
          </cell>
          <cell r="J148">
            <v>0.05</v>
          </cell>
          <cell r="K148">
            <v>1</v>
          </cell>
          <cell r="O148">
            <v>17</v>
          </cell>
          <cell r="P148">
            <v>34</v>
          </cell>
          <cell r="Q148">
            <v>5</v>
          </cell>
        </row>
        <row r="149">
          <cell r="B149">
            <v>144</v>
          </cell>
          <cell r="C149" t="str">
            <v>ﾌﾗﾝｼﾞ継手工</v>
          </cell>
          <cell r="D149" t="str">
            <v>1口当り</v>
          </cell>
          <cell r="E149" t="str">
            <v>7.5k</v>
          </cell>
          <cell r="F149" t="str">
            <v>ﾌﾗﾝｼﾞ継手工7.5k</v>
          </cell>
          <cell r="G149" t="str">
            <v>φ75</v>
          </cell>
          <cell r="H149" t="str">
            <v>口</v>
          </cell>
          <cell r="I149">
            <v>0.06</v>
          </cell>
          <cell r="J149">
            <v>0.06</v>
          </cell>
          <cell r="K149">
            <v>1</v>
          </cell>
          <cell r="Q149">
            <v>5</v>
          </cell>
        </row>
        <row r="150">
          <cell r="B150">
            <v>145</v>
          </cell>
          <cell r="C150" t="str">
            <v>ﾌﾗﾝｼﾞ継手工</v>
          </cell>
          <cell r="D150" t="str">
            <v>1口当り</v>
          </cell>
          <cell r="E150" t="str">
            <v>7.5k</v>
          </cell>
          <cell r="F150" t="str">
            <v>ﾌﾗﾝｼﾞ継手工7.5k</v>
          </cell>
          <cell r="G150" t="str">
            <v>φ100</v>
          </cell>
          <cell r="H150" t="str">
            <v>口</v>
          </cell>
          <cell r="I150">
            <v>0.06</v>
          </cell>
          <cell r="J150">
            <v>0.06</v>
          </cell>
          <cell r="K150">
            <v>1</v>
          </cell>
          <cell r="Q150">
            <v>5</v>
          </cell>
        </row>
        <row r="151">
          <cell r="B151">
            <v>146</v>
          </cell>
          <cell r="C151" t="str">
            <v>ﾌﾗﾝｼﾞ継手工</v>
          </cell>
          <cell r="D151" t="str">
            <v>1口当り</v>
          </cell>
          <cell r="E151" t="str">
            <v>7.5k</v>
          </cell>
          <cell r="F151" t="str">
            <v>ﾌﾗﾝｼﾞ継手工7.5k</v>
          </cell>
          <cell r="G151" t="str">
            <v>φ125</v>
          </cell>
          <cell r="H151" t="str">
            <v>口</v>
          </cell>
          <cell r="I151">
            <v>7.0000000000000007E-2</v>
          </cell>
          <cell r="J151">
            <v>7.0000000000000007E-2</v>
          </cell>
          <cell r="K151">
            <v>1</v>
          </cell>
          <cell r="Q151">
            <v>5</v>
          </cell>
        </row>
        <row r="152">
          <cell r="B152">
            <v>147</v>
          </cell>
          <cell r="C152" t="str">
            <v>ﾌﾗﾝｼﾞ継手工</v>
          </cell>
          <cell r="D152" t="str">
            <v>1口当り</v>
          </cell>
          <cell r="E152" t="str">
            <v>7.5k</v>
          </cell>
          <cell r="F152" t="str">
            <v>ﾌﾗﾝｼﾞ継手工7.5k</v>
          </cell>
          <cell r="G152" t="str">
            <v>φ150</v>
          </cell>
          <cell r="H152" t="str">
            <v>口</v>
          </cell>
          <cell r="I152">
            <v>7.0000000000000007E-2</v>
          </cell>
          <cell r="J152">
            <v>7.0000000000000007E-2</v>
          </cell>
          <cell r="K152">
            <v>1</v>
          </cell>
          <cell r="Q152">
            <v>5</v>
          </cell>
        </row>
        <row r="153">
          <cell r="B153">
            <v>148</v>
          </cell>
          <cell r="C153" t="str">
            <v>ﾌﾗﾝｼﾞ継手工</v>
          </cell>
          <cell r="D153" t="str">
            <v>1口当り</v>
          </cell>
          <cell r="E153" t="str">
            <v>7.5k</v>
          </cell>
          <cell r="F153" t="str">
            <v>ﾌﾗﾝｼﾞ継手工7.5k</v>
          </cell>
          <cell r="G153" t="str">
            <v>φ200</v>
          </cell>
          <cell r="H153" t="str">
            <v>口</v>
          </cell>
          <cell r="I153">
            <v>0.08</v>
          </cell>
          <cell r="J153">
            <v>0.08</v>
          </cell>
          <cell r="K153">
            <v>1</v>
          </cell>
          <cell r="Q153">
            <v>5</v>
          </cell>
        </row>
        <row r="154">
          <cell r="B154">
            <v>149</v>
          </cell>
          <cell r="C154" t="str">
            <v>ﾌﾗﾝｼﾞ継手工</v>
          </cell>
          <cell r="D154" t="str">
            <v>1口当り</v>
          </cell>
          <cell r="E154" t="str">
            <v>7.5k</v>
          </cell>
          <cell r="F154" t="str">
            <v>ﾌﾗﾝｼﾞ継手工7.5k</v>
          </cell>
          <cell r="G154" t="str">
            <v>φ250</v>
          </cell>
          <cell r="H154" t="str">
            <v>口</v>
          </cell>
          <cell r="I154">
            <v>0.1</v>
          </cell>
          <cell r="J154">
            <v>0.1</v>
          </cell>
          <cell r="K154">
            <v>1</v>
          </cell>
          <cell r="Q154">
            <v>5</v>
          </cell>
        </row>
        <row r="155">
          <cell r="B155">
            <v>150</v>
          </cell>
          <cell r="C155" t="str">
            <v>ﾌﾗﾝｼﾞ継手工</v>
          </cell>
          <cell r="D155" t="str">
            <v>1口当り</v>
          </cell>
          <cell r="E155" t="str">
            <v>7.5k</v>
          </cell>
          <cell r="F155" t="str">
            <v>ﾌﾗﾝｼﾞ継手工7.5k</v>
          </cell>
          <cell r="G155" t="str">
            <v>φ300</v>
          </cell>
          <cell r="H155" t="str">
            <v>口</v>
          </cell>
          <cell r="I155">
            <v>0.11</v>
          </cell>
          <cell r="J155">
            <v>0.11</v>
          </cell>
          <cell r="K155">
            <v>1</v>
          </cell>
          <cell r="Q155">
            <v>5</v>
          </cell>
        </row>
        <row r="156">
          <cell r="B156">
            <v>151</v>
          </cell>
          <cell r="C156" t="str">
            <v>ﾌﾗﾝｼﾞ継手工</v>
          </cell>
          <cell r="D156" t="str">
            <v>1口当り</v>
          </cell>
          <cell r="E156" t="str">
            <v>7.5k</v>
          </cell>
          <cell r="F156" t="str">
            <v>ﾌﾗﾝｼﾞ継手工7.5k</v>
          </cell>
          <cell r="G156" t="str">
            <v>φ350</v>
          </cell>
          <cell r="H156" t="str">
            <v>口</v>
          </cell>
          <cell r="I156">
            <v>0.11</v>
          </cell>
          <cell r="J156">
            <v>0.11</v>
          </cell>
          <cell r="K156">
            <v>1</v>
          </cell>
          <cell r="Q156">
            <v>5</v>
          </cell>
        </row>
        <row r="157">
          <cell r="B157">
            <v>152</v>
          </cell>
          <cell r="C157" t="str">
            <v>ﾌﾗﾝｼﾞ継手工</v>
          </cell>
          <cell r="D157" t="str">
            <v>1口当り</v>
          </cell>
          <cell r="E157" t="str">
            <v>7.5k</v>
          </cell>
          <cell r="F157" t="str">
            <v>ﾌﾗﾝｼﾞ継手工7.5k</v>
          </cell>
          <cell r="G157" t="str">
            <v>φ400</v>
          </cell>
          <cell r="H157" t="str">
            <v>口</v>
          </cell>
          <cell r="I157">
            <v>0.12</v>
          </cell>
          <cell r="J157">
            <v>0.12</v>
          </cell>
          <cell r="K157">
            <v>1</v>
          </cell>
          <cell r="Q157">
            <v>5</v>
          </cell>
        </row>
        <row r="158">
          <cell r="B158">
            <v>153</v>
          </cell>
          <cell r="C158" t="str">
            <v>ﾌﾗﾝｼﾞ継手工</v>
          </cell>
          <cell r="D158" t="str">
            <v>1口当り</v>
          </cell>
          <cell r="E158" t="str">
            <v>7.5k</v>
          </cell>
          <cell r="F158" t="str">
            <v>ﾌﾗﾝｼﾞ継手工7.5k</v>
          </cell>
          <cell r="G158" t="str">
            <v>φ450</v>
          </cell>
          <cell r="H158" t="str">
            <v>口</v>
          </cell>
          <cell r="I158">
            <v>0.13</v>
          </cell>
          <cell r="J158">
            <v>0.13</v>
          </cell>
          <cell r="K158">
            <v>1</v>
          </cell>
          <cell r="Q158">
            <v>5</v>
          </cell>
        </row>
        <row r="159">
          <cell r="B159">
            <v>154</v>
          </cell>
          <cell r="C159" t="str">
            <v>仕切弁設置工</v>
          </cell>
          <cell r="D159" t="str">
            <v>1基当り</v>
          </cell>
          <cell r="E159" t="str">
            <v>人力</v>
          </cell>
          <cell r="F159" t="str">
            <v>仕切弁設置工人力</v>
          </cell>
          <cell r="G159" t="str">
            <v>φ50</v>
          </cell>
          <cell r="H159" t="str">
            <v>基</v>
          </cell>
          <cell r="I159">
            <v>0.03</v>
          </cell>
          <cell r="J159">
            <v>0.15</v>
          </cell>
          <cell r="N159" t="str">
            <v>ﾌﾗﾝｼﾞ接合含まず</v>
          </cell>
          <cell r="O159">
            <v>18</v>
          </cell>
          <cell r="P159">
            <v>56</v>
          </cell>
          <cell r="Q159">
            <v>10</v>
          </cell>
        </row>
        <row r="160">
          <cell r="B160">
            <v>155</v>
          </cell>
          <cell r="C160" t="str">
            <v>仕切弁設置工</v>
          </cell>
          <cell r="D160" t="str">
            <v>1基当り</v>
          </cell>
          <cell r="E160" t="str">
            <v>人力</v>
          </cell>
          <cell r="F160" t="str">
            <v>仕切弁設置工人力</v>
          </cell>
          <cell r="G160" t="str">
            <v>φ75</v>
          </cell>
          <cell r="H160" t="str">
            <v>基</v>
          </cell>
          <cell r="I160">
            <v>0.05</v>
          </cell>
          <cell r="J160">
            <v>0.19</v>
          </cell>
          <cell r="N160" t="str">
            <v>ﾌﾗﾝｼﾞ接合含まず</v>
          </cell>
          <cell r="Q160">
            <v>10</v>
          </cell>
        </row>
        <row r="161">
          <cell r="B161">
            <v>156</v>
          </cell>
          <cell r="C161" t="str">
            <v>仕切弁設置工</v>
          </cell>
          <cell r="D161" t="str">
            <v>1基当り</v>
          </cell>
          <cell r="E161" t="str">
            <v>人力</v>
          </cell>
          <cell r="F161" t="str">
            <v>仕切弁設置工人力</v>
          </cell>
          <cell r="G161" t="str">
            <v>φ100</v>
          </cell>
          <cell r="H161" t="str">
            <v>基</v>
          </cell>
          <cell r="I161">
            <v>7.0000000000000007E-2</v>
          </cell>
          <cell r="J161">
            <v>0.23</v>
          </cell>
          <cell r="N161" t="str">
            <v>ﾌﾗﾝｼﾞ接合含まず</v>
          </cell>
          <cell r="Q161">
            <v>10</v>
          </cell>
        </row>
        <row r="162">
          <cell r="B162">
            <v>157</v>
          </cell>
          <cell r="C162" t="str">
            <v>仕切弁設置工</v>
          </cell>
          <cell r="D162" t="str">
            <v>1基当り</v>
          </cell>
          <cell r="E162" t="str">
            <v>人力</v>
          </cell>
          <cell r="F162" t="str">
            <v>仕切弁設置工人力</v>
          </cell>
          <cell r="G162" t="str">
            <v>φ125</v>
          </cell>
          <cell r="H162" t="str">
            <v>基</v>
          </cell>
          <cell r="I162">
            <v>0.09</v>
          </cell>
          <cell r="J162">
            <v>0.3</v>
          </cell>
          <cell r="N162" t="str">
            <v>ﾌﾗﾝｼﾞ接合含まず</v>
          </cell>
          <cell r="Q162">
            <v>10</v>
          </cell>
        </row>
        <row r="163">
          <cell r="B163">
            <v>158</v>
          </cell>
          <cell r="C163" t="str">
            <v>仕切弁設置工</v>
          </cell>
          <cell r="D163" t="str">
            <v>1基当り</v>
          </cell>
          <cell r="E163" t="str">
            <v>人力</v>
          </cell>
          <cell r="F163" t="str">
            <v>仕切弁設置工人力</v>
          </cell>
          <cell r="G163" t="str">
            <v>φ150</v>
          </cell>
          <cell r="H163" t="str">
            <v>基</v>
          </cell>
          <cell r="I163">
            <v>0.1</v>
          </cell>
          <cell r="J163">
            <v>0.37</v>
          </cell>
          <cell r="N163" t="str">
            <v>ﾌﾗﾝｼﾞ接合含まず</v>
          </cell>
          <cell r="Q163">
            <v>10</v>
          </cell>
        </row>
        <row r="164">
          <cell r="B164">
            <v>159</v>
          </cell>
          <cell r="C164" t="str">
            <v>仕切弁設置工</v>
          </cell>
          <cell r="D164" t="str">
            <v>1基当り</v>
          </cell>
          <cell r="E164" t="str">
            <v>人力</v>
          </cell>
          <cell r="F164" t="str">
            <v>仕切弁設置工人力</v>
          </cell>
          <cell r="G164" t="str">
            <v>φ200</v>
          </cell>
          <cell r="H164" t="str">
            <v>基</v>
          </cell>
          <cell r="I164">
            <v>0.17</v>
          </cell>
          <cell r="J164">
            <v>0.45</v>
          </cell>
          <cell r="N164" t="str">
            <v>ﾌﾗﾝｼﾞ接合含まず</v>
          </cell>
          <cell r="Q164">
            <v>10</v>
          </cell>
        </row>
        <row r="165">
          <cell r="B165">
            <v>160</v>
          </cell>
          <cell r="C165" t="str">
            <v>仕切弁設置工</v>
          </cell>
          <cell r="D165" t="str">
            <v>1基当り</v>
          </cell>
          <cell r="E165" t="str">
            <v>人力</v>
          </cell>
          <cell r="F165" t="str">
            <v>仕切弁設置工人力</v>
          </cell>
          <cell r="G165" t="str">
            <v>φ250</v>
          </cell>
          <cell r="H165" t="str">
            <v>基</v>
          </cell>
          <cell r="I165">
            <v>0.24</v>
          </cell>
          <cell r="J165">
            <v>0.61</v>
          </cell>
          <cell r="N165" t="str">
            <v>ﾌﾗﾝｼﾞ接合含まず</v>
          </cell>
          <cell r="Q165">
            <v>10</v>
          </cell>
        </row>
        <row r="166">
          <cell r="B166">
            <v>161</v>
          </cell>
          <cell r="C166" t="str">
            <v>仕切弁設置工</v>
          </cell>
          <cell r="D166" t="str">
            <v>1基当り</v>
          </cell>
          <cell r="E166" t="str">
            <v>人力</v>
          </cell>
          <cell r="F166" t="str">
            <v>仕切弁設置工人力</v>
          </cell>
          <cell r="G166" t="str">
            <v>φ300</v>
          </cell>
          <cell r="H166" t="str">
            <v>基</v>
          </cell>
          <cell r="I166">
            <v>0.37</v>
          </cell>
          <cell r="J166">
            <v>0.9</v>
          </cell>
          <cell r="N166" t="str">
            <v>ﾌﾗﾝｼﾞ接合含まず</v>
          </cell>
          <cell r="Q166">
            <v>10</v>
          </cell>
        </row>
        <row r="167">
          <cell r="B167">
            <v>162</v>
          </cell>
          <cell r="C167" t="str">
            <v>仕切弁設置工</v>
          </cell>
          <cell r="D167" t="str">
            <v>1基当り</v>
          </cell>
          <cell r="E167" t="str">
            <v>人力</v>
          </cell>
          <cell r="F167" t="str">
            <v>仕切弁設置工人力</v>
          </cell>
          <cell r="G167" t="str">
            <v>φ350</v>
          </cell>
          <cell r="H167" t="str">
            <v>基</v>
          </cell>
          <cell r="I167">
            <v>0.53</v>
          </cell>
          <cell r="J167">
            <v>1.27</v>
          </cell>
          <cell r="N167" t="str">
            <v>ﾌﾗﾝｼﾞ接合含まず</v>
          </cell>
          <cell r="Q167">
            <v>10</v>
          </cell>
        </row>
        <row r="168">
          <cell r="B168">
            <v>163</v>
          </cell>
          <cell r="C168" t="str">
            <v>仕切弁設置工</v>
          </cell>
          <cell r="D168" t="str">
            <v>1基当り</v>
          </cell>
          <cell r="E168" t="str">
            <v>機械</v>
          </cell>
          <cell r="F168" t="str">
            <v>仕切弁設置工機械</v>
          </cell>
          <cell r="G168" t="str">
            <v>φ100</v>
          </cell>
          <cell r="H168" t="str">
            <v>基</v>
          </cell>
          <cell r="I168">
            <v>0.03</v>
          </cell>
          <cell r="J168">
            <v>0.05</v>
          </cell>
          <cell r="K168">
            <v>0.4</v>
          </cell>
          <cell r="N168" t="str">
            <v>ﾌﾗﾝｼﾞ接合含まず</v>
          </cell>
          <cell r="O168">
            <v>19</v>
          </cell>
          <cell r="P168">
            <v>55</v>
          </cell>
          <cell r="Q168">
            <v>16</v>
          </cell>
        </row>
        <row r="169">
          <cell r="B169">
            <v>164</v>
          </cell>
          <cell r="C169" t="str">
            <v>仕切弁設置工</v>
          </cell>
          <cell r="D169" t="str">
            <v>1基当り</v>
          </cell>
          <cell r="E169" t="str">
            <v>機械</v>
          </cell>
          <cell r="F169" t="str">
            <v>仕切弁設置工機械</v>
          </cell>
          <cell r="G169" t="str">
            <v>φ125</v>
          </cell>
          <cell r="H169" t="str">
            <v>基</v>
          </cell>
          <cell r="I169">
            <v>0.03</v>
          </cell>
          <cell r="J169">
            <v>0.05</v>
          </cell>
          <cell r="K169">
            <v>0.47</v>
          </cell>
          <cell r="N169" t="str">
            <v>ﾌﾗﾝｼﾞ接合含まず</v>
          </cell>
          <cell r="Q169">
            <v>16</v>
          </cell>
        </row>
        <row r="170">
          <cell r="B170">
            <v>165</v>
          </cell>
          <cell r="C170" t="str">
            <v>仕切弁設置工</v>
          </cell>
          <cell r="D170" t="str">
            <v>1基当り</v>
          </cell>
          <cell r="E170" t="str">
            <v>機械</v>
          </cell>
          <cell r="F170" t="str">
            <v>仕切弁設置工機械</v>
          </cell>
          <cell r="G170" t="str">
            <v>φ150</v>
          </cell>
          <cell r="H170" t="str">
            <v>基</v>
          </cell>
          <cell r="I170">
            <v>0.04</v>
          </cell>
          <cell r="J170">
            <v>0.06</v>
          </cell>
          <cell r="K170">
            <v>0.49</v>
          </cell>
          <cell r="N170" t="str">
            <v>ﾌﾗﾝｼﾞ接合含まず</v>
          </cell>
          <cell r="Q170">
            <v>16</v>
          </cell>
        </row>
        <row r="171">
          <cell r="B171">
            <v>166</v>
          </cell>
          <cell r="C171" t="str">
            <v>仕切弁設置工</v>
          </cell>
          <cell r="D171" t="str">
            <v>1基当り</v>
          </cell>
          <cell r="E171" t="str">
            <v>機械</v>
          </cell>
          <cell r="F171" t="str">
            <v>仕切弁設置工機械</v>
          </cell>
          <cell r="G171" t="str">
            <v>φ200</v>
          </cell>
          <cell r="H171" t="str">
            <v>基</v>
          </cell>
          <cell r="I171">
            <v>0.05</v>
          </cell>
          <cell r="J171">
            <v>0.08</v>
          </cell>
          <cell r="K171">
            <v>0.56999999999999995</v>
          </cell>
          <cell r="N171" t="str">
            <v>ﾌﾗﾝｼﾞ接合含まず</v>
          </cell>
          <cell r="Q171">
            <v>16</v>
          </cell>
        </row>
        <row r="172">
          <cell r="B172">
            <v>167</v>
          </cell>
          <cell r="C172" t="str">
            <v>仕切弁設置工</v>
          </cell>
          <cell r="D172" t="str">
            <v>1基当り</v>
          </cell>
          <cell r="E172" t="str">
            <v>機械</v>
          </cell>
          <cell r="F172" t="str">
            <v>仕切弁設置工機械</v>
          </cell>
          <cell r="G172" t="str">
            <v>φ250</v>
          </cell>
          <cell r="H172" t="str">
            <v>基</v>
          </cell>
          <cell r="I172">
            <v>0.06</v>
          </cell>
          <cell r="J172">
            <v>0.1</v>
          </cell>
          <cell r="K172">
            <v>0.73</v>
          </cell>
          <cell r="N172" t="str">
            <v>ﾌﾗﾝｼﾞ接合含まず</v>
          </cell>
          <cell r="Q172">
            <v>16</v>
          </cell>
        </row>
        <row r="173">
          <cell r="B173">
            <v>168</v>
          </cell>
          <cell r="C173" t="str">
            <v>仕切弁設置工</v>
          </cell>
          <cell r="D173" t="str">
            <v>1基当り</v>
          </cell>
          <cell r="E173" t="str">
            <v>機械</v>
          </cell>
          <cell r="F173" t="str">
            <v>仕切弁設置工機械</v>
          </cell>
          <cell r="G173" t="str">
            <v>φ300</v>
          </cell>
          <cell r="H173" t="str">
            <v>基</v>
          </cell>
          <cell r="I173">
            <v>0.11</v>
          </cell>
          <cell r="J173">
            <v>0.17</v>
          </cell>
          <cell r="K173">
            <v>0.91</v>
          </cell>
          <cell r="N173" t="str">
            <v>ﾌﾗﾝｼﾞ接合含まず</v>
          </cell>
          <cell r="Q173">
            <v>16</v>
          </cell>
        </row>
        <row r="174">
          <cell r="B174">
            <v>169</v>
          </cell>
          <cell r="C174" t="str">
            <v>仕切弁設置工</v>
          </cell>
          <cell r="D174" t="str">
            <v>1基当り</v>
          </cell>
          <cell r="E174" t="str">
            <v>機械</v>
          </cell>
          <cell r="F174" t="str">
            <v>仕切弁設置工機械</v>
          </cell>
          <cell r="G174" t="str">
            <v>φ350</v>
          </cell>
          <cell r="H174" t="str">
            <v>基</v>
          </cell>
          <cell r="I174">
            <v>0.18</v>
          </cell>
          <cell r="J174">
            <v>0.43</v>
          </cell>
          <cell r="K174">
            <v>1.1000000000000001</v>
          </cell>
          <cell r="N174" t="str">
            <v>ﾌﾗﾝｼﾞ接合含まず</v>
          </cell>
          <cell r="Q174">
            <v>16</v>
          </cell>
        </row>
        <row r="175">
          <cell r="B175">
            <v>170</v>
          </cell>
          <cell r="C175" t="str">
            <v>仕切弁設置工</v>
          </cell>
          <cell r="D175" t="str">
            <v>1基当り</v>
          </cell>
          <cell r="E175" t="str">
            <v>機械</v>
          </cell>
          <cell r="F175" t="str">
            <v>仕切弁設置工機械</v>
          </cell>
          <cell r="G175" t="str">
            <v>φ400</v>
          </cell>
          <cell r="H175" t="str">
            <v>基</v>
          </cell>
          <cell r="I175">
            <v>0.41</v>
          </cell>
          <cell r="J175">
            <v>1.1299999999999999</v>
          </cell>
          <cell r="L175">
            <v>1.68</v>
          </cell>
          <cell r="N175" t="str">
            <v>ﾌﾗﾝｼﾞ接合含まず</v>
          </cell>
          <cell r="Q175">
            <v>16</v>
          </cell>
        </row>
        <row r="176">
          <cell r="B176">
            <v>171</v>
          </cell>
          <cell r="C176" t="str">
            <v>仕切弁設置工</v>
          </cell>
          <cell r="D176" t="str">
            <v>1基当り</v>
          </cell>
          <cell r="E176" t="str">
            <v>機械</v>
          </cell>
          <cell r="F176" t="str">
            <v>仕切弁設置工機械</v>
          </cell>
          <cell r="G176" t="str">
            <v>φ450</v>
          </cell>
          <cell r="H176" t="str">
            <v>基</v>
          </cell>
          <cell r="I176">
            <v>0.62</v>
          </cell>
          <cell r="J176">
            <v>1.96</v>
          </cell>
          <cell r="L176">
            <v>1.74</v>
          </cell>
          <cell r="N176" t="str">
            <v>ﾌﾗﾝｼﾞ接合含まず</v>
          </cell>
          <cell r="Q176">
            <v>16</v>
          </cell>
        </row>
        <row r="177">
          <cell r="B177">
            <v>172</v>
          </cell>
          <cell r="C177" t="str">
            <v>消火栓設置工</v>
          </cell>
          <cell r="D177" t="str">
            <v>1ヶ所当り</v>
          </cell>
          <cell r="E177" t="str">
            <v>人力</v>
          </cell>
          <cell r="F177" t="str">
            <v>消火栓設置工人力</v>
          </cell>
          <cell r="G177" t="str">
            <v>地上式,単口</v>
          </cell>
          <cell r="H177" t="str">
            <v>ヶ所</v>
          </cell>
          <cell r="I177">
            <v>0.33</v>
          </cell>
          <cell r="J177">
            <v>0.59</v>
          </cell>
          <cell r="K177">
            <v>1</v>
          </cell>
          <cell r="N177" t="str">
            <v>ﾌﾗﾝｼﾞ接合含む</v>
          </cell>
          <cell r="O177">
            <v>20</v>
          </cell>
          <cell r="P177">
            <v>57</v>
          </cell>
          <cell r="Q177">
            <v>5</v>
          </cell>
        </row>
        <row r="178">
          <cell r="B178">
            <v>173</v>
          </cell>
          <cell r="C178" t="str">
            <v>消火栓設置工</v>
          </cell>
          <cell r="D178" t="str">
            <v>1ヶ所当り</v>
          </cell>
          <cell r="E178" t="str">
            <v>人力</v>
          </cell>
          <cell r="F178" t="str">
            <v>消火栓設置工人力</v>
          </cell>
          <cell r="G178" t="str">
            <v>地下式,単口</v>
          </cell>
          <cell r="H178" t="str">
            <v>ヶ所</v>
          </cell>
          <cell r="I178">
            <v>0.18</v>
          </cell>
          <cell r="J178">
            <v>0.32</v>
          </cell>
          <cell r="K178">
            <v>1</v>
          </cell>
          <cell r="N178" t="str">
            <v>ﾌﾗﾝｼﾞ接合含む</v>
          </cell>
          <cell r="Q178">
            <v>5</v>
          </cell>
        </row>
        <row r="179">
          <cell r="B179">
            <v>174</v>
          </cell>
          <cell r="C179" t="str">
            <v>消火栓設置工</v>
          </cell>
          <cell r="D179" t="str">
            <v>1ヶ所当り</v>
          </cell>
          <cell r="E179" t="str">
            <v>人力</v>
          </cell>
          <cell r="F179" t="str">
            <v>消火栓設置工人力</v>
          </cell>
          <cell r="G179" t="str">
            <v>地上式,双口</v>
          </cell>
          <cell r="H179" t="str">
            <v>ヶ所</v>
          </cell>
          <cell r="I179">
            <v>0.46</v>
          </cell>
          <cell r="J179">
            <v>0.77</v>
          </cell>
          <cell r="K179">
            <v>1</v>
          </cell>
          <cell r="N179" t="str">
            <v>ﾌﾗﾝｼﾞ接合含む</v>
          </cell>
          <cell r="Q179">
            <v>5</v>
          </cell>
        </row>
        <row r="180">
          <cell r="B180">
            <v>175</v>
          </cell>
          <cell r="C180" t="str">
            <v>消火栓設置工</v>
          </cell>
          <cell r="D180" t="str">
            <v>1ヶ所当り</v>
          </cell>
          <cell r="E180" t="str">
            <v>機械</v>
          </cell>
          <cell r="F180" t="str">
            <v>消火栓設置工機械</v>
          </cell>
          <cell r="G180" t="str">
            <v>地上式,単口</v>
          </cell>
          <cell r="H180" t="str">
            <v>ヶ所</v>
          </cell>
          <cell r="I180">
            <v>0.26</v>
          </cell>
          <cell r="J180">
            <v>0.28999999999999998</v>
          </cell>
          <cell r="K180">
            <v>1</v>
          </cell>
          <cell r="L180">
            <v>0.56999999999999995</v>
          </cell>
          <cell r="N180" t="str">
            <v>ﾌﾗﾝｼﾞ接合含む</v>
          </cell>
          <cell r="O180">
            <v>21</v>
          </cell>
          <cell r="P180">
            <v>57</v>
          </cell>
          <cell r="Q180">
            <v>12</v>
          </cell>
        </row>
        <row r="181">
          <cell r="B181">
            <v>176</v>
          </cell>
          <cell r="C181" t="str">
            <v>消火栓設置工</v>
          </cell>
          <cell r="D181" t="str">
            <v>1ヶ所当り</v>
          </cell>
          <cell r="E181" t="str">
            <v>機械</v>
          </cell>
          <cell r="F181" t="str">
            <v>消火栓設置工機械</v>
          </cell>
          <cell r="G181" t="str">
            <v>地下式,単口</v>
          </cell>
          <cell r="H181" t="str">
            <v>ヶ所</v>
          </cell>
          <cell r="I181">
            <v>0.14000000000000001</v>
          </cell>
          <cell r="J181">
            <v>0.16</v>
          </cell>
          <cell r="K181">
            <v>1</v>
          </cell>
          <cell r="L181">
            <v>0.31</v>
          </cell>
          <cell r="N181" t="str">
            <v>ﾌﾗﾝｼﾞ接合含む</v>
          </cell>
          <cell r="Q181">
            <v>12</v>
          </cell>
        </row>
        <row r="182">
          <cell r="B182">
            <v>177</v>
          </cell>
          <cell r="C182" t="str">
            <v>消火栓設置工</v>
          </cell>
          <cell r="D182" t="str">
            <v>1ヶ所当り</v>
          </cell>
          <cell r="E182" t="str">
            <v>機械</v>
          </cell>
          <cell r="F182" t="str">
            <v>消火栓設置工機械</v>
          </cell>
          <cell r="G182" t="str">
            <v>地上式,双口</v>
          </cell>
          <cell r="H182" t="str">
            <v>ヶ所</v>
          </cell>
          <cell r="I182">
            <v>0.28000000000000003</v>
          </cell>
          <cell r="J182">
            <v>0.31</v>
          </cell>
          <cell r="K182">
            <v>1</v>
          </cell>
          <cell r="L182">
            <v>0.73</v>
          </cell>
          <cell r="N182" t="str">
            <v>ﾌﾗﾝｼﾞ接合含む</v>
          </cell>
          <cell r="Q182">
            <v>12</v>
          </cell>
        </row>
        <row r="183">
          <cell r="B183">
            <v>178</v>
          </cell>
          <cell r="C183" t="str">
            <v>空気弁設置工</v>
          </cell>
          <cell r="D183" t="str">
            <v>1基当り</v>
          </cell>
          <cell r="F183" t="str">
            <v>空気弁設置工</v>
          </cell>
          <cell r="G183" t="str">
            <v>φ16～25</v>
          </cell>
          <cell r="H183" t="str">
            <v>基</v>
          </cell>
          <cell r="I183">
            <v>0.05</v>
          </cell>
          <cell r="J183">
            <v>0.1</v>
          </cell>
          <cell r="N183" t="str">
            <v>接合含む</v>
          </cell>
          <cell r="O183">
            <v>22</v>
          </cell>
          <cell r="P183">
            <v>57</v>
          </cell>
          <cell r="Q183">
            <v>10</v>
          </cell>
        </row>
        <row r="184">
          <cell r="B184">
            <v>179</v>
          </cell>
          <cell r="C184" t="str">
            <v>空気弁設置工</v>
          </cell>
          <cell r="D184" t="str">
            <v>1基当り</v>
          </cell>
          <cell r="F184" t="str">
            <v>空気弁設置工</v>
          </cell>
          <cell r="G184" t="str">
            <v>φ50</v>
          </cell>
          <cell r="H184" t="str">
            <v>基</v>
          </cell>
          <cell r="I184">
            <v>0.1</v>
          </cell>
          <cell r="J184">
            <v>0.21</v>
          </cell>
          <cell r="N184" t="str">
            <v>接合含む</v>
          </cell>
          <cell r="Q184">
            <v>10</v>
          </cell>
        </row>
        <row r="185">
          <cell r="B185">
            <v>180</v>
          </cell>
          <cell r="C185" t="str">
            <v>空気弁設置工</v>
          </cell>
          <cell r="D185" t="str">
            <v>1基当り</v>
          </cell>
          <cell r="F185" t="str">
            <v>空気弁設置工</v>
          </cell>
          <cell r="G185" t="str">
            <v>φ75</v>
          </cell>
          <cell r="H185" t="str">
            <v>基</v>
          </cell>
          <cell r="I185">
            <v>0.15</v>
          </cell>
          <cell r="J185">
            <v>0.31</v>
          </cell>
          <cell r="N185" t="str">
            <v>接合含む</v>
          </cell>
          <cell r="Q185">
            <v>10</v>
          </cell>
        </row>
        <row r="186">
          <cell r="B186">
            <v>181</v>
          </cell>
          <cell r="C186" t="str">
            <v>空気弁設置工</v>
          </cell>
          <cell r="D186" t="str">
            <v>1基当り</v>
          </cell>
          <cell r="F186" t="str">
            <v>空気弁設置工</v>
          </cell>
          <cell r="G186" t="str">
            <v>φ100</v>
          </cell>
          <cell r="H186" t="str">
            <v>基</v>
          </cell>
          <cell r="I186">
            <v>0.21</v>
          </cell>
          <cell r="J186">
            <v>0.41</v>
          </cell>
          <cell r="N186" t="str">
            <v>接合含む</v>
          </cell>
          <cell r="Q186">
            <v>10</v>
          </cell>
        </row>
        <row r="187">
          <cell r="B187">
            <v>182</v>
          </cell>
          <cell r="C187" t="str">
            <v>空気弁設置工</v>
          </cell>
          <cell r="D187" t="str">
            <v>1基当り</v>
          </cell>
          <cell r="F187" t="str">
            <v>空気弁設置工</v>
          </cell>
          <cell r="G187" t="str">
            <v>φ150</v>
          </cell>
          <cell r="H187" t="str">
            <v>基</v>
          </cell>
          <cell r="I187">
            <v>0.31</v>
          </cell>
          <cell r="J187">
            <v>0.62</v>
          </cell>
          <cell r="N187" t="str">
            <v>接合含む</v>
          </cell>
          <cell r="Q187">
            <v>10</v>
          </cell>
        </row>
        <row r="188">
          <cell r="B188">
            <v>183</v>
          </cell>
          <cell r="C188" t="str">
            <v>空気弁設置工</v>
          </cell>
          <cell r="D188" t="str">
            <v>1基当り</v>
          </cell>
          <cell r="F188" t="str">
            <v>空気弁設置工</v>
          </cell>
          <cell r="G188" t="str">
            <v>φ200</v>
          </cell>
          <cell r="H188" t="str">
            <v>基</v>
          </cell>
          <cell r="I188">
            <v>0.41</v>
          </cell>
          <cell r="J188">
            <v>0.82</v>
          </cell>
          <cell r="N188" t="str">
            <v>接合含む</v>
          </cell>
          <cell r="Q188">
            <v>10</v>
          </cell>
        </row>
        <row r="189">
          <cell r="B189">
            <v>184</v>
          </cell>
          <cell r="C189" t="str">
            <v>空気弁座設置工</v>
          </cell>
          <cell r="D189" t="str">
            <v>1基当り</v>
          </cell>
          <cell r="F189" t="str">
            <v>空気弁座設置工</v>
          </cell>
          <cell r="G189" t="str">
            <v>φ75～200</v>
          </cell>
          <cell r="H189" t="str">
            <v>基</v>
          </cell>
          <cell r="I189">
            <v>0.26</v>
          </cell>
          <cell r="J189">
            <v>0.52</v>
          </cell>
          <cell r="N189" t="str">
            <v>接合含む</v>
          </cell>
          <cell r="O189">
            <v>23</v>
          </cell>
          <cell r="Q189">
            <v>10</v>
          </cell>
        </row>
        <row r="190">
          <cell r="B190">
            <v>185</v>
          </cell>
          <cell r="C190" t="str">
            <v>ﾎﾟﾘｽﾘｰﾌﾞ被覆工</v>
          </cell>
          <cell r="D190" t="str">
            <v>100m当り</v>
          </cell>
          <cell r="F190" t="str">
            <v>ﾎﾟﾘｽﾘｰﾌﾞ被覆工</v>
          </cell>
          <cell r="G190" t="str">
            <v>φ75</v>
          </cell>
          <cell r="H190" t="str">
            <v>ｍ</v>
          </cell>
          <cell r="I190">
            <v>19750</v>
          </cell>
          <cell r="J190">
            <v>10500</v>
          </cell>
          <cell r="K190">
            <v>0.25</v>
          </cell>
          <cell r="L190">
            <v>0.25</v>
          </cell>
          <cell r="M190">
            <v>100</v>
          </cell>
          <cell r="O190">
            <v>24</v>
          </cell>
          <cell r="P190">
            <v>36</v>
          </cell>
          <cell r="Q190">
            <v>13</v>
          </cell>
        </row>
        <row r="191">
          <cell r="B191">
            <v>186</v>
          </cell>
          <cell r="C191" t="str">
            <v>ﾎﾟﾘｽﾘｰﾌﾞ被覆工</v>
          </cell>
          <cell r="D191" t="str">
            <v>100m当り</v>
          </cell>
          <cell r="F191" t="str">
            <v>ﾎﾟﾘｽﾘｰﾌﾞ被覆工</v>
          </cell>
          <cell r="G191" t="str">
            <v>φ100</v>
          </cell>
          <cell r="H191" t="str">
            <v>ｍ</v>
          </cell>
          <cell r="I191">
            <v>21750</v>
          </cell>
          <cell r="J191">
            <v>12250</v>
          </cell>
          <cell r="K191">
            <v>0.3</v>
          </cell>
          <cell r="L191">
            <v>0.3</v>
          </cell>
          <cell r="M191">
            <v>100</v>
          </cell>
          <cell r="Q191">
            <v>13</v>
          </cell>
        </row>
        <row r="192">
          <cell r="B192">
            <v>187</v>
          </cell>
          <cell r="C192" t="str">
            <v>ﾎﾟﾘｽﾘｰﾌﾞ被覆工</v>
          </cell>
          <cell r="D192" t="str">
            <v>100m当り</v>
          </cell>
          <cell r="F192" t="str">
            <v>ﾎﾟﾘｽﾘｰﾌﾞ被覆工</v>
          </cell>
          <cell r="G192" t="str">
            <v>φ150</v>
          </cell>
          <cell r="H192" t="str">
            <v>ｍ</v>
          </cell>
          <cell r="I192">
            <v>25200</v>
          </cell>
          <cell r="J192">
            <v>12800</v>
          </cell>
          <cell r="K192">
            <v>0.35</v>
          </cell>
          <cell r="L192">
            <v>0.35</v>
          </cell>
          <cell r="M192">
            <v>100</v>
          </cell>
          <cell r="Q192">
            <v>13</v>
          </cell>
        </row>
        <row r="193">
          <cell r="B193">
            <v>188</v>
          </cell>
          <cell r="C193" t="str">
            <v>ﾎﾟﾘｽﾘｰﾌﾞ被覆工</v>
          </cell>
          <cell r="D193" t="str">
            <v>100m当り</v>
          </cell>
          <cell r="F193" t="str">
            <v>ﾎﾟﾘｽﾘｰﾌﾞ被覆工</v>
          </cell>
          <cell r="G193" t="str">
            <v>φ200</v>
          </cell>
          <cell r="H193" t="str">
            <v>ｍ</v>
          </cell>
          <cell r="I193">
            <v>28920</v>
          </cell>
          <cell r="J193">
            <v>16000</v>
          </cell>
          <cell r="K193">
            <v>0.43</v>
          </cell>
          <cell r="L193">
            <v>0.43</v>
          </cell>
          <cell r="M193">
            <v>100</v>
          </cell>
          <cell r="Q193">
            <v>13</v>
          </cell>
        </row>
        <row r="194">
          <cell r="B194">
            <v>189</v>
          </cell>
          <cell r="C194" t="str">
            <v>ﾎﾟﾘｽﾘｰﾌﾞ被覆工</v>
          </cell>
          <cell r="D194" t="str">
            <v>100m当り</v>
          </cell>
          <cell r="F194" t="str">
            <v>ﾎﾟﾘｽﾘｰﾌﾞ被覆工</v>
          </cell>
          <cell r="G194" t="str">
            <v>φ250</v>
          </cell>
          <cell r="H194" t="str">
            <v>ｍ</v>
          </cell>
          <cell r="I194">
            <v>33000</v>
          </cell>
          <cell r="J194">
            <v>17600</v>
          </cell>
          <cell r="K194">
            <v>0.51</v>
          </cell>
          <cell r="L194">
            <v>0.51</v>
          </cell>
          <cell r="M194">
            <v>100</v>
          </cell>
          <cell r="Q194">
            <v>13</v>
          </cell>
        </row>
        <row r="195">
          <cell r="B195">
            <v>190</v>
          </cell>
          <cell r="C195" t="str">
            <v>ﾎﾟﾘｽﾘｰﾌﾞ被覆工</v>
          </cell>
          <cell r="D195" t="str">
            <v>100m当り</v>
          </cell>
          <cell r="F195" t="str">
            <v>ﾎﾟﾘｽﾘｰﾌﾞ被覆工</v>
          </cell>
          <cell r="G195" t="str">
            <v>φ300</v>
          </cell>
          <cell r="H195" t="str">
            <v>ｍ</v>
          </cell>
          <cell r="I195">
            <v>37236</v>
          </cell>
          <cell r="J195">
            <v>19500</v>
          </cell>
          <cell r="K195">
            <v>0.59</v>
          </cell>
          <cell r="L195">
            <v>0.59</v>
          </cell>
          <cell r="M195">
            <v>100</v>
          </cell>
          <cell r="Q195">
            <v>13</v>
          </cell>
        </row>
        <row r="196">
          <cell r="B196">
            <v>191</v>
          </cell>
          <cell r="C196" t="str">
            <v>ﾎﾟﾘｽﾘｰﾌﾞ被覆工</v>
          </cell>
          <cell r="D196" t="str">
            <v>100m当り</v>
          </cell>
          <cell r="F196" t="str">
            <v>ﾎﾟﾘｽﾘｰﾌﾞ被覆工</v>
          </cell>
          <cell r="G196" t="str">
            <v>φ350</v>
          </cell>
          <cell r="H196" t="str">
            <v>ｍ</v>
          </cell>
          <cell r="I196">
            <v>39092</v>
          </cell>
          <cell r="J196">
            <v>22500</v>
          </cell>
          <cell r="K196">
            <v>0.67</v>
          </cell>
          <cell r="L196">
            <v>0.67</v>
          </cell>
          <cell r="M196">
            <v>100</v>
          </cell>
          <cell r="Q196">
            <v>13</v>
          </cell>
        </row>
        <row r="197">
          <cell r="B197">
            <v>192</v>
          </cell>
          <cell r="C197" t="str">
            <v>ﾎﾟﾘｽﾘｰﾌﾞ被覆工</v>
          </cell>
          <cell r="D197" t="str">
            <v>100m当り</v>
          </cell>
          <cell r="F197" t="str">
            <v>ﾎﾟﾘｽﾘｰﾌﾞ被覆工</v>
          </cell>
          <cell r="G197" t="str">
            <v>φ400</v>
          </cell>
          <cell r="H197" t="str">
            <v>ｍ</v>
          </cell>
          <cell r="I197">
            <v>39556</v>
          </cell>
          <cell r="J197">
            <v>24000</v>
          </cell>
          <cell r="K197">
            <v>0.75</v>
          </cell>
          <cell r="L197">
            <v>0.75</v>
          </cell>
          <cell r="M197">
            <v>100</v>
          </cell>
          <cell r="Q197">
            <v>13</v>
          </cell>
        </row>
        <row r="198">
          <cell r="B198">
            <v>193</v>
          </cell>
          <cell r="C198" t="str">
            <v>ﾎﾟﾘｽﾘｰﾌﾞ被覆工</v>
          </cell>
          <cell r="D198" t="str">
            <v>100m当り</v>
          </cell>
          <cell r="F198" t="str">
            <v>ﾎﾟﾘｽﾘｰﾌﾞ被覆工</v>
          </cell>
          <cell r="G198" t="str">
            <v>φ450</v>
          </cell>
          <cell r="H198" t="str">
            <v>ｍ</v>
          </cell>
          <cell r="I198">
            <v>45008</v>
          </cell>
          <cell r="J198">
            <v>30000</v>
          </cell>
          <cell r="K198">
            <v>0.83</v>
          </cell>
          <cell r="L198">
            <v>0.83</v>
          </cell>
          <cell r="M198">
            <v>100</v>
          </cell>
          <cell r="Q198">
            <v>13</v>
          </cell>
        </row>
        <row r="199">
          <cell r="B199">
            <v>194</v>
          </cell>
          <cell r="C199" t="str">
            <v>VP用鋳鉄異形管被覆工</v>
          </cell>
          <cell r="D199" t="str">
            <v>1ヶ所当り</v>
          </cell>
          <cell r="E199" t="str">
            <v>Ｔ字管</v>
          </cell>
          <cell r="F199" t="str">
            <v>VP用鋳鉄異形管被覆工Ｔ字管</v>
          </cell>
          <cell r="G199" t="str">
            <v>φ75</v>
          </cell>
          <cell r="H199" t="str">
            <v>ヶ所</v>
          </cell>
          <cell r="I199">
            <v>158</v>
          </cell>
          <cell r="J199">
            <v>3.4</v>
          </cell>
          <cell r="K199">
            <v>2</v>
          </cell>
          <cell r="L199">
            <v>0.06</v>
          </cell>
          <cell r="O199">
            <v>25</v>
          </cell>
          <cell r="P199">
            <v>48</v>
          </cell>
          <cell r="Q199">
            <v>14</v>
          </cell>
        </row>
        <row r="200">
          <cell r="B200">
            <v>195</v>
          </cell>
          <cell r="C200" t="str">
            <v>VP用鋳鉄異形管被覆工</v>
          </cell>
          <cell r="D200" t="str">
            <v>1ヶ所当り</v>
          </cell>
          <cell r="E200" t="str">
            <v>Ｔ字管</v>
          </cell>
          <cell r="F200" t="str">
            <v>VP用鋳鉄異形管被覆工Ｔ字管</v>
          </cell>
          <cell r="G200" t="str">
            <v>φ100</v>
          </cell>
          <cell r="H200" t="str">
            <v>ヶ所</v>
          </cell>
          <cell r="I200">
            <v>208</v>
          </cell>
          <cell r="J200">
            <v>4.5999999999999996</v>
          </cell>
          <cell r="K200">
            <v>2</v>
          </cell>
          <cell r="L200">
            <v>7.0000000000000007E-2</v>
          </cell>
          <cell r="Q200">
            <v>14</v>
          </cell>
        </row>
        <row r="201">
          <cell r="B201">
            <v>196</v>
          </cell>
          <cell r="C201" t="str">
            <v>VP用鋳鉄異形管被覆工</v>
          </cell>
          <cell r="D201" t="str">
            <v>1ヶ所当り</v>
          </cell>
          <cell r="E201" t="str">
            <v>Ｔ字管</v>
          </cell>
          <cell r="F201" t="str">
            <v>VP用鋳鉄異形管被覆工Ｔ字管</v>
          </cell>
          <cell r="G201" t="str">
            <v>φ150</v>
          </cell>
          <cell r="H201" t="str">
            <v>ヶ所</v>
          </cell>
          <cell r="I201">
            <v>336</v>
          </cell>
          <cell r="J201">
            <v>6.4</v>
          </cell>
          <cell r="K201">
            <v>2</v>
          </cell>
          <cell r="L201">
            <v>0.08</v>
          </cell>
          <cell r="Q201">
            <v>14</v>
          </cell>
        </row>
        <row r="202">
          <cell r="B202">
            <v>197</v>
          </cell>
          <cell r="C202" t="str">
            <v>VP用鋳鉄異形管被覆工</v>
          </cell>
          <cell r="D202" t="str">
            <v>1ヶ所当り</v>
          </cell>
          <cell r="E202" t="str">
            <v>曲管</v>
          </cell>
          <cell r="F202" t="str">
            <v>VP用鋳鉄異形管被覆工曲管</v>
          </cell>
          <cell r="G202" t="str">
            <v>φ75</v>
          </cell>
          <cell r="H202" t="str">
            <v>ヶ所</v>
          </cell>
          <cell r="I202">
            <v>158</v>
          </cell>
          <cell r="J202">
            <v>2.8</v>
          </cell>
          <cell r="K202">
            <v>2</v>
          </cell>
          <cell r="L202">
            <v>0.05</v>
          </cell>
          <cell r="Q202">
            <v>14</v>
          </cell>
        </row>
        <row r="203">
          <cell r="B203">
            <v>198</v>
          </cell>
          <cell r="C203" t="str">
            <v>VP用鋳鉄異形管被覆工</v>
          </cell>
          <cell r="D203" t="str">
            <v>1ヶ所当り</v>
          </cell>
          <cell r="E203" t="str">
            <v>曲管</v>
          </cell>
          <cell r="F203" t="str">
            <v>VP用鋳鉄異形管被覆工曲管</v>
          </cell>
          <cell r="G203" t="str">
            <v>φ100</v>
          </cell>
          <cell r="H203" t="str">
            <v>ヶ所</v>
          </cell>
          <cell r="I203">
            <v>191</v>
          </cell>
          <cell r="J203">
            <v>3.8</v>
          </cell>
          <cell r="K203">
            <v>2</v>
          </cell>
          <cell r="L203">
            <v>0.06</v>
          </cell>
          <cell r="Q203">
            <v>14</v>
          </cell>
        </row>
        <row r="204">
          <cell r="B204">
            <v>199</v>
          </cell>
          <cell r="C204" t="str">
            <v>VP用鋳鉄異形管被覆工</v>
          </cell>
          <cell r="D204" t="str">
            <v>1ヶ所当り</v>
          </cell>
          <cell r="E204" t="str">
            <v>曲管</v>
          </cell>
          <cell r="F204" t="str">
            <v>VP用鋳鉄異形管被覆工曲管</v>
          </cell>
          <cell r="G204" t="str">
            <v>φ150</v>
          </cell>
          <cell r="H204" t="str">
            <v>ヶ所</v>
          </cell>
          <cell r="I204">
            <v>294</v>
          </cell>
          <cell r="J204">
            <v>5.4</v>
          </cell>
          <cell r="K204">
            <v>2</v>
          </cell>
          <cell r="L204">
            <v>7.0000000000000007E-2</v>
          </cell>
          <cell r="Q204">
            <v>14</v>
          </cell>
        </row>
        <row r="205">
          <cell r="B205">
            <v>200</v>
          </cell>
          <cell r="C205" t="str">
            <v>VP用鋳鉄異形管被覆工</v>
          </cell>
          <cell r="D205" t="str">
            <v>1ヶ所当り</v>
          </cell>
          <cell r="E205" t="str">
            <v>片落管</v>
          </cell>
          <cell r="F205" t="str">
            <v>VP用鋳鉄異形管被覆工片落管</v>
          </cell>
          <cell r="G205" t="str">
            <v>φ75</v>
          </cell>
          <cell r="H205" t="str">
            <v>ヶ所</v>
          </cell>
          <cell r="I205">
            <v>94</v>
          </cell>
          <cell r="J205">
            <v>2.2000000000000002</v>
          </cell>
          <cell r="K205">
            <v>2</v>
          </cell>
          <cell r="L205">
            <v>0.04</v>
          </cell>
          <cell r="Q205">
            <v>14</v>
          </cell>
        </row>
        <row r="206">
          <cell r="B206">
            <v>201</v>
          </cell>
          <cell r="C206" t="str">
            <v>VP用鋳鉄異形管被覆工</v>
          </cell>
          <cell r="D206" t="str">
            <v>1ヶ所当り</v>
          </cell>
          <cell r="E206" t="str">
            <v>片落管</v>
          </cell>
          <cell r="F206" t="str">
            <v>VP用鋳鉄異形管被覆工片落管</v>
          </cell>
          <cell r="G206" t="str">
            <v>φ100</v>
          </cell>
          <cell r="H206" t="str">
            <v>ヶ所</v>
          </cell>
          <cell r="I206">
            <v>121</v>
          </cell>
          <cell r="J206">
            <v>3</v>
          </cell>
          <cell r="K206">
            <v>2</v>
          </cell>
          <cell r="L206">
            <v>0.04</v>
          </cell>
          <cell r="Q206">
            <v>14</v>
          </cell>
        </row>
        <row r="207">
          <cell r="B207">
            <v>202</v>
          </cell>
          <cell r="C207" t="str">
            <v>VP用鋳鉄異形管被覆工</v>
          </cell>
          <cell r="D207" t="str">
            <v>1ヶ所当り</v>
          </cell>
          <cell r="E207" t="str">
            <v>片落管</v>
          </cell>
          <cell r="F207" t="str">
            <v>VP用鋳鉄異形管被覆工片落管</v>
          </cell>
          <cell r="G207" t="str">
            <v>φ150</v>
          </cell>
          <cell r="H207" t="str">
            <v>ヶ所</v>
          </cell>
          <cell r="I207">
            <v>210</v>
          </cell>
          <cell r="J207">
            <v>4.3</v>
          </cell>
          <cell r="K207">
            <v>2</v>
          </cell>
          <cell r="L207">
            <v>0.05</v>
          </cell>
          <cell r="Q207">
            <v>14</v>
          </cell>
        </row>
        <row r="208">
          <cell r="B208">
            <v>203</v>
          </cell>
          <cell r="C208" t="str">
            <v>VP用鋳鉄異形管被覆工</v>
          </cell>
          <cell r="D208" t="str">
            <v>1ヶ所当り</v>
          </cell>
          <cell r="E208" t="str">
            <v>Ｆ短管,ＤＪ</v>
          </cell>
          <cell r="F208" t="str">
            <v>VP用鋳鉄異形管被覆工Ｆ短管,ＤＪ</v>
          </cell>
          <cell r="G208" t="str">
            <v>φ75</v>
          </cell>
          <cell r="H208" t="str">
            <v>ヶ所</v>
          </cell>
          <cell r="I208">
            <v>63</v>
          </cell>
          <cell r="J208">
            <v>1.7</v>
          </cell>
          <cell r="K208">
            <v>2</v>
          </cell>
          <cell r="L208">
            <v>0.03</v>
          </cell>
          <cell r="Q208">
            <v>14</v>
          </cell>
        </row>
        <row r="209">
          <cell r="B209">
            <v>204</v>
          </cell>
          <cell r="C209" t="str">
            <v>VP用鋳鉄異形管被覆工</v>
          </cell>
          <cell r="D209" t="str">
            <v>1ヶ所当り</v>
          </cell>
          <cell r="E209" t="str">
            <v>Ｆ短管,ＤＪ</v>
          </cell>
          <cell r="F209" t="str">
            <v>VP用鋳鉄異形管被覆工Ｆ短管,ＤＪ</v>
          </cell>
          <cell r="G209" t="str">
            <v>φ100</v>
          </cell>
          <cell r="H209" t="str">
            <v>ヶ所</v>
          </cell>
          <cell r="I209">
            <v>69</v>
          </cell>
          <cell r="J209">
            <v>2.2999999999999998</v>
          </cell>
          <cell r="K209">
            <v>2</v>
          </cell>
          <cell r="L209">
            <v>0.03</v>
          </cell>
          <cell r="Q209">
            <v>14</v>
          </cell>
        </row>
        <row r="210">
          <cell r="B210">
            <v>205</v>
          </cell>
          <cell r="C210" t="str">
            <v>VP用鋳鉄異形管被覆工</v>
          </cell>
          <cell r="D210" t="str">
            <v>1ヶ所当り</v>
          </cell>
          <cell r="E210" t="str">
            <v>Ｆ短管,ＤＪ</v>
          </cell>
          <cell r="F210" t="str">
            <v>VP用鋳鉄異形管被覆工Ｆ短管,ＤＪ</v>
          </cell>
          <cell r="G210" t="str">
            <v>φ150</v>
          </cell>
          <cell r="H210" t="str">
            <v>ヶ所</v>
          </cell>
          <cell r="I210">
            <v>105</v>
          </cell>
          <cell r="J210">
            <v>3.2</v>
          </cell>
          <cell r="K210">
            <v>2</v>
          </cell>
          <cell r="L210">
            <v>0.04</v>
          </cell>
          <cell r="Q210">
            <v>14</v>
          </cell>
        </row>
        <row r="211">
          <cell r="B211">
            <v>206</v>
          </cell>
          <cell r="C211" t="str">
            <v>鋳鉄継手取外し工</v>
          </cell>
          <cell r="D211" t="str">
            <v>1口当り</v>
          </cell>
          <cell r="F211" t="str">
            <v>鋳鉄継手取外し工</v>
          </cell>
          <cell r="G211" t="str">
            <v>φ75</v>
          </cell>
          <cell r="H211" t="str">
            <v>口</v>
          </cell>
          <cell r="I211">
            <v>0.04</v>
          </cell>
          <cell r="J211">
            <v>0.04</v>
          </cell>
          <cell r="O211">
            <v>26</v>
          </cell>
          <cell r="P211">
            <v>59</v>
          </cell>
          <cell r="Q211">
            <v>10</v>
          </cell>
        </row>
        <row r="212">
          <cell r="B212">
            <v>207</v>
          </cell>
          <cell r="C212" t="str">
            <v>鋳鉄継手取外し工</v>
          </cell>
          <cell r="D212" t="str">
            <v>1口当り</v>
          </cell>
          <cell r="F212" t="str">
            <v>鋳鉄継手取外し工</v>
          </cell>
          <cell r="G212" t="str">
            <v>φ100</v>
          </cell>
          <cell r="H212" t="str">
            <v>口</v>
          </cell>
          <cell r="I212">
            <v>0.05</v>
          </cell>
          <cell r="J212">
            <v>0.05</v>
          </cell>
          <cell r="Q212">
            <v>10</v>
          </cell>
        </row>
        <row r="213">
          <cell r="B213">
            <v>208</v>
          </cell>
          <cell r="C213" t="str">
            <v>鋳鉄継手取外し工</v>
          </cell>
          <cell r="D213" t="str">
            <v>1口当り</v>
          </cell>
          <cell r="F213" t="str">
            <v>鋳鉄継手取外し工</v>
          </cell>
          <cell r="G213" t="str">
            <v>φ125</v>
          </cell>
          <cell r="H213" t="str">
            <v>口</v>
          </cell>
          <cell r="I213">
            <v>0.05</v>
          </cell>
          <cell r="J213">
            <v>0.05</v>
          </cell>
          <cell r="Q213">
            <v>10</v>
          </cell>
        </row>
        <row r="214">
          <cell r="B214">
            <v>209</v>
          </cell>
          <cell r="C214" t="str">
            <v>鋳鉄継手取外し工</v>
          </cell>
          <cell r="D214" t="str">
            <v>1口当り</v>
          </cell>
          <cell r="F214" t="str">
            <v>鋳鉄継手取外し工</v>
          </cell>
          <cell r="G214" t="str">
            <v>φ150</v>
          </cell>
          <cell r="H214" t="str">
            <v>口</v>
          </cell>
          <cell r="I214">
            <v>7.0000000000000007E-2</v>
          </cell>
          <cell r="J214">
            <v>7.0000000000000007E-2</v>
          </cell>
          <cell r="Q214">
            <v>10</v>
          </cell>
        </row>
        <row r="215">
          <cell r="B215">
            <v>210</v>
          </cell>
          <cell r="C215" t="str">
            <v>鋳鉄継手取外し工</v>
          </cell>
          <cell r="D215" t="str">
            <v>1口当り</v>
          </cell>
          <cell r="F215" t="str">
            <v>鋳鉄継手取外し工</v>
          </cell>
          <cell r="G215" t="str">
            <v>φ200</v>
          </cell>
          <cell r="H215" t="str">
            <v>口</v>
          </cell>
          <cell r="I215">
            <v>0.08</v>
          </cell>
          <cell r="J215">
            <v>0.08</v>
          </cell>
          <cell r="Q215">
            <v>10</v>
          </cell>
        </row>
        <row r="216">
          <cell r="B216">
            <v>211</v>
          </cell>
          <cell r="C216" t="str">
            <v>鋳鉄継手取外し工</v>
          </cell>
          <cell r="D216" t="str">
            <v>1口当り</v>
          </cell>
          <cell r="F216" t="str">
            <v>鋳鉄継手取外し工</v>
          </cell>
          <cell r="G216" t="str">
            <v>φ250</v>
          </cell>
          <cell r="H216" t="str">
            <v>口</v>
          </cell>
          <cell r="I216">
            <v>0.11</v>
          </cell>
          <cell r="J216">
            <v>0.11</v>
          </cell>
          <cell r="Q216">
            <v>10</v>
          </cell>
        </row>
        <row r="217">
          <cell r="B217">
            <v>212</v>
          </cell>
          <cell r="C217" t="str">
            <v>通水試験工</v>
          </cell>
          <cell r="D217" t="str">
            <v>1日当り</v>
          </cell>
          <cell r="E217" t="str">
            <v>給水車不要</v>
          </cell>
          <cell r="F217" t="str">
            <v>通水試験工給水車不要</v>
          </cell>
          <cell r="H217" t="str">
            <v>ｍ</v>
          </cell>
          <cell r="I217">
            <v>3</v>
          </cell>
          <cell r="J217">
            <v>3</v>
          </cell>
          <cell r="K217">
            <v>20</v>
          </cell>
          <cell r="M217">
            <v>1000</v>
          </cell>
          <cell r="O217">
            <v>27</v>
          </cell>
          <cell r="P217">
            <v>171</v>
          </cell>
          <cell r="Q217">
            <v>15</v>
          </cell>
        </row>
        <row r="218">
          <cell r="B218">
            <v>213</v>
          </cell>
          <cell r="C218" t="str">
            <v>分岐ｻﾄﾞﾙ取付工</v>
          </cell>
          <cell r="D218" t="str">
            <v>1箇所当り</v>
          </cell>
          <cell r="E218" t="str">
            <v>DIPφ75～150</v>
          </cell>
          <cell r="F218" t="str">
            <v>分岐ｻﾄﾞﾙ取付工DIPφ75～150</v>
          </cell>
          <cell r="G218" t="str">
            <v>φ13</v>
          </cell>
          <cell r="H218" t="str">
            <v>個所</v>
          </cell>
          <cell r="I218">
            <v>7.0000000000000007E-2</v>
          </cell>
          <cell r="J218">
            <v>7.0000000000000007E-2</v>
          </cell>
          <cell r="O218">
            <v>28</v>
          </cell>
          <cell r="P218">
            <v>184</v>
          </cell>
          <cell r="Q218">
            <v>10</v>
          </cell>
        </row>
        <row r="219">
          <cell r="B219">
            <v>214</v>
          </cell>
          <cell r="C219" t="str">
            <v>分岐ｻﾄﾞﾙ取付工</v>
          </cell>
          <cell r="D219" t="str">
            <v>1箇所当り</v>
          </cell>
          <cell r="E219" t="str">
            <v>DIPφ75～150</v>
          </cell>
          <cell r="F219" t="str">
            <v>分岐ｻﾄﾞﾙ取付工DIPφ75～150</v>
          </cell>
          <cell r="G219" t="str">
            <v>φ20</v>
          </cell>
          <cell r="H219" t="str">
            <v>個所</v>
          </cell>
          <cell r="I219">
            <v>0.08</v>
          </cell>
          <cell r="J219">
            <v>0.08</v>
          </cell>
          <cell r="Q219">
            <v>10</v>
          </cell>
        </row>
        <row r="220">
          <cell r="B220">
            <v>215</v>
          </cell>
          <cell r="C220" t="str">
            <v>分岐ｻﾄﾞﾙ取付工</v>
          </cell>
          <cell r="D220" t="str">
            <v>1箇所当り</v>
          </cell>
          <cell r="E220" t="str">
            <v>DIPφ75～150</v>
          </cell>
          <cell r="F220" t="str">
            <v>分岐ｻﾄﾞﾙ取付工DIPφ75～150</v>
          </cell>
          <cell r="G220" t="str">
            <v>φ25</v>
          </cell>
          <cell r="H220" t="str">
            <v>個所</v>
          </cell>
          <cell r="I220">
            <v>0.09</v>
          </cell>
          <cell r="J220">
            <v>0.09</v>
          </cell>
          <cell r="Q220">
            <v>10</v>
          </cell>
        </row>
        <row r="221">
          <cell r="B221">
            <v>216</v>
          </cell>
          <cell r="C221" t="str">
            <v>分岐ｻﾄﾞﾙ取付工</v>
          </cell>
          <cell r="D221" t="str">
            <v>1箇所当り</v>
          </cell>
          <cell r="E221" t="str">
            <v>DIPφ75～150</v>
          </cell>
          <cell r="F221" t="str">
            <v>分岐ｻﾄﾞﾙ取付工DIPφ75～150</v>
          </cell>
          <cell r="G221" t="str">
            <v>φ30</v>
          </cell>
          <cell r="H221" t="str">
            <v>個所</v>
          </cell>
          <cell r="I221">
            <v>0.1</v>
          </cell>
          <cell r="J221">
            <v>0.1</v>
          </cell>
          <cell r="Q221">
            <v>10</v>
          </cell>
        </row>
        <row r="222">
          <cell r="B222">
            <v>217</v>
          </cell>
          <cell r="C222" t="str">
            <v>分岐ｻﾄﾞﾙ取付工</v>
          </cell>
          <cell r="D222" t="str">
            <v>1箇所当り</v>
          </cell>
          <cell r="E222" t="str">
            <v>DIPφ75～150</v>
          </cell>
          <cell r="F222" t="str">
            <v>分岐ｻﾄﾞﾙ取付工DIPφ75～150</v>
          </cell>
          <cell r="G222" t="str">
            <v>φ40</v>
          </cell>
          <cell r="H222" t="str">
            <v>個所</v>
          </cell>
          <cell r="I222">
            <v>0.11</v>
          </cell>
          <cell r="J222">
            <v>0.11</v>
          </cell>
          <cell r="Q222">
            <v>10</v>
          </cell>
        </row>
        <row r="223">
          <cell r="B223">
            <v>218</v>
          </cell>
          <cell r="C223" t="str">
            <v>分岐ｻﾄﾞﾙ取付工</v>
          </cell>
          <cell r="D223" t="str">
            <v>1箇所当り</v>
          </cell>
          <cell r="E223" t="str">
            <v>DIPφ75～150</v>
          </cell>
          <cell r="F223" t="str">
            <v>分岐ｻﾄﾞﾙ取付工DIPφ75～150</v>
          </cell>
          <cell r="G223" t="str">
            <v>φ50</v>
          </cell>
          <cell r="H223" t="str">
            <v>個所</v>
          </cell>
          <cell r="I223">
            <v>0.12</v>
          </cell>
          <cell r="J223">
            <v>0.12</v>
          </cell>
          <cell r="Q223">
            <v>10</v>
          </cell>
        </row>
        <row r="224">
          <cell r="B224">
            <v>219</v>
          </cell>
          <cell r="C224" t="str">
            <v>分岐ｻﾄﾞﾙ取付工</v>
          </cell>
          <cell r="D224" t="str">
            <v>1箇所当り</v>
          </cell>
          <cell r="E224" t="str">
            <v>DIPφ200～250</v>
          </cell>
          <cell r="F224" t="str">
            <v>分岐ｻﾄﾞﾙ取付工DIPφ200～250</v>
          </cell>
          <cell r="G224" t="str">
            <v>φ13</v>
          </cell>
          <cell r="H224" t="str">
            <v>個所</v>
          </cell>
          <cell r="I224">
            <v>0.08</v>
          </cell>
          <cell r="J224">
            <v>0.08</v>
          </cell>
          <cell r="Q224">
            <v>10</v>
          </cell>
        </row>
        <row r="225">
          <cell r="B225">
            <v>220</v>
          </cell>
          <cell r="C225" t="str">
            <v>分岐ｻﾄﾞﾙ取付工</v>
          </cell>
          <cell r="D225" t="str">
            <v>1箇所当り</v>
          </cell>
          <cell r="E225" t="str">
            <v>DIPφ200～250</v>
          </cell>
          <cell r="F225" t="str">
            <v>分岐ｻﾄﾞﾙ取付工DIPφ200～250</v>
          </cell>
          <cell r="G225" t="str">
            <v>φ20</v>
          </cell>
          <cell r="H225" t="str">
            <v>個所</v>
          </cell>
          <cell r="I225">
            <v>0.09</v>
          </cell>
          <cell r="J225">
            <v>0.09</v>
          </cell>
          <cell r="Q225">
            <v>10</v>
          </cell>
        </row>
        <row r="226">
          <cell r="B226">
            <v>221</v>
          </cell>
          <cell r="C226" t="str">
            <v>分岐ｻﾄﾞﾙ取付工</v>
          </cell>
          <cell r="D226" t="str">
            <v>1箇所当り</v>
          </cell>
          <cell r="E226" t="str">
            <v>DIPφ200～250</v>
          </cell>
          <cell r="F226" t="str">
            <v>分岐ｻﾄﾞﾙ取付工DIPφ200～250</v>
          </cell>
          <cell r="G226" t="str">
            <v>φ25</v>
          </cell>
          <cell r="H226" t="str">
            <v>個所</v>
          </cell>
          <cell r="I226">
            <v>0.1</v>
          </cell>
          <cell r="J226">
            <v>0.1</v>
          </cell>
          <cell r="Q226">
            <v>10</v>
          </cell>
        </row>
        <row r="227">
          <cell r="B227">
            <v>222</v>
          </cell>
          <cell r="C227" t="str">
            <v>分岐ｻﾄﾞﾙ取付工</v>
          </cell>
          <cell r="D227" t="str">
            <v>1箇所当り</v>
          </cell>
          <cell r="E227" t="str">
            <v>DIPφ200～250</v>
          </cell>
          <cell r="F227" t="str">
            <v>分岐ｻﾄﾞﾙ取付工DIPφ200～250</v>
          </cell>
          <cell r="G227" t="str">
            <v>φ30</v>
          </cell>
          <cell r="H227" t="str">
            <v>個所</v>
          </cell>
          <cell r="I227">
            <v>0.11</v>
          </cell>
          <cell r="J227">
            <v>0.11</v>
          </cell>
          <cell r="Q227">
            <v>10</v>
          </cell>
        </row>
        <row r="228">
          <cell r="B228">
            <v>223</v>
          </cell>
          <cell r="C228" t="str">
            <v>分岐ｻﾄﾞﾙ取付工</v>
          </cell>
          <cell r="D228" t="str">
            <v>1箇所当り</v>
          </cell>
          <cell r="E228" t="str">
            <v>DIPφ200～250</v>
          </cell>
          <cell r="F228" t="str">
            <v>分岐ｻﾄﾞﾙ取付工DIPφ200～250</v>
          </cell>
          <cell r="G228" t="str">
            <v>φ40</v>
          </cell>
          <cell r="H228" t="str">
            <v>個所</v>
          </cell>
          <cell r="I228">
            <v>0.12</v>
          </cell>
          <cell r="J228">
            <v>0.12</v>
          </cell>
          <cell r="Q228">
            <v>10</v>
          </cell>
        </row>
        <row r="229">
          <cell r="B229">
            <v>224</v>
          </cell>
          <cell r="C229" t="str">
            <v>分岐ｻﾄﾞﾙ取付工</v>
          </cell>
          <cell r="D229" t="str">
            <v>1箇所当り</v>
          </cell>
          <cell r="E229" t="str">
            <v>DIPφ200～250</v>
          </cell>
          <cell r="F229" t="str">
            <v>分岐ｻﾄﾞﾙ取付工DIPφ200～250</v>
          </cell>
          <cell r="G229" t="str">
            <v>φ50</v>
          </cell>
          <cell r="H229" t="str">
            <v>個所</v>
          </cell>
          <cell r="I229">
            <v>0.13</v>
          </cell>
          <cell r="J229">
            <v>0.13</v>
          </cell>
          <cell r="Q229">
            <v>10</v>
          </cell>
        </row>
        <row r="230">
          <cell r="B230">
            <v>225</v>
          </cell>
          <cell r="C230" t="str">
            <v>分岐ｻﾄﾞﾙ取付工</v>
          </cell>
          <cell r="D230" t="str">
            <v>1箇所当り</v>
          </cell>
          <cell r="E230" t="str">
            <v xml:space="preserve">DIPφ300～400 </v>
          </cell>
          <cell r="F230" t="str">
            <v xml:space="preserve">分岐ｻﾄﾞﾙ取付工DIPφ300～400 </v>
          </cell>
          <cell r="G230" t="str">
            <v>φ13</v>
          </cell>
          <cell r="H230" t="str">
            <v>個所</v>
          </cell>
          <cell r="I230">
            <v>0.09</v>
          </cell>
          <cell r="J230">
            <v>0.09</v>
          </cell>
          <cell r="Q230">
            <v>10</v>
          </cell>
        </row>
        <row r="231">
          <cell r="B231">
            <v>226</v>
          </cell>
          <cell r="C231" t="str">
            <v>分岐ｻﾄﾞﾙ取付工</v>
          </cell>
          <cell r="D231" t="str">
            <v>1箇所当り</v>
          </cell>
          <cell r="E231" t="str">
            <v xml:space="preserve">DIPφ300～400 </v>
          </cell>
          <cell r="F231" t="str">
            <v xml:space="preserve">分岐ｻﾄﾞﾙ取付工DIPφ300～400 </v>
          </cell>
          <cell r="G231" t="str">
            <v>φ20</v>
          </cell>
          <cell r="H231" t="str">
            <v>個所</v>
          </cell>
          <cell r="I231">
            <v>0.1</v>
          </cell>
          <cell r="J231">
            <v>0.1</v>
          </cell>
          <cell r="Q231">
            <v>10</v>
          </cell>
        </row>
        <row r="232">
          <cell r="B232">
            <v>227</v>
          </cell>
          <cell r="C232" t="str">
            <v>分岐ｻﾄﾞﾙ取付工</v>
          </cell>
          <cell r="D232" t="str">
            <v>1箇所当り</v>
          </cell>
          <cell r="E232" t="str">
            <v xml:space="preserve">DIPφ300～400 </v>
          </cell>
          <cell r="F232" t="str">
            <v xml:space="preserve">分岐ｻﾄﾞﾙ取付工DIPφ300～400 </v>
          </cell>
          <cell r="G232" t="str">
            <v>φ25</v>
          </cell>
          <cell r="H232" t="str">
            <v>個所</v>
          </cell>
          <cell r="I232">
            <v>0.11</v>
          </cell>
          <cell r="J232">
            <v>0.11</v>
          </cell>
          <cell r="Q232">
            <v>10</v>
          </cell>
        </row>
        <row r="233">
          <cell r="B233">
            <v>228</v>
          </cell>
          <cell r="C233" t="str">
            <v>分岐ｻﾄﾞﾙ取付工</v>
          </cell>
          <cell r="D233" t="str">
            <v>1箇所当り</v>
          </cell>
          <cell r="E233" t="str">
            <v xml:space="preserve">DIPφ300～400 </v>
          </cell>
          <cell r="F233" t="str">
            <v xml:space="preserve">分岐ｻﾄﾞﾙ取付工DIPφ300～400 </v>
          </cell>
          <cell r="G233" t="str">
            <v>φ30</v>
          </cell>
          <cell r="H233" t="str">
            <v>個所</v>
          </cell>
          <cell r="I233">
            <v>0.12</v>
          </cell>
          <cell r="J233">
            <v>0.12</v>
          </cell>
          <cell r="Q233">
            <v>10</v>
          </cell>
        </row>
        <row r="234">
          <cell r="B234">
            <v>229</v>
          </cell>
          <cell r="C234" t="str">
            <v>分岐ｻﾄﾞﾙ取付工</v>
          </cell>
          <cell r="D234" t="str">
            <v>1箇所当り</v>
          </cell>
          <cell r="E234" t="str">
            <v xml:space="preserve">DIPφ300～400 </v>
          </cell>
          <cell r="F234" t="str">
            <v xml:space="preserve">分岐ｻﾄﾞﾙ取付工DIPφ300～400 </v>
          </cell>
          <cell r="G234" t="str">
            <v>φ40</v>
          </cell>
          <cell r="H234" t="str">
            <v>個所</v>
          </cell>
          <cell r="I234">
            <v>0.13</v>
          </cell>
          <cell r="J234">
            <v>0.13</v>
          </cell>
          <cell r="Q234">
            <v>10</v>
          </cell>
        </row>
        <row r="235">
          <cell r="B235">
            <v>230</v>
          </cell>
          <cell r="C235" t="str">
            <v>分岐ｻﾄﾞﾙ取付工</v>
          </cell>
          <cell r="D235" t="str">
            <v>1箇所当り</v>
          </cell>
          <cell r="E235" t="str">
            <v xml:space="preserve">DIPφ300～400 </v>
          </cell>
          <cell r="F235" t="str">
            <v xml:space="preserve">分岐ｻﾄﾞﾙ取付工DIPφ300～400 </v>
          </cell>
          <cell r="G235" t="str">
            <v>φ50</v>
          </cell>
          <cell r="H235" t="str">
            <v>個所</v>
          </cell>
          <cell r="I235">
            <v>0.14000000000000001</v>
          </cell>
          <cell r="J235">
            <v>0.14000000000000001</v>
          </cell>
          <cell r="Q235">
            <v>10</v>
          </cell>
        </row>
        <row r="236">
          <cell r="B236">
            <v>231</v>
          </cell>
          <cell r="C236" t="str">
            <v>分岐ｻﾄﾞﾙ取付工</v>
          </cell>
          <cell r="D236" t="str">
            <v>1箇所当り</v>
          </cell>
          <cell r="E236" t="str">
            <v>VP,PPφ50</v>
          </cell>
          <cell r="F236" t="str">
            <v>分岐ｻﾄﾞﾙ取付工VP,PPφ50</v>
          </cell>
          <cell r="G236" t="str">
            <v>φ13</v>
          </cell>
          <cell r="H236" t="str">
            <v>個所</v>
          </cell>
          <cell r="I236">
            <v>0.05</v>
          </cell>
          <cell r="J236">
            <v>0.05</v>
          </cell>
          <cell r="Q236">
            <v>10</v>
          </cell>
        </row>
        <row r="237">
          <cell r="B237">
            <v>232</v>
          </cell>
          <cell r="C237" t="str">
            <v>分岐ｻﾄﾞﾙ取付工</v>
          </cell>
          <cell r="D237" t="str">
            <v>1箇所当り</v>
          </cell>
          <cell r="E237" t="str">
            <v>VP,PPφ50</v>
          </cell>
          <cell r="F237" t="str">
            <v>分岐ｻﾄﾞﾙ取付工VP,PPφ50</v>
          </cell>
          <cell r="G237" t="str">
            <v>φ20</v>
          </cell>
          <cell r="H237" t="str">
            <v>個所</v>
          </cell>
          <cell r="I237">
            <v>0.06</v>
          </cell>
          <cell r="J237">
            <v>0.06</v>
          </cell>
          <cell r="Q237">
            <v>10</v>
          </cell>
        </row>
        <row r="238">
          <cell r="B238">
            <v>233</v>
          </cell>
          <cell r="C238" t="str">
            <v>分岐ｻﾄﾞﾙ取付工</v>
          </cell>
          <cell r="D238" t="str">
            <v>1箇所当り</v>
          </cell>
          <cell r="E238" t="str">
            <v>VP,PPφ50</v>
          </cell>
          <cell r="F238" t="str">
            <v>分岐ｻﾄﾞﾙ取付工VP,PPφ50</v>
          </cell>
          <cell r="G238" t="str">
            <v>φ25</v>
          </cell>
          <cell r="H238" t="str">
            <v>個所</v>
          </cell>
          <cell r="I238">
            <v>7.0000000000000007E-2</v>
          </cell>
          <cell r="J238">
            <v>7.0000000000000007E-2</v>
          </cell>
          <cell r="Q238">
            <v>10</v>
          </cell>
        </row>
        <row r="239">
          <cell r="B239">
            <v>234</v>
          </cell>
          <cell r="C239" t="str">
            <v>分岐ｻﾄﾞﾙ取付工</v>
          </cell>
          <cell r="D239" t="str">
            <v>1箇所当り</v>
          </cell>
          <cell r="E239" t="str">
            <v>VP,PPφ75～100</v>
          </cell>
          <cell r="F239" t="str">
            <v>分岐ｻﾄﾞﾙ取付工VP,PPφ75～100</v>
          </cell>
          <cell r="G239" t="str">
            <v>φ13</v>
          </cell>
          <cell r="H239" t="str">
            <v>個所</v>
          </cell>
          <cell r="I239">
            <v>0.06</v>
          </cell>
          <cell r="J239">
            <v>0.06</v>
          </cell>
          <cell r="Q239">
            <v>10</v>
          </cell>
        </row>
        <row r="240">
          <cell r="B240">
            <v>235</v>
          </cell>
          <cell r="C240" t="str">
            <v>分岐ｻﾄﾞﾙ取付工</v>
          </cell>
          <cell r="D240" t="str">
            <v>1箇所当り</v>
          </cell>
          <cell r="E240" t="str">
            <v>VP,PPφ75～100</v>
          </cell>
          <cell r="F240" t="str">
            <v>分岐ｻﾄﾞﾙ取付工VP,PPφ75～100</v>
          </cell>
          <cell r="G240" t="str">
            <v>φ20</v>
          </cell>
          <cell r="H240" t="str">
            <v>個所</v>
          </cell>
          <cell r="I240">
            <v>7.0000000000000007E-2</v>
          </cell>
          <cell r="J240">
            <v>7.0000000000000007E-2</v>
          </cell>
          <cell r="Q240">
            <v>10</v>
          </cell>
        </row>
        <row r="241">
          <cell r="B241">
            <v>236</v>
          </cell>
          <cell r="C241" t="str">
            <v>分岐ｻﾄﾞﾙ取付工</v>
          </cell>
          <cell r="D241" t="str">
            <v>1箇所当り</v>
          </cell>
          <cell r="E241" t="str">
            <v>VP,PPφ75～100</v>
          </cell>
          <cell r="F241" t="str">
            <v>分岐ｻﾄﾞﾙ取付工VP,PPφ75～100</v>
          </cell>
          <cell r="G241" t="str">
            <v>φ25</v>
          </cell>
          <cell r="H241" t="str">
            <v>個所</v>
          </cell>
          <cell r="I241">
            <v>0.08</v>
          </cell>
          <cell r="J241">
            <v>0.08</v>
          </cell>
          <cell r="Q241">
            <v>10</v>
          </cell>
        </row>
        <row r="242">
          <cell r="B242">
            <v>237</v>
          </cell>
          <cell r="C242" t="str">
            <v>分岐ｻﾄﾞﾙ取付工</v>
          </cell>
          <cell r="D242" t="str">
            <v>1箇所当り</v>
          </cell>
          <cell r="E242" t="str">
            <v>VP,PPφ75～100</v>
          </cell>
          <cell r="F242" t="str">
            <v>分岐ｻﾄﾞﾙ取付工VP,PPφ75～100</v>
          </cell>
          <cell r="G242" t="str">
            <v>φ30</v>
          </cell>
          <cell r="H242" t="str">
            <v>個所</v>
          </cell>
          <cell r="I242">
            <v>0.09</v>
          </cell>
          <cell r="J242">
            <v>0.09</v>
          </cell>
          <cell r="Q242">
            <v>10</v>
          </cell>
        </row>
        <row r="243">
          <cell r="B243">
            <v>238</v>
          </cell>
          <cell r="C243" t="str">
            <v>分岐ｻﾄﾞﾙ取付工</v>
          </cell>
          <cell r="D243" t="str">
            <v>1箇所当り</v>
          </cell>
          <cell r="E243" t="str">
            <v>VP,PPφ75～100</v>
          </cell>
          <cell r="F243" t="str">
            <v>分岐ｻﾄﾞﾙ取付工VP,PPφ75～100</v>
          </cell>
          <cell r="G243" t="str">
            <v>φ40</v>
          </cell>
          <cell r="H243" t="str">
            <v>個所</v>
          </cell>
          <cell r="I243">
            <v>0.1</v>
          </cell>
          <cell r="J243">
            <v>0.1</v>
          </cell>
          <cell r="Q243">
            <v>10</v>
          </cell>
        </row>
        <row r="244">
          <cell r="B244">
            <v>239</v>
          </cell>
          <cell r="C244" t="str">
            <v>分岐ｻﾄﾞﾙ取付工</v>
          </cell>
          <cell r="D244" t="str">
            <v>1箇所当り</v>
          </cell>
          <cell r="E244" t="str">
            <v>VP,PPφ75～100</v>
          </cell>
          <cell r="F244" t="str">
            <v>分岐ｻﾄﾞﾙ取付工VP,PPφ75～100</v>
          </cell>
          <cell r="G244" t="str">
            <v>φ50</v>
          </cell>
          <cell r="H244" t="str">
            <v>個所</v>
          </cell>
          <cell r="I244">
            <v>0.11</v>
          </cell>
          <cell r="J244">
            <v>0.11</v>
          </cell>
          <cell r="Q244">
            <v>10</v>
          </cell>
        </row>
        <row r="245">
          <cell r="B245">
            <v>240</v>
          </cell>
          <cell r="C245" t="str">
            <v>分岐ｻﾄﾞﾙ取付工</v>
          </cell>
          <cell r="D245" t="str">
            <v>1箇所当り</v>
          </cell>
          <cell r="E245" t="str">
            <v>VP,PPφ125～200</v>
          </cell>
          <cell r="F245" t="str">
            <v>分岐ｻﾄﾞﾙ取付工VP,PPφ125～200</v>
          </cell>
          <cell r="G245" t="str">
            <v>φ13</v>
          </cell>
          <cell r="H245" t="str">
            <v>個所</v>
          </cell>
          <cell r="I245">
            <v>7.0000000000000007E-2</v>
          </cell>
          <cell r="J245">
            <v>7.0000000000000007E-2</v>
          </cell>
          <cell r="Q245">
            <v>10</v>
          </cell>
        </row>
        <row r="246">
          <cell r="B246">
            <v>241</v>
          </cell>
          <cell r="C246" t="str">
            <v>分岐ｻﾄﾞﾙ取付工</v>
          </cell>
          <cell r="D246" t="str">
            <v>1箇所当り</v>
          </cell>
          <cell r="E246" t="str">
            <v>VP,PPφ125～200</v>
          </cell>
          <cell r="F246" t="str">
            <v>分岐ｻﾄﾞﾙ取付工VP,PPφ125～200</v>
          </cell>
          <cell r="G246" t="str">
            <v>φ20</v>
          </cell>
          <cell r="H246" t="str">
            <v>個所</v>
          </cell>
          <cell r="I246">
            <v>0.08</v>
          </cell>
          <cell r="J246">
            <v>0.08</v>
          </cell>
          <cell r="Q246">
            <v>10</v>
          </cell>
        </row>
        <row r="247">
          <cell r="B247">
            <v>242</v>
          </cell>
          <cell r="C247" t="str">
            <v>分岐ｻﾄﾞﾙ取付工</v>
          </cell>
          <cell r="D247" t="str">
            <v>1箇所当り</v>
          </cell>
          <cell r="E247" t="str">
            <v>VP,PPφ125～200</v>
          </cell>
          <cell r="F247" t="str">
            <v>分岐ｻﾄﾞﾙ取付工VP,PPφ125～200</v>
          </cell>
          <cell r="G247" t="str">
            <v>φ25</v>
          </cell>
          <cell r="H247" t="str">
            <v>個所</v>
          </cell>
          <cell r="I247">
            <v>0.09</v>
          </cell>
          <cell r="J247">
            <v>0.09</v>
          </cell>
          <cell r="Q247">
            <v>10</v>
          </cell>
        </row>
        <row r="248">
          <cell r="B248">
            <v>243</v>
          </cell>
          <cell r="C248" t="str">
            <v>分岐ｻﾄﾞﾙ取付工</v>
          </cell>
          <cell r="D248" t="str">
            <v>1箇所当り</v>
          </cell>
          <cell r="E248" t="str">
            <v>VP,PPφ125～200</v>
          </cell>
          <cell r="F248" t="str">
            <v>分岐ｻﾄﾞﾙ取付工VP,PPφ125～200</v>
          </cell>
          <cell r="G248" t="str">
            <v>φ30</v>
          </cell>
          <cell r="H248" t="str">
            <v>個所</v>
          </cell>
          <cell r="I248">
            <v>0.1</v>
          </cell>
          <cell r="J248">
            <v>0.1</v>
          </cell>
          <cell r="Q248">
            <v>10</v>
          </cell>
        </row>
        <row r="249">
          <cell r="B249">
            <v>244</v>
          </cell>
          <cell r="C249" t="str">
            <v>分岐ｻﾄﾞﾙ取付工</v>
          </cell>
          <cell r="D249" t="str">
            <v>1箇所当り</v>
          </cell>
          <cell r="E249" t="str">
            <v>VP,PPφ125～200</v>
          </cell>
          <cell r="F249" t="str">
            <v>分岐ｻﾄﾞﾙ取付工VP,PPφ125～200</v>
          </cell>
          <cell r="G249" t="str">
            <v>φ40</v>
          </cell>
          <cell r="H249" t="str">
            <v>個所</v>
          </cell>
          <cell r="I249">
            <v>0.11</v>
          </cell>
          <cell r="J249">
            <v>0.11</v>
          </cell>
          <cell r="Q249">
            <v>10</v>
          </cell>
        </row>
        <row r="250">
          <cell r="B250">
            <v>245</v>
          </cell>
          <cell r="C250" t="str">
            <v>分岐ｻﾄﾞﾙ取付工</v>
          </cell>
          <cell r="D250" t="str">
            <v>1箇所当り</v>
          </cell>
          <cell r="E250" t="str">
            <v>VP,PPφ125～200</v>
          </cell>
          <cell r="F250" t="str">
            <v>分岐ｻﾄﾞﾙ取付工VP,PPφ125～200</v>
          </cell>
          <cell r="G250" t="str">
            <v>φ50</v>
          </cell>
          <cell r="H250" t="str">
            <v>個所</v>
          </cell>
          <cell r="I250">
            <v>0.12</v>
          </cell>
          <cell r="J250">
            <v>0.12</v>
          </cell>
          <cell r="Q250">
            <v>10</v>
          </cell>
        </row>
        <row r="251">
          <cell r="B251">
            <v>246</v>
          </cell>
          <cell r="C251" t="str">
            <v>止水栓取付工</v>
          </cell>
          <cell r="D251" t="str">
            <v>1箇所当り</v>
          </cell>
          <cell r="E251" t="str">
            <v>PP用</v>
          </cell>
          <cell r="F251" t="str">
            <v>止水栓取付工PP用</v>
          </cell>
          <cell r="G251" t="str">
            <v>φ13</v>
          </cell>
          <cell r="H251" t="str">
            <v>個所</v>
          </cell>
          <cell r="I251">
            <v>0.04</v>
          </cell>
          <cell r="J251">
            <v>0.02</v>
          </cell>
          <cell r="O251">
            <v>29</v>
          </cell>
          <cell r="P251">
            <v>184</v>
          </cell>
          <cell r="Q251">
            <v>10</v>
          </cell>
        </row>
        <row r="252">
          <cell r="B252">
            <v>247</v>
          </cell>
          <cell r="C252" t="str">
            <v>止水栓取付工</v>
          </cell>
          <cell r="D252" t="str">
            <v>1箇所当り</v>
          </cell>
          <cell r="E252" t="str">
            <v>PP用</v>
          </cell>
          <cell r="F252" t="str">
            <v>止水栓取付工PP用</v>
          </cell>
          <cell r="G252" t="str">
            <v>φ20</v>
          </cell>
          <cell r="H252" t="str">
            <v>個所</v>
          </cell>
          <cell r="I252">
            <v>0.05</v>
          </cell>
          <cell r="J252">
            <v>0.02</v>
          </cell>
          <cell r="Q252">
            <v>10</v>
          </cell>
        </row>
        <row r="253">
          <cell r="B253">
            <v>248</v>
          </cell>
          <cell r="C253" t="str">
            <v>止水栓取付工</v>
          </cell>
          <cell r="D253" t="str">
            <v>1箇所当り</v>
          </cell>
          <cell r="E253" t="str">
            <v>PP用</v>
          </cell>
          <cell r="F253" t="str">
            <v>止水栓取付工PP用</v>
          </cell>
          <cell r="G253" t="str">
            <v>φ25</v>
          </cell>
          <cell r="H253" t="str">
            <v>個所</v>
          </cell>
          <cell r="I253">
            <v>0.06</v>
          </cell>
          <cell r="J253">
            <v>0.04</v>
          </cell>
          <cell r="Q253">
            <v>10</v>
          </cell>
        </row>
        <row r="254">
          <cell r="B254">
            <v>249</v>
          </cell>
          <cell r="C254" t="str">
            <v>止水栓取付工</v>
          </cell>
          <cell r="D254" t="str">
            <v>1箇所当り</v>
          </cell>
          <cell r="E254" t="str">
            <v>PP用</v>
          </cell>
          <cell r="F254" t="str">
            <v>止水栓取付工PP用</v>
          </cell>
          <cell r="G254" t="str">
            <v>φ25</v>
          </cell>
          <cell r="H254" t="str">
            <v>個所</v>
          </cell>
          <cell r="I254">
            <v>0.08</v>
          </cell>
          <cell r="J254">
            <v>0.04</v>
          </cell>
          <cell r="Q254">
            <v>10</v>
          </cell>
        </row>
        <row r="255">
          <cell r="B255">
            <v>250</v>
          </cell>
          <cell r="C255" t="str">
            <v>止水栓取付工</v>
          </cell>
          <cell r="D255" t="str">
            <v>1箇所当り</v>
          </cell>
          <cell r="E255" t="str">
            <v>PP用</v>
          </cell>
          <cell r="F255" t="str">
            <v>止水栓取付工PP用</v>
          </cell>
          <cell r="G255" t="str">
            <v>φ25</v>
          </cell>
          <cell r="H255" t="str">
            <v>個所</v>
          </cell>
          <cell r="I255">
            <v>0.08</v>
          </cell>
          <cell r="J255">
            <v>0.05</v>
          </cell>
          <cell r="Q255">
            <v>10</v>
          </cell>
        </row>
        <row r="256">
          <cell r="B256">
            <v>251</v>
          </cell>
          <cell r="C256" t="str">
            <v>仮設ｽﾃﾝﾚｽ鋼管据付工</v>
          </cell>
          <cell r="D256" t="str">
            <v>10m当り</v>
          </cell>
          <cell r="E256" t="str">
            <v>人力</v>
          </cell>
          <cell r="F256" t="str">
            <v>仮設ｽﾃﾝﾚｽ鋼管据付工人力</v>
          </cell>
          <cell r="G256" t="str">
            <v>50mm</v>
          </cell>
          <cell r="H256" t="str">
            <v>ｍ</v>
          </cell>
          <cell r="I256">
            <v>7.0000000000000007E-2</v>
          </cell>
          <cell r="J256">
            <v>7.0000000000000007E-2</v>
          </cell>
          <cell r="M256">
            <v>10</v>
          </cell>
          <cell r="O256">
            <v>30</v>
          </cell>
          <cell r="Q256">
            <v>1</v>
          </cell>
        </row>
        <row r="257">
          <cell r="B257">
            <v>252</v>
          </cell>
          <cell r="C257" t="str">
            <v>仮設ｽﾃﾝﾚｽ鋼管据付工</v>
          </cell>
          <cell r="D257" t="str">
            <v>10m当り</v>
          </cell>
          <cell r="E257" t="str">
            <v>人力</v>
          </cell>
          <cell r="F257" t="str">
            <v>仮設ｽﾃﾝﾚｽ鋼管据付工人力</v>
          </cell>
          <cell r="G257" t="str">
            <v>80mm</v>
          </cell>
          <cell r="H257" t="str">
            <v>ｍ</v>
          </cell>
          <cell r="I257">
            <v>0.08</v>
          </cell>
          <cell r="J257">
            <v>0.09</v>
          </cell>
          <cell r="M257">
            <v>10</v>
          </cell>
          <cell r="Q257">
            <v>1</v>
          </cell>
        </row>
        <row r="258">
          <cell r="B258">
            <v>253</v>
          </cell>
          <cell r="C258" t="str">
            <v>仮設ｽﾃﾝﾚｽ鋼管据付工</v>
          </cell>
          <cell r="D258" t="str">
            <v>10m当り</v>
          </cell>
          <cell r="E258" t="str">
            <v>人力</v>
          </cell>
          <cell r="F258" t="str">
            <v>仮設ｽﾃﾝﾚｽ鋼管据付工人力</v>
          </cell>
          <cell r="G258" t="str">
            <v>100mm</v>
          </cell>
          <cell r="H258" t="str">
            <v>ｍ</v>
          </cell>
          <cell r="I258">
            <v>0.1</v>
          </cell>
          <cell r="J258">
            <v>0.11</v>
          </cell>
          <cell r="M258">
            <v>10</v>
          </cell>
          <cell r="Q258">
            <v>1</v>
          </cell>
        </row>
        <row r="259">
          <cell r="B259">
            <v>254</v>
          </cell>
          <cell r="C259" t="str">
            <v>仮設ｽﾃﾝﾚｽ鋼管据付工</v>
          </cell>
          <cell r="D259" t="str">
            <v>10m当り</v>
          </cell>
          <cell r="E259" t="str">
            <v>人力</v>
          </cell>
          <cell r="F259" t="str">
            <v>仮設ｽﾃﾝﾚｽ鋼管据付工人力</v>
          </cell>
          <cell r="G259" t="str">
            <v>150mm</v>
          </cell>
          <cell r="H259" t="str">
            <v>ｍ</v>
          </cell>
          <cell r="I259">
            <v>0.15</v>
          </cell>
          <cell r="J259">
            <v>0.18</v>
          </cell>
          <cell r="M259">
            <v>10</v>
          </cell>
          <cell r="Q259">
            <v>1</v>
          </cell>
        </row>
        <row r="260">
          <cell r="B260">
            <v>255</v>
          </cell>
          <cell r="C260" t="str">
            <v>仮設ｽﾃﾝﾚｽ鋼管据付工</v>
          </cell>
          <cell r="D260" t="str">
            <v>10m当り</v>
          </cell>
          <cell r="E260" t="str">
            <v>人力</v>
          </cell>
          <cell r="F260" t="str">
            <v>仮設ｽﾃﾝﾚｽ鋼管据付工人力</v>
          </cell>
          <cell r="G260" t="str">
            <v>200mm</v>
          </cell>
          <cell r="H260" t="str">
            <v>ｍ</v>
          </cell>
          <cell r="I260">
            <v>0.18</v>
          </cell>
          <cell r="J260">
            <v>0.21</v>
          </cell>
          <cell r="M260">
            <v>10</v>
          </cell>
          <cell r="Q260">
            <v>1</v>
          </cell>
        </row>
        <row r="261">
          <cell r="B261">
            <v>256</v>
          </cell>
          <cell r="C261" t="str">
            <v>仮設ｽﾃﾝﾚｽ鋼管据付工</v>
          </cell>
          <cell r="D261" t="str">
            <v>10m当り</v>
          </cell>
          <cell r="E261" t="str">
            <v>人力</v>
          </cell>
          <cell r="F261" t="str">
            <v>仮設ｽﾃﾝﾚｽ鋼管据付工人力</v>
          </cell>
          <cell r="G261" t="str">
            <v>300mm</v>
          </cell>
          <cell r="H261" t="str">
            <v>ｍ</v>
          </cell>
          <cell r="I261">
            <v>0.28000000000000003</v>
          </cell>
          <cell r="J261">
            <v>0.35</v>
          </cell>
          <cell r="M261">
            <v>10</v>
          </cell>
          <cell r="Q261">
            <v>1</v>
          </cell>
        </row>
        <row r="262">
          <cell r="B262">
            <v>257</v>
          </cell>
          <cell r="C262" t="str">
            <v>仮設ｽﾃﾝﾚｽ鋼管据付工</v>
          </cell>
          <cell r="D262" t="str">
            <v>10m当り</v>
          </cell>
          <cell r="E262" t="str">
            <v>機械</v>
          </cell>
          <cell r="F262" t="str">
            <v>仮設ｽﾃﾝﾚｽ鋼管据付工機械</v>
          </cell>
          <cell r="G262" t="str">
            <v>200mm</v>
          </cell>
          <cell r="H262" t="str">
            <v>ｍ</v>
          </cell>
          <cell r="I262">
            <v>0.05</v>
          </cell>
          <cell r="J262">
            <v>7.0000000000000007E-2</v>
          </cell>
          <cell r="K262">
            <v>0.06</v>
          </cell>
          <cell r="M262">
            <v>10</v>
          </cell>
          <cell r="Q262">
            <v>2</v>
          </cell>
        </row>
        <row r="263">
          <cell r="B263">
            <v>258</v>
          </cell>
          <cell r="C263" t="str">
            <v>仮設ｽﾃﾝﾚｽ鋼管据付工</v>
          </cell>
          <cell r="D263" t="str">
            <v>10m当り</v>
          </cell>
          <cell r="E263" t="str">
            <v>機械</v>
          </cell>
          <cell r="F263" t="str">
            <v>仮設ｽﾃﾝﾚｽ鋼管据付工機械</v>
          </cell>
          <cell r="G263" t="str">
            <v>300mm</v>
          </cell>
          <cell r="H263" t="str">
            <v>ｍ</v>
          </cell>
          <cell r="I263">
            <v>0.06</v>
          </cell>
          <cell r="J263">
            <v>0.12</v>
          </cell>
          <cell r="K263">
            <v>0.17</v>
          </cell>
          <cell r="M263">
            <v>10</v>
          </cell>
          <cell r="Q263">
            <v>2</v>
          </cell>
        </row>
        <row r="264">
          <cell r="B264">
            <v>259</v>
          </cell>
          <cell r="C264" t="str">
            <v>ジョイント継手工</v>
          </cell>
          <cell r="D264" t="str">
            <v>1口当り</v>
          </cell>
          <cell r="E264" t="str">
            <v>仮設</v>
          </cell>
          <cell r="F264" t="str">
            <v>ジョイント継手工仮設</v>
          </cell>
          <cell r="G264" t="str">
            <v>50mm</v>
          </cell>
          <cell r="H264" t="str">
            <v>口</v>
          </cell>
          <cell r="I264">
            <v>0.02</v>
          </cell>
          <cell r="J264">
            <v>0.04</v>
          </cell>
          <cell r="O264">
            <v>31</v>
          </cell>
          <cell r="Q264">
            <v>10</v>
          </cell>
        </row>
        <row r="265">
          <cell r="B265">
            <v>260</v>
          </cell>
          <cell r="C265" t="str">
            <v>ジョイント継手工</v>
          </cell>
          <cell r="D265" t="str">
            <v>1口当り</v>
          </cell>
          <cell r="E265" t="str">
            <v>仮設</v>
          </cell>
          <cell r="F265" t="str">
            <v>ジョイント継手工仮設</v>
          </cell>
          <cell r="G265" t="str">
            <v>80mm</v>
          </cell>
          <cell r="H265" t="str">
            <v>口</v>
          </cell>
          <cell r="I265">
            <v>0.03</v>
          </cell>
          <cell r="J265">
            <v>0.05</v>
          </cell>
          <cell r="Q265">
            <v>10</v>
          </cell>
        </row>
        <row r="266">
          <cell r="B266">
            <v>261</v>
          </cell>
          <cell r="C266" t="str">
            <v>ジョイント継手工</v>
          </cell>
          <cell r="D266" t="str">
            <v>1口当り</v>
          </cell>
          <cell r="E266" t="str">
            <v>仮設</v>
          </cell>
          <cell r="F266" t="str">
            <v>ジョイント継手工仮設</v>
          </cell>
          <cell r="G266" t="str">
            <v>100mm</v>
          </cell>
          <cell r="H266" t="str">
            <v>口</v>
          </cell>
          <cell r="I266">
            <v>0.03</v>
          </cell>
          <cell r="J266">
            <v>0.05</v>
          </cell>
          <cell r="Q266">
            <v>10</v>
          </cell>
        </row>
        <row r="267">
          <cell r="B267">
            <v>262</v>
          </cell>
          <cell r="C267" t="str">
            <v>ジョイント継手工</v>
          </cell>
          <cell r="D267" t="str">
            <v>1口当り</v>
          </cell>
          <cell r="E267" t="str">
            <v>仮設</v>
          </cell>
          <cell r="F267" t="str">
            <v>ジョイント継手工仮設</v>
          </cell>
          <cell r="G267" t="str">
            <v>150mm</v>
          </cell>
          <cell r="H267" t="str">
            <v>口</v>
          </cell>
          <cell r="I267">
            <v>0.04</v>
          </cell>
          <cell r="J267">
            <v>0.06</v>
          </cell>
          <cell r="Q267">
            <v>10</v>
          </cell>
        </row>
        <row r="268">
          <cell r="B268">
            <v>263</v>
          </cell>
          <cell r="C268" t="str">
            <v>ジョイント継手工</v>
          </cell>
          <cell r="D268" t="str">
            <v>1口当り</v>
          </cell>
          <cell r="E268" t="str">
            <v>仮設</v>
          </cell>
          <cell r="F268" t="str">
            <v>ジョイント継手工仮設</v>
          </cell>
          <cell r="G268" t="str">
            <v>200mm</v>
          </cell>
          <cell r="H268" t="str">
            <v>口</v>
          </cell>
          <cell r="I268">
            <v>0.05</v>
          </cell>
          <cell r="J268">
            <v>7.0000000000000007E-2</v>
          </cell>
          <cell r="Q268">
            <v>10</v>
          </cell>
        </row>
        <row r="269">
          <cell r="B269">
            <v>264</v>
          </cell>
          <cell r="C269" t="str">
            <v>ジョイント継手工</v>
          </cell>
          <cell r="D269" t="str">
            <v>1口当り</v>
          </cell>
          <cell r="E269" t="str">
            <v>仮設</v>
          </cell>
          <cell r="F269" t="str">
            <v>ジョイント継手工仮設</v>
          </cell>
          <cell r="G269" t="str">
            <v>300mm</v>
          </cell>
          <cell r="H269" t="str">
            <v>口</v>
          </cell>
          <cell r="I269">
            <v>7.0000000000000007E-2</v>
          </cell>
          <cell r="J269">
            <v>0.09</v>
          </cell>
          <cell r="Q269">
            <v>10</v>
          </cell>
        </row>
        <row r="270">
          <cell r="B270">
            <v>265</v>
          </cell>
          <cell r="C270" t="str">
            <v>取り出しｼﾞｮｲﾝﾄ継手工</v>
          </cell>
          <cell r="D270" t="str">
            <v>1口当り</v>
          </cell>
          <cell r="E270" t="str">
            <v>仮設</v>
          </cell>
          <cell r="F270" t="str">
            <v>取り出しｼﾞｮｲﾝﾄ継手工仮設</v>
          </cell>
          <cell r="G270" t="str">
            <v>50mm</v>
          </cell>
          <cell r="H270" t="str">
            <v>口</v>
          </cell>
          <cell r="I270">
            <v>0.02</v>
          </cell>
          <cell r="J270">
            <v>0.04</v>
          </cell>
          <cell r="K270">
            <v>50</v>
          </cell>
          <cell r="O270">
            <v>32</v>
          </cell>
          <cell r="Q270">
            <v>11</v>
          </cell>
        </row>
        <row r="271">
          <cell r="B271">
            <v>266</v>
          </cell>
          <cell r="C271" t="str">
            <v>取り出しｼﾞｮｲﾝﾄ継手工</v>
          </cell>
          <cell r="D271" t="str">
            <v>1口当り</v>
          </cell>
          <cell r="E271" t="str">
            <v>仮設</v>
          </cell>
          <cell r="F271" t="str">
            <v>取り出しｼﾞｮｲﾝﾄ継手工仮設</v>
          </cell>
          <cell r="G271" t="str">
            <v>80mm</v>
          </cell>
          <cell r="H271" t="str">
            <v>口</v>
          </cell>
          <cell r="I271">
            <v>0.03</v>
          </cell>
          <cell r="J271">
            <v>0.05</v>
          </cell>
          <cell r="K271">
            <v>50</v>
          </cell>
          <cell r="Q271">
            <v>11</v>
          </cell>
        </row>
        <row r="272">
          <cell r="B272">
            <v>267</v>
          </cell>
          <cell r="C272" t="str">
            <v>取り出しｼﾞｮｲﾝﾄ継手工</v>
          </cell>
          <cell r="D272" t="str">
            <v>1口当り</v>
          </cell>
          <cell r="E272" t="str">
            <v>仮設</v>
          </cell>
          <cell r="F272" t="str">
            <v>取り出しｼﾞｮｲﾝﾄ継手工仮設</v>
          </cell>
          <cell r="G272" t="str">
            <v>100mm</v>
          </cell>
          <cell r="H272" t="str">
            <v>口</v>
          </cell>
          <cell r="I272">
            <v>0.03</v>
          </cell>
          <cell r="J272">
            <v>0.05</v>
          </cell>
          <cell r="K272">
            <v>50</v>
          </cell>
          <cell r="Q272">
            <v>11</v>
          </cell>
        </row>
        <row r="273">
          <cell r="B273">
            <v>268</v>
          </cell>
          <cell r="C273" t="str">
            <v>取り出しｼﾞｮｲﾝﾄ継手工</v>
          </cell>
          <cell r="D273" t="str">
            <v>1口当り</v>
          </cell>
          <cell r="E273" t="str">
            <v>仮設</v>
          </cell>
          <cell r="F273" t="str">
            <v>取り出しｼﾞｮｲﾝﾄ継手工仮設</v>
          </cell>
          <cell r="G273" t="str">
            <v>150mm</v>
          </cell>
          <cell r="H273" t="str">
            <v>口</v>
          </cell>
          <cell r="I273">
            <v>0.04</v>
          </cell>
          <cell r="J273">
            <v>0.06</v>
          </cell>
          <cell r="K273">
            <v>50</v>
          </cell>
          <cell r="Q273">
            <v>11</v>
          </cell>
        </row>
        <row r="274">
          <cell r="B274">
            <v>269</v>
          </cell>
          <cell r="C274" t="str">
            <v>取り出しｼﾞｮｲﾝﾄ継手工</v>
          </cell>
          <cell r="D274" t="str">
            <v>1口当り</v>
          </cell>
          <cell r="E274" t="str">
            <v>仮設</v>
          </cell>
          <cell r="F274" t="str">
            <v>取り出しｼﾞｮｲﾝﾄ継手工仮設</v>
          </cell>
          <cell r="G274" t="str">
            <v>200mm</v>
          </cell>
          <cell r="H274" t="str">
            <v>口</v>
          </cell>
          <cell r="I274">
            <v>0.05</v>
          </cell>
          <cell r="J274">
            <v>7.0000000000000007E-2</v>
          </cell>
          <cell r="K274">
            <v>50</v>
          </cell>
          <cell r="Q274">
            <v>11</v>
          </cell>
        </row>
        <row r="275">
          <cell r="B275">
            <v>270</v>
          </cell>
          <cell r="C275" t="str">
            <v>取り出しｼﾞｮｲﾝﾄ継手工</v>
          </cell>
          <cell r="D275" t="str">
            <v>1口当り</v>
          </cell>
          <cell r="E275" t="str">
            <v>仮設</v>
          </cell>
          <cell r="F275" t="str">
            <v>取り出しｼﾞｮｲﾝﾄ継手工仮設</v>
          </cell>
          <cell r="G275" t="str">
            <v>300mm</v>
          </cell>
          <cell r="H275" t="str">
            <v>口</v>
          </cell>
          <cell r="I275">
            <v>7.0000000000000007E-2</v>
          </cell>
          <cell r="J275">
            <v>0.09</v>
          </cell>
          <cell r="K275">
            <v>50</v>
          </cell>
          <cell r="Q275">
            <v>11</v>
          </cell>
        </row>
        <row r="276">
          <cell r="B276">
            <v>271</v>
          </cell>
          <cell r="C276" t="str">
            <v>バルブ設置工</v>
          </cell>
          <cell r="D276" t="str">
            <v>1基当り</v>
          </cell>
          <cell r="E276" t="str">
            <v>仮設</v>
          </cell>
          <cell r="F276" t="str">
            <v>バルブ設置工仮設</v>
          </cell>
          <cell r="G276" t="str">
            <v>50mm</v>
          </cell>
          <cell r="H276" t="str">
            <v>基</v>
          </cell>
          <cell r="I276">
            <v>0.02</v>
          </cell>
          <cell r="J276">
            <v>0.04</v>
          </cell>
          <cell r="O276">
            <v>33</v>
          </cell>
          <cell r="Q276">
            <v>10</v>
          </cell>
        </row>
        <row r="277">
          <cell r="B277">
            <v>272</v>
          </cell>
          <cell r="C277" t="str">
            <v>バルブ設置工</v>
          </cell>
          <cell r="D277" t="str">
            <v>1基当り</v>
          </cell>
          <cell r="E277" t="str">
            <v>仮設</v>
          </cell>
          <cell r="F277" t="str">
            <v>バルブ設置工仮設</v>
          </cell>
          <cell r="G277" t="str">
            <v>80mm</v>
          </cell>
          <cell r="H277" t="str">
            <v>基</v>
          </cell>
          <cell r="I277">
            <v>0.04</v>
          </cell>
          <cell r="J277">
            <v>0.06</v>
          </cell>
          <cell r="Q277">
            <v>10</v>
          </cell>
        </row>
        <row r="278">
          <cell r="B278">
            <v>273</v>
          </cell>
          <cell r="C278" t="str">
            <v>バルブ設置工</v>
          </cell>
          <cell r="D278" t="str">
            <v>1基当り</v>
          </cell>
          <cell r="E278" t="str">
            <v>仮設</v>
          </cell>
          <cell r="F278" t="str">
            <v>バルブ設置工仮設</v>
          </cell>
          <cell r="G278" t="str">
            <v>100mm</v>
          </cell>
          <cell r="H278" t="str">
            <v>基</v>
          </cell>
          <cell r="I278">
            <v>0.06</v>
          </cell>
          <cell r="J278">
            <v>0.08</v>
          </cell>
          <cell r="Q278">
            <v>10</v>
          </cell>
        </row>
        <row r="279">
          <cell r="B279">
            <v>274</v>
          </cell>
          <cell r="C279" t="str">
            <v>バルブ設置工</v>
          </cell>
          <cell r="D279" t="str">
            <v>1基当り</v>
          </cell>
          <cell r="E279" t="str">
            <v>仮設</v>
          </cell>
          <cell r="F279" t="str">
            <v>バルブ設置工仮設</v>
          </cell>
          <cell r="G279" t="str">
            <v>150mm</v>
          </cell>
          <cell r="H279" t="str">
            <v>基</v>
          </cell>
          <cell r="I279">
            <v>0.1</v>
          </cell>
          <cell r="J279">
            <v>0.12</v>
          </cell>
          <cell r="Q279">
            <v>10</v>
          </cell>
        </row>
        <row r="280">
          <cell r="B280">
            <v>275</v>
          </cell>
          <cell r="C280" t="str">
            <v>バルブ設置工</v>
          </cell>
          <cell r="D280" t="str">
            <v>1基当り</v>
          </cell>
          <cell r="E280" t="str">
            <v>仮設</v>
          </cell>
          <cell r="F280" t="str">
            <v>バルブ設置工仮設</v>
          </cell>
          <cell r="G280" t="str">
            <v>200mm</v>
          </cell>
          <cell r="H280" t="str">
            <v>基</v>
          </cell>
          <cell r="I280">
            <v>0.12</v>
          </cell>
          <cell r="J280">
            <v>0.14000000000000001</v>
          </cell>
          <cell r="Q280">
            <v>10</v>
          </cell>
        </row>
        <row r="281">
          <cell r="B281">
            <v>276</v>
          </cell>
          <cell r="C281" t="str">
            <v>バルブ設置工</v>
          </cell>
          <cell r="D281" t="str">
            <v>1基当り</v>
          </cell>
          <cell r="E281" t="str">
            <v>仮設</v>
          </cell>
          <cell r="F281" t="str">
            <v>バルブ設置工仮設</v>
          </cell>
          <cell r="G281" t="str">
            <v>300mm</v>
          </cell>
          <cell r="H281" t="str">
            <v>基</v>
          </cell>
          <cell r="I281">
            <v>0.2</v>
          </cell>
          <cell r="J281">
            <v>0.24</v>
          </cell>
          <cell r="Q281">
            <v>10</v>
          </cell>
        </row>
        <row r="282">
          <cell r="B282">
            <v>277</v>
          </cell>
          <cell r="C282" t="str">
            <v>消火栓設置工</v>
          </cell>
          <cell r="D282" t="str">
            <v>1基当り</v>
          </cell>
          <cell r="E282" t="str">
            <v>仮設</v>
          </cell>
          <cell r="F282" t="str">
            <v>消火栓設置工仮設</v>
          </cell>
          <cell r="G282" t="str">
            <v>150mm</v>
          </cell>
          <cell r="H282" t="str">
            <v>基</v>
          </cell>
          <cell r="I282">
            <v>0.04</v>
          </cell>
          <cell r="J282">
            <v>0.06</v>
          </cell>
          <cell r="O282">
            <v>34</v>
          </cell>
          <cell r="Q282">
            <v>10</v>
          </cell>
        </row>
        <row r="283">
          <cell r="B283">
            <v>278</v>
          </cell>
          <cell r="C283" t="str">
            <v>空気弁設置工</v>
          </cell>
          <cell r="D283" t="str">
            <v>1基当り</v>
          </cell>
          <cell r="E283" t="str">
            <v>仮設</v>
          </cell>
          <cell r="F283" t="str">
            <v>空気弁設置工仮設</v>
          </cell>
          <cell r="G283" t="str">
            <v>MAV-mini</v>
          </cell>
          <cell r="H283" t="str">
            <v>基</v>
          </cell>
          <cell r="I283">
            <v>7.0000000000000007E-2</v>
          </cell>
          <cell r="J283">
            <v>7.0000000000000007E-2</v>
          </cell>
          <cell r="O283">
            <v>35</v>
          </cell>
          <cell r="Q283">
            <v>10</v>
          </cell>
        </row>
        <row r="284">
          <cell r="B284">
            <v>279</v>
          </cell>
          <cell r="C284" t="str">
            <v>空気弁設置工</v>
          </cell>
          <cell r="D284" t="str">
            <v>1基当り</v>
          </cell>
          <cell r="E284" t="str">
            <v>仮設</v>
          </cell>
          <cell r="F284" t="str">
            <v>空気弁設置工仮設</v>
          </cell>
          <cell r="G284" t="str">
            <v>MAV-13</v>
          </cell>
          <cell r="H284" t="str">
            <v>基</v>
          </cell>
          <cell r="I284">
            <v>7.0000000000000007E-2</v>
          </cell>
          <cell r="J284">
            <v>7.0000000000000007E-2</v>
          </cell>
          <cell r="Q284">
            <v>10</v>
          </cell>
        </row>
        <row r="285">
          <cell r="B285">
            <v>280</v>
          </cell>
          <cell r="C285" t="str">
            <v>空気弁設置工</v>
          </cell>
          <cell r="D285" t="str">
            <v>1基当り</v>
          </cell>
          <cell r="E285" t="str">
            <v>仮設</v>
          </cell>
          <cell r="F285" t="str">
            <v>空気弁設置工仮設</v>
          </cell>
          <cell r="G285" t="str">
            <v>MAV-25</v>
          </cell>
          <cell r="H285" t="str">
            <v>基</v>
          </cell>
          <cell r="I285">
            <v>0.08</v>
          </cell>
          <cell r="J285">
            <v>0.08</v>
          </cell>
          <cell r="Q285">
            <v>10</v>
          </cell>
        </row>
        <row r="286">
          <cell r="B286">
            <v>281</v>
          </cell>
          <cell r="C286" t="str">
            <v>パイプガード設置工</v>
          </cell>
          <cell r="D286" t="str">
            <v>1基当り</v>
          </cell>
          <cell r="E286" t="str">
            <v>仮設</v>
          </cell>
          <cell r="F286" t="str">
            <v>パイプガード設置工仮設</v>
          </cell>
          <cell r="G286" t="str">
            <v>W・S-A</v>
          </cell>
          <cell r="H286" t="str">
            <v>基</v>
          </cell>
          <cell r="I286">
            <v>0.08</v>
          </cell>
          <cell r="J286">
            <v>0.13</v>
          </cell>
          <cell r="O286">
            <v>36</v>
          </cell>
          <cell r="Q286">
            <v>10</v>
          </cell>
        </row>
        <row r="287">
          <cell r="B287">
            <v>282</v>
          </cell>
          <cell r="C287" t="str">
            <v>パイプガード設置工</v>
          </cell>
          <cell r="D287" t="str">
            <v>1基当り</v>
          </cell>
          <cell r="E287" t="str">
            <v>仮設</v>
          </cell>
          <cell r="F287" t="str">
            <v>パイプガード設置工仮設</v>
          </cell>
          <cell r="G287" t="str">
            <v>W・S-B</v>
          </cell>
          <cell r="H287" t="str">
            <v>基</v>
          </cell>
          <cell r="I287">
            <v>0.1</v>
          </cell>
          <cell r="J287">
            <v>0.16</v>
          </cell>
          <cell r="Q287">
            <v>10</v>
          </cell>
        </row>
        <row r="288">
          <cell r="B288">
            <v>283</v>
          </cell>
          <cell r="C288" t="str">
            <v>離脱防止金具取付工</v>
          </cell>
          <cell r="D288" t="str">
            <v>1基当り</v>
          </cell>
          <cell r="E288" t="str">
            <v>仮設</v>
          </cell>
          <cell r="F288" t="str">
            <v>離脱防止金具取付工仮設</v>
          </cell>
          <cell r="G288" t="str">
            <v>150mm</v>
          </cell>
          <cell r="H288" t="str">
            <v>基</v>
          </cell>
          <cell r="I288">
            <v>0.05</v>
          </cell>
          <cell r="J288">
            <v>0.08</v>
          </cell>
          <cell r="K288">
            <v>1</v>
          </cell>
          <cell r="O288">
            <v>37</v>
          </cell>
          <cell r="Q288">
            <v>5</v>
          </cell>
        </row>
        <row r="289">
          <cell r="B289">
            <v>284</v>
          </cell>
          <cell r="C289" t="str">
            <v>離脱防止金具取付工</v>
          </cell>
          <cell r="D289" t="str">
            <v>1基当り</v>
          </cell>
          <cell r="E289" t="str">
            <v>仮設</v>
          </cell>
          <cell r="F289" t="str">
            <v>離脱防止金具取付工仮設</v>
          </cell>
          <cell r="G289" t="str">
            <v>200mm</v>
          </cell>
          <cell r="H289" t="str">
            <v>基</v>
          </cell>
          <cell r="I289">
            <v>0.06</v>
          </cell>
          <cell r="J289">
            <v>0.09</v>
          </cell>
          <cell r="K289">
            <v>1</v>
          </cell>
          <cell r="Q289">
            <v>5</v>
          </cell>
        </row>
        <row r="290">
          <cell r="B290">
            <v>285</v>
          </cell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5:U29"/>
  <sheetViews>
    <sheetView tabSelected="1" view="pageBreakPreview" topLeftCell="A4" zoomScaleNormal="100" zoomScaleSheetLayoutView="100" workbookViewId="0">
      <selection activeCell="E30" sqref="E30"/>
    </sheetView>
  </sheetViews>
  <sheetFormatPr defaultRowHeight="13.5"/>
  <cols>
    <col min="1" max="1" width="6" style="231" customWidth="1"/>
    <col min="2" max="2" width="9" style="231"/>
    <col min="3" max="3" width="3.25" style="231" customWidth="1"/>
    <col min="4" max="4" width="9" style="231"/>
    <col min="5" max="5" width="3" style="231" customWidth="1"/>
    <col min="6" max="6" width="9" style="231"/>
    <col min="7" max="7" width="2.875" style="231" customWidth="1"/>
    <col min="8" max="8" width="9" style="231"/>
    <col min="9" max="9" width="2.875" style="231" customWidth="1"/>
    <col min="10" max="10" width="9" style="231"/>
    <col min="11" max="11" width="2.875" style="231" customWidth="1"/>
    <col min="12" max="12" width="9" style="231"/>
    <col min="13" max="13" width="2.75" style="231" customWidth="1"/>
    <col min="14" max="14" width="9" style="231"/>
    <col min="15" max="15" width="3" style="231" customWidth="1"/>
    <col min="16" max="16" width="9" style="231"/>
    <col min="17" max="17" width="5.5" style="231" customWidth="1"/>
    <col min="18" max="19" width="9" style="231"/>
    <col min="20" max="20" width="6.25" style="231" customWidth="1"/>
    <col min="21" max="21" width="4.125" style="231" customWidth="1"/>
    <col min="22" max="256" width="9" style="240"/>
    <col min="257" max="257" width="6" style="240" customWidth="1"/>
    <col min="258" max="258" width="9" style="240"/>
    <col min="259" max="259" width="3.25" style="240" customWidth="1"/>
    <col min="260" max="260" width="9" style="240"/>
    <col min="261" max="261" width="3" style="240" customWidth="1"/>
    <col min="262" max="262" width="9" style="240"/>
    <col min="263" max="263" width="2.875" style="240" customWidth="1"/>
    <col min="264" max="264" width="9" style="240"/>
    <col min="265" max="265" width="2.875" style="240" customWidth="1"/>
    <col min="266" max="266" width="9" style="240"/>
    <col min="267" max="267" width="2.875" style="240" customWidth="1"/>
    <col min="268" max="268" width="9" style="240"/>
    <col min="269" max="269" width="2.75" style="240" customWidth="1"/>
    <col min="270" max="270" width="9" style="240"/>
    <col min="271" max="271" width="3" style="240" customWidth="1"/>
    <col min="272" max="272" width="9" style="240"/>
    <col min="273" max="273" width="5.5" style="240" customWidth="1"/>
    <col min="274" max="275" width="9" style="240"/>
    <col min="276" max="276" width="6.25" style="240" customWidth="1"/>
    <col min="277" max="277" width="4.125" style="240" customWidth="1"/>
    <col min="278" max="512" width="9" style="240"/>
    <col min="513" max="513" width="6" style="240" customWidth="1"/>
    <col min="514" max="514" width="9" style="240"/>
    <col min="515" max="515" width="3.25" style="240" customWidth="1"/>
    <col min="516" max="516" width="9" style="240"/>
    <col min="517" max="517" width="3" style="240" customWidth="1"/>
    <col min="518" max="518" width="9" style="240"/>
    <col min="519" max="519" width="2.875" style="240" customWidth="1"/>
    <col min="520" max="520" width="9" style="240"/>
    <col min="521" max="521" width="2.875" style="240" customWidth="1"/>
    <col min="522" max="522" width="9" style="240"/>
    <col min="523" max="523" width="2.875" style="240" customWidth="1"/>
    <col min="524" max="524" width="9" style="240"/>
    <col min="525" max="525" width="2.75" style="240" customWidth="1"/>
    <col min="526" max="526" width="9" style="240"/>
    <col min="527" max="527" width="3" style="240" customWidth="1"/>
    <col min="528" max="528" width="9" style="240"/>
    <col min="529" max="529" width="5.5" style="240" customWidth="1"/>
    <col min="530" max="531" width="9" style="240"/>
    <col min="532" max="532" width="6.25" style="240" customWidth="1"/>
    <col min="533" max="533" width="4.125" style="240" customWidth="1"/>
    <col min="534" max="768" width="9" style="240"/>
    <col min="769" max="769" width="6" style="240" customWidth="1"/>
    <col min="770" max="770" width="9" style="240"/>
    <col min="771" max="771" width="3.25" style="240" customWidth="1"/>
    <col min="772" max="772" width="9" style="240"/>
    <col min="773" max="773" width="3" style="240" customWidth="1"/>
    <col min="774" max="774" width="9" style="240"/>
    <col min="775" max="775" width="2.875" style="240" customWidth="1"/>
    <col min="776" max="776" width="9" style="240"/>
    <col min="777" max="777" width="2.875" style="240" customWidth="1"/>
    <col min="778" max="778" width="9" style="240"/>
    <col min="779" max="779" width="2.875" style="240" customWidth="1"/>
    <col min="780" max="780" width="9" style="240"/>
    <col min="781" max="781" width="2.75" style="240" customWidth="1"/>
    <col min="782" max="782" width="9" style="240"/>
    <col min="783" max="783" width="3" style="240" customWidth="1"/>
    <col min="784" max="784" width="9" style="240"/>
    <col min="785" max="785" width="5.5" style="240" customWidth="1"/>
    <col min="786" max="787" width="9" style="240"/>
    <col min="788" max="788" width="6.25" style="240" customWidth="1"/>
    <col min="789" max="789" width="4.125" style="240" customWidth="1"/>
    <col min="790" max="1024" width="9" style="240"/>
    <col min="1025" max="1025" width="6" style="240" customWidth="1"/>
    <col min="1026" max="1026" width="9" style="240"/>
    <col min="1027" max="1027" width="3.25" style="240" customWidth="1"/>
    <col min="1028" max="1028" width="9" style="240"/>
    <col min="1029" max="1029" width="3" style="240" customWidth="1"/>
    <col min="1030" max="1030" width="9" style="240"/>
    <col min="1031" max="1031" width="2.875" style="240" customWidth="1"/>
    <col min="1032" max="1032" width="9" style="240"/>
    <col min="1033" max="1033" width="2.875" style="240" customWidth="1"/>
    <col min="1034" max="1034" width="9" style="240"/>
    <col min="1035" max="1035" width="2.875" style="240" customWidth="1"/>
    <col min="1036" max="1036" width="9" style="240"/>
    <col min="1037" max="1037" width="2.75" style="240" customWidth="1"/>
    <col min="1038" max="1038" width="9" style="240"/>
    <col min="1039" max="1039" width="3" style="240" customWidth="1"/>
    <col min="1040" max="1040" width="9" style="240"/>
    <col min="1041" max="1041" width="5.5" style="240" customWidth="1"/>
    <col min="1042" max="1043" width="9" style="240"/>
    <col min="1044" max="1044" width="6.25" style="240" customWidth="1"/>
    <col min="1045" max="1045" width="4.125" style="240" customWidth="1"/>
    <col min="1046" max="1280" width="9" style="240"/>
    <col min="1281" max="1281" width="6" style="240" customWidth="1"/>
    <col min="1282" max="1282" width="9" style="240"/>
    <col min="1283" max="1283" width="3.25" style="240" customWidth="1"/>
    <col min="1284" max="1284" width="9" style="240"/>
    <col min="1285" max="1285" width="3" style="240" customWidth="1"/>
    <col min="1286" max="1286" width="9" style="240"/>
    <col min="1287" max="1287" width="2.875" style="240" customWidth="1"/>
    <col min="1288" max="1288" width="9" style="240"/>
    <col min="1289" max="1289" width="2.875" style="240" customWidth="1"/>
    <col min="1290" max="1290" width="9" style="240"/>
    <col min="1291" max="1291" width="2.875" style="240" customWidth="1"/>
    <col min="1292" max="1292" width="9" style="240"/>
    <col min="1293" max="1293" width="2.75" style="240" customWidth="1"/>
    <col min="1294" max="1294" width="9" style="240"/>
    <col min="1295" max="1295" width="3" style="240" customWidth="1"/>
    <col min="1296" max="1296" width="9" style="240"/>
    <col min="1297" max="1297" width="5.5" style="240" customWidth="1"/>
    <col min="1298" max="1299" width="9" style="240"/>
    <col min="1300" max="1300" width="6.25" style="240" customWidth="1"/>
    <col min="1301" max="1301" width="4.125" style="240" customWidth="1"/>
    <col min="1302" max="1536" width="9" style="240"/>
    <col min="1537" max="1537" width="6" style="240" customWidth="1"/>
    <col min="1538" max="1538" width="9" style="240"/>
    <col min="1539" max="1539" width="3.25" style="240" customWidth="1"/>
    <col min="1540" max="1540" width="9" style="240"/>
    <col min="1541" max="1541" width="3" style="240" customWidth="1"/>
    <col min="1542" max="1542" width="9" style="240"/>
    <col min="1543" max="1543" width="2.875" style="240" customWidth="1"/>
    <col min="1544" max="1544" width="9" style="240"/>
    <col min="1545" max="1545" width="2.875" style="240" customWidth="1"/>
    <col min="1546" max="1546" width="9" style="240"/>
    <col min="1547" max="1547" width="2.875" style="240" customWidth="1"/>
    <col min="1548" max="1548" width="9" style="240"/>
    <col min="1549" max="1549" width="2.75" style="240" customWidth="1"/>
    <col min="1550" max="1550" width="9" style="240"/>
    <col min="1551" max="1551" width="3" style="240" customWidth="1"/>
    <col min="1552" max="1552" width="9" style="240"/>
    <col min="1553" max="1553" width="5.5" style="240" customWidth="1"/>
    <col min="1554" max="1555" width="9" style="240"/>
    <col min="1556" max="1556" width="6.25" style="240" customWidth="1"/>
    <col min="1557" max="1557" width="4.125" style="240" customWidth="1"/>
    <col min="1558" max="1792" width="9" style="240"/>
    <col min="1793" max="1793" width="6" style="240" customWidth="1"/>
    <col min="1794" max="1794" width="9" style="240"/>
    <col min="1795" max="1795" width="3.25" style="240" customWidth="1"/>
    <col min="1796" max="1796" width="9" style="240"/>
    <col min="1797" max="1797" width="3" style="240" customWidth="1"/>
    <col min="1798" max="1798" width="9" style="240"/>
    <col min="1799" max="1799" width="2.875" style="240" customWidth="1"/>
    <col min="1800" max="1800" width="9" style="240"/>
    <col min="1801" max="1801" width="2.875" style="240" customWidth="1"/>
    <col min="1802" max="1802" width="9" style="240"/>
    <col min="1803" max="1803" width="2.875" style="240" customWidth="1"/>
    <col min="1804" max="1804" width="9" style="240"/>
    <col min="1805" max="1805" width="2.75" style="240" customWidth="1"/>
    <col min="1806" max="1806" width="9" style="240"/>
    <col min="1807" max="1807" width="3" style="240" customWidth="1"/>
    <col min="1808" max="1808" width="9" style="240"/>
    <col min="1809" max="1809" width="5.5" style="240" customWidth="1"/>
    <col min="1810" max="1811" width="9" style="240"/>
    <col min="1812" max="1812" width="6.25" style="240" customWidth="1"/>
    <col min="1813" max="1813" width="4.125" style="240" customWidth="1"/>
    <col min="1814" max="2048" width="9" style="240"/>
    <col min="2049" max="2049" width="6" style="240" customWidth="1"/>
    <col min="2050" max="2050" width="9" style="240"/>
    <col min="2051" max="2051" width="3.25" style="240" customWidth="1"/>
    <col min="2052" max="2052" width="9" style="240"/>
    <col min="2053" max="2053" width="3" style="240" customWidth="1"/>
    <col min="2054" max="2054" width="9" style="240"/>
    <col min="2055" max="2055" width="2.875" style="240" customWidth="1"/>
    <col min="2056" max="2056" width="9" style="240"/>
    <col min="2057" max="2057" width="2.875" style="240" customWidth="1"/>
    <col min="2058" max="2058" width="9" style="240"/>
    <col min="2059" max="2059" width="2.875" style="240" customWidth="1"/>
    <col min="2060" max="2060" width="9" style="240"/>
    <col min="2061" max="2061" width="2.75" style="240" customWidth="1"/>
    <col min="2062" max="2062" width="9" style="240"/>
    <col min="2063" max="2063" width="3" style="240" customWidth="1"/>
    <col min="2064" max="2064" width="9" style="240"/>
    <col min="2065" max="2065" width="5.5" style="240" customWidth="1"/>
    <col min="2066" max="2067" width="9" style="240"/>
    <col min="2068" max="2068" width="6.25" style="240" customWidth="1"/>
    <col min="2069" max="2069" width="4.125" style="240" customWidth="1"/>
    <col min="2070" max="2304" width="9" style="240"/>
    <col min="2305" max="2305" width="6" style="240" customWidth="1"/>
    <col min="2306" max="2306" width="9" style="240"/>
    <col min="2307" max="2307" width="3.25" style="240" customWidth="1"/>
    <col min="2308" max="2308" width="9" style="240"/>
    <col min="2309" max="2309" width="3" style="240" customWidth="1"/>
    <col min="2310" max="2310" width="9" style="240"/>
    <col min="2311" max="2311" width="2.875" style="240" customWidth="1"/>
    <col min="2312" max="2312" width="9" style="240"/>
    <col min="2313" max="2313" width="2.875" style="240" customWidth="1"/>
    <col min="2314" max="2314" width="9" style="240"/>
    <col min="2315" max="2315" width="2.875" style="240" customWidth="1"/>
    <col min="2316" max="2316" width="9" style="240"/>
    <col min="2317" max="2317" width="2.75" style="240" customWidth="1"/>
    <col min="2318" max="2318" width="9" style="240"/>
    <col min="2319" max="2319" width="3" style="240" customWidth="1"/>
    <col min="2320" max="2320" width="9" style="240"/>
    <col min="2321" max="2321" width="5.5" style="240" customWidth="1"/>
    <col min="2322" max="2323" width="9" style="240"/>
    <col min="2324" max="2324" width="6.25" style="240" customWidth="1"/>
    <col min="2325" max="2325" width="4.125" style="240" customWidth="1"/>
    <col min="2326" max="2560" width="9" style="240"/>
    <col min="2561" max="2561" width="6" style="240" customWidth="1"/>
    <col min="2562" max="2562" width="9" style="240"/>
    <col min="2563" max="2563" width="3.25" style="240" customWidth="1"/>
    <col min="2564" max="2564" width="9" style="240"/>
    <col min="2565" max="2565" width="3" style="240" customWidth="1"/>
    <col min="2566" max="2566" width="9" style="240"/>
    <col min="2567" max="2567" width="2.875" style="240" customWidth="1"/>
    <col min="2568" max="2568" width="9" style="240"/>
    <col min="2569" max="2569" width="2.875" style="240" customWidth="1"/>
    <col min="2570" max="2570" width="9" style="240"/>
    <col min="2571" max="2571" width="2.875" style="240" customWidth="1"/>
    <col min="2572" max="2572" width="9" style="240"/>
    <col min="2573" max="2573" width="2.75" style="240" customWidth="1"/>
    <col min="2574" max="2574" width="9" style="240"/>
    <col min="2575" max="2575" width="3" style="240" customWidth="1"/>
    <col min="2576" max="2576" width="9" style="240"/>
    <col min="2577" max="2577" width="5.5" style="240" customWidth="1"/>
    <col min="2578" max="2579" width="9" style="240"/>
    <col min="2580" max="2580" width="6.25" style="240" customWidth="1"/>
    <col min="2581" max="2581" width="4.125" style="240" customWidth="1"/>
    <col min="2582" max="2816" width="9" style="240"/>
    <col min="2817" max="2817" width="6" style="240" customWidth="1"/>
    <col min="2818" max="2818" width="9" style="240"/>
    <col min="2819" max="2819" width="3.25" style="240" customWidth="1"/>
    <col min="2820" max="2820" width="9" style="240"/>
    <col min="2821" max="2821" width="3" style="240" customWidth="1"/>
    <col min="2822" max="2822" width="9" style="240"/>
    <col min="2823" max="2823" width="2.875" style="240" customWidth="1"/>
    <col min="2824" max="2824" width="9" style="240"/>
    <col min="2825" max="2825" width="2.875" style="240" customWidth="1"/>
    <col min="2826" max="2826" width="9" style="240"/>
    <col min="2827" max="2827" width="2.875" style="240" customWidth="1"/>
    <col min="2828" max="2828" width="9" style="240"/>
    <col min="2829" max="2829" width="2.75" style="240" customWidth="1"/>
    <col min="2830" max="2830" width="9" style="240"/>
    <col min="2831" max="2831" width="3" style="240" customWidth="1"/>
    <col min="2832" max="2832" width="9" style="240"/>
    <col min="2833" max="2833" width="5.5" style="240" customWidth="1"/>
    <col min="2834" max="2835" width="9" style="240"/>
    <col min="2836" max="2836" width="6.25" style="240" customWidth="1"/>
    <col min="2837" max="2837" width="4.125" style="240" customWidth="1"/>
    <col min="2838" max="3072" width="9" style="240"/>
    <col min="3073" max="3073" width="6" style="240" customWidth="1"/>
    <col min="3074" max="3074" width="9" style="240"/>
    <col min="3075" max="3075" width="3.25" style="240" customWidth="1"/>
    <col min="3076" max="3076" width="9" style="240"/>
    <col min="3077" max="3077" width="3" style="240" customWidth="1"/>
    <col min="3078" max="3078" width="9" style="240"/>
    <col min="3079" max="3079" width="2.875" style="240" customWidth="1"/>
    <col min="3080" max="3080" width="9" style="240"/>
    <col min="3081" max="3081" width="2.875" style="240" customWidth="1"/>
    <col min="3082" max="3082" width="9" style="240"/>
    <col min="3083" max="3083" width="2.875" style="240" customWidth="1"/>
    <col min="3084" max="3084" width="9" style="240"/>
    <col min="3085" max="3085" width="2.75" style="240" customWidth="1"/>
    <col min="3086" max="3086" width="9" style="240"/>
    <col min="3087" max="3087" width="3" style="240" customWidth="1"/>
    <col min="3088" max="3088" width="9" style="240"/>
    <col min="3089" max="3089" width="5.5" style="240" customWidth="1"/>
    <col min="3090" max="3091" width="9" style="240"/>
    <col min="3092" max="3092" width="6.25" style="240" customWidth="1"/>
    <col min="3093" max="3093" width="4.125" style="240" customWidth="1"/>
    <col min="3094" max="3328" width="9" style="240"/>
    <col min="3329" max="3329" width="6" style="240" customWidth="1"/>
    <col min="3330" max="3330" width="9" style="240"/>
    <col min="3331" max="3331" width="3.25" style="240" customWidth="1"/>
    <col min="3332" max="3332" width="9" style="240"/>
    <col min="3333" max="3333" width="3" style="240" customWidth="1"/>
    <col min="3334" max="3334" width="9" style="240"/>
    <col min="3335" max="3335" width="2.875" style="240" customWidth="1"/>
    <col min="3336" max="3336" width="9" style="240"/>
    <col min="3337" max="3337" width="2.875" style="240" customWidth="1"/>
    <col min="3338" max="3338" width="9" style="240"/>
    <col min="3339" max="3339" width="2.875" style="240" customWidth="1"/>
    <col min="3340" max="3340" width="9" style="240"/>
    <col min="3341" max="3341" width="2.75" style="240" customWidth="1"/>
    <col min="3342" max="3342" width="9" style="240"/>
    <col min="3343" max="3343" width="3" style="240" customWidth="1"/>
    <col min="3344" max="3344" width="9" style="240"/>
    <col min="3345" max="3345" width="5.5" style="240" customWidth="1"/>
    <col min="3346" max="3347" width="9" style="240"/>
    <col min="3348" max="3348" width="6.25" style="240" customWidth="1"/>
    <col min="3349" max="3349" width="4.125" style="240" customWidth="1"/>
    <col min="3350" max="3584" width="9" style="240"/>
    <col min="3585" max="3585" width="6" style="240" customWidth="1"/>
    <col min="3586" max="3586" width="9" style="240"/>
    <col min="3587" max="3587" width="3.25" style="240" customWidth="1"/>
    <col min="3588" max="3588" width="9" style="240"/>
    <col min="3589" max="3589" width="3" style="240" customWidth="1"/>
    <col min="3590" max="3590" width="9" style="240"/>
    <col min="3591" max="3591" width="2.875" style="240" customWidth="1"/>
    <col min="3592" max="3592" width="9" style="240"/>
    <col min="3593" max="3593" width="2.875" style="240" customWidth="1"/>
    <col min="3594" max="3594" width="9" style="240"/>
    <col min="3595" max="3595" width="2.875" style="240" customWidth="1"/>
    <col min="3596" max="3596" width="9" style="240"/>
    <col min="3597" max="3597" width="2.75" style="240" customWidth="1"/>
    <col min="3598" max="3598" width="9" style="240"/>
    <col min="3599" max="3599" width="3" style="240" customWidth="1"/>
    <col min="3600" max="3600" width="9" style="240"/>
    <col min="3601" max="3601" width="5.5" style="240" customWidth="1"/>
    <col min="3602" max="3603" width="9" style="240"/>
    <col min="3604" max="3604" width="6.25" style="240" customWidth="1"/>
    <col min="3605" max="3605" width="4.125" style="240" customWidth="1"/>
    <col min="3606" max="3840" width="9" style="240"/>
    <col min="3841" max="3841" width="6" style="240" customWidth="1"/>
    <col min="3842" max="3842" width="9" style="240"/>
    <col min="3843" max="3843" width="3.25" style="240" customWidth="1"/>
    <col min="3844" max="3844" width="9" style="240"/>
    <col min="3845" max="3845" width="3" style="240" customWidth="1"/>
    <col min="3846" max="3846" width="9" style="240"/>
    <col min="3847" max="3847" width="2.875" style="240" customWidth="1"/>
    <col min="3848" max="3848" width="9" style="240"/>
    <col min="3849" max="3849" width="2.875" style="240" customWidth="1"/>
    <col min="3850" max="3850" width="9" style="240"/>
    <col min="3851" max="3851" width="2.875" style="240" customWidth="1"/>
    <col min="3852" max="3852" width="9" style="240"/>
    <col min="3853" max="3853" width="2.75" style="240" customWidth="1"/>
    <col min="3854" max="3854" width="9" style="240"/>
    <col min="3855" max="3855" width="3" style="240" customWidth="1"/>
    <col min="3856" max="3856" width="9" style="240"/>
    <col min="3857" max="3857" width="5.5" style="240" customWidth="1"/>
    <col min="3858" max="3859" width="9" style="240"/>
    <col min="3860" max="3860" width="6.25" style="240" customWidth="1"/>
    <col min="3861" max="3861" width="4.125" style="240" customWidth="1"/>
    <col min="3862" max="4096" width="9" style="240"/>
    <col min="4097" max="4097" width="6" style="240" customWidth="1"/>
    <col min="4098" max="4098" width="9" style="240"/>
    <col min="4099" max="4099" width="3.25" style="240" customWidth="1"/>
    <col min="4100" max="4100" width="9" style="240"/>
    <col min="4101" max="4101" width="3" style="240" customWidth="1"/>
    <col min="4102" max="4102" width="9" style="240"/>
    <col min="4103" max="4103" width="2.875" style="240" customWidth="1"/>
    <col min="4104" max="4104" width="9" style="240"/>
    <col min="4105" max="4105" width="2.875" style="240" customWidth="1"/>
    <col min="4106" max="4106" width="9" style="240"/>
    <col min="4107" max="4107" width="2.875" style="240" customWidth="1"/>
    <col min="4108" max="4108" width="9" style="240"/>
    <col min="4109" max="4109" width="2.75" style="240" customWidth="1"/>
    <col min="4110" max="4110" width="9" style="240"/>
    <col min="4111" max="4111" width="3" style="240" customWidth="1"/>
    <col min="4112" max="4112" width="9" style="240"/>
    <col min="4113" max="4113" width="5.5" style="240" customWidth="1"/>
    <col min="4114" max="4115" width="9" style="240"/>
    <col min="4116" max="4116" width="6.25" style="240" customWidth="1"/>
    <col min="4117" max="4117" width="4.125" style="240" customWidth="1"/>
    <col min="4118" max="4352" width="9" style="240"/>
    <col min="4353" max="4353" width="6" style="240" customWidth="1"/>
    <col min="4354" max="4354" width="9" style="240"/>
    <col min="4355" max="4355" width="3.25" style="240" customWidth="1"/>
    <col min="4356" max="4356" width="9" style="240"/>
    <col min="4357" max="4357" width="3" style="240" customWidth="1"/>
    <col min="4358" max="4358" width="9" style="240"/>
    <col min="4359" max="4359" width="2.875" style="240" customWidth="1"/>
    <col min="4360" max="4360" width="9" style="240"/>
    <col min="4361" max="4361" width="2.875" style="240" customWidth="1"/>
    <col min="4362" max="4362" width="9" style="240"/>
    <col min="4363" max="4363" width="2.875" style="240" customWidth="1"/>
    <col min="4364" max="4364" width="9" style="240"/>
    <col min="4365" max="4365" width="2.75" style="240" customWidth="1"/>
    <col min="4366" max="4366" width="9" style="240"/>
    <col min="4367" max="4367" width="3" style="240" customWidth="1"/>
    <col min="4368" max="4368" width="9" style="240"/>
    <col min="4369" max="4369" width="5.5" style="240" customWidth="1"/>
    <col min="4370" max="4371" width="9" style="240"/>
    <col min="4372" max="4372" width="6.25" style="240" customWidth="1"/>
    <col min="4373" max="4373" width="4.125" style="240" customWidth="1"/>
    <col min="4374" max="4608" width="9" style="240"/>
    <col min="4609" max="4609" width="6" style="240" customWidth="1"/>
    <col min="4610" max="4610" width="9" style="240"/>
    <col min="4611" max="4611" width="3.25" style="240" customWidth="1"/>
    <col min="4612" max="4612" width="9" style="240"/>
    <col min="4613" max="4613" width="3" style="240" customWidth="1"/>
    <col min="4614" max="4614" width="9" style="240"/>
    <col min="4615" max="4615" width="2.875" style="240" customWidth="1"/>
    <col min="4616" max="4616" width="9" style="240"/>
    <col min="4617" max="4617" width="2.875" style="240" customWidth="1"/>
    <col min="4618" max="4618" width="9" style="240"/>
    <col min="4619" max="4619" width="2.875" style="240" customWidth="1"/>
    <col min="4620" max="4620" width="9" style="240"/>
    <col min="4621" max="4621" width="2.75" style="240" customWidth="1"/>
    <col min="4622" max="4622" width="9" style="240"/>
    <col min="4623" max="4623" width="3" style="240" customWidth="1"/>
    <col min="4624" max="4624" width="9" style="240"/>
    <col min="4625" max="4625" width="5.5" style="240" customWidth="1"/>
    <col min="4626" max="4627" width="9" style="240"/>
    <col min="4628" max="4628" width="6.25" style="240" customWidth="1"/>
    <col min="4629" max="4629" width="4.125" style="240" customWidth="1"/>
    <col min="4630" max="4864" width="9" style="240"/>
    <col min="4865" max="4865" width="6" style="240" customWidth="1"/>
    <col min="4866" max="4866" width="9" style="240"/>
    <col min="4867" max="4867" width="3.25" style="240" customWidth="1"/>
    <col min="4868" max="4868" width="9" style="240"/>
    <col min="4869" max="4869" width="3" style="240" customWidth="1"/>
    <col min="4870" max="4870" width="9" style="240"/>
    <col min="4871" max="4871" width="2.875" style="240" customWidth="1"/>
    <col min="4872" max="4872" width="9" style="240"/>
    <col min="4873" max="4873" width="2.875" style="240" customWidth="1"/>
    <col min="4874" max="4874" width="9" style="240"/>
    <col min="4875" max="4875" width="2.875" style="240" customWidth="1"/>
    <col min="4876" max="4876" width="9" style="240"/>
    <col min="4877" max="4877" width="2.75" style="240" customWidth="1"/>
    <col min="4878" max="4878" width="9" style="240"/>
    <col min="4879" max="4879" width="3" style="240" customWidth="1"/>
    <col min="4880" max="4880" width="9" style="240"/>
    <col min="4881" max="4881" width="5.5" style="240" customWidth="1"/>
    <col min="4882" max="4883" width="9" style="240"/>
    <col min="4884" max="4884" width="6.25" style="240" customWidth="1"/>
    <col min="4885" max="4885" width="4.125" style="240" customWidth="1"/>
    <col min="4886" max="5120" width="9" style="240"/>
    <col min="5121" max="5121" width="6" style="240" customWidth="1"/>
    <col min="5122" max="5122" width="9" style="240"/>
    <col min="5123" max="5123" width="3.25" style="240" customWidth="1"/>
    <col min="5124" max="5124" width="9" style="240"/>
    <col min="5125" max="5125" width="3" style="240" customWidth="1"/>
    <col min="5126" max="5126" width="9" style="240"/>
    <col min="5127" max="5127" width="2.875" style="240" customWidth="1"/>
    <col min="5128" max="5128" width="9" style="240"/>
    <col min="5129" max="5129" width="2.875" style="240" customWidth="1"/>
    <col min="5130" max="5130" width="9" style="240"/>
    <col min="5131" max="5131" width="2.875" style="240" customWidth="1"/>
    <col min="5132" max="5132" width="9" style="240"/>
    <col min="5133" max="5133" width="2.75" style="240" customWidth="1"/>
    <col min="5134" max="5134" width="9" style="240"/>
    <col min="5135" max="5135" width="3" style="240" customWidth="1"/>
    <col min="5136" max="5136" width="9" style="240"/>
    <col min="5137" max="5137" width="5.5" style="240" customWidth="1"/>
    <col min="5138" max="5139" width="9" style="240"/>
    <col min="5140" max="5140" width="6.25" style="240" customWidth="1"/>
    <col min="5141" max="5141" width="4.125" style="240" customWidth="1"/>
    <col min="5142" max="5376" width="9" style="240"/>
    <col min="5377" max="5377" width="6" style="240" customWidth="1"/>
    <col min="5378" max="5378" width="9" style="240"/>
    <col min="5379" max="5379" width="3.25" style="240" customWidth="1"/>
    <col min="5380" max="5380" width="9" style="240"/>
    <col min="5381" max="5381" width="3" style="240" customWidth="1"/>
    <col min="5382" max="5382" width="9" style="240"/>
    <col min="5383" max="5383" width="2.875" style="240" customWidth="1"/>
    <col min="5384" max="5384" width="9" style="240"/>
    <col min="5385" max="5385" width="2.875" style="240" customWidth="1"/>
    <col min="5386" max="5386" width="9" style="240"/>
    <col min="5387" max="5387" width="2.875" style="240" customWidth="1"/>
    <col min="5388" max="5388" width="9" style="240"/>
    <col min="5389" max="5389" width="2.75" style="240" customWidth="1"/>
    <col min="5390" max="5390" width="9" style="240"/>
    <col min="5391" max="5391" width="3" style="240" customWidth="1"/>
    <col min="5392" max="5392" width="9" style="240"/>
    <col min="5393" max="5393" width="5.5" style="240" customWidth="1"/>
    <col min="5394" max="5395" width="9" style="240"/>
    <col min="5396" max="5396" width="6.25" style="240" customWidth="1"/>
    <col min="5397" max="5397" width="4.125" style="240" customWidth="1"/>
    <col min="5398" max="5632" width="9" style="240"/>
    <col min="5633" max="5633" width="6" style="240" customWidth="1"/>
    <col min="5634" max="5634" width="9" style="240"/>
    <col min="5635" max="5635" width="3.25" style="240" customWidth="1"/>
    <col min="5636" max="5636" width="9" style="240"/>
    <col min="5637" max="5637" width="3" style="240" customWidth="1"/>
    <col min="5638" max="5638" width="9" style="240"/>
    <col min="5639" max="5639" width="2.875" style="240" customWidth="1"/>
    <col min="5640" max="5640" width="9" style="240"/>
    <col min="5641" max="5641" width="2.875" style="240" customWidth="1"/>
    <col min="5642" max="5642" width="9" style="240"/>
    <col min="5643" max="5643" width="2.875" style="240" customWidth="1"/>
    <col min="5644" max="5644" width="9" style="240"/>
    <col min="5645" max="5645" width="2.75" style="240" customWidth="1"/>
    <col min="5646" max="5646" width="9" style="240"/>
    <col min="5647" max="5647" width="3" style="240" customWidth="1"/>
    <col min="5648" max="5648" width="9" style="240"/>
    <col min="5649" max="5649" width="5.5" style="240" customWidth="1"/>
    <col min="5650" max="5651" width="9" style="240"/>
    <col min="5652" max="5652" width="6.25" style="240" customWidth="1"/>
    <col min="5653" max="5653" width="4.125" style="240" customWidth="1"/>
    <col min="5654" max="5888" width="9" style="240"/>
    <col min="5889" max="5889" width="6" style="240" customWidth="1"/>
    <col min="5890" max="5890" width="9" style="240"/>
    <col min="5891" max="5891" width="3.25" style="240" customWidth="1"/>
    <col min="5892" max="5892" width="9" style="240"/>
    <col min="5893" max="5893" width="3" style="240" customWidth="1"/>
    <col min="5894" max="5894" width="9" style="240"/>
    <col min="5895" max="5895" width="2.875" style="240" customWidth="1"/>
    <col min="5896" max="5896" width="9" style="240"/>
    <col min="5897" max="5897" width="2.875" style="240" customWidth="1"/>
    <col min="5898" max="5898" width="9" style="240"/>
    <col min="5899" max="5899" width="2.875" style="240" customWidth="1"/>
    <col min="5900" max="5900" width="9" style="240"/>
    <col min="5901" max="5901" width="2.75" style="240" customWidth="1"/>
    <col min="5902" max="5902" width="9" style="240"/>
    <col min="5903" max="5903" width="3" style="240" customWidth="1"/>
    <col min="5904" max="5904" width="9" style="240"/>
    <col min="5905" max="5905" width="5.5" style="240" customWidth="1"/>
    <col min="5906" max="5907" width="9" style="240"/>
    <col min="5908" max="5908" width="6.25" style="240" customWidth="1"/>
    <col min="5909" max="5909" width="4.125" style="240" customWidth="1"/>
    <col min="5910" max="6144" width="9" style="240"/>
    <col min="6145" max="6145" width="6" style="240" customWidth="1"/>
    <col min="6146" max="6146" width="9" style="240"/>
    <col min="6147" max="6147" width="3.25" style="240" customWidth="1"/>
    <col min="6148" max="6148" width="9" style="240"/>
    <col min="6149" max="6149" width="3" style="240" customWidth="1"/>
    <col min="6150" max="6150" width="9" style="240"/>
    <col min="6151" max="6151" width="2.875" style="240" customWidth="1"/>
    <col min="6152" max="6152" width="9" style="240"/>
    <col min="6153" max="6153" width="2.875" style="240" customWidth="1"/>
    <col min="6154" max="6154" width="9" style="240"/>
    <col min="6155" max="6155" width="2.875" style="240" customWidth="1"/>
    <col min="6156" max="6156" width="9" style="240"/>
    <col min="6157" max="6157" width="2.75" style="240" customWidth="1"/>
    <col min="6158" max="6158" width="9" style="240"/>
    <col min="6159" max="6159" width="3" style="240" customWidth="1"/>
    <col min="6160" max="6160" width="9" style="240"/>
    <col min="6161" max="6161" width="5.5" style="240" customWidth="1"/>
    <col min="6162" max="6163" width="9" style="240"/>
    <col min="6164" max="6164" width="6.25" style="240" customWidth="1"/>
    <col min="6165" max="6165" width="4.125" style="240" customWidth="1"/>
    <col min="6166" max="6400" width="9" style="240"/>
    <col min="6401" max="6401" width="6" style="240" customWidth="1"/>
    <col min="6402" max="6402" width="9" style="240"/>
    <col min="6403" max="6403" width="3.25" style="240" customWidth="1"/>
    <col min="6404" max="6404" width="9" style="240"/>
    <col min="6405" max="6405" width="3" style="240" customWidth="1"/>
    <col min="6406" max="6406" width="9" style="240"/>
    <col min="6407" max="6407" width="2.875" style="240" customWidth="1"/>
    <col min="6408" max="6408" width="9" style="240"/>
    <col min="6409" max="6409" width="2.875" style="240" customWidth="1"/>
    <col min="6410" max="6410" width="9" style="240"/>
    <col min="6411" max="6411" width="2.875" style="240" customWidth="1"/>
    <col min="6412" max="6412" width="9" style="240"/>
    <col min="6413" max="6413" width="2.75" style="240" customWidth="1"/>
    <col min="6414" max="6414" width="9" style="240"/>
    <col min="6415" max="6415" width="3" style="240" customWidth="1"/>
    <col min="6416" max="6416" width="9" style="240"/>
    <col min="6417" max="6417" width="5.5" style="240" customWidth="1"/>
    <col min="6418" max="6419" width="9" style="240"/>
    <col min="6420" max="6420" width="6.25" style="240" customWidth="1"/>
    <col min="6421" max="6421" width="4.125" style="240" customWidth="1"/>
    <col min="6422" max="6656" width="9" style="240"/>
    <col min="6657" max="6657" width="6" style="240" customWidth="1"/>
    <col min="6658" max="6658" width="9" style="240"/>
    <col min="6659" max="6659" width="3.25" style="240" customWidth="1"/>
    <col min="6660" max="6660" width="9" style="240"/>
    <col min="6661" max="6661" width="3" style="240" customWidth="1"/>
    <col min="6662" max="6662" width="9" style="240"/>
    <col min="6663" max="6663" width="2.875" style="240" customWidth="1"/>
    <col min="6664" max="6664" width="9" style="240"/>
    <col min="6665" max="6665" width="2.875" style="240" customWidth="1"/>
    <col min="6666" max="6666" width="9" style="240"/>
    <col min="6667" max="6667" width="2.875" style="240" customWidth="1"/>
    <col min="6668" max="6668" width="9" style="240"/>
    <col min="6669" max="6669" width="2.75" style="240" customWidth="1"/>
    <col min="6670" max="6670" width="9" style="240"/>
    <col min="6671" max="6671" width="3" style="240" customWidth="1"/>
    <col min="6672" max="6672" width="9" style="240"/>
    <col min="6673" max="6673" width="5.5" style="240" customWidth="1"/>
    <col min="6674" max="6675" width="9" style="240"/>
    <col min="6676" max="6676" width="6.25" style="240" customWidth="1"/>
    <col min="6677" max="6677" width="4.125" style="240" customWidth="1"/>
    <col min="6678" max="6912" width="9" style="240"/>
    <col min="6913" max="6913" width="6" style="240" customWidth="1"/>
    <col min="6914" max="6914" width="9" style="240"/>
    <col min="6915" max="6915" width="3.25" style="240" customWidth="1"/>
    <col min="6916" max="6916" width="9" style="240"/>
    <col min="6917" max="6917" width="3" style="240" customWidth="1"/>
    <col min="6918" max="6918" width="9" style="240"/>
    <col min="6919" max="6919" width="2.875" style="240" customWidth="1"/>
    <col min="6920" max="6920" width="9" style="240"/>
    <col min="6921" max="6921" width="2.875" style="240" customWidth="1"/>
    <col min="6922" max="6922" width="9" style="240"/>
    <col min="6923" max="6923" width="2.875" style="240" customWidth="1"/>
    <col min="6924" max="6924" width="9" style="240"/>
    <col min="6925" max="6925" width="2.75" style="240" customWidth="1"/>
    <col min="6926" max="6926" width="9" style="240"/>
    <col min="6927" max="6927" width="3" style="240" customWidth="1"/>
    <col min="6928" max="6928" width="9" style="240"/>
    <col min="6929" max="6929" width="5.5" style="240" customWidth="1"/>
    <col min="6930" max="6931" width="9" style="240"/>
    <col min="6932" max="6932" width="6.25" style="240" customWidth="1"/>
    <col min="6933" max="6933" width="4.125" style="240" customWidth="1"/>
    <col min="6934" max="7168" width="9" style="240"/>
    <col min="7169" max="7169" width="6" style="240" customWidth="1"/>
    <col min="7170" max="7170" width="9" style="240"/>
    <col min="7171" max="7171" width="3.25" style="240" customWidth="1"/>
    <col min="7172" max="7172" width="9" style="240"/>
    <col min="7173" max="7173" width="3" style="240" customWidth="1"/>
    <col min="7174" max="7174" width="9" style="240"/>
    <col min="7175" max="7175" width="2.875" style="240" customWidth="1"/>
    <col min="7176" max="7176" width="9" style="240"/>
    <col min="7177" max="7177" width="2.875" style="240" customWidth="1"/>
    <col min="7178" max="7178" width="9" style="240"/>
    <col min="7179" max="7179" width="2.875" style="240" customWidth="1"/>
    <col min="7180" max="7180" width="9" style="240"/>
    <col min="7181" max="7181" width="2.75" style="240" customWidth="1"/>
    <col min="7182" max="7182" width="9" style="240"/>
    <col min="7183" max="7183" width="3" style="240" customWidth="1"/>
    <col min="7184" max="7184" width="9" style="240"/>
    <col min="7185" max="7185" width="5.5" style="240" customWidth="1"/>
    <col min="7186" max="7187" width="9" style="240"/>
    <col min="7188" max="7188" width="6.25" style="240" customWidth="1"/>
    <col min="7189" max="7189" width="4.125" style="240" customWidth="1"/>
    <col min="7190" max="7424" width="9" style="240"/>
    <col min="7425" max="7425" width="6" style="240" customWidth="1"/>
    <col min="7426" max="7426" width="9" style="240"/>
    <col min="7427" max="7427" width="3.25" style="240" customWidth="1"/>
    <col min="7428" max="7428" width="9" style="240"/>
    <col min="7429" max="7429" width="3" style="240" customWidth="1"/>
    <col min="7430" max="7430" width="9" style="240"/>
    <col min="7431" max="7431" width="2.875" style="240" customWidth="1"/>
    <col min="7432" max="7432" width="9" style="240"/>
    <col min="7433" max="7433" width="2.875" style="240" customWidth="1"/>
    <col min="7434" max="7434" width="9" style="240"/>
    <col min="7435" max="7435" width="2.875" style="240" customWidth="1"/>
    <col min="7436" max="7436" width="9" style="240"/>
    <col min="7437" max="7437" width="2.75" style="240" customWidth="1"/>
    <col min="7438" max="7438" width="9" style="240"/>
    <col min="7439" max="7439" width="3" style="240" customWidth="1"/>
    <col min="7440" max="7440" width="9" style="240"/>
    <col min="7441" max="7441" width="5.5" style="240" customWidth="1"/>
    <col min="7442" max="7443" width="9" style="240"/>
    <col min="7444" max="7444" width="6.25" style="240" customWidth="1"/>
    <col min="7445" max="7445" width="4.125" style="240" customWidth="1"/>
    <col min="7446" max="7680" width="9" style="240"/>
    <col min="7681" max="7681" width="6" style="240" customWidth="1"/>
    <col min="7682" max="7682" width="9" style="240"/>
    <col min="7683" max="7683" width="3.25" style="240" customWidth="1"/>
    <col min="7684" max="7684" width="9" style="240"/>
    <col min="7685" max="7685" width="3" style="240" customWidth="1"/>
    <col min="7686" max="7686" width="9" style="240"/>
    <col min="7687" max="7687" width="2.875" style="240" customWidth="1"/>
    <col min="7688" max="7688" width="9" style="240"/>
    <col min="7689" max="7689" width="2.875" style="240" customWidth="1"/>
    <col min="7690" max="7690" width="9" style="240"/>
    <col min="7691" max="7691" width="2.875" style="240" customWidth="1"/>
    <col min="7692" max="7692" width="9" style="240"/>
    <col min="7693" max="7693" width="2.75" style="240" customWidth="1"/>
    <col min="7694" max="7694" width="9" style="240"/>
    <col min="7695" max="7695" width="3" style="240" customWidth="1"/>
    <col min="7696" max="7696" width="9" style="240"/>
    <col min="7697" max="7697" width="5.5" style="240" customWidth="1"/>
    <col min="7698" max="7699" width="9" style="240"/>
    <col min="7700" max="7700" width="6.25" style="240" customWidth="1"/>
    <col min="7701" max="7701" width="4.125" style="240" customWidth="1"/>
    <col min="7702" max="7936" width="9" style="240"/>
    <col min="7937" max="7937" width="6" style="240" customWidth="1"/>
    <col min="7938" max="7938" width="9" style="240"/>
    <col min="7939" max="7939" width="3.25" style="240" customWidth="1"/>
    <col min="7940" max="7940" width="9" style="240"/>
    <col min="7941" max="7941" width="3" style="240" customWidth="1"/>
    <col min="7942" max="7942" width="9" style="240"/>
    <col min="7943" max="7943" width="2.875" style="240" customWidth="1"/>
    <col min="7944" max="7944" width="9" style="240"/>
    <col min="7945" max="7945" width="2.875" style="240" customWidth="1"/>
    <col min="7946" max="7946" width="9" style="240"/>
    <col min="7947" max="7947" width="2.875" style="240" customWidth="1"/>
    <col min="7948" max="7948" width="9" style="240"/>
    <col min="7949" max="7949" width="2.75" style="240" customWidth="1"/>
    <col min="7950" max="7950" width="9" style="240"/>
    <col min="7951" max="7951" width="3" style="240" customWidth="1"/>
    <col min="7952" max="7952" width="9" style="240"/>
    <col min="7953" max="7953" width="5.5" style="240" customWidth="1"/>
    <col min="7954" max="7955" width="9" style="240"/>
    <col min="7956" max="7956" width="6.25" style="240" customWidth="1"/>
    <col min="7957" max="7957" width="4.125" style="240" customWidth="1"/>
    <col min="7958" max="8192" width="9" style="240"/>
    <col min="8193" max="8193" width="6" style="240" customWidth="1"/>
    <col min="8194" max="8194" width="9" style="240"/>
    <col min="8195" max="8195" width="3.25" style="240" customWidth="1"/>
    <col min="8196" max="8196" width="9" style="240"/>
    <col min="8197" max="8197" width="3" style="240" customWidth="1"/>
    <col min="8198" max="8198" width="9" style="240"/>
    <col min="8199" max="8199" width="2.875" style="240" customWidth="1"/>
    <col min="8200" max="8200" width="9" style="240"/>
    <col min="8201" max="8201" width="2.875" style="240" customWidth="1"/>
    <col min="8202" max="8202" width="9" style="240"/>
    <col min="8203" max="8203" width="2.875" style="240" customWidth="1"/>
    <col min="8204" max="8204" width="9" style="240"/>
    <col min="8205" max="8205" width="2.75" style="240" customWidth="1"/>
    <col min="8206" max="8206" width="9" style="240"/>
    <col min="8207" max="8207" width="3" style="240" customWidth="1"/>
    <col min="8208" max="8208" width="9" style="240"/>
    <col min="8209" max="8209" width="5.5" style="240" customWidth="1"/>
    <col min="8210" max="8211" width="9" style="240"/>
    <col min="8212" max="8212" width="6.25" style="240" customWidth="1"/>
    <col min="8213" max="8213" width="4.125" style="240" customWidth="1"/>
    <col min="8214" max="8448" width="9" style="240"/>
    <col min="8449" max="8449" width="6" style="240" customWidth="1"/>
    <col min="8450" max="8450" width="9" style="240"/>
    <col min="8451" max="8451" width="3.25" style="240" customWidth="1"/>
    <col min="8452" max="8452" width="9" style="240"/>
    <col min="8453" max="8453" width="3" style="240" customWidth="1"/>
    <col min="8454" max="8454" width="9" style="240"/>
    <col min="8455" max="8455" width="2.875" style="240" customWidth="1"/>
    <col min="8456" max="8456" width="9" style="240"/>
    <col min="8457" max="8457" width="2.875" style="240" customWidth="1"/>
    <col min="8458" max="8458" width="9" style="240"/>
    <col min="8459" max="8459" width="2.875" style="240" customWidth="1"/>
    <col min="8460" max="8460" width="9" style="240"/>
    <col min="8461" max="8461" width="2.75" style="240" customWidth="1"/>
    <col min="8462" max="8462" width="9" style="240"/>
    <col min="8463" max="8463" width="3" style="240" customWidth="1"/>
    <col min="8464" max="8464" width="9" style="240"/>
    <col min="8465" max="8465" width="5.5" style="240" customWidth="1"/>
    <col min="8466" max="8467" width="9" style="240"/>
    <col min="8468" max="8468" width="6.25" style="240" customWidth="1"/>
    <col min="8469" max="8469" width="4.125" style="240" customWidth="1"/>
    <col min="8470" max="8704" width="9" style="240"/>
    <col min="8705" max="8705" width="6" style="240" customWidth="1"/>
    <col min="8706" max="8706" width="9" style="240"/>
    <col min="8707" max="8707" width="3.25" style="240" customWidth="1"/>
    <col min="8708" max="8708" width="9" style="240"/>
    <col min="8709" max="8709" width="3" style="240" customWidth="1"/>
    <col min="8710" max="8710" width="9" style="240"/>
    <col min="8711" max="8711" width="2.875" style="240" customWidth="1"/>
    <col min="8712" max="8712" width="9" style="240"/>
    <col min="8713" max="8713" width="2.875" style="240" customWidth="1"/>
    <col min="8714" max="8714" width="9" style="240"/>
    <col min="8715" max="8715" width="2.875" style="240" customWidth="1"/>
    <col min="8716" max="8716" width="9" style="240"/>
    <col min="8717" max="8717" width="2.75" style="240" customWidth="1"/>
    <col min="8718" max="8718" width="9" style="240"/>
    <col min="8719" max="8719" width="3" style="240" customWidth="1"/>
    <col min="8720" max="8720" width="9" style="240"/>
    <col min="8721" max="8721" width="5.5" style="240" customWidth="1"/>
    <col min="8722" max="8723" width="9" style="240"/>
    <col min="8724" max="8724" width="6.25" style="240" customWidth="1"/>
    <col min="8725" max="8725" width="4.125" style="240" customWidth="1"/>
    <col min="8726" max="8960" width="9" style="240"/>
    <col min="8961" max="8961" width="6" style="240" customWidth="1"/>
    <col min="8962" max="8962" width="9" style="240"/>
    <col min="8963" max="8963" width="3.25" style="240" customWidth="1"/>
    <col min="8964" max="8964" width="9" style="240"/>
    <col min="8965" max="8965" width="3" style="240" customWidth="1"/>
    <col min="8966" max="8966" width="9" style="240"/>
    <col min="8967" max="8967" width="2.875" style="240" customWidth="1"/>
    <col min="8968" max="8968" width="9" style="240"/>
    <col min="8969" max="8969" width="2.875" style="240" customWidth="1"/>
    <col min="8970" max="8970" width="9" style="240"/>
    <col min="8971" max="8971" width="2.875" style="240" customWidth="1"/>
    <col min="8972" max="8972" width="9" style="240"/>
    <col min="8973" max="8973" width="2.75" style="240" customWidth="1"/>
    <col min="8974" max="8974" width="9" style="240"/>
    <col min="8975" max="8975" width="3" style="240" customWidth="1"/>
    <col min="8976" max="8976" width="9" style="240"/>
    <col min="8977" max="8977" width="5.5" style="240" customWidth="1"/>
    <col min="8978" max="8979" width="9" style="240"/>
    <col min="8980" max="8980" width="6.25" style="240" customWidth="1"/>
    <col min="8981" max="8981" width="4.125" style="240" customWidth="1"/>
    <col min="8982" max="9216" width="9" style="240"/>
    <col min="9217" max="9217" width="6" style="240" customWidth="1"/>
    <col min="9218" max="9218" width="9" style="240"/>
    <col min="9219" max="9219" width="3.25" style="240" customWidth="1"/>
    <col min="9220" max="9220" width="9" style="240"/>
    <col min="9221" max="9221" width="3" style="240" customWidth="1"/>
    <col min="9222" max="9222" width="9" style="240"/>
    <col min="9223" max="9223" width="2.875" style="240" customWidth="1"/>
    <col min="9224" max="9224" width="9" style="240"/>
    <col min="9225" max="9225" width="2.875" style="240" customWidth="1"/>
    <col min="9226" max="9226" width="9" style="240"/>
    <col min="9227" max="9227" width="2.875" style="240" customWidth="1"/>
    <col min="9228" max="9228" width="9" style="240"/>
    <col min="9229" max="9229" width="2.75" style="240" customWidth="1"/>
    <col min="9230" max="9230" width="9" style="240"/>
    <col min="9231" max="9231" width="3" style="240" customWidth="1"/>
    <col min="9232" max="9232" width="9" style="240"/>
    <col min="9233" max="9233" width="5.5" style="240" customWidth="1"/>
    <col min="9234" max="9235" width="9" style="240"/>
    <col min="9236" max="9236" width="6.25" style="240" customWidth="1"/>
    <col min="9237" max="9237" width="4.125" style="240" customWidth="1"/>
    <col min="9238" max="9472" width="9" style="240"/>
    <col min="9473" max="9473" width="6" style="240" customWidth="1"/>
    <col min="9474" max="9474" width="9" style="240"/>
    <col min="9475" max="9475" width="3.25" style="240" customWidth="1"/>
    <col min="9476" max="9476" width="9" style="240"/>
    <col min="9477" max="9477" width="3" style="240" customWidth="1"/>
    <col min="9478" max="9478" width="9" style="240"/>
    <col min="9479" max="9479" width="2.875" style="240" customWidth="1"/>
    <col min="9480" max="9480" width="9" style="240"/>
    <col min="9481" max="9481" width="2.875" style="240" customWidth="1"/>
    <col min="9482" max="9482" width="9" style="240"/>
    <col min="9483" max="9483" width="2.875" style="240" customWidth="1"/>
    <col min="9484" max="9484" width="9" style="240"/>
    <col min="9485" max="9485" width="2.75" style="240" customWidth="1"/>
    <col min="9486" max="9486" width="9" style="240"/>
    <col min="9487" max="9487" width="3" style="240" customWidth="1"/>
    <col min="9488" max="9488" width="9" style="240"/>
    <col min="9489" max="9489" width="5.5" style="240" customWidth="1"/>
    <col min="9490" max="9491" width="9" style="240"/>
    <col min="9492" max="9492" width="6.25" style="240" customWidth="1"/>
    <col min="9493" max="9493" width="4.125" style="240" customWidth="1"/>
    <col min="9494" max="9728" width="9" style="240"/>
    <col min="9729" max="9729" width="6" style="240" customWidth="1"/>
    <col min="9730" max="9730" width="9" style="240"/>
    <col min="9731" max="9731" width="3.25" style="240" customWidth="1"/>
    <col min="9732" max="9732" width="9" style="240"/>
    <col min="9733" max="9733" width="3" style="240" customWidth="1"/>
    <col min="9734" max="9734" width="9" style="240"/>
    <col min="9735" max="9735" width="2.875" style="240" customWidth="1"/>
    <col min="9736" max="9736" width="9" style="240"/>
    <col min="9737" max="9737" width="2.875" style="240" customWidth="1"/>
    <col min="9738" max="9738" width="9" style="240"/>
    <col min="9739" max="9739" width="2.875" style="240" customWidth="1"/>
    <col min="9740" max="9740" width="9" style="240"/>
    <col min="9741" max="9741" width="2.75" style="240" customWidth="1"/>
    <col min="9742" max="9742" width="9" style="240"/>
    <col min="9743" max="9743" width="3" style="240" customWidth="1"/>
    <col min="9744" max="9744" width="9" style="240"/>
    <col min="9745" max="9745" width="5.5" style="240" customWidth="1"/>
    <col min="9746" max="9747" width="9" style="240"/>
    <col min="9748" max="9748" width="6.25" style="240" customWidth="1"/>
    <col min="9749" max="9749" width="4.125" style="240" customWidth="1"/>
    <col min="9750" max="9984" width="9" style="240"/>
    <col min="9985" max="9985" width="6" style="240" customWidth="1"/>
    <col min="9986" max="9986" width="9" style="240"/>
    <col min="9987" max="9987" width="3.25" style="240" customWidth="1"/>
    <col min="9988" max="9988" width="9" style="240"/>
    <col min="9989" max="9989" width="3" style="240" customWidth="1"/>
    <col min="9990" max="9990" width="9" style="240"/>
    <col min="9991" max="9991" width="2.875" style="240" customWidth="1"/>
    <col min="9992" max="9992" width="9" style="240"/>
    <col min="9993" max="9993" width="2.875" style="240" customWidth="1"/>
    <col min="9994" max="9994" width="9" style="240"/>
    <col min="9995" max="9995" width="2.875" style="240" customWidth="1"/>
    <col min="9996" max="9996" width="9" style="240"/>
    <col min="9997" max="9997" width="2.75" style="240" customWidth="1"/>
    <col min="9998" max="9998" width="9" style="240"/>
    <col min="9999" max="9999" width="3" style="240" customWidth="1"/>
    <col min="10000" max="10000" width="9" style="240"/>
    <col min="10001" max="10001" width="5.5" style="240" customWidth="1"/>
    <col min="10002" max="10003" width="9" style="240"/>
    <col min="10004" max="10004" width="6.25" style="240" customWidth="1"/>
    <col min="10005" max="10005" width="4.125" style="240" customWidth="1"/>
    <col min="10006" max="10240" width="9" style="240"/>
    <col min="10241" max="10241" width="6" style="240" customWidth="1"/>
    <col min="10242" max="10242" width="9" style="240"/>
    <col min="10243" max="10243" width="3.25" style="240" customWidth="1"/>
    <col min="10244" max="10244" width="9" style="240"/>
    <col min="10245" max="10245" width="3" style="240" customWidth="1"/>
    <col min="10246" max="10246" width="9" style="240"/>
    <col min="10247" max="10247" width="2.875" style="240" customWidth="1"/>
    <col min="10248" max="10248" width="9" style="240"/>
    <col min="10249" max="10249" width="2.875" style="240" customWidth="1"/>
    <col min="10250" max="10250" width="9" style="240"/>
    <col min="10251" max="10251" width="2.875" style="240" customWidth="1"/>
    <col min="10252" max="10252" width="9" style="240"/>
    <col min="10253" max="10253" width="2.75" style="240" customWidth="1"/>
    <col min="10254" max="10254" width="9" style="240"/>
    <col min="10255" max="10255" width="3" style="240" customWidth="1"/>
    <col min="10256" max="10256" width="9" style="240"/>
    <col min="10257" max="10257" width="5.5" style="240" customWidth="1"/>
    <col min="10258" max="10259" width="9" style="240"/>
    <col min="10260" max="10260" width="6.25" style="240" customWidth="1"/>
    <col min="10261" max="10261" width="4.125" style="240" customWidth="1"/>
    <col min="10262" max="10496" width="9" style="240"/>
    <col min="10497" max="10497" width="6" style="240" customWidth="1"/>
    <col min="10498" max="10498" width="9" style="240"/>
    <col min="10499" max="10499" width="3.25" style="240" customWidth="1"/>
    <col min="10500" max="10500" width="9" style="240"/>
    <col min="10501" max="10501" width="3" style="240" customWidth="1"/>
    <col min="10502" max="10502" width="9" style="240"/>
    <col min="10503" max="10503" width="2.875" style="240" customWidth="1"/>
    <col min="10504" max="10504" width="9" style="240"/>
    <col min="10505" max="10505" width="2.875" style="240" customWidth="1"/>
    <col min="10506" max="10506" width="9" style="240"/>
    <col min="10507" max="10507" width="2.875" style="240" customWidth="1"/>
    <col min="10508" max="10508" width="9" style="240"/>
    <col min="10509" max="10509" width="2.75" style="240" customWidth="1"/>
    <col min="10510" max="10510" width="9" style="240"/>
    <col min="10511" max="10511" width="3" style="240" customWidth="1"/>
    <col min="10512" max="10512" width="9" style="240"/>
    <col min="10513" max="10513" width="5.5" style="240" customWidth="1"/>
    <col min="10514" max="10515" width="9" style="240"/>
    <col min="10516" max="10516" width="6.25" style="240" customWidth="1"/>
    <col min="10517" max="10517" width="4.125" style="240" customWidth="1"/>
    <col min="10518" max="10752" width="9" style="240"/>
    <col min="10753" max="10753" width="6" style="240" customWidth="1"/>
    <col min="10754" max="10754" width="9" style="240"/>
    <col min="10755" max="10755" width="3.25" style="240" customWidth="1"/>
    <col min="10756" max="10756" width="9" style="240"/>
    <col min="10757" max="10757" width="3" style="240" customWidth="1"/>
    <col min="10758" max="10758" width="9" style="240"/>
    <col min="10759" max="10759" width="2.875" style="240" customWidth="1"/>
    <col min="10760" max="10760" width="9" style="240"/>
    <col min="10761" max="10761" width="2.875" style="240" customWidth="1"/>
    <col min="10762" max="10762" width="9" style="240"/>
    <col min="10763" max="10763" width="2.875" style="240" customWidth="1"/>
    <col min="10764" max="10764" width="9" style="240"/>
    <col min="10765" max="10765" width="2.75" style="240" customWidth="1"/>
    <col min="10766" max="10766" width="9" style="240"/>
    <col min="10767" max="10767" width="3" style="240" customWidth="1"/>
    <col min="10768" max="10768" width="9" style="240"/>
    <col min="10769" max="10769" width="5.5" style="240" customWidth="1"/>
    <col min="10770" max="10771" width="9" style="240"/>
    <col min="10772" max="10772" width="6.25" style="240" customWidth="1"/>
    <col min="10773" max="10773" width="4.125" style="240" customWidth="1"/>
    <col min="10774" max="11008" width="9" style="240"/>
    <col min="11009" max="11009" width="6" style="240" customWidth="1"/>
    <col min="11010" max="11010" width="9" style="240"/>
    <col min="11011" max="11011" width="3.25" style="240" customWidth="1"/>
    <col min="11012" max="11012" width="9" style="240"/>
    <col min="11013" max="11013" width="3" style="240" customWidth="1"/>
    <col min="11014" max="11014" width="9" style="240"/>
    <col min="11015" max="11015" width="2.875" style="240" customWidth="1"/>
    <col min="11016" max="11016" width="9" style="240"/>
    <col min="11017" max="11017" width="2.875" style="240" customWidth="1"/>
    <col min="11018" max="11018" width="9" style="240"/>
    <col min="11019" max="11019" width="2.875" style="240" customWidth="1"/>
    <col min="11020" max="11020" width="9" style="240"/>
    <col min="11021" max="11021" width="2.75" style="240" customWidth="1"/>
    <col min="11022" max="11022" width="9" style="240"/>
    <col min="11023" max="11023" width="3" style="240" customWidth="1"/>
    <col min="11024" max="11024" width="9" style="240"/>
    <col min="11025" max="11025" width="5.5" style="240" customWidth="1"/>
    <col min="11026" max="11027" width="9" style="240"/>
    <col min="11028" max="11028" width="6.25" style="240" customWidth="1"/>
    <col min="11029" max="11029" width="4.125" style="240" customWidth="1"/>
    <col min="11030" max="11264" width="9" style="240"/>
    <col min="11265" max="11265" width="6" style="240" customWidth="1"/>
    <col min="11266" max="11266" width="9" style="240"/>
    <col min="11267" max="11267" width="3.25" style="240" customWidth="1"/>
    <col min="11268" max="11268" width="9" style="240"/>
    <col min="11269" max="11269" width="3" style="240" customWidth="1"/>
    <col min="11270" max="11270" width="9" style="240"/>
    <col min="11271" max="11271" width="2.875" style="240" customWidth="1"/>
    <col min="11272" max="11272" width="9" style="240"/>
    <col min="11273" max="11273" width="2.875" style="240" customWidth="1"/>
    <col min="11274" max="11274" width="9" style="240"/>
    <col min="11275" max="11275" width="2.875" style="240" customWidth="1"/>
    <col min="11276" max="11276" width="9" style="240"/>
    <col min="11277" max="11277" width="2.75" style="240" customWidth="1"/>
    <col min="11278" max="11278" width="9" style="240"/>
    <col min="11279" max="11279" width="3" style="240" customWidth="1"/>
    <col min="11280" max="11280" width="9" style="240"/>
    <col min="11281" max="11281" width="5.5" style="240" customWidth="1"/>
    <col min="11282" max="11283" width="9" style="240"/>
    <col min="11284" max="11284" width="6.25" style="240" customWidth="1"/>
    <col min="11285" max="11285" width="4.125" style="240" customWidth="1"/>
    <col min="11286" max="11520" width="9" style="240"/>
    <col min="11521" max="11521" width="6" style="240" customWidth="1"/>
    <col min="11522" max="11522" width="9" style="240"/>
    <col min="11523" max="11523" width="3.25" style="240" customWidth="1"/>
    <col min="11524" max="11524" width="9" style="240"/>
    <col min="11525" max="11525" width="3" style="240" customWidth="1"/>
    <col min="11526" max="11526" width="9" style="240"/>
    <col min="11527" max="11527" width="2.875" style="240" customWidth="1"/>
    <col min="11528" max="11528" width="9" style="240"/>
    <col min="11529" max="11529" width="2.875" style="240" customWidth="1"/>
    <col min="11530" max="11530" width="9" style="240"/>
    <col min="11531" max="11531" width="2.875" style="240" customWidth="1"/>
    <col min="11532" max="11532" width="9" style="240"/>
    <col min="11533" max="11533" width="2.75" style="240" customWidth="1"/>
    <col min="11534" max="11534" width="9" style="240"/>
    <col min="11535" max="11535" width="3" style="240" customWidth="1"/>
    <col min="11536" max="11536" width="9" style="240"/>
    <col min="11537" max="11537" width="5.5" style="240" customWidth="1"/>
    <col min="11538" max="11539" width="9" style="240"/>
    <col min="11540" max="11540" width="6.25" style="240" customWidth="1"/>
    <col min="11541" max="11541" width="4.125" style="240" customWidth="1"/>
    <col min="11542" max="11776" width="9" style="240"/>
    <col min="11777" max="11777" width="6" style="240" customWidth="1"/>
    <col min="11778" max="11778" width="9" style="240"/>
    <col min="11779" max="11779" width="3.25" style="240" customWidth="1"/>
    <col min="11780" max="11780" width="9" style="240"/>
    <col min="11781" max="11781" width="3" style="240" customWidth="1"/>
    <col min="11782" max="11782" width="9" style="240"/>
    <col min="11783" max="11783" width="2.875" style="240" customWidth="1"/>
    <col min="11784" max="11784" width="9" style="240"/>
    <col min="11785" max="11785" width="2.875" style="240" customWidth="1"/>
    <col min="11786" max="11786" width="9" style="240"/>
    <col min="11787" max="11787" width="2.875" style="240" customWidth="1"/>
    <col min="11788" max="11788" width="9" style="240"/>
    <col min="11789" max="11789" width="2.75" style="240" customWidth="1"/>
    <col min="11790" max="11790" width="9" style="240"/>
    <col min="11791" max="11791" width="3" style="240" customWidth="1"/>
    <col min="11792" max="11792" width="9" style="240"/>
    <col min="11793" max="11793" width="5.5" style="240" customWidth="1"/>
    <col min="11794" max="11795" width="9" style="240"/>
    <col min="11796" max="11796" width="6.25" style="240" customWidth="1"/>
    <col min="11797" max="11797" width="4.125" style="240" customWidth="1"/>
    <col min="11798" max="12032" width="9" style="240"/>
    <col min="12033" max="12033" width="6" style="240" customWidth="1"/>
    <col min="12034" max="12034" width="9" style="240"/>
    <col min="12035" max="12035" width="3.25" style="240" customWidth="1"/>
    <col min="12036" max="12036" width="9" style="240"/>
    <col min="12037" max="12037" width="3" style="240" customWidth="1"/>
    <col min="12038" max="12038" width="9" style="240"/>
    <col min="12039" max="12039" width="2.875" style="240" customWidth="1"/>
    <col min="12040" max="12040" width="9" style="240"/>
    <col min="12041" max="12041" width="2.875" style="240" customWidth="1"/>
    <col min="12042" max="12042" width="9" style="240"/>
    <col min="12043" max="12043" width="2.875" style="240" customWidth="1"/>
    <col min="12044" max="12044" width="9" style="240"/>
    <col min="12045" max="12045" width="2.75" style="240" customWidth="1"/>
    <col min="12046" max="12046" width="9" style="240"/>
    <col min="12047" max="12047" width="3" style="240" customWidth="1"/>
    <col min="12048" max="12048" width="9" style="240"/>
    <col min="12049" max="12049" width="5.5" style="240" customWidth="1"/>
    <col min="12050" max="12051" width="9" style="240"/>
    <col min="12052" max="12052" width="6.25" style="240" customWidth="1"/>
    <col min="12053" max="12053" width="4.125" style="240" customWidth="1"/>
    <col min="12054" max="12288" width="9" style="240"/>
    <col min="12289" max="12289" width="6" style="240" customWidth="1"/>
    <col min="12290" max="12290" width="9" style="240"/>
    <col min="12291" max="12291" width="3.25" style="240" customWidth="1"/>
    <col min="12292" max="12292" width="9" style="240"/>
    <col min="12293" max="12293" width="3" style="240" customWidth="1"/>
    <col min="12294" max="12294" width="9" style="240"/>
    <col min="12295" max="12295" width="2.875" style="240" customWidth="1"/>
    <col min="12296" max="12296" width="9" style="240"/>
    <col min="12297" max="12297" width="2.875" style="240" customWidth="1"/>
    <col min="12298" max="12298" width="9" style="240"/>
    <col min="12299" max="12299" width="2.875" style="240" customWidth="1"/>
    <col min="12300" max="12300" width="9" style="240"/>
    <col min="12301" max="12301" width="2.75" style="240" customWidth="1"/>
    <col min="12302" max="12302" width="9" style="240"/>
    <col min="12303" max="12303" width="3" style="240" customWidth="1"/>
    <col min="12304" max="12304" width="9" style="240"/>
    <col min="12305" max="12305" width="5.5" style="240" customWidth="1"/>
    <col min="12306" max="12307" width="9" style="240"/>
    <col min="12308" max="12308" width="6.25" style="240" customWidth="1"/>
    <col min="12309" max="12309" width="4.125" style="240" customWidth="1"/>
    <col min="12310" max="12544" width="9" style="240"/>
    <col min="12545" max="12545" width="6" style="240" customWidth="1"/>
    <col min="12546" max="12546" width="9" style="240"/>
    <col min="12547" max="12547" width="3.25" style="240" customWidth="1"/>
    <col min="12548" max="12548" width="9" style="240"/>
    <col min="12549" max="12549" width="3" style="240" customWidth="1"/>
    <col min="12550" max="12550" width="9" style="240"/>
    <col min="12551" max="12551" width="2.875" style="240" customWidth="1"/>
    <col min="12552" max="12552" width="9" style="240"/>
    <col min="12553" max="12553" width="2.875" style="240" customWidth="1"/>
    <col min="12554" max="12554" width="9" style="240"/>
    <col min="12555" max="12555" width="2.875" style="240" customWidth="1"/>
    <col min="12556" max="12556" width="9" style="240"/>
    <col min="12557" max="12557" width="2.75" style="240" customWidth="1"/>
    <col min="12558" max="12558" width="9" style="240"/>
    <col min="12559" max="12559" width="3" style="240" customWidth="1"/>
    <col min="12560" max="12560" width="9" style="240"/>
    <col min="12561" max="12561" width="5.5" style="240" customWidth="1"/>
    <col min="12562" max="12563" width="9" style="240"/>
    <col min="12564" max="12564" width="6.25" style="240" customWidth="1"/>
    <col min="12565" max="12565" width="4.125" style="240" customWidth="1"/>
    <col min="12566" max="12800" width="9" style="240"/>
    <col min="12801" max="12801" width="6" style="240" customWidth="1"/>
    <col min="12802" max="12802" width="9" style="240"/>
    <col min="12803" max="12803" width="3.25" style="240" customWidth="1"/>
    <col min="12804" max="12804" width="9" style="240"/>
    <col min="12805" max="12805" width="3" style="240" customWidth="1"/>
    <col min="12806" max="12806" width="9" style="240"/>
    <col min="12807" max="12807" width="2.875" style="240" customWidth="1"/>
    <col min="12808" max="12808" width="9" style="240"/>
    <col min="12809" max="12809" width="2.875" style="240" customWidth="1"/>
    <col min="12810" max="12810" width="9" style="240"/>
    <col min="12811" max="12811" width="2.875" style="240" customWidth="1"/>
    <col min="12812" max="12812" width="9" style="240"/>
    <col min="12813" max="12813" width="2.75" style="240" customWidth="1"/>
    <col min="12814" max="12814" width="9" style="240"/>
    <col min="12815" max="12815" width="3" style="240" customWidth="1"/>
    <col min="12816" max="12816" width="9" style="240"/>
    <col min="12817" max="12817" width="5.5" style="240" customWidth="1"/>
    <col min="12818" max="12819" width="9" style="240"/>
    <col min="12820" max="12820" width="6.25" style="240" customWidth="1"/>
    <col min="12821" max="12821" width="4.125" style="240" customWidth="1"/>
    <col min="12822" max="13056" width="9" style="240"/>
    <col min="13057" max="13057" width="6" style="240" customWidth="1"/>
    <col min="13058" max="13058" width="9" style="240"/>
    <col min="13059" max="13059" width="3.25" style="240" customWidth="1"/>
    <col min="13060" max="13060" width="9" style="240"/>
    <col min="13061" max="13061" width="3" style="240" customWidth="1"/>
    <col min="13062" max="13062" width="9" style="240"/>
    <col min="13063" max="13063" width="2.875" style="240" customWidth="1"/>
    <col min="13064" max="13064" width="9" style="240"/>
    <col min="13065" max="13065" width="2.875" style="240" customWidth="1"/>
    <col min="13066" max="13066" width="9" style="240"/>
    <col min="13067" max="13067" width="2.875" style="240" customWidth="1"/>
    <col min="13068" max="13068" width="9" style="240"/>
    <col min="13069" max="13069" width="2.75" style="240" customWidth="1"/>
    <col min="13070" max="13070" width="9" style="240"/>
    <col min="13071" max="13071" width="3" style="240" customWidth="1"/>
    <col min="13072" max="13072" width="9" style="240"/>
    <col min="13073" max="13073" width="5.5" style="240" customWidth="1"/>
    <col min="13074" max="13075" width="9" style="240"/>
    <col min="13076" max="13076" width="6.25" style="240" customWidth="1"/>
    <col min="13077" max="13077" width="4.125" style="240" customWidth="1"/>
    <col min="13078" max="13312" width="9" style="240"/>
    <col min="13313" max="13313" width="6" style="240" customWidth="1"/>
    <col min="13314" max="13314" width="9" style="240"/>
    <col min="13315" max="13315" width="3.25" style="240" customWidth="1"/>
    <col min="13316" max="13316" width="9" style="240"/>
    <col min="13317" max="13317" width="3" style="240" customWidth="1"/>
    <col min="13318" max="13318" width="9" style="240"/>
    <col min="13319" max="13319" width="2.875" style="240" customWidth="1"/>
    <col min="13320" max="13320" width="9" style="240"/>
    <col min="13321" max="13321" width="2.875" style="240" customWidth="1"/>
    <col min="13322" max="13322" width="9" style="240"/>
    <col min="13323" max="13323" width="2.875" style="240" customWidth="1"/>
    <col min="13324" max="13324" width="9" style="240"/>
    <col min="13325" max="13325" width="2.75" style="240" customWidth="1"/>
    <col min="13326" max="13326" width="9" style="240"/>
    <col min="13327" max="13327" width="3" style="240" customWidth="1"/>
    <col min="13328" max="13328" width="9" style="240"/>
    <col min="13329" max="13329" width="5.5" style="240" customWidth="1"/>
    <col min="13330" max="13331" width="9" style="240"/>
    <col min="13332" max="13332" width="6.25" style="240" customWidth="1"/>
    <col min="13333" max="13333" width="4.125" style="240" customWidth="1"/>
    <col min="13334" max="13568" width="9" style="240"/>
    <col min="13569" max="13569" width="6" style="240" customWidth="1"/>
    <col min="13570" max="13570" width="9" style="240"/>
    <col min="13571" max="13571" width="3.25" style="240" customWidth="1"/>
    <col min="13572" max="13572" width="9" style="240"/>
    <col min="13573" max="13573" width="3" style="240" customWidth="1"/>
    <col min="13574" max="13574" width="9" style="240"/>
    <col min="13575" max="13575" width="2.875" style="240" customWidth="1"/>
    <col min="13576" max="13576" width="9" style="240"/>
    <col min="13577" max="13577" width="2.875" style="240" customWidth="1"/>
    <col min="13578" max="13578" width="9" style="240"/>
    <col min="13579" max="13579" width="2.875" style="240" customWidth="1"/>
    <col min="13580" max="13580" width="9" style="240"/>
    <col min="13581" max="13581" width="2.75" style="240" customWidth="1"/>
    <col min="13582" max="13582" width="9" style="240"/>
    <col min="13583" max="13583" width="3" style="240" customWidth="1"/>
    <col min="13584" max="13584" width="9" style="240"/>
    <col min="13585" max="13585" width="5.5" style="240" customWidth="1"/>
    <col min="13586" max="13587" width="9" style="240"/>
    <col min="13588" max="13588" width="6.25" style="240" customWidth="1"/>
    <col min="13589" max="13589" width="4.125" style="240" customWidth="1"/>
    <col min="13590" max="13824" width="9" style="240"/>
    <col min="13825" max="13825" width="6" style="240" customWidth="1"/>
    <col min="13826" max="13826" width="9" style="240"/>
    <col min="13827" max="13827" width="3.25" style="240" customWidth="1"/>
    <col min="13828" max="13828" width="9" style="240"/>
    <col min="13829" max="13829" width="3" style="240" customWidth="1"/>
    <col min="13830" max="13830" width="9" style="240"/>
    <col min="13831" max="13831" width="2.875" style="240" customWidth="1"/>
    <col min="13832" max="13832" width="9" style="240"/>
    <col min="13833" max="13833" width="2.875" style="240" customWidth="1"/>
    <col min="13834" max="13834" width="9" style="240"/>
    <col min="13835" max="13835" width="2.875" style="240" customWidth="1"/>
    <col min="13836" max="13836" width="9" style="240"/>
    <col min="13837" max="13837" width="2.75" style="240" customWidth="1"/>
    <col min="13838" max="13838" width="9" style="240"/>
    <col min="13839" max="13839" width="3" style="240" customWidth="1"/>
    <col min="13840" max="13840" width="9" style="240"/>
    <col min="13841" max="13841" width="5.5" style="240" customWidth="1"/>
    <col min="13842" max="13843" width="9" style="240"/>
    <col min="13844" max="13844" width="6.25" style="240" customWidth="1"/>
    <col min="13845" max="13845" width="4.125" style="240" customWidth="1"/>
    <col min="13846" max="14080" width="9" style="240"/>
    <col min="14081" max="14081" width="6" style="240" customWidth="1"/>
    <col min="14082" max="14082" width="9" style="240"/>
    <col min="14083" max="14083" width="3.25" style="240" customWidth="1"/>
    <col min="14084" max="14084" width="9" style="240"/>
    <col min="14085" max="14085" width="3" style="240" customWidth="1"/>
    <col min="14086" max="14086" width="9" style="240"/>
    <col min="14087" max="14087" width="2.875" style="240" customWidth="1"/>
    <col min="14088" max="14088" width="9" style="240"/>
    <col min="14089" max="14089" width="2.875" style="240" customWidth="1"/>
    <col min="14090" max="14090" width="9" style="240"/>
    <col min="14091" max="14091" width="2.875" style="240" customWidth="1"/>
    <col min="14092" max="14092" width="9" style="240"/>
    <col min="14093" max="14093" width="2.75" style="240" customWidth="1"/>
    <col min="14094" max="14094" width="9" style="240"/>
    <col min="14095" max="14095" width="3" style="240" customWidth="1"/>
    <col min="14096" max="14096" width="9" style="240"/>
    <col min="14097" max="14097" width="5.5" style="240" customWidth="1"/>
    <col min="14098" max="14099" width="9" style="240"/>
    <col min="14100" max="14100" width="6.25" style="240" customWidth="1"/>
    <col min="14101" max="14101" width="4.125" style="240" customWidth="1"/>
    <col min="14102" max="14336" width="9" style="240"/>
    <col min="14337" max="14337" width="6" style="240" customWidth="1"/>
    <col min="14338" max="14338" width="9" style="240"/>
    <col min="14339" max="14339" width="3.25" style="240" customWidth="1"/>
    <col min="14340" max="14340" width="9" style="240"/>
    <col min="14341" max="14341" width="3" style="240" customWidth="1"/>
    <col min="14342" max="14342" width="9" style="240"/>
    <col min="14343" max="14343" width="2.875" style="240" customWidth="1"/>
    <col min="14344" max="14344" width="9" style="240"/>
    <col min="14345" max="14345" width="2.875" style="240" customWidth="1"/>
    <col min="14346" max="14346" width="9" style="240"/>
    <col min="14347" max="14347" width="2.875" style="240" customWidth="1"/>
    <col min="14348" max="14348" width="9" style="240"/>
    <col min="14349" max="14349" width="2.75" style="240" customWidth="1"/>
    <col min="14350" max="14350" width="9" style="240"/>
    <col min="14351" max="14351" width="3" style="240" customWidth="1"/>
    <col min="14352" max="14352" width="9" style="240"/>
    <col min="14353" max="14353" width="5.5" style="240" customWidth="1"/>
    <col min="14354" max="14355" width="9" style="240"/>
    <col min="14356" max="14356" width="6.25" style="240" customWidth="1"/>
    <col min="14357" max="14357" width="4.125" style="240" customWidth="1"/>
    <col min="14358" max="14592" width="9" style="240"/>
    <col min="14593" max="14593" width="6" style="240" customWidth="1"/>
    <col min="14594" max="14594" width="9" style="240"/>
    <col min="14595" max="14595" width="3.25" style="240" customWidth="1"/>
    <col min="14596" max="14596" width="9" style="240"/>
    <col min="14597" max="14597" width="3" style="240" customWidth="1"/>
    <col min="14598" max="14598" width="9" style="240"/>
    <col min="14599" max="14599" width="2.875" style="240" customWidth="1"/>
    <col min="14600" max="14600" width="9" style="240"/>
    <col min="14601" max="14601" width="2.875" style="240" customWidth="1"/>
    <col min="14602" max="14602" width="9" style="240"/>
    <col min="14603" max="14603" width="2.875" style="240" customWidth="1"/>
    <col min="14604" max="14604" width="9" style="240"/>
    <col min="14605" max="14605" width="2.75" style="240" customWidth="1"/>
    <col min="14606" max="14606" width="9" style="240"/>
    <col min="14607" max="14607" width="3" style="240" customWidth="1"/>
    <col min="14608" max="14608" width="9" style="240"/>
    <col min="14609" max="14609" width="5.5" style="240" customWidth="1"/>
    <col min="14610" max="14611" width="9" style="240"/>
    <col min="14612" max="14612" width="6.25" style="240" customWidth="1"/>
    <col min="14613" max="14613" width="4.125" style="240" customWidth="1"/>
    <col min="14614" max="14848" width="9" style="240"/>
    <col min="14849" max="14849" width="6" style="240" customWidth="1"/>
    <col min="14850" max="14850" width="9" style="240"/>
    <col min="14851" max="14851" width="3.25" style="240" customWidth="1"/>
    <col min="14852" max="14852" width="9" style="240"/>
    <col min="14853" max="14853" width="3" style="240" customWidth="1"/>
    <col min="14854" max="14854" width="9" style="240"/>
    <col min="14855" max="14855" width="2.875" style="240" customWidth="1"/>
    <col min="14856" max="14856" width="9" style="240"/>
    <col min="14857" max="14857" width="2.875" style="240" customWidth="1"/>
    <col min="14858" max="14858" width="9" style="240"/>
    <col min="14859" max="14859" width="2.875" style="240" customWidth="1"/>
    <col min="14860" max="14860" width="9" style="240"/>
    <col min="14861" max="14861" width="2.75" style="240" customWidth="1"/>
    <col min="14862" max="14862" width="9" style="240"/>
    <col min="14863" max="14863" width="3" style="240" customWidth="1"/>
    <col min="14864" max="14864" width="9" style="240"/>
    <col min="14865" max="14865" width="5.5" style="240" customWidth="1"/>
    <col min="14866" max="14867" width="9" style="240"/>
    <col min="14868" max="14868" width="6.25" style="240" customWidth="1"/>
    <col min="14869" max="14869" width="4.125" style="240" customWidth="1"/>
    <col min="14870" max="15104" width="9" style="240"/>
    <col min="15105" max="15105" width="6" style="240" customWidth="1"/>
    <col min="15106" max="15106" width="9" style="240"/>
    <col min="15107" max="15107" width="3.25" style="240" customWidth="1"/>
    <col min="15108" max="15108" width="9" style="240"/>
    <col min="15109" max="15109" width="3" style="240" customWidth="1"/>
    <col min="15110" max="15110" width="9" style="240"/>
    <col min="15111" max="15111" width="2.875" style="240" customWidth="1"/>
    <col min="15112" max="15112" width="9" style="240"/>
    <col min="15113" max="15113" width="2.875" style="240" customWidth="1"/>
    <col min="15114" max="15114" width="9" style="240"/>
    <col min="15115" max="15115" width="2.875" style="240" customWidth="1"/>
    <col min="15116" max="15116" width="9" style="240"/>
    <col min="15117" max="15117" width="2.75" style="240" customWidth="1"/>
    <col min="15118" max="15118" width="9" style="240"/>
    <col min="15119" max="15119" width="3" style="240" customWidth="1"/>
    <col min="15120" max="15120" width="9" style="240"/>
    <col min="15121" max="15121" width="5.5" style="240" customWidth="1"/>
    <col min="15122" max="15123" width="9" style="240"/>
    <col min="15124" max="15124" width="6.25" style="240" customWidth="1"/>
    <col min="15125" max="15125" width="4.125" style="240" customWidth="1"/>
    <col min="15126" max="15360" width="9" style="240"/>
    <col min="15361" max="15361" width="6" style="240" customWidth="1"/>
    <col min="15362" max="15362" width="9" style="240"/>
    <col min="15363" max="15363" width="3.25" style="240" customWidth="1"/>
    <col min="15364" max="15364" width="9" style="240"/>
    <col min="15365" max="15365" width="3" style="240" customWidth="1"/>
    <col min="15366" max="15366" width="9" style="240"/>
    <col min="15367" max="15367" width="2.875" style="240" customWidth="1"/>
    <col min="15368" max="15368" width="9" style="240"/>
    <col min="15369" max="15369" width="2.875" style="240" customWidth="1"/>
    <col min="15370" max="15370" width="9" style="240"/>
    <col min="15371" max="15371" width="2.875" style="240" customWidth="1"/>
    <col min="15372" max="15372" width="9" style="240"/>
    <col min="15373" max="15373" width="2.75" style="240" customWidth="1"/>
    <col min="15374" max="15374" width="9" style="240"/>
    <col min="15375" max="15375" width="3" style="240" customWidth="1"/>
    <col min="15376" max="15376" width="9" style="240"/>
    <col min="15377" max="15377" width="5.5" style="240" customWidth="1"/>
    <col min="15378" max="15379" width="9" style="240"/>
    <col min="15380" max="15380" width="6.25" style="240" customWidth="1"/>
    <col min="15381" max="15381" width="4.125" style="240" customWidth="1"/>
    <col min="15382" max="15616" width="9" style="240"/>
    <col min="15617" max="15617" width="6" style="240" customWidth="1"/>
    <col min="15618" max="15618" width="9" style="240"/>
    <col min="15619" max="15619" width="3.25" style="240" customWidth="1"/>
    <col min="15620" max="15620" width="9" style="240"/>
    <col min="15621" max="15621" width="3" style="240" customWidth="1"/>
    <col min="15622" max="15622" width="9" style="240"/>
    <col min="15623" max="15623" width="2.875" style="240" customWidth="1"/>
    <col min="15624" max="15624" width="9" style="240"/>
    <col min="15625" max="15625" width="2.875" style="240" customWidth="1"/>
    <col min="15626" max="15626" width="9" style="240"/>
    <col min="15627" max="15627" width="2.875" style="240" customWidth="1"/>
    <col min="15628" max="15628" width="9" style="240"/>
    <col min="15629" max="15629" width="2.75" style="240" customWidth="1"/>
    <col min="15630" max="15630" width="9" style="240"/>
    <col min="15631" max="15631" width="3" style="240" customWidth="1"/>
    <col min="15632" max="15632" width="9" style="240"/>
    <col min="15633" max="15633" width="5.5" style="240" customWidth="1"/>
    <col min="15634" max="15635" width="9" style="240"/>
    <col min="15636" max="15636" width="6.25" style="240" customWidth="1"/>
    <col min="15637" max="15637" width="4.125" style="240" customWidth="1"/>
    <col min="15638" max="15872" width="9" style="240"/>
    <col min="15873" max="15873" width="6" style="240" customWidth="1"/>
    <col min="15874" max="15874" width="9" style="240"/>
    <col min="15875" max="15875" width="3.25" style="240" customWidth="1"/>
    <col min="15876" max="15876" width="9" style="240"/>
    <col min="15877" max="15877" width="3" style="240" customWidth="1"/>
    <col min="15878" max="15878" width="9" style="240"/>
    <col min="15879" max="15879" width="2.875" style="240" customWidth="1"/>
    <col min="15880" max="15880" width="9" style="240"/>
    <col min="15881" max="15881" width="2.875" style="240" customWidth="1"/>
    <col min="15882" max="15882" width="9" style="240"/>
    <col min="15883" max="15883" width="2.875" style="240" customWidth="1"/>
    <col min="15884" max="15884" width="9" style="240"/>
    <col min="15885" max="15885" width="2.75" style="240" customWidth="1"/>
    <col min="15886" max="15886" width="9" style="240"/>
    <col min="15887" max="15887" width="3" style="240" customWidth="1"/>
    <col min="15888" max="15888" width="9" style="240"/>
    <col min="15889" max="15889" width="5.5" style="240" customWidth="1"/>
    <col min="15890" max="15891" width="9" style="240"/>
    <col min="15892" max="15892" width="6.25" style="240" customWidth="1"/>
    <col min="15893" max="15893" width="4.125" style="240" customWidth="1"/>
    <col min="15894" max="16128" width="9" style="240"/>
    <col min="16129" max="16129" width="6" style="240" customWidth="1"/>
    <col min="16130" max="16130" width="9" style="240"/>
    <col min="16131" max="16131" width="3.25" style="240" customWidth="1"/>
    <col min="16132" max="16132" width="9" style="240"/>
    <col min="16133" max="16133" width="3" style="240" customWidth="1"/>
    <col min="16134" max="16134" width="9" style="240"/>
    <col min="16135" max="16135" width="2.875" style="240" customWidth="1"/>
    <col min="16136" max="16136" width="9" style="240"/>
    <col min="16137" max="16137" width="2.875" style="240" customWidth="1"/>
    <col min="16138" max="16138" width="9" style="240"/>
    <col min="16139" max="16139" width="2.875" style="240" customWidth="1"/>
    <col min="16140" max="16140" width="9" style="240"/>
    <col min="16141" max="16141" width="2.75" style="240" customWidth="1"/>
    <col min="16142" max="16142" width="9" style="240"/>
    <col min="16143" max="16143" width="3" style="240" customWidth="1"/>
    <col min="16144" max="16144" width="9" style="240"/>
    <col min="16145" max="16145" width="5.5" style="240" customWidth="1"/>
    <col min="16146" max="16147" width="9" style="240"/>
    <col min="16148" max="16148" width="6.25" style="240" customWidth="1"/>
    <col min="16149" max="16149" width="4.125" style="240" customWidth="1"/>
    <col min="16150" max="16384" width="9" style="240"/>
  </cols>
  <sheetData>
    <row r="5" spans="2:20">
      <c r="E5" s="232"/>
      <c r="F5" s="232"/>
      <c r="G5" s="232"/>
      <c r="H5" s="232"/>
      <c r="I5" s="232"/>
      <c r="J5" s="232"/>
      <c r="K5" s="270"/>
      <c r="L5" s="232"/>
      <c r="M5" s="270"/>
      <c r="N5" s="232"/>
      <c r="O5" s="232"/>
      <c r="P5" s="232"/>
    </row>
    <row r="6" spans="2:20">
      <c r="E6" s="232"/>
      <c r="F6" s="232"/>
      <c r="G6" s="232"/>
      <c r="H6" s="232"/>
      <c r="I6" s="232"/>
      <c r="J6" s="232"/>
      <c r="K6" s="270"/>
      <c r="L6" s="232"/>
      <c r="M6" s="270"/>
      <c r="N6" s="232"/>
      <c r="O6" s="232"/>
      <c r="P6" s="232"/>
    </row>
    <row r="7" spans="2:20">
      <c r="E7" s="232"/>
      <c r="F7" s="232"/>
      <c r="G7" s="232"/>
      <c r="H7" s="232"/>
      <c r="I7" s="232"/>
      <c r="J7" s="232"/>
      <c r="K7" s="270"/>
      <c r="L7" s="232"/>
      <c r="M7" s="270"/>
      <c r="N7" s="232"/>
      <c r="O7" s="232"/>
      <c r="P7" s="232"/>
    </row>
    <row r="9" spans="2:20">
      <c r="C9" s="231" t="s">
        <v>66</v>
      </c>
    </row>
    <row r="10" spans="2:20" s="233" customFormat="1" ht="18.75">
      <c r="I10" s="234"/>
      <c r="M10" s="271" t="s">
        <v>67</v>
      </c>
      <c r="N10" s="271"/>
      <c r="O10" s="271"/>
      <c r="P10" s="271" t="s">
        <v>90</v>
      </c>
      <c r="Q10" s="271"/>
      <c r="R10" s="271"/>
      <c r="S10" s="271"/>
    </row>
    <row r="13" spans="2:20" ht="30.75">
      <c r="B13" s="265" t="s">
        <v>110</v>
      </c>
      <c r="C13" s="265"/>
      <c r="D13" s="265"/>
      <c r="E13" s="265"/>
      <c r="F13" s="265"/>
      <c r="G13" s="235"/>
      <c r="H13" s="235"/>
      <c r="I13" s="235"/>
      <c r="J13" s="235"/>
      <c r="K13" s="235"/>
      <c r="L13" s="235"/>
      <c r="M13" s="236"/>
      <c r="N13" s="236"/>
      <c r="O13" s="236"/>
      <c r="P13" s="236"/>
      <c r="Q13" s="236"/>
      <c r="R13" s="236"/>
      <c r="S13" s="236"/>
      <c r="T13" s="236"/>
    </row>
    <row r="14" spans="2:20" ht="30.75">
      <c r="B14" s="237"/>
      <c r="C14" s="237"/>
      <c r="D14" s="237"/>
      <c r="E14" s="237"/>
      <c r="F14" s="237"/>
      <c r="G14" s="235"/>
      <c r="H14" s="235"/>
      <c r="I14" s="235"/>
      <c r="J14" s="235"/>
      <c r="K14" s="235"/>
      <c r="L14" s="235"/>
      <c r="M14" s="236"/>
      <c r="N14" s="236"/>
      <c r="O14" s="236"/>
      <c r="P14" s="236"/>
      <c r="Q14" s="236"/>
      <c r="R14" s="236"/>
      <c r="S14" s="236"/>
      <c r="T14" s="236"/>
    </row>
    <row r="16" spans="2:20" ht="30.75">
      <c r="B16" s="265"/>
      <c r="C16" s="265"/>
      <c r="D16" s="265"/>
      <c r="E16" s="265"/>
      <c r="F16" s="265"/>
      <c r="G16" s="265"/>
      <c r="H16" s="26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</row>
    <row r="18" spans="2:20" ht="30.75">
      <c r="B18" s="265" t="s">
        <v>111</v>
      </c>
      <c r="C18" s="265"/>
      <c r="D18" s="2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</row>
    <row r="20" spans="2:20" ht="30.75">
      <c r="B20" s="235"/>
      <c r="C20" s="235"/>
      <c r="D20" s="237"/>
      <c r="E20" s="237"/>
      <c r="F20" s="237"/>
      <c r="G20" s="266"/>
      <c r="H20" s="266"/>
      <c r="I20" s="266"/>
      <c r="J20" s="266"/>
      <c r="K20" s="266"/>
      <c r="L20" s="266"/>
      <c r="M20" s="266"/>
      <c r="N20" s="265"/>
      <c r="O20" s="265"/>
      <c r="P20" s="265"/>
      <c r="Q20" s="265"/>
      <c r="R20" s="265"/>
      <c r="S20" s="265"/>
      <c r="T20" s="265"/>
    </row>
    <row r="22" spans="2:20">
      <c r="L22" s="267" t="s">
        <v>68</v>
      </c>
      <c r="M22" s="267"/>
      <c r="N22" s="267"/>
      <c r="O22" s="267"/>
      <c r="P22" s="267"/>
      <c r="Q22" s="267"/>
      <c r="R22" s="267"/>
      <c r="S22" s="267"/>
      <c r="T22" s="238"/>
    </row>
    <row r="23" spans="2:20">
      <c r="L23" s="267"/>
      <c r="M23" s="267"/>
      <c r="N23" s="267"/>
      <c r="O23" s="267"/>
      <c r="P23" s="267"/>
      <c r="Q23" s="267"/>
      <c r="R23" s="267"/>
      <c r="S23" s="267"/>
      <c r="T23" s="238"/>
    </row>
    <row r="24" spans="2:20">
      <c r="L24" s="238"/>
      <c r="M24" s="238"/>
      <c r="N24" s="238"/>
      <c r="O24" s="238"/>
      <c r="P24" s="238"/>
      <c r="Q24" s="238"/>
      <c r="R24" s="238"/>
      <c r="S24" s="238"/>
      <c r="T24" s="238"/>
    </row>
    <row r="25" spans="2:20" ht="14.25">
      <c r="L25" s="238"/>
      <c r="M25" s="268" t="s">
        <v>69</v>
      </c>
      <c r="N25" s="268"/>
      <c r="O25" s="239"/>
      <c r="P25" s="269" t="s">
        <v>70</v>
      </c>
      <c r="Q25" s="269"/>
      <c r="R25" s="269"/>
      <c r="S25" s="269"/>
      <c r="T25" s="269"/>
    </row>
    <row r="29" spans="2:20" ht="25.5">
      <c r="G29" s="240"/>
      <c r="H29" s="264" t="s">
        <v>71</v>
      </c>
      <c r="I29" s="264"/>
      <c r="J29" s="264"/>
      <c r="K29" s="264"/>
      <c r="L29" s="264"/>
      <c r="M29" s="264"/>
      <c r="N29" s="264"/>
      <c r="O29" s="264"/>
      <c r="P29" s="264"/>
    </row>
  </sheetData>
  <mergeCells count="13">
    <mergeCell ref="B16:H16"/>
    <mergeCell ref="K5:K7"/>
    <mergeCell ref="M5:M7"/>
    <mergeCell ref="M10:O10"/>
    <mergeCell ref="P10:S10"/>
    <mergeCell ref="B13:F13"/>
    <mergeCell ref="H29:P29"/>
    <mergeCell ref="B18:T18"/>
    <mergeCell ref="G20:M20"/>
    <mergeCell ref="N20:T20"/>
    <mergeCell ref="L22:S23"/>
    <mergeCell ref="M25:N25"/>
    <mergeCell ref="P25:T25"/>
  </mergeCells>
  <phoneticPr fontId="29"/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1"/>
  <sheetViews>
    <sheetView view="pageBreakPreview" topLeftCell="A22" zoomScaleNormal="100" workbookViewId="0">
      <selection activeCell="I19" sqref="I19"/>
    </sheetView>
  </sheetViews>
  <sheetFormatPr defaultColWidth="8" defaultRowHeight="12"/>
  <cols>
    <col min="1" max="1" width="1.625" style="47" customWidth="1"/>
    <col min="2" max="2" width="13.375" style="47" customWidth="1"/>
    <col min="3" max="3" width="26" style="47" customWidth="1"/>
    <col min="4" max="4" width="18.625" style="47" customWidth="1"/>
    <col min="5" max="5" width="12.375" style="47" customWidth="1"/>
    <col min="6" max="6" width="10.625" style="97" customWidth="1"/>
    <col min="7" max="7" width="10.375" style="47" customWidth="1"/>
    <col min="8" max="8" width="13.625" style="47" customWidth="1"/>
    <col min="9" max="9" width="17.625" style="47" customWidth="1"/>
    <col min="10" max="11" width="12.625" style="47" customWidth="1"/>
    <col min="12" max="16384" width="8" style="47"/>
  </cols>
  <sheetData>
    <row r="1" spans="2:11" ht="37.5" customHeight="1">
      <c r="B1" s="253"/>
      <c r="C1" s="260" t="s">
        <v>91</v>
      </c>
      <c r="D1" s="260"/>
      <c r="E1" s="260"/>
      <c r="F1" s="260"/>
      <c r="G1" s="260"/>
      <c r="H1" s="260"/>
      <c r="I1" s="260"/>
      <c r="J1" s="261"/>
      <c r="K1" s="261"/>
    </row>
    <row r="2" spans="2:11" ht="19.5" customHeight="1">
      <c r="B2" s="48" t="s">
        <v>21</v>
      </c>
      <c r="C2" s="49" t="s">
        <v>22</v>
      </c>
      <c r="D2" s="49" t="s">
        <v>23</v>
      </c>
      <c r="E2" s="49" t="s">
        <v>24</v>
      </c>
      <c r="F2" s="49" t="s">
        <v>25</v>
      </c>
      <c r="G2" s="49" t="s">
        <v>26</v>
      </c>
      <c r="H2" s="49" t="s">
        <v>27</v>
      </c>
      <c r="I2" s="49" t="s">
        <v>28</v>
      </c>
      <c r="J2" s="262" t="s">
        <v>29</v>
      </c>
      <c r="K2" s="263"/>
    </row>
    <row r="3" spans="2:11" ht="17.25" customHeight="1">
      <c r="B3" s="255"/>
      <c r="C3" s="29"/>
      <c r="D3" s="51"/>
      <c r="E3" s="52"/>
      <c r="F3" s="53"/>
      <c r="G3" s="54"/>
      <c r="H3" s="55"/>
      <c r="I3" s="56"/>
      <c r="J3" s="57"/>
      <c r="K3" s="58"/>
    </row>
    <row r="4" spans="2:11" ht="17.25" customHeight="1">
      <c r="B4" s="64"/>
      <c r="D4" s="59"/>
      <c r="E4" s="60"/>
      <c r="F4" s="59"/>
      <c r="G4" s="61"/>
      <c r="H4" s="62"/>
      <c r="I4" s="59"/>
      <c r="K4" s="63"/>
    </row>
    <row r="5" spans="2:11" ht="17.25" customHeight="1">
      <c r="B5" s="64" t="s">
        <v>92</v>
      </c>
      <c r="C5" s="31"/>
      <c r="D5" s="65"/>
      <c r="E5" s="66"/>
      <c r="F5" s="65"/>
      <c r="G5" s="67"/>
      <c r="H5" s="68"/>
      <c r="I5" s="65"/>
      <c r="J5" s="69"/>
      <c r="K5" s="70"/>
    </row>
    <row r="6" spans="2:11" ht="17.25" customHeight="1">
      <c r="B6" s="50"/>
      <c r="C6" s="51"/>
      <c r="D6" s="51"/>
      <c r="E6" s="51"/>
      <c r="F6" s="53"/>
      <c r="G6" s="71"/>
      <c r="H6" s="72"/>
      <c r="I6" s="56"/>
      <c r="J6" s="57"/>
      <c r="K6" s="58"/>
    </row>
    <row r="7" spans="2:11" ht="17.25" customHeight="1">
      <c r="B7" s="73"/>
      <c r="C7" s="59"/>
      <c r="D7" s="59"/>
      <c r="E7" s="59"/>
      <c r="F7" s="75"/>
      <c r="G7" s="76"/>
      <c r="H7" s="77"/>
      <c r="I7" s="78"/>
      <c r="J7" s="79"/>
      <c r="K7" s="80"/>
    </row>
    <row r="8" spans="2:11" ht="17.25" customHeight="1">
      <c r="B8" s="73"/>
      <c r="C8" s="65" t="s">
        <v>30</v>
      </c>
      <c r="D8" s="59"/>
      <c r="E8" s="59"/>
      <c r="F8" s="75"/>
      <c r="G8" s="76"/>
      <c r="H8" s="77"/>
      <c r="I8" s="81"/>
      <c r="J8" s="79"/>
      <c r="K8" s="80"/>
    </row>
    <row r="9" spans="2:11" ht="17.25" customHeight="1">
      <c r="B9" s="50"/>
      <c r="C9" s="51"/>
      <c r="D9" s="257" t="s">
        <v>112</v>
      </c>
      <c r="E9" s="51"/>
      <c r="F9" s="53"/>
      <c r="G9" s="168"/>
      <c r="H9" s="72"/>
      <c r="I9" s="56"/>
      <c r="J9" s="57"/>
      <c r="K9" s="58"/>
    </row>
    <row r="10" spans="2:11" ht="17.25" customHeight="1">
      <c r="B10" s="73"/>
      <c r="C10" s="59"/>
      <c r="D10" s="258"/>
      <c r="E10" s="59"/>
      <c r="F10" s="75"/>
      <c r="G10" s="169"/>
      <c r="H10" s="77"/>
      <c r="I10" s="78"/>
      <c r="J10" s="79"/>
      <c r="K10" s="80"/>
    </row>
    <row r="11" spans="2:11" ht="17.25" customHeight="1">
      <c r="B11" s="73"/>
      <c r="C11" s="65"/>
      <c r="D11" s="259"/>
      <c r="E11" s="59"/>
      <c r="F11" s="75" t="s">
        <v>31</v>
      </c>
      <c r="G11" s="169">
        <v>1</v>
      </c>
      <c r="H11" s="77"/>
      <c r="I11" s="78">
        <f>'1.内訳書（設計）'!H41</f>
        <v>803000</v>
      </c>
      <c r="J11" s="79"/>
      <c r="K11" s="80"/>
    </row>
    <row r="12" spans="2:11" ht="17.25" customHeight="1">
      <c r="B12" s="50"/>
      <c r="C12" s="51"/>
      <c r="D12" s="257"/>
      <c r="E12" s="51"/>
      <c r="F12" s="53"/>
      <c r="G12" s="168"/>
      <c r="H12" s="72"/>
      <c r="I12" s="56"/>
      <c r="J12" s="57"/>
      <c r="K12" s="58"/>
    </row>
    <row r="13" spans="2:11" ht="17.25" customHeight="1">
      <c r="B13" s="73"/>
      <c r="C13" s="59"/>
      <c r="D13" s="258"/>
      <c r="E13" s="59"/>
      <c r="F13" s="75"/>
      <c r="G13" s="169"/>
      <c r="H13" s="77"/>
      <c r="I13" s="78"/>
      <c r="J13" s="79"/>
      <c r="K13" s="80"/>
    </row>
    <row r="14" spans="2:11" ht="17.25" customHeight="1">
      <c r="B14" s="73"/>
      <c r="C14" s="65"/>
      <c r="D14" s="259"/>
      <c r="E14" s="59"/>
      <c r="F14" s="75"/>
      <c r="G14" s="169"/>
      <c r="H14" s="77"/>
      <c r="I14" s="78"/>
      <c r="J14" s="79"/>
      <c r="K14" s="80"/>
    </row>
    <row r="15" spans="2:11" ht="17.25" customHeight="1">
      <c r="B15" s="50"/>
      <c r="C15" s="51"/>
      <c r="D15" s="51"/>
      <c r="E15" s="51"/>
      <c r="F15" s="53"/>
      <c r="G15" s="168"/>
      <c r="H15" s="55"/>
      <c r="I15" s="56"/>
      <c r="J15" s="57"/>
      <c r="K15" s="58"/>
    </row>
    <row r="16" spans="2:11" ht="17.25" customHeight="1">
      <c r="B16" s="73"/>
      <c r="C16" s="59"/>
      <c r="D16" s="59"/>
      <c r="E16" s="59"/>
      <c r="F16" s="75"/>
      <c r="G16" s="169"/>
      <c r="H16" s="85"/>
      <c r="I16" s="78"/>
      <c r="J16" s="79"/>
      <c r="K16" s="80"/>
    </row>
    <row r="17" spans="2:11" ht="17.25" customHeight="1">
      <c r="B17" s="73"/>
      <c r="C17" s="65"/>
      <c r="D17" s="59"/>
      <c r="E17" s="59"/>
      <c r="F17" s="75"/>
      <c r="G17" s="169"/>
      <c r="H17" s="85"/>
      <c r="I17" s="78"/>
      <c r="J17" s="79"/>
      <c r="K17" s="80"/>
    </row>
    <row r="18" spans="2:11" ht="17.25" customHeight="1">
      <c r="B18" s="50"/>
      <c r="C18" s="51"/>
      <c r="D18" s="83"/>
      <c r="E18" s="51"/>
      <c r="F18" s="53"/>
      <c r="G18" s="168"/>
      <c r="H18" s="55"/>
      <c r="I18" s="56"/>
      <c r="J18" s="57"/>
      <c r="K18" s="58"/>
    </row>
    <row r="19" spans="2:11" ht="17.25" customHeight="1">
      <c r="B19" s="73"/>
      <c r="C19" s="59"/>
      <c r="D19" s="84"/>
      <c r="E19" s="59"/>
      <c r="F19" s="75"/>
      <c r="G19" s="169"/>
      <c r="H19" s="85"/>
      <c r="I19" s="78"/>
      <c r="J19" s="79"/>
      <c r="K19" s="80"/>
    </row>
    <row r="20" spans="2:11" ht="17.25" customHeight="1">
      <c r="B20" s="73"/>
      <c r="C20" s="65"/>
      <c r="D20" s="84"/>
      <c r="E20" s="59"/>
      <c r="F20" s="75"/>
      <c r="G20" s="169"/>
      <c r="H20" s="85"/>
      <c r="I20" s="78"/>
      <c r="J20" s="79"/>
      <c r="K20" s="80"/>
    </row>
    <row r="21" spans="2:11" ht="17.25" customHeight="1">
      <c r="B21" s="50"/>
      <c r="C21" s="51"/>
      <c r="D21" s="51"/>
      <c r="E21" s="51"/>
      <c r="F21" s="53"/>
      <c r="G21" s="71"/>
      <c r="H21" s="55"/>
      <c r="I21" s="56"/>
      <c r="J21" s="57"/>
      <c r="K21" s="58"/>
    </row>
    <row r="22" spans="2:11" ht="17.25" customHeight="1">
      <c r="B22" s="73"/>
      <c r="C22" s="59"/>
      <c r="D22" s="59"/>
      <c r="E22" s="59"/>
      <c r="F22" s="75"/>
      <c r="G22" s="76"/>
      <c r="H22" s="85"/>
      <c r="I22" s="78"/>
      <c r="J22" s="79"/>
      <c r="K22" s="80"/>
    </row>
    <row r="23" spans="2:11" ht="17.25" customHeight="1">
      <c r="B23" s="73"/>
      <c r="C23" s="59"/>
      <c r="D23" s="59"/>
      <c r="E23" s="59"/>
      <c r="F23" s="75"/>
      <c r="G23" s="76"/>
      <c r="H23" s="85"/>
      <c r="I23" s="78"/>
      <c r="J23" s="79"/>
      <c r="K23" s="80"/>
    </row>
    <row r="24" spans="2:11" ht="17.25" customHeight="1">
      <c r="B24" s="50"/>
      <c r="C24" s="51"/>
      <c r="D24" s="51"/>
      <c r="E24" s="51"/>
      <c r="F24" s="53"/>
      <c r="G24" s="71"/>
      <c r="H24" s="72"/>
      <c r="I24" s="56"/>
      <c r="J24" s="57"/>
      <c r="K24" s="58"/>
    </row>
    <row r="25" spans="2:11" ht="17.25" customHeight="1">
      <c r="B25" s="73"/>
      <c r="C25" s="60"/>
      <c r="D25" s="59"/>
      <c r="E25" s="59"/>
      <c r="F25" s="75"/>
      <c r="G25" s="76"/>
      <c r="H25" s="77"/>
      <c r="I25" s="78"/>
      <c r="J25" s="79"/>
      <c r="K25" s="80"/>
    </row>
    <row r="26" spans="2:11" ht="17.25" customHeight="1">
      <c r="B26" s="73"/>
      <c r="C26" s="86" t="s">
        <v>15</v>
      </c>
      <c r="D26" s="65"/>
      <c r="E26" s="59"/>
      <c r="F26" s="75"/>
      <c r="G26" s="76"/>
      <c r="H26" s="77"/>
      <c r="I26" s="78">
        <f>SUM(I11,I14,I17)</f>
        <v>803000</v>
      </c>
      <c r="J26" s="79"/>
      <c r="K26" s="80"/>
    </row>
    <row r="27" spans="2:11" ht="17.25" customHeight="1">
      <c r="B27" s="50"/>
      <c r="C27" s="51"/>
      <c r="D27" s="51"/>
      <c r="E27" s="51"/>
      <c r="F27" s="53"/>
      <c r="G27" s="71"/>
      <c r="H27" s="55"/>
      <c r="I27" s="56"/>
      <c r="J27" s="57"/>
      <c r="K27" s="58"/>
    </row>
    <row r="28" spans="2:11" ht="17.25" customHeight="1">
      <c r="B28" s="73"/>
      <c r="C28" s="59"/>
      <c r="D28" s="59"/>
      <c r="E28" s="59"/>
      <c r="F28" s="75"/>
      <c r="G28" s="76"/>
      <c r="H28" s="85"/>
      <c r="I28" s="78"/>
      <c r="J28" s="79"/>
      <c r="K28" s="80"/>
    </row>
    <row r="29" spans="2:11" ht="17.25" customHeight="1">
      <c r="B29" s="73"/>
      <c r="C29" s="87"/>
      <c r="D29" s="82"/>
      <c r="E29" s="59"/>
      <c r="F29" s="75"/>
      <c r="G29" s="76"/>
      <c r="H29" s="85"/>
      <c r="I29" s="78"/>
      <c r="J29" s="79"/>
      <c r="K29" s="80"/>
    </row>
    <row r="30" spans="2:11" ht="17.25" customHeight="1">
      <c r="B30" s="50"/>
      <c r="C30" s="51"/>
      <c r="D30" s="51"/>
      <c r="E30" s="51"/>
      <c r="F30" s="53"/>
      <c r="G30" s="71"/>
      <c r="H30" s="72"/>
      <c r="I30" s="56"/>
      <c r="J30" s="57"/>
      <c r="K30" s="58"/>
    </row>
    <row r="31" spans="2:11" ht="17.25" customHeight="1">
      <c r="B31" s="73"/>
      <c r="C31" s="59"/>
      <c r="D31" s="59"/>
      <c r="E31" s="59"/>
      <c r="F31" s="75"/>
      <c r="G31" s="76"/>
      <c r="H31" s="77"/>
      <c r="I31" s="78"/>
      <c r="J31" s="79"/>
      <c r="K31" s="80"/>
    </row>
    <row r="32" spans="2:11" ht="17.25" customHeight="1">
      <c r="B32" s="73"/>
      <c r="C32" s="87" t="s">
        <v>32</v>
      </c>
      <c r="D32" s="65"/>
      <c r="E32" s="59"/>
      <c r="F32" s="75" t="s">
        <v>46</v>
      </c>
      <c r="G32" s="169">
        <v>10</v>
      </c>
      <c r="H32" s="77"/>
      <c r="I32" s="78">
        <f>(G32/100)*I26</f>
        <v>80300</v>
      </c>
      <c r="J32" s="79"/>
      <c r="K32" s="80"/>
    </row>
    <row r="33" spans="2:11" ht="17.25" customHeight="1">
      <c r="B33" s="50"/>
      <c r="C33" s="51"/>
      <c r="D33" s="51"/>
      <c r="E33" s="51"/>
      <c r="F33" s="53"/>
      <c r="G33" s="71"/>
      <c r="H33" s="72"/>
      <c r="I33" s="56"/>
      <c r="J33" s="57"/>
      <c r="K33" s="58"/>
    </row>
    <row r="34" spans="2:11" ht="17.25" customHeight="1">
      <c r="B34" s="73"/>
      <c r="C34" s="59"/>
      <c r="D34" s="59"/>
      <c r="E34" s="59"/>
      <c r="F34" s="75"/>
      <c r="G34" s="76"/>
      <c r="H34" s="77"/>
      <c r="I34" s="78"/>
      <c r="J34" s="79"/>
      <c r="K34" s="80"/>
    </row>
    <row r="35" spans="2:11" ht="17.25" customHeight="1">
      <c r="B35" s="88"/>
      <c r="C35" s="89" t="s">
        <v>33</v>
      </c>
      <c r="D35" s="90"/>
      <c r="E35" s="91"/>
      <c r="F35" s="89"/>
      <c r="G35" s="92"/>
      <c r="H35" s="93"/>
      <c r="I35" s="94">
        <f>ROUNDDOWN(I26+I32,0)</f>
        <v>883300</v>
      </c>
      <c r="J35" s="95"/>
      <c r="K35" s="96"/>
    </row>
    <row r="36" spans="2:11" ht="17.25" customHeight="1"/>
    <row r="37" spans="2:11" ht="17.25" customHeight="1"/>
    <row r="38" spans="2:11" ht="17.25" customHeight="1"/>
    <row r="39" spans="2:11" ht="17.25" customHeight="1"/>
    <row r="40" spans="2:11" ht="17.25" customHeight="1"/>
    <row r="41" spans="2:11" ht="17.25" customHeight="1"/>
  </sheetData>
  <mergeCells count="5">
    <mergeCell ref="D12:D14"/>
    <mergeCell ref="C1:I1"/>
    <mergeCell ref="J1:K1"/>
    <mergeCell ref="J2:K2"/>
    <mergeCell ref="D9:D11"/>
  </mergeCells>
  <phoneticPr fontId="18"/>
  <pageMargins left="0.78740157480314965" right="0.6692913385826772" top="0.94488188976377963" bottom="0.19685039370078741" header="0.51181102362204722" footer="0.51181102362204722"/>
  <pageSetup paperSize="9" scale="8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M162"/>
  <sheetViews>
    <sheetView view="pageBreakPreview" zoomScaleNormal="100" zoomScaleSheetLayoutView="100" workbookViewId="0">
      <selection activeCell="H18" sqref="H18"/>
    </sheetView>
  </sheetViews>
  <sheetFormatPr defaultColWidth="8" defaultRowHeight="12"/>
  <cols>
    <col min="1" max="1" width="17.5" style="47" customWidth="1"/>
    <col min="2" max="2" width="26" style="47" customWidth="1"/>
    <col min="3" max="3" width="22.625" style="123" customWidth="1"/>
    <col min="4" max="4" width="17.625" style="47" customWidth="1"/>
    <col min="5" max="5" width="8" style="97" customWidth="1"/>
    <col min="6" max="6" width="10" style="152" customWidth="1"/>
    <col min="7" max="7" width="13.125" style="47" customWidth="1"/>
    <col min="8" max="8" width="16.375" style="47" customWidth="1"/>
    <col min="9" max="9" width="14.625" style="124" customWidth="1"/>
    <col min="10" max="10" width="14.125" style="47" customWidth="1"/>
    <col min="11" max="11" width="8" style="47"/>
    <col min="12" max="12" width="22.125" style="47" customWidth="1"/>
    <col min="13" max="16384" width="8" style="47"/>
  </cols>
  <sheetData>
    <row r="1" spans="1:12" ht="37.5" customHeight="1">
      <c r="A1" s="254"/>
      <c r="B1" s="274" t="s">
        <v>34</v>
      </c>
      <c r="C1" s="274"/>
      <c r="D1" s="274"/>
      <c r="E1" s="274"/>
      <c r="F1" s="274"/>
      <c r="G1" s="274"/>
      <c r="H1" s="274"/>
      <c r="I1" s="275" t="s">
        <v>48</v>
      </c>
      <c r="J1" s="276"/>
    </row>
    <row r="2" spans="1:12" ht="19.5" customHeight="1">
      <c r="A2" s="256" t="s">
        <v>21</v>
      </c>
      <c r="B2" s="175" t="s">
        <v>22</v>
      </c>
      <c r="C2" s="195" t="s">
        <v>23</v>
      </c>
      <c r="D2" s="175" t="s">
        <v>24</v>
      </c>
      <c r="E2" s="175" t="s">
        <v>25</v>
      </c>
      <c r="F2" s="176" t="s">
        <v>26</v>
      </c>
      <c r="G2" s="175" t="s">
        <v>27</v>
      </c>
      <c r="H2" s="175" t="s">
        <v>28</v>
      </c>
      <c r="I2" s="277" t="s">
        <v>29</v>
      </c>
      <c r="J2" s="278"/>
    </row>
    <row r="3" spans="1:12" ht="17.25" customHeight="1">
      <c r="A3" s="219"/>
      <c r="B3" s="99"/>
      <c r="C3" s="190"/>
      <c r="D3" s="99"/>
      <c r="E3" s="101"/>
      <c r="F3" s="146"/>
      <c r="G3" s="102"/>
      <c r="H3" s="103"/>
      <c r="I3" s="132"/>
      <c r="J3" s="179"/>
    </row>
    <row r="4" spans="1:12" ht="17.25" customHeight="1">
      <c r="A4" s="74"/>
      <c r="B4" s="74"/>
      <c r="C4" s="98"/>
      <c r="D4" s="74"/>
      <c r="E4" s="105"/>
      <c r="F4" s="145"/>
      <c r="G4" s="77"/>
      <c r="H4" s="78"/>
      <c r="I4" s="130"/>
      <c r="J4" s="177"/>
    </row>
    <row r="5" spans="1:12" ht="17.25" customHeight="1">
      <c r="A5" s="74"/>
      <c r="B5" s="68"/>
      <c r="C5" s="98"/>
      <c r="D5" s="74"/>
      <c r="E5" s="105"/>
      <c r="F5" s="145"/>
      <c r="G5" s="77"/>
      <c r="H5" s="78"/>
      <c r="I5" s="130"/>
      <c r="J5" s="177"/>
    </row>
    <row r="6" spans="1:12" ht="17.25" customHeight="1">
      <c r="A6" s="219"/>
      <c r="B6" s="99"/>
      <c r="C6" s="100"/>
      <c r="D6" s="99"/>
      <c r="E6" s="106"/>
      <c r="F6" s="147"/>
      <c r="G6" s="107"/>
      <c r="H6" s="103"/>
      <c r="I6" s="138"/>
      <c r="J6" s="185"/>
    </row>
    <row r="7" spans="1:12" ht="17.25" customHeight="1">
      <c r="A7" s="74"/>
      <c r="B7" s="74"/>
      <c r="C7" s="104"/>
      <c r="D7" s="85"/>
      <c r="E7" s="105"/>
      <c r="F7" s="148"/>
      <c r="G7" s="85"/>
      <c r="H7" s="78"/>
      <c r="I7" s="139"/>
      <c r="J7" s="186"/>
    </row>
    <row r="8" spans="1:12" ht="17.25" customHeight="1">
      <c r="A8" s="74" t="s">
        <v>93</v>
      </c>
      <c r="B8" s="74"/>
      <c r="C8" s="104"/>
      <c r="D8" s="85"/>
      <c r="E8" s="105"/>
      <c r="F8" s="145"/>
      <c r="G8" s="85"/>
      <c r="H8" s="78"/>
      <c r="I8" s="130"/>
      <c r="J8" s="186"/>
    </row>
    <row r="9" spans="1:12" ht="17.25" customHeight="1">
      <c r="A9" s="219"/>
      <c r="B9" s="99"/>
      <c r="C9" s="100"/>
      <c r="D9" s="99"/>
      <c r="E9" s="106"/>
      <c r="F9" s="147"/>
      <c r="G9" s="107"/>
      <c r="H9" s="103"/>
      <c r="I9" s="132"/>
      <c r="J9" s="179"/>
    </row>
    <row r="10" spans="1:12" ht="17.25" customHeight="1">
      <c r="A10" s="74"/>
      <c r="B10" s="74"/>
      <c r="C10" s="104"/>
      <c r="D10" s="85"/>
      <c r="E10" s="105"/>
      <c r="F10" s="148"/>
      <c r="G10" s="85"/>
      <c r="H10" s="78"/>
      <c r="I10" s="133"/>
      <c r="J10" s="177"/>
    </row>
    <row r="11" spans="1:12" ht="17.25" customHeight="1">
      <c r="A11" s="68"/>
      <c r="B11" s="68" t="s">
        <v>113</v>
      </c>
      <c r="C11" s="104"/>
      <c r="D11" s="85"/>
      <c r="E11" s="105" t="s">
        <v>94</v>
      </c>
      <c r="F11" s="145">
        <v>1</v>
      </c>
      <c r="G11" s="85"/>
      <c r="H11" s="78">
        <v>90000</v>
      </c>
      <c r="I11" s="131"/>
      <c r="J11" s="182"/>
    </row>
    <row r="12" spans="1:12" ht="17.25" customHeight="1">
      <c r="A12" s="219"/>
      <c r="B12" s="99"/>
      <c r="C12" s="100"/>
      <c r="D12" s="99"/>
      <c r="E12" s="101"/>
      <c r="F12" s="146"/>
      <c r="G12" s="102"/>
      <c r="H12" s="103"/>
      <c r="I12" s="154"/>
      <c r="J12" s="180"/>
    </row>
    <row r="13" spans="1:12" ht="17.25" customHeight="1">
      <c r="A13" s="74"/>
      <c r="B13" s="74"/>
      <c r="C13" s="104"/>
      <c r="D13" s="74"/>
      <c r="E13" s="105"/>
      <c r="F13" s="145"/>
      <c r="G13" s="77"/>
      <c r="H13" s="78"/>
      <c r="I13" s="155"/>
      <c r="J13" s="181"/>
    </row>
    <row r="14" spans="1:12" ht="17.25" customHeight="1">
      <c r="A14" s="74"/>
      <c r="B14" s="68" t="s">
        <v>114</v>
      </c>
      <c r="C14" s="163"/>
      <c r="D14" s="74"/>
      <c r="E14" s="105" t="s">
        <v>52</v>
      </c>
      <c r="F14" s="145">
        <v>1</v>
      </c>
      <c r="G14" s="77"/>
      <c r="H14" s="78">
        <v>90000</v>
      </c>
      <c r="I14" s="130"/>
      <c r="J14" s="183"/>
      <c r="L14" s="125"/>
    </row>
    <row r="15" spans="1:12" ht="17.25" customHeight="1">
      <c r="A15" s="219"/>
      <c r="B15" s="99"/>
      <c r="C15" s="100"/>
      <c r="D15" s="99"/>
      <c r="E15" s="106"/>
      <c r="F15" s="147"/>
      <c r="G15" s="107"/>
      <c r="H15" s="103"/>
      <c r="I15" s="132"/>
      <c r="J15" s="184"/>
    </row>
    <row r="16" spans="1:12" ht="17.25" customHeight="1">
      <c r="A16" s="74"/>
      <c r="B16" s="74"/>
      <c r="C16" s="104"/>
      <c r="D16" s="85"/>
      <c r="E16" s="105"/>
      <c r="F16" s="145"/>
      <c r="G16" s="85"/>
      <c r="H16" s="78"/>
      <c r="I16" s="133"/>
      <c r="J16" s="177"/>
    </row>
    <row r="17" spans="1:12" ht="17.25" customHeight="1">
      <c r="A17" s="68"/>
      <c r="B17" s="68" t="s">
        <v>115</v>
      </c>
      <c r="C17" s="104"/>
      <c r="D17" s="85"/>
      <c r="E17" s="105" t="s">
        <v>52</v>
      </c>
      <c r="F17" s="145">
        <v>1</v>
      </c>
      <c r="G17" s="85"/>
      <c r="H17" s="78">
        <v>25000</v>
      </c>
      <c r="I17" s="131"/>
      <c r="J17" s="182"/>
    </row>
    <row r="18" spans="1:12" ht="17.25" customHeight="1">
      <c r="A18" s="219"/>
      <c r="B18" s="99"/>
      <c r="C18" s="100"/>
      <c r="D18" s="99"/>
      <c r="E18" s="101"/>
      <c r="F18" s="146"/>
      <c r="G18" s="102"/>
      <c r="H18" s="103"/>
      <c r="I18" s="132"/>
      <c r="J18" s="179"/>
    </row>
    <row r="19" spans="1:12" ht="17.25" customHeight="1">
      <c r="A19" s="74"/>
      <c r="B19" s="74"/>
      <c r="C19" s="47"/>
      <c r="D19" s="74"/>
      <c r="E19" s="105"/>
      <c r="F19" s="145"/>
      <c r="G19" s="77"/>
      <c r="H19" s="78"/>
      <c r="I19" s="133"/>
      <c r="J19" s="177"/>
    </row>
    <row r="20" spans="1:12" ht="17.25" customHeight="1">
      <c r="A20" s="68"/>
      <c r="B20" s="68"/>
      <c r="C20" s="111"/>
      <c r="D20" s="25"/>
      <c r="E20" s="105"/>
      <c r="F20" s="145"/>
      <c r="G20" s="112"/>
      <c r="H20" s="113"/>
      <c r="I20" s="131"/>
      <c r="J20" s="182"/>
      <c r="L20" s="194"/>
    </row>
    <row r="21" spans="1:12" ht="17.25" customHeight="1">
      <c r="A21" s="74"/>
      <c r="B21" s="116"/>
      <c r="C21" s="117"/>
      <c r="D21" s="116"/>
      <c r="E21" s="118"/>
      <c r="F21" s="156"/>
      <c r="G21" s="119"/>
      <c r="H21" s="120"/>
      <c r="I21" s="132"/>
      <c r="J21" s="187"/>
    </row>
    <row r="22" spans="1:12" ht="17.25" customHeight="1">
      <c r="A22" s="74"/>
      <c r="B22" s="74"/>
      <c r="C22" s="104"/>
      <c r="D22" s="74"/>
      <c r="E22" s="105"/>
      <c r="F22" s="148"/>
      <c r="G22" s="109"/>
      <c r="H22" s="115"/>
      <c r="I22" s="133"/>
      <c r="J22" s="186"/>
    </row>
    <row r="23" spans="1:12" ht="17.25" customHeight="1">
      <c r="A23" s="68"/>
      <c r="B23" s="68" t="s">
        <v>95</v>
      </c>
      <c r="C23" s="111"/>
      <c r="D23" s="68"/>
      <c r="E23" s="108"/>
      <c r="F23" s="150"/>
      <c r="G23" s="112"/>
      <c r="H23" s="113">
        <f>SUM(H11:H20)</f>
        <v>205000</v>
      </c>
      <c r="I23" s="131"/>
      <c r="J23" s="188"/>
    </row>
    <row r="24" spans="1:12" ht="17.25" customHeight="1">
      <c r="A24" s="219"/>
      <c r="B24" s="99"/>
      <c r="C24" s="100"/>
      <c r="D24" s="99"/>
      <c r="E24" s="101"/>
      <c r="F24" s="147"/>
      <c r="G24" s="102"/>
      <c r="H24" s="103"/>
      <c r="I24" s="132"/>
      <c r="J24" s="179"/>
    </row>
    <row r="25" spans="1:12" ht="17.25" customHeight="1">
      <c r="A25" s="74"/>
      <c r="B25" s="74"/>
      <c r="C25" s="104"/>
      <c r="D25" s="74"/>
      <c r="E25" s="105"/>
      <c r="F25" s="148"/>
      <c r="G25" s="109"/>
      <c r="H25" s="81"/>
      <c r="I25" s="133"/>
      <c r="J25" s="186"/>
    </row>
    <row r="26" spans="1:12" ht="17.25" customHeight="1">
      <c r="A26" s="68" t="s">
        <v>101</v>
      </c>
      <c r="B26" s="68"/>
      <c r="C26" s="111"/>
      <c r="D26" s="68"/>
      <c r="E26" s="108"/>
      <c r="F26" s="150"/>
      <c r="G26" s="112"/>
      <c r="H26" s="113">
        <f>SUM(H29:H32)</f>
        <v>207000</v>
      </c>
      <c r="I26" s="131"/>
      <c r="J26" s="188"/>
    </row>
    <row r="27" spans="1:12" ht="17.25" customHeight="1">
      <c r="A27" s="219"/>
      <c r="B27" s="99"/>
      <c r="C27" s="100"/>
      <c r="D27" s="99"/>
      <c r="E27" s="101"/>
      <c r="F27" s="146"/>
      <c r="G27" s="102"/>
      <c r="H27" s="103"/>
      <c r="I27" s="132"/>
      <c r="J27" s="179"/>
    </row>
    <row r="28" spans="1:12" ht="17.25" customHeight="1">
      <c r="A28" s="74"/>
      <c r="B28" s="74"/>
      <c r="C28" s="47"/>
      <c r="D28" s="74"/>
      <c r="E28" s="105"/>
      <c r="F28" s="145"/>
      <c r="G28" s="109"/>
      <c r="H28" s="115"/>
      <c r="I28" s="133"/>
      <c r="J28" s="177"/>
    </row>
    <row r="29" spans="1:12" ht="17.25" customHeight="1">
      <c r="A29" s="68"/>
      <c r="B29" s="68" t="s">
        <v>96</v>
      </c>
      <c r="C29" s="111"/>
      <c r="D29" s="25"/>
      <c r="E29" s="108" t="s">
        <v>98</v>
      </c>
      <c r="F29" s="149">
        <v>90</v>
      </c>
      <c r="G29" s="112">
        <v>500</v>
      </c>
      <c r="H29" s="113">
        <f>F29*G29</f>
        <v>45000</v>
      </c>
      <c r="I29" s="272" t="s">
        <v>100</v>
      </c>
      <c r="J29" s="273"/>
    </row>
    <row r="30" spans="1:12" ht="17.25" customHeight="1">
      <c r="A30" s="219"/>
      <c r="B30" s="99"/>
      <c r="C30" s="100"/>
      <c r="D30" s="99"/>
      <c r="E30" s="101"/>
      <c r="F30" s="147"/>
      <c r="G30" s="102"/>
      <c r="H30" s="103"/>
      <c r="I30" s="132"/>
      <c r="J30" s="179"/>
    </row>
    <row r="31" spans="1:12" ht="17.25" customHeight="1">
      <c r="A31" s="74"/>
      <c r="B31" s="74"/>
      <c r="C31" s="104"/>
      <c r="D31" s="74"/>
      <c r="E31" s="105"/>
      <c r="F31" s="148"/>
      <c r="G31" s="109"/>
      <c r="H31" s="81"/>
      <c r="I31" s="133"/>
      <c r="J31" s="186"/>
    </row>
    <row r="32" spans="1:12" ht="17.25" customHeight="1">
      <c r="A32" s="68"/>
      <c r="B32" s="68" t="s">
        <v>97</v>
      </c>
      <c r="C32" s="111"/>
      <c r="D32" s="68"/>
      <c r="E32" s="108" t="s">
        <v>99</v>
      </c>
      <c r="F32" s="150">
        <v>3</v>
      </c>
      <c r="G32" s="112">
        <v>54000</v>
      </c>
      <c r="H32" s="113">
        <f>F32*G32</f>
        <v>162000</v>
      </c>
      <c r="I32" s="272"/>
      <c r="J32" s="273"/>
    </row>
    <row r="33" spans="1:10" ht="17.25" customHeight="1">
      <c r="A33" s="219"/>
      <c r="B33" s="99"/>
      <c r="C33" s="100"/>
      <c r="D33" s="99"/>
      <c r="E33" s="106"/>
      <c r="F33" s="147"/>
      <c r="G33" s="107"/>
      <c r="H33" s="103"/>
      <c r="I33" s="132"/>
      <c r="J33" s="185"/>
    </row>
    <row r="34" spans="1:10" ht="17.25" customHeight="1">
      <c r="A34" s="74"/>
      <c r="B34" s="74"/>
      <c r="C34" s="104"/>
      <c r="D34" s="85"/>
      <c r="E34" s="105"/>
      <c r="F34" s="148"/>
      <c r="G34" s="85"/>
      <c r="H34" s="78"/>
      <c r="I34" s="133"/>
      <c r="J34" s="186"/>
    </row>
    <row r="35" spans="1:10" ht="17.25" customHeight="1">
      <c r="A35" s="68" t="s">
        <v>102</v>
      </c>
      <c r="B35" s="68"/>
      <c r="C35" s="111"/>
      <c r="D35" s="121"/>
      <c r="E35" s="108"/>
      <c r="F35" s="149"/>
      <c r="G35" s="121"/>
      <c r="H35" s="113">
        <f>ROUNDDOWN(H23*0.35/(1-0.35),-3)</f>
        <v>110000</v>
      </c>
      <c r="I35" s="272" t="s">
        <v>103</v>
      </c>
      <c r="J35" s="273"/>
    </row>
    <row r="36" spans="1:10" ht="17.25" customHeight="1">
      <c r="A36" s="219"/>
      <c r="B36" s="99"/>
      <c r="C36" s="100"/>
      <c r="D36" s="99"/>
      <c r="E36" s="101"/>
      <c r="F36" s="146"/>
      <c r="G36" s="102"/>
      <c r="H36" s="103"/>
      <c r="I36" s="132"/>
      <c r="J36" s="179"/>
    </row>
    <row r="37" spans="1:10" ht="17.25" customHeight="1">
      <c r="A37" s="74"/>
      <c r="B37" s="74"/>
      <c r="C37" s="47"/>
      <c r="D37" s="74"/>
      <c r="E37" s="105"/>
      <c r="F37" s="145"/>
      <c r="G37" s="109"/>
      <c r="H37" s="115"/>
      <c r="I37" s="133"/>
      <c r="J37" s="177"/>
    </row>
    <row r="38" spans="1:10" ht="17.25" customHeight="1">
      <c r="A38" s="68" t="s">
        <v>104</v>
      </c>
      <c r="B38" s="68"/>
      <c r="C38" s="111"/>
      <c r="D38" s="25"/>
      <c r="E38" s="108"/>
      <c r="F38" s="149"/>
      <c r="G38" s="112"/>
      <c r="H38" s="113">
        <f>ROUNDDOWN((H23+H26+H35)*0.35/(1-0.35),-3)</f>
        <v>281000</v>
      </c>
      <c r="I38" s="279" t="s">
        <v>105</v>
      </c>
      <c r="J38" s="280"/>
    </row>
    <row r="39" spans="1:10" ht="17.25" customHeight="1">
      <c r="A39" s="219"/>
      <c r="B39" s="99"/>
      <c r="C39" s="100"/>
      <c r="D39" s="99"/>
      <c r="E39" s="101"/>
      <c r="F39" s="146"/>
      <c r="G39" s="102"/>
      <c r="H39" s="103"/>
      <c r="I39" s="132"/>
      <c r="J39" s="179"/>
    </row>
    <row r="40" spans="1:10" ht="17.25" customHeight="1">
      <c r="A40" s="74"/>
      <c r="B40" s="74"/>
      <c r="C40" s="47"/>
      <c r="D40" s="74"/>
      <c r="E40" s="105"/>
      <c r="F40" s="145"/>
      <c r="G40" s="109"/>
      <c r="H40" s="115"/>
      <c r="I40" s="133"/>
      <c r="J40" s="177"/>
    </row>
    <row r="41" spans="1:10" ht="17.25" customHeight="1">
      <c r="A41" s="68" t="s">
        <v>108</v>
      </c>
      <c r="B41" s="68"/>
      <c r="C41" s="111"/>
      <c r="D41" s="25"/>
      <c r="E41" s="108"/>
      <c r="F41" s="149"/>
      <c r="G41" s="112"/>
      <c r="H41" s="113">
        <f>H23+H26+H35+H38</f>
        <v>803000</v>
      </c>
      <c r="I41" s="272" t="s">
        <v>106</v>
      </c>
      <c r="J41" s="273"/>
    </row>
    <row r="42" spans="1:10" ht="17.25" customHeight="1">
      <c r="A42" s="74"/>
      <c r="B42" s="116"/>
      <c r="C42" s="117"/>
      <c r="D42" s="116"/>
      <c r="E42" s="118"/>
      <c r="F42" s="156"/>
      <c r="G42" s="119"/>
      <c r="H42" s="120"/>
      <c r="I42" s="132"/>
      <c r="J42" s="187"/>
    </row>
    <row r="43" spans="1:10" ht="17.25" customHeight="1">
      <c r="A43" s="74"/>
      <c r="B43" s="74"/>
      <c r="C43" s="104"/>
      <c r="D43" s="74"/>
      <c r="E43" s="105"/>
      <c r="F43" s="148"/>
      <c r="G43" s="109"/>
      <c r="H43" s="115"/>
      <c r="I43" s="133"/>
      <c r="J43" s="186"/>
    </row>
    <row r="44" spans="1:10" ht="17.25" customHeight="1">
      <c r="A44" s="68" t="s">
        <v>107</v>
      </c>
      <c r="B44" s="68"/>
      <c r="C44" s="111"/>
      <c r="D44" s="68"/>
      <c r="E44" s="108"/>
      <c r="F44" s="150"/>
      <c r="G44" s="112"/>
      <c r="H44" s="113">
        <f>H41/10</f>
        <v>80300</v>
      </c>
      <c r="I44" s="272"/>
      <c r="J44" s="273"/>
    </row>
    <row r="45" spans="1:10" ht="17.25" customHeight="1">
      <c r="A45" s="219"/>
      <c r="B45" s="99"/>
      <c r="C45" s="100"/>
      <c r="D45" s="99"/>
      <c r="E45" s="101"/>
      <c r="F45" s="147"/>
      <c r="G45" s="102"/>
      <c r="H45" s="103"/>
      <c r="I45" s="132"/>
      <c r="J45" s="179"/>
    </row>
    <row r="46" spans="1:10" ht="17.25" customHeight="1">
      <c r="A46" s="74"/>
      <c r="B46" s="74"/>
      <c r="C46" s="104"/>
      <c r="D46" s="74"/>
      <c r="E46" s="105"/>
      <c r="F46" s="148"/>
      <c r="G46" s="109"/>
      <c r="H46" s="81"/>
      <c r="I46" s="133"/>
      <c r="J46" s="186"/>
    </row>
    <row r="47" spans="1:10" ht="17.25" customHeight="1">
      <c r="A47" s="68" t="s">
        <v>109</v>
      </c>
      <c r="B47" s="68"/>
      <c r="C47" s="111"/>
      <c r="D47" s="68"/>
      <c r="E47" s="108"/>
      <c r="F47" s="150"/>
      <c r="G47" s="112"/>
      <c r="H47" s="113">
        <f>SUM(H39:H44)</f>
        <v>883300</v>
      </c>
      <c r="I47" s="131"/>
      <c r="J47" s="188"/>
    </row>
    <row r="48" spans="1:10" ht="17.25" customHeight="1">
      <c r="A48" s="219"/>
      <c r="B48" s="99"/>
      <c r="C48" s="100"/>
      <c r="D48" s="99"/>
      <c r="E48" s="106"/>
      <c r="F48" s="147"/>
      <c r="G48" s="107"/>
      <c r="H48" s="103"/>
      <c r="I48" s="132"/>
      <c r="J48" s="185"/>
    </row>
    <row r="49" spans="1:10" ht="17.25" customHeight="1">
      <c r="A49" s="74"/>
      <c r="B49" s="74"/>
      <c r="C49" s="104"/>
      <c r="D49" s="85"/>
      <c r="E49" s="105"/>
      <c r="F49" s="148"/>
      <c r="G49" s="85"/>
      <c r="H49" s="78"/>
      <c r="I49" s="133"/>
      <c r="J49" s="186"/>
    </row>
    <row r="50" spans="1:10" ht="17.25" customHeight="1">
      <c r="A50" s="68"/>
      <c r="B50" s="68"/>
      <c r="C50" s="111"/>
      <c r="D50" s="121"/>
      <c r="E50" s="108"/>
      <c r="F50" s="149"/>
      <c r="G50" s="121"/>
      <c r="H50" s="113"/>
      <c r="I50" s="131"/>
      <c r="J50" s="188"/>
    </row>
    <row r="51" spans="1:10" ht="17.25" customHeight="1">
      <c r="A51" s="219"/>
      <c r="B51" s="99"/>
      <c r="C51" s="100"/>
      <c r="D51" s="99"/>
      <c r="E51" s="101"/>
      <c r="F51" s="146"/>
      <c r="G51" s="102"/>
      <c r="H51" s="103"/>
      <c r="I51" s="132"/>
      <c r="J51" s="179"/>
    </row>
    <row r="52" spans="1:10" ht="17.25" customHeight="1">
      <c r="A52" s="74"/>
      <c r="B52" s="74"/>
      <c r="C52" s="47"/>
      <c r="D52" s="74"/>
      <c r="E52" s="105"/>
      <c r="F52" s="145"/>
      <c r="G52" s="109"/>
      <c r="H52" s="115"/>
      <c r="I52" s="133"/>
      <c r="J52" s="177"/>
    </row>
    <row r="53" spans="1:10" ht="17.25" customHeight="1">
      <c r="A53" s="68"/>
      <c r="B53" s="68"/>
      <c r="C53" s="111"/>
      <c r="D53" s="25"/>
      <c r="E53" s="108"/>
      <c r="F53" s="149"/>
      <c r="G53" s="112"/>
      <c r="H53" s="113"/>
      <c r="I53" s="131"/>
      <c r="J53" s="178"/>
    </row>
    <row r="54" spans="1:10" ht="17.25" customHeight="1">
      <c r="A54" s="219"/>
      <c r="B54" s="99"/>
      <c r="C54" s="100"/>
      <c r="D54" s="99"/>
      <c r="E54" s="101"/>
      <c r="F54" s="146"/>
      <c r="G54" s="102"/>
      <c r="H54" s="103"/>
      <c r="I54" s="132"/>
      <c r="J54" s="179"/>
    </row>
    <row r="55" spans="1:10" ht="17.25" customHeight="1">
      <c r="A55" s="74"/>
      <c r="B55" s="74"/>
      <c r="C55" s="47"/>
      <c r="D55" s="74"/>
      <c r="E55" s="105"/>
      <c r="F55" s="145"/>
      <c r="G55" s="109"/>
      <c r="H55" s="115"/>
      <c r="I55" s="133"/>
      <c r="J55" s="177"/>
    </row>
    <row r="56" spans="1:10" ht="17.25" customHeight="1">
      <c r="A56" s="68"/>
      <c r="B56" s="68"/>
      <c r="C56" s="111"/>
      <c r="D56" s="25"/>
      <c r="E56" s="108"/>
      <c r="F56" s="149"/>
      <c r="G56" s="112"/>
      <c r="H56" s="113"/>
      <c r="I56" s="131"/>
      <c r="J56" s="178"/>
    </row>
    <row r="57" spans="1:10" ht="17.25" customHeight="1">
      <c r="A57" s="219"/>
      <c r="B57" s="99"/>
      <c r="C57" s="100"/>
      <c r="D57" s="99"/>
      <c r="E57" s="101"/>
      <c r="F57" s="146"/>
      <c r="G57" s="102"/>
      <c r="H57" s="103"/>
      <c r="I57" s="132"/>
      <c r="J57" s="185"/>
    </row>
    <row r="58" spans="1:10" ht="17.25" customHeight="1">
      <c r="A58" s="74"/>
      <c r="B58" s="74"/>
      <c r="C58" s="47"/>
      <c r="D58" s="74"/>
      <c r="E58" s="105"/>
      <c r="F58" s="145"/>
      <c r="G58" s="77"/>
      <c r="H58" s="78"/>
      <c r="I58" s="133"/>
      <c r="J58" s="186"/>
    </row>
    <row r="59" spans="1:10" ht="17.25" customHeight="1">
      <c r="A59" s="68"/>
      <c r="B59" s="68"/>
      <c r="C59" s="111"/>
      <c r="D59" s="25"/>
      <c r="E59" s="108"/>
      <c r="F59" s="149"/>
      <c r="G59" s="112"/>
      <c r="H59" s="113"/>
      <c r="I59" s="131"/>
      <c r="J59" s="188"/>
    </row>
    <row r="60" spans="1:10" ht="17.25" customHeight="1">
      <c r="A60" s="219"/>
      <c r="B60" s="99"/>
      <c r="C60" s="100"/>
      <c r="D60" s="99"/>
      <c r="E60" s="101"/>
      <c r="F60" s="146"/>
      <c r="G60" s="102"/>
      <c r="H60" s="103"/>
      <c r="I60" s="132"/>
      <c r="J60" s="179"/>
    </row>
    <row r="61" spans="1:10" ht="17.25" customHeight="1">
      <c r="A61" s="74"/>
      <c r="B61" s="74"/>
      <c r="C61" s="47"/>
      <c r="D61" s="74"/>
      <c r="E61" s="105"/>
      <c r="F61" s="145"/>
      <c r="G61" s="109"/>
      <c r="H61" s="115"/>
      <c r="I61" s="133"/>
      <c r="J61" s="177"/>
    </row>
    <row r="62" spans="1:10" ht="17.25" customHeight="1">
      <c r="A62" s="68"/>
      <c r="B62" s="68"/>
      <c r="C62" s="111"/>
      <c r="D62" s="25"/>
      <c r="E62" s="108"/>
      <c r="F62" s="149"/>
      <c r="G62" s="112"/>
      <c r="H62" s="113"/>
      <c r="I62" s="131"/>
      <c r="J62" s="178"/>
    </row>
    <row r="63" spans="1:10" ht="17.25" customHeight="1">
      <c r="A63" s="74"/>
      <c r="B63" s="116"/>
      <c r="C63" s="117"/>
      <c r="D63" s="116"/>
      <c r="E63" s="118"/>
      <c r="F63" s="156"/>
      <c r="G63" s="119"/>
      <c r="H63" s="120"/>
      <c r="I63" s="132"/>
      <c r="J63" s="187"/>
    </row>
    <row r="64" spans="1:10" ht="17.25" customHeight="1">
      <c r="A64" s="74"/>
      <c r="B64" s="74"/>
      <c r="C64" s="104"/>
      <c r="D64" s="74"/>
      <c r="E64" s="105"/>
      <c r="F64" s="148"/>
      <c r="G64" s="109"/>
      <c r="H64" s="115"/>
      <c r="I64" s="133"/>
      <c r="J64" s="186"/>
    </row>
    <row r="65" spans="1:10" ht="17.25" customHeight="1">
      <c r="A65" s="68"/>
      <c r="B65" s="68"/>
      <c r="C65" s="111"/>
      <c r="D65" s="68"/>
      <c r="E65" s="108"/>
      <c r="F65" s="150"/>
      <c r="G65" s="112"/>
      <c r="H65" s="113"/>
      <c r="I65" s="131"/>
      <c r="J65" s="188"/>
    </row>
    <row r="66" spans="1:10" ht="17.25" customHeight="1">
      <c r="A66" s="219"/>
      <c r="B66" s="99"/>
      <c r="C66" s="100"/>
      <c r="D66" s="99"/>
      <c r="E66" s="101"/>
      <c r="F66" s="147"/>
      <c r="G66" s="102"/>
      <c r="H66" s="103"/>
      <c r="I66" s="132"/>
      <c r="J66" s="179"/>
    </row>
    <row r="67" spans="1:10" ht="17.25" customHeight="1">
      <c r="A67" s="74"/>
      <c r="B67" s="74"/>
      <c r="C67" s="104"/>
      <c r="D67" s="74"/>
      <c r="E67" s="105"/>
      <c r="F67" s="148"/>
      <c r="G67" s="109"/>
      <c r="H67" s="81"/>
      <c r="I67" s="133"/>
      <c r="J67" s="186"/>
    </row>
    <row r="68" spans="1:10" ht="17.25" customHeight="1">
      <c r="A68" s="68"/>
      <c r="B68" s="68"/>
      <c r="C68" s="111"/>
      <c r="D68" s="68"/>
      <c r="E68" s="108"/>
      <c r="F68" s="150"/>
      <c r="G68" s="112"/>
      <c r="H68" s="113"/>
      <c r="I68" s="131"/>
      <c r="J68" s="188"/>
    </row>
    <row r="69" spans="1:10" ht="17.25" customHeight="1">
      <c r="A69" s="219"/>
      <c r="B69" s="99"/>
      <c r="C69" s="100"/>
      <c r="D69" s="99"/>
      <c r="E69" s="106"/>
      <c r="F69" s="147"/>
      <c r="G69" s="107"/>
      <c r="H69" s="103"/>
      <c r="I69" s="132"/>
      <c r="J69" s="185"/>
    </row>
    <row r="70" spans="1:10" ht="17.25" customHeight="1">
      <c r="A70" s="74"/>
      <c r="B70" s="74"/>
      <c r="C70" s="104"/>
      <c r="D70" s="85"/>
      <c r="E70" s="105"/>
      <c r="F70" s="148"/>
      <c r="G70" s="85"/>
      <c r="H70" s="78"/>
      <c r="I70" s="133"/>
      <c r="J70" s="186"/>
    </row>
    <row r="71" spans="1:10" ht="17.25" customHeight="1">
      <c r="A71" s="68"/>
      <c r="B71" s="68"/>
      <c r="C71" s="111"/>
      <c r="D71" s="121"/>
      <c r="E71" s="108"/>
      <c r="F71" s="149"/>
      <c r="G71" s="121"/>
      <c r="H71" s="113"/>
      <c r="I71" s="131"/>
      <c r="J71" s="188"/>
    </row>
    <row r="72" spans="1:10" ht="17.25" customHeight="1">
      <c r="A72" s="219"/>
      <c r="B72" s="99"/>
      <c r="C72" s="100"/>
      <c r="D72" s="99"/>
      <c r="E72" s="101"/>
      <c r="F72" s="146"/>
      <c r="G72" s="102"/>
      <c r="H72" s="103"/>
      <c r="I72" s="132"/>
      <c r="J72" s="179"/>
    </row>
    <row r="73" spans="1:10" ht="17.25" customHeight="1">
      <c r="A73" s="74"/>
      <c r="B73" s="74"/>
      <c r="C73" s="47"/>
      <c r="D73" s="74"/>
      <c r="E73" s="105"/>
      <c r="F73" s="145"/>
      <c r="G73" s="109"/>
      <c r="H73" s="115"/>
      <c r="I73" s="133"/>
      <c r="J73" s="177"/>
    </row>
    <row r="74" spans="1:10" ht="17.25" customHeight="1">
      <c r="A74" s="68"/>
      <c r="B74" s="68"/>
      <c r="C74" s="111"/>
      <c r="D74" s="25"/>
      <c r="E74" s="108"/>
      <c r="F74" s="149"/>
      <c r="G74" s="112"/>
      <c r="H74" s="113"/>
      <c r="I74" s="131"/>
      <c r="J74" s="178"/>
    </row>
    <row r="75" spans="1:10" ht="17.25" customHeight="1">
      <c r="A75" s="219"/>
      <c r="B75" s="99"/>
      <c r="C75" s="100"/>
      <c r="D75" s="99"/>
      <c r="E75" s="101"/>
      <c r="F75" s="146"/>
      <c r="G75" s="102"/>
      <c r="H75" s="103"/>
      <c r="I75" s="132"/>
      <c r="J75" s="179"/>
    </row>
    <row r="76" spans="1:10" ht="17.25" customHeight="1">
      <c r="A76" s="74"/>
      <c r="B76" s="74"/>
      <c r="C76" s="47"/>
      <c r="D76" s="74"/>
      <c r="E76" s="105"/>
      <c r="F76" s="145"/>
      <c r="G76" s="109"/>
      <c r="H76" s="115"/>
      <c r="I76" s="133"/>
      <c r="J76" s="177"/>
    </row>
    <row r="77" spans="1:10" ht="17.25" customHeight="1">
      <c r="A77" s="68"/>
      <c r="B77" s="68"/>
      <c r="C77" s="111"/>
      <c r="D77" s="25"/>
      <c r="E77" s="108"/>
      <c r="F77" s="149"/>
      <c r="G77" s="112"/>
      <c r="H77" s="113"/>
      <c r="I77" s="131"/>
      <c r="J77" s="178"/>
    </row>
    <row r="78" spans="1:10" ht="17.25" customHeight="1">
      <c r="A78" s="219"/>
      <c r="B78" s="99"/>
      <c r="C78" s="100"/>
      <c r="D78" s="99"/>
      <c r="E78" s="101"/>
      <c r="F78" s="146"/>
      <c r="G78" s="102"/>
      <c r="H78" s="103"/>
      <c r="I78" s="132"/>
      <c r="J78" s="185"/>
    </row>
    <row r="79" spans="1:10" ht="17.25" customHeight="1">
      <c r="A79" s="74"/>
      <c r="B79" s="74"/>
      <c r="C79" s="47"/>
      <c r="D79" s="74"/>
      <c r="E79" s="105"/>
      <c r="F79" s="145"/>
      <c r="G79" s="77"/>
      <c r="H79" s="78"/>
      <c r="I79" s="133"/>
      <c r="J79" s="186"/>
    </row>
    <row r="80" spans="1:10" ht="17.25" customHeight="1">
      <c r="A80" s="68"/>
      <c r="B80" s="68"/>
      <c r="C80" s="111"/>
      <c r="D80" s="25"/>
      <c r="E80" s="108"/>
      <c r="F80" s="149"/>
      <c r="G80" s="112"/>
      <c r="H80" s="113"/>
      <c r="I80" s="131"/>
      <c r="J80" s="188"/>
    </row>
    <row r="81" spans="1:10" ht="17.25" customHeight="1">
      <c r="A81" s="219"/>
      <c r="B81" s="99"/>
      <c r="C81" s="100"/>
      <c r="D81" s="99"/>
      <c r="E81" s="101"/>
      <c r="F81" s="146"/>
      <c r="G81" s="102"/>
      <c r="H81" s="103"/>
      <c r="I81" s="132"/>
      <c r="J81" s="179"/>
    </row>
    <row r="82" spans="1:10" ht="17.25" customHeight="1">
      <c r="A82" s="74"/>
      <c r="B82" s="74"/>
      <c r="C82" s="47"/>
      <c r="D82" s="74"/>
      <c r="E82" s="105"/>
      <c r="F82" s="145"/>
      <c r="G82" s="109"/>
      <c r="H82" s="115"/>
      <c r="I82" s="133"/>
      <c r="J82" s="177"/>
    </row>
    <row r="83" spans="1:10" ht="17.25" customHeight="1">
      <c r="A83" s="68"/>
      <c r="B83" s="68"/>
      <c r="C83" s="111"/>
      <c r="D83" s="25"/>
      <c r="E83" s="108"/>
      <c r="F83" s="149"/>
      <c r="G83" s="112"/>
      <c r="H83" s="113"/>
      <c r="I83" s="131"/>
      <c r="J83" s="178"/>
    </row>
    <row r="84" spans="1:10" ht="17.25" customHeight="1">
      <c r="A84" s="74"/>
      <c r="B84" s="116"/>
      <c r="C84" s="117"/>
      <c r="D84" s="116"/>
      <c r="E84" s="118"/>
      <c r="F84" s="156"/>
      <c r="G84" s="119"/>
      <c r="H84" s="120"/>
      <c r="I84" s="132"/>
      <c r="J84" s="187"/>
    </row>
    <row r="85" spans="1:10" ht="17.25" customHeight="1">
      <c r="A85" s="74"/>
      <c r="B85" s="74"/>
      <c r="C85" s="104"/>
      <c r="D85" s="74"/>
      <c r="E85" s="105"/>
      <c r="F85" s="148"/>
      <c r="G85" s="109"/>
      <c r="H85" s="115"/>
      <c r="I85" s="133"/>
      <c r="J85" s="186"/>
    </row>
    <row r="86" spans="1:10" ht="17.25" customHeight="1">
      <c r="A86" s="68"/>
      <c r="B86" s="68"/>
      <c r="C86" s="111"/>
      <c r="D86" s="68"/>
      <c r="E86" s="108"/>
      <c r="F86" s="150"/>
      <c r="G86" s="112"/>
      <c r="H86" s="113"/>
      <c r="I86" s="131"/>
      <c r="J86" s="188"/>
    </row>
    <row r="87" spans="1:10" ht="17.25" customHeight="1">
      <c r="A87" s="219"/>
      <c r="B87" s="99"/>
      <c r="C87" s="100"/>
      <c r="D87" s="99"/>
      <c r="E87" s="101"/>
      <c r="F87" s="147"/>
      <c r="G87" s="102"/>
      <c r="H87" s="103"/>
      <c r="I87" s="132"/>
      <c r="J87" s="179"/>
    </row>
    <row r="88" spans="1:10" ht="17.25" customHeight="1">
      <c r="A88" s="74"/>
      <c r="B88" s="74"/>
      <c r="C88" s="104"/>
      <c r="D88" s="74"/>
      <c r="E88" s="105"/>
      <c r="F88" s="148"/>
      <c r="G88" s="109"/>
      <c r="H88" s="81"/>
      <c r="I88" s="133"/>
      <c r="J88" s="186"/>
    </row>
    <row r="89" spans="1:10" ht="17.25" customHeight="1">
      <c r="A89" s="68"/>
      <c r="B89" s="68"/>
      <c r="C89" s="111"/>
      <c r="D89" s="68"/>
      <c r="E89" s="108"/>
      <c r="F89" s="150"/>
      <c r="G89" s="112"/>
      <c r="H89" s="113"/>
      <c r="I89" s="131"/>
      <c r="J89" s="188"/>
    </row>
    <row r="90" spans="1:10" ht="17.25" customHeight="1">
      <c r="A90" s="219"/>
      <c r="B90" s="99"/>
      <c r="C90" s="100"/>
      <c r="D90" s="99"/>
      <c r="E90" s="106"/>
      <c r="F90" s="147"/>
      <c r="G90" s="107"/>
      <c r="H90" s="103"/>
      <c r="I90" s="132"/>
      <c r="J90" s="185"/>
    </row>
    <row r="91" spans="1:10" ht="17.25" customHeight="1">
      <c r="A91" s="74"/>
      <c r="B91" s="74"/>
      <c r="C91" s="104"/>
      <c r="D91" s="85"/>
      <c r="E91" s="105"/>
      <c r="F91" s="148"/>
      <c r="G91" s="85"/>
      <c r="H91" s="78"/>
      <c r="I91" s="133"/>
      <c r="J91" s="186"/>
    </row>
    <row r="92" spans="1:10" ht="17.25" customHeight="1">
      <c r="A92" s="68"/>
      <c r="B92" s="68"/>
      <c r="C92" s="111"/>
      <c r="D92" s="121"/>
      <c r="E92" s="108"/>
      <c r="F92" s="149"/>
      <c r="G92" s="121"/>
      <c r="H92" s="113"/>
      <c r="I92" s="131"/>
      <c r="J92" s="188"/>
    </row>
    <row r="93" spans="1:10" ht="17.25" customHeight="1">
      <c r="A93" s="219"/>
      <c r="B93" s="99"/>
      <c r="C93" s="100"/>
      <c r="D93" s="99"/>
      <c r="E93" s="106"/>
      <c r="F93" s="147"/>
      <c r="G93" s="107"/>
      <c r="H93" s="103"/>
      <c r="I93" s="132"/>
      <c r="J93" s="179"/>
    </row>
    <row r="94" spans="1:10" ht="17.25" customHeight="1">
      <c r="A94" s="74"/>
      <c r="B94" s="74"/>
      <c r="C94" s="104"/>
      <c r="D94" s="85"/>
      <c r="E94" s="105"/>
      <c r="F94" s="148"/>
      <c r="G94" s="85"/>
      <c r="H94" s="78"/>
      <c r="I94" s="133"/>
      <c r="J94" s="177"/>
    </row>
    <row r="95" spans="1:10" ht="17.25" customHeight="1">
      <c r="A95" s="68"/>
      <c r="B95" s="68"/>
      <c r="C95" s="111"/>
      <c r="D95" s="121"/>
      <c r="E95" s="122"/>
      <c r="F95" s="150"/>
      <c r="G95" s="121"/>
      <c r="H95" s="113"/>
      <c r="I95" s="140"/>
      <c r="J95" s="178"/>
    </row>
    <row r="96" spans="1:10" ht="17.25" customHeight="1">
      <c r="A96" s="219"/>
      <c r="B96" s="99"/>
      <c r="C96" s="100"/>
      <c r="D96" s="99"/>
      <c r="E96" s="101"/>
      <c r="F96" s="146"/>
      <c r="G96" s="102"/>
      <c r="H96" s="103"/>
      <c r="I96" s="135"/>
      <c r="J96" s="185"/>
    </row>
    <row r="97" spans="1:12" ht="17.25" customHeight="1">
      <c r="A97" s="74"/>
      <c r="B97" s="74"/>
      <c r="C97" s="104"/>
      <c r="D97" s="74"/>
      <c r="E97" s="105"/>
      <c r="F97" s="145"/>
      <c r="G97" s="77"/>
      <c r="H97" s="78"/>
      <c r="I97" s="136"/>
      <c r="J97" s="186"/>
    </row>
    <row r="98" spans="1:12" ht="17.25" customHeight="1">
      <c r="A98" s="68"/>
      <c r="B98" s="68"/>
      <c r="C98" s="111"/>
      <c r="D98" s="25"/>
      <c r="E98" s="108"/>
      <c r="F98" s="149"/>
      <c r="G98" s="112"/>
      <c r="H98" s="113"/>
      <c r="I98" s="272"/>
      <c r="J98" s="273"/>
    </row>
    <row r="99" spans="1:12" ht="17.25" customHeight="1">
      <c r="A99" s="219"/>
      <c r="B99" s="99"/>
      <c r="C99" s="100"/>
      <c r="D99" s="99"/>
      <c r="E99" s="101"/>
      <c r="F99" s="147"/>
      <c r="G99" s="102"/>
      <c r="H99" s="103"/>
      <c r="I99" s="135"/>
      <c r="J99" s="185"/>
    </row>
    <row r="100" spans="1:12" ht="17.25" customHeight="1">
      <c r="A100" s="74"/>
      <c r="B100" s="74"/>
      <c r="C100" s="104"/>
      <c r="D100" s="74"/>
      <c r="E100" s="110"/>
      <c r="F100" s="148"/>
      <c r="G100" s="85"/>
      <c r="H100" s="78"/>
      <c r="I100" s="285"/>
      <c r="J100" s="286"/>
    </row>
    <row r="101" spans="1:12" ht="17.25" customHeight="1">
      <c r="A101" s="68"/>
      <c r="B101" s="68"/>
      <c r="C101" s="111"/>
      <c r="D101" s="68"/>
      <c r="E101" s="108"/>
      <c r="F101" s="150"/>
      <c r="G101" s="112"/>
      <c r="H101" s="174"/>
      <c r="I101" s="281"/>
      <c r="J101" s="282"/>
      <c r="L101" s="114"/>
    </row>
    <row r="102" spans="1:12" ht="17.25" customHeight="1">
      <c r="A102" s="219"/>
      <c r="B102" s="99"/>
      <c r="C102" s="100"/>
      <c r="D102" s="99"/>
      <c r="E102" s="101"/>
      <c r="F102" s="146"/>
      <c r="G102" s="102"/>
      <c r="H102" s="103"/>
      <c r="I102" s="132"/>
      <c r="J102" s="179"/>
    </row>
    <row r="103" spans="1:12" ht="17.25" customHeight="1">
      <c r="A103" s="74"/>
      <c r="B103" s="74"/>
      <c r="C103" s="47"/>
      <c r="D103" s="74"/>
      <c r="E103" s="105"/>
      <c r="F103" s="145"/>
      <c r="G103" s="109"/>
      <c r="H103" s="115"/>
      <c r="I103" s="133"/>
      <c r="J103" s="177"/>
    </row>
    <row r="104" spans="1:12" ht="17.25" customHeight="1">
      <c r="A104" s="68"/>
      <c r="B104" s="68"/>
      <c r="C104" s="68"/>
      <c r="D104" s="25"/>
      <c r="E104" s="108"/>
      <c r="F104" s="150"/>
      <c r="G104" s="112"/>
      <c r="H104" s="174"/>
      <c r="I104" s="272"/>
      <c r="J104" s="273"/>
    </row>
    <row r="105" spans="1:12" ht="17.25" customHeight="1">
      <c r="A105" s="74"/>
      <c r="B105" s="116"/>
      <c r="C105" s="117"/>
      <c r="D105" s="116"/>
      <c r="E105" s="118"/>
      <c r="F105" s="151"/>
      <c r="G105" s="119"/>
      <c r="H105" s="120"/>
      <c r="I105" s="134"/>
      <c r="J105" s="184"/>
    </row>
    <row r="106" spans="1:12" ht="17.25" customHeight="1">
      <c r="A106" s="74"/>
      <c r="B106" s="74"/>
      <c r="C106" s="104"/>
      <c r="D106" s="74"/>
      <c r="E106" s="110"/>
      <c r="F106" s="148"/>
      <c r="G106" s="109"/>
      <c r="H106" s="78"/>
      <c r="I106" s="130"/>
      <c r="J106" s="177"/>
    </row>
    <row r="107" spans="1:12" ht="17.25" customHeight="1">
      <c r="A107" s="68"/>
      <c r="B107" s="68"/>
      <c r="C107" s="111"/>
      <c r="D107" s="68"/>
      <c r="E107" s="108"/>
      <c r="F107" s="149"/>
      <c r="G107" s="112"/>
      <c r="H107" s="113"/>
      <c r="I107" s="272"/>
      <c r="J107" s="273"/>
    </row>
    <row r="108" spans="1:12" ht="17.25" customHeight="1">
      <c r="A108" s="219"/>
      <c r="B108" s="99"/>
      <c r="C108" s="100"/>
      <c r="D108" s="99"/>
      <c r="E108" s="101"/>
      <c r="F108" s="146"/>
      <c r="G108" s="102"/>
      <c r="H108" s="103"/>
      <c r="I108" s="132"/>
      <c r="J108" s="179"/>
    </row>
    <row r="109" spans="1:12" ht="17.25" customHeight="1">
      <c r="A109" s="74"/>
      <c r="B109" s="74"/>
      <c r="C109" s="104"/>
      <c r="D109" s="74"/>
      <c r="E109" s="105"/>
      <c r="F109" s="145"/>
      <c r="G109" s="77"/>
      <c r="H109" s="78"/>
      <c r="I109" s="130"/>
      <c r="J109" s="177"/>
      <c r="L109" s="173">
        <f>ROUND(L110,2)</f>
        <v>53.85</v>
      </c>
    </row>
    <row r="110" spans="1:12" ht="17.25" customHeight="1">
      <c r="A110" s="68"/>
      <c r="B110" s="68"/>
      <c r="C110" s="111"/>
      <c r="D110" s="68"/>
      <c r="E110" s="108"/>
      <c r="F110" s="149"/>
      <c r="G110" s="112"/>
      <c r="H110" s="113"/>
      <c r="I110" s="272"/>
      <c r="J110" s="273"/>
      <c r="L110" s="47">
        <f>0.35/(1-0.35)*100</f>
        <v>53.846153846153847</v>
      </c>
    </row>
    <row r="111" spans="1:12" ht="17.25" customHeight="1">
      <c r="A111" s="219"/>
      <c r="B111" s="99"/>
      <c r="C111" s="100"/>
      <c r="D111" s="99"/>
      <c r="E111" s="101"/>
      <c r="F111" s="146"/>
      <c r="G111" s="102"/>
      <c r="H111" s="103"/>
      <c r="I111" s="132"/>
      <c r="J111" s="179"/>
    </row>
    <row r="112" spans="1:12" ht="17.25" customHeight="1">
      <c r="A112" s="74"/>
      <c r="B112" s="74"/>
      <c r="C112" s="104"/>
      <c r="D112" s="74"/>
      <c r="E112" s="110"/>
      <c r="F112" s="148"/>
      <c r="G112" s="109"/>
      <c r="H112" s="78"/>
      <c r="I112" s="130"/>
      <c r="J112" s="177"/>
    </row>
    <row r="113" spans="1:13" ht="17.25" customHeight="1">
      <c r="A113" s="74"/>
      <c r="B113" s="74"/>
      <c r="C113" s="104"/>
      <c r="D113" s="74"/>
      <c r="E113" s="105"/>
      <c r="F113" s="145"/>
      <c r="G113" s="77"/>
      <c r="H113" s="78"/>
      <c r="I113" s="283"/>
      <c r="J113" s="284"/>
    </row>
    <row r="114" spans="1:13" ht="17.25" customHeight="1">
      <c r="A114" s="219"/>
      <c r="B114" s="99"/>
      <c r="C114" s="100"/>
      <c r="D114" s="99"/>
      <c r="E114" s="101"/>
      <c r="F114" s="146"/>
      <c r="G114" s="102"/>
      <c r="H114" s="103"/>
      <c r="I114" s="132"/>
      <c r="J114" s="179"/>
    </row>
    <row r="115" spans="1:13" ht="17.25" customHeight="1">
      <c r="A115" s="74"/>
      <c r="B115" s="74"/>
      <c r="C115" s="104"/>
      <c r="D115" s="74"/>
      <c r="E115" s="105"/>
      <c r="F115" s="145"/>
      <c r="G115" s="77"/>
      <c r="H115" s="78"/>
      <c r="I115" s="153"/>
      <c r="J115" s="177"/>
    </row>
    <row r="116" spans="1:13" ht="17.25" customHeight="1">
      <c r="A116" s="68"/>
      <c r="B116" s="68"/>
      <c r="C116" s="111"/>
      <c r="D116" s="68"/>
      <c r="E116" s="108"/>
      <c r="F116" s="149"/>
      <c r="G116" s="112"/>
      <c r="H116" s="113"/>
      <c r="I116" s="272"/>
      <c r="J116" s="273"/>
      <c r="L116" s="47">
        <f>ROUNDDOWN(H113*F116/100,0)</f>
        <v>0</v>
      </c>
    </row>
    <row r="117" spans="1:13" ht="17.25" customHeight="1">
      <c r="A117" s="219"/>
      <c r="B117" s="99"/>
      <c r="C117" s="100"/>
      <c r="D117" s="99"/>
      <c r="E117" s="106"/>
      <c r="F117" s="147"/>
      <c r="G117" s="107"/>
      <c r="H117" s="103"/>
      <c r="I117" s="138"/>
      <c r="J117" s="185"/>
      <c r="L117" s="125">
        <f>SUM(H113+L116)</f>
        <v>0</v>
      </c>
    </row>
    <row r="118" spans="1:13" ht="17.25" customHeight="1">
      <c r="A118" s="74"/>
      <c r="B118" s="74"/>
      <c r="C118" s="104"/>
      <c r="D118" s="85"/>
      <c r="E118" s="105"/>
      <c r="F118" s="148"/>
      <c r="G118" s="85"/>
      <c r="H118" s="78"/>
      <c r="I118" s="139"/>
      <c r="J118" s="186"/>
      <c r="L118" s="125">
        <f>ROUNDDOWN(L117,-4)</f>
        <v>0</v>
      </c>
      <c r="M118" s="125">
        <f>L118-L117</f>
        <v>0</v>
      </c>
    </row>
    <row r="119" spans="1:13" ht="17.25" customHeight="1">
      <c r="A119" s="68"/>
      <c r="B119" s="68"/>
      <c r="C119" s="111"/>
      <c r="D119" s="121"/>
      <c r="E119" s="122"/>
      <c r="F119" s="150"/>
      <c r="G119" s="121"/>
      <c r="H119" s="113"/>
      <c r="I119" s="281"/>
      <c r="J119" s="282"/>
    </row>
    <row r="120" spans="1:13" ht="17.25" customHeight="1">
      <c r="A120" s="219"/>
      <c r="B120" s="99"/>
      <c r="C120" s="100"/>
      <c r="D120" s="99"/>
      <c r="E120" s="101"/>
      <c r="F120" s="146"/>
      <c r="G120" s="102"/>
      <c r="H120" s="103"/>
      <c r="I120" s="132"/>
      <c r="J120" s="185"/>
    </row>
    <row r="121" spans="1:13" ht="17.25" customHeight="1">
      <c r="A121" s="74"/>
      <c r="B121" s="74"/>
      <c r="C121" s="47"/>
      <c r="D121" s="74"/>
      <c r="E121" s="105"/>
      <c r="F121" s="145"/>
      <c r="G121" s="77"/>
      <c r="H121" s="78"/>
      <c r="I121" s="133"/>
      <c r="J121" s="186"/>
    </row>
    <row r="122" spans="1:13" ht="17.25" customHeight="1">
      <c r="A122" s="68"/>
      <c r="B122" s="68"/>
      <c r="C122" s="111"/>
      <c r="D122" s="25"/>
      <c r="E122" s="108"/>
      <c r="F122" s="149"/>
      <c r="G122" s="112"/>
      <c r="H122" s="113"/>
      <c r="I122" s="131"/>
      <c r="J122" s="182"/>
    </row>
    <row r="123" spans="1:13" ht="17.25" customHeight="1">
      <c r="A123" s="74"/>
      <c r="B123" s="116"/>
      <c r="C123" s="117"/>
      <c r="D123" s="116"/>
      <c r="E123" s="118"/>
      <c r="F123" s="156"/>
      <c r="G123" s="119"/>
      <c r="H123" s="120"/>
      <c r="I123" s="143"/>
      <c r="J123" s="187"/>
    </row>
    <row r="124" spans="1:13" ht="17.25" customHeight="1">
      <c r="A124" s="74"/>
      <c r="B124" s="74"/>
      <c r="C124" s="104"/>
      <c r="D124" s="74"/>
      <c r="E124" s="105"/>
      <c r="F124" s="148"/>
      <c r="G124" s="109"/>
      <c r="H124" s="115"/>
      <c r="I124" s="137"/>
      <c r="J124" s="186"/>
    </row>
    <row r="125" spans="1:13" ht="17.25" customHeight="1">
      <c r="A125" s="68"/>
      <c r="B125" s="68"/>
      <c r="C125" s="111"/>
      <c r="D125" s="68"/>
      <c r="E125" s="108"/>
      <c r="F125" s="150"/>
      <c r="G125" s="112"/>
      <c r="H125" s="113"/>
      <c r="I125" s="144"/>
      <c r="J125" s="188"/>
    </row>
    <row r="126" spans="1:13" ht="17.25" customHeight="1">
      <c r="A126" s="219"/>
      <c r="B126" s="99"/>
      <c r="C126" s="100"/>
      <c r="D126" s="99"/>
      <c r="E126" s="101"/>
      <c r="F126" s="147"/>
      <c r="G126" s="102"/>
      <c r="H126" s="103"/>
      <c r="I126" s="132"/>
      <c r="J126" s="179"/>
    </row>
    <row r="127" spans="1:13" ht="17.25" customHeight="1">
      <c r="A127" s="74"/>
      <c r="B127" s="74"/>
      <c r="C127" s="104"/>
      <c r="D127" s="74"/>
      <c r="E127" s="105"/>
      <c r="F127" s="148"/>
      <c r="G127" s="109"/>
      <c r="H127" s="81"/>
      <c r="I127" s="141"/>
      <c r="J127" s="186"/>
    </row>
    <row r="128" spans="1:13" ht="17.25" customHeight="1">
      <c r="A128" s="68"/>
      <c r="B128" s="68"/>
      <c r="C128" s="111"/>
      <c r="D128" s="68"/>
      <c r="E128" s="108"/>
      <c r="F128" s="150"/>
      <c r="G128" s="112"/>
      <c r="H128" s="113"/>
      <c r="I128" s="142"/>
      <c r="J128" s="188"/>
    </row>
    <row r="129" spans="1:10" ht="17.25" customHeight="1">
      <c r="A129" s="219"/>
      <c r="B129" s="99"/>
      <c r="C129" s="100"/>
      <c r="D129" s="99"/>
      <c r="E129" s="106"/>
      <c r="F129" s="147"/>
      <c r="G129" s="107"/>
      <c r="H129" s="103"/>
      <c r="I129" s="138"/>
      <c r="J129" s="185"/>
    </row>
    <row r="130" spans="1:10" ht="17.25" customHeight="1">
      <c r="A130" s="74"/>
      <c r="B130" s="74"/>
      <c r="C130" s="104"/>
      <c r="D130" s="85"/>
      <c r="E130" s="105"/>
      <c r="F130" s="148"/>
      <c r="G130" s="85"/>
      <c r="H130" s="78"/>
      <c r="I130" s="139"/>
      <c r="J130" s="186"/>
    </row>
    <row r="131" spans="1:10" ht="17.25" customHeight="1">
      <c r="A131" s="74"/>
      <c r="B131" s="74"/>
      <c r="C131" s="104"/>
      <c r="D131" s="85"/>
      <c r="E131" s="105"/>
      <c r="F131" s="145"/>
      <c r="G131" s="85"/>
      <c r="H131" s="78"/>
      <c r="I131" s="130"/>
      <c r="J131" s="186"/>
    </row>
    <row r="132" spans="1:10" ht="17.25" customHeight="1">
      <c r="A132" s="219"/>
      <c r="B132" s="99"/>
      <c r="C132" s="100"/>
      <c r="D132" s="99"/>
      <c r="E132" s="101"/>
      <c r="F132" s="146"/>
      <c r="G132" s="102"/>
      <c r="H132" s="103"/>
      <c r="I132" s="135"/>
      <c r="J132" s="185"/>
    </row>
    <row r="133" spans="1:10" ht="17.25" customHeight="1">
      <c r="A133" s="74"/>
      <c r="B133" s="74"/>
      <c r="C133" s="47"/>
      <c r="D133" s="74"/>
      <c r="E133" s="105"/>
      <c r="F133" s="145"/>
      <c r="G133" s="77"/>
      <c r="H133" s="78"/>
      <c r="I133" s="136"/>
      <c r="J133" s="186"/>
    </row>
    <row r="134" spans="1:10" ht="17.25" customHeight="1">
      <c r="A134" s="68"/>
      <c r="B134" s="68"/>
      <c r="C134" s="111"/>
      <c r="D134" s="25"/>
      <c r="E134" s="108"/>
      <c r="F134" s="149"/>
      <c r="G134" s="112"/>
      <c r="H134" s="113"/>
      <c r="I134" s="131"/>
      <c r="J134" s="182"/>
    </row>
    <row r="135" spans="1:10" ht="17.25" customHeight="1">
      <c r="A135" s="74"/>
      <c r="B135" s="116"/>
      <c r="C135" s="117"/>
      <c r="D135" s="116"/>
      <c r="E135" s="118"/>
      <c r="F135" s="156"/>
      <c r="G135" s="119"/>
      <c r="H135" s="120"/>
      <c r="I135" s="143"/>
      <c r="J135" s="187"/>
    </row>
    <row r="136" spans="1:10" ht="17.25" customHeight="1">
      <c r="A136" s="74"/>
      <c r="B136" s="74"/>
      <c r="C136" s="104"/>
      <c r="D136" s="74"/>
      <c r="E136" s="105"/>
      <c r="F136" s="148"/>
      <c r="G136" s="109"/>
      <c r="H136" s="115"/>
      <c r="I136" s="137"/>
      <c r="J136" s="186"/>
    </row>
    <row r="137" spans="1:10" ht="17.25" customHeight="1">
      <c r="A137" s="68"/>
      <c r="B137" s="68"/>
      <c r="C137" s="111"/>
      <c r="D137" s="68"/>
      <c r="E137" s="108"/>
      <c r="F137" s="150"/>
      <c r="G137" s="112"/>
      <c r="H137" s="113"/>
      <c r="I137" s="144"/>
      <c r="J137" s="188"/>
    </row>
    <row r="138" spans="1:10" ht="17.25" customHeight="1">
      <c r="A138" s="219"/>
      <c r="B138" s="99"/>
      <c r="C138" s="100"/>
      <c r="D138" s="99"/>
      <c r="E138" s="101"/>
      <c r="F138" s="147"/>
      <c r="G138" s="102"/>
      <c r="H138" s="103"/>
      <c r="I138" s="132"/>
      <c r="J138" s="179"/>
    </row>
    <row r="139" spans="1:10" ht="17.25" customHeight="1">
      <c r="A139" s="74"/>
      <c r="B139" s="74"/>
      <c r="C139" s="104"/>
      <c r="D139" s="74"/>
      <c r="E139" s="105"/>
      <c r="F139" s="148"/>
      <c r="G139" s="109"/>
      <c r="H139" s="81"/>
      <c r="I139" s="141"/>
      <c r="J139" s="186"/>
    </row>
    <row r="140" spans="1:10" ht="17.25" customHeight="1">
      <c r="A140" s="68"/>
      <c r="B140" s="68"/>
      <c r="C140" s="111"/>
      <c r="D140" s="68"/>
      <c r="E140" s="108"/>
      <c r="F140" s="150"/>
      <c r="G140" s="112"/>
      <c r="H140" s="113"/>
      <c r="I140" s="142"/>
      <c r="J140" s="188"/>
    </row>
    <row r="141" spans="1:10" ht="17.25" customHeight="1">
      <c r="A141" s="219"/>
      <c r="B141" s="99"/>
      <c r="C141" s="100"/>
      <c r="D141" s="99"/>
      <c r="E141" s="106"/>
      <c r="F141" s="147"/>
      <c r="G141" s="107"/>
      <c r="H141" s="103"/>
      <c r="I141" s="138"/>
      <c r="J141" s="185"/>
    </row>
    <row r="142" spans="1:10" ht="17.25" customHeight="1">
      <c r="A142" s="74"/>
      <c r="B142" s="74"/>
      <c r="C142" s="104"/>
      <c r="D142" s="85"/>
      <c r="E142" s="105"/>
      <c r="F142" s="148"/>
      <c r="G142" s="85"/>
      <c r="H142" s="78"/>
      <c r="I142" s="139"/>
      <c r="J142" s="186"/>
    </row>
    <row r="143" spans="1:10" ht="17.25" customHeight="1">
      <c r="A143" s="74"/>
      <c r="B143" s="74"/>
      <c r="C143" s="104"/>
      <c r="D143" s="85"/>
      <c r="E143" s="105"/>
      <c r="F143" s="145"/>
      <c r="G143" s="85"/>
      <c r="H143" s="78"/>
      <c r="I143" s="130"/>
      <c r="J143" s="186"/>
    </row>
    <row r="144" spans="1:10" ht="17.25" customHeight="1">
      <c r="A144" s="219"/>
      <c r="B144" s="99"/>
      <c r="C144" s="100"/>
      <c r="D144" s="99"/>
      <c r="E144" s="101"/>
      <c r="F144" s="146"/>
      <c r="G144" s="102"/>
      <c r="H144" s="103"/>
      <c r="I144" s="135"/>
      <c r="J144" s="185"/>
    </row>
    <row r="145" spans="1:10" ht="17.25" customHeight="1">
      <c r="A145" s="74"/>
      <c r="B145" s="74"/>
      <c r="C145" s="47"/>
      <c r="D145" s="74"/>
      <c r="E145" s="105"/>
      <c r="F145" s="145"/>
      <c r="G145" s="77"/>
      <c r="H145" s="78"/>
      <c r="I145" s="136"/>
      <c r="J145" s="186"/>
    </row>
    <row r="146" spans="1:10" ht="17.25" customHeight="1">
      <c r="A146" s="68"/>
      <c r="B146" s="68"/>
      <c r="C146" s="111"/>
      <c r="D146" s="25"/>
      <c r="E146" s="108"/>
      <c r="F146" s="149"/>
      <c r="G146" s="112"/>
      <c r="H146" s="113"/>
      <c r="I146" s="131"/>
      <c r="J146" s="182"/>
    </row>
    <row r="147" spans="1:10" ht="17.25" customHeight="1">
      <c r="A147" s="219"/>
      <c r="B147" s="99"/>
      <c r="C147" s="100"/>
      <c r="D147" s="99"/>
      <c r="E147" s="101"/>
      <c r="F147" s="146"/>
      <c r="G147" s="102"/>
      <c r="H147" s="103"/>
      <c r="I147" s="132"/>
      <c r="J147" s="179"/>
    </row>
    <row r="148" spans="1:10" ht="17.25" customHeight="1">
      <c r="A148" s="74"/>
      <c r="B148" s="74"/>
      <c r="C148" s="47"/>
      <c r="D148" s="74"/>
      <c r="E148" s="105"/>
      <c r="F148" s="145"/>
      <c r="G148" s="109"/>
      <c r="H148" s="115"/>
      <c r="I148" s="133"/>
      <c r="J148" s="177"/>
    </row>
    <row r="149" spans="1:10" ht="17.25" customHeight="1">
      <c r="A149" s="68"/>
      <c r="B149" s="68"/>
      <c r="C149" s="111"/>
      <c r="D149" s="25"/>
      <c r="E149" s="108"/>
      <c r="F149" s="149"/>
      <c r="G149" s="112"/>
      <c r="H149" s="113"/>
      <c r="I149" s="131"/>
      <c r="J149" s="178"/>
    </row>
    <row r="150" spans="1:10" ht="17.25" customHeight="1">
      <c r="A150" s="219"/>
      <c r="B150" s="99"/>
      <c r="C150" s="100"/>
      <c r="D150" s="99"/>
      <c r="E150" s="101"/>
      <c r="F150" s="146"/>
      <c r="G150" s="102"/>
      <c r="H150" s="103"/>
      <c r="I150" s="132"/>
      <c r="J150" s="191"/>
    </row>
    <row r="151" spans="1:10" ht="17.25" customHeight="1">
      <c r="A151" s="74"/>
      <c r="B151" s="74"/>
      <c r="C151" s="47"/>
      <c r="D151" s="74"/>
      <c r="E151" s="105"/>
      <c r="F151" s="145"/>
      <c r="G151" s="109"/>
      <c r="H151" s="81"/>
      <c r="I151" s="130"/>
      <c r="J151" s="189"/>
    </row>
    <row r="152" spans="1:10" ht="17.25" customHeight="1">
      <c r="A152" s="68"/>
      <c r="B152" s="68"/>
      <c r="C152" s="111"/>
      <c r="D152" s="25"/>
      <c r="E152" s="108"/>
      <c r="F152" s="149"/>
      <c r="G152" s="112"/>
      <c r="H152" s="113"/>
      <c r="I152" s="131"/>
      <c r="J152" s="182"/>
    </row>
    <row r="153" spans="1:10" ht="17.25" customHeight="1">
      <c r="A153" s="219"/>
      <c r="B153" s="99"/>
      <c r="C153" s="100"/>
      <c r="D153" s="99"/>
      <c r="E153" s="101"/>
      <c r="F153" s="147"/>
      <c r="G153" s="102"/>
      <c r="H153" s="103"/>
      <c r="I153" s="132"/>
      <c r="J153" s="191"/>
    </row>
    <row r="154" spans="1:10" ht="17.25" customHeight="1">
      <c r="A154" s="74"/>
      <c r="B154" s="74"/>
      <c r="C154" s="104"/>
      <c r="D154" s="74"/>
      <c r="E154" s="105"/>
      <c r="F154" s="148"/>
      <c r="G154" s="109"/>
      <c r="H154" s="115"/>
      <c r="I154" s="133"/>
      <c r="J154" s="189"/>
    </row>
    <row r="155" spans="1:10" ht="17.25" customHeight="1">
      <c r="A155" s="68"/>
      <c r="B155" s="68"/>
      <c r="C155" s="111"/>
      <c r="D155" s="68"/>
      <c r="E155" s="108"/>
      <c r="F155" s="149"/>
      <c r="G155" s="112"/>
      <c r="H155" s="113"/>
      <c r="I155" s="131"/>
      <c r="J155" s="182"/>
    </row>
    <row r="156" spans="1:10" ht="18" customHeight="1"/>
    <row r="157" spans="1:10" ht="18" customHeight="1"/>
    <row r="158" spans="1:10" ht="18" customHeight="1"/>
    <row r="159" spans="1:10" ht="18" customHeight="1"/>
    <row r="160" spans="1:10" ht="18" customHeight="1"/>
    <row r="161" ht="18" customHeight="1"/>
    <row r="162" ht="18" customHeight="1"/>
  </sheetData>
  <mergeCells count="18">
    <mergeCell ref="I104:J104"/>
    <mergeCell ref="I119:J119"/>
    <mergeCell ref="I113:J113"/>
    <mergeCell ref="I100:J100"/>
    <mergeCell ref="I101:J101"/>
    <mergeCell ref="I107:J107"/>
    <mergeCell ref="I110:J110"/>
    <mergeCell ref="I116:J116"/>
    <mergeCell ref="I98:J98"/>
    <mergeCell ref="B1:H1"/>
    <mergeCell ref="I1:J1"/>
    <mergeCell ref="I2:J2"/>
    <mergeCell ref="I44:J44"/>
    <mergeCell ref="I32:J32"/>
    <mergeCell ref="I29:J29"/>
    <mergeCell ref="I35:J35"/>
    <mergeCell ref="I38:J38"/>
    <mergeCell ref="I41:J41"/>
  </mergeCells>
  <phoneticPr fontId="1"/>
  <pageMargins left="0.59055118110236227" right="0.27559055118110237" top="0.78740157480314965" bottom="0.39370078740157483" header="0.51181102362204722" footer="0.51181102362204722"/>
  <pageSetup paperSize="9" scale="5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77"/>
  <sheetViews>
    <sheetView view="pageBreakPreview" topLeftCell="A35" zoomScaleNormal="130" zoomScaleSheetLayoutView="100" workbookViewId="0">
      <selection activeCell="P11" sqref="P11"/>
    </sheetView>
  </sheetViews>
  <sheetFormatPr defaultRowHeight="18" customHeight="1"/>
  <cols>
    <col min="1" max="1" width="0.75" style="6" customWidth="1"/>
    <col min="2" max="2" width="14.25" style="6" bestFit="1" customWidth="1"/>
    <col min="3" max="5" width="9" style="6"/>
    <col min="6" max="6" width="6.875" style="6" customWidth="1"/>
    <col min="7" max="7" width="13.75" style="13" customWidth="1"/>
    <col min="8" max="8" width="15" style="6" customWidth="1"/>
    <col min="9" max="9" width="18.75" style="14" customWidth="1"/>
    <col min="10" max="10" width="10" style="6" customWidth="1"/>
    <col min="11" max="12" width="9" style="6"/>
    <col min="13" max="13" width="9.875" style="6" bestFit="1" customWidth="1"/>
    <col min="14" max="14" width="0.625" style="6" customWidth="1"/>
    <col min="15" max="16" width="9" style="6"/>
    <col min="17" max="17" width="8.75" style="6" customWidth="1"/>
    <col min="18" max="16384" width="9" style="6"/>
  </cols>
  <sheetData>
    <row r="1" spans="1:14" ht="3" customHeight="1">
      <c r="A1" s="1"/>
      <c r="B1" s="2"/>
      <c r="C1" s="2"/>
      <c r="D1" s="2"/>
      <c r="E1" s="2"/>
      <c r="F1" s="2"/>
      <c r="G1" s="3"/>
      <c r="H1" s="2"/>
      <c r="I1" s="4"/>
      <c r="J1" s="2"/>
      <c r="K1" s="2"/>
      <c r="L1" s="2"/>
      <c r="M1" s="2"/>
      <c r="N1" s="5"/>
    </row>
    <row r="2" spans="1:14" ht="13.5" customHeight="1">
      <c r="A2" s="7"/>
      <c r="B2" s="8">
        <v>1</v>
      </c>
      <c r="D2" s="315" t="s">
        <v>50</v>
      </c>
      <c r="E2" s="315"/>
      <c r="G2" s="302" t="s">
        <v>8</v>
      </c>
      <c r="H2" s="302"/>
      <c r="I2" s="302"/>
      <c r="J2" s="9"/>
      <c r="K2" s="10" t="s">
        <v>14</v>
      </c>
      <c r="N2" s="11"/>
    </row>
    <row r="3" spans="1:14" ht="15.75" customHeight="1">
      <c r="A3" s="7"/>
      <c r="C3" s="6" t="s">
        <v>7</v>
      </c>
      <c r="G3" s="302"/>
      <c r="H3" s="302"/>
      <c r="I3" s="302"/>
      <c r="J3" s="10"/>
      <c r="K3" s="12"/>
      <c r="L3" s="6" t="s">
        <v>49</v>
      </c>
      <c r="N3" s="11"/>
    </row>
    <row r="4" spans="1:14" ht="3.75" customHeight="1">
      <c r="A4" s="7"/>
      <c r="N4" s="11"/>
    </row>
    <row r="5" spans="1:14" ht="12.75" customHeight="1">
      <c r="A5" s="7"/>
      <c r="B5" s="303" t="s">
        <v>4</v>
      </c>
      <c r="C5" s="304"/>
      <c r="D5" s="307" t="s">
        <v>5</v>
      </c>
      <c r="E5" s="307"/>
      <c r="F5" s="309" t="s">
        <v>0</v>
      </c>
      <c r="G5" s="311" t="s">
        <v>1</v>
      </c>
      <c r="H5" s="307" t="s">
        <v>2</v>
      </c>
      <c r="I5" s="313" t="s">
        <v>6</v>
      </c>
      <c r="J5" s="307" t="s">
        <v>3</v>
      </c>
      <c r="K5" s="307"/>
      <c r="L5" s="307"/>
      <c r="M5" s="318"/>
      <c r="N5" s="11"/>
    </row>
    <row r="6" spans="1:14" ht="15" customHeight="1">
      <c r="A6" s="7"/>
      <c r="B6" s="305"/>
      <c r="C6" s="306"/>
      <c r="D6" s="308"/>
      <c r="E6" s="308"/>
      <c r="F6" s="310"/>
      <c r="G6" s="312"/>
      <c r="H6" s="308"/>
      <c r="I6" s="314"/>
      <c r="J6" s="308"/>
      <c r="K6" s="308"/>
      <c r="L6" s="308"/>
      <c r="M6" s="319"/>
      <c r="N6" s="11"/>
    </row>
    <row r="7" spans="1:14" ht="18" customHeight="1">
      <c r="A7" s="7"/>
      <c r="B7" s="320" t="s">
        <v>60</v>
      </c>
      <c r="C7" s="321"/>
      <c r="D7" s="290"/>
      <c r="E7" s="291"/>
      <c r="F7" s="297"/>
      <c r="G7" s="164"/>
      <c r="H7" s="16"/>
      <c r="I7" s="17"/>
      <c r="J7" s="10"/>
      <c r="M7" s="11"/>
      <c r="N7" s="11"/>
    </row>
    <row r="8" spans="1:14" ht="18" customHeight="1">
      <c r="A8" s="7"/>
      <c r="B8" s="322"/>
      <c r="C8" s="317"/>
      <c r="D8" s="301"/>
      <c r="E8" s="296"/>
      <c r="F8" s="300"/>
      <c r="G8" s="157"/>
      <c r="H8" s="19"/>
      <c r="I8" s="20"/>
      <c r="M8" s="21"/>
      <c r="N8" s="11"/>
    </row>
    <row r="9" spans="1:14" ht="18" customHeight="1">
      <c r="A9" s="7"/>
      <c r="B9" s="292" t="s">
        <v>10</v>
      </c>
      <c r="C9" s="291"/>
      <c r="D9" s="290"/>
      <c r="E9" s="291"/>
      <c r="F9" s="297" t="s">
        <v>9</v>
      </c>
      <c r="G9" s="192"/>
      <c r="H9" s="16"/>
      <c r="I9" s="17"/>
      <c r="J9" s="22"/>
      <c r="K9" s="23"/>
      <c r="L9" s="23"/>
      <c r="M9" s="24"/>
      <c r="N9" s="11"/>
    </row>
    <row r="10" spans="1:14" ht="18" customHeight="1">
      <c r="A10" s="7"/>
      <c r="B10" s="295"/>
      <c r="C10" s="296"/>
      <c r="D10" s="301"/>
      <c r="E10" s="296"/>
      <c r="F10" s="300"/>
      <c r="G10" s="196">
        <v>1</v>
      </c>
      <c r="H10" s="19">
        <f>'R７　人件費単価'!$C$8</f>
        <v>66900</v>
      </c>
      <c r="I10" s="20">
        <f>INT(G10*H10)</f>
        <v>66900</v>
      </c>
      <c r="K10" s="25"/>
      <c r="L10" s="25"/>
      <c r="M10" s="21"/>
      <c r="N10" s="11"/>
    </row>
    <row r="11" spans="1:14" ht="18" customHeight="1">
      <c r="A11" s="7"/>
      <c r="B11" s="292" t="s">
        <v>11</v>
      </c>
      <c r="C11" s="291"/>
      <c r="D11" s="323"/>
      <c r="E11" s="324"/>
      <c r="F11" s="297" t="s">
        <v>9</v>
      </c>
      <c r="G11" s="164"/>
      <c r="H11" s="16"/>
      <c r="I11" s="17"/>
      <c r="J11" s="22"/>
      <c r="K11" s="23"/>
      <c r="L11" s="23"/>
      <c r="M11" s="24"/>
      <c r="N11" s="11"/>
    </row>
    <row r="12" spans="1:14" ht="18" customHeight="1">
      <c r="A12" s="7"/>
      <c r="B12" s="295"/>
      <c r="C12" s="296"/>
      <c r="D12" s="325"/>
      <c r="E12" s="326"/>
      <c r="F12" s="300"/>
      <c r="G12" s="157">
        <v>1</v>
      </c>
      <c r="H12" s="19">
        <f>'R７　人件費単価'!$C$9</f>
        <v>59600</v>
      </c>
      <c r="I12" s="20">
        <f>ROUNDDOWN(G12*H12,0)</f>
        <v>59600</v>
      </c>
      <c r="L12" s="25"/>
      <c r="M12" s="21"/>
      <c r="N12" s="11"/>
    </row>
    <row r="13" spans="1:14" ht="18" customHeight="1">
      <c r="A13" s="7"/>
      <c r="B13" s="292"/>
      <c r="C13" s="291"/>
      <c r="D13" s="323"/>
      <c r="E13" s="324"/>
      <c r="F13" s="297"/>
      <c r="G13" s="164"/>
      <c r="H13" s="16"/>
      <c r="I13" s="17"/>
      <c r="J13" s="22"/>
      <c r="K13" s="23"/>
      <c r="L13" s="23"/>
      <c r="M13" s="24"/>
      <c r="N13" s="11"/>
    </row>
    <row r="14" spans="1:14" ht="18" customHeight="1">
      <c r="A14" s="7"/>
      <c r="B14" s="295"/>
      <c r="C14" s="296"/>
      <c r="D14" s="325"/>
      <c r="E14" s="326"/>
      <c r="F14" s="300"/>
      <c r="G14" s="157"/>
      <c r="H14" s="19"/>
      <c r="I14" s="20"/>
      <c r="J14" s="26"/>
      <c r="K14" s="25"/>
      <c r="L14" s="25"/>
      <c r="M14" s="21"/>
      <c r="N14" s="11"/>
    </row>
    <row r="15" spans="1:14" ht="18" customHeight="1">
      <c r="A15" s="7"/>
      <c r="B15" s="292"/>
      <c r="C15" s="291"/>
      <c r="D15" s="290"/>
      <c r="E15" s="291"/>
      <c r="F15" s="297"/>
      <c r="G15" s="164"/>
      <c r="H15" s="16"/>
      <c r="I15" s="17"/>
      <c r="M15" s="11"/>
      <c r="N15" s="11"/>
    </row>
    <row r="16" spans="1:14" ht="18" customHeight="1">
      <c r="A16" s="7"/>
      <c r="B16" s="295"/>
      <c r="C16" s="296"/>
      <c r="D16" s="316"/>
      <c r="E16" s="317"/>
      <c r="F16" s="300"/>
      <c r="G16" s="157"/>
      <c r="H16" s="19"/>
      <c r="I16" s="20"/>
      <c r="M16" s="21"/>
      <c r="N16" s="11"/>
    </row>
    <row r="17" spans="1:14" ht="18" customHeight="1">
      <c r="A17" s="7"/>
      <c r="B17" s="292"/>
      <c r="C17" s="291"/>
      <c r="D17" s="290"/>
      <c r="E17" s="291"/>
      <c r="F17" s="297"/>
      <c r="G17" s="164"/>
      <c r="H17" s="27"/>
      <c r="I17" s="17"/>
      <c r="J17" s="22"/>
      <c r="K17" s="23"/>
      <c r="L17" s="23"/>
      <c r="M17" s="24"/>
      <c r="N17" s="11"/>
    </row>
    <row r="18" spans="1:14" ht="18" customHeight="1">
      <c r="A18" s="7"/>
      <c r="B18" s="295"/>
      <c r="C18" s="296"/>
      <c r="D18" s="301"/>
      <c r="E18" s="296"/>
      <c r="F18" s="300"/>
      <c r="G18" s="157"/>
      <c r="H18" s="28"/>
      <c r="I18" s="20"/>
      <c r="J18" s="26"/>
      <c r="K18" s="25"/>
      <c r="L18" s="25"/>
      <c r="M18" s="21"/>
      <c r="N18" s="11"/>
    </row>
    <row r="19" spans="1:14" ht="18" customHeight="1">
      <c r="A19" s="7"/>
      <c r="B19" s="292" t="s">
        <v>13</v>
      </c>
      <c r="C19" s="291"/>
      <c r="D19" s="290"/>
      <c r="E19" s="291"/>
      <c r="F19" s="297"/>
      <c r="G19" s="15"/>
      <c r="H19" s="16"/>
      <c r="I19" s="17"/>
      <c r="J19" s="22"/>
      <c r="K19" s="23"/>
      <c r="L19" s="23"/>
      <c r="M19" s="24"/>
      <c r="N19" s="11"/>
    </row>
    <row r="20" spans="1:14" ht="18" customHeight="1">
      <c r="A20" s="7"/>
      <c r="B20" s="295"/>
      <c r="C20" s="296"/>
      <c r="D20" s="301"/>
      <c r="E20" s="296"/>
      <c r="F20" s="300"/>
      <c r="G20" s="18"/>
      <c r="H20" s="19"/>
      <c r="I20" s="20">
        <f>SUM(I8,I12,I14,I10,I16)</f>
        <v>126500</v>
      </c>
      <c r="J20" s="26"/>
      <c r="K20" s="25"/>
      <c r="L20" s="25"/>
      <c r="M20" s="21"/>
      <c r="N20" s="11"/>
    </row>
    <row r="21" spans="1:14" ht="18" customHeight="1">
      <c r="A21" s="7"/>
      <c r="B21" s="292"/>
      <c r="C21" s="291"/>
      <c r="D21" s="290"/>
      <c r="E21" s="291"/>
      <c r="F21" s="297"/>
      <c r="G21" s="15"/>
      <c r="H21" s="27"/>
      <c r="I21" s="17"/>
      <c r="J21" s="22"/>
      <c r="K21" s="23"/>
      <c r="L21" s="23"/>
      <c r="M21" s="24"/>
      <c r="N21" s="11"/>
    </row>
    <row r="22" spans="1:14" ht="18" customHeight="1">
      <c r="A22" s="7"/>
      <c r="B22" s="295"/>
      <c r="C22" s="296"/>
      <c r="D22" s="301"/>
      <c r="E22" s="296"/>
      <c r="F22" s="300"/>
      <c r="G22" s="18"/>
      <c r="H22" s="28"/>
      <c r="I22" s="20"/>
      <c r="J22" s="26"/>
      <c r="K22" s="25"/>
      <c r="L22" s="25"/>
      <c r="M22" s="21"/>
      <c r="N22" s="11"/>
    </row>
    <row r="23" spans="1:14" ht="18" customHeight="1">
      <c r="A23" s="7"/>
      <c r="B23" s="292"/>
      <c r="C23" s="291"/>
      <c r="D23" s="290"/>
      <c r="E23" s="291"/>
      <c r="F23" s="297"/>
      <c r="G23" s="15"/>
      <c r="H23" s="27"/>
      <c r="I23" s="17"/>
      <c r="J23" s="22"/>
      <c r="K23" s="23"/>
      <c r="L23" s="23"/>
      <c r="M23" s="24"/>
      <c r="N23" s="11"/>
    </row>
    <row r="24" spans="1:14" ht="18" customHeight="1">
      <c r="A24" s="7"/>
      <c r="B24" s="295"/>
      <c r="C24" s="296"/>
      <c r="D24" s="301"/>
      <c r="E24" s="296"/>
      <c r="F24" s="300"/>
      <c r="G24" s="18"/>
      <c r="H24" s="28"/>
      <c r="I24" s="20"/>
      <c r="J24" s="26"/>
      <c r="K24" s="25"/>
      <c r="L24" s="25"/>
      <c r="M24" s="21"/>
      <c r="N24" s="11"/>
    </row>
    <row r="25" spans="1:14" ht="18" customHeight="1">
      <c r="A25" s="7"/>
      <c r="B25" s="292"/>
      <c r="C25" s="291"/>
      <c r="D25" s="29"/>
      <c r="E25" s="30"/>
      <c r="F25" s="297"/>
      <c r="G25" s="15"/>
      <c r="H25" s="27"/>
      <c r="I25" s="17"/>
      <c r="J25" s="22"/>
      <c r="K25" s="23"/>
      <c r="L25" s="23"/>
      <c r="M25" s="24"/>
      <c r="N25" s="11"/>
    </row>
    <row r="26" spans="1:14" ht="18" customHeight="1">
      <c r="A26" s="7"/>
      <c r="B26" s="295"/>
      <c r="C26" s="296"/>
      <c r="D26" s="31"/>
      <c r="E26" s="30"/>
      <c r="F26" s="300"/>
      <c r="G26" s="18"/>
      <c r="H26" s="28"/>
      <c r="I26" s="20"/>
      <c r="J26" s="26"/>
      <c r="K26" s="25"/>
      <c r="L26" s="25"/>
      <c r="M26" s="21"/>
      <c r="N26" s="11"/>
    </row>
    <row r="27" spans="1:14" ht="18" customHeight="1">
      <c r="A27" s="7"/>
      <c r="B27" s="292"/>
      <c r="C27" s="291"/>
      <c r="D27" s="290"/>
      <c r="E27" s="291"/>
      <c r="F27" s="297"/>
      <c r="G27" s="15"/>
      <c r="H27" s="27"/>
      <c r="I27" s="17"/>
      <c r="J27" s="22"/>
      <c r="K27" s="23"/>
      <c r="L27" s="23"/>
      <c r="M27" s="24"/>
      <c r="N27" s="11"/>
    </row>
    <row r="28" spans="1:14" ht="18" customHeight="1">
      <c r="A28" s="7"/>
      <c r="B28" s="295"/>
      <c r="C28" s="296"/>
      <c r="D28" s="301"/>
      <c r="E28" s="296"/>
      <c r="F28" s="300"/>
      <c r="G28" s="18"/>
      <c r="H28" s="28"/>
      <c r="I28" s="20"/>
      <c r="J28" s="26"/>
      <c r="K28" s="25"/>
      <c r="L28" s="25"/>
      <c r="M28" s="21"/>
      <c r="N28" s="11"/>
    </row>
    <row r="29" spans="1:14" ht="18" customHeight="1">
      <c r="A29" s="7"/>
      <c r="B29" s="292"/>
      <c r="C29" s="291"/>
      <c r="D29" s="290"/>
      <c r="E29" s="291"/>
      <c r="F29" s="297"/>
      <c r="G29" s="15"/>
      <c r="H29" s="27"/>
      <c r="I29" s="17"/>
      <c r="J29" s="32"/>
      <c r="K29" s="33"/>
      <c r="L29" s="33"/>
      <c r="M29" s="34"/>
      <c r="N29" s="11"/>
    </row>
    <row r="30" spans="1:14" ht="18" customHeight="1">
      <c r="A30" s="7"/>
      <c r="B30" s="295"/>
      <c r="C30" s="296"/>
      <c r="D30" s="301"/>
      <c r="E30" s="296"/>
      <c r="F30" s="300"/>
      <c r="G30" s="18"/>
      <c r="H30" s="28"/>
      <c r="I30" s="20"/>
      <c r="J30" s="35"/>
      <c r="K30" s="36"/>
      <c r="L30" s="36"/>
      <c r="M30" s="37"/>
      <c r="N30" s="11"/>
    </row>
    <row r="31" spans="1:14" ht="18" customHeight="1">
      <c r="A31" s="7"/>
      <c r="B31" s="292"/>
      <c r="C31" s="291"/>
      <c r="D31" s="290"/>
      <c r="E31" s="291"/>
      <c r="F31" s="297"/>
      <c r="G31" s="15"/>
      <c r="H31" s="27"/>
      <c r="I31" s="17"/>
      <c r="J31" s="287">
        <v>6</v>
      </c>
      <c r="K31" s="288"/>
      <c r="L31" s="288"/>
      <c r="M31" s="289"/>
      <c r="N31" s="11"/>
    </row>
    <row r="32" spans="1:14" ht="18" customHeight="1">
      <c r="A32" s="7"/>
      <c r="B32" s="293"/>
      <c r="C32" s="294"/>
      <c r="D32" s="299"/>
      <c r="E32" s="294"/>
      <c r="F32" s="298"/>
      <c r="G32" s="38"/>
      <c r="H32" s="39"/>
      <c r="I32" s="40"/>
      <c r="J32" s="162"/>
      <c r="K32" s="41"/>
      <c r="L32" s="41"/>
      <c r="M32" s="161">
        <v>225</v>
      </c>
      <c r="N32" s="11"/>
    </row>
    <row r="33" spans="1:14" ht="3" customHeight="1">
      <c r="A33" s="42"/>
      <c r="B33" s="43"/>
      <c r="C33" s="43"/>
      <c r="D33" s="43"/>
      <c r="E33" s="43"/>
      <c r="F33" s="43"/>
      <c r="G33" s="44"/>
      <c r="H33" s="43"/>
      <c r="I33" s="45"/>
      <c r="J33" s="43"/>
      <c r="K33" s="43"/>
      <c r="L33" s="43"/>
      <c r="M33" s="43"/>
      <c r="N33" s="46"/>
    </row>
    <row r="34" spans="1:14" ht="3" customHeight="1">
      <c r="A34" s="1"/>
      <c r="B34" s="2"/>
      <c r="C34" s="2"/>
      <c r="D34" s="2"/>
      <c r="E34" s="2"/>
      <c r="F34" s="2"/>
      <c r="G34" s="3"/>
      <c r="H34" s="2"/>
      <c r="I34" s="4"/>
      <c r="J34" s="2"/>
      <c r="K34" s="2"/>
      <c r="L34" s="2"/>
      <c r="M34" s="2"/>
      <c r="N34" s="5"/>
    </row>
    <row r="35" spans="1:14" ht="13.5" customHeight="1">
      <c r="A35" s="7"/>
      <c r="B35" s="8">
        <v>2</v>
      </c>
      <c r="D35" s="315" t="s">
        <v>50</v>
      </c>
      <c r="E35" s="315"/>
      <c r="G35" s="302" t="s">
        <v>8</v>
      </c>
      <c r="H35" s="302"/>
      <c r="I35" s="302"/>
      <c r="J35" s="9"/>
      <c r="K35" s="10" t="s">
        <v>14</v>
      </c>
      <c r="N35" s="11"/>
    </row>
    <row r="36" spans="1:14" ht="15.75" customHeight="1">
      <c r="A36" s="7"/>
      <c r="C36" s="6" t="s">
        <v>7</v>
      </c>
      <c r="G36" s="302"/>
      <c r="H36" s="302"/>
      <c r="I36" s="302"/>
      <c r="J36" s="10"/>
      <c r="K36" s="12"/>
      <c r="L36" s="6" t="s">
        <v>49</v>
      </c>
      <c r="N36" s="11"/>
    </row>
    <row r="37" spans="1:14" ht="3.75" customHeight="1">
      <c r="A37" s="7"/>
      <c r="N37" s="11"/>
    </row>
    <row r="38" spans="1:14" ht="12.75" customHeight="1">
      <c r="A38" s="7"/>
      <c r="B38" s="303" t="s">
        <v>4</v>
      </c>
      <c r="C38" s="304"/>
      <c r="D38" s="307" t="s">
        <v>5</v>
      </c>
      <c r="E38" s="307"/>
      <c r="F38" s="309" t="s">
        <v>0</v>
      </c>
      <c r="G38" s="311" t="s">
        <v>1</v>
      </c>
      <c r="H38" s="307" t="s">
        <v>2</v>
      </c>
      <c r="I38" s="313" t="s">
        <v>6</v>
      </c>
      <c r="J38" s="307" t="s">
        <v>3</v>
      </c>
      <c r="K38" s="307"/>
      <c r="L38" s="307"/>
      <c r="M38" s="318"/>
      <c r="N38" s="11"/>
    </row>
    <row r="39" spans="1:14" ht="15" customHeight="1">
      <c r="A39" s="7"/>
      <c r="B39" s="305"/>
      <c r="C39" s="306"/>
      <c r="D39" s="308"/>
      <c r="E39" s="308"/>
      <c r="F39" s="310"/>
      <c r="G39" s="312"/>
      <c r="H39" s="308"/>
      <c r="I39" s="314"/>
      <c r="J39" s="308"/>
      <c r="K39" s="308"/>
      <c r="L39" s="308"/>
      <c r="M39" s="319"/>
      <c r="N39" s="11"/>
    </row>
    <row r="40" spans="1:14" ht="18" customHeight="1">
      <c r="A40" s="7"/>
      <c r="B40" s="320" t="s">
        <v>61</v>
      </c>
      <c r="C40" s="321"/>
      <c r="D40" s="290"/>
      <c r="E40" s="291"/>
      <c r="F40" s="297"/>
      <c r="G40" s="164"/>
      <c r="H40" s="16"/>
      <c r="I40" s="17"/>
      <c r="J40" s="10"/>
      <c r="M40" s="11"/>
      <c r="N40" s="11"/>
    </row>
    <row r="41" spans="1:14" ht="18" customHeight="1">
      <c r="A41" s="7"/>
      <c r="B41" s="322"/>
      <c r="C41" s="317"/>
      <c r="D41" s="301" t="s">
        <v>89</v>
      </c>
      <c r="E41" s="296"/>
      <c r="F41" s="300"/>
      <c r="G41" s="157"/>
      <c r="H41" s="19"/>
      <c r="I41" s="20"/>
      <c r="M41" s="21"/>
      <c r="N41" s="11"/>
    </row>
    <row r="42" spans="1:14" ht="18" customHeight="1">
      <c r="A42" s="7"/>
      <c r="B42" s="292" t="s">
        <v>11</v>
      </c>
      <c r="C42" s="291"/>
      <c r="D42" s="323"/>
      <c r="E42" s="324"/>
      <c r="F42" s="297" t="s">
        <v>9</v>
      </c>
      <c r="G42" s="164"/>
      <c r="H42" s="16"/>
      <c r="I42" s="17"/>
      <c r="J42" s="22"/>
      <c r="K42" s="23"/>
      <c r="L42" s="23"/>
      <c r="M42" s="24"/>
      <c r="N42" s="11"/>
    </row>
    <row r="43" spans="1:14" ht="18" customHeight="1">
      <c r="A43" s="7"/>
      <c r="B43" s="295"/>
      <c r="C43" s="296"/>
      <c r="D43" s="325"/>
      <c r="E43" s="326"/>
      <c r="F43" s="300"/>
      <c r="G43" s="157">
        <v>1</v>
      </c>
      <c r="H43" s="19">
        <f>'R７　人件費単価'!$C$9</f>
        <v>59600</v>
      </c>
      <c r="I43" s="20">
        <f>ROUNDDOWN(G43*H43,0)</f>
        <v>59600</v>
      </c>
      <c r="K43" s="25"/>
      <c r="L43" s="25"/>
      <c r="M43" s="21"/>
      <c r="N43" s="11"/>
    </row>
    <row r="44" spans="1:14" ht="18" customHeight="1">
      <c r="A44" s="7"/>
      <c r="B44" s="292" t="s">
        <v>12</v>
      </c>
      <c r="C44" s="291"/>
      <c r="D44" s="323"/>
      <c r="E44" s="324"/>
      <c r="F44" s="297" t="s">
        <v>9</v>
      </c>
      <c r="G44" s="164"/>
      <c r="H44" s="16"/>
      <c r="I44" s="17"/>
      <c r="J44" s="22"/>
      <c r="K44" s="23"/>
      <c r="L44" s="23"/>
      <c r="M44" s="24"/>
      <c r="N44" s="11"/>
    </row>
    <row r="45" spans="1:14" ht="18" customHeight="1">
      <c r="A45" s="7"/>
      <c r="B45" s="295"/>
      <c r="C45" s="296"/>
      <c r="D45" s="325"/>
      <c r="E45" s="326"/>
      <c r="F45" s="300"/>
      <c r="G45" s="157">
        <v>1</v>
      </c>
      <c r="H45" s="19">
        <f>'R７　人件費単価'!$C$10</f>
        <v>48500</v>
      </c>
      <c r="I45" s="20">
        <f>ROUNDDOWN(G45*H45,0)</f>
        <v>48500</v>
      </c>
      <c r="L45" s="25"/>
      <c r="M45" s="21"/>
      <c r="N45" s="11"/>
    </row>
    <row r="46" spans="1:14" ht="18" customHeight="1">
      <c r="A46" s="7"/>
      <c r="B46" s="292"/>
      <c r="C46" s="291"/>
      <c r="D46" s="290"/>
      <c r="E46" s="291"/>
      <c r="F46" s="297"/>
      <c r="G46" s="192"/>
      <c r="H46" s="16"/>
      <c r="I46" s="17"/>
      <c r="J46" s="22"/>
      <c r="K46" s="23"/>
      <c r="L46" s="23"/>
      <c r="M46" s="24"/>
      <c r="N46" s="11"/>
    </row>
    <row r="47" spans="1:14" ht="18" customHeight="1">
      <c r="A47" s="7"/>
      <c r="B47" s="295"/>
      <c r="C47" s="296"/>
      <c r="D47" s="301"/>
      <c r="E47" s="296"/>
      <c r="F47" s="300"/>
      <c r="G47" s="196"/>
      <c r="H47" s="19"/>
      <c r="I47" s="20"/>
      <c r="J47" s="26"/>
      <c r="K47" s="25"/>
      <c r="L47" s="25"/>
      <c r="M47" s="21"/>
      <c r="N47" s="11"/>
    </row>
    <row r="48" spans="1:14" ht="18" customHeight="1">
      <c r="A48" s="7"/>
      <c r="B48" s="292"/>
      <c r="C48" s="291"/>
      <c r="D48" s="290"/>
      <c r="E48" s="291"/>
      <c r="F48" s="297"/>
      <c r="G48" s="164"/>
      <c r="H48" s="16"/>
      <c r="I48" s="17"/>
      <c r="M48" s="11"/>
      <c r="N48" s="11"/>
    </row>
    <row r="49" spans="1:14" ht="18" customHeight="1">
      <c r="A49" s="7"/>
      <c r="B49" s="295"/>
      <c r="C49" s="296"/>
      <c r="D49" s="316"/>
      <c r="E49" s="317"/>
      <c r="F49" s="300"/>
      <c r="G49" s="157"/>
      <c r="H49" s="19"/>
      <c r="I49" s="20"/>
      <c r="M49" s="21"/>
      <c r="N49" s="11"/>
    </row>
    <row r="50" spans="1:14" ht="18" customHeight="1">
      <c r="A50" s="7"/>
      <c r="B50" s="292"/>
      <c r="C50" s="291"/>
      <c r="D50" s="290"/>
      <c r="E50" s="291"/>
      <c r="F50" s="297"/>
      <c r="G50" s="164"/>
      <c r="H50" s="27"/>
      <c r="I50" s="17"/>
      <c r="J50" s="22"/>
      <c r="K50" s="23"/>
      <c r="L50" s="23"/>
      <c r="M50" s="24"/>
      <c r="N50" s="11"/>
    </row>
    <row r="51" spans="1:14" ht="18" customHeight="1">
      <c r="A51" s="7"/>
      <c r="B51" s="295"/>
      <c r="C51" s="296"/>
      <c r="D51" s="301"/>
      <c r="E51" s="296"/>
      <c r="F51" s="300"/>
      <c r="G51" s="157"/>
      <c r="H51" s="28"/>
      <c r="I51" s="20"/>
      <c r="J51" s="26"/>
      <c r="K51" s="25"/>
      <c r="L51" s="25"/>
      <c r="M51" s="21"/>
      <c r="N51" s="11"/>
    </row>
    <row r="52" spans="1:14" ht="18" customHeight="1">
      <c r="A52" s="7"/>
      <c r="B52" s="292" t="s">
        <v>13</v>
      </c>
      <c r="C52" s="291"/>
      <c r="D52" s="290"/>
      <c r="E52" s="291"/>
      <c r="F52" s="297"/>
      <c r="G52" s="15"/>
      <c r="H52" s="16"/>
      <c r="I52" s="17"/>
      <c r="J52" s="22"/>
      <c r="K52" s="23"/>
      <c r="L52" s="23"/>
      <c r="M52" s="24"/>
      <c r="N52" s="11"/>
    </row>
    <row r="53" spans="1:14" ht="18" customHeight="1">
      <c r="A53" s="7"/>
      <c r="B53" s="295"/>
      <c r="C53" s="296"/>
      <c r="D53" s="301"/>
      <c r="E53" s="296"/>
      <c r="F53" s="300"/>
      <c r="G53" s="18"/>
      <c r="H53" s="19"/>
      <c r="I53" s="20">
        <f>SUM(I41,I43,I45,I47,I49)</f>
        <v>108100</v>
      </c>
      <c r="J53" s="26"/>
      <c r="K53" s="25"/>
      <c r="L53" s="25"/>
      <c r="M53" s="21"/>
      <c r="N53" s="11"/>
    </row>
    <row r="54" spans="1:14" ht="18" customHeight="1">
      <c r="A54" s="7"/>
      <c r="B54" s="292"/>
      <c r="C54" s="291"/>
      <c r="D54" s="290"/>
      <c r="E54" s="291"/>
      <c r="F54" s="297"/>
      <c r="G54" s="15"/>
      <c r="H54" s="27"/>
      <c r="I54" s="17"/>
      <c r="J54" s="22"/>
      <c r="K54" s="23"/>
      <c r="L54" s="23"/>
      <c r="M54" s="24"/>
      <c r="N54" s="11"/>
    </row>
    <row r="55" spans="1:14" ht="18" customHeight="1">
      <c r="A55" s="7"/>
      <c r="B55" s="295"/>
      <c r="C55" s="296"/>
      <c r="D55" s="301"/>
      <c r="E55" s="296"/>
      <c r="F55" s="300"/>
      <c r="G55" s="18"/>
      <c r="H55" s="28"/>
      <c r="I55" s="20"/>
      <c r="J55" s="26"/>
      <c r="K55" s="25"/>
      <c r="L55" s="25"/>
      <c r="M55" s="21"/>
      <c r="N55" s="11"/>
    </row>
    <row r="56" spans="1:14" ht="18" customHeight="1">
      <c r="A56" s="7"/>
      <c r="B56" s="292"/>
      <c r="C56" s="291"/>
      <c r="D56" s="290"/>
      <c r="E56" s="291"/>
      <c r="F56" s="297"/>
      <c r="G56" s="15"/>
      <c r="H56" s="27"/>
      <c r="I56" s="17"/>
      <c r="J56" s="22"/>
      <c r="K56" s="23"/>
      <c r="L56" s="23"/>
      <c r="M56" s="24"/>
      <c r="N56" s="11"/>
    </row>
    <row r="57" spans="1:14" ht="18" customHeight="1">
      <c r="A57" s="7"/>
      <c r="B57" s="295"/>
      <c r="C57" s="296"/>
      <c r="D57" s="301"/>
      <c r="E57" s="296"/>
      <c r="F57" s="300"/>
      <c r="G57" s="18"/>
      <c r="H57" s="28"/>
      <c r="I57" s="20"/>
      <c r="J57" s="26"/>
      <c r="K57" s="25"/>
      <c r="L57" s="25"/>
      <c r="M57" s="21"/>
      <c r="N57" s="11"/>
    </row>
    <row r="58" spans="1:14" ht="18" customHeight="1">
      <c r="A58" s="7"/>
      <c r="B58" s="292"/>
      <c r="C58" s="291"/>
      <c r="D58" s="29"/>
      <c r="E58" s="30"/>
      <c r="F58" s="297"/>
      <c r="G58" s="15"/>
      <c r="H58" s="27"/>
      <c r="I58" s="17"/>
      <c r="J58" s="22"/>
      <c r="K58" s="23"/>
      <c r="L58" s="23"/>
      <c r="M58" s="24"/>
      <c r="N58" s="11"/>
    </row>
    <row r="59" spans="1:14" ht="18" customHeight="1">
      <c r="A59" s="7"/>
      <c r="B59" s="295"/>
      <c r="C59" s="296"/>
      <c r="D59" s="31"/>
      <c r="E59" s="30"/>
      <c r="F59" s="300"/>
      <c r="G59" s="18"/>
      <c r="H59" s="28"/>
      <c r="I59" s="20"/>
      <c r="J59" s="26"/>
      <c r="K59" s="25"/>
      <c r="L59" s="25"/>
      <c r="M59" s="21"/>
      <c r="N59" s="11"/>
    </row>
    <row r="60" spans="1:14" ht="18" customHeight="1">
      <c r="A60" s="7"/>
      <c r="B60" s="292"/>
      <c r="C60" s="291"/>
      <c r="D60" s="290"/>
      <c r="E60" s="291"/>
      <c r="F60" s="297"/>
      <c r="G60" s="15"/>
      <c r="H60" s="27"/>
      <c r="I60" s="17"/>
      <c r="J60" s="22"/>
      <c r="K60" s="23"/>
      <c r="L60" s="23"/>
      <c r="M60" s="24"/>
      <c r="N60" s="11"/>
    </row>
    <row r="61" spans="1:14" ht="18" customHeight="1">
      <c r="A61" s="7"/>
      <c r="B61" s="295"/>
      <c r="C61" s="296"/>
      <c r="D61" s="301"/>
      <c r="E61" s="296"/>
      <c r="F61" s="300"/>
      <c r="G61" s="18"/>
      <c r="H61" s="28"/>
      <c r="I61" s="20"/>
      <c r="J61" s="26"/>
      <c r="K61" s="25"/>
      <c r="L61" s="25"/>
      <c r="M61" s="21"/>
      <c r="N61" s="11"/>
    </row>
    <row r="62" spans="1:14" ht="18" customHeight="1">
      <c r="A62" s="7"/>
      <c r="B62" s="292"/>
      <c r="C62" s="291"/>
      <c r="D62" s="290"/>
      <c r="E62" s="291"/>
      <c r="F62" s="297"/>
      <c r="G62" s="15"/>
      <c r="H62" s="27"/>
      <c r="I62" s="17"/>
      <c r="J62" s="32"/>
      <c r="K62" s="33"/>
      <c r="L62" s="33"/>
      <c r="M62" s="34"/>
      <c r="N62" s="11"/>
    </row>
    <row r="63" spans="1:14" ht="18" customHeight="1">
      <c r="A63" s="7"/>
      <c r="B63" s="295"/>
      <c r="C63" s="296"/>
      <c r="D63" s="301"/>
      <c r="E63" s="296"/>
      <c r="F63" s="300"/>
      <c r="G63" s="18"/>
      <c r="H63" s="28"/>
      <c r="I63" s="20"/>
      <c r="J63" s="35"/>
      <c r="K63" s="36"/>
      <c r="L63" s="36"/>
      <c r="M63" s="37"/>
      <c r="N63" s="11"/>
    </row>
    <row r="64" spans="1:14" ht="18" customHeight="1">
      <c r="A64" s="7"/>
      <c r="B64" s="292"/>
      <c r="C64" s="291"/>
      <c r="D64" s="290"/>
      <c r="E64" s="291"/>
      <c r="F64" s="297"/>
      <c r="G64" s="15"/>
      <c r="H64" s="27"/>
      <c r="I64" s="17"/>
      <c r="J64" s="287">
        <v>6</v>
      </c>
      <c r="K64" s="288"/>
      <c r="L64" s="288"/>
      <c r="M64" s="289"/>
      <c r="N64" s="11"/>
    </row>
    <row r="65" spans="1:14" ht="18" customHeight="1">
      <c r="A65" s="7"/>
      <c r="B65" s="293"/>
      <c r="C65" s="294"/>
      <c r="D65" s="299"/>
      <c r="E65" s="294"/>
      <c r="F65" s="298"/>
      <c r="G65" s="38"/>
      <c r="H65" s="39"/>
      <c r="I65" s="40"/>
      <c r="J65" s="162"/>
      <c r="K65" s="41"/>
      <c r="L65" s="41"/>
      <c r="M65" s="161">
        <v>225</v>
      </c>
      <c r="N65" s="11"/>
    </row>
    <row r="66" spans="1:14" ht="3" customHeight="1">
      <c r="A66" s="42"/>
      <c r="B66" s="43"/>
      <c r="C66" s="43"/>
      <c r="D66" s="43"/>
      <c r="E66" s="43"/>
      <c r="F66" s="43"/>
      <c r="G66" s="44"/>
      <c r="H66" s="43"/>
      <c r="I66" s="45"/>
      <c r="J66" s="43"/>
      <c r="K66" s="43"/>
      <c r="L66" s="43"/>
      <c r="M66" s="43"/>
      <c r="N66" s="46"/>
    </row>
    <row r="67" spans="1:14" ht="3" customHeight="1">
      <c r="A67" s="1"/>
      <c r="B67" s="2"/>
      <c r="C67" s="2"/>
      <c r="D67" s="2"/>
      <c r="E67" s="2"/>
      <c r="F67" s="2"/>
      <c r="G67" s="3"/>
      <c r="H67" s="2"/>
      <c r="I67" s="4"/>
      <c r="J67" s="2"/>
      <c r="K67" s="2"/>
      <c r="L67" s="2"/>
      <c r="M67" s="2"/>
      <c r="N67" s="5"/>
    </row>
    <row r="68" spans="1:14" ht="13.5" customHeight="1">
      <c r="A68" s="7"/>
      <c r="B68" s="8">
        <v>3</v>
      </c>
      <c r="D68" s="315" t="s">
        <v>50</v>
      </c>
      <c r="E68" s="315"/>
      <c r="G68" s="302" t="s">
        <v>8</v>
      </c>
      <c r="H68" s="302"/>
      <c r="I68" s="302"/>
      <c r="J68" s="9"/>
      <c r="K68" s="10" t="s">
        <v>14</v>
      </c>
      <c r="N68" s="11"/>
    </row>
    <row r="69" spans="1:14" ht="15.75" customHeight="1">
      <c r="A69" s="7"/>
      <c r="C69" s="6" t="s">
        <v>7</v>
      </c>
      <c r="G69" s="302"/>
      <c r="H69" s="302"/>
      <c r="I69" s="302"/>
      <c r="J69" s="10"/>
      <c r="K69" s="12"/>
      <c r="L69" s="6" t="s">
        <v>49</v>
      </c>
      <c r="N69" s="11"/>
    </row>
    <row r="70" spans="1:14" ht="3.75" customHeight="1">
      <c r="A70" s="7"/>
      <c r="N70" s="11"/>
    </row>
    <row r="71" spans="1:14" ht="12.75" customHeight="1">
      <c r="A71" s="7"/>
      <c r="B71" s="303" t="s">
        <v>4</v>
      </c>
      <c r="C71" s="304"/>
      <c r="D71" s="307" t="s">
        <v>5</v>
      </c>
      <c r="E71" s="307"/>
      <c r="F71" s="309" t="s">
        <v>0</v>
      </c>
      <c r="G71" s="311" t="s">
        <v>1</v>
      </c>
      <c r="H71" s="307" t="s">
        <v>2</v>
      </c>
      <c r="I71" s="313" t="s">
        <v>6</v>
      </c>
      <c r="J71" s="307" t="s">
        <v>3</v>
      </c>
      <c r="K71" s="307"/>
      <c r="L71" s="307"/>
      <c r="M71" s="318"/>
      <c r="N71" s="11"/>
    </row>
    <row r="72" spans="1:14" ht="15" customHeight="1">
      <c r="A72" s="7"/>
      <c r="B72" s="305"/>
      <c r="C72" s="306"/>
      <c r="D72" s="308"/>
      <c r="E72" s="308"/>
      <c r="F72" s="310"/>
      <c r="G72" s="312"/>
      <c r="H72" s="308"/>
      <c r="I72" s="314"/>
      <c r="J72" s="308"/>
      <c r="K72" s="308"/>
      <c r="L72" s="308"/>
      <c r="M72" s="319"/>
      <c r="N72" s="11"/>
    </row>
    <row r="73" spans="1:14" ht="18" customHeight="1">
      <c r="A73" s="7"/>
      <c r="B73" s="320" t="s">
        <v>62</v>
      </c>
      <c r="C73" s="321"/>
      <c r="D73" s="290"/>
      <c r="E73" s="291"/>
      <c r="F73" s="297"/>
      <c r="G73" s="164"/>
      <c r="H73" s="16"/>
      <c r="I73" s="17"/>
      <c r="J73" s="10"/>
      <c r="M73" s="11"/>
      <c r="N73" s="11"/>
    </row>
    <row r="74" spans="1:14" ht="18" customHeight="1">
      <c r="A74" s="7"/>
      <c r="B74" s="322"/>
      <c r="C74" s="317"/>
      <c r="D74" s="301"/>
      <c r="E74" s="296"/>
      <c r="F74" s="300"/>
      <c r="G74" s="157"/>
      <c r="H74" s="19"/>
      <c r="I74" s="20"/>
      <c r="M74" s="21"/>
      <c r="N74" s="11"/>
    </row>
    <row r="75" spans="1:14" ht="18" customHeight="1">
      <c r="A75" s="7"/>
      <c r="B75" s="292" t="s">
        <v>10</v>
      </c>
      <c r="C75" s="291"/>
      <c r="D75" s="290"/>
      <c r="E75" s="291"/>
      <c r="F75" s="297" t="s">
        <v>9</v>
      </c>
      <c r="G75" s="192"/>
      <c r="H75" s="16"/>
      <c r="I75" s="17"/>
      <c r="J75" s="22"/>
      <c r="K75" s="23"/>
      <c r="L75" s="23"/>
      <c r="M75" s="24"/>
      <c r="N75" s="11"/>
    </row>
    <row r="76" spans="1:14" ht="18" customHeight="1">
      <c r="A76" s="7"/>
      <c r="B76" s="295"/>
      <c r="C76" s="296"/>
      <c r="D76" s="301"/>
      <c r="E76" s="296"/>
      <c r="F76" s="300"/>
      <c r="G76" s="196">
        <v>1</v>
      </c>
      <c r="H76" s="19">
        <f>'R７　人件費単価'!$C$8</f>
        <v>66900</v>
      </c>
      <c r="I76" s="20">
        <f>INT(G76*H76)</f>
        <v>66900</v>
      </c>
      <c r="K76" s="25"/>
      <c r="L76" s="25"/>
      <c r="M76" s="21"/>
      <c r="N76" s="11"/>
    </row>
    <row r="77" spans="1:14" ht="18" customHeight="1">
      <c r="A77" s="7"/>
      <c r="B77" s="292" t="s">
        <v>11</v>
      </c>
      <c r="C77" s="291"/>
      <c r="D77" s="323"/>
      <c r="E77" s="324"/>
      <c r="F77" s="297" t="s">
        <v>9</v>
      </c>
      <c r="G77" s="164"/>
      <c r="H77" s="16"/>
      <c r="I77" s="17"/>
      <c r="J77" s="22"/>
      <c r="K77" s="23"/>
      <c r="L77" s="23"/>
      <c r="M77" s="24"/>
      <c r="N77" s="11"/>
    </row>
    <row r="78" spans="1:14" ht="18" customHeight="1">
      <c r="A78" s="7"/>
      <c r="B78" s="295"/>
      <c r="C78" s="296"/>
      <c r="D78" s="325"/>
      <c r="E78" s="326"/>
      <c r="F78" s="300"/>
      <c r="G78" s="157">
        <v>1</v>
      </c>
      <c r="H78" s="19">
        <f>'R７　人件費単価'!$C$9</f>
        <v>59600</v>
      </c>
      <c r="I78" s="20">
        <f>ROUNDDOWN(G78*H78,0)</f>
        <v>59600</v>
      </c>
      <c r="L78" s="25"/>
      <c r="M78" s="21"/>
      <c r="N78" s="11"/>
    </row>
    <row r="79" spans="1:14" ht="18" customHeight="1">
      <c r="A79" s="7"/>
      <c r="B79" s="292"/>
      <c r="C79" s="291"/>
      <c r="D79" s="290"/>
      <c r="E79" s="291"/>
      <c r="F79" s="297"/>
      <c r="G79" s="192"/>
      <c r="H79" s="16"/>
      <c r="I79" s="17"/>
      <c r="J79" s="22"/>
      <c r="K79" s="23"/>
      <c r="L79" s="23"/>
      <c r="M79" s="24"/>
      <c r="N79" s="11"/>
    </row>
    <row r="80" spans="1:14" ht="18" customHeight="1">
      <c r="A80" s="7"/>
      <c r="B80" s="295"/>
      <c r="C80" s="296"/>
      <c r="D80" s="301"/>
      <c r="E80" s="296"/>
      <c r="F80" s="300"/>
      <c r="G80" s="196"/>
      <c r="H80" s="19"/>
      <c r="I80" s="20"/>
      <c r="J80" s="26"/>
      <c r="K80" s="25"/>
      <c r="L80" s="25"/>
      <c r="M80" s="21"/>
      <c r="N80" s="11"/>
    </row>
    <row r="81" spans="1:14" ht="18" customHeight="1">
      <c r="A81" s="7"/>
      <c r="B81" s="292"/>
      <c r="C81" s="291"/>
      <c r="D81" s="290"/>
      <c r="E81" s="291"/>
      <c r="F81" s="297"/>
      <c r="G81" s="164"/>
      <c r="H81" s="16"/>
      <c r="I81" s="17"/>
      <c r="M81" s="11"/>
      <c r="N81" s="11"/>
    </row>
    <row r="82" spans="1:14" ht="18" customHeight="1">
      <c r="A82" s="7"/>
      <c r="B82" s="295"/>
      <c r="C82" s="296"/>
      <c r="D82" s="316"/>
      <c r="E82" s="317"/>
      <c r="F82" s="300"/>
      <c r="G82" s="157"/>
      <c r="H82" s="19"/>
      <c r="I82" s="20"/>
      <c r="M82" s="21"/>
      <c r="N82" s="11"/>
    </row>
    <row r="83" spans="1:14" ht="18" customHeight="1">
      <c r="A83" s="7"/>
      <c r="B83" s="292"/>
      <c r="C83" s="291"/>
      <c r="D83" s="290"/>
      <c r="E83" s="291"/>
      <c r="F83" s="297"/>
      <c r="G83" s="164"/>
      <c r="H83" s="27"/>
      <c r="I83" s="17"/>
      <c r="J83" s="22"/>
      <c r="K83" s="23"/>
      <c r="L83" s="23"/>
      <c r="M83" s="24"/>
      <c r="N83" s="11"/>
    </row>
    <row r="84" spans="1:14" ht="18" customHeight="1">
      <c r="A84" s="7"/>
      <c r="B84" s="295"/>
      <c r="C84" s="296"/>
      <c r="D84" s="301"/>
      <c r="E84" s="296"/>
      <c r="F84" s="300"/>
      <c r="G84" s="157"/>
      <c r="H84" s="28"/>
      <c r="I84" s="20"/>
      <c r="J84" s="26"/>
      <c r="K84" s="25"/>
      <c r="L84" s="25"/>
      <c r="M84" s="21"/>
      <c r="N84" s="11"/>
    </row>
    <row r="85" spans="1:14" ht="18" customHeight="1">
      <c r="A85" s="7"/>
      <c r="B85" s="292" t="s">
        <v>13</v>
      </c>
      <c r="C85" s="291"/>
      <c r="D85" s="290"/>
      <c r="E85" s="291"/>
      <c r="F85" s="297"/>
      <c r="G85" s="15"/>
      <c r="H85" s="16"/>
      <c r="I85" s="17"/>
      <c r="J85" s="22"/>
      <c r="K85" s="23"/>
      <c r="L85" s="23"/>
      <c r="M85" s="24"/>
      <c r="N85" s="11"/>
    </row>
    <row r="86" spans="1:14" ht="18" customHeight="1">
      <c r="A86" s="7"/>
      <c r="B86" s="295"/>
      <c r="C86" s="296"/>
      <c r="D86" s="301"/>
      <c r="E86" s="296"/>
      <c r="F86" s="300"/>
      <c r="G86" s="18"/>
      <c r="H86" s="19"/>
      <c r="I86" s="20">
        <f>SUM(I74,I76,I78,I80,I82)</f>
        <v>126500</v>
      </c>
      <c r="J86" s="26"/>
      <c r="K86" s="25"/>
      <c r="L86" s="25"/>
      <c r="M86" s="21"/>
      <c r="N86" s="11"/>
    </row>
    <row r="87" spans="1:14" ht="18" customHeight="1">
      <c r="A87" s="7"/>
      <c r="B87" s="292"/>
      <c r="C87" s="291"/>
      <c r="D87" s="290"/>
      <c r="E87" s="291"/>
      <c r="F87" s="297"/>
      <c r="G87" s="15"/>
      <c r="H87" s="27"/>
      <c r="I87" s="17"/>
      <c r="J87" s="22"/>
      <c r="K87" s="23"/>
      <c r="L87" s="23"/>
      <c r="M87" s="24"/>
      <c r="N87" s="11"/>
    </row>
    <row r="88" spans="1:14" ht="18" customHeight="1">
      <c r="A88" s="7"/>
      <c r="B88" s="295"/>
      <c r="C88" s="296"/>
      <c r="D88" s="301"/>
      <c r="E88" s="296"/>
      <c r="F88" s="300"/>
      <c r="G88" s="18"/>
      <c r="H88" s="28"/>
      <c r="I88" s="20"/>
      <c r="J88" s="26"/>
      <c r="K88" s="25"/>
      <c r="L88" s="25"/>
      <c r="M88" s="21"/>
      <c r="N88" s="11"/>
    </row>
    <row r="89" spans="1:14" ht="18" customHeight="1">
      <c r="A89" s="7"/>
      <c r="B89" s="292"/>
      <c r="C89" s="291"/>
      <c r="D89" s="290"/>
      <c r="E89" s="291"/>
      <c r="F89" s="297"/>
      <c r="G89" s="15"/>
      <c r="H89" s="27"/>
      <c r="I89" s="17"/>
      <c r="J89" s="22"/>
      <c r="K89" s="23"/>
      <c r="L89" s="23"/>
      <c r="M89" s="24"/>
      <c r="N89" s="11"/>
    </row>
    <row r="90" spans="1:14" ht="18" customHeight="1">
      <c r="A90" s="7"/>
      <c r="B90" s="295"/>
      <c r="C90" s="296"/>
      <c r="D90" s="301"/>
      <c r="E90" s="296"/>
      <c r="F90" s="300"/>
      <c r="G90" s="18"/>
      <c r="H90" s="28"/>
      <c r="I90" s="20"/>
      <c r="J90" s="26"/>
      <c r="K90" s="25"/>
      <c r="L90" s="25"/>
      <c r="M90" s="21"/>
      <c r="N90" s="11"/>
    </row>
    <row r="91" spans="1:14" ht="18" customHeight="1">
      <c r="A91" s="7"/>
      <c r="B91" s="292"/>
      <c r="C91" s="291"/>
      <c r="D91" s="29"/>
      <c r="E91" s="30"/>
      <c r="F91" s="297"/>
      <c r="G91" s="15"/>
      <c r="H91" s="27"/>
      <c r="I91" s="17"/>
      <c r="J91" s="22"/>
      <c r="K91" s="23"/>
      <c r="L91" s="23"/>
      <c r="M91" s="24"/>
      <c r="N91" s="11"/>
    </row>
    <row r="92" spans="1:14" ht="18" customHeight="1">
      <c r="A92" s="7"/>
      <c r="B92" s="295"/>
      <c r="C92" s="296"/>
      <c r="D92" s="31"/>
      <c r="E92" s="30"/>
      <c r="F92" s="300"/>
      <c r="G92" s="18"/>
      <c r="H92" s="28"/>
      <c r="I92" s="20"/>
      <c r="J92" s="26"/>
      <c r="K92" s="25"/>
      <c r="L92" s="25"/>
      <c r="M92" s="21"/>
      <c r="N92" s="11"/>
    </row>
    <row r="93" spans="1:14" ht="18" customHeight="1">
      <c r="A93" s="7"/>
      <c r="B93" s="292"/>
      <c r="C93" s="291"/>
      <c r="D93" s="290"/>
      <c r="E93" s="291"/>
      <c r="F93" s="297"/>
      <c r="G93" s="15"/>
      <c r="H93" s="27"/>
      <c r="I93" s="17"/>
      <c r="J93" s="22"/>
      <c r="K93" s="23"/>
      <c r="L93" s="23"/>
      <c r="M93" s="24"/>
      <c r="N93" s="11"/>
    </row>
    <row r="94" spans="1:14" ht="18" customHeight="1">
      <c r="A94" s="7"/>
      <c r="B94" s="295"/>
      <c r="C94" s="296"/>
      <c r="D94" s="301"/>
      <c r="E94" s="296"/>
      <c r="F94" s="300"/>
      <c r="G94" s="18"/>
      <c r="H94" s="28"/>
      <c r="I94" s="20"/>
      <c r="J94" s="26"/>
      <c r="K94" s="25"/>
      <c r="L94" s="25"/>
      <c r="M94" s="21"/>
      <c r="N94" s="11"/>
    </row>
    <row r="95" spans="1:14" ht="18" customHeight="1">
      <c r="A95" s="7"/>
      <c r="B95" s="292"/>
      <c r="C95" s="291"/>
      <c r="D95" s="290"/>
      <c r="E95" s="291"/>
      <c r="F95" s="297"/>
      <c r="G95" s="15"/>
      <c r="H95" s="27"/>
      <c r="I95" s="17"/>
      <c r="J95" s="32"/>
      <c r="K95" s="33"/>
      <c r="L95" s="33"/>
      <c r="M95" s="34"/>
      <c r="N95" s="11"/>
    </row>
    <row r="96" spans="1:14" ht="18" customHeight="1">
      <c r="A96" s="7"/>
      <c r="B96" s="295"/>
      <c r="C96" s="296"/>
      <c r="D96" s="301"/>
      <c r="E96" s="296"/>
      <c r="F96" s="300"/>
      <c r="G96" s="18"/>
      <c r="H96" s="28"/>
      <c r="I96" s="20"/>
      <c r="J96" s="35"/>
      <c r="K96" s="36"/>
      <c r="L96" s="36"/>
      <c r="M96" s="37"/>
      <c r="N96" s="11"/>
    </row>
    <row r="97" spans="1:14" ht="18" customHeight="1">
      <c r="A97" s="7"/>
      <c r="B97" s="292"/>
      <c r="C97" s="291"/>
      <c r="D97" s="290"/>
      <c r="E97" s="291"/>
      <c r="F97" s="297"/>
      <c r="G97" s="15"/>
      <c r="H97" s="27"/>
      <c r="I97" s="17"/>
      <c r="J97" s="287">
        <v>6</v>
      </c>
      <c r="K97" s="288"/>
      <c r="L97" s="288"/>
      <c r="M97" s="289"/>
      <c r="N97" s="11"/>
    </row>
    <row r="98" spans="1:14" ht="18" customHeight="1">
      <c r="A98" s="7"/>
      <c r="B98" s="293"/>
      <c r="C98" s="294"/>
      <c r="D98" s="299"/>
      <c r="E98" s="294"/>
      <c r="F98" s="298"/>
      <c r="G98" s="38"/>
      <c r="H98" s="39"/>
      <c r="I98" s="40"/>
      <c r="J98" s="162"/>
      <c r="K98" s="41"/>
      <c r="L98" s="41"/>
      <c r="M98" s="161">
        <v>225</v>
      </c>
      <c r="N98" s="11"/>
    </row>
    <row r="99" spans="1:14" ht="3" customHeight="1">
      <c r="A99" s="42"/>
      <c r="B99" s="43"/>
      <c r="C99" s="43"/>
      <c r="D99" s="43"/>
      <c r="E99" s="43"/>
      <c r="F99" s="43"/>
      <c r="G99" s="44"/>
      <c r="H99" s="43"/>
      <c r="I99" s="45"/>
      <c r="J99" s="43"/>
      <c r="K99" s="43"/>
      <c r="L99" s="43"/>
      <c r="M99" s="43"/>
      <c r="N99" s="46"/>
    </row>
    <row r="1277" spans="8:8" ht="18" customHeight="1">
      <c r="H1277" s="6">
        <f>'R７　人件費単価'!$C$12</f>
        <v>36100</v>
      </c>
    </row>
  </sheetData>
  <mergeCells count="180">
    <mergeCell ref="B97:C98"/>
    <mergeCell ref="D97:E97"/>
    <mergeCell ref="F97:F98"/>
    <mergeCell ref="D98:E98"/>
    <mergeCell ref="J97:M97"/>
    <mergeCell ref="B93:C94"/>
    <mergeCell ref="D93:E93"/>
    <mergeCell ref="F93:F94"/>
    <mergeCell ref="D94:E94"/>
    <mergeCell ref="B95:C96"/>
    <mergeCell ref="D95:E95"/>
    <mergeCell ref="F95:F96"/>
    <mergeCell ref="D96:E96"/>
    <mergeCell ref="B89:C90"/>
    <mergeCell ref="D89:E89"/>
    <mergeCell ref="F89:F90"/>
    <mergeCell ref="D90:E90"/>
    <mergeCell ref="B91:C92"/>
    <mergeCell ref="F91:F92"/>
    <mergeCell ref="B83:C84"/>
    <mergeCell ref="D83:E83"/>
    <mergeCell ref="F83:F84"/>
    <mergeCell ref="D84:E84"/>
    <mergeCell ref="B85:C86"/>
    <mergeCell ref="D85:E85"/>
    <mergeCell ref="F85:F86"/>
    <mergeCell ref="D86:E86"/>
    <mergeCell ref="B87:C88"/>
    <mergeCell ref="D87:E87"/>
    <mergeCell ref="F87:F88"/>
    <mergeCell ref="D88:E88"/>
    <mergeCell ref="B77:C78"/>
    <mergeCell ref="D77:E77"/>
    <mergeCell ref="F77:F78"/>
    <mergeCell ref="D78:E78"/>
    <mergeCell ref="B79:C80"/>
    <mergeCell ref="D79:E79"/>
    <mergeCell ref="F79:F80"/>
    <mergeCell ref="D80:E80"/>
    <mergeCell ref="B81:C82"/>
    <mergeCell ref="D81:E81"/>
    <mergeCell ref="F81:F82"/>
    <mergeCell ref="D82:E82"/>
    <mergeCell ref="B73:C74"/>
    <mergeCell ref="D73:E73"/>
    <mergeCell ref="F73:F74"/>
    <mergeCell ref="D74:E74"/>
    <mergeCell ref="B75:C76"/>
    <mergeCell ref="D75:E75"/>
    <mergeCell ref="F75:F76"/>
    <mergeCell ref="D76:E76"/>
    <mergeCell ref="B71:C72"/>
    <mergeCell ref="D71:E72"/>
    <mergeCell ref="F71:F72"/>
    <mergeCell ref="G71:G72"/>
    <mergeCell ref="H71:H72"/>
    <mergeCell ref="I71:I72"/>
    <mergeCell ref="B64:C65"/>
    <mergeCell ref="D64:E64"/>
    <mergeCell ref="F64:F65"/>
    <mergeCell ref="J71:M72"/>
    <mergeCell ref="J64:M64"/>
    <mergeCell ref="D65:E65"/>
    <mergeCell ref="D68:E68"/>
    <mergeCell ref="G68:I69"/>
    <mergeCell ref="B60:C61"/>
    <mergeCell ref="D60:E60"/>
    <mergeCell ref="F60:F61"/>
    <mergeCell ref="D61:E61"/>
    <mergeCell ref="B62:C63"/>
    <mergeCell ref="D62:E62"/>
    <mergeCell ref="B54:C55"/>
    <mergeCell ref="D54:E54"/>
    <mergeCell ref="F54:F55"/>
    <mergeCell ref="D55:E55"/>
    <mergeCell ref="F62:F63"/>
    <mergeCell ref="D63:E63"/>
    <mergeCell ref="B56:C57"/>
    <mergeCell ref="D56:E56"/>
    <mergeCell ref="F56:F57"/>
    <mergeCell ref="D57:E57"/>
    <mergeCell ref="B58:C59"/>
    <mergeCell ref="F58:F59"/>
    <mergeCell ref="B48:C49"/>
    <mergeCell ref="D48:E48"/>
    <mergeCell ref="F48:F49"/>
    <mergeCell ref="D49:E49"/>
    <mergeCell ref="B50:C51"/>
    <mergeCell ref="D50:E50"/>
    <mergeCell ref="F50:F51"/>
    <mergeCell ref="D51:E51"/>
    <mergeCell ref="B52:C53"/>
    <mergeCell ref="D52:E52"/>
    <mergeCell ref="F52:F53"/>
    <mergeCell ref="D53:E53"/>
    <mergeCell ref="B40:C41"/>
    <mergeCell ref="D40:E40"/>
    <mergeCell ref="F40:F41"/>
    <mergeCell ref="D41:E41"/>
    <mergeCell ref="B46:C47"/>
    <mergeCell ref="D46:E46"/>
    <mergeCell ref="F46:F47"/>
    <mergeCell ref="D47:E47"/>
    <mergeCell ref="B42:C43"/>
    <mergeCell ref="D42:E42"/>
    <mergeCell ref="F42:F43"/>
    <mergeCell ref="D43:E43"/>
    <mergeCell ref="B44:C45"/>
    <mergeCell ref="D44:E44"/>
    <mergeCell ref="F44:F45"/>
    <mergeCell ref="D45:E45"/>
    <mergeCell ref="D35:E35"/>
    <mergeCell ref="G35:I36"/>
    <mergeCell ref="B38:C39"/>
    <mergeCell ref="D38:E39"/>
    <mergeCell ref="F38:F39"/>
    <mergeCell ref="G38:G39"/>
    <mergeCell ref="H38:H39"/>
    <mergeCell ref="I38:I39"/>
    <mergeCell ref="J38:M39"/>
    <mergeCell ref="J5:M6"/>
    <mergeCell ref="F7:F8"/>
    <mergeCell ref="D8:E8"/>
    <mergeCell ref="D7:E7"/>
    <mergeCell ref="B7:C8"/>
    <mergeCell ref="D19:E19"/>
    <mergeCell ref="F19:F20"/>
    <mergeCell ref="D20:E20"/>
    <mergeCell ref="D11:E11"/>
    <mergeCell ref="F11:F12"/>
    <mergeCell ref="D12:E12"/>
    <mergeCell ref="D13:E13"/>
    <mergeCell ref="F13:F14"/>
    <mergeCell ref="D14:E14"/>
    <mergeCell ref="D9:E9"/>
    <mergeCell ref="F9:F10"/>
    <mergeCell ref="D10:E10"/>
    <mergeCell ref="G2:I3"/>
    <mergeCell ref="B5:C6"/>
    <mergeCell ref="D5:E6"/>
    <mergeCell ref="F5:F6"/>
    <mergeCell ref="G5:G6"/>
    <mergeCell ref="H5:H6"/>
    <mergeCell ref="I5:I6"/>
    <mergeCell ref="D2:E2"/>
    <mergeCell ref="F29:F30"/>
    <mergeCell ref="D30:E30"/>
    <mergeCell ref="D23:E23"/>
    <mergeCell ref="F25:F26"/>
    <mergeCell ref="D24:E24"/>
    <mergeCell ref="D17:E17"/>
    <mergeCell ref="F17:F18"/>
    <mergeCell ref="D18:E18"/>
    <mergeCell ref="D15:E15"/>
    <mergeCell ref="F15:F16"/>
    <mergeCell ref="D16:E16"/>
    <mergeCell ref="B9:C10"/>
    <mergeCell ref="B17:C18"/>
    <mergeCell ref="B21:C22"/>
    <mergeCell ref="D21:E21"/>
    <mergeCell ref="J31:M31"/>
    <mergeCell ref="D27:E27"/>
    <mergeCell ref="B31:C32"/>
    <mergeCell ref="D31:E31"/>
    <mergeCell ref="B25:C26"/>
    <mergeCell ref="B23:C24"/>
    <mergeCell ref="F31:F32"/>
    <mergeCell ref="D32:E32"/>
    <mergeCell ref="B11:C12"/>
    <mergeCell ref="B13:C14"/>
    <mergeCell ref="B15:C16"/>
    <mergeCell ref="B19:C20"/>
    <mergeCell ref="B27:C28"/>
    <mergeCell ref="B29:C30"/>
    <mergeCell ref="D29:E29"/>
    <mergeCell ref="F23:F24"/>
    <mergeCell ref="F21:F22"/>
    <mergeCell ref="D22:E22"/>
    <mergeCell ref="F27:F28"/>
    <mergeCell ref="D28:E28"/>
  </mergeCells>
  <phoneticPr fontId="1"/>
  <pageMargins left="0.70866141732283472" right="0.51181102362204722" top="0.94488188976377963" bottom="0.55118110236220474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04"/>
  <sheetViews>
    <sheetView view="pageBreakPreview" zoomScale="115" zoomScaleNormal="130" zoomScaleSheetLayoutView="115" workbookViewId="0">
      <selection activeCell="P11" sqref="P11"/>
    </sheetView>
  </sheetViews>
  <sheetFormatPr defaultRowHeight="18" customHeight="1"/>
  <cols>
    <col min="1" max="1" width="0.75" style="6" customWidth="1"/>
    <col min="2" max="2" width="14.25" style="6" bestFit="1" customWidth="1"/>
    <col min="3" max="5" width="9" style="6"/>
    <col min="6" max="6" width="6.875" style="6" customWidth="1"/>
    <col min="7" max="7" width="13.75" style="13" customWidth="1"/>
    <col min="8" max="8" width="15" style="6" customWidth="1"/>
    <col min="9" max="9" width="18.75" style="14" customWidth="1"/>
    <col min="10" max="10" width="10" style="6" customWidth="1"/>
    <col min="11" max="12" width="9" style="6"/>
    <col min="13" max="13" width="9.875" style="6" bestFit="1" customWidth="1"/>
    <col min="14" max="14" width="0.625" style="6" customWidth="1"/>
    <col min="15" max="16" width="9" style="6"/>
    <col min="17" max="17" width="8.75" style="6" customWidth="1"/>
    <col min="18" max="16384" width="9" style="6"/>
  </cols>
  <sheetData>
    <row r="1" spans="1:14" ht="3" customHeight="1">
      <c r="A1" s="1"/>
      <c r="B1" s="2"/>
      <c r="C1" s="2"/>
      <c r="D1" s="2"/>
      <c r="E1" s="2"/>
      <c r="F1" s="2"/>
      <c r="G1" s="3"/>
      <c r="H1" s="2"/>
      <c r="I1" s="4"/>
      <c r="J1" s="2"/>
      <c r="K1" s="2"/>
      <c r="L1" s="2"/>
      <c r="M1" s="2"/>
      <c r="N1" s="5"/>
    </row>
    <row r="2" spans="1:14" ht="13.5" customHeight="1">
      <c r="A2" s="7"/>
      <c r="B2" s="8">
        <v>4</v>
      </c>
      <c r="D2" s="315" t="s">
        <v>63</v>
      </c>
      <c r="E2" s="315"/>
      <c r="G2" s="302" t="s">
        <v>8</v>
      </c>
      <c r="H2" s="302"/>
      <c r="I2" s="302"/>
      <c r="J2" s="9"/>
      <c r="K2" s="10" t="s">
        <v>14</v>
      </c>
      <c r="N2" s="11"/>
    </row>
    <row r="3" spans="1:14" ht="15.75" customHeight="1">
      <c r="A3" s="7"/>
      <c r="C3" s="6" t="s">
        <v>7</v>
      </c>
      <c r="G3" s="302"/>
      <c r="H3" s="302"/>
      <c r="I3" s="302"/>
      <c r="J3" s="10"/>
      <c r="K3" s="12"/>
      <c r="L3" s="6" t="s">
        <v>49</v>
      </c>
      <c r="N3" s="11"/>
    </row>
    <row r="4" spans="1:14" ht="3.75" customHeight="1">
      <c r="A4" s="7"/>
      <c r="N4" s="11"/>
    </row>
    <row r="5" spans="1:14" ht="12.75" customHeight="1">
      <c r="A5" s="7"/>
      <c r="B5" s="303" t="s">
        <v>4</v>
      </c>
      <c r="C5" s="304"/>
      <c r="D5" s="307" t="s">
        <v>5</v>
      </c>
      <c r="E5" s="307"/>
      <c r="F5" s="309" t="s">
        <v>0</v>
      </c>
      <c r="G5" s="311" t="s">
        <v>1</v>
      </c>
      <c r="H5" s="307" t="s">
        <v>2</v>
      </c>
      <c r="I5" s="313" t="s">
        <v>6</v>
      </c>
      <c r="J5" s="307" t="s">
        <v>3</v>
      </c>
      <c r="K5" s="307"/>
      <c r="L5" s="307"/>
      <c r="M5" s="318"/>
      <c r="N5" s="11"/>
    </row>
    <row r="6" spans="1:14" ht="15" customHeight="1">
      <c r="A6" s="7"/>
      <c r="B6" s="305"/>
      <c r="C6" s="306"/>
      <c r="D6" s="308"/>
      <c r="E6" s="308"/>
      <c r="F6" s="310"/>
      <c r="G6" s="312"/>
      <c r="H6" s="308"/>
      <c r="I6" s="314"/>
      <c r="J6" s="308"/>
      <c r="K6" s="308"/>
      <c r="L6" s="308"/>
      <c r="M6" s="319"/>
      <c r="N6" s="11"/>
    </row>
    <row r="7" spans="1:14" ht="18" customHeight="1">
      <c r="A7" s="7"/>
      <c r="B7" s="320" t="s">
        <v>63</v>
      </c>
      <c r="C7" s="321"/>
      <c r="D7" s="290"/>
      <c r="E7" s="291"/>
      <c r="F7" s="297"/>
      <c r="G7" s="164"/>
      <c r="H7" s="16"/>
      <c r="I7" s="17"/>
      <c r="J7" s="10"/>
      <c r="M7" s="11"/>
      <c r="N7" s="11"/>
    </row>
    <row r="8" spans="1:14" ht="18" customHeight="1">
      <c r="A8" s="7"/>
      <c r="B8" s="322"/>
      <c r="C8" s="317"/>
      <c r="D8" s="301"/>
      <c r="E8" s="296"/>
      <c r="F8" s="300"/>
      <c r="G8" s="157"/>
      <c r="H8" s="19"/>
      <c r="I8" s="20"/>
      <c r="M8" s="21"/>
      <c r="N8" s="11"/>
    </row>
    <row r="9" spans="1:14" ht="18" customHeight="1">
      <c r="A9" s="7"/>
      <c r="B9" s="292" t="s">
        <v>10</v>
      </c>
      <c r="C9" s="291"/>
      <c r="D9" s="290"/>
      <c r="E9" s="291"/>
      <c r="F9" s="297" t="s">
        <v>9</v>
      </c>
      <c r="G9" s="192"/>
      <c r="H9" s="16"/>
      <c r="I9" s="17"/>
      <c r="J9" s="22"/>
      <c r="K9" s="23"/>
      <c r="L9" s="23"/>
      <c r="M9" s="24"/>
      <c r="N9" s="11"/>
    </row>
    <row r="10" spans="1:14" ht="18" customHeight="1">
      <c r="A10" s="7"/>
      <c r="B10" s="295"/>
      <c r="C10" s="296"/>
      <c r="D10" s="301"/>
      <c r="E10" s="296"/>
      <c r="F10" s="300"/>
      <c r="G10" s="196">
        <v>1.4</v>
      </c>
      <c r="H10" s="19">
        <f>'R７　人件費単価'!$C$8</f>
        <v>66900</v>
      </c>
      <c r="I10" s="20">
        <f>INT(G10*H10)</f>
        <v>93660</v>
      </c>
      <c r="K10" s="25"/>
      <c r="L10" s="25"/>
      <c r="M10" s="21"/>
      <c r="N10" s="11"/>
    </row>
    <row r="11" spans="1:14" ht="18" customHeight="1">
      <c r="A11" s="7"/>
      <c r="B11" s="292" t="s">
        <v>11</v>
      </c>
      <c r="C11" s="291"/>
      <c r="D11" s="323"/>
      <c r="E11" s="324"/>
      <c r="F11" s="297" t="s">
        <v>9</v>
      </c>
      <c r="G11" s="164"/>
      <c r="H11" s="16"/>
      <c r="I11" s="17"/>
      <c r="J11" s="22"/>
      <c r="K11" s="23"/>
      <c r="L11" s="23"/>
      <c r="M11" s="24"/>
      <c r="N11" s="11"/>
    </row>
    <row r="12" spans="1:14" ht="18" customHeight="1">
      <c r="A12" s="7"/>
      <c r="B12" s="295"/>
      <c r="C12" s="296"/>
      <c r="D12" s="325"/>
      <c r="E12" s="326"/>
      <c r="F12" s="300"/>
      <c r="G12" s="157">
        <v>1.4</v>
      </c>
      <c r="H12" s="19">
        <f>'R７　人件費単価'!$C$9</f>
        <v>59600</v>
      </c>
      <c r="I12" s="20">
        <f>INT(G12*H12)</f>
        <v>83440</v>
      </c>
      <c r="L12" s="25"/>
      <c r="M12" s="21"/>
      <c r="N12" s="11"/>
    </row>
    <row r="13" spans="1:14" ht="18" customHeight="1">
      <c r="A13" s="7"/>
      <c r="B13" s="292" t="s">
        <v>12</v>
      </c>
      <c r="C13" s="291"/>
      <c r="D13" s="323"/>
      <c r="E13" s="324"/>
      <c r="F13" s="297" t="s">
        <v>9</v>
      </c>
      <c r="G13" s="164"/>
      <c r="H13" s="16"/>
      <c r="I13" s="17"/>
      <c r="J13" s="22"/>
      <c r="K13" s="23"/>
      <c r="L13" s="23"/>
      <c r="M13" s="24"/>
      <c r="N13" s="11"/>
    </row>
    <row r="14" spans="1:14" ht="18" customHeight="1">
      <c r="A14" s="7"/>
      <c r="B14" s="295"/>
      <c r="C14" s="296"/>
      <c r="D14" s="325"/>
      <c r="E14" s="326"/>
      <c r="F14" s="300"/>
      <c r="G14" s="157">
        <v>1.4</v>
      </c>
      <c r="H14" s="19">
        <f>'R７　人件費単価'!$C$10</f>
        <v>48500</v>
      </c>
      <c r="I14" s="20">
        <f>INT(G14*H14)</f>
        <v>67900</v>
      </c>
      <c r="J14" s="26"/>
      <c r="K14" s="25"/>
      <c r="L14" s="25"/>
      <c r="M14" s="21"/>
      <c r="N14" s="11"/>
    </row>
    <row r="15" spans="1:14" ht="18" customHeight="1">
      <c r="A15" s="7"/>
      <c r="B15" s="292"/>
      <c r="C15" s="291"/>
      <c r="D15" s="290"/>
      <c r="E15" s="291"/>
      <c r="F15" s="297"/>
      <c r="G15" s="164"/>
      <c r="H15" s="16"/>
      <c r="I15" s="17"/>
      <c r="M15" s="11"/>
      <c r="N15" s="11"/>
    </row>
    <row r="16" spans="1:14" ht="18" customHeight="1">
      <c r="A16" s="7"/>
      <c r="B16" s="295"/>
      <c r="C16" s="296"/>
      <c r="D16" s="316"/>
      <c r="E16" s="317"/>
      <c r="F16" s="300"/>
      <c r="G16" s="157"/>
      <c r="H16" s="19"/>
      <c r="I16" s="20"/>
      <c r="M16" s="21"/>
      <c r="N16" s="11"/>
    </row>
    <row r="17" spans="1:14" ht="18" customHeight="1">
      <c r="A17" s="7"/>
      <c r="B17" s="292"/>
      <c r="C17" s="291"/>
      <c r="D17" s="290"/>
      <c r="E17" s="291"/>
      <c r="F17" s="297"/>
      <c r="G17" s="164"/>
      <c r="H17" s="27"/>
      <c r="I17" s="17"/>
      <c r="J17" s="22"/>
      <c r="K17" s="23"/>
      <c r="L17" s="23"/>
      <c r="M17" s="24"/>
      <c r="N17" s="11"/>
    </row>
    <row r="18" spans="1:14" ht="18" customHeight="1">
      <c r="A18" s="7"/>
      <c r="B18" s="295"/>
      <c r="C18" s="296"/>
      <c r="D18" s="301"/>
      <c r="E18" s="296"/>
      <c r="F18" s="300"/>
      <c r="G18" s="157"/>
      <c r="H18" s="28"/>
      <c r="I18" s="20"/>
      <c r="J18" s="26"/>
      <c r="K18" s="25"/>
      <c r="L18" s="25"/>
      <c r="M18" s="21"/>
      <c r="N18" s="11"/>
    </row>
    <row r="19" spans="1:14" ht="18" customHeight="1">
      <c r="A19" s="7"/>
      <c r="B19" s="292" t="s">
        <v>13</v>
      </c>
      <c r="C19" s="291"/>
      <c r="D19" s="290"/>
      <c r="E19" s="291"/>
      <c r="F19" s="297"/>
      <c r="G19" s="15"/>
      <c r="H19" s="16"/>
      <c r="I19" s="17"/>
      <c r="J19" s="22"/>
      <c r="K19" s="23"/>
      <c r="L19" s="23"/>
      <c r="M19" s="24"/>
      <c r="N19" s="11"/>
    </row>
    <row r="20" spans="1:14" ht="18" customHeight="1">
      <c r="A20" s="7"/>
      <c r="B20" s="295"/>
      <c r="C20" s="296"/>
      <c r="D20" s="301"/>
      <c r="E20" s="296"/>
      <c r="F20" s="300"/>
      <c r="G20" s="18"/>
      <c r="H20" s="19"/>
      <c r="I20" s="20">
        <f>SUM(I8,I12,I14,I10,I16)</f>
        <v>245000</v>
      </c>
      <c r="J20" s="26"/>
      <c r="K20" s="25"/>
      <c r="L20" s="25"/>
      <c r="M20" s="21"/>
      <c r="N20" s="11"/>
    </row>
    <row r="21" spans="1:14" ht="18" customHeight="1">
      <c r="A21" s="7"/>
      <c r="B21" s="292"/>
      <c r="C21" s="291"/>
      <c r="D21" s="290"/>
      <c r="E21" s="291"/>
      <c r="F21" s="297"/>
      <c r="G21" s="15"/>
      <c r="H21" s="27"/>
      <c r="I21" s="17"/>
      <c r="J21" s="22"/>
      <c r="K21" s="23"/>
      <c r="L21" s="23"/>
      <c r="M21" s="24"/>
      <c r="N21" s="11"/>
    </row>
    <row r="22" spans="1:14" ht="18" customHeight="1">
      <c r="A22" s="7"/>
      <c r="B22" s="295"/>
      <c r="C22" s="296"/>
      <c r="D22" s="301"/>
      <c r="E22" s="296"/>
      <c r="F22" s="300"/>
      <c r="G22" s="18"/>
      <c r="H22" s="28"/>
      <c r="I22" s="20"/>
      <c r="J22" s="26"/>
      <c r="K22" s="25"/>
      <c r="L22" s="25"/>
      <c r="M22" s="21"/>
      <c r="N22" s="11"/>
    </row>
    <row r="23" spans="1:14" ht="18" customHeight="1">
      <c r="A23" s="7"/>
      <c r="B23" s="292"/>
      <c r="C23" s="291"/>
      <c r="D23" s="290"/>
      <c r="E23" s="291"/>
      <c r="F23" s="297"/>
      <c r="G23" s="15"/>
      <c r="H23" s="27"/>
      <c r="I23" s="17"/>
      <c r="J23" s="22"/>
      <c r="K23" s="23"/>
      <c r="L23" s="23"/>
      <c r="M23" s="24"/>
      <c r="N23" s="11"/>
    </row>
    <row r="24" spans="1:14" ht="18" customHeight="1">
      <c r="A24" s="7"/>
      <c r="B24" s="295"/>
      <c r="C24" s="296"/>
      <c r="D24" s="301"/>
      <c r="E24" s="296"/>
      <c r="F24" s="300"/>
      <c r="G24" s="18"/>
      <c r="H24" s="28"/>
      <c r="I24" s="20"/>
      <c r="J24" s="26"/>
      <c r="K24" s="25"/>
      <c r="L24" s="25"/>
      <c r="M24" s="21"/>
      <c r="N24" s="11"/>
    </row>
    <row r="25" spans="1:14" ht="18" customHeight="1">
      <c r="A25" s="7"/>
      <c r="B25" s="292"/>
      <c r="C25" s="291"/>
      <c r="D25" s="29"/>
      <c r="E25" s="30"/>
      <c r="F25" s="297"/>
      <c r="G25" s="15"/>
      <c r="H25" s="27"/>
      <c r="I25" s="17"/>
      <c r="J25" s="22"/>
      <c r="K25" s="23"/>
      <c r="L25" s="23"/>
      <c r="M25" s="24"/>
      <c r="N25" s="11"/>
    </row>
    <row r="26" spans="1:14" ht="18" customHeight="1">
      <c r="A26" s="7"/>
      <c r="B26" s="295"/>
      <c r="C26" s="296"/>
      <c r="D26" s="31"/>
      <c r="E26" s="30"/>
      <c r="F26" s="300"/>
      <c r="G26" s="18"/>
      <c r="H26" s="28"/>
      <c r="I26" s="20"/>
      <c r="J26" s="26"/>
      <c r="K26" s="25"/>
      <c r="L26" s="25"/>
      <c r="M26" s="21"/>
      <c r="N26" s="11"/>
    </row>
    <row r="27" spans="1:14" ht="18" customHeight="1">
      <c r="A27" s="7"/>
      <c r="B27" s="292"/>
      <c r="C27" s="291"/>
      <c r="D27" s="290"/>
      <c r="E27" s="291"/>
      <c r="F27" s="297"/>
      <c r="G27" s="15"/>
      <c r="H27" s="27"/>
      <c r="I27" s="17"/>
      <c r="J27" s="22"/>
      <c r="K27" s="23"/>
      <c r="L27" s="23"/>
      <c r="M27" s="24"/>
      <c r="N27" s="11"/>
    </row>
    <row r="28" spans="1:14" ht="18" customHeight="1">
      <c r="A28" s="7"/>
      <c r="B28" s="295"/>
      <c r="C28" s="296"/>
      <c r="D28" s="301"/>
      <c r="E28" s="296"/>
      <c r="F28" s="300"/>
      <c r="G28" s="18"/>
      <c r="H28" s="28"/>
      <c r="I28" s="20"/>
      <c r="J28" s="26"/>
      <c r="K28" s="25"/>
      <c r="L28" s="25"/>
      <c r="M28" s="21"/>
      <c r="N28" s="11"/>
    </row>
    <row r="29" spans="1:14" ht="18" customHeight="1">
      <c r="A29" s="7"/>
      <c r="B29" s="292"/>
      <c r="C29" s="291"/>
      <c r="D29" s="290"/>
      <c r="E29" s="291"/>
      <c r="F29" s="297"/>
      <c r="G29" s="15"/>
      <c r="H29" s="27"/>
      <c r="I29" s="17"/>
      <c r="J29" s="32"/>
      <c r="K29" s="33"/>
      <c r="L29" s="33"/>
      <c r="M29" s="34"/>
      <c r="N29" s="11"/>
    </row>
    <row r="30" spans="1:14" ht="18" customHeight="1">
      <c r="A30" s="7"/>
      <c r="B30" s="295"/>
      <c r="C30" s="296"/>
      <c r="D30" s="301"/>
      <c r="E30" s="296"/>
      <c r="F30" s="300"/>
      <c r="G30" s="18"/>
      <c r="H30" s="28"/>
      <c r="I30" s="20"/>
      <c r="J30" s="35"/>
      <c r="K30" s="36"/>
      <c r="L30" s="36"/>
      <c r="M30" s="37"/>
      <c r="N30" s="11"/>
    </row>
    <row r="31" spans="1:14" ht="18" customHeight="1">
      <c r="A31" s="7"/>
      <c r="B31" s="292"/>
      <c r="C31" s="291"/>
      <c r="D31" s="290"/>
      <c r="E31" s="291"/>
      <c r="F31" s="297"/>
      <c r="G31" s="15"/>
      <c r="H31" s="27"/>
      <c r="I31" s="17"/>
      <c r="J31" s="287">
        <v>6</v>
      </c>
      <c r="K31" s="288"/>
      <c r="L31" s="288"/>
      <c r="M31" s="289"/>
      <c r="N31" s="11"/>
    </row>
    <row r="32" spans="1:14" ht="18" customHeight="1">
      <c r="A32" s="7"/>
      <c r="B32" s="293"/>
      <c r="C32" s="294"/>
      <c r="D32" s="299"/>
      <c r="E32" s="294"/>
      <c r="F32" s="298"/>
      <c r="G32" s="38"/>
      <c r="H32" s="39"/>
      <c r="I32" s="40"/>
      <c r="J32" s="162"/>
      <c r="K32" s="41"/>
      <c r="L32" s="41"/>
      <c r="M32" s="161">
        <v>225</v>
      </c>
      <c r="N32" s="11"/>
    </row>
    <row r="33" spans="1:14" ht="3" customHeight="1">
      <c r="A33" s="42"/>
      <c r="B33" s="43"/>
      <c r="C33" s="43"/>
      <c r="D33" s="43"/>
      <c r="E33" s="43"/>
      <c r="F33" s="43"/>
      <c r="G33" s="44"/>
      <c r="H33" s="43"/>
      <c r="I33" s="45"/>
      <c r="J33" s="43"/>
      <c r="K33" s="43"/>
      <c r="L33" s="43"/>
      <c r="M33" s="43"/>
      <c r="N33" s="46"/>
    </row>
    <row r="1204" spans="1:17" s="14" customFormat="1" ht="18" customHeight="1">
      <c r="A1204" s="6"/>
      <c r="B1204" s="6"/>
      <c r="C1204" s="6"/>
      <c r="D1204" s="6"/>
      <c r="E1204" s="6"/>
      <c r="F1204" s="6"/>
      <c r="G1204" s="13"/>
      <c r="H1204" s="6">
        <f>'R７　人件費単価'!$C$12</f>
        <v>36100</v>
      </c>
      <c r="J1204" s="6"/>
      <c r="K1204" s="6"/>
      <c r="L1204" s="6"/>
      <c r="M1204" s="6"/>
      <c r="N1204" s="6"/>
      <c r="O1204" s="6"/>
      <c r="P1204" s="6"/>
      <c r="Q1204" s="6"/>
    </row>
  </sheetData>
  <mergeCells count="60">
    <mergeCell ref="B31:C32"/>
    <mergeCell ref="D31:E31"/>
    <mergeCell ref="F31:F32"/>
    <mergeCell ref="J31:M31"/>
    <mergeCell ref="D32:E32"/>
    <mergeCell ref="B27:C28"/>
    <mergeCell ref="D27:E27"/>
    <mergeCell ref="F27:F28"/>
    <mergeCell ref="D28:E28"/>
    <mergeCell ref="B29:C30"/>
    <mergeCell ref="D29:E29"/>
    <mergeCell ref="F29:F30"/>
    <mergeCell ref="D30:E30"/>
    <mergeCell ref="B23:C24"/>
    <mergeCell ref="D23:E23"/>
    <mergeCell ref="F23:F24"/>
    <mergeCell ref="D24:E24"/>
    <mergeCell ref="B25:C26"/>
    <mergeCell ref="F25:F26"/>
    <mergeCell ref="B19:C20"/>
    <mergeCell ref="D19:E19"/>
    <mergeCell ref="F19:F20"/>
    <mergeCell ref="D20:E20"/>
    <mergeCell ref="B21:C22"/>
    <mergeCell ref="D21:E21"/>
    <mergeCell ref="F21:F22"/>
    <mergeCell ref="D22:E22"/>
    <mergeCell ref="B15:C16"/>
    <mergeCell ref="D15:E15"/>
    <mergeCell ref="F15:F16"/>
    <mergeCell ref="D16:E16"/>
    <mergeCell ref="B17:C18"/>
    <mergeCell ref="D17:E17"/>
    <mergeCell ref="F17:F18"/>
    <mergeCell ref="D18:E18"/>
    <mergeCell ref="B11:C12"/>
    <mergeCell ref="D11:E11"/>
    <mergeCell ref="F11:F12"/>
    <mergeCell ref="D12:E12"/>
    <mergeCell ref="B13:C14"/>
    <mergeCell ref="D13:E13"/>
    <mergeCell ref="F13:F14"/>
    <mergeCell ref="D14:E14"/>
    <mergeCell ref="J5:M6"/>
    <mergeCell ref="B7:C8"/>
    <mergeCell ref="D7:E7"/>
    <mergeCell ref="F7:F8"/>
    <mergeCell ref="D8:E8"/>
    <mergeCell ref="B9:C10"/>
    <mergeCell ref="D9:E9"/>
    <mergeCell ref="F9:F10"/>
    <mergeCell ref="D10:E10"/>
    <mergeCell ref="D2:E2"/>
    <mergeCell ref="G2:I3"/>
    <mergeCell ref="B5:C6"/>
    <mergeCell ref="D5:E6"/>
    <mergeCell ref="F5:F6"/>
    <mergeCell ref="G5:G6"/>
    <mergeCell ref="H5:H6"/>
    <mergeCell ref="I5:I6"/>
  </mergeCells>
  <phoneticPr fontId="29"/>
  <pageMargins left="0.70866141732283472" right="0.51181102362204722" top="0.94488188976377963" bottom="0.55118110236220474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61"/>
  <sheetViews>
    <sheetView view="pageBreakPreview" topLeftCell="A7" zoomScale="130" zoomScaleNormal="130" zoomScaleSheetLayoutView="130" workbookViewId="0">
      <selection activeCell="P11" sqref="P11"/>
    </sheetView>
  </sheetViews>
  <sheetFormatPr defaultRowHeight="18" customHeight="1"/>
  <cols>
    <col min="1" max="1" width="0.75" style="6" customWidth="1"/>
    <col min="2" max="2" width="14.25" style="6" bestFit="1" customWidth="1"/>
    <col min="3" max="5" width="9" style="6"/>
    <col min="6" max="6" width="6.875" style="6" customWidth="1"/>
    <col min="7" max="7" width="13.75" style="13" customWidth="1"/>
    <col min="8" max="8" width="15" style="6" customWidth="1"/>
    <col min="9" max="9" width="18.75" style="14" customWidth="1"/>
    <col min="10" max="10" width="10" style="6" customWidth="1"/>
    <col min="11" max="11" width="4.625" style="207" customWidth="1"/>
    <col min="12" max="12" width="9" style="6"/>
    <col min="13" max="13" width="4.625" style="207" customWidth="1"/>
    <col min="14" max="14" width="9" style="6" customWidth="1"/>
    <col min="15" max="15" width="0.625" style="6" customWidth="1"/>
    <col min="16" max="16" width="4.5" style="6" customWidth="1"/>
    <col min="17" max="17" width="4.625" style="6" customWidth="1"/>
    <col min="18" max="18" width="24.125" style="6" customWidth="1"/>
    <col min="19" max="16384" width="9" style="6"/>
  </cols>
  <sheetData>
    <row r="1" spans="1:15" ht="3" customHeight="1">
      <c r="A1" s="1"/>
      <c r="B1" s="2"/>
      <c r="C1" s="2"/>
      <c r="D1" s="2"/>
      <c r="E1" s="2"/>
      <c r="F1" s="2"/>
      <c r="G1" s="3"/>
      <c r="H1" s="2"/>
      <c r="I1" s="4"/>
      <c r="J1" s="2"/>
      <c r="K1" s="204"/>
      <c r="L1" s="2"/>
      <c r="M1" s="204"/>
      <c r="N1" s="2"/>
      <c r="O1" s="5"/>
    </row>
    <row r="2" spans="1:15" ht="13.5" customHeight="1">
      <c r="A2" s="7"/>
      <c r="B2" s="8">
        <v>5</v>
      </c>
      <c r="D2" s="327" t="s">
        <v>72</v>
      </c>
      <c r="E2" s="327"/>
      <c r="F2" s="327"/>
      <c r="G2" s="302" t="s">
        <v>8</v>
      </c>
      <c r="H2" s="302"/>
      <c r="I2" s="302"/>
      <c r="J2" s="9"/>
      <c r="K2" s="205" t="s">
        <v>14</v>
      </c>
      <c r="M2" s="205" t="s">
        <v>14</v>
      </c>
      <c r="O2" s="11"/>
    </row>
    <row r="3" spans="1:15" ht="15.75" customHeight="1">
      <c r="A3" s="7"/>
      <c r="C3" s="6" t="s">
        <v>7</v>
      </c>
      <c r="D3" s="328" t="s">
        <v>81</v>
      </c>
      <c r="E3" s="328"/>
      <c r="F3" s="251">
        <v>33</v>
      </c>
      <c r="G3" s="302"/>
      <c r="H3" s="302"/>
      <c r="I3" s="302"/>
      <c r="J3" s="10"/>
      <c r="K3" s="206"/>
      <c r="L3" s="6" t="s">
        <v>49</v>
      </c>
      <c r="O3" s="11"/>
    </row>
    <row r="4" spans="1:15" ht="3.75" customHeight="1">
      <c r="A4" s="7"/>
      <c r="O4" s="11"/>
    </row>
    <row r="5" spans="1:15" ht="12.75" customHeight="1">
      <c r="A5" s="7"/>
      <c r="B5" s="303" t="s">
        <v>4</v>
      </c>
      <c r="C5" s="304"/>
      <c r="D5" s="307" t="s">
        <v>5</v>
      </c>
      <c r="E5" s="307"/>
      <c r="F5" s="309" t="s">
        <v>0</v>
      </c>
      <c r="G5" s="311" t="s">
        <v>1</v>
      </c>
      <c r="H5" s="307" t="s">
        <v>2</v>
      </c>
      <c r="I5" s="313" t="s">
        <v>6</v>
      </c>
      <c r="J5" s="307" t="s">
        <v>3</v>
      </c>
      <c r="K5" s="307"/>
      <c r="L5" s="307"/>
      <c r="M5" s="304"/>
      <c r="N5" s="318"/>
      <c r="O5" s="11"/>
    </row>
    <row r="6" spans="1:15" ht="15" customHeight="1">
      <c r="A6" s="7"/>
      <c r="B6" s="305"/>
      <c r="C6" s="306"/>
      <c r="D6" s="308"/>
      <c r="E6" s="308"/>
      <c r="F6" s="310"/>
      <c r="G6" s="312"/>
      <c r="H6" s="308"/>
      <c r="I6" s="314"/>
      <c r="J6" s="308"/>
      <c r="K6" s="308"/>
      <c r="L6" s="308"/>
      <c r="M6" s="306"/>
      <c r="N6" s="319"/>
      <c r="O6" s="11"/>
    </row>
    <row r="7" spans="1:15" ht="18" customHeight="1">
      <c r="A7" s="7"/>
      <c r="B7" s="320" t="s">
        <v>73</v>
      </c>
      <c r="C7" s="321"/>
      <c r="D7" s="290"/>
      <c r="E7" s="291"/>
      <c r="F7" s="297"/>
      <c r="G7" s="15"/>
      <c r="H7" s="27"/>
      <c r="I7" s="17"/>
      <c r="J7" s="32"/>
      <c r="K7" s="211"/>
      <c r="L7" s="33"/>
      <c r="M7" s="211"/>
      <c r="N7" s="34"/>
      <c r="O7" s="11"/>
    </row>
    <row r="8" spans="1:15" ht="18" customHeight="1">
      <c r="A8" s="7"/>
      <c r="B8" s="322"/>
      <c r="C8" s="317"/>
      <c r="D8" s="301"/>
      <c r="E8" s="296"/>
      <c r="F8" s="300"/>
      <c r="G8" s="18"/>
      <c r="H8" s="28"/>
      <c r="I8" s="20"/>
      <c r="J8" s="35"/>
      <c r="K8" s="212"/>
      <c r="L8" s="36"/>
      <c r="M8" s="212"/>
      <c r="N8" s="37"/>
      <c r="O8" s="11"/>
    </row>
    <row r="9" spans="1:15" ht="18" customHeight="1">
      <c r="A9" s="7"/>
      <c r="B9" s="292" t="s">
        <v>57</v>
      </c>
      <c r="C9" s="291"/>
      <c r="D9" s="290"/>
      <c r="E9" s="291"/>
      <c r="F9" s="297" t="s">
        <v>58</v>
      </c>
      <c r="G9" s="192"/>
      <c r="H9" s="27"/>
      <c r="I9" s="17"/>
      <c r="J9" s="199"/>
      <c r="K9" s="208"/>
      <c r="L9" s="170"/>
      <c r="M9" s="208"/>
      <c r="N9" s="171"/>
      <c r="O9" s="11"/>
    </row>
    <row r="10" spans="1:15" ht="18" customHeight="1">
      <c r="A10" s="7"/>
      <c r="B10" s="295"/>
      <c r="C10" s="296"/>
      <c r="D10" s="301"/>
      <c r="E10" s="296"/>
      <c r="F10" s="300"/>
      <c r="G10" s="193">
        <f>ROUND(J10*L10*N10,3)</f>
        <v>0</v>
      </c>
      <c r="H10" s="20">
        <f>'R７　人件費単価'!$C$7</f>
        <v>77500</v>
      </c>
      <c r="I10" s="20">
        <f>INT(G10*H10)</f>
        <v>0</v>
      </c>
      <c r="J10" s="200"/>
      <c r="K10" s="210"/>
      <c r="L10" s="203"/>
      <c r="M10" s="210"/>
      <c r="N10" s="214"/>
      <c r="O10" s="11"/>
    </row>
    <row r="11" spans="1:15" ht="18" customHeight="1">
      <c r="A11" s="7"/>
      <c r="B11" s="292" t="s">
        <v>10</v>
      </c>
      <c r="C11" s="291"/>
      <c r="D11" s="290"/>
      <c r="E11" s="291"/>
      <c r="F11" s="297" t="s">
        <v>9</v>
      </c>
      <c r="G11" s="192"/>
      <c r="H11" s="16"/>
      <c r="I11" s="17"/>
      <c r="J11" s="250" t="s">
        <v>80</v>
      </c>
      <c r="K11" s="209"/>
      <c r="L11" s="248" t="s">
        <v>78</v>
      </c>
      <c r="M11" s="209"/>
      <c r="N11" s="249" t="s">
        <v>79</v>
      </c>
      <c r="O11" s="11"/>
    </row>
    <row r="12" spans="1:15" ht="18" customHeight="1">
      <c r="A12" s="7"/>
      <c r="B12" s="295"/>
      <c r="C12" s="296"/>
      <c r="D12" s="301"/>
      <c r="E12" s="296"/>
      <c r="F12" s="300"/>
      <c r="G12" s="193">
        <f>ROUND(J12*L12*N12,3)</f>
        <v>0.56599999999999995</v>
      </c>
      <c r="H12" s="19">
        <f>'R７　人件費単価'!$C$8</f>
        <v>66900</v>
      </c>
      <c r="I12" s="20">
        <f>INT(G12*H12)</f>
        <v>37865</v>
      </c>
      <c r="J12" s="202">
        <v>0.5</v>
      </c>
      <c r="K12" s="210" t="s">
        <v>59</v>
      </c>
      <c r="L12" s="203">
        <f>G$28</f>
        <v>0.9</v>
      </c>
      <c r="M12" s="210" t="s">
        <v>83</v>
      </c>
      <c r="N12" s="247">
        <f>G$30</f>
        <v>1.258</v>
      </c>
      <c r="O12" s="11"/>
    </row>
    <row r="13" spans="1:15" ht="18" customHeight="1">
      <c r="A13" s="7"/>
      <c r="B13" s="292" t="s">
        <v>11</v>
      </c>
      <c r="C13" s="291"/>
      <c r="F13" s="297" t="s">
        <v>9</v>
      </c>
      <c r="G13" s="192"/>
      <c r="H13" s="16"/>
      <c r="I13" s="17"/>
      <c r="J13" s="250" t="s">
        <v>80</v>
      </c>
      <c r="K13" s="209"/>
      <c r="L13" s="248" t="s">
        <v>78</v>
      </c>
      <c r="M13" s="209"/>
      <c r="N13" s="249" t="s">
        <v>79</v>
      </c>
      <c r="O13" s="11"/>
    </row>
    <row r="14" spans="1:15" ht="18" customHeight="1">
      <c r="A14" s="7"/>
      <c r="B14" s="295"/>
      <c r="C14" s="296"/>
      <c r="D14" s="325"/>
      <c r="E14" s="326"/>
      <c r="F14" s="300"/>
      <c r="G14" s="193">
        <f>ROUND(J14*L14*N14,3)</f>
        <v>0.90600000000000003</v>
      </c>
      <c r="H14" s="19">
        <f>'R７　人件費単価'!$C$9</f>
        <v>59600</v>
      </c>
      <c r="I14" s="20">
        <f>INT(G14*H14)</f>
        <v>53997</v>
      </c>
      <c r="J14" s="202">
        <v>0.8</v>
      </c>
      <c r="K14" s="210" t="s">
        <v>59</v>
      </c>
      <c r="L14" s="203">
        <f>G$28</f>
        <v>0.9</v>
      </c>
      <c r="M14" s="210" t="s">
        <v>83</v>
      </c>
      <c r="N14" s="247">
        <f>G$30</f>
        <v>1.258</v>
      </c>
      <c r="O14" s="11"/>
    </row>
    <row r="15" spans="1:15" ht="18" customHeight="1">
      <c r="A15" s="7"/>
      <c r="B15" s="292" t="s">
        <v>12</v>
      </c>
      <c r="C15" s="291"/>
      <c r="D15" s="290"/>
      <c r="E15" s="291"/>
      <c r="F15" s="297" t="s">
        <v>9</v>
      </c>
      <c r="G15" s="192"/>
      <c r="H15" s="16"/>
      <c r="I15" s="17"/>
      <c r="J15" s="201"/>
      <c r="K15" s="209"/>
      <c r="L15" s="23"/>
      <c r="M15" s="209"/>
      <c r="N15" s="24"/>
      <c r="O15" s="11"/>
    </row>
    <row r="16" spans="1:15" ht="18" customHeight="1">
      <c r="A16" s="7"/>
      <c r="B16" s="295"/>
      <c r="C16" s="296"/>
      <c r="D16" s="325"/>
      <c r="E16" s="326"/>
      <c r="F16" s="300"/>
      <c r="G16" s="193">
        <f>ROUND(J16*L16*N16,3)</f>
        <v>0</v>
      </c>
      <c r="H16" s="19">
        <f>'R７　人件費単価'!$C$10</f>
        <v>48500</v>
      </c>
      <c r="I16" s="20">
        <f>INT(G16*H16)</f>
        <v>0</v>
      </c>
      <c r="J16" s="200"/>
      <c r="K16" s="210"/>
      <c r="L16" s="203"/>
      <c r="M16" s="210"/>
      <c r="N16" s="21"/>
      <c r="O16" s="11"/>
    </row>
    <row r="17" spans="1:19" ht="18" customHeight="1">
      <c r="A17" s="7"/>
      <c r="B17" s="292" t="s">
        <v>53</v>
      </c>
      <c r="C17" s="291"/>
      <c r="D17" s="290"/>
      <c r="E17" s="291"/>
      <c r="F17" s="297" t="s">
        <v>9</v>
      </c>
      <c r="G17" s="192"/>
      <c r="H17" s="16"/>
      <c r="I17" s="17"/>
      <c r="J17" s="201"/>
      <c r="K17" s="209"/>
      <c r="L17" s="23"/>
      <c r="M17" s="209"/>
      <c r="N17" s="24"/>
      <c r="O17" s="11"/>
    </row>
    <row r="18" spans="1:19" ht="18" customHeight="1">
      <c r="A18" s="7"/>
      <c r="B18" s="295"/>
      <c r="C18" s="296"/>
      <c r="D18" s="301"/>
      <c r="E18" s="296"/>
      <c r="F18" s="300"/>
      <c r="G18" s="193">
        <f>ROUND(J18*L18*N18,3)</f>
        <v>0</v>
      </c>
      <c r="H18" s="19">
        <f>'R７　人件費単価'!$C$11</f>
        <v>40300</v>
      </c>
      <c r="I18" s="20">
        <f>INT(G18*H18)</f>
        <v>0</v>
      </c>
      <c r="J18" s="202"/>
      <c r="K18" s="210"/>
      <c r="L18" s="203"/>
      <c r="M18" s="210"/>
      <c r="N18" s="21"/>
      <c r="O18" s="11"/>
    </row>
    <row r="19" spans="1:19" ht="18" customHeight="1">
      <c r="A19" s="7"/>
      <c r="B19" s="292" t="s">
        <v>47</v>
      </c>
      <c r="C19" s="291"/>
      <c r="D19" s="290"/>
      <c r="E19" s="291"/>
      <c r="F19" s="297" t="s">
        <v>9</v>
      </c>
      <c r="G19" s="192"/>
      <c r="H19" s="16"/>
      <c r="I19" s="17"/>
      <c r="J19" s="200"/>
      <c r="N19" s="24"/>
      <c r="O19" s="11"/>
    </row>
    <row r="20" spans="1:19" ht="18" customHeight="1">
      <c r="A20" s="7"/>
      <c r="B20" s="295"/>
      <c r="C20" s="296"/>
      <c r="D20" s="301"/>
      <c r="E20" s="296"/>
      <c r="F20" s="300"/>
      <c r="G20" s="193">
        <f>ROUND(J20*L20*N20,3)</f>
        <v>0</v>
      </c>
      <c r="H20" s="19">
        <f>'R７　人件費単価'!$C$12</f>
        <v>36100</v>
      </c>
      <c r="I20" s="20">
        <f>INT(G20*H20)</f>
        <v>0</v>
      </c>
      <c r="J20" s="200"/>
      <c r="K20" s="210"/>
      <c r="L20" s="203"/>
      <c r="M20" s="210"/>
      <c r="N20" s="21"/>
      <c r="O20" s="11"/>
    </row>
    <row r="21" spans="1:19" ht="18" customHeight="1">
      <c r="A21" s="7"/>
      <c r="B21" s="329"/>
      <c r="C21" s="330"/>
      <c r="D21" s="333"/>
      <c r="E21" s="330"/>
      <c r="F21" s="334"/>
      <c r="G21" s="15"/>
      <c r="H21" s="27"/>
      <c r="I21" s="17"/>
      <c r="J21" s="197"/>
      <c r="K21" s="209"/>
      <c r="L21" s="23"/>
      <c r="M21" s="209"/>
      <c r="N21" s="24"/>
      <c r="O21" s="11"/>
    </row>
    <row r="22" spans="1:19" ht="18" customHeight="1">
      <c r="A22" s="7"/>
      <c r="B22" s="331"/>
      <c r="C22" s="332"/>
      <c r="D22" s="336"/>
      <c r="E22" s="332"/>
      <c r="F22" s="335"/>
      <c r="G22" s="220"/>
      <c r="H22" s="221"/>
      <c r="I22" s="222"/>
      <c r="J22" s="198"/>
      <c r="K22" s="210"/>
      <c r="L22" s="25"/>
      <c r="M22" s="210"/>
      <c r="N22" s="21"/>
      <c r="O22" s="11"/>
    </row>
    <row r="23" spans="1:19" ht="18" customHeight="1">
      <c r="A23" s="7"/>
      <c r="B23" s="292" t="s">
        <v>13</v>
      </c>
      <c r="C23" s="291"/>
      <c r="D23" s="290"/>
      <c r="E23" s="291"/>
      <c r="F23" s="297"/>
      <c r="G23" s="15"/>
      <c r="H23" s="16"/>
      <c r="I23" s="17"/>
      <c r="J23" s="197"/>
      <c r="K23" s="209"/>
      <c r="L23" s="23"/>
      <c r="M23" s="209"/>
      <c r="N23" s="24"/>
      <c r="O23" s="11"/>
    </row>
    <row r="24" spans="1:19" ht="18" customHeight="1">
      <c r="A24" s="7"/>
      <c r="B24" s="295"/>
      <c r="C24" s="296"/>
      <c r="D24" s="301"/>
      <c r="E24" s="296"/>
      <c r="F24" s="300"/>
      <c r="G24" s="18"/>
      <c r="H24" s="19"/>
      <c r="I24" s="20">
        <f>SUM(I10,I12,I14,I16,I18,I20)</f>
        <v>91862</v>
      </c>
      <c r="J24" s="198"/>
      <c r="K24" s="210"/>
      <c r="L24" s="25"/>
      <c r="M24" s="210"/>
      <c r="N24" s="21"/>
      <c r="O24" s="11"/>
    </row>
    <row r="25" spans="1:19" ht="18" customHeight="1">
      <c r="A25" s="7"/>
      <c r="B25" s="329"/>
      <c r="C25" s="330"/>
      <c r="D25" s="349"/>
      <c r="E25" s="350"/>
      <c r="F25" s="228"/>
      <c r="G25" s="15"/>
      <c r="H25" s="27"/>
      <c r="I25" s="17"/>
      <c r="J25" s="22"/>
      <c r="K25" s="209"/>
      <c r="L25" s="23"/>
      <c r="M25" s="209"/>
      <c r="N25" s="11"/>
      <c r="O25" s="11"/>
      <c r="S25" s="227"/>
    </row>
    <row r="26" spans="1:19" ht="18" customHeight="1">
      <c r="A26" s="7"/>
      <c r="B26" s="331"/>
      <c r="C26" s="332"/>
      <c r="D26" s="351"/>
      <c r="E26" s="352"/>
      <c r="F26" s="229"/>
      <c r="G26" s="223"/>
      <c r="H26" s="221"/>
      <c r="I26" s="222"/>
      <c r="J26" s="26"/>
      <c r="K26" s="210"/>
      <c r="L26" s="25"/>
      <c r="M26" s="210"/>
      <c r="N26" s="21"/>
      <c r="O26" s="11"/>
      <c r="S26" s="227"/>
    </row>
    <row r="27" spans="1:19" ht="18" customHeight="1">
      <c r="A27" s="7"/>
      <c r="B27" s="242" t="s">
        <v>75</v>
      </c>
      <c r="C27" s="243"/>
      <c r="D27" s="337"/>
      <c r="E27" s="338"/>
      <c r="F27" s="297"/>
      <c r="G27" s="15"/>
      <c r="H27" s="27"/>
      <c r="I27" s="17"/>
      <c r="J27" s="343"/>
      <c r="K27" s="344"/>
      <c r="L27" s="344"/>
      <c r="M27" s="344"/>
      <c r="N27" s="345"/>
      <c r="O27" s="11"/>
      <c r="S27" s="227"/>
    </row>
    <row r="28" spans="1:19" ht="18" customHeight="1">
      <c r="A28" s="7"/>
      <c r="B28" s="244"/>
      <c r="C28" s="339" t="s">
        <v>74</v>
      </c>
      <c r="D28" s="339"/>
      <c r="E28" s="340"/>
      <c r="F28" s="300"/>
      <c r="G28" s="165">
        <v>0.9</v>
      </c>
      <c r="H28" s="28"/>
      <c r="I28" s="20"/>
      <c r="J28" s="346"/>
      <c r="K28" s="347"/>
      <c r="L28" s="347"/>
      <c r="M28" s="347"/>
      <c r="N28" s="348"/>
      <c r="O28" s="11"/>
      <c r="S28" s="227"/>
    </row>
    <row r="29" spans="1:19" ht="18" customHeight="1">
      <c r="A29" s="7"/>
      <c r="B29" s="245" t="s">
        <v>76</v>
      </c>
      <c r="C29" s="252" t="s">
        <v>88</v>
      </c>
      <c r="D29" s="241"/>
      <c r="E29" s="230"/>
      <c r="F29" s="228"/>
      <c r="G29" s="15"/>
      <c r="H29" s="27"/>
      <c r="I29" s="17"/>
      <c r="J29" s="22"/>
      <c r="L29" s="23"/>
      <c r="N29" s="24"/>
      <c r="O29" s="11"/>
      <c r="S29" s="227"/>
    </row>
    <row r="30" spans="1:19" ht="18" customHeight="1">
      <c r="A30" s="7"/>
      <c r="B30" s="246"/>
      <c r="C30" s="341" t="s">
        <v>77</v>
      </c>
      <c r="D30" s="341"/>
      <c r="E30" s="342"/>
      <c r="F30" s="229"/>
      <c r="G30" s="223">
        <f>ROUND((1.599*F3+68.02)/100,3)+0.05</f>
        <v>1.258</v>
      </c>
      <c r="H30" s="221"/>
      <c r="I30" s="222"/>
      <c r="J30" s="26"/>
      <c r="K30" s="210"/>
      <c r="L30" s="25"/>
      <c r="M30" s="210"/>
      <c r="N30" s="21"/>
      <c r="O30" s="11"/>
      <c r="S30" s="227"/>
    </row>
    <row r="31" spans="1:19" ht="18" customHeight="1">
      <c r="A31" s="7"/>
      <c r="B31" s="329"/>
      <c r="C31" s="330"/>
      <c r="D31" s="333"/>
      <c r="E31" s="330"/>
      <c r="F31" s="334"/>
      <c r="G31" s="15"/>
      <c r="H31" s="27"/>
      <c r="I31" s="17"/>
      <c r="J31" s="287">
        <v>6</v>
      </c>
      <c r="K31" s="288"/>
      <c r="L31" s="288"/>
      <c r="M31" s="288"/>
      <c r="N31" s="289"/>
      <c r="O31" s="11"/>
    </row>
    <row r="32" spans="1:19" ht="18" customHeight="1">
      <c r="A32" s="213"/>
      <c r="B32" s="355"/>
      <c r="C32" s="354"/>
      <c r="D32" s="353"/>
      <c r="E32" s="354"/>
      <c r="F32" s="356"/>
      <c r="G32" s="224"/>
      <c r="H32" s="225"/>
      <c r="I32" s="226"/>
      <c r="J32" s="162"/>
      <c r="K32" s="41"/>
      <c r="L32" s="41"/>
      <c r="M32" s="41"/>
      <c r="N32" s="161">
        <v>226</v>
      </c>
      <c r="O32" s="11"/>
    </row>
    <row r="33" spans="1:15" ht="3" customHeight="1">
      <c r="A33" s="42"/>
      <c r="B33" s="215"/>
      <c r="C33" s="215"/>
      <c r="D33" s="215"/>
      <c r="E33" s="215"/>
      <c r="F33" s="215"/>
      <c r="G33" s="216"/>
      <c r="H33" s="215"/>
      <c r="I33" s="217"/>
      <c r="J33" s="215"/>
      <c r="K33" s="218"/>
      <c r="L33" s="215"/>
      <c r="M33" s="218"/>
      <c r="N33" s="215"/>
      <c r="O33" s="46"/>
    </row>
    <row r="34" spans="1:15" ht="3" customHeight="1">
      <c r="A34" s="1"/>
      <c r="B34" s="2"/>
      <c r="C34" s="2"/>
      <c r="D34" s="2"/>
      <c r="E34" s="2"/>
      <c r="F34" s="2"/>
      <c r="G34" s="3"/>
      <c r="H34" s="2"/>
      <c r="I34" s="4"/>
      <c r="J34" s="2"/>
      <c r="K34" s="204"/>
      <c r="L34" s="2"/>
      <c r="M34" s="204"/>
      <c r="N34" s="2"/>
      <c r="O34" s="5"/>
    </row>
    <row r="35" spans="1:15" ht="13.5" customHeight="1">
      <c r="A35" s="7"/>
      <c r="B35" s="8">
        <f>B2+1</f>
        <v>6</v>
      </c>
      <c r="D35" s="327" t="s">
        <v>72</v>
      </c>
      <c r="E35" s="327"/>
      <c r="F35" s="327"/>
      <c r="G35" s="302" t="s">
        <v>8</v>
      </c>
      <c r="H35" s="302"/>
      <c r="I35" s="302"/>
      <c r="J35" s="9"/>
      <c r="K35" s="205" t="s">
        <v>14</v>
      </c>
      <c r="M35" s="205" t="s">
        <v>14</v>
      </c>
      <c r="O35" s="11"/>
    </row>
    <row r="36" spans="1:15" ht="15.75" customHeight="1">
      <c r="A36" s="7"/>
      <c r="C36" s="6" t="s">
        <v>7</v>
      </c>
      <c r="D36" s="328" t="s">
        <v>81</v>
      </c>
      <c r="E36" s="328"/>
      <c r="F36" s="251">
        <v>33</v>
      </c>
      <c r="G36" s="302"/>
      <c r="H36" s="302"/>
      <c r="I36" s="302"/>
      <c r="J36" s="10"/>
      <c r="K36" s="206"/>
      <c r="L36" s="6" t="s">
        <v>49</v>
      </c>
      <c r="O36" s="11"/>
    </row>
    <row r="37" spans="1:15" ht="3.75" customHeight="1">
      <c r="A37" s="7"/>
      <c r="O37" s="11"/>
    </row>
    <row r="38" spans="1:15" ht="12.75" customHeight="1">
      <c r="A38" s="7"/>
      <c r="B38" s="303" t="s">
        <v>4</v>
      </c>
      <c r="C38" s="304"/>
      <c r="D38" s="307" t="s">
        <v>5</v>
      </c>
      <c r="E38" s="307"/>
      <c r="F38" s="309" t="s">
        <v>0</v>
      </c>
      <c r="G38" s="311" t="s">
        <v>1</v>
      </c>
      <c r="H38" s="307" t="s">
        <v>2</v>
      </c>
      <c r="I38" s="313" t="s">
        <v>6</v>
      </c>
      <c r="J38" s="307" t="s">
        <v>3</v>
      </c>
      <c r="K38" s="307"/>
      <c r="L38" s="307"/>
      <c r="M38" s="304"/>
      <c r="N38" s="318"/>
      <c r="O38" s="11"/>
    </row>
    <row r="39" spans="1:15" ht="15" customHeight="1">
      <c r="A39" s="7"/>
      <c r="B39" s="305"/>
      <c r="C39" s="306"/>
      <c r="D39" s="308"/>
      <c r="E39" s="308"/>
      <c r="F39" s="310"/>
      <c r="G39" s="312"/>
      <c r="H39" s="308"/>
      <c r="I39" s="314"/>
      <c r="J39" s="308"/>
      <c r="K39" s="308"/>
      <c r="L39" s="308"/>
      <c r="M39" s="306"/>
      <c r="N39" s="319"/>
      <c r="O39" s="11"/>
    </row>
    <row r="40" spans="1:15" ht="18" customHeight="1">
      <c r="A40" s="7"/>
      <c r="B40" s="320" t="s">
        <v>82</v>
      </c>
      <c r="C40" s="321"/>
      <c r="D40" s="290"/>
      <c r="E40" s="291"/>
      <c r="F40" s="297"/>
      <c r="G40" s="15"/>
      <c r="H40" s="27"/>
      <c r="I40" s="17"/>
      <c r="J40" s="32"/>
      <c r="K40" s="211"/>
      <c r="L40" s="33"/>
      <c r="M40" s="211"/>
      <c r="N40" s="34"/>
      <c r="O40" s="11"/>
    </row>
    <row r="41" spans="1:15" ht="18" customHeight="1">
      <c r="A41" s="7"/>
      <c r="B41" s="322"/>
      <c r="C41" s="317"/>
      <c r="D41" s="301"/>
      <c r="E41" s="296"/>
      <c r="F41" s="300"/>
      <c r="G41" s="18"/>
      <c r="H41" s="28"/>
      <c r="I41" s="20"/>
      <c r="J41" s="35"/>
      <c r="K41" s="212"/>
      <c r="L41" s="36"/>
      <c r="M41" s="212"/>
      <c r="N41" s="37"/>
      <c r="O41" s="11"/>
    </row>
    <row r="42" spans="1:15" ht="18" customHeight="1">
      <c r="A42" s="7"/>
      <c r="B42" s="292" t="s">
        <v>57</v>
      </c>
      <c r="C42" s="291"/>
      <c r="D42" s="290"/>
      <c r="E42" s="291"/>
      <c r="F42" s="297" t="s">
        <v>58</v>
      </c>
      <c r="G42" s="192"/>
      <c r="H42" s="27"/>
      <c r="I42" s="17"/>
      <c r="J42" s="199"/>
      <c r="K42" s="208"/>
      <c r="L42" s="170"/>
      <c r="M42" s="208"/>
      <c r="N42" s="171"/>
      <c r="O42" s="11"/>
    </row>
    <row r="43" spans="1:15" ht="18" customHeight="1">
      <c r="A43" s="7"/>
      <c r="B43" s="295"/>
      <c r="C43" s="296"/>
      <c r="D43" s="301"/>
      <c r="E43" s="296"/>
      <c r="F43" s="300"/>
      <c r="G43" s="193">
        <f>ROUND(J43*L43*N43,3)</f>
        <v>0</v>
      </c>
      <c r="H43" s="20">
        <f>'R７　人件費単価'!$C$7</f>
        <v>77500</v>
      </c>
      <c r="I43" s="20">
        <f>INT(G43*H43)</f>
        <v>0</v>
      </c>
      <c r="J43" s="200"/>
      <c r="K43" s="210"/>
      <c r="L43" s="203"/>
      <c r="M43" s="210"/>
      <c r="N43" s="214"/>
      <c r="O43" s="11"/>
    </row>
    <row r="44" spans="1:15" ht="18" customHeight="1">
      <c r="A44" s="7"/>
      <c r="B44" s="292" t="s">
        <v>10</v>
      </c>
      <c r="C44" s="291"/>
      <c r="D44" s="290"/>
      <c r="E44" s="291"/>
      <c r="F44" s="297" t="s">
        <v>9</v>
      </c>
      <c r="G44" s="192"/>
      <c r="H44" s="16"/>
      <c r="I44" s="17"/>
      <c r="J44" s="250" t="s">
        <v>80</v>
      </c>
      <c r="K44" s="209"/>
      <c r="L44" s="248" t="s">
        <v>78</v>
      </c>
      <c r="M44" s="209"/>
      <c r="N44" s="249" t="s">
        <v>79</v>
      </c>
      <c r="O44" s="11"/>
    </row>
    <row r="45" spans="1:15" ht="18" customHeight="1">
      <c r="A45" s="7"/>
      <c r="B45" s="295"/>
      <c r="C45" s="296"/>
      <c r="D45" s="301"/>
      <c r="E45" s="296"/>
      <c r="F45" s="300"/>
      <c r="G45" s="193">
        <f>ROUND(J45*L45*N45,3)</f>
        <v>0.67900000000000005</v>
      </c>
      <c r="H45" s="19">
        <f>'R７　人件費単価'!$C$8</f>
        <v>66900</v>
      </c>
      <c r="I45" s="20">
        <f>INT(G45*H45)</f>
        <v>45425</v>
      </c>
      <c r="J45" s="202">
        <v>0.6</v>
      </c>
      <c r="K45" s="210" t="s">
        <v>59</v>
      </c>
      <c r="L45" s="203">
        <f>G$28</f>
        <v>0.9</v>
      </c>
      <c r="M45" s="210" t="s">
        <v>83</v>
      </c>
      <c r="N45" s="247">
        <f>G$30</f>
        <v>1.258</v>
      </c>
      <c r="O45" s="11"/>
    </row>
    <row r="46" spans="1:15" ht="18" customHeight="1">
      <c r="A46" s="7"/>
      <c r="B46" s="292" t="s">
        <v>11</v>
      </c>
      <c r="C46" s="291"/>
      <c r="F46" s="297" t="s">
        <v>9</v>
      </c>
      <c r="G46" s="192"/>
      <c r="H46" s="16"/>
      <c r="I46" s="17"/>
      <c r="J46" s="250" t="s">
        <v>80</v>
      </c>
      <c r="K46" s="209"/>
      <c r="L46" s="248" t="s">
        <v>78</v>
      </c>
      <c r="M46" s="209"/>
      <c r="N46" s="249" t="s">
        <v>79</v>
      </c>
      <c r="O46" s="11"/>
    </row>
    <row r="47" spans="1:15" ht="18" customHeight="1">
      <c r="A47" s="7"/>
      <c r="B47" s="295"/>
      <c r="C47" s="296"/>
      <c r="D47" s="325"/>
      <c r="E47" s="326"/>
      <c r="F47" s="300"/>
      <c r="G47" s="193">
        <f>ROUND(J47*L47*N47,3)</f>
        <v>0.56599999999999995</v>
      </c>
      <c r="H47" s="19">
        <f>'R７　人件費単価'!$C$9</f>
        <v>59600</v>
      </c>
      <c r="I47" s="20">
        <f>INT(G47*H47)</f>
        <v>33733</v>
      </c>
      <c r="J47" s="202">
        <v>0.5</v>
      </c>
      <c r="K47" s="210" t="s">
        <v>59</v>
      </c>
      <c r="L47" s="203">
        <f>G$28</f>
        <v>0.9</v>
      </c>
      <c r="M47" s="210" t="s">
        <v>83</v>
      </c>
      <c r="N47" s="247">
        <f>G$30</f>
        <v>1.258</v>
      </c>
      <c r="O47" s="11"/>
    </row>
    <row r="48" spans="1:15" ht="18" customHeight="1">
      <c r="A48" s="7"/>
      <c r="B48" s="292" t="s">
        <v>12</v>
      </c>
      <c r="C48" s="291"/>
      <c r="D48" s="290"/>
      <c r="E48" s="291"/>
      <c r="F48" s="297" t="s">
        <v>9</v>
      </c>
      <c r="G48" s="192"/>
      <c r="H48" s="16"/>
      <c r="I48" s="17"/>
      <c r="J48" s="250" t="s">
        <v>80</v>
      </c>
      <c r="K48" s="209"/>
      <c r="L48" s="248" t="s">
        <v>78</v>
      </c>
      <c r="M48" s="209"/>
      <c r="N48" s="249" t="s">
        <v>79</v>
      </c>
      <c r="O48" s="11"/>
    </row>
    <row r="49" spans="1:19" ht="18" customHeight="1">
      <c r="A49" s="7"/>
      <c r="B49" s="295"/>
      <c r="C49" s="296"/>
      <c r="D49" s="325"/>
      <c r="E49" s="326"/>
      <c r="F49" s="300"/>
      <c r="G49" s="193">
        <f>ROUND(J49*L49*N49,3)</f>
        <v>2.2639999999999998</v>
      </c>
      <c r="H49" s="19">
        <f>'R７　人件費単価'!$C$10</f>
        <v>48500</v>
      </c>
      <c r="I49" s="20">
        <f>INT(G49*H49)</f>
        <v>109804</v>
      </c>
      <c r="J49" s="200">
        <v>2</v>
      </c>
      <c r="K49" s="210" t="s">
        <v>59</v>
      </c>
      <c r="L49" s="203">
        <f>G$28</f>
        <v>0.9</v>
      </c>
      <c r="M49" s="210" t="s">
        <v>83</v>
      </c>
      <c r="N49" s="247">
        <f>G$30</f>
        <v>1.258</v>
      </c>
      <c r="O49" s="11"/>
    </row>
    <row r="50" spans="1:19" ht="18" customHeight="1">
      <c r="A50" s="7"/>
      <c r="B50" s="292" t="s">
        <v>53</v>
      </c>
      <c r="C50" s="291"/>
      <c r="D50" s="290"/>
      <c r="E50" s="291"/>
      <c r="F50" s="297" t="s">
        <v>9</v>
      </c>
      <c r="G50" s="192"/>
      <c r="H50" s="16"/>
      <c r="I50" s="17"/>
      <c r="J50" s="250" t="s">
        <v>80</v>
      </c>
      <c r="K50" s="209"/>
      <c r="L50" s="248" t="s">
        <v>78</v>
      </c>
      <c r="M50" s="209"/>
      <c r="N50" s="249" t="s">
        <v>79</v>
      </c>
      <c r="O50" s="11"/>
    </row>
    <row r="51" spans="1:19" ht="18" customHeight="1">
      <c r="A51" s="7"/>
      <c r="B51" s="295"/>
      <c r="C51" s="296"/>
      <c r="D51" s="301"/>
      <c r="E51" s="296"/>
      <c r="F51" s="300"/>
      <c r="G51" s="193">
        <f>ROUND(J51*L51*N51,3)</f>
        <v>2.6040000000000001</v>
      </c>
      <c r="H51" s="19">
        <f>'R７　人件費単価'!$C$11</f>
        <v>40300</v>
      </c>
      <c r="I51" s="20">
        <f>INT(G51*H51)</f>
        <v>104941</v>
      </c>
      <c r="J51" s="202">
        <v>2.2999999999999998</v>
      </c>
      <c r="K51" s="210" t="s">
        <v>59</v>
      </c>
      <c r="L51" s="203">
        <f>G$28</f>
        <v>0.9</v>
      </c>
      <c r="M51" s="210" t="s">
        <v>83</v>
      </c>
      <c r="N51" s="247">
        <f>G$30</f>
        <v>1.258</v>
      </c>
      <c r="O51" s="11"/>
    </row>
    <row r="52" spans="1:19" ht="18" customHeight="1">
      <c r="A52" s="7"/>
      <c r="B52" s="292" t="s">
        <v>47</v>
      </c>
      <c r="C52" s="291"/>
      <c r="D52" s="290"/>
      <c r="E52" s="291"/>
      <c r="F52" s="297" t="s">
        <v>9</v>
      </c>
      <c r="G52" s="192"/>
      <c r="H52" s="16"/>
      <c r="I52" s="17"/>
      <c r="J52" s="200"/>
      <c r="N52" s="24"/>
      <c r="O52" s="11"/>
    </row>
    <row r="53" spans="1:19" ht="18" customHeight="1">
      <c r="A53" s="7"/>
      <c r="B53" s="295"/>
      <c r="C53" s="296"/>
      <c r="D53" s="301"/>
      <c r="E53" s="296"/>
      <c r="F53" s="300"/>
      <c r="G53" s="193">
        <f>ROUND(J53*L53*N53,3)</f>
        <v>0</v>
      </c>
      <c r="H53" s="19">
        <f>'R７　人件費単価'!$C$12</f>
        <v>36100</v>
      </c>
      <c r="I53" s="20">
        <f>INT(G53*H53)</f>
        <v>0</v>
      </c>
      <c r="J53" s="200"/>
      <c r="K53" s="210"/>
      <c r="L53" s="203"/>
      <c r="M53" s="210"/>
      <c r="N53" s="21"/>
      <c r="O53" s="11"/>
    </row>
    <row r="54" spans="1:19" ht="18" customHeight="1">
      <c r="A54" s="7"/>
      <c r="B54" s="329"/>
      <c r="C54" s="330"/>
      <c r="D54" s="333"/>
      <c r="E54" s="330"/>
      <c r="F54" s="334"/>
      <c r="G54" s="15"/>
      <c r="H54" s="27"/>
      <c r="I54" s="17"/>
      <c r="J54" s="197"/>
      <c r="K54" s="209"/>
      <c r="L54" s="23"/>
      <c r="M54" s="209"/>
      <c r="N54" s="24"/>
      <c r="O54" s="11"/>
    </row>
    <row r="55" spans="1:19" ht="18" customHeight="1">
      <c r="A55" s="7"/>
      <c r="B55" s="331"/>
      <c r="C55" s="332"/>
      <c r="D55" s="336"/>
      <c r="E55" s="332"/>
      <c r="F55" s="335"/>
      <c r="G55" s="220"/>
      <c r="H55" s="221"/>
      <c r="I55" s="222"/>
      <c r="J55" s="198"/>
      <c r="K55" s="210"/>
      <c r="L55" s="25"/>
      <c r="M55" s="210"/>
      <c r="N55" s="21"/>
      <c r="O55" s="11"/>
    </row>
    <row r="56" spans="1:19" ht="18" customHeight="1">
      <c r="A56" s="7"/>
      <c r="B56" s="292" t="s">
        <v>13</v>
      </c>
      <c r="C56" s="291"/>
      <c r="D56" s="290"/>
      <c r="E56" s="291"/>
      <c r="F56" s="297"/>
      <c r="G56" s="15"/>
      <c r="H56" s="16"/>
      <c r="I56" s="17"/>
      <c r="J56" s="197"/>
      <c r="K56" s="209"/>
      <c r="L56" s="23"/>
      <c r="M56" s="209"/>
      <c r="N56" s="24"/>
      <c r="O56" s="11"/>
    </row>
    <row r="57" spans="1:19" ht="18" customHeight="1">
      <c r="A57" s="7"/>
      <c r="B57" s="295"/>
      <c r="C57" s="296"/>
      <c r="D57" s="301"/>
      <c r="E57" s="296"/>
      <c r="F57" s="300"/>
      <c r="G57" s="18"/>
      <c r="H57" s="19"/>
      <c r="I57" s="20">
        <f>SUM(I43,I45,I47,I49,I51,I53)</f>
        <v>293903</v>
      </c>
      <c r="J57" s="198"/>
      <c r="K57" s="210"/>
      <c r="L57" s="25"/>
      <c r="M57" s="210"/>
      <c r="N57" s="21"/>
      <c r="O57" s="11"/>
    </row>
    <row r="58" spans="1:19" ht="18" customHeight="1">
      <c r="A58" s="7"/>
      <c r="B58" s="329"/>
      <c r="C58" s="330"/>
      <c r="D58" s="349"/>
      <c r="E58" s="350"/>
      <c r="F58" s="228"/>
      <c r="G58" s="15"/>
      <c r="H58" s="27"/>
      <c r="I58" s="17"/>
      <c r="J58" s="22"/>
      <c r="K58" s="209"/>
      <c r="L58" s="23"/>
      <c r="M58" s="209"/>
      <c r="N58" s="11"/>
      <c r="O58" s="11"/>
      <c r="S58" s="227"/>
    </row>
    <row r="59" spans="1:19" ht="18" customHeight="1">
      <c r="A59" s="7"/>
      <c r="B59" s="331"/>
      <c r="C59" s="332"/>
      <c r="D59" s="351"/>
      <c r="E59" s="352"/>
      <c r="F59" s="229"/>
      <c r="G59" s="223"/>
      <c r="H59" s="221"/>
      <c r="I59" s="222"/>
      <c r="J59" s="26"/>
      <c r="K59" s="210"/>
      <c r="L59" s="25"/>
      <c r="M59" s="210"/>
      <c r="N59" s="21"/>
      <c r="O59" s="11"/>
      <c r="S59" s="227"/>
    </row>
    <row r="60" spans="1:19" ht="18" customHeight="1">
      <c r="A60" s="7"/>
      <c r="B60" s="242" t="s">
        <v>75</v>
      </c>
      <c r="C60" s="243"/>
      <c r="D60" s="337"/>
      <c r="E60" s="338"/>
      <c r="F60" s="297"/>
      <c r="G60" s="15"/>
      <c r="H60" s="27"/>
      <c r="I60" s="17"/>
      <c r="J60" s="343"/>
      <c r="K60" s="344"/>
      <c r="L60" s="344"/>
      <c r="M60" s="344"/>
      <c r="N60" s="345"/>
      <c r="O60" s="11"/>
      <c r="S60" s="227"/>
    </row>
    <row r="61" spans="1:19" ht="18" customHeight="1">
      <c r="A61" s="7"/>
      <c r="B61" s="244"/>
      <c r="C61" s="339" t="s">
        <v>74</v>
      </c>
      <c r="D61" s="339"/>
      <c r="E61" s="340"/>
      <c r="F61" s="300"/>
      <c r="G61" s="165">
        <v>0.9</v>
      </c>
      <c r="H61" s="28"/>
      <c r="I61" s="20"/>
      <c r="J61" s="346"/>
      <c r="K61" s="347"/>
      <c r="L61" s="347"/>
      <c r="M61" s="347"/>
      <c r="N61" s="348"/>
      <c r="O61" s="11"/>
      <c r="S61" s="227"/>
    </row>
    <row r="62" spans="1:19" ht="18" customHeight="1">
      <c r="A62" s="7"/>
      <c r="B62" s="245" t="s">
        <v>76</v>
      </c>
      <c r="C62" s="252" t="s">
        <v>88</v>
      </c>
      <c r="D62" s="241"/>
      <c r="E62" s="230"/>
      <c r="F62" s="228"/>
      <c r="G62" s="15"/>
      <c r="H62" s="27"/>
      <c r="I62" s="17"/>
      <c r="J62" s="22"/>
      <c r="L62" s="23"/>
      <c r="N62" s="24"/>
      <c r="O62" s="11"/>
      <c r="S62" s="227"/>
    </row>
    <row r="63" spans="1:19" ht="18" customHeight="1">
      <c r="A63" s="7"/>
      <c r="B63" s="246"/>
      <c r="C63" s="341" t="s">
        <v>77</v>
      </c>
      <c r="D63" s="341"/>
      <c r="E63" s="342"/>
      <c r="F63" s="229"/>
      <c r="G63" s="223">
        <f>ROUND((1.599*F36+68.02)/100,3)+0.05</f>
        <v>1.258</v>
      </c>
      <c r="H63" s="221"/>
      <c r="I63" s="222"/>
      <c r="J63" s="26"/>
      <c r="K63" s="210"/>
      <c r="L63" s="25"/>
      <c r="M63" s="210"/>
      <c r="N63" s="21"/>
      <c r="O63" s="11"/>
      <c r="S63" s="227"/>
    </row>
    <row r="64" spans="1:19" ht="18" customHeight="1">
      <c r="A64" s="7"/>
      <c r="B64" s="329"/>
      <c r="C64" s="330"/>
      <c r="D64" s="333"/>
      <c r="E64" s="330"/>
      <c r="F64" s="334"/>
      <c r="G64" s="15"/>
      <c r="H64" s="27"/>
      <c r="I64" s="17"/>
      <c r="J64" s="287">
        <v>6</v>
      </c>
      <c r="K64" s="288"/>
      <c r="L64" s="288"/>
      <c r="M64" s="288"/>
      <c r="N64" s="289"/>
      <c r="O64" s="11"/>
    </row>
    <row r="65" spans="1:15" ht="18" customHeight="1">
      <c r="A65" s="213"/>
      <c r="B65" s="355"/>
      <c r="C65" s="354"/>
      <c r="D65" s="353"/>
      <c r="E65" s="354"/>
      <c r="F65" s="356"/>
      <c r="G65" s="224"/>
      <c r="H65" s="225"/>
      <c r="I65" s="226"/>
      <c r="J65" s="162"/>
      <c r="K65" s="41"/>
      <c r="L65" s="41"/>
      <c r="M65" s="41"/>
      <c r="N65" s="161">
        <v>226</v>
      </c>
      <c r="O65" s="11"/>
    </row>
    <row r="66" spans="1:15" ht="3" customHeight="1">
      <c r="A66" s="42"/>
      <c r="B66" s="215"/>
      <c r="C66" s="215"/>
      <c r="D66" s="215"/>
      <c r="E66" s="215"/>
      <c r="F66" s="215"/>
      <c r="G66" s="216"/>
      <c r="H66" s="215"/>
      <c r="I66" s="217"/>
      <c r="J66" s="215"/>
      <c r="K66" s="218"/>
      <c r="L66" s="215"/>
      <c r="M66" s="218"/>
      <c r="N66" s="215"/>
      <c r="O66" s="46"/>
    </row>
    <row r="67" spans="1:15" ht="3" customHeight="1">
      <c r="A67" s="1"/>
      <c r="B67" s="2"/>
      <c r="C67" s="2"/>
      <c r="D67" s="2"/>
      <c r="E67" s="2"/>
      <c r="F67" s="2"/>
      <c r="G67" s="3"/>
      <c r="H67" s="2"/>
      <c r="I67" s="4"/>
      <c r="J67" s="2"/>
      <c r="K67" s="204"/>
      <c r="L67" s="2"/>
      <c r="M67" s="204"/>
      <c r="N67" s="2"/>
      <c r="O67" s="5"/>
    </row>
    <row r="68" spans="1:15" ht="13.5" customHeight="1">
      <c r="A68" s="7"/>
      <c r="B68" s="8">
        <f>B35+1</f>
        <v>7</v>
      </c>
      <c r="D68" s="327" t="s">
        <v>72</v>
      </c>
      <c r="E68" s="327"/>
      <c r="F68" s="327"/>
      <c r="G68" s="302" t="s">
        <v>8</v>
      </c>
      <c r="H68" s="302"/>
      <c r="I68" s="302"/>
      <c r="J68" s="9"/>
      <c r="K68" s="205" t="s">
        <v>14</v>
      </c>
      <c r="M68" s="205" t="s">
        <v>14</v>
      </c>
      <c r="O68" s="11"/>
    </row>
    <row r="69" spans="1:15" ht="15.75" customHeight="1">
      <c r="A69" s="7"/>
      <c r="C69" s="6" t="s">
        <v>7</v>
      </c>
      <c r="D69" s="328" t="s">
        <v>81</v>
      </c>
      <c r="E69" s="328"/>
      <c r="F69" s="251">
        <v>33</v>
      </c>
      <c r="G69" s="302"/>
      <c r="H69" s="302"/>
      <c r="I69" s="302"/>
      <c r="J69" s="10"/>
      <c r="K69" s="206"/>
      <c r="L69" s="6" t="s">
        <v>49</v>
      </c>
      <c r="O69" s="11"/>
    </row>
    <row r="70" spans="1:15" ht="3.75" customHeight="1">
      <c r="A70" s="7"/>
      <c r="O70" s="11"/>
    </row>
    <row r="71" spans="1:15" ht="12.75" customHeight="1">
      <c r="A71" s="7"/>
      <c r="B71" s="303" t="s">
        <v>4</v>
      </c>
      <c r="C71" s="304"/>
      <c r="D71" s="307" t="s">
        <v>5</v>
      </c>
      <c r="E71" s="307"/>
      <c r="F71" s="309" t="s">
        <v>0</v>
      </c>
      <c r="G71" s="311" t="s">
        <v>1</v>
      </c>
      <c r="H71" s="307" t="s">
        <v>2</v>
      </c>
      <c r="I71" s="313" t="s">
        <v>6</v>
      </c>
      <c r="J71" s="307" t="s">
        <v>3</v>
      </c>
      <c r="K71" s="307"/>
      <c r="L71" s="307"/>
      <c r="M71" s="304"/>
      <c r="N71" s="318"/>
      <c r="O71" s="11"/>
    </row>
    <row r="72" spans="1:15" ht="15" customHeight="1">
      <c r="A72" s="7"/>
      <c r="B72" s="305"/>
      <c r="C72" s="306"/>
      <c r="D72" s="308"/>
      <c r="E72" s="308"/>
      <c r="F72" s="310"/>
      <c r="G72" s="312"/>
      <c r="H72" s="308"/>
      <c r="I72" s="314"/>
      <c r="J72" s="308"/>
      <c r="K72" s="308"/>
      <c r="L72" s="308"/>
      <c r="M72" s="306"/>
      <c r="N72" s="319"/>
      <c r="O72" s="11"/>
    </row>
    <row r="73" spans="1:15" ht="18" customHeight="1">
      <c r="A73" s="7"/>
      <c r="B73" s="320" t="s">
        <v>84</v>
      </c>
      <c r="C73" s="321"/>
      <c r="D73" s="290"/>
      <c r="E73" s="291"/>
      <c r="F73" s="297"/>
      <c r="G73" s="15"/>
      <c r="H73" s="27"/>
      <c r="I73" s="17"/>
      <c r="J73" s="32"/>
      <c r="K73" s="211"/>
      <c r="L73" s="33"/>
      <c r="M73" s="211"/>
      <c r="N73" s="34"/>
      <c r="O73" s="11"/>
    </row>
    <row r="74" spans="1:15" ht="18" customHeight="1">
      <c r="A74" s="7"/>
      <c r="B74" s="322"/>
      <c r="C74" s="317"/>
      <c r="D74" s="301"/>
      <c r="E74" s="296"/>
      <c r="F74" s="300"/>
      <c r="G74" s="18"/>
      <c r="H74" s="28"/>
      <c r="I74" s="20"/>
      <c r="J74" s="35"/>
      <c r="K74" s="212"/>
      <c r="L74" s="36"/>
      <c r="M74" s="212"/>
      <c r="N74" s="37"/>
      <c r="O74" s="11"/>
    </row>
    <row r="75" spans="1:15" ht="18" customHeight="1">
      <c r="A75" s="7"/>
      <c r="B75" s="292" t="s">
        <v>57</v>
      </c>
      <c r="C75" s="291"/>
      <c r="D75" s="290"/>
      <c r="E75" s="291"/>
      <c r="F75" s="297" t="s">
        <v>58</v>
      </c>
      <c r="G75" s="192"/>
      <c r="H75" s="27"/>
      <c r="I75" s="17"/>
      <c r="J75" s="199"/>
      <c r="K75" s="208"/>
      <c r="L75" s="170"/>
      <c r="M75" s="208"/>
      <c r="N75" s="171"/>
      <c r="O75" s="11"/>
    </row>
    <row r="76" spans="1:15" ht="18" customHeight="1">
      <c r="A76" s="7"/>
      <c r="B76" s="295"/>
      <c r="C76" s="296"/>
      <c r="D76" s="301"/>
      <c r="E76" s="296"/>
      <c r="F76" s="300"/>
      <c r="G76" s="193">
        <f>ROUND(J76*L76*N76,3)</f>
        <v>0</v>
      </c>
      <c r="H76" s="20">
        <f>'R７　人件費単価'!$C$7</f>
        <v>77500</v>
      </c>
      <c r="I76" s="20">
        <f>INT(G76*H76)</f>
        <v>0</v>
      </c>
      <c r="J76" s="200"/>
      <c r="K76" s="210"/>
      <c r="L76" s="203"/>
      <c r="M76" s="210"/>
      <c r="N76" s="214"/>
      <c r="O76" s="11"/>
    </row>
    <row r="77" spans="1:15" ht="18" customHeight="1">
      <c r="A77" s="7"/>
      <c r="B77" s="292" t="s">
        <v>10</v>
      </c>
      <c r="C77" s="291"/>
      <c r="D77" s="290"/>
      <c r="E77" s="291"/>
      <c r="F77" s="297" t="s">
        <v>9</v>
      </c>
      <c r="G77" s="192"/>
      <c r="H77" s="16"/>
      <c r="I77" s="17"/>
      <c r="J77" s="250"/>
      <c r="K77" s="209"/>
      <c r="L77" s="248"/>
      <c r="M77" s="209"/>
      <c r="N77" s="249"/>
      <c r="O77" s="11"/>
    </row>
    <row r="78" spans="1:15" ht="18" customHeight="1">
      <c r="A78" s="7"/>
      <c r="B78" s="295"/>
      <c r="C78" s="296"/>
      <c r="D78" s="301"/>
      <c r="E78" s="296"/>
      <c r="F78" s="300"/>
      <c r="G78" s="193">
        <f>ROUND(J78*L78*N78,3)</f>
        <v>0</v>
      </c>
      <c r="H78" s="19">
        <f>'R７　人件費単価'!$C$8</f>
        <v>66900</v>
      </c>
      <c r="I78" s="20">
        <f>INT(G78*H78)</f>
        <v>0</v>
      </c>
      <c r="J78" s="202"/>
      <c r="K78" s="210"/>
      <c r="L78" s="203"/>
      <c r="M78" s="210"/>
      <c r="N78" s="247"/>
      <c r="O78" s="11"/>
    </row>
    <row r="79" spans="1:15" ht="18" customHeight="1">
      <c r="A79" s="7"/>
      <c r="B79" s="292" t="s">
        <v>11</v>
      </c>
      <c r="C79" s="291"/>
      <c r="F79" s="297" t="s">
        <v>9</v>
      </c>
      <c r="G79" s="192"/>
      <c r="H79" s="16"/>
      <c r="I79" s="17"/>
      <c r="J79" s="250" t="s">
        <v>80</v>
      </c>
      <c r="K79" s="209"/>
      <c r="L79" s="248" t="s">
        <v>78</v>
      </c>
      <c r="M79" s="209"/>
      <c r="N79" s="249" t="s">
        <v>79</v>
      </c>
      <c r="O79" s="11"/>
    </row>
    <row r="80" spans="1:15" ht="18" customHeight="1">
      <c r="A80" s="7"/>
      <c r="B80" s="295"/>
      <c r="C80" s="296"/>
      <c r="D80" s="325"/>
      <c r="E80" s="326"/>
      <c r="F80" s="300"/>
      <c r="G80" s="193">
        <f>ROUND(J80*L80*N80,3)</f>
        <v>1.8120000000000001</v>
      </c>
      <c r="H80" s="19">
        <f>'R７　人件費単価'!$C$9</f>
        <v>59600</v>
      </c>
      <c r="I80" s="20">
        <f>INT(G80*H80)</f>
        <v>107995</v>
      </c>
      <c r="J80" s="202">
        <v>1.6</v>
      </c>
      <c r="K80" s="210" t="s">
        <v>59</v>
      </c>
      <c r="L80" s="203">
        <f>G$28</f>
        <v>0.9</v>
      </c>
      <c r="M80" s="210"/>
      <c r="N80" s="247">
        <f>G$30</f>
        <v>1.258</v>
      </c>
      <c r="O80" s="11"/>
    </row>
    <row r="81" spans="1:19" ht="18" customHeight="1">
      <c r="A81" s="7"/>
      <c r="B81" s="292" t="s">
        <v>12</v>
      </c>
      <c r="C81" s="291"/>
      <c r="D81" s="290"/>
      <c r="E81" s="291"/>
      <c r="F81" s="297" t="s">
        <v>9</v>
      </c>
      <c r="G81" s="192"/>
      <c r="H81" s="16"/>
      <c r="I81" s="17"/>
      <c r="J81" s="250" t="s">
        <v>80</v>
      </c>
      <c r="K81" s="209"/>
      <c r="L81" s="248" t="s">
        <v>78</v>
      </c>
      <c r="M81" s="209"/>
      <c r="N81" s="249" t="s">
        <v>79</v>
      </c>
      <c r="O81" s="11"/>
    </row>
    <row r="82" spans="1:19" ht="18" customHeight="1">
      <c r="A82" s="7"/>
      <c r="B82" s="295"/>
      <c r="C82" s="296"/>
      <c r="D82" s="325"/>
      <c r="E82" s="326"/>
      <c r="F82" s="300"/>
      <c r="G82" s="193">
        <f>ROUND(J82*L82*N82,3)</f>
        <v>2.6040000000000001</v>
      </c>
      <c r="H82" s="19">
        <f>'R７　人件費単価'!$C$10</f>
        <v>48500</v>
      </c>
      <c r="I82" s="20">
        <f>INT(G82*H82)</f>
        <v>126294</v>
      </c>
      <c r="J82" s="200">
        <v>2.2999999999999998</v>
      </c>
      <c r="K82" s="210" t="s">
        <v>59</v>
      </c>
      <c r="L82" s="203">
        <f>G$28</f>
        <v>0.9</v>
      </c>
      <c r="M82" s="210"/>
      <c r="N82" s="247">
        <f>G$30</f>
        <v>1.258</v>
      </c>
      <c r="O82" s="11"/>
    </row>
    <row r="83" spans="1:19" ht="18" customHeight="1">
      <c r="A83" s="7"/>
      <c r="B83" s="292" t="s">
        <v>53</v>
      </c>
      <c r="C83" s="291"/>
      <c r="D83" s="290"/>
      <c r="E83" s="291"/>
      <c r="F83" s="297" t="s">
        <v>9</v>
      </c>
      <c r="G83" s="192"/>
      <c r="H83" s="16"/>
      <c r="I83" s="17"/>
      <c r="J83" s="250" t="s">
        <v>80</v>
      </c>
      <c r="K83" s="209"/>
      <c r="L83" s="248" t="s">
        <v>78</v>
      </c>
      <c r="M83" s="209"/>
      <c r="N83" s="249" t="s">
        <v>79</v>
      </c>
      <c r="O83" s="11"/>
    </row>
    <row r="84" spans="1:19" ht="18" customHeight="1">
      <c r="A84" s="7"/>
      <c r="B84" s="295"/>
      <c r="C84" s="296"/>
      <c r="D84" s="301"/>
      <c r="E84" s="296"/>
      <c r="F84" s="300"/>
      <c r="G84" s="193">
        <f>ROUND(J84*L84*N84,3)</f>
        <v>3.3969999999999998</v>
      </c>
      <c r="H84" s="19">
        <f>'R７　人件費単価'!$C$11</f>
        <v>40300</v>
      </c>
      <c r="I84" s="20">
        <f>INT(G84*H84)</f>
        <v>136899</v>
      </c>
      <c r="J84" s="202">
        <v>3</v>
      </c>
      <c r="K84" s="210" t="s">
        <v>59</v>
      </c>
      <c r="L84" s="203">
        <f>G$28</f>
        <v>0.9</v>
      </c>
      <c r="M84" s="210"/>
      <c r="N84" s="247">
        <f>G$30</f>
        <v>1.258</v>
      </c>
      <c r="O84" s="11"/>
    </row>
    <row r="85" spans="1:19" ht="18" customHeight="1">
      <c r="A85" s="7"/>
      <c r="B85" s="292" t="s">
        <v>47</v>
      </c>
      <c r="C85" s="291"/>
      <c r="D85" s="290"/>
      <c r="E85" s="291"/>
      <c r="F85" s="297" t="s">
        <v>9</v>
      </c>
      <c r="G85" s="192"/>
      <c r="H85" s="16"/>
      <c r="I85" s="17"/>
      <c r="J85" s="200"/>
      <c r="N85" s="24"/>
      <c r="O85" s="11"/>
    </row>
    <row r="86" spans="1:19" ht="18" customHeight="1">
      <c r="A86" s="7"/>
      <c r="B86" s="295"/>
      <c r="C86" s="296"/>
      <c r="D86" s="301"/>
      <c r="E86" s="296"/>
      <c r="F86" s="300"/>
      <c r="G86" s="193">
        <f>ROUND(J86*L86*N86,3)</f>
        <v>0</v>
      </c>
      <c r="H86" s="19">
        <f>'R７　人件費単価'!$C$12</f>
        <v>36100</v>
      </c>
      <c r="I86" s="20">
        <f>INT(G86*H86)</f>
        <v>0</v>
      </c>
      <c r="J86" s="200"/>
      <c r="K86" s="210"/>
      <c r="L86" s="203"/>
      <c r="M86" s="210"/>
      <c r="N86" s="21"/>
      <c r="O86" s="11"/>
    </row>
    <row r="87" spans="1:19" ht="18" customHeight="1">
      <c r="A87" s="7"/>
      <c r="B87" s="329"/>
      <c r="C87" s="330"/>
      <c r="D87" s="333"/>
      <c r="E87" s="330"/>
      <c r="F87" s="334"/>
      <c r="G87" s="15"/>
      <c r="H87" s="27"/>
      <c r="I87" s="17"/>
      <c r="J87" s="197"/>
      <c r="K87" s="209"/>
      <c r="L87" s="23"/>
      <c r="M87" s="209"/>
      <c r="N87" s="24"/>
      <c r="O87" s="11"/>
    </row>
    <row r="88" spans="1:19" ht="18" customHeight="1">
      <c r="A88" s="7"/>
      <c r="B88" s="331"/>
      <c r="C88" s="332"/>
      <c r="D88" s="336"/>
      <c r="E88" s="332"/>
      <c r="F88" s="335"/>
      <c r="G88" s="220"/>
      <c r="H88" s="221"/>
      <c r="I88" s="222"/>
      <c r="J88" s="198"/>
      <c r="K88" s="210"/>
      <c r="L88" s="25"/>
      <c r="M88" s="210"/>
      <c r="N88" s="21"/>
      <c r="O88" s="11"/>
    </row>
    <row r="89" spans="1:19" ht="18" customHeight="1">
      <c r="A89" s="7"/>
      <c r="B89" s="292" t="s">
        <v>13</v>
      </c>
      <c r="C89" s="291"/>
      <c r="D89" s="290"/>
      <c r="E89" s="291"/>
      <c r="F89" s="297"/>
      <c r="G89" s="15"/>
      <c r="H89" s="16"/>
      <c r="I89" s="17"/>
      <c r="J89" s="197"/>
      <c r="K89" s="209"/>
      <c r="L89" s="23"/>
      <c r="M89" s="209"/>
      <c r="N89" s="24"/>
      <c r="O89" s="11"/>
    </row>
    <row r="90" spans="1:19" ht="18" customHeight="1">
      <c r="A90" s="7"/>
      <c r="B90" s="295"/>
      <c r="C90" s="296"/>
      <c r="D90" s="301"/>
      <c r="E90" s="296"/>
      <c r="F90" s="300"/>
      <c r="G90" s="18"/>
      <c r="H90" s="19"/>
      <c r="I90" s="20">
        <f>SUM(I76,I78,I80,I82,I84,I86)</f>
        <v>371188</v>
      </c>
      <c r="J90" s="198"/>
      <c r="K90" s="210"/>
      <c r="L90" s="25"/>
      <c r="M90" s="210"/>
      <c r="N90" s="21"/>
      <c r="O90" s="11"/>
    </row>
    <row r="91" spans="1:19" ht="18" customHeight="1">
      <c r="A91" s="7"/>
      <c r="B91" s="329"/>
      <c r="C91" s="330"/>
      <c r="D91" s="349"/>
      <c r="E91" s="350"/>
      <c r="F91" s="228"/>
      <c r="G91" s="15"/>
      <c r="H91" s="27"/>
      <c r="I91" s="17"/>
      <c r="J91" s="22"/>
      <c r="K91" s="209"/>
      <c r="L91" s="23"/>
      <c r="M91" s="209"/>
      <c r="N91" s="11"/>
      <c r="O91" s="11"/>
      <c r="S91" s="227"/>
    </row>
    <row r="92" spans="1:19" ht="18" customHeight="1">
      <c r="A92" s="7"/>
      <c r="B92" s="331"/>
      <c r="C92" s="332"/>
      <c r="D92" s="351"/>
      <c r="E92" s="352"/>
      <c r="F92" s="229"/>
      <c r="G92" s="223"/>
      <c r="H92" s="221"/>
      <c r="I92" s="222"/>
      <c r="J92" s="26"/>
      <c r="K92" s="210"/>
      <c r="L92" s="25"/>
      <c r="M92" s="210"/>
      <c r="N92" s="21"/>
      <c r="O92" s="11"/>
      <c r="S92" s="227"/>
    </row>
    <row r="93" spans="1:19" ht="18" customHeight="1">
      <c r="A93" s="7"/>
      <c r="B93" s="242" t="s">
        <v>75</v>
      </c>
      <c r="C93" s="243"/>
      <c r="D93" s="337"/>
      <c r="E93" s="338"/>
      <c r="F93" s="297"/>
      <c r="G93" s="15"/>
      <c r="H93" s="27"/>
      <c r="I93" s="17"/>
      <c r="J93" s="343"/>
      <c r="K93" s="344"/>
      <c r="L93" s="344"/>
      <c r="M93" s="344"/>
      <c r="N93" s="345"/>
      <c r="O93" s="11"/>
      <c r="S93" s="227"/>
    </row>
    <row r="94" spans="1:19" ht="18" customHeight="1">
      <c r="A94" s="7"/>
      <c r="B94" s="244"/>
      <c r="C94" s="339" t="s">
        <v>74</v>
      </c>
      <c r="D94" s="339"/>
      <c r="E94" s="340"/>
      <c r="F94" s="300"/>
      <c r="G94" s="165">
        <v>0.9</v>
      </c>
      <c r="H94" s="28"/>
      <c r="I94" s="20"/>
      <c r="J94" s="346"/>
      <c r="K94" s="347"/>
      <c r="L94" s="347"/>
      <c r="M94" s="347"/>
      <c r="N94" s="348"/>
      <c r="O94" s="11"/>
      <c r="S94" s="227"/>
    </row>
    <row r="95" spans="1:19" ht="18" customHeight="1">
      <c r="A95" s="7"/>
      <c r="B95" s="245" t="s">
        <v>76</v>
      </c>
      <c r="C95" s="252" t="s">
        <v>88</v>
      </c>
      <c r="D95" s="241"/>
      <c r="E95" s="230"/>
      <c r="F95" s="228"/>
      <c r="G95" s="15"/>
      <c r="H95" s="27"/>
      <c r="I95" s="17"/>
      <c r="J95" s="22"/>
      <c r="L95" s="23"/>
      <c r="N95" s="24"/>
      <c r="O95" s="11"/>
      <c r="S95" s="227"/>
    </row>
    <row r="96" spans="1:19" ht="18" customHeight="1">
      <c r="A96" s="7"/>
      <c r="B96" s="246"/>
      <c r="C96" s="341" t="s">
        <v>77</v>
      </c>
      <c r="D96" s="341"/>
      <c r="E96" s="342"/>
      <c r="F96" s="229"/>
      <c r="G96" s="223">
        <f>ROUND((1.599*F69+68.02)/100,3)+0.05</f>
        <v>1.258</v>
      </c>
      <c r="H96" s="221"/>
      <c r="I96" s="222"/>
      <c r="J96" s="26"/>
      <c r="K96" s="210"/>
      <c r="L96" s="25"/>
      <c r="M96" s="210"/>
      <c r="N96" s="21"/>
      <c r="O96" s="11"/>
      <c r="S96" s="227"/>
    </row>
    <row r="97" spans="1:15" ht="18" customHeight="1">
      <c r="A97" s="7"/>
      <c r="B97" s="329"/>
      <c r="C97" s="330"/>
      <c r="D97" s="333"/>
      <c r="E97" s="330"/>
      <c r="F97" s="334"/>
      <c r="G97" s="15"/>
      <c r="H97" s="27"/>
      <c r="I97" s="17"/>
      <c r="J97" s="287">
        <v>6</v>
      </c>
      <c r="K97" s="288"/>
      <c r="L97" s="288"/>
      <c r="M97" s="288"/>
      <c r="N97" s="289"/>
      <c r="O97" s="11"/>
    </row>
    <row r="98" spans="1:15" ht="18" customHeight="1">
      <c r="A98" s="213"/>
      <c r="B98" s="355"/>
      <c r="C98" s="354"/>
      <c r="D98" s="353"/>
      <c r="E98" s="354"/>
      <c r="F98" s="356"/>
      <c r="G98" s="224"/>
      <c r="H98" s="225"/>
      <c r="I98" s="226"/>
      <c r="J98" s="162"/>
      <c r="K98" s="41"/>
      <c r="L98" s="41"/>
      <c r="M98" s="41"/>
      <c r="N98" s="161">
        <v>226</v>
      </c>
      <c r="O98" s="11"/>
    </row>
    <row r="99" spans="1:15" ht="3" customHeight="1">
      <c r="A99" s="42"/>
      <c r="B99" s="215"/>
      <c r="C99" s="215"/>
      <c r="D99" s="215"/>
      <c r="E99" s="215"/>
      <c r="F99" s="215"/>
      <c r="G99" s="216"/>
      <c r="H99" s="215"/>
      <c r="I99" s="217"/>
      <c r="J99" s="215"/>
      <c r="K99" s="218"/>
      <c r="L99" s="215"/>
      <c r="M99" s="218"/>
      <c r="N99" s="215"/>
      <c r="O99" s="46"/>
    </row>
    <row r="100" spans="1:15" ht="3" customHeight="1">
      <c r="A100" s="1"/>
      <c r="B100" s="2"/>
      <c r="C100" s="2"/>
      <c r="D100" s="2"/>
      <c r="E100" s="2"/>
      <c r="F100" s="2"/>
      <c r="G100" s="3"/>
      <c r="H100" s="2"/>
      <c r="I100" s="4"/>
      <c r="J100" s="2"/>
      <c r="K100" s="204"/>
      <c r="L100" s="2"/>
      <c r="M100" s="204"/>
      <c r="N100" s="2"/>
      <c r="O100" s="5"/>
    </row>
    <row r="101" spans="1:15" ht="13.5" customHeight="1">
      <c r="A101" s="7"/>
      <c r="B101" s="8">
        <f>B68+1</f>
        <v>8</v>
      </c>
      <c r="D101" s="327" t="s">
        <v>72</v>
      </c>
      <c r="E101" s="327"/>
      <c r="F101" s="327"/>
      <c r="G101" s="302" t="s">
        <v>8</v>
      </c>
      <c r="H101" s="302"/>
      <c r="I101" s="302"/>
      <c r="J101" s="9"/>
      <c r="K101" s="205" t="s">
        <v>14</v>
      </c>
      <c r="M101" s="205" t="s">
        <v>14</v>
      </c>
      <c r="O101" s="11"/>
    </row>
    <row r="102" spans="1:15" ht="15.75" customHeight="1">
      <c r="A102" s="7"/>
      <c r="C102" s="6" t="s">
        <v>7</v>
      </c>
      <c r="D102" s="328" t="s">
        <v>81</v>
      </c>
      <c r="E102" s="328"/>
      <c r="F102" s="251">
        <v>33</v>
      </c>
      <c r="G102" s="302"/>
      <c r="H102" s="302"/>
      <c r="I102" s="302"/>
      <c r="J102" s="10"/>
      <c r="K102" s="206"/>
      <c r="L102" s="6" t="s">
        <v>49</v>
      </c>
      <c r="O102" s="11"/>
    </row>
    <row r="103" spans="1:15" ht="3.75" customHeight="1">
      <c r="A103" s="7"/>
      <c r="O103" s="11"/>
    </row>
    <row r="104" spans="1:15" ht="12.75" customHeight="1">
      <c r="A104" s="7"/>
      <c r="B104" s="303" t="s">
        <v>4</v>
      </c>
      <c r="C104" s="304"/>
      <c r="D104" s="307" t="s">
        <v>5</v>
      </c>
      <c r="E104" s="307"/>
      <c r="F104" s="309" t="s">
        <v>0</v>
      </c>
      <c r="G104" s="311" t="s">
        <v>1</v>
      </c>
      <c r="H104" s="307" t="s">
        <v>2</v>
      </c>
      <c r="I104" s="313" t="s">
        <v>6</v>
      </c>
      <c r="J104" s="307" t="s">
        <v>3</v>
      </c>
      <c r="K104" s="307"/>
      <c r="L104" s="307"/>
      <c r="M104" s="304"/>
      <c r="N104" s="318"/>
      <c r="O104" s="11"/>
    </row>
    <row r="105" spans="1:15" ht="15" customHeight="1">
      <c r="A105" s="7"/>
      <c r="B105" s="305"/>
      <c r="C105" s="306"/>
      <c r="D105" s="308"/>
      <c r="E105" s="308"/>
      <c r="F105" s="310"/>
      <c r="G105" s="312"/>
      <c r="H105" s="308"/>
      <c r="I105" s="314"/>
      <c r="J105" s="308"/>
      <c r="K105" s="308"/>
      <c r="L105" s="308"/>
      <c r="M105" s="306"/>
      <c r="N105" s="319"/>
      <c r="O105" s="11"/>
    </row>
    <row r="106" spans="1:15" ht="18" customHeight="1">
      <c r="A106" s="7"/>
      <c r="B106" s="320" t="s">
        <v>85</v>
      </c>
      <c r="C106" s="321"/>
      <c r="D106" s="290"/>
      <c r="E106" s="291"/>
      <c r="F106" s="297"/>
      <c r="G106" s="15"/>
      <c r="H106" s="27"/>
      <c r="I106" s="17"/>
      <c r="J106" s="32"/>
      <c r="K106" s="211"/>
      <c r="L106" s="33"/>
      <c r="M106" s="211"/>
      <c r="N106" s="34"/>
      <c r="O106" s="11"/>
    </row>
    <row r="107" spans="1:15" ht="18" customHeight="1">
      <c r="A107" s="7"/>
      <c r="B107" s="322"/>
      <c r="C107" s="317"/>
      <c r="D107" s="301"/>
      <c r="E107" s="296"/>
      <c r="F107" s="300"/>
      <c r="G107" s="18"/>
      <c r="H107" s="28"/>
      <c r="I107" s="20"/>
      <c r="J107" s="35"/>
      <c r="K107" s="212"/>
      <c r="L107" s="36"/>
      <c r="M107" s="212"/>
      <c r="N107" s="37"/>
      <c r="O107" s="11"/>
    </row>
    <row r="108" spans="1:15" ht="18" customHeight="1">
      <c r="A108" s="7"/>
      <c r="B108" s="292" t="s">
        <v>57</v>
      </c>
      <c r="C108" s="291"/>
      <c r="D108" s="290"/>
      <c r="E108" s="291"/>
      <c r="F108" s="297" t="s">
        <v>58</v>
      </c>
      <c r="G108" s="192"/>
      <c r="H108" s="27"/>
      <c r="I108" s="17"/>
      <c r="J108" s="199"/>
      <c r="K108" s="208"/>
      <c r="L108" s="170"/>
      <c r="M108" s="208"/>
      <c r="N108" s="171"/>
      <c r="O108" s="11"/>
    </row>
    <row r="109" spans="1:15" ht="18" customHeight="1">
      <c r="A109" s="7"/>
      <c r="B109" s="295"/>
      <c r="C109" s="296"/>
      <c r="D109" s="301"/>
      <c r="E109" s="296"/>
      <c r="F109" s="300"/>
      <c r="G109" s="193">
        <f>ROUND(J109*L109*N109,3)</f>
        <v>0</v>
      </c>
      <c r="H109" s="20">
        <f>'R７　人件費単価'!$C$7</f>
        <v>77500</v>
      </c>
      <c r="I109" s="20">
        <f>INT(G109*H109)</f>
        <v>0</v>
      </c>
      <c r="J109" s="200"/>
      <c r="K109" s="210"/>
      <c r="L109" s="203"/>
      <c r="M109" s="210"/>
      <c r="N109" s="214"/>
      <c r="O109" s="11"/>
    </row>
    <row r="110" spans="1:15" ht="18" customHeight="1">
      <c r="A110" s="7"/>
      <c r="B110" s="292" t="s">
        <v>10</v>
      </c>
      <c r="C110" s="291"/>
      <c r="D110" s="290"/>
      <c r="E110" s="291"/>
      <c r="F110" s="297" t="s">
        <v>9</v>
      </c>
      <c r="G110" s="192"/>
      <c r="H110" s="16"/>
      <c r="I110" s="17"/>
      <c r="J110" s="250"/>
      <c r="K110" s="209"/>
      <c r="L110" s="248"/>
      <c r="M110" s="209"/>
      <c r="N110" s="249"/>
      <c r="O110" s="11"/>
    </row>
    <row r="111" spans="1:15" ht="18" customHeight="1">
      <c r="A111" s="7"/>
      <c r="B111" s="295"/>
      <c r="C111" s="296"/>
      <c r="D111" s="301"/>
      <c r="E111" s="296"/>
      <c r="F111" s="300"/>
      <c r="G111" s="193">
        <f>ROUND(J111*L111*N111,3)</f>
        <v>0</v>
      </c>
      <c r="H111" s="19">
        <f>'R７　人件費単価'!$C$8</f>
        <v>66900</v>
      </c>
      <c r="I111" s="20">
        <f>INT(G111*H111)</f>
        <v>0</v>
      </c>
      <c r="J111" s="202"/>
      <c r="K111" s="210"/>
      <c r="L111" s="203"/>
      <c r="M111" s="210"/>
      <c r="N111" s="247"/>
      <c r="O111" s="11"/>
    </row>
    <row r="112" spans="1:15" ht="18" customHeight="1">
      <c r="A112" s="7"/>
      <c r="B112" s="292" t="s">
        <v>11</v>
      </c>
      <c r="C112" s="291"/>
      <c r="F112" s="297" t="s">
        <v>9</v>
      </c>
      <c r="G112" s="192"/>
      <c r="H112" s="16"/>
      <c r="I112" s="17"/>
      <c r="J112" s="250" t="s">
        <v>80</v>
      </c>
      <c r="K112" s="209"/>
      <c r="L112" s="248" t="s">
        <v>78</v>
      </c>
      <c r="M112" s="209"/>
      <c r="N112" s="249" t="s">
        <v>79</v>
      </c>
      <c r="O112" s="11"/>
    </row>
    <row r="113" spans="1:19" ht="18" customHeight="1">
      <c r="A113" s="7"/>
      <c r="B113" s="295"/>
      <c r="C113" s="296"/>
      <c r="D113" s="325"/>
      <c r="E113" s="326"/>
      <c r="F113" s="300"/>
      <c r="G113" s="193">
        <f>ROUND(J113*L113*N113,3)</f>
        <v>1.0189999999999999</v>
      </c>
      <c r="H113" s="19">
        <f>'R７　人件費単価'!$C$9</f>
        <v>59600</v>
      </c>
      <c r="I113" s="20">
        <f>INT(G113*H113)</f>
        <v>60732</v>
      </c>
      <c r="J113" s="202">
        <v>0.9</v>
      </c>
      <c r="K113" s="210" t="s">
        <v>59</v>
      </c>
      <c r="L113" s="203">
        <f>G$28</f>
        <v>0.9</v>
      </c>
      <c r="M113" s="210"/>
      <c r="N113" s="247">
        <f>G$30</f>
        <v>1.258</v>
      </c>
      <c r="O113" s="11"/>
    </row>
    <row r="114" spans="1:19" ht="18" customHeight="1">
      <c r="A114" s="7"/>
      <c r="B114" s="292" t="s">
        <v>12</v>
      </c>
      <c r="C114" s="291"/>
      <c r="D114" s="290"/>
      <c r="E114" s="291"/>
      <c r="F114" s="297" t="s">
        <v>9</v>
      </c>
      <c r="G114" s="192"/>
      <c r="H114" s="16"/>
      <c r="I114" s="17"/>
      <c r="J114" s="250" t="s">
        <v>80</v>
      </c>
      <c r="K114" s="209"/>
      <c r="L114" s="248" t="s">
        <v>78</v>
      </c>
      <c r="M114" s="209"/>
      <c r="N114" s="249" t="s">
        <v>79</v>
      </c>
      <c r="O114" s="11"/>
    </row>
    <row r="115" spans="1:19" ht="18" customHeight="1">
      <c r="A115" s="7"/>
      <c r="B115" s="295"/>
      <c r="C115" s="296"/>
      <c r="D115" s="325"/>
      <c r="E115" s="326"/>
      <c r="F115" s="300"/>
      <c r="G115" s="193">
        <f>ROUND(J115*L115*N115,3)</f>
        <v>1.8120000000000001</v>
      </c>
      <c r="H115" s="19">
        <f>'R７　人件費単価'!$C$10</f>
        <v>48500</v>
      </c>
      <c r="I115" s="20">
        <f>INT(G115*H115)</f>
        <v>87882</v>
      </c>
      <c r="J115" s="200">
        <v>1.6</v>
      </c>
      <c r="K115" s="210" t="s">
        <v>59</v>
      </c>
      <c r="L115" s="203">
        <f>G$28</f>
        <v>0.9</v>
      </c>
      <c r="M115" s="210"/>
      <c r="N115" s="247">
        <f>G$30</f>
        <v>1.258</v>
      </c>
      <c r="O115" s="11"/>
    </row>
    <row r="116" spans="1:19" ht="18" customHeight="1">
      <c r="A116" s="7"/>
      <c r="B116" s="292" t="s">
        <v>53</v>
      </c>
      <c r="C116" s="291"/>
      <c r="D116" s="290"/>
      <c r="E116" s="291"/>
      <c r="F116" s="297" t="s">
        <v>9</v>
      </c>
      <c r="G116" s="192"/>
      <c r="H116" s="16"/>
      <c r="I116" s="17"/>
      <c r="J116" s="250" t="s">
        <v>80</v>
      </c>
      <c r="K116" s="209"/>
      <c r="L116" s="248" t="s">
        <v>78</v>
      </c>
      <c r="M116" s="209"/>
      <c r="N116" s="249" t="s">
        <v>79</v>
      </c>
      <c r="O116" s="11"/>
    </row>
    <row r="117" spans="1:19" ht="18" customHeight="1">
      <c r="A117" s="7"/>
      <c r="B117" s="295"/>
      <c r="C117" s="296"/>
      <c r="D117" s="301"/>
      <c r="E117" s="296"/>
      <c r="F117" s="300"/>
      <c r="G117" s="193">
        <f>ROUND(J117*L117*N117,3)</f>
        <v>2.2639999999999998</v>
      </c>
      <c r="H117" s="19">
        <f>'R７　人件費単価'!$C$11</f>
        <v>40300</v>
      </c>
      <c r="I117" s="20">
        <f>INT(G117*H117)</f>
        <v>91239</v>
      </c>
      <c r="J117" s="202">
        <v>2</v>
      </c>
      <c r="K117" s="210" t="s">
        <v>59</v>
      </c>
      <c r="L117" s="203">
        <f>G$28</f>
        <v>0.9</v>
      </c>
      <c r="M117" s="210"/>
      <c r="N117" s="247">
        <f>G$30</f>
        <v>1.258</v>
      </c>
      <c r="O117" s="11"/>
    </row>
    <row r="118" spans="1:19" ht="18" customHeight="1">
      <c r="A118" s="7"/>
      <c r="B118" s="292" t="s">
        <v>47</v>
      </c>
      <c r="C118" s="291"/>
      <c r="D118" s="290"/>
      <c r="E118" s="291"/>
      <c r="F118" s="297" t="s">
        <v>9</v>
      </c>
      <c r="G118" s="192"/>
      <c r="H118" s="16"/>
      <c r="I118" s="17"/>
      <c r="J118" s="200"/>
      <c r="N118" s="24"/>
      <c r="O118" s="11"/>
    </row>
    <row r="119" spans="1:19" ht="18" customHeight="1">
      <c r="A119" s="7"/>
      <c r="B119" s="295"/>
      <c r="C119" s="296"/>
      <c r="D119" s="301"/>
      <c r="E119" s="296"/>
      <c r="F119" s="300"/>
      <c r="G119" s="193">
        <f>ROUND(J119*L119*N119,3)</f>
        <v>0</v>
      </c>
      <c r="H119" s="19">
        <f>'R７　人件費単価'!$C$12</f>
        <v>36100</v>
      </c>
      <c r="I119" s="20">
        <f>INT(G119*H119)</f>
        <v>0</v>
      </c>
      <c r="J119" s="200"/>
      <c r="K119" s="210"/>
      <c r="L119" s="203"/>
      <c r="M119" s="210"/>
      <c r="N119" s="21"/>
      <c r="O119" s="11"/>
    </row>
    <row r="120" spans="1:19" ht="18" customHeight="1">
      <c r="A120" s="7"/>
      <c r="B120" s="329"/>
      <c r="C120" s="330"/>
      <c r="D120" s="333"/>
      <c r="E120" s="330"/>
      <c r="F120" s="334"/>
      <c r="G120" s="15"/>
      <c r="H120" s="27"/>
      <c r="I120" s="17"/>
      <c r="J120" s="197"/>
      <c r="K120" s="209"/>
      <c r="L120" s="23"/>
      <c r="M120" s="209"/>
      <c r="N120" s="24"/>
      <c r="O120" s="11"/>
    </row>
    <row r="121" spans="1:19" ht="18" customHeight="1">
      <c r="A121" s="7"/>
      <c r="B121" s="331"/>
      <c r="C121" s="332"/>
      <c r="D121" s="336"/>
      <c r="E121" s="332"/>
      <c r="F121" s="335"/>
      <c r="G121" s="220"/>
      <c r="H121" s="221"/>
      <c r="I121" s="222"/>
      <c r="J121" s="198"/>
      <c r="K121" s="210"/>
      <c r="L121" s="25"/>
      <c r="M121" s="210"/>
      <c r="N121" s="21"/>
      <c r="O121" s="11"/>
    </row>
    <row r="122" spans="1:19" ht="18" customHeight="1">
      <c r="A122" s="7"/>
      <c r="B122" s="292" t="s">
        <v>13</v>
      </c>
      <c r="C122" s="291"/>
      <c r="D122" s="290"/>
      <c r="E122" s="291"/>
      <c r="F122" s="297"/>
      <c r="G122" s="15"/>
      <c r="H122" s="16"/>
      <c r="I122" s="17"/>
      <c r="J122" s="197"/>
      <c r="K122" s="209"/>
      <c r="L122" s="23"/>
      <c r="M122" s="209"/>
      <c r="N122" s="24"/>
      <c r="O122" s="11"/>
    </row>
    <row r="123" spans="1:19" ht="18" customHeight="1">
      <c r="A123" s="7"/>
      <c r="B123" s="295"/>
      <c r="C123" s="296"/>
      <c r="D123" s="301"/>
      <c r="E123" s="296"/>
      <c r="F123" s="300"/>
      <c r="G123" s="18"/>
      <c r="H123" s="19"/>
      <c r="I123" s="20">
        <f>SUM(I109,I111,I113,I115,I117,I119)</f>
        <v>239853</v>
      </c>
      <c r="J123" s="198"/>
      <c r="K123" s="210"/>
      <c r="L123" s="25"/>
      <c r="M123" s="210"/>
      <c r="N123" s="21"/>
      <c r="O123" s="11"/>
    </row>
    <row r="124" spans="1:19" ht="18" customHeight="1">
      <c r="A124" s="7"/>
      <c r="B124" s="329"/>
      <c r="C124" s="330"/>
      <c r="D124" s="349"/>
      <c r="E124" s="350"/>
      <c r="F124" s="228"/>
      <c r="G124" s="15"/>
      <c r="H124" s="27"/>
      <c r="I124" s="17"/>
      <c r="J124" s="22"/>
      <c r="K124" s="209"/>
      <c r="L124" s="23"/>
      <c r="M124" s="209"/>
      <c r="N124" s="11"/>
      <c r="O124" s="11"/>
      <c r="S124" s="227"/>
    </row>
    <row r="125" spans="1:19" ht="18" customHeight="1">
      <c r="A125" s="7"/>
      <c r="B125" s="331"/>
      <c r="C125" s="332"/>
      <c r="D125" s="351"/>
      <c r="E125" s="352"/>
      <c r="F125" s="229"/>
      <c r="G125" s="223"/>
      <c r="H125" s="221"/>
      <c r="I125" s="222"/>
      <c r="J125" s="26"/>
      <c r="K125" s="210"/>
      <c r="L125" s="25"/>
      <c r="M125" s="210"/>
      <c r="N125" s="21"/>
      <c r="O125" s="11"/>
      <c r="S125" s="227"/>
    </row>
    <row r="126" spans="1:19" ht="18" customHeight="1">
      <c r="A126" s="7"/>
      <c r="B126" s="242" t="s">
        <v>75</v>
      </c>
      <c r="C126" s="243"/>
      <c r="D126" s="337"/>
      <c r="E126" s="338"/>
      <c r="F126" s="297"/>
      <c r="G126" s="15"/>
      <c r="H126" s="27"/>
      <c r="I126" s="17"/>
      <c r="J126" s="343"/>
      <c r="K126" s="344"/>
      <c r="L126" s="344"/>
      <c r="M126" s="344"/>
      <c r="N126" s="345"/>
      <c r="O126" s="11"/>
      <c r="S126" s="227"/>
    </row>
    <row r="127" spans="1:19" ht="18" customHeight="1">
      <c r="A127" s="7"/>
      <c r="B127" s="244"/>
      <c r="C127" s="339" t="s">
        <v>74</v>
      </c>
      <c r="D127" s="339"/>
      <c r="E127" s="340"/>
      <c r="F127" s="300"/>
      <c r="G127" s="165">
        <v>0.9</v>
      </c>
      <c r="H127" s="28"/>
      <c r="I127" s="20"/>
      <c r="J127" s="346"/>
      <c r="K127" s="347"/>
      <c r="L127" s="347"/>
      <c r="M127" s="347"/>
      <c r="N127" s="348"/>
      <c r="O127" s="11"/>
      <c r="S127" s="227"/>
    </row>
    <row r="128" spans="1:19" ht="18" customHeight="1">
      <c r="A128" s="7"/>
      <c r="B128" s="245" t="s">
        <v>76</v>
      </c>
      <c r="C128" s="252" t="s">
        <v>88</v>
      </c>
      <c r="D128" s="241"/>
      <c r="E128" s="230"/>
      <c r="F128" s="228"/>
      <c r="G128" s="15"/>
      <c r="H128" s="27"/>
      <c r="I128" s="17"/>
      <c r="J128" s="22"/>
      <c r="L128" s="23"/>
      <c r="N128" s="24"/>
      <c r="O128" s="11"/>
      <c r="S128" s="227"/>
    </row>
    <row r="129" spans="1:19" ht="18" customHeight="1">
      <c r="A129" s="7"/>
      <c r="B129" s="246"/>
      <c r="C129" s="341" t="s">
        <v>77</v>
      </c>
      <c r="D129" s="341"/>
      <c r="E129" s="342"/>
      <c r="F129" s="229"/>
      <c r="G129" s="223">
        <f>ROUND((1.599*F102+68.02)/100,3)+0.05</f>
        <v>1.258</v>
      </c>
      <c r="H129" s="221"/>
      <c r="I129" s="222"/>
      <c r="J129" s="26"/>
      <c r="K129" s="210"/>
      <c r="L129" s="25"/>
      <c r="M129" s="210"/>
      <c r="N129" s="21"/>
      <c r="O129" s="11"/>
      <c r="S129" s="227"/>
    </row>
    <row r="130" spans="1:19" ht="18" customHeight="1">
      <c r="A130" s="7"/>
      <c r="B130" s="329"/>
      <c r="C130" s="330"/>
      <c r="D130" s="333"/>
      <c r="E130" s="330"/>
      <c r="F130" s="334"/>
      <c r="G130" s="15"/>
      <c r="H130" s="27"/>
      <c r="I130" s="17"/>
      <c r="J130" s="287">
        <v>6</v>
      </c>
      <c r="K130" s="288"/>
      <c r="L130" s="288"/>
      <c r="M130" s="288"/>
      <c r="N130" s="289"/>
      <c r="O130" s="11"/>
    </row>
    <row r="131" spans="1:19" ht="18" customHeight="1">
      <c r="A131" s="213"/>
      <c r="B131" s="355"/>
      <c r="C131" s="354"/>
      <c r="D131" s="353"/>
      <c r="E131" s="354"/>
      <c r="F131" s="356"/>
      <c r="G131" s="224"/>
      <c r="H131" s="225"/>
      <c r="I131" s="226"/>
      <c r="J131" s="162"/>
      <c r="K131" s="41"/>
      <c r="L131" s="41"/>
      <c r="M131" s="41"/>
      <c r="N131" s="161">
        <v>226</v>
      </c>
      <c r="O131" s="11"/>
    </row>
    <row r="132" spans="1:19" ht="3" customHeight="1">
      <c r="A132" s="42"/>
      <c r="B132" s="215"/>
      <c r="C132" s="215"/>
      <c r="D132" s="215"/>
      <c r="E132" s="215"/>
      <c r="F132" s="215"/>
      <c r="G132" s="216"/>
      <c r="H132" s="215"/>
      <c r="I132" s="217"/>
      <c r="J132" s="215"/>
      <c r="K132" s="218"/>
      <c r="L132" s="215"/>
      <c r="M132" s="218"/>
      <c r="N132" s="215"/>
      <c r="O132" s="46"/>
    </row>
    <row r="133" spans="1:19" ht="3" customHeight="1">
      <c r="A133" s="1"/>
      <c r="B133" s="2"/>
      <c r="C133" s="2"/>
      <c r="D133" s="2"/>
      <c r="E133" s="2"/>
      <c r="F133" s="2"/>
      <c r="G133" s="3"/>
      <c r="H133" s="2"/>
      <c r="I133" s="4"/>
      <c r="J133" s="2"/>
      <c r="K133" s="204"/>
      <c r="L133" s="2"/>
      <c r="M133" s="204"/>
      <c r="N133" s="2"/>
      <c r="O133" s="5"/>
    </row>
    <row r="134" spans="1:19" ht="13.5" customHeight="1">
      <c r="A134" s="7"/>
      <c r="B134" s="8">
        <f>B101+1</f>
        <v>9</v>
      </c>
      <c r="D134" s="327" t="s">
        <v>72</v>
      </c>
      <c r="E134" s="327"/>
      <c r="F134" s="327"/>
      <c r="G134" s="302" t="s">
        <v>8</v>
      </c>
      <c r="H134" s="302"/>
      <c r="I134" s="302"/>
      <c r="J134" s="9"/>
      <c r="K134" s="205" t="s">
        <v>14</v>
      </c>
      <c r="M134" s="205" t="s">
        <v>14</v>
      </c>
      <c r="O134" s="11"/>
    </row>
    <row r="135" spans="1:19" ht="15.75" customHeight="1">
      <c r="A135" s="7"/>
      <c r="C135" s="6" t="s">
        <v>7</v>
      </c>
      <c r="D135" s="328" t="s">
        <v>81</v>
      </c>
      <c r="E135" s="328"/>
      <c r="F135" s="251">
        <v>33</v>
      </c>
      <c r="G135" s="302"/>
      <c r="H135" s="302"/>
      <c r="I135" s="302"/>
      <c r="J135" s="10"/>
      <c r="K135" s="206"/>
      <c r="L135" s="6" t="s">
        <v>49</v>
      </c>
      <c r="O135" s="11"/>
    </row>
    <row r="136" spans="1:19" ht="3.75" customHeight="1">
      <c r="A136" s="7"/>
      <c r="O136" s="11"/>
    </row>
    <row r="137" spans="1:19" ht="12.75" customHeight="1">
      <c r="A137" s="7"/>
      <c r="B137" s="303" t="s">
        <v>4</v>
      </c>
      <c r="C137" s="304"/>
      <c r="D137" s="307" t="s">
        <v>5</v>
      </c>
      <c r="E137" s="307"/>
      <c r="F137" s="309" t="s">
        <v>0</v>
      </c>
      <c r="G137" s="311" t="s">
        <v>1</v>
      </c>
      <c r="H137" s="307" t="s">
        <v>2</v>
      </c>
      <c r="I137" s="313" t="s">
        <v>6</v>
      </c>
      <c r="J137" s="307" t="s">
        <v>3</v>
      </c>
      <c r="K137" s="307"/>
      <c r="L137" s="307"/>
      <c r="M137" s="304"/>
      <c r="N137" s="318"/>
      <c r="O137" s="11"/>
    </row>
    <row r="138" spans="1:19" ht="15" customHeight="1">
      <c r="A138" s="7"/>
      <c r="B138" s="305"/>
      <c r="C138" s="306"/>
      <c r="D138" s="308"/>
      <c r="E138" s="308"/>
      <c r="F138" s="310"/>
      <c r="G138" s="312"/>
      <c r="H138" s="308"/>
      <c r="I138" s="314"/>
      <c r="J138" s="308"/>
      <c r="K138" s="308"/>
      <c r="L138" s="308"/>
      <c r="M138" s="306"/>
      <c r="N138" s="319"/>
      <c r="O138" s="11"/>
    </row>
    <row r="139" spans="1:19" ht="18" customHeight="1">
      <c r="A139" s="7"/>
      <c r="B139" s="320" t="s">
        <v>86</v>
      </c>
      <c r="C139" s="321"/>
      <c r="D139" s="290"/>
      <c r="E139" s="291"/>
      <c r="F139" s="297"/>
      <c r="G139" s="15"/>
      <c r="H139" s="27"/>
      <c r="I139" s="17"/>
      <c r="J139" s="32"/>
      <c r="K139" s="211"/>
      <c r="L139" s="33"/>
      <c r="M139" s="211"/>
      <c r="N139" s="34"/>
      <c r="O139" s="11"/>
    </row>
    <row r="140" spans="1:19" ht="18" customHeight="1">
      <c r="A140" s="7"/>
      <c r="B140" s="322"/>
      <c r="C140" s="317"/>
      <c r="D140" s="301"/>
      <c r="E140" s="296"/>
      <c r="F140" s="300"/>
      <c r="G140" s="18"/>
      <c r="H140" s="28"/>
      <c r="I140" s="20"/>
      <c r="J140" s="35"/>
      <c r="K140" s="212"/>
      <c r="L140" s="36"/>
      <c r="M140" s="212"/>
      <c r="N140" s="37"/>
      <c r="O140" s="11"/>
    </row>
    <row r="141" spans="1:19" ht="18" customHeight="1">
      <c r="A141" s="7"/>
      <c r="B141" s="292" t="s">
        <v>57</v>
      </c>
      <c r="C141" s="291"/>
      <c r="D141" s="290"/>
      <c r="E141" s="291"/>
      <c r="F141" s="297" t="s">
        <v>58</v>
      </c>
      <c r="G141" s="192"/>
      <c r="H141" s="27"/>
      <c r="I141" s="17"/>
      <c r="J141" s="199"/>
      <c r="K141" s="208"/>
      <c r="L141" s="170"/>
      <c r="M141" s="208"/>
      <c r="N141" s="171"/>
      <c r="O141" s="11"/>
    </row>
    <row r="142" spans="1:19" ht="18" customHeight="1">
      <c r="A142" s="7"/>
      <c r="B142" s="295"/>
      <c r="C142" s="296"/>
      <c r="D142" s="301"/>
      <c r="E142" s="296"/>
      <c r="F142" s="300"/>
      <c r="G142" s="193">
        <f>ROUND(J142*L142*N142,3)</f>
        <v>0</v>
      </c>
      <c r="H142" s="20">
        <f>'R７　人件費単価'!$C$7</f>
        <v>77500</v>
      </c>
      <c r="I142" s="20">
        <f>INT(G142*H142)</f>
        <v>0</v>
      </c>
      <c r="J142" s="200"/>
      <c r="K142" s="210"/>
      <c r="L142" s="203"/>
      <c r="M142" s="210"/>
      <c r="N142" s="214"/>
      <c r="O142" s="11"/>
    </row>
    <row r="143" spans="1:19" ht="18" customHeight="1">
      <c r="A143" s="7"/>
      <c r="B143" s="292" t="s">
        <v>10</v>
      </c>
      <c r="C143" s="291"/>
      <c r="D143" s="290"/>
      <c r="E143" s="291"/>
      <c r="F143" s="297" t="s">
        <v>9</v>
      </c>
      <c r="G143" s="192"/>
      <c r="H143" s="16"/>
      <c r="I143" s="17"/>
      <c r="J143" s="250" t="s">
        <v>80</v>
      </c>
      <c r="K143" s="209"/>
      <c r="L143" s="248" t="s">
        <v>78</v>
      </c>
      <c r="M143" s="209"/>
      <c r="N143" s="249" t="s">
        <v>79</v>
      </c>
      <c r="O143" s="11"/>
    </row>
    <row r="144" spans="1:19" ht="18" customHeight="1">
      <c r="A144" s="7"/>
      <c r="B144" s="295"/>
      <c r="C144" s="296"/>
      <c r="D144" s="301"/>
      <c r="E144" s="296"/>
      <c r="F144" s="300"/>
      <c r="G144" s="193">
        <f>ROUND(J144*L144*N144,3)</f>
        <v>0.56599999999999995</v>
      </c>
      <c r="H144" s="19">
        <f>'R７　人件費単価'!$C$8</f>
        <v>66900</v>
      </c>
      <c r="I144" s="20">
        <f>INT(G144*H144)</f>
        <v>37865</v>
      </c>
      <c r="J144" s="202">
        <v>0.5</v>
      </c>
      <c r="K144" s="210" t="s">
        <v>59</v>
      </c>
      <c r="L144" s="203">
        <f>G$28</f>
        <v>0.9</v>
      </c>
      <c r="M144" s="210"/>
      <c r="N144" s="247">
        <f>G$30</f>
        <v>1.258</v>
      </c>
      <c r="O144" s="11"/>
    </row>
    <row r="145" spans="1:19" ht="18" customHeight="1">
      <c r="A145" s="7"/>
      <c r="B145" s="292" t="s">
        <v>11</v>
      </c>
      <c r="C145" s="291"/>
      <c r="F145" s="297" t="s">
        <v>9</v>
      </c>
      <c r="G145" s="192"/>
      <c r="H145" s="16"/>
      <c r="I145" s="17"/>
      <c r="J145" s="250" t="s">
        <v>80</v>
      </c>
      <c r="K145" s="209"/>
      <c r="L145" s="248" t="s">
        <v>78</v>
      </c>
      <c r="M145" s="209"/>
      <c r="N145" s="249" t="s">
        <v>79</v>
      </c>
      <c r="O145" s="11"/>
    </row>
    <row r="146" spans="1:19" ht="18" customHeight="1">
      <c r="A146" s="7"/>
      <c r="B146" s="295"/>
      <c r="C146" s="296"/>
      <c r="D146" s="325"/>
      <c r="E146" s="326"/>
      <c r="F146" s="300"/>
      <c r="G146" s="193">
        <f>ROUND(J146*L146*N146,3)</f>
        <v>0.56599999999999995</v>
      </c>
      <c r="H146" s="19">
        <f>'R７　人件費単価'!$C$9</f>
        <v>59600</v>
      </c>
      <c r="I146" s="20">
        <f>INT(G146*H146)</f>
        <v>33733</v>
      </c>
      <c r="J146" s="202">
        <v>0.5</v>
      </c>
      <c r="K146" s="210" t="s">
        <v>59</v>
      </c>
      <c r="L146" s="203">
        <f>G$28</f>
        <v>0.9</v>
      </c>
      <c r="M146" s="210"/>
      <c r="N146" s="247">
        <f>G$30</f>
        <v>1.258</v>
      </c>
      <c r="O146" s="11"/>
    </row>
    <row r="147" spans="1:19" ht="18" customHeight="1">
      <c r="A147" s="7"/>
      <c r="B147" s="292" t="s">
        <v>12</v>
      </c>
      <c r="C147" s="291"/>
      <c r="D147" s="290"/>
      <c r="E147" s="291"/>
      <c r="F147" s="297" t="s">
        <v>9</v>
      </c>
      <c r="G147" s="192"/>
      <c r="H147" s="16"/>
      <c r="I147" s="17"/>
      <c r="J147" s="250" t="s">
        <v>80</v>
      </c>
      <c r="K147" s="209"/>
      <c r="L147" s="248" t="s">
        <v>78</v>
      </c>
      <c r="M147" s="209"/>
      <c r="N147" s="249" t="s">
        <v>79</v>
      </c>
      <c r="O147" s="11"/>
    </row>
    <row r="148" spans="1:19" ht="18" customHeight="1">
      <c r="A148" s="7"/>
      <c r="B148" s="295"/>
      <c r="C148" s="296"/>
      <c r="D148" s="325"/>
      <c r="E148" s="326"/>
      <c r="F148" s="300"/>
      <c r="G148" s="193">
        <f>ROUND(J148*L148*N148,3)</f>
        <v>1.359</v>
      </c>
      <c r="H148" s="19">
        <f>'R７　人件費単価'!$C$10</f>
        <v>48500</v>
      </c>
      <c r="I148" s="20">
        <f>INT(G148*H148)</f>
        <v>65911</v>
      </c>
      <c r="J148" s="200">
        <v>1.2</v>
      </c>
      <c r="K148" s="210" t="s">
        <v>59</v>
      </c>
      <c r="L148" s="203">
        <f>G$28</f>
        <v>0.9</v>
      </c>
      <c r="M148" s="210"/>
      <c r="N148" s="247">
        <f>G$30</f>
        <v>1.258</v>
      </c>
      <c r="O148" s="11"/>
    </row>
    <row r="149" spans="1:19" ht="18" customHeight="1">
      <c r="A149" s="7"/>
      <c r="B149" s="292" t="s">
        <v>53</v>
      </c>
      <c r="C149" s="291"/>
      <c r="D149" s="290"/>
      <c r="E149" s="291"/>
      <c r="F149" s="297" t="s">
        <v>9</v>
      </c>
      <c r="G149" s="192"/>
      <c r="H149" s="16"/>
      <c r="I149" s="17"/>
      <c r="J149" s="250" t="s">
        <v>80</v>
      </c>
      <c r="K149" s="209"/>
      <c r="L149" s="248" t="s">
        <v>78</v>
      </c>
      <c r="M149" s="209"/>
      <c r="N149" s="249" t="s">
        <v>79</v>
      </c>
      <c r="O149" s="11"/>
    </row>
    <row r="150" spans="1:19" ht="18" customHeight="1">
      <c r="A150" s="7"/>
      <c r="B150" s="295"/>
      <c r="C150" s="296"/>
      <c r="D150" s="301"/>
      <c r="E150" s="296"/>
      <c r="F150" s="300"/>
      <c r="G150" s="193">
        <f>ROUND(J150*L150*N150,3)</f>
        <v>1.472</v>
      </c>
      <c r="H150" s="19">
        <f>'R７　人件費単価'!$C$11</f>
        <v>40300</v>
      </c>
      <c r="I150" s="20">
        <f>INT(G150*H150)</f>
        <v>59321</v>
      </c>
      <c r="J150" s="202">
        <v>1.3</v>
      </c>
      <c r="K150" s="210" t="s">
        <v>59</v>
      </c>
      <c r="L150" s="203">
        <f>G$28</f>
        <v>0.9</v>
      </c>
      <c r="M150" s="210"/>
      <c r="N150" s="247">
        <f>G$30</f>
        <v>1.258</v>
      </c>
      <c r="O150" s="11"/>
    </row>
    <row r="151" spans="1:19" ht="18" customHeight="1">
      <c r="A151" s="7"/>
      <c r="B151" s="292" t="s">
        <v>47</v>
      </c>
      <c r="C151" s="291"/>
      <c r="D151" s="290"/>
      <c r="E151" s="291"/>
      <c r="F151" s="297" t="s">
        <v>9</v>
      </c>
      <c r="G151" s="192"/>
      <c r="H151" s="16"/>
      <c r="I151" s="17"/>
      <c r="J151" s="200"/>
      <c r="N151" s="24"/>
      <c r="O151" s="11"/>
    </row>
    <row r="152" spans="1:19" ht="18" customHeight="1">
      <c r="A152" s="7"/>
      <c r="B152" s="295"/>
      <c r="C152" s="296"/>
      <c r="D152" s="301"/>
      <c r="E152" s="296"/>
      <c r="F152" s="300"/>
      <c r="G152" s="193">
        <f>ROUND(J152*L152*N152,3)</f>
        <v>0</v>
      </c>
      <c r="H152" s="19">
        <f>'R７　人件費単価'!$C$12</f>
        <v>36100</v>
      </c>
      <c r="I152" s="20">
        <f>INT(G152*H152)</f>
        <v>0</v>
      </c>
      <c r="J152" s="200"/>
      <c r="K152" s="210"/>
      <c r="L152" s="203"/>
      <c r="M152" s="210"/>
      <c r="N152" s="21"/>
      <c r="O152" s="11"/>
    </row>
    <row r="153" spans="1:19" ht="18" customHeight="1">
      <c r="A153" s="7"/>
      <c r="B153" s="329"/>
      <c r="C153" s="330"/>
      <c r="D153" s="333"/>
      <c r="E153" s="330"/>
      <c r="F153" s="334"/>
      <c r="G153" s="15"/>
      <c r="H153" s="27"/>
      <c r="I153" s="17"/>
      <c r="J153" s="197"/>
      <c r="K153" s="209"/>
      <c r="L153" s="23"/>
      <c r="M153" s="209"/>
      <c r="N153" s="24"/>
      <c r="O153" s="11"/>
    </row>
    <row r="154" spans="1:19" ht="18" customHeight="1">
      <c r="A154" s="7"/>
      <c r="B154" s="331"/>
      <c r="C154" s="332"/>
      <c r="D154" s="336"/>
      <c r="E154" s="332"/>
      <c r="F154" s="335"/>
      <c r="G154" s="220"/>
      <c r="H154" s="221"/>
      <c r="I154" s="222"/>
      <c r="J154" s="198"/>
      <c r="K154" s="210"/>
      <c r="L154" s="25"/>
      <c r="M154" s="210"/>
      <c r="N154" s="21"/>
      <c r="O154" s="11"/>
    </row>
    <row r="155" spans="1:19" ht="18" customHeight="1">
      <c r="A155" s="7"/>
      <c r="B155" s="292" t="s">
        <v>13</v>
      </c>
      <c r="C155" s="291"/>
      <c r="D155" s="290"/>
      <c r="E155" s="291"/>
      <c r="F155" s="297"/>
      <c r="G155" s="15"/>
      <c r="H155" s="16"/>
      <c r="I155" s="17"/>
      <c r="J155" s="197"/>
      <c r="K155" s="209"/>
      <c r="L155" s="23"/>
      <c r="M155" s="209"/>
      <c r="N155" s="24"/>
      <c r="O155" s="11"/>
    </row>
    <row r="156" spans="1:19" ht="18" customHeight="1">
      <c r="A156" s="7"/>
      <c r="B156" s="295"/>
      <c r="C156" s="296"/>
      <c r="D156" s="301"/>
      <c r="E156" s="296"/>
      <c r="F156" s="300"/>
      <c r="G156" s="18"/>
      <c r="H156" s="19"/>
      <c r="I156" s="20">
        <f>SUM(I142,I144,I146,I148,I150,I152)</f>
        <v>196830</v>
      </c>
      <c r="J156" s="198"/>
      <c r="K156" s="210"/>
      <c r="L156" s="25"/>
      <c r="M156" s="210"/>
      <c r="N156" s="21"/>
      <c r="O156" s="11"/>
    </row>
    <row r="157" spans="1:19" ht="18" customHeight="1">
      <c r="A157" s="7"/>
      <c r="B157" s="329"/>
      <c r="C157" s="330"/>
      <c r="D157" s="349"/>
      <c r="E157" s="350"/>
      <c r="F157" s="228"/>
      <c r="G157" s="15"/>
      <c r="H157" s="27"/>
      <c r="I157" s="17"/>
      <c r="J157" s="22"/>
      <c r="K157" s="209"/>
      <c r="L157" s="23"/>
      <c r="M157" s="209"/>
      <c r="N157" s="11"/>
      <c r="O157" s="11"/>
      <c r="S157" s="227"/>
    </row>
    <row r="158" spans="1:19" ht="18" customHeight="1">
      <c r="A158" s="7"/>
      <c r="B158" s="331"/>
      <c r="C158" s="332"/>
      <c r="D158" s="351"/>
      <c r="E158" s="352"/>
      <c r="F158" s="229"/>
      <c r="G158" s="223"/>
      <c r="H158" s="221"/>
      <c r="I158" s="222"/>
      <c r="J158" s="26"/>
      <c r="K158" s="210"/>
      <c r="L158" s="25"/>
      <c r="M158" s="210"/>
      <c r="N158" s="21"/>
      <c r="O158" s="11"/>
      <c r="S158" s="227"/>
    </row>
    <row r="159" spans="1:19" ht="18" customHeight="1">
      <c r="A159" s="7"/>
      <c r="B159" s="242" t="s">
        <v>75</v>
      </c>
      <c r="C159" s="243"/>
      <c r="D159" s="337"/>
      <c r="E159" s="338"/>
      <c r="F159" s="297"/>
      <c r="G159" s="15"/>
      <c r="H159" s="27"/>
      <c r="I159" s="17"/>
      <c r="J159" s="343"/>
      <c r="K159" s="344"/>
      <c r="L159" s="344"/>
      <c r="M159" s="344"/>
      <c r="N159" s="345"/>
      <c r="O159" s="11"/>
      <c r="S159" s="227"/>
    </row>
    <row r="160" spans="1:19" ht="18" customHeight="1">
      <c r="A160" s="7"/>
      <c r="B160" s="244"/>
      <c r="C160" s="339" t="s">
        <v>74</v>
      </c>
      <c r="D160" s="339"/>
      <c r="E160" s="340"/>
      <c r="F160" s="300"/>
      <c r="G160" s="165">
        <v>0.9</v>
      </c>
      <c r="H160" s="28"/>
      <c r="I160" s="20"/>
      <c r="J160" s="346"/>
      <c r="K160" s="347"/>
      <c r="L160" s="347"/>
      <c r="M160" s="347"/>
      <c r="N160" s="348"/>
      <c r="O160" s="11"/>
      <c r="S160" s="227"/>
    </row>
    <row r="161" spans="1:19" ht="18" customHeight="1">
      <c r="A161" s="7"/>
      <c r="B161" s="245" t="s">
        <v>76</v>
      </c>
      <c r="C161" s="252" t="s">
        <v>88</v>
      </c>
      <c r="D161" s="241"/>
      <c r="E161" s="230"/>
      <c r="F161" s="228"/>
      <c r="G161" s="15"/>
      <c r="H161" s="27"/>
      <c r="I161" s="17"/>
      <c r="J161" s="22"/>
      <c r="L161" s="23"/>
      <c r="N161" s="24"/>
      <c r="O161" s="11"/>
      <c r="S161" s="227"/>
    </row>
    <row r="162" spans="1:19" ht="18" customHeight="1">
      <c r="A162" s="7"/>
      <c r="B162" s="246"/>
      <c r="C162" s="341" t="s">
        <v>77</v>
      </c>
      <c r="D162" s="341"/>
      <c r="E162" s="342"/>
      <c r="F162" s="229"/>
      <c r="G162" s="223">
        <f>ROUND((1.599*F135+68.02)/100,3)+0.05</f>
        <v>1.258</v>
      </c>
      <c r="H162" s="221"/>
      <c r="I162" s="222"/>
      <c r="J162" s="26"/>
      <c r="K162" s="210"/>
      <c r="L162" s="25"/>
      <c r="M162" s="210"/>
      <c r="N162" s="21"/>
      <c r="O162" s="11"/>
      <c r="S162" s="227"/>
    </row>
    <row r="163" spans="1:19" ht="18" customHeight="1">
      <c r="A163" s="7"/>
      <c r="B163" s="329"/>
      <c r="C163" s="330"/>
      <c r="D163" s="333"/>
      <c r="E163" s="330"/>
      <c r="F163" s="334"/>
      <c r="G163" s="15"/>
      <c r="H163" s="27"/>
      <c r="I163" s="17"/>
      <c r="J163" s="287">
        <v>6</v>
      </c>
      <c r="K163" s="288"/>
      <c r="L163" s="288"/>
      <c r="M163" s="288"/>
      <c r="N163" s="289"/>
      <c r="O163" s="11"/>
    </row>
    <row r="164" spans="1:19" ht="18" customHeight="1">
      <c r="A164" s="213"/>
      <c r="B164" s="355"/>
      <c r="C164" s="354"/>
      <c r="D164" s="353"/>
      <c r="E164" s="354"/>
      <c r="F164" s="356"/>
      <c r="G164" s="224"/>
      <c r="H164" s="225"/>
      <c r="I164" s="226"/>
      <c r="J164" s="162"/>
      <c r="K164" s="41"/>
      <c r="L164" s="41"/>
      <c r="M164" s="41"/>
      <c r="N164" s="161">
        <v>226</v>
      </c>
      <c r="O164" s="11"/>
    </row>
    <row r="165" spans="1:19" ht="3" customHeight="1">
      <c r="A165" s="42"/>
      <c r="B165" s="215"/>
      <c r="C165" s="215"/>
      <c r="D165" s="215"/>
      <c r="E165" s="215"/>
      <c r="F165" s="215"/>
      <c r="G165" s="216"/>
      <c r="H165" s="215"/>
      <c r="I165" s="217"/>
      <c r="J165" s="215"/>
      <c r="K165" s="218"/>
      <c r="L165" s="215"/>
      <c r="M165" s="218"/>
      <c r="N165" s="215"/>
      <c r="O165" s="46"/>
    </row>
    <row r="166" spans="1:19" ht="3" customHeight="1">
      <c r="A166" s="1"/>
      <c r="B166" s="2"/>
      <c r="C166" s="2"/>
      <c r="D166" s="2"/>
      <c r="E166" s="2"/>
      <c r="F166" s="2"/>
      <c r="G166" s="3"/>
      <c r="H166" s="2"/>
      <c r="I166" s="4"/>
      <c r="J166" s="2"/>
      <c r="K166" s="204"/>
      <c r="L166" s="2"/>
      <c r="M166" s="204"/>
      <c r="N166" s="2"/>
      <c r="O166" s="5"/>
    </row>
    <row r="167" spans="1:19" ht="13.5" customHeight="1">
      <c r="A167" s="7"/>
      <c r="B167" s="8">
        <f>B134+1</f>
        <v>10</v>
      </c>
      <c r="D167" s="327" t="s">
        <v>72</v>
      </c>
      <c r="E167" s="327"/>
      <c r="F167" s="327"/>
      <c r="G167" s="302" t="s">
        <v>8</v>
      </c>
      <c r="H167" s="302"/>
      <c r="I167" s="302"/>
      <c r="J167" s="9"/>
      <c r="K167" s="205" t="s">
        <v>14</v>
      </c>
      <c r="M167" s="205" t="s">
        <v>14</v>
      </c>
      <c r="O167" s="11"/>
    </row>
    <row r="168" spans="1:19" ht="15.75" customHeight="1">
      <c r="A168" s="7"/>
      <c r="C168" s="6" t="s">
        <v>7</v>
      </c>
      <c r="D168" s="328" t="s">
        <v>81</v>
      </c>
      <c r="E168" s="328"/>
      <c r="F168" s="251">
        <v>33</v>
      </c>
      <c r="G168" s="302"/>
      <c r="H168" s="302"/>
      <c r="I168" s="302"/>
      <c r="J168" s="10"/>
      <c r="K168" s="206"/>
      <c r="L168" s="6" t="s">
        <v>49</v>
      </c>
      <c r="O168" s="11"/>
    </row>
    <row r="169" spans="1:19" ht="3.75" customHeight="1">
      <c r="A169" s="7"/>
      <c r="O169" s="11"/>
    </row>
    <row r="170" spans="1:19" ht="12.75" customHeight="1">
      <c r="A170" s="7"/>
      <c r="B170" s="303" t="s">
        <v>4</v>
      </c>
      <c r="C170" s="304"/>
      <c r="D170" s="307" t="s">
        <v>5</v>
      </c>
      <c r="E170" s="307"/>
      <c r="F170" s="309" t="s">
        <v>0</v>
      </c>
      <c r="G170" s="311" t="s">
        <v>1</v>
      </c>
      <c r="H170" s="307" t="s">
        <v>2</v>
      </c>
      <c r="I170" s="313" t="s">
        <v>6</v>
      </c>
      <c r="J170" s="307" t="s">
        <v>3</v>
      </c>
      <c r="K170" s="307"/>
      <c r="L170" s="307"/>
      <c r="M170" s="304"/>
      <c r="N170" s="318"/>
      <c r="O170" s="11"/>
    </row>
    <row r="171" spans="1:19" ht="15" customHeight="1">
      <c r="A171" s="7"/>
      <c r="B171" s="305"/>
      <c r="C171" s="306"/>
      <c r="D171" s="308"/>
      <c r="E171" s="308"/>
      <c r="F171" s="310"/>
      <c r="G171" s="312"/>
      <c r="H171" s="308"/>
      <c r="I171" s="314"/>
      <c r="J171" s="308"/>
      <c r="K171" s="308"/>
      <c r="L171" s="308"/>
      <c r="M171" s="306"/>
      <c r="N171" s="319"/>
      <c r="O171" s="11"/>
    </row>
    <row r="172" spans="1:19" ht="18" customHeight="1">
      <c r="A172" s="7"/>
      <c r="B172" s="320" t="s">
        <v>87</v>
      </c>
      <c r="C172" s="321"/>
      <c r="D172" s="290"/>
      <c r="E172" s="291"/>
      <c r="F172" s="297"/>
      <c r="G172" s="15"/>
      <c r="H172" s="27"/>
      <c r="I172" s="17"/>
      <c r="J172" s="32"/>
      <c r="K172" s="211"/>
      <c r="L172" s="33"/>
      <c r="M172" s="211"/>
      <c r="N172" s="34"/>
      <c r="O172" s="11"/>
    </row>
    <row r="173" spans="1:19" ht="18" customHeight="1">
      <c r="A173" s="7"/>
      <c r="B173" s="322"/>
      <c r="C173" s="317"/>
      <c r="D173" s="301"/>
      <c r="E173" s="296"/>
      <c r="F173" s="300"/>
      <c r="G173" s="18"/>
      <c r="H173" s="28"/>
      <c r="I173" s="20"/>
      <c r="J173" s="35"/>
      <c r="K173" s="212"/>
      <c r="L173" s="36"/>
      <c r="M173" s="212"/>
      <c r="N173" s="37"/>
      <c r="O173" s="11"/>
    </row>
    <row r="174" spans="1:19" ht="18" customHeight="1">
      <c r="A174" s="7"/>
      <c r="B174" s="292" t="s">
        <v>57</v>
      </c>
      <c r="C174" s="291"/>
      <c r="D174" s="290"/>
      <c r="E174" s="291"/>
      <c r="F174" s="297" t="s">
        <v>58</v>
      </c>
      <c r="G174" s="192"/>
      <c r="H174" s="27"/>
      <c r="I174" s="17"/>
      <c r="J174" s="199"/>
      <c r="K174" s="208"/>
      <c r="L174" s="170"/>
      <c r="M174" s="208"/>
      <c r="N174" s="171"/>
      <c r="O174" s="11"/>
    </row>
    <row r="175" spans="1:19" ht="18" customHeight="1">
      <c r="A175" s="7"/>
      <c r="B175" s="295"/>
      <c r="C175" s="296"/>
      <c r="D175" s="301"/>
      <c r="E175" s="296"/>
      <c r="F175" s="300"/>
      <c r="G175" s="193">
        <f>ROUND(J175*L175*N175,3)</f>
        <v>0</v>
      </c>
      <c r="H175" s="20">
        <f>'R７　人件費単価'!$C$7</f>
        <v>77500</v>
      </c>
      <c r="I175" s="20">
        <f>INT(G175*H175)</f>
        <v>0</v>
      </c>
      <c r="J175" s="200"/>
      <c r="K175" s="210"/>
      <c r="L175" s="203"/>
      <c r="M175" s="210"/>
      <c r="N175" s="214"/>
      <c r="O175" s="11"/>
    </row>
    <row r="176" spans="1:19" ht="18" customHeight="1">
      <c r="A176" s="7"/>
      <c r="B176" s="292" t="s">
        <v>10</v>
      </c>
      <c r="C176" s="291"/>
      <c r="D176" s="290"/>
      <c r="E176" s="291"/>
      <c r="F176" s="297" t="s">
        <v>9</v>
      </c>
      <c r="G176" s="192"/>
      <c r="H176" s="16"/>
      <c r="I176" s="17"/>
      <c r="J176" s="250"/>
      <c r="K176" s="209"/>
      <c r="L176" s="248"/>
      <c r="M176" s="209"/>
      <c r="N176" s="249"/>
      <c r="O176" s="11"/>
    </row>
    <row r="177" spans="1:19" ht="18" customHeight="1">
      <c r="A177" s="7"/>
      <c r="B177" s="295"/>
      <c r="C177" s="296"/>
      <c r="D177" s="301"/>
      <c r="E177" s="296"/>
      <c r="F177" s="300"/>
      <c r="G177" s="193">
        <f>ROUND(J177*L177*N177,3)</f>
        <v>0</v>
      </c>
      <c r="H177" s="19">
        <f>'R７　人件費単価'!$C$8</f>
        <v>66900</v>
      </c>
      <c r="I177" s="20">
        <f>INT(G177*H177)</f>
        <v>0</v>
      </c>
      <c r="J177" s="202"/>
      <c r="K177" s="210"/>
      <c r="L177" s="203"/>
      <c r="M177" s="210"/>
      <c r="N177" s="247"/>
      <c r="O177" s="11"/>
    </row>
    <row r="178" spans="1:19" ht="18" customHeight="1">
      <c r="A178" s="7"/>
      <c r="B178" s="292" t="s">
        <v>11</v>
      </c>
      <c r="C178" s="291"/>
      <c r="F178" s="297" t="s">
        <v>9</v>
      </c>
      <c r="G178" s="192"/>
      <c r="H178" s="16"/>
      <c r="I178" s="17"/>
      <c r="J178" s="250" t="s">
        <v>80</v>
      </c>
      <c r="K178" s="209"/>
      <c r="L178" s="248" t="s">
        <v>78</v>
      </c>
      <c r="M178" s="209"/>
      <c r="N178" s="249" t="s">
        <v>79</v>
      </c>
      <c r="O178" s="11"/>
    </row>
    <row r="179" spans="1:19" ht="18" customHeight="1">
      <c r="A179" s="7"/>
      <c r="B179" s="295"/>
      <c r="C179" s="296"/>
      <c r="D179" s="325"/>
      <c r="E179" s="326"/>
      <c r="F179" s="300"/>
      <c r="G179" s="193">
        <f>ROUND(J179*L179*N179,3)</f>
        <v>0.56599999999999995</v>
      </c>
      <c r="H179" s="19">
        <f>'R７　人件費単価'!$C$9</f>
        <v>59600</v>
      </c>
      <c r="I179" s="20">
        <f>INT(G179*H179)</f>
        <v>33733</v>
      </c>
      <c r="J179" s="202">
        <v>0.5</v>
      </c>
      <c r="K179" s="210" t="s">
        <v>59</v>
      </c>
      <c r="L179" s="203">
        <f>G$28</f>
        <v>0.9</v>
      </c>
      <c r="M179" s="210"/>
      <c r="N179" s="247">
        <f>G$30</f>
        <v>1.258</v>
      </c>
      <c r="O179" s="11"/>
    </row>
    <row r="180" spans="1:19" ht="18" customHeight="1">
      <c r="A180" s="7"/>
      <c r="B180" s="292" t="s">
        <v>12</v>
      </c>
      <c r="C180" s="291"/>
      <c r="D180" s="290"/>
      <c r="E180" s="291"/>
      <c r="F180" s="297" t="s">
        <v>9</v>
      </c>
      <c r="G180" s="192"/>
      <c r="H180" s="16"/>
      <c r="I180" s="17"/>
      <c r="J180" s="250" t="s">
        <v>80</v>
      </c>
      <c r="K180" s="209"/>
      <c r="L180" s="248" t="s">
        <v>78</v>
      </c>
      <c r="M180" s="209"/>
      <c r="N180" s="249" t="s">
        <v>79</v>
      </c>
      <c r="O180" s="11"/>
    </row>
    <row r="181" spans="1:19" ht="18" customHeight="1">
      <c r="A181" s="7"/>
      <c r="B181" s="295"/>
      <c r="C181" s="296"/>
      <c r="D181" s="325"/>
      <c r="E181" s="326"/>
      <c r="F181" s="300"/>
      <c r="G181" s="193">
        <f>ROUND(J181*L181*N181,3)</f>
        <v>0.45300000000000001</v>
      </c>
      <c r="H181" s="19">
        <f>'R７　人件費単価'!$C$10</f>
        <v>48500</v>
      </c>
      <c r="I181" s="20">
        <f>INT(G181*H181)</f>
        <v>21970</v>
      </c>
      <c r="J181" s="200">
        <v>0.4</v>
      </c>
      <c r="K181" s="210" t="s">
        <v>59</v>
      </c>
      <c r="L181" s="203">
        <f>G$28</f>
        <v>0.9</v>
      </c>
      <c r="M181" s="210"/>
      <c r="N181" s="247">
        <f>G$30</f>
        <v>1.258</v>
      </c>
      <c r="O181" s="11"/>
    </row>
    <row r="182" spans="1:19" ht="18" customHeight="1">
      <c r="A182" s="7"/>
      <c r="B182" s="292" t="s">
        <v>53</v>
      </c>
      <c r="C182" s="291"/>
      <c r="D182" s="290"/>
      <c r="E182" s="291"/>
      <c r="F182" s="297" t="s">
        <v>9</v>
      </c>
      <c r="G182" s="192"/>
      <c r="H182" s="16"/>
      <c r="I182" s="17"/>
      <c r="J182" s="250" t="s">
        <v>80</v>
      </c>
      <c r="K182" s="209"/>
      <c r="L182" s="248" t="s">
        <v>78</v>
      </c>
      <c r="M182" s="209"/>
      <c r="N182" s="249" t="s">
        <v>79</v>
      </c>
      <c r="O182" s="11"/>
    </row>
    <row r="183" spans="1:19" ht="18" customHeight="1">
      <c r="A183" s="7"/>
      <c r="B183" s="295"/>
      <c r="C183" s="296"/>
      <c r="D183" s="301"/>
      <c r="E183" s="296"/>
      <c r="F183" s="300"/>
      <c r="G183" s="193">
        <f>ROUND(J183*L183*N183,3)</f>
        <v>0.90600000000000003</v>
      </c>
      <c r="H183" s="19">
        <f>'R７　人件費単価'!$C$11</f>
        <v>40300</v>
      </c>
      <c r="I183" s="20">
        <f>INT(G183*H183)</f>
        <v>36511</v>
      </c>
      <c r="J183" s="202">
        <v>0.8</v>
      </c>
      <c r="K183" s="210" t="s">
        <v>59</v>
      </c>
      <c r="L183" s="203">
        <f>G$28</f>
        <v>0.9</v>
      </c>
      <c r="M183" s="210"/>
      <c r="N183" s="247">
        <f>G$30</f>
        <v>1.258</v>
      </c>
      <c r="O183" s="11"/>
    </row>
    <row r="184" spans="1:19" ht="18" customHeight="1">
      <c r="A184" s="7"/>
      <c r="B184" s="292" t="s">
        <v>47</v>
      </c>
      <c r="C184" s="291"/>
      <c r="D184" s="290"/>
      <c r="E184" s="291"/>
      <c r="F184" s="297" t="s">
        <v>9</v>
      </c>
      <c r="G184" s="192"/>
      <c r="H184" s="16"/>
      <c r="I184" s="17"/>
      <c r="J184" s="200"/>
      <c r="N184" s="24"/>
      <c r="O184" s="11"/>
    </row>
    <row r="185" spans="1:19" ht="18" customHeight="1">
      <c r="A185" s="7"/>
      <c r="B185" s="295"/>
      <c r="C185" s="296"/>
      <c r="D185" s="301"/>
      <c r="E185" s="296"/>
      <c r="F185" s="300"/>
      <c r="G185" s="193">
        <f>ROUND(J185*L185*N185,3)</f>
        <v>0</v>
      </c>
      <c r="H185" s="19">
        <f>'R７　人件費単価'!$C$12</f>
        <v>36100</v>
      </c>
      <c r="I185" s="20">
        <f>INT(G185*H185)</f>
        <v>0</v>
      </c>
      <c r="J185" s="200"/>
      <c r="K185" s="210"/>
      <c r="L185" s="203"/>
      <c r="M185" s="210"/>
      <c r="N185" s="21"/>
      <c r="O185" s="11"/>
    </row>
    <row r="186" spans="1:19" ht="18" customHeight="1">
      <c r="A186" s="7"/>
      <c r="B186" s="329"/>
      <c r="C186" s="330"/>
      <c r="D186" s="333"/>
      <c r="E186" s="330"/>
      <c r="F186" s="334"/>
      <c r="G186" s="15"/>
      <c r="H186" s="27"/>
      <c r="I186" s="17"/>
      <c r="J186" s="197"/>
      <c r="K186" s="209"/>
      <c r="L186" s="23"/>
      <c r="M186" s="209"/>
      <c r="N186" s="24"/>
      <c r="O186" s="11"/>
    </row>
    <row r="187" spans="1:19" ht="18" customHeight="1">
      <c r="A187" s="7"/>
      <c r="B187" s="331"/>
      <c r="C187" s="332"/>
      <c r="D187" s="336"/>
      <c r="E187" s="332"/>
      <c r="F187" s="335"/>
      <c r="G187" s="220"/>
      <c r="H187" s="221"/>
      <c r="I187" s="222"/>
      <c r="J187" s="198"/>
      <c r="K187" s="210"/>
      <c r="L187" s="25"/>
      <c r="M187" s="210"/>
      <c r="N187" s="21"/>
      <c r="O187" s="11"/>
    </row>
    <row r="188" spans="1:19" ht="18" customHeight="1">
      <c r="A188" s="7"/>
      <c r="B188" s="292" t="s">
        <v>13</v>
      </c>
      <c r="C188" s="291"/>
      <c r="D188" s="290"/>
      <c r="E188" s="291"/>
      <c r="F188" s="297"/>
      <c r="G188" s="15"/>
      <c r="H188" s="16"/>
      <c r="I188" s="17"/>
      <c r="J188" s="197"/>
      <c r="K188" s="209"/>
      <c r="L188" s="23"/>
      <c r="M188" s="209"/>
      <c r="N188" s="24"/>
      <c r="O188" s="11"/>
    </row>
    <row r="189" spans="1:19" ht="18" customHeight="1">
      <c r="A189" s="7"/>
      <c r="B189" s="295"/>
      <c r="C189" s="296"/>
      <c r="D189" s="301"/>
      <c r="E189" s="296"/>
      <c r="F189" s="300"/>
      <c r="G189" s="18"/>
      <c r="H189" s="19"/>
      <c r="I189" s="20">
        <f>SUM(I175,I177,I179,I181,I183,I185)</f>
        <v>92214</v>
      </c>
      <c r="J189" s="198"/>
      <c r="K189" s="210"/>
      <c r="L189" s="25"/>
      <c r="M189" s="210"/>
      <c r="N189" s="21"/>
      <c r="O189" s="11"/>
    </row>
    <row r="190" spans="1:19" ht="18" customHeight="1">
      <c r="A190" s="7"/>
      <c r="B190" s="329"/>
      <c r="C190" s="330"/>
      <c r="D190" s="349"/>
      <c r="E190" s="350"/>
      <c r="F190" s="228"/>
      <c r="G190" s="15"/>
      <c r="H190" s="27"/>
      <c r="I190" s="17"/>
      <c r="J190" s="22"/>
      <c r="K190" s="209"/>
      <c r="L190" s="23"/>
      <c r="M190" s="209"/>
      <c r="N190" s="11"/>
      <c r="O190" s="11"/>
      <c r="S190" s="227"/>
    </row>
    <row r="191" spans="1:19" ht="18" customHeight="1">
      <c r="A191" s="7"/>
      <c r="B191" s="331"/>
      <c r="C191" s="332"/>
      <c r="D191" s="351"/>
      <c r="E191" s="352"/>
      <c r="F191" s="229"/>
      <c r="G191" s="223"/>
      <c r="H191" s="221"/>
      <c r="I191" s="222"/>
      <c r="J191" s="26"/>
      <c r="K191" s="210"/>
      <c r="L191" s="25"/>
      <c r="M191" s="210"/>
      <c r="N191" s="21"/>
      <c r="O191" s="11"/>
      <c r="S191" s="227"/>
    </row>
    <row r="192" spans="1:19" ht="18" customHeight="1">
      <c r="A192" s="7"/>
      <c r="B192" s="242" t="s">
        <v>75</v>
      </c>
      <c r="C192" s="243"/>
      <c r="D192" s="337"/>
      <c r="E192" s="338"/>
      <c r="F192" s="297"/>
      <c r="G192" s="15"/>
      <c r="H192" s="27"/>
      <c r="I192" s="17"/>
      <c r="J192" s="343"/>
      <c r="K192" s="344"/>
      <c r="L192" s="344"/>
      <c r="M192" s="344"/>
      <c r="N192" s="345"/>
      <c r="O192" s="11"/>
      <c r="S192" s="227"/>
    </row>
    <row r="193" spans="1:19" ht="18" customHeight="1">
      <c r="A193" s="7"/>
      <c r="B193" s="244"/>
      <c r="C193" s="339" t="s">
        <v>74</v>
      </c>
      <c r="D193" s="339"/>
      <c r="E193" s="340"/>
      <c r="F193" s="300"/>
      <c r="G193" s="165">
        <v>0.9</v>
      </c>
      <c r="H193" s="28"/>
      <c r="I193" s="20"/>
      <c r="J193" s="346"/>
      <c r="K193" s="347"/>
      <c r="L193" s="347"/>
      <c r="M193" s="347"/>
      <c r="N193" s="348"/>
      <c r="O193" s="11"/>
      <c r="S193" s="227"/>
    </row>
    <row r="194" spans="1:19" ht="18" customHeight="1">
      <c r="A194" s="7"/>
      <c r="B194" s="245" t="s">
        <v>76</v>
      </c>
      <c r="C194" s="252" t="s">
        <v>88</v>
      </c>
      <c r="D194" s="241"/>
      <c r="E194" s="230"/>
      <c r="F194" s="228"/>
      <c r="G194" s="15"/>
      <c r="H194" s="27"/>
      <c r="I194" s="17"/>
      <c r="J194" s="22"/>
      <c r="L194" s="23"/>
      <c r="N194" s="24"/>
      <c r="O194" s="11"/>
      <c r="S194" s="227"/>
    </row>
    <row r="195" spans="1:19" ht="18" customHeight="1">
      <c r="A195" s="7"/>
      <c r="B195" s="246"/>
      <c r="C195" s="341" t="s">
        <v>77</v>
      </c>
      <c r="D195" s="341"/>
      <c r="E195" s="342"/>
      <c r="F195" s="229"/>
      <c r="G195" s="223">
        <f>ROUND((1.599*F168+68.02)/100,3)+0.05</f>
        <v>1.258</v>
      </c>
      <c r="H195" s="221"/>
      <c r="I195" s="222"/>
      <c r="J195" s="26"/>
      <c r="K195" s="210"/>
      <c r="L195" s="25"/>
      <c r="M195" s="210"/>
      <c r="N195" s="21"/>
      <c r="O195" s="11"/>
      <c r="S195" s="227"/>
    </row>
    <row r="196" spans="1:19" ht="18" customHeight="1">
      <c r="A196" s="7"/>
      <c r="B196" s="329"/>
      <c r="C196" s="330"/>
      <c r="D196" s="333"/>
      <c r="E196" s="330"/>
      <c r="F196" s="334"/>
      <c r="G196" s="15"/>
      <c r="H196" s="27"/>
      <c r="I196" s="17"/>
      <c r="J196" s="287">
        <v>6</v>
      </c>
      <c r="K196" s="288"/>
      <c r="L196" s="288"/>
      <c r="M196" s="288"/>
      <c r="N196" s="289"/>
      <c r="O196" s="11"/>
    </row>
    <row r="197" spans="1:19" ht="18" customHeight="1">
      <c r="A197" s="213"/>
      <c r="B197" s="355"/>
      <c r="C197" s="354"/>
      <c r="D197" s="353"/>
      <c r="E197" s="354"/>
      <c r="F197" s="356"/>
      <c r="G197" s="224"/>
      <c r="H197" s="225"/>
      <c r="I197" s="226"/>
      <c r="J197" s="162"/>
      <c r="K197" s="41"/>
      <c r="L197" s="41"/>
      <c r="M197" s="41"/>
      <c r="N197" s="161">
        <v>226</v>
      </c>
      <c r="O197" s="11"/>
    </row>
    <row r="198" spans="1:19" ht="3" customHeight="1">
      <c r="A198" s="42"/>
      <c r="B198" s="215"/>
      <c r="C198" s="215"/>
      <c r="D198" s="215"/>
      <c r="E198" s="215"/>
      <c r="F198" s="215"/>
      <c r="G198" s="216"/>
      <c r="H198" s="215"/>
      <c r="I198" s="217"/>
      <c r="J198" s="215"/>
      <c r="K198" s="218"/>
      <c r="L198" s="215"/>
      <c r="M198" s="218"/>
      <c r="N198" s="215"/>
      <c r="O198" s="46"/>
    </row>
    <row r="961" spans="1:16" s="14" customFormat="1" ht="18" customHeight="1">
      <c r="A961" s="6"/>
      <c r="B961" s="6"/>
      <c r="C961" s="6"/>
      <c r="D961" s="6"/>
      <c r="E961" s="6"/>
      <c r="F961" s="6"/>
      <c r="G961" s="13"/>
      <c r="H961" s="6">
        <f>'R７　人件費単価'!$C$12</f>
        <v>36100</v>
      </c>
      <c r="J961" s="6"/>
      <c r="K961" s="207"/>
      <c r="L961" s="6"/>
      <c r="M961" s="207"/>
      <c r="N961" s="6"/>
      <c r="O961" s="6"/>
      <c r="P961" s="6"/>
    </row>
  </sheetData>
  <mergeCells count="354">
    <mergeCell ref="B196:C197"/>
    <mergeCell ref="D196:E196"/>
    <mergeCell ref="F196:F197"/>
    <mergeCell ref="J196:N196"/>
    <mergeCell ref="D197:E197"/>
    <mergeCell ref="J192:N192"/>
    <mergeCell ref="J193:N193"/>
    <mergeCell ref="C193:E193"/>
    <mergeCell ref="C195:E195"/>
    <mergeCell ref="B190:C191"/>
    <mergeCell ref="D190:E190"/>
    <mergeCell ref="D191:E191"/>
    <mergeCell ref="D192:E192"/>
    <mergeCell ref="F192:F193"/>
    <mergeCell ref="B186:C187"/>
    <mergeCell ref="D186:E186"/>
    <mergeCell ref="F186:F187"/>
    <mergeCell ref="D187:E187"/>
    <mergeCell ref="B188:C189"/>
    <mergeCell ref="D188:E188"/>
    <mergeCell ref="F188:F189"/>
    <mergeCell ref="D189:E189"/>
    <mergeCell ref="B182:C183"/>
    <mergeCell ref="D182:E182"/>
    <mergeCell ref="F182:F183"/>
    <mergeCell ref="D183:E183"/>
    <mergeCell ref="B184:C185"/>
    <mergeCell ref="D184:E184"/>
    <mergeCell ref="F184:F185"/>
    <mergeCell ref="D185:E185"/>
    <mergeCell ref="B178:C179"/>
    <mergeCell ref="F178:F179"/>
    <mergeCell ref="D179:E179"/>
    <mergeCell ref="B180:C181"/>
    <mergeCell ref="D180:E180"/>
    <mergeCell ref="F180:F181"/>
    <mergeCell ref="D181:E181"/>
    <mergeCell ref="B174:C175"/>
    <mergeCell ref="D174:E174"/>
    <mergeCell ref="F174:F175"/>
    <mergeCell ref="D175:E175"/>
    <mergeCell ref="B176:C177"/>
    <mergeCell ref="D176:E176"/>
    <mergeCell ref="F176:F177"/>
    <mergeCell ref="D177:E177"/>
    <mergeCell ref="I170:I171"/>
    <mergeCell ref="J170:N171"/>
    <mergeCell ref="B172:C173"/>
    <mergeCell ref="D172:E172"/>
    <mergeCell ref="F172:F173"/>
    <mergeCell ref="D173:E173"/>
    <mergeCell ref="J163:N163"/>
    <mergeCell ref="D164:E164"/>
    <mergeCell ref="D167:F167"/>
    <mergeCell ref="G167:I168"/>
    <mergeCell ref="D168:E168"/>
    <mergeCell ref="B170:C171"/>
    <mergeCell ref="D170:E171"/>
    <mergeCell ref="F170:F171"/>
    <mergeCell ref="G170:G171"/>
    <mergeCell ref="H170:H171"/>
    <mergeCell ref="B163:C164"/>
    <mergeCell ref="D163:E163"/>
    <mergeCell ref="F163:F164"/>
    <mergeCell ref="D159:E159"/>
    <mergeCell ref="F159:F160"/>
    <mergeCell ref="C160:E160"/>
    <mergeCell ref="C162:E162"/>
    <mergeCell ref="J159:N159"/>
    <mergeCell ref="J160:N160"/>
    <mergeCell ref="B155:C156"/>
    <mergeCell ref="D155:E155"/>
    <mergeCell ref="F155:F156"/>
    <mergeCell ref="D156:E156"/>
    <mergeCell ref="B157:C158"/>
    <mergeCell ref="D157:E157"/>
    <mergeCell ref="D158:E158"/>
    <mergeCell ref="B151:C152"/>
    <mergeCell ref="D151:E151"/>
    <mergeCell ref="F151:F152"/>
    <mergeCell ref="D152:E152"/>
    <mergeCell ref="B153:C154"/>
    <mergeCell ref="D153:E153"/>
    <mergeCell ref="F153:F154"/>
    <mergeCell ref="D154:E154"/>
    <mergeCell ref="B147:C148"/>
    <mergeCell ref="D147:E147"/>
    <mergeCell ref="F147:F148"/>
    <mergeCell ref="D148:E148"/>
    <mergeCell ref="B149:C150"/>
    <mergeCell ref="D149:E149"/>
    <mergeCell ref="F149:F150"/>
    <mergeCell ref="D150:E150"/>
    <mergeCell ref="B143:C144"/>
    <mergeCell ref="D143:E143"/>
    <mergeCell ref="F143:F144"/>
    <mergeCell ref="D144:E144"/>
    <mergeCell ref="B145:C146"/>
    <mergeCell ref="F145:F146"/>
    <mergeCell ref="D146:E146"/>
    <mergeCell ref="J137:N138"/>
    <mergeCell ref="B139:C140"/>
    <mergeCell ref="D139:E139"/>
    <mergeCell ref="F139:F140"/>
    <mergeCell ref="D140:E140"/>
    <mergeCell ref="B141:C142"/>
    <mergeCell ref="D141:E141"/>
    <mergeCell ref="F141:F142"/>
    <mergeCell ref="D142:E142"/>
    <mergeCell ref="B137:C138"/>
    <mergeCell ref="D137:E138"/>
    <mergeCell ref="F137:F138"/>
    <mergeCell ref="G137:G138"/>
    <mergeCell ref="H137:H138"/>
    <mergeCell ref="I137:I138"/>
    <mergeCell ref="B130:C131"/>
    <mergeCell ref="D130:E130"/>
    <mergeCell ref="F130:F131"/>
    <mergeCell ref="J130:N130"/>
    <mergeCell ref="D131:E131"/>
    <mergeCell ref="D134:F134"/>
    <mergeCell ref="G134:I135"/>
    <mergeCell ref="D135:E135"/>
    <mergeCell ref="J126:N126"/>
    <mergeCell ref="J127:N127"/>
    <mergeCell ref="C127:E127"/>
    <mergeCell ref="C129:E129"/>
    <mergeCell ref="B124:C125"/>
    <mergeCell ref="D124:E124"/>
    <mergeCell ref="D125:E125"/>
    <mergeCell ref="D126:E126"/>
    <mergeCell ref="F126:F127"/>
    <mergeCell ref="B120:C121"/>
    <mergeCell ref="D120:E120"/>
    <mergeCell ref="F120:F121"/>
    <mergeCell ref="D121:E121"/>
    <mergeCell ref="B122:C123"/>
    <mergeCell ref="D122:E122"/>
    <mergeCell ref="F122:F123"/>
    <mergeCell ref="D123:E123"/>
    <mergeCell ref="B116:C117"/>
    <mergeCell ref="D116:E116"/>
    <mergeCell ref="F116:F117"/>
    <mergeCell ref="D117:E117"/>
    <mergeCell ref="B118:C119"/>
    <mergeCell ref="D118:E118"/>
    <mergeCell ref="F118:F119"/>
    <mergeCell ref="D119:E119"/>
    <mergeCell ref="B112:C113"/>
    <mergeCell ref="F112:F113"/>
    <mergeCell ref="D113:E113"/>
    <mergeCell ref="B114:C115"/>
    <mergeCell ref="D114:E114"/>
    <mergeCell ref="F114:F115"/>
    <mergeCell ref="D115:E115"/>
    <mergeCell ref="B108:C109"/>
    <mergeCell ref="D108:E108"/>
    <mergeCell ref="F108:F109"/>
    <mergeCell ref="D109:E109"/>
    <mergeCell ref="B110:C111"/>
    <mergeCell ref="D110:E110"/>
    <mergeCell ref="F110:F111"/>
    <mergeCell ref="D111:E111"/>
    <mergeCell ref="I104:I105"/>
    <mergeCell ref="J104:N105"/>
    <mergeCell ref="B106:C107"/>
    <mergeCell ref="D106:E106"/>
    <mergeCell ref="F106:F107"/>
    <mergeCell ref="D107:E107"/>
    <mergeCell ref="J97:N97"/>
    <mergeCell ref="D98:E98"/>
    <mergeCell ref="D101:F101"/>
    <mergeCell ref="G101:I102"/>
    <mergeCell ref="D102:E102"/>
    <mergeCell ref="B104:C105"/>
    <mergeCell ref="D104:E105"/>
    <mergeCell ref="F104:F105"/>
    <mergeCell ref="G104:G105"/>
    <mergeCell ref="H104:H105"/>
    <mergeCell ref="B97:C98"/>
    <mergeCell ref="D97:E97"/>
    <mergeCell ref="F97:F98"/>
    <mergeCell ref="D93:E93"/>
    <mergeCell ref="F93:F94"/>
    <mergeCell ref="C94:E94"/>
    <mergeCell ref="C96:E96"/>
    <mergeCell ref="J93:N93"/>
    <mergeCell ref="J94:N94"/>
    <mergeCell ref="B89:C90"/>
    <mergeCell ref="D89:E89"/>
    <mergeCell ref="F89:F90"/>
    <mergeCell ref="D90:E90"/>
    <mergeCell ref="B91:C92"/>
    <mergeCell ref="D91:E91"/>
    <mergeCell ref="D92:E92"/>
    <mergeCell ref="B85:C86"/>
    <mergeCell ref="D85:E85"/>
    <mergeCell ref="F85:F86"/>
    <mergeCell ref="D86:E86"/>
    <mergeCell ref="B87:C88"/>
    <mergeCell ref="D87:E87"/>
    <mergeCell ref="F87:F88"/>
    <mergeCell ref="D88:E88"/>
    <mergeCell ref="B81:C82"/>
    <mergeCell ref="D81:E81"/>
    <mergeCell ref="F81:F82"/>
    <mergeCell ref="D82:E82"/>
    <mergeCell ref="B83:C84"/>
    <mergeCell ref="D83:E83"/>
    <mergeCell ref="F83:F84"/>
    <mergeCell ref="D84:E84"/>
    <mergeCell ref="B77:C78"/>
    <mergeCell ref="D77:E77"/>
    <mergeCell ref="F77:F78"/>
    <mergeCell ref="D78:E78"/>
    <mergeCell ref="B79:C80"/>
    <mergeCell ref="F79:F80"/>
    <mergeCell ref="D80:E80"/>
    <mergeCell ref="J71:N72"/>
    <mergeCell ref="B73:C74"/>
    <mergeCell ref="D73:E73"/>
    <mergeCell ref="F73:F74"/>
    <mergeCell ref="D74:E74"/>
    <mergeCell ref="B75:C76"/>
    <mergeCell ref="D75:E75"/>
    <mergeCell ref="F75:F76"/>
    <mergeCell ref="D76:E76"/>
    <mergeCell ref="B71:C72"/>
    <mergeCell ref="D71:E72"/>
    <mergeCell ref="F71:F72"/>
    <mergeCell ref="G71:G72"/>
    <mergeCell ref="H71:H72"/>
    <mergeCell ref="I71:I72"/>
    <mergeCell ref="B64:C65"/>
    <mergeCell ref="D64:E64"/>
    <mergeCell ref="F64:F65"/>
    <mergeCell ref="J64:N64"/>
    <mergeCell ref="D65:E65"/>
    <mergeCell ref="D68:F68"/>
    <mergeCell ref="G68:I69"/>
    <mergeCell ref="D69:E69"/>
    <mergeCell ref="J60:N60"/>
    <mergeCell ref="J61:N61"/>
    <mergeCell ref="C61:E61"/>
    <mergeCell ref="C63:E63"/>
    <mergeCell ref="B58:C59"/>
    <mergeCell ref="D58:E58"/>
    <mergeCell ref="D59:E59"/>
    <mergeCell ref="D60:E60"/>
    <mergeCell ref="F60:F61"/>
    <mergeCell ref="B54:C55"/>
    <mergeCell ref="D54:E54"/>
    <mergeCell ref="F54:F55"/>
    <mergeCell ref="D55:E55"/>
    <mergeCell ref="B56:C57"/>
    <mergeCell ref="D56:E56"/>
    <mergeCell ref="F56:F57"/>
    <mergeCell ref="D57:E57"/>
    <mergeCell ref="B50:C51"/>
    <mergeCell ref="D50:E50"/>
    <mergeCell ref="F50:F51"/>
    <mergeCell ref="D51:E51"/>
    <mergeCell ref="B52:C53"/>
    <mergeCell ref="D52:E52"/>
    <mergeCell ref="F52:F53"/>
    <mergeCell ref="D53:E53"/>
    <mergeCell ref="B46:C47"/>
    <mergeCell ref="F46:F47"/>
    <mergeCell ref="D47:E47"/>
    <mergeCell ref="B48:C49"/>
    <mergeCell ref="D48:E48"/>
    <mergeCell ref="F48:F49"/>
    <mergeCell ref="D49:E49"/>
    <mergeCell ref="B42:C43"/>
    <mergeCell ref="D42:E42"/>
    <mergeCell ref="F42:F43"/>
    <mergeCell ref="D43:E43"/>
    <mergeCell ref="B44:C45"/>
    <mergeCell ref="D44:E44"/>
    <mergeCell ref="F44:F45"/>
    <mergeCell ref="D45:E45"/>
    <mergeCell ref="I38:I39"/>
    <mergeCell ref="J38:N39"/>
    <mergeCell ref="B40:C41"/>
    <mergeCell ref="D40:E40"/>
    <mergeCell ref="F40:F41"/>
    <mergeCell ref="D41:E41"/>
    <mergeCell ref="J31:N31"/>
    <mergeCell ref="D32:E32"/>
    <mergeCell ref="D35:F35"/>
    <mergeCell ref="G35:I36"/>
    <mergeCell ref="D36:E36"/>
    <mergeCell ref="B38:C39"/>
    <mergeCell ref="D38:E39"/>
    <mergeCell ref="F38:F39"/>
    <mergeCell ref="G38:G39"/>
    <mergeCell ref="H38:H39"/>
    <mergeCell ref="B31:C32"/>
    <mergeCell ref="D31:E31"/>
    <mergeCell ref="F31:F32"/>
    <mergeCell ref="D27:E27"/>
    <mergeCell ref="F27:F28"/>
    <mergeCell ref="C28:E28"/>
    <mergeCell ref="C30:E30"/>
    <mergeCell ref="J27:N27"/>
    <mergeCell ref="J28:N28"/>
    <mergeCell ref="B23:C24"/>
    <mergeCell ref="D23:E23"/>
    <mergeCell ref="F23:F24"/>
    <mergeCell ref="D24:E24"/>
    <mergeCell ref="B25:C26"/>
    <mergeCell ref="D25:E25"/>
    <mergeCell ref="D26:E26"/>
    <mergeCell ref="B19:C20"/>
    <mergeCell ref="D19:E19"/>
    <mergeCell ref="F19:F20"/>
    <mergeCell ref="D20:E20"/>
    <mergeCell ref="B21:C22"/>
    <mergeCell ref="D21:E21"/>
    <mergeCell ref="F21:F22"/>
    <mergeCell ref="D22:E22"/>
    <mergeCell ref="B15:C16"/>
    <mergeCell ref="D15:E15"/>
    <mergeCell ref="F15:F16"/>
    <mergeCell ref="D16:E16"/>
    <mergeCell ref="B17:C18"/>
    <mergeCell ref="D17:E17"/>
    <mergeCell ref="F17:F18"/>
    <mergeCell ref="D18:E18"/>
    <mergeCell ref="B11:C12"/>
    <mergeCell ref="D11:E11"/>
    <mergeCell ref="F11:F12"/>
    <mergeCell ref="D12:E12"/>
    <mergeCell ref="B13:C14"/>
    <mergeCell ref="F13:F14"/>
    <mergeCell ref="D14:E14"/>
    <mergeCell ref="J5:N6"/>
    <mergeCell ref="B7:C8"/>
    <mergeCell ref="D7:E7"/>
    <mergeCell ref="F7:F8"/>
    <mergeCell ref="D8:E8"/>
    <mergeCell ref="B9:C10"/>
    <mergeCell ref="D9:E9"/>
    <mergeCell ref="F9:F10"/>
    <mergeCell ref="D10:E10"/>
    <mergeCell ref="D2:F2"/>
    <mergeCell ref="G2:I3"/>
    <mergeCell ref="D3:E3"/>
    <mergeCell ref="B5:C6"/>
    <mergeCell ref="D5:E6"/>
    <mergeCell ref="F5:F6"/>
    <mergeCell ref="G5:G6"/>
    <mergeCell ref="H5:H6"/>
    <mergeCell ref="I5:I6"/>
  </mergeCells>
  <phoneticPr fontId="29"/>
  <pageMargins left="0.70866141732283472" right="0.51181102362204722" top="0.94488188976377963" bottom="0.5511811023622047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6"/>
  </sheetPr>
  <dimension ref="B3:O40"/>
  <sheetViews>
    <sheetView workbookViewId="0">
      <selection activeCell="P11" sqref="P11"/>
    </sheetView>
  </sheetViews>
  <sheetFormatPr defaultRowHeight="13.5"/>
  <cols>
    <col min="1" max="1" width="1.625" style="6" customWidth="1"/>
    <col min="2" max="2" width="17" style="6" customWidth="1"/>
    <col min="3" max="3" width="22" style="6" customWidth="1"/>
    <col min="4" max="13" width="9" style="6"/>
    <col min="14" max="15" width="1.625" style="158" customWidth="1"/>
    <col min="16" max="16384" width="9" style="6"/>
  </cols>
  <sheetData>
    <row r="3" spans="2:15" ht="24.95" customHeight="1">
      <c r="B3" s="172" t="s">
        <v>64</v>
      </c>
    </row>
    <row r="4" spans="2:15" ht="17.25" customHeight="1">
      <c r="B4" s="357" t="s">
        <v>65</v>
      </c>
      <c r="C4" s="357"/>
      <c r="O4" s="159"/>
    </row>
    <row r="5" spans="2:15" ht="20.100000000000001" customHeight="1">
      <c r="B5" s="126" t="s">
        <v>44</v>
      </c>
      <c r="C5" s="127" t="s">
        <v>45</v>
      </c>
      <c r="O5" s="159"/>
    </row>
    <row r="6" spans="2:15" ht="20.100000000000001" customHeight="1">
      <c r="B6" s="128" t="s">
        <v>35</v>
      </c>
      <c r="C6" s="129">
        <v>88600</v>
      </c>
      <c r="N6" s="160"/>
      <c r="O6" s="160"/>
    </row>
    <row r="7" spans="2:15" ht="20.100000000000001" customHeight="1">
      <c r="B7" s="128" t="s">
        <v>36</v>
      </c>
      <c r="C7" s="129">
        <v>77500</v>
      </c>
      <c r="N7" s="160"/>
      <c r="O7" s="160"/>
    </row>
    <row r="8" spans="2:15" ht="20.100000000000001" customHeight="1">
      <c r="B8" s="128" t="s">
        <v>37</v>
      </c>
      <c r="C8" s="129">
        <v>66900</v>
      </c>
    </row>
    <row r="9" spans="2:15" ht="20.100000000000001" customHeight="1">
      <c r="B9" s="128" t="s">
        <v>38</v>
      </c>
      <c r="C9" s="129">
        <v>59600</v>
      </c>
    </row>
    <row r="10" spans="2:15" ht="20.100000000000001" customHeight="1">
      <c r="B10" s="128" t="s">
        <v>39</v>
      </c>
      <c r="C10" s="129">
        <v>48500</v>
      </c>
    </row>
    <row r="11" spans="2:15" ht="20.100000000000001" customHeight="1">
      <c r="B11" s="128" t="s">
        <v>40</v>
      </c>
      <c r="C11" s="129">
        <v>40300</v>
      </c>
    </row>
    <row r="12" spans="2:15" ht="20.100000000000001" customHeight="1">
      <c r="B12" s="128" t="s">
        <v>41</v>
      </c>
      <c r="C12" s="129">
        <v>36100</v>
      </c>
    </row>
    <row r="13" spans="2:15" ht="20.100000000000001" customHeight="1">
      <c r="B13" s="128"/>
      <c r="C13" s="129"/>
    </row>
    <row r="14" spans="2:15" ht="20.100000000000001" customHeight="1">
      <c r="B14" s="128" t="s">
        <v>42</v>
      </c>
      <c r="C14" s="129"/>
    </row>
    <row r="15" spans="2:15" ht="20.100000000000001" customHeight="1">
      <c r="B15" s="128" t="s">
        <v>16</v>
      </c>
      <c r="C15" s="129">
        <v>60600</v>
      </c>
    </row>
    <row r="16" spans="2:15" ht="20.100000000000001" customHeight="1">
      <c r="B16" s="128" t="s">
        <v>17</v>
      </c>
      <c r="C16" s="129">
        <v>52300</v>
      </c>
    </row>
    <row r="17" spans="2:3" ht="20.100000000000001" customHeight="1">
      <c r="B17" s="128" t="s">
        <v>18</v>
      </c>
      <c r="C17" s="129">
        <v>41100</v>
      </c>
    </row>
    <row r="18" spans="2:3" ht="20.100000000000001" customHeight="1">
      <c r="B18" s="128" t="s">
        <v>19</v>
      </c>
      <c r="C18" s="129">
        <v>34900</v>
      </c>
    </row>
    <row r="19" spans="2:3" ht="20.100000000000001" customHeight="1">
      <c r="B19" s="128" t="s">
        <v>51</v>
      </c>
      <c r="C19" s="129">
        <v>28700</v>
      </c>
    </row>
    <row r="20" spans="2:3" ht="20.100000000000001" customHeight="1">
      <c r="B20" s="128"/>
      <c r="C20" s="129"/>
    </row>
    <row r="21" spans="2:3" ht="20.100000000000001" customHeight="1">
      <c r="B21" s="128" t="s">
        <v>54</v>
      </c>
      <c r="C21" s="129">
        <v>56000</v>
      </c>
    </row>
    <row r="22" spans="2:3" ht="20.100000000000001" customHeight="1">
      <c r="B22" s="128" t="s">
        <v>55</v>
      </c>
      <c r="C22" s="129">
        <v>43800</v>
      </c>
    </row>
    <row r="23" spans="2:3" ht="20.100000000000001" customHeight="1">
      <c r="B23" s="128" t="s">
        <v>56</v>
      </c>
      <c r="C23" s="129">
        <v>34100</v>
      </c>
    </row>
    <row r="24" spans="2:3" ht="20.100000000000001" customHeight="1">
      <c r="B24" s="128"/>
      <c r="C24" s="129"/>
    </row>
    <row r="25" spans="2:3" ht="20.100000000000001" customHeight="1">
      <c r="B25" s="128" t="s">
        <v>20</v>
      </c>
      <c r="C25" s="129">
        <v>21700</v>
      </c>
    </row>
    <row r="26" spans="2:3" ht="20.100000000000001" customHeight="1">
      <c r="B26" s="128" t="s">
        <v>43</v>
      </c>
      <c r="C26" s="129">
        <v>18100</v>
      </c>
    </row>
    <row r="27" spans="2:3" ht="20.100000000000001" customHeight="1">
      <c r="B27" s="167"/>
      <c r="C27" s="166"/>
    </row>
    <row r="38" ht="13.5" customHeight="1"/>
    <row r="39" ht="13.5" customHeight="1"/>
    <row r="40" ht="13.5" customHeight="1"/>
  </sheetData>
  <mergeCells count="1">
    <mergeCell ref="B4:C4"/>
  </mergeCells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表紙</vt:lpstr>
      <vt:lpstr>総括表</vt:lpstr>
      <vt:lpstr>1.内訳書（設計）</vt:lpstr>
      <vt:lpstr>1号　設計協議等</vt:lpstr>
      <vt:lpstr>４号　現地調査</vt:lpstr>
      <vt:lpstr>５号　水管橋添架詳細設計</vt:lpstr>
      <vt:lpstr>R７　人件費単価</vt:lpstr>
      <vt:lpstr>'1.内訳書（設計）'!Print_Area</vt:lpstr>
      <vt:lpstr>'1号　設計協議等'!Print_Area</vt:lpstr>
      <vt:lpstr>'４号　現地調査'!Print_Area</vt:lpstr>
      <vt:lpstr>'５号　水管橋添架詳細設計'!Print_Area</vt:lpstr>
      <vt:lpstr>総括表!Print_Area</vt:lpstr>
      <vt:lpstr>表紙!Print_Area</vt:lpstr>
      <vt:lpstr>'1.内訳書（設計）'!Print_Titles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匡弘 岡本</cp:lastModifiedBy>
  <cp:lastPrinted>2025-06-26T08:01:50Z</cp:lastPrinted>
  <dcterms:modified xsi:type="dcterms:W3CDTF">2026-04-08T23:12:02Z</dcterms:modified>
</cp:coreProperties>
</file>