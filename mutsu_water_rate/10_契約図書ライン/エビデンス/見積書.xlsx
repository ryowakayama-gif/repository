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oka\Documents\00_料金改定\20260408打合せ後\"/>
    </mc:Choice>
  </mc:AlternateContent>
  <xr:revisionPtr revIDLastSave="0" documentId="13_ncr:1_{80F4DF15-C1FE-48D8-BF7B-DAE3216E8D4A}" xr6:coauthVersionLast="47" xr6:coauthVersionMax="47" xr10:uidLastSave="{00000000-0000-0000-0000-000000000000}"/>
  <bookViews>
    <workbookView xWindow="13550" yWindow="-560" windowWidth="19420" windowHeight="10300" tabRatio="871" xr2:uid="{1EFE48F1-C4FC-4E25-8E16-8EF9647F6701}"/>
  </bookViews>
  <sheets>
    <sheet name="表題" sheetId="2" r:id="rId1"/>
    <sheet name="お見積（PPP保守）" sheetId="1" state="hidden" r:id="rId2"/>
    <sheet name="お見積り（適正水道料金検討業務）全体" sheetId="7" r:id="rId3"/>
    <sheet name="お見積り（水道事業経営分析及び予測シミュレーション策定業務委)" sheetId="8" r:id="rId4"/>
    <sheet name="お見積（水道ビジョン改定業務委託）" sheetId="11" r:id="rId5"/>
    <sheet name="お見積り（料金改定支援）" sheetId="10" r:id="rId6"/>
    <sheet name="ご支援先一覧" sheetId="6" state="hidden" r:id="rId7"/>
  </sheets>
  <definedNames>
    <definedName name="_xlnm.Print_Area" localSheetId="1">'お見積（PPP保守）'!$A$1:$G$44</definedName>
    <definedName name="_xlnm.Print_Area" localSheetId="4">'お見積（水道ビジョン改定業務委託）'!$A$1:$G$44</definedName>
    <definedName name="_xlnm.Print_Area" localSheetId="3">'お見積り（水道事業経営分析及び予測シミュレーション策定業務委)'!$A$1:$G$47</definedName>
    <definedName name="_xlnm.Print_Area" localSheetId="2">'お見積り（適正水道料金検討業務）全体'!$A$1:$G$47</definedName>
    <definedName name="_xlnm.Print_Area" localSheetId="5">'お見積り（料金改定支援）'!$A$1:$G$47</definedName>
    <definedName name="_xlnm.Print_Area" localSheetId="6">ご支援先一覧!$A$1:$H$167</definedName>
    <definedName name="_xlnm.Print_Area" localSheetId="0">表題!$A$1:$M$45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7" l="1"/>
  <c r="G40" i="11"/>
  <c r="G4" i="11"/>
  <c r="G31" i="7"/>
  <c r="G31" i="10"/>
  <c r="G26" i="10" s="1"/>
  <c r="G43" i="10" s="1"/>
  <c r="G30" i="10"/>
  <c r="G27" i="7"/>
  <c r="G29" i="10"/>
  <c r="G28" i="10"/>
  <c r="G27" i="10"/>
  <c r="B6" i="10"/>
  <c r="G4" i="10"/>
  <c r="G29" i="8"/>
  <c r="G28" i="8"/>
  <c r="G27" i="8"/>
  <c r="G26" i="8"/>
  <c r="G43" i="8" s="1"/>
  <c r="B6" i="8"/>
  <c r="G4" i="8"/>
  <c r="B6" i="7"/>
  <c r="G4" i="7"/>
  <c r="D6" i="6"/>
  <c r="D5" i="6"/>
  <c r="G26" i="7" l="1"/>
  <c r="G43" i="7" s="1"/>
  <c r="G44" i="7" s="1"/>
  <c r="G45" i="7" s="1"/>
  <c r="C17" i="7" s="1"/>
  <c r="G41" i="11"/>
  <c r="G42" i="11" s="1"/>
  <c r="C19" i="11" s="1"/>
  <c r="G44" i="10"/>
  <c r="G45" i="10" s="1"/>
  <c r="C17" i="10" s="1"/>
  <c r="G44" i="8"/>
  <c r="G45" i="8" s="1"/>
  <c r="C17" i="8" s="1"/>
  <c r="G4" i="1" l="1"/>
  <c r="G40" i="1" l="1"/>
  <c r="G41" i="1" s="1"/>
  <c r="G42" i="1" s="1"/>
  <c r="C17" i="1" s="1"/>
</calcChain>
</file>

<file path=xl/sharedStrings.xml><?xml version="1.0" encoding="utf-8"?>
<sst xmlns="http://schemas.openxmlformats.org/spreadsheetml/2006/main" count="863" uniqueCount="269">
  <si>
    <t>御　見　積　書</t>
    <rPh sb="0" eb="1">
      <t>オ</t>
    </rPh>
    <rPh sb="2" eb="3">
      <t>ミ</t>
    </rPh>
    <rPh sb="4" eb="5">
      <t>セキ</t>
    </rPh>
    <rPh sb="6" eb="7">
      <t>ショ</t>
    </rPh>
    <phoneticPr fontId="5"/>
  </si>
  <si>
    <t>御中</t>
    <rPh sb="0" eb="2">
      <t>オンチュウ</t>
    </rPh>
    <phoneticPr fontId="5"/>
  </si>
  <si>
    <t>　　　　　　   〒060-0006 札幌市中央区北6条西24丁目YMﾋﾞﾙ</t>
    <phoneticPr fontId="5"/>
  </si>
  <si>
    <t xml:space="preserve">  　　　　　　　　  TEL.(011)644-8988／FAX.(011)612-3717</t>
    <phoneticPr fontId="5"/>
  </si>
  <si>
    <t>下記のとおりお見積りいたします。</t>
    <rPh sb="0" eb="2">
      <t>カキ</t>
    </rPh>
    <rPh sb="7" eb="9">
      <t>ミツモリ</t>
    </rPh>
    <phoneticPr fontId="5"/>
  </si>
  <si>
    <t>ご精査の上何卒ご用命賜りますようお願い申し上げます。</t>
    <rPh sb="21" eb="22">
      <t>ア</t>
    </rPh>
    <phoneticPr fontId="5"/>
  </si>
  <si>
    <t>件　　名</t>
    <rPh sb="0" eb="1">
      <t>ケン</t>
    </rPh>
    <rPh sb="3" eb="4">
      <t>メイ</t>
    </rPh>
    <phoneticPr fontId="5"/>
  </si>
  <si>
    <t>合計金額</t>
    <rPh sb="0" eb="2">
      <t>ゴウケイ</t>
    </rPh>
    <rPh sb="2" eb="4">
      <t>キンガク</t>
    </rPh>
    <phoneticPr fontId="5"/>
  </si>
  <si>
    <t>納入期日</t>
  </si>
  <si>
    <t>別途お打合せ</t>
    <rPh sb="0" eb="2">
      <t>ベット</t>
    </rPh>
    <rPh sb="3" eb="5">
      <t>ウチアワ</t>
    </rPh>
    <phoneticPr fontId="5"/>
  </si>
  <si>
    <t>納入場所</t>
  </si>
  <si>
    <t>貴自治体ご指定場所</t>
    <rPh sb="0" eb="1">
      <t>キ</t>
    </rPh>
    <rPh sb="1" eb="4">
      <t>ジチタイ</t>
    </rPh>
    <rPh sb="5" eb="7">
      <t>シテイ</t>
    </rPh>
    <rPh sb="7" eb="9">
      <t>バショ</t>
    </rPh>
    <phoneticPr fontId="5"/>
  </si>
  <si>
    <t>お支払条件</t>
  </si>
  <si>
    <t>納入月末締め翌月末現金</t>
    <rPh sb="0" eb="2">
      <t>ノウニュウ</t>
    </rPh>
    <phoneticPr fontId="5"/>
  </si>
  <si>
    <t>御見積有効期限</t>
    <rPh sb="0" eb="3">
      <t>オミツモリ</t>
    </rPh>
    <rPh sb="3" eb="5">
      <t>ユウコウ</t>
    </rPh>
    <rPh sb="5" eb="7">
      <t>キゲン</t>
    </rPh>
    <phoneticPr fontId="5"/>
  </si>
  <si>
    <t>御見積書発行日より１ケ月</t>
    <rPh sb="0" eb="4">
      <t>オミツモリショ</t>
    </rPh>
    <rPh sb="4" eb="7">
      <t>ハッコウビ</t>
    </rPh>
    <rPh sb="11" eb="12">
      <t>ツキ</t>
    </rPh>
    <phoneticPr fontId="5"/>
  </si>
  <si>
    <t>品　　名</t>
    <rPh sb="0" eb="1">
      <t>シナ</t>
    </rPh>
    <rPh sb="3" eb="4">
      <t>メイ</t>
    </rPh>
    <phoneticPr fontId="5"/>
  </si>
  <si>
    <t>数　量</t>
    <rPh sb="0" eb="1">
      <t>カズ</t>
    </rPh>
    <rPh sb="2" eb="3">
      <t>リョウ</t>
    </rPh>
    <phoneticPr fontId="5"/>
  </si>
  <si>
    <t>単　位</t>
    <rPh sb="0" eb="1">
      <t>タン</t>
    </rPh>
    <rPh sb="2" eb="3">
      <t>クライ</t>
    </rPh>
    <phoneticPr fontId="5"/>
  </si>
  <si>
    <t>単　価</t>
    <rPh sb="0" eb="1">
      <t>タン</t>
    </rPh>
    <rPh sb="2" eb="3">
      <t>アタイ</t>
    </rPh>
    <phoneticPr fontId="5"/>
  </si>
  <si>
    <t>金　額</t>
    <rPh sb="0" eb="1">
      <t>キン</t>
    </rPh>
    <rPh sb="2" eb="3">
      <t>ガク</t>
    </rPh>
    <phoneticPr fontId="5"/>
  </si>
  <si>
    <t>式</t>
    <rPh sb="0" eb="1">
      <t>シキ</t>
    </rPh>
    <phoneticPr fontId="3"/>
  </si>
  <si>
    <t>小　　計　</t>
    <rPh sb="0" eb="1">
      <t>ショウ</t>
    </rPh>
    <rPh sb="3" eb="4">
      <t>ケイ</t>
    </rPh>
    <phoneticPr fontId="5"/>
  </si>
  <si>
    <t>消 費 税　</t>
    <rPh sb="0" eb="1">
      <t>ケ</t>
    </rPh>
    <rPh sb="2" eb="3">
      <t>ヒ</t>
    </rPh>
    <rPh sb="4" eb="5">
      <t>ゼイ</t>
    </rPh>
    <phoneticPr fontId="5"/>
  </si>
  <si>
    <t>合　　計　</t>
    <rPh sb="0" eb="1">
      <t>ゴウ</t>
    </rPh>
    <rPh sb="3" eb="4">
      <t>ケイ</t>
    </rPh>
    <phoneticPr fontId="5"/>
  </si>
  <si>
    <t>備考</t>
    <rPh sb="0" eb="2">
      <t>ビコウ</t>
    </rPh>
    <phoneticPr fontId="5"/>
  </si>
  <si>
    <t>見積内訳のご説明</t>
    <rPh sb="0" eb="2">
      <t>ミツモリ</t>
    </rPh>
    <rPh sb="2" eb="4">
      <t>ウチワケ</t>
    </rPh>
    <rPh sb="6" eb="8">
      <t>セツメイ</t>
    </rPh>
    <phoneticPr fontId="5"/>
  </si>
  <si>
    <t>１．制度設計コンサルテーション</t>
  </si>
  <si>
    <t>　①仕訳パターン定義、②仕訳変換定義</t>
  </si>
  <si>
    <t>　　・・・PPPで複式仕訳を発生させるための予算科目の組み合わせを定め（仕訳変換定義）、そ</t>
    <rPh sb="24" eb="26">
      <t>カモク</t>
    </rPh>
    <phoneticPr fontId="5"/>
  </si>
  <si>
    <t>　　　　　れに対して設定する複式仕訳を定める（仕訳パターン定義）。</t>
    <phoneticPr fontId="5"/>
  </si>
  <si>
    <t>　③財務諸表科目・帳票定義</t>
  </si>
  <si>
    <t>　　・・・PPPで財務諸表に表示するための科目と、出力する財務諸表のレイアウトを定める。</t>
    <phoneticPr fontId="5"/>
  </si>
  <si>
    <t>２．設計・カストマイズ・開発</t>
    <phoneticPr fontId="5"/>
  </si>
  <si>
    <t>　①仕訳パターン、②仕訳変換定義、③財務諸表科目・帳票　設計、カスタマイズ</t>
  </si>
  <si>
    <t>　　・・・仕訳パターン、仕訳変換定義、財務諸表科目・帳票レイアウトをPPPに設定するための</t>
    <phoneticPr fontId="5"/>
  </si>
  <si>
    <t>　　　　　CSVファイルを、個々の自治体様向けに作成する（使用している予算科目が各自治体</t>
    <phoneticPr fontId="5"/>
  </si>
  <si>
    <t>　　　　　様で異なることがあるため）。　</t>
    <phoneticPr fontId="5"/>
  </si>
  <si>
    <t>　④財務会計インターフェイス設計・開発</t>
  </si>
  <si>
    <t>　　・・・執行データや資産データ等をPPPに取り込むための取込プログラム作成やその際のデー</t>
    <rPh sb="16" eb="17">
      <t>トウ</t>
    </rPh>
    <rPh sb="36" eb="38">
      <t>サクセイ</t>
    </rPh>
    <rPh sb="41" eb="42">
      <t>サイ</t>
    </rPh>
    <phoneticPr fontId="5"/>
  </si>
  <si>
    <t>　　　　タ型の調整作業を行なう（自治体様でご利用の財務会計システムに依存するため、個別</t>
    <rPh sb="9" eb="11">
      <t>サギョウ</t>
    </rPh>
    <rPh sb="12" eb="13">
      <t>オコ</t>
    </rPh>
    <rPh sb="16" eb="19">
      <t>ジチタイ</t>
    </rPh>
    <rPh sb="19" eb="20">
      <t>サマ</t>
    </rPh>
    <rPh sb="22" eb="24">
      <t>リヨウ</t>
    </rPh>
    <phoneticPr fontId="5"/>
  </si>
  <si>
    <t>　　　　の作業となる）。</t>
    <phoneticPr fontId="5"/>
  </si>
  <si>
    <t>３．構築SI</t>
  </si>
  <si>
    <t>　①仕訳パターン設定作業、②仕訳変換定義設定作業</t>
  </si>
  <si>
    <t>　　・・・仕訳変換定義と仕訳パターンをPPPに設定し検証作業を行なう。</t>
    <phoneticPr fontId="5"/>
  </si>
  <si>
    <t>　③財務諸表作成支援、連結財務諸表作成支援</t>
    <rPh sb="2" eb="4">
      <t>ザイム</t>
    </rPh>
    <rPh sb="4" eb="6">
      <t>ショヒョウ</t>
    </rPh>
    <rPh sb="6" eb="8">
      <t>サクセイ</t>
    </rPh>
    <rPh sb="8" eb="10">
      <t>シエン</t>
    </rPh>
    <rPh sb="11" eb="13">
      <t>レンケツ</t>
    </rPh>
    <rPh sb="13" eb="15">
      <t>ザイム</t>
    </rPh>
    <rPh sb="15" eb="17">
      <t>ショヒョウ</t>
    </rPh>
    <rPh sb="17" eb="19">
      <t>サクセイ</t>
    </rPh>
    <rPh sb="19" eb="21">
      <t>シエン</t>
    </rPh>
    <phoneticPr fontId="5"/>
  </si>
  <si>
    <t>　　・・・財務諸表を作成するための科目の体系や会計ルールの指導・説明等、支援作業を行なう。</t>
    <rPh sb="5" eb="7">
      <t>ザイム</t>
    </rPh>
    <rPh sb="7" eb="9">
      <t>ショヒョウ</t>
    </rPh>
    <rPh sb="17" eb="19">
      <t>カモク</t>
    </rPh>
    <rPh sb="20" eb="22">
      <t>タイケイ</t>
    </rPh>
    <rPh sb="23" eb="25">
      <t>カイケイ</t>
    </rPh>
    <rPh sb="34" eb="35">
      <t>トウ</t>
    </rPh>
    <phoneticPr fontId="5"/>
  </si>
  <si>
    <t>　④稼動環境構築</t>
    <rPh sb="2" eb="4">
      <t>カドウ</t>
    </rPh>
    <rPh sb="4" eb="6">
      <t>カンキョウ</t>
    </rPh>
    <rPh sb="6" eb="8">
      <t>コウチク</t>
    </rPh>
    <phoneticPr fontId="5"/>
  </si>
  <si>
    <t>　　・・・PPPのインストール及び操作環境設定</t>
    <rPh sb="15" eb="16">
      <t>オヨ</t>
    </rPh>
    <rPh sb="17" eb="19">
      <t>ソウサ</t>
    </rPh>
    <rPh sb="19" eb="21">
      <t>カンキョウ</t>
    </rPh>
    <rPh sb="21" eb="23">
      <t>セッテイ</t>
    </rPh>
    <phoneticPr fontId="5"/>
  </si>
  <si>
    <t>４．テスト、運用指導</t>
  </si>
  <si>
    <t>　①結合テスト、運用テスト、運用指導</t>
  </si>
  <si>
    <t>　　・・・執行データや資産データ等のPPPへの取り込みや、取り込み後の複式仕訳発生、財務</t>
    <rPh sb="16" eb="17">
      <t>トウ</t>
    </rPh>
    <phoneticPr fontId="5"/>
  </si>
  <si>
    <t>　　　　　諸表データなどの検証を行なう。また、PPP運用のために必要な製品の機能説明や操</t>
    <phoneticPr fontId="5"/>
  </si>
  <si>
    <t>　　　　　作指導を行なう。</t>
    <phoneticPr fontId="5"/>
  </si>
  <si>
    <t>※．公会計パッケージＰＰＰの動作環境【ソフトウエア】</t>
    <rPh sb="2" eb="3">
      <t>コウ</t>
    </rPh>
    <rPh sb="3" eb="5">
      <t>カイケイ</t>
    </rPh>
    <rPh sb="14" eb="16">
      <t>ドウサ</t>
    </rPh>
    <rPh sb="16" eb="18">
      <t>カンキョウ</t>
    </rPh>
    <phoneticPr fontId="5"/>
  </si>
  <si>
    <t>　■ＯＳ　：　WindowsXP Professional</t>
    <phoneticPr fontId="5"/>
  </si>
  <si>
    <t>　■Office　：　Microsoft Office 2003</t>
    <phoneticPr fontId="5"/>
  </si>
  <si>
    <t>　■DB　：　Oracle 10g R2</t>
    <phoneticPr fontId="5"/>
  </si>
  <si>
    <t>※．公会計パッケージＰＰＰの動作環境【ハードウエア】</t>
    <rPh sb="2" eb="3">
      <t>コウ</t>
    </rPh>
    <rPh sb="3" eb="5">
      <t>カイケイ</t>
    </rPh>
    <rPh sb="14" eb="16">
      <t>ドウサ</t>
    </rPh>
    <rPh sb="16" eb="18">
      <t>カンキョウ</t>
    </rPh>
    <phoneticPr fontId="5"/>
  </si>
  <si>
    <t>　■インストールに必要な空きディスク容量　：　300MB　（データ領域は別）</t>
    <rPh sb="9" eb="11">
      <t>ヒツヨウ</t>
    </rPh>
    <rPh sb="12" eb="13">
      <t>ア</t>
    </rPh>
    <rPh sb="18" eb="20">
      <t>ヨウリョウ</t>
    </rPh>
    <rPh sb="33" eb="35">
      <t>リョウイキ</t>
    </rPh>
    <rPh sb="36" eb="37">
      <t>ベツ</t>
    </rPh>
    <phoneticPr fontId="5"/>
  </si>
  <si>
    <t>　■メモリ　：　1GB 以上</t>
    <rPh sb="12" eb="14">
      <t>イジョウ</t>
    </rPh>
    <phoneticPr fontId="5"/>
  </si>
  <si>
    <t>※．公会計パッケージＰＰＰ（とりぷる・ぴー）</t>
    <rPh sb="2" eb="3">
      <t>コウ</t>
    </rPh>
    <rPh sb="3" eb="5">
      <t>カイケイ</t>
    </rPh>
    <phoneticPr fontId="5"/>
  </si>
  <si>
    <t>　　Principal Publicaccounting Package ：　</t>
    <phoneticPr fontId="5"/>
  </si>
  <si>
    <t>　　　　　・歳入・歳出の現金・単式個別伝票を内部に取り込んで、発生・複式個別伝票に変換します。</t>
    <phoneticPr fontId="5"/>
  </si>
  <si>
    <t>　　　　　・発生・複式個別伝票の累積（総勘定元帳）から誘導的に財務諸表を出力します。</t>
    <rPh sb="6" eb="8">
      <t>ハッセイ</t>
    </rPh>
    <rPh sb="9" eb="11">
      <t>フクシキ</t>
    </rPh>
    <rPh sb="11" eb="13">
      <t>コベツ</t>
    </rPh>
    <rPh sb="13" eb="15">
      <t>デンピョウ</t>
    </rPh>
    <rPh sb="16" eb="18">
      <t>ルイセキ</t>
    </rPh>
    <rPh sb="19" eb="22">
      <t>ソウカンジョウ</t>
    </rPh>
    <rPh sb="22" eb="24">
      <t>モトチョウ</t>
    </rPh>
    <rPh sb="27" eb="30">
      <t>ユウドウテキ</t>
    </rPh>
    <rPh sb="31" eb="33">
      <t>ザイム</t>
    </rPh>
    <rPh sb="33" eb="35">
      <t>ショヒョウ</t>
    </rPh>
    <rPh sb="36" eb="38">
      <t>シュツリョク</t>
    </rPh>
    <phoneticPr fontId="5"/>
  </si>
  <si>
    <t>　　　　　・資産管理のための台帳機能を持っています。</t>
    <rPh sb="6" eb="8">
      <t>シサン</t>
    </rPh>
    <rPh sb="8" eb="10">
      <t>カンリ</t>
    </rPh>
    <rPh sb="14" eb="16">
      <t>ダイチョウ</t>
    </rPh>
    <rPh sb="16" eb="18">
      <t>キノウ</t>
    </rPh>
    <rPh sb="19" eb="20">
      <t>モ</t>
    </rPh>
    <phoneticPr fontId="5"/>
  </si>
  <si>
    <t>お見積書</t>
    <rPh sb="1" eb="4">
      <t>ミツモリショ</t>
    </rPh>
    <phoneticPr fontId="3"/>
  </si>
  <si>
    <t>御中</t>
    <rPh sb="0" eb="2">
      <t>オンチュウ</t>
    </rPh>
    <phoneticPr fontId="3"/>
  </si>
  <si>
    <t xml:space="preserve">対象：令和５年度決算
</t>
    <rPh sb="0" eb="2">
      <t>タイショウ</t>
    </rPh>
    <rPh sb="3" eb="5">
      <t>レイワ</t>
    </rPh>
    <rPh sb="6" eb="10">
      <t>ネンドケッサン</t>
    </rPh>
    <phoneticPr fontId="3"/>
  </si>
  <si>
    <t>公会計管理システム利用</t>
    <rPh sb="0" eb="3">
      <t>コウカイケイ</t>
    </rPh>
    <rPh sb="3" eb="5">
      <t>カンリ</t>
    </rPh>
    <rPh sb="9" eb="11">
      <t>リヨウ</t>
    </rPh>
    <phoneticPr fontId="5"/>
  </si>
  <si>
    <t>1.ＰＰＰ保守</t>
    <rPh sb="5" eb="7">
      <t>ホシュ</t>
    </rPh>
    <phoneticPr fontId="5"/>
  </si>
  <si>
    <t>※R6より、㈱吉岡経営センターからビズアップ公共コンサルティング㈱に社名変更となります。</t>
    <rPh sb="7" eb="11">
      <t>ヨシオカケイエイ</t>
    </rPh>
    <phoneticPr fontId="3"/>
  </si>
  <si>
    <t>羽幌町</t>
    <rPh sb="0" eb="3">
      <t>ハボロチョウ</t>
    </rPh>
    <phoneticPr fontId="5"/>
  </si>
  <si>
    <t>ビズアップ公共コンサルティング株式会社</t>
    <rPh sb="5" eb="7">
      <t>コウキョウ</t>
    </rPh>
    <rPh sb="15" eb="19">
      <t>カブシキカイシャ</t>
    </rPh>
    <phoneticPr fontId="3"/>
  </si>
  <si>
    <t>管区</t>
    <rPh sb="0" eb="2">
      <t>カンク</t>
    </rPh>
    <phoneticPr fontId="3"/>
  </si>
  <si>
    <t>石狩</t>
    <rPh sb="0" eb="2">
      <t>イシカリ</t>
    </rPh>
    <phoneticPr fontId="3"/>
  </si>
  <si>
    <t>当別町</t>
  </si>
  <si>
    <t>新篠津村</t>
  </si>
  <si>
    <t>道央廃棄物処理組合</t>
    <rPh sb="0" eb="9">
      <t>ドウオウハイキブツショリクミアイ</t>
    </rPh>
    <phoneticPr fontId="1"/>
  </si>
  <si>
    <t>恵庭市</t>
    <rPh sb="0" eb="3">
      <t>エニワシ</t>
    </rPh>
    <phoneticPr fontId="1"/>
  </si>
  <si>
    <t>PPP</t>
    <phoneticPr fontId="3"/>
  </si>
  <si>
    <t>簡便法</t>
    <rPh sb="0" eb="3">
      <t>カンベンホウ</t>
    </rPh>
    <phoneticPr fontId="3"/>
  </si>
  <si>
    <t>点検</t>
    <rPh sb="0" eb="2">
      <t>テンケン</t>
    </rPh>
    <phoneticPr fontId="3"/>
  </si>
  <si>
    <t>完全委託</t>
    <rPh sb="0" eb="4">
      <t>カンゼンイタク</t>
    </rPh>
    <phoneticPr fontId="3"/>
  </si>
  <si>
    <t>一部支援</t>
    <rPh sb="0" eb="4">
      <t>イチブシエン</t>
    </rPh>
    <phoneticPr fontId="3"/>
  </si>
  <si>
    <t>千歳市</t>
    <rPh sb="0" eb="3">
      <t>チトセシ</t>
    </rPh>
    <phoneticPr fontId="3"/>
  </si>
  <si>
    <t>形態</t>
    <rPh sb="0" eb="2">
      <t>ケイタイ</t>
    </rPh>
    <phoneticPr fontId="3"/>
  </si>
  <si>
    <t>作業方法</t>
    <rPh sb="0" eb="4">
      <t>サギョウホウホウ</t>
    </rPh>
    <phoneticPr fontId="3"/>
  </si>
  <si>
    <t>空知</t>
    <rPh sb="0" eb="2">
      <t>ソラチ</t>
    </rPh>
    <phoneticPr fontId="3"/>
  </si>
  <si>
    <t>美唄市</t>
  </si>
  <si>
    <t>芦別市</t>
  </si>
  <si>
    <t>歌志内市</t>
  </si>
  <si>
    <t>南幌町</t>
  </si>
  <si>
    <t>長沼町</t>
  </si>
  <si>
    <t>南空知葬斎組合</t>
  </si>
  <si>
    <t>南空知公衆衛生組合</t>
  </si>
  <si>
    <t>黒松内町</t>
  </si>
  <si>
    <t>蘭越町</t>
  </si>
  <si>
    <t>ニセコ町</t>
  </si>
  <si>
    <t>真狩村</t>
  </si>
  <si>
    <t>岩内町</t>
  </si>
  <si>
    <t>積丹町</t>
  </si>
  <si>
    <t>神恵内村</t>
  </si>
  <si>
    <t>余市町</t>
  </si>
  <si>
    <t>岩内・寿都地方消防組合</t>
  </si>
  <si>
    <t>羊蹄山ろく消防組合</t>
  </si>
  <si>
    <t>岩内地方衛生組合</t>
  </si>
  <si>
    <t>北後志衛生組合</t>
  </si>
  <si>
    <t>後志教育研修センター</t>
  </si>
  <si>
    <t>南部後志環境衛生組合</t>
    <rPh sb="0" eb="2">
      <t>ナンブ</t>
    </rPh>
    <rPh sb="2" eb="4">
      <t>シリベシ</t>
    </rPh>
    <rPh sb="4" eb="6">
      <t>カンキョウ</t>
    </rPh>
    <rPh sb="6" eb="8">
      <t>エイセイ</t>
    </rPh>
    <rPh sb="8" eb="10">
      <t>クミアイ</t>
    </rPh>
    <phoneticPr fontId="1"/>
  </si>
  <si>
    <t>後志広域連合</t>
    <rPh sb="2" eb="6">
      <t>コウイキレンゴウ</t>
    </rPh>
    <phoneticPr fontId="1"/>
  </si>
  <si>
    <t>後志</t>
    <rPh sb="0" eb="2">
      <t>シリベシ</t>
    </rPh>
    <phoneticPr fontId="3"/>
  </si>
  <si>
    <t>伊達市</t>
  </si>
  <si>
    <t>室蘭市</t>
    <rPh sb="0" eb="3">
      <t>ムロランシ</t>
    </rPh>
    <phoneticPr fontId="1"/>
  </si>
  <si>
    <t>登別市</t>
    <rPh sb="0" eb="3">
      <t>ノボリベツシ</t>
    </rPh>
    <phoneticPr fontId="1"/>
  </si>
  <si>
    <t>豊浦町</t>
  </si>
  <si>
    <t>壮瞥町</t>
  </si>
  <si>
    <t>洞爺湖町</t>
  </si>
  <si>
    <t>胆振東部消防組合</t>
    <rPh sb="0" eb="8">
      <t>イブリトウブショウボウクミアイ</t>
    </rPh>
    <phoneticPr fontId="1"/>
  </si>
  <si>
    <t>胆振</t>
    <rPh sb="0" eb="2">
      <t>イブリ</t>
    </rPh>
    <phoneticPr fontId="3"/>
  </si>
  <si>
    <t>むかわ町</t>
    <rPh sb="3" eb="4">
      <t>チョウ</t>
    </rPh>
    <phoneticPr fontId="1"/>
  </si>
  <si>
    <t>厚真町</t>
    <rPh sb="0" eb="3">
      <t>アツマチョウ</t>
    </rPh>
    <phoneticPr fontId="1"/>
  </si>
  <si>
    <t>西いぶり広域連合</t>
    <rPh sb="0" eb="1">
      <t>ニシ</t>
    </rPh>
    <rPh sb="4" eb="8">
      <t>コウイキレンゴウ</t>
    </rPh>
    <phoneticPr fontId="3"/>
  </si>
  <si>
    <t>留萌市</t>
  </si>
  <si>
    <t>小平町</t>
  </si>
  <si>
    <t>初山別村</t>
  </si>
  <si>
    <t>天塩町</t>
  </si>
  <si>
    <t>羽幌町</t>
    <rPh sb="0" eb="3">
      <t>ハボロチョウ</t>
    </rPh>
    <phoneticPr fontId="1"/>
  </si>
  <si>
    <t>留萌消防組合</t>
  </si>
  <si>
    <t>留萌南部衛生組合</t>
  </si>
  <si>
    <t>羽幌町外２町村衛生施設組合</t>
    <rPh sb="0" eb="3">
      <t>ハボロチョウ</t>
    </rPh>
    <rPh sb="3" eb="4">
      <t>ホカ</t>
    </rPh>
    <rPh sb="5" eb="7">
      <t>チョウソン</t>
    </rPh>
    <rPh sb="7" eb="9">
      <t>エイセイ</t>
    </rPh>
    <rPh sb="9" eb="11">
      <t>シセツ</t>
    </rPh>
    <rPh sb="11" eb="13">
      <t>クミアイ</t>
    </rPh>
    <phoneticPr fontId="1"/>
  </si>
  <si>
    <t>北留萌消防組合</t>
    <rPh sb="0" eb="1">
      <t>キタ</t>
    </rPh>
    <rPh sb="1" eb="3">
      <t>ルモイ</t>
    </rPh>
    <rPh sb="3" eb="5">
      <t>ショウボウ</t>
    </rPh>
    <rPh sb="5" eb="7">
      <t>クミアイ</t>
    </rPh>
    <phoneticPr fontId="1"/>
  </si>
  <si>
    <t>留萌</t>
    <rPh sb="0" eb="2">
      <t>ルモイ</t>
    </rPh>
    <phoneticPr fontId="3"/>
  </si>
  <si>
    <t>帯広市</t>
  </si>
  <si>
    <t>清水町</t>
  </si>
  <si>
    <t>中札内村</t>
  </si>
  <si>
    <t>大樹町</t>
  </si>
  <si>
    <t>豊頃町</t>
  </si>
  <si>
    <t>芽室町</t>
    <rPh sb="0" eb="3">
      <t>メムロチョウ</t>
    </rPh>
    <phoneticPr fontId="1"/>
  </si>
  <si>
    <t>士幌町</t>
    <rPh sb="0" eb="3">
      <t>シホロチョウ</t>
    </rPh>
    <phoneticPr fontId="1"/>
  </si>
  <si>
    <t>とかち広域消防事務組合</t>
  </si>
  <si>
    <t>南十勝複合事務組合</t>
  </si>
  <si>
    <t>十勝</t>
    <rPh sb="0" eb="2">
      <t>トカチ</t>
    </rPh>
    <phoneticPr fontId="3"/>
  </si>
  <si>
    <t>足寄町</t>
    <rPh sb="0" eb="3">
      <t>アショロチョウ</t>
    </rPh>
    <phoneticPr fontId="3"/>
  </si>
  <si>
    <t>富良野市</t>
  </si>
  <si>
    <t>鷹栖町</t>
  </si>
  <si>
    <t>東神楽町</t>
  </si>
  <si>
    <t>比布町</t>
  </si>
  <si>
    <t>愛別町</t>
  </si>
  <si>
    <t>美瑛町</t>
  </si>
  <si>
    <t>南富良野町</t>
  </si>
  <si>
    <t>和寒町</t>
  </si>
  <si>
    <t>下川町</t>
  </si>
  <si>
    <t>東川町</t>
    <rPh sb="0" eb="3">
      <t>ヒガシカワチョウ</t>
    </rPh>
    <phoneticPr fontId="1"/>
  </si>
  <si>
    <t>占冠村</t>
    <rPh sb="0" eb="3">
      <t>シムカップムラ</t>
    </rPh>
    <phoneticPr fontId="1"/>
  </si>
  <si>
    <t>当麻町</t>
    <rPh sb="0" eb="3">
      <t>トウマチョウ</t>
    </rPh>
    <phoneticPr fontId="1"/>
  </si>
  <si>
    <t>中川町</t>
    <rPh sb="0" eb="3">
      <t>ナカガワチョウ</t>
    </rPh>
    <phoneticPr fontId="1"/>
  </si>
  <si>
    <t>音威子府村</t>
    <rPh sb="0" eb="5">
      <t>オトイネップムラ</t>
    </rPh>
    <phoneticPr fontId="1"/>
  </si>
  <si>
    <t>大雪清掃組合</t>
  </si>
  <si>
    <t>大雪浄化組合</t>
  </si>
  <si>
    <t>富良野広域連合</t>
  </si>
  <si>
    <t>大雪消防組合</t>
    <rPh sb="2" eb="4">
      <t>ショウボウ</t>
    </rPh>
    <phoneticPr fontId="1"/>
  </si>
  <si>
    <t>大雪葬斎組合</t>
  </si>
  <si>
    <t>愛別町他3町塵芥処理組合</t>
    <rPh sb="3" eb="4">
      <t>ホカ</t>
    </rPh>
    <rPh sb="5" eb="6">
      <t>チョウ</t>
    </rPh>
    <rPh sb="6" eb="8">
      <t>ジンカイ</t>
    </rPh>
    <rPh sb="8" eb="10">
      <t>ショリ</t>
    </rPh>
    <rPh sb="10" eb="12">
      <t>クミアイ</t>
    </rPh>
    <phoneticPr fontId="1"/>
  </si>
  <si>
    <t>大雪地区広域連合</t>
    <rPh sb="0" eb="2">
      <t>タイセツ</t>
    </rPh>
    <rPh sb="2" eb="4">
      <t>チク</t>
    </rPh>
    <rPh sb="4" eb="6">
      <t>コウイキ</t>
    </rPh>
    <rPh sb="6" eb="8">
      <t>レンゴウ</t>
    </rPh>
    <phoneticPr fontId="1"/>
  </si>
  <si>
    <t>上川中部広域事務組合</t>
    <rPh sb="0" eb="4">
      <t>カミカワチュウブ</t>
    </rPh>
    <rPh sb="4" eb="10">
      <t>コウイキジムクミアイ</t>
    </rPh>
    <phoneticPr fontId="1"/>
  </si>
  <si>
    <t>上川</t>
    <rPh sb="0" eb="2">
      <t>カミカワ</t>
    </rPh>
    <phoneticPr fontId="3"/>
  </si>
  <si>
    <t>北見市</t>
    <rPh sb="0" eb="3">
      <t>キタミシ</t>
    </rPh>
    <phoneticPr fontId="1"/>
  </si>
  <si>
    <t>紋別市</t>
    <rPh sb="0" eb="3">
      <t>モンベツシ</t>
    </rPh>
    <phoneticPr fontId="1"/>
  </si>
  <si>
    <t>小清水町</t>
  </si>
  <si>
    <t>訓子府町</t>
  </si>
  <si>
    <t>置戸町</t>
  </si>
  <si>
    <t>湧別町</t>
  </si>
  <si>
    <t>滝上町</t>
  </si>
  <si>
    <t>大空町</t>
  </si>
  <si>
    <t>興部町</t>
    <rPh sb="0" eb="3">
      <t>オコッペチョウ</t>
    </rPh>
    <phoneticPr fontId="1"/>
  </si>
  <si>
    <t>美幌・津別広域事務組合</t>
    <rPh sb="0" eb="2">
      <t>ビホロ</t>
    </rPh>
    <rPh sb="3" eb="5">
      <t>ツベツ</t>
    </rPh>
    <rPh sb="5" eb="7">
      <t>コウイキ</t>
    </rPh>
    <rPh sb="7" eb="9">
      <t>ジム</t>
    </rPh>
    <rPh sb="9" eb="11">
      <t>クミアイ</t>
    </rPh>
    <phoneticPr fontId="1"/>
  </si>
  <si>
    <t>オホーツク</t>
    <phoneticPr fontId="3"/>
  </si>
  <si>
    <t>渡島</t>
    <rPh sb="0" eb="2">
      <t>オシマ</t>
    </rPh>
    <phoneticPr fontId="3"/>
  </si>
  <si>
    <t>函館市</t>
  </si>
  <si>
    <t>北斗市</t>
  </si>
  <si>
    <t>松前町</t>
  </si>
  <si>
    <t>福島町</t>
  </si>
  <si>
    <t>知内町</t>
  </si>
  <si>
    <t>七飯町</t>
  </si>
  <si>
    <t>鹿部町</t>
  </si>
  <si>
    <t>森町</t>
  </si>
  <si>
    <t>八雲町</t>
  </si>
  <si>
    <t>長万部町</t>
  </si>
  <si>
    <t>木古内町</t>
    <rPh sb="0" eb="4">
      <t>キコナイチョウ</t>
    </rPh>
    <phoneticPr fontId="1"/>
  </si>
  <si>
    <t>渡島西部広域事務組合</t>
  </si>
  <si>
    <t>渡島檜山地方税滞納整理機構</t>
    <rPh sb="0" eb="2">
      <t>オシマ</t>
    </rPh>
    <rPh sb="2" eb="4">
      <t>ヒヤマ</t>
    </rPh>
    <rPh sb="4" eb="7">
      <t>チホウゼイ</t>
    </rPh>
    <rPh sb="7" eb="9">
      <t>タイノウ</t>
    </rPh>
    <rPh sb="9" eb="11">
      <t>セイリ</t>
    </rPh>
    <rPh sb="11" eb="13">
      <t>キコウ</t>
    </rPh>
    <phoneticPr fontId="1"/>
  </si>
  <si>
    <t>南渡島衛生施設組合</t>
    <rPh sb="0" eb="1">
      <t>ミナミ</t>
    </rPh>
    <rPh sb="1" eb="3">
      <t>オシマ</t>
    </rPh>
    <rPh sb="3" eb="5">
      <t>エイセイ</t>
    </rPh>
    <rPh sb="5" eb="7">
      <t>シセツ</t>
    </rPh>
    <rPh sb="7" eb="9">
      <t>クミアイ</t>
    </rPh>
    <phoneticPr fontId="1"/>
  </si>
  <si>
    <t>南渡島消防組合</t>
    <rPh sb="0" eb="7">
      <t>ミナミオシマショウボウクミアイ</t>
    </rPh>
    <phoneticPr fontId="1"/>
  </si>
  <si>
    <t>檜山</t>
    <rPh sb="0" eb="2">
      <t>ヒヤマ</t>
    </rPh>
    <phoneticPr fontId="3"/>
  </si>
  <si>
    <t>江差町</t>
  </si>
  <si>
    <t>奥尻町</t>
  </si>
  <si>
    <t>今金町</t>
  </si>
  <si>
    <t>乙部町</t>
  </si>
  <si>
    <t>せたな町</t>
  </si>
  <si>
    <t>厚沢部町</t>
  </si>
  <si>
    <t>江差町・上ノ国町学校給食組合</t>
  </si>
  <si>
    <t>南部桧山衛生処理組合</t>
  </si>
  <si>
    <t>北部檜山衛生センター組合</t>
  </si>
  <si>
    <t>稚内市</t>
  </si>
  <si>
    <t>枝幸町</t>
  </si>
  <si>
    <t>豊富町</t>
  </si>
  <si>
    <t>稚内地区消防事務組合</t>
  </si>
  <si>
    <t>南宗谷消防組合</t>
  </si>
  <si>
    <t>南宗谷衛生施設組合</t>
  </si>
  <si>
    <t>宗谷</t>
    <rPh sb="0" eb="2">
      <t>ソウヤ</t>
    </rPh>
    <phoneticPr fontId="3"/>
  </si>
  <si>
    <t>猿払村</t>
    <rPh sb="0" eb="3">
      <t>サルフツムラ</t>
    </rPh>
    <phoneticPr fontId="3"/>
  </si>
  <si>
    <t>根室</t>
    <rPh sb="0" eb="2">
      <t>ネムロ</t>
    </rPh>
    <phoneticPr fontId="3"/>
  </si>
  <si>
    <t>根室市</t>
    <rPh sb="0" eb="3">
      <t>ネムロシ</t>
    </rPh>
    <phoneticPr fontId="1"/>
  </si>
  <si>
    <t>川上郡衛生施設組合</t>
    <rPh sb="0" eb="3">
      <t>カワカミグン</t>
    </rPh>
    <rPh sb="3" eb="9">
      <t>エイセイシセツクミアイ</t>
    </rPh>
    <phoneticPr fontId="1"/>
  </si>
  <si>
    <t>日高</t>
    <rPh sb="0" eb="2">
      <t>ヒダカ</t>
    </rPh>
    <phoneticPr fontId="3"/>
  </si>
  <si>
    <t>平取町</t>
  </si>
  <si>
    <t>平取町外2町衛生施設組合</t>
  </si>
  <si>
    <t>釧路</t>
    <rPh sb="0" eb="2">
      <t>クシロ</t>
    </rPh>
    <phoneticPr fontId="3"/>
  </si>
  <si>
    <t>釧路町</t>
  </si>
  <si>
    <t>厚岸町</t>
  </si>
  <si>
    <t>弟子屈町</t>
  </si>
  <si>
    <t>白糠町</t>
  </si>
  <si>
    <t>鶴居村</t>
  </si>
  <si>
    <t>釧路東部消防組合</t>
  </si>
  <si>
    <t>釧路北部消防組合</t>
  </si>
  <si>
    <t>完全委託先</t>
    <rPh sb="0" eb="4">
      <t>カンゼンイタク</t>
    </rPh>
    <rPh sb="4" eb="5">
      <t>サキ</t>
    </rPh>
    <phoneticPr fontId="3"/>
  </si>
  <si>
    <t>件</t>
    <rPh sb="0" eb="1">
      <t>ケン</t>
    </rPh>
    <phoneticPr fontId="3"/>
  </si>
  <si>
    <t>ご支援先一覧（北海道分）</t>
    <rPh sb="1" eb="4">
      <t>シエンサキ</t>
    </rPh>
    <rPh sb="4" eb="6">
      <t>イチラン</t>
    </rPh>
    <rPh sb="7" eb="11">
      <t>ホッカイドウブン</t>
    </rPh>
    <phoneticPr fontId="3"/>
  </si>
  <si>
    <t>※下記順不同</t>
    <rPh sb="1" eb="3">
      <t>カキ</t>
    </rPh>
    <rPh sb="3" eb="6">
      <t>ジュンフドウ</t>
    </rPh>
    <phoneticPr fontId="3"/>
  </si>
  <si>
    <t>妹背牛町</t>
    <rPh sb="0" eb="4">
      <t>モセウシチョウ</t>
    </rPh>
    <phoneticPr fontId="3"/>
  </si>
  <si>
    <t>北竜町</t>
    <rPh sb="0" eb="3">
      <t>ホクリュウチョウ</t>
    </rPh>
    <phoneticPr fontId="3"/>
  </si>
  <si>
    <t>羊蹄山麓環境衛生組合</t>
    <rPh sb="0" eb="4">
      <t>ヨウテイサンロク</t>
    </rPh>
    <rPh sb="4" eb="10">
      <t>カンキョウエイセイクミアイ</t>
    </rPh>
    <phoneticPr fontId="3"/>
  </si>
  <si>
    <t>一部支援先</t>
    <rPh sb="0" eb="2">
      <t>イチブ</t>
    </rPh>
    <rPh sb="2" eb="4">
      <t>シエン</t>
    </rPh>
    <rPh sb="4" eb="5">
      <t>サキ</t>
    </rPh>
    <phoneticPr fontId="3"/>
  </si>
  <si>
    <t>原価</t>
    <rPh sb="0" eb="2">
      <t>ゲンカ</t>
    </rPh>
    <phoneticPr fontId="3"/>
  </si>
  <si>
    <t>？</t>
    <phoneticPr fontId="3"/>
  </si>
  <si>
    <t>むつ市</t>
    <rPh sb="2" eb="3">
      <t>シ</t>
    </rPh>
    <phoneticPr fontId="3"/>
  </si>
  <si>
    <t>１　令和８年度（水道事業経営分析及び
　　予測シミュレーション策定業務委託）</t>
    <rPh sb="2" eb="4">
      <t>レイワ</t>
    </rPh>
    <rPh sb="5" eb="7">
      <t>ネンド</t>
    </rPh>
    <phoneticPr fontId="3"/>
  </si>
  <si>
    <t>2　令和９年度（水道ビジョン改定業務委託）</t>
    <rPh sb="2" eb="4">
      <t>レイワ</t>
    </rPh>
    <rPh sb="5" eb="7">
      <t>ネンド</t>
    </rPh>
    <rPh sb="14" eb="16">
      <t>カイテイ</t>
    </rPh>
    <phoneticPr fontId="3"/>
  </si>
  <si>
    <t>３　令和10年度（料金改定検討支援業務）</t>
    <rPh sb="2" eb="4">
      <t>レイワ</t>
    </rPh>
    <rPh sb="6" eb="8">
      <t>ネンド</t>
    </rPh>
    <rPh sb="9" eb="13">
      <t>リョウキンカイテイ</t>
    </rPh>
    <rPh sb="13" eb="15">
      <t>ケントウ</t>
    </rPh>
    <rPh sb="15" eb="19">
      <t>シエンギョウム</t>
    </rPh>
    <phoneticPr fontId="3"/>
  </si>
  <si>
    <t>適正水道料金検討業務委託</t>
    <rPh sb="0" eb="2">
      <t>テキセイ</t>
    </rPh>
    <rPh sb="2" eb="4">
      <t>スイドウ</t>
    </rPh>
    <rPh sb="4" eb="6">
      <t>リョウキン</t>
    </rPh>
    <rPh sb="6" eb="8">
      <t>ケントウ</t>
    </rPh>
    <rPh sb="8" eb="10">
      <t>ギョウム</t>
    </rPh>
    <rPh sb="10" eb="12">
      <t>イタク</t>
    </rPh>
    <phoneticPr fontId="3"/>
  </si>
  <si>
    <t>料金改定検討支援業務</t>
    <phoneticPr fontId="3"/>
  </si>
  <si>
    <t>回</t>
    <rPh sb="0" eb="1">
      <t>カイ</t>
    </rPh>
    <phoneticPr fontId="3"/>
  </si>
  <si>
    <t>水道事業経営分析及び予測シミュレーション策定業務委託</t>
    <rPh sb="0" eb="2">
      <t>スイドウ</t>
    </rPh>
    <rPh sb="2" eb="4">
      <t>ジギョウ</t>
    </rPh>
    <rPh sb="4" eb="6">
      <t>ケイエイ</t>
    </rPh>
    <rPh sb="6" eb="8">
      <t>ブンセキ</t>
    </rPh>
    <rPh sb="8" eb="9">
      <t>オヨ</t>
    </rPh>
    <rPh sb="10" eb="12">
      <t>ヨソク</t>
    </rPh>
    <rPh sb="20" eb="22">
      <t>サクテイ</t>
    </rPh>
    <rPh sb="22" eb="24">
      <t>ギョウム</t>
    </rPh>
    <rPh sb="24" eb="26">
      <t>イタク</t>
    </rPh>
    <phoneticPr fontId="3"/>
  </si>
  <si>
    <t>１　経営状況分析</t>
    <rPh sb="2" eb="8">
      <t>ケイエイジョウキョウブンセキ</t>
    </rPh>
    <phoneticPr fontId="3"/>
  </si>
  <si>
    <t>２　現状シミュレーション</t>
    <rPh sb="2" eb="4">
      <t>ゲンジョウ</t>
    </rPh>
    <phoneticPr fontId="3"/>
  </si>
  <si>
    <t>３　審議会運営設計</t>
    <rPh sb="2" eb="9">
      <t>シンギカイウンエイセッケイ</t>
    </rPh>
    <phoneticPr fontId="3"/>
  </si>
  <si>
    <t xml:space="preserve">１　経営状況分析
・令和6年度決算分析
2　現状シミュレーション
・現状の投資計画等シミュレーション
・現状の給水人口推計
・現状料金でシミュレーション
3　審議会運営設計
・審議会構成員・条例改正などに関する助言等
</t>
    <rPh sb="2" eb="6">
      <t>ケイエイジョウキョウ</t>
    </rPh>
    <rPh sb="6" eb="8">
      <t>ブンセキ</t>
    </rPh>
    <rPh sb="10" eb="12">
      <t>レイワ</t>
    </rPh>
    <rPh sb="13" eb="15">
      <t>ネンド</t>
    </rPh>
    <rPh sb="15" eb="19">
      <t>ケッサンブンセキ</t>
    </rPh>
    <rPh sb="23" eb="25">
      <t>ゲンジョウ</t>
    </rPh>
    <rPh sb="35" eb="37">
      <t>ゲンジョウ</t>
    </rPh>
    <rPh sb="38" eb="42">
      <t>トウシケイカク</t>
    </rPh>
    <rPh sb="42" eb="43">
      <t>トウ</t>
    </rPh>
    <rPh sb="53" eb="55">
      <t>ゲンジョウ</t>
    </rPh>
    <rPh sb="56" eb="60">
      <t>キュウスイジンコウ</t>
    </rPh>
    <rPh sb="60" eb="62">
      <t>スイケイ</t>
    </rPh>
    <rPh sb="64" eb="68">
      <t>ゲンジョウリョウキン</t>
    </rPh>
    <rPh sb="81" eb="84">
      <t>シンギカイ</t>
    </rPh>
    <rPh sb="84" eb="88">
      <t>ウンエイセッケイ</t>
    </rPh>
    <rPh sb="97" eb="101">
      <t>ジョウレイカイセイ</t>
    </rPh>
    <phoneticPr fontId="3"/>
  </si>
  <si>
    <t>1　総括原価の算定</t>
    <rPh sb="2" eb="4">
      <t>ソウカツ</t>
    </rPh>
    <rPh sb="4" eb="6">
      <t>ゲンカ</t>
    </rPh>
    <rPh sb="7" eb="9">
      <t>サンテイ</t>
    </rPh>
    <phoneticPr fontId="3"/>
  </si>
  <si>
    <t>2　料金体系の検討</t>
    <phoneticPr fontId="3"/>
  </si>
  <si>
    <t>3　水道料金体系見直し案の策定</t>
    <rPh sb="2" eb="4">
      <t>スイドウ</t>
    </rPh>
    <rPh sb="4" eb="6">
      <t>リョウキン</t>
    </rPh>
    <rPh sb="6" eb="8">
      <t>タイケイ</t>
    </rPh>
    <rPh sb="8" eb="10">
      <t>ミナオ</t>
    </rPh>
    <rPh sb="11" eb="12">
      <t>アン</t>
    </rPh>
    <rPh sb="13" eb="15">
      <t>サクテイ</t>
    </rPh>
    <phoneticPr fontId="3"/>
  </si>
  <si>
    <t>4　審議会対応</t>
    <rPh sb="2" eb="5">
      <t>シンギカイ</t>
    </rPh>
    <rPh sb="5" eb="7">
      <t>タイオウ</t>
    </rPh>
    <phoneticPr fontId="3"/>
  </si>
  <si>
    <t>5　パブリックコメント対応等</t>
    <rPh sb="11" eb="13">
      <t>タイオウ</t>
    </rPh>
    <rPh sb="13" eb="14">
      <t>トウ</t>
    </rPh>
    <phoneticPr fontId="3"/>
  </si>
  <si>
    <t xml:space="preserve">１　総括原価の算定
・料金対象経費の算定　・料金対象経費の分解
・使用者群の区分　・料金対象経費の配賦
２　料金体系の検討
・料金の設定　
・水量区分ごとの使用水量と料金収入の算定
・料金改定率表の作成とシミュレーション
３　水道料金体系見直し案の策定
・1～２をもとに水道料金体系見直し案の策定を行います。
４　審議会対応
・4　審議会については、令和10年度4回前後を想定しています。
</t>
    <rPh sb="2" eb="6">
      <t>ソウカツゲンカ</t>
    </rPh>
    <rPh sb="7" eb="9">
      <t>サンテイ</t>
    </rPh>
    <rPh sb="11" eb="17">
      <t>リョウキンタイショウケイヒ</t>
    </rPh>
    <rPh sb="18" eb="20">
      <t>サンテイ</t>
    </rPh>
    <rPh sb="22" eb="28">
      <t>リョウキンタイショウケイヒ</t>
    </rPh>
    <rPh sb="29" eb="31">
      <t>ブンカイ</t>
    </rPh>
    <rPh sb="33" eb="37">
      <t>シヨウシャグン</t>
    </rPh>
    <rPh sb="38" eb="40">
      <t>クブン</t>
    </rPh>
    <rPh sb="42" eb="46">
      <t>リョウキンタイショウ</t>
    </rPh>
    <rPh sb="46" eb="48">
      <t>ケイヒ</t>
    </rPh>
    <rPh sb="49" eb="50">
      <t>ハイ</t>
    </rPh>
    <rPh sb="50" eb="51">
      <t>フ</t>
    </rPh>
    <rPh sb="55" eb="59">
      <t>リョウキンタイケイ</t>
    </rPh>
    <rPh sb="60" eb="62">
      <t>ケントウ</t>
    </rPh>
    <rPh sb="64" eb="66">
      <t>リョウキン</t>
    </rPh>
    <rPh sb="67" eb="69">
      <t>セッテイ</t>
    </rPh>
    <rPh sb="137" eb="143">
      <t>スイドウリョウキンタイケイ</t>
    </rPh>
    <rPh sb="143" eb="145">
      <t>ミナオ</t>
    </rPh>
    <rPh sb="146" eb="147">
      <t>アン</t>
    </rPh>
    <rPh sb="148" eb="150">
      <t>サクテイ</t>
    </rPh>
    <rPh sb="151" eb="152">
      <t>オコナ</t>
    </rPh>
    <rPh sb="160" eb="165">
      <t>シンギカイタイオウ</t>
    </rPh>
    <rPh sb="186" eb="188">
      <t>ゼンゴ</t>
    </rPh>
    <phoneticPr fontId="3"/>
  </si>
  <si>
    <t>適正水道料金検討業務委託(３年総括）</t>
    <rPh sb="14" eb="15">
      <t>ネン</t>
    </rPh>
    <rPh sb="15" eb="17">
      <t>ソウカツ</t>
    </rPh>
    <phoneticPr fontId="3"/>
  </si>
  <si>
    <t>適正水道料金検討業務委託(令和８年度分）</t>
    <rPh sb="13" eb="15">
      <t>レイワ</t>
    </rPh>
    <rPh sb="16" eb="18">
      <t>ネンド</t>
    </rPh>
    <rPh sb="18" eb="19">
      <t>ブン</t>
    </rPh>
    <phoneticPr fontId="3"/>
  </si>
  <si>
    <t>適正水道料金検討業務委託（令和10年度分）</t>
    <rPh sb="13" eb="15">
      <t>レイワ</t>
    </rPh>
    <rPh sb="17" eb="19">
      <t>ネンド</t>
    </rPh>
    <rPh sb="19" eb="20">
      <t>ブン</t>
    </rPh>
    <phoneticPr fontId="3"/>
  </si>
  <si>
    <t>むつ市</t>
    <rPh sb="2" eb="3">
      <t>シ</t>
    </rPh>
    <phoneticPr fontId="5"/>
  </si>
  <si>
    <t>適正水道料金検討業務委託（R9年度分）</t>
    <rPh sb="0" eb="2">
      <t>テキセイ</t>
    </rPh>
    <rPh sb="2" eb="4">
      <t>スイドウ</t>
    </rPh>
    <rPh sb="4" eb="6">
      <t>リョウキン</t>
    </rPh>
    <rPh sb="6" eb="8">
      <t>ケントウ</t>
    </rPh>
    <rPh sb="8" eb="10">
      <t>ギョウム</t>
    </rPh>
    <rPh sb="10" eb="12">
      <t>イタク</t>
    </rPh>
    <rPh sb="15" eb="18">
      <t>ネンドブン</t>
    </rPh>
    <phoneticPr fontId="5"/>
  </si>
  <si>
    <t>水道ビジョン改定業務委託</t>
    <rPh sb="0" eb="2">
      <t>スイドウ</t>
    </rPh>
    <rPh sb="6" eb="8">
      <t>カイテイ</t>
    </rPh>
    <rPh sb="8" eb="12">
      <t>ギョウムイタク</t>
    </rPh>
    <phoneticPr fontId="3"/>
  </si>
  <si>
    <t>１．水道事業の現状評価・課題</t>
    <rPh sb="2" eb="4">
      <t>スイドウ</t>
    </rPh>
    <rPh sb="4" eb="6">
      <t>ジギョウ</t>
    </rPh>
    <rPh sb="7" eb="9">
      <t>ゲンジョウ</t>
    </rPh>
    <rPh sb="9" eb="11">
      <t>ヒョウカ</t>
    </rPh>
    <rPh sb="12" eb="14">
      <t>カダイ</t>
    </rPh>
    <phoneticPr fontId="5"/>
  </si>
  <si>
    <t>式</t>
    <rPh sb="0" eb="1">
      <t>シキ</t>
    </rPh>
    <phoneticPr fontId="5"/>
  </si>
  <si>
    <t>２．将来の事業予測</t>
    <rPh sb="5" eb="9">
      <t>ジギョウヨソク</t>
    </rPh>
    <phoneticPr fontId="5"/>
  </si>
  <si>
    <t>３．理想像と目標設定</t>
    <rPh sb="2" eb="5">
      <t>リソウゾウ</t>
    </rPh>
    <rPh sb="6" eb="8">
      <t>モクヒョウ</t>
    </rPh>
    <rPh sb="8" eb="10">
      <t>セッテイ</t>
    </rPh>
    <phoneticPr fontId="5"/>
  </si>
  <si>
    <t>４．推進する実現方策</t>
    <rPh sb="2" eb="4">
      <t>スイシン</t>
    </rPh>
    <rPh sb="6" eb="10">
      <t>ジツゲンホウサク</t>
    </rPh>
    <phoneticPr fontId="5"/>
  </si>
  <si>
    <t>５．水道ビジョン（案）策定</t>
    <rPh sb="2" eb="4">
      <t>スイドウ</t>
    </rPh>
    <rPh sb="9" eb="10">
      <t>アン</t>
    </rPh>
    <rPh sb="11" eb="13">
      <t>サクテイ</t>
    </rPh>
    <phoneticPr fontId="5"/>
  </si>
  <si>
    <t>６．審議会発足及び運営支援</t>
    <rPh sb="2" eb="5">
      <t>シンギカイ</t>
    </rPh>
    <rPh sb="5" eb="7">
      <t>ホッソク</t>
    </rPh>
    <rPh sb="7" eb="8">
      <t>オヨ</t>
    </rPh>
    <rPh sb="9" eb="13">
      <t>ウンエイシエン</t>
    </rPh>
    <phoneticPr fontId="5"/>
  </si>
  <si>
    <t>対象事業：水道事業</t>
    <rPh sb="0" eb="4">
      <t>タイショウジギョウ</t>
    </rPh>
    <rPh sb="5" eb="7">
      <t>スイドウ</t>
    </rPh>
    <rPh sb="7" eb="9">
      <t>ジギョウ</t>
    </rPh>
    <phoneticPr fontId="3"/>
  </si>
  <si>
    <t xml:space="preserve">対象事業：水道事業
</t>
    <rPh sb="0" eb="2">
      <t>タイショウ</t>
    </rPh>
    <rPh sb="2" eb="4">
      <t>ジギョウ</t>
    </rPh>
    <rPh sb="5" eb="7">
      <t>スイドウ</t>
    </rPh>
    <rPh sb="7" eb="9">
      <t>ジギョウ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</si>
</sst>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6" formatCode="&quot;¥&quot;#,##0;[Red]&quot;¥&quot;\-#,##0"/>
    <numFmt numFmtId="7" formatCode="&quot;¥&quot;#,##0.00;&quot;¥&quot;\-#,##0.00"/>
    <numFmt numFmtId="176" formatCode="yyyy&quot;年 &quot;m&quot;月 &quot;d&quot;日&quot;"/>
    <numFmt numFmtId="177" formatCode="&quot;第 &quot;General&quot; 号&quot;"/>
    <numFmt numFmtId="178" formatCode="[$]ggge&quot;年&quot;m&quot;月&quot;d&quot;日&quot;;@" x16r2:formatCode16="[$-ja-JP-x-gannen]ggge&quot;年&quot;m&quot;月&quot;d&quot;日&quot;;@"/>
  </numFmts>
  <fonts count="3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indexed="62"/>
      <name val="BIZ UDPゴシック"/>
      <family val="3"/>
      <charset val="128"/>
    </font>
    <font>
      <sz val="6"/>
      <name val="ＭＳ Ｐゴシック"/>
      <family val="3"/>
      <charset val="128"/>
    </font>
    <font>
      <b/>
      <sz val="16"/>
      <color indexed="62"/>
      <name val="ＭＳ 明朝"/>
      <family val="1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4"/>
      <name val="ＭＳ ゴシック"/>
      <family val="3"/>
      <charset val="128"/>
    </font>
    <font>
      <sz val="14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name val="BIZ UDPゴシック"/>
      <family val="3"/>
      <charset val="128"/>
    </font>
    <font>
      <sz val="12"/>
      <name val="BIZ UDPゴシック"/>
      <family val="3"/>
      <charset val="128"/>
    </font>
    <font>
      <sz val="10"/>
      <name val="ＭＳ 明朝"/>
      <family val="1"/>
      <charset val="128"/>
    </font>
    <font>
      <sz val="10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b/>
      <sz val="11"/>
      <color theme="1"/>
      <name val="BIZ UDPゴシック"/>
      <family val="3"/>
      <charset val="128"/>
    </font>
    <font>
      <sz val="10"/>
      <color theme="1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1"/>
      <color rgb="FFFF0000"/>
      <name val="BIZ UDPゴシック"/>
      <family val="3"/>
      <charset val="128"/>
    </font>
    <font>
      <b/>
      <sz val="11"/>
      <name val="ＭＳ 明朝"/>
      <family val="1"/>
      <charset val="128"/>
    </font>
    <font>
      <sz val="11"/>
      <name val="ＭＳ Ｐ明朝"/>
      <family val="1"/>
      <charset val="128"/>
    </font>
    <font>
      <sz val="11"/>
      <color theme="1"/>
      <name val="Meiryo UI"/>
      <family val="3"/>
      <charset val="128"/>
    </font>
    <font>
      <sz val="14"/>
      <color theme="1"/>
      <name val="Meiryo UI"/>
      <family val="3"/>
      <charset val="128"/>
    </font>
    <font>
      <sz val="18"/>
      <color theme="1"/>
      <name val="Meiryo UI"/>
      <family val="3"/>
      <charset val="128"/>
    </font>
    <font>
      <b/>
      <sz val="26"/>
      <color theme="1"/>
      <name val="Meiryo UI"/>
      <family val="3"/>
      <charset val="128"/>
    </font>
    <font>
      <sz val="12"/>
      <color theme="1"/>
      <name val="BIZ UDPゴシック"/>
      <family val="3"/>
      <charset val="128"/>
    </font>
    <font>
      <b/>
      <sz val="10"/>
      <color theme="1"/>
      <name val="BIZ UDPゴシック"/>
      <family val="3"/>
      <charset val="128"/>
    </font>
    <font>
      <b/>
      <sz val="24"/>
      <color theme="1"/>
      <name val="Meiryo UI"/>
      <family val="3"/>
      <charset val="128"/>
    </font>
    <font>
      <b/>
      <sz val="11"/>
      <name val="BIZ UDP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b/>
      <sz val="11"/>
      <color rgb="FFFF0000"/>
      <name val="ＭＳ 明朝"/>
      <family val="1"/>
      <charset val="128"/>
    </font>
    <font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double">
        <color indexed="62"/>
      </left>
      <right/>
      <top style="double">
        <color indexed="62"/>
      </top>
      <bottom style="double">
        <color indexed="62"/>
      </bottom>
      <diagonal/>
    </border>
    <border>
      <left/>
      <right/>
      <top style="double">
        <color indexed="62"/>
      </top>
      <bottom style="double">
        <color indexed="62"/>
      </bottom>
      <diagonal/>
    </border>
    <border>
      <left/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thin">
        <color indexed="62"/>
      </bottom>
      <diagonal/>
    </border>
    <border>
      <left style="medium">
        <color indexed="62"/>
      </left>
      <right/>
      <top style="medium">
        <color indexed="62"/>
      </top>
      <bottom/>
      <diagonal/>
    </border>
    <border>
      <left/>
      <right/>
      <top style="medium">
        <color indexed="62"/>
      </top>
      <bottom/>
      <diagonal/>
    </border>
    <border>
      <left/>
      <right style="medium">
        <color indexed="62"/>
      </right>
      <top style="medium">
        <color indexed="62"/>
      </top>
      <bottom/>
      <diagonal/>
    </border>
    <border>
      <left style="medium">
        <color indexed="62"/>
      </left>
      <right/>
      <top/>
      <bottom style="thin">
        <color indexed="62"/>
      </bottom>
      <diagonal/>
    </border>
    <border>
      <left/>
      <right style="medium">
        <color indexed="62"/>
      </right>
      <top/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/>
      <diagonal/>
    </border>
    <border>
      <left/>
      <right/>
      <top style="thin">
        <color indexed="62"/>
      </top>
      <bottom/>
      <diagonal/>
    </border>
    <border>
      <left/>
      <right style="medium">
        <color indexed="62"/>
      </right>
      <top style="thin">
        <color indexed="62"/>
      </top>
      <bottom/>
      <diagonal/>
    </border>
    <border>
      <left style="medium">
        <color indexed="62"/>
      </left>
      <right/>
      <top/>
      <bottom style="medium">
        <color indexed="62"/>
      </bottom>
      <diagonal/>
    </border>
    <border>
      <left/>
      <right/>
      <top/>
      <bottom style="medium">
        <color indexed="62"/>
      </bottom>
      <diagonal/>
    </border>
    <border>
      <left/>
      <right style="medium">
        <color indexed="62"/>
      </right>
      <top/>
      <bottom style="medium">
        <color indexed="62"/>
      </bottom>
      <diagonal/>
    </border>
    <border>
      <left style="medium">
        <color indexed="62"/>
      </left>
      <right/>
      <top style="medium">
        <color indexed="62"/>
      </top>
      <bottom style="thin">
        <color indexed="62"/>
      </bottom>
      <diagonal/>
    </border>
    <border>
      <left/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/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medium">
        <color indexed="62"/>
      </bottom>
      <diagonal/>
    </border>
    <border>
      <left/>
      <right style="medium">
        <color indexed="62"/>
      </right>
      <top style="thin">
        <color indexed="62"/>
      </top>
      <bottom style="medium">
        <color indexed="62"/>
      </bottom>
      <diagonal/>
    </border>
    <border>
      <left/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hair">
        <color indexed="62"/>
      </top>
      <bottom style="hair">
        <color indexed="62"/>
      </bottom>
      <diagonal/>
    </border>
    <border>
      <left style="medium">
        <color indexed="62"/>
      </left>
      <right/>
      <top style="hair">
        <color indexed="62"/>
      </top>
      <bottom style="hair">
        <color indexed="62"/>
      </bottom>
      <diagonal/>
    </border>
    <border>
      <left/>
      <right style="thin">
        <color indexed="62"/>
      </right>
      <top style="hair">
        <color indexed="62"/>
      </top>
      <bottom style="hair">
        <color indexed="62"/>
      </bottom>
      <diagonal/>
    </border>
    <border>
      <left/>
      <right style="medium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2"/>
      </left>
      <right style="medium">
        <color indexed="62"/>
      </right>
      <top style="hair">
        <color indexed="62"/>
      </top>
      <bottom style="hair">
        <color indexed="62"/>
      </bottom>
      <diagonal/>
    </border>
    <border>
      <left style="thin">
        <color indexed="62"/>
      </left>
      <right style="thin">
        <color indexed="62"/>
      </right>
      <top/>
      <bottom style="thin">
        <color indexed="62"/>
      </bottom>
      <diagonal/>
    </border>
    <border>
      <left style="thin">
        <color indexed="62"/>
      </left>
      <right style="medium">
        <color indexed="62"/>
      </right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2"/>
      </left>
      <right/>
      <top/>
      <bottom/>
      <diagonal/>
    </border>
    <border>
      <left/>
      <right style="medium">
        <color indexed="62"/>
      </right>
      <top/>
      <bottom/>
      <diagonal/>
    </border>
    <border>
      <left style="thick">
        <color theme="4"/>
      </left>
      <right/>
      <top style="thick">
        <color theme="4"/>
      </top>
      <bottom/>
      <diagonal/>
    </border>
    <border>
      <left/>
      <right/>
      <top style="thick">
        <color theme="4"/>
      </top>
      <bottom/>
      <diagonal/>
    </border>
    <border>
      <left/>
      <right style="thick">
        <color theme="4"/>
      </right>
      <top style="thick">
        <color theme="4"/>
      </top>
      <bottom/>
      <diagonal/>
    </border>
    <border>
      <left style="thick">
        <color theme="4"/>
      </left>
      <right/>
      <top/>
      <bottom/>
      <diagonal/>
    </border>
    <border>
      <left/>
      <right style="thick">
        <color theme="4"/>
      </right>
      <top/>
      <bottom/>
      <diagonal/>
    </border>
    <border>
      <left style="thick">
        <color theme="4"/>
      </left>
      <right/>
      <top/>
      <bottom style="thick">
        <color theme="4"/>
      </bottom>
      <diagonal/>
    </border>
    <border>
      <left/>
      <right style="thick">
        <color theme="4"/>
      </right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2"/>
      </left>
      <right style="medium">
        <color indexed="62"/>
      </right>
      <top/>
      <bottom/>
      <diagonal/>
    </border>
    <border>
      <left style="thin">
        <color indexed="62"/>
      </left>
      <right/>
      <top style="thin">
        <color indexed="62"/>
      </top>
      <bottom/>
      <diagonal/>
    </border>
    <border>
      <left style="thin">
        <color indexed="62"/>
      </left>
      <right/>
      <top/>
      <bottom style="medium">
        <color indexed="62"/>
      </bottom>
      <diagonal/>
    </border>
    <border>
      <left style="medium">
        <color indexed="62"/>
      </left>
      <right/>
      <top style="hair">
        <color indexed="62"/>
      </top>
      <bottom/>
      <diagonal/>
    </border>
    <border>
      <left/>
      <right style="thin">
        <color indexed="62"/>
      </right>
      <top style="hair">
        <color indexed="62"/>
      </top>
      <bottom/>
      <diagonal/>
    </border>
    <border>
      <left/>
      <right style="thin">
        <color indexed="62"/>
      </right>
      <top style="thin">
        <color indexed="62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2"/>
      </left>
      <right/>
      <top style="thin">
        <color indexed="62"/>
      </top>
      <bottom style="hair">
        <color indexed="62"/>
      </bottom>
      <diagonal/>
    </border>
    <border>
      <left/>
      <right style="thin">
        <color indexed="62"/>
      </right>
      <top style="thin">
        <color indexed="62"/>
      </top>
      <bottom style="hair">
        <color indexed="62"/>
      </bottom>
      <diagonal/>
    </border>
    <border>
      <left style="medium">
        <color indexed="62"/>
      </left>
      <right style="thin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2"/>
      </left>
      <right style="medium">
        <color indexed="62"/>
      </right>
      <top style="thin">
        <color indexed="62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medium">
        <color theme="4"/>
      </right>
      <top style="thin">
        <color theme="4"/>
      </top>
      <bottom/>
      <diagonal/>
    </border>
  </borders>
  <cellStyleXfs count="3">
    <xf numFmtId="0" fontId="0" fillId="0" borderId="0">
      <alignment vertical="center"/>
    </xf>
    <xf numFmtId="0" fontId="1" fillId="0" borderId="0" applyFont="0"/>
    <xf numFmtId="38" fontId="31" fillId="0" borderId="0" applyFont="0" applyFill="0" applyBorder="0" applyAlignment="0" applyProtection="0">
      <alignment vertical="center"/>
    </xf>
  </cellStyleXfs>
  <cellXfs count="174">
    <xf numFmtId="0" fontId="0" fillId="0" borderId="0" xfId="0">
      <alignment vertical="center"/>
    </xf>
    <xf numFmtId="0" fontId="2" fillId="0" borderId="0" xfId="1" applyFont="1" applyAlignme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 applyAlignment="1">
      <alignment vertical="center"/>
    </xf>
    <xf numFmtId="176" fontId="7" fillId="0" borderId="0" xfId="1" applyNumberFormat="1" applyFont="1" applyAlignment="1">
      <alignment horizontal="right" vertical="center"/>
    </xf>
    <xf numFmtId="0" fontId="8" fillId="0" borderId="0" xfId="1" applyFont="1" applyAlignment="1">
      <alignment vertical="center"/>
    </xf>
    <xf numFmtId="177" fontId="7" fillId="0" borderId="0" xfId="1" applyNumberFormat="1" applyFont="1" applyAlignment="1">
      <alignment horizontal="right" vertical="center"/>
    </xf>
    <xf numFmtId="49" fontId="9" fillId="0" borderId="5" xfId="1" applyNumberFormat="1" applyFont="1" applyBorder="1" applyAlignment="1">
      <alignment horizontal="left" vertical="center"/>
    </xf>
    <xf numFmtId="0" fontId="10" fillId="0" borderId="5" xfId="1" applyFont="1" applyBorder="1" applyAlignment="1">
      <alignment horizontal="left" vertical="center"/>
    </xf>
    <xf numFmtId="0" fontId="7" fillId="0" borderId="0" xfId="1" applyFont="1" applyAlignment="1">
      <alignment horizontal="right" vertical="center"/>
    </xf>
    <xf numFmtId="0" fontId="8" fillId="0" borderId="0" xfId="1" applyFont="1" applyAlignment="1">
      <alignment horizontal="left" vertical="center"/>
    </xf>
    <xf numFmtId="49" fontId="11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vertical="center"/>
    </xf>
    <xf numFmtId="0" fontId="8" fillId="0" borderId="0" xfId="0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0" fontId="14" fillId="0" borderId="0" xfId="1" applyFont="1" applyAlignment="1">
      <alignment vertical="center"/>
    </xf>
    <xf numFmtId="0" fontId="15" fillId="0" borderId="17" xfId="1" applyFont="1" applyBorder="1" applyAlignment="1">
      <alignment horizontal="left" vertical="center"/>
    </xf>
    <xf numFmtId="176" fontId="15" fillId="0" borderId="18" xfId="1" applyNumberFormat="1" applyFont="1" applyBorder="1" applyAlignment="1">
      <alignment horizontal="left" vertical="center"/>
    </xf>
    <xf numFmtId="0" fontId="15" fillId="0" borderId="19" xfId="1" applyFont="1" applyBorder="1" applyAlignment="1">
      <alignment horizontal="left" vertical="center"/>
    </xf>
    <xf numFmtId="176" fontId="15" fillId="0" borderId="20" xfId="1" applyNumberFormat="1" applyFont="1" applyBorder="1" applyAlignment="1">
      <alignment horizontal="left" vertical="center"/>
    </xf>
    <xf numFmtId="0" fontId="15" fillId="0" borderId="20" xfId="1" applyFont="1" applyBorder="1" applyAlignment="1">
      <alignment horizontal="left" vertical="center"/>
    </xf>
    <xf numFmtId="0" fontId="15" fillId="0" borderId="21" xfId="1" applyFont="1" applyBorder="1" applyAlignment="1">
      <alignment horizontal="left" vertical="center"/>
    </xf>
    <xf numFmtId="0" fontId="15" fillId="0" borderId="22" xfId="1" applyFont="1" applyBorder="1" applyAlignment="1">
      <alignment horizontal="left" vertical="center"/>
    </xf>
    <xf numFmtId="0" fontId="12" fillId="0" borderId="17" xfId="1" applyFont="1" applyBorder="1" applyAlignment="1">
      <alignment horizontal="centerContinuous" vertical="center"/>
    </xf>
    <xf numFmtId="0" fontId="12" fillId="0" borderId="23" xfId="1" applyFont="1" applyBorder="1" applyAlignment="1">
      <alignment horizontal="centerContinuous" vertical="center"/>
    </xf>
    <xf numFmtId="0" fontId="12" fillId="0" borderId="24" xfId="1" applyFont="1" applyBorder="1" applyAlignment="1">
      <alignment horizontal="center" vertical="center"/>
    </xf>
    <xf numFmtId="0" fontId="12" fillId="0" borderId="25" xfId="1" applyFont="1" applyBorder="1" applyAlignment="1">
      <alignment horizontal="center" vertical="center"/>
    </xf>
    <xf numFmtId="0" fontId="16" fillId="0" borderId="26" xfId="1" applyFont="1" applyBorder="1" applyAlignment="1">
      <alignment horizontal="center" vertical="center"/>
    </xf>
    <xf numFmtId="7" fontId="2" fillId="0" borderId="0" xfId="1" applyNumberFormat="1" applyFont="1" applyAlignment="1">
      <alignment vertical="center"/>
    </xf>
    <xf numFmtId="5" fontId="18" fillId="0" borderId="26" xfId="1" applyNumberFormat="1" applyFont="1" applyBorder="1" applyAlignment="1">
      <alignment vertical="center"/>
    </xf>
    <xf numFmtId="5" fontId="18" fillId="0" borderId="29" xfId="1" applyNumberFormat="1" applyFont="1" applyBorder="1" applyAlignment="1">
      <alignment vertical="center"/>
    </xf>
    <xf numFmtId="0" fontId="15" fillId="0" borderId="27" xfId="1" applyFont="1" applyBorder="1" applyAlignment="1">
      <alignment horizontal="left" vertical="center"/>
    </xf>
    <xf numFmtId="0" fontId="15" fillId="0" borderId="28" xfId="1" applyFont="1" applyBorder="1" applyAlignment="1">
      <alignment vertical="center"/>
    </xf>
    <xf numFmtId="0" fontId="18" fillId="0" borderId="26" xfId="1" applyFont="1" applyBorder="1" applyAlignment="1">
      <alignment horizontal="center" vertical="center"/>
    </xf>
    <xf numFmtId="5" fontId="16" fillId="0" borderId="26" xfId="1" applyNumberFormat="1" applyFont="1" applyBorder="1" applyAlignment="1">
      <alignment vertical="center"/>
    </xf>
    <xf numFmtId="5" fontId="16" fillId="0" borderId="30" xfId="1" applyNumberFormat="1" applyFont="1" applyBorder="1" applyAlignment="1">
      <alignment vertical="center"/>
    </xf>
    <xf numFmtId="5" fontId="19" fillId="0" borderId="26" xfId="1" applyNumberFormat="1" applyFont="1" applyBorder="1" applyAlignment="1">
      <alignment vertical="center"/>
    </xf>
    <xf numFmtId="0" fontId="12" fillId="0" borderId="27" xfId="1" applyFont="1" applyBorder="1" applyAlignment="1">
      <alignment vertical="center"/>
    </xf>
    <xf numFmtId="0" fontId="12" fillId="0" borderId="28" xfId="1" applyFont="1" applyBorder="1" applyAlignment="1">
      <alignment vertical="center"/>
    </xf>
    <xf numFmtId="0" fontId="19" fillId="0" borderId="31" xfId="1" applyFont="1" applyBorder="1" applyAlignment="1">
      <alignment horizontal="center" vertical="center"/>
    </xf>
    <xf numFmtId="5" fontId="16" fillId="0" borderId="31" xfId="1" applyNumberFormat="1" applyFont="1" applyBorder="1" applyAlignment="1">
      <alignment horizontal="center" vertical="center"/>
    </xf>
    <xf numFmtId="5" fontId="20" fillId="0" borderId="32" xfId="1" applyNumberFormat="1" applyFont="1" applyBorder="1" applyAlignment="1">
      <alignment vertical="center"/>
    </xf>
    <xf numFmtId="5" fontId="12" fillId="0" borderId="35" xfId="1" applyNumberFormat="1" applyFont="1" applyBorder="1" applyAlignment="1">
      <alignment vertical="center"/>
    </xf>
    <xf numFmtId="0" fontId="21" fillId="0" borderId="0" xfId="1" applyFont="1" applyAlignment="1">
      <alignment vertical="center"/>
    </xf>
    <xf numFmtId="0" fontId="2" fillId="0" borderId="6" xfId="1" applyFont="1" applyBorder="1" applyAlignment="1">
      <alignment horizontal="left" vertical="center" indent="1"/>
    </xf>
    <xf numFmtId="0" fontId="2" fillId="0" borderId="7" xfId="1" applyFont="1" applyBorder="1" applyAlignment="1">
      <alignment horizontal="left" vertical="center" indent="1"/>
    </xf>
    <xf numFmtId="0" fontId="2" fillId="0" borderId="8" xfId="1" applyFont="1" applyBorder="1" applyAlignment="1">
      <alignment vertical="center"/>
    </xf>
    <xf numFmtId="0" fontId="22" fillId="0" borderId="36" xfId="0" applyFont="1" applyBorder="1" applyAlignment="1">
      <alignment horizontal="left" indent="1"/>
    </xf>
    <xf numFmtId="0" fontId="22" fillId="0" borderId="0" xfId="1" applyFont="1" applyAlignment="1">
      <alignment horizontal="left" vertical="center" indent="1"/>
    </xf>
    <xf numFmtId="0" fontId="2" fillId="0" borderId="0" xfId="1" applyFont="1" applyAlignment="1">
      <alignment horizontal="left" vertical="center" indent="1"/>
    </xf>
    <xf numFmtId="0" fontId="2" fillId="0" borderId="37" xfId="1" applyFont="1" applyBorder="1" applyAlignment="1">
      <alignment vertical="center"/>
    </xf>
    <xf numFmtId="0" fontId="22" fillId="0" borderId="14" xfId="1" applyFont="1" applyBorder="1" applyAlignment="1">
      <alignment horizontal="left" vertical="center" indent="1"/>
    </xf>
    <xf numFmtId="0" fontId="22" fillId="0" borderId="15" xfId="1" applyFont="1" applyBorder="1" applyAlignment="1">
      <alignment horizontal="left" vertical="center" indent="1"/>
    </xf>
    <xf numFmtId="0" fontId="2" fillId="0" borderId="15" xfId="1" applyFont="1" applyBorder="1" applyAlignment="1">
      <alignment horizontal="left" vertical="center" indent="1"/>
    </xf>
    <xf numFmtId="0" fontId="2" fillId="0" borderId="16" xfId="1" applyFont="1" applyBorder="1" applyAlignment="1">
      <alignment vertical="center"/>
    </xf>
    <xf numFmtId="0" fontId="23" fillId="2" borderId="0" xfId="0" applyFont="1" applyFill="1">
      <alignment vertical="center"/>
    </xf>
    <xf numFmtId="0" fontId="23" fillId="2" borderId="38" xfId="0" applyFont="1" applyFill="1" applyBorder="1">
      <alignment vertical="center"/>
    </xf>
    <xf numFmtId="0" fontId="23" fillId="2" borderId="39" xfId="0" applyFont="1" applyFill="1" applyBorder="1">
      <alignment vertical="center"/>
    </xf>
    <xf numFmtId="0" fontId="23" fillId="2" borderId="40" xfId="0" applyFont="1" applyFill="1" applyBorder="1">
      <alignment vertical="center"/>
    </xf>
    <xf numFmtId="0" fontId="23" fillId="2" borderId="41" xfId="0" applyFont="1" applyFill="1" applyBorder="1">
      <alignment vertical="center"/>
    </xf>
    <xf numFmtId="0" fontId="23" fillId="2" borderId="42" xfId="0" applyFont="1" applyFill="1" applyBorder="1">
      <alignment vertical="center"/>
    </xf>
    <xf numFmtId="0" fontId="24" fillId="2" borderId="41" xfId="0" applyFont="1" applyFill="1" applyBorder="1">
      <alignment vertical="center"/>
    </xf>
    <xf numFmtId="0" fontId="24" fillId="2" borderId="45" xfId="0" applyFont="1" applyFill="1" applyBorder="1">
      <alignment vertical="center"/>
    </xf>
    <xf numFmtId="0" fontId="23" fillId="2" borderId="43" xfId="0" applyFont="1" applyFill="1" applyBorder="1">
      <alignment vertical="center"/>
    </xf>
    <xf numFmtId="0" fontId="23" fillId="2" borderId="1" xfId="0" applyFont="1" applyFill="1" applyBorder="1">
      <alignment vertical="center"/>
    </xf>
    <xf numFmtId="0" fontId="23" fillId="2" borderId="44" xfId="0" applyFont="1" applyFill="1" applyBorder="1">
      <alignment vertical="center"/>
    </xf>
    <xf numFmtId="0" fontId="7" fillId="0" borderId="0" xfId="1" applyFont="1" applyAlignment="1">
      <alignment horizontal="left" vertical="center"/>
    </xf>
    <xf numFmtId="5" fontId="12" fillId="0" borderId="46" xfId="1" applyNumberFormat="1" applyFont="1" applyBorder="1" applyAlignment="1">
      <alignment vertical="center"/>
    </xf>
    <xf numFmtId="0" fontId="15" fillId="2" borderId="48" xfId="0" applyFont="1" applyFill="1" applyBorder="1" applyAlignment="1">
      <alignment horizontal="left" vertical="top"/>
    </xf>
    <xf numFmtId="0" fontId="15" fillId="2" borderId="15" xfId="0" applyFont="1" applyFill="1" applyBorder="1" applyAlignment="1">
      <alignment horizontal="left" vertical="top" wrapText="1"/>
    </xf>
    <xf numFmtId="0" fontId="15" fillId="2" borderId="16" xfId="0" applyFont="1" applyFill="1" applyBorder="1" applyAlignment="1">
      <alignment horizontal="left" vertical="top" wrapText="1"/>
    </xf>
    <xf numFmtId="0" fontId="12" fillId="0" borderId="27" xfId="1" applyFont="1" applyBorder="1" applyAlignment="1">
      <alignment horizontal="left" vertical="center"/>
    </xf>
    <xf numFmtId="0" fontId="12" fillId="0" borderId="28" xfId="1" applyFont="1" applyBorder="1" applyAlignment="1">
      <alignment horizontal="left" vertical="center"/>
    </xf>
    <xf numFmtId="0" fontId="12" fillId="0" borderId="49" xfId="1" applyFont="1" applyBorder="1" applyAlignment="1">
      <alignment horizontal="left" vertical="center"/>
    </xf>
    <xf numFmtId="0" fontId="12" fillId="0" borderId="50" xfId="1" applyFont="1" applyBorder="1" applyAlignment="1">
      <alignment horizontal="left" vertical="center"/>
    </xf>
    <xf numFmtId="5" fontId="17" fillId="0" borderId="29" xfId="1" applyNumberFormat="1" applyFont="1" applyBorder="1" applyAlignment="1">
      <alignment vertical="center"/>
    </xf>
    <xf numFmtId="5" fontId="17" fillId="0" borderId="30" xfId="1" applyNumberFormat="1" applyFont="1" applyBorder="1" applyAlignment="1">
      <alignment vertical="center"/>
    </xf>
    <xf numFmtId="0" fontId="12" fillId="0" borderId="27" xfId="1" applyFont="1" applyBorder="1" applyAlignment="1">
      <alignment vertical="center" shrinkToFit="1"/>
    </xf>
    <xf numFmtId="0" fontId="12" fillId="0" borderId="28" xfId="1" applyFont="1" applyBorder="1" applyAlignment="1">
      <alignment vertical="center" shrinkToFit="1"/>
    </xf>
    <xf numFmtId="0" fontId="12" fillId="0" borderId="49" xfId="1" applyFont="1" applyBorder="1" applyAlignment="1">
      <alignment horizontal="center" vertical="center"/>
    </xf>
    <xf numFmtId="0" fontId="16" fillId="0" borderId="0" xfId="0" applyFont="1">
      <alignment vertical="center"/>
    </xf>
    <xf numFmtId="0" fontId="16" fillId="3" borderId="0" xfId="0" applyFont="1" applyFill="1">
      <alignment vertical="center"/>
    </xf>
    <xf numFmtId="0" fontId="16" fillId="0" borderId="52" xfId="0" applyFont="1" applyBorder="1">
      <alignment vertical="center"/>
    </xf>
    <xf numFmtId="0" fontId="16" fillId="0" borderId="54" xfId="0" applyFont="1" applyBorder="1">
      <alignment vertical="center"/>
    </xf>
    <xf numFmtId="0" fontId="16" fillId="0" borderId="55" xfId="0" applyFont="1" applyBorder="1">
      <alignment vertical="center"/>
    </xf>
    <xf numFmtId="0" fontId="16" fillId="0" borderId="53" xfId="0" applyFont="1" applyBorder="1">
      <alignment vertical="center"/>
    </xf>
    <xf numFmtId="0" fontId="9" fillId="0" borderId="5" xfId="1" applyFont="1" applyBorder="1" applyAlignment="1">
      <alignment horizontal="left" vertical="center"/>
    </xf>
    <xf numFmtId="0" fontId="16" fillId="5" borderId="26" xfId="1" applyFont="1" applyFill="1" applyBorder="1" applyAlignment="1">
      <alignment horizontal="center" vertical="center"/>
    </xf>
    <xf numFmtId="5" fontId="28" fillId="5" borderId="30" xfId="1" applyNumberFormat="1" applyFont="1" applyFill="1" applyBorder="1" applyAlignment="1">
      <alignment vertical="center"/>
    </xf>
    <xf numFmtId="178" fontId="7" fillId="0" borderId="0" xfId="1" applyNumberFormat="1" applyFont="1" applyAlignment="1">
      <alignment horizontal="right" vertical="center"/>
    </xf>
    <xf numFmtId="178" fontId="23" fillId="2" borderId="0" xfId="0" applyNumberFormat="1" applyFont="1" applyFill="1">
      <alignment vertical="center"/>
    </xf>
    <xf numFmtId="5" fontId="12" fillId="5" borderId="26" xfId="1" applyNumberFormat="1" applyFont="1" applyFill="1" applyBorder="1" applyAlignment="1">
      <alignment vertical="center"/>
    </xf>
    <xf numFmtId="5" fontId="12" fillId="0" borderId="26" xfId="1" applyNumberFormat="1" applyFont="1" applyBorder="1" applyAlignment="1">
      <alignment vertical="center"/>
    </xf>
    <xf numFmtId="5" fontId="15" fillId="0" borderId="26" xfId="1" applyNumberFormat="1" applyFont="1" applyBorder="1" applyAlignment="1">
      <alignment vertical="center"/>
    </xf>
    <xf numFmtId="0" fontId="15" fillId="0" borderId="27" xfId="1" applyFont="1" applyBorder="1" applyAlignment="1">
      <alignment vertical="center"/>
    </xf>
    <xf numFmtId="0" fontId="15" fillId="0" borderId="50" xfId="1" applyFont="1" applyBorder="1" applyAlignment="1">
      <alignment horizontal="left" vertical="center"/>
    </xf>
    <xf numFmtId="0" fontId="30" fillId="5" borderId="56" xfId="1" applyFont="1" applyFill="1" applyBorder="1" applyAlignment="1">
      <alignment horizontal="left" vertical="center" shrinkToFit="1"/>
    </xf>
    <xf numFmtId="0" fontId="30" fillId="5" borderId="57" xfId="1" applyFont="1" applyFill="1" applyBorder="1" applyAlignment="1">
      <alignment horizontal="left" vertical="center" shrinkToFit="1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6" xfId="1" applyFont="1" applyBorder="1" applyAlignment="1">
      <alignment vertical="center" wrapText="1" shrinkToFit="1"/>
    </xf>
    <xf numFmtId="0" fontId="12" fillId="0" borderId="7" xfId="1" applyFont="1" applyBorder="1" applyAlignment="1">
      <alignment vertical="center" wrapText="1" shrinkToFit="1"/>
    </xf>
    <xf numFmtId="0" fontId="12" fillId="0" borderId="8" xfId="1" applyFont="1" applyBorder="1" applyAlignment="1">
      <alignment vertical="center" wrapText="1" shrinkToFit="1"/>
    </xf>
    <xf numFmtId="0" fontId="12" fillId="0" borderId="9" xfId="1" applyFont="1" applyBorder="1" applyAlignment="1">
      <alignment vertical="center" wrapText="1" shrinkToFit="1"/>
    </xf>
    <xf numFmtId="0" fontId="12" fillId="0" borderId="5" xfId="1" applyFont="1" applyBorder="1" applyAlignment="1">
      <alignment vertical="center" wrapText="1" shrinkToFit="1"/>
    </xf>
    <xf numFmtId="0" fontId="12" fillId="0" borderId="10" xfId="1" applyFont="1" applyBorder="1" applyAlignment="1">
      <alignment vertical="center" wrapText="1" shrinkToFit="1"/>
    </xf>
    <xf numFmtId="0" fontId="12" fillId="0" borderId="11" xfId="1" applyFont="1" applyBorder="1" applyAlignment="1">
      <alignment horizontal="center" vertical="center"/>
    </xf>
    <xf numFmtId="0" fontId="12" fillId="0" borderId="14" xfId="1" applyFont="1" applyBorder="1" applyAlignment="1">
      <alignment horizontal="center" vertical="center"/>
    </xf>
    <xf numFmtId="5" fontId="13" fillId="0" borderId="11" xfId="1" applyNumberFormat="1" applyFont="1" applyBorder="1" applyAlignment="1">
      <alignment horizontal="center" vertical="center"/>
    </xf>
    <xf numFmtId="5" fontId="13" fillId="0" borderId="12" xfId="1" applyNumberFormat="1" applyFont="1" applyBorder="1" applyAlignment="1">
      <alignment horizontal="center" vertical="center"/>
    </xf>
    <xf numFmtId="5" fontId="13" fillId="0" borderId="13" xfId="1" applyNumberFormat="1" applyFont="1" applyBorder="1" applyAlignment="1">
      <alignment horizontal="center" vertical="center"/>
    </xf>
    <xf numFmtId="5" fontId="13" fillId="0" borderId="14" xfId="1" applyNumberFormat="1" applyFont="1" applyBorder="1" applyAlignment="1">
      <alignment horizontal="center" vertical="center"/>
    </xf>
    <xf numFmtId="5" fontId="13" fillId="0" borderId="15" xfId="1" applyNumberFormat="1" applyFont="1" applyBorder="1" applyAlignment="1">
      <alignment horizontal="center" vertical="center"/>
    </xf>
    <xf numFmtId="5" fontId="13" fillId="0" borderId="16" xfId="1" applyNumberFormat="1" applyFont="1" applyBorder="1" applyAlignment="1">
      <alignment horizontal="center" vertical="center"/>
    </xf>
    <xf numFmtId="0" fontId="12" fillId="0" borderId="19" xfId="1" applyFont="1" applyBorder="1" applyAlignment="1">
      <alignment horizontal="right" vertical="center"/>
    </xf>
    <xf numFmtId="0" fontId="12" fillId="0" borderId="33" xfId="1" applyFont="1" applyBorder="1" applyAlignment="1">
      <alignment horizontal="right" vertical="center"/>
    </xf>
    <xf numFmtId="0" fontId="12" fillId="0" borderId="34" xfId="1" applyFont="1" applyBorder="1" applyAlignment="1">
      <alignment horizontal="right" vertical="center"/>
    </xf>
    <xf numFmtId="0" fontId="15" fillId="2" borderId="47" xfId="0" applyFont="1" applyFill="1" applyBorder="1" applyAlignment="1">
      <alignment horizontal="left" vertical="top" wrapText="1"/>
    </xf>
    <xf numFmtId="0" fontId="15" fillId="2" borderId="12" xfId="0" applyFont="1" applyFill="1" applyBorder="1" applyAlignment="1">
      <alignment horizontal="left" vertical="top" wrapText="1"/>
    </xf>
    <xf numFmtId="0" fontId="15" fillId="2" borderId="13" xfId="0" applyFont="1" applyFill="1" applyBorder="1" applyAlignment="1">
      <alignment horizontal="left" vertical="top" wrapText="1"/>
    </xf>
    <xf numFmtId="0" fontId="25" fillId="2" borderId="45" xfId="0" applyFont="1" applyFill="1" applyBorder="1" applyAlignment="1">
      <alignment horizontal="center" vertical="center" shrinkToFit="1"/>
    </xf>
    <xf numFmtId="0" fontId="23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 wrapText="1" shrinkToFit="1"/>
    </xf>
    <xf numFmtId="0" fontId="29" fillId="2" borderId="0" xfId="0" applyFont="1" applyFill="1" applyAlignment="1">
      <alignment horizontal="center" vertical="center" shrinkToFit="1"/>
    </xf>
    <xf numFmtId="0" fontId="26" fillId="2" borderId="0" xfId="0" applyFont="1" applyFill="1" applyAlignment="1">
      <alignment horizontal="center" vertical="center"/>
    </xf>
    <xf numFmtId="0" fontId="12" fillId="0" borderId="11" xfId="1" applyFont="1" applyBorder="1" applyAlignment="1">
      <alignment horizontal="left" vertical="center" shrinkToFit="1"/>
    </xf>
    <xf numFmtId="0" fontId="12" fillId="0" borderId="51" xfId="1" applyFont="1" applyBorder="1" applyAlignment="1">
      <alignment horizontal="left" vertical="center" shrinkToFit="1"/>
    </xf>
    <xf numFmtId="0" fontId="12" fillId="0" borderId="6" xfId="1" applyFont="1" applyBorder="1" applyAlignment="1">
      <alignment vertical="center" shrinkToFit="1"/>
    </xf>
    <xf numFmtId="0" fontId="12" fillId="0" borderId="7" xfId="1" applyFont="1" applyBorder="1" applyAlignment="1">
      <alignment vertical="center" shrinkToFit="1"/>
    </xf>
    <xf numFmtId="0" fontId="12" fillId="0" borderId="8" xfId="1" applyFont="1" applyBorder="1" applyAlignment="1">
      <alignment vertical="center" shrinkToFit="1"/>
    </xf>
    <xf numFmtId="0" fontId="12" fillId="0" borderId="9" xfId="1" applyFont="1" applyBorder="1" applyAlignment="1">
      <alignment vertical="center" shrinkToFit="1"/>
    </xf>
    <xf numFmtId="0" fontId="12" fillId="0" borderId="5" xfId="1" applyFont="1" applyBorder="1" applyAlignment="1">
      <alignment vertical="center" shrinkToFit="1"/>
    </xf>
    <xf numFmtId="0" fontId="12" fillId="0" borderId="10" xfId="1" applyFont="1" applyBorder="1" applyAlignment="1">
      <alignment vertical="center" shrinkToFit="1"/>
    </xf>
    <xf numFmtId="0" fontId="12" fillId="0" borderId="27" xfId="1" applyFont="1" applyBorder="1" applyAlignment="1">
      <alignment horizontal="left" vertical="center"/>
    </xf>
    <xf numFmtId="0" fontId="12" fillId="0" borderId="28" xfId="1" applyFont="1" applyBorder="1" applyAlignment="1">
      <alignment horizontal="left" vertical="center"/>
    </xf>
    <xf numFmtId="0" fontId="12" fillId="0" borderId="27" xfId="1" applyFont="1" applyBorder="1" applyAlignment="1">
      <alignment horizontal="left" vertical="center" shrinkToFit="1"/>
    </xf>
    <xf numFmtId="0" fontId="12" fillId="0" borderId="28" xfId="1" applyFont="1" applyBorder="1" applyAlignment="1">
      <alignment horizontal="left" vertical="center" shrinkToFit="1"/>
    </xf>
    <xf numFmtId="0" fontId="15" fillId="0" borderId="27" xfId="1" applyFont="1" applyBorder="1" applyAlignment="1">
      <alignment horizontal="left" vertical="center" wrapText="1"/>
    </xf>
    <xf numFmtId="0" fontId="15" fillId="0" borderId="28" xfId="1" applyFont="1" applyBorder="1" applyAlignment="1">
      <alignment horizontal="left" vertical="center" wrapText="1"/>
    </xf>
    <xf numFmtId="0" fontId="30" fillId="5" borderId="56" xfId="1" applyFont="1" applyFill="1" applyBorder="1" applyAlignment="1">
      <alignment horizontal="left" vertical="center" wrapText="1" shrinkToFit="1"/>
    </xf>
    <xf numFmtId="0" fontId="27" fillId="4" borderId="0" xfId="0" applyFont="1" applyFill="1" applyAlignment="1">
      <alignment horizontal="center" vertical="center"/>
    </xf>
    <xf numFmtId="0" fontId="13" fillId="0" borderId="6" xfId="1" applyFont="1" applyBorder="1" applyAlignment="1">
      <alignment vertical="center" wrapText="1"/>
    </xf>
    <xf numFmtId="0" fontId="13" fillId="0" borderId="7" xfId="1" applyFont="1" applyBorder="1" applyAlignment="1">
      <alignment vertical="center"/>
    </xf>
    <xf numFmtId="0" fontId="13" fillId="0" borderId="8" xfId="1" applyFont="1" applyBorder="1" applyAlignment="1">
      <alignment vertical="center"/>
    </xf>
    <xf numFmtId="0" fontId="13" fillId="0" borderId="9" xfId="1" applyFont="1" applyBorder="1" applyAlignment="1">
      <alignment vertical="center"/>
    </xf>
    <xf numFmtId="0" fontId="13" fillId="0" borderId="5" xfId="1" applyFont="1" applyBorder="1" applyAlignment="1">
      <alignment vertical="center"/>
    </xf>
    <xf numFmtId="0" fontId="13" fillId="0" borderId="10" xfId="1" applyFont="1" applyBorder="1" applyAlignment="1">
      <alignment vertical="center"/>
    </xf>
    <xf numFmtId="38" fontId="32" fillId="0" borderId="0" xfId="2" applyFont="1" applyAlignment="1">
      <alignment vertical="center"/>
    </xf>
    <xf numFmtId="0" fontId="12" fillId="0" borderId="58" xfId="1" applyFont="1" applyBorder="1" applyAlignment="1">
      <alignment horizontal="centerContinuous" vertical="center"/>
    </xf>
    <xf numFmtId="0" fontId="12" fillId="0" borderId="24" xfId="1" applyFont="1" applyBorder="1" applyAlignment="1">
      <alignment horizontal="centerContinuous" vertical="center"/>
    </xf>
    <xf numFmtId="0" fontId="30" fillId="6" borderId="19" xfId="1" applyFont="1" applyFill="1" applyBorder="1" applyAlignment="1">
      <alignment horizontal="left" vertical="center"/>
    </xf>
    <xf numFmtId="0" fontId="30" fillId="6" borderId="34" xfId="1" applyFont="1" applyFill="1" applyBorder="1" applyAlignment="1">
      <alignment horizontal="left" vertical="center"/>
    </xf>
    <xf numFmtId="0" fontId="12" fillId="6" borderId="31" xfId="1" applyFont="1" applyFill="1" applyBorder="1" applyAlignment="1">
      <alignment horizontal="center" vertical="center"/>
    </xf>
    <xf numFmtId="0" fontId="12" fillId="6" borderId="32" xfId="1" applyFont="1" applyFill="1" applyBorder="1" applyAlignment="1">
      <alignment horizontal="center" vertical="center"/>
    </xf>
    <xf numFmtId="0" fontId="33" fillId="0" borderId="59" xfId="1" applyFont="1" applyBorder="1" applyAlignment="1">
      <alignment vertical="center"/>
    </xf>
    <xf numFmtId="0" fontId="33" fillId="0" borderId="60" xfId="1" applyFont="1" applyBorder="1" applyAlignment="1">
      <alignment vertical="center"/>
    </xf>
    <xf numFmtId="0" fontId="33" fillId="0" borderId="60" xfId="1" applyFont="1" applyBorder="1" applyAlignment="1">
      <alignment horizontal="center" vertical="center"/>
    </xf>
    <xf numFmtId="5" fontId="33" fillId="0" borderId="60" xfId="1" applyNumberFormat="1" applyFont="1" applyBorder="1" applyAlignment="1">
      <alignment vertical="center"/>
    </xf>
    <xf numFmtId="5" fontId="33" fillId="0" borderId="35" xfId="1" applyNumberFormat="1" applyFont="1" applyBorder="1" applyAlignment="1">
      <alignment vertical="center"/>
    </xf>
    <xf numFmtId="5" fontId="2" fillId="0" borderId="0" xfId="1" applyNumberFormat="1" applyFont="1" applyAlignment="1">
      <alignment vertical="center"/>
    </xf>
    <xf numFmtId="0" fontId="33" fillId="0" borderId="19" xfId="1" applyFont="1" applyBorder="1" applyAlignment="1">
      <alignment vertical="center"/>
    </xf>
    <xf numFmtId="0" fontId="33" fillId="0" borderId="34" xfId="1" applyFont="1" applyBorder="1" applyAlignment="1">
      <alignment vertical="center"/>
    </xf>
    <xf numFmtId="0" fontId="33" fillId="0" borderId="19" xfId="1" applyFont="1" applyBorder="1" applyAlignment="1">
      <alignment horizontal="left" vertical="center"/>
    </xf>
    <xf numFmtId="0" fontId="33" fillId="0" borderId="34" xfId="1" applyFont="1" applyBorder="1" applyAlignment="1">
      <alignment horizontal="left" vertical="center"/>
    </xf>
    <xf numFmtId="6" fontId="2" fillId="0" borderId="0" xfId="1" applyNumberFormat="1" applyFont="1" applyAlignment="1">
      <alignment vertical="center"/>
    </xf>
    <xf numFmtId="0" fontId="12" fillId="0" borderId="59" xfId="1" applyFont="1" applyBorder="1" applyAlignment="1">
      <alignment horizontal="right" vertical="center"/>
    </xf>
    <xf numFmtId="0" fontId="12" fillId="0" borderId="60" xfId="1" applyFont="1" applyBorder="1" applyAlignment="1">
      <alignment horizontal="right" vertical="center"/>
    </xf>
    <xf numFmtId="5" fontId="33" fillId="0" borderId="61" xfId="1" applyNumberFormat="1" applyFont="1" applyBorder="1" applyAlignment="1">
      <alignment vertical="center"/>
    </xf>
    <xf numFmtId="5" fontId="33" fillId="0" borderId="62" xfId="1" applyNumberFormat="1" applyFont="1" applyBorder="1" applyAlignment="1">
      <alignment vertical="center"/>
    </xf>
    <xf numFmtId="5" fontId="33" fillId="0" borderId="63" xfId="1" applyNumberFormat="1" applyFont="1" applyBorder="1" applyAlignment="1">
      <alignment vertical="center"/>
    </xf>
  </cellXfs>
  <cellStyles count="3">
    <cellStyle name="桁区切り" xfId="2" builtinId="6"/>
    <cellStyle name="標準" xfId="0" builtinId="0"/>
    <cellStyle name="標準_20071101かほく市概算見積" xfId="1" xr:uid="{60989826-C093-419B-AE1D-E9FE362D7A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210462</xdr:colOff>
      <xdr:row>40</xdr:row>
      <xdr:rowOff>13605</xdr:rowOff>
    </xdr:from>
    <xdr:to>
      <xdr:col>9</xdr:col>
      <xdr:colOff>323074</xdr:colOff>
      <xdr:row>42</xdr:row>
      <xdr:rowOff>108855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02009F7-D34D-417A-A240-F97DAC4C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9355" y="8831034"/>
          <a:ext cx="3487183" cy="50346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244928</xdr:colOff>
      <xdr:row>32</xdr:row>
      <xdr:rowOff>27215</xdr:rowOff>
    </xdr:from>
    <xdr:to>
      <xdr:col>12</xdr:col>
      <xdr:colOff>31280</xdr:colOff>
      <xdr:row>45</xdr:row>
      <xdr:rowOff>26345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88F59F1-DBC6-A18B-5A38-631C5F47A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71107" y="7007679"/>
          <a:ext cx="2956816" cy="25300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349251</xdr:colOff>
      <xdr:row>6</xdr:row>
      <xdr:rowOff>3176</xdr:rowOff>
    </xdr:from>
    <xdr:to>
      <xdr:col>6</xdr:col>
      <xdr:colOff>1606551</xdr:colOff>
      <xdr:row>7</xdr:row>
      <xdr:rowOff>207030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E8B1655-4C6D-413F-9667-91AB053AC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4626" y="1431926"/>
          <a:ext cx="3082925" cy="42610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6</xdr:row>
      <xdr:rowOff>3176</xdr:rowOff>
    </xdr:from>
    <xdr:to>
      <xdr:col>6</xdr:col>
      <xdr:colOff>1960034</xdr:colOff>
      <xdr:row>7</xdr:row>
      <xdr:rowOff>207030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34F4291-5B26-4BDE-9C0B-3A213BADE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89917" y="1453093"/>
          <a:ext cx="3213100" cy="42716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1174749</xdr:colOff>
      <xdr:row>5</xdr:row>
      <xdr:rowOff>95250</xdr:rowOff>
    </xdr:from>
    <xdr:to>
      <xdr:col>6</xdr:col>
      <xdr:colOff>1789049</xdr:colOff>
      <xdr:row>8</xdr:row>
      <xdr:rowOff>19051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1F85CD7E-50A9-45A6-9A22-482C1E30A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24082" y="1312333"/>
          <a:ext cx="611125" cy="622301"/>
        </a:xfrm>
        <a:prstGeom prst="rect">
          <a:avLst/>
        </a:prstGeom>
      </xdr:spPr>
    </xdr:pic>
    <xdr:clientData/>
  </xdr:twoCellAnchor>
  <xdr:twoCellAnchor>
    <xdr:from>
      <xdr:col>8</xdr:col>
      <xdr:colOff>874058</xdr:colOff>
      <xdr:row>15</xdr:row>
      <xdr:rowOff>156882</xdr:rowOff>
    </xdr:from>
    <xdr:to>
      <xdr:col>15</xdr:col>
      <xdr:colOff>328706</xdr:colOff>
      <xdr:row>32</xdr:row>
      <xdr:rowOff>239061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68217C7-F5DE-43D7-BC4F-9975A44AACCB}"/>
            </a:ext>
          </a:extLst>
        </xdr:cNvPr>
        <xdr:cNvSpPr/>
      </xdr:nvSpPr>
      <xdr:spPr>
        <a:xfrm>
          <a:off x="8513108" y="3617632"/>
          <a:ext cx="4452098" cy="4095379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</a:t>
          </a:r>
          <a:r>
            <a:rPr kumimoji="1" lang="ja-JP" altLang="en-US" sz="1100">
              <a:solidFill>
                <a:schemeClr val="tx1"/>
              </a:solidFill>
            </a:rPr>
            <a:t>財務書類作成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項目は一定線汎用的にしていますが、追加修正等は各自お願いします。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2.PPP</a:t>
          </a:r>
          <a:r>
            <a:rPr kumimoji="1" lang="ja-JP" altLang="en-US" sz="1100">
              <a:solidFill>
                <a:schemeClr val="tx1"/>
              </a:solidFill>
            </a:rPr>
            <a:t>保守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変更無し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3.</a:t>
          </a:r>
          <a:r>
            <a:rPr kumimoji="1" lang="ja-JP" altLang="en-US" sz="1100">
              <a:solidFill>
                <a:schemeClr val="tx1"/>
              </a:solidFill>
            </a:rPr>
            <a:t>機器更新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PC</a:t>
          </a:r>
          <a:r>
            <a:rPr kumimoji="1" lang="ja-JP" altLang="en-US" sz="1100">
              <a:solidFill>
                <a:schemeClr val="tx1"/>
              </a:solidFill>
            </a:rPr>
            <a:t>調達含めシステムディにて行います。よって</a:t>
          </a:r>
          <a:r>
            <a:rPr kumimoji="1" lang="en-US" altLang="ja-JP" sz="1100">
              <a:solidFill>
                <a:schemeClr val="tx1"/>
              </a:solidFill>
            </a:rPr>
            <a:t>SD</a:t>
          </a:r>
          <a:r>
            <a:rPr kumimoji="1" lang="ja-JP" altLang="en-US" sz="1100">
              <a:solidFill>
                <a:schemeClr val="tx1"/>
              </a:solidFill>
            </a:rPr>
            <a:t>との連携必要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4.</a:t>
          </a:r>
          <a:r>
            <a:rPr kumimoji="1" lang="ja-JP" altLang="en-US" sz="1100">
              <a:solidFill>
                <a:schemeClr val="tx1"/>
              </a:solidFill>
            </a:rPr>
            <a:t>当社仕入れ原価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I</a:t>
          </a:r>
          <a:r>
            <a:rPr kumimoji="1" lang="ja-JP" altLang="en-US" sz="1100">
              <a:solidFill>
                <a:schemeClr val="tx1"/>
              </a:solidFill>
            </a:rPr>
            <a:t>列に記載しています。今回の機器更新は仕入れを下げる行為が出来ません。よって最低限かかる金額の認識でお願いします。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上記含め、金額は各エリアによって調整してください。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6</xdr:row>
      <xdr:rowOff>3176</xdr:rowOff>
    </xdr:from>
    <xdr:to>
      <xdr:col>6</xdr:col>
      <xdr:colOff>1960034</xdr:colOff>
      <xdr:row>7</xdr:row>
      <xdr:rowOff>203855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FE0B08E-6D7D-4689-B173-4B734B012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441451"/>
          <a:ext cx="3210984" cy="42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1174749</xdr:colOff>
      <xdr:row>5</xdr:row>
      <xdr:rowOff>95250</xdr:rowOff>
    </xdr:from>
    <xdr:to>
      <xdr:col>6</xdr:col>
      <xdr:colOff>1789049</xdr:colOff>
      <xdr:row>8</xdr:row>
      <xdr:rowOff>19051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710C18E-EB31-4BAA-BF04-EBFE5D03A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2074" y="1304925"/>
          <a:ext cx="611125" cy="609601"/>
        </a:xfrm>
        <a:prstGeom prst="rect">
          <a:avLst/>
        </a:prstGeom>
      </xdr:spPr>
    </xdr:pic>
    <xdr:clientData/>
  </xdr:twoCellAnchor>
  <xdr:twoCellAnchor>
    <xdr:from>
      <xdr:col>8</xdr:col>
      <xdr:colOff>874058</xdr:colOff>
      <xdr:row>15</xdr:row>
      <xdr:rowOff>156882</xdr:rowOff>
    </xdr:from>
    <xdr:to>
      <xdr:col>15</xdr:col>
      <xdr:colOff>328706</xdr:colOff>
      <xdr:row>32</xdr:row>
      <xdr:rowOff>239061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FAD0623B-8469-4A7A-9379-DDE45CF123FA}"/>
            </a:ext>
          </a:extLst>
        </xdr:cNvPr>
        <xdr:cNvSpPr/>
      </xdr:nvSpPr>
      <xdr:spPr>
        <a:xfrm>
          <a:off x="8903633" y="3623982"/>
          <a:ext cx="4455273" cy="4016004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</a:t>
          </a:r>
          <a:r>
            <a:rPr kumimoji="1" lang="ja-JP" altLang="en-US" sz="1100">
              <a:solidFill>
                <a:schemeClr val="tx1"/>
              </a:solidFill>
            </a:rPr>
            <a:t>財務書類作成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項目は一定線汎用的にしていますが、追加修正等は各自お願いします。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2.PPP</a:t>
          </a:r>
          <a:r>
            <a:rPr kumimoji="1" lang="ja-JP" altLang="en-US" sz="1100">
              <a:solidFill>
                <a:schemeClr val="tx1"/>
              </a:solidFill>
            </a:rPr>
            <a:t>保守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変更無し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3.</a:t>
          </a:r>
          <a:r>
            <a:rPr kumimoji="1" lang="ja-JP" altLang="en-US" sz="1100">
              <a:solidFill>
                <a:schemeClr val="tx1"/>
              </a:solidFill>
            </a:rPr>
            <a:t>機器更新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PC</a:t>
          </a:r>
          <a:r>
            <a:rPr kumimoji="1" lang="ja-JP" altLang="en-US" sz="1100">
              <a:solidFill>
                <a:schemeClr val="tx1"/>
              </a:solidFill>
            </a:rPr>
            <a:t>調達含めシステムディにて行います。よって</a:t>
          </a:r>
          <a:r>
            <a:rPr kumimoji="1" lang="en-US" altLang="ja-JP" sz="1100">
              <a:solidFill>
                <a:schemeClr val="tx1"/>
              </a:solidFill>
            </a:rPr>
            <a:t>SD</a:t>
          </a:r>
          <a:r>
            <a:rPr kumimoji="1" lang="ja-JP" altLang="en-US" sz="1100">
              <a:solidFill>
                <a:schemeClr val="tx1"/>
              </a:solidFill>
            </a:rPr>
            <a:t>との連携必要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4.</a:t>
          </a:r>
          <a:r>
            <a:rPr kumimoji="1" lang="ja-JP" altLang="en-US" sz="1100">
              <a:solidFill>
                <a:schemeClr val="tx1"/>
              </a:solidFill>
            </a:rPr>
            <a:t>当社仕入れ原価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I</a:t>
          </a:r>
          <a:r>
            <a:rPr kumimoji="1" lang="ja-JP" altLang="en-US" sz="1100">
              <a:solidFill>
                <a:schemeClr val="tx1"/>
              </a:solidFill>
            </a:rPr>
            <a:t>列に記載しています。今回の機器更新は仕入れを下げる行為が出来ません。よって最低限かかる金額の認識でお願いします。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上記含め、金額は各エリアによって調整してください。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349251</xdr:colOff>
      <xdr:row>8</xdr:row>
      <xdr:rowOff>117476</xdr:rowOff>
    </xdr:from>
    <xdr:to>
      <xdr:col>6</xdr:col>
      <xdr:colOff>1616076</xdr:colOff>
      <xdr:row>10</xdr:row>
      <xdr:rowOff>92730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243EFC6-5E45-4970-8915-6D1685D6A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7326" y="1933576"/>
          <a:ext cx="3086100" cy="43245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1027938</xdr:colOff>
      <xdr:row>8</xdr:row>
      <xdr:rowOff>51562</xdr:rowOff>
    </xdr:from>
    <xdr:to>
      <xdr:col>6</xdr:col>
      <xdr:colOff>1639063</xdr:colOff>
      <xdr:row>10</xdr:row>
      <xdr:rowOff>207138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FA631A26-48A2-4220-8434-07BA6684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6502400" y="1870075"/>
          <a:ext cx="609601" cy="61112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571500</xdr:colOff>
      <xdr:row>6</xdr:row>
      <xdr:rowOff>3176</xdr:rowOff>
    </xdr:from>
    <xdr:to>
      <xdr:col>6</xdr:col>
      <xdr:colOff>1953684</xdr:colOff>
      <xdr:row>7</xdr:row>
      <xdr:rowOff>197505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B88C2859-BF85-4EB2-9052-32C95C386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10025" y="1441451"/>
          <a:ext cx="3210984" cy="42292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6</xdr:col>
      <xdr:colOff>1174749</xdr:colOff>
      <xdr:row>5</xdr:row>
      <xdr:rowOff>95250</xdr:rowOff>
    </xdr:from>
    <xdr:to>
      <xdr:col>6</xdr:col>
      <xdr:colOff>1785874</xdr:colOff>
      <xdr:row>8</xdr:row>
      <xdr:rowOff>19051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CE731B0-9947-4084-9090-6297ABB41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2074" y="1304925"/>
          <a:ext cx="611125" cy="609601"/>
        </a:xfrm>
        <a:prstGeom prst="rect">
          <a:avLst/>
        </a:prstGeom>
      </xdr:spPr>
    </xdr:pic>
    <xdr:clientData/>
  </xdr:twoCellAnchor>
  <xdr:twoCellAnchor>
    <xdr:from>
      <xdr:col>8</xdr:col>
      <xdr:colOff>874058</xdr:colOff>
      <xdr:row>15</xdr:row>
      <xdr:rowOff>156882</xdr:rowOff>
    </xdr:from>
    <xdr:to>
      <xdr:col>15</xdr:col>
      <xdr:colOff>328706</xdr:colOff>
      <xdr:row>32</xdr:row>
      <xdr:rowOff>239061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9E103AF2-98DC-4F49-A4BE-FCDB4B394FEE}"/>
            </a:ext>
          </a:extLst>
        </xdr:cNvPr>
        <xdr:cNvSpPr/>
      </xdr:nvSpPr>
      <xdr:spPr>
        <a:xfrm>
          <a:off x="8903633" y="3623982"/>
          <a:ext cx="4455273" cy="4016004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>
              <a:solidFill>
                <a:schemeClr val="tx1"/>
              </a:solidFill>
            </a:rPr>
            <a:t>1.</a:t>
          </a:r>
          <a:r>
            <a:rPr kumimoji="1" lang="ja-JP" altLang="en-US" sz="1100">
              <a:solidFill>
                <a:schemeClr val="tx1"/>
              </a:solidFill>
            </a:rPr>
            <a:t>財務書類作成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項目は一定線汎用的にしていますが、追加修正等は各自お願いします。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2.PPP</a:t>
          </a:r>
          <a:r>
            <a:rPr kumimoji="1" lang="ja-JP" altLang="en-US" sz="1100">
              <a:solidFill>
                <a:schemeClr val="tx1"/>
              </a:solidFill>
            </a:rPr>
            <a:t>保守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変更無し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3.</a:t>
          </a:r>
          <a:r>
            <a:rPr kumimoji="1" lang="ja-JP" altLang="en-US" sz="1100">
              <a:solidFill>
                <a:schemeClr val="tx1"/>
              </a:solidFill>
            </a:rPr>
            <a:t>機器更新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PC</a:t>
          </a:r>
          <a:r>
            <a:rPr kumimoji="1" lang="ja-JP" altLang="en-US" sz="1100">
              <a:solidFill>
                <a:schemeClr val="tx1"/>
              </a:solidFill>
            </a:rPr>
            <a:t>調達含めシステムディにて行います。よって</a:t>
          </a:r>
          <a:r>
            <a:rPr kumimoji="1" lang="en-US" altLang="ja-JP" sz="1100">
              <a:solidFill>
                <a:schemeClr val="tx1"/>
              </a:solidFill>
            </a:rPr>
            <a:t>SD</a:t>
          </a:r>
          <a:r>
            <a:rPr kumimoji="1" lang="ja-JP" altLang="en-US" sz="1100">
              <a:solidFill>
                <a:schemeClr val="tx1"/>
              </a:solidFill>
            </a:rPr>
            <a:t>との連携必要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en-US" altLang="ja-JP" sz="1100">
              <a:solidFill>
                <a:schemeClr val="tx1"/>
              </a:solidFill>
            </a:rPr>
            <a:t>4.</a:t>
          </a:r>
          <a:r>
            <a:rPr kumimoji="1" lang="ja-JP" altLang="en-US" sz="1100">
              <a:solidFill>
                <a:schemeClr val="tx1"/>
              </a:solidFill>
            </a:rPr>
            <a:t>当社仕入れ原価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>
              <a:solidFill>
                <a:schemeClr val="tx1"/>
              </a:solidFill>
            </a:rPr>
            <a:t>　</a:t>
          </a:r>
          <a:r>
            <a:rPr kumimoji="1" lang="en-US" altLang="ja-JP" sz="1100">
              <a:solidFill>
                <a:schemeClr val="tx1"/>
              </a:solidFill>
            </a:rPr>
            <a:t>I</a:t>
          </a:r>
          <a:r>
            <a:rPr kumimoji="1" lang="ja-JP" altLang="en-US" sz="1100">
              <a:solidFill>
                <a:schemeClr val="tx1"/>
              </a:solidFill>
            </a:rPr>
            <a:t>列に記載しています。今回の機器更新は仕入れを下げる行為が出来ません。よって最低限かかる金額の認識でお願いします。</a:t>
          </a:r>
          <a:endParaRPr kumimoji="1" lang="en-US" altLang="ja-JP" sz="1100">
            <a:solidFill>
              <a:schemeClr val="tx1"/>
            </a:solidFill>
          </a:endParaRPr>
        </a:p>
        <a:p>
          <a:pPr algn="l"/>
          <a:endParaRPr kumimoji="1" lang="en-US" altLang="ja-JP" sz="1100">
            <a:solidFill>
              <a:schemeClr val="tx1"/>
            </a:solidFill>
          </a:endParaRPr>
        </a:p>
        <a:p>
          <a:pPr algn="l"/>
          <a:r>
            <a:rPr kumimoji="1" lang="ja-JP" altLang="en-US" sz="1100" b="1">
              <a:solidFill>
                <a:schemeClr val="tx1"/>
              </a:solidFill>
            </a:rPr>
            <a:t>上記含め、金額は各エリアによって調整してください。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02409-3A3D-48CB-9310-43FEA289EB8B}">
  <dimension ref="B1:L45"/>
  <sheetViews>
    <sheetView tabSelected="1" view="pageBreakPreview" topLeftCell="A5" zoomScaleNormal="100" zoomScaleSheetLayoutView="100" workbookViewId="0">
      <selection activeCell="C17" sqref="C17:K19"/>
    </sheetView>
  </sheetViews>
  <sheetFormatPr defaultColWidth="9" defaultRowHeight="15.75" x14ac:dyDescent="0.4"/>
  <cols>
    <col min="1" max="1" width="1.25" style="56" customWidth="1"/>
    <col min="2" max="2" width="2.125" style="56" customWidth="1"/>
    <col min="3" max="5" width="9" style="56"/>
    <col min="6" max="7" width="4.25" style="56" customWidth="1"/>
    <col min="8" max="11" width="9" style="56"/>
    <col min="12" max="12" width="1.625" style="56" customWidth="1"/>
    <col min="13" max="13" width="1.25" style="56" customWidth="1"/>
    <col min="14" max="16384" width="9" style="56"/>
  </cols>
  <sheetData>
    <row r="1" spans="2:12" ht="6" customHeight="1" thickBot="1" x14ac:dyDescent="0.45"/>
    <row r="2" spans="2:12" ht="16.5" thickTop="1" x14ac:dyDescent="0.4">
      <c r="B2" s="57"/>
      <c r="C2" s="58"/>
      <c r="D2" s="58"/>
      <c r="E2" s="58"/>
      <c r="F2" s="58"/>
      <c r="G2" s="58"/>
      <c r="H2" s="58"/>
      <c r="I2" s="58"/>
      <c r="J2" s="58"/>
      <c r="K2" s="58"/>
      <c r="L2" s="59"/>
    </row>
    <row r="3" spans="2:12" x14ac:dyDescent="0.4">
      <c r="B3" s="60"/>
      <c r="L3" s="61"/>
    </row>
    <row r="4" spans="2:12" x14ac:dyDescent="0.4">
      <c r="B4" s="60"/>
      <c r="G4" s="91"/>
      <c r="L4" s="61"/>
    </row>
    <row r="5" spans="2:12" x14ac:dyDescent="0.4">
      <c r="B5" s="60"/>
      <c r="L5" s="61"/>
    </row>
    <row r="6" spans="2:12" ht="29.25" customHeight="1" x14ac:dyDescent="0.4">
      <c r="B6" s="62"/>
      <c r="C6" s="124" t="s">
        <v>236</v>
      </c>
      <c r="D6" s="124"/>
      <c r="E6" s="124"/>
      <c r="F6" s="63" t="s">
        <v>67</v>
      </c>
      <c r="L6" s="61"/>
    </row>
    <row r="7" spans="2:12" x14ac:dyDescent="0.4">
      <c r="B7" s="60"/>
      <c r="L7" s="61"/>
    </row>
    <row r="8" spans="2:12" x14ac:dyDescent="0.4">
      <c r="B8" s="60"/>
      <c r="L8" s="61"/>
    </row>
    <row r="9" spans="2:12" x14ac:dyDescent="0.4">
      <c r="B9" s="60"/>
      <c r="L9" s="61"/>
    </row>
    <row r="10" spans="2:12" x14ac:dyDescent="0.4">
      <c r="B10" s="60"/>
      <c r="L10" s="61"/>
    </row>
    <row r="11" spans="2:12" x14ac:dyDescent="0.4">
      <c r="B11" s="60"/>
      <c r="L11" s="61"/>
    </row>
    <row r="12" spans="2:12" x14ac:dyDescent="0.4">
      <c r="B12" s="60"/>
      <c r="L12" s="61"/>
    </row>
    <row r="13" spans="2:12" x14ac:dyDescent="0.4">
      <c r="B13" s="60"/>
      <c r="C13" s="125"/>
      <c r="D13" s="125"/>
      <c r="E13" s="125"/>
      <c r="F13" s="125"/>
      <c r="G13" s="125"/>
      <c r="L13" s="61"/>
    </row>
    <row r="14" spans="2:12" x14ac:dyDescent="0.4">
      <c r="B14" s="60"/>
      <c r="L14" s="61"/>
    </row>
    <row r="15" spans="2:12" x14ac:dyDescent="0.4">
      <c r="B15" s="60"/>
      <c r="L15" s="61"/>
    </row>
    <row r="16" spans="2:12" x14ac:dyDescent="0.4">
      <c r="B16" s="60"/>
      <c r="L16" s="61"/>
    </row>
    <row r="17" spans="2:12" ht="29.25" customHeight="1" x14ac:dyDescent="0.4">
      <c r="B17" s="60"/>
      <c r="C17" s="126" t="s">
        <v>240</v>
      </c>
      <c r="D17" s="127"/>
      <c r="E17" s="127"/>
      <c r="F17" s="127"/>
      <c r="G17" s="127"/>
      <c r="H17" s="127"/>
      <c r="I17" s="127"/>
      <c r="J17" s="127"/>
      <c r="K17" s="127"/>
      <c r="L17" s="61"/>
    </row>
    <row r="18" spans="2:12" ht="29.25" customHeight="1" x14ac:dyDescent="0.4">
      <c r="B18" s="60"/>
      <c r="C18" s="127"/>
      <c r="D18" s="127"/>
      <c r="E18" s="127"/>
      <c r="F18" s="127"/>
      <c r="G18" s="127"/>
      <c r="H18" s="127"/>
      <c r="I18" s="127"/>
      <c r="J18" s="127"/>
      <c r="K18" s="127"/>
      <c r="L18" s="61"/>
    </row>
    <row r="19" spans="2:12" ht="29.25" customHeight="1" x14ac:dyDescent="0.4">
      <c r="B19" s="60"/>
      <c r="C19" s="127"/>
      <c r="D19" s="127"/>
      <c r="E19" s="127"/>
      <c r="F19" s="127"/>
      <c r="G19" s="127"/>
      <c r="H19" s="127"/>
      <c r="I19" s="127"/>
      <c r="J19" s="127"/>
      <c r="K19" s="127"/>
      <c r="L19" s="61"/>
    </row>
    <row r="20" spans="2:12" x14ac:dyDescent="0.4">
      <c r="B20" s="60"/>
      <c r="C20" s="128" t="s">
        <v>66</v>
      </c>
      <c r="D20" s="128"/>
      <c r="E20" s="128"/>
      <c r="F20" s="128"/>
      <c r="G20" s="128"/>
      <c r="H20" s="128"/>
      <c r="I20" s="128"/>
      <c r="J20" s="128"/>
      <c r="K20" s="128"/>
      <c r="L20" s="61"/>
    </row>
    <row r="21" spans="2:12" x14ac:dyDescent="0.4">
      <c r="B21" s="60"/>
      <c r="C21" s="128"/>
      <c r="D21" s="128"/>
      <c r="E21" s="128"/>
      <c r="F21" s="128"/>
      <c r="G21" s="128"/>
      <c r="H21" s="128"/>
      <c r="I21" s="128"/>
      <c r="J21" s="128"/>
      <c r="K21" s="128"/>
      <c r="L21" s="61"/>
    </row>
    <row r="22" spans="2:12" x14ac:dyDescent="0.4">
      <c r="B22" s="60"/>
      <c r="C22" s="128"/>
      <c r="D22" s="128"/>
      <c r="E22" s="128"/>
      <c r="F22" s="128"/>
      <c r="G22" s="128"/>
      <c r="H22" s="128"/>
      <c r="I22" s="128"/>
      <c r="J22" s="128"/>
      <c r="K22" s="128"/>
      <c r="L22" s="61"/>
    </row>
    <row r="23" spans="2:12" x14ac:dyDescent="0.4">
      <c r="B23" s="60"/>
      <c r="L23" s="61"/>
    </row>
    <row r="24" spans="2:12" x14ac:dyDescent="0.4">
      <c r="B24" s="60"/>
      <c r="L24" s="61"/>
    </row>
    <row r="25" spans="2:12" x14ac:dyDescent="0.4">
      <c r="B25" s="60"/>
      <c r="L25" s="61"/>
    </row>
    <row r="26" spans="2:12" x14ac:dyDescent="0.4">
      <c r="B26" s="60"/>
      <c r="L26" s="61"/>
    </row>
    <row r="27" spans="2:12" x14ac:dyDescent="0.4">
      <c r="B27" s="60"/>
      <c r="L27" s="61"/>
    </row>
    <row r="28" spans="2:12" x14ac:dyDescent="0.4">
      <c r="B28" s="60"/>
      <c r="L28" s="61"/>
    </row>
    <row r="29" spans="2:12" x14ac:dyDescent="0.4">
      <c r="B29" s="60"/>
      <c r="L29" s="61"/>
    </row>
    <row r="30" spans="2:12" x14ac:dyDescent="0.4">
      <c r="B30" s="60"/>
      <c r="L30" s="61"/>
    </row>
    <row r="31" spans="2:12" x14ac:dyDescent="0.4">
      <c r="B31" s="60"/>
      <c r="L31" s="61"/>
    </row>
    <row r="32" spans="2:12" x14ac:dyDescent="0.4">
      <c r="B32" s="60"/>
      <c r="L32" s="61"/>
    </row>
    <row r="33" spans="2:12" x14ac:dyDescent="0.4">
      <c r="B33" s="60"/>
      <c r="L33" s="61"/>
    </row>
    <row r="34" spans="2:12" x14ac:dyDescent="0.4">
      <c r="B34" s="60"/>
      <c r="L34" s="61"/>
    </row>
    <row r="35" spans="2:12" x14ac:dyDescent="0.4">
      <c r="B35" s="60"/>
      <c r="L35" s="61"/>
    </row>
    <row r="36" spans="2:12" x14ac:dyDescent="0.4">
      <c r="B36" s="60"/>
      <c r="L36" s="61"/>
    </row>
    <row r="37" spans="2:12" x14ac:dyDescent="0.4">
      <c r="B37" s="60"/>
      <c r="L37" s="61"/>
    </row>
    <row r="38" spans="2:12" x14ac:dyDescent="0.4">
      <c r="B38" s="60"/>
      <c r="L38" s="61"/>
    </row>
    <row r="39" spans="2:12" x14ac:dyDescent="0.4">
      <c r="B39" s="60"/>
      <c r="L39" s="61"/>
    </row>
    <row r="40" spans="2:12" x14ac:dyDescent="0.4">
      <c r="B40" s="60"/>
      <c r="L40" s="61"/>
    </row>
    <row r="41" spans="2:12" x14ac:dyDescent="0.4">
      <c r="B41" s="60"/>
      <c r="L41" s="61"/>
    </row>
    <row r="42" spans="2:12" x14ac:dyDescent="0.4">
      <c r="B42" s="60"/>
      <c r="L42" s="61"/>
    </row>
    <row r="43" spans="2:12" x14ac:dyDescent="0.4">
      <c r="B43" s="60"/>
      <c r="L43" s="61"/>
    </row>
    <row r="44" spans="2:12" ht="16.5" thickBot="1" x14ac:dyDescent="0.45">
      <c r="B44" s="64"/>
      <c r="C44" s="65"/>
      <c r="D44" s="65"/>
      <c r="E44" s="65"/>
      <c r="F44" s="65"/>
      <c r="G44" s="65"/>
      <c r="H44" s="65"/>
      <c r="I44" s="65"/>
      <c r="J44" s="65"/>
      <c r="K44" s="65"/>
      <c r="L44" s="66"/>
    </row>
    <row r="45" spans="2:12" ht="6" customHeight="1" thickTop="1" x14ac:dyDescent="0.4"/>
  </sheetData>
  <mergeCells count="4">
    <mergeCell ref="C6:E6"/>
    <mergeCell ref="C13:G13"/>
    <mergeCell ref="C17:K19"/>
    <mergeCell ref="C20:K22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E180-A6BF-4A6C-A141-86258945CFEA}">
  <dimension ref="B1:I97"/>
  <sheetViews>
    <sheetView view="pageBreakPreview" zoomScale="85" zoomScaleNormal="100" zoomScaleSheetLayoutView="85" workbookViewId="0">
      <selection activeCell="O17" sqref="O17"/>
    </sheetView>
  </sheetViews>
  <sheetFormatPr defaultColWidth="9" defaultRowHeight="13.5" x14ac:dyDescent="0.4"/>
  <cols>
    <col min="1" max="1" width="2.875" style="1" customWidth="1"/>
    <col min="2" max="2" width="11.75" style="1" customWidth="1"/>
    <col min="3" max="3" width="24" style="1" customWidth="1"/>
    <col min="4" max="4" width="9.125" style="1" customWidth="1"/>
    <col min="5" max="5" width="9.25" style="1" customWidth="1"/>
    <col min="6" max="6" width="14.75" style="1" customWidth="1"/>
    <col min="7" max="7" width="22.25" style="1" customWidth="1"/>
    <col min="8" max="8" width="9" style="1"/>
    <col min="9" max="9" width="11.625" style="1" bestFit="1" customWidth="1"/>
    <col min="10" max="16384" width="9" style="1"/>
  </cols>
  <sheetData>
    <row r="1" spans="2:7" ht="8.25" customHeight="1" thickBot="1" x14ac:dyDescent="0.45"/>
    <row r="2" spans="2:7" ht="45.95" customHeight="1" thickTop="1" thickBot="1" x14ac:dyDescent="0.45">
      <c r="B2" s="99" t="s">
        <v>0</v>
      </c>
      <c r="C2" s="100"/>
      <c r="D2" s="100"/>
      <c r="E2" s="100"/>
      <c r="F2" s="100"/>
      <c r="G2" s="101"/>
    </row>
    <row r="3" spans="2:7" ht="10.5" customHeight="1" thickTop="1" x14ac:dyDescent="0.4">
      <c r="B3" s="2"/>
      <c r="C3" s="2"/>
      <c r="D3" s="2"/>
      <c r="E3" s="2"/>
      <c r="F3" s="2"/>
      <c r="G3" s="2"/>
    </row>
    <row r="4" spans="2:7" s="3" customFormat="1" ht="16.5" customHeight="1" x14ac:dyDescent="0.4">
      <c r="G4" s="4">
        <f ca="1">TODAY()</f>
        <v>46121</v>
      </c>
    </row>
    <row r="5" spans="2:7" s="3" customFormat="1" ht="14.25" customHeight="1" x14ac:dyDescent="0.4">
      <c r="F5" s="5"/>
      <c r="G5" s="6"/>
    </row>
    <row r="6" spans="2:7" s="3" customFormat="1" ht="18" customHeight="1" x14ac:dyDescent="0.4">
      <c r="B6" s="7" t="s">
        <v>72</v>
      </c>
      <c r="C6" s="8"/>
      <c r="D6" s="67" t="s">
        <v>1</v>
      </c>
      <c r="F6" s="10"/>
    </row>
    <row r="7" spans="2:7" s="3" customFormat="1" ht="18" customHeight="1" x14ac:dyDescent="0.4">
      <c r="B7" s="11"/>
      <c r="C7" s="12"/>
      <c r="D7" s="9"/>
      <c r="F7" s="10"/>
    </row>
    <row r="8" spans="2:7" s="3" customFormat="1" ht="18" customHeight="1" x14ac:dyDescent="0.4">
      <c r="B8" s="13"/>
      <c r="C8" s="13"/>
      <c r="F8" s="5"/>
    </row>
    <row r="9" spans="2:7" s="3" customFormat="1" ht="18" customHeight="1" x14ac:dyDescent="0.4">
      <c r="B9" s="12"/>
      <c r="C9" s="12"/>
      <c r="F9" s="5"/>
      <c r="G9" s="14" t="s">
        <v>2</v>
      </c>
    </row>
    <row r="10" spans="2:7" s="3" customFormat="1" ht="18" customHeight="1" x14ac:dyDescent="0.4">
      <c r="C10" s="12"/>
      <c r="F10" s="5"/>
      <c r="G10" s="14" t="s">
        <v>3</v>
      </c>
    </row>
    <row r="11" spans="2:7" s="3" customFormat="1" ht="18" customHeight="1" x14ac:dyDescent="0.4">
      <c r="F11" s="5"/>
    </row>
    <row r="12" spans="2:7" s="3" customFormat="1" ht="12.75" customHeight="1" x14ac:dyDescent="0.4">
      <c r="B12" s="5" t="s">
        <v>4</v>
      </c>
      <c r="E12" s="5"/>
    </row>
    <row r="13" spans="2:7" s="3" customFormat="1" ht="20.25" customHeight="1" x14ac:dyDescent="0.4">
      <c r="B13" s="5" t="s">
        <v>5</v>
      </c>
    </row>
    <row r="14" spans="2:7" ht="21" customHeight="1" thickBot="1" x14ac:dyDescent="0.45"/>
    <row r="15" spans="2:7" ht="15.95" customHeight="1" x14ac:dyDescent="0.4">
      <c r="B15" s="102" t="s">
        <v>6</v>
      </c>
      <c r="C15" s="131" t="s">
        <v>69</v>
      </c>
      <c r="D15" s="132"/>
      <c r="E15" s="133"/>
    </row>
    <row r="16" spans="2:7" ht="15.95" customHeight="1" x14ac:dyDescent="0.4">
      <c r="B16" s="103"/>
      <c r="C16" s="134"/>
      <c r="D16" s="135"/>
      <c r="E16" s="136"/>
    </row>
    <row r="17" spans="2:9" ht="15.95" customHeight="1" x14ac:dyDescent="0.4">
      <c r="B17" s="110" t="s">
        <v>7</v>
      </c>
      <c r="C17" s="112">
        <f>G42</f>
        <v>440000</v>
      </c>
      <c r="D17" s="113"/>
      <c r="E17" s="114"/>
    </row>
    <row r="18" spans="2:9" ht="15.95" customHeight="1" thickBot="1" x14ac:dyDescent="0.45">
      <c r="B18" s="111"/>
      <c r="C18" s="115"/>
      <c r="D18" s="116"/>
      <c r="E18" s="117"/>
    </row>
    <row r="19" spans="2:9" ht="12.75" customHeight="1" thickBot="1" x14ac:dyDescent="0.45">
      <c r="D19" s="15"/>
    </row>
    <row r="20" spans="2:9" s="16" customFormat="1" ht="20.100000000000001" customHeight="1" x14ac:dyDescent="0.4">
      <c r="F20" s="17" t="s">
        <v>8</v>
      </c>
      <c r="G20" s="18" t="s">
        <v>9</v>
      </c>
    </row>
    <row r="21" spans="2:9" s="16" customFormat="1" ht="20.100000000000001" customHeight="1" x14ac:dyDescent="0.4">
      <c r="F21" s="19" t="s">
        <v>10</v>
      </c>
      <c r="G21" s="20" t="s">
        <v>11</v>
      </c>
    </row>
    <row r="22" spans="2:9" s="16" customFormat="1" ht="20.100000000000001" customHeight="1" x14ac:dyDescent="0.4">
      <c r="F22" s="19" t="s">
        <v>12</v>
      </c>
      <c r="G22" s="21" t="s">
        <v>13</v>
      </c>
    </row>
    <row r="23" spans="2:9" s="16" customFormat="1" ht="20.100000000000001" customHeight="1" thickBot="1" x14ac:dyDescent="0.45">
      <c r="F23" s="22" t="s">
        <v>14</v>
      </c>
      <c r="G23" s="23" t="s">
        <v>15</v>
      </c>
    </row>
    <row r="24" spans="2:9" ht="15.75" customHeight="1" thickBot="1" x14ac:dyDescent="0.45"/>
    <row r="25" spans="2:9" ht="20.100000000000001" customHeight="1" x14ac:dyDescent="0.4">
      <c r="B25" s="24" t="s">
        <v>16</v>
      </c>
      <c r="C25" s="25"/>
      <c r="D25" s="26" t="s">
        <v>17</v>
      </c>
      <c r="E25" s="26" t="s">
        <v>18</v>
      </c>
      <c r="F25" s="26" t="s">
        <v>19</v>
      </c>
      <c r="G25" s="27" t="s">
        <v>20</v>
      </c>
    </row>
    <row r="26" spans="2:9" ht="20.100000000000001" customHeight="1" x14ac:dyDescent="0.4">
      <c r="B26" s="129" t="s">
        <v>70</v>
      </c>
      <c r="C26" s="130"/>
      <c r="D26" s="28">
        <v>1</v>
      </c>
      <c r="E26" s="28" t="s">
        <v>21</v>
      </c>
      <c r="F26" s="35"/>
      <c r="G26" s="77">
        <v>400000</v>
      </c>
      <c r="I26" s="29"/>
    </row>
    <row r="27" spans="2:9" ht="20.100000000000001" customHeight="1" x14ac:dyDescent="0.4">
      <c r="B27" s="137"/>
      <c r="C27" s="138"/>
      <c r="D27" s="28"/>
      <c r="E27" s="28"/>
      <c r="F27" s="30"/>
      <c r="G27" s="31"/>
      <c r="I27" s="29"/>
    </row>
    <row r="28" spans="2:9" ht="20.100000000000001" customHeight="1" x14ac:dyDescent="0.4">
      <c r="B28" s="72"/>
      <c r="C28" s="73"/>
      <c r="D28" s="28"/>
      <c r="E28" s="28"/>
      <c r="F28" s="30"/>
      <c r="G28" s="31"/>
      <c r="I28" s="29"/>
    </row>
    <row r="29" spans="2:9" ht="20.100000000000001" customHeight="1" x14ac:dyDescent="0.4">
      <c r="B29" s="72"/>
      <c r="C29" s="73"/>
      <c r="D29" s="28"/>
      <c r="E29" s="28"/>
      <c r="F29" s="30"/>
      <c r="G29" s="31"/>
      <c r="I29" s="29"/>
    </row>
    <row r="30" spans="2:9" ht="20.100000000000001" customHeight="1" x14ac:dyDescent="0.4">
      <c r="B30" s="74"/>
      <c r="C30" s="75"/>
      <c r="D30" s="28"/>
      <c r="E30" s="28"/>
      <c r="F30" s="30"/>
      <c r="G30" s="31"/>
      <c r="I30" s="29"/>
    </row>
    <row r="31" spans="2:9" ht="20.100000000000001" customHeight="1" x14ac:dyDescent="0.4">
      <c r="B31" s="139"/>
      <c r="C31" s="140"/>
      <c r="D31" s="28"/>
      <c r="E31" s="28"/>
      <c r="F31" s="30"/>
      <c r="G31" s="76"/>
      <c r="I31" s="29"/>
    </row>
    <row r="32" spans="2:9" ht="20.100000000000001" customHeight="1" x14ac:dyDescent="0.4">
      <c r="B32" s="137"/>
      <c r="C32" s="138"/>
      <c r="D32" s="28"/>
      <c r="E32" s="28"/>
      <c r="F32" s="30"/>
      <c r="G32" s="31"/>
      <c r="I32" s="29"/>
    </row>
    <row r="33" spans="2:9" ht="20.100000000000001" customHeight="1" x14ac:dyDescent="0.4">
      <c r="B33" s="72"/>
      <c r="C33" s="73"/>
      <c r="D33" s="28"/>
      <c r="E33" s="28"/>
      <c r="F33" s="30"/>
      <c r="G33" s="31"/>
      <c r="I33" s="29"/>
    </row>
    <row r="34" spans="2:9" ht="20.100000000000001" customHeight="1" x14ac:dyDescent="0.4">
      <c r="B34" s="72"/>
      <c r="C34" s="73"/>
      <c r="D34" s="28"/>
      <c r="E34" s="28"/>
      <c r="F34" s="30"/>
      <c r="G34" s="31"/>
    </row>
    <row r="35" spans="2:9" ht="20.100000000000001" customHeight="1" x14ac:dyDescent="0.4">
      <c r="B35" s="32"/>
      <c r="C35" s="33"/>
      <c r="D35" s="34"/>
      <c r="E35" s="34"/>
      <c r="F35" s="35"/>
      <c r="G35" s="36"/>
    </row>
    <row r="36" spans="2:9" ht="20.100000000000001" customHeight="1" x14ac:dyDescent="0.4">
      <c r="B36" s="139"/>
      <c r="C36" s="140"/>
      <c r="D36" s="28"/>
      <c r="E36" s="28"/>
      <c r="F36" s="30"/>
      <c r="G36" s="76"/>
    </row>
    <row r="37" spans="2:9" ht="20.100000000000001" customHeight="1" x14ac:dyDescent="0.4">
      <c r="B37" s="139"/>
      <c r="C37" s="140"/>
      <c r="D37" s="28"/>
      <c r="E37" s="28"/>
      <c r="F37" s="30"/>
      <c r="G37" s="76"/>
    </row>
    <row r="38" spans="2:9" ht="20.100000000000001" customHeight="1" x14ac:dyDescent="0.4">
      <c r="B38" s="32"/>
      <c r="C38" s="33"/>
      <c r="D38" s="34"/>
      <c r="E38" s="34"/>
      <c r="F38" s="37"/>
      <c r="G38" s="68"/>
    </row>
    <row r="39" spans="2:9" ht="20.100000000000001" customHeight="1" x14ac:dyDescent="0.4">
      <c r="B39" s="38"/>
      <c r="C39" s="39"/>
      <c r="D39" s="40"/>
      <c r="E39" s="40"/>
      <c r="F39" s="41"/>
      <c r="G39" s="42"/>
    </row>
    <row r="40" spans="2:9" ht="20.100000000000001" customHeight="1" x14ac:dyDescent="0.4">
      <c r="B40" s="118" t="s">
        <v>22</v>
      </c>
      <c r="C40" s="119"/>
      <c r="D40" s="119"/>
      <c r="E40" s="119"/>
      <c r="F40" s="120"/>
      <c r="G40" s="43">
        <f>+G26+G31+G36+G37</f>
        <v>400000</v>
      </c>
    </row>
    <row r="41" spans="2:9" ht="20.100000000000001" customHeight="1" x14ac:dyDescent="0.4">
      <c r="B41" s="118" t="s">
        <v>23</v>
      </c>
      <c r="C41" s="119"/>
      <c r="D41" s="119"/>
      <c r="E41" s="119"/>
      <c r="F41" s="120"/>
      <c r="G41" s="43">
        <f>INT(G40*0.1)</f>
        <v>40000</v>
      </c>
    </row>
    <row r="42" spans="2:9" ht="20.100000000000001" customHeight="1" x14ac:dyDescent="0.4">
      <c r="B42" s="118" t="s">
        <v>24</v>
      </c>
      <c r="C42" s="119"/>
      <c r="D42" s="119"/>
      <c r="E42" s="119"/>
      <c r="F42" s="120"/>
      <c r="G42" s="43">
        <f>G40+G41</f>
        <v>440000</v>
      </c>
    </row>
    <row r="43" spans="2:9" ht="136.5" customHeight="1" x14ac:dyDescent="0.4">
      <c r="B43" s="110" t="s">
        <v>25</v>
      </c>
      <c r="C43" s="121" t="s">
        <v>68</v>
      </c>
      <c r="D43" s="122"/>
      <c r="E43" s="122"/>
      <c r="F43" s="122"/>
      <c r="G43" s="123"/>
    </row>
    <row r="44" spans="2:9" ht="15" customHeight="1" thickBot="1" x14ac:dyDescent="0.45">
      <c r="B44" s="111"/>
      <c r="C44" s="69" t="s">
        <v>71</v>
      </c>
      <c r="D44" s="70"/>
      <c r="E44" s="70"/>
      <c r="F44" s="70"/>
      <c r="G44" s="71"/>
    </row>
    <row r="46" spans="2:9" hidden="1" x14ac:dyDescent="0.4"/>
    <row r="47" spans="2:9" ht="16.5" hidden="1" customHeight="1" x14ac:dyDescent="0.4">
      <c r="B47" s="44" t="s">
        <v>26</v>
      </c>
    </row>
    <row r="48" spans="2:9" ht="7.5" hidden="1" customHeight="1" x14ac:dyDescent="0.4"/>
    <row r="49" spans="2:7" ht="7.5" hidden="1" customHeight="1" x14ac:dyDescent="0.4">
      <c r="B49" s="45"/>
      <c r="C49" s="46"/>
      <c r="D49" s="46"/>
      <c r="E49" s="46"/>
      <c r="F49" s="46"/>
      <c r="G49" s="47"/>
    </row>
    <row r="50" spans="2:7" hidden="1" x14ac:dyDescent="0.15">
      <c r="B50" s="48" t="s">
        <v>27</v>
      </c>
      <c r="C50" s="49"/>
      <c r="D50" s="49"/>
      <c r="E50" s="49"/>
      <c r="F50" s="50"/>
      <c r="G50" s="51"/>
    </row>
    <row r="51" spans="2:7" hidden="1" x14ac:dyDescent="0.15">
      <c r="B51" s="48" t="s">
        <v>28</v>
      </c>
      <c r="C51" s="49"/>
      <c r="D51" s="49"/>
      <c r="E51" s="49"/>
      <c r="F51" s="50"/>
      <c r="G51" s="51"/>
    </row>
    <row r="52" spans="2:7" hidden="1" x14ac:dyDescent="0.15">
      <c r="B52" s="48" t="s">
        <v>29</v>
      </c>
      <c r="C52" s="49"/>
      <c r="D52" s="49"/>
      <c r="E52" s="49"/>
      <c r="F52" s="50"/>
      <c r="G52" s="51"/>
    </row>
    <row r="53" spans="2:7" hidden="1" x14ac:dyDescent="0.15">
      <c r="B53" s="48" t="s">
        <v>30</v>
      </c>
      <c r="C53" s="49"/>
      <c r="D53" s="49"/>
      <c r="E53" s="49"/>
      <c r="F53" s="50"/>
      <c r="G53" s="51"/>
    </row>
    <row r="54" spans="2:7" hidden="1" x14ac:dyDescent="0.15">
      <c r="B54" s="48" t="s">
        <v>31</v>
      </c>
      <c r="C54" s="49"/>
      <c r="D54" s="49"/>
      <c r="E54" s="49"/>
      <c r="F54" s="50"/>
      <c r="G54" s="51"/>
    </row>
    <row r="55" spans="2:7" hidden="1" x14ac:dyDescent="0.15">
      <c r="B55" s="48" t="s">
        <v>32</v>
      </c>
      <c r="C55" s="49"/>
      <c r="D55" s="49"/>
      <c r="E55" s="49"/>
      <c r="F55" s="50"/>
      <c r="G55" s="51"/>
    </row>
    <row r="56" spans="2:7" hidden="1" x14ac:dyDescent="0.15">
      <c r="B56" s="48"/>
      <c r="C56" s="49"/>
      <c r="D56" s="49"/>
      <c r="E56" s="49"/>
      <c r="F56" s="50"/>
      <c r="G56" s="51"/>
    </row>
    <row r="57" spans="2:7" hidden="1" x14ac:dyDescent="0.15">
      <c r="B57" s="48" t="s">
        <v>33</v>
      </c>
      <c r="C57" s="49"/>
      <c r="D57" s="49"/>
      <c r="E57" s="49"/>
      <c r="F57" s="50"/>
      <c r="G57" s="51"/>
    </row>
    <row r="58" spans="2:7" hidden="1" x14ac:dyDescent="0.15">
      <c r="B58" s="48" t="s">
        <v>34</v>
      </c>
      <c r="C58" s="49"/>
      <c r="D58" s="49"/>
      <c r="E58" s="49"/>
      <c r="F58" s="50"/>
      <c r="G58" s="51"/>
    </row>
    <row r="59" spans="2:7" hidden="1" x14ac:dyDescent="0.15">
      <c r="B59" s="48" t="s">
        <v>35</v>
      </c>
      <c r="C59" s="49"/>
      <c r="D59" s="49"/>
      <c r="E59" s="49"/>
      <c r="F59" s="50"/>
      <c r="G59" s="51"/>
    </row>
    <row r="60" spans="2:7" hidden="1" x14ac:dyDescent="0.15">
      <c r="B60" s="48" t="s">
        <v>36</v>
      </c>
      <c r="C60" s="49"/>
      <c r="D60" s="49"/>
      <c r="E60" s="49"/>
      <c r="F60" s="50"/>
      <c r="G60" s="51"/>
    </row>
    <row r="61" spans="2:7" hidden="1" x14ac:dyDescent="0.15">
      <c r="B61" s="48" t="s">
        <v>37</v>
      </c>
      <c r="C61" s="49"/>
      <c r="D61" s="49"/>
      <c r="E61" s="49"/>
      <c r="F61" s="50"/>
      <c r="G61" s="51"/>
    </row>
    <row r="62" spans="2:7" hidden="1" x14ac:dyDescent="0.15">
      <c r="B62" s="48" t="s">
        <v>38</v>
      </c>
      <c r="C62" s="49"/>
      <c r="D62" s="49"/>
      <c r="E62" s="49"/>
      <c r="F62" s="50"/>
      <c r="G62" s="51"/>
    </row>
    <row r="63" spans="2:7" hidden="1" x14ac:dyDescent="0.15">
      <c r="B63" s="48" t="s">
        <v>39</v>
      </c>
      <c r="C63" s="49"/>
      <c r="D63" s="49"/>
      <c r="E63" s="49"/>
      <c r="F63" s="50"/>
      <c r="G63" s="51"/>
    </row>
    <row r="64" spans="2:7" hidden="1" x14ac:dyDescent="0.15">
      <c r="B64" s="48" t="s">
        <v>40</v>
      </c>
      <c r="C64" s="49"/>
      <c r="D64" s="49"/>
      <c r="E64" s="49"/>
      <c r="F64" s="50"/>
      <c r="G64" s="51"/>
    </row>
    <row r="65" spans="2:7" hidden="1" x14ac:dyDescent="0.15">
      <c r="B65" s="48" t="s">
        <v>41</v>
      </c>
      <c r="C65" s="49"/>
      <c r="D65" s="49"/>
      <c r="E65" s="49"/>
      <c r="F65" s="50"/>
      <c r="G65" s="51"/>
    </row>
    <row r="66" spans="2:7" hidden="1" x14ac:dyDescent="0.15">
      <c r="B66" s="48"/>
      <c r="C66" s="49"/>
      <c r="D66" s="49"/>
      <c r="E66" s="49"/>
      <c r="F66" s="50"/>
      <c r="G66" s="51"/>
    </row>
    <row r="67" spans="2:7" hidden="1" x14ac:dyDescent="0.15">
      <c r="B67" s="48" t="s">
        <v>42</v>
      </c>
      <c r="C67" s="49"/>
      <c r="D67" s="49"/>
      <c r="E67" s="49"/>
      <c r="F67" s="50"/>
      <c r="G67" s="51"/>
    </row>
    <row r="68" spans="2:7" hidden="1" x14ac:dyDescent="0.15">
      <c r="B68" s="48" t="s">
        <v>43</v>
      </c>
      <c r="C68" s="49"/>
      <c r="D68" s="49"/>
      <c r="E68" s="49"/>
      <c r="F68" s="50"/>
      <c r="G68" s="51"/>
    </row>
    <row r="69" spans="2:7" hidden="1" x14ac:dyDescent="0.15">
      <c r="B69" s="48" t="s">
        <v>44</v>
      </c>
      <c r="C69" s="49"/>
      <c r="D69" s="49"/>
      <c r="E69" s="49"/>
      <c r="F69" s="50"/>
      <c r="G69" s="51"/>
    </row>
    <row r="70" spans="2:7" hidden="1" x14ac:dyDescent="0.15">
      <c r="B70" s="48" t="s">
        <v>45</v>
      </c>
      <c r="C70" s="49"/>
      <c r="D70" s="49"/>
      <c r="E70" s="49"/>
      <c r="F70" s="50"/>
      <c r="G70" s="51"/>
    </row>
    <row r="71" spans="2:7" hidden="1" x14ac:dyDescent="0.15">
      <c r="B71" s="48" t="s">
        <v>46</v>
      </c>
      <c r="C71" s="49"/>
      <c r="D71" s="49"/>
      <c r="E71" s="49"/>
      <c r="F71" s="50"/>
      <c r="G71" s="51"/>
    </row>
    <row r="72" spans="2:7" hidden="1" x14ac:dyDescent="0.15">
      <c r="B72" s="48" t="s">
        <v>47</v>
      </c>
      <c r="C72" s="49"/>
      <c r="D72" s="49"/>
      <c r="E72" s="49"/>
      <c r="F72" s="50"/>
      <c r="G72" s="51"/>
    </row>
    <row r="73" spans="2:7" hidden="1" x14ac:dyDescent="0.15">
      <c r="B73" s="48" t="s">
        <v>48</v>
      </c>
      <c r="C73" s="49"/>
      <c r="D73" s="49"/>
      <c r="E73" s="49"/>
      <c r="F73" s="50"/>
      <c r="G73" s="51"/>
    </row>
    <row r="74" spans="2:7" hidden="1" x14ac:dyDescent="0.15">
      <c r="B74" s="48"/>
      <c r="C74" s="49"/>
      <c r="D74" s="49"/>
      <c r="E74" s="49"/>
      <c r="F74" s="50"/>
      <c r="G74" s="51"/>
    </row>
    <row r="75" spans="2:7" hidden="1" x14ac:dyDescent="0.15">
      <c r="B75" s="48" t="s">
        <v>49</v>
      </c>
      <c r="C75" s="49"/>
      <c r="D75" s="49"/>
      <c r="E75" s="49"/>
      <c r="F75" s="50"/>
      <c r="G75" s="51"/>
    </row>
    <row r="76" spans="2:7" hidden="1" x14ac:dyDescent="0.15">
      <c r="B76" s="48" t="s">
        <v>50</v>
      </c>
      <c r="C76" s="49"/>
      <c r="D76" s="49"/>
      <c r="E76" s="49"/>
      <c r="F76" s="50"/>
      <c r="G76" s="51"/>
    </row>
    <row r="77" spans="2:7" hidden="1" x14ac:dyDescent="0.15">
      <c r="B77" s="48" t="s">
        <v>51</v>
      </c>
      <c r="C77" s="49"/>
      <c r="D77" s="49"/>
      <c r="E77" s="49"/>
      <c r="F77" s="50"/>
      <c r="G77" s="51"/>
    </row>
    <row r="78" spans="2:7" hidden="1" x14ac:dyDescent="0.15">
      <c r="B78" s="48" t="s">
        <v>52</v>
      </c>
      <c r="C78" s="49"/>
      <c r="D78" s="49"/>
      <c r="E78" s="49"/>
      <c r="F78" s="50"/>
      <c r="G78" s="51"/>
    </row>
    <row r="79" spans="2:7" hidden="1" x14ac:dyDescent="0.15">
      <c r="B79" s="48" t="s">
        <v>53</v>
      </c>
      <c r="C79" s="49"/>
      <c r="D79" s="49"/>
      <c r="E79" s="49"/>
      <c r="F79" s="50"/>
      <c r="G79" s="51"/>
    </row>
    <row r="80" spans="2:7" hidden="1" x14ac:dyDescent="0.15">
      <c r="B80" s="48"/>
      <c r="C80" s="49"/>
      <c r="D80" s="49"/>
      <c r="E80" s="49"/>
      <c r="F80" s="50"/>
      <c r="G80" s="51"/>
    </row>
    <row r="81" spans="2:7" hidden="1" x14ac:dyDescent="0.15">
      <c r="B81" s="48" t="s">
        <v>54</v>
      </c>
      <c r="C81" s="49"/>
      <c r="D81" s="49"/>
      <c r="E81" s="49"/>
      <c r="F81" s="50"/>
      <c r="G81" s="51"/>
    </row>
    <row r="82" spans="2:7" hidden="1" x14ac:dyDescent="0.15">
      <c r="B82" s="48" t="s">
        <v>55</v>
      </c>
      <c r="C82" s="49"/>
      <c r="D82" s="49"/>
      <c r="E82" s="49"/>
      <c r="F82" s="50"/>
      <c r="G82" s="51"/>
    </row>
    <row r="83" spans="2:7" hidden="1" x14ac:dyDescent="0.15">
      <c r="B83" s="48" t="s">
        <v>56</v>
      </c>
      <c r="C83" s="49"/>
      <c r="D83" s="49"/>
      <c r="E83" s="49"/>
      <c r="F83" s="50"/>
      <c r="G83" s="51"/>
    </row>
    <row r="84" spans="2:7" hidden="1" x14ac:dyDescent="0.15">
      <c r="B84" s="48" t="s">
        <v>57</v>
      </c>
      <c r="C84" s="49"/>
      <c r="D84" s="49"/>
      <c r="E84" s="49"/>
      <c r="F84" s="50"/>
      <c r="G84" s="51"/>
    </row>
    <row r="85" spans="2:7" hidden="1" x14ac:dyDescent="0.15">
      <c r="B85" s="48"/>
      <c r="C85" s="49"/>
      <c r="D85" s="49"/>
      <c r="E85" s="49"/>
      <c r="F85" s="50"/>
      <c r="G85" s="51"/>
    </row>
    <row r="86" spans="2:7" hidden="1" x14ac:dyDescent="0.15">
      <c r="B86" s="48" t="s">
        <v>58</v>
      </c>
      <c r="C86" s="49"/>
      <c r="D86" s="49"/>
      <c r="E86" s="49"/>
      <c r="F86" s="50"/>
      <c r="G86" s="51"/>
    </row>
    <row r="87" spans="2:7" hidden="1" x14ac:dyDescent="0.15">
      <c r="B87" s="48" t="s">
        <v>59</v>
      </c>
      <c r="C87" s="49"/>
      <c r="D87" s="49"/>
      <c r="E87" s="49"/>
      <c r="F87" s="50"/>
      <c r="G87" s="51"/>
    </row>
    <row r="88" spans="2:7" hidden="1" x14ac:dyDescent="0.15">
      <c r="B88" s="48" t="s">
        <v>60</v>
      </c>
      <c r="C88" s="49"/>
      <c r="D88" s="49"/>
      <c r="E88" s="49"/>
      <c r="F88" s="50"/>
      <c r="G88" s="51"/>
    </row>
    <row r="89" spans="2:7" hidden="1" x14ac:dyDescent="0.15">
      <c r="B89" s="48"/>
      <c r="C89" s="49"/>
      <c r="D89" s="49"/>
      <c r="E89" s="49"/>
      <c r="F89" s="50"/>
      <c r="G89" s="51"/>
    </row>
    <row r="90" spans="2:7" hidden="1" x14ac:dyDescent="0.15">
      <c r="B90" s="48" t="s">
        <v>61</v>
      </c>
      <c r="C90" s="49"/>
      <c r="D90" s="49"/>
      <c r="E90" s="49"/>
      <c r="F90" s="50"/>
      <c r="G90" s="51"/>
    </row>
    <row r="91" spans="2:7" hidden="1" x14ac:dyDescent="0.15">
      <c r="B91" s="48" t="s">
        <v>62</v>
      </c>
      <c r="C91" s="49"/>
      <c r="D91" s="49"/>
      <c r="E91" s="49"/>
      <c r="F91" s="50"/>
      <c r="G91" s="51"/>
    </row>
    <row r="92" spans="2:7" hidden="1" x14ac:dyDescent="0.15">
      <c r="B92" s="48" t="s">
        <v>63</v>
      </c>
      <c r="C92" s="49"/>
      <c r="D92" s="49"/>
      <c r="E92" s="49"/>
      <c r="F92" s="50"/>
      <c r="G92" s="51"/>
    </row>
    <row r="93" spans="2:7" hidden="1" x14ac:dyDescent="0.15">
      <c r="B93" s="48" t="s">
        <v>64</v>
      </c>
      <c r="C93" s="49"/>
      <c r="D93" s="49"/>
      <c r="E93" s="49"/>
      <c r="F93" s="50"/>
      <c r="G93" s="51"/>
    </row>
    <row r="94" spans="2:7" hidden="1" x14ac:dyDescent="0.15">
      <c r="B94" s="48" t="s">
        <v>65</v>
      </c>
      <c r="C94" s="49"/>
      <c r="D94" s="49"/>
      <c r="E94" s="49"/>
      <c r="F94" s="50"/>
      <c r="G94" s="51"/>
    </row>
    <row r="95" spans="2:7" ht="14.25" hidden="1" thickBot="1" x14ac:dyDescent="0.45">
      <c r="B95" s="52"/>
      <c r="C95" s="53"/>
      <c r="D95" s="53"/>
      <c r="E95" s="53"/>
      <c r="F95" s="54"/>
      <c r="G95" s="55"/>
    </row>
    <row r="96" spans="2:7" hidden="1" x14ac:dyDescent="0.4">
      <c r="B96" s="49"/>
      <c r="C96" s="49"/>
      <c r="D96" s="49"/>
      <c r="E96" s="49"/>
      <c r="F96" s="50"/>
    </row>
    <row r="97" s="1" customFormat="1" hidden="1" x14ac:dyDescent="0.4"/>
  </sheetData>
  <mergeCells count="16">
    <mergeCell ref="B27:C27"/>
    <mergeCell ref="B40:F40"/>
    <mergeCell ref="B41:F41"/>
    <mergeCell ref="B42:F42"/>
    <mergeCell ref="C43:G43"/>
    <mergeCell ref="B43:B44"/>
    <mergeCell ref="B31:C31"/>
    <mergeCell ref="B32:C32"/>
    <mergeCell ref="B36:C36"/>
    <mergeCell ref="B37:C37"/>
    <mergeCell ref="B26:C26"/>
    <mergeCell ref="B2:G2"/>
    <mergeCell ref="B15:B16"/>
    <mergeCell ref="C15:E16"/>
    <mergeCell ref="B17:B18"/>
    <mergeCell ref="C17:E18"/>
  </mergeCells>
  <phoneticPr fontId="3"/>
  <pageMargins left="0.7" right="0.7" top="0.75" bottom="0.75" header="0.3" footer="0.3"/>
  <pageSetup paperSize="9" scale="7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4D43-9833-4C0E-B271-1B82E16EF7FA}">
  <dimension ref="B1:I100"/>
  <sheetViews>
    <sheetView view="pageBreakPreview" topLeftCell="A10" zoomScaleNormal="100" zoomScaleSheetLayoutView="100" workbookViewId="0">
      <selection activeCell="I46" sqref="I46"/>
    </sheetView>
  </sheetViews>
  <sheetFormatPr defaultColWidth="9" defaultRowHeight="13.5" x14ac:dyDescent="0.4"/>
  <cols>
    <col min="1" max="1" width="2.875" style="1" customWidth="1"/>
    <col min="2" max="2" width="9.125" style="1" customWidth="1"/>
    <col min="3" max="3" width="24" style="1" customWidth="1"/>
    <col min="4" max="4" width="9.125" style="1" customWidth="1"/>
    <col min="5" max="5" width="9.25" style="1" customWidth="1"/>
    <col min="6" max="6" width="14.75" style="1" customWidth="1"/>
    <col min="7" max="7" width="27.25" style="1" customWidth="1"/>
    <col min="8" max="8" width="9" style="1"/>
    <col min="9" max="9" width="11.625" style="1" bestFit="1" customWidth="1"/>
    <col min="10" max="16384" width="9" style="1"/>
  </cols>
  <sheetData>
    <row r="1" spans="2:7" ht="8.25" customHeight="1" thickBot="1" x14ac:dyDescent="0.45"/>
    <row r="2" spans="2:7" ht="45.95" customHeight="1" thickTop="1" thickBot="1" x14ac:dyDescent="0.45">
      <c r="B2" s="99" t="s">
        <v>0</v>
      </c>
      <c r="C2" s="100"/>
      <c r="D2" s="100"/>
      <c r="E2" s="100"/>
      <c r="F2" s="100"/>
      <c r="G2" s="101"/>
    </row>
    <row r="3" spans="2:7" ht="10.5" customHeight="1" thickTop="1" x14ac:dyDescent="0.4">
      <c r="B3" s="2"/>
      <c r="C3" s="2"/>
      <c r="D3" s="2"/>
      <c r="E3" s="2"/>
      <c r="F3" s="2"/>
      <c r="G3" s="2"/>
    </row>
    <row r="4" spans="2:7" s="3" customFormat="1" ht="16.5" customHeight="1" x14ac:dyDescent="0.4">
      <c r="G4" s="90">
        <f ca="1">TODAY()</f>
        <v>46121</v>
      </c>
    </row>
    <row r="5" spans="2:7" s="3" customFormat="1" ht="14.25" customHeight="1" x14ac:dyDescent="0.4">
      <c r="F5" s="5"/>
      <c r="G5" s="6"/>
    </row>
    <row r="6" spans="2:7" s="3" customFormat="1" ht="18" customHeight="1" x14ac:dyDescent="0.4">
      <c r="B6" s="87" t="str">
        <f>+表題!C6</f>
        <v>むつ市</v>
      </c>
      <c r="C6" s="8"/>
      <c r="D6" s="67" t="s">
        <v>1</v>
      </c>
      <c r="F6" s="10"/>
    </row>
    <row r="7" spans="2:7" s="3" customFormat="1" ht="18" customHeight="1" x14ac:dyDescent="0.4">
      <c r="B7" s="11"/>
      <c r="C7" s="12"/>
      <c r="D7" s="9"/>
      <c r="F7" s="10"/>
    </row>
    <row r="8" spans="2:7" s="3" customFormat="1" ht="18" customHeight="1" x14ac:dyDescent="0.4">
      <c r="B8" s="13"/>
      <c r="C8" s="13"/>
      <c r="F8" s="5"/>
    </row>
    <row r="9" spans="2:7" s="3" customFormat="1" ht="18" customHeight="1" x14ac:dyDescent="0.4">
      <c r="B9" s="12"/>
      <c r="C9" s="12"/>
      <c r="F9" s="5"/>
      <c r="G9" s="14"/>
    </row>
    <row r="10" spans="2:7" s="3" customFormat="1" ht="18" customHeight="1" x14ac:dyDescent="0.4">
      <c r="C10" s="12"/>
      <c r="F10" s="5"/>
      <c r="G10" s="14"/>
    </row>
    <row r="11" spans="2:7" s="3" customFormat="1" ht="18" customHeight="1" x14ac:dyDescent="0.4">
      <c r="F11" s="5"/>
    </row>
    <row r="12" spans="2:7" s="3" customFormat="1" ht="12.75" customHeight="1" x14ac:dyDescent="0.4">
      <c r="B12" s="5" t="s">
        <v>4</v>
      </c>
      <c r="E12" s="5"/>
    </row>
    <row r="13" spans="2:7" s="3" customFormat="1" ht="20.25" customHeight="1" x14ac:dyDescent="0.4">
      <c r="B13" s="5" t="s">
        <v>5</v>
      </c>
    </row>
    <row r="14" spans="2:7" ht="21" customHeight="1" thickBot="1" x14ac:dyDescent="0.45"/>
    <row r="15" spans="2:7" ht="15.95" customHeight="1" x14ac:dyDescent="0.4">
      <c r="B15" s="102" t="s">
        <v>6</v>
      </c>
      <c r="C15" s="104" t="s">
        <v>254</v>
      </c>
      <c r="D15" s="105"/>
      <c r="E15" s="106"/>
    </row>
    <row r="16" spans="2:7" ht="15.95" customHeight="1" x14ac:dyDescent="0.4">
      <c r="B16" s="103"/>
      <c r="C16" s="107"/>
      <c r="D16" s="108"/>
      <c r="E16" s="109"/>
    </row>
    <row r="17" spans="2:9" ht="15.95" customHeight="1" x14ac:dyDescent="0.4">
      <c r="B17" s="110" t="s">
        <v>7</v>
      </c>
      <c r="C17" s="112">
        <f>G45</f>
        <v>9350000</v>
      </c>
      <c r="D17" s="113"/>
      <c r="E17" s="114"/>
    </row>
    <row r="18" spans="2:9" ht="15.95" customHeight="1" thickBot="1" x14ac:dyDescent="0.45">
      <c r="B18" s="111"/>
      <c r="C18" s="115"/>
      <c r="D18" s="116"/>
      <c r="E18" s="117"/>
    </row>
    <row r="19" spans="2:9" ht="12.75" customHeight="1" thickBot="1" x14ac:dyDescent="0.45">
      <c r="D19" s="15"/>
    </row>
    <row r="20" spans="2:9" s="16" customFormat="1" ht="20.100000000000001" customHeight="1" x14ac:dyDescent="0.4">
      <c r="F20" s="17" t="s">
        <v>8</v>
      </c>
      <c r="G20" s="18" t="s">
        <v>9</v>
      </c>
    </row>
    <row r="21" spans="2:9" s="16" customFormat="1" ht="20.100000000000001" customHeight="1" x14ac:dyDescent="0.4">
      <c r="F21" s="19" t="s">
        <v>10</v>
      </c>
      <c r="G21" s="20" t="s">
        <v>11</v>
      </c>
    </row>
    <row r="22" spans="2:9" s="16" customFormat="1" ht="20.100000000000001" customHeight="1" x14ac:dyDescent="0.4">
      <c r="F22" s="19" t="s">
        <v>12</v>
      </c>
      <c r="G22" s="21" t="s">
        <v>13</v>
      </c>
    </row>
    <row r="23" spans="2:9" s="16" customFormat="1" ht="20.100000000000001" customHeight="1" thickBot="1" x14ac:dyDescent="0.45">
      <c r="F23" s="22" t="s">
        <v>14</v>
      </c>
      <c r="G23" s="23" t="s">
        <v>15</v>
      </c>
    </row>
    <row r="24" spans="2:9" ht="15.75" customHeight="1" thickBot="1" x14ac:dyDescent="0.45"/>
    <row r="25" spans="2:9" ht="20.100000000000001" customHeight="1" x14ac:dyDescent="0.4">
      <c r="B25" s="24" t="s">
        <v>16</v>
      </c>
      <c r="C25" s="25"/>
      <c r="D25" s="26" t="s">
        <v>17</v>
      </c>
      <c r="E25" s="26" t="s">
        <v>18</v>
      </c>
      <c r="F25" s="26" t="s">
        <v>19</v>
      </c>
      <c r="G25" s="27" t="s">
        <v>20</v>
      </c>
      <c r="I25" s="1" t="s">
        <v>234</v>
      </c>
    </row>
    <row r="26" spans="2:9" ht="20.100000000000001" customHeight="1" x14ac:dyDescent="0.4">
      <c r="B26" s="97" t="s">
        <v>240</v>
      </c>
      <c r="C26" s="98"/>
      <c r="D26" s="88"/>
      <c r="E26" s="88"/>
      <c r="F26" s="92"/>
      <c r="G26" s="89">
        <f>SUM(G27:G31)</f>
        <v>8500000</v>
      </c>
      <c r="I26" s="29"/>
    </row>
    <row r="27" spans="2:9" ht="39.950000000000003" customHeight="1" x14ac:dyDescent="0.4">
      <c r="B27" s="141" t="s">
        <v>237</v>
      </c>
      <c r="C27" s="142"/>
      <c r="D27" s="34">
        <v>1</v>
      </c>
      <c r="E27" s="34" t="s">
        <v>21</v>
      </c>
      <c r="F27" s="94"/>
      <c r="G27" s="31">
        <f>'お見積り（水道事業経営分析及び予測シミュレーション策定業務委)'!G43</f>
        <v>800000</v>
      </c>
      <c r="I27" s="29" t="s">
        <v>235</v>
      </c>
    </row>
    <row r="28" spans="2:9" ht="20.100000000000001" customHeight="1" x14ac:dyDescent="0.4">
      <c r="B28" s="32"/>
      <c r="C28" s="33"/>
      <c r="D28" s="34"/>
      <c r="E28" s="34"/>
      <c r="F28" s="94"/>
      <c r="G28" s="31"/>
      <c r="I28" s="29" t="s">
        <v>235</v>
      </c>
    </row>
    <row r="29" spans="2:9" ht="39.950000000000003" customHeight="1" x14ac:dyDescent="0.4">
      <c r="B29" s="141" t="s">
        <v>238</v>
      </c>
      <c r="C29" s="142"/>
      <c r="D29" s="34">
        <v>1</v>
      </c>
      <c r="E29" s="34" t="s">
        <v>21</v>
      </c>
      <c r="F29" s="94"/>
      <c r="G29" s="31">
        <f>'お見積（水道ビジョン改定業務委託）'!G40</f>
        <v>5000000</v>
      </c>
      <c r="I29" s="29" t="s">
        <v>235</v>
      </c>
    </row>
    <row r="30" spans="2:9" ht="20.100000000000001" customHeight="1" x14ac:dyDescent="0.4">
      <c r="B30" s="32"/>
      <c r="C30" s="33"/>
      <c r="D30" s="34"/>
      <c r="E30" s="34"/>
      <c r="F30" s="94"/>
      <c r="G30" s="31"/>
      <c r="I30" s="29" t="s">
        <v>235</v>
      </c>
    </row>
    <row r="31" spans="2:9" ht="39.950000000000003" customHeight="1" x14ac:dyDescent="0.4">
      <c r="B31" s="141" t="s">
        <v>239</v>
      </c>
      <c r="C31" s="142"/>
      <c r="D31" s="34">
        <v>1</v>
      </c>
      <c r="E31" s="34" t="s">
        <v>21</v>
      </c>
      <c r="F31" s="94"/>
      <c r="G31" s="31">
        <f>'お見積り（料金改定支援）'!G43</f>
        <v>2700000</v>
      </c>
      <c r="I31" s="29" t="s">
        <v>235</v>
      </c>
    </row>
    <row r="32" spans="2:9" ht="20.100000000000001" customHeight="1" x14ac:dyDescent="0.4">
      <c r="B32" s="80"/>
      <c r="C32" s="75"/>
      <c r="D32" s="28"/>
      <c r="E32" s="28"/>
      <c r="F32" s="94"/>
      <c r="G32" s="31"/>
      <c r="I32" s="29" t="s">
        <v>235</v>
      </c>
    </row>
    <row r="33" spans="2:9" ht="20.100000000000001" customHeight="1" x14ac:dyDescent="0.4">
      <c r="B33" s="80"/>
      <c r="C33" s="75"/>
      <c r="D33" s="28"/>
      <c r="E33" s="28"/>
      <c r="F33" s="94"/>
      <c r="G33" s="31"/>
      <c r="I33" s="29" t="s">
        <v>235</v>
      </c>
    </row>
    <row r="34" spans="2:9" ht="20.100000000000001" customHeight="1" x14ac:dyDescent="0.4">
      <c r="B34" s="80"/>
      <c r="C34" s="75"/>
      <c r="D34" s="28"/>
      <c r="E34" s="28"/>
      <c r="F34" s="94"/>
      <c r="G34" s="31"/>
      <c r="I34" s="29" t="s">
        <v>235</v>
      </c>
    </row>
    <row r="35" spans="2:9" ht="20.100000000000001" customHeight="1" x14ac:dyDescent="0.4">
      <c r="B35" s="80"/>
      <c r="C35" s="75"/>
      <c r="D35" s="28"/>
      <c r="E35" s="28"/>
      <c r="F35" s="94"/>
      <c r="G35" s="31"/>
      <c r="I35" s="29"/>
    </row>
    <row r="36" spans="2:9" ht="20.100000000000001" customHeight="1" x14ac:dyDescent="0.4">
      <c r="B36" s="32"/>
      <c r="C36" s="39"/>
      <c r="D36" s="28"/>
      <c r="E36" s="28"/>
      <c r="F36" s="93"/>
      <c r="G36" s="31"/>
    </row>
    <row r="37" spans="2:9" ht="20.100000000000001" customHeight="1" x14ac:dyDescent="0.4">
      <c r="B37" s="32"/>
      <c r="C37" s="39"/>
      <c r="D37" s="28"/>
      <c r="E37" s="28"/>
      <c r="F37" s="93"/>
      <c r="G37" s="31"/>
    </row>
    <row r="38" spans="2:9" ht="20.100000000000001" customHeight="1" x14ac:dyDescent="0.4">
      <c r="B38" s="78"/>
      <c r="C38" s="79"/>
      <c r="D38" s="28"/>
      <c r="E38" s="28"/>
      <c r="F38" s="94"/>
      <c r="G38" s="76"/>
    </row>
    <row r="39" spans="2:9" ht="20.100000000000001" hidden="1" customHeight="1" x14ac:dyDescent="0.4">
      <c r="B39" s="32"/>
      <c r="C39" s="33"/>
      <c r="D39" s="34"/>
      <c r="E39" s="34"/>
      <c r="F39" s="37"/>
      <c r="G39" s="76"/>
    </row>
    <row r="40" spans="2:9" ht="20.100000000000001" hidden="1" customHeight="1" x14ac:dyDescent="0.4">
      <c r="B40" s="32"/>
      <c r="C40" s="33"/>
      <c r="D40" s="34"/>
      <c r="E40" s="34"/>
      <c r="F40" s="37"/>
      <c r="G40" s="76"/>
    </row>
    <row r="41" spans="2:9" ht="20.100000000000001" hidden="1" customHeight="1" x14ac:dyDescent="0.4">
      <c r="B41" s="32"/>
      <c r="C41" s="33"/>
      <c r="D41" s="34"/>
      <c r="E41" s="34"/>
      <c r="F41" s="37"/>
      <c r="G41" s="76"/>
    </row>
    <row r="42" spans="2:9" ht="20.100000000000001" hidden="1" customHeight="1" x14ac:dyDescent="0.4">
      <c r="B42" s="38"/>
      <c r="C42" s="39"/>
      <c r="D42" s="40"/>
      <c r="E42" s="40"/>
      <c r="F42" s="41"/>
      <c r="G42" s="42"/>
    </row>
    <row r="43" spans="2:9" ht="20.100000000000001" customHeight="1" x14ac:dyDescent="0.4">
      <c r="B43" s="118" t="s">
        <v>22</v>
      </c>
      <c r="C43" s="119"/>
      <c r="D43" s="119"/>
      <c r="E43" s="119"/>
      <c r="F43" s="120"/>
      <c r="G43" s="43">
        <f>+G26</f>
        <v>8500000</v>
      </c>
    </row>
    <row r="44" spans="2:9" ht="20.100000000000001" customHeight="1" x14ac:dyDescent="0.4">
      <c r="B44" s="118" t="s">
        <v>23</v>
      </c>
      <c r="C44" s="119"/>
      <c r="D44" s="119"/>
      <c r="E44" s="119"/>
      <c r="F44" s="120"/>
      <c r="G44" s="43">
        <f>INT(G43*0.1)</f>
        <v>850000</v>
      </c>
    </row>
    <row r="45" spans="2:9" ht="20.100000000000001" customHeight="1" x14ac:dyDescent="0.4">
      <c r="B45" s="118" t="s">
        <v>24</v>
      </c>
      <c r="C45" s="119"/>
      <c r="D45" s="119"/>
      <c r="E45" s="119"/>
      <c r="F45" s="120"/>
      <c r="G45" s="43">
        <f>G43+G44</f>
        <v>9350000</v>
      </c>
    </row>
    <row r="46" spans="2:9" ht="219.75" customHeight="1" x14ac:dyDescent="0.4">
      <c r="B46" s="110" t="s">
        <v>25</v>
      </c>
      <c r="C46" s="121" t="s">
        <v>268</v>
      </c>
      <c r="D46" s="122"/>
      <c r="E46" s="122"/>
      <c r="F46" s="122"/>
      <c r="G46" s="123"/>
    </row>
    <row r="47" spans="2:9" ht="15" customHeight="1" thickBot="1" x14ac:dyDescent="0.45">
      <c r="B47" s="111"/>
      <c r="C47" s="69"/>
      <c r="D47" s="70"/>
      <c r="E47" s="70"/>
      <c r="F47" s="70"/>
      <c r="G47" s="71"/>
    </row>
    <row r="49" spans="2:7" hidden="1" x14ac:dyDescent="0.4"/>
    <row r="50" spans="2:7" ht="16.5" hidden="1" customHeight="1" x14ac:dyDescent="0.4">
      <c r="B50" s="44" t="s">
        <v>26</v>
      </c>
    </row>
    <row r="51" spans="2:7" ht="7.5" hidden="1" customHeight="1" x14ac:dyDescent="0.4"/>
    <row r="52" spans="2:7" ht="7.5" hidden="1" customHeight="1" x14ac:dyDescent="0.4">
      <c r="B52" s="45"/>
      <c r="C52" s="46"/>
      <c r="D52" s="46"/>
      <c r="E52" s="46"/>
      <c r="F52" s="46"/>
      <c r="G52" s="47"/>
    </row>
    <row r="53" spans="2:7" hidden="1" x14ac:dyDescent="0.15">
      <c r="B53" s="48" t="s">
        <v>27</v>
      </c>
      <c r="C53" s="49"/>
      <c r="D53" s="49"/>
      <c r="E53" s="49"/>
      <c r="F53" s="50"/>
      <c r="G53" s="51"/>
    </row>
    <row r="54" spans="2:7" hidden="1" x14ac:dyDescent="0.15">
      <c r="B54" s="48" t="s">
        <v>28</v>
      </c>
      <c r="C54" s="49"/>
      <c r="D54" s="49"/>
      <c r="E54" s="49"/>
      <c r="F54" s="50"/>
      <c r="G54" s="51"/>
    </row>
    <row r="55" spans="2:7" hidden="1" x14ac:dyDescent="0.15">
      <c r="B55" s="48" t="s">
        <v>29</v>
      </c>
      <c r="C55" s="49"/>
      <c r="D55" s="49"/>
      <c r="E55" s="49"/>
      <c r="F55" s="50"/>
      <c r="G55" s="51"/>
    </row>
    <row r="56" spans="2:7" hidden="1" x14ac:dyDescent="0.15">
      <c r="B56" s="48" t="s">
        <v>30</v>
      </c>
      <c r="C56" s="49"/>
      <c r="D56" s="49"/>
      <c r="E56" s="49"/>
      <c r="F56" s="50"/>
      <c r="G56" s="51"/>
    </row>
    <row r="57" spans="2:7" hidden="1" x14ac:dyDescent="0.15">
      <c r="B57" s="48" t="s">
        <v>31</v>
      </c>
      <c r="C57" s="49"/>
      <c r="D57" s="49"/>
      <c r="E57" s="49"/>
      <c r="F57" s="50"/>
      <c r="G57" s="51"/>
    </row>
    <row r="58" spans="2:7" hidden="1" x14ac:dyDescent="0.15">
      <c r="B58" s="48" t="s">
        <v>32</v>
      </c>
      <c r="C58" s="49"/>
      <c r="D58" s="49"/>
      <c r="E58" s="49"/>
      <c r="F58" s="50"/>
      <c r="G58" s="51"/>
    </row>
    <row r="59" spans="2:7" hidden="1" x14ac:dyDescent="0.15">
      <c r="B59" s="48"/>
      <c r="C59" s="49"/>
      <c r="D59" s="49"/>
      <c r="E59" s="49"/>
      <c r="F59" s="50"/>
      <c r="G59" s="51"/>
    </row>
    <row r="60" spans="2:7" hidden="1" x14ac:dyDescent="0.15">
      <c r="B60" s="48" t="s">
        <v>33</v>
      </c>
      <c r="C60" s="49"/>
      <c r="D60" s="49"/>
      <c r="E60" s="49"/>
      <c r="F60" s="50"/>
      <c r="G60" s="51"/>
    </row>
    <row r="61" spans="2:7" hidden="1" x14ac:dyDescent="0.15">
      <c r="B61" s="48" t="s">
        <v>34</v>
      </c>
      <c r="C61" s="49"/>
      <c r="D61" s="49"/>
      <c r="E61" s="49"/>
      <c r="F61" s="50"/>
      <c r="G61" s="51"/>
    </row>
    <row r="62" spans="2:7" hidden="1" x14ac:dyDescent="0.15">
      <c r="B62" s="48" t="s">
        <v>35</v>
      </c>
      <c r="C62" s="49"/>
      <c r="D62" s="49"/>
      <c r="E62" s="49"/>
      <c r="F62" s="50"/>
      <c r="G62" s="51"/>
    </row>
    <row r="63" spans="2:7" hidden="1" x14ac:dyDescent="0.15">
      <c r="B63" s="48" t="s">
        <v>36</v>
      </c>
      <c r="C63" s="49"/>
      <c r="D63" s="49"/>
      <c r="E63" s="49"/>
      <c r="F63" s="50"/>
      <c r="G63" s="51"/>
    </row>
    <row r="64" spans="2:7" hidden="1" x14ac:dyDescent="0.15">
      <c r="B64" s="48" t="s">
        <v>37</v>
      </c>
      <c r="C64" s="49"/>
      <c r="D64" s="49"/>
      <c r="E64" s="49"/>
      <c r="F64" s="50"/>
      <c r="G64" s="51"/>
    </row>
    <row r="65" spans="2:7" hidden="1" x14ac:dyDescent="0.15">
      <c r="B65" s="48" t="s">
        <v>38</v>
      </c>
      <c r="C65" s="49"/>
      <c r="D65" s="49"/>
      <c r="E65" s="49"/>
      <c r="F65" s="50"/>
      <c r="G65" s="51"/>
    </row>
    <row r="66" spans="2:7" hidden="1" x14ac:dyDescent="0.15">
      <c r="B66" s="48" t="s">
        <v>39</v>
      </c>
      <c r="C66" s="49"/>
      <c r="D66" s="49"/>
      <c r="E66" s="49"/>
      <c r="F66" s="50"/>
      <c r="G66" s="51"/>
    </row>
    <row r="67" spans="2:7" hidden="1" x14ac:dyDescent="0.15">
      <c r="B67" s="48" t="s">
        <v>40</v>
      </c>
      <c r="C67" s="49"/>
      <c r="D67" s="49"/>
      <c r="E67" s="49"/>
      <c r="F67" s="50"/>
      <c r="G67" s="51"/>
    </row>
    <row r="68" spans="2:7" hidden="1" x14ac:dyDescent="0.15">
      <c r="B68" s="48" t="s">
        <v>41</v>
      </c>
      <c r="C68" s="49"/>
      <c r="D68" s="49"/>
      <c r="E68" s="49"/>
      <c r="F68" s="50"/>
      <c r="G68" s="51"/>
    </row>
    <row r="69" spans="2:7" hidden="1" x14ac:dyDescent="0.15">
      <c r="B69" s="48"/>
      <c r="C69" s="49"/>
      <c r="D69" s="49"/>
      <c r="E69" s="49"/>
      <c r="F69" s="50"/>
      <c r="G69" s="51"/>
    </row>
    <row r="70" spans="2:7" hidden="1" x14ac:dyDescent="0.15">
      <c r="B70" s="48" t="s">
        <v>42</v>
      </c>
      <c r="C70" s="49"/>
      <c r="D70" s="49"/>
      <c r="E70" s="49"/>
      <c r="F70" s="50"/>
      <c r="G70" s="51"/>
    </row>
    <row r="71" spans="2:7" hidden="1" x14ac:dyDescent="0.15">
      <c r="B71" s="48" t="s">
        <v>43</v>
      </c>
      <c r="C71" s="49"/>
      <c r="D71" s="49"/>
      <c r="E71" s="49"/>
      <c r="F71" s="50"/>
      <c r="G71" s="51"/>
    </row>
    <row r="72" spans="2:7" hidden="1" x14ac:dyDescent="0.15">
      <c r="B72" s="48" t="s">
        <v>44</v>
      </c>
      <c r="C72" s="49"/>
      <c r="D72" s="49"/>
      <c r="E72" s="49"/>
      <c r="F72" s="50"/>
      <c r="G72" s="51"/>
    </row>
    <row r="73" spans="2:7" hidden="1" x14ac:dyDescent="0.15">
      <c r="B73" s="48" t="s">
        <v>45</v>
      </c>
      <c r="C73" s="49"/>
      <c r="D73" s="49"/>
      <c r="E73" s="49"/>
      <c r="F73" s="50"/>
      <c r="G73" s="51"/>
    </row>
    <row r="74" spans="2:7" hidden="1" x14ac:dyDescent="0.15">
      <c r="B74" s="48" t="s">
        <v>46</v>
      </c>
      <c r="C74" s="49"/>
      <c r="D74" s="49"/>
      <c r="E74" s="49"/>
      <c r="F74" s="50"/>
      <c r="G74" s="51"/>
    </row>
    <row r="75" spans="2:7" hidden="1" x14ac:dyDescent="0.15">
      <c r="B75" s="48" t="s">
        <v>47</v>
      </c>
      <c r="C75" s="49"/>
      <c r="D75" s="49"/>
      <c r="E75" s="49"/>
      <c r="F75" s="50"/>
      <c r="G75" s="51"/>
    </row>
    <row r="76" spans="2:7" hidden="1" x14ac:dyDescent="0.15">
      <c r="B76" s="48" t="s">
        <v>48</v>
      </c>
      <c r="C76" s="49"/>
      <c r="D76" s="49"/>
      <c r="E76" s="49"/>
      <c r="F76" s="50"/>
      <c r="G76" s="51"/>
    </row>
    <row r="77" spans="2:7" hidden="1" x14ac:dyDescent="0.15">
      <c r="B77" s="48"/>
      <c r="C77" s="49"/>
      <c r="D77" s="49"/>
      <c r="E77" s="49"/>
      <c r="F77" s="50"/>
      <c r="G77" s="51"/>
    </row>
    <row r="78" spans="2:7" hidden="1" x14ac:dyDescent="0.15">
      <c r="B78" s="48" t="s">
        <v>49</v>
      </c>
      <c r="C78" s="49"/>
      <c r="D78" s="49"/>
      <c r="E78" s="49"/>
      <c r="F78" s="50"/>
      <c r="G78" s="51"/>
    </row>
    <row r="79" spans="2:7" hidden="1" x14ac:dyDescent="0.15">
      <c r="B79" s="48" t="s">
        <v>50</v>
      </c>
      <c r="C79" s="49"/>
      <c r="D79" s="49"/>
      <c r="E79" s="49"/>
      <c r="F79" s="50"/>
      <c r="G79" s="51"/>
    </row>
    <row r="80" spans="2:7" hidden="1" x14ac:dyDescent="0.15">
      <c r="B80" s="48" t="s">
        <v>51</v>
      </c>
      <c r="C80" s="49"/>
      <c r="D80" s="49"/>
      <c r="E80" s="49"/>
      <c r="F80" s="50"/>
      <c r="G80" s="51"/>
    </row>
    <row r="81" spans="2:7" hidden="1" x14ac:dyDescent="0.15">
      <c r="B81" s="48" t="s">
        <v>52</v>
      </c>
      <c r="C81" s="49"/>
      <c r="D81" s="49"/>
      <c r="E81" s="49"/>
      <c r="F81" s="50"/>
      <c r="G81" s="51"/>
    </row>
    <row r="82" spans="2:7" hidden="1" x14ac:dyDescent="0.15">
      <c r="B82" s="48" t="s">
        <v>53</v>
      </c>
      <c r="C82" s="49"/>
      <c r="D82" s="49"/>
      <c r="E82" s="49"/>
      <c r="F82" s="50"/>
      <c r="G82" s="51"/>
    </row>
    <row r="83" spans="2:7" hidden="1" x14ac:dyDescent="0.15">
      <c r="B83" s="48"/>
      <c r="C83" s="49"/>
      <c r="D83" s="49"/>
      <c r="E83" s="49"/>
      <c r="F83" s="50"/>
      <c r="G83" s="51"/>
    </row>
    <row r="84" spans="2:7" hidden="1" x14ac:dyDescent="0.15">
      <c r="B84" s="48" t="s">
        <v>54</v>
      </c>
      <c r="C84" s="49"/>
      <c r="D84" s="49"/>
      <c r="E84" s="49"/>
      <c r="F84" s="50"/>
      <c r="G84" s="51"/>
    </row>
    <row r="85" spans="2:7" hidden="1" x14ac:dyDescent="0.15">
      <c r="B85" s="48" t="s">
        <v>55</v>
      </c>
      <c r="C85" s="49"/>
      <c r="D85" s="49"/>
      <c r="E85" s="49"/>
      <c r="F85" s="50"/>
      <c r="G85" s="51"/>
    </row>
    <row r="86" spans="2:7" hidden="1" x14ac:dyDescent="0.15">
      <c r="B86" s="48" t="s">
        <v>56</v>
      </c>
      <c r="C86" s="49"/>
      <c r="D86" s="49"/>
      <c r="E86" s="49"/>
      <c r="F86" s="50"/>
      <c r="G86" s="51"/>
    </row>
    <row r="87" spans="2:7" hidden="1" x14ac:dyDescent="0.15">
      <c r="B87" s="48" t="s">
        <v>57</v>
      </c>
      <c r="C87" s="49"/>
      <c r="D87" s="49"/>
      <c r="E87" s="49"/>
      <c r="F87" s="50"/>
      <c r="G87" s="51"/>
    </row>
    <row r="88" spans="2:7" hidden="1" x14ac:dyDescent="0.15">
      <c r="B88" s="48"/>
      <c r="C88" s="49"/>
      <c r="D88" s="49"/>
      <c r="E88" s="49"/>
      <c r="F88" s="50"/>
      <c r="G88" s="51"/>
    </row>
    <row r="89" spans="2:7" hidden="1" x14ac:dyDescent="0.15">
      <c r="B89" s="48" t="s">
        <v>58</v>
      </c>
      <c r="C89" s="49"/>
      <c r="D89" s="49"/>
      <c r="E89" s="49"/>
      <c r="F89" s="50"/>
      <c r="G89" s="51"/>
    </row>
    <row r="90" spans="2:7" hidden="1" x14ac:dyDescent="0.15">
      <c r="B90" s="48" t="s">
        <v>59</v>
      </c>
      <c r="C90" s="49"/>
      <c r="D90" s="49"/>
      <c r="E90" s="49"/>
      <c r="F90" s="50"/>
      <c r="G90" s="51"/>
    </row>
    <row r="91" spans="2:7" hidden="1" x14ac:dyDescent="0.15">
      <c r="B91" s="48" t="s">
        <v>60</v>
      </c>
      <c r="C91" s="49"/>
      <c r="D91" s="49"/>
      <c r="E91" s="49"/>
      <c r="F91" s="50"/>
      <c r="G91" s="51"/>
    </row>
    <row r="92" spans="2:7" hidden="1" x14ac:dyDescent="0.15">
      <c r="B92" s="48"/>
      <c r="C92" s="49"/>
      <c r="D92" s="49"/>
      <c r="E92" s="49"/>
      <c r="F92" s="50"/>
      <c r="G92" s="51"/>
    </row>
    <row r="93" spans="2:7" hidden="1" x14ac:dyDescent="0.15">
      <c r="B93" s="48" t="s">
        <v>61</v>
      </c>
      <c r="C93" s="49"/>
      <c r="D93" s="49"/>
      <c r="E93" s="49"/>
      <c r="F93" s="50"/>
      <c r="G93" s="51"/>
    </row>
    <row r="94" spans="2:7" hidden="1" x14ac:dyDescent="0.15">
      <c r="B94" s="48" t="s">
        <v>62</v>
      </c>
      <c r="C94" s="49"/>
      <c r="D94" s="49"/>
      <c r="E94" s="49"/>
      <c r="F94" s="50"/>
      <c r="G94" s="51"/>
    </row>
    <row r="95" spans="2:7" hidden="1" x14ac:dyDescent="0.15">
      <c r="B95" s="48" t="s">
        <v>63</v>
      </c>
      <c r="C95" s="49"/>
      <c r="D95" s="49"/>
      <c r="E95" s="49"/>
      <c r="F95" s="50"/>
      <c r="G95" s="51"/>
    </row>
    <row r="96" spans="2:7" hidden="1" x14ac:dyDescent="0.15">
      <c r="B96" s="48" t="s">
        <v>64</v>
      </c>
      <c r="C96" s="49"/>
      <c r="D96" s="49"/>
      <c r="E96" s="49"/>
      <c r="F96" s="50"/>
      <c r="G96" s="51"/>
    </row>
    <row r="97" spans="2:7" hidden="1" x14ac:dyDescent="0.15">
      <c r="B97" s="48" t="s">
        <v>65</v>
      </c>
      <c r="C97" s="49"/>
      <c r="D97" s="49"/>
      <c r="E97" s="49"/>
      <c r="F97" s="50"/>
      <c r="G97" s="51"/>
    </row>
    <row r="98" spans="2:7" ht="14.25" hidden="1" thickBot="1" x14ac:dyDescent="0.45">
      <c r="B98" s="52"/>
      <c r="C98" s="53"/>
      <c r="D98" s="53"/>
      <c r="E98" s="53"/>
      <c r="F98" s="54"/>
      <c r="G98" s="55"/>
    </row>
    <row r="99" spans="2:7" hidden="1" x14ac:dyDescent="0.4">
      <c r="B99" s="49"/>
      <c r="C99" s="49"/>
      <c r="D99" s="49"/>
      <c r="E99" s="49"/>
      <c r="F99" s="50"/>
    </row>
    <row r="100" spans="2:7" hidden="1" x14ac:dyDescent="0.4"/>
  </sheetData>
  <mergeCells count="14">
    <mergeCell ref="B43:F43"/>
    <mergeCell ref="B44:F44"/>
    <mergeCell ref="B45:F45"/>
    <mergeCell ref="B46:B47"/>
    <mergeCell ref="C46:G46"/>
    <mergeCell ref="B27:C27"/>
    <mergeCell ref="B29:C29"/>
    <mergeCell ref="B31:C31"/>
    <mergeCell ref="B26:C26"/>
    <mergeCell ref="B2:G2"/>
    <mergeCell ref="B15:B16"/>
    <mergeCell ref="C15:E16"/>
    <mergeCell ref="B17:B18"/>
    <mergeCell ref="C17:E1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colBreaks count="1" manualBreakCount="1">
    <brk id="7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030FE-F14A-48CA-8E50-2D5487E57588}">
  <dimension ref="B1:I100"/>
  <sheetViews>
    <sheetView view="pageBreakPreview" topLeftCell="A10" zoomScaleNormal="100" zoomScaleSheetLayoutView="100" workbookViewId="0">
      <selection activeCell="C17" sqref="C17:E18"/>
    </sheetView>
  </sheetViews>
  <sheetFormatPr defaultColWidth="9" defaultRowHeight="13.5" x14ac:dyDescent="0.4"/>
  <cols>
    <col min="1" max="1" width="2.875" style="1" customWidth="1"/>
    <col min="2" max="2" width="9.125" style="1" customWidth="1"/>
    <col min="3" max="3" width="24" style="1" customWidth="1"/>
    <col min="4" max="4" width="9.125" style="1" customWidth="1"/>
    <col min="5" max="5" width="9.25" style="1" customWidth="1"/>
    <col min="6" max="6" width="14.75" style="1" customWidth="1"/>
    <col min="7" max="7" width="27.25" style="1" customWidth="1"/>
    <col min="8" max="8" width="9" style="1"/>
    <col min="9" max="9" width="11.625" style="1" bestFit="1" customWidth="1"/>
    <col min="10" max="16384" width="9" style="1"/>
  </cols>
  <sheetData>
    <row r="1" spans="2:7" ht="8.25" customHeight="1" thickBot="1" x14ac:dyDescent="0.45"/>
    <row r="2" spans="2:7" ht="45.95" customHeight="1" thickTop="1" thickBot="1" x14ac:dyDescent="0.45">
      <c r="B2" s="99" t="s">
        <v>0</v>
      </c>
      <c r="C2" s="100"/>
      <c r="D2" s="100"/>
      <c r="E2" s="100"/>
      <c r="F2" s="100"/>
      <c r="G2" s="101"/>
    </row>
    <row r="3" spans="2:7" ht="10.5" customHeight="1" thickTop="1" x14ac:dyDescent="0.4">
      <c r="B3" s="2"/>
      <c r="C3" s="2"/>
      <c r="D3" s="2"/>
      <c r="E3" s="2"/>
      <c r="F3" s="2"/>
      <c r="G3" s="2"/>
    </row>
    <row r="4" spans="2:7" s="3" customFormat="1" ht="16.5" customHeight="1" x14ac:dyDescent="0.4">
      <c r="G4" s="90">
        <f ca="1">TODAY()</f>
        <v>46121</v>
      </c>
    </row>
    <row r="5" spans="2:7" s="3" customFormat="1" ht="14.25" customHeight="1" x14ac:dyDescent="0.4">
      <c r="F5" s="5"/>
      <c r="G5" s="6"/>
    </row>
    <row r="6" spans="2:7" s="3" customFormat="1" ht="18" customHeight="1" x14ac:dyDescent="0.4">
      <c r="B6" s="87" t="str">
        <f>+表題!C6</f>
        <v>むつ市</v>
      </c>
      <c r="C6" s="8"/>
      <c r="D6" s="67" t="s">
        <v>1</v>
      </c>
      <c r="F6" s="10"/>
    </row>
    <row r="7" spans="2:7" s="3" customFormat="1" ht="18" customHeight="1" x14ac:dyDescent="0.4">
      <c r="B7" s="11"/>
      <c r="C7" s="12"/>
      <c r="D7" s="9"/>
      <c r="F7" s="10"/>
    </row>
    <row r="8" spans="2:7" s="3" customFormat="1" ht="18" customHeight="1" x14ac:dyDescent="0.4">
      <c r="B8" s="13"/>
      <c r="C8" s="13"/>
      <c r="F8" s="5"/>
    </row>
    <row r="9" spans="2:7" s="3" customFormat="1" ht="18" customHeight="1" x14ac:dyDescent="0.4">
      <c r="B9" s="12"/>
      <c r="C9" s="12"/>
      <c r="F9" s="5"/>
      <c r="G9" s="14"/>
    </row>
    <row r="10" spans="2:7" s="3" customFormat="1" ht="18" customHeight="1" x14ac:dyDescent="0.4">
      <c r="C10" s="12"/>
      <c r="F10" s="5"/>
      <c r="G10" s="14"/>
    </row>
    <row r="11" spans="2:7" s="3" customFormat="1" ht="18" customHeight="1" x14ac:dyDescent="0.4">
      <c r="F11" s="5"/>
    </row>
    <row r="12" spans="2:7" s="3" customFormat="1" ht="12.75" customHeight="1" x14ac:dyDescent="0.4">
      <c r="B12" s="5" t="s">
        <v>4</v>
      </c>
      <c r="E12" s="5"/>
    </row>
    <row r="13" spans="2:7" s="3" customFormat="1" ht="20.25" customHeight="1" x14ac:dyDescent="0.4">
      <c r="B13" s="5" t="s">
        <v>5</v>
      </c>
    </row>
    <row r="14" spans="2:7" ht="21" customHeight="1" thickBot="1" x14ac:dyDescent="0.45"/>
    <row r="15" spans="2:7" ht="15.95" customHeight="1" x14ac:dyDescent="0.4">
      <c r="B15" s="102" t="s">
        <v>6</v>
      </c>
      <c r="C15" s="104" t="s">
        <v>255</v>
      </c>
      <c r="D15" s="105"/>
      <c r="E15" s="106"/>
    </row>
    <row r="16" spans="2:7" ht="15.95" customHeight="1" x14ac:dyDescent="0.4">
      <c r="B16" s="103"/>
      <c r="C16" s="107"/>
      <c r="D16" s="108"/>
      <c r="E16" s="109"/>
    </row>
    <row r="17" spans="2:9" ht="15.95" customHeight="1" x14ac:dyDescent="0.4">
      <c r="B17" s="110" t="s">
        <v>7</v>
      </c>
      <c r="C17" s="112">
        <f>G45</f>
        <v>880000</v>
      </c>
      <c r="D17" s="113"/>
      <c r="E17" s="114"/>
    </row>
    <row r="18" spans="2:9" ht="15.95" customHeight="1" thickBot="1" x14ac:dyDescent="0.45">
      <c r="B18" s="111"/>
      <c r="C18" s="115"/>
      <c r="D18" s="116"/>
      <c r="E18" s="117"/>
    </row>
    <row r="19" spans="2:9" ht="12.75" customHeight="1" thickBot="1" x14ac:dyDescent="0.45">
      <c r="D19" s="15"/>
    </row>
    <row r="20" spans="2:9" s="16" customFormat="1" ht="20.100000000000001" customHeight="1" x14ac:dyDescent="0.4">
      <c r="F20" s="17" t="s">
        <v>8</v>
      </c>
      <c r="G20" s="18" t="s">
        <v>9</v>
      </c>
    </row>
    <row r="21" spans="2:9" s="16" customFormat="1" ht="20.100000000000001" customHeight="1" x14ac:dyDescent="0.4">
      <c r="F21" s="19" t="s">
        <v>10</v>
      </c>
      <c r="G21" s="20" t="s">
        <v>11</v>
      </c>
    </row>
    <row r="22" spans="2:9" s="16" customFormat="1" ht="20.100000000000001" customHeight="1" x14ac:dyDescent="0.4">
      <c r="F22" s="19" t="s">
        <v>12</v>
      </c>
      <c r="G22" s="21" t="s">
        <v>13</v>
      </c>
    </row>
    <row r="23" spans="2:9" s="16" customFormat="1" ht="20.100000000000001" customHeight="1" thickBot="1" x14ac:dyDescent="0.45">
      <c r="F23" s="22" t="s">
        <v>14</v>
      </c>
      <c r="G23" s="23" t="s">
        <v>15</v>
      </c>
    </row>
    <row r="24" spans="2:9" ht="15.75" customHeight="1" thickBot="1" x14ac:dyDescent="0.45"/>
    <row r="25" spans="2:9" ht="20.100000000000001" customHeight="1" x14ac:dyDescent="0.4">
      <c r="B25" s="24" t="s">
        <v>16</v>
      </c>
      <c r="C25" s="25"/>
      <c r="D25" s="26" t="s">
        <v>17</v>
      </c>
      <c r="E25" s="26" t="s">
        <v>18</v>
      </c>
      <c r="F25" s="26" t="s">
        <v>19</v>
      </c>
      <c r="G25" s="27" t="s">
        <v>20</v>
      </c>
      <c r="I25" s="1" t="s">
        <v>234</v>
      </c>
    </row>
    <row r="26" spans="2:9" ht="39.950000000000003" customHeight="1" x14ac:dyDescent="0.4">
      <c r="B26" s="143" t="s">
        <v>243</v>
      </c>
      <c r="C26" s="98"/>
      <c r="D26" s="88"/>
      <c r="E26" s="88"/>
      <c r="F26" s="92"/>
      <c r="G26" s="89">
        <f>SUM(G27:G31)</f>
        <v>800000</v>
      </c>
      <c r="I26" s="29"/>
    </row>
    <row r="27" spans="2:9" ht="20.100000000000001" customHeight="1" x14ac:dyDescent="0.4">
      <c r="B27" s="95" t="s">
        <v>244</v>
      </c>
      <c r="C27" s="33"/>
      <c r="D27" s="34">
        <v>1</v>
      </c>
      <c r="E27" s="34" t="s">
        <v>21</v>
      </c>
      <c r="F27" s="94">
        <v>350000</v>
      </c>
      <c r="G27" s="31">
        <f>F27</f>
        <v>350000</v>
      </c>
      <c r="I27" s="29" t="s">
        <v>235</v>
      </c>
    </row>
    <row r="28" spans="2:9" ht="20.100000000000001" customHeight="1" x14ac:dyDescent="0.4">
      <c r="B28" s="32" t="s">
        <v>245</v>
      </c>
      <c r="C28" s="33"/>
      <c r="D28" s="34">
        <v>1</v>
      </c>
      <c r="E28" s="34" t="s">
        <v>21</v>
      </c>
      <c r="F28" s="94">
        <v>350000</v>
      </c>
      <c r="G28" s="31">
        <f t="shared" ref="G28:G29" si="0">F28</f>
        <v>350000</v>
      </c>
      <c r="I28" s="29" t="s">
        <v>235</v>
      </c>
    </row>
    <row r="29" spans="2:9" ht="20.100000000000001" customHeight="1" x14ac:dyDescent="0.4">
      <c r="B29" s="32" t="s">
        <v>246</v>
      </c>
      <c r="C29" s="33"/>
      <c r="D29" s="34">
        <v>1</v>
      </c>
      <c r="E29" s="34" t="s">
        <v>21</v>
      </c>
      <c r="F29" s="94">
        <v>100000</v>
      </c>
      <c r="G29" s="31">
        <f t="shared" si="0"/>
        <v>100000</v>
      </c>
      <c r="I29" s="29" t="s">
        <v>235</v>
      </c>
    </row>
    <row r="30" spans="2:9" ht="20.100000000000001" customHeight="1" x14ac:dyDescent="0.4">
      <c r="B30" s="32"/>
      <c r="C30" s="33"/>
      <c r="D30" s="34"/>
      <c r="E30" s="34"/>
      <c r="F30" s="94"/>
      <c r="G30" s="31"/>
      <c r="I30" s="29" t="s">
        <v>235</v>
      </c>
    </row>
    <row r="31" spans="2:9" ht="20.100000000000001" customHeight="1" x14ac:dyDescent="0.4">
      <c r="B31" s="32"/>
      <c r="C31" s="96"/>
      <c r="D31" s="34"/>
      <c r="E31" s="34"/>
      <c r="F31" s="94"/>
      <c r="G31" s="31"/>
      <c r="I31" s="29" t="s">
        <v>235</v>
      </c>
    </row>
    <row r="32" spans="2:9" ht="20.100000000000001" customHeight="1" x14ac:dyDescent="0.4">
      <c r="B32" s="80"/>
      <c r="C32" s="75"/>
      <c r="D32" s="28"/>
      <c r="E32" s="28"/>
      <c r="F32" s="94"/>
      <c r="G32" s="31"/>
      <c r="I32" s="29" t="s">
        <v>235</v>
      </c>
    </row>
    <row r="33" spans="2:9" ht="20.100000000000001" customHeight="1" x14ac:dyDescent="0.4">
      <c r="B33" s="80"/>
      <c r="C33" s="75"/>
      <c r="D33" s="28"/>
      <c r="E33" s="28"/>
      <c r="F33" s="94"/>
      <c r="G33" s="31"/>
      <c r="I33" s="29" t="s">
        <v>235</v>
      </c>
    </row>
    <row r="34" spans="2:9" ht="20.100000000000001" customHeight="1" x14ac:dyDescent="0.4">
      <c r="B34" s="80"/>
      <c r="C34" s="75"/>
      <c r="D34" s="28"/>
      <c r="E34" s="28"/>
      <c r="F34" s="94"/>
      <c r="G34" s="31"/>
      <c r="I34" s="29" t="s">
        <v>235</v>
      </c>
    </row>
    <row r="35" spans="2:9" ht="20.100000000000001" customHeight="1" x14ac:dyDescent="0.4">
      <c r="B35" s="80"/>
      <c r="C35" s="75"/>
      <c r="D35" s="28"/>
      <c r="E35" s="28"/>
      <c r="F35" s="94"/>
      <c r="G35" s="31"/>
      <c r="I35" s="29"/>
    </row>
    <row r="36" spans="2:9" ht="20.100000000000001" customHeight="1" x14ac:dyDescent="0.4">
      <c r="B36" s="32"/>
      <c r="C36" s="39"/>
      <c r="D36" s="28"/>
      <c r="E36" s="28"/>
      <c r="F36" s="93"/>
      <c r="G36" s="31"/>
    </row>
    <row r="37" spans="2:9" ht="20.100000000000001" customHeight="1" x14ac:dyDescent="0.4">
      <c r="B37" s="32"/>
      <c r="C37" s="39"/>
      <c r="D37" s="28"/>
      <c r="E37" s="28"/>
      <c r="F37" s="93"/>
      <c r="G37" s="31"/>
    </row>
    <row r="38" spans="2:9" ht="20.100000000000001" customHeight="1" x14ac:dyDescent="0.4">
      <c r="B38" s="78"/>
      <c r="C38" s="79"/>
      <c r="D38" s="28"/>
      <c r="E38" s="28"/>
      <c r="F38" s="94"/>
      <c r="G38" s="76"/>
    </row>
    <row r="39" spans="2:9" ht="20.100000000000001" hidden="1" customHeight="1" x14ac:dyDescent="0.4">
      <c r="B39" s="32"/>
      <c r="C39" s="33"/>
      <c r="D39" s="34"/>
      <c r="E39" s="34"/>
      <c r="F39" s="37"/>
      <c r="G39" s="76"/>
    </row>
    <row r="40" spans="2:9" ht="20.100000000000001" hidden="1" customHeight="1" x14ac:dyDescent="0.4">
      <c r="B40" s="32"/>
      <c r="C40" s="33"/>
      <c r="D40" s="34"/>
      <c r="E40" s="34"/>
      <c r="F40" s="37"/>
      <c r="G40" s="76"/>
    </row>
    <row r="41" spans="2:9" ht="20.100000000000001" hidden="1" customHeight="1" x14ac:dyDescent="0.4">
      <c r="B41" s="32"/>
      <c r="C41" s="33"/>
      <c r="D41" s="34"/>
      <c r="E41" s="34"/>
      <c r="F41" s="37"/>
      <c r="G41" s="76"/>
    </row>
    <row r="42" spans="2:9" ht="20.100000000000001" hidden="1" customHeight="1" x14ac:dyDescent="0.4">
      <c r="B42" s="38"/>
      <c r="C42" s="39"/>
      <c r="D42" s="40"/>
      <c r="E42" s="40"/>
      <c r="F42" s="41"/>
      <c r="G42" s="42"/>
    </row>
    <row r="43" spans="2:9" ht="20.100000000000001" customHeight="1" x14ac:dyDescent="0.4">
      <c r="B43" s="118" t="s">
        <v>22</v>
      </c>
      <c r="C43" s="119"/>
      <c r="D43" s="119"/>
      <c r="E43" s="119"/>
      <c r="F43" s="120"/>
      <c r="G43" s="43">
        <f>+G26</f>
        <v>800000</v>
      </c>
    </row>
    <row r="44" spans="2:9" ht="20.100000000000001" customHeight="1" x14ac:dyDescent="0.4">
      <c r="B44" s="118" t="s">
        <v>23</v>
      </c>
      <c r="C44" s="119"/>
      <c r="D44" s="119"/>
      <c r="E44" s="119"/>
      <c r="F44" s="120"/>
      <c r="G44" s="43">
        <f>INT(G43*0.1)</f>
        <v>80000</v>
      </c>
    </row>
    <row r="45" spans="2:9" ht="20.100000000000001" customHeight="1" x14ac:dyDescent="0.4">
      <c r="B45" s="118" t="s">
        <v>24</v>
      </c>
      <c r="C45" s="119"/>
      <c r="D45" s="119"/>
      <c r="E45" s="119"/>
      <c r="F45" s="120"/>
      <c r="G45" s="43">
        <f>G43+G44</f>
        <v>880000</v>
      </c>
    </row>
    <row r="46" spans="2:9" ht="219.75" customHeight="1" x14ac:dyDescent="0.4">
      <c r="B46" s="110" t="s">
        <v>25</v>
      </c>
      <c r="C46" s="121" t="s">
        <v>247</v>
      </c>
      <c r="D46" s="122"/>
      <c r="E46" s="122"/>
      <c r="F46" s="122"/>
      <c r="G46" s="123"/>
    </row>
    <row r="47" spans="2:9" ht="15" customHeight="1" thickBot="1" x14ac:dyDescent="0.45">
      <c r="B47" s="111"/>
      <c r="C47" s="69"/>
      <c r="D47" s="70"/>
      <c r="E47" s="70"/>
      <c r="F47" s="70"/>
      <c r="G47" s="71"/>
    </row>
    <row r="49" spans="2:7" hidden="1" x14ac:dyDescent="0.4"/>
    <row r="50" spans="2:7" ht="16.5" hidden="1" customHeight="1" x14ac:dyDescent="0.4">
      <c r="B50" s="44" t="s">
        <v>26</v>
      </c>
    </row>
    <row r="51" spans="2:7" ht="7.5" hidden="1" customHeight="1" x14ac:dyDescent="0.4"/>
    <row r="52" spans="2:7" ht="7.5" hidden="1" customHeight="1" x14ac:dyDescent="0.4">
      <c r="B52" s="45"/>
      <c r="C52" s="46"/>
      <c r="D52" s="46"/>
      <c r="E52" s="46"/>
      <c r="F52" s="46"/>
      <c r="G52" s="47"/>
    </row>
    <row r="53" spans="2:7" hidden="1" x14ac:dyDescent="0.15">
      <c r="B53" s="48" t="s">
        <v>27</v>
      </c>
      <c r="C53" s="49"/>
      <c r="D53" s="49"/>
      <c r="E53" s="49"/>
      <c r="F53" s="50"/>
      <c r="G53" s="51"/>
    </row>
    <row r="54" spans="2:7" hidden="1" x14ac:dyDescent="0.15">
      <c r="B54" s="48" t="s">
        <v>28</v>
      </c>
      <c r="C54" s="49"/>
      <c r="D54" s="49"/>
      <c r="E54" s="49"/>
      <c r="F54" s="50"/>
      <c r="G54" s="51"/>
    </row>
    <row r="55" spans="2:7" hidden="1" x14ac:dyDescent="0.15">
      <c r="B55" s="48" t="s">
        <v>29</v>
      </c>
      <c r="C55" s="49"/>
      <c r="D55" s="49"/>
      <c r="E55" s="49"/>
      <c r="F55" s="50"/>
      <c r="G55" s="51"/>
    </row>
    <row r="56" spans="2:7" hidden="1" x14ac:dyDescent="0.15">
      <c r="B56" s="48" t="s">
        <v>30</v>
      </c>
      <c r="C56" s="49"/>
      <c r="D56" s="49"/>
      <c r="E56" s="49"/>
      <c r="F56" s="50"/>
      <c r="G56" s="51"/>
    </row>
    <row r="57" spans="2:7" hidden="1" x14ac:dyDescent="0.15">
      <c r="B57" s="48" t="s">
        <v>31</v>
      </c>
      <c r="C57" s="49"/>
      <c r="D57" s="49"/>
      <c r="E57" s="49"/>
      <c r="F57" s="50"/>
      <c r="G57" s="51"/>
    </row>
    <row r="58" spans="2:7" hidden="1" x14ac:dyDescent="0.15">
      <c r="B58" s="48" t="s">
        <v>32</v>
      </c>
      <c r="C58" s="49"/>
      <c r="D58" s="49"/>
      <c r="E58" s="49"/>
      <c r="F58" s="50"/>
      <c r="G58" s="51"/>
    </row>
    <row r="59" spans="2:7" hidden="1" x14ac:dyDescent="0.15">
      <c r="B59" s="48"/>
      <c r="C59" s="49"/>
      <c r="D59" s="49"/>
      <c r="E59" s="49"/>
      <c r="F59" s="50"/>
      <c r="G59" s="51"/>
    </row>
    <row r="60" spans="2:7" hidden="1" x14ac:dyDescent="0.15">
      <c r="B60" s="48" t="s">
        <v>33</v>
      </c>
      <c r="C60" s="49"/>
      <c r="D60" s="49"/>
      <c r="E60" s="49"/>
      <c r="F60" s="50"/>
      <c r="G60" s="51"/>
    </row>
    <row r="61" spans="2:7" hidden="1" x14ac:dyDescent="0.15">
      <c r="B61" s="48" t="s">
        <v>34</v>
      </c>
      <c r="C61" s="49"/>
      <c r="D61" s="49"/>
      <c r="E61" s="49"/>
      <c r="F61" s="50"/>
      <c r="G61" s="51"/>
    </row>
    <row r="62" spans="2:7" hidden="1" x14ac:dyDescent="0.15">
      <c r="B62" s="48" t="s">
        <v>35</v>
      </c>
      <c r="C62" s="49"/>
      <c r="D62" s="49"/>
      <c r="E62" s="49"/>
      <c r="F62" s="50"/>
      <c r="G62" s="51"/>
    </row>
    <row r="63" spans="2:7" hidden="1" x14ac:dyDescent="0.15">
      <c r="B63" s="48" t="s">
        <v>36</v>
      </c>
      <c r="C63" s="49"/>
      <c r="D63" s="49"/>
      <c r="E63" s="49"/>
      <c r="F63" s="50"/>
      <c r="G63" s="51"/>
    </row>
    <row r="64" spans="2:7" hidden="1" x14ac:dyDescent="0.15">
      <c r="B64" s="48" t="s">
        <v>37</v>
      </c>
      <c r="C64" s="49"/>
      <c r="D64" s="49"/>
      <c r="E64" s="49"/>
      <c r="F64" s="50"/>
      <c r="G64" s="51"/>
    </row>
    <row r="65" spans="2:7" hidden="1" x14ac:dyDescent="0.15">
      <c r="B65" s="48" t="s">
        <v>38</v>
      </c>
      <c r="C65" s="49"/>
      <c r="D65" s="49"/>
      <c r="E65" s="49"/>
      <c r="F65" s="50"/>
      <c r="G65" s="51"/>
    </row>
    <row r="66" spans="2:7" hidden="1" x14ac:dyDescent="0.15">
      <c r="B66" s="48" t="s">
        <v>39</v>
      </c>
      <c r="C66" s="49"/>
      <c r="D66" s="49"/>
      <c r="E66" s="49"/>
      <c r="F66" s="50"/>
      <c r="G66" s="51"/>
    </row>
    <row r="67" spans="2:7" hidden="1" x14ac:dyDescent="0.15">
      <c r="B67" s="48" t="s">
        <v>40</v>
      </c>
      <c r="C67" s="49"/>
      <c r="D67" s="49"/>
      <c r="E67" s="49"/>
      <c r="F67" s="50"/>
      <c r="G67" s="51"/>
    </row>
    <row r="68" spans="2:7" hidden="1" x14ac:dyDescent="0.15">
      <c r="B68" s="48" t="s">
        <v>41</v>
      </c>
      <c r="C68" s="49"/>
      <c r="D68" s="49"/>
      <c r="E68" s="49"/>
      <c r="F68" s="50"/>
      <c r="G68" s="51"/>
    </row>
    <row r="69" spans="2:7" hidden="1" x14ac:dyDescent="0.15">
      <c r="B69" s="48"/>
      <c r="C69" s="49"/>
      <c r="D69" s="49"/>
      <c r="E69" s="49"/>
      <c r="F69" s="50"/>
      <c r="G69" s="51"/>
    </row>
    <row r="70" spans="2:7" hidden="1" x14ac:dyDescent="0.15">
      <c r="B70" s="48" t="s">
        <v>42</v>
      </c>
      <c r="C70" s="49"/>
      <c r="D70" s="49"/>
      <c r="E70" s="49"/>
      <c r="F70" s="50"/>
      <c r="G70" s="51"/>
    </row>
    <row r="71" spans="2:7" hidden="1" x14ac:dyDescent="0.15">
      <c r="B71" s="48" t="s">
        <v>43</v>
      </c>
      <c r="C71" s="49"/>
      <c r="D71" s="49"/>
      <c r="E71" s="49"/>
      <c r="F71" s="50"/>
      <c r="G71" s="51"/>
    </row>
    <row r="72" spans="2:7" hidden="1" x14ac:dyDescent="0.15">
      <c r="B72" s="48" t="s">
        <v>44</v>
      </c>
      <c r="C72" s="49"/>
      <c r="D72" s="49"/>
      <c r="E72" s="49"/>
      <c r="F72" s="50"/>
      <c r="G72" s="51"/>
    </row>
    <row r="73" spans="2:7" hidden="1" x14ac:dyDescent="0.15">
      <c r="B73" s="48" t="s">
        <v>45</v>
      </c>
      <c r="C73" s="49"/>
      <c r="D73" s="49"/>
      <c r="E73" s="49"/>
      <c r="F73" s="50"/>
      <c r="G73" s="51"/>
    </row>
    <row r="74" spans="2:7" hidden="1" x14ac:dyDescent="0.15">
      <c r="B74" s="48" t="s">
        <v>46</v>
      </c>
      <c r="C74" s="49"/>
      <c r="D74" s="49"/>
      <c r="E74" s="49"/>
      <c r="F74" s="50"/>
      <c r="G74" s="51"/>
    </row>
    <row r="75" spans="2:7" hidden="1" x14ac:dyDescent="0.15">
      <c r="B75" s="48" t="s">
        <v>47</v>
      </c>
      <c r="C75" s="49"/>
      <c r="D75" s="49"/>
      <c r="E75" s="49"/>
      <c r="F75" s="50"/>
      <c r="G75" s="51"/>
    </row>
    <row r="76" spans="2:7" hidden="1" x14ac:dyDescent="0.15">
      <c r="B76" s="48" t="s">
        <v>48</v>
      </c>
      <c r="C76" s="49"/>
      <c r="D76" s="49"/>
      <c r="E76" s="49"/>
      <c r="F76" s="50"/>
      <c r="G76" s="51"/>
    </row>
    <row r="77" spans="2:7" hidden="1" x14ac:dyDescent="0.15">
      <c r="B77" s="48"/>
      <c r="C77" s="49"/>
      <c r="D77" s="49"/>
      <c r="E77" s="49"/>
      <c r="F77" s="50"/>
      <c r="G77" s="51"/>
    </row>
    <row r="78" spans="2:7" hidden="1" x14ac:dyDescent="0.15">
      <c r="B78" s="48" t="s">
        <v>49</v>
      </c>
      <c r="C78" s="49"/>
      <c r="D78" s="49"/>
      <c r="E78" s="49"/>
      <c r="F78" s="50"/>
      <c r="G78" s="51"/>
    </row>
    <row r="79" spans="2:7" hidden="1" x14ac:dyDescent="0.15">
      <c r="B79" s="48" t="s">
        <v>50</v>
      </c>
      <c r="C79" s="49"/>
      <c r="D79" s="49"/>
      <c r="E79" s="49"/>
      <c r="F79" s="50"/>
      <c r="G79" s="51"/>
    </row>
    <row r="80" spans="2:7" hidden="1" x14ac:dyDescent="0.15">
      <c r="B80" s="48" t="s">
        <v>51</v>
      </c>
      <c r="C80" s="49"/>
      <c r="D80" s="49"/>
      <c r="E80" s="49"/>
      <c r="F80" s="50"/>
      <c r="G80" s="51"/>
    </row>
    <row r="81" spans="2:7" hidden="1" x14ac:dyDescent="0.15">
      <c r="B81" s="48" t="s">
        <v>52</v>
      </c>
      <c r="C81" s="49"/>
      <c r="D81" s="49"/>
      <c r="E81" s="49"/>
      <c r="F81" s="50"/>
      <c r="G81" s="51"/>
    </row>
    <row r="82" spans="2:7" hidden="1" x14ac:dyDescent="0.15">
      <c r="B82" s="48" t="s">
        <v>53</v>
      </c>
      <c r="C82" s="49"/>
      <c r="D82" s="49"/>
      <c r="E82" s="49"/>
      <c r="F82" s="50"/>
      <c r="G82" s="51"/>
    </row>
    <row r="83" spans="2:7" hidden="1" x14ac:dyDescent="0.15">
      <c r="B83" s="48"/>
      <c r="C83" s="49"/>
      <c r="D83" s="49"/>
      <c r="E83" s="49"/>
      <c r="F83" s="50"/>
      <c r="G83" s="51"/>
    </row>
    <row r="84" spans="2:7" hidden="1" x14ac:dyDescent="0.15">
      <c r="B84" s="48" t="s">
        <v>54</v>
      </c>
      <c r="C84" s="49"/>
      <c r="D84" s="49"/>
      <c r="E84" s="49"/>
      <c r="F84" s="50"/>
      <c r="G84" s="51"/>
    </row>
    <row r="85" spans="2:7" hidden="1" x14ac:dyDescent="0.15">
      <c r="B85" s="48" t="s">
        <v>55</v>
      </c>
      <c r="C85" s="49"/>
      <c r="D85" s="49"/>
      <c r="E85" s="49"/>
      <c r="F85" s="50"/>
      <c r="G85" s="51"/>
    </row>
    <row r="86" spans="2:7" hidden="1" x14ac:dyDescent="0.15">
      <c r="B86" s="48" t="s">
        <v>56</v>
      </c>
      <c r="C86" s="49"/>
      <c r="D86" s="49"/>
      <c r="E86" s="49"/>
      <c r="F86" s="50"/>
      <c r="G86" s="51"/>
    </row>
    <row r="87" spans="2:7" hidden="1" x14ac:dyDescent="0.15">
      <c r="B87" s="48" t="s">
        <v>57</v>
      </c>
      <c r="C87" s="49"/>
      <c r="D87" s="49"/>
      <c r="E87" s="49"/>
      <c r="F87" s="50"/>
      <c r="G87" s="51"/>
    </row>
    <row r="88" spans="2:7" hidden="1" x14ac:dyDescent="0.15">
      <c r="B88" s="48"/>
      <c r="C88" s="49"/>
      <c r="D88" s="49"/>
      <c r="E88" s="49"/>
      <c r="F88" s="50"/>
      <c r="G88" s="51"/>
    </row>
    <row r="89" spans="2:7" hidden="1" x14ac:dyDescent="0.15">
      <c r="B89" s="48" t="s">
        <v>58</v>
      </c>
      <c r="C89" s="49"/>
      <c r="D89" s="49"/>
      <c r="E89" s="49"/>
      <c r="F89" s="50"/>
      <c r="G89" s="51"/>
    </row>
    <row r="90" spans="2:7" hidden="1" x14ac:dyDescent="0.15">
      <c r="B90" s="48" t="s">
        <v>59</v>
      </c>
      <c r="C90" s="49"/>
      <c r="D90" s="49"/>
      <c r="E90" s="49"/>
      <c r="F90" s="50"/>
      <c r="G90" s="51"/>
    </row>
    <row r="91" spans="2:7" hidden="1" x14ac:dyDescent="0.15">
      <c r="B91" s="48" t="s">
        <v>60</v>
      </c>
      <c r="C91" s="49"/>
      <c r="D91" s="49"/>
      <c r="E91" s="49"/>
      <c r="F91" s="50"/>
      <c r="G91" s="51"/>
    </row>
    <row r="92" spans="2:7" hidden="1" x14ac:dyDescent="0.15">
      <c r="B92" s="48"/>
      <c r="C92" s="49"/>
      <c r="D92" s="49"/>
      <c r="E92" s="49"/>
      <c r="F92" s="50"/>
      <c r="G92" s="51"/>
    </row>
    <row r="93" spans="2:7" hidden="1" x14ac:dyDescent="0.15">
      <c r="B93" s="48" t="s">
        <v>61</v>
      </c>
      <c r="C93" s="49"/>
      <c r="D93" s="49"/>
      <c r="E93" s="49"/>
      <c r="F93" s="50"/>
      <c r="G93" s="51"/>
    </row>
    <row r="94" spans="2:7" hidden="1" x14ac:dyDescent="0.15">
      <c r="B94" s="48" t="s">
        <v>62</v>
      </c>
      <c r="C94" s="49"/>
      <c r="D94" s="49"/>
      <c r="E94" s="49"/>
      <c r="F94" s="50"/>
      <c r="G94" s="51"/>
    </row>
    <row r="95" spans="2:7" hidden="1" x14ac:dyDescent="0.15">
      <c r="B95" s="48" t="s">
        <v>63</v>
      </c>
      <c r="C95" s="49"/>
      <c r="D95" s="49"/>
      <c r="E95" s="49"/>
      <c r="F95" s="50"/>
      <c r="G95" s="51"/>
    </row>
    <row r="96" spans="2:7" hidden="1" x14ac:dyDescent="0.15">
      <c r="B96" s="48" t="s">
        <v>64</v>
      </c>
      <c r="C96" s="49"/>
      <c r="D96" s="49"/>
      <c r="E96" s="49"/>
      <c r="F96" s="50"/>
      <c r="G96" s="51"/>
    </row>
    <row r="97" spans="2:7" hidden="1" x14ac:dyDescent="0.15">
      <c r="B97" s="48" t="s">
        <v>65</v>
      </c>
      <c r="C97" s="49"/>
      <c r="D97" s="49"/>
      <c r="E97" s="49"/>
      <c r="F97" s="50"/>
      <c r="G97" s="51"/>
    </row>
    <row r="98" spans="2:7" ht="14.25" hidden="1" thickBot="1" x14ac:dyDescent="0.45">
      <c r="B98" s="52"/>
      <c r="C98" s="53"/>
      <c r="D98" s="53"/>
      <c r="E98" s="53"/>
      <c r="F98" s="54"/>
      <c r="G98" s="55"/>
    </row>
    <row r="99" spans="2:7" hidden="1" x14ac:dyDescent="0.4">
      <c r="B99" s="49"/>
      <c r="C99" s="49"/>
      <c r="D99" s="49"/>
      <c r="E99" s="49"/>
      <c r="F99" s="50"/>
    </row>
    <row r="100" spans="2:7" hidden="1" x14ac:dyDescent="0.4"/>
  </sheetData>
  <mergeCells count="11">
    <mergeCell ref="B43:F43"/>
    <mergeCell ref="B44:F44"/>
    <mergeCell ref="B45:F45"/>
    <mergeCell ref="B46:B47"/>
    <mergeCell ref="C46:G46"/>
    <mergeCell ref="B26:C26"/>
    <mergeCell ref="B2:G2"/>
    <mergeCell ref="B15:B16"/>
    <mergeCell ref="C15:E16"/>
    <mergeCell ref="B17:B18"/>
    <mergeCell ref="C17:E1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colBreaks count="1" manualBreakCount="1">
    <brk id="7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06E1E-069A-4E3A-ADD8-FC071994F4D8}">
  <dimension ref="B1:I97"/>
  <sheetViews>
    <sheetView view="pageBreakPreview" topLeftCell="A31" zoomScaleNormal="100" zoomScaleSheetLayoutView="100" workbookViewId="0">
      <selection activeCell="C43" sqref="C43:G43"/>
    </sheetView>
  </sheetViews>
  <sheetFormatPr defaultColWidth="9" defaultRowHeight="13.5" x14ac:dyDescent="0.4"/>
  <cols>
    <col min="1" max="1" width="2.875" style="1" customWidth="1"/>
    <col min="2" max="2" width="11.75" style="1" customWidth="1"/>
    <col min="3" max="3" width="24" style="1" customWidth="1"/>
    <col min="4" max="4" width="9.125" style="1" customWidth="1"/>
    <col min="5" max="5" width="9.25" style="1" customWidth="1"/>
    <col min="6" max="6" width="14.75" style="1" customWidth="1"/>
    <col min="7" max="7" width="22.25" style="1" customWidth="1"/>
    <col min="8" max="9" width="11.625" style="1" bestFit="1" customWidth="1"/>
    <col min="10" max="16384" width="9" style="1"/>
  </cols>
  <sheetData>
    <row r="1" spans="2:7" ht="8.25" customHeight="1" thickBot="1" x14ac:dyDescent="0.45"/>
    <row r="2" spans="2:7" ht="45.95" customHeight="1" thickTop="1" thickBot="1" x14ac:dyDescent="0.45">
      <c r="B2" s="99" t="s">
        <v>0</v>
      </c>
      <c r="C2" s="100"/>
      <c r="D2" s="100"/>
      <c r="E2" s="100"/>
      <c r="F2" s="100"/>
      <c r="G2" s="101"/>
    </row>
    <row r="3" spans="2:7" ht="10.5" customHeight="1" thickTop="1" x14ac:dyDescent="0.4">
      <c r="B3" s="2"/>
      <c r="C3" s="2"/>
      <c r="D3" s="2"/>
      <c r="E3" s="2"/>
      <c r="F3" s="2"/>
      <c r="G3" s="2"/>
    </row>
    <row r="4" spans="2:7" s="3" customFormat="1" ht="16.5" customHeight="1" x14ac:dyDescent="0.4">
      <c r="G4" s="4">
        <f ca="1">TODAY()</f>
        <v>46121</v>
      </c>
    </row>
    <row r="5" spans="2:7" s="3" customFormat="1" ht="14.25" customHeight="1" x14ac:dyDescent="0.4">
      <c r="F5" s="5"/>
      <c r="G5" s="6"/>
    </row>
    <row r="6" spans="2:7" s="3" customFormat="1" ht="14.25" customHeight="1" x14ac:dyDescent="0.4">
      <c r="F6" s="5"/>
      <c r="G6" s="6"/>
    </row>
    <row r="7" spans="2:7" s="3" customFormat="1" ht="14.25" customHeight="1" x14ac:dyDescent="0.4">
      <c r="F7" s="5"/>
      <c r="G7" s="6"/>
    </row>
    <row r="8" spans="2:7" s="3" customFormat="1" ht="18" customHeight="1" x14ac:dyDescent="0.4">
      <c r="B8" s="7" t="s">
        <v>257</v>
      </c>
      <c r="C8" s="8"/>
      <c r="D8" s="67" t="s">
        <v>1</v>
      </c>
      <c r="F8" s="10"/>
    </row>
    <row r="9" spans="2:7" s="3" customFormat="1" ht="18" customHeight="1" x14ac:dyDescent="0.4">
      <c r="B9" s="11"/>
      <c r="C9" s="12"/>
      <c r="D9" s="9"/>
      <c r="F9" s="10"/>
    </row>
    <row r="10" spans="2:7" s="3" customFormat="1" ht="18" customHeight="1" x14ac:dyDescent="0.4">
      <c r="B10" s="13"/>
      <c r="C10" s="13"/>
      <c r="F10" s="5"/>
    </row>
    <row r="11" spans="2:7" s="3" customFormat="1" ht="18" customHeight="1" x14ac:dyDescent="0.4">
      <c r="B11" s="12"/>
      <c r="C11" s="12"/>
      <c r="F11" s="5"/>
      <c r="G11" s="14"/>
    </row>
    <row r="12" spans="2:7" s="3" customFormat="1" ht="18" customHeight="1" x14ac:dyDescent="0.4">
      <c r="C12" s="12"/>
      <c r="F12" s="5"/>
      <c r="G12" s="14"/>
    </row>
    <row r="13" spans="2:7" s="3" customFormat="1" ht="18" customHeight="1" x14ac:dyDescent="0.4">
      <c r="F13" s="5"/>
    </row>
    <row r="14" spans="2:7" s="3" customFormat="1" ht="15.6" customHeight="1" x14ac:dyDescent="0.4">
      <c r="B14" s="5" t="s">
        <v>4</v>
      </c>
      <c r="E14" s="5"/>
    </row>
    <row r="15" spans="2:7" s="3" customFormat="1" ht="20.25" customHeight="1" x14ac:dyDescent="0.4">
      <c r="B15" s="5" t="s">
        <v>5</v>
      </c>
    </row>
    <row r="16" spans="2:7" ht="21" customHeight="1" thickBot="1" x14ac:dyDescent="0.45"/>
    <row r="17" spans="2:9" ht="15.95" customHeight="1" x14ac:dyDescent="0.4">
      <c r="B17" s="102" t="s">
        <v>6</v>
      </c>
      <c r="C17" s="145" t="s">
        <v>258</v>
      </c>
      <c r="D17" s="146"/>
      <c r="E17" s="147"/>
    </row>
    <row r="18" spans="2:9" ht="15.95" customHeight="1" x14ac:dyDescent="0.4">
      <c r="B18" s="103"/>
      <c r="C18" s="148"/>
      <c r="D18" s="149"/>
      <c r="E18" s="150"/>
    </row>
    <row r="19" spans="2:9" ht="15.95" customHeight="1" x14ac:dyDescent="0.4">
      <c r="B19" s="110" t="s">
        <v>7</v>
      </c>
      <c r="C19" s="112">
        <f>G42</f>
        <v>5500000</v>
      </c>
      <c r="D19" s="113"/>
      <c r="E19" s="114"/>
    </row>
    <row r="20" spans="2:9" ht="15.95" customHeight="1" thickBot="1" x14ac:dyDescent="0.45">
      <c r="B20" s="111"/>
      <c r="C20" s="115"/>
      <c r="D20" s="116"/>
      <c r="E20" s="117"/>
      <c r="F20" s="151"/>
    </row>
    <row r="21" spans="2:9" ht="12.75" customHeight="1" thickBot="1" x14ac:dyDescent="0.45">
      <c r="D21" s="15"/>
    </row>
    <row r="22" spans="2:9" s="16" customFormat="1" ht="20.100000000000001" customHeight="1" x14ac:dyDescent="0.4">
      <c r="F22" s="17" t="s">
        <v>8</v>
      </c>
      <c r="G22" s="18" t="s">
        <v>9</v>
      </c>
    </row>
    <row r="23" spans="2:9" s="16" customFormat="1" ht="20.100000000000001" customHeight="1" x14ac:dyDescent="0.4">
      <c r="F23" s="19" t="s">
        <v>10</v>
      </c>
      <c r="G23" s="20" t="s">
        <v>11</v>
      </c>
    </row>
    <row r="24" spans="2:9" s="16" customFormat="1" ht="20.100000000000001" customHeight="1" x14ac:dyDescent="0.4">
      <c r="F24" s="19" t="s">
        <v>12</v>
      </c>
      <c r="G24" s="21" t="s">
        <v>13</v>
      </c>
    </row>
    <row r="25" spans="2:9" s="16" customFormat="1" ht="20.100000000000001" customHeight="1" thickBot="1" x14ac:dyDescent="0.45">
      <c r="F25" s="22" t="s">
        <v>14</v>
      </c>
      <c r="G25" s="23" t="s">
        <v>15</v>
      </c>
    </row>
    <row r="26" spans="2:9" ht="15.75" customHeight="1" thickBot="1" x14ac:dyDescent="0.45"/>
    <row r="27" spans="2:9" ht="20.100000000000001" customHeight="1" x14ac:dyDescent="0.4">
      <c r="B27" s="152" t="s">
        <v>16</v>
      </c>
      <c r="C27" s="153"/>
      <c r="D27" s="26" t="s">
        <v>17</v>
      </c>
      <c r="E27" s="26" t="s">
        <v>18</v>
      </c>
      <c r="F27" s="26" t="s">
        <v>19</v>
      </c>
      <c r="G27" s="27" t="s">
        <v>20</v>
      </c>
    </row>
    <row r="28" spans="2:9" ht="20.100000000000001" customHeight="1" x14ac:dyDescent="0.4">
      <c r="B28" s="154" t="s">
        <v>259</v>
      </c>
      <c r="C28" s="155"/>
      <c r="D28" s="156"/>
      <c r="E28" s="156"/>
      <c r="F28" s="156"/>
      <c r="G28" s="157"/>
    </row>
    <row r="29" spans="2:9" ht="20.100000000000001" customHeight="1" x14ac:dyDescent="0.4">
      <c r="B29" s="158" t="s">
        <v>260</v>
      </c>
      <c r="C29" s="159"/>
      <c r="D29" s="160">
        <v>1</v>
      </c>
      <c r="E29" s="160" t="s">
        <v>261</v>
      </c>
      <c r="F29" s="161"/>
      <c r="G29" s="162">
        <v>800000</v>
      </c>
      <c r="I29" s="163"/>
    </row>
    <row r="30" spans="2:9" ht="20.100000000000001" customHeight="1" x14ac:dyDescent="0.4">
      <c r="B30" s="158" t="s">
        <v>262</v>
      </c>
      <c r="C30" s="159"/>
      <c r="D30" s="160">
        <v>1</v>
      </c>
      <c r="E30" s="160" t="s">
        <v>261</v>
      </c>
      <c r="F30" s="161"/>
      <c r="G30" s="162">
        <v>1200000</v>
      </c>
      <c r="I30" s="29"/>
    </row>
    <row r="31" spans="2:9" ht="20.100000000000001" customHeight="1" x14ac:dyDescent="0.4">
      <c r="B31" s="164" t="s">
        <v>263</v>
      </c>
      <c r="C31" s="165"/>
      <c r="D31" s="160">
        <v>1</v>
      </c>
      <c r="E31" s="160" t="s">
        <v>261</v>
      </c>
      <c r="F31" s="161"/>
      <c r="G31" s="162">
        <v>400000</v>
      </c>
    </row>
    <row r="32" spans="2:9" ht="20.100000000000001" customHeight="1" x14ac:dyDescent="0.4">
      <c r="B32" s="158" t="s">
        <v>264</v>
      </c>
      <c r="C32" s="159"/>
      <c r="D32" s="160">
        <v>1</v>
      </c>
      <c r="E32" s="160" t="s">
        <v>261</v>
      </c>
      <c r="F32" s="161"/>
      <c r="G32" s="162">
        <v>400000</v>
      </c>
    </row>
    <row r="33" spans="2:9" ht="20.100000000000001" customHeight="1" x14ac:dyDescent="0.4">
      <c r="B33" s="166" t="s">
        <v>265</v>
      </c>
      <c r="C33" s="167"/>
      <c r="D33" s="160">
        <v>1</v>
      </c>
      <c r="E33" s="160" t="s">
        <v>261</v>
      </c>
      <c r="F33" s="161"/>
      <c r="G33" s="162">
        <v>2000000</v>
      </c>
    </row>
    <row r="34" spans="2:9" ht="20.100000000000001" customHeight="1" x14ac:dyDescent="0.4">
      <c r="B34" s="166" t="s">
        <v>266</v>
      </c>
      <c r="C34" s="167"/>
      <c r="D34" s="160">
        <v>1</v>
      </c>
      <c r="E34" s="160" t="s">
        <v>261</v>
      </c>
      <c r="F34" s="161"/>
      <c r="G34" s="162">
        <v>200000</v>
      </c>
    </row>
    <row r="35" spans="2:9" ht="20.100000000000001" customHeight="1" x14ac:dyDescent="0.4">
      <c r="B35" s="166"/>
      <c r="C35" s="167"/>
      <c r="D35" s="160"/>
      <c r="E35" s="160"/>
      <c r="F35" s="161"/>
      <c r="G35" s="162"/>
      <c r="H35" s="168"/>
      <c r="I35" s="168"/>
    </row>
    <row r="36" spans="2:9" ht="20.100000000000001" customHeight="1" x14ac:dyDescent="0.4">
      <c r="B36" s="166"/>
      <c r="C36" s="167"/>
      <c r="D36" s="160"/>
      <c r="E36" s="160"/>
      <c r="F36" s="161"/>
      <c r="G36" s="162"/>
    </row>
    <row r="37" spans="2:9" ht="20.100000000000001" customHeight="1" x14ac:dyDescent="0.4">
      <c r="B37" s="158"/>
      <c r="C37" s="159"/>
      <c r="D37" s="160"/>
      <c r="E37" s="160"/>
      <c r="F37" s="161"/>
      <c r="G37" s="162"/>
    </row>
    <row r="38" spans="2:9" ht="20.100000000000001" customHeight="1" x14ac:dyDescent="0.4">
      <c r="B38" s="158"/>
      <c r="C38" s="159"/>
      <c r="D38" s="160"/>
      <c r="E38" s="160"/>
      <c r="F38" s="161"/>
      <c r="G38" s="162"/>
    </row>
    <row r="39" spans="2:9" ht="20.100000000000001" customHeight="1" x14ac:dyDescent="0.4">
      <c r="B39" s="158"/>
      <c r="C39" s="159"/>
      <c r="D39" s="160"/>
      <c r="E39" s="160"/>
      <c r="F39" s="161"/>
      <c r="G39" s="162"/>
    </row>
    <row r="40" spans="2:9" ht="20.100000000000001" customHeight="1" x14ac:dyDescent="0.4">
      <c r="B40" s="169" t="s">
        <v>22</v>
      </c>
      <c r="C40" s="170"/>
      <c r="D40" s="170"/>
      <c r="E40" s="170"/>
      <c r="F40" s="170"/>
      <c r="G40" s="171">
        <f>SUM(G29:G39)</f>
        <v>5000000</v>
      </c>
      <c r="H40" s="163"/>
      <c r="I40" s="163"/>
    </row>
    <row r="41" spans="2:9" ht="20.100000000000001" customHeight="1" x14ac:dyDescent="0.4">
      <c r="B41" s="118" t="s">
        <v>23</v>
      </c>
      <c r="C41" s="119"/>
      <c r="D41" s="119"/>
      <c r="E41" s="119"/>
      <c r="F41" s="120"/>
      <c r="G41" s="172">
        <f>INT(G40*0.1)</f>
        <v>500000</v>
      </c>
    </row>
    <row r="42" spans="2:9" ht="20.100000000000001" customHeight="1" x14ac:dyDescent="0.4">
      <c r="B42" s="118" t="s">
        <v>24</v>
      </c>
      <c r="C42" s="119"/>
      <c r="D42" s="119"/>
      <c r="E42" s="119"/>
      <c r="F42" s="120"/>
      <c r="G42" s="173">
        <f>G40+G41</f>
        <v>5500000</v>
      </c>
    </row>
    <row r="43" spans="2:9" ht="87" customHeight="1" x14ac:dyDescent="0.4">
      <c r="B43" s="110" t="s">
        <v>25</v>
      </c>
      <c r="C43" s="121" t="s">
        <v>267</v>
      </c>
      <c r="D43" s="122"/>
      <c r="E43" s="122"/>
      <c r="F43" s="122"/>
      <c r="G43" s="123"/>
    </row>
    <row r="44" spans="2:9" ht="15" customHeight="1" thickBot="1" x14ac:dyDescent="0.45">
      <c r="B44" s="111"/>
      <c r="C44" s="69"/>
      <c r="D44" s="70"/>
      <c r="E44" s="70"/>
      <c r="F44" s="70"/>
      <c r="G44" s="71"/>
    </row>
    <row r="46" spans="2:9" hidden="1" x14ac:dyDescent="0.4"/>
    <row r="47" spans="2:9" ht="16.5" hidden="1" customHeight="1" x14ac:dyDescent="0.4">
      <c r="B47" s="44" t="s">
        <v>26</v>
      </c>
    </row>
    <row r="48" spans="2:9" ht="7.5" hidden="1" customHeight="1" x14ac:dyDescent="0.4"/>
    <row r="49" spans="2:7" ht="7.5" hidden="1" customHeight="1" x14ac:dyDescent="0.4">
      <c r="B49" s="45"/>
      <c r="C49" s="46"/>
      <c r="D49" s="46"/>
      <c r="E49" s="46"/>
      <c r="F49" s="46"/>
      <c r="G49" s="47"/>
    </row>
    <row r="50" spans="2:7" hidden="1" x14ac:dyDescent="0.15">
      <c r="B50" s="48" t="s">
        <v>27</v>
      </c>
      <c r="C50" s="49"/>
      <c r="D50" s="49"/>
      <c r="E50" s="49"/>
      <c r="F50" s="50"/>
      <c r="G50" s="51"/>
    </row>
    <row r="51" spans="2:7" hidden="1" x14ac:dyDescent="0.15">
      <c r="B51" s="48" t="s">
        <v>28</v>
      </c>
      <c r="C51" s="49"/>
      <c r="D51" s="49"/>
      <c r="E51" s="49"/>
      <c r="F51" s="50"/>
      <c r="G51" s="51"/>
    </row>
    <row r="52" spans="2:7" hidden="1" x14ac:dyDescent="0.15">
      <c r="B52" s="48" t="s">
        <v>29</v>
      </c>
      <c r="C52" s="49"/>
      <c r="D52" s="49"/>
      <c r="E52" s="49"/>
      <c r="F52" s="50"/>
      <c r="G52" s="51"/>
    </row>
    <row r="53" spans="2:7" hidden="1" x14ac:dyDescent="0.15">
      <c r="B53" s="48" t="s">
        <v>30</v>
      </c>
      <c r="C53" s="49"/>
      <c r="D53" s="49"/>
      <c r="E53" s="49"/>
      <c r="F53" s="50"/>
      <c r="G53" s="51"/>
    </row>
    <row r="54" spans="2:7" hidden="1" x14ac:dyDescent="0.15">
      <c r="B54" s="48" t="s">
        <v>31</v>
      </c>
      <c r="C54" s="49"/>
      <c r="D54" s="49"/>
      <c r="E54" s="49"/>
      <c r="F54" s="50"/>
      <c r="G54" s="51"/>
    </row>
    <row r="55" spans="2:7" hidden="1" x14ac:dyDescent="0.15">
      <c r="B55" s="48" t="s">
        <v>32</v>
      </c>
      <c r="C55" s="49"/>
      <c r="D55" s="49"/>
      <c r="E55" s="49"/>
      <c r="F55" s="50"/>
      <c r="G55" s="51"/>
    </row>
    <row r="56" spans="2:7" hidden="1" x14ac:dyDescent="0.15">
      <c r="B56" s="48"/>
      <c r="C56" s="49"/>
      <c r="D56" s="49"/>
      <c r="E56" s="49"/>
      <c r="F56" s="50"/>
      <c r="G56" s="51"/>
    </row>
    <row r="57" spans="2:7" hidden="1" x14ac:dyDescent="0.15">
      <c r="B57" s="48" t="s">
        <v>33</v>
      </c>
      <c r="C57" s="49"/>
      <c r="D57" s="49"/>
      <c r="E57" s="49"/>
      <c r="F57" s="50"/>
      <c r="G57" s="51"/>
    </row>
    <row r="58" spans="2:7" hidden="1" x14ac:dyDescent="0.15">
      <c r="B58" s="48" t="s">
        <v>34</v>
      </c>
      <c r="C58" s="49"/>
      <c r="D58" s="49"/>
      <c r="E58" s="49"/>
      <c r="F58" s="50"/>
      <c r="G58" s="51"/>
    </row>
    <row r="59" spans="2:7" hidden="1" x14ac:dyDescent="0.15">
      <c r="B59" s="48" t="s">
        <v>35</v>
      </c>
      <c r="C59" s="49"/>
      <c r="D59" s="49"/>
      <c r="E59" s="49"/>
      <c r="F59" s="50"/>
      <c r="G59" s="51"/>
    </row>
    <row r="60" spans="2:7" hidden="1" x14ac:dyDescent="0.15">
      <c r="B60" s="48" t="s">
        <v>36</v>
      </c>
      <c r="C60" s="49"/>
      <c r="D60" s="49"/>
      <c r="E60" s="49"/>
      <c r="F60" s="50"/>
      <c r="G60" s="51"/>
    </row>
    <row r="61" spans="2:7" hidden="1" x14ac:dyDescent="0.15">
      <c r="B61" s="48" t="s">
        <v>37</v>
      </c>
      <c r="C61" s="49"/>
      <c r="D61" s="49"/>
      <c r="E61" s="49"/>
      <c r="F61" s="50"/>
      <c r="G61" s="51"/>
    </row>
    <row r="62" spans="2:7" hidden="1" x14ac:dyDescent="0.15">
      <c r="B62" s="48" t="s">
        <v>38</v>
      </c>
      <c r="C62" s="49"/>
      <c r="D62" s="49"/>
      <c r="E62" s="49"/>
      <c r="F62" s="50"/>
      <c r="G62" s="51"/>
    </row>
    <row r="63" spans="2:7" hidden="1" x14ac:dyDescent="0.15">
      <c r="B63" s="48" t="s">
        <v>39</v>
      </c>
      <c r="C63" s="49"/>
      <c r="D63" s="49"/>
      <c r="E63" s="49"/>
      <c r="F63" s="50"/>
      <c r="G63" s="51"/>
    </row>
    <row r="64" spans="2:7" hidden="1" x14ac:dyDescent="0.15">
      <c r="B64" s="48" t="s">
        <v>40</v>
      </c>
      <c r="C64" s="49"/>
      <c r="D64" s="49"/>
      <c r="E64" s="49"/>
      <c r="F64" s="50"/>
      <c r="G64" s="51"/>
    </row>
    <row r="65" spans="2:7" hidden="1" x14ac:dyDescent="0.15">
      <c r="B65" s="48" t="s">
        <v>41</v>
      </c>
      <c r="C65" s="49"/>
      <c r="D65" s="49"/>
      <c r="E65" s="49"/>
      <c r="F65" s="50"/>
      <c r="G65" s="51"/>
    </row>
    <row r="66" spans="2:7" hidden="1" x14ac:dyDescent="0.15">
      <c r="B66" s="48"/>
      <c r="C66" s="49"/>
      <c r="D66" s="49"/>
      <c r="E66" s="49"/>
      <c r="F66" s="50"/>
      <c r="G66" s="51"/>
    </row>
    <row r="67" spans="2:7" hidden="1" x14ac:dyDescent="0.15">
      <c r="B67" s="48" t="s">
        <v>42</v>
      </c>
      <c r="C67" s="49"/>
      <c r="D67" s="49"/>
      <c r="E67" s="49"/>
      <c r="F67" s="50"/>
      <c r="G67" s="51"/>
    </row>
    <row r="68" spans="2:7" hidden="1" x14ac:dyDescent="0.15">
      <c r="B68" s="48" t="s">
        <v>43</v>
      </c>
      <c r="C68" s="49"/>
      <c r="D68" s="49"/>
      <c r="E68" s="49"/>
      <c r="F68" s="50"/>
      <c r="G68" s="51"/>
    </row>
    <row r="69" spans="2:7" hidden="1" x14ac:dyDescent="0.15">
      <c r="B69" s="48" t="s">
        <v>44</v>
      </c>
      <c r="C69" s="49"/>
      <c r="D69" s="49"/>
      <c r="E69" s="49"/>
      <c r="F69" s="50"/>
      <c r="G69" s="51"/>
    </row>
    <row r="70" spans="2:7" hidden="1" x14ac:dyDescent="0.15">
      <c r="B70" s="48" t="s">
        <v>45</v>
      </c>
      <c r="C70" s="49"/>
      <c r="D70" s="49"/>
      <c r="E70" s="49"/>
      <c r="F70" s="50"/>
      <c r="G70" s="51"/>
    </row>
    <row r="71" spans="2:7" hidden="1" x14ac:dyDescent="0.15">
      <c r="B71" s="48" t="s">
        <v>46</v>
      </c>
      <c r="C71" s="49"/>
      <c r="D71" s="49"/>
      <c r="E71" s="49"/>
      <c r="F71" s="50"/>
      <c r="G71" s="51"/>
    </row>
    <row r="72" spans="2:7" hidden="1" x14ac:dyDescent="0.15">
      <c r="B72" s="48" t="s">
        <v>47</v>
      </c>
      <c r="C72" s="49"/>
      <c r="D72" s="49"/>
      <c r="E72" s="49"/>
      <c r="F72" s="50"/>
      <c r="G72" s="51"/>
    </row>
    <row r="73" spans="2:7" hidden="1" x14ac:dyDescent="0.15">
      <c r="B73" s="48" t="s">
        <v>48</v>
      </c>
      <c r="C73" s="49"/>
      <c r="D73" s="49"/>
      <c r="E73" s="49"/>
      <c r="F73" s="50"/>
      <c r="G73" s="51"/>
    </row>
    <row r="74" spans="2:7" hidden="1" x14ac:dyDescent="0.15">
      <c r="B74" s="48"/>
      <c r="C74" s="49"/>
      <c r="D74" s="49"/>
      <c r="E74" s="49"/>
      <c r="F74" s="50"/>
      <c r="G74" s="51"/>
    </row>
    <row r="75" spans="2:7" hidden="1" x14ac:dyDescent="0.15">
      <c r="B75" s="48" t="s">
        <v>49</v>
      </c>
      <c r="C75" s="49"/>
      <c r="D75" s="49"/>
      <c r="E75" s="49"/>
      <c r="F75" s="50"/>
      <c r="G75" s="51"/>
    </row>
    <row r="76" spans="2:7" hidden="1" x14ac:dyDescent="0.15">
      <c r="B76" s="48" t="s">
        <v>50</v>
      </c>
      <c r="C76" s="49"/>
      <c r="D76" s="49"/>
      <c r="E76" s="49"/>
      <c r="F76" s="50"/>
      <c r="G76" s="51"/>
    </row>
    <row r="77" spans="2:7" hidden="1" x14ac:dyDescent="0.15">
      <c r="B77" s="48" t="s">
        <v>51</v>
      </c>
      <c r="C77" s="49"/>
      <c r="D77" s="49"/>
      <c r="E77" s="49"/>
      <c r="F77" s="50"/>
      <c r="G77" s="51"/>
    </row>
    <row r="78" spans="2:7" hidden="1" x14ac:dyDescent="0.15">
      <c r="B78" s="48" t="s">
        <v>52</v>
      </c>
      <c r="C78" s="49"/>
      <c r="D78" s="49"/>
      <c r="E78" s="49"/>
      <c r="F78" s="50"/>
      <c r="G78" s="51"/>
    </row>
    <row r="79" spans="2:7" hidden="1" x14ac:dyDescent="0.15">
      <c r="B79" s="48" t="s">
        <v>53</v>
      </c>
      <c r="C79" s="49"/>
      <c r="D79" s="49"/>
      <c r="E79" s="49"/>
      <c r="F79" s="50"/>
      <c r="G79" s="51"/>
    </row>
    <row r="80" spans="2:7" hidden="1" x14ac:dyDescent="0.15">
      <c r="B80" s="48"/>
      <c r="C80" s="49"/>
      <c r="D80" s="49"/>
      <c r="E80" s="49"/>
      <c r="F80" s="50"/>
      <c r="G80" s="51"/>
    </row>
    <row r="81" spans="2:7" hidden="1" x14ac:dyDescent="0.15">
      <c r="B81" s="48" t="s">
        <v>54</v>
      </c>
      <c r="C81" s="49"/>
      <c r="D81" s="49"/>
      <c r="E81" s="49"/>
      <c r="F81" s="50"/>
      <c r="G81" s="51"/>
    </row>
    <row r="82" spans="2:7" hidden="1" x14ac:dyDescent="0.15">
      <c r="B82" s="48" t="s">
        <v>55</v>
      </c>
      <c r="C82" s="49"/>
      <c r="D82" s="49"/>
      <c r="E82" s="49"/>
      <c r="F82" s="50"/>
      <c r="G82" s="51"/>
    </row>
    <row r="83" spans="2:7" hidden="1" x14ac:dyDescent="0.15">
      <c r="B83" s="48" t="s">
        <v>56</v>
      </c>
      <c r="C83" s="49"/>
      <c r="D83" s="49"/>
      <c r="E83" s="49"/>
      <c r="F83" s="50"/>
      <c r="G83" s="51"/>
    </row>
    <row r="84" spans="2:7" hidden="1" x14ac:dyDescent="0.15">
      <c r="B84" s="48" t="s">
        <v>57</v>
      </c>
      <c r="C84" s="49"/>
      <c r="D84" s="49"/>
      <c r="E84" s="49"/>
      <c r="F84" s="50"/>
      <c r="G84" s="51"/>
    </row>
    <row r="85" spans="2:7" hidden="1" x14ac:dyDescent="0.15">
      <c r="B85" s="48"/>
      <c r="C85" s="49"/>
      <c r="D85" s="49"/>
      <c r="E85" s="49"/>
      <c r="F85" s="50"/>
      <c r="G85" s="51"/>
    </row>
    <row r="86" spans="2:7" hidden="1" x14ac:dyDescent="0.15">
      <c r="B86" s="48" t="s">
        <v>58</v>
      </c>
      <c r="C86" s="49"/>
      <c r="D86" s="49"/>
      <c r="E86" s="49"/>
      <c r="F86" s="50"/>
      <c r="G86" s="51"/>
    </row>
    <row r="87" spans="2:7" hidden="1" x14ac:dyDescent="0.15">
      <c r="B87" s="48" t="s">
        <v>59</v>
      </c>
      <c r="C87" s="49"/>
      <c r="D87" s="49"/>
      <c r="E87" s="49"/>
      <c r="F87" s="50"/>
      <c r="G87" s="51"/>
    </row>
    <row r="88" spans="2:7" hidden="1" x14ac:dyDescent="0.15">
      <c r="B88" s="48" t="s">
        <v>60</v>
      </c>
      <c r="C88" s="49"/>
      <c r="D88" s="49"/>
      <c r="E88" s="49"/>
      <c r="F88" s="50"/>
      <c r="G88" s="51"/>
    </row>
    <row r="89" spans="2:7" hidden="1" x14ac:dyDescent="0.15">
      <c r="B89" s="48"/>
      <c r="C89" s="49"/>
      <c r="D89" s="49"/>
      <c r="E89" s="49"/>
      <c r="F89" s="50"/>
      <c r="G89" s="51"/>
    </row>
    <row r="90" spans="2:7" hidden="1" x14ac:dyDescent="0.15">
      <c r="B90" s="48" t="s">
        <v>61</v>
      </c>
      <c r="C90" s="49"/>
      <c r="D90" s="49"/>
      <c r="E90" s="49"/>
      <c r="F90" s="50"/>
      <c r="G90" s="51"/>
    </row>
    <row r="91" spans="2:7" hidden="1" x14ac:dyDescent="0.15">
      <c r="B91" s="48" t="s">
        <v>62</v>
      </c>
      <c r="C91" s="49"/>
      <c r="D91" s="49"/>
      <c r="E91" s="49"/>
      <c r="F91" s="50"/>
      <c r="G91" s="51"/>
    </row>
    <row r="92" spans="2:7" hidden="1" x14ac:dyDescent="0.15">
      <c r="B92" s="48" t="s">
        <v>63</v>
      </c>
      <c r="C92" s="49"/>
      <c r="D92" s="49"/>
      <c r="E92" s="49"/>
      <c r="F92" s="50"/>
      <c r="G92" s="51"/>
    </row>
    <row r="93" spans="2:7" hidden="1" x14ac:dyDescent="0.15">
      <c r="B93" s="48" t="s">
        <v>64</v>
      </c>
      <c r="C93" s="49"/>
      <c r="D93" s="49"/>
      <c r="E93" s="49"/>
      <c r="F93" s="50"/>
      <c r="G93" s="51"/>
    </row>
    <row r="94" spans="2:7" hidden="1" x14ac:dyDescent="0.15">
      <c r="B94" s="48" t="s">
        <v>65</v>
      </c>
      <c r="C94" s="49"/>
      <c r="D94" s="49"/>
      <c r="E94" s="49"/>
      <c r="F94" s="50"/>
      <c r="G94" s="51"/>
    </row>
    <row r="95" spans="2:7" ht="14.25" hidden="1" thickBot="1" x14ac:dyDescent="0.45">
      <c r="B95" s="52"/>
      <c r="C95" s="53"/>
      <c r="D95" s="53"/>
      <c r="E95" s="53"/>
      <c r="F95" s="54"/>
      <c r="G95" s="55"/>
    </row>
    <row r="96" spans="2:7" hidden="1" x14ac:dyDescent="0.4">
      <c r="B96" s="49"/>
      <c r="C96" s="49"/>
      <c r="D96" s="49"/>
      <c r="E96" s="49"/>
      <c r="F96" s="50"/>
    </row>
    <row r="97" hidden="1" x14ac:dyDescent="0.4"/>
  </sheetData>
  <mergeCells count="22">
    <mergeCell ref="B41:F41"/>
    <mergeCell ref="B42:F42"/>
    <mergeCell ref="B43:B44"/>
    <mergeCell ref="C43:G43"/>
    <mergeCell ref="B35:C35"/>
    <mergeCell ref="B36:C36"/>
    <mergeCell ref="B37:C37"/>
    <mergeCell ref="B38:C38"/>
    <mergeCell ref="B39:C39"/>
    <mergeCell ref="B40:F40"/>
    <mergeCell ref="B29:C29"/>
    <mergeCell ref="B30:C30"/>
    <mergeCell ref="B31:C31"/>
    <mergeCell ref="B32:C32"/>
    <mergeCell ref="B33:C33"/>
    <mergeCell ref="B34:C34"/>
    <mergeCell ref="B2:G2"/>
    <mergeCell ref="B17:B18"/>
    <mergeCell ref="C17:E18"/>
    <mergeCell ref="B19:B20"/>
    <mergeCell ref="C19:E20"/>
    <mergeCell ref="B28:C28"/>
  </mergeCells>
  <phoneticPr fontId="3"/>
  <pageMargins left="0.7" right="0.7" top="0.75" bottom="0.75" header="0.3" footer="0.3"/>
  <pageSetup paperSize="9" scale="81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A63E-CA30-41D8-BCAE-F3F42B05F63A}">
  <dimension ref="B1:I100"/>
  <sheetViews>
    <sheetView view="pageBreakPreview" topLeftCell="A22" zoomScaleNormal="100" zoomScaleSheetLayoutView="100" workbookViewId="0">
      <selection activeCell="C17" sqref="C17:E18"/>
    </sheetView>
  </sheetViews>
  <sheetFormatPr defaultColWidth="9" defaultRowHeight="13.5" x14ac:dyDescent="0.4"/>
  <cols>
    <col min="1" max="1" width="2.875" style="1" customWidth="1"/>
    <col min="2" max="2" width="9.125" style="1" customWidth="1"/>
    <col min="3" max="3" width="24" style="1" customWidth="1"/>
    <col min="4" max="4" width="9.125" style="1" customWidth="1"/>
    <col min="5" max="5" width="9.25" style="1" customWidth="1"/>
    <col min="6" max="6" width="14.75" style="1" customWidth="1"/>
    <col min="7" max="7" width="27.25" style="1" customWidth="1"/>
    <col min="8" max="8" width="9" style="1"/>
    <col min="9" max="9" width="11.625" style="1" bestFit="1" customWidth="1"/>
    <col min="10" max="16384" width="9" style="1"/>
  </cols>
  <sheetData>
    <row r="1" spans="2:7" ht="8.25" customHeight="1" thickBot="1" x14ac:dyDescent="0.45"/>
    <row r="2" spans="2:7" ht="45.95" customHeight="1" thickTop="1" thickBot="1" x14ac:dyDescent="0.45">
      <c r="B2" s="99" t="s">
        <v>0</v>
      </c>
      <c r="C2" s="100"/>
      <c r="D2" s="100"/>
      <c r="E2" s="100"/>
      <c r="F2" s="100"/>
      <c r="G2" s="101"/>
    </row>
    <row r="3" spans="2:7" ht="10.5" customHeight="1" thickTop="1" x14ac:dyDescent="0.4">
      <c r="B3" s="2"/>
      <c r="C3" s="2"/>
      <c r="D3" s="2"/>
      <c r="E3" s="2"/>
      <c r="F3" s="2"/>
      <c r="G3" s="2"/>
    </row>
    <row r="4" spans="2:7" s="3" customFormat="1" ht="16.5" customHeight="1" x14ac:dyDescent="0.4">
      <c r="G4" s="90">
        <f ca="1">TODAY()</f>
        <v>46121</v>
      </c>
    </row>
    <row r="5" spans="2:7" s="3" customFormat="1" ht="14.25" customHeight="1" x14ac:dyDescent="0.4">
      <c r="F5" s="5"/>
      <c r="G5" s="6"/>
    </row>
    <row r="6" spans="2:7" s="3" customFormat="1" ht="18" customHeight="1" x14ac:dyDescent="0.4">
      <c r="B6" s="87" t="str">
        <f>+表題!C6</f>
        <v>むつ市</v>
      </c>
      <c r="C6" s="8"/>
      <c r="D6" s="67" t="s">
        <v>1</v>
      </c>
      <c r="F6" s="10"/>
    </row>
    <row r="7" spans="2:7" s="3" customFormat="1" ht="18" customHeight="1" x14ac:dyDescent="0.4">
      <c r="B7" s="11"/>
      <c r="C7" s="12"/>
      <c r="D7" s="9"/>
      <c r="F7" s="10"/>
    </row>
    <row r="8" spans="2:7" s="3" customFormat="1" ht="18" customHeight="1" x14ac:dyDescent="0.4">
      <c r="B8" s="13"/>
      <c r="C8" s="13"/>
      <c r="F8" s="5"/>
    </row>
    <row r="9" spans="2:7" s="3" customFormat="1" ht="18" customHeight="1" x14ac:dyDescent="0.4">
      <c r="B9" s="12"/>
      <c r="C9" s="12"/>
      <c r="F9" s="5"/>
      <c r="G9" s="14"/>
    </row>
    <row r="10" spans="2:7" s="3" customFormat="1" ht="18" customHeight="1" x14ac:dyDescent="0.4">
      <c r="C10" s="12"/>
      <c r="F10" s="5"/>
      <c r="G10" s="14"/>
    </row>
    <row r="11" spans="2:7" s="3" customFormat="1" ht="18" customHeight="1" x14ac:dyDescent="0.4">
      <c r="F11" s="5"/>
    </row>
    <row r="12" spans="2:7" s="3" customFormat="1" ht="12.75" customHeight="1" x14ac:dyDescent="0.4">
      <c r="B12" s="5" t="s">
        <v>4</v>
      </c>
      <c r="E12" s="5"/>
    </row>
    <row r="13" spans="2:7" s="3" customFormat="1" ht="20.25" customHeight="1" x14ac:dyDescent="0.4">
      <c r="B13" s="5" t="s">
        <v>5</v>
      </c>
    </row>
    <row r="14" spans="2:7" ht="21" customHeight="1" thickBot="1" x14ac:dyDescent="0.45"/>
    <row r="15" spans="2:7" ht="15.95" customHeight="1" x14ac:dyDescent="0.4">
      <c r="B15" s="102" t="s">
        <v>6</v>
      </c>
      <c r="C15" s="104" t="s">
        <v>256</v>
      </c>
      <c r="D15" s="105"/>
      <c r="E15" s="106"/>
    </row>
    <row r="16" spans="2:7" ht="15.95" customHeight="1" x14ac:dyDescent="0.4">
      <c r="B16" s="103"/>
      <c r="C16" s="107"/>
      <c r="D16" s="108"/>
      <c r="E16" s="109"/>
    </row>
    <row r="17" spans="2:9" ht="15.95" customHeight="1" x14ac:dyDescent="0.4">
      <c r="B17" s="110" t="s">
        <v>7</v>
      </c>
      <c r="C17" s="112">
        <f>G45</f>
        <v>2970000</v>
      </c>
      <c r="D17" s="113"/>
      <c r="E17" s="114"/>
    </row>
    <row r="18" spans="2:9" ht="15.95" customHeight="1" thickBot="1" x14ac:dyDescent="0.45">
      <c r="B18" s="111"/>
      <c r="C18" s="115"/>
      <c r="D18" s="116"/>
      <c r="E18" s="117"/>
    </row>
    <row r="19" spans="2:9" ht="12.75" customHeight="1" thickBot="1" x14ac:dyDescent="0.45">
      <c r="D19" s="15"/>
    </row>
    <row r="20" spans="2:9" s="16" customFormat="1" ht="20.100000000000001" customHeight="1" x14ac:dyDescent="0.4">
      <c r="F20" s="17" t="s">
        <v>8</v>
      </c>
      <c r="G20" s="18" t="s">
        <v>9</v>
      </c>
    </row>
    <row r="21" spans="2:9" s="16" customFormat="1" ht="20.100000000000001" customHeight="1" x14ac:dyDescent="0.4">
      <c r="F21" s="19" t="s">
        <v>10</v>
      </c>
      <c r="G21" s="20" t="s">
        <v>11</v>
      </c>
    </row>
    <row r="22" spans="2:9" s="16" customFormat="1" ht="20.100000000000001" customHeight="1" x14ac:dyDescent="0.4">
      <c r="F22" s="19" t="s">
        <v>12</v>
      </c>
      <c r="G22" s="21" t="s">
        <v>13</v>
      </c>
    </row>
    <row r="23" spans="2:9" s="16" customFormat="1" ht="20.100000000000001" customHeight="1" thickBot="1" x14ac:dyDescent="0.45">
      <c r="F23" s="22" t="s">
        <v>14</v>
      </c>
      <c r="G23" s="23" t="s">
        <v>15</v>
      </c>
    </row>
    <row r="24" spans="2:9" ht="15.75" customHeight="1" thickBot="1" x14ac:dyDescent="0.45"/>
    <row r="25" spans="2:9" ht="20.100000000000001" customHeight="1" x14ac:dyDescent="0.4">
      <c r="B25" s="24" t="s">
        <v>16</v>
      </c>
      <c r="C25" s="25"/>
      <c r="D25" s="26" t="s">
        <v>17</v>
      </c>
      <c r="E25" s="26" t="s">
        <v>18</v>
      </c>
      <c r="F25" s="26" t="s">
        <v>19</v>
      </c>
      <c r="G25" s="27" t="s">
        <v>20</v>
      </c>
      <c r="I25" s="1" t="s">
        <v>234</v>
      </c>
    </row>
    <row r="26" spans="2:9" ht="20.100000000000001" customHeight="1" x14ac:dyDescent="0.4">
      <c r="B26" s="97" t="s">
        <v>241</v>
      </c>
      <c r="C26" s="98"/>
      <c r="D26" s="88"/>
      <c r="E26" s="88"/>
      <c r="F26" s="92"/>
      <c r="G26" s="89">
        <f>SUM(G27:G31)</f>
        <v>2700000</v>
      </c>
      <c r="I26" s="29"/>
    </row>
    <row r="27" spans="2:9" ht="20.100000000000001" customHeight="1" x14ac:dyDescent="0.4">
      <c r="B27" s="95" t="s">
        <v>248</v>
      </c>
      <c r="C27" s="33"/>
      <c r="D27" s="34">
        <v>1</v>
      </c>
      <c r="E27" s="34" t="s">
        <v>21</v>
      </c>
      <c r="F27" s="94">
        <v>700000</v>
      </c>
      <c r="G27" s="31">
        <f>F27</f>
        <v>700000</v>
      </c>
      <c r="I27" s="29" t="s">
        <v>235</v>
      </c>
    </row>
    <row r="28" spans="2:9" ht="20.100000000000001" customHeight="1" x14ac:dyDescent="0.4">
      <c r="B28" s="32" t="s">
        <v>249</v>
      </c>
      <c r="C28" s="33"/>
      <c r="D28" s="34">
        <v>1</v>
      </c>
      <c r="E28" s="34" t="s">
        <v>21</v>
      </c>
      <c r="F28" s="94">
        <v>700000</v>
      </c>
      <c r="G28" s="31">
        <f t="shared" ref="G28:G29" si="0">F28</f>
        <v>700000</v>
      </c>
      <c r="I28" s="29" t="s">
        <v>235</v>
      </c>
    </row>
    <row r="29" spans="2:9" ht="20.100000000000001" customHeight="1" x14ac:dyDescent="0.4">
      <c r="B29" s="32" t="s">
        <v>250</v>
      </c>
      <c r="C29" s="33"/>
      <c r="D29" s="34">
        <v>1</v>
      </c>
      <c r="E29" s="34" t="s">
        <v>21</v>
      </c>
      <c r="F29" s="94">
        <v>800000</v>
      </c>
      <c r="G29" s="31">
        <f t="shared" si="0"/>
        <v>800000</v>
      </c>
      <c r="I29" s="29" t="s">
        <v>235</v>
      </c>
    </row>
    <row r="30" spans="2:9" ht="20.100000000000001" customHeight="1" x14ac:dyDescent="0.4">
      <c r="B30" s="32" t="s">
        <v>251</v>
      </c>
      <c r="C30" s="33"/>
      <c r="D30" s="34">
        <v>4</v>
      </c>
      <c r="E30" s="34" t="s">
        <v>242</v>
      </c>
      <c r="F30" s="94">
        <v>100000</v>
      </c>
      <c r="G30" s="31">
        <f>D30*F30</f>
        <v>400000</v>
      </c>
      <c r="I30" s="29" t="s">
        <v>235</v>
      </c>
    </row>
    <row r="31" spans="2:9" ht="20.100000000000001" customHeight="1" x14ac:dyDescent="0.4">
      <c r="B31" s="32" t="s">
        <v>252</v>
      </c>
      <c r="C31" s="96"/>
      <c r="D31" s="34">
        <v>1</v>
      </c>
      <c r="E31" s="34" t="s">
        <v>21</v>
      </c>
      <c r="F31" s="94">
        <v>100000</v>
      </c>
      <c r="G31" s="31">
        <f>D31*F31</f>
        <v>100000</v>
      </c>
      <c r="I31" s="29" t="s">
        <v>235</v>
      </c>
    </row>
    <row r="32" spans="2:9" ht="20.100000000000001" customHeight="1" x14ac:dyDescent="0.4">
      <c r="B32" s="80"/>
      <c r="C32" s="75"/>
      <c r="D32" s="28"/>
      <c r="E32" s="28"/>
      <c r="F32" s="94"/>
      <c r="G32" s="31"/>
      <c r="I32" s="29" t="s">
        <v>235</v>
      </c>
    </row>
    <row r="33" spans="2:9" ht="20.100000000000001" customHeight="1" x14ac:dyDescent="0.4">
      <c r="B33" s="80"/>
      <c r="C33" s="75"/>
      <c r="D33" s="28"/>
      <c r="E33" s="28"/>
      <c r="F33" s="94"/>
      <c r="G33" s="31"/>
      <c r="I33" s="29" t="s">
        <v>235</v>
      </c>
    </row>
    <row r="34" spans="2:9" ht="20.100000000000001" customHeight="1" x14ac:dyDescent="0.4">
      <c r="B34" s="80"/>
      <c r="C34" s="75"/>
      <c r="D34" s="28"/>
      <c r="E34" s="28"/>
      <c r="F34" s="94"/>
      <c r="G34" s="31"/>
      <c r="I34" s="29" t="s">
        <v>235</v>
      </c>
    </row>
    <row r="35" spans="2:9" ht="20.100000000000001" customHeight="1" x14ac:dyDescent="0.4">
      <c r="B35" s="80"/>
      <c r="C35" s="75"/>
      <c r="D35" s="28"/>
      <c r="E35" s="28"/>
      <c r="F35" s="94"/>
      <c r="G35" s="31"/>
      <c r="I35" s="29"/>
    </row>
    <row r="36" spans="2:9" ht="20.100000000000001" customHeight="1" x14ac:dyDescent="0.4">
      <c r="B36" s="32"/>
      <c r="C36" s="39"/>
      <c r="D36" s="28"/>
      <c r="E36" s="28"/>
      <c r="F36" s="93"/>
      <c r="G36" s="31"/>
    </row>
    <row r="37" spans="2:9" ht="20.100000000000001" customHeight="1" x14ac:dyDescent="0.4">
      <c r="B37" s="32"/>
      <c r="C37" s="39"/>
      <c r="D37" s="28"/>
      <c r="E37" s="28"/>
      <c r="F37" s="93"/>
      <c r="G37" s="31"/>
    </row>
    <row r="38" spans="2:9" ht="20.100000000000001" customHeight="1" x14ac:dyDescent="0.4">
      <c r="B38" s="78"/>
      <c r="C38" s="79"/>
      <c r="D38" s="28"/>
      <c r="E38" s="28"/>
      <c r="F38" s="94"/>
      <c r="G38" s="76"/>
    </row>
    <row r="39" spans="2:9" ht="20.100000000000001" hidden="1" customHeight="1" x14ac:dyDescent="0.4">
      <c r="B39" s="32"/>
      <c r="C39" s="33"/>
      <c r="D39" s="34"/>
      <c r="E39" s="34"/>
      <c r="F39" s="37"/>
      <c r="G39" s="76"/>
    </row>
    <row r="40" spans="2:9" ht="20.100000000000001" hidden="1" customHeight="1" x14ac:dyDescent="0.4">
      <c r="B40" s="32"/>
      <c r="C40" s="33"/>
      <c r="D40" s="34"/>
      <c r="E40" s="34"/>
      <c r="F40" s="37"/>
      <c r="G40" s="76"/>
    </row>
    <row r="41" spans="2:9" ht="20.100000000000001" hidden="1" customHeight="1" x14ac:dyDescent="0.4">
      <c r="B41" s="32"/>
      <c r="C41" s="33"/>
      <c r="D41" s="34"/>
      <c r="E41" s="34"/>
      <c r="F41" s="37"/>
      <c r="G41" s="76"/>
    </row>
    <row r="42" spans="2:9" ht="20.100000000000001" hidden="1" customHeight="1" x14ac:dyDescent="0.4">
      <c r="B42" s="38"/>
      <c r="C42" s="39"/>
      <c r="D42" s="40"/>
      <c r="E42" s="40"/>
      <c r="F42" s="41"/>
      <c r="G42" s="42"/>
    </row>
    <row r="43" spans="2:9" ht="20.100000000000001" customHeight="1" x14ac:dyDescent="0.4">
      <c r="B43" s="118" t="s">
        <v>22</v>
      </c>
      <c r="C43" s="119"/>
      <c r="D43" s="119"/>
      <c r="E43" s="119"/>
      <c r="F43" s="120"/>
      <c r="G43" s="43">
        <f>+G26</f>
        <v>2700000</v>
      </c>
    </row>
    <row r="44" spans="2:9" ht="20.100000000000001" customHeight="1" x14ac:dyDescent="0.4">
      <c r="B44" s="118" t="s">
        <v>23</v>
      </c>
      <c r="C44" s="119"/>
      <c r="D44" s="119"/>
      <c r="E44" s="119"/>
      <c r="F44" s="120"/>
      <c r="G44" s="43">
        <f>INT(G43*0.1)</f>
        <v>270000</v>
      </c>
    </row>
    <row r="45" spans="2:9" ht="20.100000000000001" customHeight="1" x14ac:dyDescent="0.4">
      <c r="B45" s="118" t="s">
        <v>24</v>
      </c>
      <c r="C45" s="119"/>
      <c r="D45" s="119"/>
      <c r="E45" s="119"/>
      <c r="F45" s="120"/>
      <c r="G45" s="43">
        <f>G43+G44</f>
        <v>2970000</v>
      </c>
    </row>
    <row r="46" spans="2:9" ht="219.75" customHeight="1" x14ac:dyDescent="0.4">
      <c r="B46" s="110" t="s">
        <v>25</v>
      </c>
      <c r="C46" s="121" t="s">
        <v>253</v>
      </c>
      <c r="D46" s="122"/>
      <c r="E46" s="122"/>
      <c r="F46" s="122"/>
      <c r="G46" s="123"/>
    </row>
    <row r="47" spans="2:9" ht="15" customHeight="1" thickBot="1" x14ac:dyDescent="0.45">
      <c r="B47" s="111"/>
      <c r="C47" s="69"/>
      <c r="D47" s="70"/>
      <c r="E47" s="70"/>
      <c r="F47" s="70"/>
      <c r="G47" s="71"/>
    </row>
    <row r="49" spans="2:7" hidden="1" x14ac:dyDescent="0.4"/>
    <row r="50" spans="2:7" ht="16.5" hidden="1" customHeight="1" x14ac:dyDescent="0.4">
      <c r="B50" s="44" t="s">
        <v>26</v>
      </c>
    </row>
    <row r="51" spans="2:7" ht="7.5" hidden="1" customHeight="1" x14ac:dyDescent="0.4"/>
    <row r="52" spans="2:7" ht="7.5" hidden="1" customHeight="1" x14ac:dyDescent="0.4">
      <c r="B52" s="45"/>
      <c r="C52" s="46"/>
      <c r="D52" s="46"/>
      <c r="E52" s="46"/>
      <c r="F52" s="46"/>
      <c r="G52" s="47"/>
    </row>
    <row r="53" spans="2:7" hidden="1" x14ac:dyDescent="0.15">
      <c r="B53" s="48" t="s">
        <v>27</v>
      </c>
      <c r="C53" s="49"/>
      <c r="D53" s="49"/>
      <c r="E53" s="49"/>
      <c r="F53" s="50"/>
      <c r="G53" s="51"/>
    </row>
    <row r="54" spans="2:7" hidden="1" x14ac:dyDescent="0.15">
      <c r="B54" s="48" t="s">
        <v>28</v>
      </c>
      <c r="C54" s="49"/>
      <c r="D54" s="49"/>
      <c r="E54" s="49"/>
      <c r="F54" s="50"/>
      <c r="G54" s="51"/>
    </row>
    <row r="55" spans="2:7" hidden="1" x14ac:dyDescent="0.15">
      <c r="B55" s="48" t="s">
        <v>29</v>
      </c>
      <c r="C55" s="49"/>
      <c r="D55" s="49"/>
      <c r="E55" s="49"/>
      <c r="F55" s="50"/>
      <c r="G55" s="51"/>
    </row>
    <row r="56" spans="2:7" hidden="1" x14ac:dyDescent="0.15">
      <c r="B56" s="48" t="s">
        <v>30</v>
      </c>
      <c r="C56" s="49"/>
      <c r="D56" s="49"/>
      <c r="E56" s="49"/>
      <c r="F56" s="50"/>
      <c r="G56" s="51"/>
    </row>
    <row r="57" spans="2:7" hidden="1" x14ac:dyDescent="0.15">
      <c r="B57" s="48" t="s">
        <v>31</v>
      </c>
      <c r="C57" s="49"/>
      <c r="D57" s="49"/>
      <c r="E57" s="49"/>
      <c r="F57" s="50"/>
      <c r="G57" s="51"/>
    </row>
    <row r="58" spans="2:7" hidden="1" x14ac:dyDescent="0.15">
      <c r="B58" s="48" t="s">
        <v>32</v>
      </c>
      <c r="C58" s="49"/>
      <c r="D58" s="49"/>
      <c r="E58" s="49"/>
      <c r="F58" s="50"/>
      <c r="G58" s="51"/>
    </row>
    <row r="59" spans="2:7" hidden="1" x14ac:dyDescent="0.15">
      <c r="B59" s="48"/>
      <c r="C59" s="49"/>
      <c r="D59" s="49"/>
      <c r="E59" s="49"/>
      <c r="F59" s="50"/>
      <c r="G59" s="51"/>
    </row>
    <row r="60" spans="2:7" hidden="1" x14ac:dyDescent="0.15">
      <c r="B60" s="48" t="s">
        <v>33</v>
      </c>
      <c r="C60" s="49"/>
      <c r="D60" s="49"/>
      <c r="E60" s="49"/>
      <c r="F60" s="50"/>
      <c r="G60" s="51"/>
    </row>
    <row r="61" spans="2:7" hidden="1" x14ac:dyDescent="0.15">
      <c r="B61" s="48" t="s">
        <v>34</v>
      </c>
      <c r="C61" s="49"/>
      <c r="D61" s="49"/>
      <c r="E61" s="49"/>
      <c r="F61" s="50"/>
      <c r="G61" s="51"/>
    </row>
    <row r="62" spans="2:7" hidden="1" x14ac:dyDescent="0.15">
      <c r="B62" s="48" t="s">
        <v>35</v>
      </c>
      <c r="C62" s="49"/>
      <c r="D62" s="49"/>
      <c r="E62" s="49"/>
      <c r="F62" s="50"/>
      <c r="G62" s="51"/>
    </row>
    <row r="63" spans="2:7" hidden="1" x14ac:dyDescent="0.15">
      <c r="B63" s="48" t="s">
        <v>36</v>
      </c>
      <c r="C63" s="49"/>
      <c r="D63" s="49"/>
      <c r="E63" s="49"/>
      <c r="F63" s="50"/>
      <c r="G63" s="51"/>
    </row>
    <row r="64" spans="2:7" hidden="1" x14ac:dyDescent="0.15">
      <c r="B64" s="48" t="s">
        <v>37</v>
      </c>
      <c r="C64" s="49"/>
      <c r="D64" s="49"/>
      <c r="E64" s="49"/>
      <c r="F64" s="50"/>
      <c r="G64" s="51"/>
    </row>
    <row r="65" spans="2:7" hidden="1" x14ac:dyDescent="0.15">
      <c r="B65" s="48" t="s">
        <v>38</v>
      </c>
      <c r="C65" s="49"/>
      <c r="D65" s="49"/>
      <c r="E65" s="49"/>
      <c r="F65" s="50"/>
      <c r="G65" s="51"/>
    </row>
    <row r="66" spans="2:7" hidden="1" x14ac:dyDescent="0.15">
      <c r="B66" s="48" t="s">
        <v>39</v>
      </c>
      <c r="C66" s="49"/>
      <c r="D66" s="49"/>
      <c r="E66" s="49"/>
      <c r="F66" s="50"/>
      <c r="G66" s="51"/>
    </row>
    <row r="67" spans="2:7" hidden="1" x14ac:dyDescent="0.15">
      <c r="B67" s="48" t="s">
        <v>40</v>
      </c>
      <c r="C67" s="49"/>
      <c r="D67" s="49"/>
      <c r="E67" s="49"/>
      <c r="F67" s="50"/>
      <c r="G67" s="51"/>
    </row>
    <row r="68" spans="2:7" hidden="1" x14ac:dyDescent="0.15">
      <c r="B68" s="48" t="s">
        <v>41</v>
      </c>
      <c r="C68" s="49"/>
      <c r="D68" s="49"/>
      <c r="E68" s="49"/>
      <c r="F68" s="50"/>
      <c r="G68" s="51"/>
    </row>
    <row r="69" spans="2:7" hidden="1" x14ac:dyDescent="0.15">
      <c r="B69" s="48"/>
      <c r="C69" s="49"/>
      <c r="D69" s="49"/>
      <c r="E69" s="49"/>
      <c r="F69" s="50"/>
      <c r="G69" s="51"/>
    </row>
    <row r="70" spans="2:7" hidden="1" x14ac:dyDescent="0.15">
      <c r="B70" s="48" t="s">
        <v>42</v>
      </c>
      <c r="C70" s="49"/>
      <c r="D70" s="49"/>
      <c r="E70" s="49"/>
      <c r="F70" s="50"/>
      <c r="G70" s="51"/>
    </row>
    <row r="71" spans="2:7" hidden="1" x14ac:dyDescent="0.15">
      <c r="B71" s="48" t="s">
        <v>43</v>
      </c>
      <c r="C71" s="49"/>
      <c r="D71" s="49"/>
      <c r="E71" s="49"/>
      <c r="F71" s="50"/>
      <c r="G71" s="51"/>
    </row>
    <row r="72" spans="2:7" hidden="1" x14ac:dyDescent="0.15">
      <c r="B72" s="48" t="s">
        <v>44</v>
      </c>
      <c r="C72" s="49"/>
      <c r="D72" s="49"/>
      <c r="E72" s="49"/>
      <c r="F72" s="50"/>
      <c r="G72" s="51"/>
    </row>
    <row r="73" spans="2:7" hidden="1" x14ac:dyDescent="0.15">
      <c r="B73" s="48" t="s">
        <v>45</v>
      </c>
      <c r="C73" s="49"/>
      <c r="D73" s="49"/>
      <c r="E73" s="49"/>
      <c r="F73" s="50"/>
      <c r="G73" s="51"/>
    </row>
    <row r="74" spans="2:7" hidden="1" x14ac:dyDescent="0.15">
      <c r="B74" s="48" t="s">
        <v>46</v>
      </c>
      <c r="C74" s="49"/>
      <c r="D74" s="49"/>
      <c r="E74" s="49"/>
      <c r="F74" s="50"/>
      <c r="G74" s="51"/>
    </row>
    <row r="75" spans="2:7" hidden="1" x14ac:dyDescent="0.15">
      <c r="B75" s="48" t="s">
        <v>47</v>
      </c>
      <c r="C75" s="49"/>
      <c r="D75" s="49"/>
      <c r="E75" s="49"/>
      <c r="F75" s="50"/>
      <c r="G75" s="51"/>
    </row>
    <row r="76" spans="2:7" hidden="1" x14ac:dyDescent="0.15">
      <c r="B76" s="48" t="s">
        <v>48</v>
      </c>
      <c r="C76" s="49"/>
      <c r="D76" s="49"/>
      <c r="E76" s="49"/>
      <c r="F76" s="50"/>
      <c r="G76" s="51"/>
    </row>
    <row r="77" spans="2:7" hidden="1" x14ac:dyDescent="0.15">
      <c r="B77" s="48"/>
      <c r="C77" s="49"/>
      <c r="D77" s="49"/>
      <c r="E77" s="49"/>
      <c r="F77" s="50"/>
      <c r="G77" s="51"/>
    </row>
    <row r="78" spans="2:7" hidden="1" x14ac:dyDescent="0.15">
      <c r="B78" s="48" t="s">
        <v>49</v>
      </c>
      <c r="C78" s="49"/>
      <c r="D78" s="49"/>
      <c r="E78" s="49"/>
      <c r="F78" s="50"/>
      <c r="G78" s="51"/>
    </row>
    <row r="79" spans="2:7" hidden="1" x14ac:dyDescent="0.15">
      <c r="B79" s="48" t="s">
        <v>50</v>
      </c>
      <c r="C79" s="49"/>
      <c r="D79" s="49"/>
      <c r="E79" s="49"/>
      <c r="F79" s="50"/>
      <c r="G79" s="51"/>
    </row>
    <row r="80" spans="2:7" hidden="1" x14ac:dyDescent="0.15">
      <c r="B80" s="48" t="s">
        <v>51</v>
      </c>
      <c r="C80" s="49"/>
      <c r="D80" s="49"/>
      <c r="E80" s="49"/>
      <c r="F80" s="50"/>
      <c r="G80" s="51"/>
    </row>
    <row r="81" spans="2:7" hidden="1" x14ac:dyDescent="0.15">
      <c r="B81" s="48" t="s">
        <v>52</v>
      </c>
      <c r="C81" s="49"/>
      <c r="D81" s="49"/>
      <c r="E81" s="49"/>
      <c r="F81" s="50"/>
      <c r="G81" s="51"/>
    </row>
    <row r="82" spans="2:7" hidden="1" x14ac:dyDescent="0.15">
      <c r="B82" s="48" t="s">
        <v>53</v>
      </c>
      <c r="C82" s="49"/>
      <c r="D82" s="49"/>
      <c r="E82" s="49"/>
      <c r="F82" s="50"/>
      <c r="G82" s="51"/>
    </row>
    <row r="83" spans="2:7" hidden="1" x14ac:dyDescent="0.15">
      <c r="B83" s="48"/>
      <c r="C83" s="49"/>
      <c r="D83" s="49"/>
      <c r="E83" s="49"/>
      <c r="F83" s="50"/>
      <c r="G83" s="51"/>
    </row>
    <row r="84" spans="2:7" hidden="1" x14ac:dyDescent="0.15">
      <c r="B84" s="48" t="s">
        <v>54</v>
      </c>
      <c r="C84" s="49"/>
      <c r="D84" s="49"/>
      <c r="E84" s="49"/>
      <c r="F84" s="50"/>
      <c r="G84" s="51"/>
    </row>
    <row r="85" spans="2:7" hidden="1" x14ac:dyDescent="0.15">
      <c r="B85" s="48" t="s">
        <v>55</v>
      </c>
      <c r="C85" s="49"/>
      <c r="D85" s="49"/>
      <c r="E85" s="49"/>
      <c r="F85" s="50"/>
      <c r="G85" s="51"/>
    </row>
    <row r="86" spans="2:7" hidden="1" x14ac:dyDescent="0.15">
      <c r="B86" s="48" t="s">
        <v>56</v>
      </c>
      <c r="C86" s="49"/>
      <c r="D86" s="49"/>
      <c r="E86" s="49"/>
      <c r="F86" s="50"/>
      <c r="G86" s="51"/>
    </row>
    <row r="87" spans="2:7" hidden="1" x14ac:dyDescent="0.15">
      <c r="B87" s="48" t="s">
        <v>57</v>
      </c>
      <c r="C87" s="49"/>
      <c r="D87" s="49"/>
      <c r="E87" s="49"/>
      <c r="F87" s="50"/>
      <c r="G87" s="51"/>
    </row>
    <row r="88" spans="2:7" hidden="1" x14ac:dyDescent="0.15">
      <c r="B88" s="48"/>
      <c r="C88" s="49"/>
      <c r="D88" s="49"/>
      <c r="E88" s="49"/>
      <c r="F88" s="50"/>
      <c r="G88" s="51"/>
    </row>
    <row r="89" spans="2:7" hidden="1" x14ac:dyDescent="0.15">
      <c r="B89" s="48" t="s">
        <v>58</v>
      </c>
      <c r="C89" s="49"/>
      <c r="D89" s="49"/>
      <c r="E89" s="49"/>
      <c r="F89" s="50"/>
      <c r="G89" s="51"/>
    </row>
    <row r="90" spans="2:7" hidden="1" x14ac:dyDescent="0.15">
      <c r="B90" s="48" t="s">
        <v>59</v>
      </c>
      <c r="C90" s="49"/>
      <c r="D90" s="49"/>
      <c r="E90" s="49"/>
      <c r="F90" s="50"/>
      <c r="G90" s="51"/>
    </row>
    <row r="91" spans="2:7" hidden="1" x14ac:dyDescent="0.15">
      <c r="B91" s="48" t="s">
        <v>60</v>
      </c>
      <c r="C91" s="49"/>
      <c r="D91" s="49"/>
      <c r="E91" s="49"/>
      <c r="F91" s="50"/>
      <c r="G91" s="51"/>
    </row>
    <row r="92" spans="2:7" hidden="1" x14ac:dyDescent="0.15">
      <c r="B92" s="48"/>
      <c r="C92" s="49"/>
      <c r="D92" s="49"/>
      <c r="E92" s="49"/>
      <c r="F92" s="50"/>
      <c r="G92" s="51"/>
    </row>
    <row r="93" spans="2:7" hidden="1" x14ac:dyDescent="0.15">
      <c r="B93" s="48" t="s">
        <v>61</v>
      </c>
      <c r="C93" s="49"/>
      <c r="D93" s="49"/>
      <c r="E93" s="49"/>
      <c r="F93" s="50"/>
      <c r="G93" s="51"/>
    </row>
    <row r="94" spans="2:7" hidden="1" x14ac:dyDescent="0.15">
      <c r="B94" s="48" t="s">
        <v>62</v>
      </c>
      <c r="C94" s="49"/>
      <c r="D94" s="49"/>
      <c r="E94" s="49"/>
      <c r="F94" s="50"/>
      <c r="G94" s="51"/>
    </row>
    <row r="95" spans="2:7" hidden="1" x14ac:dyDescent="0.15">
      <c r="B95" s="48" t="s">
        <v>63</v>
      </c>
      <c r="C95" s="49"/>
      <c r="D95" s="49"/>
      <c r="E95" s="49"/>
      <c r="F95" s="50"/>
      <c r="G95" s="51"/>
    </row>
    <row r="96" spans="2:7" hidden="1" x14ac:dyDescent="0.15">
      <c r="B96" s="48" t="s">
        <v>64</v>
      </c>
      <c r="C96" s="49"/>
      <c r="D96" s="49"/>
      <c r="E96" s="49"/>
      <c r="F96" s="50"/>
      <c r="G96" s="51"/>
    </row>
    <row r="97" spans="2:7" hidden="1" x14ac:dyDescent="0.15">
      <c r="B97" s="48" t="s">
        <v>65</v>
      </c>
      <c r="C97" s="49"/>
      <c r="D97" s="49"/>
      <c r="E97" s="49"/>
      <c r="F97" s="50"/>
      <c r="G97" s="51"/>
    </row>
    <row r="98" spans="2:7" ht="14.25" hidden="1" thickBot="1" x14ac:dyDescent="0.45">
      <c r="B98" s="52"/>
      <c r="C98" s="53"/>
      <c r="D98" s="53"/>
      <c r="E98" s="53"/>
      <c r="F98" s="54"/>
      <c r="G98" s="55"/>
    </row>
    <row r="99" spans="2:7" hidden="1" x14ac:dyDescent="0.4">
      <c r="B99" s="49"/>
      <c r="C99" s="49"/>
      <c r="D99" s="49"/>
      <c r="E99" s="49"/>
      <c r="F99" s="50"/>
    </row>
    <row r="100" spans="2:7" hidden="1" x14ac:dyDescent="0.4"/>
  </sheetData>
  <mergeCells count="11">
    <mergeCell ref="B43:F43"/>
    <mergeCell ref="B44:F44"/>
    <mergeCell ref="B45:F45"/>
    <mergeCell ref="B46:B47"/>
    <mergeCell ref="C46:G46"/>
    <mergeCell ref="B26:C26"/>
    <mergeCell ref="B2:G2"/>
    <mergeCell ref="B15:B16"/>
    <mergeCell ref="C15:E16"/>
    <mergeCell ref="B17:B18"/>
    <mergeCell ref="C17:E18"/>
  </mergeCells>
  <phoneticPr fontId="3"/>
  <printOptions horizontalCentered="1"/>
  <pageMargins left="0.70866141732283472" right="0.70866141732283472" top="0.74803149606299213" bottom="0.74803149606299213" header="0.31496062992125984" footer="0.31496062992125984"/>
  <pageSetup paperSize="9" scale="65" orientation="portrait" r:id="rId1"/>
  <colBreaks count="1" manualBreakCount="1">
    <brk id="7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1FCB-BB15-4874-A416-12E2046B7D09}">
  <sheetPr>
    <tabColor theme="9" tint="0.79998168889431442"/>
  </sheetPr>
  <dimension ref="A1:H167"/>
  <sheetViews>
    <sheetView view="pageBreakPreview" topLeftCell="A144" zoomScale="60" zoomScaleNormal="100" workbookViewId="0">
      <selection activeCell="M8" sqref="M8"/>
    </sheetView>
  </sheetViews>
  <sheetFormatPr defaultColWidth="9" defaultRowHeight="13.5" x14ac:dyDescent="0.4"/>
  <cols>
    <col min="1" max="4" width="9" style="81"/>
    <col min="5" max="5" width="11.125" style="81" customWidth="1"/>
    <col min="6" max="16384" width="9" style="81"/>
  </cols>
  <sheetData>
    <row r="1" spans="1:8" x14ac:dyDescent="0.4">
      <c r="A1" s="81" t="s">
        <v>73</v>
      </c>
    </row>
    <row r="3" spans="1:8" ht="18.75" customHeight="1" x14ac:dyDescent="0.4">
      <c r="A3" s="144" t="s">
        <v>228</v>
      </c>
      <c r="B3" s="144"/>
      <c r="C3" s="144"/>
      <c r="D3" s="144"/>
      <c r="E3" s="144"/>
      <c r="F3" s="144"/>
      <c r="G3" s="144"/>
      <c r="H3" s="144"/>
    </row>
    <row r="5" spans="1:8" x14ac:dyDescent="0.4">
      <c r="B5" s="83" t="s">
        <v>226</v>
      </c>
      <c r="C5" s="84"/>
      <c r="D5" s="86">
        <f>COUNTIF(E9:E170,E9)</f>
        <v>126</v>
      </c>
      <c r="E5" s="85" t="s">
        <v>227</v>
      </c>
    </row>
    <row r="6" spans="1:8" x14ac:dyDescent="0.4">
      <c r="B6" s="83" t="s">
        <v>233</v>
      </c>
      <c r="C6" s="84"/>
      <c r="D6" s="86">
        <f>COUNTIF(E9:E170,E10)</f>
        <v>7</v>
      </c>
      <c r="E6" s="85" t="s">
        <v>227</v>
      </c>
      <c r="G6" s="81" t="s">
        <v>229</v>
      </c>
    </row>
    <row r="8" spans="1:8" x14ac:dyDescent="0.4">
      <c r="A8" s="82" t="s">
        <v>74</v>
      </c>
      <c r="B8" s="82"/>
      <c r="C8" s="82"/>
      <c r="D8" s="82"/>
      <c r="E8" s="82" t="s">
        <v>86</v>
      </c>
      <c r="F8" s="82" t="s">
        <v>87</v>
      </c>
      <c r="G8" s="82"/>
      <c r="H8" s="82"/>
    </row>
    <row r="9" spans="1:8" x14ac:dyDescent="0.4">
      <c r="A9" s="81" t="s">
        <v>75</v>
      </c>
      <c r="B9" s="81" t="s">
        <v>85</v>
      </c>
      <c r="E9" s="81" t="s">
        <v>83</v>
      </c>
      <c r="F9" s="81" t="s">
        <v>80</v>
      </c>
    </row>
    <row r="10" spans="1:8" x14ac:dyDescent="0.4">
      <c r="B10" s="81" t="s">
        <v>79</v>
      </c>
      <c r="E10" s="81" t="s">
        <v>84</v>
      </c>
      <c r="F10" s="81" t="s">
        <v>82</v>
      </c>
    </row>
    <row r="11" spans="1:8" x14ac:dyDescent="0.4">
      <c r="B11" s="81" t="s">
        <v>76</v>
      </c>
      <c r="E11" s="81" t="s">
        <v>83</v>
      </c>
      <c r="F11" s="81" t="s">
        <v>80</v>
      </c>
    </row>
    <row r="12" spans="1:8" x14ac:dyDescent="0.4">
      <c r="B12" s="81" t="s">
        <v>77</v>
      </c>
      <c r="E12" s="81" t="s">
        <v>83</v>
      </c>
      <c r="F12" s="81" t="s">
        <v>81</v>
      </c>
    </row>
    <row r="13" spans="1:8" x14ac:dyDescent="0.4">
      <c r="B13" s="81" t="s">
        <v>78</v>
      </c>
      <c r="E13" s="81" t="s">
        <v>83</v>
      </c>
      <c r="F13" s="81" t="s">
        <v>81</v>
      </c>
    </row>
    <row r="15" spans="1:8" x14ac:dyDescent="0.4">
      <c r="A15" s="82" t="s">
        <v>74</v>
      </c>
      <c r="B15" s="82"/>
      <c r="C15" s="82"/>
      <c r="D15" s="82"/>
      <c r="E15" s="82" t="s">
        <v>86</v>
      </c>
      <c r="F15" s="82" t="s">
        <v>87</v>
      </c>
      <c r="G15" s="82"/>
      <c r="H15" s="82"/>
    </row>
    <row r="16" spans="1:8" x14ac:dyDescent="0.4">
      <c r="A16" s="81" t="s">
        <v>88</v>
      </c>
      <c r="B16" s="81" t="s">
        <v>89</v>
      </c>
      <c r="E16" s="81" t="s">
        <v>83</v>
      </c>
      <c r="F16" s="81" t="s">
        <v>80</v>
      </c>
    </row>
    <row r="17" spans="1:8" x14ac:dyDescent="0.4">
      <c r="B17" s="81" t="s">
        <v>90</v>
      </c>
      <c r="E17" s="81" t="s">
        <v>83</v>
      </c>
      <c r="F17" s="81" t="s">
        <v>80</v>
      </c>
    </row>
    <row r="18" spans="1:8" x14ac:dyDescent="0.4">
      <c r="B18" s="81" t="s">
        <v>91</v>
      </c>
      <c r="E18" s="81" t="s">
        <v>83</v>
      </c>
      <c r="F18" s="81" t="s">
        <v>80</v>
      </c>
    </row>
    <row r="19" spans="1:8" x14ac:dyDescent="0.4">
      <c r="B19" s="81" t="s">
        <v>92</v>
      </c>
      <c r="E19" s="81" t="s">
        <v>83</v>
      </c>
      <c r="F19" s="81" t="s">
        <v>80</v>
      </c>
    </row>
    <row r="20" spans="1:8" x14ac:dyDescent="0.4">
      <c r="B20" s="81" t="s">
        <v>93</v>
      </c>
      <c r="E20" s="81" t="s">
        <v>83</v>
      </c>
      <c r="F20" s="81" t="s">
        <v>80</v>
      </c>
    </row>
    <row r="21" spans="1:8" x14ac:dyDescent="0.4">
      <c r="B21" s="81" t="s">
        <v>231</v>
      </c>
      <c r="E21" s="81" t="s">
        <v>83</v>
      </c>
      <c r="F21" s="81" t="s">
        <v>80</v>
      </c>
    </row>
    <row r="22" spans="1:8" x14ac:dyDescent="0.4">
      <c r="B22" s="81" t="s">
        <v>230</v>
      </c>
      <c r="E22" s="81" t="s">
        <v>83</v>
      </c>
      <c r="F22" s="81" t="s">
        <v>81</v>
      </c>
    </row>
    <row r="23" spans="1:8" x14ac:dyDescent="0.4">
      <c r="B23" s="81" t="s">
        <v>94</v>
      </c>
      <c r="E23" s="81" t="s">
        <v>83</v>
      </c>
      <c r="F23" s="81" t="s">
        <v>81</v>
      </c>
    </row>
    <row r="24" spans="1:8" x14ac:dyDescent="0.4">
      <c r="B24" s="81" t="s">
        <v>95</v>
      </c>
      <c r="E24" s="81" t="s">
        <v>83</v>
      </c>
      <c r="F24" s="81" t="s">
        <v>81</v>
      </c>
    </row>
    <row r="26" spans="1:8" x14ac:dyDescent="0.4">
      <c r="A26" s="82" t="s">
        <v>74</v>
      </c>
      <c r="B26" s="82"/>
      <c r="C26" s="82"/>
      <c r="D26" s="82"/>
      <c r="E26" s="82" t="s">
        <v>86</v>
      </c>
      <c r="F26" s="82" t="s">
        <v>87</v>
      </c>
      <c r="G26" s="82"/>
      <c r="H26" s="82"/>
    </row>
    <row r="27" spans="1:8" x14ac:dyDescent="0.4">
      <c r="A27" s="81" t="s">
        <v>111</v>
      </c>
      <c r="B27" s="81" t="s">
        <v>96</v>
      </c>
      <c r="E27" s="81" t="s">
        <v>83</v>
      </c>
      <c r="F27" s="81" t="s">
        <v>80</v>
      </c>
    </row>
    <row r="28" spans="1:8" x14ac:dyDescent="0.4">
      <c r="B28" s="81" t="s">
        <v>97</v>
      </c>
      <c r="E28" s="81" t="s">
        <v>83</v>
      </c>
      <c r="F28" s="81" t="s">
        <v>80</v>
      </c>
    </row>
    <row r="29" spans="1:8" x14ac:dyDescent="0.4">
      <c r="B29" s="81" t="s">
        <v>98</v>
      </c>
      <c r="E29" s="81" t="s">
        <v>83</v>
      </c>
      <c r="F29" s="81" t="s">
        <v>80</v>
      </c>
    </row>
    <row r="30" spans="1:8" x14ac:dyDescent="0.4">
      <c r="B30" s="81" t="s">
        <v>99</v>
      </c>
      <c r="E30" s="81" t="s">
        <v>83</v>
      </c>
      <c r="F30" s="81" t="s">
        <v>80</v>
      </c>
    </row>
    <row r="31" spans="1:8" x14ac:dyDescent="0.4">
      <c r="B31" s="81" t="s">
        <v>100</v>
      </c>
      <c r="E31" s="81" t="s">
        <v>83</v>
      </c>
      <c r="F31" s="81" t="s">
        <v>80</v>
      </c>
    </row>
    <row r="32" spans="1:8" x14ac:dyDescent="0.4">
      <c r="B32" s="81" t="s">
        <v>101</v>
      </c>
      <c r="E32" s="81" t="s">
        <v>83</v>
      </c>
      <c r="F32" s="81" t="s">
        <v>80</v>
      </c>
    </row>
    <row r="33" spans="1:8" x14ac:dyDescent="0.4">
      <c r="B33" s="81" t="s">
        <v>102</v>
      </c>
      <c r="E33" s="81" t="s">
        <v>83</v>
      </c>
      <c r="F33" s="81" t="s">
        <v>80</v>
      </c>
    </row>
    <row r="34" spans="1:8" x14ac:dyDescent="0.4">
      <c r="B34" s="81" t="s">
        <v>103</v>
      </c>
      <c r="E34" s="81" t="s">
        <v>83</v>
      </c>
      <c r="F34" s="81" t="s">
        <v>80</v>
      </c>
    </row>
    <row r="35" spans="1:8" x14ac:dyDescent="0.4">
      <c r="B35" s="81" t="s">
        <v>104</v>
      </c>
      <c r="E35" s="81" t="s">
        <v>83</v>
      </c>
      <c r="F35" s="81" t="s">
        <v>81</v>
      </c>
    </row>
    <row r="36" spans="1:8" x14ac:dyDescent="0.4">
      <c r="B36" s="81" t="s">
        <v>106</v>
      </c>
      <c r="E36" s="81" t="s">
        <v>83</v>
      </c>
      <c r="F36" s="81" t="s">
        <v>81</v>
      </c>
    </row>
    <row r="37" spans="1:8" x14ac:dyDescent="0.4">
      <c r="B37" s="81" t="s">
        <v>105</v>
      </c>
      <c r="E37" s="81" t="s">
        <v>83</v>
      </c>
      <c r="F37" s="81" t="s">
        <v>80</v>
      </c>
    </row>
    <row r="38" spans="1:8" x14ac:dyDescent="0.4">
      <c r="B38" s="81" t="s">
        <v>232</v>
      </c>
      <c r="E38" s="81" t="s">
        <v>83</v>
      </c>
      <c r="F38" s="81" t="s">
        <v>81</v>
      </c>
    </row>
    <row r="39" spans="1:8" x14ac:dyDescent="0.4">
      <c r="B39" s="81" t="s">
        <v>107</v>
      </c>
      <c r="E39" s="81" t="s">
        <v>83</v>
      </c>
      <c r="F39" s="81" t="s">
        <v>81</v>
      </c>
    </row>
    <row r="40" spans="1:8" x14ac:dyDescent="0.4">
      <c r="B40" s="81" t="s">
        <v>108</v>
      </c>
      <c r="E40" s="81" t="s">
        <v>83</v>
      </c>
      <c r="F40" s="81" t="s">
        <v>81</v>
      </c>
    </row>
    <row r="41" spans="1:8" x14ac:dyDescent="0.4">
      <c r="B41" s="81" t="s">
        <v>110</v>
      </c>
      <c r="E41" s="81" t="s">
        <v>83</v>
      </c>
      <c r="F41" s="81" t="s">
        <v>81</v>
      </c>
    </row>
    <row r="42" spans="1:8" x14ac:dyDescent="0.4">
      <c r="B42" s="81" t="s">
        <v>109</v>
      </c>
      <c r="E42" s="81" t="s">
        <v>83</v>
      </c>
      <c r="F42" s="81" t="s">
        <v>81</v>
      </c>
    </row>
    <row r="44" spans="1:8" x14ac:dyDescent="0.4">
      <c r="A44" s="82" t="s">
        <v>74</v>
      </c>
      <c r="B44" s="82"/>
      <c r="C44" s="82"/>
      <c r="D44" s="82"/>
      <c r="E44" s="82" t="s">
        <v>86</v>
      </c>
      <c r="F44" s="82" t="s">
        <v>87</v>
      </c>
      <c r="G44" s="82"/>
      <c r="H44" s="82"/>
    </row>
    <row r="45" spans="1:8" x14ac:dyDescent="0.4">
      <c r="A45" s="81" t="s">
        <v>119</v>
      </c>
      <c r="B45" s="81" t="s">
        <v>112</v>
      </c>
      <c r="E45" s="81" t="s">
        <v>83</v>
      </c>
      <c r="F45" s="81" t="s">
        <v>80</v>
      </c>
    </row>
    <row r="46" spans="1:8" x14ac:dyDescent="0.4">
      <c r="B46" s="81" t="s">
        <v>113</v>
      </c>
      <c r="E46" s="81" t="s">
        <v>83</v>
      </c>
      <c r="F46" s="81" t="s">
        <v>80</v>
      </c>
    </row>
    <row r="47" spans="1:8" x14ac:dyDescent="0.4">
      <c r="B47" s="81" t="s">
        <v>114</v>
      </c>
      <c r="E47" s="81" t="s">
        <v>83</v>
      </c>
      <c r="F47" s="81" t="s">
        <v>80</v>
      </c>
    </row>
    <row r="48" spans="1:8" x14ac:dyDescent="0.4">
      <c r="B48" s="81" t="s">
        <v>115</v>
      </c>
      <c r="E48" s="81" t="s">
        <v>83</v>
      </c>
      <c r="F48" s="81" t="s">
        <v>80</v>
      </c>
    </row>
    <row r="49" spans="1:8" x14ac:dyDescent="0.4">
      <c r="B49" s="81" t="s">
        <v>116</v>
      </c>
      <c r="E49" s="81" t="s">
        <v>83</v>
      </c>
      <c r="F49" s="81" t="s">
        <v>80</v>
      </c>
    </row>
    <row r="50" spans="1:8" x14ac:dyDescent="0.4">
      <c r="B50" s="81" t="s">
        <v>117</v>
      </c>
      <c r="E50" s="81" t="s">
        <v>83</v>
      </c>
      <c r="F50" s="81" t="s">
        <v>80</v>
      </c>
    </row>
    <row r="51" spans="1:8" x14ac:dyDescent="0.4">
      <c r="B51" s="81" t="s">
        <v>120</v>
      </c>
      <c r="E51" s="81" t="s">
        <v>84</v>
      </c>
      <c r="F51" s="81" t="s">
        <v>82</v>
      </c>
    </row>
    <row r="52" spans="1:8" x14ac:dyDescent="0.4">
      <c r="B52" s="81" t="s">
        <v>121</v>
      </c>
      <c r="E52" s="81" t="s">
        <v>83</v>
      </c>
      <c r="F52" s="81" t="s">
        <v>81</v>
      </c>
    </row>
    <row r="53" spans="1:8" x14ac:dyDescent="0.4">
      <c r="B53" s="81" t="s">
        <v>118</v>
      </c>
      <c r="E53" s="81" t="s">
        <v>83</v>
      </c>
      <c r="F53" s="81" t="s">
        <v>81</v>
      </c>
    </row>
    <row r="54" spans="1:8" x14ac:dyDescent="0.4">
      <c r="B54" s="81" t="s">
        <v>122</v>
      </c>
      <c r="E54" s="81" t="s">
        <v>83</v>
      </c>
      <c r="F54" s="81" t="s">
        <v>81</v>
      </c>
    </row>
    <row r="56" spans="1:8" x14ac:dyDescent="0.4">
      <c r="A56" s="82" t="s">
        <v>74</v>
      </c>
      <c r="B56" s="82"/>
      <c r="C56" s="82"/>
      <c r="D56" s="82"/>
      <c r="E56" s="82" t="s">
        <v>86</v>
      </c>
      <c r="F56" s="82" t="s">
        <v>87</v>
      </c>
      <c r="G56" s="82"/>
      <c r="H56" s="82"/>
    </row>
    <row r="57" spans="1:8" x14ac:dyDescent="0.4">
      <c r="A57" s="81" t="s">
        <v>132</v>
      </c>
      <c r="B57" s="81" t="s">
        <v>123</v>
      </c>
      <c r="E57" s="81" t="s">
        <v>83</v>
      </c>
      <c r="F57" s="81" t="s">
        <v>80</v>
      </c>
    </row>
    <row r="58" spans="1:8" x14ac:dyDescent="0.4">
      <c r="B58" s="81" t="s">
        <v>124</v>
      </c>
      <c r="E58" s="81" t="s">
        <v>83</v>
      </c>
      <c r="F58" s="81" t="s">
        <v>80</v>
      </c>
    </row>
    <row r="59" spans="1:8" x14ac:dyDescent="0.4">
      <c r="B59" s="81" t="s">
        <v>125</v>
      </c>
      <c r="E59" s="81" t="s">
        <v>83</v>
      </c>
      <c r="F59" s="81" t="s">
        <v>81</v>
      </c>
    </row>
    <row r="60" spans="1:8" x14ac:dyDescent="0.4">
      <c r="B60" s="81" t="s">
        <v>126</v>
      </c>
      <c r="E60" s="81" t="s">
        <v>83</v>
      </c>
      <c r="F60" s="81" t="s">
        <v>80</v>
      </c>
    </row>
    <row r="61" spans="1:8" x14ac:dyDescent="0.4">
      <c r="B61" s="81" t="s">
        <v>127</v>
      </c>
      <c r="E61" s="81" t="s">
        <v>83</v>
      </c>
      <c r="F61" s="81" t="s">
        <v>80</v>
      </c>
    </row>
    <row r="62" spans="1:8" x14ac:dyDescent="0.4">
      <c r="B62" s="81" t="s">
        <v>128</v>
      </c>
      <c r="E62" s="81" t="s">
        <v>83</v>
      </c>
      <c r="F62" s="81" t="s">
        <v>81</v>
      </c>
    </row>
    <row r="63" spans="1:8" x14ac:dyDescent="0.4">
      <c r="B63" s="81" t="s">
        <v>129</v>
      </c>
      <c r="E63" s="81" t="s">
        <v>83</v>
      </c>
      <c r="F63" s="81" t="s">
        <v>81</v>
      </c>
    </row>
    <row r="64" spans="1:8" x14ac:dyDescent="0.4">
      <c r="B64" s="81" t="s">
        <v>130</v>
      </c>
      <c r="E64" s="81" t="s">
        <v>83</v>
      </c>
      <c r="F64" s="81" t="s">
        <v>81</v>
      </c>
    </row>
    <row r="65" spans="1:8" x14ac:dyDescent="0.4">
      <c r="B65" s="81" t="s">
        <v>131</v>
      </c>
      <c r="E65" s="81" t="s">
        <v>83</v>
      </c>
      <c r="F65" s="81" t="s">
        <v>81</v>
      </c>
    </row>
    <row r="67" spans="1:8" x14ac:dyDescent="0.4">
      <c r="A67" s="82" t="s">
        <v>74</v>
      </c>
      <c r="B67" s="82"/>
      <c r="C67" s="82"/>
      <c r="D67" s="82"/>
      <c r="E67" s="82" t="s">
        <v>86</v>
      </c>
      <c r="F67" s="82" t="s">
        <v>87</v>
      </c>
      <c r="G67" s="82"/>
      <c r="H67" s="82"/>
    </row>
    <row r="68" spans="1:8" x14ac:dyDescent="0.4">
      <c r="A68" s="81" t="s">
        <v>142</v>
      </c>
      <c r="B68" s="81" t="s">
        <v>133</v>
      </c>
      <c r="E68" s="81" t="s">
        <v>84</v>
      </c>
      <c r="F68" s="81" t="s">
        <v>82</v>
      </c>
    </row>
    <row r="69" spans="1:8" x14ac:dyDescent="0.4">
      <c r="B69" s="81" t="s">
        <v>134</v>
      </c>
      <c r="E69" s="81" t="s">
        <v>83</v>
      </c>
      <c r="F69" s="81" t="s">
        <v>80</v>
      </c>
    </row>
    <row r="70" spans="1:8" x14ac:dyDescent="0.4">
      <c r="B70" s="81" t="s">
        <v>135</v>
      </c>
      <c r="E70" s="81" t="s">
        <v>83</v>
      </c>
      <c r="F70" s="81" t="s">
        <v>80</v>
      </c>
    </row>
    <row r="71" spans="1:8" x14ac:dyDescent="0.4">
      <c r="B71" s="81" t="s">
        <v>136</v>
      </c>
      <c r="E71" s="81" t="s">
        <v>83</v>
      </c>
      <c r="F71" s="81" t="s">
        <v>80</v>
      </c>
    </row>
    <row r="72" spans="1:8" x14ac:dyDescent="0.4">
      <c r="B72" s="81" t="s">
        <v>137</v>
      </c>
      <c r="E72" s="81" t="s">
        <v>83</v>
      </c>
      <c r="F72" s="81" t="s">
        <v>80</v>
      </c>
    </row>
    <row r="73" spans="1:8" x14ac:dyDescent="0.4">
      <c r="B73" s="81" t="s">
        <v>138</v>
      </c>
      <c r="E73" s="81" t="s">
        <v>83</v>
      </c>
      <c r="F73" s="81" t="s">
        <v>80</v>
      </c>
    </row>
    <row r="74" spans="1:8" x14ac:dyDescent="0.4">
      <c r="B74" s="81" t="s">
        <v>139</v>
      </c>
      <c r="E74" s="81" t="s">
        <v>83</v>
      </c>
      <c r="F74" s="81" t="s">
        <v>80</v>
      </c>
    </row>
    <row r="75" spans="1:8" x14ac:dyDescent="0.4">
      <c r="B75" s="81" t="s">
        <v>143</v>
      </c>
      <c r="E75" s="81" t="s">
        <v>83</v>
      </c>
      <c r="F75" s="81" t="s">
        <v>80</v>
      </c>
    </row>
    <row r="76" spans="1:8" x14ac:dyDescent="0.4">
      <c r="B76" s="81" t="s">
        <v>140</v>
      </c>
      <c r="E76" s="81" t="s">
        <v>83</v>
      </c>
      <c r="F76" s="81" t="s">
        <v>80</v>
      </c>
    </row>
    <row r="77" spans="1:8" x14ac:dyDescent="0.4">
      <c r="B77" s="81" t="s">
        <v>141</v>
      </c>
      <c r="E77" s="81" t="s">
        <v>83</v>
      </c>
      <c r="F77" s="81" t="s">
        <v>80</v>
      </c>
    </row>
    <row r="79" spans="1:8" x14ac:dyDescent="0.4">
      <c r="A79" s="82" t="s">
        <v>74</v>
      </c>
      <c r="B79" s="82"/>
      <c r="C79" s="82"/>
      <c r="D79" s="82"/>
      <c r="E79" s="82" t="s">
        <v>86</v>
      </c>
      <c r="F79" s="82" t="s">
        <v>87</v>
      </c>
      <c r="G79" s="82"/>
      <c r="H79" s="82"/>
    </row>
    <row r="80" spans="1:8" x14ac:dyDescent="0.4">
      <c r="A80" s="81" t="s">
        <v>166</v>
      </c>
      <c r="B80" s="81" t="s">
        <v>144</v>
      </c>
      <c r="E80" s="81" t="s">
        <v>83</v>
      </c>
      <c r="F80" s="81" t="s">
        <v>80</v>
      </c>
    </row>
    <row r="81" spans="2:6" x14ac:dyDescent="0.4">
      <c r="B81" s="81" t="s">
        <v>145</v>
      </c>
      <c r="E81" s="81" t="s">
        <v>83</v>
      </c>
      <c r="F81" s="81" t="s">
        <v>80</v>
      </c>
    </row>
    <row r="82" spans="2:6" x14ac:dyDescent="0.4">
      <c r="B82" s="81" t="s">
        <v>146</v>
      </c>
      <c r="E82" s="81" t="s">
        <v>83</v>
      </c>
      <c r="F82" s="81" t="s">
        <v>80</v>
      </c>
    </row>
    <row r="83" spans="2:6" x14ac:dyDescent="0.4">
      <c r="B83" s="81" t="s">
        <v>147</v>
      </c>
      <c r="E83" s="81" t="s">
        <v>83</v>
      </c>
      <c r="F83" s="81" t="s">
        <v>80</v>
      </c>
    </row>
    <row r="84" spans="2:6" x14ac:dyDescent="0.4">
      <c r="B84" s="81" t="s">
        <v>148</v>
      </c>
      <c r="E84" s="81" t="s">
        <v>83</v>
      </c>
      <c r="F84" s="81" t="s">
        <v>80</v>
      </c>
    </row>
    <row r="85" spans="2:6" x14ac:dyDescent="0.4">
      <c r="B85" s="81" t="s">
        <v>149</v>
      </c>
      <c r="E85" s="81" t="s">
        <v>83</v>
      </c>
      <c r="F85" s="81" t="s">
        <v>80</v>
      </c>
    </row>
    <row r="86" spans="2:6" x14ac:dyDescent="0.4">
      <c r="B86" s="81" t="s">
        <v>150</v>
      </c>
      <c r="E86" s="81" t="s">
        <v>83</v>
      </c>
      <c r="F86" s="81" t="s">
        <v>80</v>
      </c>
    </row>
    <row r="87" spans="2:6" x14ac:dyDescent="0.4">
      <c r="B87" s="81" t="s">
        <v>151</v>
      </c>
      <c r="E87" s="81" t="s">
        <v>83</v>
      </c>
      <c r="F87" s="81" t="s">
        <v>80</v>
      </c>
    </row>
    <row r="88" spans="2:6" x14ac:dyDescent="0.4">
      <c r="B88" s="81" t="s">
        <v>152</v>
      </c>
      <c r="E88" s="81" t="s">
        <v>83</v>
      </c>
      <c r="F88" s="81" t="s">
        <v>80</v>
      </c>
    </row>
    <row r="89" spans="2:6" x14ac:dyDescent="0.4">
      <c r="B89" s="81" t="s">
        <v>153</v>
      </c>
      <c r="E89" s="81" t="s">
        <v>83</v>
      </c>
      <c r="F89" s="81" t="s">
        <v>80</v>
      </c>
    </row>
    <row r="90" spans="2:6" x14ac:dyDescent="0.4">
      <c r="B90" s="81" t="s">
        <v>154</v>
      </c>
      <c r="E90" s="81" t="s">
        <v>83</v>
      </c>
      <c r="F90" s="81" t="s">
        <v>80</v>
      </c>
    </row>
    <row r="91" spans="2:6" x14ac:dyDescent="0.4">
      <c r="B91" s="81" t="s">
        <v>155</v>
      </c>
      <c r="E91" s="81" t="s">
        <v>83</v>
      </c>
      <c r="F91" s="81" t="s">
        <v>80</v>
      </c>
    </row>
    <row r="92" spans="2:6" x14ac:dyDescent="0.4">
      <c r="B92" s="81" t="s">
        <v>156</v>
      </c>
      <c r="E92" s="81" t="s">
        <v>83</v>
      </c>
      <c r="F92" s="81" t="s">
        <v>81</v>
      </c>
    </row>
    <row r="93" spans="2:6" x14ac:dyDescent="0.4">
      <c r="B93" s="81" t="s">
        <v>157</v>
      </c>
      <c r="E93" s="81" t="s">
        <v>83</v>
      </c>
      <c r="F93" s="81" t="s">
        <v>81</v>
      </c>
    </row>
    <row r="94" spans="2:6" x14ac:dyDescent="0.4">
      <c r="B94" s="81" t="s">
        <v>158</v>
      </c>
      <c r="E94" s="81" t="s">
        <v>83</v>
      </c>
      <c r="F94" s="81" t="s">
        <v>81</v>
      </c>
    </row>
    <row r="95" spans="2:6" x14ac:dyDescent="0.4">
      <c r="B95" s="81" t="s">
        <v>159</v>
      </c>
      <c r="E95" s="81" t="s">
        <v>83</v>
      </c>
      <c r="F95" s="81" t="s">
        <v>81</v>
      </c>
    </row>
    <row r="96" spans="2:6" x14ac:dyDescent="0.4">
      <c r="B96" s="81" t="s">
        <v>161</v>
      </c>
      <c r="E96" s="81" t="s">
        <v>83</v>
      </c>
      <c r="F96" s="81" t="s">
        <v>81</v>
      </c>
    </row>
    <row r="97" spans="1:8" x14ac:dyDescent="0.4">
      <c r="B97" s="81" t="s">
        <v>162</v>
      </c>
      <c r="E97" s="81" t="s">
        <v>83</v>
      </c>
      <c r="F97" s="81" t="s">
        <v>81</v>
      </c>
    </row>
    <row r="98" spans="1:8" x14ac:dyDescent="0.4">
      <c r="B98" s="81" t="s">
        <v>160</v>
      </c>
      <c r="E98" s="81" t="s">
        <v>83</v>
      </c>
      <c r="F98" s="81" t="s">
        <v>81</v>
      </c>
    </row>
    <row r="99" spans="1:8" x14ac:dyDescent="0.4">
      <c r="B99" s="81" t="s">
        <v>163</v>
      </c>
      <c r="E99" s="81" t="s">
        <v>83</v>
      </c>
      <c r="F99" s="81" t="s">
        <v>81</v>
      </c>
    </row>
    <row r="100" spans="1:8" x14ac:dyDescent="0.4">
      <c r="B100" s="81" t="s">
        <v>164</v>
      </c>
      <c r="E100" s="81" t="s">
        <v>83</v>
      </c>
      <c r="F100" s="81" t="s">
        <v>81</v>
      </c>
    </row>
    <row r="101" spans="1:8" x14ac:dyDescent="0.4">
      <c r="B101" s="81" t="s">
        <v>165</v>
      </c>
      <c r="E101" s="81" t="s">
        <v>83</v>
      </c>
      <c r="F101" s="81" t="s">
        <v>81</v>
      </c>
    </row>
    <row r="103" spans="1:8" x14ac:dyDescent="0.4">
      <c r="A103" s="82" t="s">
        <v>74</v>
      </c>
      <c r="B103" s="82"/>
      <c r="C103" s="82"/>
      <c r="D103" s="82"/>
      <c r="E103" s="82" t="s">
        <v>86</v>
      </c>
      <c r="F103" s="82" t="s">
        <v>87</v>
      </c>
      <c r="G103" s="82"/>
      <c r="H103" s="82"/>
    </row>
    <row r="104" spans="1:8" x14ac:dyDescent="0.4">
      <c r="A104" s="81" t="s">
        <v>177</v>
      </c>
      <c r="B104" s="81" t="s">
        <v>167</v>
      </c>
      <c r="E104" s="81" t="s">
        <v>84</v>
      </c>
      <c r="F104" s="81" t="s">
        <v>82</v>
      </c>
    </row>
    <row r="105" spans="1:8" x14ac:dyDescent="0.4">
      <c r="B105" s="81" t="s">
        <v>168</v>
      </c>
      <c r="E105" s="81" t="s">
        <v>83</v>
      </c>
      <c r="F105" s="81" t="s">
        <v>81</v>
      </c>
    </row>
    <row r="106" spans="1:8" x14ac:dyDescent="0.4">
      <c r="B106" s="81" t="s">
        <v>169</v>
      </c>
      <c r="E106" s="81" t="s">
        <v>83</v>
      </c>
      <c r="F106" s="81" t="s">
        <v>80</v>
      </c>
    </row>
    <row r="107" spans="1:8" x14ac:dyDescent="0.4">
      <c r="B107" s="81" t="s">
        <v>170</v>
      </c>
      <c r="E107" s="81" t="s">
        <v>83</v>
      </c>
      <c r="F107" s="81" t="s">
        <v>80</v>
      </c>
    </row>
    <row r="108" spans="1:8" x14ac:dyDescent="0.4">
      <c r="B108" s="81" t="s">
        <v>171</v>
      </c>
      <c r="E108" s="81" t="s">
        <v>83</v>
      </c>
      <c r="F108" s="81" t="s">
        <v>80</v>
      </c>
    </row>
    <row r="109" spans="1:8" x14ac:dyDescent="0.4">
      <c r="B109" s="81" t="s">
        <v>172</v>
      </c>
      <c r="E109" s="81" t="s">
        <v>83</v>
      </c>
      <c r="F109" s="81" t="s">
        <v>80</v>
      </c>
    </row>
    <row r="110" spans="1:8" x14ac:dyDescent="0.4">
      <c r="B110" s="81" t="s">
        <v>173</v>
      </c>
      <c r="E110" s="81" t="s">
        <v>83</v>
      </c>
      <c r="F110" s="81" t="s">
        <v>80</v>
      </c>
    </row>
    <row r="111" spans="1:8" x14ac:dyDescent="0.4">
      <c r="B111" s="81" t="s">
        <v>174</v>
      </c>
      <c r="E111" s="81" t="s">
        <v>83</v>
      </c>
      <c r="F111" s="81" t="s">
        <v>80</v>
      </c>
    </row>
    <row r="112" spans="1:8" x14ac:dyDescent="0.4">
      <c r="B112" s="81" t="s">
        <v>175</v>
      </c>
      <c r="E112" s="81" t="s">
        <v>83</v>
      </c>
      <c r="F112" s="81" t="s">
        <v>80</v>
      </c>
    </row>
    <row r="113" spans="1:8" x14ac:dyDescent="0.4">
      <c r="B113" s="81" t="s">
        <v>176</v>
      </c>
      <c r="E113" s="81" t="s">
        <v>83</v>
      </c>
      <c r="F113" s="81" t="s">
        <v>81</v>
      </c>
    </row>
    <row r="115" spans="1:8" x14ac:dyDescent="0.4">
      <c r="A115" s="82" t="s">
        <v>74</v>
      </c>
      <c r="B115" s="82"/>
      <c r="C115" s="82"/>
      <c r="D115" s="82"/>
      <c r="E115" s="82" t="s">
        <v>86</v>
      </c>
      <c r="F115" s="82" t="s">
        <v>87</v>
      </c>
      <c r="G115" s="82"/>
      <c r="H115" s="82"/>
    </row>
    <row r="116" spans="1:8" x14ac:dyDescent="0.4">
      <c r="A116" s="81" t="s">
        <v>178</v>
      </c>
      <c r="B116" s="81" t="s">
        <v>179</v>
      </c>
      <c r="E116" s="81" t="s">
        <v>84</v>
      </c>
      <c r="F116" s="81" t="s">
        <v>82</v>
      </c>
    </row>
    <row r="117" spans="1:8" x14ac:dyDescent="0.4">
      <c r="B117" s="81" t="s">
        <v>180</v>
      </c>
      <c r="E117" s="81" t="s">
        <v>83</v>
      </c>
      <c r="F117" s="81" t="s">
        <v>80</v>
      </c>
    </row>
    <row r="118" spans="1:8" x14ac:dyDescent="0.4">
      <c r="B118" s="81" t="s">
        <v>181</v>
      </c>
      <c r="E118" s="81" t="s">
        <v>83</v>
      </c>
      <c r="F118" s="81" t="s">
        <v>80</v>
      </c>
    </row>
    <row r="119" spans="1:8" x14ac:dyDescent="0.4">
      <c r="B119" s="81" t="s">
        <v>182</v>
      </c>
      <c r="E119" s="81" t="s">
        <v>83</v>
      </c>
      <c r="F119" s="81" t="s">
        <v>80</v>
      </c>
    </row>
    <row r="120" spans="1:8" x14ac:dyDescent="0.4">
      <c r="B120" s="81" t="s">
        <v>183</v>
      </c>
      <c r="E120" s="81" t="s">
        <v>83</v>
      </c>
      <c r="F120" s="81" t="s">
        <v>80</v>
      </c>
    </row>
    <row r="121" spans="1:8" x14ac:dyDescent="0.4">
      <c r="B121" s="81" t="s">
        <v>184</v>
      </c>
      <c r="E121" s="81" t="s">
        <v>83</v>
      </c>
      <c r="F121" s="81" t="s">
        <v>80</v>
      </c>
    </row>
    <row r="122" spans="1:8" x14ac:dyDescent="0.4">
      <c r="B122" s="81" t="s">
        <v>185</v>
      </c>
      <c r="E122" s="81" t="s">
        <v>83</v>
      </c>
      <c r="F122" s="81" t="s">
        <v>80</v>
      </c>
    </row>
    <row r="123" spans="1:8" x14ac:dyDescent="0.4">
      <c r="B123" s="81" t="s">
        <v>186</v>
      </c>
      <c r="E123" s="81" t="s">
        <v>83</v>
      </c>
      <c r="F123" s="81" t="s">
        <v>80</v>
      </c>
    </row>
    <row r="124" spans="1:8" x14ac:dyDescent="0.4">
      <c r="B124" s="81" t="s">
        <v>187</v>
      </c>
      <c r="E124" s="81" t="s">
        <v>83</v>
      </c>
      <c r="F124" s="81" t="s">
        <v>80</v>
      </c>
    </row>
    <row r="125" spans="1:8" x14ac:dyDescent="0.4">
      <c r="B125" s="81" t="s">
        <v>188</v>
      </c>
      <c r="E125" s="81" t="s">
        <v>83</v>
      </c>
      <c r="F125" s="81" t="s">
        <v>80</v>
      </c>
    </row>
    <row r="126" spans="1:8" x14ac:dyDescent="0.4">
      <c r="B126" s="81" t="s">
        <v>189</v>
      </c>
      <c r="E126" s="81" t="s">
        <v>83</v>
      </c>
      <c r="F126" s="81" t="s">
        <v>80</v>
      </c>
    </row>
    <row r="127" spans="1:8" x14ac:dyDescent="0.4">
      <c r="B127" s="81" t="s">
        <v>190</v>
      </c>
      <c r="E127" s="81" t="s">
        <v>83</v>
      </c>
      <c r="F127" s="81" t="s">
        <v>81</v>
      </c>
    </row>
    <row r="128" spans="1:8" x14ac:dyDescent="0.4">
      <c r="B128" s="81" t="s">
        <v>191</v>
      </c>
      <c r="E128" s="81" t="s">
        <v>83</v>
      </c>
      <c r="F128" s="81" t="s">
        <v>81</v>
      </c>
    </row>
    <row r="129" spans="1:8" x14ac:dyDescent="0.4">
      <c r="B129" s="81" t="s">
        <v>192</v>
      </c>
      <c r="E129" s="81" t="s">
        <v>83</v>
      </c>
      <c r="F129" s="81" t="s">
        <v>81</v>
      </c>
    </row>
    <row r="130" spans="1:8" x14ac:dyDescent="0.4">
      <c r="B130" s="81" t="s">
        <v>193</v>
      </c>
      <c r="E130" s="81" t="s">
        <v>83</v>
      </c>
      <c r="F130" s="81" t="s">
        <v>81</v>
      </c>
    </row>
    <row r="132" spans="1:8" x14ac:dyDescent="0.4">
      <c r="A132" s="82" t="s">
        <v>74</v>
      </c>
      <c r="B132" s="82"/>
      <c r="C132" s="82"/>
      <c r="D132" s="82"/>
      <c r="E132" s="82" t="s">
        <v>86</v>
      </c>
      <c r="F132" s="82" t="s">
        <v>87</v>
      </c>
      <c r="G132" s="82"/>
      <c r="H132" s="82"/>
    </row>
    <row r="133" spans="1:8" x14ac:dyDescent="0.4">
      <c r="A133" s="81" t="s">
        <v>194</v>
      </c>
      <c r="B133" s="81" t="s">
        <v>195</v>
      </c>
      <c r="E133" s="81" t="s">
        <v>83</v>
      </c>
      <c r="F133" s="81" t="s">
        <v>80</v>
      </c>
    </row>
    <row r="134" spans="1:8" x14ac:dyDescent="0.4">
      <c r="B134" s="81" t="s">
        <v>196</v>
      </c>
      <c r="E134" s="81" t="s">
        <v>83</v>
      </c>
      <c r="F134" s="81" t="s">
        <v>80</v>
      </c>
    </row>
    <row r="135" spans="1:8" x14ac:dyDescent="0.4">
      <c r="B135" s="81" t="s">
        <v>197</v>
      </c>
      <c r="E135" s="81" t="s">
        <v>83</v>
      </c>
      <c r="F135" s="81" t="s">
        <v>80</v>
      </c>
    </row>
    <row r="136" spans="1:8" x14ac:dyDescent="0.4">
      <c r="B136" s="81" t="s">
        <v>198</v>
      </c>
      <c r="E136" s="81" t="s">
        <v>83</v>
      </c>
      <c r="F136" s="81" t="s">
        <v>80</v>
      </c>
    </row>
    <row r="137" spans="1:8" x14ac:dyDescent="0.4">
      <c r="B137" s="81" t="s">
        <v>199</v>
      </c>
      <c r="E137" s="81" t="s">
        <v>83</v>
      </c>
      <c r="F137" s="81" t="s">
        <v>80</v>
      </c>
    </row>
    <row r="138" spans="1:8" x14ac:dyDescent="0.4">
      <c r="B138" s="81" t="s">
        <v>200</v>
      </c>
      <c r="E138" s="81" t="s">
        <v>83</v>
      </c>
      <c r="F138" s="81" t="s">
        <v>80</v>
      </c>
    </row>
    <row r="139" spans="1:8" x14ac:dyDescent="0.4">
      <c r="B139" s="81" t="s">
        <v>201</v>
      </c>
      <c r="E139" s="81" t="s">
        <v>83</v>
      </c>
      <c r="F139" s="81" t="s">
        <v>81</v>
      </c>
    </row>
    <row r="140" spans="1:8" x14ac:dyDescent="0.4">
      <c r="B140" s="81" t="s">
        <v>202</v>
      </c>
      <c r="E140" s="81" t="s">
        <v>83</v>
      </c>
      <c r="F140" s="81" t="s">
        <v>80</v>
      </c>
    </row>
    <row r="141" spans="1:8" x14ac:dyDescent="0.4">
      <c r="B141" s="81" t="s">
        <v>203</v>
      </c>
      <c r="E141" s="81" t="s">
        <v>83</v>
      </c>
      <c r="F141" s="81" t="s">
        <v>81</v>
      </c>
    </row>
    <row r="143" spans="1:8" x14ac:dyDescent="0.4">
      <c r="A143" s="82" t="s">
        <v>74</v>
      </c>
      <c r="B143" s="82"/>
      <c r="C143" s="82"/>
      <c r="D143" s="82"/>
      <c r="E143" s="82" t="s">
        <v>86</v>
      </c>
      <c r="F143" s="82" t="s">
        <v>87</v>
      </c>
      <c r="G143" s="82"/>
      <c r="H143" s="82"/>
    </row>
    <row r="144" spans="1:8" x14ac:dyDescent="0.4">
      <c r="A144" s="81" t="s">
        <v>210</v>
      </c>
      <c r="B144" s="81" t="s">
        <v>204</v>
      </c>
      <c r="E144" s="81" t="s">
        <v>83</v>
      </c>
      <c r="F144" s="81" t="s">
        <v>80</v>
      </c>
    </row>
    <row r="145" spans="1:8" x14ac:dyDescent="0.4">
      <c r="B145" s="81" t="s">
        <v>205</v>
      </c>
      <c r="E145" s="81" t="s">
        <v>83</v>
      </c>
      <c r="F145" s="81" t="s">
        <v>80</v>
      </c>
    </row>
    <row r="146" spans="1:8" x14ac:dyDescent="0.4">
      <c r="B146" s="81" t="s">
        <v>206</v>
      </c>
      <c r="E146" s="81" t="s">
        <v>84</v>
      </c>
      <c r="F146" s="81" t="s">
        <v>82</v>
      </c>
    </row>
    <row r="147" spans="1:8" x14ac:dyDescent="0.4">
      <c r="B147" s="81" t="s">
        <v>211</v>
      </c>
      <c r="E147" s="81" t="s">
        <v>83</v>
      </c>
      <c r="F147" s="81" t="s">
        <v>81</v>
      </c>
    </row>
    <row r="148" spans="1:8" x14ac:dyDescent="0.4">
      <c r="B148" s="81" t="s">
        <v>207</v>
      </c>
      <c r="E148" s="81" t="s">
        <v>83</v>
      </c>
      <c r="F148" s="81" t="s">
        <v>81</v>
      </c>
    </row>
    <row r="149" spans="1:8" x14ac:dyDescent="0.4">
      <c r="B149" s="81" t="s">
        <v>208</v>
      </c>
      <c r="E149" s="81" t="s">
        <v>83</v>
      </c>
      <c r="F149" s="81" t="s">
        <v>80</v>
      </c>
    </row>
    <row r="150" spans="1:8" x14ac:dyDescent="0.4">
      <c r="B150" s="81" t="s">
        <v>209</v>
      </c>
      <c r="E150" s="81" t="s">
        <v>83</v>
      </c>
      <c r="F150" s="81" t="s">
        <v>80</v>
      </c>
    </row>
    <row r="152" spans="1:8" x14ac:dyDescent="0.4">
      <c r="A152" s="82" t="s">
        <v>74</v>
      </c>
      <c r="B152" s="82"/>
      <c r="C152" s="82"/>
      <c r="D152" s="82"/>
      <c r="E152" s="82" t="s">
        <v>86</v>
      </c>
      <c r="F152" s="82" t="s">
        <v>87</v>
      </c>
      <c r="G152" s="82"/>
      <c r="H152" s="82"/>
    </row>
    <row r="153" spans="1:8" x14ac:dyDescent="0.4">
      <c r="A153" s="81" t="s">
        <v>212</v>
      </c>
      <c r="B153" s="81" t="s">
        <v>213</v>
      </c>
      <c r="E153" s="81" t="s">
        <v>83</v>
      </c>
      <c r="F153" s="81" t="s">
        <v>80</v>
      </c>
    </row>
    <row r="154" spans="1:8" x14ac:dyDescent="0.4">
      <c r="B154" s="81" t="s">
        <v>214</v>
      </c>
      <c r="E154" s="81" t="s">
        <v>83</v>
      </c>
      <c r="F154" s="81" t="s">
        <v>81</v>
      </c>
    </row>
    <row r="156" spans="1:8" x14ac:dyDescent="0.4">
      <c r="A156" s="82" t="s">
        <v>74</v>
      </c>
      <c r="B156" s="82"/>
      <c r="C156" s="82"/>
      <c r="D156" s="82"/>
      <c r="E156" s="82" t="s">
        <v>86</v>
      </c>
      <c r="F156" s="82" t="s">
        <v>87</v>
      </c>
      <c r="G156" s="82"/>
      <c r="H156" s="82"/>
    </row>
    <row r="157" spans="1:8" x14ac:dyDescent="0.4">
      <c r="A157" s="81" t="s">
        <v>215</v>
      </c>
      <c r="B157" s="81" t="s">
        <v>216</v>
      </c>
      <c r="E157" s="81" t="s">
        <v>83</v>
      </c>
      <c r="F157" s="81" t="s">
        <v>81</v>
      </c>
    </row>
    <row r="158" spans="1:8" x14ac:dyDescent="0.4">
      <c r="B158" s="81" t="s">
        <v>217</v>
      </c>
      <c r="E158" s="81" t="s">
        <v>83</v>
      </c>
      <c r="F158" s="81" t="s">
        <v>81</v>
      </c>
    </row>
    <row r="160" spans="1:8" x14ac:dyDescent="0.4">
      <c r="A160" s="82" t="s">
        <v>74</v>
      </c>
      <c r="B160" s="82"/>
      <c r="C160" s="82"/>
      <c r="D160" s="82"/>
      <c r="E160" s="82" t="s">
        <v>86</v>
      </c>
      <c r="F160" s="82" t="s">
        <v>87</v>
      </c>
      <c r="G160" s="82"/>
      <c r="H160" s="82"/>
    </row>
    <row r="161" spans="1:6" x14ac:dyDescent="0.4">
      <c r="A161" s="81" t="s">
        <v>218</v>
      </c>
      <c r="B161" s="81" t="s">
        <v>219</v>
      </c>
      <c r="E161" s="81" t="s">
        <v>83</v>
      </c>
      <c r="F161" s="81" t="s">
        <v>80</v>
      </c>
    </row>
    <row r="162" spans="1:6" x14ac:dyDescent="0.4">
      <c r="B162" s="81" t="s">
        <v>220</v>
      </c>
      <c r="E162" s="81" t="s">
        <v>84</v>
      </c>
      <c r="F162" s="81" t="s">
        <v>82</v>
      </c>
    </row>
    <row r="163" spans="1:6" x14ac:dyDescent="0.4">
      <c r="B163" s="81" t="s">
        <v>221</v>
      </c>
      <c r="E163" s="81" t="s">
        <v>83</v>
      </c>
      <c r="F163" s="81" t="s">
        <v>80</v>
      </c>
    </row>
    <row r="164" spans="1:6" x14ac:dyDescent="0.4">
      <c r="B164" s="81" t="s">
        <v>222</v>
      </c>
      <c r="E164" s="81" t="s">
        <v>83</v>
      </c>
      <c r="F164" s="81" t="s">
        <v>80</v>
      </c>
    </row>
    <row r="165" spans="1:6" x14ac:dyDescent="0.4">
      <c r="B165" s="81" t="s">
        <v>223</v>
      </c>
      <c r="E165" s="81" t="s">
        <v>83</v>
      </c>
      <c r="F165" s="81" t="s">
        <v>81</v>
      </c>
    </row>
    <row r="166" spans="1:6" x14ac:dyDescent="0.4">
      <c r="B166" s="81" t="s">
        <v>224</v>
      </c>
      <c r="E166" s="81" t="s">
        <v>83</v>
      </c>
      <c r="F166" s="81" t="s">
        <v>81</v>
      </c>
    </row>
    <row r="167" spans="1:6" x14ac:dyDescent="0.4">
      <c r="B167" s="81" t="s">
        <v>225</v>
      </c>
      <c r="E167" s="81" t="s">
        <v>83</v>
      </c>
      <c r="F167" s="81" t="s">
        <v>81</v>
      </c>
    </row>
  </sheetData>
  <mergeCells count="1">
    <mergeCell ref="A3:H3"/>
  </mergeCells>
  <phoneticPr fontId="3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7</vt:i4>
      </vt:variant>
    </vt:vector>
  </HeadingPairs>
  <TitlesOfParts>
    <vt:vector size="14" baseType="lpstr">
      <vt:lpstr>表題</vt:lpstr>
      <vt:lpstr>お見積（PPP保守）</vt:lpstr>
      <vt:lpstr>お見積り（適正水道料金検討業務）全体</vt:lpstr>
      <vt:lpstr>お見積り（水道事業経営分析及び予測シミュレーション策定業務委)</vt:lpstr>
      <vt:lpstr>お見積（水道ビジョン改定業務委託）</vt:lpstr>
      <vt:lpstr>お見積り（料金改定支援）</vt:lpstr>
      <vt:lpstr>ご支援先一覧</vt:lpstr>
      <vt:lpstr>'お見積（PPP保守）'!Print_Area</vt:lpstr>
      <vt:lpstr>'お見積（水道ビジョン改定業務委託）'!Print_Area</vt:lpstr>
      <vt:lpstr>'お見積り（水道事業経営分析及び予測シミュレーション策定業務委)'!Print_Area</vt:lpstr>
      <vt:lpstr>'お見積り（適正水道料金検討業務）全体'!Print_Area</vt:lpstr>
      <vt:lpstr>'お見積り（料金改定支援）'!Print_Area</vt:lpstr>
      <vt:lpstr>ご支援先一覧!Print_Area</vt:lpstr>
      <vt:lpstr>表題!Print_Area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香成 川崎</dc:creator>
  <cp:lastModifiedBy>匡弘 岡本</cp:lastModifiedBy>
  <cp:lastPrinted>2026-04-09T02:40:01Z</cp:lastPrinted>
  <dcterms:created xsi:type="dcterms:W3CDTF">2024-03-06T04:15:51Z</dcterms:created>
  <dcterms:modified xsi:type="dcterms:W3CDTF">2026-04-09T03:12:51Z</dcterms:modified>
</cp:coreProperties>
</file>