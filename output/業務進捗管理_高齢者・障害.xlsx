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サマリー" sheetId="1" state="visible" r:id="rId1"/>
    <sheet xmlns:r="http://schemas.openxmlformats.org/officeDocument/2006/relationships" name="01_高齢者_工程別進捗" sheetId="2" state="visible" r:id="rId2"/>
    <sheet xmlns:r="http://schemas.openxmlformats.org/officeDocument/2006/relationships" name="02_障害_工程別進捗" sheetId="3" state="visible" r:id="rId3"/>
    <sheet xmlns:r="http://schemas.openxmlformats.org/officeDocument/2006/relationships" name="03_工程表" sheetId="4" state="visible" r:id="rId4"/>
    <sheet xmlns:r="http://schemas.openxmlformats.org/officeDocument/2006/relationships" name="04_成果品" sheetId="5" state="visible" r:id="rId5"/>
    <sheet xmlns:r="http://schemas.openxmlformats.org/officeDocument/2006/relationships" name="05_受領資料" sheetId="6" state="visible" r:id="rId6"/>
    <sheet xmlns:r="http://schemas.openxmlformats.org/officeDocument/2006/relationships" name="06_課題・リスク" sheetId="7" state="visible" r:id="rId7"/>
    <sheet xmlns:r="http://schemas.openxmlformats.org/officeDocument/2006/relationships" name="07_2計画の関係" sheetId="8" state="visible" r:id="rId8"/>
  </sheets>
  <definedNames>
    <definedName name="_xlnm._FilterDatabase" localSheetId="1" hidden="1">'01_高齢者_工程別進捗'!$A$5:$I$31</definedName>
    <definedName name="_xlnm._FilterDatabase" localSheetId="2" hidden="1">'02_障害_工程別進捗'!$A$5:$I$43</definedName>
    <definedName name="_xlnm._FilterDatabase" localSheetId="5" hidden="1">'05_受領資料'!$A$5:$G$44</definedName>
    <definedName name="_xlnm._FilterDatabase" localSheetId="6" hidden="1">'06_課題・リスク'!$A$5:$H$30</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sz val="10"/>
    </font>
  </fonts>
  <fills count="15">
    <fill>
      <patternFill/>
    </fill>
    <fill>
      <patternFill patternType="gray125"/>
    </fill>
    <fill>
      <patternFill patternType="solid">
        <fgColor rgb="001F3864"/>
      </patternFill>
    </fill>
    <fill>
      <patternFill patternType="solid">
        <fgColor rgb="002E75B6"/>
      </patternFill>
    </fill>
    <fill>
      <patternFill patternType="solid">
        <fgColor rgb="00FF7F0E"/>
      </patternFill>
    </fill>
    <fill>
      <patternFill patternType="solid">
        <fgColor rgb="00F7FAFC"/>
      </patternFill>
    </fill>
    <fill>
      <patternFill patternType="solid">
        <fgColor rgb="00C00000"/>
      </patternFill>
    </fill>
    <fill>
      <patternFill patternType="solid">
        <fgColor rgb="00404040"/>
      </patternFill>
    </fill>
    <fill>
      <patternFill patternType="solid">
        <fgColor rgb="00DDEBF7"/>
      </patternFill>
    </fill>
    <fill>
      <patternFill patternType="solid">
        <fgColor rgb="009E480E"/>
      </patternFill>
    </fill>
    <fill>
      <patternFill patternType="solid">
        <fgColor rgb="0070AD47"/>
      </patternFill>
    </fill>
    <fill>
      <patternFill patternType="solid">
        <fgColor rgb="00808080"/>
      </patternFill>
    </fill>
    <fill>
      <patternFill patternType="solid">
        <fgColor rgb="00ED7D31"/>
      </patternFill>
    </fill>
    <fill>
      <patternFill patternType="solid">
        <fgColor rgb="007030A0"/>
      </patternFill>
    </fill>
    <fill>
      <patternFill patternType="solid">
        <fgColor rgb="002CA02C"/>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0" fillId="0" borderId="4" pivotButton="0" quotePrefix="0" xfId="0"/>
    <xf numFmtId="0" fontId="4" fillId="4" borderId="1" applyAlignment="1" pivotButton="0" quotePrefix="0" xfId="0">
      <alignment horizontal="center" vertical="center"/>
    </xf>
    <xf numFmtId="0" fontId="5" fillId="0" borderId="1" applyAlignment="1" pivotButton="0" quotePrefix="0" xfId="0">
      <alignment horizontal="left" vertical="center" wrapText="1" indent="1"/>
    </xf>
    <xf numFmtId="0" fontId="4" fillId="3" borderId="1" applyAlignment="1" pivotButton="0" quotePrefix="0" xfId="0">
      <alignment horizontal="center" vertical="center"/>
    </xf>
    <xf numFmtId="0" fontId="5" fillId="5" borderId="1" applyAlignment="1" pivotButton="0" quotePrefix="0" xfId="0">
      <alignment horizontal="left" vertical="center" wrapText="1" indent="1"/>
    </xf>
    <xf numFmtId="3" fontId="5" fillId="0" borderId="1" applyAlignment="1" pivotButton="0" quotePrefix="0" xfId="0">
      <alignment horizontal="center" vertical="center"/>
    </xf>
    <xf numFmtId="9" fontId="5" fillId="0" borderId="1" applyAlignment="1" pivotButton="0" quotePrefix="0" xfId="0">
      <alignment horizontal="center" vertical="center"/>
    </xf>
    <xf numFmtId="3" fontId="5" fillId="5" borderId="1" applyAlignment="1" pivotButton="0" quotePrefix="0" xfId="0">
      <alignment horizontal="center" vertical="center"/>
    </xf>
    <xf numFmtId="9" fontId="5" fillId="5" borderId="1" applyAlignment="1" pivotButton="0" quotePrefix="0" xfId="0">
      <alignment horizontal="center" vertical="center"/>
    </xf>
    <xf numFmtId="0" fontId="3" fillId="6" borderId="0" applyAlignment="1" pivotButton="0" quotePrefix="0" xfId="0">
      <alignment horizontal="left" vertical="center" indent="1"/>
    </xf>
    <xf numFmtId="0" fontId="5" fillId="0" borderId="1" applyAlignment="1" pivotButton="0" quotePrefix="0" xfId="0">
      <alignment horizontal="center" vertical="center"/>
    </xf>
    <xf numFmtId="0" fontId="5" fillId="5" borderId="1" applyAlignment="1" pivotButton="0" quotePrefix="0" xfId="0">
      <alignment horizontal="center" vertical="center"/>
    </xf>
    <xf numFmtId="0" fontId="4" fillId="7" borderId="1" applyAlignment="1" pivotButton="0" quotePrefix="0" xfId="0">
      <alignment horizontal="center" vertical="center"/>
    </xf>
    <xf numFmtId="164" fontId="5" fillId="0" borderId="1" applyAlignment="1" pivotButton="0" quotePrefix="0" xfId="0">
      <alignment horizontal="center" vertical="center"/>
    </xf>
    <xf numFmtId="164" fontId="5" fillId="5" borderId="1" applyAlignment="1" pivotButton="0" quotePrefix="0" xfId="0">
      <alignment horizontal="center" vertical="center"/>
    </xf>
    <xf numFmtId="0" fontId="6" fillId="8" borderId="1" applyAlignment="1" pivotButton="0" quotePrefix="0" xfId="0">
      <alignment horizontal="left" vertical="center" wrapText="1" indent="1"/>
    </xf>
    <xf numFmtId="0" fontId="6" fillId="8" borderId="1" applyAlignment="1" pivotButton="0" quotePrefix="0" xfId="0">
      <alignment horizontal="center" vertical="center"/>
    </xf>
    <xf numFmtId="9" fontId="6" fillId="8" borderId="1" applyAlignment="1" pivotButton="0" quotePrefix="0" xfId="0">
      <alignment horizontal="center" vertical="center"/>
    </xf>
    <xf numFmtId="0" fontId="4" fillId="4" borderId="1" applyAlignment="1" pivotButton="0" quotePrefix="0" xfId="0">
      <alignment horizontal="center" vertical="center" wrapText="1"/>
    </xf>
    <xf numFmtId="0" fontId="4" fillId="9"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4" fillId="6" borderId="1" applyAlignment="1" pivotButton="0" quotePrefix="0" xfId="0">
      <alignment horizontal="center" vertical="center"/>
    </xf>
    <xf numFmtId="0" fontId="4" fillId="14" borderId="1" applyAlignment="1" pivotButton="0" quotePrefix="0" xfId="0">
      <alignment horizontal="center" vertical="center"/>
    </xf>
    <xf numFmtId="0" fontId="4" fillId="6" borderId="1" applyAlignment="1" pivotButton="0" quotePrefix="0" xfId="0">
      <alignment horizontal="center" vertical="center"/>
    </xf>
    <xf numFmtId="0" fontId="4" fillId="14" borderId="1" applyAlignment="1" pivotButton="0" quotePrefix="0" xfId="0">
      <alignment horizontal="center" vertical="center"/>
    </xf>
    <xf numFmtId="0" fontId="4" fillId="12" borderId="1" applyAlignment="1" pivotButton="0" quotePrefix="0" xfId="0">
      <alignment horizontal="center" vertical="center"/>
    </xf>
    <xf numFmtId="0" fontId="4" fillId="3" borderId="1" applyAlignment="1" pivotButton="0" quotePrefix="0" xfId="0">
      <alignment horizontal="center" vertical="center"/>
    </xf>
    <xf numFmtId="0" fontId="4"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22" customWidth="1" min="1" max="1"/>
    <col width="40" customWidth="1" min="2" max="2"/>
    <col width="12" customWidth="1" min="3" max="3"/>
    <col width="12" customWidth="1" min="4" max="4"/>
    <col width="12" customWidth="1" min="5" max="5"/>
    <col width="46" customWidth="1" min="6" max="6"/>
  </cols>
  <sheetData>
    <row r="1" ht="30" customHeight="1">
      <c r="A1" s="1" t="inlineStr">
        <is>
          <t>業務進捗管理　高齢者／障害</t>
        </is>
      </c>
    </row>
    <row r="2" ht="30" customHeight="1">
      <c r="A2" s="2" t="inlineStr">
        <is>
          <t>受託中の計画策定業務を、仕様書に記載された業務（各段階）の単位で管理します。障害の数値は 北塩原村_業務進捗管理.xlsx と同一のデータから生成しており、2つのブックで食い違いません。</t>
        </is>
      </c>
    </row>
    <row r="5">
      <c r="A5" s="3" t="inlineStr">
        <is>
          <t>1　契約の基本情報</t>
        </is>
      </c>
    </row>
    <row r="6" ht="30" customHeight="1">
      <c r="A6" s="4" t="inlineStr">
        <is>
          <t>分野</t>
        </is>
      </c>
      <c r="B6" s="4" t="inlineStr">
        <is>
          <t>委託名</t>
        </is>
      </c>
      <c r="C6" s="4" t="inlineStr">
        <is>
          <t>計画期間</t>
        </is>
      </c>
      <c r="D6" s="5" t="n"/>
      <c r="E6" s="4" t="inlineStr">
        <is>
          <t>業務期間</t>
        </is>
      </c>
      <c r="F6" s="4" t="inlineStr">
        <is>
          <t>根拠法・出典</t>
        </is>
      </c>
    </row>
    <row r="7" ht="58" customHeight="1">
      <c r="A7" s="6" t="inlineStr">
        <is>
          <t>障害</t>
        </is>
      </c>
      <c r="B7" s="7" t="inlineStr">
        <is>
          <t>委託第24号　第8期北塩原村障がい福祉計画・第4期北塩原村障がい児福祉計画策定業務委託
発注者：北塩原村（保健福祉課 福祉係）</t>
        </is>
      </c>
      <c r="C7" s="7" t="inlineStr">
        <is>
          <t>令和9年度〜令和11年度（3年間）</t>
        </is>
      </c>
      <c r="D7" s="5" t="n"/>
      <c r="E7" s="7" t="inlineStr">
        <is>
          <t>契約締結の日から令和9年3月31日まで</t>
        </is>
      </c>
      <c r="F7" s="7" t="inlineStr">
        <is>
          <t>障害者総合支援法第88条（市町村障害福祉計画）／児童福祉法第33条の20（市町村障害児福祉計画）
出典：業務委託仕様書（8北保福第366号 別紙）</t>
        </is>
      </c>
    </row>
    <row r="8" ht="58" customHeight="1">
      <c r="A8" s="8" t="inlineStr">
        <is>
          <t>高齢者</t>
        </is>
      </c>
      <c r="B8" s="9" t="inlineStr">
        <is>
          <t>【要記入】高齢者分野の委託名
発注者：【要記入】発注者</t>
        </is>
      </c>
      <c r="C8" s="9" t="inlineStr">
        <is>
          <t>【要確認】介護保険事業計画は3年1期。第9期が令和6〜8年度のため、次期は第10期＝令和9〜11年度</t>
        </is>
      </c>
      <c r="D8" s="5" t="n"/>
      <c r="E8" s="9" t="inlineStr">
        <is>
          <t>【要記入】業務期間</t>
        </is>
      </c>
      <c r="F8" s="9" t="inlineStr">
        <is>
          <t>介護保険法第117条（市町村介護保険事業計画）／老人福祉法第20条の8（市町村老人福祉計画）
出典：仕様書未受領。受領しだい記入する</t>
        </is>
      </c>
    </row>
    <row r="10">
      <c r="A10" s="3" t="inlineStr">
        <is>
          <t>2　区分別の進捗</t>
        </is>
      </c>
    </row>
    <row r="11" ht="30" customHeight="1">
      <c r="A11" s="4" t="inlineStr">
        <is>
          <t>分野</t>
        </is>
      </c>
      <c r="B11" s="4" t="inlineStr">
        <is>
          <t>区分</t>
        </is>
      </c>
      <c r="C11" s="4" t="inlineStr">
        <is>
          <t>項目数</t>
        </is>
      </c>
      <c r="D11" s="4" t="inlineStr">
        <is>
          <t>完了・概ね完了</t>
        </is>
      </c>
      <c r="E11" s="4" t="inlineStr">
        <is>
          <t>平均進捗率</t>
        </is>
      </c>
      <c r="F11" s="4" t="inlineStr">
        <is>
          <t>状況</t>
        </is>
      </c>
    </row>
    <row r="12">
      <c r="A12" s="6" t="inlineStr">
        <is>
          <t>障害</t>
        </is>
      </c>
      <c r="B12" s="7" t="inlineStr">
        <is>
          <t>Ⅰ ニーズ調査</t>
        </is>
      </c>
      <c r="C12" s="10" t="n">
        <v>11</v>
      </c>
      <c r="D12" s="10" t="n">
        <v>3</v>
      </c>
      <c r="E12" s="11" t="n">
        <v>0.3227272727272727</v>
      </c>
      <c r="F12" s="7" t="inlineStr">
        <is>
          <t>待ち・協議中 2件</t>
        </is>
      </c>
    </row>
    <row r="13">
      <c r="A13" s="6" t="inlineStr">
        <is>
          <t>障害</t>
        </is>
      </c>
      <c r="B13" s="9" t="inlineStr">
        <is>
          <t>Ⅱ 計画策定業務</t>
        </is>
      </c>
      <c r="C13" s="12" t="n">
        <v>11</v>
      </c>
      <c r="D13" s="12" t="n">
        <v>2</v>
      </c>
      <c r="E13" s="13" t="n">
        <v>0.5709090909090909</v>
      </c>
      <c r="F13" s="9" t="inlineStr">
        <is>
          <t>待ち・協議中 3件</t>
        </is>
      </c>
    </row>
    <row r="14">
      <c r="A14" s="6" t="inlineStr">
        <is>
          <t>障害</t>
        </is>
      </c>
      <c r="B14" s="7" t="inlineStr">
        <is>
          <t>Ⅲ 打合せ等業務</t>
        </is>
      </c>
      <c r="C14" s="10" t="n">
        <v>1</v>
      </c>
      <c r="D14" s="10" t="n">
        <v>0</v>
      </c>
      <c r="E14" s="11" t="n">
        <v>0.4</v>
      </c>
      <c r="F14" s="7" t="inlineStr">
        <is>
          <t>自走可能</t>
        </is>
      </c>
    </row>
    <row r="15">
      <c r="A15" s="6" t="inlineStr">
        <is>
          <t>障害</t>
        </is>
      </c>
      <c r="B15" s="9" t="inlineStr">
        <is>
          <t>成果品</t>
        </is>
      </c>
      <c r="C15" s="12" t="n">
        <v>3</v>
      </c>
      <c r="D15" s="12" t="n">
        <v>0</v>
      </c>
      <c r="E15" s="13" t="n">
        <v>0.25</v>
      </c>
      <c r="F15" s="9" t="inlineStr">
        <is>
          <t>自走可能</t>
        </is>
      </c>
    </row>
    <row r="16">
      <c r="A16" s="6" t="inlineStr">
        <is>
          <t>障害</t>
        </is>
      </c>
      <c r="B16" s="7" t="inlineStr">
        <is>
          <t>契約管理</t>
        </is>
      </c>
      <c r="C16" s="10" t="n">
        <v>7</v>
      </c>
      <c r="D16" s="10" t="n">
        <v>1</v>
      </c>
      <c r="E16" s="11" t="n">
        <v>0.3714285714285714</v>
      </c>
      <c r="F16" s="7" t="inlineStr">
        <is>
          <t>待ち・協議中 4件</t>
        </is>
      </c>
    </row>
    <row r="17">
      <c r="A17" s="8" t="inlineStr">
        <is>
          <t>高齢者</t>
        </is>
      </c>
      <c r="B17" s="7" t="inlineStr">
        <is>
          <t>Ⅰ 基礎調査・分析</t>
        </is>
      </c>
      <c r="C17" s="10" t="n">
        <v>3</v>
      </c>
      <c r="D17" s="10" t="n">
        <v>0</v>
      </c>
      <c r="E17" s="11" t="n">
        <v>0</v>
      </c>
      <c r="F17" s="7" t="inlineStr">
        <is>
          <t>仕様書未受領のため進捗を評価できない</t>
        </is>
      </c>
    </row>
    <row r="18">
      <c r="A18" s="8" t="inlineStr">
        <is>
          <t>高齢者</t>
        </is>
      </c>
      <c r="B18" s="9" t="inlineStr">
        <is>
          <t>Ⅱ 実態調査</t>
        </is>
      </c>
      <c r="C18" s="12" t="n">
        <v>6</v>
      </c>
      <c r="D18" s="12" t="n">
        <v>0</v>
      </c>
      <c r="E18" s="13" t="n">
        <v>0</v>
      </c>
      <c r="F18" s="9" t="inlineStr">
        <is>
          <t>仕様書未受領のため進捗を評価できない</t>
        </is>
      </c>
    </row>
    <row r="19">
      <c r="A19" s="8" t="inlineStr">
        <is>
          <t>高齢者</t>
        </is>
      </c>
      <c r="B19" s="7" t="inlineStr">
        <is>
          <t>Ⅲ 計画策定業務</t>
        </is>
      </c>
      <c r="C19" s="10" t="n">
        <v>9</v>
      </c>
      <c r="D19" s="10" t="n">
        <v>0</v>
      </c>
      <c r="E19" s="11" t="n">
        <v>0</v>
      </c>
      <c r="F19" s="7" t="inlineStr">
        <is>
          <t>仕様書未受領のため進捗を評価できない</t>
        </is>
      </c>
    </row>
    <row r="20">
      <c r="A20" s="8" t="inlineStr">
        <is>
          <t>高齢者</t>
        </is>
      </c>
      <c r="B20" s="9" t="inlineStr">
        <is>
          <t>Ⅳ 打合せ等業務</t>
        </is>
      </c>
      <c r="C20" s="12" t="n">
        <v>1</v>
      </c>
      <c r="D20" s="12" t="n">
        <v>0</v>
      </c>
      <c r="E20" s="13" t="n">
        <v>0</v>
      </c>
      <c r="F20" s="9" t="inlineStr">
        <is>
          <t>仕様書未受領のため進捗を評価できない</t>
        </is>
      </c>
    </row>
    <row r="21">
      <c r="A21" s="8" t="inlineStr">
        <is>
          <t>高齢者</t>
        </is>
      </c>
      <c r="B21" s="7" t="inlineStr">
        <is>
          <t>契約管理</t>
        </is>
      </c>
      <c r="C21" s="10" t="n">
        <v>2</v>
      </c>
      <c r="D21" s="10" t="n">
        <v>0</v>
      </c>
      <c r="E21" s="11" t="n">
        <v>0</v>
      </c>
      <c r="F21" s="7" t="inlineStr">
        <is>
          <t>仕様書未受領のため進捗を評価できない</t>
        </is>
      </c>
    </row>
    <row r="23">
      <c r="A23" s="14" t="inlineStr">
        <is>
          <t>3　いま押さえるべきこと</t>
        </is>
      </c>
    </row>
    <row r="24" ht="30" customHeight="1">
      <c r="A24" s="4" t="inlineStr">
        <is>
          <t>分野</t>
        </is>
      </c>
      <c r="B24" s="4" t="inlineStr">
        <is>
          <t>事項</t>
        </is>
      </c>
      <c r="C24" s="5" t="n"/>
      <c r="D24" s="4" t="inlineStr">
        <is>
          <t>期限</t>
        </is>
      </c>
      <c r="E24" s="5" t="n"/>
      <c r="F24" s="4" t="inlineStr">
        <is>
          <t>内容</t>
        </is>
      </c>
    </row>
    <row r="25" ht="40" customHeight="1">
      <c r="A25" s="8" t="inlineStr">
        <is>
          <t>高齢者</t>
        </is>
      </c>
      <c r="B25" s="7" t="inlineStr">
        <is>
          <t>業務委託仕様書の受領</t>
        </is>
      </c>
      <c r="C25" s="5" t="n"/>
      <c r="D25" s="15" t="inlineStr">
        <is>
          <t>至急</t>
        </is>
      </c>
      <c r="E25" s="5" t="n"/>
      <c r="F25" s="7" t="inlineStr">
        <is>
          <t>高齢者分野の仕様書が当方に無く、01シートの各行は介護保険法・老人福祉法に基づく標準構成を骨格として置いたものです。受領しだい実際の条項に差し替えます。</t>
        </is>
      </c>
    </row>
    <row r="26" ht="40" customHeight="1">
      <c r="A26" s="8" t="inlineStr">
        <is>
          <t>高齢者</t>
        </is>
      </c>
      <c r="B26" s="9" t="inlineStr">
        <is>
          <t>大雪広域の業務進捗管理ブック</t>
        </is>
      </c>
      <c r="C26" s="5" t="n"/>
      <c r="D26" s="16" t="inlineStr">
        <is>
          <t>至急</t>
        </is>
      </c>
      <c r="E26" s="5" t="n"/>
      <c r="F26" s="9" t="inlineStr">
        <is>
          <t>本ブックは体裁を合わせる元のファイルが無いため、障害分野で運用中の管理構造（仕様書条項別・工程表・資料受領・課題）をそのまま2分野へ拡張したものです。</t>
        </is>
      </c>
    </row>
    <row r="27" ht="40" customHeight="1">
      <c r="A27" s="6" t="inlineStr">
        <is>
          <t>障害</t>
        </is>
      </c>
      <c r="B27" s="7" t="inlineStr">
        <is>
          <t>アンケートの印刷仕様の確定と発送</t>
        </is>
      </c>
      <c r="C27" s="5" t="n"/>
      <c r="D27" s="15" t="inlineStr">
        <is>
          <t>2026-08-05超過</t>
        </is>
      </c>
      <c r="E27" s="5" t="n"/>
      <c r="F27" s="7" t="inlineStr">
        <is>
          <t>仕様書は約24頁だが現行の調査票は障がい者版17頁・障がい児版19頁。村ラベルの提供と村封筒の手配も未了で、発送のクリティカルパス上にあります。</t>
        </is>
      </c>
    </row>
    <row r="28" ht="40" customHeight="1">
      <c r="A28" s="6" t="inlineStr">
        <is>
          <t>障害</t>
        </is>
      </c>
      <c r="B28" s="9" t="inlineStr">
        <is>
          <t>発送対象者数の確定</t>
        </is>
      </c>
      <c r="C28" s="5" t="n"/>
      <c r="D28" s="16" t="inlineStr">
        <is>
          <t>2026-08-05超過</t>
        </is>
      </c>
      <c r="E28" s="5" t="n"/>
      <c r="F28" s="9" t="inlineStr">
        <is>
          <t>仕様書の約190人と現行計画の156人の差の理由が未確認。回収率の分母と管理番号の設計に直結します。</t>
        </is>
      </c>
    </row>
    <row r="29" ht="40" customHeight="1">
      <c r="A29" s="6" t="inlineStr">
        <is>
          <t>障害</t>
        </is>
      </c>
      <c r="B29" s="7" t="inlineStr">
        <is>
          <t>令和6・7年度実績の受領</t>
        </is>
      </c>
      <c r="C29" s="5" t="n"/>
      <c r="D29" s="15" t="inlineStr">
        <is>
          <t>2026-09-30</t>
        </is>
      </c>
      <c r="E29" s="5" t="n"/>
      <c r="F29" s="7" t="inlineStr">
        <is>
          <t>成果目標・見込量・給付費のすべての推計がここで止まっています。</t>
        </is>
      </c>
    </row>
    <row r="31" ht="46" customHeight="1">
      <c r="A31" s="2" t="inlineStr">
        <is>
          <t>高齢者分野の進捗率0％は、作業が遅れているという意味ではありません。当方が契約内容を把握していないため評価できない、という意味です。仕様書と現行計画（第9期）を受領しだい、01シートを実際の条項に差し替え、着手済みの工程に進捗率を入れます。</t>
        </is>
      </c>
    </row>
  </sheetData>
  <mergeCells count="21">
    <mergeCell ref="C6:D6"/>
    <mergeCell ref="B25:C25"/>
    <mergeCell ref="B27:C27"/>
    <mergeCell ref="A2:F2"/>
    <mergeCell ref="A5:F5"/>
    <mergeCell ref="A23:F23"/>
    <mergeCell ref="D27:E27"/>
    <mergeCell ref="A10:F10"/>
    <mergeCell ref="B29:C29"/>
    <mergeCell ref="B28:C28"/>
    <mergeCell ref="A31:F31"/>
    <mergeCell ref="D28:E28"/>
    <mergeCell ref="C8:D8"/>
    <mergeCell ref="D25:E25"/>
    <mergeCell ref="B24:C24"/>
    <mergeCell ref="C7:D7"/>
    <mergeCell ref="D24:E24"/>
    <mergeCell ref="A1:F1"/>
    <mergeCell ref="D29:E29"/>
    <mergeCell ref="B26:C26"/>
    <mergeCell ref="D26:E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52" customWidth="1" min="3" max="3"/>
    <col width="34" customWidth="1" min="4" max="4"/>
    <col width="12" customWidth="1" min="5" max="5"/>
    <col width="8" customWidth="1" min="6" max="6"/>
    <col width="10" customWidth="1" min="7" max="7"/>
    <col width="12" customWidth="1" min="8" max="8"/>
    <col width="50" customWidth="1" min="9" max="9"/>
  </cols>
  <sheetData>
    <row r="1" ht="30" customHeight="1">
      <c r="A1" s="1" t="inlineStr">
        <is>
          <t>高齢者　介護保険事業計画・高齢者福祉計画　工程別進捗</t>
        </is>
      </c>
    </row>
    <row r="2" ht="30" customHeight="1">
      <c r="A2" s="2" t="inlineStr">
        <is>
          <t>【仕様書未受領】本シートは介護保険法第117条及び老人福祉法第20条の8に基づく標準的な業務構成を骨格として置いたものです。実際の契約内容ではありません。仕様書を受領しだい差し替えます。</t>
        </is>
      </c>
    </row>
    <row r="5" ht="30" customHeight="1">
      <c r="A5" s="4" t="inlineStr">
        <is>
          <t>区分</t>
        </is>
      </c>
      <c r="B5" s="4" t="inlineStr">
        <is>
          <t>項番</t>
        </is>
      </c>
      <c r="C5" s="4" t="inlineStr">
        <is>
          <t>仕様書の要求／業務の内容</t>
        </is>
      </c>
      <c r="D5" s="4" t="inlineStr">
        <is>
          <t>想定成果物</t>
        </is>
      </c>
      <c r="E5" s="4" t="inlineStr">
        <is>
          <t>状態</t>
        </is>
      </c>
      <c r="F5" s="4" t="inlineStr">
        <is>
          <t>進捗率</t>
        </is>
      </c>
      <c r="G5" s="4" t="inlineStr">
        <is>
          <t>主担当</t>
        </is>
      </c>
      <c r="H5" s="4" t="inlineStr">
        <is>
          <t>期限</t>
        </is>
      </c>
      <c r="I5" s="4" t="inlineStr">
        <is>
          <t>次の一手・確認事項</t>
        </is>
      </c>
    </row>
    <row r="6" ht="42" customHeight="1">
      <c r="A6" s="7" t="inlineStr">
        <is>
          <t>Ⅰ 基礎調査・分析</t>
        </is>
      </c>
      <c r="B6" s="15" t="inlineStr">
        <is>
          <t>Ⅰ(1)</t>
        </is>
      </c>
      <c r="C6" s="7" t="inlineStr">
        <is>
          <t>各種統計データの収集・整理（総人口、高齢者人口、高齢化率、要支援・要介護認定者数、認定率、被保険者数、サービス受給者数、給付費実績）</t>
        </is>
      </c>
      <c r="D6" s="7" t="inlineStr">
        <is>
          <t>基礎データ集計表</t>
        </is>
      </c>
      <c r="E6" s="17" t="inlineStr">
        <is>
          <t>仕様書未受領</t>
        </is>
      </c>
      <c r="F6" s="11" t="n">
        <v>0</v>
      </c>
      <c r="G6" s="15" t="inlineStr">
        <is>
          <t>当社</t>
        </is>
      </c>
      <c r="H6" s="18" t="n"/>
      <c r="I6" s="7" t="inlineStr">
        <is>
          <t>広域連合の場合は構成市町村別の内訳が必要。どの単位まで分析するかを確認する</t>
        </is>
      </c>
    </row>
    <row r="7" ht="42" customHeight="1">
      <c r="A7" s="9" t="inlineStr">
        <is>
          <t>Ⅰ 基礎調査・分析</t>
        </is>
      </c>
      <c r="B7" s="16" t="inlineStr">
        <is>
          <t>Ⅰ(2)</t>
        </is>
      </c>
      <c r="C7" s="9" t="inlineStr">
        <is>
          <t>制度動向の整理（介護保険法改正、国の基本指針、都道府県高齢者保健福祉計画、認知症施策推進基本計画、医療計画・地域医療構想との整合）</t>
        </is>
      </c>
      <c r="D7" s="9" t="inlineStr">
        <is>
          <t>制度動向整理資料</t>
        </is>
      </c>
      <c r="E7" s="17" t="inlineStr">
        <is>
          <t>仕様書未受領</t>
        </is>
      </c>
      <c r="F7" s="13" t="n">
        <v>0</v>
      </c>
      <c r="G7" s="16" t="inlineStr">
        <is>
          <t>当社</t>
        </is>
      </c>
      <c r="H7" s="19" t="n"/>
      <c r="I7" s="9" t="inlineStr">
        <is>
          <t>次期（第10期）基本指針の告示時期を確認する。第9期の基本指針は令和6年1月に告示されており（日付は原典で要確認）、同様であれば令和9年1月頃。告示前に着手する部分と告示後に確定する部分を分ける</t>
        </is>
      </c>
    </row>
    <row r="8" ht="42" customHeight="1">
      <c r="A8" s="7" t="inlineStr">
        <is>
          <t>Ⅰ 基礎調査・分析</t>
        </is>
      </c>
      <c r="B8" s="15" t="inlineStr">
        <is>
          <t>Ⅰ(3)</t>
        </is>
      </c>
      <c r="C8" s="7" t="inlineStr">
        <is>
          <t>現行計画（第9期・令和6〜8年度）の評価・分析（サービス見込量と実績の乖離、重点施策の進捗、給付費・保険料の実績と計画値の差）</t>
        </is>
      </c>
      <c r="D8" s="7" t="inlineStr">
        <is>
          <t>現行計画評価表</t>
        </is>
      </c>
      <c r="E8" s="17" t="inlineStr">
        <is>
          <t>仕様書未受領</t>
        </is>
      </c>
      <c r="F8" s="11" t="n">
        <v>0</v>
      </c>
      <c r="G8" s="15" t="inlineStr">
        <is>
          <t>当社</t>
        </is>
      </c>
      <c r="H8" s="18" t="n"/>
      <c r="I8" s="7" t="inlineStr">
        <is>
          <t>障害トラックと同じ構造の評価ブックを流用できる。令和6・7年度実績と令和8年度見込の受領時期を確認する</t>
        </is>
      </c>
    </row>
    <row r="9">
      <c r="A9" s="20" t="inlineStr">
        <is>
          <t>Ⅰ 基礎調査・分析　小計</t>
        </is>
      </c>
      <c r="B9" s="21" t="inlineStr"/>
      <c r="C9" s="20" t="inlineStr"/>
      <c r="D9" s="21" t="inlineStr">
        <is>
          <t>3項目</t>
        </is>
      </c>
      <c r="E9" s="21" t="inlineStr"/>
      <c r="F9" s="22">
        <f>AVERAGE(F6:F8)</f>
        <v/>
      </c>
      <c r="G9" s="21" t="inlineStr"/>
      <c r="H9" s="21" t="inlineStr"/>
      <c r="I9" s="20" t="inlineStr"/>
    </row>
    <row r="10" ht="42" customHeight="1">
      <c r="A10" s="7" t="inlineStr">
        <is>
          <t>Ⅱ 実態調査</t>
        </is>
      </c>
      <c r="B10" s="15" t="inlineStr">
        <is>
          <t>Ⅱ(1)</t>
        </is>
      </c>
      <c r="C10" s="7" t="inlineStr">
        <is>
          <t>調査設計（介護予防・日常生活圏域ニーズ調査、在宅介護実態調査。厚生労働省の標準調査票を基本とし、独自設問を協議のうえ決定）</t>
        </is>
      </c>
      <c r="D10" s="7" t="inlineStr">
        <is>
          <t>調査設計書・調査票案</t>
        </is>
      </c>
      <c r="E10" s="17" t="inlineStr">
        <is>
          <t>仕様書未受領</t>
        </is>
      </c>
      <c r="F10" s="11" t="n">
        <v>0</v>
      </c>
      <c r="G10" s="15" t="inlineStr">
        <is>
          <t>当社</t>
        </is>
      </c>
      <c r="H10" s="18" t="n"/>
      <c r="I10" s="7" t="inlineStr">
        <is>
          <t>国の標準様式の版を確認する。在宅介護実態調査は認定調査・更新申請時の聞き取りで実施する自治体もあり、実施方法（郵送／窓口）を確認する</t>
        </is>
      </c>
    </row>
    <row r="11" ht="42" customHeight="1">
      <c r="A11" s="9" t="inlineStr">
        <is>
          <t>Ⅱ 実態調査</t>
        </is>
      </c>
      <c r="B11" s="16" t="inlineStr">
        <is>
          <t>Ⅱ(2)</t>
        </is>
      </c>
      <c r="C11" s="9" t="inlineStr">
        <is>
          <t>調査票・封筒の印刷</t>
        </is>
      </c>
      <c r="D11" s="9" t="inlineStr">
        <is>
          <t>調査票・封筒</t>
        </is>
      </c>
      <c r="E11" s="17" t="inlineStr">
        <is>
          <t>仕様書未受領</t>
        </is>
      </c>
      <c r="F11" s="13" t="n">
        <v>0</v>
      </c>
      <c r="G11" s="16" t="inlineStr">
        <is>
          <t>当社</t>
        </is>
      </c>
      <c r="H11" s="19" t="n"/>
      <c r="I11" s="9" t="inlineStr">
        <is>
          <t>判型・頁数・色数・部数の仕様を確認する</t>
        </is>
      </c>
    </row>
    <row r="12" ht="42" customHeight="1">
      <c r="A12" s="7" t="inlineStr">
        <is>
          <t>Ⅱ 実態調査</t>
        </is>
      </c>
      <c r="B12" s="15" t="inlineStr">
        <is>
          <t>Ⅱ(3)</t>
        </is>
      </c>
      <c r="C12" s="7" t="inlineStr">
        <is>
          <t>発送・回収管理（宛名の抽出主体、発送費用の負担、回収先）</t>
        </is>
      </c>
      <c r="D12" s="7" t="inlineStr">
        <is>
          <t>発送記録・回収管理表</t>
        </is>
      </c>
      <c r="E12" s="17" t="inlineStr">
        <is>
          <t>仕様書未受領</t>
        </is>
      </c>
      <c r="F12" s="11" t="n">
        <v>0</v>
      </c>
      <c r="G12" s="15" t="inlineStr">
        <is>
          <t>―</t>
        </is>
      </c>
      <c r="H12" s="18" t="n"/>
      <c r="I12" s="7" t="inlineStr">
        <is>
          <t>宛名抽出が委託者側作業か受託者側作業かを確認する</t>
        </is>
      </c>
    </row>
    <row r="13" ht="42" customHeight="1">
      <c r="A13" s="9" t="inlineStr">
        <is>
          <t>Ⅱ 実態調査</t>
        </is>
      </c>
      <c r="B13" s="16" t="inlineStr">
        <is>
          <t>Ⅱ(4)</t>
        </is>
      </c>
      <c r="C13" s="9" t="inlineStr">
        <is>
          <t>データ入力（国の集計ファイル様式に準拠）</t>
        </is>
      </c>
      <c r="D13" s="9" t="inlineStr">
        <is>
          <t>入力データ</t>
        </is>
      </c>
      <c r="E13" s="17" t="inlineStr">
        <is>
          <t>仕様書未受領</t>
        </is>
      </c>
      <c r="F13" s="13" t="n">
        <v>0</v>
      </c>
      <c r="G13" s="16" t="inlineStr">
        <is>
          <t>当社</t>
        </is>
      </c>
      <c r="H13" s="19" t="n"/>
      <c r="I13" s="9" t="inlineStr">
        <is>
          <t>国の集計ソフト（在宅介護実態調査 集計・分析ツール等）を用いるかを確認する</t>
        </is>
      </c>
    </row>
    <row r="14" ht="42" customHeight="1">
      <c r="A14" s="7" t="inlineStr">
        <is>
          <t>Ⅱ 実態調査</t>
        </is>
      </c>
      <c r="B14" s="15" t="inlineStr">
        <is>
          <t>Ⅱ(5)</t>
        </is>
      </c>
      <c r="C14" s="7" t="inlineStr">
        <is>
          <t>集計・分析（基本集計、圏域別・要介護度別・年齢別クロス集計）</t>
        </is>
      </c>
      <c r="D14" s="7" t="inlineStr">
        <is>
          <t>集計表</t>
        </is>
      </c>
      <c r="E14" s="17" t="inlineStr">
        <is>
          <t>仕様書未受領</t>
        </is>
      </c>
      <c r="F14" s="11" t="n">
        <v>0</v>
      </c>
      <c r="G14" s="15" t="inlineStr">
        <is>
          <t>当社</t>
        </is>
      </c>
      <c r="H14" s="18" t="n"/>
      <c r="I14" s="7" t="inlineStr">
        <is>
          <t>小規模自治体・広域連合では圏域別の母数が小さくなる。秘匿基準（n&lt;10 等）を委託者と決める必要がある</t>
        </is>
      </c>
    </row>
    <row r="15" ht="42" customHeight="1">
      <c r="A15" s="9" t="inlineStr">
        <is>
          <t>Ⅱ 実態調査</t>
        </is>
      </c>
      <c r="B15" s="16" t="inlineStr">
        <is>
          <t>Ⅱ(6)</t>
        </is>
      </c>
      <c r="C15" s="9" t="inlineStr">
        <is>
          <t>調査結果報告書の作成</t>
        </is>
      </c>
      <c r="D15" s="9" t="inlineStr">
        <is>
          <t>調査結果報告書</t>
        </is>
      </c>
      <c r="E15" s="17" t="inlineStr">
        <is>
          <t>仕様書未受領</t>
        </is>
      </c>
      <c r="F15" s="13" t="n">
        <v>0</v>
      </c>
      <c r="G15" s="16" t="inlineStr">
        <is>
          <t>当社</t>
        </is>
      </c>
      <c r="H15" s="19" t="n"/>
      <c r="I15" s="9" t="inlineStr">
        <is>
          <t>成果品としての判型・部数を確認する</t>
        </is>
      </c>
    </row>
    <row r="16">
      <c r="A16" s="20" t="inlineStr">
        <is>
          <t>Ⅱ 実態調査　小計</t>
        </is>
      </c>
      <c r="B16" s="21" t="inlineStr"/>
      <c r="C16" s="20" t="inlineStr"/>
      <c r="D16" s="21" t="inlineStr">
        <is>
          <t>6項目</t>
        </is>
      </c>
      <c r="E16" s="21" t="inlineStr"/>
      <c r="F16" s="22">
        <f>AVERAGE(F10:F15)</f>
        <v/>
      </c>
      <c r="G16" s="21" t="inlineStr"/>
      <c r="H16" s="21" t="inlineStr"/>
      <c r="I16" s="20" t="inlineStr"/>
    </row>
    <row r="17" ht="42" customHeight="1">
      <c r="A17" s="7" t="inlineStr">
        <is>
          <t>Ⅲ 計画策定業務</t>
        </is>
      </c>
      <c r="B17" s="15" t="inlineStr">
        <is>
          <t>Ⅲ(1)</t>
        </is>
      </c>
      <c r="C17" s="7" t="inlineStr">
        <is>
          <t>将来推計（人口・高齢者人口・認定者数）。地域包括ケア「見える化」システムの推計機能を用いる</t>
        </is>
      </c>
      <c r="D17" s="7" t="inlineStr">
        <is>
          <t>将来推計表</t>
        </is>
      </c>
      <c r="E17" s="17" t="inlineStr">
        <is>
          <t>仕様書未受領</t>
        </is>
      </c>
      <c r="F17" s="11" t="n">
        <v>0</v>
      </c>
      <c r="G17" s="15" t="inlineStr">
        <is>
          <t>当社</t>
        </is>
      </c>
      <c r="H17" s="18" t="n"/>
      <c r="I17" s="7" t="inlineStr">
        <is>
          <t>見える化システムの推計値をそのまま用いるか、独自補正を加えるかを委託者と決める。小規模自治体では自然体推計と実勢が乖離しやすい</t>
        </is>
      </c>
    </row>
    <row r="18" ht="42" customHeight="1">
      <c r="A18" s="9" t="inlineStr">
        <is>
          <t>Ⅲ 計画策定業務</t>
        </is>
      </c>
      <c r="B18" s="16" t="inlineStr">
        <is>
          <t>Ⅲ(2)</t>
        </is>
      </c>
      <c r="C18" s="9" t="inlineStr">
        <is>
          <t>サービス見込量の推計（居宅・地域密着型・施設・介護予防）</t>
        </is>
      </c>
      <c r="D18" s="9" t="inlineStr">
        <is>
          <t>サービス見込量表</t>
        </is>
      </c>
      <c r="E18" s="17" t="inlineStr">
        <is>
          <t>仕様書未受領</t>
        </is>
      </c>
      <c r="F18" s="13" t="n">
        <v>0</v>
      </c>
      <c r="G18" s="16" t="inlineStr">
        <is>
          <t>当社</t>
        </is>
      </c>
      <c r="H18" s="19" t="n"/>
      <c r="I18" s="9" t="inlineStr">
        <is>
          <t>施設整備の予定（特養・老健・地域密着型）の有無で結果が大きく動く。整備計画の有無を早期に確認する</t>
        </is>
      </c>
    </row>
    <row r="19" ht="42" customHeight="1">
      <c r="A19" s="7" t="inlineStr">
        <is>
          <t>Ⅲ 計画策定業務</t>
        </is>
      </c>
      <c r="B19" s="15" t="inlineStr">
        <is>
          <t>Ⅲ(3)</t>
        </is>
      </c>
      <c r="C19" s="7" t="inlineStr">
        <is>
          <t>第1号被保険者の介護保険料の算定（所得段階別、介護給付費準備基金の取崩し、財政安定化基金の償還）</t>
        </is>
      </c>
      <c r="D19" s="7" t="inlineStr">
        <is>
          <t>保険料算定ワークシート</t>
        </is>
      </c>
      <c r="E19" s="17" t="inlineStr">
        <is>
          <t>仕様書未受領</t>
        </is>
      </c>
      <c r="F19" s="11" t="n">
        <v>0</v>
      </c>
      <c r="G19" s="15" t="inlineStr">
        <is>
          <t>当社</t>
        </is>
      </c>
      <c r="H19" s="18" t="n"/>
      <c r="I19" s="7" t="inlineStr">
        <is>
          <t>本業務の最大の山場。基金残高・取崩し方針は委託者の政策判断であり、複数パターンの試算を求められることが多い。国の算定ワークシートの配布時期が工程を規定する</t>
        </is>
      </c>
    </row>
    <row r="20" ht="42" customHeight="1">
      <c r="A20" s="9" t="inlineStr">
        <is>
          <t>Ⅲ 計画策定業務</t>
        </is>
      </c>
      <c r="B20" s="16" t="inlineStr">
        <is>
          <t>Ⅲ(4)</t>
        </is>
      </c>
      <c r="C20" s="9" t="inlineStr">
        <is>
          <t>地域支援事業・介護予防・日常生活支援総合事業の計画</t>
        </is>
      </c>
      <c r="D20" s="9" t="inlineStr">
        <is>
          <t>地域支援事業計画</t>
        </is>
      </c>
      <c r="E20" s="17" t="inlineStr">
        <is>
          <t>仕様書未受領</t>
        </is>
      </c>
      <c r="F20" s="13" t="n">
        <v>0</v>
      </c>
      <c r="G20" s="16" t="inlineStr">
        <is>
          <t>当社</t>
        </is>
      </c>
      <c r="H20" s="19" t="n"/>
      <c r="I20" s="9" t="inlineStr">
        <is>
          <t>総合事業の単価・サービス類型の見直し状況を確認する</t>
        </is>
      </c>
    </row>
    <row r="21" ht="42" customHeight="1">
      <c r="A21" s="7" t="inlineStr">
        <is>
          <t>Ⅲ 計画策定業務</t>
        </is>
      </c>
      <c r="B21" s="15" t="inlineStr">
        <is>
          <t>Ⅲ(5)</t>
        </is>
      </c>
      <c r="C21" s="7" t="inlineStr">
        <is>
          <t>施策の検討（地域包括ケアシステムの深化、認知症施策、介護人材の確保、在宅医療・介護連携、生活支援体制整備、高齢者虐待防止・権利擁護）</t>
        </is>
      </c>
      <c r="D21" s="7" t="inlineStr">
        <is>
          <t>施策検討資料</t>
        </is>
      </c>
      <c r="E21" s="17" t="inlineStr">
        <is>
          <t>仕様書未受領</t>
        </is>
      </c>
      <c r="F21" s="11" t="n">
        <v>0</v>
      </c>
      <c r="G21" s="15" t="inlineStr">
        <is>
          <t>当社</t>
        </is>
      </c>
      <c r="H21" s="18" t="n"/>
      <c r="I21" s="7" t="inlineStr">
        <is>
          <t>第10期の重点事項は基本指針の告示で確定する。告示前は前期の重点事項と審議会資料をもとに仮置きする</t>
        </is>
      </c>
    </row>
    <row r="22" ht="42" customHeight="1">
      <c r="A22" s="9" t="inlineStr">
        <is>
          <t>Ⅲ 計画策定業務</t>
        </is>
      </c>
      <c r="B22" s="16" t="inlineStr">
        <is>
          <t>Ⅲ(6)</t>
        </is>
      </c>
      <c r="C22" s="9" t="inlineStr">
        <is>
          <t>計画案（素案）の作成</t>
        </is>
      </c>
      <c r="D22" s="9" t="inlineStr">
        <is>
          <t>計画素案</t>
        </is>
      </c>
      <c r="E22" s="17" t="inlineStr">
        <is>
          <t>仕様書未受領</t>
        </is>
      </c>
      <c r="F22" s="13" t="n">
        <v>0</v>
      </c>
      <c r="G22" s="16" t="inlineStr">
        <is>
          <t>当社</t>
        </is>
      </c>
      <c r="H22" s="19" t="n"/>
      <c r="I22" s="9" t="inlineStr">
        <is>
          <t>章立ての合意時期を確認する</t>
        </is>
      </c>
    </row>
    <row r="23" ht="42" customHeight="1">
      <c r="A23" s="7" t="inlineStr">
        <is>
          <t>Ⅲ 計画策定業務</t>
        </is>
      </c>
      <c r="B23" s="15" t="inlineStr">
        <is>
          <t>Ⅲ(7)</t>
        </is>
      </c>
      <c r="C23" s="7" t="inlineStr">
        <is>
          <t>策定委員会（介護保険運営協議会等）の運営支援（資料作成、出席、会議録作成）</t>
        </is>
      </c>
      <c r="D23" s="7" t="inlineStr">
        <is>
          <t>委員会資料・会議録</t>
        </is>
      </c>
      <c r="E23" s="17" t="inlineStr">
        <is>
          <t>仕様書未受領</t>
        </is>
      </c>
      <c r="F23" s="11" t="n">
        <v>0</v>
      </c>
      <c r="G23" s="15" t="inlineStr">
        <is>
          <t>当社</t>
        </is>
      </c>
      <c r="H23" s="18" t="n"/>
      <c r="I23" s="7" t="inlineStr">
        <is>
          <t>開催回数と、受託者の役割（資料作成のみか、説明も行うか）を確認する</t>
        </is>
      </c>
    </row>
    <row r="24" ht="42" customHeight="1">
      <c r="A24" s="9" t="inlineStr">
        <is>
          <t>Ⅲ 計画策定業務</t>
        </is>
      </c>
      <c r="B24" s="16" t="inlineStr">
        <is>
          <t>Ⅲ(8)</t>
        </is>
      </c>
      <c r="C24" s="9" t="inlineStr">
        <is>
          <t>パブリックコメントの支援（資料作成、意見の整理・回答案）</t>
        </is>
      </c>
      <c r="D24" s="9" t="inlineStr">
        <is>
          <t>パブコメ資料・意見整理表</t>
        </is>
      </c>
      <c r="E24" s="17" t="inlineStr">
        <is>
          <t>仕様書未受領</t>
        </is>
      </c>
      <c r="F24" s="13" t="n">
        <v>0</v>
      </c>
      <c r="G24" s="16" t="inlineStr">
        <is>
          <t>当社</t>
        </is>
      </c>
      <c r="H24" s="19" t="n"/>
      <c r="I24" s="9" t="inlineStr">
        <is>
          <t>実施時期を確認する</t>
        </is>
      </c>
    </row>
    <row r="25" ht="42" customHeight="1">
      <c r="A25" s="7" t="inlineStr">
        <is>
          <t>Ⅲ 計画策定業務</t>
        </is>
      </c>
      <c r="B25" s="15" t="inlineStr">
        <is>
          <t>Ⅲ(9)</t>
        </is>
      </c>
      <c r="C25" s="7" t="inlineStr">
        <is>
          <t>計画書の作成（最終取りまとめ・印刷・製本）</t>
        </is>
      </c>
      <c r="D25" s="7" t="inlineStr">
        <is>
          <t>計画書</t>
        </is>
      </c>
      <c r="E25" s="17" t="inlineStr">
        <is>
          <t>仕様書未受領</t>
        </is>
      </c>
      <c r="F25" s="11" t="n">
        <v>0</v>
      </c>
      <c r="G25" s="15" t="inlineStr">
        <is>
          <t>当社</t>
        </is>
      </c>
      <c r="H25" s="18" t="n"/>
      <c r="I25" s="7" t="inlineStr">
        <is>
          <t>判型・頁数・色数・部数を確認する</t>
        </is>
      </c>
    </row>
    <row r="26">
      <c r="A26" s="20" t="inlineStr">
        <is>
          <t>Ⅲ 計画策定業務　小計</t>
        </is>
      </c>
      <c r="B26" s="21" t="inlineStr"/>
      <c r="C26" s="20" t="inlineStr"/>
      <c r="D26" s="21" t="inlineStr">
        <is>
          <t>9項目</t>
        </is>
      </c>
      <c r="E26" s="21" t="inlineStr"/>
      <c r="F26" s="22">
        <f>AVERAGE(F17:F25)</f>
        <v/>
      </c>
      <c r="G26" s="21" t="inlineStr"/>
      <c r="H26" s="21" t="inlineStr"/>
      <c r="I26" s="20" t="inlineStr"/>
    </row>
    <row r="27" ht="42" customHeight="1">
      <c r="A27" s="7" t="inlineStr">
        <is>
          <t>Ⅳ 打合せ等業務</t>
        </is>
      </c>
      <c r="B27" s="15" t="inlineStr">
        <is>
          <t>Ⅳ(1)</t>
        </is>
      </c>
      <c r="C27" s="7" t="inlineStr">
        <is>
          <t>打合せ（対面・オンライン・電話）、議事録の作成</t>
        </is>
      </c>
      <c r="D27" s="7" t="inlineStr">
        <is>
          <t>議事録</t>
        </is>
      </c>
      <c r="E27" s="17" t="inlineStr">
        <is>
          <t>仕様書未受領</t>
        </is>
      </c>
      <c r="F27" s="11" t="n">
        <v>0</v>
      </c>
      <c r="G27" s="15" t="inlineStr">
        <is>
          <t>当社</t>
        </is>
      </c>
      <c r="H27" s="18" t="n"/>
      <c r="I27" s="7" t="inlineStr">
        <is>
          <t>回数と開催形態を確認する</t>
        </is>
      </c>
    </row>
    <row r="28">
      <c r="A28" s="20" t="inlineStr">
        <is>
          <t>Ⅳ 打合せ等業務　小計</t>
        </is>
      </c>
      <c r="B28" s="21" t="inlineStr"/>
      <c r="C28" s="20" t="inlineStr"/>
      <c r="D28" s="21" t="inlineStr">
        <is>
          <t>1項目</t>
        </is>
      </c>
      <c r="E28" s="21" t="inlineStr"/>
      <c r="F28" s="22">
        <f>AVERAGE(F27:F27)</f>
        <v/>
      </c>
      <c r="G28" s="21" t="inlineStr"/>
      <c r="H28" s="21" t="inlineStr"/>
      <c r="I28" s="20" t="inlineStr"/>
    </row>
    <row r="29" ht="42" customHeight="1">
      <c r="A29" s="7" t="inlineStr">
        <is>
          <t>契約管理</t>
        </is>
      </c>
      <c r="B29" s="15" t="inlineStr">
        <is>
          <t>管理1</t>
        </is>
      </c>
      <c r="C29" s="7" t="inlineStr">
        <is>
          <t>仕様書・契約書の受領と受注範囲の整理</t>
        </is>
      </c>
      <c r="D29" s="7" t="inlineStr">
        <is>
          <t>受注内容整理</t>
        </is>
      </c>
      <c r="E29" s="17" t="inlineStr">
        <is>
          <t>仕様書未受領</t>
        </is>
      </c>
      <c r="F29" s="11" t="n">
        <v>0</v>
      </c>
      <c r="G29" s="15" t="inlineStr">
        <is>
          <t>当社</t>
        </is>
      </c>
      <c r="H29" s="18" t="n"/>
      <c r="I29" s="7" t="inlineStr">
        <is>
          <t>最優先。これが無いと本シートの各行を確定できない</t>
        </is>
      </c>
    </row>
    <row r="30" ht="42" customHeight="1">
      <c r="A30" s="9" t="inlineStr">
        <is>
          <t>契約管理</t>
        </is>
      </c>
      <c r="B30" s="16" t="inlineStr">
        <is>
          <t>管理2</t>
        </is>
      </c>
      <c r="C30" s="9" t="inlineStr">
        <is>
          <t>個人情報の取扱い（実態調査の回収物、認定情報）</t>
        </is>
      </c>
      <c r="D30" s="9" t="inlineStr">
        <is>
          <t>取扱い手順</t>
        </is>
      </c>
      <c r="E30" s="17" t="inlineStr">
        <is>
          <t>仕様書未受領</t>
        </is>
      </c>
      <c r="F30" s="13" t="n">
        <v>0</v>
      </c>
      <c r="G30" s="16" t="inlineStr">
        <is>
          <t>当社</t>
        </is>
      </c>
      <c r="H30" s="19" t="n"/>
      <c r="I30" s="9" t="inlineStr">
        <is>
          <t>介護保険の実態調査は要介護認定情報を含むため、障害トラックより厳格な管理が必要になる場合がある</t>
        </is>
      </c>
    </row>
    <row r="31">
      <c r="A31" s="20" t="inlineStr">
        <is>
          <t>契約管理　小計</t>
        </is>
      </c>
      <c r="B31" s="21" t="inlineStr"/>
      <c r="C31" s="20" t="inlineStr"/>
      <c r="D31" s="21" t="inlineStr">
        <is>
          <t>2項目</t>
        </is>
      </c>
      <c r="E31" s="21" t="inlineStr"/>
      <c r="F31" s="22">
        <f>AVERAGE(F29:F30)</f>
        <v/>
      </c>
      <c r="G31" s="21" t="inlineStr"/>
      <c r="H31" s="21" t="inlineStr"/>
      <c r="I31" s="20" t="inlineStr"/>
    </row>
    <row r="33" ht="62" customHeight="1">
      <c r="A33" s="2" t="inlineStr">
        <is>
          <t>【本シートの位置づけ】高齢者分野の業務委託仕様書が当方に無いため、介護保険法第117条（市町村介護保険事業計画）及び老人福祉法第20条の8（市町村老人福祉計画）に基づく標準的な業務構成を骨格として置いています。各行は「一般に計画策定支援業務に含まれる工程」であって、実際の契約が何を求めているかを示すものではありません。状態「仕様書未受領」・進捗率0％は、作業が遅れているという意味ではなく、当方が契約内容を把握していないという意味です。仕様書を受領しだい実際の条項に差し替えます。</t>
        </is>
      </c>
    </row>
  </sheetData>
  <autoFilter ref="A5:I31"/>
  <mergeCells count="3">
    <mergeCell ref="A1:I1"/>
    <mergeCell ref="A33:I33"/>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8" customWidth="1" min="2" max="2"/>
    <col width="52" customWidth="1" min="3" max="3"/>
    <col width="34" customWidth="1" min="4" max="4"/>
    <col width="12" customWidth="1" min="5" max="5"/>
    <col width="8" customWidth="1" min="6" max="6"/>
    <col width="10" customWidth="1" min="7" max="7"/>
    <col width="12" customWidth="1" min="8" max="8"/>
    <col width="50" customWidth="1" min="9" max="9"/>
  </cols>
  <sheetData>
    <row r="1" ht="30" customHeight="1">
      <c r="A1" s="1" t="inlineStr">
        <is>
          <t>障害　第8期北塩原村障がい福祉計画・第4期障がい児福祉計画　仕様書条項別進捗</t>
        </is>
      </c>
    </row>
    <row r="2" ht="30" customHeight="1">
      <c r="A2" s="2" t="inlineStr">
        <is>
          <t>業務委託仕様書（8北保福第366号 別紙）の条項に対応させた管理表です。北塩原村_業務進捗管理.xlsx の 01 と同一データから生成しています。</t>
        </is>
      </c>
    </row>
    <row r="5" ht="30" customHeight="1">
      <c r="A5" s="23" t="inlineStr">
        <is>
          <t>区分</t>
        </is>
      </c>
      <c r="B5" s="4" t="inlineStr">
        <is>
          <t>項番</t>
        </is>
      </c>
      <c r="C5" s="4" t="inlineStr">
        <is>
          <t>仕様書の要求／業務の内容</t>
        </is>
      </c>
      <c r="D5" s="4" t="inlineStr">
        <is>
          <t>現在の成果物・根拠</t>
        </is>
      </c>
      <c r="E5" s="4" t="inlineStr">
        <is>
          <t>状態</t>
        </is>
      </c>
      <c r="F5" s="4" t="inlineStr">
        <is>
          <t>進捗率</t>
        </is>
      </c>
      <c r="G5" s="4" t="inlineStr">
        <is>
          <t>主担当</t>
        </is>
      </c>
      <c r="H5" s="4" t="inlineStr">
        <is>
          <t>期限</t>
        </is>
      </c>
      <c r="I5" s="4" t="inlineStr">
        <is>
          <t>次の一手・確認事項</t>
        </is>
      </c>
    </row>
    <row r="6" ht="42" customHeight="1">
      <c r="A6" s="7" t="inlineStr">
        <is>
          <t>Ⅰ ニーズ調査</t>
        </is>
      </c>
      <c r="B6" s="15" t="inlineStr">
        <is>
          <t>Ⅰ(1)</t>
        </is>
      </c>
      <c r="C6" s="7" t="inlineStr">
        <is>
          <t>調査対象の抽出（身体約130人・精神約40人・療育約20人＝約190人）。抽出は委託者が行い、受託者にラベルシールとして提供する。</t>
        </is>
      </c>
      <c r="D6" s="7" t="inlineStr">
        <is>
          <t>―（村側作業）</t>
        </is>
      </c>
      <c r="E6" s="24" t="inlineStr">
        <is>
          <t>村側作業</t>
        </is>
      </c>
      <c r="F6" s="11" t="n">
        <v>0</v>
      </c>
      <c r="G6" s="15" t="inlineStr">
        <is>
          <t>北塩原村</t>
        </is>
      </c>
      <c r="H6" s="18" t="inlineStr">
        <is>
          <t>2026-08-05</t>
        </is>
      </c>
      <c r="I6" s="7" t="inlineStr">
        <is>
          <t>対象者数が確定していない。仕様書の約190人と現行計画の156人（令和5年）の差の理由を確認する。ラベルシールの提供時期を確定する</t>
        </is>
      </c>
    </row>
    <row r="7" ht="42" customHeight="1">
      <c r="A7" s="9" t="inlineStr">
        <is>
          <t>Ⅰ ニーズ調査</t>
        </is>
      </c>
      <c r="B7" s="16" t="inlineStr">
        <is>
          <t>Ⅰ(2)a</t>
        </is>
      </c>
      <c r="C7" s="9" t="inlineStr">
        <is>
          <t>調査票の設計（厚労省の調査項目及び過去調査を踏まえ、委託者との協議の上決定）</t>
        </is>
      </c>
      <c r="D7" s="9" t="inlineStr">
        <is>
          <t>0728北塩原村_障がい福祉アンケート調査票（52問）／同 障がい児福祉（51問）／0728アンケート調査票レビュー結果／村朱書き修正指示（令和8年8月・40か所）／北塩原村_アンケート調査票_村修正指示_確認結果</t>
        </is>
      </c>
      <c r="E7" s="25" t="inlineStr">
        <is>
          <t>概ね完了</t>
        </is>
      </c>
      <c r="F7" s="13" t="n">
        <v>0.9</v>
      </c>
      <c r="G7" s="16" t="inlineStr">
        <is>
          <t>当社</t>
        </is>
      </c>
      <c r="H7" s="19" t="inlineStr">
        <is>
          <t>2026-08-31</t>
        </is>
      </c>
      <c r="I7" s="9" t="inlineStr">
        <is>
          <t>村から朱書き修正指示40か所（障がい者版21・障がい児版19）を受領し内容を確認済み。修正の反映は調査票担当。当方からは問36（就労選択支援）の削除について再考を依頼中。障がい児版 問11の選択肢番号13の重複、問10の番号3の欠番も申し送り</t>
        </is>
      </c>
    </row>
    <row r="8" ht="42" customHeight="1">
      <c r="A8" s="7" t="inlineStr">
        <is>
          <t>Ⅰ ニーズ調査</t>
        </is>
      </c>
      <c r="B8" s="15" t="inlineStr">
        <is>
          <t>Ⅰ(2)b</t>
        </is>
      </c>
      <c r="C8" s="7" t="inlineStr">
        <is>
          <t>文字の大きさ・フォント・表現の工夫、ルビ等の障がい特性に応じた配慮</t>
        </is>
      </c>
      <c r="D8" s="7" t="inlineStr">
        <is>
          <t>14pt程度・ルビ付与・白黒印刷・専門用語への短い解説（7/7打合せで決定）</t>
        </is>
      </c>
      <c r="E8" s="25" t="inlineStr">
        <is>
          <t>概ね完了</t>
        </is>
      </c>
      <c r="F8" s="11" t="n">
        <v>0.9</v>
      </c>
      <c r="G8" s="15" t="inlineStr">
        <is>
          <t>当社</t>
        </is>
      </c>
      <c r="H8" s="18" t="inlineStr">
        <is>
          <t>2026-08-05</t>
        </is>
      </c>
      <c r="I8" s="7" t="inlineStr">
        <is>
          <t>最終レイアウトでの表示確認</t>
        </is>
      </c>
    </row>
    <row r="9" ht="42" customHeight="1">
      <c r="A9" s="9" t="inlineStr">
        <is>
          <t>Ⅰ ニーズ調査</t>
        </is>
      </c>
      <c r="B9" s="16" t="inlineStr">
        <is>
          <t>Ⅰ(2)c</t>
        </is>
      </c>
      <c r="C9" s="9" t="inlineStr">
        <is>
          <t>ウェブ回答用フォームの作成</t>
        </is>
      </c>
      <c r="D9" s="9" t="inlineStr">
        <is>
          <t>Googleフォーム自動作成 Code（1本統合分岐版・修正版）／設問精査レポート／修正対応メモ</t>
        </is>
      </c>
      <c r="E9" s="25" t="inlineStr">
        <is>
          <t>概ね完了</t>
        </is>
      </c>
      <c r="F9" s="13" t="n">
        <v>0.85</v>
      </c>
      <c r="G9" s="16" t="inlineStr">
        <is>
          <t>当社</t>
        </is>
      </c>
      <c r="H9" s="19" t="inlineStr">
        <is>
          <t>2026-08-05</t>
        </is>
      </c>
      <c r="I9" s="9" t="inlineStr">
        <is>
          <t>枝番設問（障がい者版 問29-1〜3、障がい児版 問32〜34）の選択肢順序を固定する</t>
        </is>
      </c>
    </row>
    <row r="10" ht="42" customHeight="1">
      <c r="A10" s="7" t="inlineStr">
        <is>
          <t>Ⅰ ニーズ調査</t>
        </is>
      </c>
      <c r="B10" s="15" t="inlineStr">
        <is>
          <t>Ⅰ(2)d</t>
        </is>
      </c>
      <c r="C10" s="7" t="inlineStr">
        <is>
          <t>該当ページの二次元コードを調査票又は依頼状に印字</t>
        </is>
      </c>
      <c r="D10" s="7" t="inlineStr">
        <is>
          <t>―</t>
        </is>
      </c>
      <c r="E10" s="26" t="inlineStr">
        <is>
          <t>未着手</t>
        </is>
      </c>
      <c r="F10" s="11" t="n">
        <v>0</v>
      </c>
      <c r="G10" s="15" t="inlineStr">
        <is>
          <t>当社</t>
        </is>
      </c>
      <c r="H10" s="18" t="inlineStr">
        <is>
          <t>2026-08-05</t>
        </is>
      </c>
      <c r="I10" s="7" t="inlineStr">
        <is>
          <t>フォームURL確定後にQRを生成し、依頼状に配置する</t>
        </is>
      </c>
    </row>
    <row r="11" ht="42" customHeight="1">
      <c r="A11" s="9" t="inlineStr">
        <is>
          <t>Ⅰ ニーズ調査</t>
        </is>
      </c>
      <c r="B11" s="16" t="inlineStr">
        <is>
          <t>Ⅰ(2)e</t>
        </is>
      </c>
      <c r="C11" s="9" t="inlineStr">
        <is>
          <t>紙とウェブの重複回答が集計されないよう管理番号等で管理</t>
        </is>
      </c>
      <c r="D11" s="9" t="inlineStr">
        <is>
          <t>管理番号設計（04_紙Web設計確認）</t>
        </is>
      </c>
      <c r="E11" s="27" t="inlineStr">
        <is>
          <t>作業中</t>
        </is>
      </c>
      <c r="F11" s="13" t="n">
        <v>0.6</v>
      </c>
      <c r="G11" s="16" t="inlineStr">
        <is>
          <t>当社</t>
        </is>
      </c>
      <c r="H11" s="19" t="inlineStr">
        <is>
          <t>2026-08-05</t>
        </is>
      </c>
      <c r="I11" s="9" t="inlineStr">
        <is>
          <t>管理番号の付番はラベルシールの提供を受けてから確定する</t>
        </is>
      </c>
    </row>
    <row r="12" ht="42" customHeight="1">
      <c r="A12" s="7" t="inlineStr">
        <is>
          <t>Ⅰ ニーズ調査</t>
        </is>
      </c>
      <c r="B12" s="15" t="inlineStr">
        <is>
          <t>Ⅰ(3)</t>
        </is>
      </c>
      <c r="C12" s="7" t="inlineStr">
        <is>
          <t>調査票及び封筒（配布用・回収用）の印刷。調査票はA4判・約24ページ・黒1色。</t>
        </is>
      </c>
      <c r="D12" s="7" t="inlineStr">
        <is>
          <t>―</t>
        </is>
      </c>
      <c r="E12" s="28" t="inlineStr">
        <is>
          <t>要協議</t>
        </is>
      </c>
      <c r="F12" s="11" t="n">
        <v>0</v>
      </c>
      <c r="G12" s="15" t="inlineStr">
        <is>
          <t>当社／北塩原村</t>
        </is>
      </c>
      <c r="H12" s="18" t="inlineStr">
        <is>
          <t>2026-08-05</t>
        </is>
      </c>
      <c r="I12" s="7" t="inlineStr">
        <is>
          <t>仕様は約24ページ1種類だが、実際は障がい者版34ページ・障がい児版37ページの2種類。ページ数・種類数・部数・単価の取扱いを村と協議する。封筒は村の封筒を使用</t>
        </is>
      </c>
    </row>
    <row r="13" ht="42" customHeight="1">
      <c r="A13" s="9" t="inlineStr">
        <is>
          <t>Ⅰ ニーズ調査</t>
        </is>
      </c>
      <c r="B13" s="16" t="inlineStr">
        <is>
          <t>Ⅰ(4)</t>
        </is>
      </c>
      <c r="C13" s="9" t="inlineStr">
        <is>
          <t>宛名ラベルの貼付、封入・封緘、発送。回収票の開封確認。発送及び回収に係る費用は受託者の負担。</t>
        </is>
      </c>
      <c r="D13" s="9" t="inlineStr">
        <is>
          <t>―</t>
        </is>
      </c>
      <c r="E13" s="26" t="inlineStr">
        <is>
          <t>未着手</t>
        </is>
      </c>
      <c r="F13" s="13" t="n">
        <v>0</v>
      </c>
      <c r="G13" s="16" t="inlineStr">
        <is>
          <t>当社／北塩原村</t>
        </is>
      </c>
      <c r="H13" s="19" t="inlineStr">
        <is>
          <t>2026-08-10</t>
        </is>
      </c>
      <c r="I13" s="9" t="inlineStr">
        <is>
          <t>7/7打合せにより、村の封筒を使用し差出人・返送先を村役場とする運用に変更。村役場での一括受領・窓口回収。郵便料金は村が立替え後日実費精算（書面確認が必要）</t>
        </is>
      </c>
    </row>
    <row r="14" ht="42" customHeight="1">
      <c r="A14" s="7" t="inlineStr">
        <is>
          <t>Ⅰ ニーズ調査</t>
        </is>
      </c>
      <c r="B14" s="15" t="inlineStr">
        <is>
          <t>Ⅰ(5)</t>
        </is>
      </c>
      <c r="C14" s="7" t="inlineStr">
        <is>
          <t>厚生労働省が提示する集計ファイル様式を基本としたデータ入力</t>
        </is>
      </c>
      <c r="D14" s="7" t="inlineStr">
        <is>
          <t>―</t>
        </is>
      </c>
      <c r="E14" s="26" t="inlineStr">
        <is>
          <t>未着手</t>
        </is>
      </c>
      <c r="F14" s="11" t="n">
        <v>0</v>
      </c>
      <c r="G14" s="15" t="inlineStr">
        <is>
          <t>当社</t>
        </is>
      </c>
      <c r="H14" s="18" t="inlineStr">
        <is>
          <t>2026-09-10</t>
        </is>
      </c>
      <c r="I14" s="7" t="inlineStr">
        <is>
          <t>集計様式の入手。回収開始までに入力体制を確定する</t>
        </is>
      </c>
    </row>
    <row r="15" ht="42" customHeight="1">
      <c r="A15" s="9" t="inlineStr">
        <is>
          <t>Ⅰ ニーズ調査</t>
        </is>
      </c>
      <c r="B15" s="16" t="inlineStr">
        <is>
          <t>Ⅰ(6)</t>
        </is>
      </c>
      <c r="C15" s="9" t="inlineStr">
        <is>
          <t>基本集計及び年齢・障がい種別等によるクロス集計。自由回答の取りまとめ。設問間クロス集計等は委託者と協議の上決定。</t>
        </is>
      </c>
      <c r="D15" s="9" t="inlineStr">
        <is>
          <t>北塩原村_アンケート集計分析方法_少数母数対応_計画接続メモ</t>
        </is>
      </c>
      <c r="E15" s="27" t="inlineStr">
        <is>
          <t>作業中</t>
        </is>
      </c>
      <c r="F15" s="13" t="n">
        <v>0.3</v>
      </c>
      <c r="G15" s="16" t="inlineStr">
        <is>
          <t>当社</t>
        </is>
      </c>
      <c r="H15" s="19" t="inlineStr">
        <is>
          <t>2026-10-31</t>
        </is>
      </c>
      <c r="I15" s="9" t="inlineStr">
        <is>
          <t>少数母数の公表基準（n&lt;5の秘匿、地区別・障がい種別クロスの扱い）を村と合意する</t>
        </is>
      </c>
    </row>
    <row r="16" ht="42" customHeight="1">
      <c r="A16" s="7" t="inlineStr">
        <is>
          <t>Ⅰ ニーズ調査</t>
        </is>
      </c>
      <c r="B16" s="15" t="inlineStr">
        <is>
          <t>Ⅰ(7)</t>
        </is>
      </c>
      <c r="C16" s="7" t="inlineStr">
        <is>
          <t>設問ごとのグラフ作成と分析結果の報告書としての取りまとめ</t>
        </is>
      </c>
      <c r="D16" s="7" t="inlineStr">
        <is>
          <t>―</t>
        </is>
      </c>
      <c r="E16" s="26" t="inlineStr">
        <is>
          <t>未着手</t>
        </is>
      </c>
      <c r="F16" s="11" t="n">
        <v>0</v>
      </c>
      <c r="G16" s="15" t="inlineStr">
        <is>
          <t>当社</t>
        </is>
      </c>
      <c r="H16" s="18" t="inlineStr">
        <is>
          <t>2026-11-30</t>
        </is>
      </c>
      <c r="I16" s="7" t="inlineStr">
        <is>
          <t>集計完了後に着手</t>
        </is>
      </c>
    </row>
    <row r="17">
      <c r="A17" s="20" t="inlineStr">
        <is>
          <t>Ⅰ ニーズ調査　小計</t>
        </is>
      </c>
      <c r="B17" s="21" t="inlineStr"/>
      <c r="C17" s="20" t="inlineStr"/>
      <c r="D17" s="21" t="inlineStr">
        <is>
          <t>11項目</t>
        </is>
      </c>
      <c r="E17" s="21" t="inlineStr"/>
      <c r="F17" s="22">
        <f>AVERAGE(F6:F16)</f>
        <v/>
      </c>
      <c r="G17" s="21" t="inlineStr"/>
      <c r="H17" s="21" t="inlineStr"/>
      <c r="I17" s="20" t="inlineStr"/>
    </row>
    <row r="18" ht="42" customHeight="1">
      <c r="A18" s="7" t="inlineStr">
        <is>
          <t>Ⅱ 計画策定業務</t>
        </is>
      </c>
      <c r="B18" s="15" t="inlineStr">
        <is>
          <t>Ⅱ(1)</t>
        </is>
      </c>
      <c r="C18" s="7" t="inlineStr">
        <is>
          <t>法制度の改正動向、国の基本指針、福島県障がい福祉計画等の収集・整理</t>
        </is>
      </c>
      <c r="D18" s="7" t="inlineStr">
        <is>
          <t>骨子案 第1章4（基本指針改正16項目、法定雇用率2.7%）／年齢到達による給付移行 調査報告／現行計画本編 第4章1（第7期の基本指針見直し）／国基準数値 原典照合結果／告示本文・新旧対照表・改正後概要（source/基本指針）／令和8年度報酬改定資料（source/報酬改定）</t>
        </is>
      </c>
      <c r="E18" s="25" t="inlineStr">
        <is>
          <t>概ね完了</t>
        </is>
      </c>
      <c r="F18" s="11" t="n">
        <v>0.95</v>
      </c>
      <c r="G18" s="15" t="inlineStr">
        <is>
          <t>当社</t>
        </is>
      </c>
      <c r="H18" s="18" t="inlineStr">
        <is>
          <t>2026-09-30</t>
        </is>
      </c>
      <c r="I18" s="7" t="inlineStr">
        <is>
          <t>国基準数値11件を告示第4号の本文・別表と照合済み（誤り1件・補足4件・欠落6件を骨子案修正版へ反映）。残るは福島県 第8期計画の公表待ち（別表第四による長期入院患者の基盤整備量、心のサポーター目標）</t>
        </is>
      </c>
    </row>
    <row r="19" ht="42" customHeight="1">
      <c r="A19" s="9" t="inlineStr">
        <is>
          <t>Ⅱ 計画策定業務</t>
        </is>
      </c>
      <c r="B19" s="16" t="inlineStr">
        <is>
          <t>Ⅱ(2)</t>
        </is>
      </c>
      <c r="C19" s="9" t="inlineStr">
        <is>
          <t>現行計画（令和6〜8年度）のサービス利用実績、成果目標・活動指標の達成状況の評価・検証</t>
        </is>
      </c>
      <c r="D19" s="9" t="inlineStr">
        <is>
          <t>北塩原村_現行計画評価.xlsx（7シート）／前回計画評価_アンケート精査管理表／現行計画本編</t>
        </is>
      </c>
      <c r="E19" s="27" t="inlineStr">
        <is>
          <t>作業中</t>
        </is>
      </c>
      <c r="F19" s="13" t="n">
        <v>0.7</v>
      </c>
      <c r="G19" s="16" t="inlineStr">
        <is>
          <t>当社</t>
        </is>
      </c>
      <c r="H19" s="19" t="inlineStr">
        <is>
          <t>2026-10-31</t>
        </is>
      </c>
      <c r="I19" s="9" t="inlineStr">
        <is>
          <t>令和3〜5年度の見込量と実績の突合（サービス25区分・地域生活支援事業13事業）を完了。令和6・7年度実績と令和8年度見込を受領するまで第7期の達成判定は確定できない</t>
        </is>
      </c>
    </row>
    <row r="20" ht="42" customHeight="1">
      <c r="A20" s="7" t="inlineStr">
        <is>
          <t>Ⅱ 計画策定業務</t>
        </is>
      </c>
      <c r="B20" s="15" t="inlineStr">
        <is>
          <t>Ⅱ(3)①</t>
        </is>
      </c>
      <c r="C20" s="7" t="inlineStr">
        <is>
          <t>障がい者手帳所持者数（身体・療育・精神）の将来推計</t>
        </is>
      </c>
      <c r="D20" s="7" t="inlineStr">
        <is>
          <t>北塩原村_将来推計.xlsx（9シート。08_県との比較を追加）／骨子案修正版 第2章6</t>
        </is>
      </c>
      <c r="E20" s="29" t="inlineStr">
        <is>
          <t>村資料待ち</t>
        </is>
      </c>
      <c r="F20" s="11" t="n">
        <v>0.68</v>
      </c>
      <c r="G20" s="15" t="inlineStr">
        <is>
          <t>当社</t>
        </is>
      </c>
      <c r="H20" s="18" t="inlineStr">
        <is>
          <t>2026-10-31</t>
        </is>
      </c>
      <c r="I20" s="7" t="inlineStr">
        <is>
          <t>現行計画本編の受領により年齢3区分別人口5年分が判明し、所持率の推移を算定できた。630調査により福島県の精神手帳所持者数の推移（令和5年度18,002人→令和7年度19,107人）を把握し、方法B（所持率一定）が精神で成り立たないことの傍証を得た。県の交付件数の年齢構成を村に当てはめる代替推計は、交付件数が新規交付のみで所持者の年齢構成と異なるため採用しない。方法Cには引き続き村の年齢階級別所持者数が必要</t>
        </is>
      </c>
    </row>
    <row r="21" ht="42" customHeight="1">
      <c r="A21" s="9" t="inlineStr">
        <is>
          <t>Ⅱ 計画策定業務</t>
        </is>
      </c>
      <c r="B21" s="16" t="inlineStr">
        <is>
          <t>Ⅱ(3)②</t>
        </is>
      </c>
      <c r="C21" s="9" t="inlineStr">
        <is>
          <t>障がい福祉サービス（介護給付・訓練等給付）の見込量の推計</t>
        </is>
      </c>
      <c r="D21" s="9" t="inlineStr">
        <is>
          <t>北塩原村_サービス見込量.xlsx（03_積上げ_障害福祉サービス）／骨子案修正版 第5章1</t>
        </is>
      </c>
      <c r="E21" s="29" t="inlineStr">
        <is>
          <t>村資料待ち</t>
        </is>
      </c>
      <c r="F21" s="13" t="n">
        <v>0.35</v>
      </c>
      <c r="G21" s="16" t="inlineStr">
        <is>
          <t>当社</t>
        </is>
      </c>
      <c r="H21" s="19" t="inlineStr">
        <is>
          <t>2026-10-31</t>
        </is>
      </c>
      <c r="I21" s="9" t="inlineStr">
        <is>
          <t>年齢別・サービス別の匿名利用者一覧と支給決定者数（実人数）を受領する</t>
        </is>
      </c>
    </row>
    <row r="22" ht="42" customHeight="1">
      <c r="A22" s="7" t="inlineStr">
        <is>
          <t>Ⅱ 計画策定業務</t>
        </is>
      </c>
      <c r="B22" s="15" t="inlineStr">
        <is>
          <t>Ⅱ(3)③</t>
        </is>
      </c>
      <c r="C22" s="7" t="inlineStr">
        <is>
          <t>障がい児通所支援等の見込量の推計</t>
        </is>
      </c>
      <c r="D22" s="7" t="inlineStr">
        <is>
          <t>北塩原村_サービス見込量.xlsx（04_積上げ_障害児通所支援）</t>
        </is>
      </c>
      <c r="E22" s="29" t="inlineStr">
        <is>
          <t>村資料待ち</t>
        </is>
      </c>
      <c r="F22" s="11" t="n">
        <v>0.35</v>
      </c>
      <c r="G22" s="15" t="inlineStr">
        <is>
          <t>当社</t>
        </is>
      </c>
      <c r="H22" s="18" t="inlineStr">
        <is>
          <t>2026-10-31</t>
        </is>
      </c>
      <c r="I22" s="7" t="inlineStr">
        <is>
          <t>利用児童の学年と就学予定年度、令和6・7年度の給付費変動理由を確認する</t>
        </is>
      </c>
    </row>
    <row r="23" ht="42" customHeight="1">
      <c r="A23" s="9" t="inlineStr">
        <is>
          <t>Ⅱ 計画策定業務</t>
        </is>
      </c>
      <c r="B23" s="16" t="inlineStr">
        <is>
          <t>Ⅱ(3)④</t>
        </is>
      </c>
      <c r="C23" s="9" t="inlineStr">
        <is>
          <t>地域生活支援事業の見込量の推計</t>
        </is>
      </c>
      <c r="D23" s="9" t="inlineStr">
        <is>
          <t>北塩原村_地域生活支援事業.xlsx（4シート）／骨子案修正版 第5章9「事業ごとの実施に関する考え方」</t>
        </is>
      </c>
      <c r="E23" s="27" t="inlineStr">
        <is>
          <t>作業中</t>
        </is>
      </c>
      <c r="F23" s="13" t="n">
        <v>0.55</v>
      </c>
      <c r="G23" s="16" t="inlineStr">
        <is>
          <t>当社</t>
        </is>
      </c>
      <c r="H23" s="19" t="inlineStr">
        <is>
          <t>2026-10-31</t>
        </is>
      </c>
      <c r="I23" s="9" t="inlineStr">
        <is>
          <t>告示第三の二の3が定める4事項との対応を確認し、不足していた「事業ごとの実施に関する考え方」を計画本文に追加。移動支援0人の理由、福祉ホームの実績と見込の逆転、見込量表に行がない2事業（法人後見支援・手話奉仕員養成研修）の扱いを村へ確認する。事業別の事業費・補助額・村負担額も未受領</t>
        </is>
      </c>
    </row>
    <row r="24" ht="42" customHeight="1">
      <c r="A24" s="7" t="inlineStr">
        <is>
          <t>Ⅱ 計画策定業務</t>
        </is>
      </c>
      <c r="B24" s="15" t="inlineStr">
        <is>
          <t>Ⅱ(3)⑤</t>
        </is>
      </c>
      <c r="C24" s="7" t="inlineStr">
        <is>
          <t>成果目標及び活動指標の設定</t>
        </is>
      </c>
      <c r="D24" s="7" t="inlineStr">
        <is>
          <t>骨子案修正版 第4章（成果目標8項目）・第5章10（活動指標）／北塩原村_活動指標.xlsx（4シート）</t>
        </is>
      </c>
      <c r="E24" s="27" t="inlineStr">
        <is>
          <t>作業中</t>
        </is>
      </c>
      <c r="F24" s="11" t="n">
        <v>0.7</v>
      </c>
      <c r="G24" s="15" t="inlineStr">
        <is>
          <t>当社</t>
        </is>
      </c>
      <c r="H24" s="18" t="inlineStr">
        <is>
          <t>2026-10-31</t>
        </is>
      </c>
      <c r="I24" s="7" t="inlineStr">
        <is>
          <t>活動指標は骨子案に節・表がなく未着手だったが、告示別表第一の83項目から本村分65項目を抽出し、必須33（サービスの見込量に相当）と任意（第三の四㈡）を区分した上で第5章10として新設。成果目標は令和7年度末の施設入所者数等の基準値を受領するまで数値が確定しない</t>
        </is>
      </c>
    </row>
    <row r="25" ht="42" customHeight="1">
      <c r="A25" s="9" t="inlineStr">
        <is>
          <t>Ⅱ 計画策定業務</t>
        </is>
      </c>
      <c r="B25" s="16" t="inlineStr">
        <is>
          <t>Ⅱ(4)</t>
        </is>
      </c>
      <c r="C25" s="9" t="inlineStr">
        <is>
          <t>現行計画の成果と課題を踏まえた障がい者福祉施策の検討</t>
        </is>
      </c>
      <c r="D25" s="9" t="inlineStr">
        <is>
          <t>骨子案修正版 第3章（再構成済み）／北塩原村_現行計画評価.xlsx（03・06）</t>
        </is>
      </c>
      <c r="E25" s="25" t="inlineStr">
        <is>
          <t>概ね完了</t>
        </is>
      </c>
      <c r="F25" s="13" t="n">
        <v>0.85</v>
      </c>
      <c r="G25" s="16" t="inlineStr">
        <is>
          <t>当社</t>
        </is>
      </c>
      <c r="H25" s="19" t="inlineStr">
        <is>
          <t>2026-11-30</t>
        </is>
      </c>
      <c r="I25" s="9" t="inlineStr">
        <is>
          <t>第3章を「計画の基本理念・基本目標及び施策体系」へ再構成し、第8期で加わる視点と施策体系の対応表を新設。中間年評価の実績値の反映が残る</t>
        </is>
      </c>
    </row>
    <row r="26" ht="42" customHeight="1">
      <c r="A26" s="7" t="inlineStr">
        <is>
          <t>Ⅱ 計画策定業務</t>
        </is>
      </c>
      <c r="B26" s="15" t="inlineStr">
        <is>
          <t>Ⅱ(5)</t>
        </is>
      </c>
      <c r="C26" s="7" t="inlineStr">
        <is>
          <t>計画案の検討・作成（8事項）。国基本指針・県計画・村関連計画との整合。</t>
        </is>
      </c>
      <c r="D26" s="7" t="inlineStr">
        <is>
          <t>骨子案修正版（全8章。第2章6・第3章・第5章1・2・11を新設又は再構成）</t>
        </is>
      </c>
      <c r="E26" s="27" t="inlineStr">
        <is>
          <t>作業中</t>
        </is>
      </c>
      <c r="F26" s="11" t="n">
        <v>0.7</v>
      </c>
      <c r="G26" s="15" t="inlineStr">
        <is>
          <t>当社</t>
        </is>
      </c>
      <c r="H26" s="18" t="inlineStr">
        <is>
          <t>2026-12-31</t>
        </is>
      </c>
      <c r="I26" s="7" t="inlineStr">
        <is>
          <t>8事項のうち①基本理念・基本目標と②施策体系を第3章で措置済み。③〜⑦は村資料の受領後に数値を確定する。⑧推進体制は第1章6</t>
        </is>
      </c>
    </row>
    <row r="27" ht="42" customHeight="1">
      <c r="A27" s="9" t="inlineStr">
        <is>
          <t>Ⅱ 計画策定業務</t>
        </is>
      </c>
      <c r="B27" s="16" t="inlineStr">
        <is>
          <t>Ⅱ(6)</t>
        </is>
      </c>
      <c r="C27" s="9" t="inlineStr">
        <is>
          <t>自立支援協議会での審議、パブリックコメントを経た計画書の最終取りまとめ</t>
        </is>
      </c>
      <c r="D27" s="9" t="inlineStr">
        <is>
          <t>―</t>
        </is>
      </c>
      <c r="E27" s="26" t="inlineStr">
        <is>
          <t>未着手</t>
        </is>
      </c>
      <c r="F27" s="13" t="n">
        <v>0</v>
      </c>
      <c r="G27" s="16" t="inlineStr">
        <is>
          <t>当社</t>
        </is>
      </c>
      <c r="H27" s="19" t="inlineStr">
        <is>
          <t>2027-03-15</t>
        </is>
      </c>
      <c r="I27" s="9" t="inlineStr">
        <is>
          <t>協議会・パブコメの実施後</t>
        </is>
      </c>
    </row>
    <row r="28" ht="42" customHeight="1">
      <c r="A28" s="7" t="inlineStr">
        <is>
          <t>Ⅱ 計画策定業務</t>
        </is>
      </c>
      <c r="B28" s="15" t="inlineStr">
        <is>
          <t>Ⅱ(7)</t>
        </is>
      </c>
      <c r="C28" s="7" t="inlineStr">
        <is>
          <t>計画策定委員会の支援（会議資料の作成、会議への出席、会議記録の作成）。協議会の開催は村</t>
        </is>
      </c>
      <c r="D28" s="7" t="inlineStr">
        <is>
          <t>output/会議資料/（協議会資料1・2・8、庁議資料2・4の5点を作成済み）／北塩原村_協議会等資料_構成案.md（協議会9資料・庁議4資料・パブコメ資料の構成と論点）</t>
        </is>
      </c>
      <c r="E28" s="27" t="inlineStr">
        <is>
          <t>作業中</t>
        </is>
      </c>
      <c r="F28" s="11" t="n">
        <v>0.45</v>
      </c>
      <c r="G28" s="15" t="inlineStr">
        <is>
          <t>当社</t>
        </is>
      </c>
      <c r="H28" s="18" t="inlineStr">
        <is>
          <t>2026-12-31</t>
        </is>
      </c>
      <c r="I28" s="7" t="inlineStr">
        <is>
          <t>村資料に依存しない5資料を作成済み。残る資料3〜7・9は村資料の受領後に作成する。協議会が令和8年12月の1回のみで第8期の審議事項を賄えるか、2回への分割を村と協議する。開催日の確定後、会議記録の様式（「計画への反映」欄を設ける案）を村と合意する</t>
        </is>
      </c>
    </row>
    <row r="29">
      <c r="A29" s="20" t="inlineStr">
        <is>
          <t>Ⅱ 計画策定業務　小計</t>
        </is>
      </c>
      <c r="B29" s="21" t="inlineStr"/>
      <c r="C29" s="20" t="inlineStr"/>
      <c r="D29" s="21" t="inlineStr">
        <is>
          <t>11項目</t>
        </is>
      </c>
      <c r="E29" s="21" t="inlineStr"/>
      <c r="F29" s="22">
        <f>AVERAGE(F18:F28)</f>
        <v/>
      </c>
      <c r="G29" s="21" t="inlineStr"/>
      <c r="H29" s="21" t="inlineStr"/>
      <c r="I29" s="20" t="inlineStr"/>
    </row>
    <row r="30" ht="42" customHeight="1">
      <c r="A30" s="7" t="inlineStr">
        <is>
          <t>Ⅲ 打合せ等業務</t>
        </is>
      </c>
      <c r="B30" s="15" t="inlineStr">
        <is>
          <t>Ⅲ</t>
        </is>
      </c>
      <c r="C30" s="7" t="inlineStr">
        <is>
          <t>計画策定業務実施中の電話及び面談（オンライン・対面）による打合せ</t>
        </is>
      </c>
      <c r="D30" s="7" t="inlineStr">
        <is>
          <t>令和8年7月7日 打合せ（村役場）実施済／議事録作成済</t>
        </is>
      </c>
      <c r="E30" s="8" t="inlineStr">
        <is>
          <t>継続実施</t>
        </is>
      </c>
      <c r="F30" s="11" t="n">
        <v>0.4</v>
      </c>
      <c r="G30" s="15" t="inlineStr">
        <is>
          <t>当社</t>
        </is>
      </c>
      <c r="H30" s="18" t="inlineStr">
        <is>
          <t>2027-03-31</t>
        </is>
      </c>
      <c r="I30" s="7" t="inlineStr">
        <is>
          <t>次回打合せの設定。アンケート発送前の確認事項（印刷仕様・郵送費・ラベル）を議題とする</t>
        </is>
      </c>
    </row>
    <row r="31">
      <c r="A31" s="20" t="inlineStr">
        <is>
          <t>Ⅲ 打合せ等業務　小計</t>
        </is>
      </c>
      <c r="B31" s="21" t="inlineStr"/>
      <c r="C31" s="20" t="inlineStr"/>
      <c r="D31" s="21" t="inlineStr">
        <is>
          <t>1項目</t>
        </is>
      </c>
      <c r="E31" s="21" t="inlineStr"/>
      <c r="F31" s="22">
        <f>AVERAGE(F30:F30)</f>
        <v/>
      </c>
      <c r="G31" s="21" t="inlineStr"/>
      <c r="H31" s="21" t="inlineStr"/>
      <c r="I31" s="20" t="inlineStr"/>
    </row>
    <row r="32" ht="42" customHeight="1">
      <c r="A32" s="7" t="inlineStr">
        <is>
          <t>成果品</t>
        </is>
      </c>
      <c r="B32" s="15" t="inlineStr">
        <is>
          <t>成果品①</t>
        </is>
      </c>
      <c r="C32" s="7" t="inlineStr">
        <is>
          <t>障がい福祉計画書　A4判・両面約60頁・モノクロ・コピー・くるみ製本　30部</t>
        </is>
      </c>
      <c r="D32" s="7" t="inlineStr">
        <is>
          <t>骨子案修正版（本文約45頁）／分量配分計画（docs・進捗管理08）</t>
        </is>
      </c>
      <c r="E32" s="27" t="inlineStr">
        <is>
          <t>作業中</t>
        </is>
      </c>
      <c r="F32" s="11" t="n">
        <v>0.45</v>
      </c>
      <c r="G32" s="15" t="inlineStr">
        <is>
          <t>当社</t>
        </is>
      </c>
      <c r="H32" s="18" t="inlineStr">
        <is>
          <t>2027-03-31</t>
        </is>
      </c>
      <c r="I32" s="7" t="inlineStr">
        <is>
          <t>現行計画63頁の章別配分を基準に、章ごとの目標頁数を設定済み（合計60頁）。現在の本文は注記を除き約45頁で15頁の余地がある。第5章に20頁を配分。第1章の原稿確定後に実組版で1頁あたりの文字数を実測し配分計画を補正する</t>
        </is>
      </c>
    </row>
    <row r="33" ht="42" customHeight="1">
      <c r="A33" s="9" t="inlineStr">
        <is>
          <t>成果品</t>
        </is>
      </c>
      <c r="B33" s="16" t="inlineStr">
        <is>
          <t>成果品②</t>
        </is>
      </c>
      <c r="C33" s="9" t="inlineStr">
        <is>
          <t>アンケート調査報告書　A4判・両面約60頁・モノクロ・コピー・ホチキス製本　10部</t>
        </is>
      </c>
      <c r="D33" s="9" t="inlineStr">
        <is>
          <t>―</t>
        </is>
      </c>
      <c r="E33" s="26" t="inlineStr">
        <is>
          <t>未着手</t>
        </is>
      </c>
      <c r="F33" s="13" t="n">
        <v>0</v>
      </c>
      <c r="G33" s="16" t="inlineStr">
        <is>
          <t>当社</t>
        </is>
      </c>
      <c r="H33" s="19" t="inlineStr">
        <is>
          <t>2027-03-31</t>
        </is>
      </c>
      <c r="I33" s="9" t="inlineStr">
        <is>
          <t>集計完了後に着手</t>
        </is>
      </c>
    </row>
    <row r="34" ht="42" customHeight="1">
      <c r="A34" s="7" t="inlineStr">
        <is>
          <t>成果品</t>
        </is>
      </c>
      <c r="B34" s="15" t="inlineStr">
        <is>
          <t>成果品③</t>
        </is>
      </c>
      <c r="C34" s="7" t="inlineStr">
        <is>
          <t>成果品及び関連データを収録した電子媒体（Word・Excel・PowerPoint・PDF等）CD-R等一式</t>
        </is>
      </c>
      <c r="D34" s="7" t="inlineStr">
        <is>
          <t>管理ブック4本（将来推計・サービス見込量・財源構成案・業務進捗管理）</t>
        </is>
      </c>
      <c r="E34" s="27" t="inlineStr">
        <is>
          <t>作業中</t>
        </is>
      </c>
      <c r="F34" s="11" t="n">
        <v>0.3</v>
      </c>
      <c r="G34" s="15" t="inlineStr">
        <is>
          <t>当社</t>
        </is>
      </c>
      <c r="H34" s="18" t="inlineStr">
        <is>
          <t>2027-03-31</t>
        </is>
      </c>
      <c r="I34" s="7" t="inlineStr">
        <is>
          <t>納品時の収録範囲を確定する。管理ブックを収録対象とするか村と確認</t>
        </is>
      </c>
    </row>
    <row r="35">
      <c r="A35" s="20" t="inlineStr">
        <is>
          <t>成果品　小計</t>
        </is>
      </c>
      <c r="B35" s="21" t="inlineStr"/>
      <c r="C35" s="20" t="inlineStr"/>
      <c r="D35" s="21" t="inlineStr">
        <is>
          <t>3項目</t>
        </is>
      </c>
      <c r="E35" s="21" t="inlineStr"/>
      <c r="F35" s="22">
        <f>AVERAGE(F32:F34)</f>
        <v/>
      </c>
      <c r="G35" s="21" t="inlineStr"/>
      <c r="H35" s="21" t="inlineStr"/>
      <c r="I35" s="20" t="inlineStr"/>
    </row>
    <row r="36" ht="42" customHeight="1">
      <c r="A36" s="7" t="inlineStr">
        <is>
          <t>契約管理</t>
        </is>
      </c>
      <c r="B36" s="15" t="inlineStr">
        <is>
          <t>管理1</t>
        </is>
      </c>
      <c r="C36" s="7" t="inlineStr">
        <is>
          <t>印刷仕様の差異（仕様書：A4判・約24ページ・黒1色の1種類）</t>
        </is>
      </c>
      <c r="D36" s="7" t="inlineStr">
        <is>
          <t>0728版は障がい者版34ページ・障がい児版37ページの2種類</t>
        </is>
      </c>
      <c r="E36" s="28" t="inlineStr">
        <is>
          <t>要協議</t>
        </is>
      </c>
      <c r="F36" s="11" t="n">
        <v>0</v>
      </c>
      <c r="G36" s="15" t="inlineStr">
        <is>
          <t>当社／北塩原村</t>
        </is>
      </c>
      <c r="H36" s="18" t="inlineStr">
        <is>
          <t>2026-08-05</t>
        </is>
      </c>
      <c r="I36" s="7" t="inlineStr">
        <is>
          <t>ページ数・種類数・部数・単価の取扱いを村と協議し、結果を記録する</t>
        </is>
      </c>
    </row>
    <row r="37" ht="42" customHeight="1">
      <c r="A37" s="9" t="inlineStr">
        <is>
          <t>契約管理</t>
        </is>
      </c>
      <c r="B37" s="16" t="inlineStr">
        <is>
          <t>管理2</t>
        </is>
      </c>
      <c r="C37" s="9" t="inlineStr">
        <is>
          <t>郵送費の負担（仕様書：発送及び回収に係る費用は受託者の負担）</t>
        </is>
      </c>
      <c r="D37" s="9" t="inlineStr">
        <is>
          <t>7/7打合せ：郵便料金は村が郵便局へ立替え、後日実費を当社へ請求・精算する方向</t>
        </is>
      </c>
      <c r="E37" s="28" t="inlineStr">
        <is>
          <t>要協議</t>
        </is>
      </c>
      <c r="F37" s="13" t="n">
        <v>0.2</v>
      </c>
      <c r="G37" s="16" t="inlineStr">
        <is>
          <t>当社／北塩原村</t>
        </is>
      </c>
      <c r="H37" s="19" t="inlineStr">
        <is>
          <t>2026-08-05</t>
        </is>
      </c>
      <c r="I37" s="9" t="inlineStr">
        <is>
          <t>精算方法・範囲・上限を書面で確認する</t>
        </is>
      </c>
    </row>
    <row r="38" ht="42" customHeight="1">
      <c r="A38" s="7" t="inlineStr">
        <is>
          <t>契約管理</t>
        </is>
      </c>
      <c r="B38" s="15" t="inlineStr">
        <is>
          <t>管理3</t>
        </is>
      </c>
      <c r="C38" s="7" t="inlineStr">
        <is>
          <t>発送・回収の運用変更（村封筒使用、村役場一括受領、窓口回収）</t>
        </is>
      </c>
      <c r="D38" s="7" t="inlineStr">
        <is>
          <t>7/7議事録に記載済</t>
        </is>
      </c>
      <c r="E38" s="27" t="inlineStr">
        <is>
          <t>作業中</t>
        </is>
      </c>
      <c r="F38" s="11" t="n">
        <v>0.5</v>
      </c>
      <c r="G38" s="15" t="inlineStr">
        <is>
          <t>当社／北塩原村</t>
        </is>
      </c>
      <c r="H38" s="18" t="inlineStr">
        <is>
          <t>2026-08-05</t>
        </is>
      </c>
      <c r="I38" s="7" t="inlineStr">
        <is>
          <t>仕様書Ⅰ(4)との差異として記録化し、受渡し日程・記録方法・個人情報の受渡し手順を取り決める</t>
        </is>
      </c>
    </row>
    <row r="39" ht="42" customHeight="1">
      <c r="A39" s="9" t="inlineStr">
        <is>
          <t>契約管理</t>
        </is>
      </c>
      <c r="B39" s="16" t="inlineStr">
        <is>
          <t>管理4</t>
        </is>
      </c>
      <c r="C39" s="9" t="inlineStr">
        <is>
          <t>追加業務の位置づけ（補足ヒアリング調査、財政負担の可視化）</t>
        </is>
      </c>
      <c r="D39" s="9" t="inlineStr">
        <is>
          <t>7/7議事録に記載。財政負担は財源構成案ブックで対応中</t>
        </is>
      </c>
      <c r="E39" s="28" t="inlineStr">
        <is>
          <t>要協議</t>
        </is>
      </c>
      <c r="F39" s="13" t="n">
        <v>0.3</v>
      </c>
      <c r="G39" s="16" t="inlineStr">
        <is>
          <t>当社</t>
        </is>
      </c>
      <c r="H39" s="19" t="inlineStr">
        <is>
          <t>2026-09-30</t>
        </is>
      </c>
      <c r="I39" s="9" t="inlineStr">
        <is>
          <t>仕様書に明示のない業務のため、範囲・工数・対象機関を整理して協議する</t>
        </is>
      </c>
    </row>
    <row r="40" ht="42" customHeight="1">
      <c r="A40" s="7" t="inlineStr">
        <is>
          <t>契約管理</t>
        </is>
      </c>
      <c r="B40" s="15" t="inlineStr">
        <is>
          <t>管理5</t>
        </is>
      </c>
      <c r="C40" s="7" t="inlineStr">
        <is>
          <t>対象者数の確定（仕様書 約190人 と 現行計画 156人 の差）</t>
        </is>
      </c>
      <c r="D40" s="7" t="inlineStr">
        <is>
          <t>将来推計.xlsx 04_推計の不確実性 に突合表</t>
        </is>
      </c>
      <c r="E40" s="29" t="inlineStr">
        <is>
          <t>村資料待ち</t>
        </is>
      </c>
      <c r="F40" s="11" t="n">
        <v>0.1</v>
      </c>
      <c r="G40" s="15" t="inlineStr">
        <is>
          <t>北塩原村</t>
        </is>
      </c>
      <c r="H40" s="18" t="inlineStr">
        <is>
          <t>2026-08-05</t>
        </is>
      </c>
      <c r="I40" s="7" t="inlineStr">
        <is>
          <t>回収率の分母・集計母数・管理番号設計に直結する。発送前に確定が必要</t>
        </is>
      </c>
    </row>
    <row r="41" ht="42" customHeight="1">
      <c r="A41" s="9" t="inlineStr">
        <is>
          <t>契約管理</t>
        </is>
      </c>
      <c r="B41" s="16" t="inlineStr">
        <is>
          <t>管理6</t>
        </is>
      </c>
      <c r="C41" s="9" t="inlineStr">
        <is>
          <t>計画書の編集所管課の表記（仕様書：保健福祉課福祉係／骨子案奥付：住民課）</t>
        </is>
      </c>
      <c r="D41" s="9" t="inlineStr">
        <is>
          <t>骨子案修正版の奥付を「保健福祉課福祉係」に確定</t>
        </is>
      </c>
      <c r="E41" s="30" t="inlineStr">
        <is>
          <t>完了</t>
        </is>
      </c>
      <c r="F41" s="13" t="n">
        <v>1</v>
      </c>
      <c r="G41" s="16" t="inlineStr">
        <is>
          <t>北塩原村</t>
        </is>
      </c>
      <c r="H41" s="19" t="inlineStr">
        <is>
          <t>2026-08-14</t>
        </is>
      </c>
      <c r="I41" s="9" t="inlineStr">
        <is>
          <t>令和8年8月の調査票修正指示で、問合せ先が「医療福祉班」から「保健福祉課 福祉係」に修正されたことにより確定。現行計画が障がい者相談支援事業の実施主体を住民課としている記載は組織改編前のものとして整理する</t>
        </is>
      </c>
    </row>
    <row r="42" ht="42" customHeight="1">
      <c r="A42" s="7" t="inlineStr">
        <is>
          <t>契約管理</t>
        </is>
      </c>
      <c r="B42" s="15" t="inlineStr">
        <is>
          <t>管理7</t>
        </is>
      </c>
      <c r="C42" s="7" t="inlineStr">
        <is>
          <t>守秘義務・再委託の禁止・契約約款の遵守</t>
        </is>
      </c>
      <c r="D42" s="7" t="inlineStr">
        <is>
          <t>仕様書6。個人情報を含む資料は内部管理とし、公表用報告書と分離</t>
        </is>
      </c>
      <c r="E42" s="8" t="inlineStr">
        <is>
          <t>継続実施</t>
        </is>
      </c>
      <c r="F42" s="11" t="n">
        <v>0.5</v>
      </c>
      <c r="G42" s="15" t="inlineStr">
        <is>
          <t>当社</t>
        </is>
      </c>
      <c r="H42" s="18" t="inlineStr">
        <is>
          <t>2027-03-31</t>
        </is>
      </c>
      <c r="I42" s="7" t="inlineStr">
        <is>
          <t>アンケート回収物の受渡し手順、匿名利用者一覧の取扱いを明文化する</t>
        </is>
      </c>
    </row>
    <row r="43">
      <c r="A43" s="20" t="inlineStr">
        <is>
          <t>契約管理　小計</t>
        </is>
      </c>
      <c r="B43" s="21" t="inlineStr"/>
      <c r="C43" s="20" t="inlineStr"/>
      <c r="D43" s="21" t="inlineStr">
        <is>
          <t>7項目</t>
        </is>
      </c>
      <c r="E43" s="21" t="inlineStr"/>
      <c r="F43" s="22">
        <f>AVERAGE(F36:F42)</f>
        <v/>
      </c>
      <c r="G43" s="21" t="inlineStr"/>
      <c r="H43" s="21" t="inlineStr"/>
      <c r="I43" s="20" t="inlineStr"/>
    </row>
    <row r="45" ht="40" customHeight="1">
      <c r="A45" s="2" t="inlineStr">
        <is>
          <t>全33項目・平均進捗率 41%。データは build_kitashiobara_progress.py の SPEC_ITEMS と同一で、北塩原村_業務進捗管理.xlsx と食い違いません。状態が「村資料待ち」「要協議」「村側作業」の項目は当方だけでは進められません。</t>
        </is>
      </c>
    </row>
  </sheetData>
  <autoFilter ref="A5:I43"/>
  <mergeCells count="3">
    <mergeCell ref="A1:I1"/>
    <mergeCell ref="A45:I45"/>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14" customWidth="1" min="3" max="3"/>
    <col width="44" customWidth="1" min="4" max="4"/>
    <col width="20" customWidth="1" min="5" max="5"/>
    <col width="12" customWidth="1" min="6" max="6"/>
    <col width="44" customWidth="1" min="7" max="7"/>
  </cols>
  <sheetData>
    <row r="1" ht="30" customHeight="1">
      <c r="A1" s="1" t="inlineStr">
        <is>
          <t>工程表（2計画）</t>
        </is>
      </c>
    </row>
    <row r="2" ht="30" customHeight="1">
      <c r="A2" s="2" t="inlineStr">
        <is>
          <t>障害は令和8年7月7日打合せの工程案。高齢者は仕様書未受領のため、介護保険事業計画の一般的な策定サイクルから逆算した目安を灰色で置いています。</t>
        </is>
      </c>
    </row>
    <row r="5" ht="30" customHeight="1">
      <c r="A5" s="4" t="inlineStr">
        <is>
          <t>分野</t>
        </is>
      </c>
      <c r="B5" s="4" t="inlineStr">
        <is>
          <t>開始</t>
        </is>
      </c>
      <c r="C5" s="4" t="inlineStr">
        <is>
          <t>終了</t>
        </is>
      </c>
      <c r="D5" s="4" t="inlineStr">
        <is>
          <t>工程</t>
        </is>
      </c>
      <c r="E5" s="4" t="inlineStr">
        <is>
          <t>担当</t>
        </is>
      </c>
      <c r="F5" s="4" t="inlineStr">
        <is>
          <t>状態</t>
        </is>
      </c>
      <c r="G5" s="4" t="inlineStr">
        <is>
          <t>備考</t>
        </is>
      </c>
    </row>
    <row r="6">
      <c r="A6" s="6" t="inlineStr">
        <is>
          <t>障害</t>
        </is>
      </c>
      <c r="B6" s="18" t="inlineStr">
        <is>
          <t>2026-08-05</t>
        </is>
      </c>
      <c r="C6" s="18" t="inlineStr">
        <is>
          <t>2026-08-10</t>
        </is>
      </c>
      <c r="D6" s="7" t="inlineStr">
        <is>
          <t>アンケート印刷・封入・発送準備</t>
        </is>
      </c>
      <c r="E6" s="7" t="inlineStr">
        <is>
          <t>当社／北塩原村</t>
        </is>
      </c>
      <c r="F6" s="27" t="inlineStr">
        <is>
          <t>作業中</t>
        </is>
      </c>
      <c r="G6" s="7" t="inlineStr">
        <is>
          <t>印刷仕様の協議、村ラベルの受領、村封筒の手配がすべて前提。現在すべて未了</t>
        </is>
      </c>
    </row>
    <row r="7">
      <c r="A7" s="6" t="inlineStr">
        <is>
          <t>障害</t>
        </is>
      </c>
      <c r="B7" s="19" t="inlineStr">
        <is>
          <t>2026-08-10</t>
        </is>
      </c>
      <c r="C7" s="19" t="inlineStr">
        <is>
          <t>2026-09-10</t>
        </is>
      </c>
      <c r="D7" s="9" t="inlineStr">
        <is>
          <t>アンケート発送・回収（約1か月の回収期間）、役場での受領保管</t>
        </is>
      </c>
      <c r="E7" s="9" t="inlineStr">
        <is>
          <t>北塩原村／当社</t>
        </is>
      </c>
      <c r="F7" s="26" t="inlineStr">
        <is>
          <t>未着手</t>
        </is>
      </c>
      <c r="G7" s="9" t="inlineStr">
        <is>
          <t>返送先は村役場。窓口での現地回収</t>
        </is>
      </c>
    </row>
    <row r="8">
      <c r="A8" s="6" t="inlineStr">
        <is>
          <t>障害</t>
        </is>
      </c>
      <c r="B8" s="18" t="inlineStr">
        <is>
          <t>2026-09-01</t>
        </is>
      </c>
      <c r="C8" s="18" t="inlineStr">
        <is>
          <t>2026-10-31</t>
        </is>
      </c>
      <c r="D8" s="7" t="inlineStr">
        <is>
          <t>データ入力、集計、実績・財源・施策評価の整合</t>
        </is>
      </c>
      <c r="E8" s="7" t="inlineStr">
        <is>
          <t>当社</t>
        </is>
      </c>
      <c r="F8" s="26" t="inlineStr">
        <is>
          <t>未着手</t>
        </is>
      </c>
      <c r="G8" s="7" t="inlineStr">
        <is>
          <t>厚労省の集計様式による入力。少数母数の公表基準を事前に合意</t>
        </is>
      </c>
    </row>
    <row r="9">
      <c r="A9" s="6" t="inlineStr">
        <is>
          <t>障害</t>
        </is>
      </c>
      <c r="B9" s="19" t="inlineStr">
        <is>
          <t>2026-09-01</t>
        </is>
      </c>
      <c r="C9" s="19" t="inlineStr">
        <is>
          <t>2026-10-31</t>
        </is>
      </c>
      <c r="D9" s="9" t="inlineStr">
        <is>
          <t>将来見込量・成果目標の算定とすり合わせ</t>
        </is>
      </c>
      <c r="E9" s="9" t="inlineStr">
        <is>
          <t>当社／北塩原村</t>
        </is>
      </c>
      <c r="F9" s="27" t="inlineStr">
        <is>
          <t>作業中</t>
        </is>
      </c>
      <c r="G9" s="9" t="inlineStr">
        <is>
          <t>個別積上げ方式。年齢別・サービス別の利用者一覧が前提</t>
        </is>
      </c>
    </row>
    <row r="10">
      <c r="A10" s="6" t="inlineStr">
        <is>
          <t>障害</t>
        </is>
      </c>
      <c r="B10" s="18" t="inlineStr">
        <is>
          <t>2026-11-01</t>
        </is>
      </c>
      <c r="C10" s="18" t="inlineStr">
        <is>
          <t>2026-12-31</t>
        </is>
      </c>
      <c r="D10" s="7" t="inlineStr">
        <is>
          <t>計画骨子・素案の作成</t>
        </is>
      </c>
      <c r="E10" s="7" t="inlineStr">
        <is>
          <t>当社</t>
        </is>
      </c>
      <c r="F10" s="27" t="inlineStr">
        <is>
          <t>作業中</t>
        </is>
      </c>
      <c r="G10" s="7" t="inlineStr">
        <is>
          <t>骨子案修正版が原型。前倒しで進捗している</t>
        </is>
      </c>
    </row>
    <row r="11">
      <c r="A11" s="6" t="inlineStr">
        <is>
          <t>障害</t>
        </is>
      </c>
      <c r="B11" s="19" t="inlineStr">
        <is>
          <t>2026-12-01</t>
        </is>
      </c>
      <c r="C11" s="19" t="inlineStr">
        <is>
          <t>2026-12-31</t>
        </is>
      </c>
      <c r="D11" s="9" t="inlineStr">
        <is>
          <t>北塩原村障がい者自立支援協議会（年内1回）への提出・審議</t>
        </is>
      </c>
      <c r="E11" s="9" t="inlineStr">
        <is>
          <t>北塩原村／当社</t>
        </is>
      </c>
      <c r="F11" s="26" t="inlineStr">
        <is>
          <t>未着手</t>
        </is>
      </c>
      <c r="G11" s="9" t="inlineStr">
        <is>
          <t>報告・説明は村。受託者は資料作成・出席・記録作成</t>
        </is>
      </c>
    </row>
    <row r="12">
      <c r="A12" s="6" t="inlineStr">
        <is>
          <t>障害</t>
        </is>
      </c>
      <c r="B12" s="18" t="inlineStr">
        <is>
          <t>2027-01-01</t>
        </is>
      </c>
      <c r="C12" s="18" t="inlineStr">
        <is>
          <t>2027-02-28</t>
        </is>
      </c>
      <c r="D12" s="7" t="inlineStr">
        <is>
          <t>計画原案の修正・提示、パブリックコメントの実施、庁内確認</t>
        </is>
      </c>
      <c r="E12" s="7" t="inlineStr">
        <is>
          <t>北塩原村／当社</t>
        </is>
      </c>
      <c r="F12" s="26" t="inlineStr">
        <is>
          <t>未着手</t>
        </is>
      </c>
      <c r="G12" s="7" t="inlineStr">
        <is>
          <t>前回計画では2週間実施（令和6年2月9日〜23日）</t>
        </is>
      </c>
    </row>
    <row r="13">
      <c r="A13" s="6" t="inlineStr">
        <is>
          <t>障害</t>
        </is>
      </c>
      <c r="B13" s="19" t="inlineStr">
        <is>
          <t>2027-03-01</t>
        </is>
      </c>
      <c r="C13" s="19" t="inlineStr">
        <is>
          <t>2027-03-31</t>
        </is>
      </c>
      <c r="D13" s="9" t="inlineStr">
        <is>
          <t>最終修正、成果品の作成・納品</t>
        </is>
      </c>
      <c r="E13" s="9" t="inlineStr">
        <is>
          <t>当社</t>
        </is>
      </c>
      <c r="F13" s="26" t="inlineStr">
        <is>
          <t>未着手</t>
        </is>
      </c>
      <c r="G13" s="9" t="inlineStr">
        <is>
          <t>計画書30部、アンケート報告書10部、電子媒体一式</t>
        </is>
      </c>
    </row>
    <row r="15">
      <c r="A15" s="8" t="inlineStr">
        <is>
          <t>高齢者</t>
        </is>
      </c>
      <c r="B15" s="15" t="inlineStr">
        <is>
          <t>2026-09</t>
        </is>
      </c>
      <c r="C15" s="15" t="inlineStr">
        <is>
          <t>2026-11</t>
        </is>
      </c>
      <c r="D15" s="7" t="inlineStr">
        <is>
          <t>基礎調査・現行計画（第9期）の評価</t>
        </is>
      </c>
      <c r="E15" s="7" t="inlineStr">
        <is>
          <t>当社</t>
        </is>
      </c>
      <c r="F15" s="17" t="inlineStr">
        <is>
          <t>仕様書未受領</t>
        </is>
      </c>
      <c r="G15" s="7" t="inlineStr">
        <is>
          <t>基本指針の告示前に着手できる部分</t>
        </is>
      </c>
    </row>
    <row r="16">
      <c r="A16" s="8" t="inlineStr">
        <is>
          <t>高齢者</t>
        </is>
      </c>
      <c r="B16" s="16" t="inlineStr">
        <is>
          <t>2026-09</t>
        </is>
      </c>
      <c r="C16" s="16" t="inlineStr">
        <is>
          <t>2026-12</t>
        </is>
      </c>
      <c r="D16" s="9" t="inlineStr">
        <is>
          <t>実態調査（設計・印刷・発送・回収・集計）</t>
        </is>
      </c>
      <c r="E16" s="9" t="inlineStr">
        <is>
          <t>当社</t>
        </is>
      </c>
      <c r="F16" s="17" t="inlineStr">
        <is>
          <t>仕様書未受領</t>
        </is>
      </c>
      <c r="G16" s="9" t="inlineStr">
        <is>
          <t>国の標準調査票を用いる場合は設計工数が小さい</t>
        </is>
      </c>
    </row>
    <row r="17">
      <c r="A17" s="8" t="inlineStr">
        <is>
          <t>高齢者</t>
        </is>
      </c>
      <c r="B17" s="15" t="inlineStr">
        <is>
          <t>2026-12</t>
        </is>
      </c>
      <c r="C17" s="15" t="inlineStr">
        <is>
          <t>2027-02</t>
        </is>
      </c>
      <c r="D17" s="7" t="inlineStr">
        <is>
          <t>将来推計・サービス見込量の算定</t>
        </is>
      </c>
      <c r="E17" s="7" t="inlineStr">
        <is>
          <t>当社</t>
        </is>
      </c>
      <c r="F17" s="17" t="inlineStr">
        <is>
          <t>仕様書未受領</t>
        </is>
      </c>
      <c r="G17" s="7" t="inlineStr">
        <is>
          <t>地域包括ケア「見える化」システムを使用</t>
        </is>
      </c>
    </row>
    <row r="18">
      <c r="A18" s="8" t="inlineStr">
        <is>
          <t>高齢者</t>
        </is>
      </c>
      <c r="B18" s="16" t="inlineStr">
        <is>
          <t>2027-01</t>
        </is>
      </c>
      <c r="C18" s="16" t="inlineStr">
        <is>
          <t>2027-03</t>
        </is>
      </c>
      <c r="D18" s="9" t="inlineStr">
        <is>
          <t>介護保険料の算定</t>
        </is>
      </c>
      <c r="E18" s="9" t="inlineStr">
        <is>
          <t>当社</t>
        </is>
      </c>
      <c r="F18" s="17" t="inlineStr">
        <is>
          <t>仕様書未受領</t>
        </is>
      </c>
      <c r="G18" s="9" t="inlineStr">
        <is>
          <t>国の算定ワークシートの配布時期が工程を規定する</t>
        </is>
      </c>
    </row>
    <row r="19">
      <c r="A19" s="8" t="inlineStr">
        <is>
          <t>高齢者</t>
        </is>
      </c>
      <c r="B19" s="15" t="inlineStr">
        <is>
          <t>2027-01</t>
        </is>
      </c>
      <c r="C19" s="15" t="inlineStr">
        <is>
          <t>2027-02</t>
        </is>
      </c>
      <c r="D19" s="7" t="inlineStr">
        <is>
          <t>基本指針の告示を受けた計画内容の確定</t>
        </is>
      </c>
      <c r="E19" s="7" t="inlineStr">
        <is>
          <t>当社</t>
        </is>
      </c>
      <c r="F19" s="17" t="inlineStr">
        <is>
          <t>仕様書未受領</t>
        </is>
      </c>
      <c r="G19" s="7" t="inlineStr">
        <is>
          <t>第9期は令和6年1月に告示。第10期も同時期と見込まれる（要確認）</t>
        </is>
      </c>
    </row>
    <row r="20">
      <c r="A20" s="8" t="inlineStr">
        <is>
          <t>高齢者</t>
        </is>
      </c>
      <c r="B20" s="16" t="inlineStr">
        <is>
          <t>2027-02</t>
        </is>
      </c>
      <c r="C20" s="16" t="inlineStr">
        <is>
          <t>2027-03</t>
        </is>
      </c>
      <c r="D20" s="9" t="inlineStr">
        <is>
          <t>計画素案の作成・策定委員会</t>
        </is>
      </c>
      <c r="E20" s="9" t="inlineStr">
        <is>
          <t>当社／発注者</t>
        </is>
      </c>
      <c r="F20" s="17" t="inlineStr">
        <is>
          <t>仕様書未受領</t>
        </is>
      </c>
      <c r="G20" s="9" t="inlineStr">
        <is>
          <t>障害計画の協議会と時期が重なる</t>
        </is>
      </c>
    </row>
    <row r="21">
      <c r="A21" s="8" t="inlineStr">
        <is>
          <t>高齢者</t>
        </is>
      </c>
      <c r="B21" s="15" t="inlineStr">
        <is>
          <t>2027-03</t>
        </is>
      </c>
      <c r="C21" s="15" t="inlineStr">
        <is>
          <t>2027-04</t>
        </is>
      </c>
      <c r="D21" s="7" t="inlineStr">
        <is>
          <t>パブリックコメント</t>
        </is>
      </c>
      <c r="E21" s="7" t="inlineStr">
        <is>
          <t>発注者／当社</t>
        </is>
      </c>
      <c r="F21" s="17" t="inlineStr">
        <is>
          <t>仕様書未受領</t>
        </is>
      </c>
      <c r="G21" s="7" t="inlineStr">
        <is>
          <t>障害計画のパブコメと同時期</t>
        </is>
      </c>
    </row>
    <row r="22">
      <c r="A22" s="8" t="inlineStr">
        <is>
          <t>高齢者</t>
        </is>
      </c>
      <c r="B22" s="16" t="inlineStr">
        <is>
          <t>2027-04</t>
        </is>
      </c>
      <c r="C22" s="16" t="inlineStr">
        <is>
          <t>2027-06</t>
        </is>
      </c>
      <c r="D22" s="9" t="inlineStr">
        <is>
          <t>計画書の作成・納品</t>
        </is>
      </c>
      <c r="E22" s="9" t="inlineStr">
        <is>
          <t>当社</t>
        </is>
      </c>
      <c r="F22" s="17" t="inlineStr">
        <is>
          <t>仕様書未受領</t>
        </is>
      </c>
      <c r="G22" s="9" t="inlineStr">
        <is>
          <t>年度をまたぐ場合は契約年度の扱いを確認する</t>
        </is>
      </c>
    </row>
    <row r="24" ht="46" customHeight="1">
      <c r="A24" s="2" t="inlineStr">
        <is>
          <t>高齢者の日付は年月のみの目安であり、契約上の期限ではありません。介護保険事業計画は3年1期（介護保険法第117条）で、第9期が令和6〜8年度のため、次期は第10期＝令和9〜11年度となり、第8期障がい福祉計画と計画期間が一致します。策定委員会とパブリックコメントの時期が両計画で重なるため、資料作成と説明の負荷が令和9年2〜4月に集中します。</t>
        </is>
      </c>
    </row>
  </sheetData>
  <mergeCells count="3">
    <mergeCell ref="A24:G24"/>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4" customWidth="1" min="3" max="3"/>
    <col width="14" customWidth="1" min="4" max="4"/>
    <col width="14" customWidth="1" min="5" max="5"/>
    <col width="44" customWidth="1" min="6" max="6"/>
  </cols>
  <sheetData>
    <row r="1" ht="30" customHeight="1">
      <c r="A1" s="1" t="inlineStr">
        <is>
          <t>成果品一覧（2計画）</t>
        </is>
      </c>
    </row>
    <row r="2" ht="30" customHeight="1">
      <c r="A2" s="2" t="inlineStr">
        <is>
          <t>障害は仕様書5に明記された3点。高齢者は仕様書未受領のため、一般的な成果品の構成を置いています。</t>
        </is>
      </c>
    </row>
    <row r="5" ht="30" customHeight="1">
      <c r="A5" s="4" t="inlineStr">
        <is>
          <t>分野</t>
        </is>
      </c>
      <c r="B5" s="4" t="inlineStr">
        <is>
          <t>成果品</t>
        </is>
      </c>
      <c r="C5" s="4" t="inlineStr">
        <is>
          <t>仕様</t>
        </is>
      </c>
      <c r="D5" s="4" t="inlineStr">
        <is>
          <t>状態</t>
        </is>
      </c>
      <c r="E5" s="4" t="inlineStr">
        <is>
          <t>期限</t>
        </is>
      </c>
      <c r="F5" s="4" t="inlineStr">
        <is>
          <t>備考</t>
        </is>
      </c>
    </row>
    <row r="6" ht="34" customHeight="1">
      <c r="A6" s="6" t="inlineStr">
        <is>
          <t>障害</t>
        </is>
      </c>
      <c r="B6" s="7" t="inlineStr">
        <is>
          <t>①計画書</t>
        </is>
      </c>
      <c r="C6" s="7" t="inlineStr">
        <is>
          <t>A4判・両面 約60頁・モノクロ・コピー・くるみ製本　30部</t>
        </is>
      </c>
      <c r="D6" s="27" t="inlineStr">
        <is>
          <t>作業中</t>
        </is>
      </c>
      <c r="E6" s="18" t="inlineStr">
        <is>
          <t>2027-03-31</t>
        </is>
      </c>
      <c r="F6" s="7" t="inlineStr">
        <is>
          <t>骨子案修正版が原型。全8章＋新設5節。分量配分計画は 08 で管理（個別ブック）</t>
        </is>
      </c>
    </row>
    <row r="7" ht="34" customHeight="1">
      <c r="A7" s="6" t="inlineStr">
        <is>
          <t>障害</t>
        </is>
      </c>
      <c r="B7" s="9" t="inlineStr">
        <is>
          <t>②アンケート調査報告書</t>
        </is>
      </c>
      <c r="C7" s="9" t="inlineStr">
        <is>
          <t>A4判・両面 約60頁・モノクロ・コピー・ホチキス製本　10部</t>
        </is>
      </c>
      <c r="D7" s="26" t="inlineStr">
        <is>
          <t>未着手</t>
        </is>
      </c>
      <c r="E7" s="19" t="inlineStr">
        <is>
          <t>2027-03-31</t>
        </is>
      </c>
      <c r="F7" s="9" t="inlineStr">
        <is>
          <t>設問ごとにグラフを作成。集計後に着手</t>
        </is>
      </c>
    </row>
    <row r="8" ht="34" customHeight="1">
      <c r="A8" s="6" t="inlineStr">
        <is>
          <t>障害</t>
        </is>
      </c>
      <c r="B8" s="7" t="inlineStr">
        <is>
          <t>③電子媒体</t>
        </is>
      </c>
      <c r="C8" s="7" t="inlineStr">
        <is>
          <t>①②の電子データ一式</t>
        </is>
      </c>
      <c r="D8" s="26" t="inlineStr">
        <is>
          <t>未着手</t>
        </is>
      </c>
      <c r="E8" s="18" t="inlineStr">
        <is>
          <t>2027-03-31</t>
        </is>
      </c>
      <c r="F8" s="7" t="inlineStr">
        <is>
          <t>編集可能形式とPDFの別を確認する</t>
        </is>
      </c>
    </row>
    <row r="9" ht="34" customHeight="1">
      <c r="A9" s="8" t="inlineStr">
        <is>
          <t>高齢者</t>
        </is>
      </c>
      <c r="B9" s="9" t="inlineStr">
        <is>
          <t>①計画書</t>
        </is>
      </c>
      <c r="C9" s="9" t="inlineStr">
        <is>
          <t>【要確認】判型・頁数・色数・製本・部数</t>
        </is>
      </c>
      <c r="D9" s="17" t="inlineStr">
        <is>
          <t>仕様書未受領</t>
        </is>
      </c>
      <c r="E9" s="19" t="n"/>
      <c r="F9" s="9" t="inlineStr">
        <is>
          <t>介護保険事業計画と高齢者福祉計画の一体作成が通例</t>
        </is>
      </c>
    </row>
    <row r="10" ht="34" customHeight="1">
      <c r="A10" s="8" t="inlineStr">
        <is>
          <t>高齢者</t>
        </is>
      </c>
      <c r="B10" s="7" t="inlineStr">
        <is>
          <t>②実態調査報告書</t>
        </is>
      </c>
      <c r="C10" s="7" t="inlineStr">
        <is>
          <t>【要確認】判型・頁数・部数</t>
        </is>
      </c>
      <c r="D10" s="17" t="inlineStr">
        <is>
          <t>仕様書未受領</t>
        </is>
      </c>
      <c r="E10" s="18" t="n"/>
      <c r="F10" s="7" t="inlineStr">
        <is>
          <t>介護予防・日常生活圏域ニーズ調査と在宅介護実態調査を1冊にまとめるか別冊かを確認</t>
        </is>
      </c>
    </row>
    <row r="11" ht="34" customHeight="1">
      <c r="A11" s="8" t="inlineStr">
        <is>
          <t>高齢者</t>
        </is>
      </c>
      <c r="B11" s="9" t="inlineStr">
        <is>
          <t>③概要版</t>
        </is>
      </c>
      <c r="C11" s="9" t="inlineStr">
        <is>
          <t>【要確認】作成の要否</t>
        </is>
      </c>
      <c r="D11" s="17" t="inlineStr">
        <is>
          <t>仕様書未受領</t>
        </is>
      </c>
      <c r="E11" s="19" t="n"/>
      <c r="F11" s="9" t="inlineStr">
        <is>
          <t>介護保険事業計画では概要版・住民向けリーフレットを求められることがある</t>
        </is>
      </c>
    </row>
    <row r="12" ht="34" customHeight="1">
      <c r="A12" s="8" t="inlineStr">
        <is>
          <t>高齢者</t>
        </is>
      </c>
      <c r="B12" s="7" t="inlineStr">
        <is>
          <t>④電子媒体</t>
        </is>
      </c>
      <c r="C12" s="7" t="inlineStr">
        <is>
          <t>【要確認】</t>
        </is>
      </c>
      <c r="D12" s="17" t="inlineStr">
        <is>
          <t>仕様書未受領</t>
        </is>
      </c>
      <c r="E12" s="18" t="n"/>
      <c r="F12" s="7" t="inlineStr"/>
    </row>
    <row r="14" ht="40" customHeight="1">
      <c r="A14" s="2" t="inlineStr">
        <is>
          <t>障害①の計画書について、仕様書はアンケート調査を「A4判、約24ページ、黒1色」としていますが、現行の調査票は障がい者版17頁・障がい児版19頁です。印刷部数・郵送費の負担区分とあわせて村と協議中です（06 の R-2）。</t>
        </is>
      </c>
    </row>
  </sheetData>
  <mergeCells count="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50" customWidth="1" min="4" max="4"/>
    <col width="30" customWidth="1" min="5" max="5"/>
    <col width="12" customWidth="1" min="6" max="6"/>
    <col width="12" customWidth="1" min="7" max="7"/>
  </cols>
  <sheetData>
    <row r="1" ht="30" customHeight="1">
      <c r="A1" s="1" t="inlineStr">
        <is>
          <t>資料の受領状況（2計画）</t>
        </is>
      </c>
    </row>
    <row r="2" ht="30" customHeight="1">
      <c r="A2" s="2" t="inlineStr">
        <is>
          <t>計画分野ごとに、発注者から受領が必要な資料と受領状況を管理します。障害は 北塩原村_業務進捗管理.xlsx の 04 と同一データです。</t>
        </is>
      </c>
    </row>
    <row r="5" ht="30" customHeight="1">
      <c r="A5" s="4" t="inlineStr">
        <is>
          <t>分野</t>
        </is>
      </c>
      <c r="B5" s="4" t="inlineStr">
        <is>
          <t>優先度</t>
        </is>
      </c>
      <c r="C5" s="4" t="inlineStr">
        <is>
          <t>資料</t>
        </is>
      </c>
      <c r="D5" s="4" t="inlineStr">
        <is>
          <t>内容</t>
        </is>
      </c>
      <c r="E5" s="4" t="inlineStr">
        <is>
          <t>反映先</t>
        </is>
      </c>
      <c r="F5" s="4" t="inlineStr">
        <is>
          <t>状態</t>
        </is>
      </c>
      <c r="G5" s="4" t="inlineStr">
        <is>
          <t>希望期限</t>
        </is>
      </c>
    </row>
    <row r="6" ht="32" customHeight="1">
      <c r="A6" s="6" t="inlineStr">
        <is>
          <t>障害</t>
        </is>
      </c>
      <c r="B6" s="31" t="inlineStr">
        <is>
          <t>最優先</t>
        </is>
      </c>
      <c r="C6" s="7" t="inlineStr">
        <is>
          <t>本村の過疎区分（全部過疎／一部過疎／みなし過疎）</t>
        </is>
      </c>
      <c r="D6" s="7" t="inlineStr">
        <is>
          <t>【受領済み】福島県「県内の過疎・中山間地域の指定状況」（令和7年4月1日現在）。過疎法第2条により全域が過疎地域。県条例の中山間地域にも全域が該当</t>
        </is>
      </c>
      <c r="E6" s="7" t="inlineStr">
        <is>
          <t>サービス見込量 12_別表第五判定</t>
        </is>
      </c>
      <c r="F6" s="32" t="inlineStr">
        <is>
          <t>受領済</t>
        </is>
      </c>
      <c r="G6" s="18" t="inlineStr">
        <is>
          <t>2026-08-05</t>
        </is>
      </c>
    </row>
    <row r="7" ht="32" customHeight="1">
      <c r="A7" s="6" t="inlineStr">
        <is>
          <t>障害</t>
        </is>
      </c>
      <c r="B7" s="31" t="inlineStr">
        <is>
          <t>最優先</t>
        </is>
      </c>
      <c r="C7" s="9" t="inlineStr">
        <is>
          <t>村内3事業所の詳細</t>
        </is>
      </c>
      <c r="D7" s="9" t="inlineStr">
        <is>
          <t>ReMHRAD障害福祉資源で確認した居宅介護1・重度訪問介護1・生活介護1について、事業所名、指定年月、共生型サービスの指定の有無、受入可能人数、送迎範囲</t>
        </is>
      </c>
      <c r="E7" s="9" t="inlineStr">
        <is>
          <t>骨子案修正版 第5章8／サービス見込量 08</t>
        </is>
      </c>
      <c r="F7" s="31" t="inlineStr">
        <is>
          <t>未受領</t>
        </is>
      </c>
      <c r="G7" s="19" t="inlineStr">
        <is>
          <t>2026-09-30</t>
        </is>
      </c>
    </row>
    <row r="8" ht="32" customHeight="1">
      <c r="A8" s="6" t="inlineStr">
        <is>
          <t>障害</t>
        </is>
      </c>
      <c r="B8" s="33" t="inlineStr">
        <is>
          <t>高</t>
        </is>
      </c>
      <c r="C8" s="7" t="inlineStr">
        <is>
          <t>圏域事業所の制度活用状況</t>
        </is>
      </c>
      <c r="D8" s="7" t="inlineStr">
        <is>
          <t>共生型サービスの指定の有無、多機能型・従たる事業所の設置可能性、介護保険事業所（訪問介護・居宅介護支援）の居宅介護指定取得の意向</t>
        </is>
      </c>
      <c r="E8" s="7" t="inlineStr">
        <is>
          <t>骨子案修正版 第5章8／サービス見込量 08</t>
        </is>
      </c>
      <c r="F8" s="31" t="inlineStr">
        <is>
          <t>未受領</t>
        </is>
      </c>
      <c r="G8" s="18" t="inlineStr">
        <is>
          <t>2026-10-31</t>
        </is>
      </c>
    </row>
    <row r="9" ht="32" customHeight="1">
      <c r="A9" s="6" t="inlineStr">
        <is>
          <t>障害</t>
        </is>
      </c>
      <c r="B9" s="31" t="inlineStr">
        <is>
          <t>最優先</t>
        </is>
      </c>
      <c r="C9" s="9" t="inlineStr">
        <is>
          <t>令和7年度末時点の1年以上長期入院者の実数</t>
        </is>
      </c>
      <c r="D9" s="9" t="inlineStr">
        <is>
          <t>人数、年齢区分（65歳未満／65歳以上／75歳以上／40歳以上の認知症の別）、入院先、退院の可能性。現行計画の令和5年度5人が起点。村・会津保健所で確認。ReMHRADで把握できるのは入院期間を問わない在院患者数まで（R4:7人・R5:10人・R6:8人）で、1年以上の内訳と年齢区分は公表データからは得られない</t>
        </is>
      </c>
      <c r="E9" s="9" t="inlineStr">
        <is>
          <t>骨子案修正版 第4章(2)</t>
        </is>
      </c>
      <c r="F9" s="31" t="inlineStr">
        <is>
          <t>未受領</t>
        </is>
      </c>
      <c r="G9" s="19" t="inlineStr">
        <is>
          <t>2026-09-30</t>
        </is>
      </c>
    </row>
    <row r="10" ht="32" customHeight="1">
      <c r="A10" s="6" t="inlineStr">
        <is>
          <t>障害</t>
        </is>
      </c>
      <c r="B10" s="33" t="inlineStr">
        <is>
          <t>高</t>
        </is>
      </c>
      <c r="C10" s="7" t="inlineStr">
        <is>
          <t>福島県の長期入院患者に係る基盤整備量（利用者数）</t>
        </is>
      </c>
      <c r="D10" s="7" t="inlineStr">
        <is>
          <t>県が基本指針 別表第四の三の項の式により算定した令和11年度末の値。県第7期計画は一・二の項に相当する長期在院者数（R8末目標 65歳未満898人・65歳以上1,656人）のみ掲載し三の項は無いため、県への個別照会が必要</t>
        </is>
      </c>
      <c r="E10" s="7" t="inlineStr">
        <is>
          <t>骨子案修正版 第4章(2)</t>
        </is>
      </c>
      <c r="F10" s="34" t="inlineStr">
        <is>
          <t>県照会中</t>
        </is>
      </c>
      <c r="G10" s="18" t="inlineStr">
        <is>
          <t>2026-10-31</t>
        </is>
      </c>
    </row>
    <row r="11" ht="32" customHeight="1">
      <c r="A11" s="6" t="inlineStr">
        <is>
          <t>障害</t>
        </is>
      </c>
      <c r="B11" s="33" t="inlineStr">
        <is>
          <t>高</t>
        </is>
      </c>
      <c r="C11" s="9" t="inlineStr">
        <is>
          <t>令和6年度の一般就労移行実績・就労定着支援利用実績</t>
        </is>
      </c>
      <c r="D11" s="9" t="inlineStr">
        <is>
          <t>成果目標の倍率（全体1.31倍、就労移行支援1.14倍、A型おおむね1.52倍、B型おおむね1.67倍、就労定着支援1.47倍）の基準値。事業種別ごとに必要</t>
        </is>
      </c>
      <c r="E11" s="9" t="inlineStr">
        <is>
          <t>骨子案修正版 第4章(3)</t>
        </is>
      </c>
      <c r="F11" s="31" t="inlineStr">
        <is>
          <t>未受領</t>
        </is>
      </c>
      <c r="G11" s="19" t="inlineStr">
        <is>
          <t>2026-09-30</t>
        </is>
      </c>
    </row>
    <row r="12" ht="32" customHeight="1">
      <c r="A12" s="6" t="inlineStr">
        <is>
          <t>障害</t>
        </is>
      </c>
      <c r="B12" s="15" t="inlineStr">
        <is>
          <t>中</t>
        </is>
      </c>
      <c r="C12" s="7" t="inlineStr">
        <is>
          <t>第7期計画の令和8年度目標の達成見込み</t>
        </is>
      </c>
      <c r="D12" s="7" t="inlineStr">
        <is>
          <t>未達の場合、未達成割合を令和11年度目標に上乗せする規定がある（第二 一・三）。本村は地域移行0人・削減0人が目標のため、達成／未達の整理が必要</t>
        </is>
      </c>
      <c r="E12" s="7" t="inlineStr">
        <is>
          <t>骨子案修正版 第4章(1)(3)</t>
        </is>
      </c>
      <c r="F12" s="31" t="inlineStr">
        <is>
          <t>未受領</t>
        </is>
      </c>
      <c r="G12" s="18" t="inlineStr">
        <is>
          <t>2026-10-31</t>
        </is>
      </c>
    </row>
    <row r="13" ht="32" customHeight="1">
      <c r="A13" s="6" t="inlineStr">
        <is>
          <t>障害</t>
        </is>
      </c>
      <c r="B13" s="31" t="inlineStr">
        <is>
          <t>最優先</t>
        </is>
      </c>
      <c r="C13" s="9" t="inlineStr">
        <is>
          <t>年齢別・サービス別の匿名利用者一覧</t>
        </is>
      </c>
      <c r="D13" s="9" t="inlineStr">
        <is>
          <t>利用者番号、生年月、障害支援区分、利用中のサービス、月利用日数・時間。氏名不要</t>
        </is>
      </c>
      <c r="E13" s="9" t="inlineStr">
        <is>
          <t>サービス見込量 02・03・04</t>
        </is>
      </c>
      <c r="F13" s="31" t="inlineStr">
        <is>
          <t>未受領</t>
        </is>
      </c>
      <c r="G13" s="19" t="inlineStr">
        <is>
          <t>2026-08-31</t>
        </is>
      </c>
    </row>
    <row r="14" ht="32" customHeight="1">
      <c r="A14" s="6" t="inlineStr">
        <is>
          <t>障害</t>
        </is>
      </c>
      <c r="B14" s="31" t="inlineStr">
        <is>
          <t>最優先</t>
        </is>
      </c>
      <c r="C14" s="7" t="inlineStr">
        <is>
          <t>サービス別の支給決定者数（実人数）</t>
        </is>
      </c>
      <c r="D14" s="7" t="inlineStr">
        <is>
          <t>請求件数ではなく実人数。計画相談支援は請求と実人数が一致しないため特に必要</t>
        </is>
      </c>
      <c r="E14" s="7" t="inlineStr">
        <is>
          <t>サービス見込量 03・04</t>
        </is>
      </c>
      <c r="F14" s="31" t="inlineStr">
        <is>
          <t>未受領</t>
        </is>
      </c>
      <c r="G14" s="18" t="inlineStr">
        <is>
          <t>2026-08-31</t>
        </is>
      </c>
    </row>
    <row r="15" ht="32" customHeight="1">
      <c r="A15" s="6" t="inlineStr">
        <is>
          <t>障害</t>
        </is>
      </c>
      <c r="B15" s="31" t="inlineStr">
        <is>
          <t>最優先</t>
        </is>
      </c>
      <c r="C15" s="9" t="inlineStr">
        <is>
          <t>年齢階級別の手帳所持者数・人口</t>
        </is>
      </c>
      <c r="D15" s="9" t="inlineStr">
        <is>
          <t>身体は0〜17／18〜39／40〜64／65〜74／75歳以上、療育・精神は18歳未満／18〜64／65歳以上</t>
        </is>
      </c>
      <c r="E15" s="9" t="inlineStr">
        <is>
          <t>将来推計 05</t>
        </is>
      </c>
      <c r="F15" s="31" t="inlineStr">
        <is>
          <t>未受領</t>
        </is>
      </c>
      <c r="G15" s="19" t="inlineStr">
        <is>
          <t>2026-09-30</t>
        </is>
      </c>
    </row>
    <row r="16" ht="32" customHeight="1">
      <c r="A16" s="6" t="inlineStr">
        <is>
          <t>障害</t>
        </is>
      </c>
      <c r="B16" s="33" t="inlineStr">
        <is>
          <t>高</t>
        </is>
      </c>
      <c r="C16" s="7" t="inlineStr">
        <is>
          <t>令和6・7年度実績、令和8年度見込</t>
        </is>
      </c>
      <c r="D16" s="7" t="inlineStr">
        <is>
          <t>成果目標、サービス別利用者数・利用量、給付費、地域生活支援事業、相談件数</t>
        </is>
      </c>
      <c r="E16" s="7" t="inlineStr">
        <is>
          <t>前回計画評価／サービス見込量／財源構成案</t>
        </is>
      </c>
      <c r="F16" s="31" t="inlineStr">
        <is>
          <t>未受領</t>
        </is>
      </c>
      <c r="G16" s="18" t="inlineStr">
        <is>
          <t>2026-09-30</t>
        </is>
      </c>
    </row>
    <row r="17" ht="32" customHeight="1">
      <c r="A17" s="6" t="inlineStr">
        <is>
          <t>障害</t>
        </is>
      </c>
      <c r="B17" s="33" t="inlineStr">
        <is>
          <t>高</t>
        </is>
      </c>
      <c r="C17" s="9" t="inlineStr">
        <is>
          <t>発送対象者数（重複除外後）</t>
        </is>
      </c>
      <c r="D17" s="9" t="inlineStr">
        <is>
          <t>仕様書の約190人の内訳と、現行計画156人との差の理由</t>
        </is>
      </c>
      <c r="E17" s="9" t="inlineStr">
        <is>
          <t>契約管理5／アンケート発送設計</t>
        </is>
      </c>
      <c r="F17" s="31" t="inlineStr">
        <is>
          <t>未受領</t>
        </is>
      </c>
      <c r="G17" s="19" t="inlineStr">
        <is>
          <t>2026-08-05</t>
        </is>
      </c>
    </row>
    <row r="18" ht="32" customHeight="1">
      <c r="A18" s="6" t="inlineStr">
        <is>
          <t>障害</t>
        </is>
      </c>
      <c r="B18" s="33" t="inlineStr">
        <is>
          <t>高</t>
        </is>
      </c>
      <c r="C18" s="7" t="inlineStr">
        <is>
          <t>宛名ラベルシール</t>
        </is>
      </c>
      <c r="D18" s="7" t="inlineStr">
        <is>
          <t>仕様書Ⅰ(1)により委託者が抽出し提供</t>
        </is>
      </c>
      <c r="E18" s="7" t="inlineStr">
        <is>
          <t>アンケート発送</t>
        </is>
      </c>
      <c r="F18" s="31" t="inlineStr">
        <is>
          <t>未受領</t>
        </is>
      </c>
      <c r="G18" s="18" t="inlineStr">
        <is>
          <t>2026-08-05</t>
        </is>
      </c>
    </row>
    <row r="19" ht="32" customHeight="1">
      <c r="A19" s="6" t="inlineStr">
        <is>
          <t>障害</t>
        </is>
      </c>
      <c r="B19" s="33" t="inlineStr">
        <is>
          <t>高</t>
        </is>
      </c>
      <c r="C19" s="9" t="inlineStr">
        <is>
          <t>特別支援学校・特別支援学級の在籍者</t>
        </is>
      </c>
      <c r="D19" s="9" t="inlineStr">
        <is>
          <t>学年、卒業予定年度、卒業後の進路。令和6〜7年度に卒業した方の現在の利用状況も含む</t>
        </is>
      </c>
      <c r="E19" s="9" t="inlineStr">
        <is>
          <t>サービス見込量 02・03</t>
        </is>
      </c>
      <c r="F19" s="31" t="inlineStr">
        <is>
          <t>未受領</t>
        </is>
      </c>
      <c r="G19" s="19" t="inlineStr">
        <is>
          <t>2026-09-30</t>
        </is>
      </c>
    </row>
    <row r="20" ht="32" customHeight="1">
      <c r="A20" s="6" t="inlineStr">
        <is>
          <t>障害</t>
        </is>
      </c>
      <c r="B20" s="33" t="inlineStr">
        <is>
          <t>高</t>
        </is>
      </c>
      <c r="C20" s="7" t="inlineStr">
        <is>
          <t>令和9〜11年度の65歳到達者</t>
        </is>
      </c>
      <c r="D20" s="7" t="inlineStr">
        <is>
          <t>到達年度、現在利用しているサービス、月量</t>
        </is>
      </c>
      <c r="E20" s="7" t="inlineStr">
        <is>
          <t>サービス見込量 02・06</t>
        </is>
      </c>
      <c r="F20" s="31" t="inlineStr">
        <is>
          <t>未受領</t>
        </is>
      </c>
      <c r="G20" s="18" t="inlineStr">
        <is>
          <t>2026-09-30</t>
        </is>
      </c>
    </row>
    <row r="21" ht="32" customHeight="1">
      <c r="A21" s="6" t="inlineStr">
        <is>
          <t>障害</t>
        </is>
      </c>
      <c r="B21" s="16" t="inlineStr">
        <is>
          <t>―</t>
        </is>
      </c>
      <c r="C21" s="9" t="inlineStr">
        <is>
          <t>前回調査の調査結果報告書</t>
        </is>
      </c>
      <c r="D21" s="9" t="inlineStr">
        <is>
          <t>発送164人・回収95人・回収率57.9%。設問別の集計結果を収録</t>
        </is>
      </c>
      <c r="E21" s="9" t="inlineStr">
        <is>
          <t>アンケート集計設計・経年比較</t>
        </is>
      </c>
      <c r="F21" s="32" t="inlineStr">
        <is>
          <t>受領済</t>
        </is>
      </c>
      <c r="G21" s="19" t="inlineStr">
        <is>
          <t>2026-08-03</t>
        </is>
      </c>
    </row>
    <row r="22" ht="32" customHeight="1">
      <c r="A22" s="6" t="inlineStr">
        <is>
          <t>障害</t>
        </is>
      </c>
      <c r="B22" s="33" t="inlineStr">
        <is>
          <t>高</t>
        </is>
      </c>
      <c r="C22" s="7" t="inlineStr">
        <is>
          <t>小規模公表基準</t>
        </is>
      </c>
      <c r="D22" s="7" t="inlineStr">
        <is>
          <t>n&lt;5の秘匿、地区別・障がい種別クロスの扱い</t>
        </is>
      </c>
      <c r="E22" s="7" t="inlineStr">
        <is>
          <t>アンケート集計・報告書</t>
        </is>
      </c>
      <c r="F22" s="31" t="inlineStr">
        <is>
          <t>未受領</t>
        </is>
      </c>
      <c r="G22" s="18" t="inlineStr">
        <is>
          <t>2026-09-30</t>
        </is>
      </c>
    </row>
    <row r="23" ht="32" customHeight="1">
      <c r="A23" s="6" t="inlineStr">
        <is>
          <t>障害</t>
        </is>
      </c>
      <c r="B23" s="33" t="inlineStr">
        <is>
          <t>高</t>
        </is>
      </c>
      <c r="C23" s="9" t="inlineStr">
        <is>
          <t>障がい福祉関係の歳入歳出決算</t>
        </is>
      </c>
      <c r="D23" s="9" t="inlineStr">
        <is>
          <t>自立支援給付費負担金、障害児施設給付費負担金、地域生活支援事業費補助金の交付額と村負担</t>
        </is>
      </c>
      <c r="E23" s="9" t="inlineStr">
        <is>
          <t>財源構成案 04・06・07</t>
        </is>
      </c>
      <c r="F23" s="31" t="inlineStr">
        <is>
          <t>未受領</t>
        </is>
      </c>
      <c r="G23" s="19" t="inlineStr">
        <is>
          <t>2026-10-31</t>
        </is>
      </c>
    </row>
    <row r="24" ht="32" customHeight="1">
      <c r="A24" s="6" t="inlineStr">
        <is>
          <t>障害</t>
        </is>
      </c>
      <c r="B24" s="33" t="inlineStr">
        <is>
          <t>高</t>
        </is>
      </c>
      <c r="C24" s="7" t="inlineStr">
        <is>
          <t>令和6・7年度の障害児給付費の変動理由</t>
        </is>
      </c>
      <c r="D24" s="7" t="inlineStr">
        <is>
          <t>児童発達支援23件→1件、放課後等デイ12件→27件の理由。受給者単位で就学移行かを確認</t>
        </is>
      </c>
      <c r="E24" s="7" t="inlineStr">
        <is>
          <t>サービス見込量 04／計画本文</t>
        </is>
      </c>
      <c r="F24" s="31" t="inlineStr">
        <is>
          <t>未受領</t>
        </is>
      </c>
      <c r="G24" s="18" t="inlineStr">
        <is>
          <t>2026-09-30</t>
        </is>
      </c>
    </row>
    <row r="25" ht="32" customHeight="1">
      <c r="A25" s="6" t="inlineStr">
        <is>
          <t>障害</t>
        </is>
      </c>
      <c r="B25" s="16" t="inlineStr">
        <is>
          <t>―</t>
        </is>
      </c>
      <c r="C25" s="9" t="inlineStr">
        <is>
          <t>現行計画本編（第4次障がい者計画・第7期・第3期）</t>
        </is>
      </c>
      <c r="D25" s="9" t="inlineStr">
        <is>
          <t>本編63頁、アンケート調査結果報告書69頁、概要版4頁。令和6年3月策定</t>
        </is>
      </c>
      <c r="E25" s="9" t="inlineStr">
        <is>
          <t>全体（年齢3区分別人口・前回調査の内訳を反映済み）</t>
        </is>
      </c>
      <c r="F25" s="32" t="inlineStr">
        <is>
          <t>受領済</t>
        </is>
      </c>
      <c r="G25" s="19" t="inlineStr">
        <is>
          <t>2026-08-03</t>
        </is>
      </c>
    </row>
    <row r="26" ht="32" customHeight="1">
      <c r="A26" s="6" t="inlineStr">
        <is>
          <t>障害</t>
        </is>
      </c>
      <c r="B26" s="15" t="inlineStr">
        <is>
          <t>中</t>
        </is>
      </c>
      <c r="C26" s="7" t="inlineStr">
        <is>
          <t>圏域事業所の受入可能性</t>
        </is>
      </c>
      <c r="D26" s="7" t="inlineStr">
        <is>
          <t>定員、空き、送迎範囲、受入可否。介護保険事業所の共生型サービス指定の有無を含む</t>
        </is>
      </c>
      <c r="E26" s="7" t="inlineStr">
        <is>
          <t>サービス見込量 08</t>
        </is>
      </c>
      <c r="F26" s="31" t="inlineStr">
        <is>
          <t>未受領</t>
        </is>
      </c>
      <c r="G26" s="18" t="inlineStr">
        <is>
          <t>2026-10-31</t>
        </is>
      </c>
    </row>
    <row r="27" ht="32" customHeight="1">
      <c r="A27" s="6" t="inlineStr">
        <is>
          <t>障害</t>
        </is>
      </c>
      <c r="B27" s="16" t="inlineStr">
        <is>
          <t>中</t>
        </is>
      </c>
      <c r="C27" s="9" t="inlineStr">
        <is>
          <t>医療的ケア児者・地域生活支援拠点・個別避難計画の実態</t>
        </is>
      </c>
      <c r="D27" s="9" t="inlineStr">
        <is>
          <t>【一部受領】令和8年8月の調査票朱書きで、医療的ケア児1人（経管栄養が毎日必要）、個別避難計画の作成0件を確認。なお必要なのは、医療的ケア児1人の年齢・就学状況、拠点の検証会・緊急対応の実績、避難行動要支援者名簿の登載者数</t>
        </is>
      </c>
      <c r="E27" s="9" t="inlineStr">
        <is>
          <t>計画本文 第4章・第6章／村提供実績データ 01</t>
        </is>
      </c>
      <c r="F27" s="35" t="inlineStr">
        <is>
          <t>一部受領</t>
        </is>
      </c>
      <c r="G27" s="19" t="inlineStr">
        <is>
          <t>2026-10-31</t>
        </is>
      </c>
    </row>
    <row r="28" ht="32" customHeight="1">
      <c r="A28" s="6" t="inlineStr">
        <is>
          <t>障害</t>
        </is>
      </c>
      <c r="B28" s="31" t="inlineStr">
        <is>
          <t>最優先</t>
        </is>
      </c>
      <c r="C28" s="7" t="inlineStr">
        <is>
          <t>障害支援区分別人数の基準日とサービス利用状況</t>
        </is>
      </c>
      <c r="D28" s="7" t="inlineStr">
        <is>
          <t>【一部受領】令和8年8月の調査票朱書きで、区分2=5人・区分3=2人・区分4=5人・区分5=1人・区分6=2人（計15人、区分1は0人）を確認。基準日が示されていないため要確認。あわせて15人それぞれのサービス利用状況、区分6の2人の行動関連項目の点数、共同生活援助8人のうち区分認定を受けている者の数</t>
        </is>
      </c>
      <c r="E28" s="7" t="inlineStr">
        <is>
          <t>村提供実績データ 02／骨子案修正版 第5章1</t>
        </is>
      </c>
      <c r="F28" s="35" t="inlineStr">
        <is>
          <t>一部受領</t>
        </is>
      </c>
      <c r="G28" s="18" t="inlineStr">
        <is>
          <t>2026-09-30</t>
        </is>
      </c>
    </row>
    <row r="29" ht="32" customHeight="1">
      <c r="A29" s="6" t="inlineStr">
        <is>
          <t>障害</t>
        </is>
      </c>
      <c r="B29" s="16" t="inlineStr">
        <is>
          <t>―</t>
        </is>
      </c>
      <c r="C29" s="9" t="inlineStr">
        <is>
          <t>セルフプラン率・基幹相談支援センター・就労選択支援事業所の状況</t>
        </is>
      </c>
      <c r="D29" s="9" t="inlineStr">
        <is>
          <t>【受領済み】令和8年8月の調査票朱書きで、セルフプラン率0％、基幹相談支援センター未設置、会津管内に就労選択支援事業所なしを確認。なお必要なのは、基幹相談支援センターの第8期期間中の設置意向と4町村での検討状況、就労選択支援の圏域での協議状況</t>
        </is>
      </c>
      <c r="E29" s="9" t="inlineStr">
        <is>
          <t>村提供実績データ 01／骨子案修正版 第4章(3)(6)</t>
        </is>
      </c>
      <c r="F29" s="35" t="inlineStr">
        <is>
          <t>一部受領</t>
        </is>
      </c>
      <c r="G29" s="19" t="inlineStr">
        <is>
          <t>2026-09-30</t>
        </is>
      </c>
    </row>
    <row r="30" ht="32" customHeight="1">
      <c r="A30" s="6" t="inlineStr">
        <is>
          <t>障害</t>
        </is>
      </c>
      <c r="B30" s="15" t="inlineStr">
        <is>
          <t>―</t>
        </is>
      </c>
      <c r="C30" s="7" t="inlineStr">
        <is>
          <t>障がい児の入所・申請の状況</t>
        </is>
      </c>
      <c r="D30" s="7" t="inlineStr">
        <is>
          <t>【受領済み】令和8年8月の調査票朱書きで、障がい児入所施設・児童福祉施設の利用児0件、障害児通所支援の申請中0件を確認。第5章の障害児入所支援の見込量を0とする根拠</t>
        </is>
      </c>
      <c r="E30" s="7" t="inlineStr">
        <is>
          <t>村提供実績データ 01／骨子案修正版 第4章(4)</t>
        </is>
      </c>
      <c r="F30" s="32" t="inlineStr">
        <is>
          <t>受領済</t>
        </is>
      </c>
      <c r="G30" s="18" t="inlineStr">
        <is>
          <t>2026-08-14</t>
        </is>
      </c>
    </row>
    <row r="31" ht="32" customHeight="1">
      <c r="A31" s="6" t="inlineStr">
        <is>
          <t>障害</t>
        </is>
      </c>
      <c r="B31" s="16" t="inlineStr">
        <is>
          <t>―</t>
        </is>
      </c>
      <c r="C31" s="9" t="inlineStr">
        <is>
          <t>アンケート調査票への村の修正指示</t>
        </is>
      </c>
      <c r="D31" s="9" t="inlineStr">
        <is>
          <t>【受領済み】障がい者版17頁・障がい児版19頁のスキャンPDF。朱書き40か所。設問の削除・追加・順序変更のほか、削除理由として村の実データ9件が書き添えられている</t>
        </is>
      </c>
      <c r="E31" s="9" t="inlineStr">
        <is>
          <t>村提供実績データ 05／北塩原村_アンケート調査票_村修正指示_確認結果</t>
        </is>
      </c>
      <c r="F31" s="32" t="inlineStr">
        <is>
          <t>受領済</t>
        </is>
      </c>
      <c r="G31" s="19" t="inlineStr">
        <is>
          <t>2026-08-14</t>
        </is>
      </c>
    </row>
    <row r="32" ht="32" customHeight="1">
      <c r="A32" s="6" t="inlineStr">
        <is>
          <t>障害</t>
        </is>
      </c>
      <c r="B32" s="15" t="inlineStr">
        <is>
          <t>中</t>
        </is>
      </c>
      <c r="C32" s="7" t="inlineStr">
        <is>
          <t>第5次総合振興計画たたき台、健康21現行計画、高齢者福祉・介護保険事業計画</t>
        </is>
      </c>
      <c r="D32" s="7" t="inlineStr">
        <is>
          <t>関連計画との整合確認</t>
        </is>
      </c>
      <c r="E32" s="7" t="inlineStr">
        <is>
          <t>計画本文 第1章・第7章</t>
        </is>
      </c>
      <c r="F32" s="31" t="inlineStr">
        <is>
          <t>未受領</t>
        </is>
      </c>
      <c r="G32" s="18" t="inlineStr">
        <is>
          <t>2026-10-31</t>
        </is>
      </c>
    </row>
    <row r="33" ht="32" customHeight="1">
      <c r="A33" s="6" t="inlineStr">
        <is>
          <t>障害</t>
        </is>
      </c>
      <c r="B33" s="16" t="inlineStr">
        <is>
          <t>中</t>
        </is>
      </c>
      <c r="C33" s="9" t="inlineStr">
        <is>
          <t>40歳以上65歳未満の特定疾病該当者</t>
        </is>
      </c>
      <c r="D33" s="9" t="inlineStr">
        <is>
          <t>16の特定疾病に該当し要介護認定を受けている方の有無</t>
        </is>
      </c>
      <c r="E33" s="9" t="inlineStr">
        <is>
          <t>サービス見込量 02</t>
        </is>
      </c>
      <c r="F33" s="31" t="inlineStr">
        <is>
          <t>未受領</t>
        </is>
      </c>
      <c r="G33" s="19" t="inlineStr">
        <is>
          <t>2026-10-31</t>
        </is>
      </c>
    </row>
    <row r="34" ht="32" customHeight="1">
      <c r="A34" s="6" t="inlineStr">
        <is>
          <t>障害</t>
        </is>
      </c>
      <c r="B34" s="15" t="inlineStr">
        <is>
          <t>中</t>
        </is>
      </c>
      <c r="C34" s="7" t="inlineStr">
        <is>
          <t>自立支援協議会の委員名簿</t>
        </is>
      </c>
      <c r="D34" s="7" t="inlineStr">
        <is>
          <t>任期・氏名・所属・役職</t>
        </is>
      </c>
      <c r="E34" s="7" t="inlineStr">
        <is>
          <t>計画書 資料編</t>
        </is>
      </c>
      <c r="F34" s="31" t="inlineStr">
        <is>
          <t>未受領</t>
        </is>
      </c>
      <c r="G34" s="18" t="inlineStr">
        <is>
          <t>2026-12-31</t>
        </is>
      </c>
    </row>
    <row r="35" ht="32" customHeight="1">
      <c r="A35" s="8" t="inlineStr">
        <is>
          <t>高齢者</t>
        </is>
      </c>
      <c r="B35" s="31" t="inlineStr">
        <is>
          <t>最優先</t>
        </is>
      </c>
      <c r="C35" s="7" t="inlineStr">
        <is>
          <t>業務委託仕様書・契約書</t>
        </is>
      </c>
      <c r="D35" s="7" t="inlineStr">
        <is>
          <t>業務の範囲、成果品、期限、打合せ回数、費用負担の区分</t>
        </is>
      </c>
      <c r="E35" s="7" t="inlineStr">
        <is>
          <t>本ブック 01 の各行を確定する</t>
        </is>
      </c>
      <c r="F35" s="31" t="inlineStr">
        <is>
          <t>未受領</t>
        </is>
      </c>
      <c r="G35" s="18" t="n"/>
    </row>
    <row r="36" ht="32" customHeight="1">
      <c r="A36" s="8" t="inlineStr">
        <is>
          <t>高齢者</t>
        </is>
      </c>
      <c r="B36" s="31" t="inlineStr">
        <is>
          <t>最優先</t>
        </is>
      </c>
      <c r="C36" s="9" t="inlineStr">
        <is>
          <t>現行計画（第9期介護保険事業計画・高齢者福祉計画）本編</t>
        </is>
      </c>
      <c r="D36" s="9" t="inlineStr">
        <is>
          <t>計画期間、サービス見込量、保険料、重点施策、圏域設定</t>
        </is>
      </c>
      <c r="E36" s="9" t="inlineStr">
        <is>
          <t>現行計画の評価・分析</t>
        </is>
      </c>
      <c r="F36" s="31" t="inlineStr">
        <is>
          <t>未受領</t>
        </is>
      </c>
      <c r="G36" s="19" t="n"/>
    </row>
    <row r="37" ht="32" customHeight="1">
      <c r="A37" s="8" t="inlineStr">
        <is>
          <t>高齢者</t>
        </is>
      </c>
      <c r="B37" s="31" t="inlineStr">
        <is>
          <t>最優先</t>
        </is>
      </c>
      <c r="C37" s="7" t="inlineStr">
        <is>
          <t>要介護認定者数・被保険者数の推移</t>
        </is>
      </c>
      <c r="D37" s="7" t="inlineStr">
        <is>
          <t>年度別・要介護度別・年齢階級別。広域連合の場合は構成市町村別</t>
        </is>
      </c>
      <c r="E37" s="7" t="inlineStr">
        <is>
          <t>将来推計</t>
        </is>
      </c>
      <c r="F37" s="31" t="inlineStr">
        <is>
          <t>未受領</t>
        </is>
      </c>
      <c r="G37" s="18" t="n"/>
    </row>
    <row r="38" ht="32" customHeight="1">
      <c r="A38" s="8" t="inlineStr">
        <is>
          <t>高齢者</t>
        </is>
      </c>
      <c r="B38" s="31" t="inlineStr">
        <is>
          <t>最優先</t>
        </is>
      </c>
      <c r="C38" s="9" t="inlineStr">
        <is>
          <t>介護給付費の実績</t>
        </is>
      </c>
      <c r="D38" s="9" t="inlineStr">
        <is>
          <t>年度別・サービス種別別の給付費と受給者数（介護保険事業状況報告ベース）</t>
        </is>
      </c>
      <c r="E38" s="9" t="inlineStr">
        <is>
          <t>サービス見込量・保険料算定</t>
        </is>
      </c>
      <c r="F38" s="31" t="inlineStr">
        <is>
          <t>未受領</t>
        </is>
      </c>
      <c r="G38" s="19" t="n"/>
    </row>
    <row r="39" ht="32" customHeight="1">
      <c r="A39" s="8" t="inlineStr">
        <is>
          <t>高齢者</t>
        </is>
      </c>
      <c r="B39" s="33" t="inlineStr">
        <is>
          <t>高</t>
        </is>
      </c>
      <c r="C39" s="7" t="inlineStr">
        <is>
          <t>介護給付費準備基金の残高と取崩し方針</t>
        </is>
      </c>
      <c r="D39" s="7" t="inlineStr">
        <is>
          <t>各年度末残高、第9期の取崩し実績、次期の取崩し方針</t>
        </is>
      </c>
      <c r="E39" s="7" t="inlineStr">
        <is>
          <t>保険料算定</t>
        </is>
      </c>
      <c r="F39" s="31" t="inlineStr">
        <is>
          <t>未受領</t>
        </is>
      </c>
      <c r="G39" s="18" t="n"/>
    </row>
    <row r="40" ht="32" customHeight="1">
      <c r="A40" s="8" t="inlineStr">
        <is>
          <t>高齢者</t>
        </is>
      </c>
      <c r="B40" s="33" t="inlineStr">
        <is>
          <t>高</t>
        </is>
      </c>
      <c r="C40" s="9" t="inlineStr">
        <is>
          <t>施設・居住系サービスの整備計画</t>
        </is>
      </c>
      <c r="D40" s="9" t="inlineStr">
        <is>
          <t>特養・老健・介護医療院・地域密着型サービスの整備予定と定員</t>
        </is>
      </c>
      <c r="E40" s="9" t="inlineStr">
        <is>
          <t>サービス見込量</t>
        </is>
      </c>
      <c r="F40" s="31" t="inlineStr">
        <is>
          <t>未受領</t>
        </is>
      </c>
      <c r="G40" s="19" t="n"/>
    </row>
    <row r="41" ht="32" customHeight="1">
      <c r="A41" s="8" t="inlineStr">
        <is>
          <t>高齢者</t>
        </is>
      </c>
      <c r="B41" s="33" t="inlineStr">
        <is>
          <t>高</t>
        </is>
      </c>
      <c r="C41" s="7" t="inlineStr">
        <is>
          <t>地域支援事業・総合事業の実績</t>
        </is>
      </c>
      <c r="D41" s="7" t="inlineStr">
        <is>
          <t>事業別の実施状況、利用者数、事業費</t>
        </is>
      </c>
      <c r="E41" s="7" t="inlineStr">
        <is>
          <t>地域支援事業計画</t>
        </is>
      </c>
      <c r="F41" s="31" t="inlineStr">
        <is>
          <t>未受領</t>
        </is>
      </c>
      <c r="G41" s="18" t="n"/>
    </row>
    <row r="42" ht="32" customHeight="1">
      <c r="A42" s="8" t="inlineStr">
        <is>
          <t>高齢者</t>
        </is>
      </c>
      <c r="B42" s="33" t="inlineStr">
        <is>
          <t>高</t>
        </is>
      </c>
      <c r="C42" s="9" t="inlineStr">
        <is>
          <t>地域包括支援センターの体制</t>
        </is>
      </c>
      <c r="D42" s="9" t="inlineStr">
        <is>
          <t>設置数、職員配置、相談件数、ブランチの有無</t>
        </is>
      </c>
      <c r="E42" s="9" t="inlineStr">
        <is>
          <t>施策検討</t>
        </is>
      </c>
      <c r="F42" s="31" t="inlineStr">
        <is>
          <t>未受領</t>
        </is>
      </c>
      <c r="G42" s="19" t="n"/>
    </row>
    <row r="43" ht="32" customHeight="1">
      <c r="A43" s="8" t="inlineStr">
        <is>
          <t>高齢者</t>
        </is>
      </c>
      <c r="B43" s="15" t="inlineStr">
        <is>
          <t>中</t>
        </is>
      </c>
      <c r="C43" s="7" t="inlineStr">
        <is>
          <t>前回の実態調査結果</t>
        </is>
      </c>
      <c r="D43" s="7" t="inlineStr">
        <is>
          <t>介護予防・日常生活圏域ニーズ調査、在宅介護実態調査の報告書</t>
        </is>
      </c>
      <c r="E43" s="7" t="inlineStr">
        <is>
          <t>調査設計・経年比較</t>
        </is>
      </c>
      <c r="F43" s="31" t="inlineStr">
        <is>
          <t>未受領</t>
        </is>
      </c>
      <c r="G43" s="18" t="n"/>
    </row>
    <row r="44" ht="32" customHeight="1">
      <c r="A44" s="8" t="inlineStr">
        <is>
          <t>高齢者</t>
        </is>
      </c>
      <c r="B44" s="16" t="inlineStr">
        <is>
          <t>中</t>
        </is>
      </c>
      <c r="C44" s="9" t="inlineStr">
        <is>
          <t>策定委員会の委員名簿・開催実績</t>
        </is>
      </c>
      <c r="D44" s="9" t="inlineStr">
        <is>
          <t>任期、氏名、所属、前期の開催回数</t>
        </is>
      </c>
      <c r="E44" s="9" t="inlineStr">
        <is>
          <t>委員会運営支援</t>
        </is>
      </c>
      <c r="F44" s="31" t="inlineStr">
        <is>
          <t>未受領</t>
        </is>
      </c>
      <c r="G44" s="19" t="n"/>
    </row>
    <row r="46" ht="40" customHeight="1">
      <c r="A46" s="2" t="inlineStr">
        <is>
          <t>障害 29件、高齢者 10件。高齢者は仕様書そのものが未受領のため、ここに挙げた10件は介護保険事業計画の策定に一般に必要となる資料です。実際に必要な資料は仕様書の受領後に確定します。</t>
        </is>
      </c>
    </row>
  </sheetData>
  <autoFilter ref="A5:G44"/>
  <mergeCells count="3">
    <mergeCell ref="A2:G2"/>
    <mergeCell ref="A1:G1"/>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14" customWidth="1" min="3" max="3"/>
    <col width="8" customWidth="1" min="4" max="4"/>
    <col width="40" customWidth="1" min="5" max="5"/>
    <col width="50" customWidth="1" min="6" max="6"/>
    <col width="44" customWidth="1" min="7" max="7"/>
    <col width="12" customWidth="1" min="8" max="8"/>
  </cols>
  <sheetData>
    <row r="1" ht="30" customHeight="1">
      <c r="A1" s="1" t="inlineStr">
        <is>
          <t>課題・リスク管理（2計画）</t>
        </is>
      </c>
    </row>
    <row r="2" ht="30" customHeight="1">
      <c r="A2" s="2" t="inlineStr">
        <is>
          <t>障害は 北塩原村_業務進捗管理.xlsx の 05 と同一データです。高齢者は仕様書未受領に起因するもののみを掲げています。</t>
        </is>
      </c>
    </row>
    <row r="5" ht="30" customHeight="1">
      <c r="A5" s="4" t="inlineStr">
        <is>
          <t>分野</t>
        </is>
      </c>
      <c r="B5" s="4" t="inlineStr">
        <is>
          <t>#</t>
        </is>
      </c>
      <c r="C5" s="4" t="inlineStr">
        <is>
          <t>区分</t>
        </is>
      </c>
      <c r="D5" s="4" t="inlineStr">
        <is>
          <t>影響度</t>
        </is>
      </c>
      <c r="E5" s="4" t="inlineStr">
        <is>
          <t>リスク</t>
        </is>
      </c>
      <c r="F5" s="4" t="inlineStr">
        <is>
          <t>内容</t>
        </is>
      </c>
      <c r="G5" s="4" t="inlineStr">
        <is>
          <t>対応</t>
        </is>
      </c>
      <c r="H5" s="4" t="inlineStr">
        <is>
          <t>状態</t>
        </is>
      </c>
    </row>
    <row r="6" ht="44" customHeight="1">
      <c r="A6" s="6" t="inlineStr">
        <is>
          <t>障害</t>
        </is>
      </c>
      <c r="B6" s="15" t="inlineStr">
        <is>
          <t>R-1</t>
        </is>
      </c>
      <c r="C6" s="15" t="inlineStr">
        <is>
          <t>スケジュール</t>
        </is>
      </c>
      <c r="D6" s="31" t="inlineStr">
        <is>
          <t>高</t>
        </is>
      </c>
      <c r="E6" s="7" t="inlineStr">
        <is>
          <t>アンケート発送が工程案の8月上旬に間に合わない</t>
        </is>
      </c>
      <c r="F6" s="7" t="inlineStr">
        <is>
          <t>印刷仕様の協議、村ラベルの受領、村封筒の手配がすべて未了。1週間の遅延は回収期間または集計期間の圧縮に直結する</t>
        </is>
      </c>
      <c r="G6" s="7" t="inlineStr">
        <is>
          <t>8月5日までに印刷仕様を確定し、ラベル提供日を村と合意する</t>
        </is>
      </c>
      <c r="H6" s="15" t="inlineStr">
        <is>
          <t>対応中</t>
        </is>
      </c>
    </row>
    <row r="7" ht="44" customHeight="1">
      <c r="A7" s="6" t="inlineStr">
        <is>
          <t>障害</t>
        </is>
      </c>
      <c r="B7" s="16" t="inlineStr">
        <is>
          <t>R-2</t>
        </is>
      </c>
      <c r="C7" s="16" t="inlineStr">
        <is>
          <t>契約</t>
        </is>
      </c>
      <c r="D7" s="31" t="inlineStr">
        <is>
          <t>高</t>
        </is>
      </c>
      <c r="E7" s="9" t="inlineStr">
        <is>
          <t>印刷仕様が仕様書と乖離している</t>
        </is>
      </c>
      <c r="F7" s="9" t="inlineStr">
        <is>
          <t>仕様書はA4判・約24ページ・黒1色の1種類。実際は34ページと37ページの2種類</t>
        </is>
      </c>
      <c r="G7" s="9" t="inlineStr">
        <is>
          <t>ページ数・種類数・部数・単価の取扱いを村と協議し、結果を書面で残す</t>
        </is>
      </c>
      <c r="H7" s="16" t="inlineStr">
        <is>
          <t>未着手</t>
        </is>
      </c>
    </row>
    <row r="8" ht="44" customHeight="1">
      <c r="A8" s="6" t="inlineStr">
        <is>
          <t>障害</t>
        </is>
      </c>
      <c r="B8" s="15" t="inlineStr">
        <is>
          <t>R-3</t>
        </is>
      </c>
      <c r="C8" s="15" t="inlineStr">
        <is>
          <t>契約</t>
        </is>
      </c>
      <c r="D8" s="31" t="inlineStr">
        <is>
          <t>高</t>
        </is>
      </c>
      <c r="E8" s="7" t="inlineStr">
        <is>
          <t>郵送費の負担が仕様書と異なる運用になっている</t>
        </is>
      </c>
      <c r="F8" s="7" t="inlineStr">
        <is>
          <t>仕様書は受託者負担。打合せでは村が立替え後日実費精算</t>
        </is>
      </c>
      <c r="G8" s="7" t="inlineStr">
        <is>
          <t>精算方法・範囲・上限を書面で確認する</t>
        </is>
      </c>
      <c r="H8" s="15" t="inlineStr">
        <is>
          <t>未着手</t>
        </is>
      </c>
    </row>
    <row r="9" ht="44" customHeight="1">
      <c r="A9" s="6" t="inlineStr">
        <is>
          <t>障害</t>
        </is>
      </c>
      <c r="B9" s="16" t="inlineStr">
        <is>
          <t>R-4</t>
        </is>
      </c>
      <c r="C9" s="16" t="inlineStr">
        <is>
          <t>推計</t>
        </is>
      </c>
      <c r="D9" s="31" t="inlineStr">
        <is>
          <t>高</t>
        </is>
      </c>
      <c r="E9" s="9" t="inlineStr">
        <is>
          <t>対象者数が確定せず、推計の起点が定まらない</t>
        </is>
      </c>
      <c r="F9" s="9" t="inlineStr">
        <is>
          <t>仕様書の約190人と現行計画の156人に22%の差。実数であれば手帳推計の方向が逆になる。前回調査は手帳所持者156人＋サービス利用者8人＝164人（重複3人含む）を発送しており、所持率トレンドを延長しても令和8年は157人にとどまる</t>
        </is>
      </c>
      <c r="G9" s="9" t="inlineStr">
        <is>
          <t>発送前に村へ確認する。確認まで手帳所持者数の将来推計を確定値として記載しない</t>
        </is>
      </c>
      <c r="H9" s="16" t="inlineStr">
        <is>
          <t>対応中</t>
        </is>
      </c>
    </row>
    <row r="10" ht="44" customHeight="1">
      <c r="A10" s="6" t="inlineStr">
        <is>
          <t>障害</t>
        </is>
      </c>
      <c r="B10" s="15" t="inlineStr">
        <is>
          <t>R-5</t>
        </is>
      </c>
      <c r="C10" s="15" t="inlineStr">
        <is>
          <t>推計</t>
        </is>
      </c>
      <c r="D10" s="31" t="inlineStr">
        <is>
          <t>高</t>
        </is>
      </c>
      <c r="E10" s="7" t="inlineStr">
        <is>
          <t>個別積上げに必要な村資料が揃わない</t>
        </is>
      </c>
      <c r="F10" s="7" t="inlineStr">
        <is>
          <t>年齢別・サービス別の利用者一覧と支給決定者数（実人数）がないと見込量が確定しない</t>
        </is>
      </c>
      <c r="G10" s="7" t="inlineStr">
        <is>
          <t>8月末を目途に受領する。遅れる場合は現行計画の据置値で暫定版を作り、受領後に差し替える段取りを村と共有する</t>
        </is>
      </c>
      <c r="H10" s="15" t="inlineStr">
        <is>
          <t>対応中</t>
        </is>
      </c>
    </row>
    <row r="11" ht="44" customHeight="1">
      <c r="A11" s="6" t="inlineStr">
        <is>
          <t>障害</t>
        </is>
      </c>
      <c r="B11" s="16" t="inlineStr">
        <is>
          <t>R-6</t>
        </is>
      </c>
      <c r="C11" s="16" t="inlineStr">
        <is>
          <t>個人情報</t>
        </is>
      </c>
      <c r="D11" s="16" t="inlineStr">
        <is>
          <t>中</t>
        </is>
      </c>
      <c r="E11" s="9" t="inlineStr">
        <is>
          <t>少数母数のクロス集計で個人が特定される</t>
        </is>
      </c>
      <c r="F11" s="9" t="inlineStr">
        <is>
          <t>対象者が極めて少ないサービス・地区がある</t>
        </is>
      </c>
      <c r="G11" s="9" t="inlineStr">
        <is>
          <t>n&lt;5の秘匿基準を事前に村と合意する。公表用報告書と内部管理報告書を分離する</t>
        </is>
      </c>
      <c r="H11" s="16" t="inlineStr">
        <is>
          <t>対応中</t>
        </is>
      </c>
    </row>
    <row r="12" ht="44" customHeight="1">
      <c r="A12" s="6" t="inlineStr">
        <is>
          <t>障害</t>
        </is>
      </c>
      <c r="B12" s="15" t="inlineStr">
        <is>
          <t>R-7</t>
        </is>
      </c>
      <c r="C12" s="15" t="inlineStr">
        <is>
          <t>品質</t>
        </is>
      </c>
      <c r="D12" s="15" t="inlineStr">
        <is>
          <t>低</t>
        </is>
      </c>
      <c r="E12" s="7" t="inlineStr">
        <is>
          <t>骨子案が引用する国基準数値の原典照合が未了</t>
        </is>
      </c>
      <c r="F12" s="7" t="inlineStr">
        <is>
          <t>【解消】告示第4号の本文・別表と11件を照合。319.3日・1.31倍・1.47倍はいずれも第8期の正しい数値。誤りは就労定着支援の基準（令和6年度末→令和6年度）1件。むしろ欠落6件（B型1.67倍等の事業種別目標、精神病床1年以上長期入院患者数ほか）が問題だった</t>
        </is>
      </c>
      <c r="G12" s="7" t="inlineStr">
        <is>
          <t>骨子案修正版 第4章へ反映済み。改正後概要と告示本文で表記が異なる箇所は告示本文に従う</t>
        </is>
      </c>
      <c r="H12" s="15" t="inlineStr">
        <is>
          <t>完了</t>
        </is>
      </c>
    </row>
    <row r="13" ht="44" customHeight="1">
      <c r="A13" s="6" t="inlineStr">
        <is>
          <t>障害</t>
        </is>
      </c>
      <c r="B13" s="16" t="inlineStr">
        <is>
          <t>R-12</t>
        </is>
      </c>
      <c r="C13" s="16" t="inlineStr">
        <is>
          <t>推計</t>
        </is>
      </c>
      <c r="D13" s="16" t="inlineStr">
        <is>
          <t>低</t>
        </is>
      </c>
      <c r="E13" s="9" t="inlineStr">
        <is>
          <t>基本指針 別表第五（地域差是正）の適用関係が未確定</t>
        </is>
      </c>
      <c r="F13" s="9" t="inlineStr">
        <is>
          <t>【解消】福島県「県内の過疎・中山間地域の指定状況」（令和7年4月1日現在）により、本村は過疎法第2条により全域が過疎地域に該当することを確認。別表第五 一の項⑴「全部過疎市町村ではないこと」を満たさず適用対象外。個別積上げ方式を原則どおり採用できる</t>
        </is>
      </c>
      <c r="G13" s="9" t="inlineStr">
        <is>
          <t>骨子案修正版 第5章1及びサービス見込量ブック 12 へ反映済み</t>
        </is>
      </c>
      <c r="H13" s="16" t="inlineStr">
        <is>
          <t>完了</t>
        </is>
      </c>
    </row>
    <row r="14" ht="44" customHeight="1">
      <c r="A14" s="6" t="inlineStr">
        <is>
          <t>障害</t>
        </is>
      </c>
      <c r="B14" s="15" t="inlineStr">
        <is>
          <t>R-15</t>
        </is>
      </c>
      <c r="C14" s="15" t="inlineStr">
        <is>
          <t>推計</t>
        </is>
      </c>
      <c r="D14" s="15" t="inlineStr">
        <is>
          <t>低</t>
        </is>
      </c>
      <c r="E14" s="7" t="inlineStr">
        <is>
          <t>国基準数値と福島県実績の系統が複数あり、どれを用いるかで目標値が変わる</t>
        </is>
      </c>
      <c r="F14" s="7" t="inlineStr">
        <is>
          <t>【一部解消】令和5年度630調査 Ⅲ.2.(11) の受領により、別表第四のCは住所地ベース2,591人（65歳未満901人・65歳以上1,690人）と確定。県第7期計画の長期在院者数と同系統であることも確認。残るのは平均生活日数のNDB通常集計327.1日と公費含む集計323.8日の使い分け</t>
        </is>
      </c>
      <c r="G14" s="7" t="inlineStr">
        <is>
          <t>計画本文には出典・時点・集計区分を必ず併記する。公費含む集計を用いるか否かは県の第8期計画に合わせる</t>
        </is>
      </c>
      <c r="H14" s="15" t="inlineStr">
        <is>
          <t>対応中</t>
        </is>
      </c>
    </row>
    <row r="15" ht="44" customHeight="1">
      <c r="A15" s="6" t="inlineStr">
        <is>
          <t>障害</t>
        </is>
      </c>
      <c r="B15" s="16" t="inlineStr">
        <is>
          <t>R-14</t>
        </is>
      </c>
      <c r="C15" s="16" t="inlineStr">
        <is>
          <t>提供体制</t>
        </is>
      </c>
      <c r="D15" s="31" t="inlineStr">
        <is>
          <t>高</t>
        </is>
      </c>
      <c r="E15" s="9" t="inlineStr">
        <is>
          <t>会津北部圏域の訪問系サービス事業所が本村の1か所のみになっている</t>
        </is>
      </c>
      <c r="F15" s="9" t="inlineStr">
        <is>
          <t>ReMHRAD障害福祉資源によれば、令和7年時点で本村に居宅介護1・重度訪問介護1・生活介護1の事業所がある一方、猪苗代町の居宅介護・重度訪問介護は令和2年の各1か所から0か所へ減った。圏域4町村で訪問系サービスを提供する事業所は本村の1か所のみ。この1か所が撤退すると圏域全体が会津若松市・喜多方市への依存となる</t>
        </is>
      </c>
      <c r="G15" s="9" t="inlineStr">
        <is>
          <t>告示が示す工夫（介護保険事業所への居宅介護指定の働きかけ、共生型サービスの周知、基準該当障害福祉サービス、多機能型・従たる事業所）を骨子案修正版 第5章8 に位置づけた。圏域4町村の担当者会議で各制度の活用可能性と訪問系の提供体制を協議する</t>
        </is>
      </c>
      <c r="H15" s="16" t="inlineStr">
        <is>
          <t>対応中</t>
        </is>
      </c>
    </row>
    <row r="16" ht="44" customHeight="1">
      <c r="A16" s="6" t="inlineStr">
        <is>
          <t>障害</t>
        </is>
      </c>
      <c r="B16" s="15" t="inlineStr">
        <is>
          <t>R-16</t>
        </is>
      </c>
      <c r="C16" s="15" t="inlineStr">
        <is>
          <t>記述</t>
        </is>
      </c>
      <c r="D16" s="15" t="inlineStr">
        <is>
          <t>中</t>
        </is>
      </c>
      <c r="E16" s="7" t="inlineStr">
        <is>
          <t>骨子案・当方資料の「本村には事業所がない」という記述が事実と異なる</t>
        </is>
      </c>
      <c r="F16" s="7" t="inlineStr">
        <is>
          <t>ReMHRAD障害福祉資源で、令和7年時点に居宅介護1・重度訪問介護1・生活介護1の事業所を確認。令和2年時点はいずれも0か所であり、その後の指定と考えられる。骨子案原本の「就労継続支援事業所がなく」「児童発達支援センター0か所」は事実と一致</t>
        </is>
      </c>
      <c r="G16" s="7" t="inlineStr">
        <is>
          <t>骨子案修正版 第5章8 を原典から表を生成する方式に変更済み。事業所名・指定年月・共生型指定の有無・受入可能人数を村に確認する</t>
        </is>
      </c>
      <c r="H16" s="15" t="inlineStr">
        <is>
          <t>対応中</t>
        </is>
      </c>
    </row>
    <row r="17" ht="44" customHeight="1">
      <c r="A17" s="6" t="inlineStr">
        <is>
          <t>障害</t>
        </is>
      </c>
      <c r="B17" s="16" t="inlineStr">
        <is>
          <t>R-13</t>
        </is>
      </c>
      <c r="C17" s="16" t="inlineStr">
        <is>
          <t>財源</t>
        </is>
      </c>
      <c r="D17" s="16" t="inlineStr">
        <is>
          <t>中</t>
        </is>
      </c>
      <c r="E17" s="9" t="inlineStr">
        <is>
          <t>令和8年度・令和9年度の報酬改定により単価前提が動く</t>
        </is>
      </c>
      <c r="F17" s="9" t="inlineStr">
        <is>
          <t>令和8年6月施行の処遇改善加算拡充（月1.0万円＝3.3%＋上乗せ1.0%）とB型基本報酬区分見直し。さらに令和9年度報酬改定が見込まれ、計画期間の初年度に当たる。令和7年度実績単価を据え置くと給付費推計が実勢とずれる</t>
        </is>
      </c>
      <c r="G17" s="9" t="inlineStr">
        <is>
          <t>財源構成案 08シートに改定率パラメータを設置済み。改定内容の確定後に入力する</t>
        </is>
      </c>
      <c r="H17" s="16" t="inlineStr">
        <is>
          <t>対応中</t>
        </is>
      </c>
    </row>
    <row r="18" ht="44" customHeight="1">
      <c r="A18" s="6" t="inlineStr">
        <is>
          <t>障害</t>
        </is>
      </c>
      <c r="B18" s="15" t="inlineStr">
        <is>
          <t>R-8</t>
        </is>
      </c>
      <c r="C18" s="15" t="inlineStr">
        <is>
          <t>品質</t>
        </is>
      </c>
      <c r="D18" s="15" t="inlineStr">
        <is>
          <t>中</t>
        </is>
      </c>
      <c r="E18" s="7" t="inlineStr">
        <is>
          <t>障がい児版調査票のルビ構造により本文が欠落して見える箇所がある</t>
        </is>
      </c>
      <c r="F18" s="7" t="inlineStr">
        <is>
          <t>問1〜問15で語句が欠けて抽出される。Word表示上は正常な可能性もある</t>
        </is>
      </c>
      <c r="G18" s="7" t="inlineStr">
        <is>
          <t>Word上でルビなしテキストとして読んで意味が通るかを確認する</t>
        </is>
      </c>
      <c r="H18" s="15" t="inlineStr">
        <is>
          <t>対応中</t>
        </is>
      </c>
    </row>
    <row r="19" ht="44" customHeight="1">
      <c r="A19" s="6" t="inlineStr">
        <is>
          <t>障害</t>
        </is>
      </c>
      <c r="B19" s="16" t="inlineStr">
        <is>
          <t>R-9</t>
        </is>
      </c>
      <c r="C19" s="16" t="inlineStr">
        <is>
          <t>調査設計</t>
        </is>
      </c>
      <c r="D19" s="16" t="inlineStr">
        <is>
          <t>中</t>
        </is>
      </c>
      <c r="E19" s="9" t="inlineStr">
        <is>
          <t>障がい者票に介護保険・65歳到達に関する設問がない</t>
        </is>
      </c>
      <c r="F19" s="9" t="inlineStr">
        <is>
          <t>令和11年の高齢化率が48.1%となる村で、65歳前後の実態を把握する手段がない</t>
        </is>
      </c>
      <c r="G19" s="9" t="inlineStr">
        <is>
          <t>発送前であれば既存設問への選択肢追加で対応する。追加しない場合は支給決定者台帳での確認に一本化する</t>
        </is>
      </c>
      <c r="H19" s="16" t="inlineStr">
        <is>
          <t>判断待ち</t>
        </is>
      </c>
    </row>
    <row r="20" ht="44" customHeight="1">
      <c r="A20" s="6" t="inlineStr">
        <is>
          <t>障害</t>
        </is>
      </c>
      <c r="B20" s="15" t="inlineStr">
        <is>
          <t>R-11</t>
        </is>
      </c>
      <c r="C20" s="15" t="inlineStr">
        <is>
          <t>調査設計</t>
        </is>
      </c>
      <c r="D20" s="31" t="inlineStr">
        <is>
          <t>高</t>
        </is>
      </c>
      <c r="E20" s="7" t="inlineStr">
        <is>
          <t>第4次障がい者計画の施策目標のうち1指標が測定できない</t>
        </is>
      </c>
      <c r="F20" s="7" t="inlineStr">
        <is>
          <t>「外出目的が趣味・スポーツ・グループ活動である人の割合（28.1%→40%）」について、前回調査にあった外出目的の設問が0728調査票にない</t>
        </is>
      </c>
      <c r="G20" s="7" t="inlineStr">
        <is>
          <t>発送前であれば問13の後に外出目的の設問を追加するか、問45の選択肢を前回に揃える。発送後であれば別の把握方法へ切り替える旨を村と協議する</t>
        </is>
      </c>
      <c r="H20" s="15" t="inlineStr">
        <is>
          <t>判断待ち</t>
        </is>
      </c>
    </row>
    <row r="21" ht="44" customHeight="1">
      <c r="A21" s="6" t="inlineStr">
        <is>
          <t>障害</t>
        </is>
      </c>
      <c r="B21" s="16" t="inlineStr">
        <is>
          <t>R-10</t>
        </is>
      </c>
      <c r="C21" s="16" t="inlineStr">
        <is>
          <t>供給</t>
        </is>
      </c>
      <c r="D21" s="16" t="inlineStr">
        <is>
          <t>中</t>
        </is>
      </c>
      <c r="E21" s="9" t="inlineStr">
        <is>
          <t>圏域事業所の受入可能量が見込量の上限になる</t>
        </is>
      </c>
      <c r="F21" s="9" t="inlineStr">
        <is>
          <t>村内に事業所がなく、送迎・人材・定員が制約となる</t>
        </is>
      </c>
      <c r="G21" s="9" t="inlineStr">
        <is>
          <t>圏域事業所へ照会し、利用希望量と利用可能量を分けて管理する</t>
        </is>
      </c>
      <c r="H21" s="16" t="inlineStr">
        <is>
          <t>未着手</t>
        </is>
      </c>
    </row>
    <row r="22" ht="44" customHeight="1">
      <c r="A22" s="6" t="inlineStr">
        <is>
          <t>障害</t>
        </is>
      </c>
      <c r="B22" s="15" t="inlineStr">
        <is>
          <t>R-17</t>
        </is>
      </c>
      <c r="C22" s="15" t="inlineStr">
        <is>
          <t>調査設計</t>
        </is>
      </c>
      <c r="D22" s="15" t="inlineStr">
        <is>
          <t>中</t>
        </is>
      </c>
      <c r="E22" s="7" t="inlineStr">
        <is>
          <t>就労選択支援の設問（障がい者版 問36）が削除されると、圏域確保の根拠が窓口相談実績に限られる</t>
        </is>
      </c>
      <c r="F22" s="7" t="inlineStr">
        <is>
          <t>村は「会津管内に事業所がないため設問不要」と判断。しかし基本指針は令和11年度末までに各市町村又は各圏域に1事業所以上の設置を目指すとしており（全国目標は令和11年度に年間82,000人）、事業所がないことは計画に書くべき課題である。選択肢6「制度を知らない」は認知度そのもののデータで、事業所の有無とは独立して意味がある</t>
        </is>
      </c>
      <c r="G22" s="7" t="inlineStr">
        <is>
          <t>村に再考を依頼済み。削除する場合でも、第5章の確保方策に「圏域内に事業所がないため会津若松地方の広域調整により確保を図る」旨を記載する（骨子案修正版 第4章(3)に反映済み）</t>
        </is>
      </c>
      <c r="H22" s="15" t="inlineStr">
        <is>
          <t>判断待ち</t>
        </is>
      </c>
    </row>
    <row r="23" ht="44" customHeight="1">
      <c r="A23" s="6" t="inlineStr">
        <is>
          <t>障害</t>
        </is>
      </c>
      <c r="B23" s="16" t="inlineStr">
        <is>
          <t>R-18</t>
        </is>
      </c>
      <c r="C23" s="16" t="inlineStr">
        <is>
          <t>整合</t>
        </is>
      </c>
      <c r="D23" s="16" t="inlineStr">
        <is>
          <t>中</t>
        </is>
      </c>
      <c r="E23" s="9" t="inlineStr">
        <is>
          <t>個別避難計画0件が第4次障がい者計画の指標と矛盾する可能性がある</t>
        </is>
      </c>
      <c r="F23" s="9" t="inlineStr">
        <is>
          <t>第4次障がい者計画は「個別避難計画作成 現状1件→令和11年度10件」を指標としているが、令和8年8月の村の朱書きは「作成者なし」としている。計画策定時の1件がその後失効したのか、集計方法が異なるのかが不明</t>
        </is>
      </c>
      <c r="G23" s="9" t="inlineStr">
        <is>
          <t>村に確認する。第4次障がい者計画は改定対象外だが、第8期計画の第3章5（目標値と進捗管理）で現状値を示す際に整合が必要</t>
        </is>
      </c>
      <c r="H23" s="16" t="inlineStr">
        <is>
          <t>未着手</t>
        </is>
      </c>
    </row>
    <row r="24" ht="44" customHeight="1">
      <c r="A24" s="6" t="inlineStr">
        <is>
          <t>障害</t>
        </is>
      </c>
      <c r="B24" s="15" t="inlineStr">
        <is>
          <t>R-19</t>
        </is>
      </c>
      <c r="C24" s="15" t="inlineStr">
        <is>
          <t>調査設計</t>
        </is>
      </c>
      <c r="D24" s="15" t="inlineStr">
        <is>
          <t>低</t>
        </is>
      </c>
      <c r="E24" s="7" t="inlineStr">
        <is>
          <t>障がい児版の設問番号に誤りがある</t>
        </is>
      </c>
      <c r="F24" s="7" t="inlineStr">
        <is>
          <t>問11の選択肢番号「13」が2つある（「自傷、他害、強いこだわり、パニックなどへの対応」と「特にない」）。問10の選択肢番号は「3」が欠番。いずれも村の朱書きとは別に、通読して気づいたもの</t>
        </is>
      </c>
      <c r="G24" s="7" t="inlineStr">
        <is>
          <t>調査票担当へ申し送り済み。印刷前に番号を振り直す。問10は問8との統合指示があるため、統合時に整理する</t>
        </is>
      </c>
      <c r="H24" s="15" t="inlineStr">
        <is>
          <t>対応中</t>
        </is>
      </c>
    </row>
    <row r="26" ht="44" customHeight="1">
      <c r="A26" s="8" t="inlineStr">
        <is>
          <t>高齢者</t>
        </is>
      </c>
      <c r="B26" s="15" t="inlineStr">
        <is>
          <t>K-1</t>
        </is>
      </c>
      <c r="C26" s="15" t="inlineStr">
        <is>
          <t>契約</t>
        </is>
      </c>
      <c r="D26" s="31" t="inlineStr">
        <is>
          <t>高</t>
        </is>
      </c>
      <c r="E26" s="7" t="inlineStr">
        <is>
          <t>高齢者分野の業務委託仕様書が当方の手元にない</t>
        </is>
      </c>
      <c r="F26" s="7" t="inlineStr">
        <is>
          <t>受注範囲、成果品、期限、打合せ回数、費用負担の区分がいずれも不明。本ブックの01シートは介護保険法・老人福祉法に基づく標準構成を置いたものであり、実際の契約と一致する保証がない</t>
        </is>
      </c>
      <c r="G26" s="7" t="inlineStr">
        <is>
          <t>仕様書・契約書の写しをご提供ください。受領しだい01シートを差し替えます</t>
        </is>
      </c>
      <c r="H26" s="15" t="inlineStr">
        <is>
          <t>未着手</t>
        </is>
      </c>
    </row>
    <row r="27" ht="44" customHeight="1">
      <c r="A27" s="8" t="inlineStr">
        <is>
          <t>高齢者</t>
        </is>
      </c>
      <c r="B27" s="16" t="inlineStr">
        <is>
          <t>K-2</t>
        </is>
      </c>
      <c r="C27" s="16" t="inlineStr">
        <is>
          <t>工程</t>
        </is>
      </c>
      <c r="D27" s="31" t="inlineStr">
        <is>
          <t>高</t>
        </is>
      </c>
      <c r="E27" s="9" t="inlineStr">
        <is>
          <t>国の基本指針の告示前に着手できる範囲が未確定</t>
        </is>
      </c>
      <c r="F27" s="9" t="inlineStr">
        <is>
          <t>介護保険事業計画の基本指針は第9期が令和6年1月に告示（日付は要確認）。第10期も同時期であれば、計画内容の確定は令和9年1〜2月以降となる。告示前に固められる部分（基礎調査・実態調査・現行計画評価）と固められない部分（重点施策・成果目標）の切り分けが必要</t>
        </is>
      </c>
      <c r="G27" s="9" t="inlineStr">
        <is>
          <t>第10期基本指針の告示予定時期を確認し、告示前後で工程を二段構えにする</t>
        </is>
      </c>
      <c r="H27" s="16" t="inlineStr">
        <is>
          <t>未着手</t>
        </is>
      </c>
    </row>
    <row r="28" ht="44" customHeight="1">
      <c r="A28" s="8" t="inlineStr">
        <is>
          <t>高齢者</t>
        </is>
      </c>
      <c r="B28" s="15" t="inlineStr">
        <is>
          <t>K-3</t>
        </is>
      </c>
      <c r="C28" s="15" t="inlineStr">
        <is>
          <t>工程</t>
        </is>
      </c>
      <c r="D28" s="31" t="inlineStr">
        <is>
          <t>高</t>
        </is>
      </c>
      <c r="E28" s="7" t="inlineStr">
        <is>
          <t>策定委員会とパブリックコメントが障害計画と同時期に重なる</t>
        </is>
      </c>
      <c r="F28" s="7" t="inlineStr">
        <is>
          <t>介護保険事業計画も障がい福祉計画も計画期間が令和9〜11年度で一致するため、策定委員会・パブコメ・計画書作成が令和9年1〜3月に集中する。同一担当者が両方を抱えると資料作成が輻輳する</t>
        </is>
      </c>
      <c r="G28" s="7" t="inlineStr">
        <is>
          <t>両計画の会議日程を早期に把握し、資料作成の山を前倒しする。基礎データ・人口推計の前提は共通化して二度手間を避ける</t>
        </is>
      </c>
      <c r="H28" s="15" t="inlineStr">
        <is>
          <t>未着手</t>
        </is>
      </c>
    </row>
    <row r="29" ht="44" customHeight="1">
      <c r="A29" s="8" t="inlineStr">
        <is>
          <t>高齢者</t>
        </is>
      </c>
      <c r="B29" s="16" t="inlineStr">
        <is>
          <t>K-4</t>
        </is>
      </c>
      <c r="C29" s="16" t="inlineStr">
        <is>
          <t>算定</t>
        </is>
      </c>
      <c r="D29" s="16" t="inlineStr">
        <is>
          <t>中</t>
        </is>
      </c>
      <c r="E29" s="9" t="inlineStr">
        <is>
          <t>保険料算定は国のワークシート配布まで着手できない</t>
        </is>
      </c>
      <c r="F29" s="9" t="inlineStr">
        <is>
          <t>第1号被保険者保険料の算定は国が配布する算定ワークシートを用いるのが通例で、配布時期が年明けになると年度末に作業が集中する</t>
        </is>
      </c>
      <c r="G29" s="9" t="inlineStr">
        <is>
          <t>準備基金の残高・取崩し方針を先に発注者と詰め、ワークシート配布後は入力と試算に専念できる状態にしておく</t>
        </is>
      </c>
      <c r="H29" s="16" t="inlineStr">
        <is>
          <t>未着手</t>
        </is>
      </c>
    </row>
    <row r="30" ht="44" customHeight="1">
      <c r="A30" s="8" t="inlineStr">
        <is>
          <t>高齢者</t>
        </is>
      </c>
      <c r="B30" s="15" t="inlineStr">
        <is>
          <t>K-5</t>
        </is>
      </c>
      <c r="C30" s="15" t="inlineStr">
        <is>
          <t>管理</t>
        </is>
      </c>
      <c r="D30" s="15" t="inlineStr">
        <is>
          <t>中</t>
        </is>
      </c>
      <c r="E30" s="7" t="inlineStr">
        <is>
          <t>本ブックの体裁を合わせる元のファイル（大雪広域の進捗管理）が無い</t>
        </is>
      </c>
      <c r="F30" s="7" t="inlineStr">
        <is>
          <t>「大雪広域の業務進捗と同様に」というご指示に対し、当該ファイルが本ワークスペースに存在しないため、障害分野で運用中の管理構造（仕様書条項別・工程表・成果品・資料受領・課題）をそのまま2分野へ拡張した</t>
        </is>
      </c>
      <c r="G30" s="7" t="inlineStr">
        <is>
          <t>大雪広域の進捗管理ブックをご提供いただければ、列構成・状態区分・集計方法をそちらに合わせて作り直します</t>
        </is>
      </c>
      <c r="H30" s="15" t="inlineStr">
        <is>
          <t>対応中</t>
        </is>
      </c>
    </row>
  </sheetData>
  <autoFilter ref="A5:H30"/>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34" customWidth="1" min="1" max="1"/>
    <col width="56" customWidth="1" min="2" max="2"/>
    <col width="56" customWidth="1" min="3" max="3"/>
  </cols>
  <sheetData>
    <row r="1" ht="30" customHeight="1">
      <c r="A1" s="1" t="inlineStr">
        <is>
          <t>高齢者計画と障害計画の関係</t>
        </is>
      </c>
    </row>
    <row r="2" ht="30" customHeight="1">
      <c r="A2" s="2" t="inlineStr">
        <is>
          <t>2つの計画を1人で見ることの利点と注意点を整理しました。仕様書が無くても先に押さえられる論点です。</t>
        </is>
      </c>
    </row>
    <row r="5" ht="30" customHeight="1">
      <c r="A5" s="4" t="inlineStr">
        <is>
          <t>論点</t>
        </is>
      </c>
      <c r="B5" s="4" t="inlineStr">
        <is>
          <t>内容</t>
        </is>
      </c>
      <c r="C5" s="4" t="inlineStr">
        <is>
          <t>2計画にまたがる意味</t>
        </is>
      </c>
    </row>
    <row r="6" ht="70" customHeight="1">
      <c r="A6" s="7" t="inlineStr">
        <is>
          <t>計画期間が障害計画と完全に一致する</t>
        </is>
      </c>
      <c r="B6" s="7" t="inlineStr">
        <is>
          <t>介護保険事業計画は介護保険法第117条により3年1期。第9期が令和6〜8年度であるため、次期は第10期＝令和9〜11年度となり、第8期障がい福祉計画（令和9〜11年度）と計画期間が完全に一致する。</t>
        </is>
      </c>
      <c r="C6" s="7" t="inlineStr">
        <is>
          <t>2計画の工程を揃えられる。基礎データの収集、将来推計の人口前提、策定委員会・パブコメの時期を共通化すると、両計画で二重に村・連合へ照会する手間が省ける</t>
        </is>
      </c>
    </row>
    <row r="7" ht="70" customHeight="1">
      <c r="A7" s="9" t="inlineStr">
        <is>
          <t>基本指針の告示時期が両計画のクリティカルパスになる</t>
        </is>
      </c>
      <c r="B7" s="9" t="inlineStr">
        <is>
          <t>障害福祉計画の基本指針は令和8年3月31日に告示済み（こども家庭庁・厚生労働省告示第4号）。介護保険事業計画の基本指針は、第9期が令和6年1月に告示されたことから、第10期は令和9年1月頃の告示が見込まれる。第9期の告示日及び第10期の告示予定時期は原典で要確認。</t>
        </is>
      </c>
      <c r="C7" s="9" t="inlineStr">
        <is>
          <t>障害は指針が確定済みで先行できるが、高齢者は指針前に固められる部分と固められない部分の切り分けが必要。告示前は前期の指針と社会保障審議会介護保険部会の資料をもとに仮置きし、告示後に差し替える工程を組む</t>
        </is>
      </c>
    </row>
    <row r="8" ht="70" customHeight="1">
      <c r="A8" s="7" t="inlineStr">
        <is>
          <t>保険料算定が高齢者側の最大の山場</t>
        </is>
      </c>
      <c r="B8" s="7" t="inlineStr">
        <is>
          <t>第1号被保険者の保険料は、サービス見込量→給付費→標準給付費見込額→第1号被保険者負担分→準備基金取崩し→所得段階別保険料という順に積み上げる。国の算定ワークシートの配布時期が工程を規定する。</t>
        </is>
      </c>
      <c r="C8" s="7" t="inlineStr">
        <is>
          <t>障害計画には対応する工程がない（自立支援給付は義務的経費で国1/2・県1/4・市町村1/4の法定負担）。高齢者側だけ年明けに山が来る</t>
        </is>
      </c>
    </row>
    <row r="9" ht="70" customHeight="1">
      <c r="A9" s="9" t="inlineStr">
        <is>
          <t>実態調査の設計思想が異なる</t>
        </is>
      </c>
      <c r="B9" s="9" t="inlineStr">
        <is>
          <t>介護保険は国が標準調査票（介護予防・日常生活圏域ニーズ調査、在宅介護実態調査）を示しており、経年比較・全国比較のため標準設問を維持する要請が強い。</t>
        </is>
      </c>
      <c r="C9" s="9" t="inlineStr">
        <is>
          <t>障害は「厚生労働省が示す調査項目及び過去調査内容を踏まえて設計し、委託者との協議の上決定」（仕様書Ⅰ(2)）であり自由度が高い。調査票の作り込みにかける工数配分が両者で異なる</t>
        </is>
      </c>
    </row>
    <row r="10" ht="70" customHeight="1">
      <c r="A10" s="7" t="inlineStr">
        <is>
          <t>共生型サービス・65歳到達が両計画の接点</t>
        </is>
      </c>
      <c r="B10" s="7" t="inlineStr">
        <is>
          <t>障害福祉サービス利用者が65歳に到達すると介護保険優先原則（障害者総合支援法第7条）が適用される。共生型サービス（平成30年創設）は介護保険の訪問介護・通所介護等が障害福祉の指定を受けやすくする仕組み。</t>
        </is>
      </c>
      <c r="C10" s="7" t="inlineStr">
        <is>
          <t>両計画で同じ人を扱う。障害トラックではdocs/北塩原村_年齢到達による給付移行_調査報告.md に整理済み。高齢者側の計画にも共生型サービスの記載を求められる可能性がある</t>
        </is>
      </c>
    </row>
    <row r="12" ht="52" customHeight="1">
      <c r="A12" s="2" t="inlineStr">
        <is>
          <t>介護保険事業計画の期は介護保険法第117条により3年1期です。第9期が令和6〜8年度であることから次期は第10期＝令和9〜11年度となり、第8期障がい福祉計画（令和9〜11年度）と計画期間が完全に一致します。第9期基本指針の告示日及び第10期の告示予定時期は本ワークスペースで原典を確認できていないため、類推として扱ってください。</t>
        </is>
      </c>
    </row>
  </sheetData>
  <mergeCells count="3">
    <mergeCell ref="A1:C1"/>
    <mergeCell ref="A2:C2"/>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2026-08-18T01:52:56Z</dcterms:created>
  <dcterms:modified xmlns:dcterms="http://purl.org/dc/terms/" xmlns:xsi="http://www.w3.org/2001/XMLSchema-instance" xsi:type="dcterms:W3CDTF">2026-08-18T01:52:56Z</dcterms:modified>
</cp:coreProperties>
</file>