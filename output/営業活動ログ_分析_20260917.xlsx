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5.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サマリー" sheetId="1" state="visible" r:id="rId3"/>
    <sheet name="①週次活動量" sheetId="2" state="visible" r:id="rId4"/>
    <sheet name="②個人別案件数" sheetId="3" state="visible" r:id="rId5"/>
    <sheet name="③再訪不要_要因分析" sheetId="4" state="visible" r:id="rId6"/>
    <sheet name="④再訪不要_明細" sheetId="5" state="visible" r:id="rId7"/>
    <sheet name="⑤北海道_活動停止要因" sheetId="6" state="visible" r:id="rId8"/>
    <sheet name="前提・注記" sheetId="7" state="visible" r:id="rId9"/>
    <sheet name="データ" sheetId="8" state="visible" r:id="rId10"/>
  </sheets>
  <definedNames>
    <definedName function="false" hidden="true" localSheetId="4" name="_xlnm._FilterDatabase" vbProcedure="false">④再訪不要_明細!$B$5:$I$107</definedName>
    <definedName function="false" hidden="true" localSheetId="7" name="_xlnm._FilterDatabase" vbProcedure="false">データ!$A$1:$P$451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<sst xmlns="http://schemas.openxmlformats.org/spreadsheetml/2006/main" count="7430" uniqueCount="885">
  <si>
    <t xml:space="preserve">営業活動ログ 分析サマリー</t>
  </si>
  <si>
    <r>
      <rPr>
        <sz val="9"/>
        <color rgb="FF595959"/>
        <rFont val="WenQuanYi Zen Hei"/>
        <family val="2"/>
      </rPr>
      <t xml:space="preserve">対象：訪問活動ログ </t>
    </r>
    <r>
      <rPr>
        <sz val="9"/>
        <color rgb="FF595959"/>
        <rFont val="游ゴシック"/>
        <family val="0"/>
        <charset val="1"/>
      </rPr>
      <t xml:space="preserve">450</t>
    </r>
    <r>
      <rPr>
        <sz val="9"/>
        <color rgb="FF595959"/>
        <rFont val="WenQuanYi Zen Hei"/>
        <family val="2"/>
      </rPr>
      <t xml:space="preserve">件（</t>
    </r>
    <r>
      <rPr>
        <sz val="9"/>
        <color rgb="FF595959"/>
        <rFont val="游ゴシック"/>
        <family val="0"/>
        <charset val="1"/>
      </rPr>
      <t xml:space="preserve">2026/03/19</t>
    </r>
    <r>
      <rPr>
        <sz val="9"/>
        <color rgb="FF595959"/>
        <rFont val="WenQuanYi Zen Hei"/>
        <family val="2"/>
      </rPr>
      <t xml:space="preserve">〜</t>
    </r>
    <r>
      <rPr>
        <sz val="9"/>
        <color rgb="FF595959"/>
        <rFont val="游ゴシック"/>
        <family val="0"/>
        <charset val="1"/>
      </rPr>
      <t xml:space="preserve">2026/09/16</t>
    </r>
    <r>
      <rPr>
        <sz val="9"/>
        <color rgb="FF595959"/>
        <rFont val="WenQuanYi Zen Hei"/>
        <family val="2"/>
      </rPr>
      <t xml:space="preserve">）　基準日 </t>
    </r>
    <r>
      <rPr>
        <sz val="9"/>
        <color rgb="FF595959"/>
        <rFont val="游ゴシック"/>
        <family val="0"/>
        <charset val="1"/>
      </rPr>
      <t xml:space="preserve">2026/09/17</t>
    </r>
  </si>
  <si>
    <t xml:space="preserve">① 今週の活動量</t>
  </si>
  <si>
    <t xml:space="preserve">区分</t>
  </si>
  <si>
    <t xml:space="preserve">活動件数</t>
  </si>
  <si>
    <t xml:space="preserve">団体数</t>
  </si>
  <si>
    <t xml:space="preserve">稼働者数</t>
  </si>
  <si>
    <t xml:space="preserve">再アプローチ</t>
  </si>
  <si>
    <t xml:space="preserve">見積提示</t>
  </si>
  <si>
    <t xml:space="preserve">再訪不要</t>
  </si>
  <si>
    <r>
      <rPr>
        <b val="true"/>
        <sz val="10"/>
        <color rgb="FF000000"/>
        <rFont val="WenQuanYi Zen Hei"/>
        <family val="2"/>
      </rPr>
      <t xml:space="preserve">今週（</t>
    </r>
    <r>
      <rPr>
        <b val="true"/>
        <sz val="10"/>
        <color rgb="FF000000"/>
        <rFont val="游ゴシック"/>
        <family val="0"/>
        <charset val="1"/>
      </rPr>
      <t xml:space="preserve">9/14</t>
    </r>
    <r>
      <rPr>
        <b val="true"/>
        <sz val="10"/>
        <color rgb="FF000000"/>
        <rFont val="WenQuanYi Zen Hei"/>
        <family val="2"/>
      </rPr>
      <t xml:space="preserve">〜、</t>
    </r>
    <r>
      <rPr>
        <b val="true"/>
        <sz val="10"/>
        <color rgb="FF000000"/>
        <rFont val="游ゴシック"/>
        <family val="0"/>
        <charset val="1"/>
      </rPr>
      <t xml:space="preserve">3</t>
    </r>
    <r>
      <rPr>
        <b val="true"/>
        <sz val="10"/>
        <color rgb="FF000000"/>
        <rFont val="WenQuanYi Zen Hei"/>
        <family val="2"/>
      </rPr>
      <t xml:space="preserve">日分）</t>
    </r>
  </si>
  <si>
    <r>
      <rPr>
        <sz val="10"/>
        <color rgb="FF000000"/>
        <rFont val="WenQuanYi Zen Hei"/>
        <family val="2"/>
      </rPr>
      <t xml:space="preserve">先週（</t>
    </r>
    <r>
      <rPr>
        <sz val="10"/>
        <color rgb="FF000000"/>
        <rFont val="游ゴシック"/>
        <family val="0"/>
        <charset val="1"/>
      </rPr>
      <t xml:space="preserve">9/07</t>
    </r>
    <r>
      <rPr>
        <sz val="10"/>
        <color rgb="FF000000"/>
        <rFont val="WenQuanYi Zen Hei"/>
        <family val="2"/>
      </rPr>
      <t xml:space="preserve">〜）</t>
    </r>
  </si>
  <si>
    <r>
      <rPr>
        <sz val="10"/>
        <color rgb="FF000000"/>
        <rFont val="WenQuanYi Zen Hei"/>
        <family val="2"/>
      </rPr>
      <t xml:space="preserve">前々週（</t>
    </r>
    <r>
      <rPr>
        <sz val="10"/>
        <color rgb="FF000000"/>
        <rFont val="游ゴシック"/>
        <family val="0"/>
        <charset val="1"/>
      </rPr>
      <t xml:space="preserve">8/31</t>
    </r>
    <r>
      <rPr>
        <sz val="10"/>
        <color rgb="FF000000"/>
        <rFont val="WenQuanYi Zen Hei"/>
        <family val="2"/>
      </rPr>
      <t xml:space="preserve">〜）</t>
    </r>
  </si>
  <si>
    <r>
      <rPr>
        <sz val="9"/>
        <color rgb="FF595959"/>
        <rFont val="游ゴシック"/>
        <family val="0"/>
        <charset val="1"/>
      </rPr>
      <t xml:space="preserve">→ 8/24</t>
    </r>
    <r>
      <rPr>
        <sz val="9"/>
        <color rgb="FF595959"/>
        <rFont val="WenQuanYi Zen Hei"/>
        <family val="2"/>
      </rPr>
      <t xml:space="preserve">週</t>
    </r>
    <r>
      <rPr>
        <sz val="9"/>
        <color rgb="FF595959"/>
        <rFont val="游ゴシック"/>
        <family val="0"/>
        <charset val="1"/>
      </rPr>
      <t xml:space="preserve">109</t>
    </r>
    <r>
      <rPr>
        <sz val="9"/>
        <color rgb="FF595959"/>
        <rFont val="WenQuanYi Zen Hei"/>
        <family val="2"/>
      </rPr>
      <t xml:space="preserve">件をピークに </t>
    </r>
    <r>
      <rPr>
        <sz val="9"/>
        <color rgb="FF595959"/>
        <rFont val="游ゴシック"/>
        <family val="0"/>
        <charset val="1"/>
      </rPr>
      <t xml:space="preserve">85→35→17</t>
    </r>
    <r>
      <rPr>
        <sz val="9"/>
        <color rgb="FF595959"/>
        <rFont val="WenQuanYi Zen Hei"/>
        <family val="2"/>
      </rPr>
      <t xml:space="preserve">件と減少。稼働者数も</t>
    </r>
    <r>
      <rPr>
        <sz val="9"/>
        <color rgb="FF595959"/>
        <rFont val="游ゴシック"/>
        <family val="0"/>
        <charset val="1"/>
      </rPr>
      <t xml:space="preserve">9→7→5→3</t>
    </r>
    <r>
      <rPr>
        <sz val="9"/>
        <color rgb="FF595959"/>
        <rFont val="WenQuanYi Zen Hei"/>
        <family val="2"/>
      </rPr>
      <t xml:space="preserve">名と連動しており、</t>
    </r>
    <r>
      <rPr>
        <sz val="9"/>
        <color rgb="FF595959"/>
        <rFont val="游ゴシック"/>
        <family val="0"/>
        <charset val="1"/>
      </rPr>
      <t xml:space="preserve">1</t>
    </r>
    <r>
      <rPr>
        <sz val="9"/>
        <color rgb="FF595959"/>
        <rFont val="WenQuanYi Zen Hei"/>
        <family val="2"/>
      </rPr>
      <t xml:space="preserve">人</t>
    </r>
    <r>
      <rPr>
        <sz val="9"/>
        <color rgb="FF595959"/>
        <rFont val="游ゴシック"/>
        <family val="0"/>
        <charset val="1"/>
      </rPr>
      <t xml:space="preserve">1</t>
    </r>
    <r>
      <rPr>
        <sz val="9"/>
        <color rgb="FF595959"/>
        <rFont val="WenQuanYi Zen Hei"/>
        <family val="2"/>
      </rPr>
      <t xml:space="preserve">日あたりの件数（約</t>
    </r>
    <r>
      <rPr>
        <sz val="9"/>
        <color rgb="FF595959"/>
        <rFont val="游ゴシック"/>
        <family val="0"/>
        <charset val="1"/>
      </rPr>
      <t xml:space="preserve">2</t>
    </r>
    <r>
      <rPr>
        <sz val="9"/>
        <color rgb="FF595959"/>
        <rFont val="WenQuanYi Zen Hei"/>
        <family val="2"/>
      </rPr>
      <t xml:space="preserve">件）はほぼ横ばい。活動量の減少は「人が動いていない」ことが主因。</t>
    </r>
  </si>
  <si>
    <t xml:space="preserve">② 個人ごとの案件数（上位）</t>
  </si>
  <si>
    <t xml:space="preserve">入力者</t>
  </si>
  <si>
    <r>
      <rPr>
        <b val="true"/>
        <sz val="10"/>
        <color rgb="FFFFFFFF"/>
        <rFont val="游ゴシック"/>
        <family val="0"/>
        <charset val="1"/>
      </rPr>
      <t xml:space="preserve">1</t>
    </r>
    <r>
      <rPr>
        <b val="true"/>
        <sz val="10"/>
        <color rgb="FFFFFFFF"/>
        <rFont val="WenQuanYi Zen Hei"/>
        <family val="2"/>
      </rPr>
      <t xml:space="preserve">日あたり</t>
    </r>
  </si>
  <si>
    <t xml:space="preserve">再訪不要率</t>
  </si>
  <si>
    <r>
      <rPr>
        <b val="true"/>
        <sz val="10"/>
        <color rgb="FFFFFFFF"/>
        <rFont val="WenQuanYi Zen Hei"/>
        <family val="2"/>
      </rPr>
      <t xml:space="preserve">直近</t>
    </r>
    <r>
      <rPr>
        <b val="true"/>
        <sz val="10"/>
        <color rgb="FFFFFFFF"/>
        <rFont val="游ゴシック"/>
        <family val="0"/>
        <charset val="1"/>
      </rPr>
      <t xml:space="preserve">2</t>
    </r>
    <r>
      <rPr>
        <b val="true"/>
        <sz val="10"/>
        <color rgb="FFFFFFFF"/>
        <rFont val="WenQuanYi Zen Hei"/>
        <family val="2"/>
      </rPr>
      <t xml:space="preserve">週</t>
    </r>
  </si>
  <si>
    <t xml:space="preserve">林</t>
  </si>
  <si>
    <t xml:space="preserve">相澤</t>
  </si>
  <si>
    <t xml:space="preserve">村田</t>
  </si>
  <si>
    <t xml:space="preserve">角張</t>
  </si>
  <si>
    <t xml:space="preserve">長戸</t>
  </si>
  <si>
    <t xml:space="preserve">松田</t>
  </si>
  <si>
    <t xml:space="preserve">高橋</t>
  </si>
  <si>
    <t xml:space="preserve">岡本</t>
  </si>
  <si>
    <t xml:space="preserve">吉野</t>
  </si>
  <si>
    <t xml:space="preserve">若山</t>
  </si>
  <si>
    <t xml:space="preserve">計</t>
  </si>
  <si>
    <r>
      <rPr>
        <sz val="9"/>
        <color rgb="FF595959"/>
        <rFont val="WenQuanYi Zen Hei"/>
        <family val="2"/>
      </rPr>
      <t xml:space="preserve">→ 活動量は林・相澤・村田の</t>
    </r>
    <r>
      <rPr>
        <sz val="9"/>
        <color rgb="FF595959"/>
        <rFont val="游ゴシック"/>
        <family val="0"/>
        <charset val="1"/>
      </rPr>
      <t xml:space="preserve">3</t>
    </r>
    <r>
      <rPr>
        <sz val="9"/>
        <color rgb="FF595959"/>
        <rFont val="WenQuanYi Zen Hei"/>
        <family val="2"/>
      </rPr>
      <t xml:space="preserve">名で</t>
    </r>
    <r>
      <rPr>
        <sz val="9"/>
        <color rgb="FF595959"/>
        <rFont val="游ゴシック"/>
        <family val="0"/>
        <charset val="1"/>
      </rPr>
      <t xml:space="preserve">272</t>
    </r>
    <r>
      <rPr>
        <sz val="9"/>
        <color rgb="FF595959"/>
        <rFont val="WenQuanYi Zen Hei"/>
        <family val="2"/>
      </rPr>
      <t xml:space="preserve">件（全体の</t>
    </r>
    <r>
      <rPr>
        <sz val="9"/>
        <color rgb="FF595959"/>
        <rFont val="游ゴシック"/>
        <family val="0"/>
        <charset val="1"/>
      </rPr>
      <t xml:space="preserve">6</t>
    </r>
    <r>
      <rPr>
        <sz val="9"/>
        <color rgb="FF595959"/>
        <rFont val="WenQuanYi Zen Hei"/>
        <family val="2"/>
      </rPr>
      <t xml:space="preserve">割）。ただし林は直近</t>
    </r>
    <r>
      <rPr>
        <sz val="9"/>
        <color rgb="FF595959"/>
        <rFont val="游ゴシック"/>
        <family val="0"/>
        <charset val="1"/>
      </rPr>
      <t xml:space="preserve">2</t>
    </r>
    <r>
      <rPr>
        <sz val="9"/>
        <color rgb="FF595959"/>
        <rFont val="WenQuanYi Zen Hei"/>
        <family val="2"/>
      </rPr>
      <t xml:space="preserve">週ゼロ。相澤は</t>
    </r>
    <r>
      <rPr>
        <sz val="9"/>
        <color rgb="FF595959"/>
        <rFont val="游ゴシック"/>
        <family val="0"/>
        <charset val="1"/>
      </rPr>
      <t xml:space="preserve">1</t>
    </r>
    <r>
      <rPr>
        <sz val="9"/>
        <color rgb="FF595959"/>
        <rFont val="WenQuanYi Zen Hei"/>
        <family val="2"/>
      </rPr>
      <t xml:space="preserve">日</t>
    </r>
    <r>
      <rPr>
        <sz val="9"/>
        <color rgb="FF595959"/>
        <rFont val="游ゴシック"/>
        <family val="0"/>
        <charset val="1"/>
      </rPr>
      <t xml:space="preserve">7.1</t>
    </r>
    <r>
      <rPr>
        <sz val="9"/>
        <color rgb="FF595959"/>
        <rFont val="WenQuanYi Zen Hei"/>
        <family val="2"/>
      </rPr>
      <t xml:space="preserve">件・再訪不要率</t>
    </r>
    <r>
      <rPr>
        <sz val="9"/>
        <color rgb="FF595959"/>
        <rFont val="游ゴシック"/>
        <family val="0"/>
        <charset val="1"/>
      </rPr>
      <t xml:space="preserve">7.7%</t>
    </r>
    <r>
      <rPr>
        <sz val="9"/>
        <color rgb="FF595959"/>
        <rFont val="WenQuanYi Zen Hei"/>
        <family val="2"/>
      </rPr>
      <t xml:space="preserve">で量と質が両立。村田は再訪不要率</t>
    </r>
    <r>
      <rPr>
        <sz val="9"/>
        <color rgb="FF595959"/>
        <rFont val="游ゴシック"/>
        <family val="0"/>
        <charset val="1"/>
      </rPr>
      <t xml:space="preserve">52.5%</t>
    </r>
    <r>
      <rPr>
        <sz val="9"/>
        <color rgb="FF595959"/>
        <rFont val="WenQuanYi Zen Hei"/>
        <family val="2"/>
      </rPr>
      <t xml:space="preserve">で突出。</t>
    </r>
  </si>
  <si>
    <t xml:space="preserve">③ 再訪不要の要因（大分類）</t>
  </si>
  <si>
    <t xml:space="preserve">大分類</t>
  </si>
  <si>
    <t xml:space="preserve">件数</t>
  </si>
  <si>
    <t xml:space="preserve">構成比</t>
  </si>
  <si>
    <t xml:space="preserve">主な内容</t>
  </si>
  <si>
    <t xml:space="preserve">他社受託</t>
  </si>
  <si>
    <r>
      <rPr>
        <sz val="10"/>
        <color rgb="FF000000"/>
        <rFont val="WenQuanYi Zen Hei"/>
        <family val="2"/>
      </rPr>
      <t xml:space="preserve">システム保守に抱き合わせ</t>
    </r>
    <r>
      <rPr>
        <sz val="10"/>
        <color rgb="FF000000"/>
        <rFont val="游ゴシック"/>
        <family val="0"/>
        <charset val="1"/>
      </rPr>
      <t xml:space="preserve">22</t>
    </r>
    <r>
      <rPr>
        <sz val="10"/>
        <color rgb="FF000000"/>
        <rFont val="WenQuanYi Zen Hei"/>
        <family val="2"/>
      </rPr>
      <t xml:space="preserve">件／随契・委託継続</t>
    </r>
    <r>
      <rPr>
        <sz val="10"/>
        <color rgb="FF000000"/>
        <rFont val="游ゴシック"/>
        <family val="0"/>
        <charset val="1"/>
      </rPr>
      <t xml:space="preserve">14</t>
    </r>
    <r>
      <rPr>
        <sz val="10"/>
        <color rgb="FF000000"/>
        <rFont val="WenQuanYi Zen Hei"/>
        <family val="2"/>
      </rPr>
      <t xml:space="preserve">件／入札実績要件</t>
    </r>
    <r>
      <rPr>
        <sz val="10"/>
        <color rgb="FF000000"/>
        <rFont val="游ゴシック"/>
        <family val="0"/>
        <charset val="1"/>
      </rPr>
      <t xml:space="preserve">1</t>
    </r>
    <r>
      <rPr>
        <sz val="10"/>
        <color rgb="FF000000"/>
        <rFont val="WenQuanYi Zen Hei"/>
        <family val="2"/>
      </rPr>
      <t xml:space="preserve">件</t>
    </r>
  </si>
  <si>
    <t xml:space="preserve">自前作成方針（庁内対応）</t>
  </si>
  <si>
    <t xml:space="preserve">長年自前・担当者が内製、前回数値の置き換えで足りる</t>
  </si>
  <si>
    <t xml:space="preserve">策定済み・改定時期が先</t>
  </si>
  <si>
    <r>
      <rPr>
        <sz val="10"/>
        <color rgb="FF000000"/>
        <rFont val="游ゴシック"/>
        <family val="0"/>
        <charset val="1"/>
      </rPr>
      <t xml:space="preserve">R8</t>
    </r>
    <r>
      <rPr>
        <sz val="10"/>
        <color rgb="FF000000"/>
        <rFont val="WenQuanYi Zen Hei"/>
        <family val="2"/>
      </rPr>
      <t xml:space="preserve">改定直後、計画期間が</t>
    </r>
    <r>
      <rPr>
        <sz val="10"/>
        <color rgb="FF000000"/>
        <rFont val="游ゴシック"/>
        <family val="0"/>
        <charset val="1"/>
      </rPr>
      <t xml:space="preserve">R10</t>
    </r>
    <r>
      <rPr>
        <sz val="10"/>
        <color rgb="FF000000"/>
        <rFont val="WenQuanYi Zen Hei"/>
        <family val="2"/>
      </rPr>
      <t xml:space="preserve">〜</t>
    </r>
    <r>
      <rPr>
        <sz val="10"/>
        <color rgb="FF000000"/>
        <rFont val="游ゴシック"/>
        <family val="0"/>
        <charset val="1"/>
      </rPr>
      <t xml:space="preserve">R11</t>
    </r>
    <r>
      <rPr>
        <sz val="10"/>
        <color rgb="FF000000"/>
        <rFont val="WenQuanYi Zen Hei"/>
        <family val="2"/>
      </rPr>
      <t xml:space="preserve">まで。時期を待てば再浮上</t>
    </r>
  </si>
  <si>
    <t xml:space="preserve">必要性・意欲が低い</t>
  </si>
  <si>
    <t xml:space="preserve">罰則なし・メリット感じない・長の方針で実施しない</t>
  </si>
  <si>
    <t xml:space="preserve">予算がつかない・否決</t>
  </si>
  <si>
    <t xml:space="preserve">例年予算つかず、予算否決により自前化</t>
  </si>
  <si>
    <t xml:space="preserve">他計画へ一体化・包含され単独案件消滅</t>
  </si>
  <si>
    <t xml:space="preserve">こども計画・健康増進計画・総合計画に内包</t>
  </si>
  <si>
    <t xml:space="preserve">要因不明（備考・結果とも未記入）</t>
  </si>
  <si>
    <t xml:space="preserve">備考・結果とも空欄で判定不能</t>
  </si>
  <si>
    <t xml:space="preserve">庁内事情・外部要因による遅延</t>
  </si>
  <si>
    <t xml:space="preserve">庁内調整負担、地番整理待ち</t>
  </si>
  <si>
    <r>
      <rPr>
        <sz val="9"/>
        <color rgb="FF595959"/>
        <rFont val="WenQuanYi Zen Hei"/>
        <family val="2"/>
      </rPr>
      <t xml:space="preserve">→ 「他社受託」と「自前作成方針」で各</t>
    </r>
    <r>
      <rPr>
        <sz val="9"/>
        <color rgb="FF595959"/>
        <rFont val="游ゴシック"/>
        <family val="0"/>
        <charset val="1"/>
      </rPr>
      <t xml:space="preserve">36%</t>
    </r>
    <r>
      <rPr>
        <sz val="9"/>
        <color rgb="FF595959"/>
        <rFont val="WenQuanYi Zen Hei"/>
        <family val="2"/>
      </rPr>
      <t xml:space="preserve">、合計</t>
    </r>
    <r>
      <rPr>
        <sz val="9"/>
        <color rgb="FF595959"/>
        <rFont val="游ゴシック"/>
        <family val="0"/>
        <charset val="1"/>
      </rPr>
      <t xml:space="preserve">7</t>
    </r>
    <r>
      <rPr>
        <sz val="9"/>
        <color rgb="FF595959"/>
        <rFont val="WenQuanYi Zen Hei"/>
        <family val="2"/>
      </rPr>
      <t xml:space="preserve">割超。うちシステム保守への抱き合わせ</t>
    </r>
    <r>
      <rPr>
        <sz val="9"/>
        <color rgb="FF595959"/>
        <rFont val="游ゴシック"/>
        <family val="0"/>
        <charset val="1"/>
      </rPr>
      <t xml:space="preserve">22</t>
    </r>
    <r>
      <rPr>
        <sz val="9"/>
        <color rgb="FF595959"/>
        <rFont val="WenQuanYi Zen Hei"/>
        <family val="2"/>
      </rPr>
      <t xml:space="preserve">件は公会計・会計支援・福祉計画に集中しており、単発の訪問では崩せない構造要因。</t>
    </r>
  </si>
  <si>
    <r>
      <rPr>
        <sz val="9"/>
        <color rgb="FF595959"/>
        <rFont val="WenQuanYi Zen Hei"/>
        <family val="2"/>
      </rPr>
      <t xml:space="preserve">→ 一方「策定済み・改定時期が先」</t>
    </r>
    <r>
      <rPr>
        <sz val="9"/>
        <color rgb="FF595959"/>
        <rFont val="游ゴシック"/>
        <family val="0"/>
        <charset val="1"/>
      </rPr>
      <t xml:space="preserve">10</t>
    </r>
    <r>
      <rPr>
        <sz val="9"/>
        <color rgb="FF595959"/>
        <rFont val="WenQuanYi Zen Hei"/>
        <family val="2"/>
      </rPr>
      <t xml:space="preserve">件は案件が消えたのではなく時期待ち。改定時期を管理して再アプローチすれば戻せる母数。</t>
    </r>
  </si>
  <si>
    <t xml:space="preserve">① 週次の活動量</t>
  </si>
  <si>
    <r>
      <rPr>
        <sz val="9"/>
        <color rgb="FF595959"/>
        <rFont val="WenQuanYi Zen Hei"/>
        <family val="2"/>
      </rPr>
      <t xml:space="preserve">基準日：</t>
    </r>
    <r>
      <rPr>
        <sz val="9"/>
        <color rgb="FF595959"/>
        <rFont val="游ゴシック"/>
        <family val="0"/>
        <charset val="1"/>
      </rPr>
      <t xml:space="preserve">2026/09/17</t>
    </r>
    <r>
      <rPr>
        <sz val="9"/>
        <color rgb="FF595959"/>
        <rFont val="WenQuanYi Zen Hei"/>
        <family val="2"/>
      </rPr>
      <t xml:space="preserve">（木）　週は月曜起算　今週＝</t>
    </r>
    <r>
      <rPr>
        <sz val="9"/>
        <color rgb="FF595959"/>
        <rFont val="游ゴシック"/>
        <family val="0"/>
        <charset val="1"/>
      </rPr>
      <t xml:space="preserve">9/14</t>
    </r>
    <r>
      <rPr>
        <sz val="9"/>
        <color rgb="FF595959"/>
        <rFont val="WenQuanYi Zen Hei"/>
        <family val="2"/>
      </rPr>
      <t xml:space="preserve">週は </t>
    </r>
    <r>
      <rPr>
        <sz val="9"/>
        <color rgb="FF595959"/>
        <rFont val="游ゴシック"/>
        <family val="0"/>
        <charset val="1"/>
      </rPr>
      <t xml:space="preserve">9/17 </t>
    </r>
    <r>
      <rPr>
        <sz val="9"/>
        <color rgb="FF595959"/>
        <rFont val="WenQuanYi Zen Hei"/>
        <family val="2"/>
      </rPr>
      <t xml:space="preserve">時点で未了（最終入力 </t>
    </r>
    <r>
      <rPr>
        <sz val="9"/>
        <color rgb="FF595959"/>
        <rFont val="游ゴシック"/>
        <family val="0"/>
        <charset val="1"/>
      </rPr>
      <t xml:space="preserve">9/16</t>
    </r>
    <r>
      <rPr>
        <sz val="9"/>
        <color rgb="FF595959"/>
        <rFont val="WenQuanYi Zen Hei"/>
        <family val="2"/>
      </rPr>
      <t xml:space="preserve">）</t>
    </r>
  </si>
  <si>
    <r>
      <rPr>
        <b val="true"/>
        <sz val="10"/>
        <color rgb="FFFFFFFF"/>
        <rFont val="WenQuanYi Zen Hei"/>
        <family val="2"/>
      </rPr>
      <t xml:space="preserve">週開始
</t>
    </r>
    <r>
      <rPr>
        <b val="true"/>
        <sz val="10"/>
        <color rgb="FFFFFFFF"/>
        <rFont val="游ゴシック"/>
        <family val="0"/>
        <charset val="1"/>
      </rPr>
      <t xml:space="preserve">(</t>
    </r>
    <r>
      <rPr>
        <b val="true"/>
        <sz val="10"/>
        <color rgb="FFFFFFFF"/>
        <rFont val="WenQuanYi Zen Hei"/>
        <family val="2"/>
      </rPr>
      <t xml:space="preserve">月曜</t>
    </r>
    <r>
      <rPr>
        <b val="true"/>
        <sz val="10"/>
        <color rgb="FFFFFFFF"/>
        <rFont val="游ゴシック"/>
        <family val="0"/>
        <charset val="1"/>
      </rPr>
      <t xml:space="preserve">)</t>
    </r>
  </si>
  <si>
    <t xml:space="preserve">訪問日数</t>
  </si>
  <si>
    <r>
      <rPr>
        <b val="true"/>
        <sz val="10"/>
        <color rgb="FFFFFFFF"/>
        <rFont val="游ゴシック"/>
        <family val="0"/>
        <charset val="1"/>
      </rPr>
      <t xml:space="preserve">1</t>
    </r>
    <r>
      <rPr>
        <b val="true"/>
        <sz val="10"/>
        <color rgb="FFFFFFFF"/>
        <rFont val="WenQuanYi Zen Hei"/>
        <family val="2"/>
      </rPr>
      <t xml:space="preserve">人</t>
    </r>
    <r>
      <rPr>
        <b val="true"/>
        <sz val="10"/>
        <color rgb="FFFFFFFF"/>
        <rFont val="游ゴシック"/>
        <family val="0"/>
        <charset val="1"/>
      </rPr>
      <t xml:space="preserve">1</t>
    </r>
    <r>
      <rPr>
        <b val="true"/>
        <sz val="10"/>
        <color rgb="FFFFFFFF"/>
        <rFont val="WenQuanYi Zen Hei"/>
        <family val="2"/>
      </rPr>
      <t xml:space="preserve">日
件数</t>
    </r>
  </si>
  <si>
    <t xml:space="preserve">前週比
件数</t>
  </si>
  <si>
    <t xml:space="preserve">2026-07-06</t>
  </si>
  <si>
    <t xml:space="preserve">-</t>
  </si>
  <si>
    <t xml:space="preserve">2026-07-20</t>
  </si>
  <si>
    <t xml:space="preserve">2026-07-27</t>
  </si>
  <si>
    <t xml:space="preserve">2026-08-03</t>
  </si>
  <si>
    <t xml:space="preserve">2026-08-10</t>
  </si>
  <si>
    <t xml:space="preserve">2026-08-17</t>
  </si>
  <si>
    <t xml:space="preserve">2026-08-24</t>
  </si>
  <si>
    <t xml:space="preserve">2026-08-31</t>
  </si>
  <si>
    <t xml:space="preserve">2026-09-07</t>
  </si>
  <si>
    <r>
      <rPr>
        <b val="true"/>
        <sz val="10"/>
        <color rgb="FF000000"/>
        <rFont val="游ゴシック"/>
        <family val="0"/>
        <charset val="1"/>
      </rPr>
      <t xml:space="preserve">2026-09-14</t>
    </r>
    <r>
      <rPr>
        <b val="true"/>
        <sz val="10"/>
        <color rgb="FF000000"/>
        <rFont val="WenQuanYi Zen Hei"/>
        <family val="2"/>
      </rPr>
      <t xml:space="preserve">　←今週</t>
    </r>
  </si>
  <si>
    <t xml:space="preserve">掲載週 計</t>
  </si>
  <si>
    <r>
      <rPr>
        <b val="true"/>
        <sz val="12"/>
        <color rgb="FF1F3864"/>
        <rFont val="WenQuanYi Zen Hei"/>
        <family val="2"/>
      </rPr>
      <t xml:space="preserve">今週（</t>
    </r>
    <r>
      <rPr>
        <b val="true"/>
        <sz val="12"/>
        <color rgb="FF1F3864"/>
        <rFont val="游ゴシック"/>
        <family val="0"/>
        <charset val="1"/>
      </rPr>
      <t xml:space="preserve">9/14</t>
    </r>
    <r>
      <rPr>
        <b val="true"/>
        <sz val="12"/>
        <color rgb="FF1F3864"/>
        <rFont val="WenQuanYi Zen Hei"/>
        <family val="2"/>
      </rPr>
      <t xml:space="preserve">〜）の内訳</t>
    </r>
  </si>
  <si>
    <t xml:space="preserve">入力者別</t>
  </si>
  <si>
    <t xml:space="preserve">エリア別</t>
  </si>
  <si>
    <t xml:space="preserve">岩手県</t>
  </si>
  <si>
    <t xml:space="preserve">福島県</t>
  </si>
  <si>
    <t xml:space="preserve">テーマ別</t>
  </si>
  <si>
    <t xml:space="preserve">公会計</t>
  </si>
  <si>
    <t xml:space="preserve">その他計画</t>
  </si>
  <si>
    <t xml:space="preserve">福祉計画</t>
  </si>
  <si>
    <t xml:space="preserve">公共施設マネジメント</t>
  </si>
  <si>
    <t xml:space="preserve">経営戦略</t>
  </si>
  <si>
    <t xml:space="preserve">状態別</t>
  </si>
  <si>
    <t xml:space="preserve">セカンドアプローチ</t>
  </si>
  <si>
    <t xml:space="preserve">初回訪問</t>
  </si>
  <si>
    <t xml:space="preserve">見積＋仕様書</t>
  </si>
  <si>
    <r>
      <rPr>
        <sz val="9"/>
        <color rgb="FF595959"/>
        <rFont val="WenQuanYi Zen Hei"/>
        <family val="2"/>
      </rPr>
      <t xml:space="preserve">※ 活動件数・各アクション件数は「データ」シートへの </t>
    </r>
    <r>
      <rPr>
        <sz val="9"/>
        <color rgb="FF595959"/>
        <rFont val="游ゴシック"/>
        <family val="0"/>
        <charset val="1"/>
      </rPr>
      <t xml:space="preserve">COUNTIFS</t>
    </r>
    <r>
      <rPr>
        <sz val="9"/>
        <color rgb="FF595959"/>
        <rFont val="WenQuanYi Zen Hei"/>
        <family val="2"/>
      </rPr>
      <t xml:space="preserve">。団体数／稼働者数／訪問日数は一意カウントのため生成時点の実数（青字）。</t>
    </r>
  </si>
  <si>
    <r>
      <rPr>
        <sz val="9"/>
        <color rgb="FF595959"/>
        <rFont val="游ゴシック"/>
        <family val="0"/>
        <charset val="1"/>
      </rPr>
      <t xml:space="preserve">※ 1</t>
    </r>
    <r>
      <rPr>
        <sz val="9"/>
        <color rgb="FF595959"/>
        <rFont val="WenQuanYi Zen Hei"/>
        <family val="2"/>
      </rPr>
      <t xml:space="preserve">人</t>
    </r>
    <r>
      <rPr>
        <sz val="9"/>
        <color rgb="FF595959"/>
        <rFont val="游ゴシック"/>
        <family val="0"/>
        <charset val="1"/>
      </rPr>
      <t xml:space="preserve">1</t>
    </r>
    <r>
      <rPr>
        <sz val="9"/>
        <color rgb="FF595959"/>
        <rFont val="WenQuanYi Zen Hei"/>
        <family val="2"/>
      </rPr>
      <t xml:space="preserve">日件数＝活動件数</t>
    </r>
    <r>
      <rPr>
        <sz val="9"/>
        <color rgb="FF595959"/>
        <rFont val="游ゴシック"/>
        <family val="0"/>
        <charset val="1"/>
      </rPr>
      <t xml:space="preserve">÷</t>
    </r>
    <r>
      <rPr>
        <sz val="9"/>
        <color rgb="FF595959"/>
        <rFont val="WenQuanYi Zen Hei"/>
        <family val="2"/>
      </rPr>
      <t xml:space="preserve">訪問日数</t>
    </r>
    <r>
      <rPr>
        <sz val="9"/>
        <color rgb="FF595959"/>
        <rFont val="游ゴシック"/>
        <family val="0"/>
        <charset val="1"/>
      </rPr>
      <t xml:space="preserve">÷</t>
    </r>
    <r>
      <rPr>
        <sz val="9"/>
        <color rgb="FF595959"/>
        <rFont val="WenQuanYi Zen Hei"/>
        <family val="2"/>
      </rPr>
      <t xml:space="preserve">稼働者数。稼働者数の増減を除いた</t>
    </r>
    <r>
      <rPr>
        <sz val="9"/>
        <color rgb="FF595959"/>
        <rFont val="游ゴシック"/>
        <family val="0"/>
        <charset val="1"/>
      </rPr>
      <t xml:space="preserve">1</t>
    </r>
    <r>
      <rPr>
        <sz val="9"/>
        <color rgb="FF595959"/>
        <rFont val="WenQuanYi Zen Hei"/>
        <family val="2"/>
      </rPr>
      <t xml:space="preserve">人あたりの活動密度を見るための指標。</t>
    </r>
  </si>
  <si>
    <r>
      <rPr>
        <sz val="9"/>
        <color rgb="FF595959"/>
        <rFont val="WenQuanYi Zen Hei"/>
        <family val="2"/>
      </rPr>
      <t xml:space="preserve">※ 今週（</t>
    </r>
    <r>
      <rPr>
        <sz val="9"/>
        <color rgb="FF595959"/>
        <rFont val="游ゴシック"/>
        <family val="0"/>
        <charset val="1"/>
      </rPr>
      <t xml:space="preserve">9/14</t>
    </r>
    <r>
      <rPr>
        <sz val="9"/>
        <color rgb="FF595959"/>
        <rFont val="WenQuanYi Zen Hei"/>
        <family val="2"/>
      </rPr>
      <t xml:space="preserve">週）は </t>
    </r>
    <r>
      <rPr>
        <sz val="9"/>
        <color rgb="FF595959"/>
        <rFont val="游ゴシック"/>
        <family val="0"/>
        <charset val="1"/>
      </rPr>
      <t xml:space="preserve">9/14</t>
    </r>
    <r>
      <rPr>
        <sz val="9"/>
        <color rgb="FF595959"/>
        <rFont val="WenQuanYi Zen Hei"/>
        <family val="2"/>
      </rPr>
      <t xml:space="preserve">・</t>
    </r>
    <r>
      <rPr>
        <sz val="9"/>
        <color rgb="FF595959"/>
        <rFont val="游ゴシック"/>
        <family val="0"/>
        <charset val="1"/>
      </rPr>
      <t xml:space="preserve">9/15</t>
    </r>
    <r>
      <rPr>
        <sz val="9"/>
        <color rgb="FF595959"/>
        <rFont val="WenQuanYi Zen Hei"/>
        <family val="2"/>
      </rPr>
      <t xml:space="preserve">・</t>
    </r>
    <r>
      <rPr>
        <sz val="9"/>
        <color rgb="FF595959"/>
        <rFont val="游ゴシック"/>
        <family val="0"/>
        <charset val="1"/>
      </rPr>
      <t xml:space="preserve">9/16 </t>
    </r>
    <r>
      <rPr>
        <sz val="9"/>
        <color rgb="FF595959"/>
        <rFont val="WenQuanYi Zen Hei"/>
        <family val="2"/>
      </rPr>
      <t xml:space="preserve">の</t>
    </r>
    <r>
      <rPr>
        <sz val="9"/>
        <color rgb="FF595959"/>
        <rFont val="游ゴシック"/>
        <family val="0"/>
        <charset val="1"/>
      </rPr>
      <t xml:space="preserve">3</t>
    </r>
    <r>
      <rPr>
        <sz val="9"/>
        <color rgb="FF595959"/>
        <rFont val="WenQuanYi Zen Hei"/>
        <family val="2"/>
      </rPr>
      <t xml:space="preserve">日分のみ。週の途中であり、他週との単純比較はできない。</t>
    </r>
  </si>
  <si>
    <t xml:space="preserve">② 個人ごとの案件数</t>
  </si>
  <si>
    <r>
      <rPr>
        <sz val="9"/>
        <color rgb="FF595959"/>
        <rFont val="WenQuanYi Zen Hei"/>
        <family val="2"/>
      </rPr>
      <t xml:space="preserve">活動件数＝ログ</t>
    </r>
    <r>
      <rPr>
        <sz val="9"/>
        <color rgb="FF595959"/>
        <rFont val="游ゴシック"/>
        <family val="0"/>
        <charset val="1"/>
      </rPr>
      <t xml:space="preserve">1</t>
    </r>
    <r>
      <rPr>
        <sz val="9"/>
        <color rgb="FF595959"/>
        <rFont val="WenQuanYi Zen Hei"/>
        <family val="2"/>
      </rPr>
      <t xml:space="preserve">行を</t>
    </r>
    <r>
      <rPr>
        <sz val="9"/>
        <color rgb="FF595959"/>
        <rFont val="游ゴシック"/>
        <family val="0"/>
        <charset val="1"/>
      </rPr>
      <t xml:space="preserve">1</t>
    </r>
    <r>
      <rPr>
        <sz val="9"/>
        <color rgb="FF595959"/>
        <rFont val="WenQuanYi Zen Hei"/>
        <family val="2"/>
      </rPr>
      <t xml:space="preserve">件として計上（同一団体でもテーマが異なれば別件）</t>
    </r>
  </si>
  <si>
    <r>
      <rPr>
        <b val="true"/>
        <sz val="10"/>
        <color rgb="FFFFFFFF"/>
        <rFont val="游ゴシック"/>
        <family val="0"/>
        <charset val="1"/>
      </rPr>
      <t xml:space="preserve">1</t>
    </r>
    <r>
      <rPr>
        <b val="true"/>
        <sz val="10"/>
        <color rgb="FFFFFFFF"/>
        <rFont val="WenQuanYi Zen Hei"/>
        <family val="2"/>
      </rPr>
      <t xml:space="preserve">日あたり
件数</t>
    </r>
  </si>
  <si>
    <t xml:space="preserve">同行依頼、
再訪</t>
  </si>
  <si>
    <r>
      <rPr>
        <b val="true"/>
        <sz val="10"/>
        <color rgb="FFFFFFFF"/>
        <rFont val="游ゴシック"/>
        <family val="0"/>
        <charset val="1"/>
      </rPr>
      <t xml:space="preserve">08/24</t>
    </r>
    <r>
      <rPr>
        <b val="true"/>
        <sz val="10"/>
        <color rgb="FFFFFFFF"/>
        <rFont val="WenQuanYi Zen Hei"/>
        <family val="2"/>
      </rPr>
      <t xml:space="preserve">週</t>
    </r>
  </si>
  <si>
    <r>
      <rPr>
        <b val="true"/>
        <sz val="10"/>
        <color rgb="FFFFFFFF"/>
        <rFont val="游ゴシック"/>
        <family val="0"/>
        <charset val="1"/>
      </rPr>
      <t xml:space="preserve">08/31</t>
    </r>
    <r>
      <rPr>
        <b val="true"/>
        <sz val="10"/>
        <color rgb="FFFFFFFF"/>
        <rFont val="WenQuanYi Zen Hei"/>
        <family val="2"/>
      </rPr>
      <t xml:space="preserve">週</t>
    </r>
  </si>
  <si>
    <r>
      <rPr>
        <b val="true"/>
        <sz val="10"/>
        <color rgb="FFFFFFFF"/>
        <rFont val="游ゴシック"/>
        <family val="0"/>
        <charset val="1"/>
      </rPr>
      <t xml:space="preserve">09/07</t>
    </r>
    <r>
      <rPr>
        <b val="true"/>
        <sz val="10"/>
        <color rgb="FFFFFFFF"/>
        <rFont val="WenQuanYi Zen Hei"/>
        <family val="2"/>
      </rPr>
      <t xml:space="preserve">週</t>
    </r>
  </si>
  <si>
    <r>
      <rPr>
        <b val="true"/>
        <sz val="10"/>
        <color rgb="FFFFFFFF"/>
        <rFont val="游ゴシック"/>
        <family val="0"/>
        <charset val="1"/>
      </rPr>
      <t xml:space="preserve">09/14</t>
    </r>
    <r>
      <rPr>
        <b val="true"/>
        <sz val="10"/>
        <color rgb="FFFFFFFF"/>
        <rFont val="WenQuanYi Zen Hei"/>
        <family val="2"/>
      </rPr>
      <t xml:space="preserve">週</t>
    </r>
  </si>
  <si>
    <r>
      <rPr>
        <sz val="9"/>
        <color rgb="FF595959"/>
        <rFont val="WenQuanYi Zen Hei"/>
        <family val="2"/>
      </rPr>
      <t xml:space="preserve">※ 再訪不要率＝再訪不要</t>
    </r>
    <r>
      <rPr>
        <sz val="9"/>
        <color rgb="FF595959"/>
        <rFont val="游ゴシック"/>
        <family val="0"/>
        <charset val="1"/>
      </rPr>
      <t xml:space="preserve">÷</t>
    </r>
    <r>
      <rPr>
        <sz val="9"/>
        <color rgb="FF595959"/>
        <rFont val="WenQuanYi Zen Hei"/>
        <family val="2"/>
      </rPr>
      <t xml:space="preserve">（次回アクション記入分の合計）。アクション未記入の行は母数から除外。</t>
    </r>
  </si>
  <si>
    <r>
      <rPr>
        <sz val="9"/>
        <color rgb="FF595959"/>
        <rFont val="WenQuanYi Zen Hei"/>
        <family val="2"/>
      </rPr>
      <t xml:space="preserve">※ 団体数・訪問日数は一意カウントのため生成時点の実数（青字）。活動件数・アクション別件数は </t>
    </r>
    <r>
      <rPr>
        <sz val="9"/>
        <color rgb="FF595959"/>
        <rFont val="游ゴシック"/>
        <family val="0"/>
        <charset val="1"/>
      </rPr>
      <t xml:space="preserve">COUNTIFS</t>
    </r>
    <r>
      <rPr>
        <sz val="9"/>
        <color rgb="FF595959"/>
        <rFont val="WenQuanYi Zen Hei"/>
        <family val="2"/>
      </rPr>
      <t xml:space="preserve">。</t>
    </r>
  </si>
  <si>
    <r>
      <rPr>
        <sz val="9"/>
        <color rgb="FF595959"/>
        <rFont val="WenQuanYi Zen Hei"/>
        <family val="2"/>
      </rPr>
      <t xml:space="preserve">※ 入力者が未記入の行</t>
    </r>
    <r>
      <rPr>
        <sz val="9"/>
        <color rgb="FF595959"/>
        <rFont val="游ゴシック"/>
        <family val="0"/>
        <charset val="1"/>
      </rPr>
      <t xml:space="preserve">3</t>
    </r>
    <r>
      <rPr>
        <sz val="9"/>
        <color rgb="FF595959"/>
        <rFont val="WenQuanYi Zen Hei"/>
        <family val="2"/>
      </rPr>
      <t xml:space="preserve">件は本表の対象外。</t>
    </r>
  </si>
  <si>
    <t xml:space="preserve">③ 再訪不要の件数と要因分析</t>
  </si>
  <si>
    <r>
      <rPr>
        <sz val="9"/>
        <color rgb="FF595959"/>
        <rFont val="WenQuanYi Zen Hei"/>
        <family val="2"/>
      </rPr>
      <t xml:space="preserve">要因は備考テキストのキーワード判定＋結果区分で自動分類（ロジックは </t>
    </r>
    <r>
      <rPr>
        <sz val="9"/>
        <color rgb="FF595959"/>
        <rFont val="游ゴシック"/>
        <family val="0"/>
        <charset val="1"/>
      </rPr>
      <t xml:space="preserve">activity_factor_rules.py</t>
    </r>
    <r>
      <rPr>
        <sz val="9"/>
        <color rgb="FF595959"/>
        <rFont val="WenQuanYi Zen Hei"/>
        <family val="2"/>
      </rPr>
      <t xml:space="preserve">）</t>
    </r>
  </si>
  <si>
    <t xml:space="preserve">全体像</t>
  </si>
  <si>
    <t xml:space="preserve">指標</t>
  </si>
  <si>
    <t xml:space="preserve">活動ログ総件数</t>
  </si>
  <si>
    <t xml:space="preserve">うち次回アクション記入</t>
  </si>
  <si>
    <t xml:space="preserve">← アクション記入分に対する比率</t>
  </si>
  <si>
    <t xml:space="preserve">同行依頼、再訪</t>
  </si>
  <si>
    <t xml:space="preserve">要因別の内訳</t>
  </si>
  <si>
    <t xml:space="preserve">要因</t>
  </si>
  <si>
    <t xml:space="preserve">他社受託：システム抱き合わせ</t>
  </si>
  <si>
    <t xml:space="preserve">他社受託：随契・委託継続</t>
  </si>
  <si>
    <t xml:space="preserve">他社受託：入札実績要件で参入不可</t>
  </si>
  <si>
    <t xml:space="preserve">属性別の再訪不要率（どこで案件が落ちているか）</t>
  </si>
  <si>
    <t xml:space="preserve">結果</t>
  </si>
  <si>
    <t xml:space="preserve">全件数</t>
  </si>
  <si>
    <t xml:space="preserve">自力</t>
  </si>
  <si>
    <t xml:space="preserve">他社随契</t>
  </si>
  <si>
    <t xml:space="preserve">その他</t>
  </si>
  <si>
    <t xml:space="preserve">不在</t>
  </si>
  <si>
    <r>
      <rPr>
        <sz val="10"/>
        <color rgb="FF000000"/>
        <rFont val="游ゴシック"/>
        <family val="0"/>
        <charset val="1"/>
      </rPr>
      <t xml:space="preserve">(</t>
    </r>
    <r>
      <rPr>
        <sz val="10"/>
        <color rgb="FF000000"/>
        <rFont val="WenQuanYi Zen Hei"/>
        <family val="2"/>
      </rPr>
      <t xml:space="preserve">未記入</t>
    </r>
    <r>
      <rPr>
        <sz val="10"/>
        <color rgb="FF000000"/>
        <rFont val="游ゴシック"/>
        <family val="0"/>
        <charset val="1"/>
      </rPr>
      <t xml:space="preserve">)</t>
    </r>
  </si>
  <si>
    <t xml:space="preserve">状態</t>
  </si>
  <si>
    <t xml:space="preserve">テーマ</t>
  </si>
  <si>
    <t xml:space="preserve">会計支援</t>
  </si>
  <si>
    <t xml:space="preserve">社会生活計画</t>
  </si>
  <si>
    <t xml:space="preserve">経営改善</t>
  </si>
  <si>
    <t xml:space="preserve">国交省計画</t>
  </si>
  <si>
    <t xml:space="preserve">エリア</t>
  </si>
  <si>
    <t xml:space="preserve">北海道</t>
  </si>
  <si>
    <t xml:space="preserve">山形県</t>
  </si>
  <si>
    <t xml:space="preserve">宮城県</t>
  </si>
  <si>
    <t xml:space="preserve">青森県</t>
  </si>
  <si>
    <t xml:space="preserve">秋田県</t>
  </si>
  <si>
    <t xml:space="preserve">アプローチ時期</t>
  </si>
  <si>
    <t xml:space="preserve">今年度</t>
  </si>
  <si>
    <t xml:space="preserve">来年度</t>
  </si>
  <si>
    <t xml:space="preserve">再来年度</t>
  </si>
  <si>
    <t xml:space="preserve">前回策定</t>
  </si>
  <si>
    <t xml:space="preserve">自前</t>
  </si>
  <si>
    <t xml:space="preserve">委託</t>
  </si>
  <si>
    <t xml:space="preserve">※ 「全件数」は当該属性の全活動件数。再訪不要率が高い属性は、初回接触で案件化しないまま終わっている領域。</t>
  </si>
  <si>
    <r>
      <rPr>
        <sz val="9"/>
        <color rgb="FF595959"/>
        <rFont val="WenQuanYi Zen Hei"/>
        <family val="2"/>
      </rPr>
      <t xml:space="preserve">※ 再訪不要 </t>
    </r>
    <r>
      <rPr>
        <sz val="9"/>
        <color rgb="FF595959"/>
        <rFont val="游ゴシック"/>
        <family val="0"/>
        <charset val="1"/>
      </rPr>
      <t xml:space="preserve">102</t>
    </r>
    <r>
      <rPr>
        <sz val="9"/>
        <color rgb="FF595959"/>
        <rFont val="WenQuanYi Zen Hei"/>
        <family val="2"/>
      </rPr>
      <t xml:space="preserve">件／次回アクション記入 </t>
    </r>
    <r>
      <rPr>
        <sz val="9"/>
        <color rgb="FF595959"/>
        <rFont val="游ゴシック"/>
        <family val="0"/>
        <charset val="1"/>
      </rPr>
      <t xml:space="preserve">408</t>
    </r>
    <r>
      <rPr>
        <sz val="9"/>
        <color rgb="FF595959"/>
        <rFont val="WenQuanYi Zen Hei"/>
        <family val="2"/>
      </rPr>
      <t xml:space="preserve">件。アクション未記入</t>
    </r>
    <r>
      <rPr>
        <sz val="9"/>
        <color rgb="FF595959"/>
        <rFont val="游ゴシック"/>
        <family val="0"/>
        <charset val="1"/>
      </rPr>
      <t xml:space="preserve">42</t>
    </r>
    <r>
      <rPr>
        <sz val="9"/>
        <color rgb="FF595959"/>
        <rFont val="WenQuanYi Zen Hei"/>
        <family val="2"/>
      </rPr>
      <t xml:space="preserve">件は母数から除外している。</t>
    </r>
  </si>
  <si>
    <t xml:space="preserve">④ 再訪不要 明細（要因判定の検証用）</t>
  </si>
  <si>
    <r>
      <rPr>
        <sz val="9"/>
        <color rgb="FF595959"/>
        <rFont val="WenQuanYi Zen Hei"/>
        <family val="2"/>
      </rPr>
      <t xml:space="preserve">要因の自動判定が実態と合わない行は、この明細で確認して </t>
    </r>
    <r>
      <rPr>
        <sz val="9"/>
        <color rgb="FF595959"/>
        <rFont val="游ゴシック"/>
        <family val="0"/>
        <charset val="1"/>
      </rPr>
      <t xml:space="preserve">activity_factor_rules.py </t>
    </r>
    <r>
      <rPr>
        <sz val="9"/>
        <color rgb="FF595959"/>
        <rFont val="WenQuanYi Zen Hei"/>
        <family val="2"/>
      </rPr>
      <t xml:space="preserve">のルールを調整する。</t>
    </r>
  </si>
  <si>
    <t xml:space="preserve">訪問日</t>
  </si>
  <si>
    <t xml:space="preserve">団体名</t>
  </si>
  <si>
    <t xml:space="preserve">備考</t>
  </si>
  <si>
    <t xml:space="preserve">小坂町</t>
  </si>
  <si>
    <t xml:space="preserve">・以前訪問時に再度プロポ実施し、変更するかもと言っていた。・来年度も随契とのこと。来年度担当者変更があれば、入札に持っていく。</t>
  </si>
  <si>
    <r>
      <rPr>
        <sz val="9"/>
        <rFont val="WenQuanYi Zen Hei"/>
        <family val="2"/>
      </rPr>
      <t xml:space="preserve">・こども計画策定済み・</t>
    </r>
    <r>
      <rPr>
        <sz val="9"/>
        <rFont val="游ゴシック"/>
        <family val="0"/>
        <charset val="1"/>
      </rPr>
      <t xml:space="preserve">R11</t>
    </r>
    <r>
      <rPr>
        <sz val="9"/>
        <rFont val="WenQuanYi Zen Hei"/>
        <family val="2"/>
      </rPr>
      <t xml:space="preserve">までのため、</t>
    </r>
    <r>
      <rPr>
        <sz val="9"/>
        <rFont val="游ゴシック"/>
        <family val="0"/>
        <charset val="1"/>
      </rPr>
      <t xml:space="preserve">R9</t>
    </r>
    <r>
      <rPr>
        <sz val="9"/>
        <rFont val="WenQuanYi Zen Hei"/>
        <family val="2"/>
      </rPr>
      <t xml:space="preserve">～</t>
    </r>
    <r>
      <rPr>
        <sz val="9"/>
        <rFont val="游ゴシック"/>
        <family val="0"/>
        <charset val="1"/>
      </rPr>
      <t xml:space="preserve">10</t>
    </r>
    <r>
      <rPr>
        <sz val="9"/>
        <rFont val="WenQuanYi Zen Hei"/>
        <family val="2"/>
      </rPr>
      <t xml:space="preserve">にアプローチを行う。</t>
    </r>
  </si>
  <si>
    <t xml:space="preserve">二戸市</t>
  </si>
  <si>
    <t xml:space="preserve">今年度自前作成</t>
  </si>
  <si>
    <t xml:space="preserve">二戸地区広域行政事務組合</t>
  </si>
  <si>
    <t xml:space="preserve">ぎょうせい随契</t>
  </si>
  <si>
    <t xml:space="preserve">葛巻町</t>
  </si>
  <si>
    <t xml:space="preserve">今年度改訂</t>
  </si>
  <si>
    <t xml:space="preserve">岩泉町</t>
  </si>
  <si>
    <r>
      <rPr>
        <sz val="9"/>
        <rFont val="游ゴシック"/>
        <family val="0"/>
        <charset val="1"/>
      </rPr>
      <t xml:space="preserve">R6</t>
    </r>
    <r>
      <rPr>
        <sz val="9"/>
        <rFont val="WenQuanYi Zen Hei"/>
        <family val="2"/>
      </rPr>
      <t xml:space="preserve">こども計画策定済み。</t>
    </r>
  </si>
  <si>
    <t xml:space="preserve">九戸村</t>
  </si>
  <si>
    <t xml:space="preserve">昨年、委託にて個別施設計画改訂。セミナー案内</t>
  </si>
  <si>
    <t xml:space="preserve">秋田県後期高齢者医療広域連合</t>
  </si>
  <si>
    <t xml:space="preserve">今年度当社契約</t>
  </si>
  <si>
    <t xml:space="preserve">大館市</t>
  </si>
  <si>
    <t xml:space="preserve">セミナー参加自治体。自前作成を継続している自治体。基本的に自前での作成を実施している。</t>
  </si>
  <si>
    <t xml:space="preserve">三種町</t>
  </si>
  <si>
    <r>
      <rPr>
        <sz val="9"/>
        <rFont val="WenQuanYi Zen Hei"/>
        <family val="2"/>
      </rPr>
      <t xml:space="preserve">委託済みのため、改定時期に提案。</t>
    </r>
    <r>
      <rPr>
        <sz val="9"/>
        <rFont val="游ゴシック"/>
        <family val="0"/>
        <charset val="1"/>
      </rPr>
      <t xml:space="preserve">HP</t>
    </r>
    <r>
      <rPr>
        <sz val="9"/>
        <rFont val="WenQuanYi Zen Hei"/>
        <family val="2"/>
      </rPr>
      <t xml:space="preserve">に掲載後、戦略の確認を実施する。</t>
    </r>
  </si>
  <si>
    <t xml:space="preserve">山田町</t>
  </si>
  <si>
    <r>
      <rPr>
        <sz val="9"/>
        <rFont val="游ゴシック"/>
        <family val="0"/>
        <charset val="1"/>
      </rPr>
      <t xml:space="preserve">R7</t>
    </r>
    <r>
      <rPr>
        <sz val="9"/>
        <rFont val="WenQuanYi Zen Hei"/>
        <family val="2"/>
      </rPr>
      <t xml:space="preserve">こども計画に統合済み。</t>
    </r>
  </si>
  <si>
    <t xml:space="preserve">小樽市</t>
  </si>
  <si>
    <t xml:space="preserve">セミナーパンフ配布</t>
  </si>
  <si>
    <t xml:space="preserve">余市町</t>
  </si>
  <si>
    <t xml:space="preserve">公表されているものはガイドラインを満たしていないが 　手引きを別に作っており、合算して計画として有効性を持たせている。 　道に確認をして了承を得ている。 　まだ時期は未定だが、庁舎の建て替え案も出ており、その際に 　計画見直しを検討している。セミナーパンフ配布。</t>
  </si>
  <si>
    <t xml:space="preserve">厚沢部町</t>
  </si>
  <si>
    <t xml:space="preserve">策定済。起債利用し、エアコン購入やＬＥＤ照明入れ替えを実施中とのこと。</t>
  </si>
  <si>
    <t xml:space="preserve">外ヶ浜町</t>
  </si>
  <si>
    <r>
      <rPr>
        <sz val="9"/>
        <rFont val="游ゴシック"/>
        <family val="0"/>
        <charset val="1"/>
      </rPr>
      <t xml:space="preserve">(</t>
    </r>
    <r>
      <rPr>
        <sz val="9"/>
        <rFont val="WenQuanYi Zen Hei"/>
        <family val="2"/>
      </rPr>
      <t xml:space="preserve">未記入</t>
    </r>
    <r>
      <rPr>
        <sz val="9"/>
        <rFont val="游ゴシック"/>
        <family val="0"/>
        <charset val="1"/>
      </rPr>
      <t xml:space="preserve">)</t>
    </r>
  </si>
  <si>
    <t xml:space="preserve">改定時期の国要領に留意し、基本は前回数値の置き換えで行っているため、委託等の必要性を感じていないとのことでした。</t>
  </si>
  <si>
    <t xml:space="preserve">蓬田村</t>
  </si>
  <si>
    <t xml:space="preserve">料金・使用料改定の検討状況について聴き取り。当面は考えていないが、必要性は感じている。次期経営戦略改定に合わせて検討したいとのこと。合間を見て訪問し、状況を確認します。</t>
  </si>
  <si>
    <t xml:space="preserve">中泊町</t>
  </si>
  <si>
    <r>
      <rPr>
        <sz val="9"/>
        <rFont val="WenQuanYi Zen Hei"/>
        <family val="2"/>
      </rPr>
      <t xml:space="preserve">こども計画については時期子ども子育て支援計画改定時期まで近隣の様子を見るとのこと。大規模な子供施設の更新等もなく、早期の策定は考えていない。なお、子ども子育て支援計画は入札で冨士商事に</t>
    </r>
    <r>
      <rPr>
        <sz val="9"/>
        <rFont val="游ゴシック"/>
        <family val="0"/>
        <charset val="1"/>
      </rPr>
      <t xml:space="preserve">300</t>
    </r>
    <r>
      <rPr>
        <sz val="9"/>
        <rFont val="WenQuanYi Zen Hei"/>
        <family val="2"/>
      </rPr>
      <t xml:space="preserve">万円程度で委託したとのことです。</t>
    </r>
  </si>
  <si>
    <r>
      <rPr>
        <sz val="9"/>
        <rFont val="WenQuanYi Zen Hei"/>
        <family val="2"/>
      </rPr>
      <t xml:space="preserve">文化財活用計画　国指定の文化財について、今年度採択され、第</t>
    </r>
    <r>
      <rPr>
        <sz val="9"/>
        <rFont val="游ゴシック"/>
        <family val="0"/>
        <charset val="1"/>
      </rPr>
      <t xml:space="preserve">1</t>
    </r>
    <r>
      <rPr>
        <sz val="9"/>
        <rFont val="WenQuanYi Zen Hei"/>
        <family val="2"/>
      </rPr>
      <t xml:space="preserve">期の計画を自前（有識者の協力有）策定中とのこと。改定時に参画できるよう関係性を構築していきます。</t>
    </r>
  </si>
  <si>
    <t xml:space="preserve">五所川原市</t>
  </si>
  <si>
    <t xml:space="preserve">環境基本計画　現状温暖化対策計画があり、地方債などの財政措置も受けており、改めて上位計画を立てる予定はない。ただし、努力義務から義務規定に代わる場合は策定する。</t>
  </si>
  <si>
    <t xml:space="preserve">板柳町</t>
  </si>
  <si>
    <t xml:space="preserve">辻本郷と随契。業者切替も考えていないとの個ですので、次回訪問は無し。ただし、助教変化もあり得るので、毎年確認します。</t>
  </si>
  <si>
    <t xml:space="preserve">美幌町</t>
  </si>
  <si>
    <t xml:space="preserve">こども計画として一体策定。中間見直し予定。課内協議実施のうえ委託の意思なし。</t>
  </si>
  <si>
    <t xml:space="preserve">津別町</t>
  </si>
  <si>
    <t xml:space="preserve">熱心でない</t>
  </si>
  <si>
    <t xml:space="preserve">認知はしているものの、罰則ないため未実施</t>
  </si>
  <si>
    <t xml:space="preserve">小清水町</t>
  </si>
  <si>
    <r>
      <rPr>
        <sz val="9"/>
        <rFont val="WenQuanYi Zen Hei"/>
        <family val="2"/>
      </rPr>
      <t xml:space="preserve">直近</t>
    </r>
    <r>
      <rPr>
        <sz val="9"/>
        <rFont val="游ゴシック"/>
        <family val="0"/>
        <charset val="1"/>
      </rPr>
      <t xml:space="preserve">3</t>
    </r>
    <r>
      <rPr>
        <sz val="9"/>
        <rFont val="WenQuanYi Zen Hei"/>
        <family val="2"/>
      </rPr>
      <t xml:space="preserve">期とも随意契約にて他社へ委託。社名は教えてもらえず</t>
    </r>
  </si>
  <si>
    <t xml:space="preserve">事業計画のみ。こども計画は策定のメリット感じていない（サービス充足、町アプリ完備のため）。</t>
  </si>
  <si>
    <t xml:space="preserve">置戸町</t>
  </si>
  <si>
    <t xml:space="preserve">例年予算つかず</t>
  </si>
  <si>
    <t xml:space="preserve">健康増進計画として一体策定</t>
  </si>
  <si>
    <t xml:space="preserve">滝上町</t>
  </si>
  <si>
    <t xml:space="preserve">予算否決につき自前。</t>
  </si>
  <si>
    <t xml:space="preserve">西興部村</t>
  </si>
  <si>
    <t xml:space="preserve">建設コンサルへ委託</t>
  </si>
  <si>
    <t xml:space="preserve">予算もらい、財政へ上げずに自前。事業債目当てでこども計画を策定。温度感低</t>
  </si>
  <si>
    <t xml:space="preserve">雄武町</t>
  </si>
  <si>
    <t xml:space="preserve">とけこみ作業等内容を重視しぎょうせいへ委託</t>
  </si>
  <si>
    <t xml:space="preserve">音更町</t>
  </si>
  <si>
    <t xml:space="preserve">長年自前。</t>
  </si>
  <si>
    <t xml:space="preserve">鹿追町</t>
  </si>
  <si>
    <t xml:space="preserve">二度目は不在。行政研負担金。</t>
  </si>
  <si>
    <t xml:space="preserve">子ども・子育て支援事業計画をぎょうせいに委託。中間見直し有。その中間見直し結果を踏まえてこども計画策定予定。こども計画はサーベイへ委託。契約済</t>
  </si>
  <si>
    <t xml:space="preserve">清水町</t>
  </si>
  <si>
    <t xml:space="preserve">長くぎょうせいへ委託。とけこみ作業重視</t>
  </si>
  <si>
    <t xml:space="preserve">芽室町</t>
  </si>
  <si>
    <r>
      <rPr>
        <sz val="9"/>
        <rFont val="WenQuanYi Zen Hei"/>
        <family val="2"/>
      </rPr>
      <t xml:space="preserve">指名競争入札にて第</t>
    </r>
    <r>
      <rPr>
        <sz val="9"/>
        <rFont val="游ゴシック"/>
        <family val="0"/>
        <charset val="1"/>
      </rPr>
      <t xml:space="preserve">10</t>
    </r>
    <r>
      <rPr>
        <sz val="9"/>
        <rFont val="WenQuanYi Zen Hei"/>
        <family val="2"/>
      </rPr>
      <t xml:space="preserve">期はぎょうせいが獲得。指名はうけたものの実績要件のため辞退</t>
    </r>
  </si>
  <si>
    <t xml:space="preserve">幕別町</t>
  </si>
  <si>
    <r>
      <rPr>
        <sz val="9"/>
        <rFont val="WenQuanYi Zen Hei"/>
        <family val="2"/>
      </rPr>
      <t xml:space="preserve">ぎょうせいのシステムを使用し、保守範囲内で会計支援も行っているとのこと。</t>
    </r>
    <r>
      <rPr>
        <sz val="9"/>
        <rFont val="游ゴシック"/>
        <family val="0"/>
        <charset val="1"/>
      </rPr>
      <t xml:space="preserve">&lt;br&gt;</t>
    </r>
    <r>
      <rPr>
        <sz val="9"/>
        <rFont val="WenQuanYi Zen Hei"/>
        <family val="2"/>
      </rPr>
      <t xml:space="preserve">消費税計算も自前で行い、特に切替の意思もなし。</t>
    </r>
  </si>
  <si>
    <t xml:space="preserve">本別町</t>
  </si>
  <si>
    <r>
      <rPr>
        <sz val="9"/>
        <rFont val="WenQuanYi Zen Hei"/>
        <family val="2"/>
      </rPr>
      <t xml:space="preserve">中間見直しを</t>
    </r>
    <r>
      <rPr>
        <sz val="9"/>
        <rFont val="游ゴシック"/>
        <family val="0"/>
        <charset val="1"/>
      </rPr>
      <t xml:space="preserve">R9</t>
    </r>
    <r>
      <rPr>
        <sz val="9"/>
        <rFont val="WenQuanYi Zen Hei"/>
        <family val="2"/>
      </rPr>
      <t xml:space="preserve">に実施するものの、自前予定。アドバイザリー提案実施済み</t>
    </r>
  </si>
  <si>
    <t xml:space="preserve">足寄町</t>
  </si>
  <si>
    <t xml:space="preserve">会計事務は自前で作成。委託の意思なし。</t>
  </si>
  <si>
    <t xml:space="preserve">陸別町</t>
  </si>
  <si>
    <t xml:space="preserve">指名競争入札。実績要件あり</t>
  </si>
  <si>
    <t xml:space="preserve">浦幌町</t>
  </si>
  <si>
    <r>
      <rPr>
        <sz val="9"/>
        <rFont val="游ゴシック"/>
        <family val="0"/>
        <charset val="1"/>
      </rPr>
      <t xml:space="preserve">TKC</t>
    </r>
    <r>
      <rPr>
        <sz val="9"/>
        <rFont val="WenQuanYi Zen Hei"/>
        <family val="2"/>
      </rPr>
      <t xml:space="preserve">システムにて自前作成。委託の意思なし</t>
    </r>
  </si>
  <si>
    <t xml:space="preserve">釧路町</t>
  </si>
  <si>
    <t xml:space="preserve">ぎょうせいへシステム、消費税監査含め委託</t>
  </si>
  <si>
    <t xml:space="preserve">浜中町</t>
  </si>
  <si>
    <t xml:space="preserve">行政研負担金。切替の意思なし。</t>
  </si>
  <si>
    <t xml:space="preserve">標茶町</t>
  </si>
  <si>
    <t xml:space="preserve">行政研より実施有無の確認があったものの、長の方針として実施しないと決定。</t>
  </si>
  <si>
    <t xml:space="preserve">弟子屈町</t>
  </si>
  <si>
    <t xml:space="preserve">担当者経歴長く、自前作成</t>
  </si>
  <si>
    <t xml:space="preserve">平取町</t>
  </si>
  <si>
    <t xml:space="preserve">新ひだか町</t>
  </si>
  <si>
    <t xml:space="preserve">浦河町</t>
  </si>
  <si>
    <r>
      <rPr>
        <sz val="9"/>
        <rFont val="游ゴシック"/>
        <family val="0"/>
        <charset val="1"/>
      </rPr>
      <t xml:space="preserve">R4</t>
    </r>
    <r>
      <rPr>
        <sz val="9"/>
        <rFont val="WenQuanYi Zen Hei"/>
        <family val="2"/>
      </rPr>
      <t xml:space="preserve">期限切れ。今まで自前。</t>
    </r>
  </si>
  <si>
    <r>
      <rPr>
        <sz val="9"/>
        <rFont val="游ゴシック"/>
        <family val="0"/>
        <charset val="1"/>
      </rPr>
      <t xml:space="preserve">MJS</t>
    </r>
    <r>
      <rPr>
        <sz val="9"/>
        <rFont val="WenQuanYi Zen Hei"/>
        <family val="2"/>
      </rPr>
      <t xml:space="preserve">に随契で委託。</t>
    </r>
  </si>
  <si>
    <t xml:space="preserve">別海町</t>
  </si>
  <si>
    <t xml:space="preserve">ぎょうせい委託</t>
  </si>
  <si>
    <t xml:space="preserve">こども計画策定済。ぎょうせいとサーベイの入札のため実績要件が入っていた可能性有</t>
  </si>
  <si>
    <t xml:space="preserve">中標津町</t>
  </si>
  <si>
    <t xml:space="preserve">予算否決につき今年度自前改定。</t>
  </si>
  <si>
    <t xml:space="preserve">ぎょうせいへ委託済</t>
  </si>
  <si>
    <t xml:space="preserve">標津町</t>
  </si>
  <si>
    <t xml:space="preserve">行政研負担金</t>
  </si>
  <si>
    <t xml:space="preserve">役場内全体で行政研システムを使用しており、保守料の中で会計支援、消費税監査を実施。</t>
  </si>
  <si>
    <t xml:space="preserve">根室北部消防事務組合</t>
  </si>
  <si>
    <t xml:space="preserve">オーレンス会計事務所にてシステム保守とともに委託。</t>
  </si>
  <si>
    <t xml:space="preserve">占冠村</t>
  </si>
  <si>
    <r>
      <rPr>
        <sz val="9"/>
        <rFont val="游ゴシック"/>
        <family val="0"/>
        <charset val="1"/>
      </rPr>
      <t xml:space="preserve">R5</t>
    </r>
    <r>
      <rPr>
        <sz val="9"/>
        <rFont val="WenQuanYi Zen Hei"/>
        <family val="2"/>
      </rPr>
      <t xml:space="preserve">年度で期限切れ。各課や給食センターが富良野市と共同のため、調整がかなりの負担になり、改定が進まない。</t>
    </r>
  </si>
  <si>
    <t xml:space="preserve">南富良野町</t>
  </si>
  <si>
    <r>
      <rPr>
        <sz val="9"/>
        <rFont val="WenQuanYi Zen Hei"/>
        <family val="2"/>
      </rPr>
      <t xml:space="preserve">食育推進計画・健康増進計画を包含して作成。</t>
    </r>
    <r>
      <rPr>
        <sz val="9"/>
        <rFont val="游ゴシック"/>
        <family val="0"/>
        <charset val="1"/>
      </rPr>
      <t xml:space="preserve">R9</t>
    </r>
    <r>
      <rPr>
        <sz val="9"/>
        <rFont val="WenQuanYi Zen Hei"/>
        <family val="2"/>
      </rPr>
      <t xml:space="preserve">までの計画期間で今年度 アンケート自前で、報告書は入札でぎょうせいに委託。予算が付きづらくなっていたため、一部委託。計画本体は来年度 自前改訂予定。</t>
    </r>
  </si>
  <si>
    <t xml:space="preserve">芦別市</t>
  </si>
  <si>
    <r>
      <rPr>
        <sz val="9"/>
        <rFont val="游ゴシック"/>
        <family val="0"/>
        <charset val="1"/>
      </rPr>
      <t xml:space="preserve">R10</t>
    </r>
    <r>
      <rPr>
        <sz val="9"/>
        <rFont val="WenQuanYi Zen Hei"/>
        <family val="2"/>
      </rPr>
      <t xml:space="preserve">計画終了だが、今までも自前で、次回も自前改訂予定。</t>
    </r>
  </si>
  <si>
    <t xml:space="preserve">赤平市</t>
  </si>
  <si>
    <t xml:space="preserve">八戸市</t>
  </si>
  <si>
    <t xml:space="preserve">農業振興計画　地域農業の審議会（関連団体の長に委員を委嘱）しているので、アンケート等は行っておらず、数値についても農業センサス結果を活用し、自力作成となっているとのことです。</t>
  </si>
  <si>
    <t xml:space="preserve">南部町</t>
  </si>
  <si>
    <r>
      <rPr>
        <sz val="9"/>
        <rFont val="WenQuanYi Zen Hei"/>
        <family val="2"/>
      </rPr>
      <t xml:space="preserve">農業振興計画　県営事業の圃場整備を行った関係で地番が新たにつきなおす必要がいありその整理に時間を要しているため、計画更新はそのあととなる。地番整備のめどは令和</t>
    </r>
    <r>
      <rPr>
        <sz val="9"/>
        <rFont val="游ゴシック"/>
        <family val="0"/>
        <charset val="1"/>
      </rPr>
      <t xml:space="preserve">10</t>
    </r>
    <r>
      <rPr>
        <sz val="9"/>
        <rFont val="WenQuanYi Zen Hei"/>
        <family val="2"/>
      </rPr>
      <t xml:space="preserve">年度中とのことでした。</t>
    </r>
  </si>
  <si>
    <t xml:space="preserve">新篠津村</t>
  </si>
  <si>
    <r>
      <rPr>
        <sz val="9"/>
        <rFont val="游ゴシック"/>
        <family val="0"/>
        <charset val="1"/>
      </rPr>
      <t xml:space="preserve">R8</t>
    </r>
    <r>
      <rPr>
        <sz val="9"/>
        <rFont val="WenQuanYi Zen Hei"/>
        <family val="2"/>
      </rPr>
      <t xml:space="preserve">年度、男女共同・総合戦略内包し、総合計画策定。入札で２１世紀に委託。毎回入札。</t>
    </r>
  </si>
  <si>
    <t xml:space="preserve">東神楽町</t>
  </si>
  <si>
    <t xml:space="preserve">プロポで日本総研。</t>
  </si>
  <si>
    <t xml:space="preserve">美瑛町</t>
  </si>
  <si>
    <r>
      <rPr>
        <sz val="9"/>
        <rFont val="游ゴシック"/>
        <family val="0"/>
        <charset val="1"/>
      </rPr>
      <t xml:space="preserve">R8</t>
    </r>
    <r>
      <rPr>
        <sz val="9"/>
        <rFont val="WenQuanYi Zen Hei"/>
        <family val="2"/>
      </rPr>
      <t xml:space="preserve">改定作業自前で。</t>
    </r>
  </si>
  <si>
    <t xml:space="preserve">深川市</t>
  </si>
  <si>
    <t xml:space="preserve">妹背牛町</t>
  </si>
  <si>
    <t xml:space="preserve">雨竜町</t>
  </si>
  <si>
    <t xml:space="preserve">北竜町</t>
  </si>
  <si>
    <t xml:space="preserve">岩手県市町村総合事務組合</t>
  </si>
  <si>
    <t xml:space="preserve">来年度以降も自前作成予定。</t>
  </si>
  <si>
    <t xml:space="preserve">知内町</t>
  </si>
  <si>
    <t xml:space="preserve">環境基本計画　自前策定</t>
  </si>
  <si>
    <t xml:space="preserve">福島町</t>
  </si>
  <si>
    <t xml:space="preserve">環境基本計画自前策定</t>
  </si>
  <si>
    <t xml:space="preserve">由利本荘市</t>
  </si>
  <si>
    <t xml:space="preserve">アチカのシステムを利用し、アチカと随契している。</t>
  </si>
  <si>
    <t xml:space="preserve">羽後町</t>
  </si>
  <si>
    <t xml:space="preserve">来年度も実施予定なし。今までも会計支援していない。</t>
  </si>
  <si>
    <t xml:space="preserve">湯沢市</t>
  </si>
  <si>
    <t xml:space="preserve">すでに作成済み。前回も自前で、今後も予定なし。</t>
  </si>
  <si>
    <t xml:space="preserve">横手市</t>
  </si>
  <si>
    <t xml:space="preserve">今まで同様に公会計自前作成。セミナー案内で参加次第でアプローチし、委託や発展公会計を勧めていく。</t>
  </si>
  <si>
    <r>
      <rPr>
        <sz val="9"/>
        <rFont val="游ゴシック"/>
        <family val="0"/>
        <charset val="1"/>
      </rPr>
      <t xml:space="preserve">R8</t>
    </r>
    <r>
      <rPr>
        <sz val="9"/>
        <rFont val="WenQuanYi Zen Hei"/>
        <family val="2"/>
      </rPr>
      <t xml:space="preserve">改定したばかりのため、再訪不要。</t>
    </r>
  </si>
  <si>
    <t xml:space="preserve">舟形町</t>
  </si>
  <si>
    <t xml:space="preserve">東根市</t>
  </si>
  <si>
    <t xml:space="preserve">北広島市</t>
  </si>
  <si>
    <r>
      <rPr>
        <sz val="9"/>
        <rFont val="WenQuanYi Zen Hei"/>
        <family val="2"/>
      </rPr>
      <t xml:space="preserve">今まで別々に作っていたが、</t>
    </r>
    <r>
      <rPr>
        <sz val="9"/>
        <rFont val="游ゴシック"/>
        <family val="0"/>
        <charset val="1"/>
      </rPr>
      <t xml:space="preserve">R9</t>
    </r>
    <r>
      <rPr>
        <sz val="9"/>
        <rFont val="WenQuanYi Zen Hei"/>
        <family val="2"/>
      </rPr>
      <t xml:space="preserve">からの計画は一体で作成中。昨年度アンケート委託、今年度グラフ化など別業者に委託 したが、計画本体は自前作成。次回以降はアンケート実施 しない可能性も。</t>
    </r>
  </si>
  <si>
    <t xml:space="preserve">由仁町</t>
  </si>
  <si>
    <t xml:space="preserve">長沼町</t>
  </si>
  <si>
    <t xml:space="preserve">南幌町</t>
  </si>
  <si>
    <t xml:space="preserve">三笠市</t>
  </si>
  <si>
    <t xml:space="preserve">美唄市</t>
  </si>
  <si>
    <r>
      <rPr>
        <sz val="9"/>
        <rFont val="WenQuanYi Zen Hei"/>
        <family val="2"/>
      </rPr>
      <t xml:space="preserve">国の制度を使い、三菱</t>
    </r>
    <r>
      <rPr>
        <sz val="9"/>
        <rFont val="游ゴシック"/>
        <family val="0"/>
        <charset val="1"/>
      </rPr>
      <t xml:space="preserve">UFJ</t>
    </r>
    <r>
      <rPr>
        <sz val="9"/>
        <rFont val="WenQuanYi Zen Hei"/>
        <family val="2"/>
      </rPr>
      <t xml:space="preserve">関連会社のアドバイザーが</t>
    </r>
    <r>
      <rPr>
        <sz val="9"/>
        <rFont val="游ゴシック"/>
        <family val="0"/>
        <charset val="1"/>
      </rPr>
      <t xml:space="preserve">1</t>
    </r>
    <r>
      <rPr>
        <sz val="9"/>
        <rFont val="WenQuanYi Zen Hei"/>
        <family val="2"/>
      </rPr>
      <t xml:space="preserve">回／月程度対応しているとのこと。</t>
    </r>
  </si>
  <si>
    <t xml:space="preserve">岩見沢市</t>
  </si>
  <si>
    <t xml:space="preserve">日高町</t>
  </si>
  <si>
    <t xml:space="preserve">公会計で関与している行政研に相談する。参考見積断られた。</t>
  </si>
  <si>
    <t xml:space="preserve">白鷹町</t>
  </si>
  <si>
    <t xml:space="preserve">自前自治体。頑なに委託はしないとのことです。</t>
  </si>
  <si>
    <r>
      <rPr>
        <sz val="9"/>
        <rFont val="WenQuanYi Zen Hei"/>
        <family val="2"/>
      </rPr>
      <t xml:space="preserve">現計画は</t>
    </r>
    <r>
      <rPr>
        <sz val="9"/>
        <rFont val="游ゴシック"/>
        <family val="0"/>
        <charset val="1"/>
      </rPr>
      <t xml:space="preserve">R10</t>
    </r>
    <r>
      <rPr>
        <sz val="9"/>
        <rFont val="WenQuanYi Zen Hei"/>
        <family val="2"/>
      </rPr>
      <t xml:space="preserve">年度まで。今までも自前で、次回も自前予定。アンケートのみの一部委託の提案中。</t>
    </r>
  </si>
  <si>
    <t xml:space="preserve">⑤ 北海道の活動が止まっている要因</t>
  </si>
  <si>
    <t xml:space="preserve">活動ログで特定できるのは「いつ・何が」まで。「なぜ」は営業会議ブックの構造要因と突き合わせた推論を含む。支持度欄を参照。</t>
  </si>
  <si>
    <r>
      <rPr>
        <b val="true"/>
        <sz val="12"/>
        <color rgb="FF1F3864"/>
        <rFont val="游ゴシック"/>
        <family val="0"/>
        <charset val="1"/>
      </rPr>
      <t xml:space="preserve">1. </t>
    </r>
    <r>
      <rPr>
        <b val="true"/>
        <sz val="12"/>
        <color rgb="FF1F3864"/>
        <rFont val="WenQuanYi Zen Hei"/>
        <family val="2"/>
      </rPr>
      <t xml:space="preserve">止まったのは北海道だけではない（移動圏単位で揃っている）</t>
    </r>
  </si>
  <si>
    <t xml:space="preserve">移動圏</t>
  </si>
  <si>
    <r>
      <rPr>
        <b val="true"/>
        <sz val="10"/>
        <color rgb="FFFFFFFF"/>
        <rFont val="游ゴシック"/>
        <family val="0"/>
        <charset val="1"/>
      </rPr>
      <t xml:space="preserve">08/17</t>
    </r>
    <r>
      <rPr>
        <b val="true"/>
        <sz val="10"/>
        <color rgb="FFFFFFFF"/>
        <rFont val="WenQuanYi Zen Hei"/>
        <family val="2"/>
      </rPr>
      <t xml:space="preserve">週</t>
    </r>
  </si>
  <si>
    <t xml:space="preserve">最終活動日</t>
  </si>
  <si>
    <t xml:space="preserve">北東北</t>
  </si>
  <si>
    <t xml:space="preserve">南東北・岩手</t>
  </si>
  <si>
    <r>
      <rPr>
        <sz val="9"/>
        <color rgb="FF595959"/>
        <rFont val="WenQuanYi Zen Hei"/>
        <family val="2"/>
      </rPr>
      <t xml:space="preserve">→ 北東北（青森・秋田）は</t>
    </r>
    <r>
      <rPr>
        <sz val="9"/>
        <color rgb="FF595959"/>
        <rFont val="游ゴシック"/>
        <family val="0"/>
        <charset val="1"/>
      </rPr>
      <t xml:space="preserve">9/07</t>
    </r>
    <r>
      <rPr>
        <sz val="9"/>
        <color rgb="FF595959"/>
        <rFont val="WenQuanYi Zen Hei"/>
        <family val="2"/>
      </rPr>
      <t xml:space="preserve">週から、北海道は</t>
    </r>
    <r>
      <rPr>
        <sz val="9"/>
        <color rgb="FF595959"/>
        <rFont val="游ゴシック"/>
        <family val="0"/>
        <charset val="1"/>
      </rPr>
      <t xml:space="preserve">9/14</t>
    </r>
    <r>
      <rPr>
        <sz val="9"/>
        <color rgb="FF595959"/>
        <rFont val="WenQuanYi Zen Hei"/>
        <family val="2"/>
      </rPr>
      <t xml:space="preserve">週からゼロ。南東北・岩手の</t>
    </r>
    <r>
      <rPr>
        <sz val="9"/>
        <color rgb="FF595959"/>
        <rFont val="游ゴシック"/>
        <family val="0"/>
        <charset val="1"/>
      </rPr>
      <t xml:space="preserve">3</t>
    </r>
    <r>
      <rPr>
        <sz val="9"/>
        <color rgb="FF595959"/>
        <rFont val="WenQuanYi Zen Hei"/>
        <family val="2"/>
      </rPr>
      <t xml:space="preserve">名（相澤・角張・高橋）のみ継続。個人の問題ではなく圏単位で止まっている。</t>
    </r>
  </si>
  <si>
    <r>
      <rPr>
        <b val="true"/>
        <sz val="12"/>
        <color rgb="FF1F3864"/>
        <rFont val="游ゴシック"/>
        <family val="0"/>
        <charset val="1"/>
      </rPr>
      <t xml:space="preserve">2. </t>
    </r>
    <r>
      <rPr>
        <b val="true"/>
        <sz val="12"/>
        <color rgb="FF1F3864"/>
        <rFont val="WenQuanYi Zen Hei"/>
        <family val="2"/>
      </rPr>
      <t xml:space="preserve">北海道担当</t>
    </r>
    <r>
      <rPr>
        <b val="true"/>
        <sz val="12"/>
        <color rgb="FF1F3864"/>
        <rFont val="游ゴシック"/>
        <family val="0"/>
        <charset val="1"/>
      </rPr>
      <t xml:space="preserve">4</t>
    </r>
    <r>
      <rPr>
        <b val="true"/>
        <sz val="12"/>
        <color rgb="FF1F3864"/>
        <rFont val="WenQuanYi Zen Hei"/>
        <family val="2"/>
      </rPr>
      <t xml:space="preserve">名の最終活動（営業会議ブック </t>
    </r>
    <r>
      <rPr>
        <b val="true"/>
        <sz val="12"/>
        <color rgb="FF1F3864"/>
        <rFont val="游ゴシック"/>
        <family val="0"/>
        <charset val="1"/>
      </rPr>
      <t xml:space="preserve">J162</t>
    </r>
    <r>
      <rPr>
        <b val="true"/>
        <sz val="12"/>
        <color rgb="FF1F3864"/>
        <rFont val="WenQuanYi Zen Hei"/>
        <family val="2"/>
      </rPr>
      <t xml:space="preserve">「※基本は長戸・村田・林・吉野」）</t>
    </r>
  </si>
  <si>
    <t xml:space="preserve">担当者</t>
  </si>
  <si>
    <t xml:space="preserve">経過日数</t>
  </si>
  <si>
    <t xml:space="preserve">最終日の件数</t>
  </si>
  <si>
    <t xml:space="preserve">最終日のアクション</t>
  </si>
  <si>
    <r>
      <rPr>
        <sz val="10"/>
        <color rgb="FF000000"/>
        <rFont val="WenQuanYi Zen Hei"/>
        <family val="2"/>
      </rPr>
      <t xml:space="preserve">見積提示</t>
    </r>
    <r>
      <rPr>
        <sz val="10"/>
        <color rgb="FF000000"/>
        <rFont val="游ゴシック"/>
        <family val="0"/>
        <charset val="1"/>
      </rPr>
      <t xml:space="preserve">2</t>
    </r>
    <r>
      <rPr>
        <sz val="10"/>
        <color rgb="FF000000"/>
        <rFont val="WenQuanYi Zen Hei"/>
        <family val="2"/>
      </rPr>
      <t xml:space="preserve">件</t>
    </r>
  </si>
  <si>
    <r>
      <rPr>
        <sz val="10"/>
        <color rgb="FF000000"/>
        <rFont val="WenQuanYi Zen Hei"/>
        <family val="2"/>
      </rPr>
      <t xml:space="preserve">見積提示</t>
    </r>
    <r>
      <rPr>
        <sz val="10"/>
        <color rgb="FF000000"/>
        <rFont val="游ゴシック"/>
        <family val="0"/>
        <charset val="1"/>
      </rPr>
      <t xml:space="preserve">1</t>
    </r>
    <r>
      <rPr>
        <sz val="10"/>
        <color rgb="FF000000"/>
        <rFont val="WenQuanYi Zen Hei"/>
        <family val="2"/>
      </rPr>
      <t xml:space="preserve">件／再訪不要</t>
    </r>
    <r>
      <rPr>
        <sz val="10"/>
        <color rgb="FF000000"/>
        <rFont val="游ゴシック"/>
        <family val="0"/>
        <charset val="1"/>
      </rPr>
      <t xml:space="preserve">1</t>
    </r>
    <r>
      <rPr>
        <sz val="10"/>
        <color rgb="FF000000"/>
        <rFont val="WenQuanYi Zen Hei"/>
        <family val="2"/>
      </rPr>
      <t xml:space="preserve">件</t>
    </r>
  </si>
  <si>
    <r>
      <rPr>
        <sz val="10"/>
        <color rgb="FF000000"/>
        <rFont val="WenQuanYi Zen Hei"/>
        <family val="2"/>
      </rPr>
      <t xml:space="preserve">再アプローチ</t>
    </r>
    <r>
      <rPr>
        <sz val="10"/>
        <color rgb="FF000000"/>
        <rFont val="游ゴシック"/>
        <family val="0"/>
        <charset val="1"/>
      </rPr>
      <t xml:space="preserve">2</t>
    </r>
    <r>
      <rPr>
        <sz val="10"/>
        <color rgb="FF000000"/>
        <rFont val="WenQuanYi Zen Hei"/>
        <family val="2"/>
      </rPr>
      <t xml:space="preserve">件</t>
    </r>
  </si>
  <si>
    <r>
      <rPr>
        <sz val="10"/>
        <color rgb="FF000000"/>
        <rFont val="WenQuanYi Zen Hei"/>
        <family val="2"/>
      </rPr>
      <t xml:space="preserve">見積提示</t>
    </r>
    <r>
      <rPr>
        <sz val="10"/>
        <color rgb="FF000000"/>
        <rFont val="游ゴシック"/>
        <family val="0"/>
        <charset val="1"/>
      </rPr>
      <t xml:space="preserve">2</t>
    </r>
    <r>
      <rPr>
        <sz val="10"/>
        <color rgb="FF000000"/>
        <rFont val="WenQuanYi Zen Hei"/>
        <family val="2"/>
      </rPr>
      <t xml:space="preserve">件／再アプローチ</t>
    </r>
    <r>
      <rPr>
        <sz val="10"/>
        <color rgb="FF000000"/>
        <rFont val="游ゴシック"/>
        <family val="0"/>
        <charset val="1"/>
      </rPr>
      <t xml:space="preserve">1</t>
    </r>
    <r>
      <rPr>
        <sz val="10"/>
        <color rgb="FF000000"/>
        <rFont val="WenQuanYi Zen Hei"/>
        <family val="2"/>
      </rPr>
      <t xml:space="preserve">件</t>
    </r>
  </si>
  <si>
    <r>
      <rPr>
        <sz val="9"/>
        <color rgb="FF595959"/>
        <rFont val="游ゴシック"/>
        <family val="0"/>
        <charset val="1"/>
      </rPr>
      <t xml:space="preserve">→ 4</t>
    </r>
    <r>
      <rPr>
        <sz val="9"/>
        <color rgb="FF595959"/>
        <rFont val="WenQuanYi Zen Hei"/>
        <family val="2"/>
      </rPr>
      <t xml:space="preserve">名とも最終記録は「見積提示」または「再アプローチ」。投げ出しではなく、訪問から見積・提案フェーズへ移った形で記録が途絶えている。</t>
    </r>
  </si>
  <si>
    <r>
      <rPr>
        <b val="true"/>
        <sz val="12"/>
        <color rgb="FF1F3864"/>
        <rFont val="游ゴシック"/>
        <family val="0"/>
        <charset val="1"/>
      </rPr>
      <t xml:space="preserve">3. </t>
    </r>
    <r>
      <rPr>
        <b val="true"/>
        <sz val="12"/>
        <color rgb="FF1F3864"/>
        <rFont val="WenQuanYi Zen Hei"/>
        <family val="2"/>
      </rPr>
      <t xml:space="preserve">北海道と東北の違い（なぜ北海道から先に枯れたか）</t>
    </r>
  </si>
  <si>
    <t xml:space="preserve">東北</t>
  </si>
  <si>
    <t xml:space="preserve">単位</t>
  </si>
  <si>
    <t xml:space="preserve">出所</t>
  </si>
  <si>
    <t xml:space="preserve">読み方</t>
  </si>
  <si>
    <t xml:space="preserve">件</t>
  </si>
  <si>
    <t xml:space="preserve">活動ログ</t>
  </si>
  <si>
    <t xml:space="preserve">母数はほぼ同等。活動量そのものの差ではない</t>
  </si>
  <si>
    <t xml:space="preserve">訪問済み団体数</t>
  </si>
  <si>
    <t xml:space="preserve">団体</t>
  </si>
  <si>
    <r>
      <rPr>
        <sz val="10"/>
        <color rgb="FF000000"/>
        <rFont val="WenQuanYi Zen Hei"/>
        <family val="2"/>
      </rPr>
      <t xml:space="preserve">北海道</t>
    </r>
    <r>
      <rPr>
        <sz val="10"/>
        <color rgb="FF000000"/>
        <rFont val="游ゴシック"/>
        <family val="0"/>
        <charset val="1"/>
      </rPr>
      <t xml:space="preserve">108</t>
    </r>
    <r>
      <rPr>
        <sz val="10"/>
        <color rgb="FF000000"/>
        <rFont val="WenQuanYi Zen Hei"/>
        <family val="2"/>
      </rPr>
      <t xml:space="preserve">／道内</t>
    </r>
    <r>
      <rPr>
        <sz val="10"/>
        <color rgb="FF000000"/>
        <rFont val="游ゴシック"/>
        <family val="0"/>
        <charset val="1"/>
      </rPr>
      <t xml:space="preserve">179</t>
    </r>
    <r>
      <rPr>
        <sz val="10"/>
        <color rgb="FF000000"/>
        <rFont val="WenQuanYi Zen Hei"/>
        <family val="2"/>
      </rPr>
      <t xml:space="preserve">自治体（</t>
    </r>
    <r>
      <rPr>
        <sz val="10"/>
        <color rgb="FF000000"/>
        <rFont val="游ゴシック"/>
        <family val="0"/>
        <charset val="1"/>
      </rPr>
      <t xml:space="preserve">60%</t>
    </r>
    <r>
      <rPr>
        <sz val="10"/>
        <color rgb="FF000000"/>
        <rFont val="WenQuanYi Zen Hei"/>
        <family val="2"/>
      </rPr>
      <t xml:space="preserve">）。未訪問は約</t>
    </r>
    <r>
      <rPr>
        <sz val="10"/>
        <color rgb="FF000000"/>
        <rFont val="游ゴシック"/>
        <family val="0"/>
        <charset val="1"/>
      </rPr>
      <t xml:space="preserve">71</t>
    </r>
    <r>
      <rPr>
        <sz val="10"/>
        <color rgb="FF000000"/>
        <rFont val="WenQuanYi Zen Hei"/>
        <family val="2"/>
      </rPr>
      <t xml:space="preserve">団体残っている</t>
    </r>
  </si>
  <si>
    <t xml:space="preserve">再訪不要率（対 活動件数）</t>
  </si>
  <si>
    <t xml:space="preserve">%</t>
  </si>
  <si>
    <r>
      <rPr>
        <sz val="10"/>
        <color rgb="FF000000"/>
        <rFont val="WenQuanYi Zen Hei"/>
        <family val="2"/>
      </rPr>
      <t xml:space="preserve">北海道は</t>
    </r>
    <r>
      <rPr>
        <sz val="10"/>
        <color rgb="FF000000"/>
        <rFont val="游ゴシック"/>
        <family val="0"/>
        <charset val="1"/>
      </rPr>
      <t xml:space="preserve">3</t>
    </r>
    <r>
      <rPr>
        <sz val="10"/>
        <color rgb="FF000000"/>
        <rFont val="WenQuanYi Zen Hei"/>
        <family val="2"/>
      </rPr>
      <t xml:space="preserve">件に</t>
    </r>
    <r>
      <rPr>
        <sz val="10"/>
        <color rgb="FF000000"/>
        <rFont val="游ゴシック"/>
        <family val="0"/>
        <charset val="1"/>
      </rPr>
      <t xml:space="preserve">1</t>
    </r>
    <r>
      <rPr>
        <sz val="10"/>
        <color rgb="FF000000"/>
        <rFont val="WenQuanYi Zen Hei"/>
        <family val="2"/>
      </rPr>
      <t xml:space="preserve">件が案件化せず終了。東北の</t>
    </r>
    <r>
      <rPr>
        <sz val="10"/>
        <color rgb="FF000000"/>
        <rFont val="游ゴシック"/>
        <family val="0"/>
        <charset val="1"/>
      </rPr>
      <t xml:space="preserve">2.4</t>
    </r>
    <r>
      <rPr>
        <sz val="10"/>
        <color rgb="FF000000"/>
        <rFont val="WenQuanYi Zen Hei"/>
        <family val="2"/>
      </rPr>
      <t xml:space="preserve">倍</t>
    </r>
  </si>
  <si>
    <t xml:space="preserve">残パイプライン（再アプローチ＋同行依頼）</t>
  </si>
  <si>
    <t xml:space="preserve">次がある前提の案件。件数では東北のほうが多い</t>
  </si>
  <si>
    <t xml:space="preserve">うちアプローチ時期＝今年度</t>
  </si>
  <si>
    <r>
      <rPr>
        <sz val="10"/>
        <color rgb="FF000000"/>
        <rFont val="WenQuanYi Zen Hei"/>
        <family val="2"/>
      </rPr>
      <t xml:space="preserve">今すぐ訪ねる理由のある案件。北海道は残パイプの</t>
    </r>
    <r>
      <rPr>
        <sz val="10"/>
        <color rgb="FF000000"/>
        <rFont val="游ゴシック"/>
        <family val="0"/>
        <charset val="1"/>
      </rPr>
      <t xml:space="preserve">40%</t>
    </r>
    <r>
      <rPr>
        <sz val="10"/>
        <color rgb="FF000000"/>
        <rFont val="WenQuanYi Zen Hei"/>
        <family val="2"/>
      </rPr>
      <t xml:space="preserve">、東北は</t>
    </r>
    <r>
      <rPr>
        <sz val="10"/>
        <color rgb="FF000000"/>
        <rFont val="游ゴシック"/>
        <family val="0"/>
        <charset val="1"/>
      </rPr>
      <t xml:space="preserve">66%</t>
    </r>
  </si>
  <si>
    <t xml:space="preserve">アプローチ時期＝再来年度</t>
  </si>
  <si>
    <t xml:space="preserve">先送り案件。北海道に偏って積み上がっている</t>
  </si>
  <si>
    <t xml:space="preserve">見積提示済（今期分）</t>
  </si>
  <si>
    <t xml:space="preserve">会議ブック</t>
  </si>
  <si>
    <t xml:space="preserve">H172</t>
  </si>
  <si>
    <t xml:space="preserve">成果が今期に落ちていない</t>
  </si>
  <si>
    <t xml:space="preserve">見積提示済（来期分）</t>
  </si>
  <si>
    <t xml:space="preserve">I172</t>
  </si>
  <si>
    <r>
      <rPr>
        <sz val="10"/>
        <color rgb="FF000000"/>
        <rFont val="WenQuanYi Zen Hei"/>
        <family val="2"/>
      </rPr>
      <t xml:space="preserve">北海道の成果は</t>
    </r>
    <r>
      <rPr>
        <sz val="10"/>
        <color rgb="FF000000"/>
        <rFont val="游ゴシック"/>
        <family val="0"/>
        <charset val="1"/>
      </rPr>
      <t xml:space="preserve">44</t>
    </r>
    <r>
      <rPr>
        <sz val="10"/>
        <color rgb="FF000000"/>
        <rFont val="WenQuanYi Zen Hei"/>
        <family val="2"/>
      </rPr>
      <t xml:space="preserve">件すべて来期。今期に刈る玉がない</t>
    </r>
  </si>
  <si>
    <r>
      <rPr>
        <sz val="10"/>
        <color rgb="FF000000"/>
        <rFont val="游ゴシック"/>
        <family val="0"/>
        <charset val="1"/>
      </rPr>
      <t xml:space="preserve">9</t>
    </r>
    <r>
      <rPr>
        <sz val="10"/>
        <color rgb="FF000000"/>
        <rFont val="WenQuanYi Zen Hei"/>
        <family val="2"/>
      </rPr>
      <t xml:space="preserve">月入札見込</t>
    </r>
  </si>
  <si>
    <t xml:space="preserve">E63</t>
  </si>
  <si>
    <r>
      <rPr>
        <sz val="10"/>
        <color rgb="FF000000"/>
        <rFont val="游ゴシック"/>
        <family val="0"/>
        <charset val="1"/>
      </rPr>
      <t xml:space="preserve">9</t>
    </r>
    <r>
      <rPr>
        <sz val="10"/>
        <color rgb="FF000000"/>
        <rFont val="WenQuanYi Zen Hei"/>
        <family val="2"/>
      </rPr>
      <t xml:space="preserve">月入札確定</t>
    </r>
  </si>
  <si>
    <t xml:space="preserve">E64</t>
  </si>
  <si>
    <r>
      <rPr>
        <sz val="10"/>
        <color rgb="FF000000"/>
        <rFont val="WenQuanYi Zen Hei"/>
        <family val="2"/>
      </rPr>
      <t xml:space="preserve">北海道は</t>
    </r>
    <r>
      <rPr>
        <sz val="10"/>
        <color rgb="FF000000"/>
        <rFont val="游ゴシック"/>
        <family val="0"/>
        <charset val="1"/>
      </rPr>
      <t xml:space="preserve">9</t>
    </r>
    <r>
      <rPr>
        <sz val="10"/>
        <color rgb="FF000000"/>
        <rFont val="WenQuanYi Zen Hei"/>
        <family val="2"/>
      </rPr>
      <t xml:space="preserve">月の確定ゼロ。</t>
    </r>
    <r>
      <rPr>
        <sz val="10"/>
        <color rgb="FF000000"/>
        <rFont val="游ゴシック"/>
        <family val="0"/>
        <charset val="1"/>
      </rPr>
      <t xml:space="preserve">5</t>
    </r>
    <r>
      <rPr>
        <sz val="10"/>
        <color rgb="FF000000"/>
        <rFont val="WenQuanYi Zen Hei"/>
        <family val="2"/>
      </rPr>
      <t xml:space="preserve">〜</t>
    </r>
    <r>
      <rPr>
        <sz val="10"/>
        <color rgb="FF000000"/>
        <rFont val="游ゴシック"/>
        <family val="0"/>
        <charset val="1"/>
      </rPr>
      <t xml:space="preserve">8</t>
    </r>
    <r>
      <rPr>
        <sz val="10"/>
        <color rgb="FF000000"/>
        <rFont val="WenQuanYi Zen Hei"/>
        <family val="2"/>
      </rPr>
      <t xml:space="preserve">月は毎月</t>
    </r>
    <r>
      <rPr>
        <sz val="10"/>
        <color rgb="FF000000"/>
        <rFont val="游ゴシック"/>
        <family val="0"/>
        <charset val="1"/>
      </rPr>
      <t xml:space="preserve">2</t>
    </r>
    <r>
      <rPr>
        <sz val="10"/>
        <color rgb="FF000000"/>
        <rFont val="WenQuanYi Zen Hei"/>
        <family val="2"/>
      </rPr>
      <t xml:space="preserve">〜</t>
    </r>
    <r>
      <rPr>
        <sz val="10"/>
        <color rgb="FF000000"/>
        <rFont val="游ゴシック"/>
        <family val="0"/>
        <charset val="1"/>
      </rPr>
      <t xml:space="preserve">4</t>
    </r>
    <r>
      <rPr>
        <sz val="10"/>
        <color rgb="FF000000"/>
        <rFont val="WenQuanYi Zen Hei"/>
        <family val="2"/>
      </rPr>
      <t xml:space="preserve">件確定していた</t>
    </r>
  </si>
  <si>
    <t xml:space="preserve">公会計 現状件数（納品）</t>
  </si>
  <si>
    <t xml:space="preserve">E240</t>
  </si>
  <si>
    <t xml:space="preserve">全国最多。納品側の母数が大きい</t>
  </si>
  <si>
    <t xml:space="preserve">固定資産台帳 精緻化</t>
  </si>
  <si>
    <t xml:space="preserve">E259</t>
  </si>
  <si>
    <r>
      <rPr>
        <sz val="10"/>
        <color rgb="FF000000"/>
        <rFont val="WenQuanYi Zen Hei"/>
        <family val="2"/>
      </rPr>
      <t xml:space="preserve">全国</t>
    </r>
    <r>
      <rPr>
        <sz val="10"/>
        <color rgb="FF000000"/>
        <rFont val="游ゴシック"/>
        <family val="0"/>
        <charset val="1"/>
      </rPr>
      <t xml:space="preserve">55</t>
    </r>
    <r>
      <rPr>
        <sz val="10"/>
        <color rgb="FF000000"/>
        <rFont val="WenQuanYi Zen Hei"/>
        <family val="2"/>
      </rPr>
      <t xml:space="preserve">件中</t>
    </r>
    <r>
      <rPr>
        <sz val="10"/>
        <color rgb="FF000000"/>
        <rFont val="游ゴシック"/>
        <family val="0"/>
        <charset val="1"/>
      </rPr>
      <t xml:space="preserve">39</t>
    </r>
    <r>
      <rPr>
        <sz val="10"/>
        <color rgb="FF000000"/>
        <rFont val="WenQuanYi Zen Hei"/>
        <family val="2"/>
      </rPr>
      <t xml:space="preserve">件が北海道。</t>
    </r>
    <r>
      <rPr>
        <sz val="10"/>
        <color rgb="FF000000"/>
        <rFont val="游ゴシック"/>
        <family val="0"/>
        <charset val="1"/>
      </rPr>
      <t xml:space="preserve">9</t>
    </r>
    <r>
      <rPr>
        <sz val="10"/>
        <color rgb="FF000000"/>
        <rFont val="WenQuanYi Zen Hei"/>
        <family val="2"/>
      </rPr>
      <t xml:space="preserve">月決算期の作業負荷が集中</t>
    </r>
  </si>
  <si>
    <t xml:space="preserve">会計支援 対象</t>
  </si>
  <si>
    <t xml:space="preserve">D270</t>
  </si>
  <si>
    <t xml:space="preserve">うち決算報告書</t>
  </si>
  <si>
    <t xml:space="preserve">I270</t>
  </si>
  <si>
    <r>
      <rPr>
        <sz val="10"/>
        <color rgb="FF000000"/>
        <rFont val="游ゴシック"/>
        <family val="0"/>
        <charset val="1"/>
      </rPr>
      <t xml:space="preserve">9</t>
    </r>
    <r>
      <rPr>
        <sz val="10"/>
        <color rgb="FF000000"/>
        <rFont val="WenQuanYi Zen Hei"/>
        <family val="2"/>
      </rPr>
      <t xml:space="preserve">月は自治体の決算期。納品と営業が同じ人員なら営業は後回しになる</t>
    </r>
  </si>
  <si>
    <r>
      <rPr>
        <sz val="9"/>
        <color rgb="FF595959"/>
        <rFont val="WenQuanYi Zen Hei"/>
        <family val="2"/>
      </rPr>
      <t xml:space="preserve">※ 「会議ブック」出所の値は営業会議ブック </t>
    </r>
    <r>
      <rPr>
        <sz val="9"/>
        <color rgb="FF595959"/>
        <rFont val="游ゴシック"/>
        <family val="0"/>
        <charset val="1"/>
      </rPr>
      <t xml:space="preserve">20260904</t>
    </r>
    <r>
      <rPr>
        <sz val="9"/>
        <color rgb="FF595959"/>
        <rFont val="WenQuanYi Zen Hei"/>
        <family val="2"/>
      </rPr>
      <t xml:space="preserve">㉜ からの転記（青字）。</t>
    </r>
    <r>
      <rPr>
        <sz val="9"/>
        <color rgb="FF595959"/>
        <rFont val="游ゴシック"/>
        <family val="0"/>
        <charset val="1"/>
      </rPr>
      <t xml:space="preserve">G</t>
    </r>
    <r>
      <rPr>
        <sz val="9"/>
        <color rgb="FF595959"/>
        <rFont val="WenQuanYi Zen Hei"/>
        <family val="2"/>
      </rPr>
      <t xml:space="preserve">列に参照セルを記載。</t>
    </r>
  </si>
  <si>
    <r>
      <rPr>
        <b val="true"/>
        <sz val="12"/>
        <color rgb="FF1F3864"/>
        <rFont val="游ゴシック"/>
        <family val="0"/>
        <charset val="1"/>
      </rPr>
      <t xml:space="preserve">4. </t>
    </r>
    <r>
      <rPr>
        <b val="true"/>
        <sz val="12"/>
        <color rgb="FF1F3864"/>
        <rFont val="WenQuanYi Zen Hei"/>
        <family val="2"/>
      </rPr>
      <t xml:space="preserve">要因の候補と根拠</t>
    </r>
  </si>
  <si>
    <t xml:space="preserve">データでの支持度</t>
  </si>
  <si>
    <t xml:space="preserve">根拠</t>
  </si>
  <si>
    <t xml:space="preserve">① 今期に動かせる案件の枯渇</t>
  </si>
  <si>
    <t xml:space="preserve">強い（ログ・会議ブック双方が一致）</t>
  </si>
  <si>
    <r>
      <rPr>
        <sz val="10"/>
        <color rgb="FF000000"/>
        <rFont val="WenQuanYi Zen Hei"/>
        <family val="2"/>
      </rPr>
      <t xml:space="preserve">残パイプ</t>
    </r>
    <r>
      <rPr>
        <sz val="10"/>
        <color rgb="FF000000"/>
        <rFont val="游ゴシック"/>
        <family val="0"/>
        <charset val="1"/>
      </rPr>
      <t xml:space="preserve">109</t>
    </r>
    <r>
      <rPr>
        <sz val="10"/>
        <color rgb="FF000000"/>
        <rFont val="WenQuanYi Zen Hei"/>
        <family val="2"/>
      </rPr>
      <t xml:space="preserve">件中 今年度分は</t>
    </r>
    <r>
      <rPr>
        <sz val="10"/>
        <color rgb="FF000000"/>
        <rFont val="游ゴシック"/>
        <family val="0"/>
        <charset val="1"/>
      </rPr>
      <t xml:space="preserve">44</t>
    </r>
    <r>
      <rPr>
        <sz val="10"/>
        <color rgb="FF000000"/>
        <rFont val="WenQuanYi Zen Hei"/>
        <family val="2"/>
      </rPr>
      <t xml:space="preserve">件（</t>
    </r>
    <r>
      <rPr>
        <sz val="10"/>
        <color rgb="FF000000"/>
        <rFont val="游ゴシック"/>
        <family val="0"/>
        <charset val="1"/>
      </rPr>
      <t xml:space="preserve">40%</t>
    </r>
    <r>
      <rPr>
        <sz val="10"/>
        <color rgb="FF000000"/>
        <rFont val="WenQuanYi Zen Hei"/>
        <family val="2"/>
      </rPr>
      <t xml:space="preserve">）。東北は</t>
    </r>
    <r>
      <rPr>
        <sz val="10"/>
        <color rgb="FF000000"/>
        <rFont val="游ゴシック"/>
        <family val="0"/>
        <charset val="1"/>
      </rPr>
      <t xml:space="preserve">141</t>
    </r>
    <r>
      <rPr>
        <sz val="10"/>
        <color rgb="FF000000"/>
        <rFont val="WenQuanYi Zen Hei"/>
        <family val="2"/>
      </rPr>
      <t xml:space="preserve">件中</t>
    </r>
    <r>
      <rPr>
        <sz val="10"/>
        <color rgb="FF000000"/>
        <rFont val="游ゴシック"/>
        <family val="0"/>
        <charset val="1"/>
      </rPr>
      <t xml:space="preserve">93</t>
    </r>
    <r>
      <rPr>
        <sz val="10"/>
        <color rgb="FF000000"/>
        <rFont val="WenQuanYi Zen Hei"/>
        <family val="2"/>
      </rPr>
      <t xml:space="preserve">件（</t>
    </r>
    <r>
      <rPr>
        <sz val="10"/>
        <color rgb="FF000000"/>
        <rFont val="游ゴシック"/>
        <family val="0"/>
        <charset val="1"/>
      </rPr>
      <t xml:space="preserve">66%</t>
    </r>
    <r>
      <rPr>
        <sz val="10"/>
        <color rgb="FF000000"/>
        <rFont val="WenQuanYi Zen Hei"/>
        <family val="2"/>
      </rPr>
      <t xml:space="preserve">）。再来年度案件</t>
    </r>
    <r>
      <rPr>
        <sz val="10"/>
        <color rgb="FF000000"/>
        <rFont val="游ゴシック"/>
        <family val="0"/>
        <charset val="1"/>
      </rPr>
      <t xml:space="preserve">19</t>
    </r>
    <r>
      <rPr>
        <sz val="10"/>
        <color rgb="FF000000"/>
        <rFont val="WenQuanYi Zen Hei"/>
        <family val="2"/>
      </rPr>
      <t xml:space="preserve">件が北海道に偏在。</t>
    </r>
    <r>
      <rPr>
        <sz val="10"/>
        <color rgb="FF000000"/>
        <rFont val="游ゴシック"/>
        <family val="0"/>
        <charset val="1"/>
      </rPr>
      <t xml:space="preserve">8/31</t>
    </r>
    <r>
      <rPr>
        <sz val="10"/>
        <color rgb="FF000000"/>
        <rFont val="WenQuanYi Zen Hei"/>
        <family val="2"/>
      </rPr>
      <t xml:space="preserve">週は</t>
    </r>
    <r>
      <rPr>
        <sz val="10"/>
        <color rgb="FF000000"/>
        <rFont val="游ゴシック"/>
        <family val="0"/>
        <charset val="1"/>
      </rPr>
      <t xml:space="preserve">38</t>
    </r>
    <r>
      <rPr>
        <sz val="10"/>
        <color rgb="FF000000"/>
        <rFont val="WenQuanYi Zen Hei"/>
        <family val="2"/>
      </rPr>
      <t xml:space="preserve">件訪問して</t>
    </r>
    <r>
      <rPr>
        <sz val="10"/>
        <color rgb="FF000000"/>
        <rFont val="游ゴシック"/>
        <family val="0"/>
        <charset val="1"/>
      </rPr>
      <t xml:space="preserve">22</t>
    </r>
    <r>
      <rPr>
        <sz val="10"/>
        <color rgb="FF000000"/>
        <rFont val="WenQuanYi Zen Hei"/>
        <family val="2"/>
      </rPr>
      <t xml:space="preserve">件（</t>
    </r>
    <r>
      <rPr>
        <sz val="10"/>
        <color rgb="FF000000"/>
        <rFont val="游ゴシック"/>
        <family val="0"/>
        <charset val="1"/>
      </rPr>
      <t xml:space="preserve">57.9%</t>
    </r>
    <r>
      <rPr>
        <sz val="10"/>
        <color rgb="FF000000"/>
        <rFont val="WenQuanYi Zen Hei"/>
        <family val="2"/>
      </rPr>
      <t xml:space="preserve">）が再訪不要。会議ブックでも見積提示済は今期</t>
    </r>
    <r>
      <rPr>
        <sz val="10"/>
        <color rgb="FF000000"/>
        <rFont val="游ゴシック"/>
        <family val="0"/>
        <charset val="1"/>
      </rPr>
      <t xml:space="preserve">1</t>
    </r>
    <r>
      <rPr>
        <sz val="10"/>
        <color rgb="FF000000"/>
        <rFont val="WenQuanYi Zen Hei"/>
        <family val="2"/>
      </rPr>
      <t xml:space="preserve">件・来期</t>
    </r>
    <r>
      <rPr>
        <sz val="10"/>
        <color rgb="FF000000"/>
        <rFont val="游ゴシック"/>
        <family val="0"/>
        <charset val="1"/>
      </rPr>
      <t xml:space="preserve">44</t>
    </r>
    <r>
      <rPr>
        <sz val="10"/>
        <color rgb="FF000000"/>
        <rFont val="WenQuanYi Zen Hei"/>
        <family val="2"/>
      </rPr>
      <t xml:space="preserve">件、</t>
    </r>
    <r>
      <rPr>
        <sz val="10"/>
        <color rgb="FF000000"/>
        <rFont val="游ゴシック"/>
        <family val="0"/>
        <charset val="1"/>
      </rPr>
      <t xml:space="preserve">9</t>
    </r>
    <r>
      <rPr>
        <sz val="10"/>
        <color rgb="FF000000"/>
        <rFont val="WenQuanYi Zen Hei"/>
        <family val="2"/>
      </rPr>
      <t xml:space="preserve">月入札は見込</t>
    </r>
    <r>
      <rPr>
        <sz val="10"/>
        <color rgb="FF000000"/>
        <rFont val="游ゴシック"/>
        <family val="0"/>
        <charset val="1"/>
      </rPr>
      <t xml:space="preserve">3</t>
    </r>
    <r>
      <rPr>
        <sz val="10"/>
        <color rgb="FF000000"/>
        <rFont val="WenQuanYi Zen Hei"/>
        <family val="2"/>
      </rPr>
      <t xml:space="preserve">件→確定</t>
    </r>
    <r>
      <rPr>
        <sz val="10"/>
        <color rgb="FF000000"/>
        <rFont val="游ゴシック"/>
        <family val="0"/>
        <charset val="1"/>
      </rPr>
      <t xml:space="preserve">0</t>
    </r>
    <r>
      <rPr>
        <sz val="10"/>
        <color rgb="FF000000"/>
        <rFont val="WenQuanYi Zen Hei"/>
        <family val="2"/>
      </rPr>
      <t xml:space="preserve">件。</t>
    </r>
  </si>
  <si>
    <t xml:space="preserve">② 納品業務のピークと人員の重複</t>
  </si>
  <si>
    <t xml:space="preserve">中（構造は事実／投入の直接記録はなし）</t>
  </si>
  <si>
    <r>
      <rPr>
        <sz val="10"/>
        <color rgb="FF000000"/>
        <rFont val="游ゴシック"/>
        <family val="0"/>
        <charset val="1"/>
      </rPr>
      <t xml:space="preserve">9</t>
    </r>
    <r>
      <rPr>
        <sz val="10"/>
        <color rgb="FF000000"/>
        <rFont val="WenQuanYi Zen Hei"/>
        <family val="2"/>
      </rPr>
      <t xml:space="preserve">月は自治体の決算期。北海道は公会計</t>
    </r>
    <r>
      <rPr>
        <sz val="10"/>
        <color rgb="FF000000"/>
        <rFont val="游ゴシック"/>
        <family val="0"/>
        <charset val="1"/>
      </rPr>
      <t xml:space="preserve">138</t>
    </r>
    <r>
      <rPr>
        <sz val="10"/>
        <color rgb="FF000000"/>
        <rFont val="WenQuanYi Zen Hei"/>
        <family val="2"/>
      </rPr>
      <t xml:space="preserve">件・精緻化</t>
    </r>
    <r>
      <rPr>
        <sz val="10"/>
        <color rgb="FF000000"/>
        <rFont val="游ゴシック"/>
        <family val="0"/>
        <charset val="1"/>
      </rPr>
      <t xml:space="preserve">39</t>
    </r>
    <r>
      <rPr>
        <sz val="10"/>
        <color rgb="FF000000"/>
        <rFont val="WenQuanYi Zen Hei"/>
        <family val="2"/>
      </rPr>
      <t xml:space="preserve">件（全国</t>
    </r>
    <r>
      <rPr>
        <sz val="10"/>
        <color rgb="FF000000"/>
        <rFont val="游ゴシック"/>
        <family val="0"/>
        <charset val="1"/>
      </rPr>
      <t xml:space="preserve">55</t>
    </r>
    <r>
      <rPr>
        <sz val="10"/>
        <color rgb="FF000000"/>
        <rFont val="WenQuanYi Zen Hei"/>
        <family val="2"/>
      </rPr>
      <t xml:space="preserve">件の</t>
    </r>
    <r>
      <rPr>
        <sz val="10"/>
        <color rgb="FF000000"/>
        <rFont val="游ゴシック"/>
        <family val="0"/>
        <charset val="1"/>
      </rPr>
      <t xml:space="preserve">7</t>
    </r>
    <r>
      <rPr>
        <sz val="10"/>
        <color rgb="FF000000"/>
        <rFont val="WenQuanYi Zen Hei"/>
        <family val="2"/>
      </rPr>
      <t xml:space="preserve">割）・決算報告書</t>
    </r>
    <r>
      <rPr>
        <sz val="10"/>
        <color rgb="FF000000"/>
        <rFont val="游ゴシック"/>
        <family val="0"/>
        <charset val="1"/>
      </rPr>
      <t xml:space="preserve">10</t>
    </r>
    <r>
      <rPr>
        <sz val="10"/>
        <color rgb="FF000000"/>
        <rFont val="WenQuanYi Zen Hei"/>
        <family val="2"/>
      </rPr>
      <t xml:space="preserve">件を抱え全国最多。札幌</t>
    </r>
    <r>
      <rPr>
        <sz val="10"/>
        <color rgb="FF000000"/>
        <rFont val="游ゴシック"/>
        <family val="0"/>
        <charset val="1"/>
      </rPr>
      <t xml:space="preserve">14</t>
    </r>
    <r>
      <rPr>
        <sz val="10"/>
        <color rgb="FF000000"/>
        <rFont val="WenQuanYi Zen Hei"/>
        <family val="2"/>
      </rPr>
      <t xml:space="preserve">名で最大拠点だが採用は一旦中止。営業と納品を同じ人員が担う場合、</t>
    </r>
    <r>
      <rPr>
        <sz val="10"/>
        <color rgb="FF000000"/>
        <rFont val="游ゴシック"/>
        <family val="0"/>
        <charset val="1"/>
      </rPr>
      <t xml:space="preserve">9</t>
    </r>
    <r>
      <rPr>
        <sz val="10"/>
        <color rgb="FF000000"/>
        <rFont val="WenQuanYi Zen Hei"/>
        <family val="2"/>
      </rPr>
      <t xml:space="preserve">月は納品が優先される。</t>
    </r>
  </si>
  <si>
    <t xml:space="preserve">③ 広域ゆえの移動コスト</t>
  </si>
  <si>
    <t xml:space="preserve">中（効率差はログで確認できる）</t>
  </si>
  <si>
    <r>
      <rPr>
        <sz val="10"/>
        <color rgb="FF000000"/>
        <rFont val="游ゴシック"/>
        <family val="0"/>
        <charset val="1"/>
      </rPr>
      <t xml:space="preserve">1</t>
    </r>
    <r>
      <rPr>
        <sz val="10"/>
        <color rgb="FF000000"/>
        <rFont val="WenQuanYi Zen Hei"/>
        <family val="2"/>
      </rPr>
      <t xml:space="preserve">実訪問日あたり 北海道</t>
    </r>
    <r>
      <rPr>
        <sz val="10"/>
        <color rgb="FF000000"/>
        <rFont val="游ゴシック"/>
        <family val="0"/>
        <charset val="1"/>
      </rPr>
      <t xml:space="preserve">2.4</t>
    </r>
    <r>
      <rPr>
        <sz val="10"/>
        <color rgb="FF000000"/>
        <rFont val="WenQuanYi Zen Hei"/>
        <family val="2"/>
      </rPr>
      <t xml:space="preserve">団体 </t>
    </r>
    <r>
      <rPr>
        <sz val="10"/>
        <color rgb="FF000000"/>
        <rFont val="游ゴシック"/>
        <family val="0"/>
        <charset val="1"/>
      </rPr>
      <t xml:space="preserve">vs </t>
    </r>
    <r>
      <rPr>
        <sz val="10"/>
        <color rgb="FF000000"/>
        <rFont val="WenQuanYi Zen Hei"/>
        <family val="2"/>
      </rPr>
      <t xml:space="preserve">南東北・岩手</t>
    </r>
    <r>
      <rPr>
        <sz val="10"/>
        <color rgb="FF000000"/>
        <rFont val="游ゴシック"/>
        <family val="0"/>
        <charset val="1"/>
      </rPr>
      <t xml:space="preserve">3.9</t>
    </r>
    <r>
      <rPr>
        <sz val="10"/>
        <color rgb="FF000000"/>
        <rFont val="WenQuanYi Zen Hei"/>
        <family val="2"/>
      </rPr>
      <t xml:space="preserve">団体。未訪問の約</t>
    </r>
    <r>
      <rPr>
        <sz val="10"/>
        <color rgb="FF000000"/>
        <rFont val="游ゴシック"/>
        <family val="0"/>
        <charset val="1"/>
      </rPr>
      <t xml:space="preserve">71</t>
    </r>
    <r>
      <rPr>
        <sz val="10"/>
        <color rgb="FF000000"/>
        <rFont val="WenQuanYi Zen Hei"/>
        <family val="2"/>
      </rPr>
      <t xml:space="preserve">団体は道内に散在。今期案件が薄い先へ長距離移動する費用対効果は低く、①と重なって足が止まる。</t>
    </r>
  </si>
  <si>
    <t xml:space="preserve">④ テーマ構成の偏り</t>
  </si>
  <si>
    <t xml:space="preserve">中（ログで確認できる）</t>
  </si>
  <si>
    <r>
      <rPr>
        <sz val="10"/>
        <color rgb="FF000000"/>
        <rFont val="WenQuanYi Zen Hei"/>
        <family val="2"/>
      </rPr>
      <t xml:space="preserve">北海道は福祉計画が</t>
    </r>
    <r>
      <rPr>
        <sz val="10"/>
        <color rgb="FF000000"/>
        <rFont val="游ゴシック"/>
        <family val="0"/>
        <charset val="1"/>
      </rPr>
      <t xml:space="preserve">71</t>
    </r>
    <r>
      <rPr>
        <sz val="10"/>
        <color rgb="FF000000"/>
        <rFont val="WenQuanYi Zen Hei"/>
        <family val="2"/>
      </rPr>
      <t xml:space="preserve">件（</t>
    </r>
    <r>
      <rPr>
        <sz val="10"/>
        <color rgb="FF000000"/>
        <rFont val="游ゴシック"/>
        <family val="0"/>
        <charset val="1"/>
      </rPr>
      <t xml:space="preserve">31%</t>
    </r>
    <r>
      <rPr>
        <sz val="10"/>
        <color rgb="FF000000"/>
        <rFont val="WenQuanYi Zen Hei"/>
        <family val="2"/>
      </rPr>
      <t xml:space="preserve">）で東北</t>
    </r>
    <r>
      <rPr>
        <sz val="10"/>
        <color rgb="FF000000"/>
        <rFont val="游ゴシック"/>
        <family val="0"/>
        <charset val="1"/>
      </rPr>
      <t xml:space="preserve">11</t>
    </r>
    <r>
      <rPr>
        <sz val="10"/>
        <color rgb="FF000000"/>
        <rFont val="WenQuanYi Zen Hei"/>
        <family val="2"/>
      </rPr>
      <t xml:space="preserve">件（</t>
    </r>
    <r>
      <rPr>
        <sz val="10"/>
        <color rgb="FF000000"/>
        <rFont val="游ゴシック"/>
        <family val="0"/>
        <charset val="1"/>
      </rPr>
      <t xml:space="preserve">5%</t>
    </r>
    <r>
      <rPr>
        <sz val="10"/>
        <color rgb="FF000000"/>
        <rFont val="WenQuanYi Zen Hei"/>
        <family val="2"/>
      </rPr>
      <t xml:space="preserve">）と大きく異なる。福祉計画は全体でも再訪不要率</t>
    </r>
    <r>
      <rPr>
        <sz val="10"/>
        <color rgb="FF000000"/>
        <rFont val="游ゴシック"/>
        <family val="0"/>
        <charset val="1"/>
      </rPr>
      <t xml:space="preserve">28%</t>
    </r>
    <r>
      <rPr>
        <sz val="10"/>
        <color rgb="FF000000"/>
        <rFont val="WenQuanYi Zen Hei"/>
        <family val="2"/>
      </rPr>
      <t xml:space="preserve">と高く、自前作成・他計画への一体化が起きやすい領域。</t>
    </r>
  </si>
  <si>
    <t xml:space="preserve">⑤ セミナー準備</t>
  </si>
  <si>
    <t xml:space="preserve">弱い（時期は一致するが担当が合わない）</t>
  </si>
  <si>
    <r>
      <rPr>
        <sz val="10"/>
        <color rgb="FF000000"/>
        <rFont val="WenQuanYi Zen Hei"/>
        <family val="2"/>
      </rPr>
      <t xml:space="preserve">全国セミナーは</t>
    </r>
    <r>
      <rPr>
        <sz val="10"/>
        <color rgb="FF000000"/>
        <rFont val="游ゴシック"/>
        <family val="0"/>
        <charset val="1"/>
      </rPr>
      <t xml:space="preserve">9/25</t>
    </r>
    <r>
      <rPr>
        <sz val="10"/>
        <color rgb="FF000000"/>
        <rFont val="WenQuanYi Zen Hei"/>
        <family val="2"/>
      </rPr>
      <t xml:space="preserve">〜</t>
    </r>
    <r>
      <rPr>
        <sz val="10"/>
        <color rgb="FF000000"/>
        <rFont val="游ゴシック"/>
        <family val="0"/>
        <charset val="1"/>
      </rPr>
      <t xml:space="preserve">10/23</t>
    </r>
    <r>
      <rPr>
        <sz val="10"/>
        <color rgb="FF000000"/>
        <rFont val="WenQuanYi Zen Hei"/>
        <family val="2"/>
      </rPr>
      <t xml:space="preserve">開催、テキスト期限</t>
    </r>
    <r>
      <rPr>
        <sz val="10"/>
        <color rgb="FF000000"/>
        <rFont val="游ゴシック"/>
        <family val="0"/>
        <charset val="1"/>
      </rPr>
      <t xml:space="preserve">9/18</t>
    </r>
    <r>
      <rPr>
        <sz val="10"/>
        <color rgb="FF000000"/>
        <rFont val="WenQuanYi Zen Hei"/>
        <family val="2"/>
      </rPr>
      <t xml:space="preserve">〜</t>
    </r>
    <r>
      <rPr>
        <sz val="10"/>
        <color rgb="FF000000"/>
        <rFont val="游ゴシック"/>
        <family val="0"/>
        <charset val="1"/>
      </rPr>
      <t xml:space="preserve">9/22</t>
    </r>
    <r>
      <rPr>
        <sz val="10"/>
        <color rgb="FF000000"/>
        <rFont val="WenQuanYi Zen Hei"/>
        <family val="2"/>
      </rPr>
      <t xml:space="preserve">で今週が締切直前。ただし講師は川崎・北城・南澤・若山・山田・さいとう</t>
    </r>
    <r>
      <rPr>
        <sz val="10"/>
        <color rgb="FF000000"/>
        <rFont val="游ゴシック"/>
        <family val="0"/>
        <charset val="1"/>
      </rPr>
      <t xml:space="preserve">/</t>
    </r>
    <r>
      <rPr>
        <sz val="10"/>
        <color rgb="FF000000"/>
        <rFont val="WenQuanYi Zen Hei"/>
        <family val="2"/>
      </rPr>
      <t xml:space="preserve">おの・大窪で、北海道担当</t>
    </r>
    <r>
      <rPr>
        <sz val="10"/>
        <color rgb="FF000000"/>
        <rFont val="游ゴシック"/>
        <family val="0"/>
        <charset val="1"/>
      </rPr>
      <t xml:space="preserve">4</t>
    </r>
    <r>
      <rPr>
        <sz val="10"/>
        <color rgb="FF000000"/>
        <rFont val="WenQuanYi Zen Hei"/>
        <family val="2"/>
      </rPr>
      <t xml:space="preserve">名（長戸・村田・林・吉野）は含まれない。若山の停止（最終</t>
    </r>
    <r>
      <rPr>
        <sz val="10"/>
        <color rgb="FF000000"/>
        <rFont val="游ゴシック"/>
        <family val="0"/>
        <charset val="1"/>
      </rPr>
      <t xml:space="preserve">8/24</t>
    </r>
    <r>
      <rPr>
        <sz val="10"/>
        <color rgb="FF000000"/>
        <rFont val="WenQuanYi Zen Hei"/>
        <family val="2"/>
      </rPr>
      <t xml:space="preserve">）は説明できる。</t>
    </r>
  </si>
  <si>
    <r>
      <rPr>
        <b val="true"/>
        <sz val="12"/>
        <color rgb="FF1F3864"/>
        <rFont val="游ゴシック"/>
        <family val="0"/>
        <charset val="1"/>
      </rPr>
      <t xml:space="preserve">5. </t>
    </r>
    <r>
      <rPr>
        <b val="true"/>
        <sz val="12"/>
        <color rgb="FF1F3864"/>
        <rFont val="WenQuanYi Zen Hei"/>
        <family val="2"/>
      </rPr>
      <t xml:space="preserve">このデータでは判定できないこと</t>
    </r>
  </si>
  <si>
    <t xml:space="preserve">論点</t>
  </si>
  <si>
    <t xml:space="preserve">内容</t>
  </si>
  <si>
    <t xml:space="preserve">記録漏れか活動停止かは区別できない</t>
  </si>
  <si>
    <r>
      <rPr>
        <sz val="10"/>
        <color rgb="FF000000"/>
        <rFont val="WenQuanYi Zen Hei"/>
        <family val="2"/>
      </rPr>
      <t xml:space="preserve">活動ログに作成日時・更新日時の列がないため、「訪問していない」のか「訪問したが未入力」なのかを判定できない。</t>
    </r>
    <r>
      <rPr>
        <sz val="10"/>
        <color rgb="FF000000"/>
        <rFont val="游ゴシック"/>
        <family val="0"/>
        <charset val="1"/>
      </rPr>
      <t xml:space="preserve">9/4</t>
    </r>
    <r>
      <rPr>
        <sz val="10"/>
        <color rgb="FF000000"/>
        <rFont val="WenQuanYi Zen Hei"/>
        <family val="2"/>
      </rPr>
      <t xml:space="preserve">時点で会議ブックの累計営業件数は北海道</t>
    </r>
    <r>
      <rPr>
        <sz val="10"/>
        <color rgb="FF000000"/>
        <rFont val="游ゴシック"/>
        <family val="0"/>
        <charset val="1"/>
      </rPr>
      <t xml:space="preserve">288</t>
    </r>
    <r>
      <rPr>
        <sz val="10"/>
        <color rgb="FF000000"/>
        <rFont val="WenQuanYi Zen Hei"/>
        <family val="2"/>
      </rPr>
      <t xml:space="preserve">件・東北</t>
    </r>
    <r>
      <rPr>
        <sz val="10"/>
        <color rgb="FF000000"/>
        <rFont val="游ゴシック"/>
        <family val="0"/>
        <charset val="1"/>
      </rPr>
      <t xml:space="preserve">275</t>
    </r>
    <r>
      <rPr>
        <sz val="10"/>
        <color rgb="FF000000"/>
        <rFont val="WenQuanYi Zen Hei"/>
        <family val="2"/>
      </rPr>
      <t xml:space="preserve">件に対し、活動ログは北海道</t>
    </r>
    <r>
      <rPr>
        <sz val="10"/>
        <color rgb="FF000000"/>
        <rFont val="游ゴシック"/>
        <family val="0"/>
        <charset val="1"/>
      </rPr>
      <t xml:space="preserve">214</t>
    </r>
    <r>
      <rPr>
        <sz val="10"/>
        <color rgb="FF000000"/>
        <rFont val="WenQuanYi Zen Hei"/>
        <family val="2"/>
      </rPr>
      <t xml:space="preserve">件・東北</t>
    </r>
    <r>
      <rPr>
        <sz val="10"/>
        <color rgb="FF000000"/>
        <rFont val="游ゴシック"/>
        <family val="0"/>
        <charset val="1"/>
      </rPr>
      <t xml:space="preserve">176</t>
    </r>
    <r>
      <rPr>
        <sz val="10"/>
        <color rgb="FF000000"/>
        <rFont val="WenQuanYi Zen Hei"/>
        <family val="2"/>
      </rPr>
      <t xml:space="preserve">件。ログは北海道で</t>
    </r>
    <r>
      <rPr>
        <sz val="10"/>
        <color rgb="FF000000"/>
        <rFont val="游ゴシック"/>
        <family val="0"/>
        <charset val="1"/>
      </rPr>
      <t xml:space="preserve">26%</t>
    </r>
    <r>
      <rPr>
        <sz val="10"/>
        <color rgb="FF000000"/>
        <rFont val="WenQuanYi Zen Hei"/>
        <family val="2"/>
      </rPr>
      <t xml:space="preserve">、東北で</t>
    </r>
    <r>
      <rPr>
        <sz val="10"/>
        <color rgb="FF000000"/>
        <rFont val="游ゴシック"/>
        <family val="0"/>
        <charset val="1"/>
      </rPr>
      <t xml:space="preserve">36%</t>
    </r>
    <r>
      <rPr>
        <sz val="10"/>
        <color rgb="FF000000"/>
        <rFont val="WenQuanYi Zen Hei"/>
        <family val="2"/>
      </rPr>
      <t xml:space="preserve">少ない。記録漏れは全社的に存在し、むしろ東北のほうが大きい。</t>
    </r>
  </si>
  <si>
    <t xml:space="preserve">個人の事情は一切データにない</t>
  </si>
  <si>
    <r>
      <rPr>
        <sz val="10"/>
        <color rgb="FF000000"/>
        <rFont val="WenQuanYi Zen Hei"/>
        <family val="2"/>
      </rPr>
      <t xml:space="preserve">休暇・異動・体調・他案件へのアサインなどは活動ログにも会議ブックにも現れない。</t>
    </r>
    <r>
      <rPr>
        <sz val="10"/>
        <color rgb="FF000000"/>
        <rFont val="游ゴシック"/>
        <family val="0"/>
        <charset val="1"/>
      </rPr>
      <t xml:space="preserve">4</t>
    </r>
    <r>
      <rPr>
        <sz val="10"/>
        <color rgb="FF000000"/>
        <rFont val="WenQuanYi Zen Hei"/>
        <family val="2"/>
      </rPr>
      <t xml:space="preserve">名が同時期に止まっている点は、個別事情より①〜③の共通要因を示唆するが、確認は本人・上長への確認が必要。</t>
    </r>
  </si>
  <si>
    <t xml:space="preserve">②③④は相関であって因果ではない</t>
  </si>
  <si>
    <t xml:space="preserve">納品件数・移動効率・テーマ構成はいずれも北海道の特徴だが、これらが今回の停止を引き起こしたことをログだけでは証明できない。</t>
  </si>
  <si>
    <t xml:space="preserve">前提・出所・注記</t>
  </si>
  <si>
    <t xml:space="preserve">元データ</t>
  </si>
  <si>
    <r>
      <rPr>
        <sz val="10"/>
        <color rgb="FF000000"/>
        <rFont val="WenQuanYi Zen Hei"/>
        <family val="2"/>
      </rPr>
      <t xml:space="preserve">訪問活動ログ（</t>
    </r>
    <r>
      <rPr>
        <sz val="10"/>
        <color rgb="FF000000"/>
        <rFont val="游ゴシック"/>
        <family val="0"/>
        <charset val="1"/>
      </rPr>
      <t xml:space="preserve">Book1.xlsx</t>
    </r>
    <r>
      <rPr>
        <sz val="10"/>
        <color rgb="FF000000"/>
        <rFont val="WenQuanYi Zen Hei"/>
        <family val="2"/>
      </rPr>
      <t xml:space="preserve">／シート「</t>
    </r>
    <r>
      <rPr>
        <sz val="10"/>
        <color rgb="FF000000"/>
        <rFont val="游ゴシック"/>
        <family val="0"/>
        <charset val="1"/>
      </rPr>
      <t xml:space="preserve">query</t>
    </r>
    <r>
      <rPr>
        <sz val="10"/>
        <color rgb="FF000000"/>
        <rFont val="WenQuanYi Zen Hei"/>
        <family val="2"/>
      </rPr>
      <t xml:space="preserve">」）</t>
    </r>
    <r>
      <rPr>
        <sz val="10"/>
        <color rgb="FF000000"/>
        <rFont val="游ゴシック"/>
        <family val="0"/>
        <charset val="1"/>
      </rPr>
      <t xml:space="preserve">450</t>
    </r>
    <r>
      <rPr>
        <sz val="10"/>
        <color rgb="FF000000"/>
        <rFont val="WenQuanYi Zen Hei"/>
        <family val="2"/>
      </rPr>
      <t xml:space="preserve">行。</t>
    </r>
    <r>
      <rPr>
        <sz val="10"/>
        <color rgb="FF000000"/>
        <rFont val="游ゴシック"/>
        <family val="0"/>
        <charset val="1"/>
      </rPr>
      <t xml:space="preserve">SharePoint</t>
    </r>
    <r>
      <rPr>
        <sz val="10"/>
        <color rgb="FF000000"/>
        <rFont val="WenQuanYi Zen Hei"/>
        <family val="2"/>
      </rPr>
      <t xml:space="preserve">リストの書き出しと見られ、</t>
    </r>
    <r>
      <rPr>
        <sz val="10"/>
        <color rgb="FF000000"/>
        <rFont val="游ゴシック"/>
        <family val="0"/>
        <charset val="1"/>
      </rPr>
      <t xml:space="preserve">1</t>
    </r>
    <r>
      <rPr>
        <sz val="10"/>
        <color rgb="FF000000"/>
        <rFont val="WenQuanYi Zen Hei"/>
        <family val="2"/>
      </rPr>
      <t xml:space="preserve">行＝</t>
    </r>
    <r>
      <rPr>
        <sz val="10"/>
        <color rgb="FF000000"/>
        <rFont val="游ゴシック"/>
        <family val="0"/>
        <charset val="1"/>
      </rPr>
      <t xml:space="preserve">1</t>
    </r>
    <r>
      <rPr>
        <sz val="10"/>
        <color rgb="FF000000"/>
        <rFont val="WenQuanYi Zen Hei"/>
        <family val="2"/>
      </rPr>
      <t xml:space="preserve">団体</t>
    </r>
    <r>
      <rPr>
        <sz val="10"/>
        <color rgb="FF000000"/>
        <rFont val="游ゴシック"/>
        <family val="0"/>
        <charset val="1"/>
      </rPr>
      <t xml:space="preserve">1</t>
    </r>
    <r>
      <rPr>
        <sz val="10"/>
        <color rgb="FF000000"/>
        <rFont val="WenQuanYi Zen Hei"/>
        <family val="2"/>
      </rPr>
      <t xml:space="preserve">テーマの接触記録。</t>
    </r>
  </si>
  <si>
    <t xml:space="preserve">期間</t>
  </si>
  <si>
    <r>
      <rPr>
        <sz val="10"/>
        <color rgb="FF000000"/>
        <rFont val="WenQuanYi Zen Hei"/>
        <family val="2"/>
      </rPr>
      <t xml:space="preserve">訪問日 </t>
    </r>
    <r>
      <rPr>
        <sz val="10"/>
        <color rgb="FF000000"/>
        <rFont val="游ゴシック"/>
        <family val="0"/>
        <charset val="1"/>
      </rPr>
      <t xml:space="preserve">2026/03/19</t>
    </r>
    <r>
      <rPr>
        <sz val="10"/>
        <color rgb="FF000000"/>
        <rFont val="WenQuanYi Zen Hei"/>
        <family val="2"/>
      </rPr>
      <t xml:space="preserve">〜</t>
    </r>
    <r>
      <rPr>
        <sz val="10"/>
        <color rgb="FF000000"/>
        <rFont val="游ゴシック"/>
        <family val="0"/>
        <charset val="1"/>
      </rPr>
      <t xml:space="preserve">2026/09/16</t>
    </r>
    <r>
      <rPr>
        <sz val="10"/>
        <color rgb="FF000000"/>
        <rFont val="WenQuanYi Zen Hei"/>
        <family val="2"/>
      </rPr>
      <t xml:space="preserve">（欠損</t>
    </r>
    <r>
      <rPr>
        <sz val="10"/>
        <color rgb="FF000000"/>
        <rFont val="游ゴシック"/>
        <family val="0"/>
        <charset val="1"/>
      </rPr>
      <t xml:space="preserve">8</t>
    </r>
    <r>
      <rPr>
        <sz val="10"/>
        <color rgb="FF000000"/>
        <rFont val="WenQuanYi Zen Hei"/>
        <family val="2"/>
      </rPr>
      <t xml:space="preserve">件）。</t>
    </r>
    <r>
      <rPr>
        <sz val="10"/>
        <color rgb="FF000000"/>
        <rFont val="游ゴシック"/>
        <family val="0"/>
        <charset val="1"/>
      </rPr>
      <t xml:space="preserve">8/17</t>
    </r>
    <r>
      <rPr>
        <sz val="10"/>
        <color rgb="FF000000"/>
        <rFont val="WenQuanYi Zen Hei"/>
        <family val="2"/>
      </rPr>
      <t xml:space="preserve">週より入力者が</t>
    </r>
    <r>
      <rPr>
        <sz val="10"/>
        <color rgb="FF000000"/>
        <rFont val="游ゴシック"/>
        <family val="0"/>
        <charset val="1"/>
      </rPr>
      <t xml:space="preserve">7</t>
    </r>
    <r>
      <rPr>
        <sz val="10"/>
        <color rgb="FF000000"/>
        <rFont val="WenQuanYi Zen Hei"/>
        <family val="2"/>
      </rPr>
      <t xml:space="preserve">〜</t>
    </r>
    <r>
      <rPr>
        <sz val="10"/>
        <color rgb="FF000000"/>
        <rFont val="游ゴシック"/>
        <family val="0"/>
        <charset val="1"/>
      </rPr>
      <t xml:space="preserve">9</t>
    </r>
    <r>
      <rPr>
        <sz val="10"/>
        <color rgb="FF000000"/>
        <rFont val="WenQuanYi Zen Hei"/>
        <family val="2"/>
      </rPr>
      <t xml:space="preserve">名に増え、それ以前は実質</t>
    </r>
    <r>
      <rPr>
        <sz val="10"/>
        <color rgb="FF000000"/>
        <rFont val="游ゴシック"/>
        <family val="0"/>
        <charset val="1"/>
      </rPr>
      <t xml:space="preserve">1</t>
    </r>
    <r>
      <rPr>
        <sz val="10"/>
        <color rgb="FF000000"/>
        <rFont val="WenQuanYi Zen Hei"/>
        <family val="2"/>
      </rPr>
      <t xml:space="preserve">〜</t>
    </r>
    <r>
      <rPr>
        <sz val="10"/>
        <color rgb="FF000000"/>
        <rFont val="游ゴシック"/>
        <family val="0"/>
        <charset val="1"/>
      </rPr>
      <t xml:space="preserve">2</t>
    </r>
    <r>
      <rPr>
        <sz val="10"/>
        <color rgb="FF000000"/>
        <rFont val="WenQuanYi Zen Hei"/>
        <family val="2"/>
      </rPr>
      <t xml:space="preserve">名のみの記録。したがって</t>
    </r>
    <r>
      <rPr>
        <sz val="10"/>
        <color rgb="FF000000"/>
        <rFont val="游ゴシック"/>
        <family val="0"/>
        <charset val="1"/>
      </rPr>
      <t xml:space="preserve">8</t>
    </r>
    <r>
      <rPr>
        <sz val="10"/>
        <color rgb="FF000000"/>
        <rFont val="WenQuanYi Zen Hei"/>
        <family val="2"/>
      </rPr>
      <t xml:space="preserve">月以前との時系列比較はできない。</t>
    </r>
  </si>
  <si>
    <t xml:space="preserve">「今週」の定義</t>
  </si>
  <si>
    <r>
      <rPr>
        <sz val="10"/>
        <color rgb="FF000000"/>
        <rFont val="WenQuanYi Zen Hei"/>
        <family val="2"/>
      </rPr>
      <t xml:space="preserve">月曜起算で </t>
    </r>
    <r>
      <rPr>
        <sz val="10"/>
        <color rgb="FF000000"/>
        <rFont val="游ゴシック"/>
        <family val="0"/>
        <charset val="1"/>
      </rPr>
      <t xml:space="preserve">2026/09/14</t>
    </r>
    <r>
      <rPr>
        <sz val="10"/>
        <color rgb="FF000000"/>
        <rFont val="WenQuanYi Zen Hei"/>
        <family val="2"/>
      </rPr>
      <t xml:space="preserve">〜。基準日 </t>
    </r>
    <r>
      <rPr>
        <sz val="10"/>
        <color rgb="FF000000"/>
        <rFont val="游ゴシック"/>
        <family val="0"/>
        <charset val="1"/>
      </rPr>
      <t xml:space="preserve">2026/09/17</t>
    </r>
    <r>
      <rPr>
        <sz val="10"/>
        <color rgb="FF000000"/>
        <rFont val="WenQuanYi Zen Hei"/>
        <family val="2"/>
      </rPr>
      <t xml:space="preserve">（木）時点の最終入力は </t>
    </r>
    <r>
      <rPr>
        <sz val="10"/>
        <color rgb="FF000000"/>
        <rFont val="游ゴシック"/>
        <family val="0"/>
        <charset val="1"/>
      </rPr>
      <t xml:space="preserve">9/16 </t>
    </r>
    <r>
      <rPr>
        <sz val="10"/>
        <color rgb="FF000000"/>
        <rFont val="WenQuanYi Zen Hei"/>
        <family val="2"/>
      </rPr>
      <t xml:space="preserve">で、</t>
    </r>
    <r>
      <rPr>
        <sz val="10"/>
        <color rgb="FF000000"/>
        <rFont val="游ゴシック"/>
        <family val="0"/>
        <charset val="1"/>
      </rPr>
      <t xml:space="preserve">9/14</t>
    </r>
    <r>
      <rPr>
        <sz val="10"/>
        <color rgb="FF000000"/>
        <rFont val="WenQuanYi Zen Hei"/>
        <family val="2"/>
      </rPr>
      <t xml:space="preserve">・</t>
    </r>
    <r>
      <rPr>
        <sz val="10"/>
        <color rgb="FF000000"/>
        <rFont val="游ゴシック"/>
        <family val="0"/>
        <charset val="1"/>
      </rPr>
      <t xml:space="preserve">9/15</t>
    </r>
    <r>
      <rPr>
        <sz val="10"/>
        <color rgb="FF000000"/>
        <rFont val="WenQuanYi Zen Hei"/>
        <family val="2"/>
      </rPr>
      <t xml:space="preserve">・</t>
    </r>
    <r>
      <rPr>
        <sz val="10"/>
        <color rgb="FF000000"/>
        <rFont val="游ゴシック"/>
        <family val="0"/>
        <charset val="1"/>
      </rPr>
      <t xml:space="preserve">9/16 </t>
    </r>
    <r>
      <rPr>
        <sz val="10"/>
        <color rgb="FF000000"/>
        <rFont val="WenQuanYi Zen Hei"/>
        <family val="2"/>
      </rPr>
      <t xml:space="preserve">の</t>
    </r>
    <r>
      <rPr>
        <sz val="10"/>
        <color rgb="FF000000"/>
        <rFont val="游ゴシック"/>
        <family val="0"/>
        <charset val="1"/>
      </rPr>
      <t xml:space="preserve">3</t>
    </r>
    <r>
      <rPr>
        <sz val="10"/>
        <color rgb="FF000000"/>
        <rFont val="WenQuanYi Zen Hei"/>
        <family val="2"/>
      </rPr>
      <t xml:space="preserve">日分のみ。週の途中の数値である。</t>
    </r>
  </si>
  <si>
    <t xml:space="preserve">案件数の数え方</t>
  </si>
  <si>
    <r>
      <rPr>
        <sz val="10"/>
        <color rgb="FF000000"/>
        <rFont val="WenQuanYi Zen Hei"/>
        <family val="2"/>
      </rPr>
      <t xml:space="preserve">ログ</t>
    </r>
    <r>
      <rPr>
        <sz val="10"/>
        <color rgb="FF000000"/>
        <rFont val="游ゴシック"/>
        <family val="0"/>
        <charset val="1"/>
      </rPr>
      <t xml:space="preserve">1</t>
    </r>
    <r>
      <rPr>
        <sz val="10"/>
        <color rgb="FF000000"/>
        <rFont val="WenQuanYi Zen Hei"/>
        <family val="2"/>
      </rPr>
      <t xml:space="preserve">行を</t>
    </r>
    <r>
      <rPr>
        <sz val="10"/>
        <color rgb="FF000000"/>
        <rFont val="游ゴシック"/>
        <family val="0"/>
        <charset val="1"/>
      </rPr>
      <t xml:space="preserve">1</t>
    </r>
    <r>
      <rPr>
        <sz val="10"/>
        <color rgb="FF000000"/>
        <rFont val="WenQuanYi Zen Hei"/>
        <family val="2"/>
      </rPr>
      <t xml:space="preserve">件として計上。同一団体でもテーマが異なれば別件。団体数は重複を除いた実数を併記している。</t>
    </r>
  </si>
  <si>
    <t xml:space="preserve">要因分類の方法</t>
  </si>
  <si>
    <r>
      <rPr>
        <sz val="10"/>
        <color rgb="FF000000"/>
        <rFont val="WenQuanYi Zen Hei"/>
        <family val="2"/>
      </rPr>
      <t xml:space="preserve">備考テキストのキーワード判定を優先し、該当しない場合は結果区分（自力→自前作成方針、他社随契→他社受託、不在→接触不可）で補完。判定ロジックは </t>
    </r>
    <r>
      <rPr>
        <sz val="10"/>
        <color rgb="FF000000"/>
        <rFont val="游ゴシック"/>
        <family val="0"/>
        <charset val="1"/>
      </rPr>
      <t xml:space="preserve">activity_factor_rules.py </t>
    </r>
    <r>
      <rPr>
        <sz val="10"/>
        <color rgb="FF000000"/>
        <rFont val="WenQuanYi Zen Hei"/>
        <family val="2"/>
      </rPr>
      <t xml:space="preserve">に切り出しており、「④再訪不要 明細」で</t>
    </r>
    <r>
      <rPr>
        <sz val="10"/>
        <color rgb="FF000000"/>
        <rFont val="游ゴシック"/>
        <family val="0"/>
        <charset val="1"/>
      </rPr>
      <t xml:space="preserve">1</t>
    </r>
    <r>
      <rPr>
        <sz val="10"/>
        <color rgb="FF000000"/>
        <rFont val="WenQuanYi Zen Hei"/>
        <family val="2"/>
      </rPr>
      <t xml:space="preserve">件ずつ検証・調整できる。</t>
    </r>
    <r>
      <rPr>
        <sz val="10"/>
        <color rgb="FF000000"/>
        <rFont val="游ゴシック"/>
        <family val="0"/>
        <charset val="1"/>
      </rPr>
      <t xml:space="preserve">102</t>
    </r>
    <r>
      <rPr>
        <sz val="10"/>
        <color rgb="FF000000"/>
        <rFont val="WenQuanYi Zen Hei"/>
        <family val="2"/>
      </rPr>
      <t xml:space="preserve">件中</t>
    </r>
    <r>
      <rPr>
        <sz val="10"/>
        <color rgb="FF000000"/>
        <rFont val="游ゴシック"/>
        <family val="0"/>
        <charset val="1"/>
      </rPr>
      <t xml:space="preserve">101</t>
    </r>
    <r>
      <rPr>
        <sz val="10"/>
        <color rgb="FF000000"/>
        <rFont val="WenQuanYi Zen Hei"/>
        <family val="2"/>
      </rPr>
      <t xml:space="preserve">件を分類、</t>
    </r>
    <r>
      <rPr>
        <sz val="10"/>
        <color rgb="FF000000"/>
        <rFont val="游ゴシック"/>
        <family val="0"/>
        <charset val="1"/>
      </rPr>
      <t xml:space="preserve">1</t>
    </r>
    <r>
      <rPr>
        <sz val="10"/>
        <color rgb="FF000000"/>
        <rFont val="WenQuanYi Zen Hei"/>
        <family val="2"/>
      </rPr>
      <t xml:space="preserve">件は備考・結果とも未記入。</t>
    </r>
  </si>
  <si>
    <t xml:space="preserve">システム抱き合わせの判定</t>
  </si>
  <si>
    <r>
      <rPr>
        <sz val="10"/>
        <color rgb="FF000000"/>
        <rFont val="WenQuanYi Zen Hei"/>
        <family val="2"/>
      </rPr>
      <t xml:space="preserve">備考に 行政研／ぎょうせい／</t>
    </r>
    <r>
      <rPr>
        <sz val="10"/>
        <color rgb="FF000000"/>
        <rFont val="游ゴシック"/>
        <family val="0"/>
        <charset val="1"/>
      </rPr>
      <t xml:space="preserve">TKC</t>
    </r>
    <r>
      <rPr>
        <sz val="10"/>
        <color rgb="FF000000"/>
        <rFont val="WenQuanYi Zen Hei"/>
        <family val="2"/>
      </rPr>
      <t xml:space="preserve">／</t>
    </r>
    <r>
      <rPr>
        <sz val="10"/>
        <color rgb="FF000000"/>
        <rFont val="游ゴシック"/>
        <family val="0"/>
        <charset val="1"/>
      </rPr>
      <t xml:space="preserve">MJS</t>
    </r>
    <r>
      <rPr>
        <sz val="10"/>
        <color rgb="FF000000"/>
        <rFont val="WenQuanYi Zen Hei"/>
        <family val="2"/>
      </rPr>
      <t xml:space="preserve">／アチカ／オーレンス、または「システム保守」「保守範囲」等が現れる行。会計システムの保守料の中で会計支援・消費税監査まで提供されており、「切替の意思なし」と記録されているケース。</t>
    </r>
  </si>
  <si>
    <t xml:space="preserve">データ品質（未記入）</t>
  </si>
  <si>
    <r>
      <rPr>
        <sz val="10"/>
        <color rgb="FF000000"/>
        <rFont val="WenQuanYi Zen Hei"/>
        <family val="2"/>
      </rPr>
      <t xml:space="preserve">結果 </t>
    </r>
    <r>
      <rPr>
        <sz val="10"/>
        <color rgb="FF000000"/>
        <rFont val="游ゴシック"/>
        <family val="0"/>
        <charset val="1"/>
      </rPr>
      <t xml:space="preserve">142</t>
    </r>
    <r>
      <rPr>
        <sz val="10"/>
        <color rgb="FF000000"/>
        <rFont val="WenQuanYi Zen Hei"/>
        <family val="2"/>
      </rPr>
      <t xml:space="preserve">件　契約予定 </t>
    </r>
    <r>
      <rPr>
        <sz val="10"/>
        <color rgb="FF000000"/>
        <rFont val="游ゴシック"/>
        <family val="0"/>
        <charset val="1"/>
      </rPr>
      <t xml:space="preserve">386</t>
    </r>
    <r>
      <rPr>
        <sz val="10"/>
        <color rgb="FF000000"/>
        <rFont val="WenQuanYi Zen Hei"/>
        <family val="2"/>
      </rPr>
      <t xml:space="preserve">件　状態 </t>
    </r>
    <r>
      <rPr>
        <sz val="10"/>
        <color rgb="FF000000"/>
        <rFont val="游ゴシック"/>
        <family val="0"/>
        <charset val="1"/>
      </rPr>
      <t xml:space="preserve">133</t>
    </r>
    <r>
      <rPr>
        <sz val="10"/>
        <color rgb="FF000000"/>
        <rFont val="WenQuanYi Zen Hei"/>
        <family val="2"/>
      </rPr>
      <t xml:space="preserve">件　アプローチ時期 </t>
    </r>
    <r>
      <rPr>
        <sz val="10"/>
        <color rgb="FF000000"/>
        <rFont val="游ゴシック"/>
        <family val="0"/>
        <charset val="1"/>
      </rPr>
      <t xml:space="preserve">152</t>
    </r>
    <r>
      <rPr>
        <sz val="10"/>
        <color rgb="FF000000"/>
        <rFont val="WenQuanYi Zen Hei"/>
        <family val="2"/>
      </rPr>
      <t xml:space="preserve">件　前回策定 </t>
    </r>
    <r>
      <rPr>
        <sz val="10"/>
        <color rgb="FF000000"/>
        <rFont val="游ゴシック"/>
        <family val="0"/>
        <charset val="1"/>
      </rPr>
      <t xml:space="preserve">177</t>
    </r>
    <r>
      <rPr>
        <sz val="10"/>
        <color rgb="FF000000"/>
        <rFont val="WenQuanYi Zen Hei"/>
        <family val="2"/>
      </rPr>
      <t xml:space="preserve">件。結果・契約予定の未記入が多く、受注確度の定量評価には使えない。再訪不要率の母数は「次回アクション」記入分に限定している。</t>
    </r>
  </si>
  <si>
    <t xml:space="preserve">集計方式</t>
  </si>
  <si>
    <r>
      <rPr>
        <sz val="10"/>
        <color rgb="FF000000"/>
        <rFont val="WenQuanYi Zen Hei"/>
        <family val="2"/>
      </rPr>
      <t xml:space="preserve">すべての件数は「データ」シートへの </t>
    </r>
    <r>
      <rPr>
        <sz val="10"/>
        <color rgb="FF000000"/>
        <rFont val="游ゴシック"/>
        <family val="0"/>
        <charset val="1"/>
      </rPr>
      <t xml:space="preserve">COUNTIFS</t>
    </r>
    <r>
      <rPr>
        <sz val="10"/>
        <color rgb="FF000000"/>
        <rFont val="WenQuanYi Zen Hei"/>
        <family val="2"/>
      </rPr>
      <t xml:space="preserve">。元データを差し替えれば全シートが再計算される。ただし団体数・稼働者数・訪問日数は一意カウントのため生成時点の実数を青字で埋め込んでいる。</t>
    </r>
  </si>
  <si>
    <t xml:space="preserve">色の意味</t>
  </si>
  <si>
    <t xml:space="preserve">青字＝元データからの転記値および一意カウントの実数／黒字＝本ブックの計算式。</t>
  </si>
  <si>
    <t xml:space="preserve">週ラベル</t>
  </si>
  <si>
    <t xml:space="preserve">次回アクション</t>
  </si>
  <si>
    <t xml:space="preserve">改定時期</t>
  </si>
  <si>
    <t xml:space="preserve">契約予定</t>
  </si>
  <si>
    <t xml:space="preserve">圏</t>
  </si>
  <si>
    <r>
      <rPr>
        <sz val="9"/>
        <color rgb="FF0000FF"/>
        <rFont val="游ゴシック"/>
        <family val="0"/>
        <charset val="1"/>
      </rPr>
      <t xml:space="preserve">(</t>
    </r>
    <r>
      <rPr>
        <sz val="9"/>
        <color rgb="FF0000FF"/>
        <rFont val="WenQuanYi Zen Hei"/>
        <family val="2"/>
      </rPr>
      <t xml:space="preserve">未記入</t>
    </r>
    <r>
      <rPr>
        <sz val="9"/>
        <color rgb="FF0000FF"/>
        <rFont val="游ゴシック"/>
        <family val="0"/>
        <charset val="1"/>
      </rPr>
      <t xml:space="preserve">)</t>
    </r>
  </si>
  <si>
    <t xml:space="preserve">・セミナー案内を配布</t>
  </si>
  <si>
    <r>
      <rPr>
        <sz val="9"/>
        <color rgb="FF0000FF"/>
        <rFont val="WenQuanYi Zen Hei"/>
        <family val="2"/>
      </rPr>
      <t xml:space="preserve">・こども計画策定済み・</t>
    </r>
    <r>
      <rPr>
        <sz val="9"/>
        <color rgb="FF0000FF"/>
        <rFont val="游ゴシック"/>
        <family val="0"/>
        <charset val="1"/>
      </rPr>
      <t xml:space="preserve">R11</t>
    </r>
    <r>
      <rPr>
        <sz val="9"/>
        <color rgb="FF0000FF"/>
        <rFont val="WenQuanYi Zen Hei"/>
        <family val="2"/>
      </rPr>
      <t xml:space="preserve">までのため、</t>
    </r>
    <r>
      <rPr>
        <sz val="9"/>
        <color rgb="FF0000FF"/>
        <rFont val="游ゴシック"/>
        <family val="0"/>
        <charset val="1"/>
      </rPr>
      <t xml:space="preserve">R9</t>
    </r>
    <r>
      <rPr>
        <sz val="9"/>
        <color rgb="FF0000FF"/>
        <rFont val="WenQuanYi Zen Hei"/>
        <family val="2"/>
      </rPr>
      <t xml:space="preserve">～</t>
    </r>
    <r>
      <rPr>
        <sz val="9"/>
        <color rgb="FF0000FF"/>
        <rFont val="游ゴシック"/>
        <family val="0"/>
        <charset val="1"/>
      </rPr>
      <t xml:space="preserve">10</t>
    </r>
    <r>
      <rPr>
        <sz val="9"/>
        <color rgb="FF0000FF"/>
        <rFont val="WenQuanYi Zen Hei"/>
        <family val="2"/>
      </rPr>
      <t xml:space="preserve">にアプローチを行う。</t>
    </r>
  </si>
  <si>
    <t xml:space="preserve">二本松市</t>
  </si>
  <si>
    <t xml:space="preserve">見積合わせ</t>
  </si>
  <si>
    <t xml:space="preserve">猪苗代町</t>
  </si>
  <si>
    <t xml:space="preserve">下郷町</t>
  </si>
  <si>
    <t xml:space="preserve">随契</t>
  </si>
  <si>
    <t xml:space="preserve">女川町</t>
  </si>
  <si>
    <t xml:space="preserve">階上町</t>
  </si>
  <si>
    <t xml:space="preserve">R9</t>
  </si>
  <si>
    <t xml:space="preserve">入札</t>
  </si>
  <si>
    <t xml:space="preserve">山形市</t>
  </si>
  <si>
    <r>
      <rPr>
        <sz val="9"/>
        <color rgb="FF0000FF"/>
        <rFont val="WenQuanYi Zen Hei"/>
        <family val="2"/>
      </rPr>
      <t xml:space="preserve">今年度</t>
    </r>
    <r>
      <rPr>
        <sz val="9"/>
        <color rgb="FF0000FF"/>
        <rFont val="游ゴシック"/>
        <family val="0"/>
        <charset val="1"/>
      </rPr>
      <t xml:space="preserve">EY</t>
    </r>
    <r>
      <rPr>
        <sz val="9"/>
        <color rgb="FF0000FF"/>
        <rFont val="WenQuanYi Zen Hei"/>
        <family val="2"/>
      </rPr>
      <t xml:space="preserve">新日本随契。</t>
    </r>
    <r>
      <rPr>
        <sz val="9"/>
        <color rgb="FF0000FF"/>
        <rFont val="游ゴシック"/>
        <family val="0"/>
        <charset val="1"/>
      </rPr>
      <t xml:space="preserve">R9</t>
    </r>
    <r>
      <rPr>
        <sz val="9"/>
        <color rgb="FF0000FF"/>
        <rFont val="WenQuanYi Zen Hei"/>
        <family val="2"/>
      </rPr>
      <t xml:space="preserve">改定時期ですのでアプローチかけます。</t>
    </r>
  </si>
  <si>
    <t xml:space="preserve">天童市</t>
  </si>
  <si>
    <t xml:space="preserve">自前作成。（予算取れれば委託検討）</t>
  </si>
  <si>
    <t xml:space="preserve">六戸町</t>
  </si>
  <si>
    <t xml:space="preserve">東北町</t>
  </si>
  <si>
    <t xml:space="preserve">三戸町</t>
  </si>
  <si>
    <t xml:space="preserve">むつ市</t>
  </si>
  <si>
    <r>
      <rPr>
        <sz val="9"/>
        <color rgb="FF0000FF"/>
        <rFont val="WenQuanYi Zen Hei"/>
        <family val="2"/>
      </rPr>
      <t xml:space="preserve">水道　</t>
    </r>
    <r>
      <rPr>
        <sz val="9"/>
        <color rgb="FF0000FF"/>
        <rFont val="游ゴシック"/>
        <family val="0"/>
        <charset val="1"/>
      </rPr>
      <t xml:space="preserve">R8</t>
    </r>
    <r>
      <rPr>
        <sz val="9"/>
        <color rgb="FF0000FF"/>
        <rFont val="WenQuanYi Zen Hei"/>
        <family val="2"/>
      </rPr>
      <t xml:space="preserve">～関与</t>
    </r>
  </si>
  <si>
    <t xml:space="preserve">にかほ市</t>
  </si>
  <si>
    <t xml:space="preserve">東成瀬村</t>
  </si>
  <si>
    <t xml:space="preserve">川内村</t>
  </si>
  <si>
    <t xml:space="preserve">葛尾村</t>
  </si>
  <si>
    <t xml:space="preserve">只見町</t>
  </si>
  <si>
    <t xml:space="preserve">長万部町</t>
  </si>
  <si>
    <t xml:space="preserve">水道</t>
  </si>
  <si>
    <t xml:space="preserve">下水道</t>
  </si>
  <si>
    <t xml:space="preserve">松島町</t>
  </si>
  <si>
    <t xml:space="preserve">昨年度から話あり</t>
  </si>
  <si>
    <t xml:space="preserve">涌谷町</t>
  </si>
  <si>
    <t xml:space="preserve">施設カルテも追加営業中</t>
  </si>
  <si>
    <t xml:space="preserve">国見町</t>
  </si>
  <si>
    <t xml:space="preserve">個別施設も追加提案中</t>
  </si>
  <si>
    <t xml:space="preserve">天栄村</t>
  </si>
  <si>
    <t xml:space="preserve">個別施設、施設カルテ、セミナー参加</t>
  </si>
  <si>
    <t xml:space="preserve">登米市</t>
  </si>
  <si>
    <t xml:space="preserve">所有外も併せて提案</t>
  </si>
  <si>
    <t xml:space="preserve">白河市</t>
  </si>
  <si>
    <t xml:space="preserve">プロポ</t>
  </si>
  <si>
    <t xml:space="preserve">地域福祉計画策定</t>
  </si>
  <si>
    <t xml:space="preserve">須賀川地方消防組合</t>
  </si>
  <si>
    <t xml:space="preserve">鹿角市</t>
  </si>
  <si>
    <t xml:space="preserve">R8</t>
  </si>
  <si>
    <t xml:space="preserve">今年度、一般入札と言っていたがｎサーチに出てこず。入札時期や方法を念入りに確認する必要有。</t>
  </si>
  <si>
    <t xml:space="preserve">藤里町</t>
  </si>
  <si>
    <t xml:space="preserve">今年度指名入札、来年度は入れるように見積提示できるよう再アプローチ予定。問題点は以前顛末書提出した経歴があること。</t>
  </si>
  <si>
    <t xml:space="preserve">料金・使用料改定のセミナー参加のため、継続してアプローチを行う。今回は担当者不在のため、次回詳細確認。</t>
  </si>
  <si>
    <t xml:space="preserve">所有外セミナー案内</t>
  </si>
  <si>
    <r>
      <rPr>
        <sz val="9"/>
        <color rgb="FF0000FF"/>
        <rFont val="WenQuanYi Zen Hei"/>
        <family val="2"/>
      </rPr>
      <t xml:space="preserve">～</t>
    </r>
    <r>
      <rPr>
        <sz val="9"/>
        <color rgb="FF0000FF"/>
        <rFont val="游ゴシック"/>
        <family val="0"/>
        <charset val="1"/>
      </rPr>
      <t xml:space="preserve">R7</t>
    </r>
  </si>
  <si>
    <r>
      <rPr>
        <sz val="9"/>
        <color rgb="FF0000FF"/>
        <rFont val="游ゴシック"/>
        <family val="0"/>
        <charset val="1"/>
      </rPr>
      <t xml:space="preserve">R7</t>
    </r>
    <r>
      <rPr>
        <sz val="9"/>
        <color rgb="FF0000FF"/>
        <rFont val="WenQuanYi Zen Hei"/>
        <family val="2"/>
      </rPr>
      <t xml:space="preserve">改訂、セミナー案内実施</t>
    </r>
  </si>
  <si>
    <t xml:space="preserve">佐藤会計随契。来年度予算申請の見積依頼あり。</t>
  </si>
  <si>
    <t xml:space="preserve">R11</t>
  </si>
  <si>
    <t xml:space="preserve">佐藤会計随契。担当者不在</t>
  </si>
  <si>
    <t xml:space="preserve">R13</t>
  </si>
  <si>
    <t xml:space="preserve">大蔵村</t>
  </si>
  <si>
    <r>
      <rPr>
        <sz val="9"/>
        <color rgb="FF0000FF"/>
        <rFont val="游ゴシック"/>
        <family val="0"/>
        <charset val="1"/>
      </rPr>
      <t xml:space="preserve">R9</t>
    </r>
    <r>
      <rPr>
        <sz val="9"/>
        <color rgb="FF0000FF"/>
        <rFont val="WenQuanYi Zen Hei"/>
        <family val="2"/>
      </rPr>
      <t xml:space="preserve">改定</t>
    </r>
  </si>
  <si>
    <t xml:space="preserve">平泉町</t>
  </si>
  <si>
    <t xml:space="preserve">セミナー案内。担当不在</t>
  </si>
  <si>
    <t xml:space="preserve">酒田市</t>
  </si>
  <si>
    <r>
      <rPr>
        <sz val="9"/>
        <color rgb="FF0000FF"/>
        <rFont val="WenQuanYi Zen Hei"/>
        <family val="2"/>
      </rPr>
      <t xml:space="preserve">前回、担当者不在で</t>
    </r>
    <r>
      <rPr>
        <sz val="9"/>
        <color rgb="FF0000FF"/>
        <rFont val="游ゴシック"/>
        <family val="0"/>
        <charset val="1"/>
      </rPr>
      <t xml:space="preserve">8</t>
    </r>
    <r>
      <rPr>
        <sz val="9"/>
        <color rgb="FF0000FF"/>
        <rFont val="WenQuanYi Zen Hei"/>
        <family val="2"/>
      </rPr>
      <t xml:space="preserve">月</t>
    </r>
    <r>
      <rPr>
        <sz val="9"/>
        <color rgb="FF0000FF"/>
        <rFont val="游ゴシック"/>
        <family val="0"/>
        <charset val="1"/>
      </rPr>
      <t xml:space="preserve">26</t>
    </r>
    <r>
      <rPr>
        <sz val="9"/>
        <color rgb="FF0000FF"/>
        <rFont val="WenQuanYi Zen Hei"/>
        <family val="2"/>
      </rPr>
      <t xml:space="preserve">日再訪問。</t>
    </r>
  </si>
  <si>
    <r>
      <rPr>
        <sz val="9"/>
        <color rgb="FF0000FF"/>
        <rFont val="游ゴシック"/>
        <family val="0"/>
        <charset val="1"/>
      </rPr>
      <t xml:space="preserve">8</t>
    </r>
    <r>
      <rPr>
        <sz val="9"/>
        <color rgb="FF0000FF"/>
        <rFont val="WenQuanYi Zen Hei"/>
        <family val="2"/>
      </rPr>
      <t xml:space="preserve">月</t>
    </r>
    <r>
      <rPr>
        <sz val="9"/>
        <color rgb="FF0000FF"/>
        <rFont val="游ゴシック"/>
        <family val="0"/>
        <charset val="1"/>
      </rPr>
      <t xml:space="preserve">27</t>
    </r>
    <r>
      <rPr>
        <sz val="9"/>
        <color rgb="FF0000FF"/>
        <rFont val="WenQuanYi Zen Hei"/>
        <family val="2"/>
      </rPr>
      <t xml:space="preserve">日に初回訪問致します。</t>
    </r>
  </si>
  <si>
    <t xml:space="preserve">尾花沢市</t>
  </si>
  <si>
    <t xml:space="preserve">所有外管理資産セミナー案内</t>
  </si>
  <si>
    <t xml:space="preserve">最上町</t>
  </si>
  <si>
    <t xml:space="preserve">R10</t>
  </si>
  <si>
    <r>
      <rPr>
        <sz val="9"/>
        <color rgb="FF0000FF"/>
        <rFont val="游ゴシック"/>
        <family val="0"/>
        <charset val="1"/>
      </rPr>
      <t xml:space="preserve">R5</t>
    </r>
    <r>
      <rPr>
        <sz val="9"/>
        <color rgb="FF0000FF"/>
        <rFont val="WenQuanYi Zen Hei"/>
        <family val="2"/>
      </rPr>
      <t xml:space="preserve">下水道改訂。セミナー案内</t>
    </r>
  </si>
  <si>
    <t xml:space="preserve">小国町</t>
  </si>
  <si>
    <r>
      <rPr>
        <sz val="9"/>
        <color rgb="FF0000FF"/>
        <rFont val="WenQuanYi Zen Hei"/>
        <family val="2"/>
      </rPr>
      <t xml:space="preserve">前回訪問時、担当者不在。</t>
    </r>
    <r>
      <rPr>
        <sz val="9"/>
        <color rgb="FF0000FF"/>
        <rFont val="游ゴシック"/>
        <family val="0"/>
        <charset val="1"/>
      </rPr>
      <t xml:space="preserve">9</t>
    </r>
    <r>
      <rPr>
        <sz val="9"/>
        <color rgb="FF0000FF"/>
        <rFont val="WenQuanYi Zen Hei"/>
        <family val="2"/>
      </rPr>
      <t xml:space="preserve">月</t>
    </r>
    <r>
      <rPr>
        <sz val="9"/>
        <color rgb="FF0000FF"/>
        <rFont val="游ゴシック"/>
        <family val="0"/>
        <charset val="1"/>
      </rPr>
      <t xml:space="preserve">2</t>
    </r>
    <r>
      <rPr>
        <sz val="9"/>
        <color rgb="FF0000FF"/>
        <rFont val="WenQuanYi Zen Hei"/>
        <family val="2"/>
      </rPr>
      <t xml:space="preserve">日再訪問。</t>
    </r>
  </si>
  <si>
    <r>
      <rPr>
        <sz val="9"/>
        <color rgb="FF0000FF"/>
        <rFont val="游ゴシック"/>
        <family val="0"/>
        <charset val="1"/>
      </rPr>
      <t xml:space="preserve">R17</t>
    </r>
    <r>
      <rPr>
        <sz val="9"/>
        <color rgb="FF0000FF"/>
        <rFont val="WenQuanYi Zen Hei"/>
        <family val="2"/>
      </rPr>
      <t xml:space="preserve">～</t>
    </r>
  </si>
  <si>
    <t xml:space="preserve">改訂予定なし</t>
  </si>
  <si>
    <t xml:space="preserve">これまで自前で作成していたとのこと。</t>
  </si>
  <si>
    <t xml:space="preserve">改訂検討中</t>
  </si>
  <si>
    <r>
      <rPr>
        <sz val="9"/>
        <color rgb="FF0000FF"/>
        <rFont val="游ゴシック"/>
        <family val="0"/>
        <charset val="1"/>
      </rPr>
      <t xml:space="preserve">R6</t>
    </r>
    <r>
      <rPr>
        <sz val="9"/>
        <color rgb="FF0000FF"/>
        <rFont val="WenQuanYi Zen Hei"/>
        <family val="2"/>
      </rPr>
      <t xml:space="preserve">こども計画策定済み。</t>
    </r>
  </si>
  <si>
    <t xml:space="preserve">セミナー案内。</t>
  </si>
  <si>
    <t xml:space="preserve">R12</t>
  </si>
  <si>
    <r>
      <rPr>
        <sz val="9"/>
        <color rgb="FF0000FF"/>
        <rFont val="WenQuanYi Zen Hei"/>
        <family val="2"/>
      </rPr>
      <t xml:space="preserve">上水</t>
    </r>
    <r>
      <rPr>
        <sz val="9"/>
        <color rgb="FF0000FF"/>
        <rFont val="游ゴシック"/>
        <family val="0"/>
        <charset val="1"/>
      </rPr>
      <t xml:space="preserve">R6</t>
    </r>
    <r>
      <rPr>
        <sz val="9"/>
        <color rgb="FF0000FF"/>
        <rFont val="WenQuanYi Zen Hei"/>
        <family val="2"/>
      </rPr>
      <t xml:space="preserve">改訂。下水</t>
    </r>
    <r>
      <rPr>
        <sz val="9"/>
        <color rgb="FF0000FF"/>
        <rFont val="游ゴシック"/>
        <family val="0"/>
        <charset val="1"/>
      </rPr>
      <t xml:space="preserve">R7</t>
    </r>
    <r>
      <rPr>
        <sz val="9"/>
        <color rgb="FF0000FF"/>
        <rFont val="WenQuanYi Zen Hei"/>
        <family val="2"/>
      </rPr>
      <t xml:space="preserve">改訂</t>
    </r>
  </si>
  <si>
    <t xml:space="preserve">山辺町</t>
  </si>
  <si>
    <t xml:space="preserve">ニーズ調査、計画作成共に業者委託。</t>
  </si>
  <si>
    <t xml:space="preserve">R14</t>
  </si>
  <si>
    <t xml:space="preserve">現在改訂を検討していない。セミナー案内</t>
  </si>
  <si>
    <t xml:space="preserve">朝日町</t>
  </si>
  <si>
    <r>
      <rPr>
        <sz val="9"/>
        <color rgb="FF0000FF"/>
        <rFont val="WenQuanYi Zen Hei"/>
        <family val="2"/>
      </rPr>
      <t xml:space="preserve">前回訪問時、担当者不在。</t>
    </r>
    <r>
      <rPr>
        <sz val="9"/>
        <color rgb="FF0000FF"/>
        <rFont val="游ゴシック"/>
        <family val="0"/>
        <charset val="1"/>
      </rPr>
      <t xml:space="preserve">8</t>
    </r>
    <r>
      <rPr>
        <sz val="9"/>
        <color rgb="FF0000FF"/>
        <rFont val="WenQuanYi Zen Hei"/>
        <family val="2"/>
      </rPr>
      <t xml:space="preserve">月</t>
    </r>
    <r>
      <rPr>
        <sz val="9"/>
        <color rgb="FF0000FF"/>
        <rFont val="游ゴシック"/>
        <family val="0"/>
        <charset val="1"/>
      </rPr>
      <t xml:space="preserve">26</t>
    </r>
    <r>
      <rPr>
        <sz val="9"/>
        <color rgb="FF0000FF"/>
        <rFont val="WenQuanYi Zen Hei"/>
        <family val="2"/>
      </rPr>
      <t xml:space="preserve">日再訪問。</t>
    </r>
  </si>
  <si>
    <t xml:space="preserve">鶴岡市</t>
  </si>
  <si>
    <r>
      <rPr>
        <sz val="9"/>
        <color rgb="FF0000FF"/>
        <rFont val="WenQuanYi Zen Hei"/>
        <family val="2"/>
      </rPr>
      <t xml:space="preserve">前回訪問時、担当者不在。</t>
    </r>
    <r>
      <rPr>
        <sz val="9"/>
        <color rgb="FF0000FF"/>
        <rFont val="游ゴシック"/>
        <family val="0"/>
        <charset val="1"/>
      </rPr>
      <t xml:space="preserve">8</t>
    </r>
    <r>
      <rPr>
        <sz val="9"/>
        <color rgb="FF0000FF"/>
        <rFont val="WenQuanYi Zen Hei"/>
        <family val="2"/>
      </rPr>
      <t xml:space="preserve">月</t>
    </r>
    <r>
      <rPr>
        <sz val="9"/>
        <color rgb="FF0000FF"/>
        <rFont val="游ゴシック"/>
        <family val="0"/>
        <charset val="1"/>
      </rPr>
      <t xml:space="preserve">27</t>
    </r>
    <r>
      <rPr>
        <sz val="9"/>
        <color rgb="FF0000FF"/>
        <rFont val="WenQuanYi Zen Hei"/>
        <family val="2"/>
      </rPr>
      <t xml:space="preserve">日再訪問。</t>
    </r>
  </si>
  <si>
    <t xml:space="preserve">上山市</t>
  </si>
  <si>
    <t xml:space="preserve">ニーズ調査、計画作成共に委託、ぎょうせい。</t>
  </si>
  <si>
    <t xml:space="preserve">北秋田市</t>
  </si>
  <si>
    <t xml:space="preserve">公会計キックオフ時に所有外管理資産の話を行う。</t>
  </si>
  <si>
    <t xml:space="preserve">上小阿仁村</t>
  </si>
  <si>
    <r>
      <rPr>
        <sz val="9"/>
        <color rgb="FF0000FF"/>
        <rFont val="游ゴシック"/>
        <family val="0"/>
        <charset val="1"/>
      </rPr>
      <t xml:space="preserve">R5</t>
    </r>
    <r>
      <rPr>
        <sz val="9"/>
        <color rgb="FF0000FF"/>
        <rFont val="WenQuanYi Zen Hei"/>
        <family val="2"/>
      </rPr>
      <t xml:space="preserve">策定のため</t>
    </r>
    <r>
      <rPr>
        <sz val="9"/>
        <color rgb="FF0000FF"/>
        <rFont val="游ゴシック"/>
        <family val="0"/>
        <charset val="1"/>
      </rPr>
      <t xml:space="preserve">R10</t>
    </r>
    <r>
      <rPr>
        <sz val="9"/>
        <color rgb="FF0000FF"/>
        <rFont val="WenQuanYi Zen Hei"/>
        <family val="2"/>
      </rPr>
      <t xml:space="preserve">改定予定</t>
    </r>
  </si>
  <si>
    <t xml:space="preserve">男鹿市</t>
  </si>
  <si>
    <t xml:space="preserve">潟上市</t>
  </si>
  <si>
    <t xml:space="preserve">秋田県全市町村</t>
  </si>
  <si>
    <r>
      <rPr>
        <sz val="9"/>
        <color rgb="FF0000FF"/>
        <rFont val="游ゴシック"/>
        <family val="0"/>
        <charset val="1"/>
      </rPr>
      <t xml:space="preserve">R7</t>
    </r>
    <r>
      <rPr>
        <sz val="9"/>
        <color rgb="FF0000FF"/>
        <rFont val="WenQuanYi Zen Hei"/>
        <family val="2"/>
      </rPr>
      <t xml:space="preserve">に同時に策定しているため、計画を確認し、指摘することで見直しを推奨していく。</t>
    </r>
  </si>
  <si>
    <r>
      <rPr>
        <sz val="9"/>
        <color rgb="FF0000FF"/>
        <rFont val="WenQuanYi Zen Hei"/>
        <family val="2"/>
      </rPr>
      <t xml:space="preserve">委託済みのため、改定時期に提案。</t>
    </r>
    <r>
      <rPr>
        <sz val="9"/>
        <color rgb="FF0000FF"/>
        <rFont val="游ゴシック"/>
        <family val="0"/>
        <charset val="1"/>
      </rPr>
      <t xml:space="preserve">HP</t>
    </r>
    <r>
      <rPr>
        <sz val="9"/>
        <color rgb="FF0000FF"/>
        <rFont val="WenQuanYi Zen Hei"/>
        <family val="2"/>
      </rPr>
      <t xml:space="preserve">に掲載後、戦略の確認を実施する。</t>
    </r>
  </si>
  <si>
    <t xml:space="preserve">来年度当初予算要求予定有。見積提出約束。</t>
  </si>
  <si>
    <t xml:space="preserve">音威子府村</t>
  </si>
  <si>
    <t xml:space="preserve">現状未策定。複数計画を地域福祉計画にて一本化したい。</t>
  </si>
  <si>
    <t xml:space="preserve">補正にて今年度受注想定。見積を提出し随契を狙う。</t>
  </si>
  <si>
    <t xml:space="preserve">中川町</t>
  </si>
  <si>
    <t xml:space="preserve">住民課が担当課だが策定予定無しとのことだが、地域振興課主導にて少子化対策プロジェクト進行中とのこと。施策内容にて子育て支援や産後ケア等の案が挙がっており、実施に向けた財源確保検討中とのこと。次アプローチとして、こども計画の策定による財源措置メリットをメールにてお伝え予定。</t>
  </si>
  <si>
    <t xml:space="preserve">前回改定時関与。次期改定について参考見積提示予定。</t>
  </si>
  <si>
    <t xml:space="preserve">西郷村</t>
  </si>
  <si>
    <t xml:space="preserve">担当者にはアンケートへの負担感があり、見積もり額等によって、予算化検討</t>
  </si>
  <si>
    <t xml:space="preserve">須賀川市</t>
  </si>
  <si>
    <t xml:space="preserve">循環型社会推進地域計画等、補助金要件になっている個別計画への説得力が増すという話には食いつきあり</t>
  </si>
  <si>
    <t xml:space="preserve">花巻市</t>
  </si>
  <si>
    <t xml:space="preserve">一関市</t>
  </si>
  <si>
    <t xml:space="preserve">一部佐藤会計委託。来年度弊社委託のため見積もり提案中。</t>
  </si>
  <si>
    <t xml:space="preserve">一関広域行政組合</t>
  </si>
  <si>
    <t xml:space="preserve">見積もり提示。入札時期調整中</t>
  </si>
  <si>
    <t xml:space="preserve">宮古市</t>
  </si>
  <si>
    <t xml:space="preserve">担当産休中。セミナー案内実施</t>
  </si>
  <si>
    <t xml:space="preserve">固定資産台帳精緻化に関して検討中。見積書を作成し、再訪予定。</t>
  </si>
  <si>
    <t xml:space="preserve">大槌町</t>
  </si>
  <si>
    <r>
      <rPr>
        <sz val="9"/>
        <color rgb="FF0000FF"/>
        <rFont val="WenQuanYi Zen Hei"/>
        <family val="2"/>
      </rPr>
      <t xml:space="preserve">今年度アンケート調査委託予定。時期は</t>
    </r>
    <r>
      <rPr>
        <sz val="9"/>
        <color rgb="FF0000FF"/>
        <rFont val="游ゴシック"/>
        <family val="0"/>
        <charset val="1"/>
      </rPr>
      <t xml:space="preserve">10</t>
    </r>
    <r>
      <rPr>
        <sz val="9"/>
        <color rgb="FF0000FF"/>
        <rFont val="WenQuanYi Zen Hei"/>
        <family val="2"/>
      </rPr>
      <t xml:space="preserve">月予定。</t>
    </r>
  </si>
  <si>
    <r>
      <rPr>
        <sz val="9"/>
        <color rgb="FF0000FF"/>
        <rFont val="WenQuanYi Zen Hei"/>
        <family val="2"/>
      </rPr>
      <t xml:space="preserve">上水</t>
    </r>
    <r>
      <rPr>
        <sz val="9"/>
        <color rgb="FF0000FF"/>
        <rFont val="游ゴシック"/>
        <family val="0"/>
        <charset val="1"/>
      </rPr>
      <t xml:space="preserve">R</t>
    </r>
    <r>
      <rPr>
        <sz val="9"/>
        <color rgb="FF0000FF"/>
        <rFont val="WenQuanYi Zen Hei"/>
        <family val="2"/>
      </rPr>
      <t xml:space="preserve">５改訂。来年度検討に入るとの事。</t>
    </r>
  </si>
  <si>
    <t xml:space="preserve">今年度森田会計契約。所有外セミナー案内実施</t>
  </si>
  <si>
    <t xml:space="preserve">セミナー案内実施</t>
  </si>
  <si>
    <t xml:space="preserve">パスコにて個別施設計画契約。公共施設等総合管理計画に関するセミナー案内実施</t>
  </si>
  <si>
    <r>
      <rPr>
        <sz val="9"/>
        <color rgb="FF0000FF"/>
        <rFont val="游ゴシック"/>
        <family val="0"/>
        <charset val="1"/>
      </rPr>
      <t xml:space="preserve">R7</t>
    </r>
    <r>
      <rPr>
        <sz val="9"/>
        <color rgb="FF0000FF"/>
        <rFont val="WenQuanYi Zen Hei"/>
        <family val="2"/>
      </rPr>
      <t xml:space="preserve">こども計画に統合済み。</t>
    </r>
  </si>
  <si>
    <t xml:space="preserve">亘理地区行政事務組合</t>
  </si>
  <si>
    <r>
      <rPr>
        <sz val="9"/>
        <color rgb="FF0000FF"/>
        <rFont val="WenQuanYi Zen Hei"/>
        <family val="2"/>
      </rPr>
      <t xml:space="preserve">業者登録未登録。</t>
    </r>
    <r>
      <rPr>
        <sz val="9"/>
        <color rgb="FF0000FF"/>
        <rFont val="游ゴシック"/>
        <family val="0"/>
        <charset val="1"/>
      </rPr>
      <t xml:space="preserve">R9</t>
    </r>
    <r>
      <rPr>
        <sz val="9"/>
        <color rgb="FF0000FF"/>
        <rFont val="WenQuanYi Zen Hei"/>
        <family val="2"/>
      </rPr>
      <t xml:space="preserve">年</t>
    </r>
    <r>
      <rPr>
        <sz val="9"/>
        <color rgb="FF0000FF"/>
        <rFont val="游ゴシック"/>
        <family val="0"/>
        <charset val="1"/>
      </rPr>
      <t xml:space="preserve">1</t>
    </r>
    <r>
      <rPr>
        <sz val="9"/>
        <color rgb="FF0000FF"/>
        <rFont val="WenQuanYi Zen Hei"/>
        <family val="2"/>
      </rPr>
      <t xml:space="preserve">月中旬に</t>
    </r>
    <r>
      <rPr>
        <sz val="9"/>
        <color rgb="FF0000FF"/>
        <rFont val="游ゴシック"/>
        <family val="0"/>
        <charset val="1"/>
      </rPr>
      <t xml:space="preserve">HP</t>
    </r>
    <r>
      <rPr>
        <sz val="9"/>
        <color rgb="FF0000FF"/>
        <rFont val="WenQuanYi Zen Hei"/>
        <family val="2"/>
      </rPr>
      <t xml:space="preserve">にて掲示。</t>
    </r>
  </si>
  <si>
    <t xml:space="preserve">江差町</t>
  </si>
  <si>
    <r>
      <rPr>
        <sz val="9"/>
        <color rgb="FF0000FF"/>
        <rFont val="WenQuanYi Zen Hei"/>
        <family val="2"/>
      </rPr>
      <t xml:space="preserve">昨年度当初予算要求も落選。今年も要求予定とのことで／　見積提出約束。／　また、社会教育施設長寿命化計画についても見積提出約束。／　</t>
    </r>
    <r>
      <rPr>
        <sz val="9"/>
        <color rgb="FF0000FF"/>
        <rFont val="游ゴシック"/>
        <family val="0"/>
        <charset val="1"/>
      </rPr>
      <t xml:space="preserve">2</t>
    </r>
    <r>
      <rPr>
        <sz val="9"/>
        <color rgb="FF0000FF"/>
        <rFont val="WenQuanYi Zen Hei"/>
        <family val="2"/>
      </rPr>
      <t xml:space="preserve">本セットでの改定を狙う。</t>
    </r>
  </si>
  <si>
    <t xml:space="preserve">こども計画は子ども子育て支援事業計画の更新タイミングで国や道の強制力によって判断。 中間見直しは自前予定。前回策定はサーベイだが、こども本人の意見など、漏れがありそう。 継続してこども計画本体狙いにいく。</t>
  </si>
  <si>
    <t xml:space="preserve">下水道法改正に伴う各計画の更新予定や料金改定について。今のところ現状維持とのこと。セミナーパンフ配布。前回は指名入札。業者登録していて参考見積出せばいけるかも。</t>
  </si>
  <si>
    <r>
      <rPr>
        <sz val="9"/>
        <color rgb="FF0000FF"/>
        <rFont val="WenQuanYi Zen Hei"/>
        <family val="2"/>
      </rPr>
      <t xml:space="preserve">財務書類作成に必要な決算統計等の書類提出催促。 　今年度で現システムのバージョンアップ完了と</t>
    </r>
    <r>
      <rPr>
        <sz val="9"/>
        <color rgb="FF0000FF"/>
        <rFont val="游ゴシック"/>
        <family val="0"/>
        <charset val="1"/>
      </rPr>
      <t xml:space="preserve">PC</t>
    </r>
    <r>
      <rPr>
        <sz val="9"/>
        <color rgb="FF0000FF"/>
        <rFont val="WenQuanYi Zen Hei"/>
        <family val="2"/>
      </rPr>
      <t xml:space="preserve">買い替え完了とのこと。 　セミナーパンフ配布。</t>
    </r>
  </si>
  <si>
    <r>
      <rPr>
        <sz val="9"/>
        <color rgb="FF0000FF"/>
        <rFont val="WenQuanYi Zen Hei"/>
        <family val="2"/>
      </rPr>
      <t xml:space="preserve">下水道法改正に伴う各計画の更新予定や料金改定について。 水道の経営戦略とアセットは前年度改定でニッスイコンで実施。 下水の経営戦略はぎょうせいで実施。。</t>
    </r>
    <r>
      <rPr>
        <sz val="9"/>
        <color rgb="FF0000FF"/>
        <rFont val="游ゴシック"/>
        <family val="0"/>
        <charset val="1"/>
      </rPr>
      <t xml:space="preserve">HP</t>
    </r>
    <r>
      <rPr>
        <sz val="9"/>
        <color rgb="FF0000FF"/>
        <rFont val="WenQuanYi Zen Hei"/>
        <family val="2"/>
      </rPr>
      <t xml:space="preserve">では</t>
    </r>
    <r>
      <rPr>
        <sz val="9"/>
        <color rgb="FF0000FF"/>
        <rFont val="游ゴシック"/>
        <family val="0"/>
        <charset val="1"/>
      </rPr>
      <t xml:space="preserve">R8</t>
    </r>
    <r>
      <rPr>
        <sz val="9"/>
        <color rgb="FF0000FF"/>
        <rFont val="WenQuanYi Zen Hei"/>
        <family val="2"/>
      </rPr>
      <t xml:space="preserve">までになっているが </t>
    </r>
    <r>
      <rPr>
        <sz val="9"/>
        <color rgb="FF0000FF"/>
        <rFont val="游ゴシック"/>
        <family val="0"/>
        <charset val="1"/>
      </rPr>
      <t xml:space="preserve">2</t>
    </r>
    <r>
      <rPr>
        <sz val="9"/>
        <color rgb="FF0000FF"/>
        <rFont val="WenQuanYi Zen Hei"/>
        <family val="2"/>
      </rPr>
      <t xml:space="preserve">～</t>
    </r>
    <r>
      <rPr>
        <sz val="9"/>
        <color rgb="FF0000FF"/>
        <rFont val="游ゴシック"/>
        <family val="0"/>
        <charset val="1"/>
      </rPr>
      <t xml:space="preserve">3</t>
    </r>
    <r>
      <rPr>
        <sz val="9"/>
        <color rgb="FF0000FF"/>
        <rFont val="WenQuanYi Zen Hei"/>
        <family val="2"/>
      </rPr>
      <t xml:space="preserve">年前に更新したとのこと。 指名入札で契約管理課が業者選定しているので参考見積を出すか出さないか でも選定される可能性に違いが出るとのこと。</t>
    </r>
  </si>
  <si>
    <t xml:space="preserve">仁木町</t>
  </si>
  <si>
    <r>
      <rPr>
        <sz val="9"/>
        <color rgb="FF0000FF"/>
        <rFont val="WenQuanYi Zen Hei"/>
        <family val="2"/>
      </rPr>
      <t xml:space="preserve">自前で継続していたが、負担が大きく</t>
    </r>
    <r>
      <rPr>
        <sz val="9"/>
        <color rgb="FF0000FF"/>
        <rFont val="游ゴシック"/>
        <family val="0"/>
        <charset val="1"/>
      </rPr>
      <t xml:space="preserve">2</t>
    </r>
    <r>
      <rPr>
        <sz val="9"/>
        <color rgb="FF0000FF"/>
        <rFont val="WenQuanYi Zen Hei"/>
        <family val="2"/>
      </rPr>
      <t xml:space="preserve">年間より行政研に委託。</t>
    </r>
  </si>
  <si>
    <t xml:space="preserve">中間見直しは自前でやるが、こども計画は子ども子育て支援事業計画の 改定時期に国の強制力しだいで検討。前回はサーベイ。 継続して後追い。セミナーパンフ配布。</t>
  </si>
  <si>
    <t xml:space="preserve">共和町</t>
  </si>
  <si>
    <t xml:space="preserve">変わらず行政研。セミナーパンフ配布。</t>
  </si>
  <si>
    <r>
      <rPr>
        <sz val="9"/>
        <color rgb="FF0000FF"/>
        <rFont val="WenQuanYi Zen Hei"/>
        <family val="2"/>
      </rPr>
      <t xml:space="preserve">道の駅が</t>
    </r>
    <r>
      <rPr>
        <sz val="9"/>
        <color rgb="FF0000FF"/>
        <rFont val="游ゴシック"/>
        <family val="0"/>
        <charset val="1"/>
      </rPr>
      <t xml:space="preserve">2027/7</t>
    </r>
    <r>
      <rPr>
        <sz val="9"/>
        <color rgb="FF0000FF"/>
        <rFont val="WenQuanYi Zen Hei"/>
        <family val="2"/>
      </rPr>
      <t xml:space="preserve">月に出来ることと その翌年に義務教育学校が出来る可能性があるので、 いつやるかタイミングを見ているところ。 個別施設計画と一緒に改定を進言。 近年予算圧迫してきているので他の課より上がってきたもの との優先順位をみながら検討。</t>
    </r>
  </si>
  <si>
    <t xml:space="preserve">子ども子育て支援事業計画の中間見直しは自前。 前回策定はサーベイ。 更新時期に国や道のこども計画の温度感によって検討する。 前回はプロポだったような気がするとのこと。</t>
  </si>
  <si>
    <t xml:space="preserve">R16</t>
  </si>
  <si>
    <t xml:space="preserve">下水道法改正に伴う各計画の更新予定や料金改定について。 　計画物は期間まで現状維持。 　料金改定は現在ちょうど進めているところ。</t>
  </si>
  <si>
    <t xml:space="preserve">こども計画については子ども子育て支援事業計画の改定タイミングで 　国や道の強制力を見ながら検討。 　子ども子育て支援事業計画の中間見直しの予定なし。</t>
  </si>
  <si>
    <t xml:space="preserve">厚沢部国保病院</t>
  </si>
  <si>
    <r>
      <rPr>
        <sz val="9"/>
        <color rgb="FF0000FF"/>
        <rFont val="WenQuanYi Zen Hei"/>
        <family val="2"/>
      </rPr>
      <t xml:space="preserve">厚沢部国保病院 ┗厚沢部町国民健康保険病院経営強化プランについて 　改定の提案と改定内容や今後の計画の方向性について説明。 　町長選の影響で来年</t>
    </r>
    <r>
      <rPr>
        <sz val="9"/>
        <color rgb="FF0000FF"/>
        <rFont val="游ゴシック"/>
        <family val="0"/>
        <charset val="1"/>
      </rPr>
      <t xml:space="preserve">6</t>
    </r>
    <r>
      <rPr>
        <sz val="9"/>
        <color rgb="FF0000FF"/>
        <rFont val="WenQuanYi Zen Hei"/>
        <family val="2"/>
      </rPr>
      <t xml:space="preserve">月の補正予算のタイミングで予算要求。 　指名入札予定で業者指名頂けるとのこと。</t>
    </r>
  </si>
  <si>
    <t xml:space="preserve">財務書類作成に必要なデータ提出催促。 　（議会や内部委員会の兼ね合いで提出は年内になりそうとのこと） 　所有外精緻化の契約についても催促。 　発展公会計システムのメリットについて案内。</t>
  </si>
  <si>
    <t xml:space="preserve">こども計画については子ども子育て支援事業計画の改定タイミングで 　国や道の強制力を見ながら検討。 　子ども子育て支援事業計画の中間見直しの予定なし。 　セミナーパンフ配布。</t>
  </si>
  <si>
    <t xml:space="preserve">乙部国保病院</t>
  </si>
  <si>
    <t xml:space="preserve">乙部町国保病院経営強化プランの来年度改定について提案。 　来年度当初予算要求予定とのこと。 　関連自治体となりますので財政と連携取りながら 　進めてまいります。</t>
  </si>
  <si>
    <t xml:space="preserve">今金町</t>
  </si>
  <si>
    <t xml:space="preserve">所有外結果やるのか確認。</t>
  </si>
  <si>
    <t xml:space="preserve">比布町</t>
  </si>
  <si>
    <r>
      <rPr>
        <sz val="9"/>
        <color rgb="FF0000FF"/>
        <rFont val="WenQuanYi Zen Hei"/>
        <family val="2"/>
      </rPr>
      <t xml:space="preserve">経営戦略</t>
    </r>
    <r>
      <rPr>
        <sz val="9"/>
        <color rgb="FF0000FF"/>
        <rFont val="游ゴシック"/>
        <family val="0"/>
        <charset val="1"/>
      </rPr>
      <t xml:space="preserve">R8</t>
    </r>
    <r>
      <rPr>
        <sz val="9"/>
        <color rgb="FF0000FF"/>
        <rFont val="WenQuanYi Zen Hei"/>
        <family val="2"/>
      </rPr>
      <t xml:space="preserve">～</t>
    </r>
    <r>
      <rPr>
        <sz val="9"/>
        <color rgb="FF0000FF"/>
        <rFont val="游ゴシック"/>
        <family val="0"/>
        <charset val="1"/>
      </rPr>
      <t xml:space="preserve">R17</t>
    </r>
    <r>
      <rPr>
        <sz val="9"/>
        <color rgb="FF0000FF"/>
        <rFont val="WenQuanYi Zen Hei"/>
        <family val="2"/>
      </rPr>
      <t xml:space="preserve">（簡水・特環）委託先：行政研　ロードマップ</t>
    </r>
    <r>
      <rPr>
        <sz val="9"/>
        <color rgb="FF0000FF"/>
        <rFont val="游ゴシック"/>
        <family val="0"/>
        <charset val="1"/>
      </rPr>
      <t xml:space="preserve">R12</t>
    </r>
    <r>
      <rPr>
        <sz val="9"/>
        <color rgb="FF0000FF"/>
        <rFont val="WenQuanYi Zen Hei"/>
        <family val="2"/>
      </rPr>
      <t xml:space="preserve">料金改定時期だが前倒しを想定（</t>
    </r>
    <r>
      <rPr>
        <sz val="9"/>
        <color rgb="FF0000FF"/>
        <rFont val="游ゴシック"/>
        <family val="0"/>
        <charset val="1"/>
      </rPr>
      <t xml:space="preserve">R10</t>
    </r>
    <r>
      <rPr>
        <sz val="9"/>
        <color rgb="FF0000FF"/>
        <rFont val="WenQuanYi Zen Hei"/>
        <family val="2"/>
      </rPr>
      <t xml:space="preserve">）。</t>
    </r>
    <r>
      <rPr>
        <sz val="9"/>
        <color rgb="FF0000FF"/>
        <rFont val="游ゴシック"/>
        <family val="0"/>
        <charset val="1"/>
      </rPr>
      <t xml:space="preserve">R10</t>
    </r>
    <r>
      <rPr>
        <sz val="9"/>
        <color rgb="FF0000FF"/>
        <rFont val="WenQuanYi Zen Hei"/>
        <family val="2"/>
      </rPr>
      <t xml:space="preserve">庁内建て替え検討。現状の経営戦略や決算統計についての不整合を解消するため、会計支援（精査・点検）としてご提案。</t>
    </r>
    <r>
      <rPr>
        <sz val="9"/>
        <color rgb="FF0000FF"/>
        <rFont val="游ゴシック"/>
        <family val="0"/>
        <charset val="1"/>
      </rPr>
      <t xml:space="preserve">8/27</t>
    </r>
    <r>
      <rPr>
        <sz val="9"/>
        <color rgb="FF0000FF"/>
        <rFont val="WenQuanYi Zen Hei"/>
        <family val="2"/>
      </rPr>
      <t xml:space="preserve">理事者協議の内容ヒアリング次第。</t>
    </r>
  </si>
  <si>
    <t xml:space="preserve">予算要求時期に参考見積提出予定。</t>
  </si>
  <si>
    <t xml:space="preserve">予算要求時期に参考見積・仕様書案提出予定。</t>
  </si>
  <si>
    <t xml:space="preserve">新十津川町</t>
  </si>
  <si>
    <t xml:space="preserve">昨年度より関係構築中。当初は今年度アンケートのみ委託し、来年度計画本文を自前策定予定だったが、来年度全部委託に変わった。</t>
  </si>
  <si>
    <t xml:space="preserve">奈井江町</t>
  </si>
  <si>
    <t xml:space="preserve">春ころに、新十津川町の阪本さんより、奈井江町も来年度こども計画を策定するようだという情報をいただき５月頃訪問した。その後今回の訪問で参考見積を提出。現段階では委託か自前かは未定。</t>
  </si>
  <si>
    <t xml:space="preserve">砂川市</t>
  </si>
  <si>
    <t xml:space="preserve">昨年度より関係構築中。来年度計画策定するが、委託の可能性はやや低い。アンケートのみの一部委託も提案中。</t>
  </si>
  <si>
    <t xml:space="preserve">新冠町</t>
  </si>
  <si>
    <r>
      <rPr>
        <sz val="9"/>
        <color rgb="FF0000FF"/>
        <rFont val="WenQuanYi Zen Hei"/>
        <family val="2"/>
      </rPr>
      <t xml:space="preserve">２年前から行政研（</t>
    </r>
    <r>
      <rPr>
        <sz val="9"/>
        <color rgb="FF0000FF"/>
        <rFont val="游ゴシック"/>
        <family val="0"/>
        <charset val="1"/>
      </rPr>
      <t xml:space="preserve">80~90</t>
    </r>
    <r>
      <rPr>
        <sz val="9"/>
        <color rgb="FF0000FF"/>
        <rFont val="WenQuanYi Zen Hei"/>
        <family val="2"/>
      </rPr>
      <t xml:space="preserve">万円）。簡便法で提案。</t>
    </r>
  </si>
  <si>
    <t xml:space="preserve">上富良野町</t>
  </si>
  <si>
    <t xml:space="preserve">現在ぎょうせい。簡便法・発展公会計両方提案中。</t>
  </si>
  <si>
    <t xml:space="preserve">様似町</t>
  </si>
  <si>
    <t xml:space="preserve">３カ年で実施予定。</t>
  </si>
  <si>
    <t xml:space="preserve">昨年度から３カ年計画で進めている。</t>
  </si>
  <si>
    <t xml:space="preserve">上砂川町</t>
  </si>
  <si>
    <t xml:space="preserve">夕張市</t>
  </si>
  <si>
    <t xml:space="preserve">北塩原村</t>
  </si>
  <si>
    <t xml:space="preserve">今年度改定予定であったが、担当者体調不良で長期離脱の為、来年度にスライド</t>
  </si>
  <si>
    <t xml:space="preserve">喜多方市</t>
  </si>
  <si>
    <t xml:space="preserve">前回初回計画であったことから、プレップに委託で作成。ボリュームが大きいことからスリム化を希望</t>
  </si>
  <si>
    <t xml:space="preserve">所有外管理資産について質問がありましたので資料の共有を致しました。</t>
  </si>
  <si>
    <t xml:space="preserve">自前作成の自治体ですが、次回は予算取れれば委託も検討とのことです。見積書提出致します。</t>
  </si>
  <si>
    <t xml:space="preserve">主担当不在のため後日電話聴き取りを行います。</t>
  </si>
  <si>
    <t xml:space="preserve">担当不在のため、別途電話等での聞き取りを行います。</t>
  </si>
  <si>
    <t xml:space="preserve">愛別町</t>
  </si>
  <si>
    <t xml:space="preserve">現状こども計画は策定意向無しの為、子ども子育て担当者はいるが、計画担当は未決定。</t>
  </si>
  <si>
    <r>
      <rPr>
        <sz val="9"/>
        <color rgb="FF0000FF"/>
        <rFont val="WenQuanYi Zen Hei"/>
        <family val="2"/>
      </rPr>
      <t xml:space="preserve">公共施設等総合管理計画、個別施設計画、施設カルテの</t>
    </r>
    <r>
      <rPr>
        <sz val="9"/>
        <color rgb="FF0000FF"/>
        <rFont val="游ゴシック"/>
        <family val="0"/>
        <charset val="1"/>
      </rPr>
      <t xml:space="preserve">3</t>
    </r>
    <r>
      <rPr>
        <sz val="9"/>
        <color rgb="FF0000FF"/>
        <rFont val="WenQuanYi Zen Hei"/>
        <family val="2"/>
      </rPr>
      <t xml:space="preserve">件について、見積依頼を受けました。過去個別施設計画は</t>
    </r>
    <r>
      <rPr>
        <sz val="9"/>
        <color rgb="FF0000FF"/>
        <rFont val="游ゴシック"/>
        <family val="0"/>
        <charset val="1"/>
      </rPr>
      <t xml:space="preserve">BHC</t>
    </r>
    <r>
      <rPr>
        <sz val="9"/>
        <color rgb="FF0000FF"/>
        <rFont val="WenQuanYi Zen Hei"/>
        <family val="2"/>
      </rPr>
      <t xml:space="preserve">、総合管理計画の前回改定は弊社で実施しているとのことです</t>
    </r>
  </si>
  <si>
    <t xml:space="preserve">和寒町</t>
  </si>
  <si>
    <r>
      <rPr>
        <sz val="9"/>
        <color rgb="FF0000FF"/>
        <rFont val="WenQuanYi Zen Hei"/>
        <family val="2"/>
      </rPr>
      <t xml:space="preserve">地域福祉計画・地域福祉実践計画（社協）一体策定。計画期間</t>
    </r>
    <r>
      <rPr>
        <sz val="9"/>
        <color rgb="FF0000FF"/>
        <rFont val="游ゴシック"/>
        <family val="0"/>
        <charset val="1"/>
      </rPr>
      <t xml:space="preserve">R3</t>
    </r>
    <r>
      <rPr>
        <sz val="9"/>
        <color rgb="FF0000FF"/>
        <rFont val="WenQuanYi Zen Hei"/>
        <family val="2"/>
      </rPr>
      <t xml:space="preserve">～</t>
    </r>
    <r>
      <rPr>
        <sz val="9"/>
        <color rgb="FF0000FF"/>
        <rFont val="游ゴシック"/>
        <family val="0"/>
        <charset val="1"/>
      </rPr>
      <t xml:space="preserve">R10</t>
    </r>
    <r>
      <rPr>
        <sz val="9"/>
        <color rgb="FF0000FF"/>
        <rFont val="WenQuanYi Zen Hei"/>
        <family val="2"/>
      </rPr>
      <t xml:space="preserve">にて動き出しの時期を確認したが、課長・係長いずれも今年度から異動とのこと。前回計画の情報を確認していただき、動き出しの時期や委託の有無について再ヒアリング予定。</t>
    </r>
  </si>
  <si>
    <t xml:space="preserve">今年度公会計業務受託中、次年度台帳精緻化と所有外管理資産見積提示予定。</t>
  </si>
  <si>
    <r>
      <rPr>
        <sz val="9"/>
        <color rgb="FF0000FF"/>
        <rFont val="WenQuanYi Zen Hei"/>
        <family val="2"/>
      </rPr>
      <t xml:space="preserve">こども計画については時期子ども子育て支援計画改定時期まで近隣の様子を見るとのこと。大規模な子供施設の更新等もなく、早期の策定は考えていない。なお、子ども子育て支援計画は入札で冨士商事に</t>
    </r>
    <r>
      <rPr>
        <sz val="9"/>
        <color rgb="FF0000FF"/>
        <rFont val="游ゴシック"/>
        <family val="0"/>
        <charset val="1"/>
      </rPr>
      <t xml:space="preserve">300</t>
    </r>
    <r>
      <rPr>
        <sz val="9"/>
        <color rgb="FF0000FF"/>
        <rFont val="WenQuanYi Zen Hei"/>
        <family val="2"/>
      </rPr>
      <t xml:space="preserve">万円程度で委託したとのことです。</t>
    </r>
  </si>
  <si>
    <t xml:space="preserve">上川町</t>
  </si>
  <si>
    <t xml:space="preserve">今年度より移動の為、前回計画情報未把握。こども計画について策定の必要性は感じているが、課内協議等はできていないとのこと。認定こども園兼子育て支援センターとして集約化し昨年度新設。</t>
  </si>
  <si>
    <r>
      <rPr>
        <sz val="9"/>
        <color rgb="FF0000FF"/>
        <rFont val="WenQuanYi Zen Hei"/>
        <family val="2"/>
      </rPr>
      <t xml:space="preserve">文化財活用計画　国指定の文化財について、今年度採択され、第</t>
    </r>
    <r>
      <rPr>
        <sz val="9"/>
        <color rgb="FF0000FF"/>
        <rFont val="游ゴシック"/>
        <family val="0"/>
        <charset val="1"/>
      </rPr>
      <t xml:space="preserve">1</t>
    </r>
    <r>
      <rPr>
        <sz val="9"/>
        <color rgb="FF0000FF"/>
        <rFont val="WenQuanYi Zen Hei"/>
        <family val="2"/>
      </rPr>
      <t xml:space="preserve">期の計画を自前（有識者の協力有）策定中とのこと。改定時に参画できるよう関係性を構築していきます。</t>
    </r>
  </si>
  <si>
    <t xml:space="preserve">鶴田町</t>
  </si>
  <si>
    <t xml:space="preserve">前回　上水道、公共下水道、集落排水を弊社で戦略策定。次期改定結果をもって、料金・使用料改定も検討するとのことでした。</t>
  </si>
  <si>
    <t xml:space="preserve">西目屋村</t>
  </si>
  <si>
    <r>
      <rPr>
        <sz val="9"/>
        <color rgb="FF0000FF"/>
        <rFont val="WenQuanYi Zen Hei"/>
        <family val="2"/>
      </rPr>
      <t xml:space="preserve">文化財活用計画　現在指定文化財は</t>
    </r>
    <r>
      <rPr>
        <sz val="9"/>
        <color rgb="FF0000FF"/>
        <rFont val="游ゴシック"/>
        <family val="0"/>
        <charset val="1"/>
      </rPr>
      <t xml:space="preserve">1</t>
    </r>
    <r>
      <rPr>
        <sz val="9"/>
        <color rgb="FF0000FF"/>
        <rFont val="WenQuanYi Zen Hei"/>
        <family val="2"/>
      </rPr>
      <t xml:space="preserve">件のみのため、計画作成のメリットが少ない。維持補修等についても単費で対応可能のため、状況変化するまでは検討も行わない。</t>
    </r>
  </si>
  <si>
    <t xml:space="preserve">深浦町</t>
  </si>
  <si>
    <t xml:space="preserve">従前から公会計は自力作成中ですが、今回セミナー案内を行っていますので、その状況により、再アプローチを行います。参加がなければ。次年度まで再訪問不要。</t>
  </si>
  <si>
    <t xml:space="preserve">消費税申告について、システムからの掃き出しデータで作成しているため、専門家に一度見てもらいたいとの要望があり、併せて、参考として予算・決算業務の支援でどれくらいの金額となるかみて、予算要求を検討したいとのことでした。</t>
  </si>
  <si>
    <t xml:space="preserve">鯵ヶ沢町</t>
  </si>
  <si>
    <t xml:space="preserve">公会計関与先　台帳精緻化と所有外管理資産整備の見積依頼を受けました。所有外管理資産を次年度の種ターゲットとして、提案していきます。</t>
  </si>
  <si>
    <t xml:space="preserve">大鰐町</t>
  </si>
  <si>
    <r>
      <rPr>
        <sz val="9"/>
        <color rgb="FF0000FF"/>
        <rFont val="WenQuanYi Zen Hei"/>
        <family val="2"/>
      </rPr>
      <t xml:space="preserve">温暖化対策計画（事務事業編）を令和</t>
    </r>
    <r>
      <rPr>
        <sz val="9"/>
        <color rgb="FF0000FF"/>
        <rFont val="游ゴシック"/>
        <family val="0"/>
        <charset val="1"/>
      </rPr>
      <t xml:space="preserve">8</t>
    </r>
    <r>
      <rPr>
        <sz val="9"/>
        <color rgb="FF0000FF"/>
        <rFont val="WenQuanYi Zen Hei"/>
        <family val="2"/>
      </rPr>
      <t xml:space="preserve">年度策定予定。ただし、急に事務が回ってきているため、作成できるか不安があるとのこと。今年度は予算もないため、場合によっては次年度当初での予算計上があるかもしれません。</t>
    </r>
  </si>
  <si>
    <t xml:space="preserve">亘理町</t>
  </si>
  <si>
    <t xml:space="preserve">来年度作成予定。セミナー案内実施</t>
  </si>
  <si>
    <t xml:space="preserve">自前作成。セミナー案内実施</t>
  </si>
  <si>
    <r>
      <rPr>
        <sz val="9"/>
        <color rgb="FF0000FF"/>
        <rFont val="游ゴシック"/>
        <family val="0"/>
        <charset val="1"/>
      </rPr>
      <t xml:space="preserve">12</t>
    </r>
    <r>
      <rPr>
        <sz val="9"/>
        <color rgb="FF0000FF"/>
        <rFont val="WenQuanYi Zen Hei"/>
        <family val="2"/>
      </rPr>
      <t xml:space="preserve">月補正を取り今年度アンケート、</t>
    </r>
    <r>
      <rPr>
        <sz val="9"/>
        <color rgb="FF0000FF"/>
        <rFont val="游ゴシック"/>
        <family val="0"/>
        <charset val="1"/>
      </rPr>
      <t xml:space="preserve">R10 </t>
    </r>
    <r>
      <rPr>
        <sz val="9"/>
        <color rgb="FF0000FF"/>
        <rFont val="WenQuanYi Zen Hei"/>
        <family val="2"/>
      </rPr>
      <t xml:space="preserve">年</t>
    </r>
    <r>
      <rPr>
        <sz val="9"/>
        <color rgb="FF0000FF"/>
        <rFont val="游ゴシック"/>
        <family val="0"/>
        <charset val="1"/>
      </rPr>
      <t xml:space="preserve">3</t>
    </r>
    <r>
      <rPr>
        <sz val="9"/>
        <color rgb="FF0000FF"/>
        <rFont val="WenQuanYi Zen Hei"/>
        <family val="2"/>
      </rPr>
      <t xml:space="preserve">月末策定予定。仕様書案を提供いただき、見積依頼を受領。</t>
    </r>
  </si>
  <si>
    <r>
      <rPr>
        <sz val="9"/>
        <color rgb="FF0000FF"/>
        <rFont val="游ゴシック"/>
        <family val="0"/>
        <charset val="1"/>
      </rPr>
      <t xml:space="preserve">R7 </t>
    </r>
    <r>
      <rPr>
        <sz val="9"/>
        <color rgb="FF0000FF"/>
        <rFont val="WenQuanYi Zen Hei"/>
        <family val="2"/>
      </rPr>
      <t xml:space="preserve">改訂</t>
    </r>
    <r>
      <rPr>
        <sz val="9"/>
        <color rgb="FF0000FF"/>
        <rFont val="游ゴシック"/>
        <family val="0"/>
        <charset val="1"/>
      </rPr>
      <t xml:space="preserve">R11</t>
    </r>
    <r>
      <rPr>
        <sz val="9"/>
        <color rgb="FF0000FF"/>
        <rFont val="WenQuanYi Zen Hei"/>
        <family val="2"/>
      </rPr>
      <t xml:space="preserve">の終期に合わせてこども計画を統合予定。</t>
    </r>
  </si>
  <si>
    <t xml:space="preserve">平川市</t>
  </si>
  <si>
    <t xml:space="preserve">公会計自力作成団体。　公会計作成自体は来期も自力作成予定だが、所有外管理資産について、対象となる資産のイメージができていない。セミナー参加から関係構築し、案感化を図ります。まずはセミナ―申し込み状況を確認し、アプローチしていきます。</t>
  </si>
  <si>
    <t xml:space="preserve">岩沼市</t>
  </si>
  <si>
    <t xml:space="preserve">来年度下水道経営戦略改訂予定。見積書提出依頼があり、仕様書も併せて作成。</t>
  </si>
  <si>
    <r>
      <rPr>
        <sz val="9"/>
        <color rgb="FF0000FF"/>
        <rFont val="游ゴシック"/>
        <family val="0"/>
        <charset val="1"/>
      </rPr>
      <t xml:space="preserve">R9</t>
    </r>
    <r>
      <rPr>
        <sz val="9"/>
        <color rgb="FF0000FF"/>
        <rFont val="WenQuanYi Zen Hei"/>
        <family val="2"/>
      </rPr>
      <t xml:space="preserve">終期につき訪問。まだ具体的には決まってないが委託予定。【前回パスコ作成】</t>
    </r>
  </si>
  <si>
    <t xml:space="preserve">セミナー案内を実施。</t>
  </si>
  <si>
    <r>
      <rPr>
        <sz val="9"/>
        <color rgb="FF0000FF"/>
        <rFont val="游ゴシック"/>
        <family val="0"/>
        <charset val="1"/>
      </rPr>
      <t xml:space="preserve">R8</t>
    </r>
    <r>
      <rPr>
        <sz val="9"/>
        <color rgb="FF0000FF"/>
        <rFont val="WenQuanYi Zen Hei"/>
        <family val="2"/>
      </rPr>
      <t xml:space="preserve">～</t>
    </r>
    <r>
      <rPr>
        <sz val="9"/>
        <color rgb="FF0000FF"/>
        <rFont val="游ゴシック"/>
        <family val="0"/>
        <charset val="1"/>
      </rPr>
      <t xml:space="preserve">R11</t>
    </r>
    <r>
      <rPr>
        <sz val="9"/>
        <color rgb="FF0000FF"/>
        <rFont val="WenQuanYi Zen Hei"/>
        <family val="2"/>
      </rPr>
      <t xml:space="preserve">までの</t>
    </r>
    <r>
      <rPr>
        <sz val="9"/>
        <color rgb="FF0000FF"/>
        <rFont val="游ゴシック"/>
        <family val="0"/>
        <charset val="1"/>
      </rPr>
      <t xml:space="preserve">4</t>
    </r>
    <r>
      <rPr>
        <sz val="9"/>
        <color rgb="FF0000FF"/>
        <rFont val="WenQuanYi Zen Hei"/>
        <family val="2"/>
      </rPr>
      <t xml:space="preserve">年計画。こども計画統合済み。</t>
    </r>
  </si>
  <si>
    <t xml:space="preserve">名取市</t>
  </si>
  <si>
    <t xml:space="preserve">来年度自前作成予定。</t>
  </si>
  <si>
    <r>
      <rPr>
        <sz val="9"/>
        <color rgb="FF0000FF"/>
        <rFont val="游ゴシック"/>
        <family val="0"/>
        <charset val="1"/>
      </rPr>
      <t xml:space="preserve">R7</t>
    </r>
    <r>
      <rPr>
        <sz val="9"/>
        <color rgb="FF0000FF"/>
        <rFont val="WenQuanYi Zen Hei"/>
        <family val="2"/>
      </rPr>
      <t xml:space="preserve">改訂</t>
    </r>
    <r>
      <rPr>
        <sz val="9"/>
        <color rgb="FF0000FF"/>
        <rFont val="游ゴシック"/>
        <family val="0"/>
        <charset val="1"/>
      </rPr>
      <t xml:space="preserve">R11</t>
    </r>
    <r>
      <rPr>
        <sz val="9"/>
        <color rgb="FF0000FF"/>
        <rFont val="WenQuanYi Zen Hei"/>
        <family val="2"/>
      </rPr>
      <t xml:space="preserve">終期、こども計画統合済み</t>
    </r>
  </si>
  <si>
    <t xml:space="preserve">富谷市</t>
  </si>
  <si>
    <t xml:space="preserve">担当者不在の為、セミナー案内のみ。</t>
  </si>
  <si>
    <t xml:space="preserve">大和町</t>
  </si>
  <si>
    <t xml:space="preserve">来年度作成予定。セミナー案内を実施</t>
  </si>
  <si>
    <r>
      <rPr>
        <sz val="9"/>
        <color rgb="FF0000FF"/>
        <rFont val="游ゴシック"/>
        <family val="0"/>
        <charset val="1"/>
      </rPr>
      <t xml:space="preserve">R</t>
    </r>
    <r>
      <rPr>
        <sz val="9"/>
        <color rgb="FF0000FF"/>
        <rFont val="WenQuanYi Zen Hei"/>
        <family val="2"/>
      </rPr>
      <t xml:space="preserve">１１終期。中間見直し検討なし</t>
    </r>
  </si>
  <si>
    <t xml:space="preserve">気仙沼市</t>
  </si>
  <si>
    <t xml:space="preserve">財務書類【あさひ会計随契】の為、同業者に委託予定</t>
  </si>
  <si>
    <r>
      <rPr>
        <sz val="9"/>
        <color rgb="FF0000FF"/>
        <rFont val="WenQuanYi Zen Hei"/>
        <family val="2"/>
      </rPr>
      <t xml:space="preserve">水道</t>
    </r>
    <r>
      <rPr>
        <sz val="9"/>
        <color rgb="FF0000FF"/>
        <rFont val="游ゴシック"/>
        <family val="0"/>
        <charset val="1"/>
      </rPr>
      <t xml:space="preserve">:R</t>
    </r>
    <r>
      <rPr>
        <sz val="9"/>
        <color rgb="FF0000FF"/>
        <rFont val="WenQuanYi Zen Hei"/>
        <family val="2"/>
      </rPr>
      <t xml:space="preserve">８改訂。下水道</t>
    </r>
    <r>
      <rPr>
        <sz val="9"/>
        <color rgb="FF0000FF"/>
        <rFont val="游ゴシック"/>
        <family val="0"/>
        <charset val="1"/>
      </rPr>
      <t xml:space="preserve">R</t>
    </r>
    <r>
      <rPr>
        <sz val="9"/>
        <color rgb="FF0000FF"/>
        <rFont val="WenQuanYi Zen Hei"/>
        <family val="2"/>
      </rPr>
      <t xml:space="preserve">７改訂。</t>
    </r>
  </si>
  <si>
    <t xml:space="preserve">昨年自力作成</t>
  </si>
  <si>
    <r>
      <rPr>
        <sz val="9"/>
        <color rgb="FF0000FF"/>
        <rFont val="游ゴシック"/>
        <family val="0"/>
        <charset val="1"/>
      </rPr>
      <t xml:space="preserve">R11</t>
    </r>
    <r>
      <rPr>
        <sz val="9"/>
        <color rgb="FF0000FF"/>
        <rFont val="WenQuanYi Zen Hei"/>
        <family val="2"/>
      </rPr>
      <t xml:space="preserve">終期。中間見直し未検討。</t>
    </r>
  </si>
  <si>
    <t xml:space="preserve">南三陸町</t>
  </si>
  <si>
    <t xml:space="preserve">来年度作成検討。セミナー案内実施</t>
  </si>
  <si>
    <r>
      <rPr>
        <sz val="9"/>
        <color rgb="FF0000FF"/>
        <rFont val="游ゴシック"/>
        <family val="0"/>
        <charset val="1"/>
      </rPr>
      <t xml:space="preserve">R10 </t>
    </r>
    <r>
      <rPr>
        <sz val="9"/>
        <color rgb="FF0000FF"/>
        <rFont val="WenQuanYi Zen Hei"/>
        <family val="2"/>
      </rPr>
      <t xml:space="preserve">下水道改訂に向け検討中。</t>
    </r>
  </si>
  <si>
    <t xml:space="preserve">総合計画に統合したため、個別に作成は検討していない。</t>
  </si>
  <si>
    <t xml:space="preserve">石巻市</t>
  </si>
  <si>
    <t xml:space="preserve">あさひ会計委託先。セミナー案内実施</t>
  </si>
  <si>
    <r>
      <rPr>
        <sz val="9"/>
        <color rgb="FF0000FF"/>
        <rFont val="WenQuanYi Zen Hei"/>
        <family val="2"/>
      </rPr>
      <t xml:space="preserve">今年度改訂</t>
    </r>
    <r>
      <rPr>
        <sz val="9"/>
        <color rgb="FF0000FF"/>
        <rFont val="游ゴシック"/>
        <family val="0"/>
        <charset val="1"/>
      </rPr>
      <t xml:space="preserve">R10 </t>
    </r>
    <r>
      <rPr>
        <sz val="9"/>
        <color rgb="FF0000FF"/>
        <rFont val="WenQuanYi Zen Hei"/>
        <family val="2"/>
      </rPr>
      <t xml:space="preserve">終期</t>
    </r>
  </si>
  <si>
    <t xml:space="preserve">見積書提出済み、仕様書案を髙橋代理より提出しヒアリングの為訪問。</t>
  </si>
  <si>
    <t xml:space="preserve">2026-04-20</t>
  </si>
  <si>
    <r>
      <rPr>
        <sz val="9"/>
        <color rgb="FF0000FF"/>
        <rFont val="WenQuanYi Zen Hei"/>
        <family val="2"/>
      </rPr>
      <t xml:space="preserve">予算否決につき自前。委託の希望はあるものの財政状況との兼ね合いで第</t>
    </r>
    <r>
      <rPr>
        <sz val="9"/>
        <color rgb="FF0000FF"/>
        <rFont val="游ゴシック"/>
        <family val="0"/>
        <charset val="1"/>
      </rPr>
      <t xml:space="preserve">8</t>
    </r>
    <r>
      <rPr>
        <sz val="9"/>
        <color rgb="FF0000FF"/>
        <rFont val="WenQuanYi Zen Hei"/>
        <family val="2"/>
      </rPr>
      <t xml:space="preserve">期より自前作成に切替。</t>
    </r>
  </si>
  <si>
    <t xml:space="preserve">2026-06-08</t>
  </si>
  <si>
    <t xml:space="preserve">新任。消費税監査未実施</t>
  </si>
  <si>
    <t xml:space="preserve">サーベイ見積が高額のため予算落とされた</t>
  </si>
  <si>
    <t xml:space="preserve">清里町</t>
  </si>
  <si>
    <t xml:space="preserve">セミナーフォローで訪問。実施有無、委託有無等これから検討に入るとのこと。</t>
  </si>
  <si>
    <r>
      <rPr>
        <sz val="9"/>
        <color rgb="FF0000FF"/>
        <rFont val="WenQuanYi Zen Hei"/>
        <family val="2"/>
      </rPr>
      <t xml:space="preserve">直近</t>
    </r>
    <r>
      <rPr>
        <sz val="9"/>
        <color rgb="FF0000FF"/>
        <rFont val="游ゴシック"/>
        <family val="0"/>
        <charset val="1"/>
      </rPr>
      <t xml:space="preserve">3</t>
    </r>
    <r>
      <rPr>
        <sz val="9"/>
        <color rgb="FF0000FF"/>
        <rFont val="WenQuanYi Zen Hei"/>
        <family val="2"/>
      </rPr>
      <t xml:space="preserve">期とも随意契約にて他社へ委託。社名は教えてもらえず</t>
    </r>
  </si>
  <si>
    <t xml:space="preserve">佐呂間町</t>
  </si>
  <si>
    <t xml:space="preserve">負担金</t>
  </si>
  <si>
    <t xml:space="preserve">新任につき後日再訪して説明</t>
  </si>
  <si>
    <t xml:space="preserve">来期こども計画策定予定であるものの、委託するかは不明。</t>
  </si>
  <si>
    <t xml:space="preserve">遠軽町</t>
  </si>
  <si>
    <t xml:space="preserve">会計事務自前。消費税監査なし。システム来年度切替予定</t>
  </si>
  <si>
    <r>
      <rPr>
        <sz val="9"/>
        <color rgb="FF0000FF"/>
        <rFont val="游ゴシック"/>
        <family val="0"/>
        <charset val="1"/>
      </rPr>
      <t xml:space="preserve">MJS</t>
    </r>
    <r>
      <rPr>
        <sz val="9"/>
        <color rgb="FF0000FF"/>
        <rFont val="WenQuanYi Zen Hei"/>
        <family val="2"/>
      </rPr>
      <t xml:space="preserve">に委託</t>
    </r>
  </si>
  <si>
    <t xml:space="preserve">2026-04-27</t>
  </si>
  <si>
    <r>
      <rPr>
        <sz val="9"/>
        <color rgb="FF0000FF"/>
        <rFont val="游ゴシック"/>
        <family val="0"/>
        <charset val="1"/>
      </rPr>
      <t xml:space="preserve">R4</t>
    </r>
    <r>
      <rPr>
        <sz val="9"/>
        <color rgb="FF0000FF"/>
        <rFont val="WenQuanYi Zen Hei"/>
        <family val="2"/>
      </rPr>
      <t xml:space="preserve">に改定しており、今年度の改定は行わない方針。来年度改定有無は未定</t>
    </r>
  </si>
  <si>
    <t xml:space="preserve">公会計随契済。台帳精緻化本体に包含する形で複数年度予算提案。執行残での実施も提案済。</t>
  </si>
  <si>
    <r>
      <rPr>
        <sz val="9"/>
        <color rgb="FF0000FF"/>
        <rFont val="WenQuanYi Zen Hei"/>
        <family val="2"/>
      </rPr>
      <t xml:space="preserve">自前。料金改定について知りたいとのこと。</t>
    </r>
    <r>
      <rPr>
        <sz val="9"/>
        <color rgb="FF0000FF"/>
        <rFont val="游ゴシック"/>
        <family val="0"/>
        <charset val="1"/>
      </rPr>
      <t xml:space="preserve">8/31</t>
    </r>
    <r>
      <rPr>
        <sz val="9"/>
        <color rgb="FF0000FF"/>
        <rFont val="WenQuanYi Zen Hei"/>
        <family val="2"/>
      </rPr>
      <t xml:space="preserve">週若山課長同行予定→現状分析の段階であり、検討は自前の意向。入用があれば声掛けいただける予定</t>
    </r>
  </si>
  <si>
    <t xml:space="preserve">所有外、台帳精緻化と併せて提案。課内協議予定。</t>
  </si>
  <si>
    <t xml:space="preserve">今年度中にこども計画策定予定。こどもの集まるイベントでのヒアリングをもとに作成予定。アンケート提案から補正狙い。</t>
  </si>
  <si>
    <t xml:space="preserve">2026-06-15</t>
  </si>
  <si>
    <t xml:space="preserve">今年度から会計事務所へ委託。様子見のため切替意思なし</t>
  </si>
  <si>
    <t xml:space="preserve">担当者歴長く自前</t>
  </si>
  <si>
    <t xml:space="preserve">大空町</t>
  </si>
  <si>
    <t xml:space="preserve">業務負担は感じているものの自前。</t>
  </si>
  <si>
    <t xml:space="preserve">セミナー複数回参加。所有外実施有無は検討中。委託の見込みは薄</t>
  </si>
  <si>
    <t xml:space="preserve">今回より外部委託開始。今回は指名競争入札だが、次回はプロポも検討</t>
  </si>
  <si>
    <t xml:space="preserve">2026-05-11</t>
  </si>
  <si>
    <t xml:space="preserve">上士幌町</t>
  </si>
  <si>
    <t xml:space="preserve">長く建設コンサルへ委託。関係構築が必要</t>
  </si>
  <si>
    <t xml:space="preserve">ぎょうせいへ一部委託。契約方法不明。</t>
  </si>
  <si>
    <t xml:space="preserve">障がい計画と合わせて入札にてぎょうせい委託。実績要件あったかは不明</t>
  </si>
  <si>
    <t xml:space="preserve">所有外知らず。提案余地あり</t>
  </si>
  <si>
    <t xml:space="preserve">担当者新任。着任時にぎょうせいしか選択肢がなかったためぎょうせいへ委託。</t>
  </si>
  <si>
    <t xml:space="preserve">新得町</t>
  </si>
  <si>
    <t xml:space="preserve">以前より自前作成。委託の意思はゼロではないため、関係構築を図りつつ適宜提案を行う</t>
  </si>
  <si>
    <t xml:space="preserve">不在のため再アプローチ要</t>
  </si>
  <si>
    <t xml:space="preserve">セミナー参加実績あり。過年度提案も実施済</t>
  </si>
  <si>
    <r>
      <rPr>
        <sz val="9"/>
        <color rgb="FF0000FF"/>
        <rFont val="WenQuanYi Zen Hei"/>
        <family val="2"/>
      </rPr>
      <t xml:space="preserve">担当新任。ぎょうせい委託したもののアンケート回収率</t>
    </r>
    <r>
      <rPr>
        <sz val="9"/>
        <color rgb="FF0000FF"/>
        <rFont val="游ゴシック"/>
        <family val="0"/>
        <charset val="1"/>
      </rPr>
      <t xml:space="preserve">10</t>
    </r>
    <r>
      <rPr>
        <sz val="9"/>
        <color rgb="FF0000FF"/>
        <rFont val="WenQuanYi Zen Hei"/>
        <family val="2"/>
      </rPr>
      <t xml:space="preserve">％のため中間見直し提案中</t>
    </r>
  </si>
  <si>
    <r>
      <rPr>
        <sz val="9"/>
        <color rgb="FF0000FF"/>
        <rFont val="WenQuanYi Zen Hei"/>
        <family val="2"/>
      </rPr>
      <t xml:space="preserve">指名競争入札にて第</t>
    </r>
    <r>
      <rPr>
        <sz val="9"/>
        <color rgb="FF0000FF"/>
        <rFont val="游ゴシック"/>
        <family val="0"/>
        <charset val="1"/>
      </rPr>
      <t xml:space="preserve">10</t>
    </r>
    <r>
      <rPr>
        <sz val="9"/>
        <color rgb="FF0000FF"/>
        <rFont val="WenQuanYi Zen Hei"/>
        <family val="2"/>
      </rPr>
      <t xml:space="preserve">期はぎょうせいが獲得。指名はうけたものの実績要件のため辞退</t>
    </r>
  </si>
  <si>
    <t xml:space="preserve">大樹町</t>
  </si>
  <si>
    <t xml:space="preserve">セミナー参加実績あり。次回訪問時に発展公会計とともに提案</t>
  </si>
  <si>
    <r>
      <rPr>
        <sz val="9"/>
        <color rgb="FF0000FF"/>
        <rFont val="WenQuanYi Zen Hei"/>
        <family val="2"/>
      </rPr>
      <t xml:space="preserve">今年度委託をしようとトーマツの上下水</t>
    </r>
    <r>
      <rPr>
        <sz val="9"/>
        <color rgb="FF0000FF"/>
        <rFont val="游ゴシック"/>
        <family val="0"/>
        <charset val="1"/>
      </rPr>
      <t xml:space="preserve">300</t>
    </r>
    <r>
      <rPr>
        <sz val="9"/>
        <color rgb="FF0000FF"/>
        <rFont val="WenQuanYi Zen Hei"/>
        <family val="2"/>
      </rPr>
      <t xml:space="preserve">万で予算を上げたが落とされ自前。料金改定も自前になるだろうとのこと</t>
    </r>
  </si>
  <si>
    <t xml:space="preserve">広尾町</t>
  </si>
  <si>
    <t xml:space="preserve">料金改定予定あり、決算資料もいただいている状況。次回訪問時提案</t>
  </si>
  <si>
    <t xml:space="preserve">2026-06-29</t>
  </si>
  <si>
    <t xml:space="preserve">自前。アンケートが終わった段階であり大幅に業務が遅滞しているが自前で行うとのこと。</t>
  </si>
  <si>
    <t xml:space="preserve">さくら会計から切替予定。所有外も提案済み。入札にて契約予定</t>
  </si>
  <si>
    <r>
      <rPr>
        <sz val="9"/>
        <color rgb="FF0000FF"/>
        <rFont val="WenQuanYi Zen Hei"/>
        <family val="2"/>
      </rPr>
      <t xml:space="preserve">ぎょうせいのシステムを使用し、保守範囲内で会計支援も行っているとのこと。</t>
    </r>
    <r>
      <rPr>
        <sz val="9"/>
        <color rgb="FF0000FF"/>
        <rFont val="游ゴシック"/>
        <family val="0"/>
        <charset val="1"/>
      </rPr>
      <t xml:space="preserve">&lt;br&gt;</t>
    </r>
    <r>
      <rPr>
        <sz val="9"/>
        <color rgb="FF0000FF"/>
        <rFont val="WenQuanYi Zen Hei"/>
        <family val="2"/>
      </rPr>
      <t xml:space="preserve">消費税計算も自前で行い、特に切替の意思もなし。</t>
    </r>
  </si>
  <si>
    <t xml:space="preserve">福祉関連 介護保険事業計画、障がい計画とも例年予算取りは行っていないとのこと。</t>
  </si>
  <si>
    <t xml:space="preserve">豊頃町</t>
  </si>
  <si>
    <t xml:space="preserve">自前。アンケート終わった段階。</t>
  </si>
  <si>
    <t xml:space="preserve">会計事務所へ委託</t>
  </si>
  <si>
    <r>
      <rPr>
        <sz val="9"/>
        <color rgb="FF0000FF"/>
        <rFont val="WenQuanYi Zen Hei"/>
        <family val="2"/>
      </rPr>
      <t xml:space="preserve">中間見直しを</t>
    </r>
    <r>
      <rPr>
        <sz val="9"/>
        <color rgb="FF0000FF"/>
        <rFont val="游ゴシック"/>
        <family val="0"/>
        <charset val="1"/>
      </rPr>
      <t xml:space="preserve">R9</t>
    </r>
    <r>
      <rPr>
        <sz val="9"/>
        <color rgb="FF0000FF"/>
        <rFont val="WenQuanYi Zen Hei"/>
        <family val="2"/>
      </rPr>
      <t xml:space="preserve">に実施するものの、自前予定。アドバイザリー提案実施済み</t>
    </r>
  </si>
  <si>
    <t xml:space="preserve">ぎょうせいへ障がい計画とともに委託</t>
  </si>
  <si>
    <t xml:space="preserve">前回業者の品質に疑義を抱いているため事業計画の中間見直しも含め検討中。</t>
  </si>
  <si>
    <r>
      <rPr>
        <sz val="9"/>
        <color rgb="FF0000FF"/>
        <rFont val="WenQuanYi Zen Hei"/>
        <family val="2"/>
      </rPr>
      <t xml:space="preserve">介護保険事業計画委託の意思はあったものの、</t>
    </r>
    <r>
      <rPr>
        <sz val="9"/>
        <color rgb="FF0000FF"/>
        <rFont val="游ゴシック"/>
        <family val="0"/>
        <charset val="1"/>
      </rPr>
      <t xml:space="preserve">6</t>
    </r>
    <r>
      <rPr>
        <sz val="9"/>
        <color rgb="FF0000FF"/>
        <rFont val="WenQuanYi Zen Hei"/>
        <family val="2"/>
      </rPr>
      <t xml:space="preserve">月補正は確保できず今期は自前作成。</t>
    </r>
  </si>
  <si>
    <r>
      <rPr>
        <sz val="9"/>
        <color rgb="FF0000FF"/>
        <rFont val="游ゴシック"/>
        <family val="0"/>
        <charset val="1"/>
      </rPr>
      <t xml:space="preserve">TKC</t>
    </r>
    <r>
      <rPr>
        <sz val="9"/>
        <color rgb="FF0000FF"/>
        <rFont val="WenQuanYi Zen Hei"/>
        <family val="2"/>
      </rPr>
      <t xml:space="preserve">システムにて自前作成。委託の意思なし</t>
    </r>
  </si>
  <si>
    <t xml:space="preserve">課長レベルでは所有外実施に好意的だが、現場の温度感は低い</t>
  </si>
  <si>
    <t xml:space="preserve">厚岸町</t>
  </si>
  <si>
    <t xml:space="preserve">考慮に値するとしつつも町の特性上予算確保が課題。</t>
  </si>
  <si>
    <t xml:space="preserve">地元の会計事務所に委託。切替の意思はなし</t>
  </si>
  <si>
    <t xml:space="preserve">2026-05-18</t>
  </si>
  <si>
    <t xml:space="preserve">見積合わせにて契約。次回改定時も同様の契約方式で実施予定</t>
  </si>
  <si>
    <t xml:space="preserve">ぎょうせいへ委託済み。指名競争入札で実施し、次回も同様の形式を想定。仕様書内容は不明</t>
  </si>
  <si>
    <t xml:space="preserve">会計事務は自前。料金改定予定。経営戦略策定未実施。経営戦略及び料金改定については、補正に向けて次回見積書提示予定。</t>
  </si>
  <si>
    <t xml:space="preserve">2026-03-16</t>
  </si>
  <si>
    <t xml:space="preserve">ぎょうせいに随契</t>
  </si>
  <si>
    <r>
      <rPr>
        <sz val="9"/>
        <color rgb="FF0000FF"/>
        <rFont val="游ゴシック"/>
        <family val="0"/>
        <charset val="1"/>
      </rPr>
      <t xml:space="preserve">R2</t>
    </r>
    <r>
      <rPr>
        <sz val="9"/>
        <color rgb="FF0000FF"/>
        <rFont val="WenQuanYi Zen Hei"/>
        <family val="2"/>
      </rPr>
      <t xml:space="preserve">で期限切れ、以後改定無し。</t>
    </r>
  </si>
  <si>
    <r>
      <rPr>
        <sz val="9"/>
        <color rgb="FF0000FF"/>
        <rFont val="游ゴシック"/>
        <family val="0"/>
        <charset val="1"/>
      </rPr>
      <t xml:space="preserve">R4</t>
    </r>
    <r>
      <rPr>
        <sz val="9"/>
        <color rgb="FF0000FF"/>
        <rFont val="WenQuanYi Zen Hei"/>
        <family val="2"/>
      </rPr>
      <t xml:space="preserve">期限切れ。今まで自前。</t>
    </r>
  </si>
  <si>
    <r>
      <rPr>
        <sz val="9"/>
        <color rgb="FF0000FF"/>
        <rFont val="游ゴシック"/>
        <family val="0"/>
        <charset val="1"/>
      </rPr>
      <t xml:space="preserve">R6</t>
    </r>
    <r>
      <rPr>
        <sz val="9"/>
        <color rgb="FF0000FF"/>
        <rFont val="WenQuanYi Zen Hei"/>
        <family val="2"/>
      </rPr>
      <t xml:space="preserve">策定済。中間見直し時に委託を検討いただけるようアプローチ継続</t>
    </r>
  </si>
  <si>
    <r>
      <rPr>
        <sz val="9"/>
        <color rgb="FF0000FF"/>
        <rFont val="游ゴシック"/>
        <family val="0"/>
        <charset val="1"/>
      </rPr>
      <t xml:space="preserve">MJS</t>
    </r>
    <r>
      <rPr>
        <sz val="9"/>
        <color rgb="FF0000FF"/>
        <rFont val="WenQuanYi Zen Hei"/>
        <family val="2"/>
      </rPr>
      <t xml:space="preserve">に随契で委託。</t>
    </r>
  </si>
  <si>
    <t xml:space="preserve">今回より二十一世紀総研へ委託。金額面を考慮し見積合わせにしたものの、品質に不満有</t>
  </si>
  <si>
    <t xml:space="preserve">鶴居村</t>
  </si>
  <si>
    <r>
      <rPr>
        <sz val="9"/>
        <color rgb="FF0000FF"/>
        <rFont val="游ゴシック"/>
        <family val="0"/>
        <charset val="1"/>
      </rPr>
      <t xml:space="preserve">R9</t>
    </r>
    <r>
      <rPr>
        <sz val="9"/>
        <color rgb="FF0000FF"/>
        <rFont val="WenQuanYi Zen Hei"/>
        <family val="2"/>
      </rPr>
      <t xml:space="preserve">改定の第</t>
    </r>
    <r>
      <rPr>
        <sz val="9"/>
        <color rgb="FF0000FF"/>
        <rFont val="游ゴシック"/>
        <family val="0"/>
        <charset val="1"/>
      </rPr>
      <t xml:space="preserve">10</t>
    </r>
    <r>
      <rPr>
        <sz val="9"/>
        <color rgb="FF0000FF"/>
        <rFont val="WenQuanYi Zen Hei"/>
        <family val="2"/>
      </rPr>
      <t xml:space="preserve">期介護保険事業計画策定はぎょうせい委託済でしたが、第</t>
    </r>
    <r>
      <rPr>
        <sz val="9"/>
        <color rgb="FF0000FF"/>
        <rFont val="游ゴシック"/>
        <family val="0"/>
        <charset val="1"/>
      </rPr>
      <t xml:space="preserve">11</t>
    </r>
    <r>
      <rPr>
        <sz val="9"/>
        <color rgb="FF0000FF"/>
        <rFont val="WenQuanYi Zen Hei"/>
        <family val="2"/>
      </rPr>
      <t xml:space="preserve">期は考慮しておくとのことでした。切替検討にあたり会社としての業務実績を重要視しているため、適切な宣伝を図りつつ関係構築に努めてまいります。</t>
    </r>
  </si>
  <si>
    <t xml:space="preserve">白糠町</t>
  </si>
  <si>
    <t xml:space="preserve">子ども子育て支援事業計画は策定したものの、子ども計画については次回の指針改定まで行う意向なし。周辺自治体の動向を伺っているため他町が動く必要あり</t>
  </si>
  <si>
    <t xml:space="preserve">根室市</t>
  </si>
  <si>
    <t xml:space="preserve">公会計関与先につき提案中。</t>
  </si>
  <si>
    <t xml:space="preserve">昨年度改定したものの不備があり再策定中。委託の意思はあるが、情報提供の過程で手数が生じ、業務の総量が減らないのであれば委託には消極的になる姿勢</t>
  </si>
  <si>
    <t xml:space="preserve">見積書提出済み。前回はぎょうせい委託の総合計画策定に内包する形で実施したが、今回より独立して委託。随契を見据えたアプローチを継続</t>
  </si>
  <si>
    <t xml:space="preserve">担当者新任。建設コンサルで行ってきており、今期も建設コンサルへ随契予定。長期案件として提案継続</t>
  </si>
  <si>
    <t xml:space="preserve">行政研より所有外について任意実施でよいとの説明を受けており、疑義を感じている様子。今後さらに提案</t>
  </si>
  <si>
    <r>
      <rPr>
        <sz val="9"/>
        <color rgb="FF0000FF"/>
        <rFont val="WenQuanYi Zen Hei"/>
        <family val="2"/>
      </rPr>
      <t xml:space="preserve">担当者熟練につき自前。アセット、</t>
    </r>
    <r>
      <rPr>
        <sz val="9"/>
        <color rgb="FF0000FF"/>
        <rFont val="游ゴシック"/>
        <family val="0"/>
        <charset val="1"/>
      </rPr>
      <t xml:space="preserve">WPPP</t>
    </r>
    <r>
      <rPr>
        <sz val="9"/>
        <color rgb="FF0000FF"/>
        <rFont val="WenQuanYi Zen Hei"/>
        <family val="2"/>
      </rPr>
      <t xml:space="preserve">とも実施予定は現状なし。関係構築</t>
    </r>
  </si>
  <si>
    <t xml:space="preserve">自前策定。こども計画の実施についてはヒアリング未</t>
  </si>
  <si>
    <t xml:space="preserve">所有外セミナー参加。暫定で自前調査の見込み。他部署に資料請求しているものの進捗が芳しくないため今後もアプローチ継続</t>
  </si>
  <si>
    <t xml:space="preserve">地域福祉計画を自前で作成したことで介護保険事業計画、障がい者計画とも予算否決され自前策定。業務負荷はあるものの、補正予算は望めないとのこと。</t>
  </si>
  <si>
    <t xml:space="preserve">こども子育て支援事業計画について前回伺った際に実施意向があったものの、通常業務との兼ね合いから実施可能性が低下。提案自体はいつでも受け付けており、委託による業務量の増加を懸念されていたため糸口がないか訪問継続</t>
  </si>
  <si>
    <t xml:space="preserve">えりも町</t>
  </si>
  <si>
    <t xml:space="preserve">行政研システム使用のもと会計事務自前。法適用時に会計支援委託実績あり。管路等の更新需要が大きいものの財源が厳しく料金改定検討中。消費税監査提案と決算資料の提供をいただけないか打診している段階</t>
  </si>
  <si>
    <t xml:space="preserve">紋別地区消防組合</t>
  </si>
  <si>
    <t xml:space="preserve">例年自前で作成しているが、業務負荷もあり委託の希望あり</t>
  </si>
  <si>
    <t xml:space="preserve">釧路東部消防組合</t>
  </si>
  <si>
    <t xml:space="preserve">前前年度関与先。予算が切られたため自前作成中。アドバイザリー提案済</t>
  </si>
  <si>
    <r>
      <rPr>
        <sz val="9"/>
        <color rgb="FF0000FF"/>
        <rFont val="游ゴシック"/>
        <family val="0"/>
        <charset val="1"/>
      </rPr>
      <t xml:space="preserve">R5</t>
    </r>
    <r>
      <rPr>
        <sz val="9"/>
        <color rgb="FF0000FF"/>
        <rFont val="WenQuanYi Zen Hei"/>
        <family val="2"/>
      </rPr>
      <t xml:space="preserve">年度で期限切れ。各課や給食センターが富良野市と共同のため、調整がかなりの負担になり、改定が進まない。</t>
    </r>
  </si>
  <si>
    <r>
      <rPr>
        <sz val="9"/>
        <color rgb="FF0000FF"/>
        <rFont val="WenQuanYi Zen Hei"/>
        <family val="2"/>
      </rPr>
      <t xml:space="preserve">食育推進計画・健康増進計画を包含して作成。</t>
    </r>
    <r>
      <rPr>
        <sz val="9"/>
        <color rgb="FF0000FF"/>
        <rFont val="游ゴシック"/>
        <family val="0"/>
        <charset val="1"/>
      </rPr>
      <t xml:space="preserve">R9</t>
    </r>
    <r>
      <rPr>
        <sz val="9"/>
        <color rgb="FF0000FF"/>
        <rFont val="WenQuanYi Zen Hei"/>
        <family val="2"/>
      </rPr>
      <t xml:space="preserve">までの計画期間で今年度 アンケート自前で、報告書は入札でぎょうせいに委託。予算が付きづらくなっていたため、一部委託。計画本体は来年度 自前改訂予定。</t>
    </r>
  </si>
  <si>
    <r>
      <rPr>
        <sz val="9"/>
        <color rgb="FF0000FF"/>
        <rFont val="游ゴシック"/>
        <family val="0"/>
        <charset val="1"/>
      </rPr>
      <t xml:space="preserve">R10</t>
    </r>
    <r>
      <rPr>
        <sz val="9"/>
        <color rgb="FF0000FF"/>
        <rFont val="WenQuanYi Zen Hei"/>
        <family val="2"/>
      </rPr>
      <t xml:space="preserve">計画終了だが、今までも自前で、次回も自前改訂予定。</t>
    </r>
  </si>
  <si>
    <t xml:space="preserve">名寄市</t>
  </si>
  <si>
    <r>
      <rPr>
        <sz val="9"/>
        <color rgb="FF0000FF"/>
        <rFont val="WenQuanYi Zen Hei"/>
        <family val="2"/>
      </rPr>
      <t xml:space="preserve">昨年度入札より</t>
    </r>
    <r>
      <rPr>
        <sz val="9"/>
        <color rgb="FF0000FF"/>
        <rFont val="游ゴシック"/>
        <family val="0"/>
        <charset val="1"/>
      </rPr>
      <t xml:space="preserve">EY</t>
    </r>
    <r>
      <rPr>
        <sz val="9"/>
        <color rgb="FF0000FF"/>
        <rFont val="WenQuanYi Zen Hei"/>
        <family val="2"/>
      </rPr>
      <t xml:space="preserve">会計。今年度９月より係長の内藤様が異動とのこと。現担当は所有外について他近隣自治体の様子見だった為、あらためてご挨拶と、所有外等のヒアリングを行う。</t>
    </r>
  </si>
  <si>
    <t xml:space="preserve">当麻町</t>
  </si>
  <si>
    <r>
      <rPr>
        <sz val="9"/>
        <color rgb="FF0000FF"/>
        <rFont val="WenQuanYi Zen Hei"/>
        <family val="2"/>
      </rPr>
      <t xml:space="preserve">水道：</t>
    </r>
    <r>
      <rPr>
        <sz val="9"/>
        <color rgb="FF0000FF"/>
        <rFont val="游ゴシック"/>
        <family val="0"/>
        <charset val="1"/>
      </rPr>
      <t xml:space="preserve">R5</t>
    </r>
    <r>
      <rPr>
        <sz val="9"/>
        <color rgb="FF0000FF"/>
        <rFont val="WenQuanYi Zen Hei"/>
        <family val="2"/>
      </rPr>
      <t xml:space="preserve">～</t>
    </r>
    <r>
      <rPr>
        <sz val="9"/>
        <color rgb="FF0000FF"/>
        <rFont val="游ゴシック"/>
        <family val="0"/>
        <charset val="1"/>
      </rPr>
      <t xml:space="preserve">R14</t>
    </r>
    <r>
      <rPr>
        <sz val="9"/>
        <color rgb="FF0000FF"/>
        <rFont val="WenQuanYi Zen Hei"/>
        <family val="2"/>
      </rPr>
      <t xml:space="preserve">（グローバル設計）、下水道：Ｒ</t>
    </r>
    <r>
      <rPr>
        <sz val="9"/>
        <color rgb="FF0000FF"/>
        <rFont val="游ゴシック"/>
        <family val="0"/>
        <charset val="1"/>
      </rPr>
      <t xml:space="preserve">8</t>
    </r>
    <r>
      <rPr>
        <sz val="9"/>
        <color rgb="FF0000FF"/>
        <rFont val="WenQuanYi Zen Hei"/>
        <family val="2"/>
      </rPr>
      <t xml:space="preserve">～Ｒ</t>
    </r>
    <r>
      <rPr>
        <sz val="9"/>
        <color rgb="FF0000FF"/>
        <rFont val="游ゴシック"/>
        <family val="0"/>
        <charset val="1"/>
      </rPr>
      <t xml:space="preserve">17</t>
    </r>
    <r>
      <rPr>
        <sz val="9"/>
        <color rgb="FF0000FF"/>
        <rFont val="WenQuanYi Zen Hei"/>
        <family val="2"/>
      </rPr>
      <t xml:space="preserve">（日水コン）。課内で</t>
    </r>
    <r>
      <rPr>
        <sz val="9"/>
        <color rgb="FF0000FF"/>
        <rFont val="游ゴシック"/>
        <family val="0"/>
        <charset val="1"/>
      </rPr>
      <t xml:space="preserve">R12</t>
    </r>
    <r>
      <rPr>
        <sz val="9"/>
        <color rgb="FF0000FF"/>
        <rFont val="WenQuanYi Zen Hei"/>
        <family val="2"/>
      </rPr>
      <t xml:space="preserve">に料金改定の話が挙がっており自前想定。具体的にどのように進めていくかは未定。</t>
    </r>
  </si>
  <si>
    <t xml:space="preserve">下川町</t>
  </si>
  <si>
    <t xml:space="preserve">「地域保健福祉計画」を自前策定。見直し予定無し。財政が厳しいとのこと・策定開始時期に一部委託の提案を行う。</t>
  </si>
  <si>
    <r>
      <rPr>
        <sz val="9"/>
        <color rgb="FF0000FF"/>
        <rFont val="WenQuanYi Zen Hei"/>
        <family val="2"/>
      </rPr>
      <t xml:space="preserve">第</t>
    </r>
    <r>
      <rPr>
        <sz val="9"/>
        <color rgb="FF0000FF"/>
        <rFont val="游ゴシック"/>
        <family val="0"/>
        <charset val="1"/>
      </rPr>
      <t xml:space="preserve">1</t>
    </r>
    <r>
      <rPr>
        <sz val="9"/>
        <color rgb="FF0000FF"/>
        <rFont val="WenQuanYi Zen Hei"/>
        <family val="2"/>
      </rPr>
      <t xml:space="preserve">～３期子ども子育て支援事業計画ぎょうせい。前回は２ヶ年で依頼で５００万程度。金額面で介入余地あり。次ヒアリング時にスケジュール感や内容についてお伝えし、見積提出まで繋げる。</t>
    </r>
  </si>
  <si>
    <t xml:space="preserve">弘前市</t>
  </si>
  <si>
    <t xml:space="preserve">アンケート部分の策定・集計・分析等の一部委託を検討したいとのこと。</t>
  </si>
  <si>
    <t xml:space="preserve">藤崎町</t>
  </si>
  <si>
    <t xml:space="preserve">総合管理計画、個別計画の更新時期過ぎているが行っていない。今年度これから台帳精緻化し、次年度計画に反映させたいとのこと。また、カルテについても見積依頼あり。</t>
  </si>
  <si>
    <r>
      <rPr>
        <sz val="9"/>
        <color rgb="FF0000FF"/>
        <rFont val="WenQuanYi Zen Hei"/>
        <family val="2"/>
      </rPr>
      <t xml:space="preserve">農業振興計画　県営事業の圃場整備を行った関係で地番が新たにつきなおす必要がいありその整理に時間を要しているため、計画更新はそのあととなる。地番整備のめどは令和</t>
    </r>
    <r>
      <rPr>
        <sz val="9"/>
        <color rgb="FF0000FF"/>
        <rFont val="游ゴシック"/>
        <family val="0"/>
        <charset val="1"/>
      </rPr>
      <t xml:space="preserve">10</t>
    </r>
    <r>
      <rPr>
        <sz val="9"/>
        <color rgb="FF0000FF"/>
        <rFont val="WenQuanYi Zen Hei"/>
        <family val="2"/>
      </rPr>
      <t xml:space="preserve">年度中とのことでした。</t>
    </r>
  </si>
  <si>
    <r>
      <rPr>
        <sz val="9"/>
        <color rgb="FF0000FF"/>
        <rFont val="WenQuanYi Zen Hei"/>
        <family val="2"/>
      </rPr>
      <t xml:space="preserve">男女共同参画推進計画　現行令和</t>
    </r>
    <r>
      <rPr>
        <sz val="9"/>
        <color rgb="FF0000FF"/>
        <rFont val="游ゴシック"/>
        <family val="0"/>
        <charset val="1"/>
      </rPr>
      <t xml:space="preserve">10</t>
    </r>
    <r>
      <rPr>
        <sz val="9"/>
        <color rgb="FF0000FF"/>
        <rFont val="WenQuanYi Zen Hei"/>
        <family val="2"/>
      </rPr>
      <t xml:space="preserve">年度までの計画で改定作業も令和</t>
    </r>
    <r>
      <rPr>
        <sz val="9"/>
        <color rgb="FF0000FF"/>
        <rFont val="游ゴシック"/>
        <family val="0"/>
        <charset val="1"/>
      </rPr>
      <t xml:space="preserve">10</t>
    </r>
    <r>
      <rPr>
        <sz val="9"/>
        <color rgb="FF0000FF"/>
        <rFont val="WenQuanYi Zen Hei"/>
        <family val="2"/>
      </rPr>
      <t xml:space="preserve">年度となるとのこと。前回はアンケートなどは行っておらず、委託についても検討していないとのこと。状況が変わることもありうるので、次年度再アプローチ。</t>
    </r>
  </si>
  <si>
    <r>
      <rPr>
        <sz val="9"/>
        <color rgb="FF0000FF"/>
        <rFont val="游ゴシック"/>
        <family val="0"/>
        <charset val="1"/>
      </rPr>
      <t xml:space="preserve">R8</t>
    </r>
    <r>
      <rPr>
        <sz val="9"/>
        <color rgb="FF0000FF"/>
        <rFont val="WenQuanYi Zen Hei"/>
        <family val="2"/>
      </rPr>
      <t xml:space="preserve">年度、男女共同・総合戦略内包し、総合計画策定。入札で２１世紀に委託。毎回入札。</t>
    </r>
  </si>
  <si>
    <t xml:space="preserve">月形町</t>
  </si>
  <si>
    <t xml:space="preserve">浦臼町</t>
  </si>
  <si>
    <r>
      <rPr>
        <sz val="9"/>
        <color rgb="FF0000FF"/>
        <rFont val="WenQuanYi Zen Hei"/>
        <family val="2"/>
      </rPr>
      <t xml:space="preserve">総合振興計画は</t>
    </r>
    <r>
      <rPr>
        <sz val="9"/>
        <color rgb="FF0000FF"/>
        <rFont val="游ゴシック"/>
        <family val="0"/>
        <charset val="1"/>
      </rPr>
      <t xml:space="preserve">R7</t>
    </r>
    <r>
      <rPr>
        <sz val="9"/>
        <color rgb="FF0000FF"/>
        <rFont val="WenQuanYi Zen Hei"/>
        <family val="2"/>
      </rPr>
      <t xml:space="preserve">改訂。ぎょうせい随契。</t>
    </r>
  </si>
  <si>
    <t xml:space="preserve">総合計画は、入札でドーコンに委託。</t>
  </si>
  <si>
    <t xml:space="preserve">歌志内市</t>
  </si>
  <si>
    <r>
      <rPr>
        <sz val="9"/>
        <color rgb="FF0000FF"/>
        <rFont val="WenQuanYi Zen Hei"/>
        <family val="2"/>
      </rPr>
      <t xml:space="preserve">総合計画は、</t>
    </r>
    <r>
      <rPr>
        <sz val="9"/>
        <color rgb="FF0000FF"/>
        <rFont val="游ゴシック"/>
        <family val="0"/>
        <charset val="1"/>
      </rPr>
      <t xml:space="preserve">2</t>
    </r>
    <r>
      <rPr>
        <sz val="9"/>
        <color rgb="FF0000FF"/>
        <rFont val="WenQuanYi Zen Hei"/>
        <family val="2"/>
      </rPr>
      <t xml:space="preserve">年で</t>
    </r>
    <r>
      <rPr>
        <sz val="9"/>
        <color rgb="FF0000FF"/>
        <rFont val="游ゴシック"/>
        <family val="0"/>
        <charset val="1"/>
      </rPr>
      <t xml:space="preserve">1</t>
    </r>
    <r>
      <rPr>
        <sz val="9"/>
        <color rgb="FF0000FF"/>
        <rFont val="WenQuanYi Zen Hei"/>
        <family val="2"/>
      </rPr>
      <t xml:space="preserve">年目</t>
    </r>
    <r>
      <rPr>
        <sz val="9"/>
        <color rgb="FF0000FF"/>
        <rFont val="游ゴシック"/>
        <family val="0"/>
        <charset val="1"/>
      </rPr>
      <t xml:space="preserve">150</t>
    </r>
    <r>
      <rPr>
        <sz val="9"/>
        <color rgb="FF0000FF"/>
        <rFont val="WenQuanYi Zen Hei"/>
        <family val="2"/>
      </rPr>
      <t xml:space="preserve">万、</t>
    </r>
    <r>
      <rPr>
        <sz val="9"/>
        <color rgb="FF0000FF"/>
        <rFont val="游ゴシック"/>
        <family val="0"/>
        <charset val="1"/>
      </rPr>
      <t xml:space="preserve">2</t>
    </r>
    <r>
      <rPr>
        <sz val="9"/>
        <color rgb="FF0000FF"/>
        <rFont val="WenQuanYi Zen Hei"/>
        <family val="2"/>
      </rPr>
      <t xml:space="preserve">年目</t>
    </r>
    <r>
      <rPr>
        <sz val="9"/>
        <color rgb="FF0000FF"/>
        <rFont val="游ゴシック"/>
        <family val="0"/>
        <charset val="1"/>
      </rPr>
      <t xml:space="preserve">500</t>
    </r>
    <r>
      <rPr>
        <sz val="9"/>
        <color rgb="FF0000FF"/>
        <rFont val="WenQuanYi Zen Hei"/>
        <family val="2"/>
      </rPr>
      <t xml:space="preserve">万。プロポでまちづくり設計（サーベイとの一騎打ち）。</t>
    </r>
  </si>
  <si>
    <t xml:space="preserve">教育委員会が自前策定。</t>
  </si>
  <si>
    <t xml:space="preserve">東川町</t>
  </si>
  <si>
    <r>
      <rPr>
        <sz val="9"/>
        <color rgb="FF0000FF"/>
        <rFont val="WenQuanYi Zen Hei"/>
        <family val="2"/>
      </rPr>
      <t xml:space="preserve">プロポで日本総研。</t>
    </r>
    <r>
      <rPr>
        <sz val="9"/>
        <color rgb="FF0000FF"/>
        <rFont val="游ゴシック"/>
        <family val="0"/>
        <charset val="1"/>
      </rPr>
      <t xml:space="preserve">R10</t>
    </r>
    <r>
      <rPr>
        <sz val="9"/>
        <color rgb="FF0000FF"/>
        <rFont val="WenQuanYi Zen Hei"/>
        <family val="2"/>
      </rPr>
      <t xml:space="preserve">までの計画。来年度に受けての予算要求は予定なしだが動向注視。</t>
    </r>
  </si>
  <si>
    <r>
      <rPr>
        <sz val="9"/>
        <color rgb="FF0000FF"/>
        <rFont val="游ゴシック"/>
        <family val="0"/>
        <charset val="1"/>
      </rPr>
      <t xml:space="preserve">R5</t>
    </r>
    <r>
      <rPr>
        <sz val="9"/>
        <color rgb="FF0000FF"/>
        <rFont val="WenQuanYi Zen Hei"/>
        <family val="2"/>
      </rPr>
      <t xml:space="preserve">～</t>
    </r>
    <r>
      <rPr>
        <sz val="9"/>
        <color rgb="FF0000FF"/>
        <rFont val="游ゴシック"/>
        <family val="0"/>
        <charset val="1"/>
      </rPr>
      <t xml:space="preserve">14</t>
    </r>
    <r>
      <rPr>
        <sz val="9"/>
        <color rgb="FF0000FF"/>
        <rFont val="WenQuanYi Zen Hei"/>
        <family val="2"/>
      </rPr>
      <t xml:space="preserve">。委託先パッと出ず。委託先と住民の代表等で作った。中間見直しは</t>
    </r>
    <r>
      <rPr>
        <sz val="9"/>
        <color rgb="FF0000FF"/>
        <rFont val="游ゴシック"/>
        <family val="0"/>
        <charset val="1"/>
      </rPr>
      <t xml:space="preserve">R10</t>
    </r>
    <r>
      <rPr>
        <sz val="9"/>
        <color rgb="FF0000FF"/>
        <rFont val="WenQuanYi Zen Hei"/>
        <family val="2"/>
      </rPr>
      <t xml:space="preserve">予定だが、町長選があるためどうなるか…。</t>
    </r>
  </si>
  <si>
    <r>
      <rPr>
        <sz val="9"/>
        <color rgb="FF0000FF"/>
        <rFont val="游ゴシック"/>
        <family val="0"/>
        <charset val="1"/>
      </rPr>
      <t xml:space="preserve">R8</t>
    </r>
    <r>
      <rPr>
        <sz val="9"/>
        <color rgb="FF0000FF"/>
        <rFont val="WenQuanYi Zen Hei"/>
        <family val="2"/>
      </rPr>
      <t xml:space="preserve">改定作業自前で。</t>
    </r>
  </si>
  <si>
    <r>
      <rPr>
        <sz val="9"/>
        <color rgb="FF0000FF"/>
        <rFont val="WenQuanYi Zen Hei"/>
        <family val="2"/>
      </rPr>
      <t xml:space="preserve">現計画は</t>
    </r>
    <r>
      <rPr>
        <sz val="9"/>
        <color rgb="FF0000FF"/>
        <rFont val="游ゴシック"/>
        <family val="0"/>
        <charset val="1"/>
      </rPr>
      <t xml:space="preserve">R10</t>
    </r>
    <r>
      <rPr>
        <sz val="9"/>
        <color rgb="FF0000FF"/>
        <rFont val="WenQuanYi Zen Hei"/>
        <family val="2"/>
      </rPr>
      <t xml:space="preserve">まで。現在ぎょうせい。おそらく入札。来年度予算とるかもしれないため、動向注視。</t>
    </r>
  </si>
  <si>
    <t xml:space="preserve">盛岡地区広域消防組合</t>
  </si>
  <si>
    <t xml:space="preserve">今年度佐藤会計随契。来年度予算見積作成。</t>
  </si>
  <si>
    <t xml:space="preserve">岩手県後期高齢者医療広域連合</t>
  </si>
  <si>
    <t xml:space="preserve">今年度も自前作成。</t>
  </si>
  <si>
    <t xml:space="preserve">岩手県自治会館管理組合</t>
  </si>
  <si>
    <t xml:space="preserve">今年度も自前作成予定。</t>
  </si>
  <si>
    <t xml:space="preserve">盛岡北部行政事務組合</t>
  </si>
  <si>
    <t xml:space="preserve">佐藤会計随契先。見積提案を行ったが課内検討。</t>
  </si>
  <si>
    <t xml:space="preserve">八幡平市</t>
  </si>
  <si>
    <t xml:space="preserve">佐藤会計長期随契先。来年度契約見直しの為参考見積依頼あり</t>
  </si>
  <si>
    <t xml:space="preserve">来年度予算申請に際し、参考見積依頼あり</t>
  </si>
  <si>
    <t xml:space="preserve">セミナー案内実施。</t>
  </si>
  <si>
    <r>
      <rPr>
        <sz val="9"/>
        <color rgb="FF0000FF"/>
        <rFont val="游ゴシック"/>
        <family val="0"/>
        <charset val="1"/>
      </rPr>
      <t xml:space="preserve">R7</t>
    </r>
    <r>
      <rPr>
        <sz val="9"/>
        <color rgb="FF0000FF"/>
        <rFont val="WenQuanYi Zen Hei"/>
        <family val="2"/>
      </rPr>
      <t xml:space="preserve">改訂。次回こども計画統合予定。</t>
    </r>
  </si>
  <si>
    <t xml:space="preserve">今年度策定中。</t>
  </si>
  <si>
    <t xml:space="preserve">陸前高田市</t>
  </si>
  <si>
    <t xml:space="preserve">キックオフ実施。来年度計画策定予定。</t>
  </si>
  <si>
    <t xml:space="preserve">住田町</t>
  </si>
  <si>
    <t xml:space="preserve">キックオフ実施。次回副町長同席にて打合せ予定</t>
  </si>
  <si>
    <t xml:space="preserve">金ヶ崎町</t>
  </si>
  <si>
    <t xml:space="preserve">キックオフ実施。来年度予算申請用見積もり作成。</t>
  </si>
  <si>
    <t xml:space="preserve">参考見積依頼あり。来年度予算確認要</t>
  </si>
  <si>
    <t xml:space="preserve">参考見積依頼あり。</t>
  </si>
  <si>
    <t xml:space="preserve">大郷町</t>
  </si>
  <si>
    <t xml:space="preserve">キックオフ実施。</t>
  </si>
  <si>
    <r>
      <rPr>
        <sz val="9"/>
        <color rgb="FF0000FF"/>
        <rFont val="游ゴシック"/>
        <family val="0"/>
        <charset val="1"/>
      </rPr>
      <t xml:space="preserve">9</t>
    </r>
    <r>
      <rPr>
        <sz val="9"/>
        <color rgb="FF0000FF"/>
        <rFont val="WenQuanYi Zen Hei"/>
        <family val="2"/>
      </rPr>
      <t xml:space="preserve">月随契予定</t>
    </r>
  </si>
  <si>
    <t xml:space="preserve">北斗市</t>
  </si>
  <si>
    <t xml:space="preserve">公共施設の見直しについて議論は出ているが、計画策定については 　まだ議論になっていない。 　今後検討頂く為、参考見積提出約束。</t>
  </si>
  <si>
    <t xml:space="preserve">洞爺湖町</t>
  </si>
  <si>
    <t xml:space="preserve">壮瞥町</t>
  </si>
  <si>
    <t xml:space="preserve">今年度見積提出していたが予算つかず、自前といっていたが 　結果未着手。町長方針で自前の色が強いが部分委託や点検などで 　再度見積もり提出約束。</t>
  </si>
  <si>
    <t xml:space="preserve">川崎常務・髙橋代理同行にて仕様書、見積書提示</t>
  </si>
  <si>
    <r>
      <rPr>
        <sz val="9"/>
        <color rgb="FF0000FF"/>
        <rFont val="游ゴシック"/>
        <family val="0"/>
        <charset val="1"/>
      </rPr>
      <t xml:space="preserve">PPP</t>
    </r>
    <r>
      <rPr>
        <sz val="9"/>
        <color rgb="FF0000FF"/>
        <rFont val="WenQuanYi Zen Hei"/>
        <family val="2"/>
      </rPr>
      <t xml:space="preserve">保守を当社で行っている。所有外管理資産について、まだ理解不足であるが財務書類同様に自前作成予定。</t>
    </r>
    <r>
      <rPr>
        <sz val="9"/>
        <color rgb="FF0000FF"/>
        <rFont val="游ゴシック"/>
        <family val="0"/>
        <charset val="1"/>
      </rPr>
      <t xml:space="preserve">PPP</t>
    </r>
    <r>
      <rPr>
        <sz val="9"/>
        <color rgb="FF0000FF"/>
        <rFont val="WenQuanYi Zen Hei"/>
        <family val="2"/>
      </rPr>
      <t xml:space="preserve">改修後に再度訪問するため、検討状況の確認を行う。</t>
    </r>
  </si>
  <si>
    <r>
      <rPr>
        <sz val="9"/>
        <color rgb="FF0000FF"/>
        <rFont val="游ゴシック"/>
        <family val="0"/>
        <charset val="1"/>
      </rPr>
      <t xml:space="preserve">R10</t>
    </r>
    <r>
      <rPr>
        <sz val="9"/>
        <color rgb="FF0000FF"/>
        <rFont val="WenQuanYi Zen Hei"/>
        <family val="2"/>
      </rPr>
      <t xml:space="preserve">終期のため、来年度再アプローチ実施すること。</t>
    </r>
  </si>
  <si>
    <t xml:space="preserve">予算が取れれば委託したい。委託理由は異動により経験ない担当者になった場合や業務負担増の懸念事項がある。</t>
  </si>
  <si>
    <r>
      <rPr>
        <sz val="9"/>
        <color rgb="FF0000FF"/>
        <rFont val="WenQuanYi Zen Hei"/>
        <family val="2"/>
      </rPr>
      <t xml:space="preserve">担当者</t>
    </r>
    <r>
      <rPr>
        <sz val="9"/>
        <color rgb="FF0000FF"/>
        <rFont val="游ゴシック"/>
        <family val="0"/>
        <charset val="1"/>
      </rPr>
      <t xml:space="preserve">8</t>
    </r>
    <r>
      <rPr>
        <sz val="9"/>
        <color rgb="FF0000FF"/>
        <rFont val="WenQuanYi Zen Hei"/>
        <family val="2"/>
      </rPr>
      <t xml:space="preserve">月より休職しているため、担当者変更。変更間もないため、所有外管理資産について、今後アプローチしていく。</t>
    </r>
  </si>
  <si>
    <r>
      <rPr>
        <sz val="9"/>
        <color rgb="FF0000FF"/>
        <rFont val="游ゴシック"/>
        <family val="0"/>
        <charset val="1"/>
      </rPr>
      <t xml:space="preserve">R8</t>
    </r>
    <r>
      <rPr>
        <sz val="9"/>
        <color rgb="FF0000FF"/>
        <rFont val="WenQuanYi Zen Hei"/>
        <family val="2"/>
      </rPr>
      <t xml:space="preserve">改定したばかりのため、再訪不要。</t>
    </r>
  </si>
  <si>
    <t xml:space="preserve">美郷町</t>
  </si>
  <si>
    <r>
      <rPr>
        <sz val="9"/>
        <color rgb="FF0000FF"/>
        <rFont val="游ゴシック"/>
        <family val="0"/>
        <charset val="1"/>
      </rPr>
      <t xml:space="preserve">PPP</t>
    </r>
    <r>
      <rPr>
        <sz val="9"/>
        <color rgb="FF0000FF"/>
        <rFont val="WenQuanYi Zen Hei"/>
        <family val="2"/>
      </rPr>
      <t xml:space="preserve">利用で他社随契のままである。参考見積を勧めたが、手ごたえなく、随契となりそうな状態。アプローチ方法変えていく。</t>
    </r>
  </si>
  <si>
    <t xml:space="preserve">仙北市</t>
  </si>
  <si>
    <t xml:space="preserve">寒河江市</t>
  </si>
  <si>
    <t xml:space="preserve">ニーズ調査、計画作成業者委託。ぎょうせい</t>
  </si>
  <si>
    <t xml:space="preserve">子ども子育て支援事業計画から子ども計画に移行。</t>
  </si>
  <si>
    <t xml:space="preserve">河北町</t>
  </si>
  <si>
    <t xml:space="preserve">自治体規模が小さいため自前作成。</t>
  </si>
  <si>
    <t xml:space="preserve">戸沢村</t>
  </si>
  <si>
    <t xml:space="preserve">村山市</t>
  </si>
  <si>
    <t xml:space="preserve">ニーズ調査委託。計画作成自前。</t>
  </si>
  <si>
    <t xml:space="preserve">鮭川村</t>
  </si>
  <si>
    <t xml:space="preserve">これまで自前作成でしたが、委託も検討しているとのことで見積書提示。</t>
  </si>
  <si>
    <t xml:space="preserve">所有外、あさひ会計委託。</t>
  </si>
  <si>
    <t xml:space="preserve">中間見直しあるとのこと。</t>
  </si>
  <si>
    <t xml:space="preserve">月形町立病院</t>
  </si>
  <si>
    <r>
      <rPr>
        <sz val="9"/>
        <color rgb="FF0000FF"/>
        <rFont val="游ゴシック"/>
        <family val="0"/>
        <charset val="1"/>
      </rPr>
      <t xml:space="preserve">HKP</t>
    </r>
    <r>
      <rPr>
        <sz val="9"/>
        <color rgb="FF0000FF"/>
        <rFont val="WenQuanYi Zen Hei"/>
        <family val="2"/>
      </rPr>
      <t xml:space="preserve">も接触している。経営強化プラン</t>
    </r>
    <r>
      <rPr>
        <sz val="9"/>
        <color rgb="FF0000FF"/>
        <rFont val="游ゴシック"/>
        <family val="0"/>
        <charset val="1"/>
      </rPr>
      <t xml:space="preserve">+α</t>
    </r>
    <r>
      <rPr>
        <sz val="9"/>
        <color rgb="FF0000FF"/>
        <rFont val="WenQuanYi Zen Hei"/>
        <family val="2"/>
      </rPr>
      <t xml:space="preserve">を期待されているため、後日大窪部長より提案予定。前回弊社関与。</t>
    </r>
  </si>
  <si>
    <t xml:space="preserve">歌志内市立病院</t>
  </si>
  <si>
    <r>
      <rPr>
        <sz val="9"/>
        <color rgb="FF0000FF"/>
        <rFont val="游ゴシック"/>
        <family val="0"/>
        <charset val="1"/>
      </rPr>
      <t xml:space="preserve">HKP</t>
    </r>
    <r>
      <rPr>
        <sz val="9"/>
        <color rgb="FF0000FF"/>
        <rFont val="WenQuanYi Zen Hei"/>
        <family val="2"/>
      </rPr>
      <t xml:space="preserve">も接触している。それほどお金はかけられないが委託を考えている。前回弊社関与。</t>
    </r>
  </si>
  <si>
    <t xml:space="preserve">平取町国民健康保険病院</t>
  </si>
  <si>
    <t xml:space="preserve">前回自前作成のため、フレームはできている。ただ作成の負担は重い。川崎常務による再アプローチ予定。</t>
  </si>
  <si>
    <t xml:space="preserve">現計画の中間見直し時に、入札で道銀に委託。今後予算は取りにくくなるが、一部委託は可能性有。仕様書案を現在作成中とのことで、完成後、参考見積依頼がくる予定。</t>
  </si>
  <si>
    <r>
      <rPr>
        <sz val="9"/>
        <color rgb="FF0000FF"/>
        <rFont val="WenQuanYi Zen Hei"/>
        <family val="2"/>
      </rPr>
      <t xml:space="preserve">今まで別々に作っていたが、</t>
    </r>
    <r>
      <rPr>
        <sz val="9"/>
        <color rgb="FF0000FF"/>
        <rFont val="游ゴシック"/>
        <family val="0"/>
        <charset val="1"/>
      </rPr>
      <t xml:space="preserve">R9</t>
    </r>
    <r>
      <rPr>
        <sz val="9"/>
        <color rgb="FF0000FF"/>
        <rFont val="WenQuanYi Zen Hei"/>
        <family val="2"/>
      </rPr>
      <t xml:space="preserve">からの計画は一体で作成中。昨年度アンケート委託、今年度グラフ化など別業者に委託 したが、計画本体は自前作成。次回以降はアンケート実施 しない可能性も。</t>
    </r>
  </si>
  <si>
    <r>
      <rPr>
        <sz val="9"/>
        <color rgb="FF0000FF"/>
        <rFont val="WenQuanYi Zen Hei"/>
        <family val="2"/>
      </rPr>
      <t xml:space="preserve">国の制度を使い、三菱</t>
    </r>
    <r>
      <rPr>
        <sz val="9"/>
        <color rgb="FF0000FF"/>
        <rFont val="游ゴシック"/>
        <family val="0"/>
        <charset val="1"/>
      </rPr>
      <t xml:space="preserve">UFJ</t>
    </r>
    <r>
      <rPr>
        <sz val="9"/>
        <color rgb="FF0000FF"/>
        <rFont val="WenQuanYi Zen Hei"/>
        <family val="2"/>
      </rPr>
      <t xml:space="preserve">関連会社のアドバイザーが</t>
    </r>
    <r>
      <rPr>
        <sz val="9"/>
        <color rgb="FF0000FF"/>
        <rFont val="游ゴシック"/>
        <family val="0"/>
        <charset val="1"/>
      </rPr>
      <t xml:space="preserve">1</t>
    </r>
    <r>
      <rPr>
        <sz val="9"/>
        <color rgb="FF0000FF"/>
        <rFont val="WenQuanYi Zen Hei"/>
        <family val="2"/>
      </rPr>
      <t xml:space="preserve">回／月程度対応しているとのこと。</t>
    </r>
  </si>
  <si>
    <t xml:space="preserve">紫波町</t>
  </si>
  <si>
    <t xml:space="preserve">ヒアリングを行いました。作成に関しては自前にて行う予定。セミナー案内実施。</t>
  </si>
  <si>
    <t xml:space="preserve">前回自前作成。改訂予定なし。セミナー案内実施。</t>
  </si>
  <si>
    <r>
      <rPr>
        <sz val="9"/>
        <color rgb="FF0000FF"/>
        <rFont val="WenQuanYi Zen Hei"/>
        <family val="2"/>
      </rPr>
      <t xml:space="preserve">前回計画自前策定。理由は委託金額が高い為（ぎょうせい）。次期改定時に再犯防止計画包含予定。前回</t>
    </r>
    <r>
      <rPr>
        <sz val="9"/>
        <color rgb="FF0000FF"/>
        <rFont val="游ゴシック"/>
        <family val="0"/>
        <charset val="1"/>
      </rPr>
      <t xml:space="preserve">1</t>
    </r>
    <r>
      <rPr>
        <sz val="9"/>
        <color rgb="FF0000FF"/>
        <rFont val="WenQuanYi Zen Hei"/>
        <family val="2"/>
      </rPr>
      <t xml:space="preserve">ヵ年で策定しているが、</t>
    </r>
    <r>
      <rPr>
        <sz val="9"/>
        <color rgb="FF0000FF"/>
        <rFont val="游ゴシック"/>
        <family val="0"/>
        <charset val="1"/>
      </rPr>
      <t xml:space="preserve">2</t>
    </r>
    <r>
      <rPr>
        <sz val="9"/>
        <color rgb="FF0000FF"/>
        <rFont val="WenQuanYi Zen Hei"/>
        <family val="2"/>
      </rPr>
      <t xml:space="preserve">ヶ年で動く場合の打診も含めて工程表と見積提示予定。</t>
    </r>
  </si>
  <si>
    <t xml:space="preserve">矢巾町</t>
  </si>
  <si>
    <t xml:space="preserve">佐藤会計アドバイザリーにて自前作成。</t>
  </si>
  <si>
    <t xml:space="preserve">来年度自前作成。セミナー案内実施。</t>
  </si>
  <si>
    <r>
      <rPr>
        <sz val="9"/>
        <color rgb="FF0000FF"/>
        <rFont val="游ゴシック"/>
        <family val="0"/>
        <charset val="1"/>
      </rPr>
      <t xml:space="preserve">R7</t>
    </r>
    <r>
      <rPr>
        <sz val="9"/>
        <color rgb="FF0000FF"/>
        <rFont val="WenQuanYi Zen Hei"/>
        <family val="2"/>
      </rPr>
      <t xml:space="preserve">自前にて改訂</t>
    </r>
  </si>
  <si>
    <r>
      <rPr>
        <sz val="9"/>
        <color rgb="FF0000FF"/>
        <rFont val="游ゴシック"/>
        <family val="0"/>
        <charset val="1"/>
      </rPr>
      <t xml:space="preserve">R</t>
    </r>
    <r>
      <rPr>
        <sz val="9"/>
        <color rgb="FF0000FF"/>
        <rFont val="WenQuanYi Zen Hei"/>
        <family val="2"/>
      </rPr>
      <t xml:space="preserve">７自前にて策定。</t>
    </r>
  </si>
  <si>
    <r>
      <rPr>
        <sz val="9"/>
        <color rgb="FF0000FF"/>
        <rFont val="游ゴシック"/>
        <family val="0"/>
        <charset val="1"/>
      </rPr>
      <t xml:space="preserve">R3</t>
    </r>
    <r>
      <rPr>
        <sz val="9"/>
        <color rgb="FF0000FF"/>
        <rFont val="WenQuanYi Zen Hei"/>
        <family val="2"/>
      </rPr>
      <t xml:space="preserve">策定。部分改訂検討なし</t>
    </r>
  </si>
  <si>
    <r>
      <rPr>
        <sz val="9"/>
        <color rgb="FF0000FF"/>
        <rFont val="游ゴシック"/>
        <family val="0"/>
        <charset val="1"/>
      </rPr>
      <t xml:space="preserve">R8</t>
    </r>
    <r>
      <rPr>
        <sz val="9"/>
        <color rgb="FF0000FF"/>
        <rFont val="WenQuanYi Zen Hei"/>
        <family val="2"/>
      </rPr>
      <t xml:space="preserve">改訂。こども子育て支援事業計画を統合。</t>
    </r>
  </si>
  <si>
    <t xml:space="preserve">盛岡紫波地区環境施設組合</t>
  </si>
  <si>
    <t xml:space="preserve">ぎょうせい随契。ぎょうせいの会計システム使用</t>
  </si>
  <si>
    <t xml:space="preserve">日高町立門別国保病院</t>
  </si>
  <si>
    <t xml:space="preserve">現計画は当社関与。近日再訪予定。</t>
  </si>
  <si>
    <r>
      <rPr>
        <sz val="9"/>
        <color rgb="FF0000FF"/>
        <rFont val="WenQuanYi Zen Hei"/>
        <family val="2"/>
      </rPr>
      <t xml:space="preserve">現計画は</t>
    </r>
    <r>
      <rPr>
        <sz val="9"/>
        <color rgb="FF0000FF"/>
        <rFont val="游ゴシック"/>
        <family val="0"/>
        <charset val="1"/>
      </rPr>
      <t xml:space="preserve">R11</t>
    </r>
    <r>
      <rPr>
        <sz val="9"/>
        <color rgb="FF0000FF"/>
        <rFont val="WenQuanYi Zen Hei"/>
        <family val="2"/>
      </rPr>
      <t xml:space="preserve">年度までのため、</t>
    </r>
    <r>
      <rPr>
        <sz val="9"/>
        <color rgb="FF0000FF"/>
        <rFont val="游ゴシック"/>
        <family val="0"/>
        <charset val="1"/>
      </rPr>
      <t xml:space="preserve">R10</t>
    </r>
    <r>
      <rPr>
        <sz val="9"/>
        <color rgb="FF0000FF"/>
        <rFont val="WenQuanYi Zen Hei"/>
        <family val="2"/>
      </rPr>
      <t xml:space="preserve">から改定作業だと思われるため、関係構築し、今後案件化を図る。</t>
    </r>
  </si>
  <si>
    <t xml:space="preserve">新ひだか町立静内病院</t>
  </si>
  <si>
    <r>
      <rPr>
        <sz val="9"/>
        <color rgb="FF0000FF"/>
        <rFont val="WenQuanYi Zen Hei"/>
        <family val="2"/>
      </rPr>
      <t xml:space="preserve">新ひだか町では静内病院と三石病院があるが、</t>
    </r>
    <r>
      <rPr>
        <sz val="9"/>
        <color rgb="FF0000FF"/>
        <rFont val="游ゴシック"/>
        <family val="0"/>
        <charset val="1"/>
      </rPr>
      <t xml:space="preserve">R9</t>
    </r>
    <r>
      <rPr>
        <sz val="9"/>
        <color rgb="FF0000FF"/>
        <rFont val="WenQuanYi Zen Hei"/>
        <family val="2"/>
      </rPr>
      <t xml:space="preserve">から三石病院は診療所になる。現計画ではそういった内容を盛り込んだ大掛かりなものだったため、委託に出したが、今後は自前予定。ただ補助金等を活用した見直し・改定の提案を実施予定。</t>
    </r>
  </si>
  <si>
    <t xml:space="preserve">枝幸町</t>
  </si>
  <si>
    <t xml:space="preserve">前回計画弊社。次年度改定にて見積提示予定。</t>
  </si>
  <si>
    <r>
      <rPr>
        <sz val="9"/>
        <color rgb="FF0000FF"/>
        <rFont val="WenQuanYi Zen Hei"/>
        <family val="2"/>
      </rPr>
      <t xml:space="preserve">羽幌町外</t>
    </r>
    <r>
      <rPr>
        <sz val="9"/>
        <color rgb="FF0000FF"/>
        <rFont val="游ゴシック"/>
        <family val="0"/>
        <charset val="1"/>
      </rPr>
      <t xml:space="preserve">2</t>
    </r>
    <r>
      <rPr>
        <sz val="9"/>
        <color rgb="FF0000FF"/>
        <rFont val="WenQuanYi Zen Hei"/>
        <family val="2"/>
      </rPr>
      <t xml:space="preserve">町村衛生施設組合</t>
    </r>
  </si>
  <si>
    <r>
      <rPr>
        <sz val="9"/>
        <color rgb="FF0000FF"/>
        <rFont val="WenQuanYi Zen Hei"/>
        <family val="2"/>
      </rPr>
      <t xml:space="preserve">令和</t>
    </r>
    <r>
      <rPr>
        <sz val="9"/>
        <color rgb="FF0000FF"/>
        <rFont val="游ゴシック"/>
        <family val="0"/>
        <charset val="1"/>
      </rPr>
      <t xml:space="preserve">2</t>
    </r>
    <r>
      <rPr>
        <sz val="9"/>
        <color rgb="FF0000FF"/>
        <rFont val="WenQuanYi Zen Hei"/>
        <family val="2"/>
      </rPr>
      <t xml:space="preserve">年弊社にて改定。中間見直しとして見積提示予定。</t>
    </r>
  </si>
  <si>
    <t xml:space="preserve">北留萌消防組合</t>
  </si>
  <si>
    <r>
      <rPr>
        <sz val="9"/>
        <color rgb="FF0000FF"/>
        <rFont val="游ゴシック"/>
        <family val="0"/>
        <charset val="1"/>
      </rPr>
      <t xml:space="preserve">R</t>
    </r>
    <r>
      <rPr>
        <sz val="9"/>
        <color rgb="FF0000FF"/>
        <rFont val="WenQuanYi Zen Hei"/>
        <family val="2"/>
      </rPr>
      <t xml:space="preserve">８改定済み。予算取れれば委託検討。</t>
    </r>
  </si>
  <si>
    <t xml:space="preserve">前回契約プロポ。ぎょうせいとのこと。</t>
  </si>
  <si>
    <t xml:space="preserve">米沢市</t>
  </si>
  <si>
    <t xml:space="preserve">あさひ会計委託。所有外管理資産や固定資産台帳精緻化は自前。</t>
  </si>
  <si>
    <t xml:space="preserve">中間見直し予定。自前ですが予算確保できれば委託検討。</t>
  </si>
  <si>
    <t xml:space="preserve">あさひ会計。見積書提示できるようにアプローチします。</t>
  </si>
  <si>
    <t xml:space="preserve">苫前町</t>
  </si>
  <si>
    <t xml:space="preserve">田村市</t>
  </si>
  <si>
    <t xml:space="preserve">公会計点検先、知識不足からアプローチ</t>
  </si>
  <si>
    <t xml:space="preserve">公会計関与先、昨年度から引き続きアプローチ</t>
  </si>
  <si>
    <t xml:space="preserve">富良野市</t>
  </si>
  <si>
    <t xml:space="preserve">昨年度話に出ていた案件が、来年度復活する見通し。近日参考見積提出予定。</t>
  </si>
  <si>
    <r>
      <rPr>
        <sz val="9"/>
        <color rgb="FF0000FF"/>
        <rFont val="WenQuanYi Zen Hei"/>
        <family val="2"/>
      </rPr>
      <t xml:space="preserve">現計画は</t>
    </r>
    <r>
      <rPr>
        <sz val="9"/>
        <color rgb="FF0000FF"/>
        <rFont val="游ゴシック"/>
        <family val="0"/>
        <charset val="1"/>
      </rPr>
      <t xml:space="preserve">R10</t>
    </r>
    <r>
      <rPr>
        <sz val="9"/>
        <color rgb="FF0000FF"/>
        <rFont val="WenQuanYi Zen Hei"/>
        <family val="2"/>
      </rPr>
      <t xml:space="preserve">年度まで。今までも自前で、次回も自前予定。アンケートのみの一部委託の提案中。</t>
    </r>
  </si>
  <si>
    <r>
      <rPr>
        <sz val="9"/>
        <color rgb="FF0000FF"/>
        <rFont val="游ゴシック"/>
        <family val="0"/>
        <charset val="1"/>
      </rPr>
      <t xml:space="preserve">29</t>
    </r>
    <r>
      <rPr>
        <sz val="9"/>
        <color rgb="FF0000FF"/>
        <rFont val="WenQuanYi Zen Hei"/>
        <family val="2"/>
      </rPr>
      <t xml:space="preserve">日に行われるセミナーに参加していただけるとのことですのでセミナーフォローで詳細ヒアリング致します。</t>
    </r>
  </si>
  <si>
    <t xml:space="preserve">2026-09-14</t>
  </si>
  <si>
    <t xml:space="preserve">久慈市</t>
  </si>
  <si>
    <r>
      <rPr>
        <sz val="9"/>
        <color rgb="FF0000FF"/>
        <rFont val="WenQuanYi Zen Hei"/>
        <family val="2"/>
      </rPr>
      <t xml:space="preserve">弊社落札</t>
    </r>
    <r>
      <rPr>
        <sz val="9"/>
        <color rgb="FF0000FF"/>
        <rFont val="游ゴシック"/>
        <family val="0"/>
        <charset val="1"/>
      </rPr>
      <t xml:space="preserve">430</t>
    </r>
    <r>
      <rPr>
        <sz val="9"/>
        <color rgb="FF0000FF"/>
        <rFont val="WenQuanYi Zen Hei"/>
        <family val="2"/>
      </rPr>
      <t xml:space="preserve">千円、競合</t>
    </r>
    <r>
      <rPr>
        <sz val="9"/>
        <color rgb="FF0000FF"/>
        <rFont val="游ゴシック"/>
        <family val="0"/>
        <charset val="1"/>
      </rPr>
      <t xml:space="preserve">BHC</t>
    </r>
  </si>
  <si>
    <t xml:space="preserve">久慈広域連合</t>
  </si>
  <si>
    <t xml:space="preserve">打合せにより不在。</t>
  </si>
  <si>
    <t xml:space="preserve">須賀川地方広域消防組合</t>
  </si>
  <si>
    <t xml:space="preserve">２ヵ年で提案中</t>
  </si>
  <si>
    <t xml:space="preserve">滝沢市</t>
  </si>
  <si>
    <t xml:space="preserve">佐藤会計から契約見直し予定</t>
  </si>
  <si>
    <t xml:space="preserve">現在は文化財保存活用地域計画の対象自治体ではないが、将来的には認可予定</t>
  </si>
  <si>
    <t xml:space="preserve">釜石市</t>
  </si>
  <si>
    <t xml:space="preserve">提供書類の状況確認を行いました。今週中に決算書送付予定。</t>
  </si>
  <si>
    <t xml:space="preserve">次、改定に向けて参考見積提示。</t>
  </si>
  <si>
    <t xml:space="preserve">遠野市</t>
  </si>
  <si>
    <r>
      <rPr>
        <sz val="9"/>
        <color rgb="FF0000FF"/>
        <rFont val="游ゴシック"/>
        <family val="0"/>
        <charset val="1"/>
      </rPr>
      <t xml:space="preserve">R7</t>
    </r>
    <r>
      <rPr>
        <sz val="9"/>
        <color rgb="FF0000FF"/>
        <rFont val="WenQuanYi Zen Hei"/>
        <family val="2"/>
      </rPr>
      <t xml:space="preserve">委託にて改訂</t>
    </r>
  </si>
  <si>
    <r>
      <rPr>
        <sz val="9"/>
        <color rgb="FF0000FF"/>
        <rFont val="游ゴシック"/>
        <family val="0"/>
        <charset val="1"/>
      </rPr>
      <t xml:space="preserve">R7</t>
    </r>
    <r>
      <rPr>
        <sz val="9"/>
        <color rgb="FF0000FF"/>
        <rFont val="WenQuanYi Zen Hei"/>
        <family val="2"/>
      </rPr>
      <t xml:space="preserve">委託にて改訂。こども計画と統合</t>
    </r>
  </si>
  <si>
    <t xml:space="preserve">岩手中部広域行政組合</t>
  </si>
  <si>
    <t xml:space="preserve">提供資料の進捗確認を行いました。次年度参考見積も作成いたします。</t>
  </si>
  <si>
    <t xml:space="preserve">西和賀町</t>
  </si>
  <si>
    <t xml:space="preserve">全体会計までの作成データ提出。組合決算書届き次第連結組替を行います。</t>
  </si>
</sst>
</file>

<file path=xl/styles.xml><?xml version="1.0" encoding="utf-8"?>
<styleSheet xmlns="http://schemas.openxmlformats.org/spreadsheetml/2006/main">
  <numFmts count="5">
    <numFmt numFmtId="164" formatCode="General"/>
    <numFmt numFmtId="165" formatCode="#,##0;\(#,##0\);\-"/>
    <numFmt numFmtId="166" formatCode="0.0"/>
    <numFmt numFmtId="167" formatCode="0.0\%"/>
    <numFmt numFmtId="168" formatCode="yyyy/mm/dd"/>
  </numFmts>
  <fonts count="20">
    <font>
      <sz val="11"/>
      <color theme="1"/>
      <name val="Calibri"/>
      <family val="2"/>
      <charset val="1"/>
    </font>
    <font>
      <sz val="10"/>
      <name val="Arial"/>
      <family val="0"/>
    </font>
    <font>
      <sz val="10"/>
      <name val="Arial"/>
      <family val="0"/>
    </font>
    <font>
      <sz val="10"/>
      <name val="Arial"/>
      <family val="0"/>
    </font>
    <font>
      <b val="true"/>
      <sz val="14"/>
      <color rgb="FF1F3864"/>
      <name val="WenQuanYi Zen Hei"/>
      <family val="2"/>
    </font>
    <font>
      <sz val="9"/>
      <color rgb="FF595959"/>
      <name val="WenQuanYi Zen Hei"/>
      <family val="2"/>
    </font>
    <font>
      <sz val="9"/>
      <color rgb="FF595959"/>
      <name val="游ゴシック"/>
      <family val="0"/>
      <charset val="1"/>
    </font>
    <font>
      <b val="true"/>
      <sz val="12"/>
      <color rgb="FF1F3864"/>
      <name val="WenQuanYi Zen Hei"/>
      <family val="2"/>
    </font>
    <font>
      <b val="true"/>
      <sz val="10"/>
      <color rgb="FFFFFFFF"/>
      <name val="WenQuanYi Zen Hei"/>
      <family val="2"/>
    </font>
    <font>
      <b val="true"/>
      <sz val="10"/>
      <color rgb="FF000000"/>
      <name val="WenQuanYi Zen Hei"/>
      <family val="2"/>
    </font>
    <font>
      <b val="true"/>
      <sz val="10"/>
      <color rgb="FF000000"/>
      <name val="游ゴシック"/>
      <family val="0"/>
      <charset val="1"/>
    </font>
    <font>
      <sz val="10"/>
      <color rgb="FF0000FF"/>
      <name val="游ゴシック"/>
      <family val="0"/>
      <charset val="1"/>
    </font>
    <font>
      <sz val="10"/>
      <color rgb="FF000000"/>
      <name val="游ゴシック"/>
      <family val="0"/>
      <charset val="1"/>
    </font>
    <font>
      <sz val="10"/>
      <color rgb="FF000000"/>
      <name val="WenQuanYi Zen Hei"/>
      <family val="2"/>
    </font>
    <font>
      <b val="true"/>
      <sz val="10"/>
      <color rgb="FFFFFFFF"/>
      <name val="游ゴシック"/>
      <family val="0"/>
      <charset val="1"/>
    </font>
    <font>
      <b val="true"/>
      <sz val="12"/>
      <color rgb="FF1F3864"/>
      <name val="游ゴシック"/>
      <family val="0"/>
      <charset val="1"/>
    </font>
    <font>
      <sz val="9"/>
      <name val="WenQuanYi Zen Hei"/>
      <family val="2"/>
    </font>
    <font>
      <sz val="9"/>
      <name val="游ゴシック"/>
      <family val="0"/>
      <charset val="1"/>
    </font>
    <font>
      <sz val="9"/>
      <color rgb="FF0000FF"/>
      <name val="WenQuanYi Zen Hei"/>
      <family val="2"/>
    </font>
    <font>
      <sz val="9"/>
      <color rgb="FF0000FF"/>
      <name val="游ゴシック"/>
      <family val="0"/>
      <charset val="1"/>
    </font>
  </fonts>
  <fills count="10">
    <fill>
      <patternFill patternType="none"/>
    </fill>
    <fill>
      <patternFill patternType="gray125"/>
    </fill>
    <fill>
      <patternFill patternType="solid">
        <fgColor rgb="FF2E75B6"/>
        <bgColor rgb="FF0066CC"/>
      </patternFill>
    </fill>
    <fill>
      <patternFill patternType="solid">
        <fgColor rgb="FF1F3864"/>
        <bgColor rgb="FF333333"/>
      </patternFill>
    </fill>
    <fill>
      <patternFill patternType="solid">
        <fgColor rgb="FFDDEBF7"/>
        <bgColor rgb="FFE2EFDA"/>
      </patternFill>
    </fill>
    <fill>
      <patternFill patternType="solid">
        <fgColor rgb="FFF7FAFC"/>
        <bgColor rgb="FFFFFFFF"/>
      </patternFill>
    </fill>
    <fill>
      <patternFill patternType="solid">
        <fgColor rgb="FFFFF2CC"/>
        <bgColor rgb="FFFFF9E6"/>
      </patternFill>
    </fill>
    <fill>
      <patternFill patternType="solid">
        <fgColor rgb="FFFCE4E4"/>
        <bgColor rgb="FFFFF2CC"/>
      </patternFill>
    </fill>
    <fill>
      <patternFill patternType="solid">
        <fgColor rgb="FFE2EFDA"/>
        <bgColor rgb="FFDDEBF7"/>
      </patternFill>
    </fill>
    <fill>
      <patternFill patternType="solid">
        <fgColor rgb="FFFFF9E6"/>
        <bgColor rgb="FFF7FAF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left" vertical="center" textRotation="0" wrapText="false" indent="0" shrinkToFit="false"/>
      <protection locked="true" hidden="false"/>
    </xf>
    <xf numFmtId="165" fontId="10" fillId="4" borderId="1" xfId="0" applyFont="true" applyBorder="true" applyAlignment="true" applyProtection="false">
      <alignment horizontal="right" vertical="center" textRotation="0" wrapText="false" indent="0" shrinkToFit="false"/>
      <protection locked="true" hidden="false"/>
    </xf>
    <xf numFmtId="165" fontId="11" fillId="4" borderId="1" xfId="0" applyFont="true" applyBorder="true" applyAlignment="true" applyProtection="false">
      <alignment horizontal="right" vertical="center" textRotation="0" wrapText="false" indent="0" shrinkToFit="false"/>
      <protection locked="true" hidden="false"/>
    </xf>
    <xf numFmtId="165" fontId="12" fillId="4" borderId="1" xfId="0" applyFont="true" applyBorder="true" applyAlignment="true" applyProtection="false">
      <alignment horizontal="right" vertical="center" textRotation="0" wrapText="false" indent="0" shrinkToFit="false"/>
      <protection locked="true" hidden="false"/>
    </xf>
    <xf numFmtId="164" fontId="13" fillId="5" borderId="1" xfId="0" applyFont="true" applyBorder="true" applyAlignment="true" applyProtection="false">
      <alignment horizontal="left" vertical="center" textRotation="0" wrapText="false" indent="0" shrinkToFit="false"/>
      <protection locked="true" hidden="false"/>
    </xf>
    <xf numFmtId="165" fontId="12" fillId="5" borderId="1" xfId="0" applyFont="true" applyBorder="true" applyAlignment="true" applyProtection="false">
      <alignment horizontal="right" vertical="center" textRotation="0" wrapText="false" indent="0" shrinkToFit="false"/>
      <protection locked="true" hidden="false"/>
    </xf>
    <xf numFmtId="165" fontId="11" fillId="5" borderId="1" xfId="0" applyFont="true" applyBorder="true" applyAlignment="true" applyProtection="false">
      <alignment horizontal="right" vertical="center" textRotation="0" wrapText="false" indent="0" shrinkToFit="false"/>
      <protection locked="true" hidden="false"/>
    </xf>
    <xf numFmtId="164" fontId="13" fillId="0" borderId="1" xfId="0" applyFont="true" applyBorder="true" applyAlignment="true" applyProtection="false">
      <alignment horizontal="left" vertical="center" textRotation="0" wrapText="false" indent="0" shrinkToFit="false"/>
      <protection locked="true" hidden="false"/>
    </xf>
    <xf numFmtId="165" fontId="12" fillId="0" borderId="1" xfId="0" applyFont="true" applyBorder="true" applyAlignment="true" applyProtection="false">
      <alignment horizontal="right" vertical="center" textRotation="0" wrapText="false" indent="0" shrinkToFit="false"/>
      <protection locked="true" hidden="false"/>
    </xf>
    <xf numFmtId="165" fontId="11" fillId="0" borderId="1" xfId="0" applyFont="true" applyBorder="true" applyAlignment="true" applyProtection="false">
      <alignment horizontal="right" vertical="center"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4" fillId="2" borderId="1" xfId="0" applyFont="true" applyBorder="true" applyAlignment="true" applyProtection="false">
      <alignment horizontal="center" vertical="center" textRotation="0" wrapText="true" indent="0" shrinkToFit="false"/>
      <protection locked="true" hidden="false"/>
    </xf>
    <xf numFmtId="166" fontId="12" fillId="0" borderId="1" xfId="0" applyFont="true" applyBorder="true" applyAlignment="true" applyProtection="false">
      <alignment horizontal="right" vertical="center" textRotation="0" wrapText="false" indent="0" shrinkToFit="false"/>
      <protection locked="true" hidden="false"/>
    </xf>
    <xf numFmtId="167" fontId="12" fillId="0" borderId="1" xfId="0" applyFont="true" applyBorder="true" applyAlignment="true" applyProtection="false">
      <alignment horizontal="right" vertical="center" textRotation="0" wrapText="false" indent="0" shrinkToFit="false"/>
      <protection locked="true" hidden="false"/>
    </xf>
    <xf numFmtId="166" fontId="12" fillId="5" borderId="1" xfId="0" applyFont="true" applyBorder="true" applyAlignment="true" applyProtection="false">
      <alignment horizontal="right" vertical="center" textRotation="0" wrapText="false" indent="0" shrinkToFit="false"/>
      <protection locked="true" hidden="false"/>
    </xf>
    <xf numFmtId="167" fontId="12" fillId="5" borderId="1" xfId="0" applyFont="true" applyBorder="true" applyAlignment="true" applyProtection="false">
      <alignment horizontal="right" vertical="center" textRotation="0" wrapText="false" indent="0" shrinkToFit="false"/>
      <protection locked="true" hidden="false"/>
    </xf>
    <xf numFmtId="164" fontId="9" fillId="6" borderId="1" xfId="0" applyFont="true" applyBorder="true" applyAlignment="true" applyProtection="false">
      <alignment horizontal="left" vertical="center" textRotation="0" wrapText="false" indent="0" shrinkToFit="false"/>
      <protection locked="true" hidden="false"/>
    </xf>
    <xf numFmtId="165" fontId="10" fillId="6" borderId="1" xfId="0" applyFont="true" applyBorder="true" applyAlignment="true" applyProtection="false">
      <alignment horizontal="right" vertical="center" textRotation="0" wrapText="false" indent="0" shrinkToFit="false"/>
      <protection locked="true" hidden="false"/>
    </xf>
    <xf numFmtId="164" fontId="12" fillId="6" borderId="1" xfId="0" applyFont="true" applyBorder="true" applyAlignment="true" applyProtection="false">
      <alignment horizontal="right" vertical="center" textRotation="0" wrapText="false" indent="0" shrinkToFit="false"/>
      <protection locked="true" hidden="false"/>
    </xf>
    <xf numFmtId="164" fontId="9" fillId="7" borderId="1" xfId="0" applyFont="true" applyBorder="true" applyAlignment="true" applyProtection="false">
      <alignment horizontal="left" vertical="center" textRotation="0" wrapText="false" indent="0" shrinkToFit="false"/>
      <protection locked="true" hidden="false"/>
    </xf>
    <xf numFmtId="165" fontId="10" fillId="7" borderId="1" xfId="0" applyFont="true" applyBorder="true" applyAlignment="true" applyProtection="false">
      <alignment horizontal="right" vertical="center" textRotation="0" wrapText="false" indent="0" shrinkToFit="false"/>
      <protection locked="true" hidden="false"/>
    </xf>
    <xf numFmtId="167" fontId="12" fillId="7" borderId="1" xfId="0" applyFont="true" applyBorder="true" applyAlignment="true" applyProtection="false">
      <alignment horizontal="right" vertical="center" textRotation="0" wrapText="false" indent="0" shrinkToFit="false"/>
      <protection locked="true" hidden="false"/>
    </xf>
    <xf numFmtId="164" fontId="13" fillId="7" borderId="1" xfId="0" applyFont="true" applyBorder="true" applyAlignment="true" applyProtection="false">
      <alignment horizontal="left"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5" fontId="10" fillId="0" borderId="1" xfId="0" applyFont="true" applyBorder="true" applyAlignment="true" applyProtection="false">
      <alignment horizontal="right" vertical="center" textRotation="0" wrapText="false" indent="0" shrinkToFit="false"/>
      <protection locked="true" hidden="false"/>
    </xf>
    <xf numFmtId="164" fontId="12" fillId="0" borderId="1" xfId="0" applyFont="true" applyBorder="true" applyAlignment="true" applyProtection="false">
      <alignment horizontal="left" vertical="center" textRotation="0" wrapText="false" indent="0" shrinkToFit="false"/>
      <protection locked="true" hidden="false"/>
    </xf>
    <xf numFmtId="164" fontId="9" fillId="5" borderId="1" xfId="0" applyFont="true" applyBorder="true" applyAlignment="true" applyProtection="false">
      <alignment horizontal="left" vertical="center" textRotation="0" wrapText="false" indent="0" shrinkToFit="false"/>
      <protection locked="true" hidden="false"/>
    </xf>
    <xf numFmtId="165" fontId="10" fillId="5" borderId="1" xfId="0" applyFont="true" applyBorder="true" applyAlignment="true" applyProtection="false">
      <alignment horizontal="right" vertical="center" textRotation="0" wrapText="false" indent="0" shrinkToFit="false"/>
      <protection locked="true" hidden="false"/>
    </xf>
    <xf numFmtId="167" fontId="10" fillId="6" borderId="1" xfId="0" applyFont="true" applyBorder="true" applyAlignment="true" applyProtection="false">
      <alignment horizontal="right" vertical="center" textRotation="0" wrapText="false" indent="0" shrinkToFit="false"/>
      <protection locked="true" hidden="false"/>
    </xf>
    <xf numFmtId="164" fontId="12" fillId="6" borderId="1" xfId="0" applyFont="true" applyBorder="true" applyAlignment="true" applyProtection="false">
      <alignment horizontal="left" vertical="center" textRotation="0" wrapText="false" indent="0" shrinkToFit="false"/>
      <protection locked="true" hidden="false"/>
    </xf>
    <xf numFmtId="164" fontId="12" fillId="5" borderId="1" xfId="0" applyFont="true" applyBorder="true" applyAlignment="true" applyProtection="false">
      <alignment horizontal="left" vertical="center" textRotation="0" wrapText="false" indent="0" shrinkToFit="false"/>
      <protection locked="true" hidden="false"/>
    </xf>
    <xf numFmtId="164" fontId="10" fillId="4" borderId="1" xfId="0" applyFont="true" applyBorder="true" applyAlignment="true" applyProtection="false">
      <alignment horizontal="left" vertical="center" textRotation="0" wrapText="false" indent="0" shrinkToFit="false"/>
      <protection locked="true" hidden="false"/>
    </xf>
    <xf numFmtId="166" fontId="12" fillId="4" borderId="1" xfId="0" applyFont="true" applyBorder="true" applyAlignment="true" applyProtection="false">
      <alignment horizontal="right" vertical="center" textRotation="0" wrapText="false" indent="0" shrinkToFit="false"/>
      <protection locked="true" hidden="false"/>
    </xf>
    <xf numFmtId="167" fontId="12" fillId="4" borderId="1" xfId="0" applyFont="true" applyBorder="true" applyAlignment="true" applyProtection="false">
      <alignment horizontal="right" vertical="center" textRotation="0" wrapText="false" indent="0" shrinkToFit="false"/>
      <protection locked="true" hidden="false"/>
    </xf>
    <xf numFmtId="167" fontId="10" fillId="7" borderId="1" xfId="0" applyFont="true" applyBorder="true" applyAlignment="true" applyProtection="false">
      <alignment horizontal="right" vertical="center" textRotation="0" wrapText="false" indent="0" shrinkToFit="false"/>
      <protection locked="true" hidden="false"/>
    </xf>
    <xf numFmtId="164" fontId="16" fillId="0" borderId="1" xfId="0" applyFont="true" applyBorder="true" applyAlignment="true" applyProtection="false">
      <alignment horizontal="center" vertical="center" textRotation="0" wrapText="false" indent="0" shrinkToFit="false"/>
      <protection locked="true" hidden="false"/>
    </xf>
    <xf numFmtId="168" fontId="17" fillId="0" borderId="1" xfId="0" applyFont="true" applyBorder="tru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false">
      <alignment horizontal="left" vertical="center" textRotation="0" wrapText="false" indent="0" shrinkToFit="false"/>
      <protection locked="true" hidden="false"/>
    </xf>
    <xf numFmtId="164" fontId="16" fillId="5" borderId="1" xfId="0" applyFont="true" applyBorder="true" applyAlignment="true" applyProtection="false">
      <alignment horizontal="center" vertical="center" textRotation="0" wrapText="false" indent="0" shrinkToFit="false"/>
      <protection locked="true" hidden="false"/>
    </xf>
    <xf numFmtId="168" fontId="17" fillId="5" borderId="1" xfId="0" applyFont="true" applyBorder="true" applyAlignment="true" applyProtection="false">
      <alignment horizontal="center" vertical="center" textRotation="0" wrapText="false" indent="0" shrinkToFit="false"/>
      <protection locked="true" hidden="false"/>
    </xf>
    <xf numFmtId="164" fontId="16" fillId="5" borderId="1" xfId="0" applyFont="true" applyBorder="true" applyAlignment="true" applyProtection="false">
      <alignment horizontal="left" vertical="center" textRotation="0" wrapText="false" indent="0" shrinkToFit="false"/>
      <protection locked="true" hidden="false"/>
    </xf>
    <xf numFmtId="164" fontId="17" fillId="5" borderId="1" xfId="0" applyFont="true" applyBorder="true" applyAlignment="true" applyProtection="false">
      <alignment horizontal="left" vertical="center" textRotation="0" wrapText="false" indent="0" shrinkToFit="false"/>
      <protection locked="true" hidden="false"/>
    </xf>
    <xf numFmtId="164" fontId="17" fillId="0" borderId="1" xfId="0" applyFont="true" applyBorder="true" applyAlignment="true" applyProtection="false">
      <alignment horizontal="left" vertical="center" textRotation="0" wrapText="false" indent="0" shrinkToFit="false"/>
      <protection locked="true" hidden="false"/>
    </xf>
    <xf numFmtId="164" fontId="17" fillId="5" borderId="1" xfId="0" applyFont="true" applyBorder="true" applyAlignment="true" applyProtection="false">
      <alignment horizontal="center" vertical="center" textRotation="0" wrapText="false" indent="0" shrinkToFit="false"/>
      <protection locked="true" hidden="false"/>
    </xf>
    <xf numFmtId="164" fontId="17" fillId="0" borderId="1"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5" fontId="12" fillId="7" borderId="1" xfId="0" applyFont="true" applyBorder="true" applyAlignment="true" applyProtection="false">
      <alignment horizontal="right" vertical="center" textRotation="0" wrapText="false" indent="0" shrinkToFit="false"/>
      <protection locked="true" hidden="false"/>
    </xf>
    <xf numFmtId="168" fontId="11" fillId="7" borderId="1" xfId="0" applyFont="true" applyBorder="true" applyAlignment="true" applyProtection="false">
      <alignment horizontal="center" vertical="center" textRotation="0" wrapText="false" indent="0" shrinkToFit="false"/>
      <protection locked="true" hidden="false"/>
    </xf>
    <xf numFmtId="164" fontId="9" fillId="8" borderId="1" xfId="0" applyFont="true" applyBorder="true" applyAlignment="true" applyProtection="false">
      <alignment horizontal="left" vertical="center" textRotation="0" wrapText="false" indent="0" shrinkToFit="false"/>
      <protection locked="true" hidden="false"/>
    </xf>
    <xf numFmtId="165" fontId="12" fillId="8" borderId="1" xfId="0" applyFont="true" applyBorder="true" applyAlignment="true" applyProtection="false">
      <alignment horizontal="right" vertical="center" textRotation="0" wrapText="false" indent="0" shrinkToFit="false"/>
      <protection locked="true" hidden="false"/>
    </xf>
    <xf numFmtId="168" fontId="11" fillId="8" borderId="1" xfId="0" applyFont="true" applyBorder="true" applyAlignment="true" applyProtection="false">
      <alignment horizontal="center" vertical="center" textRotation="0" wrapText="false" indent="0" shrinkToFit="false"/>
      <protection locked="true" hidden="false"/>
    </xf>
    <xf numFmtId="168" fontId="11" fillId="0" borderId="1" xfId="0" applyFont="true" applyBorder="true" applyAlignment="true" applyProtection="false">
      <alignment horizontal="center" vertical="center" textRotation="0" wrapText="false" indent="0" shrinkToFit="false"/>
      <protection locked="true" hidden="false"/>
    </xf>
    <xf numFmtId="168" fontId="11" fillId="5"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right" vertical="center" textRotation="0" wrapText="false" indent="0" shrinkToFit="false"/>
      <protection locked="true" hidden="false"/>
    </xf>
    <xf numFmtId="164" fontId="12" fillId="5" borderId="1" xfId="0" applyFont="true" applyBorder="true" applyAlignment="true" applyProtection="false">
      <alignment horizontal="right" vertical="center" textRotation="0" wrapText="false" indent="0" shrinkToFit="false"/>
      <protection locked="true" hidden="false"/>
    </xf>
    <xf numFmtId="164" fontId="13" fillId="4" borderId="1" xfId="0" applyFont="true" applyBorder="true" applyAlignment="true" applyProtection="false">
      <alignment horizontal="left" vertical="center" textRotation="0" wrapText="false" indent="0" shrinkToFit="false"/>
      <protection locked="true" hidden="false"/>
    </xf>
    <xf numFmtId="164" fontId="12" fillId="4" borderId="1" xfId="0" applyFont="true" applyBorder="true" applyAlignment="true" applyProtection="false">
      <alignment horizontal="left" vertical="center" textRotation="0" wrapText="false" indent="0" shrinkToFit="false"/>
      <protection locked="true" hidden="false"/>
    </xf>
    <xf numFmtId="164" fontId="13" fillId="7" borderId="1" xfId="0" applyFont="true" applyBorder="true" applyAlignment="true" applyProtection="false">
      <alignment horizontal="left" vertical="top" textRotation="0" wrapText="true" indent="0" shrinkToFit="false"/>
      <protection locked="true" hidden="false"/>
    </xf>
    <xf numFmtId="164" fontId="12" fillId="7" borderId="1" xfId="0" applyFont="true" applyBorder="true" applyAlignment="true" applyProtection="false">
      <alignment horizontal="right" vertical="center" textRotation="0" wrapText="false" indent="0" shrinkToFit="false"/>
      <protection locked="true" hidden="false"/>
    </xf>
    <xf numFmtId="164" fontId="13" fillId="5" borderId="1" xfId="0" applyFont="true" applyBorder="true" applyAlignment="true" applyProtection="false">
      <alignment horizontal="left" vertical="top" textRotation="0" wrapText="true" indent="0" shrinkToFit="false"/>
      <protection locked="true" hidden="false"/>
    </xf>
    <xf numFmtId="164" fontId="12" fillId="5" borderId="1" xfId="0" applyFont="true" applyBorder="true" applyAlignment="true" applyProtection="false">
      <alignment horizontal="left" vertical="top" textRotation="0" wrapText="true" indent="0"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9" fillId="9" borderId="1" xfId="0" applyFont="true" applyBorder="true" applyAlignment="true" applyProtection="false">
      <alignment horizontal="left" vertical="center" textRotation="0" wrapText="false" indent="0" shrinkToFit="false"/>
      <protection locked="true" hidden="false"/>
    </xf>
    <xf numFmtId="164" fontId="12" fillId="9" borderId="1" xfId="0" applyFont="true" applyBorder="true" applyAlignment="true" applyProtection="false">
      <alignment horizontal="right" vertical="center" textRotation="0" wrapText="false" indent="0" shrinkToFit="false"/>
      <protection locked="true" hidden="false"/>
    </xf>
    <xf numFmtId="164" fontId="13" fillId="9" borderId="1" xfId="0" applyFont="true" applyBorder="true" applyAlignment="true" applyProtection="false">
      <alignment horizontal="left" vertical="top" textRotation="0" wrapText="true" indent="0" shrinkToFit="false"/>
      <protection locked="true" hidden="false"/>
    </xf>
    <xf numFmtId="164" fontId="18" fillId="0" borderId="1" xfId="0" applyFont="true" applyBorder="true" applyAlignment="true" applyProtection="false">
      <alignment horizontal="center" vertical="center" textRotation="0" wrapText="false" indent="0" shrinkToFit="false"/>
      <protection locked="true" hidden="false"/>
    </xf>
    <xf numFmtId="168" fontId="19" fillId="0" borderId="1" xfId="0" applyFont="true" applyBorder="true" applyAlignment="true" applyProtection="false">
      <alignment horizontal="center" vertical="center" textRotation="0" wrapText="false" indent="0" shrinkToFit="false"/>
      <protection locked="true" hidden="false"/>
    </xf>
    <xf numFmtId="164" fontId="19" fillId="0" borderId="1" xfId="0" applyFont="true" applyBorder="true" applyAlignment="true" applyProtection="false">
      <alignment horizontal="center" vertical="center" textRotation="0" wrapText="false" indent="0" shrinkToFit="false"/>
      <protection locked="true" hidden="false"/>
    </xf>
    <xf numFmtId="164" fontId="18" fillId="0" borderId="1" xfId="0" applyFont="true" applyBorder="true" applyAlignment="true" applyProtection="false">
      <alignment horizontal="left" vertical="center" textRotation="0" wrapText="false" indent="0" shrinkToFit="false"/>
      <protection locked="true" hidden="false"/>
    </xf>
    <xf numFmtId="164" fontId="19" fillId="0" borderId="1"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2E75B6"/>
          <bgColor rgb="FF000000"/>
        </patternFill>
      </fill>
    </dxf>
    <dxf>
      <fill>
        <patternFill patternType="solid">
          <fgColor rgb="FFF7FAFC"/>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9E6"/>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7FAFC"/>
      <rgbColor rgb="FFE2EFDA"/>
      <rgbColor rgb="FFFFF2CC"/>
      <rgbColor rgb="FF99CCFF"/>
      <rgbColor rgb="FFFF99CC"/>
      <rgbColor rgb="FFCC99FF"/>
      <rgbColor rgb="FFFCE4E4"/>
      <rgbColor rgb="FF2E75B6"/>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H4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8" min="3" style="0" width="14"/>
  </cols>
  <sheetData>
    <row r="2" customFormat="false" ht="17.3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15" hidden="false" customHeight="false" outlineLevel="0" collapsed="false">
      <c r="B6" s="4" t="s">
        <v>3</v>
      </c>
      <c r="C6" s="5" t="s">
        <v>4</v>
      </c>
      <c r="D6" s="4" t="s">
        <v>5</v>
      </c>
      <c r="E6" s="4" t="s">
        <v>6</v>
      </c>
      <c r="F6" s="4" t="s">
        <v>7</v>
      </c>
      <c r="G6" s="4" t="s">
        <v>8</v>
      </c>
      <c r="H6" s="4" t="s">
        <v>9</v>
      </c>
    </row>
    <row r="7" customFormat="false" ht="15" hidden="false" customHeight="false" outlineLevel="0" collapsed="false">
      <c r="B7" s="6" t="s">
        <v>10</v>
      </c>
      <c r="C7" s="7" t="n">
        <f aca="false">COUNTIFS(データ!$C$2:$C$451,"2026-09-14")</f>
        <v>17</v>
      </c>
      <c r="D7" s="8" t="n">
        <v>12</v>
      </c>
      <c r="E7" s="8" t="n">
        <v>3</v>
      </c>
      <c r="F7" s="9" t="n">
        <f aca="false">COUNTIFS(データ!$C$2:$C$451,"2026-09-14",データ!$H$2:$H$451,"再アプローチ")</f>
        <v>11</v>
      </c>
      <c r="G7" s="9" t="n">
        <f aca="false">COUNTIFS(データ!$C$2:$C$451,"2026-09-14",データ!$H$2:$H$451,"見積提示")</f>
        <v>6</v>
      </c>
      <c r="H7" s="9" t="n">
        <f aca="false">COUNTIFS(データ!$C$2:$C$451,"2026-09-14",データ!$H$2:$H$451,"再訪不要")</f>
        <v>0</v>
      </c>
    </row>
    <row r="8" customFormat="false" ht="15" hidden="false" customHeight="false" outlineLevel="0" collapsed="false">
      <c r="B8" s="10" t="s">
        <v>11</v>
      </c>
      <c r="C8" s="11" t="n">
        <f aca="false">COUNTIFS(データ!$C$2:$C$451,"2026-09-07")</f>
        <v>35</v>
      </c>
      <c r="D8" s="12" t="n">
        <v>26</v>
      </c>
      <c r="E8" s="12" t="n">
        <v>5</v>
      </c>
      <c r="F8" s="11" t="n">
        <f aca="false">COUNTIFS(データ!$C$2:$C$451,"2026-09-07",データ!$H$2:$H$451,"再アプローチ")</f>
        <v>26</v>
      </c>
      <c r="G8" s="11" t="n">
        <f aca="false">COUNTIFS(データ!$C$2:$C$451,"2026-09-07",データ!$H$2:$H$451,"見積提示")</f>
        <v>6</v>
      </c>
      <c r="H8" s="11" t="n">
        <f aca="false">COUNTIFS(データ!$C$2:$C$451,"2026-09-07",データ!$H$2:$H$451,"再訪不要")</f>
        <v>3</v>
      </c>
    </row>
    <row r="9" customFormat="false" ht="15" hidden="false" customHeight="false" outlineLevel="0" collapsed="false">
      <c r="B9" s="13" t="s">
        <v>12</v>
      </c>
      <c r="C9" s="14" t="n">
        <f aca="false">COUNTIFS(データ!$C$2:$C$451,"2026-08-31")</f>
        <v>85</v>
      </c>
      <c r="D9" s="15" t="n">
        <v>58</v>
      </c>
      <c r="E9" s="15" t="n">
        <v>7</v>
      </c>
      <c r="F9" s="14" t="n">
        <f aca="false">COUNTIFS(データ!$C$2:$C$451,"2026-08-31",データ!$H$2:$H$451,"再アプローチ")</f>
        <v>36</v>
      </c>
      <c r="G9" s="14" t="n">
        <f aca="false">COUNTIFS(データ!$C$2:$C$451,"2026-08-31",データ!$H$2:$H$451,"見積提示")</f>
        <v>4</v>
      </c>
      <c r="H9" s="14" t="n">
        <f aca="false">COUNTIFS(データ!$C$2:$C$451,"2026-08-31",データ!$H$2:$H$451,"再訪不要")</f>
        <v>33</v>
      </c>
    </row>
    <row r="10" customFormat="false" ht="15" hidden="false" customHeight="false" outlineLevel="0" collapsed="false">
      <c r="B10" s="16" t="s">
        <v>13</v>
      </c>
    </row>
    <row r="12" customFormat="false" ht="15" hidden="false" customHeight="false" outlineLevel="0" collapsed="false">
      <c r="B12" s="3" t="s">
        <v>14</v>
      </c>
    </row>
    <row r="13" customFormat="false" ht="15" hidden="false" customHeight="false" outlineLevel="0" collapsed="false">
      <c r="B13" s="4" t="s">
        <v>15</v>
      </c>
      <c r="C13" s="5" t="s">
        <v>4</v>
      </c>
      <c r="D13" s="17" t="s">
        <v>16</v>
      </c>
      <c r="E13" s="4" t="s">
        <v>17</v>
      </c>
      <c r="F13" s="4" t="s">
        <v>18</v>
      </c>
    </row>
    <row r="14" customFormat="false" ht="15" hidden="false" customHeight="false" outlineLevel="0" collapsed="false">
      <c r="B14" s="13" t="s">
        <v>19</v>
      </c>
      <c r="C14" s="14" t="n">
        <f aca="false">②個人別案件数!C6</f>
        <v>108</v>
      </c>
      <c r="D14" s="18" t="n">
        <f aca="false">②個人別案件数!F6</f>
        <v>3.6</v>
      </c>
      <c r="E14" s="19" t="n">
        <f aca="false">②個人別案件数!K6</f>
        <v>34.9514563106796</v>
      </c>
      <c r="F14" s="14" t="n">
        <f aca="false">COUNTIFS(データ!$A$2:$A$451,"林",データ!$C$2:$C$451,"2026-09-14")+COUNTIFS(データ!$A$2:$A$451,"林",データ!$C$2:$C$451,"2026-09-07")</f>
        <v>0</v>
      </c>
    </row>
    <row r="15" customFormat="false" ht="15" hidden="false" customHeight="false" outlineLevel="0" collapsed="false">
      <c r="B15" s="10" t="s">
        <v>20</v>
      </c>
      <c r="C15" s="11" t="n">
        <f aca="false">②個人別案件数!C7</f>
        <v>92</v>
      </c>
      <c r="D15" s="20" t="n">
        <f aca="false">②個人別案件数!F7</f>
        <v>7.07692307692308</v>
      </c>
      <c r="E15" s="21" t="n">
        <f aca="false">②個人別案件数!K7</f>
        <v>7.69230769230769</v>
      </c>
      <c r="F15" s="11" t="n">
        <f aca="false">COUNTIFS(データ!$A$2:$A$451,"相澤",データ!$C$2:$C$451,"2026-09-14")+COUNTIFS(データ!$A$2:$A$451,"相澤",データ!$C$2:$C$451,"2026-09-07")</f>
        <v>18</v>
      </c>
    </row>
    <row r="16" customFormat="false" ht="15" hidden="false" customHeight="false" outlineLevel="0" collapsed="false">
      <c r="B16" s="13" t="s">
        <v>21</v>
      </c>
      <c r="C16" s="14" t="n">
        <f aca="false">②個人別案件数!C8</f>
        <v>72</v>
      </c>
      <c r="D16" s="18" t="n">
        <f aca="false">②個人別案件数!F8</f>
        <v>4.5</v>
      </c>
      <c r="E16" s="19" t="n">
        <f aca="false">②個人別案件数!K8</f>
        <v>52.5423728813559</v>
      </c>
      <c r="F16" s="14" t="n">
        <f aca="false">COUNTIFS(データ!$A$2:$A$451,"村田",データ!$C$2:$C$451,"2026-09-14")+COUNTIFS(データ!$A$2:$A$451,"村田",データ!$C$2:$C$451,"2026-09-07")</f>
        <v>10</v>
      </c>
    </row>
    <row r="17" customFormat="false" ht="15" hidden="false" customHeight="false" outlineLevel="0" collapsed="false">
      <c r="B17" s="10" t="s">
        <v>22</v>
      </c>
      <c r="C17" s="11" t="n">
        <f aca="false">②個人別案件数!C9</f>
        <v>37</v>
      </c>
      <c r="D17" s="20" t="n">
        <f aca="false">②個人別案件数!F9</f>
        <v>6.16666666666667</v>
      </c>
      <c r="E17" s="21" t="n">
        <f aca="false">②個人別案件数!K9</f>
        <v>11.4285714285714</v>
      </c>
      <c r="F17" s="11" t="n">
        <f aca="false">COUNTIFS(データ!$A$2:$A$451,"角張",データ!$C$2:$C$451,"2026-09-14")+COUNTIFS(データ!$A$2:$A$451,"角張",データ!$C$2:$C$451,"2026-09-07")</f>
        <v>9</v>
      </c>
    </row>
    <row r="18" customFormat="false" ht="15" hidden="false" customHeight="false" outlineLevel="0" collapsed="false">
      <c r="B18" s="13" t="s">
        <v>23</v>
      </c>
      <c r="C18" s="14" t="n">
        <f aca="false">②個人別案件数!C10</f>
        <v>30</v>
      </c>
      <c r="D18" s="18" t="n">
        <f aca="false">②個人別案件数!F10</f>
        <v>5</v>
      </c>
      <c r="E18" s="19" t="n">
        <f aca="false">②個人別案件数!K10</f>
        <v>20</v>
      </c>
      <c r="F18" s="14" t="n">
        <f aca="false">COUNTIFS(データ!$A$2:$A$451,"長戸",データ!$C$2:$C$451,"2026-09-14")+COUNTIFS(データ!$A$2:$A$451,"長戸",データ!$C$2:$C$451,"2026-09-07")</f>
        <v>0</v>
      </c>
    </row>
    <row r="19" customFormat="false" ht="15" hidden="false" customHeight="false" outlineLevel="0" collapsed="false">
      <c r="B19" s="10" t="s">
        <v>24</v>
      </c>
      <c r="C19" s="11" t="n">
        <f aca="false">②個人別案件数!C11</f>
        <v>26</v>
      </c>
      <c r="D19" s="20" t="n">
        <f aca="false">②個人別案件数!F11</f>
        <v>4.33333333333333</v>
      </c>
      <c r="E19" s="21" t="n">
        <f aca="false">②個人別案件数!K11</f>
        <v>40</v>
      </c>
      <c r="F19" s="11" t="n">
        <f aca="false">COUNTIFS(データ!$A$2:$A$451,"松田",データ!$C$2:$C$451,"2026-09-14")+COUNTIFS(データ!$A$2:$A$451,"松田",データ!$C$2:$C$451,"2026-09-07")</f>
        <v>0</v>
      </c>
    </row>
    <row r="20" customFormat="false" ht="15" hidden="false" customHeight="false" outlineLevel="0" collapsed="false">
      <c r="B20" s="13" t="s">
        <v>25</v>
      </c>
      <c r="C20" s="14" t="n">
        <f aca="false">②個人別案件数!C12</f>
        <v>23</v>
      </c>
      <c r="D20" s="18" t="n">
        <f aca="false">②個人別案件数!F12</f>
        <v>2.09090909090909</v>
      </c>
      <c r="E20" s="19" t="n">
        <f aca="false">②個人別案件数!K12</f>
        <v>0</v>
      </c>
      <c r="F20" s="14" t="n">
        <f aca="false">COUNTIFS(データ!$A$2:$A$451,"高橋",データ!$C$2:$C$451,"2026-09-14")+COUNTIFS(データ!$A$2:$A$451,"高橋",データ!$C$2:$C$451,"2026-09-07")</f>
        <v>10</v>
      </c>
    </row>
    <row r="21" customFormat="false" ht="15" hidden="false" customHeight="false" outlineLevel="0" collapsed="false">
      <c r="B21" s="10" t="s">
        <v>26</v>
      </c>
      <c r="C21" s="11" t="n">
        <f aca="false">②個人別案件数!C13</f>
        <v>23</v>
      </c>
      <c r="D21" s="20" t="n">
        <f aca="false">②個人別案件数!F13</f>
        <v>3.83333333333333</v>
      </c>
      <c r="E21" s="21" t="n">
        <f aca="false">②個人別案件数!K13</f>
        <v>36.3636363636364</v>
      </c>
      <c r="F21" s="11" t="n">
        <f aca="false">COUNTIFS(データ!$A$2:$A$451,"岡本",データ!$C$2:$C$451,"2026-09-14")+COUNTIFS(データ!$A$2:$A$451,"岡本",データ!$C$2:$C$451,"2026-09-07")</f>
        <v>0</v>
      </c>
    </row>
    <row r="22" customFormat="false" ht="15" hidden="false" customHeight="false" outlineLevel="0" collapsed="false">
      <c r="B22" s="13" t="s">
        <v>27</v>
      </c>
      <c r="C22" s="14" t="n">
        <f aca="false">②個人別案件数!C14</f>
        <v>19</v>
      </c>
      <c r="D22" s="18" t="n">
        <f aca="false">②個人別案件数!F14</f>
        <v>2.375</v>
      </c>
      <c r="E22" s="19" t="n">
        <f aca="false">②個人別案件数!K14</f>
        <v>0</v>
      </c>
      <c r="F22" s="14" t="n">
        <f aca="false">COUNTIFS(データ!$A$2:$A$451,"吉野",データ!$C$2:$C$451,"2026-09-14")+COUNTIFS(データ!$A$2:$A$451,"吉野",データ!$C$2:$C$451,"2026-09-07")</f>
        <v>5</v>
      </c>
    </row>
    <row r="23" customFormat="false" ht="15" hidden="false" customHeight="false" outlineLevel="0" collapsed="false">
      <c r="B23" s="10" t="s">
        <v>28</v>
      </c>
      <c r="C23" s="11" t="n">
        <f aca="false">②個人別案件数!C15</f>
        <v>17</v>
      </c>
      <c r="D23" s="20" t="n">
        <f aca="false">②個人別案件数!F15</f>
        <v>17</v>
      </c>
      <c r="E23" s="21" t="n">
        <f aca="false">②個人別案件数!K15</f>
        <v>0</v>
      </c>
      <c r="F23" s="11" t="n">
        <f aca="false">COUNTIFS(データ!$A$2:$A$451,"若山",データ!$C$2:$C$451,"2026-09-14")+COUNTIFS(データ!$A$2:$A$451,"若山",データ!$C$2:$C$451,"2026-09-07")</f>
        <v>0</v>
      </c>
    </row>
    <row r="24" customFormat="false" ht="15" hidden="false" customHeight="false" outlineLevel="0" collapsed="false">
      <c r="B24" s="22" t="s">
        <v>29</v>
      </c>
      <c r="C24" s="23" t="n">
        <f aca="false">SUM(C14:C23)</f>
        <v>447</v>
      </c>
      <c r="D24" s="24"/>
      <c r="E24" s="24"/>
      <c r="F24" s="23" t="n">
        <f aca="false">SUM(F14:F23)</f>
        <v>52</v>
      </c>
    </row>
    <row r="25" customFormat="false" ht="15" hidden="false" customHeight="false" outlineLevel="0" collapsed="false">
      <c r="B25" s="2" t="s">
        <v>30</v>
      </c>
    </row>
    <row r="27" customFormat="false" ht="15" hidden="false" customHeight="false" outlineLevel="0" collapsed="false">
      <c r="B27" s="3" t="s">
        <v>31</v>
      </c>
    </row>
    <row r="28" customFormat="false" ht="15" hidden="false" customHeight="false" outlineLevel="0" collapsed="false">
      <c r="B28" s="4" t="s">
        <v>32</v>
      </c>
      <c r="C28" s="5" t="s">
        <v>33</v>
      </c>
      <c r="D28" s="4" t="s">
        <v>34</v>
      </c>
      <c r="E28" s="4" t="s">
        <v>35</v>
      </c>
    </row>
    <row r="29" customFormat="false" ht="15" hidden="false" customHeight="false" outlineLevel="0" collapsed="false">
      <c r="B29" s="25" t="s">
        <v>36</v>
      </c>
      <c r="C29" s="26" t="n">
        <f aca="false">③再訪不要_要因分析!C18+③再訪不要_要因分析!C19+③再訪不要_要因分析!C25</f>
        <v>37</v>
      </c>
      <c r="D29" s="27" t="n">
        <f aca="false">IFERROR(C29/$C$37*100,0)</f>
        <v>36.2745098039216</v>
      </c>
      <c r="E29" s="28" t="s">
        <v>37</v>
      </c>
    </row>
    <row r="30" customFormat="false" ht="15" hidden="false" customHeight="false" outlineLevel="0" collapsed="false">
      <c r="B30" s="25" t="s">
        <v>38</v>
      </c>
      <c r="C30" s="26" t="n">
        <f aca="false">③再訪不要_要因分析!C17</f>
        <v>37</v>
      </c>
      <c r="D30" s="27" t="n">
        <f aca="false">IFERROR(C30/$C$37*100,0)</f>
        <v>36.2745098039216</v>
      </c>
      <c r="E30" s="28" t="s">
        <v>39</v>
      </c>
    </row>
    <row r="31" customFormat="false" ht="15" hidden="false" customHeight="false" outlineLevel="0" collapsed="false">
      <c r="B31" s="29" t="s">
        <v>40</v>
      </c>
      <c r="C31" s="30" t="n">
        <f aca="false">③再訪不要_要因分析!C20</f>
        <v>10</v>
      </c>
      <c r="D31" s="19" t="n">
        <f aca="false">IFERROR(C31/$C$37*100,0)</f>
        <v>9.80392156862745</v>
      </c>
      <c r="E31" s="31" t="s">
        <v>41</v>
      </c>
    </row>
    <row r="32" customFormat="false" ht="15" hidden="false" customHeight="false" outlineLevel="0" collapsed="false">
      <c r="B32" s="32" t="s">
        <v>42</v>
      </c>
      <c r="C32" s="33" t="n">
        <f aca="false">③再訪不要_要因分析!C21</f>
        <v>8</v>
      </c>
      <c r="D32" s="21" t="n">
        <f aca="false">IFERROR(C32/$C$37*100,0)</f>
        <v>7.84313725490196</v>
      </c>
      <c r="E32" s="10" t="s">
        <v>43</v>
      </c>
    </row>
    <row r="33" customFormat="false" ht="15" hidden="false" customHeight="false" outlineLevel="0" collapsed="false">
      <c r="B33" s="29" t="s">
        <v>44</v>
      </c>
      <c r="C33" s="30" t="n">
        <f aca="false">③再訪不要_要因分析!C22</f>
        <v>5</v>
      </c>
      <c r="D33" s="19" t="n">
        <f aca="false">IFERROR(C33/$C$37*100,0)</f>
        <v>4.90196078431373</v>
      </c>
      <c r="E33" s="13" t="s">
        <v>45</v>
      </c>
    </row>
    <row r="34" customFormat="false" ht="15" hidden="false" customHeight="false" outlineLevel="0" collapsed="false">
      <c r="B34" s="32" t="s">
        <v>46</v>
      </c>
      <c r="C34" s="33" t="n">
        <f aca="false">③再訪不要_要因分析!C23</f>
        <v>3</v>
      </c>
      <c r="D34" s="21" t="n">
        <f aca="false">IFERROR(C34/$C$37*100,0)</f>
        <v>2.94117647058824</v>
      </c>
      <c r="E34" s="10" t="s">
        <v>47</v>
      </c>
    </row>
    <row r="35" customFormat="false" ht="15" hidden="false" customHeight="false" outlineLevel="0" collapsed="false">
      <c r="B35" s="29" t="s">
        <v>48</v>
      </c>
      <c r="C35" s="30" t="n">
        <f aca="false">③再訪不要_要因分析!C24</f>
        <v>1</v>
      </c>
      <c r="D35" s="19" t="n">
        <f aca="false">IFERROR(C35/$C$37*100,0)</f>
        <v>0.980392156862745</v>
      </c>
      <c r="E35" s="13" t="s">
        <v>49</v>
      </c>
    </row>
    <row r="36" customFormat="false" ht="15" hidden="false" customHeight="false" outlineLevel="0" collapsed="false">
      <c r="B36" s="32" t="s">
        <v>50</v>
      </c>
      <c r="C36" s="33" t="n">
        <f aca="false">③再訪不要_要因分析!C26</f>
        <v>1</v>
      </c>
      <c r="D36" s="21" t="n">
        <f aca="false">IFERROR(C36/$C$37*100,0)</f>
        <v>0.980392156862745</v>
      </c>
      <c r="E36" s="10" t="s">
        <v>51</v>
      </c>
    </row>
    <row r="37" customFormat="false" ht="15" hidden="false" customHeight="false" outlineLevel="0" collapsed="false">
      <c r="B37" s="22" t="s">
        <v>29</v>
      </c>
      <c r="C37" s="23" t="n">
        <f aca="false">SUM(C29:C36)</f>
        <v>102</v>
      </c>
      <c r="D37" s="34" t="n">
        <f aca="false">IFERROR(C37/C37*100,0)</f>
        <v>100</v>
      </c>
      <c r="E37" s="35"/>
    </row>
    <row r="39" customFormat="false" ht="15" hidden="false" customHeight="false" outlineLevel="0" collapsed="false">
      <c r="B39" s="2" t="s">
        <v>52</v>
      </c>
    </row>
    <row r="40" customFormat="false" ht="15" hidden="false" customHeight="false" outlineLevel="0" collapsed="false">
      <c r="B40" s="2" t="s">
        <v>53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L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2"/>
    <col collapsed="false" customWidth="true" hidden="false" outlineLevel="0" max="12" min="3" style="0" width="12"/>
  </cols>
  <sheetData>
    <row r="2" customFormat="false" ht="17.35" hidden="false" customHeight="false" outlineLevel="0" collapsed="false">
      <c r="B2" s="1" t="s">
        <v>54</v>
      </c>
    </row>
    <row r="3" customFormat="false" ht="15" hidden="false" customHeight="false" outlineLevel="0" collapsed="false">
      <c r="B3" s="2" t="s">
        <v>55</v>
      </c>
    </row>
    <row r="5" customFormat="false" ht="30" hidden="false" customHeight="true" outlineLevel="0" collapsed="false">
      <c r="B5" s="4" t="s">
        <v>56</v>
      </c>
      <c r="C5" s="5" t="s">
        <v>4</v>
      </c>
      <c r="D5" s="4" t="s">
        <v>5</v>
      </c>
      <c r="E5" s="4" t="s">
        <v>6</v>
      </c>
      <c r="F5" s="4" t="s">
        <v>57</v>
      </c>
      <c r="G5" s="17" t="s">
        <v>58</v>
      </c>
      <c r="H5" s="4" t="s">
        <v>7</v>
      </c>
      <c r="I5" s="4" t="s">
        <v>8</v>
      </c>
      <c r="J5" s="4" t="s">
        <v>9</v>
      </c>
      <c r="K5" s="4" t="s">
        <v>17</v>
      </c>
      <c r="L5" s="4" t="s">
        <v>59</v>
      </c>
    </row>
    <row r="6" customFormat="false" ht="15" hidden="false" customHeight="false" outlineLevel="0" collapsed="false">
      <c r="B6" s="31" t="s">
        <v>60</v>
      </c>
      <c r="C6" s="14" t="n">
        <f aca="false">COUNTIFS(データ!$C$2:$C$451,"2026-07-06")</f>
        <v>12</v>
      </c>
      <c r="D6" s="15" t="n">
        <v>11</v>
      </c>
      <c r="E6" s="15" t="n">
        <v>1</v>
      </c>
      <c r="F6" s="15" t="n">
        <v>4</v>
      </c>
      <c r="G6" s="18" t="n">
        <f aca="false">IFERROR(C6/F6/E6,0)</f>
        <v>3</v>
      </c>
      <c r="H6" s="14" t="n">
        <f aca="false">COUNTIFS(データ!$C$2:$C$451,"2026-07-06",データ!$H$2:$H$451,"再アプローチ")</f>
        <v>5</v>
      </c>
      <c r="I6" s="14" t="n">
        <f aca="false">COUNTIFS(データ!$C$2:$C$451,"2026-07-06",データ!$H$2:$H$451,"見積提示")</f>
        <v>0</v>
      </c>
      <c r="J6" s="14" t="n">
        <f aca="false">COUNTIFS(データ!$C$2:$C$451,"2026-07-06",データ!$H$2:$H$451,"再訪不要")</f>
        <v>2</v>
      </c>
      <c r="K6" s="19" t="n">
        <f aca="false">IFERROR(J6/C6*100,0)</f>
        <v>16.6666666666667</v>
      </c>
      <c r="L6" s="14" t="s">
        <v>61</v>
      </c>
    </row>
    <row r="7" customFormat="false" ht="15" hidden="false" customHeight="false" outlineLevel="0" collapsed="false">
      <c r="B7" s="36" t="s">
        <v>62</v>
      </c>
      <c r="C7" s="11" t="n">
        <f aca="false">COUNTIFS(データ!$C$2:$C$451,"2026-07-20")</f>
        <v>10</v>
      </c>
      <c r="D7" s="12" t="n">
        <v>7</v>
      </c>
      <c r="E7" s="12" t="n">
        <v>1</v>
      </c>
      <c r="F7" s="12" t="n">
        <v>3</v>
      </c>
      <c r="G7" s="20" t="n">
        <f aca="false">IFERROR(C7/F7/E7,0)</f>
        <v>3.33333333333333</v>
      </c>
      <c r="H7" s="11" t="n">
        <f aca="false">COUNTIFS(データ!$C$2:$C$451,"2026-07-20",データ!$H$2:$H$451,"再アプローチ")</f>
        <v>3</v>
      </c>
      <c r="I7" s="11" t="n">
        <f aca="false">COUNTIFS(データ!$C$2:$C$451,"2026-07-20",データ!$H$2:$H$451,"見積提示")</f>
        <v>0</v>
      </c>
      <c r="J7" s="11" t="n">
        <f aca="false">COUNTIFS(データ!$C$2:$C$451,"2026-07-20",データ!$H$2:$H$451,"再訪不要")</f>
        <v>3</v>
      </c>
      <c r="K7" s="21" t="n">
        <f aca="false">IFERROR(J7/C7*100,0)</f>
        <v>30</v>
      </c>
      <c r="L7" s="11" t="n">
        <f aca="false">C7-C6</f>
        <v>-2</v>
      </c>
    </row>
    <row r="8" customFormat="false" ht="15" hidden="false" customHeight="false" outlineLevel="0" collapsed="false">
      <c r="B8" s="31" t="s">
        <v>63</v>
      </c>
      <c r="C8" s="14" t="n">
        <f aca="false">COUNTIFS(データ!$C$2:$C$451,"2026-07-27")</f>
        <v>1</v>
      </c>
      <c r="D8" s="15" t="n">
        <v>1</v>
      </c>
      <c r="E8" s="15" t="n">
        <v>1</v>
      </c>
      <c r="F8" s="15" t="n">
        <v>1</v>
      </c>
      <c r="G8" s="18" t="n">
        <f aca="false">IFERROR(C8/F8/E8,0)</f>
        <v>1</v>
      </c>
      <c r="H8" s="14" t="n">
        <f aca="false">COUNTIFS(データ!$C$2:$C$451,"2026-07-27",データ!$H$2:$H$451,"再アプローチ")</f>
        <v>1</v>
      </c>
      <c r="I8" s="14" t="n">
        <f aca="false">COUNTIFS(データ!$C$2:$C$451,"2026-07-27",データ!$H$2:$H$451,"見積提示")</f>
        <v>0</v>
      </c>
      <c r="J8" s="14" t="n">
        <f aca="false">COUNTIFS(データ!$C$2:$C$451,"2026-07-27",データ!$H$2:$H$451,"再訪不要")</f>
        <v>0</v>
      </c>
      <c r="K8" s="19" t="n">
        <f aca="false">IFERROR(J8/C8*100,0)</f>
        <v>0</v>
      </c>
      <c r="L8" s="14" t="n">
        <f aca="false">C8-C7</f>
        <v>-9</v>
      </c>
    </row>
    <row r="9" customFormat="false" ht="15" hidden="false" customHeight="false" outlineLevel="0" collapsed="false">
      <c r="B9" s="36" t="s">
        <v>64</v>
      </c>
      <c r="C9" s="11" t="n">
        <f aca="false">COUNTIFS(データ!$C$2:$C$451,"2026-08-03")</f>
        <v>3</v>
      </c>
      <c r="D9" s="12" t="n">
        <v>3</v>
      </c>
      <c r="E9" s="12" t="n">
        <v>1</v>
      </c>
      <c r="F9" s="12" t="n">
        <v>1</v>
      </c>
      <c r="G9" s="20" t="n">
        <f aca="false">IFERROR(C9/F9/E9,0)</f>
        <v>3</v>
      </c>
      <c r="H9" s="11" t="n">
        <f aca="false">COUNTIFS(データ!$C$2:$C$451,"2026-08-03",データ!$H$2:$H$451,"再アプローチ")</f>
        <v>1</v>
      </c>
      <c r="I9" s="11" t="n">
        <f aca="false">COUNTIFS(データ!$C$2:$C$451,"2026-08-03",データ!$H$2:$H$451,"見積提示")</f>
        <v>0</v>
      </c>
      <c r="J9" s="11" t="n">
        <f aca="false">COUNTIFS(データ!$C$2:$C$451,"2026-08-03",データ!$H$2:$H$451,"再訪不要")</f>
        <v>0</v>
      </c>
      <c r="K9" s="21" t="n">
        <f aca="false">IFERROR(J9/C9*100,0)</f>
        <v>0</v>
      </c>
      <c r="L9" s="11" t="n">
        <f aca="false">C9-C8</f>
        <v>2</v>
      </c>
    </row>
    <row r="10" customFormat="false" ht="15" hidden="false" customHeight="false" outlineLevel="0" collapsed="false">
      <c r="B10" s="31" t="s">
        <v>65</v>
      </c>
      <c r="C10" s="14" t="n">
        <f aca="false">COUNTIFS(データ!$C$2:$C$451,"2026-08-10")</f>
        <v>14</v>
      </c>
      <c r="D10" s="15" t="n">
        <v>11</v>
      </c>
      <c r="E10" s="15" t="n">
        <v>2</v>
      </c>
      <c r="F10" s="15" t="n">
        <v>3</v>
      </c>
      <c r="G10" s="18" t="n">
        <f aca="false">IFERROR(C10/F10/E10,0)</f>
        <v>2.33333333333333</v>
      </c>
      <c r="H10" s="14" t="n">
        <f aca="false">COUNTIFS(データ!$C$2:$C$451,"2026-08-10",データ!$H$2:$H$451,"再アプローチ")</f>
        <v>6</v>
      </c>
      <c r="I10" s="14" t="n">
        <f aca="false">COUNTIFS(データ!$C$2:$C$451,"2026-08-10",データ!$H$2:$H$451,"見積提示")</f>
        <v>6</v>
      </c>
      <c r="J10" s="14" t="n">
        <f aca="false">COUNTIFS(データ!$C$2:$C$451,"2026-08-10",データ!$H$2:$H$451,"再訪不要")</f>
        <v>0</v>
      </c>
      <c r="K10" s="19" t="n">
        <f aca="false">IFERROR(J10/C10*100,0)</f>
        <v>0</v>
      </c>
      <c r="L10" s="14" t="n">
        <f aca="false">C10-C9</f>
        <v>11</v>
      </c>
    </row>
    <row r="11" customFormat="false" ht="15" hidden="false" customHeight="false" outlineLevel="0" collapsed="false">
      <c r="B11" s="36" t="s">
        <v>66</v>
      </c>
      <c r="C11" s="11" t="n">
        <f aca="false">COUNTIFS(データ!$C$2:$C$451,"2026-08-17")</f>
        <v>101</v>
      </c>
      <c r="D11" s="12" t="n">
        <v>59</v>
      </c>
      <c r="E11" s="12" t="n">
        <v>7</v>
      </c>
      <c r="F11" s="12" t="n">
        <v>5</v>
      </c>
      <c r="G11" s="20" t="n">
        <f aca="false">IFERROR(C11/F11/E11,0)</f>
        <v>2.88571428571429</v>
      </c>
      <c r="H11" s="11" t="n">
        <f aca="false">COUNTIFS(データ!$C$2:$C$451,"2026-08-17",データ!$H$2:$H$451,"再アプローチ")</f>
        <v>50</v>
      </c>
      <c r="I11" s="11" t="n">
        <f aca="false">COUNTIFS(データ!$C$2:$C$451,"2026-08-17",データ!$H$2:$H$451,"見積提示")</f>
        <v>17</v>
      </c>
      <c r="J11" s="11" t="n">
        <f aca="false">COUNTIFS(データ!$C$2:$C$451,"2026-08-17",データ!$H$2:$H$451,"再訪不要")</f>
        <v>22</v>
      </c>
      <c r="K11" s="21" t="n">
        <f aca="false">IFERROR(J11/C11*100,0)</f>
        <v>21.7821782178218</v>
      </c>
      <c r="L11" s="11" t="n">
        <f aca="false">C11-C10</f>
        <v>87</v>
      </c>
    </row>
    <row r="12" customFormat="false" ht="15" hidden="false" customHeight="false" outlineLevel="0" collapsed="false">
      <c r="B12" s="31" t="s">
        <v>67</v>
      </c>
      <c r="C12" s="14" t="n">
        <f aca="false">COUNTIFS(データ!$C$2:$C$451,"2026-08-24")</f>
        <v>109</v>
      </c>
      <c r="D12" s="15" t="n">
        <v>74</v>
      </c>
      <c r="E12" s="15" t="n">
        <v>9</v>
      </c>
      <c r="F12" s="15" t="n">
        <v>6</v>
      </c>
      <c r="G12" s="18" t="n">
        <f aca="false">IFERROR(C12/F12/E12,0)</f>
        <v>2.01851851851852</v>
      </c>
      <c r="H12" s="14" t="n">
        <f aca="false">COUNTIFS(データ!$C$2:$C$451,"2026-08-24",データ!$H$2:$H$451,"再アプローチ")</f>
        <v>58</v>
      </c>
      <c r="I12" s="14" t="n">
        <f aca="false">COUNTIFS(データ!$C$2:$C$451,"2026-08-24",データ!$H$2:$H$451,"見積提示")</f>
        <v>17</v>
      </c>
      <c r="J12" s="14" t="n">
        <f aca="false">COUNTIFS(データ!$C$2:$C$451,"2026-08-24",データ!$H$2:$H$451,"再訪不要")</f>
        <v>16</v>
      </c>
      <c r="K12" s="19" t="n">
        <f aca="false">IFERROR(J12/C12*100,0)</f>
        <v>14.6788990825688</v>
      </c>
      <c r="L12" s="14" t="n">
        <f aca="false">C12-C11</f>
        <v>8</v>
      </c>
    </row>
    <row r="13" customFormat="false" ht="15" hidden="false" customHeight="false" outlineLevel="0" collapsed="false">
      <c r="B13" s="36" t="s">
        <v>68</v>
      </c>
      <c r="C13" s="11" t="n">
        <f aca="false">COUNTIFS(データ!$C$2:$C$451,"2026-08-31")</f>
        <v>85</v>
      </c>
      <c r="D13" s="12" t="n">
        <v>58</v>
      </c>
      <c r="E13" s="12" t="n">
        <v>7</v>
      </c>
      <c r="F13" s="12" t="n">
        <v>5</v>
      </c>
      <c r="G13" s="20" t="n">
        <f aca="false">IFERROR(C13/F13/E13,0)</f>
        <v>2.42857142857143</v>
      </c>
      <c r="H13" s="11" t="n">
        <f aca="false">COUNTIFS(データ!$C$2:$C$451,"2026-08-31",データ!$H$2:$H$451,"再アプローチ")</f>
        <v>36</v>
      </c>
      <c r="I13" s="11" t="n">
        <f aca="false">COUNTIFS(データ!$C$2:$C$451,"2026-08-31",データ!$H$2:$H$451,"見積提示")</f>
        <v>4</v>
      </c>
      <c r="J13" s="11" t="n">
        <f aca="false">COUNTIFS(データ!$C$2:$C$451,"2026-08-31",データ!$H$2:$H$451,"再訪不要")</f>
        <v>33</v>
      </c>
      <c r="K13" s="21" t="n">
        <f aca="false">IFERROR(J13/C13*100,0)</f>
        <v>38.8235294117647</v>
      </c>
      <c r="L13" s="11" t="n">
        <f aca="false">C13-C12</f>
        <v>-24</v>
      </c>
    </row>
    <row r="14" customFormat="false" ht="15" hidden="false" customHeight="false" outlineLevel="0" collapsed="false">
      <c r="B14" s="31" t="s">
        <v>69</v>
      </c>
      <c r="C14" s="14" t="n">
        <f aca="false">COUNTIFS(データ!$C$2:$C$451,"2026-09-07")</f>
        <v>35</v>
      </c>
      <c r="D14" s="15" t="n">
        <v>26</v>
      </c>
      <c r="E14" s="15" t="n">
        <v>5</v>
      </c>
      <c r="F14" s="15" t="n">
        <v>4</v>
      </c>
      <c r="G14" s="18" t="n">
        <f aca="false">IFERROR(C14/F14/E14,0)</f>
        <v>1.75</v>
      </c>
      <c r="H14" s="14" t="n">
        <f aca="false">COUNTIFS(データ!$C$2:$C$451,"2026-09-07",データ!$H$2:$H$451,"再アプローチ")</f>
        <v>26</v>
      </c>
      <c r="I14" s="14" t="n">
        <f aca="false">COUNTIFS(データ!$C$2:$C$451,"2026-09-07",データ!$H$2:$H$451,"見積提示")</f>
        <v>6</v>
      </c>
      <c r="J14" s="14" t="n">
        <f aca="false">COUNTIFS(データ!$C$2:$C$451,"2026-09-07",データ!$H$2:$H$451,"再訪不要")</f>
        <v>3</v>
      </c>
      <c r="K14" s="19" t="n">
        <f aca="false">IFERROR(J14/C14*100,0)</f>
        <v>8.57142857142857</v>
      </c>
      <c r="L14" s="14" t="n">
        <f aca="false">C14-C13</f>
        <v>-50</v>
      </c>
    </row>
    <row r="15" customFormat="false" ht="15" hidden="false" customHeight="false" outlineLevel="0" collapsed="false">
      <c r="B15" s="37" t="s">
        <v>70</v>
      </c>
      <c r="C15" s="7" t="n">
        <f aca="false">COUNTIFS(データ!$C$2:$C$451,"2026-09-14")</f>
        <v>17</v>
      </c>
      <c r="D15" s="8" t="n">
        <v>12</v>
      </c>
      <c r="E15" s="8" t="n">
        <v>3</v>
      </c>
      <c r="F15" s="8" t="n">
        <v>3</v>
      </c>
      <c r="G15" s="38" t="n">
        <f aca="false">IFERROR(C15/F15/E15,0)</f>
        <v>1.88888888888889</v>
      </c>
      <c r="H15" s="9" t="n">
        <f aca="false">COUNTIFS(データ!$C$2:$C$451,"2026-09-14",データ!$H$2:$H$451,"再アプローチ")</f>
        <v>11</v>
      </c>
      <c r="I15" s="9" t="n">
        <f aca="false">COUNTIFS(データ!$C$2:$C$451,"2026-09-14",データ!$H$2:$H$451,"見積提示")</f>
        <v>6</v>
      </c>
      <c r="J15" s="9" t="n">
        <f aca="false">COUNTIFS(データ!$C$2:$C$451,"2026-09-14",データ!$H$2:$H$451,"再訪不要")</f>
        <v>0</v>
      </c>
      <c r="K15" s="39" t="n">
        <f aca="false">IFERROR(J15/C15*100,0)</f>
        <v>0</v>
      </c>
      <c r="L15" s="9" t="n">
        <f aca="false">C15-C14</f>
        <v>-18</v>
      </c>
    </row>
    <row r="16" customFormat="false" ht="15" hidden="false" customHeight="false" outlineLevel="0" collapsed="false">
      <c r="B16" s="22" t="s">
        <v>71</v>
      </c>
      <c r="C16" s="23" t="n">
        <f aca="false">SUM(C6:C15)</f>
        <v>387</v>
      </c>
      <c r="H16" s="23" t="n">
        <f aca="false">SUM(H6:H15)</f>
        <v>197</v>
      </c>
      <c r="I16" s="23" t="n">
        <f aca="false">SUM(I6:I15)</f>
        <v>56</v>
      </c>
      <c r="J16" s="23" t="n">
        <f aca="false">SUM(J6:J15)</f>
        <v>79</v>
      </c>
      <c r="K16" s="34" t="n">
        <f aca="false">IFERROR(J16/C16*100,0)</f>
        <v>20.4134366925065</v>
      </c>
    </row>
    <row r="19" customFormat="false" ht="16.4" hidden="false" customHeight="false" outlineLevel="0" collapsed="false">
      <c r="B19" s="3" t="s">
        <v>72</v>
      </c>
    </row>
    <row r="20" customFormat="false" ht="15" hidden="false" customHeight="false" outlineLevel="0" collapsed="false">
      <c r="B20" s="4" t="s">
        <v>73</v>
      </c>
      <c r="C20" s="4" t="s">
        <v>33</v>
      </c>
    </row>
    <row r="21" customFormat="false" ht="15" hidden="false" customHeight="false" outlineLevel="0" collapsed="false">
      <c r="B21" s="13" t="s">
        <v>20</v>
      </c>
      <c r="C21" s="14" t="n">
        <f aca="false">COUNTIFS(データ!$C$2:$C$451,"2026-09-14",データ!$A$2:$A$451,"相澤")</f>
        <v>9</v>
      </c>
    </row>
    <row r="22" customFormat="false" ht="15" hidden="false" customHeight="false" outlineLevel="0" collapsed="false">
      <c r="B22" s="10" t="s">
        <v>25</v>
      </c>
      <c r="C22" s="11" t="n">
        <f aca="false">COUNTIFS(データ!$C$2:$C$451,"2026-09-14",データ!$A$2:$A$451,"高橋")</f>
        <v>7</v>
      </c>
    </row>
    <row r="23" customFormat="false" ht="15" hidden="false" customHeight="false" outlineLevel="0" collapsed="false">
      <c r="B23" s="13" t="s">
        <v>22</v>
      </c>
      <c r="C23" s="14" t="n">
        <f aca="false">COUNTIFS(データ!$C$2:$C$451,"2026-09-14",データ!$A$2:$A$451,"角張")</f>
        <v>1</v>
      </c>
    </row>
    <row r="24" customFormat="false" ht="15" hidden="false" customHeight="false" outlineLevel="0" collapsed="false">
      <c r="B24" s="22" t="s">
        <v>29</v>
      </c>
      <c r="C24" s="23" t="n">
        <f aca="false">SUM(C21:C23)</f>
        <v>17</v>
      </c>
    </row>
    <row r="26" customFormat="false" ht="15" hidden="false" customHeight="false" outlineLevel="0" collapsed="false">
      <c r="B26" s="4" t="s">
        <v>74</v>
      </c>
      <c r="C26" s="4" t="s">
        <v>33</v>
      </c>
    </row>
    <row r="27" customFormat="false" ht="15" hidden="false" customHeight="false" outlineLevel="0" collapsed="false">
      <c r="B27" s="13" t="s">
        <v>75</v>
      </c>
      <c r="C27" s="14" t="n">
        <f aca="false">COUNTIFS(データ!$C$2:$C$451,"2026-09-14",データ!$D$2:$D$451,"岩手県")</f>
        <v>14</v>
      </c>
    </row>
    <row r="28" customFormat="false" ht="15" hidden="false" customHeight="false" outlineLevel="0" collapsed="false">
      <c r="B28" s="10" t="s">
        <v>76</v>
      </c>
      <c r="C28" s="11" t="n">
        <f aca="false">COUNTIFS(データ!$C$2:$C$451,"2026-09-14",データ!$D$2:$D$451,"福島県")</f>
        <v>3</v>
      </c>
    </row>
    <row r="29" customFormat="false" ht="15" hidden="false" customHeight="false" outlineLevel="0" collapsed="false">
      <c r="B29" s="22" t="s">
        <v>29</v>
      </c>
      <c r="C29" s="23" t="n">
        <f aca="false">SUM(C27:C28)</f>
        <v>17</v>
      </c>
    </row>
    <row r="31" customFormat="false" ht="15" hidden="false" customHeight="false" outlineLevel="0" collapsed="false">
      <c r="B31" s="4" t="s">
        <v>77</v>
      </c>
      <c r="C31" s="4" t="s">
        <v>33</v>
      </c>
    </row>
    <row r="32" customFormat="false" ht="15" hidden="false" customHeight="false" outlineLevel="0" collapsed="false">
      <c r="B32" s="13" t="s">
        <v>78</v>
      </c>
      <c r="C32" s="14" t="n">
        <f aca="false">COUNTIFS(データ!$C$2:$C$451,"2026-09-14",データ!$F$2:$F$451,"公会計")</f>
        <v>8</v>
      </c>
    </row>
    <row r="33" customFormat="false" ht="15" hidden="false" customHeight="false" outlineLevel="0" collapsed="false">
      <c r="B33" s="10" t="s">
        <v>79</v>
      </c>
      <c r="C33" s="11" t="n">
        <f aca="false">COUNTIFS(データ!$C$2:$C$451,"2026-09-14",データ!$F$2:$F$451,"その他計画")</f>
        <v>4</v>
      </c>
    </row>
    <row r="34" customFormat="false" ht="15" hidden="false" customHeight="false" outlineLevel="0" collapsed="false">
      <c r="B34" s="13" t="s">
        <v>80</v>
      </c>
      <c r="C34" s="14" t="n">
        <f aca="false">COUNTIFS(データ!$C$2:$C$451,"2026-09-14",データ!$F$2:$F$451,"福祉計画")</f>
        <v>3</v>
      </c>
    </row>
    <row r="35" customFormat="false" ht="15" hidden="false" customHeight="false" outlineLevel="0" collapsed="false">
      <c r="B35" s="10" t="s">
        <v>81</v>
      </c>
      <c r="C35" s="11" t="n">
        <f aca="false">COUNTIFS(データ!$C$2:$C$451,"2026-09-14",データ!$F$2:$F$451,"公共施設マネジメント")</f>
        <v>1</v>
      </c>
    </row>
    <row r="36" customFormat="false" ht="15" hidden="false" customHeight="false" outlineLevel="0" collapsed="false">
      <c r="B36" s="13" t="s">
        <v>82</v>
      </c>
      <c r="C36" s="14" t="n">
        <f aca="false">COUNTIFS(データ!$C$2:$C$451,"2026-09-14",データ!$F$2:$F$451,"経営戦略")</f>
        <v>1</v>
      </c>
    </row>
    <row r="37" customFormat="false" ht="15" hidden="false" customHeight="false" outlineLevel="0" collapsed="false">
      <c r="B37" s="22" t="s">
        <v>29</v>
      </c>
      <c r="C37" s="23" t="n">
        <f aca="false">SUM(C32:C36)</f>
        <v>17</v>
      </c>
    </row>
    <row r="39" customFormat="false" ht="15" hidden="false" customHeight="false" outlineLevel="0" collapsed="false">
      <c r="B39" s="4" t="s">
        <v>83</v>
      </c>
      <c r="C39" s="4" t="s">
        <v>33</v>
      </c>
    </row>
    <row r="40" customFormat="false" ht="15" hidden="false" customHeight="false" outlineLevel="0" collapsed="false">
      <c r="B40" s="13" t="s">
        <v>84</v>
      </c>
      <c r="C40" s="14" t="n">
        <f aca="false">COUNTIFS(データ!$C$2:$C$451,"2026-09-14",データ!$L$2:$L$451,"セカンドアプローチ")</f>
        <v>7</v>
      </c>
    </row>
    <row r="41" customFormat="false" ht="15" hidden="false" customHeight="false" outlineLevel="0" collapsed="false">
      <c r="B41" s="10" t="s">
        <v>85</v>
      </c>
      <c r="C41" s="11" t="n">
        <f aca="false">COUNTIFS(データ!$C$2:$C$451,"2026-09-14",データ!$L$2:$L$451,"初回訪問")</f>
        <v>5</v>
      </c>
    </row>
    <row r="42" customFormat="false" ht="15" hidden="false" customHeight="false" outlineLevel="0" collapsed="false">
      <c r="B42" s="13" t="s">
        <v>8</v>
      </c>
      <c r="C42" s="14" t="n">
        <f aca="false">COUNTIFS(データ!$C$2:$C$451,"2026-09-14",データ!$L$2:$L$451,"見積提示")</f>
        <v>4</v>
      </c>
    </row>
    <row r="43" customFormat="false" ht="15" hidden="false" customHeight="false" outlineLevel="0" collapsed="false">
      <c r="B43" s="10" t="s">
        <v>86</v>
      </c>
      <c r="C43" s="11" t="n">
        <f aca="false">COUNTIFS(データ!$C$2:$C$451,"2026-09-14",データ!$L$2:$L$451,"見積＋仕様書")</f>
        <v>1</v>
      </c>
    </row>
    <row r="44" customFormat="false" ht="15" hidden="false" customHeight="false" outlineLevel="0" collapsed="false">
      <c r="B44" s="22" t="s">
        <v>29</v>
      </c>
      <c r="C44" s="23" t="n">
        <f aca="false">SUM(C40:C43)</f>
        <v>17</v>
      </c>
    </row>
    <row r="46" customFormat="false" ht="15" hidden="false" customHeight="false" outlineLevel="0" collapsed="false">
      <c r="B46" s="2" t="s">
        <v>87</v>
      </c>
    </row>
    <row r="47" customFormat="false" ht="15" hidden="false" customHeight="false" outlineLevel="0" collapsed="false">
      <c r="B47" s="16" t="s">
        <v>88</v>
      </c>
    </row>
    <row r="48" customFormat="false" ht="15" hidden="false" customHeight="false" outlineLevel="0" collapsed="false">
      <c r="B48" s="2" t="s">
        <v>89</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O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15" min="3" style="0" width="11"/>
  </cols>
  <sheetData>
    <row r="2" customFormat="false" ht="17.35" hidden="false" customHeight="false" outlineLevel="0" collapsed="false">
      <c r="B2" s="1" t="s">
        <v>90</v>
      </c>
    </row>
    <row r="3" customFormat="false" ht="15" hidden="false" customHeight="false" outlineLevel="0" collapsed="false">
      <c r="B3" s="2" t="s">
        <v>91</v>
      </c>
    </row>
    <row r="5" customFormat="false" ht="30" hidden="false" customHeight="true" outlineLevel="0" collapsed="false">
      <c r="B5" s="4" t="s">
        <v>15</v>
      </c>
      <c r="C5" s="5" t="s">
        <v>4</v>
      </c>
      <c r="D5" s="4" t="s">
        <v>5</v>
      </c>
      <c r="E5" s="4" t="s">
        <v>57</v>
      </c>
      <c r="F5" s="17" t="s">
        <v>92</v>
      </c>
      <c r="G5" s="4" t="s">
        <v>7</v>
      </c>
      <c r="H5" s="4" t="s">
        <v>8</v>
      </c>
      <c r="I5" s="4" t="s">
        <v>93</v>
      </c>
      <c r="J5" s="4" t="s">
        <v>9</v>
      </c>
      <c r="K5" s="4" t="s">
        <v>17</v>
      </c>
      <c r="L5" s="17" t="s">
        <v>94</v>
      </c>
      <c r="M5" s="17" t="s">
        <v>95</v>
      </c>
      <c r="N5" s="17" t="s">
        <v>96</v>
      </c>
      <c r="O5" s="17" t="s">
        <v>97</v>
      </c>
    </row>
    <row r="6" customFormat="false" ht="15" hidden="false" customHeight="false" outlineLevel="0" collapsed="false">
      <c r="B6" s="29" t="s">
        <v>19</v>
      </c>
      <c r="C6" s="30" t="n">
        <f aca="false">COUNTIFS(データ!$A$2:$A$451,"林")</f>
        <v>108</v>
      </c>
      <c r="D6" s="15" t="n">
        <v>40</v>
      </c>
      <c r="E6" s="15" t="n">
        <v>30</v>
      </c>
      <c r="F6" s="18" t="n">
        <f aca="false">IFERROR(C6/E6,0)</f>
        <v>3.6</v>
      </c>
      <c r="G6" s="14" t="n">
        <f aca="false">COUNTIFS(データ!$A$2:$A$451,"林",データ!$H$2:$H$451,"再アプローチ")</f>
        <v>49</v>
      </c>
      <c r="H6" s="14" t="n">
        <f aca="false">COUNTIFS(データ!$A$2:$A$451,"林",データ!$H$2:$H$451,"見積提示")</f>
        <v>1</v>
      </c>
      <c r="I6" s="14" t="n">
        <f aca="false">COUNTIFS(データ!$A$2:$A$451,"林",データ!$H$2:$H$451,"同行依頼、再訪")</f>
        <v>17</v>
      </c>
      <c r="J6" s="14" t="n">
        <f aca="false">COUNTIFS(データ!$A$2:$A$451,"林",データ!$H$2:$H$451,"再訪不要")</f>
        <v>36</v>
      </c>
      <c r="K6" s="19" t="n">
        <f aca="false">IFERROR(J6/SUM(G6:J6)*100,0)</f>
        <v>34.9514563106796</v>
      </c>
      <c r="L6" s="14" t="n">
        <f aca="false">COUNTIFS(データ!$A$2:$A$451,"林",データ!$C$2:$C$451,"2026-08-24")</f>
        <v>1</v>
      </c>
      <c r="M6" s="14" t="n">
        <f aca="false">COUNTIFS(データ!$A$2:$A$451,"林",データ!$C$2:$C$451,"2026-08-31")</f>
        <v>2</v>
      </c>
      <c r="N6" s="14" t="n">
        <f aca="false">COUNTIFS(データ!$A$2:$A$451,"林",データ!$C$2:$C$451,"2026-09-07")</f>
        <v>0</v>
      </c>
      <c r="O6" s="14" t="n">
        <f aca="false">COUNTIFS(データ!$A$2:$A$451,"林",データ!$C$2:$C$451,"2026-09-14")</f>
        <v>0</v>
      </c>
    </row>
    <row r="7" customFormat="false" ht="15" hidden="false" customHeight="false" outlineLevel="0" collapsed="false">
      <c r="B7" s="32" t="s">
        <v>20</v>
      </c>
      <c r="C7" s="33" t="n">
        <f aca="false">COUNTIFS(データ!$A$2:$A$451,"相澤")</f>
        <v>92</v>
      </c>
      <c r="D7" s="12" t="n">
        <v>42</v>
      </c>
      <c r="E7" s="12" t="n">
        <v>13</v>
      </c>
      <c r="F7" s="20" t="n">
        <f aca="false">IFERROR(C7/E7,0)</f>
        <v>7.07692307692308</v>
      </c>
      <c r="G7" s="11" t="n">
        <f aca="false">COUNTIFS(データ!$A$2:$A$451,"相澤",データ!$H$2:$H$451,"再アプローチ")</f>
        <v>74</v>
      </c>
      <c r="H7" s="11" t="n">
        <f aca="false">COUNTIFS(データ!$A$2:$A$451,"相澤",データ!$H$2:$H$451,"見積提示")</f>
        <v>5</v>
      </c>
      <c r="I7" s="11" t="n">
        <f aca="false">COUNTIFS(データ!$A$2:$A$451,"相澤",データ!$H$2:$H$451,"同行依頼、再訪")</f>
        <v>5</v>
      </c>
      <c r="J7" s="11" t="n">
        <f aca="false">COUNTIFS(データ!$A$2:$A$451,"相澤",データ!$H$2:$H$451,"再訪不要")</f>
        <v>7</v>
      </c>
      <c r="K7" s="21" t="n">
        <f aca="false">IFERROR(J7/SUM(G7:J7)*100,0)</f>
        <v>7.69230769230769</v>
      </c>
      <c r="L7" s="11" t="n">
        <f aca="false">COUNTIFS(データ!$A$2:$A$451,"相澤",データ!$C$2:$C$451,"2026-08-24")</f>
        <v>33</v>
      </c>
      <c r="M7" s="11" t="n">
        <f aca="false">COUNTIFS(データ!$A$2:$A$451,"相澤",データ!$C$2:$C$451,"2026-08-31")</f>
        <v>20</v>
      </c>
      <c r="N7" s="11" t="n">
        <f aca="false">COUNTIFS(データ!$A$2:$A$451,"相澤",データ!$C$2:$C$451,"2026-09-07")</f>
        <v>9</v>
      </c>
      <c r="O7" s="11" t="n">
        <f aca="false">COUNTIFS(データ!$A$2:$A$451,"相澤",データ!$C$2:$C$451,"2026-09-14")</f>
        <v>9</v>
      </c>
    </row>
    <row r="8" customFormat="false" ht="15" hidden="false" customHeight="false" outlineLevel="0" collapsed="false">
      <c r="B8" s="29" t="s">
        <v>21</v>
      </c>
      <c r="C8" s="30" t="n">
        <f aca="false">COUNTIFS(データ!$A$2:$A$451,"村田")</f>
        <v>72</v>
      </c>
      <c r="D8" s="15" t="n">
        <v>40</v>
      </c>
      <c r="E8" s="15" t="n">
        <v>16</v>
      </c>
      <c r="F8" s="18" t="n">
        <f aca="false">IFERROR(C8/E8,0)</f>
        <v>4.5</v>
      </c>
      <c r="G8" s="14" t="n">
        <f aca="false">COUNTIFS(データ!$A$2:$A$451,"村田",データ!$H$2:$H$451,"再アプローチ")</f>
        <v>16</v>
      </c>
      <c r="H8" s="14" t="n">
        <f aca="false">COUNTIFS(データ!$A$2:$A$451,"村田",データ!$H$2:$H$451,"見積提示")</f>
        <v>12</v>
      </c>
      <c r="I8" s="14" t="n">
        <f aca="false">COUNTIFS(データ!$A$2:$A$451,"村田",データ!$H$2:$H$451,"同行依頼、再訪")</f>
        <v>0</v>
      </c>
      <c r="J8" s="14" t="n">
        <f aca="false">COUNTIFS(データ!$A$2:$A$451,"村田",データ!$H$2:$H$451,"再訪不要")</f>
        <v>31</v>
      </c>
      <c r="K8" s="19" t="n">
        <f aca="false">IFERROR(J8/SUM(G8:J8)*100,0)</f>
        <v>52.5423728813559</v>
      </c>
      <c r="L8" s="14" t="n">
        <f aca="false">COUNTIFS(データ!$A$2:$A$451,"村田",データ!$C$2:$C$451,"2026-08-24")</f>
        <v>8</v>
      </c>
      <c r="M8" s="14" t="n">
        <f aca="false">COUNTIFS(データ!$A$2:$A$451,"村田",データ!$C$2:$C$451,"2026-08-31")</f>
        <v>34</v>
      </c>
      <c r="N8" s="14" t="n">
        <f aca="false">COUNTIFS(データ!$A$2:$A$451,"村田",データ!$C$2:$C$451,"2026-09-07")</f>
        <v>10</v>
      </c>
      <c r="O8" s="14" t="n">
        <f aca="false">COUNTIFS(データ!$A$2:$A$451,"村田",データ!$C$2:$C$451,"2026-09-14")</f>
        <v>0</v>
      </c>
    </row>
    <row r="9" customFormat="false" ht="15" hidden="false" customHeight="false" outlineLevel="0" collapsed="false">
      <c r="B9" s="32" t="s">
        <v>22</v>
      </c>
      <c r="C9" s="33" t="n">
        <f aca="false">COUNTIFS(データ!$A$2:$A$451,"角張")</f>
        <v>37</v>
      </c>
      <c r="D9" s="12" t="n">
        <v>21</v>
      </c>
      <c r="E9" s="12" t="n">
        <v>6</v>
      </c>
      <c r="F9" s="20" t="n">
        <f aca="false">IFERROR(C9/E9,0)</f>
        <v>6.16666666666667</v>
      </c>
      <c r="G9" s="11" t="n">
        <f aca="false">COUNTIFS(データ!$A$2:$A$451,"角張",データ!$H$2:$H$451,"再アプローチ")</f>
        <v>27</v>
      </c>
      <c r="H9" s="11" t="n">
        <f aca="false">COUNTIFS(データ!$A$2:$A$451,"角張",データ!$H$2:$H$451,"見積提示")</f>
        <v>3</v>
      </c>
      <c r="I9" s="11" t="n">
        <f aca="false">COUNTIFS(データ!$A$2:$A$451,"角張",データ!$H$2:$H$451,"同行依頼、再訪")</f>
        <v>1</v>
      </c>
      <c r="J9" s="11" t="n">
        <f aca="false">COUNTIFS(データ!$A$2:$A$451,"角張",データ!$H$2:$H$451,"再訪不要")</f>
        <v>4</v>
      </c>
      <c r="K9" s="21" t="n">
        <f aca="false">IFERROR(J9/SUM(G9:J9)*100,0)</f>
        <v>11.4285714285714</v>
      </c>
      <c r="L9" s="11" t="n">
        <f aca="false">COUNTIFS(データ!$A$2:$A$451,"角張",データ!$C$2:$C$451,"2026-08-24")</f>
        <v>15</v>
      </c>
      <c r="M9" s="11" t="n">
        <f aca="false">COUNTIFS(データ!$A$2:$A$451,"角張",データ!$C$2:$C$451,"2026-08-31")</f>
        <v>13</v>
      </c>
      <c r="N9" s="11" t="n">
        <f aca="false">COUNTIFS(データ!$A$2:$A$451,"角張",データ!$C$2:$C$451,"2026-09-07")</f>
        <v>8</v>
      </c>
      <c r="O9" s="11" t="n">
        <f aca="false">COUNTIFS(データ!$A$2:$A$451,"角張",データ!$C$2:$C$451,"2026-09-14")</f>
        <v>1</v>
      </c>
    </row>
    <row r="10" customFormat="false" ht="15" hidden="false" customHeight="false" outlineLevel="0" collapsed="false">
      <c r="B10" s="29" t="s">
        <v>23</v>
      </c>
      <c r="C10" s="30" t="n">
        <f aca="false">COUNTIFS(データ!$A$2:$A$451,"長戸")</f>
        <v>30</v>
      </c>
      <c r="D10" s="15" t="n">
        <v>14</v>
      </c>
      <c r="E10" s="15" t="n">
        <v>6</v>
      </c>
      <c r="F10" s="18" t="n">
        <f aca="false">IFERROR(C10/E10,0)</f>
        <v>5</v>
      </c>
      <c r="G10" s="14" t="n">
        <f aca="false">COUNTIFS(データ!$A$2:$A$451,"長戸",データ!$H$2:$H$451,"再アプローチ")</f>
        <v>17</v>
      </c>
      <c r="H10" s="14" t="n">
        <f aca="false">COUNTIFS(データ!$A$2:$A$451,"長戸",データ!$H$2:$H$451,"見積提示")</f>
        <v>7</v>
      </c>
      <c r="I10" s="14" t="n">
        <f aca="false">COUNTIFS(データ!$A$2:$A$451,"長戸",データ!$H$2:$H$451,"同行依頼、再訪")</f>
        <v>0</v>
      </c>
      <c r="J10" s="14" t="n">
        <f aca="false">COUNTIFS(データ!$A$2:$A$451,"長戸",データ!$H$2:$H$451,"再訪不要")</f>
        <v>6</v>
      </c>
      <c r="K10" s="19" t="n">
        <f aca="false">IFERROR(J10/SUM(G10:J10)*100,0)</f>
        <v>20</v>
      </c>
      <c r="L10" s="14" t="n">
        <f aca="false">COUNTIFS(データ!$A$2:$A$451,"長戸",データ!$C$2:$C$451,"2026-08-24")</f>
        <v>4</v>
      </c>
      <c r="M10" s="14" t="n">
        <f aca="false">COUNTIFS(データ!$A$2:$A$451,"長戸",データ!$C$2:$C$451,"2026-08-31")</f>
        <v>2</v>
      </c>
      <c r="N10" s="14" t="n">
        <f aca="false">COUNTIFS(データ!$A$2:$A$451,"長戸",データ!$C$2:$C$451,"2026-09-07")</f>
        <v>0</v>
      </c>
      <c r="O10" s="14" t="n">
        <f aca="false">COUNTIFS(データ!$A$2:$A$451,"長戸",データ!$C$2:$C$451,"2026-09-14")</f>
        <v>0</v>
      </c>
    </row>
    <row r="11" customFormat="false" ht="15" hidden="false" customHeight="false" outlineLevel="0" collapsed="false">
      <c r="B11" s="32" t="s">
        <v>24</v>
      </c>
      <c r="C11" s="33" t="n">
        <f aca="false">COUNTIFS(データ!$A$2:$A$451,"松田")</f>
        <v>26</v>
      </c>
      <c r="D11" s="12" t="n">
        <v>19</v>
      </c>
      <c r="E11" s="12" t="n">
        <v>6</v>
      </c>
      <c r="F11" s="20" t="n">
        <f aca="false">IFERROR(C11/E11,0)</f>
        <v>4.33333333333333</v>
      </c>
      <c r="G11" s="11" t="n">
        <f aca="false">COUNTIFS(データ!$A$2:$A$451,"松田",データ!$H$2:$H$451,"再アプローチ")</f>
        <v>12</v>
      </c>
      <c r="H11" s="11" t="n">
        <f aca="false">COUNTIFS(データ!$A$2:$A$451,"松田",データ!$H$2:$H$451,"見積提示")</f>
        <v>3</v>
      </c>
      <c r="I11" s="11" t="n">
        <f aca="false">COUNTIFS(データ!$A$2:$A$451,"松田",データ!$H$2:$H$451,"同行依頼、再訪")</f>
        <v>0</v>
      </c>
      <c r="J11" s="11" t="n">
        <f aca="false">COUNTIFS(データ!$A$2:$A$451,"松田",データ!$H$2:$H$451,"再訪不要")</f>
        <v>10</v>
      </c>
      <c r="K11" s="21" t="n">
        <f aca="false">IFERROR(J11/SUM(G11:J11)*100,0)</f>
        <v>40</v>
      </c>
      <c r="L11" s="11" t="n">
        <f aca="false">COUNTIFS(データ!$A$2:$A$451,"松田",データ!$C$2:$C$451,"2026-08-24")</f>
        <v>0</v>
      </c>
      <c r="M11" s="11" t="n">
        <f aca="false">COUNTIFS(データ!$A$2:$A$451,"松田",データ!$C$2:$C$451,"2026-08-31")</f>
        <v>11</v>
      </c>
      <c r="N11" s="11" t="n">
        <f aca="false">COUNTIFS(データ!$A$2:$A$451,"松田",データ!$C$2:$C$451,"2026-09-07")</f>
        <v>0</v>
      </c>
      <c r="O11" s="11" t="n">
        <f aca="false">COUNTIFS(データ!$A$2:$A$451,"松田",データ!$C$2:$C$451,"2026-09-14")</f>
        <v>0</v>
      </c>
    </row>
    <row r="12" customFormat="false" ht="15" hidden="false" customHeight="false" outlineLevel="0" collapsed="false">
      <c r="B12" s="29" t="s">
        <v>25</v>
      </c>
      <c r="C12" s="30" t="n">
        <f aca="false">COUNTIFS(データ!$A$2:$A$451,"高橋")</f>
        <v>23</v>
      </c>
      <c r="D12" s="15" t="n">
        <v>18</v>
      </c>
      <c r="E12" s="15" t="n">
        <v>11</v>
      </c>
      <c r="F12" s="18" t="n">
        <f aca="false">IFERROR(C12/E12,0)</f>
        <v>2.09090909090909</v>
      </c>
      <c r="G12" s="14" t="n">
        <f aca="false">COUNTIFS(データ!$A$2:$A$451,"高橋",データ!$H$2:$H$451,"再アプローチ")</f>
        <v>14</v>
      </c>
      <c r="H12" s="14" t="n">
        <f aca="false">COUNTIFS(データ!$A$2:$A$451,"高橋",データ!$H$2:$H$451,"見積提示")</f>
        <v>9</v>
      </c>
      <c r="I12" s="14" t="n">
        <f aca="false">COUNTIFS(データ!$A$2:$A$451,"高橋",データ!$H$2:$H$451,"同行依頼、再訪")</f>
        <v>0</v>
      </c>
      <c r="J12" s="14" t="n">
        <f aca="false">COUNTIFS(データ!$A$2:$A$451,"高橋",データ!$H$2:$H$451,"再訪不要")</f>
        <v>0</v>
      </c>
      <c r="K12" s="19" t="n">
        <f aca="false">IFERROR(J12/SUM(G12:J12)*100,0)</f>
        <v>0</v>
      </c>
      <c r="L12" s="14" t="n">
        <f aca="false">COUNTIFS(データ!$A$2:$A$451,"高橋",データ!$C$2:$C$451,"2026-08-24")</f>
        <v>5</v>
      </c>
      <c r="M12" s="14" t="n">
        <f aca="false">COUNTIFS(データ!$A$2:$A$451,"高橋",データ!$C$2:$C$451,"2026-08-31")</f>
        <v>0</v>
      </c>
      <c r="N12" s="14" t="n">
        <f aca="false">COUNTIFS(データ!$A$2:$A$451,"高橋",データ!$C$2:$C$451,"2026-09-07")</f>
        <v>3</v>
      </c>
      <c r="O12" s="14" t="n">
        <f aca="false">COUNTIFS(データ!$A$2:$A$451,"高橋",データ!$C$2:$C$451,"2026-09-14")</f>
        <v>7</v>
      </c>
    </row>
    <row r="13" customFormat="false" ht="15" hidden="false" customHeight="false" outlineLevel="0" collapsed="false">
      <c r="B13" s="32" t="s">
        <v>26</v>
      </c>
      <c r="C13" s="33" t="n">
        <f aca="false">COUNTIFS(データ!$A$2:$A$451,"岡本")</f>
        <v>23</v>
      </c>
      <c r="D13" s="12" t="n">
        <v>15</v>
      </c>
      <c r="E13" s="12" t="n">
        <v>6</v>
      </c>
      <c r="F13" s="20" t="n">
        <f aca="false">IFERROR(C13/E13,0)</f>
        <v>3.83333333333333</v>
      </c>
      <c r="G13" s="11" t="n">
        <f aca="false">COUNTIFS(データ!$A$2:$A$451,"岡本",データ!$H$2:$H$451,"再アプローチ")</f>
        <v>6</v>
      </c>
      <c r="H13" s="11" t="n">
        <f aca="false">COUNTIFS(データ!$A$2:$A$451,"岡本",データ!$H$2:$H$451,"見積提示")</f>
        <v>8</v>
      </c>
      <c r="I13" s="11" t="n">
        <f aca="false">COUNTIFS(データ!$A$2:$A$451,"岡本",データ!$H$2:$H$451,"同行依頼、再訪")</f>
        <v>0</v>
      </c>
      <c r="J13" s="11" t="n">
        <f aca="false">COUNTIFS(データ!$A$2:$A$451,"岡本",データ!$H$2:$H$451,"再訪不要")</f>
        <v>8</v>
      </c>
      <c r="K13" s="21" t="n">
        <f aca="false">IFERROR(J13/SUM(G13:J13)*100,0)</f>
        <v>36.3636363636364</v>
      </c>
      <c r="L13" s="11" t="n">
        <f aca="false">COUNTIFS(データ!$A$2:$A$451,"岡本",データ!$C$2:$C$451,"2026-08-24")</f>
        <v>20</v>
      </c>
      <c r="M13" s="11" t="n">
        <f aca="false">COUNTIFS(データ!$A$2:$A$451,"岡本",データ!$C$2:$C$451,"2026-08-31")</f>
        <v>3</v>
      </c>
      <c r="N13" s="11" t="n">
        <f aca="false">COUNTIFS(データ!$A$2:$A$451,"岡本",データ!$C$2:$C$451,"2026-09-07")</f>
        <v>0</v>
      </c>
      <c r="O13" s="11" t="n">
        <f aca="false">COUNTIFS(データ!$A$2:$A$451,"岡本",データ!$C$2:$C$451,"2026-09-14")</f>
        <v>0</v>
      </c>
    </row>
    <row r="14" customFormat="false" ht="15" hidden="false" customHeight="false" outlineLevel="0" collapsed="false">
      <c r="B14" s="29" t="s">
        <v>27</v>
      </c>
      <c r="C14" s="30" t="n">
        <f aca="false">COUNTIFS(データ!$A$2:$A$451,"吉野")</f>
        <v>19</v>
      </c>
      <c r="D14" s="15" t="n">
        <v>13</v>
      </c>
      <c r="E14" s="15" t="n">
        <v>8</v>
      </c>
      <c r="F14" s="18" t="n">
        <f aca="false">IFERROR(C14/E14,0)</f>
        <v>2.375</v>
      </c>
      <c r="G14" s="14" t="n">
        <f aca="false">COUNTIFS(データ!$A$2:$A$451,"吉野",データ!$H$2:$H$451,"再アプローチ")</f>
        <v>9</v>
      </c>
      <c r="H14" s="14" t="n">
        <f aca="false">COUNTIFS(データ!$A$2:$A$451,"吉野",データ!$H$2:$H$451,"見積提示")</f>
        <v>8</v>
      </c>
      <c r="I14" s="14" t="n">
        <f aca="false">COUNTIFS(データ!$A$2:$A$451,"吉野",データ!$H$2:$H$451,"同行依頼、再訪")</f>
        <v>1</v>
      </c>
      <c r="J14" s="14" t="n">
        <f aca="false">COUNTIFS(データ!$A$2:$A$451,"吉野",データ!$H$2:$H$451,"再訪不要")</f>
        <v>0</v>
      </c>
      <c r="K14" s="19" t="n">
        <f aca="false">IFERROR(J14/SUM(G14:J14)*100,0)</f>
        <v>0</v>
      </c>
      <c r="L14" s="14" t="n">
        <f aca="false">COUNTIFS(データ!$A$2:$A$451,"吉野",データ!$C$2:$C$451,"2026-08-24")</f>
        <v>8</v>
      </c>
      <c r="M14" s="14" t="n">
        <f aca="false">COUNTIFS(データ!$A$2:$A$451,"吉野",データ!$C$2:$C$451,"2026-08-31")</f>
        <v>0</v>
      </c>
      <c r="N14" s="14" t="n">
        <f aca="false">COUNTIFS(データ!$A$2:$A$451,"吉野",データ!$C$2:$C$451,"2026-09-07")</f>
        <v>5</v>
      </c>
      <c r="O14" s="14" t="n">
        <f aca="false">COUNTIFS(データ!$A$2:$A$451,"吉野",データ!$C$2:$C$451,"2026-09-14")</f>
        <v>0</v>
      </c>
    </row>
    <row r="15" customFormat="false" ht="15" hidden="false" customHeight="false" outlineLevel="0" collapsed="false">
      <c r="B15" s="32" t="s">
        <v>28</v>
      </c>
      <c r="C15" s="33" t="n">
        <f aca="false">COUNTIFS(データ!$A$2:$A$451,"若山")</f>
        <v>17</v>
      </c>
      <c r="D15" s="12" t="n">
        <v>16</v>
      </c>
      <c r="E15" s="12" t="n">
        <v>1</v>
      </c>
      <c r="F15" s="20" t="n">
        <f aca="false">IFERROR(C15/E15,0)</f>
        <v>17</v>
      </c>
      <c r="G15" s="11" t="n">
        <f aca="false">COUNTIFS(データ!$A$2:$A$451,"若山",データ!$H$2:$H$451,"再アプローチ")</f>
        <v>2</v>
      </c>
      <c r="H15" s="11" t="n">
        <f aca="false">COUNTIFS(データ!$A$2:$A$451,"若山",データ!$H$2:$H$451,"見積提示")</f>
        <v>0</v>
      </c>
      <c r="I15" s="11" t="n">
        <f aca="false">COUNTIFS(データ!$A$2:$A$451,"若山",データ!$H$2:$H$451,"同行依頼、再訪")</f>
        <v>0</v>
      </c>
      <c r="J15" s="11" t="n">
        <f aca="false">COUNTIFS(データ!$A$2:$A$451,"若山",データ!$H$2:$H$451,"再訪不要")</f>
        <v>0</v>
      </c>
      <c r="K15" s="21" t="n">
        <f aca="false">IFERROR(J15/SUM(G15:J15)*100,0)</f>
        <v>0</v>
      </c>
      <c r="L15" s="11" t="n">
        <f aca="false">COUNTIFS(データ!$A$2:$A$451,"若山",データ!$C$2:$C$451,"2026-08-24")</f>
        <v>15</v>
      </c>
      <c r="M15" s="11" t="n">
        <f aca="false">COUNTIFS(データ!$A$2:$A$451,"若山",データ!$C$2:$C$451,"2026-08-31")</f>
        <v>0</v>
      </c>
      <c r="N15" s="11" t="n">
        <f aca="false">COUNTIFS(データ!$A$2:$A$451,"若山",データ!$C$2:$C$451,"2026-09-07")</f>
        <v>0</v>
      </c>
      <c r="O15" s="11" t="n">
        <f aca="false">COUNTIFS(データ!$A$2:$A$451,"若山",データ!$C$2:$C$451,"2026-09-14")</f>
        <v>0</v>
      </c>
    </row>
    <row r="16" customFormat="false" ht="15" hidden="false" customHeight="false" outlineLevel="0" collapsed="false">
      <c r="B16" s="22" t="s">
        <v>29</v>
      </c>
      <c r="C16" s="23" t="n">
        <f aca="false">SUM(C6:C15)</f>
        <v>447</v>
      </c>
      <c r="D16" s="24"/>
      <c r="E16" s="24"/>
      <c r="F16" s="24"/>
      <c r="G16" s="23" t="n">
        <f aca="false">SUM(G6:G15)</f>
        <v>226</v>
      </c>
      <c r="H16" s="23" t="n">
        <f aca="false">SUM(H6:H15)</f>
        <v>56</v>
      </c>
      <c r="I16" s="23" t="n">
        <f aca="false">SUM(I6:I15)</f>
        <v>24</v>
      </c>
      <c r="J16" s="23" t="n">
        <f aca="false">SUM(J6:J15)</f>
        <v>102</v>
      </c>
      <c r="K16" s="34" t="n">
        <f aca="false">IFERROR(J16/SUM(G16:J16)*100,0)</f>
        <v>25</v>
      </c>
      <c r="L16" s="23" t="n">
        <f aca="false">SUM(L6:L15)</f>
        <v>109</v>
      </c>
      <c r="M16" s="23" t="n">
        <f aca="false">SUM(M6:M15)</f>
        <v>85</v>
      </c>
      <c r="N16" s="23" t="n">
        <f aca="false">SUM(N6:N15)</f>
        <v>35</v>
      </c>
      <c r="O16" s="23" t="n">
        <f aca="false">SUM(O6:O15)</f>
        <v>17</v>
      </c>
    </row>
    <row r="18" customFormat="false" ht="15" hidden="false" customHeight="false" outlineLevel="0" collapsed="false">
      <c r="B18" s="2" t="s">
        <v>98</v>
      </c>
    </row>
    <row r="19" customFormat="false" ht="15" hidden="false" customHeight="false" outlineLevel="0" collapsed="false">
      <c r="B19" s="2" t="s">
        <v>99</v>
      </c>
    </row>
    <row r="20" customFormat="false" ht="15" hidden="false" customHeight="false" outlineLevel="0" collapsed="false">
      <c r="B20" s="2" t="s">
        <v>100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E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8" min="3" style="0" width="13"/>
  </cols>
  <sheetData>
    <row r="2" customFormat="false" ht="17.35" hidden="false" customHeight="false" outlineLevel="0" collapsed="false">
      <c r="B2" s="1" t="s">
        <v>101</v>
      </c>
    </row>
    <row r="3" customFormat="false" ht="15" hidden="false" customHeight="false" outlineLevel="0" collapsed="false">
      <c r="B3" s="2" t="s">
        <v>102</v>
      </c>
    </row>
    <row r="5" customFormat="false" ht="15" hidden="false" customHeight="false" outlineLevel="0" collapsed="false">
      <c r="B5" s="3" t="s">
        <v>103</v>
      </c>
    </row>
    <row r="6" customFormat="false" ht="15" hidden="false" customHeight="false" outlineLevel="0" collapsed="false">
      <c r="B6" s="4" t="s">
        <v>104</v>
      </c>
      <c r="C6" s="4" t="s">
        <v>33</v>
      </c>
      <c r="D6" s="4" t="s">
        <v>34</v>
      </c>
    </row>
    <row r="7" customFormat="false" ht="15" hidden="false" customHeight="false" outlineLevel="0" collapsed="false">
      <c r="B7" s="13" t="s">
        <v>105</v>
      </c>
      <c r="C7" s="14" t="n">
        <f aca="false">COUNTA(データ!$A$2:$A$451)</f>
        <v>450</v>
      </c>
      <c r="D7" s="19"/>
    </row>
    <row r="8" customFormat="false" ht="15" hidden="false" customHeight="false" outlineLevel="0" collapsed="false">
      <c r="B8" s="10" t="s">
        <v>106</v>
      </c>
      <c r="C8" s="11" t="n">
        <f aca="false">COUNTA(データ!$H$2:$H$451)-COUNTIFS(データ!$H$2:$H$451,"(未記入)")</f>
        <v>408</v>
      </c>
      <c r="D8" s="21"/>
    </row>
    <row r="9" customFormat="false" ht="15" hidden="false" customHeight="false" outlineLevel="0" collapsed="false">
      <c r="B9" s="25" t="s">
        <v>9</v>
      </c>
      <c r="C9" s="26" t="n">
        <f aca="false">COUNTIFS(データ!$H$2:$H$451,"再訪不要")</f>
        <v>102</v>
      </c>
      <c r="D9" s="40" t="n">
        <f aca="false">IFERROR(C9/$C$8*100,0)</f>
        <v>25</v>
      </c>
      <c r="E9" s="2" t="s">
        <v>107</v>
      </c>
    </row>
    <row r="10" customFormat="false" ht="15" hidden="false" customHeight="false" outlineLevel="0" collapsed="false">
      <c r="B10" s="10" t="s">
        <v>7</v>
      </c>
      <c r="C10" s="11" t="n">
        <f aca="false">COUNTIFS(データ!$H$2:$H$451,"再アプローチ")</f>
        <v>226</v>
      </c>
      <c r="D10" s="21" t="n">
        <f aca="false">IFERROR(C10/$C$8*100,0)</f>
        <v>55.3921568627451</v>
      </c>
    </row>
    <row r="11" customFormat="false" ht="15" hidden="false" customHeight="false" outlineLevel="0" collapsed="false">
      <c r="B11" s="13" t="s">
        <v>8</v>
      </c>
      <c r="C11" s="14" t="n">
        <f aca="false">COUNTIFS(データ!$H$2:$H$451,"見積提示")</f>
        <v>56</v>
      </c>
      <c r="D11" s="19" t="n">
        <f aca="false">IFERROR(C11/$C$8*100,0)</f>
        <v>13.7254901960784</v>
      </c>
    </row>
    <row r="12" customFormat="false" ht="15" hidden="false" customHeight="false" outlineLevel="0" collapsed="false">
      <c r="B12" s="10" t="s">
        <v>108</v>
      </c>
      <c r="C12" s="11" t="n">
        <f aca="false">COUNTIFS(データ!$H$2:$H$451,"同行依頼、再訪")</f>
        <v>24</v>
      </c>
      <c r="D12" s="21" t="n">
        <f aca="false">IFERROR(C12/$C$8*100,0)</f>
        <v>5.88235294117647</v>
      </c>
    </row>
    <row r="15" customFormat="false" ht="15" hidden="false" customHeight="false" outlineLevel="0" collapsed="false">
      <c r="B15" s="3" t="s">
        <v>109</v>
      </c>
    </row>
    <row r="16" customFormat="false" ht="15" hidden="false" customHeight="false" outlineLevel="0" collapsed="false">
      <c r="B16" s="4" t="s">
        <v>110</v>
      </c>
      <c r="C16" s="4" t="s">
        <v>33</v>
      </c>
      <c r="D16" s="4" t="s">
        <v>34</v>
      </c>
      <c r="E16" s="4" t="s">
        <v>32</v>
      </c>
    </row>
    <row r="17" customFormat="false" ht="15" hidden="false" customHeight="false" outlineLevel="0" collapsed="false">
      <c r="B17" s="13" t="s">
        <v>38</v>
      </c>
      <c r="C17" s="14" t="n">
        <f aca="false">COUNTIFS(データ!$H$2:$H$451,"再訪不要",データ!$N$2:$N$451,"自前作成方針（庁内対応）")</f>
        <v>37</v>
      </c>
      <c r="D17" s="19" t="n">
        <f aca="false">IFERROR(C17/$C$27*100,0)</f>
        <v>36.2745098039216</v>
      </c>
      <c r="E17" s="13" t="s">
        <v>38</v>
      </c>
    </row>
    <row r="18" customFormat="false" ht="15" hidden="false" customHeight="false" outlineLevel="0" collapsed="false">
      <c r="B18" s="10" t="s">
        <v>111</v>
      </c>
      <c r="C18" s="11" t="n">
        <f aca="false">COUNTIFS(データ!$H$2:$H$451,"再訪不要",データ!$N$2:$N$451,"他社受託：システム抱き合わせ")</f>
        <v>22</v>
      </c>
      <c r="D18" s="21" t="n">
        <f aca="false">IFERROR(C18/$C$27*100,0)</f>
        <v>21.5686274509804</v>
      </c>
      <c r="E18" s="10" t="s">
        <v>36</v>
      </c>
    </row>
    <row r="19" customFormat="false" ht="15" hidden="false" customHeight="false" outlineLevel="0" collapsed="false">
      <c r="B19" s="13" t="s">
        <v>112</v>
      </c>
      <c r="C19" s="14" t="n">
        <f aca="false">COUNTIFS(データ!$H$2:$H$451,"再訪不要",データ!$N$2:$N$451,"他社受託：随契・委託継続")</f>
        <v>14</v>
      </c>
      <c r="D19" s="19" t="n">
        <f aca="false">IFERROR(C19/$C$27*100,0)</f>
        <v>13.7254901960784</v>
      </c>
      <c r="E19" s="13" t="s">
        <v>36</v>
      </c>
    </row>
    <row r="20" customFormat="false" ht="15" hidden="false" customHeight="false" outlineLevel="0" collapsed="false">
      <c r="B20" s="10" t="s">
        <v>40</v>
      </c>
      <c r="C20" s="11" t="n">
        <f aca="false">COUNTIFS(データ!$H$2:$H$451,"再訪不要",データ!$N$2:$N$451,"策定済み・改定時期が先")</f>
        <v>10</v>
      </c>
      <c r="D20" s="21" t="n">
        <f aca="false">IFERROR(C20/$C$27*100,0)</f>
        <v>9.80392156862745</v>
      </c>
      <c r="E20" s="10" t="s">
        <v>40</v>
      </c>
    </row>
    <row r="21" customFormat="false" ht="15" hidden="false" customHeight="false" outlineLevel="0" collapsed="false">
      <c r="B21" s="13" t="s">
        <v>42</v>
      </c>
      <c r="C21" s="14" t="n">
        <f aca="false">COUNTIFS(データ!$H$2:$H$451,"再訪不要",データ!$N$2:$N$451,"必要性・意欲が低い")</f>
        <v>8</v>
      </c>
      <c r="D21" s="19" t="n">
        <f aca="false">IFERROR(C21/$C$27*100,0)</f>
        <v>7.84313725490196</v>
      </c>
      <c r="E21" s="13" t="s">
        <v>42</v>
      </c>
    </row>
    <row r="22" customFormat="false" ht="15" hidden="false" customHeight="false" outlineLevel="0" collapsed="false">
      <c r="B22" s="10" t="s">
        <v>44</v>
      </c>
      <c r="C22" s="11" t="n">
        <f aca="false">COUNTIFS(データ!$H$2:$H$451,"再訪不要",データ!$N$2:$N$451,"予算がつかない・否決")</f>
        <v>5</v>
      </c>
      <c r="D22" s="21" t="n">
        <f aca="false">IFERROR(C22/$C$27*100,0)</f>
        <v>4.90196078431373</v>
      </c>
      <c r="E22" s="10" t="s">
        <v>44</v>
      </c>
    </row>
    <row r="23" customFormat="false" ht="15" hidden="false" customHeight="false" outlineLevel="0" collapsed="false">
      <c r="B23" s="13" t="s">
        <v>46</v>
      </c>
      <c r="C23" s="14" t="n">
        <f aca="false">COUNTIFS(データ!$H$2:$H$451,"再訪不要",データ!$N$2:$N$451,"他計画へ一体化・包含され単独案件消滅")</f>
        <v>3</v>
      </c>
      <c r="D23" s="19" t="n">
        <f aca="false">IFERROR(C23/$C$27*100,0)</f>
        <v>2.94117647058824</v>
      </c>
      <c r="E23" s="13" t="s">
        <v>46</v>
      </c>
    </row>
    <row r="24" customFormat="false" ht="15" hidden="false" customHeight="false" outlineLevel="0" collapsed="false">
      <c r="B24" s="10" t="s">
        <v>48</v>
      </c>
      <c r="C24" s="11" t="n">
        <f aca="false">COUNTIFS(データ!$H$2:$H$451,"再訪不要",データ!$N$2:$N$451,"要因不明（備考・結果とも未記入）")</f>
        <v>1</v>
      </c>
      <c r="D24" s="21" t="n">
        <f aca="false">IFERROR(C24/$C$27*100,0)</f>
        <v>0.980392156862745</v>
      </c>
      <c r="E24" s="10" t="s">
        <v>48</v>
      </c>
    </row>
    <row r="25" customFormat="false" ht="15" hidden="false" customHeight="false" outlineLevel="0" collapsed="false">
      <c r="B25" s="13" t="s">
        <v>113</v>
      </c>
      <c r="C25" s="14" t="n">
        <f aca="false">COUNTIFS(データ!$H$2:$H$451,"再訪不要",データ!$N$2:$N$451,"他社受託：入札実績要件で参入不可")</f>
        <v>1</v>
      </c>
      <c r="D25" s="19" t="n">
        <f aca="false">IFERROR(C25/$C$27*100,0)</f>
        <v>0.980392156862745</v>
      </c>
      <c r="E25" s="13" t="s">
        <v>36</v>
      </c>
    </row>
    <row r="26" customFormat="false" ht="15" hidden="false" customHeight="false" outlineLevel="0" collapsed="false">
      <c r="B26" s="10" t="s">
        <v>50</v>
      </c>
      <c r="C26" s="11" t="n">
        <f aca="false">COUNTIFS(データ!$H$2:$H$451,"再訪不要",データ!$N$2:$N$451,"庁内事情・外部要因による遅延")</f>
        <v>1</v>
      </c>
      <c r="D26" s="21" t="n">
        <f aca="false">IFERROR(C26/$C$27*100,0)</f>
        <v>0.980392156862745</v>
      </c>
      <c r="E26" s="10" t="s">
        <v>50</v>
      </c>
    </row>
    <row r="27" customFormat="false" ht="15" hidden="false" customHeight="false" outlineLevel="0" collapsed="false">
      <c r="B27" s="22" t="s">
        <v>29</v>
      </c>
      <c r="C27" s="23" t="n">
        <f aca="false">SUM(C17:C26)</f>
        <v>102</v>
      </c>
      <c r="D27" s="34" t="n">
        <f aca="false">IFERROR(C27/C27*100,0)</f>
        <v>100</v>
      </c>
      <c r="E27" s="24"/>
    </row>
    <row r="30" customFormat="false" ht="15" hidden="false" customHeight="false" outlineLevel="0" collapsed="false">
      <c r="B30" s="3" t="s">
        <v>114</v>
      </c>
    </row>
    <row r="31" customFormat="false" ht="15" hidden="false" customHeight="false" outlineLevel="0" collapsed="false">
      <c r="B31" s="4" t="s">
        <v>115</v>
      </c>
      <c r="C31" s="4" t="s">
        <v>9</v>
      </c>
      <c r="D31" s="4" t="s">
        <v>116</v>
      </c>
      <c r="E31" s="4" t="s">
        <v>17</v>
      </c>
    </row>
    <row r="32" customFormat="false" ht="15" hidden="false" customHeight="false" outlineLevel="0" collapsed="false">
      <c r="B32" s="13" t="s">
        <v>117</v>
      </c>
      <c r="C32" s="14" t="n">
        <f aca="false">COUNTIFS(データ!$H$2:$H$451,"再訪不要",データ!$G$2:$G$451,"自力")</f>
        <v>46</v>
      </c>
      <c r="D32" s="14" t="n">
        <f aca="false">COUNTIFS(データ!$G$2:$G$451,"自力")</f>
        <v>99</v>
      </c>
      <c r="E32" s="19" t="n">
        <f aca="false">IFERROR(C32/D32*100,0)</f>
        <v>46.4646464646465</v>
      </c>
    </row>
    <row r="33" customFormat="false" ht="15" hidden="false" customHeight="false" outlineLevel="0" collapsed="false">
      <c r="B33" s="10" t="s">
        <v>118</v>
      </c>
      <c r="C33" s="11" t="n">
        <f aca="false">COUNTIFS(データ!$H$2:$H$451,"再訪不要",データ!$G$2:$G$451,"他社随契")</f>
        <v>15</v>
      </c>
      <c r="D33" s="11" t="n">
        <f aca="false">COUNTIFS(データ!$G$2:$G$451,"他社随契")</f>
        <v>50</v>
      </c>
      <c r="E33" s="21" t="n">
        <f aca="false">IFERROR(C33/D33*100,0)</f>
        <v>30</v>
      </c>
    </row>
    <row r="34" customFormat="false" ht="15" hidden="false" customHeight="false" outlineLevel="0" collapsed="false">
      <c r="B34" s="13" t="s">
        <v>119</v>
      </c>
      <c r="C34" s="14" t="n">
        <f aca="false">COUNTIFS(データ!$H$2:$H$451,"再訪不要",データ!$G$2:$G$451,"その他")</f>
        <v>9</v>
      </c>
      <c r="D34" s="14" t="n">
        <f aca="false">COUNTIFS(データ!$G$2:$G$451,"その他")</f>
        <v>97</v>
      </c>
      <c r="E34" s="19" t="n">
        <f aca="false">IFERROR(C34/D34*100,0)</f>
        <v>9.27835051546392</v>
      </c>
    </row>
    <row r="35" customFormat="false" ht="15" hidden="false" customHeight="false" outlineLevel="0" collapsed="false">
      <c r="B35" s="10" t="s">
        <v>8</v>
      </c>
      <c r="C35" s="11" t="n">
        <f aca="false">COUNTIFS(データ!$H$2:$H$451,"再訪不要",データ!$G$2:$G$451,"見積提示")</f>
        <v>1</v>
      </c>
      <c r="D35" s="11" t="n">
        <f aca="false">COUNTIFS(データ!$G$2:$G$451,"見積提示")</f>
        <v>29</v>
      </c>
      <c r="E35" s="21" t="n">
        <f aca="false">IFERROR(C35/D35*100,0)</f>
        <v>3.44827586206897</v>
      </c>
    </row>
    <row r="36" customFormat="false" ht="15" hidden="false" customHeight="false" outlineLevel="0" collapsed="false">
      <c r="B36" s="13" t="s">
        <v>120</v>
      </c>
      <c r="C36" s="14" t="n">
        <f aca="false">COUNTIFS(データ!$H$2:$H$451,"再訪不要",データ!$G$2:$G$451,"不在")</f>
        <v>0</v>
      </c>
      <c r="D36" s="14" t="n">
        <f aca="false">COUNTIFS(データ!$G$2:$G$451,"不在")</f>
        <v>33</v>
      </c>
      <c r="E36" s="19" t="n">
        <f aca="false">IFERROR(C36/D36*100,0)</f>
        <v>0</v>
      </c>
    </row>
    <row r="37" customFormat="false" ht="15" hidden="false" customHeight="false" outlineLevel="0" collapsed="false">
      <c r="B37" s="36" t="s">
        <v>121</v>
      </c>
      <c r="C37" s="11" t="n">
        <f aca="false">COUNTIFS(データ!$H$2:$H$451,"再訪不要",データ!$G$2:$G$451,"(未記入)")</f>
        <v>31</v>
      </c>
      <c r="D37" s="11" t="n">
        <f aca="false">COUNTIFS(データ!$G$2:$G$451,"(未記入)")</f>
        <v>142</v>
      </c>
      <c r="E37" s="21" t="n">
        <f aca="false">IFERROR(C37/D37*100,0)</f>
        <v>21.830985915493</v>
      </c>
    </row>
    <row r="38" customFormat="false" ht="15" hidden="false" customHeight="false" outlineLevel="0" collapsed="false">
      <c r="B38" s="22" t="s">
        <v>29</v>
      </c>
      <c r="C38" s="23" t="n">
        <f aca="false">SUM(C32:C37)</f>
        <v>102</v>
      </c>
      <c r="D38" s="23" t="n">
        <f aca="false">SUM(D32:D37)</f>
        <v>450</v>
      </c>
      <c r="E38" s="34" t="n">
        <f aca="false">IFERROR(C38/D38*100,0)</f>
        <v>22.6666666666667</v>
      </c>
    </row>
    <row r="40" customFormat="false" ht="15" hidden="false" customHeight="false" outlineLevel="0" collapsed="false">
      <c r="B40" s="4" t="s">
        <v>122</v>
      </c>
      <c r="C40" s="4" t="s">
        <v>9</v>
      </c>
      <c r="D40" s="4" t="s">
        <v>116</v>
      </c>
      <c r="E40" s="4" t="s">
        <v>17</v>
      </c>
    </row>
    <row r="41" customFormat="false" ht="15" hidden="false" customHeight="false" outlineLevel="0" collapsed="false">
      <c r="B41" s="13" t="s">
        <v>85</v>
      </c>
      <c r="C41" s="14" t="n">
        <f aca="false">COUNTIFS(データ!$H$2:$H$451,"再訪不要",データ!$L$2:$L$451,"初回訪問")</f>
        <v>35</v>
      </c>
      <c r="D41" s="14" t="n">
        <f aca="false">COUNTIFS(データ!$L$2:$L$451,"初回訪問")</f>
        <v>111</v>
      </c>
      <c r="E41" s="19" t="n">
        <f aca="false">IFERROR(C41/D41*100,0)</f>
        <v>31.5315315315315</v>
      </c>
    </row>
    <row r="42" customFormat="false" ht="15" hidden="false" customHeight="false" outlineLevel="0" collapsed="false">
      <c r="B42" s="10" t="s">
        <v>84</v>
      </c>
      <c r="C42" s="11" t="n">
        <f aca="false">COUNTIFS(データ!$H$2:$H$451,"再訪不要",データ!$L$2:$L$451,"セカンドアプローチ")</f>
        <v>17</v>
      </c>
      <c r="D42" s="11" t="n">
        <f aca="false">COUNTIFS(データ!$L$2:$L$451,"セカンドアプローチ")</f>
        <v>162</v>
      </c>
      <c r="E42" s="21" t="n">
        <f aca="false">IFERROR(C42/D42*100,0)</f>
        <v>10.4938271604938</v>
      </c>
    </row>
    <row r="43" customFormat="false" ht="15" hidden="false" customHeight="false" outlineLevel="0" collapsed="false">
      <c r="B43" s="13" t="s">
        <v>8</v>
      </c>
      <c r="C43" s="14" t="n">
        <f aca="false">COUNTIFS(データ!$H$2:$H$451,"再訪不要",データ!$L$2:$L$451,"見積提示")</f>
        <v>1</v>
      </c>
      <c r="D43" s="14" t="n">
        <f aca="false">COUNTIFS(データ!$L$2:$L$451,"見積提示")</f>
        <v>32</v>
      </c>
      <c r="E43" s="19" t="n">
        <f aca="false">IFERROR(C43/D43*100,0)</f>
        <v>3.125</v>
      </c>
    </row>
    <row r="44" customFormat="false" ht="15" hidden="false" customHeight="false" outlineLevel="0" collapsed="false">
      <c r="B44" s="10" t="s">
        <v>86</v>
      </c>
      <c r="C44" s="11" t="n">
        <f aca="false">COUNTIFS(データ!$H$2:$H$451,"再訪不要",データ!$L$2:$L$451,"見積＋仕様書")</f>
        <v>0</v>
      </c>
      <c r="D44" s="11" t="n">
        <f aca="false">COUNTIFS(データ!$L$2:$L$451,"見積＋仕様書")</f>
        <v>12</v>
      </c>
      <c r="E44" s="21" t="n">
        <f aca="false">IFERROR(C44/D44*100,0)</f>
        <v>0</v>
      </c>
    </row>
    <row r="45" customFormat="false" ht="15" hidden="false" customHeight="false" outlineLevel="0" collapsed="false">
      <c r="B45" s="31" t="s">
        <v>121</v>
      </c>
      <c r="C45" s="14" t="n">
        <f aca="false">COUNTIFS(データ!$H$2:$H$451,"再訪不要",データ!$L$2:$L$451,"(未記入)")</f>
        <v>49</v>
      </c>
      <c r="D45" s="14" t="n">
        <f aca="false">COUNTIFS(データ!$L$2:$L$451,"(未記入)")</f>
        <v>133</v>
      </c>
      <c r="E45" s="19" t="n">
        <f aca="false">IFERROR(C45/D45*100,0)</f>
        <v>36.8421052631579</v>
      </c>
    </row>
    <row r="46" customFormat="false" ht="15" hidden="false" customHeight="false" outlineLevel="0" collapsed="false">
      <c r="B46" s="22" t="s">
        <v>29</v>
      </c>
      <c r="C46" s="23" t="n">
        <f aca="false">SUM(C41:C45)</f>
        <v>102</v>
      </c>
      <c r="D46" s="23" t="n">
        <f aca="false">SUM(D41:D45)</f>
        <v>450</v>
      </c>
      <c r="E46" s="34" t="n">
        <f aca="false">IFERROR(C46/D46*100,0)</f>
        <v>22.6666666666667</v>
      </c>
    </row>
    <row r="48" customFormat="false" ht="15" hidden="false" customHeight="false" outlineLevel="0" collapsed="false">
      <c r="B48" s="4" t="s">
        <v>123</v>
      </c>
      <c r="C48" s="4" t="s">
        <v>9</v>
      </c>
      <c r="D48" s="4" t="s">
        <v>116</v>
      </c>
      <c r="E48" s="4" t="s">
        <v>17</v>
      </c>
    </row>
    <row r="49" customFormat="false" ht="15" hidden="false" customHeight="false" outlineLevel="0" collapsed="false">
      <c r="B49" s="13" t="s">
        <v>78</v>
      </c>
      <c r="C49" s="14" t="n">
        <f aca="false">COUNTIFS(データ!$H$2:$H$451,"再訪不要",データ!$F$2:$F$451,"公会計")</f>
        <v>18</v>
      </c>
      <c r="D49" s="14" t="n">
        <f aca="false">COUNTIFS(データ!$F$2:$F$451,"公会計")</f>
        <v>119</v>
      </c>
      <c r="E49" s="19" t="n">
        <f aca="false">IFERROR(C49/D49*100,0)</f>
        <v>15.1260504201681</v>
      </c>
    </row>
    <row r="50" customFormat="false" ht="15" hidden="false" customHeight="false" outlineLevel="0" collapsed="false">
      <c r="B50" s="10" t="s">
        <v>79</v>
      </c>
      <c r="C50" s="11" t="n">
        <f aca="false">COUNTIFS(データ!$H$2:$H$451,"再訪不要",データ!$F$2:$F$451,"その他計画")</f>
        <v>30</v>
      </c>
      <c r="D50" s="11" t="n">
        <f aca="false">COUNTIFS(データ!$F$2:$F$451,"その他計画")</f>
        <v>110</v>
      </c>
      <c r="E50" s="21" t="n">
        <f aca="false">IFERROR(C50/D50*100,0)</f>
        <v>27.2727272727273</v>
      </c>
    </row>
    <row r="51" customFormat="false" ht="15" hidden="false" customHeight="false" outlineLevel="0" collapsed="false">
      <c r="B51" s="13" t="s">
        <v>80</v>
      </c>
      <c r="C51" s="14" t="n">
        <f aca="false">COUNTIFS(データ!$H$2:$H$451,"再訪不要",データ!$F$2:$F$451,"福祉計画")</f>
        <v>23</v>
      </c>
      <c r="D51" s="14" t="n">
        <f aca="false">COUNTIFS(データ!$F$2:$F$451,"福祉計画")</f>
        <v>82</v>
      </c>
      <c r="E51" s="19" t="n">
        <f aca="false">IFERROR(C51/D51*100,0)</f>
        <v>28.0487804878049</v>
      </c>
    </row>
    <row r="52" customFormat="false" ht="15" hidden="false" customHeight="false" outlineLevel="0" collapsed="false">
      <c r="B52" s="10" t="s">
        <v>81</v>
      </c>
      <c r="C52" s="11" t="n">
        <f aca="false">COUNTIFS(データ!$H$2:$H$451,"再訪不要",データ!$F$2:$F$451,"公共施設マネジメント")</f>
        <v>9</v>
      </c>
      <c r="D52" s="11" t="n">
        <f aca="false">COUNTIFS(データ!$F$2:$F$451,"公共施設マネジメント")</f>
        <v>47</v>
      </c>
      <c r="E52" s="21" t="n">
        <f aca="false">IFERROR(C52/D52*100,0)</f>
        <v>19.1489361702128</v>
      </c>
    </row>
    <row r="53" customFormat="false" ht="15" hidden="false" customHeight="false" outlineLevel="0" collapsed="false">
      <c r="B53" s="13" t="s">
        <v>124</v>
      </c>
      <c r="C53" s="14" t="n">
        <f aca="false">COUNTIFS(データ!$H$2:$H$451,"再訪不要",データ!$F$2:$F$451,"会計支援")</f>
        <v>7</v>
      </c>
      <c r="D53" s="14" t="n">
        <f aca="false">COUNTIFS(データ!$F$2:$F$451,"会計支援")</f>
        <v>40</v>
      </c>
      <c r="E53" s="19" t="n">
        <f aca="false">IFERROR(C53/D53*100,0)</f>
        <v>17.5</v>
      </c>
    </row>
    <row r="54" customFormat="false" ht="15" hidden="false" customHeight="false" outlineLevel="0" collapsed="false">
      <c r="B54" s="10" t="s">
        <v>82</v>
      </c>
      <c r="C54" s="11" t="n">
        <f aca="false">COUNTIFS(データ!$H$2:$H$451,"再訪不要",データ!$F$2:$F$451,"経営戦略")</f>
        <v>3</v>
      </c>
      <c r="D54" s="11" t="n">
        <f aca="false">COUNTIFS(データ!$F$2:$F$451,"経営戦略")</f>
        <v>25</v>
      </c>
      <c r="E54" s="21" t="n">
        <f aca="false">IFERROR(C54/D54*100,0)</f>
        <v>12</v>
      </c>
    </row>
    <row r="55" customFormat="false" ht="15" hidden="false" customHeight="false" outlineLevel="0" collapsed="false">
      <c r="B55" s="13" t="s">
        <v>125</v>
      </c>
      <c r="C55" s="14" t="n">
        <f aca="false">COUNTIFS(データ!$H$2:$H$451,"再訪不要",データ!$F$2:$F$451,"社会生活計画")</f>
        <v>11</v>
      </c>
      <c r="D55" s="14" t="n">
        <f aca="false">COUNTIFS(データ!$F$2:$F$451,"社会生活計画")</f>
        <v>14</v>
      </c>
      <c r="E55" s="19" t="n">
        <f aca="false">IFERROR(C55/D55*100,0)</f>
        <v>78.5714285714286</v>
      </c>
    </row>
    <row r="56" customFormat="false" ht="15" hidden="false" customHeight="false" outlineLevel="0" collapsed="false">
      <c r="B56" s="10" t="s">
        <v>126</v>
      </c>
      <c r="C56" s="11" t="n">
        <f aca="false">COUNTIFS(データ!$H$2:$H$451,"再訪不要",データ!$F$2:$F$451,"経営改善")</f>
        <v>1</v>
      </c>
      <c r="D56" s="11" t="n">
        <f aca="false">COUNTIFS(データ!$F$2:$F$451,"経営改善")</f>
        <v>7</v>
      </c>
      <c r="E56" s="21" t="n">
        <f aca="false">IFERROR(C56/D56*100,0)</f>
        <v>14.2857142857143</v>
      </c>
    </row>
    <row r="57" customFormat="false" ht="15" hidden="false" customHeight="false" outlineLevel="0" collapsed="false">
      <c r="B57" s="13" t="s">
        <v>127</v>
      </c>
      <c r="C57" s="14" t="n">
        <f aca="false">COUNTIFS(データ!$H$2:$H$451,"再訪不要",データ!$F$2:$F$451,"国交省計画")</f>
        <v>0</v>
      </c>
      <c r="D57" s="14" t="n">
        <f aca="false">COUNTIFS(データ!$F$2:$F$451,"国交省計画")</f>
        <v>1</v>
      </c>
      <c r="E57" s="19" t="n">
        <f aca="false">IFERROR(C57/D57*100,0)</f>
        <v>0</v>
      </c>
    </row>
    <row r="58" customFormat="false" ht="15" hidden="false" customHeight="false" outlineLevel="0" collapsed="false">
      <c r="B58" s="36" t="s">
        <v>121</v>
      </c>
      <c r="C58" s="11" t="n">
        <f aca="false">COUNTIFS(データ!$H$2:$H$451,"再訪不要",データ!$F$2:$F$451,"(未記入)")</f>
        <v>0</v>
      </c>
      <c r="D58" s="11" t="n">
        <f aca="false">COUNTIFS(データ!$F$2:$F$451,"(未記入)")</f>
        <v>5</v>
      </c>
      <c r="E58" s="21" t="n">
        <f aca="false">IFERROR(C58/D58*100,0)</f>
        <v>0</v>
      </c>
    </row>
    <row r="59" customFormat="false" ht="15" hidden="false" customHeight="false" outlineLevel="0" collapsed="false">
      <c r="B59" s="22" t="s">
        <v>29</v>
      </c>
      <c r="C59" s="23" t="n">
        <f aca="false">SUM(C49:C58)</f>
        <v>102</v>
      </c>
      <c r="D59" s="23" t="n">
        <f aca="false">SUM(D49:D58)</f>
        <v>450</v>
      </c>
      <c r="E59" s="34" t="n">
        <f aca="false">IFERROR(C59/D59*100,0)</f>
        <v>22.6666666666667</v>
      </c>
    </row>
    <row r="61" customFormat="false" ht="15" hidden="false" customHeight="false" outlineLevel="0" collapsed="false">
      <c r="B61" s="4" t="s">
        <v>128</v>
      </c>
      <c r="C61" s="4" t="s">
        <v>9</v>
      </c>
      <c r="D61" s="4" t="s">
        <v>116</v>
      </c>
      <c r="E61" s="4" t="s">
        <v>17</v>
      </c>
    </row>
    <row r="62" customFormat="false" ht="15" hidden="false" customHeight="false" outlineLevel="0" collapsed="false">
      <c r="B62" s="13" t="s">
        <v>129</v>
      </c>
      <c r="C62" s="14" t="n">
        <f aca="false">COUNTIFS(データ!$H$2:$H$451,"再訪不要",データ!$D$2:$D$451,"北海道")</f>
        <v>73</v>
      </c>
      <c r="D62" s="14" t="n">
        <f aca="false">COUNTIFS(データ!$D$2:$D$451,"北海道")</f>
        <v>231</v>
      </c>
      <c r="E62" s="19" t="n">
        <f aca="false">IFERROR(C62/D62*100,0)</f>
        <v>31.6017316017316</v>
      </c>
    </row>
    <row r="63" customFormat="false" ht="15" hidden="false" customHeight="false" outlineLevel="0" collapsed="false">
      <c r="B63" s="10" t="s">
        <v>75</v>
      </c>
      <c r="C63" s="11" t="n">
        <f aca="false">COUNTIFS(データ!$H$2:$H$451,"再訪不要",データ!$D$2:$D$451,"岩手県")</f>
        <v>7</v>
      </c>
      <c r="D63" s="11" t="n">
        <f aca="false">COUNTIFS(データ!$D$2:$D$451,"岩手県")</f>
        <v>71</v>
      </c>
      <c r="E63" s="21" t="n">
        <f aca="false">IFERROR(C63/D63*100,0)</f>
        <v>9.85915492957746</v>
      </c>
    </row>
    <row r="64" customFormat="false" ht="15" hidden="false" customHeight="false" outlineLevel="0" collapsed="false">
      <c r="B64" s="13" t="s">
        <v>130</v>
      </c>
      <c r="C64" s="14" t="n">
        <f aca="false">COUNTIFS(データ!$H$2:$H$451,"再訪不要",データ!$D$2:$D$451,"山形県")</f>
        <v>4</v>
      </c>
      <c r="D64" s="14" t="n">
        <f aca="false">COUNTIFS(データ!$D$2:$D$451,"山形県")</f>
        <v>36</v>
      </c>
      <c r="E64" s="19" t="n">
        <f aca="false">IFERROR(C64/D64*100,0)</f>
        <v>11.1111111111111</v>
      </c>
    </row>
    <row r="65" customFormat="false" ht="15" hidden="false" customHeight="false" outlineLevel="0" collapsed="false">
      <c r="B65" s="10" t="s">
        <v>131</v>
      </c>
      <c r="C65" s="11" t="n">
        <f aca="false">COUNTIFS(データ!$H$2:$H$451,"再訪不要",データ!$D$2:$D$451,"宮城県")</f>
        <v>0</v>
      </c>
      <c r="D65" s="11" t="n">
        <f aca="false">COUNTIFS(データ!$D$2:$D$451,"宮城県")</f>
        <v>31</v>
      </c>
      <c r="E65" s="21" t="n">
        <f aca="false">IFERROR(C65/D65*100,0)</f>
        <v>0</v>
      </c>
    </row>
    <row r="66" customFormat="false" ht="15" hidden="false" customHeight="false" outlineLevel="0" collapsed="false">
      <c r="B66" s="13" t="s">
        <v>132</v>
      </c>
      <c r="C66" s="14" t="n">
        <f aca="false">COUNTIFS(データ!$H$2:$H$451,"再訪不要",データ!$D$2:$D$451,"青森県")</f>
        <v>8</v>
      </c>
      <c r="D66" s="14" t="n">
        <f aca="false">COUNTIFS(データ!$D$2:$D$451,"青森県")</f>
        <v>29</v>
      </c>
      <c r="E66" s="19" t="n">
        <f aca="false">IFERROR(C66/D66*100,0)</f>
        <v>27.5862068965517</v>
      </c>
    </row>
    <row r="67" customFormat="false" ht="15" hidden="false" customHeight="false" outlineLevel="0" collapsed="false">
      <c r="B67" s="10" t="s">
        <v>133</v>
      </c>
      <c r="C67" s="11" t="n">
        <f aca="false">COUNTIFS(データ!$H$2:$H$451,"再訪不要",データ!$D$2:$D$451,"秋田県")</f>
        <v>10</v>
      </c>
      <c r="D67" s="11" t="n">
        <f aca="false">COUNTIFS(データ!$D$2:$D$451,"秋田県")</f>
        <v>28</v>
      </c>
      <c r="E67" s="21" t="n">
        <f aca="false">IFERROR(C67/D67*100,0)</f>
        <v>35.7142857142857</v>
      </c>
    </row>
    <row r="68" customFormat="false" ht="15" hidden="false" customHeight="false" outlineLevel="0" collapsed="false">
      <c r="B68" s="13" t="s">
        <v>76</v>
      </c>
      <c r="C68" s="14" t="n">
        <f aca="false">COUNTIFS(データ!$H$2:$H$451,"再訪不要",データ!$D$2:$D$451,"福島県")</f>
        <v>0</v>
      </c>
      <c r="D68" s="14" t="n">
        <f aca="false">COUNTIFS(データ!$D$2:$D$451,"福島県")</f>
        <v>21</v>
      </c>
      <c r="E68" s="19" t="n">
        <f aca="false">IFERROR(C68/D68*100,0)</f>
        <v>0</v>
      </c>
    </row>
    <row r="69" customFormat="false" ht="15" hidden="false" customHeight="false" outlineLevel="0" collapsed="false">
      <c r="B69" s="36" t="s">
        <v>121</v>
      </c>
      <c r="C69" s="11" t="n">
        <f aca="false">COUNTIFS(データ!$H$2:$H$451,"再訪不要",データ!$D$2:$D$451,"(未記入)")</f>
        <v>0</v>
      </c>
      <c r="D69" s="11" t="n">
        <f aca="false">COUNTIFS(データ!$D$2:$D$451,"(未記入)")</f>
        <v>3</v>
      </c>
      <c r="E69" s="21" t="n">
        <f aca="false">IFERROR(C69/D69*100,0)</f>
        <v>0</v>
      </c>
    </row>
    <row r="70" customFormat="false" ht="15" hidden="false" customHeight="false" outlineLevel="0" collapsed="false">
      <c r="B70" s="22" t="s">
        <v>29</v>
      </c>
      <c r="C70" s="23" t="n">
        <f aca="false">SUM(C62:C69)</f>
        <v>102</v>
      </c>
      <c r="D70" s="23" t="n">
        <f aca="false">SUM(D62:D69)</f>
        <v>450</v>
      </c>
      <c r="E70" s="34" t="n">
        <f aca="false">IFERROR(C70/D70*100,0)</f>
        <v>22.6666666666667</v>
      </c>
    </row>
    <row r="72" customFormat="false" ht="15" hidden="false" customHeight="false" outlineLevel="0" collapsed="false">
      <c r="B72" s="4" t="s">
        <v>134</v>
      </c>
      <c r="C72" s="4" t="s">
        <v>9</v>
      </c>
      <c r="D72" s="4" t="s">
        <v>116</v>
      </c>
      <c r="E72" s="4" t="s">
        <v>17</v>
      </c>
    </row>
    <row r="73" customFormat="false" ht="15" hidden="false" customHeight="false" outlineLevel="0" collapsed="false">
      <c r="B73" s="13" t="s">
        <v>135</v>
      </c>
      <c r="C73" s="14" t="n">
        <f aca="false">COUNTIFS(データ!$H$2:$H$451,"再訪不要",データ!$K$2:$K$451,"今年度")</f>
        <v>20</v>
      </c>
      <c r="D73" s="14" t="n">
        <f aca="false">COUNTIFS(データ!$K$2:$K$451,"今年度")</f>
        <v>198</v>
      </c>
      <c r="E73" s="19" t="n">
        <f aca="false">IFERROR(C73/D73*100,0)</f>
        <v>10.1010101010101</v>
      </c>
    </row>
    <row r="74" customFormat="false" ht="15" hidden="false" customHeight="false" outlineLevel="0" collapsed="false">
      <c r="B74" s="10" t="s">
        <v>136</v>
      </c>
      <c r="C74" s="11" t="n">
        <f aca="false">COUNTIFS(データ!$H$2:$H$451,"再訪不要",データ!$K$2:$K$451,"来年度")</f>
        <v>5</v>
      </c>
      <c r="D74" s="11" t="n">
        <f aca="false">COUNTIFS(データ!$K$2:$K$451,"来年度")</f>
        <v>56</v>
      </c>
      <c r="E74" s="21" t="n">
        <f aca="false">IFERROR(C74/D74*100,0)</f>
        <v>8.92857142857143</v>
      </c>
    </row>
    <row r="75" customFormat="false" ht="15" hidden="false" customHeight="false" outlineLevel="0" collapsed="false">
      <c r="B75" s="13" t="s">
        <v>137</v>
      </c>
      <c r="C75" s="14" t="n">
        <f aca="false">COUNTIFS(データ!$H$2:$H$451,"再訪不要",データ!$K$2:$K$451,"再来年度")</f>
        <v>15</v>
      </c>
      <c r="D75" s="14" t="n">
        <f aca="false">COUNTIFS(データ!$K$2:$K$451,"再来年度")</f>
        <v>44</v>
      </c>
      <c r="E75" s="19" t="n">
        <f aca="false">IFERROR(C75/D75*100,0)</f>
        <v>34.0909090909091</v>
      </c>
    </row>
    <row r="76" customFormat="false" ht="15" hidden="false" customHeight="false" outlineLevel="0" collapsed="false">
      <c r="B76" s="36" t="s">
        <v>121</v>
      </c>
      <c r="C76" s="11" t="n">
        <f aca="false">COUNTIFS(データ!$H$2:$H$451,"再訪不要",データ!$K$2:$K$451,"(未記入)")</f>
        <v>62</v>
      </c>
      <c r="D76" s="11" t="n">
        <f aca="false">COUNTIFS(データ!$K$2:$K$451,"(未記入)")</f>
        <v>152</v>
      </c>
      <c r="E76" s="21" t="n">
        <f aca="false">IFERROR(C76/D76*100,0)</f>
        <v>40.7894736842105</v>
      </c>
    </row>
    <row r="77" customFormat="false" ht="15" hidden="false" customHeight="false" outlineLevel="0" collapsed="false">
      <c r="B77" s="22" t="s">
        <v>29</v>
      </c>
      <c r="C77" s="23" t="n">
        <f aca="false">SUM(C73:C76)</f>
        <v>102</v>
      </c>
      <c r="D77" s="23" t="n">
        <f aca="false">SUM(D73:D76)</f>
        <v>450</v>
      </c>
      <c r="E77" s="34" t="n">
        <f aca="false">IFERROR(C77/D77*100,0)</f>
        <v>22.6666666666667</v>
      </c>
    </row>
    <row r="79" customFormat="false" ht="15" hidden="false" customHeight="false" outlineLevel="0" collapsed="false">
      <c r="B79" s="4" t="s">
        <v>138</v>
      </c>
      <c r="C79" s="4" t="s">
        <v>9</v>
      </c>
      <c r="D79" s="4" t="s">
        <v>116</v>
      </c>
      <c r="E79" s="4" t="s">
        <v>17</v>
      </c>
    </row>
    <row r="80" customFormat="false" ht="15" hidden="false" customHeight="false" outlineLevel="0" collapsed="false">
      <c r="B80" s="13" t="s">
        <v>139</v>
      </c>
      <c r="C80" s="14" t="n">
        <f aca="false">COUNTIFS(データ!$H$2:$H$451,"再訪不要",データ!$I$2:$I$451,"自前")</f>
        <v>33</v>
      </c>
      <c r="D80" s="14" t="n">
        <f aca="false">COUNTIFS(データ!$I$2:$I$451,"自前")</f>
        <v>113</v>
      </c>
      <c r="E80" s="19" t="n">
        <f aca="false">IFERROR(C80/D80*100,0)</f>
        <v>29.2035398230089</v>
      </c>
    </row>
    <row r="81" customFormat="false" ht="15" hidden="false" customHeight="false" outlineLevel="0" collapsed="false">
      <c r="B81" s="10" t="s">
        <v>140</v>
      </c>
      <c r="C81" s="11" t="n">
        <f aca="false">COUNTIFS(データ!$H$2:$H$451,"再訪不要",データ!$I$2:$I$451,"委託")</f>
        <v>27</v>
      </c>
      <c r="D81" s="11" t="n">
        <f aca="false">COUNTIFS(データ!$I$2:$I$451,"委託")</f>
        <v>160</v>
      </c>
      <c r="E81" s="21" t="n">
        <f aca="false">IFERROR(C81/D81*100,0)</f>
        <v>16.875</v>
      </c>
    </row>
    <row r="82" customFormat="false" ht="15" hidden="false" customHeight="false" outlineLevel="0" collapsed="false">
      <c r="B82" s="31" t="s">
        <v>121</v>
      </c>
      <c r="C82" s="14" t="n">
        <f aca="false">COUNTIFS(データ!$H$2:$H$451,"再訪不要",データ!$I$2:$I$451,"(未記入)")</f>
        <v>42</v>
      </c>
      <c r="D82" s="14" t="n">
        <f aca="false">COUNTIFS(データ!$I$2:$I$451,"(未記入)")</f>
        <v>177</v>
      </c>
      <c r="E82" s="19" t="n">
        <f aca="false">IFERROR(C82/D82*100,0)</f>
        <v>23.728813559322</v>
      </c>
    </row>
    <row r="83" customFormat="false" ht="15" hidden="false" customHeight="false" outlineLevel="0" collapsed="false">
      <c r="B83" s="22" t="s">
        <v>29</v>
      </c>
      <c r="C83" s="23" t="n">
        <f aca="false">SUM(C80:C82)</f>
        <v>102</v>
      </c>
      <c r="D83" s="23" t="n">
        <f aca="false">SUM(D80:D82)</f>
        <v>450</v>
      </c>
      <c r="E83" s="34" t="n">
        <f aca="false">IFERROR(C83/D83*100,0)</f>
        <v>22.6666666666667</v>
      </c>
    </row>
    <row r="85" customFormat="false" ht="15" hidden="false" customHeight="false" outlineLevel="0" collapsed="false">
      <c r="B85" s="2" t="s">
        <v>141</v>
      </c>
    </row>
    <row r="86" customFormat="false" ht="15" hidden="false" customHeight="false" outlineLevel="0" collapsed="false">
      <c r="B86" s="2" t="s">
        <v>142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I10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2" min="2" style="0" width="9"/>
    <col collapsed="false" customWidth="true" hidden="false" outlineLevel="0" max="3" min="3" style="0" width="11"/>
    <col collapsed="false" customWidth="true" hidden="false" outlineLevel="0" max="4" min="4" style="0" width="9"/>
    <col collapsed="false" customWidth="true" hidden="false" outlineLevel="0" max="5" min="5" style="0" width="13"/>
    <col collapsed="false" customWidth="true" hidden="false" outlineLevel="0" max="6" min="6" style="0" width="17"/>
    <col collapsed="false" customWidth="true" hidden="false" outlineLevel="0" max="7" min="7" style="0" width="10"/>
    <col collapsed="false" customWidth="true" hidden="false" outlineLevel="0" max="8" min="8" style="0" width="30"/>
    <col collapsed="false" customWidth="true" hidden="false" outlineLevel="0" max="9" min="9" style="0" width="80"/>
  </cols>
  <sheetData>
    <row r="2" customFormat="false" ht="17.35" hidden="false" customHeight="false" outlineLevel="0" collapsed="false">
      <c r="B2" s="1" t="s">
        <v>143</v>
      </c>
    </row>
    <row r="3" customFormat="false" ht="15" hidden="false" customHeight="false" outlineLevel="0" collapsed="false">
      <c r="B3" s="2" t="s">
        <v>144</v>
      </c>
    </row>
    <row r="5" customFormat="false" ht="15" hidden="false" customHeight="false" outlineLevel="0" collapsed="false">
      <c r="B5" s="4" t="s">
        <v>15</v>
      </c>
      <c r="C5" s="4" t="s">
        <v>145</v>
      </c>
      <c r="D5" s="4" t="s">
        <v>128</v>
      </c>
      <c r="E5" s="4" t="s">
        <v>146</v>
      </c>
      <c r="F5" s="4" t="s">
        <v>123</v>
      </c>
      <c r="G5" s="4" t="s">
        <v>115</v>
      </c>
      <c r="H5" s="4" t="s">
        <v>110</v>
      </c>
      <c r="I5" s="4" t="s">
        <v>147</v>
      </c>
    </row>
    <row r="6" customFormat="false" ht="15" hidden="false" customHeight="false" outlineLevel="0" collapsed="false">
      <c r="B6" s="41" t="s">
        <v>24</v>
      </c>
      <c r="C6" s="42" t="n">
        <v>46253</v>
      </c>
      <c r="D6" s="41" t="s">
        <v>133</v>
      </c>
      <c r="E6" s="43" t="s">
        <v>148</v>
      </c>
      <c r="F6" s="41" t="s">
        <v>78</v>
      </c>
      <c r="G6" s="41" t="s">
        <v>118</v>
      </c>
      <c r="H6" s="43" t="s">
        <v>112</v>
      </c>
      <c r="I6" s="43" t="s">
        <v>149</v>
      </c>
    </row>
    <row r="7" customFormat="false" ht="15" hidden="false" customHeight="false" outlineLevel="0" collapsed="false">
      <c r="B7" s="44" t="s">
        <v>24</v>
      </c>
      <c r="C7" s="45" t="n">
        <v>46253</v>
      </c>
      <c r="D7" s="44" t="s">
        <v>133</v>
      </c>
      <c r="E7" s="46" t="s">
        <v>148</v>
      </c>
      <c r="F7" s="44" t="s">
        <v>80</v>
      </c>
      <c r="G7" s="44" t="s">
        <v>119</v>
      </c>
      <c r="H7" s="46" t="s">
        <v>40</v>
      </c>
      <c r="I7" s="46" t="s">
        <v>150</v>
      </c>
    </row>
    <row r="8" customFormat="false" ht="15" hidden="false" customHeight="false" outlineLevel="0" collapsed="false">
      <c r="B8" s="41" t="s">
        <v>20</v>
      </c>
      <c r="C8" s="42" t="n">
        <v>46252</v>
      </c>
      <c r="D8" s="41" t="s">
        <v>75</v>
      </c>
      <c r="E8" s="43" t="s">
        <v>151</v>
      </c>
      <c r="F8" s="41" t="s">
        <v>79</v>
      </c>
      <c r="G8" s="41" t="s">
        <v>117</v>
      </c>
      <c r="H8" s="43" t="s">
        <v>38</v>
      </c>
      <c r="I8" s="43" t="s">
        <v>152</v>
      </c>
    </row>
    <row r="9" customFormat="false" ht="15" hidden="false" customHeight="false" outlineLevel="0" collapsed="false">
      <c r="B9" s="44" t="s">
        <v>20</v>
      </c>
      <c r="C9" s="45" t="n">
        <v>46252</v>
      </c>
      <c r="D9" s="44" t="s">
        <v>75</v>
      </c>
      <c r="E9" s="46" t="s">
        <v>153</v>
      </c>
      <c r="F9" s="44" t="s">
        <v>79</v>
      </c>
      <c r="G9" s="44" t="s">
        <v>118</v>
      </c>
      <c r="H9" s="46" t="s">
        <v>111</v>
      </c>
      <c r="I9" s="46" t="s">
        <v>154</v>
      </c>
    </row>
    <row r="10" customFormat="false" ht="15" hidden="false" customHeight="false" outlineLevel="0" collapsed="false">
      <c r="B10" s="41" t="s">
        <v>20</v>
      </c>
      <c r="C10" s="42" t="n">
        <v>46252</v>
      </c>
      <c r="D10" s="41" t="s">
        <v>75</v>
      </c>
      <c r="E10" s="43" t="s">
        <v>155</v>
      </c>
      <c r="F10" s="41" t="s">
        <v>81</v>
      </c>
      <c r="G10" s="41" t="s">
        <v>118</v>
      </c>
      <c r="H10" s="43" t="s">
        <v>112</v>
      </c>
      <c r="I10" s="43" t="s">
        <v>156</v>
      </c>
    </row>
    <row r="11" customFormat="false" ht="15" hidden="false" customHeight="false" outlineLevel="0" collapsed="false">
      <c r="B11" s="44" t="s">
        <v>20</v>
      </c>
      <c r="C11" s="45" t="n">
        <v>46252</v>
      </c>
      <c r="D11" s="44" t="s">
        <v>75</v>
      </c>
      <c r="E11" s="46" t="s">
        <v>157</v>
      </c>
      <c r="F11" s="44" t="s">
        <v>79</v>
      </c>
      <c r="G11" s="44" t="s">
        <v>118</v>
      </c>
      <c r="H11" s="46" t="s">
        <v>40</v>
      </c>
      <c r="I11" s="47" t="s">
        <v>158</v>
      </c>
    </row>
    <row r="12" customFormat="false" ht="15" hidden="false" customHeight="false" outlineLevel="0" collapsed="false">
      <c r="B12" s="41" t="s">
        <v>20</v>
      </c>
      <c r="C12" s="42" t="n">
        <v>46252</v>
      </c>
      <c r="D12" s="41" t="s">
        <v>75</v>
      </c>
      <c r="E12" s="43" t="s">
        <v>159</v>
      </c>
      <c r="F12" s="41" t="s">
        <v>81</v>
      </c>
      <c r="G12" s="41" t="s">
        <v>118</v>
      </c>
      <c r="H12" s="43" t="s">
        <v>112</v>
      </c>
      <c r="I12" s="43" t="s">
        <v>160</v>
      </c>
    </row>
    <row r="13" customFormat="false" ht="15" hidden="false" customHeight="false" outlineLevel="0" collapsed="false">
      <c r="B13" s="44" t="s">
        <v>24</v>
      </c>
      <c r="C13" s="45" t="n">
        <v>46254</v>
      </c>
      <c r="D13" s="44" t="s">
        <v>133</v>
      </c>
      <c r="E13" s="46" t="s">
        <v>161</v>
      </c>
      <c r="F13" s="44" t="s">
        <v>78</v>
      </c>
      <c r="G13" s="44" t="s">
        <v>8</v>
      </c>
      <c r="H13" s="46" t="s">
        <v>48</v>
      </c>
      <c r="I13" s="46" t="s">
        <v>162</v>
      </c>
    </row>
    <row r="14" customFormat="false" ht="15" hidden="false" customHeight="false" outlineLevel="0" collapsed="false">
      <c r="B14" s="41" t="s">
        <v>24</v>
      </c>
      <c r="C14" s="42" t="n">
        <v>46253</v>
      </c>
      <c r="D14" s="41" t="s">
        <v>133</v>
      </c>
      <c r="E14" s="43" t="s">
        <v>163</v>
      </c>
      <c r="F14" s="41" t="s">
        <v>81</v>
      </c>
      <c r="G14" s="41" t="s">
        <v>117</v>
      </c>
      <c r="H14" s="43" t="s">
        <v>38</v>
      </c>
      <c r="I14" s="43" t="s">
        <v>164</v>
      </c>
    </row>
    <row r="15" customFormat="false" ht="15" hidden="false" customHeight="false" outlineLevel="0" collapsed="false">
      <c r="B15" s="44" t="s">
        <v>24</v>
      </c>
      <c r="C15" s="45" t="n">
        <v>46255</v>
      </c>
      <c r="D15" s="44" t="s">
        <v>133</v>
      </c>
      <c r="E15" s="46" t="s">
        <v>165</v>
      </c>
      <c r="F15" s="44" t="s">
        <v>82</v>
      </c>
      <c r="G15" s="44" t="s">
        <v>118</v>
      </c>
      <c r="H15" s="46" t="s">
        <v>112</v>
      </c>
      <c r="I15" s="46" t="s">
        <v>166</v>
      </c>
    </row>
    <row r="16" customFormat="false" ht="15" hidden="false" customHeight="false" outlineLevel="0" collapsed="false">
      <c r="B16" s="41" t="s">
        <v>20</v>
      </c>
      <c r="C16" s="42" t="n">
        <v>46259</v>
      </c>
      <c r="D16" s="41" t="s">
        <v>75</v>
      </c>
      <c r="E16" s="43" t="s">
        <v>167</v>
      </c>
      <c r="F16" s="41" t="s">
        <v>79</v>
      </c>
      <c r="G16" s="41" t="s">
        <v>118</v>
      </c>
      <c r="H16" s="43" t="s">
        <v>46</v>
      </c>
      <c r="I16" s="48" t="s">
        <v>168</v>
      </c>
    </row>
    <row r="17" customFormat="false" ht="15" hidden="false" customHeight="false" outlineLevel="0" collapsed="false">
      <c r="B17" s="44" t="s">
        <v>23</v>
      </c>
      <c r="C17" s="45" t="n">
        <v>46253</v>
      </c>
      <c r="D17" s="44" t="s">
        <v>129</v>
      </c>
      <c r="E17" s="46" t="s">
        <v>169</v>
      </c>
      <c r="F17" s="44" t="s">
        <v>78</v>
      </c>
      <c r="G17" s="44" t="s">
        <v>117</v>
      </c>
      <c r="H17" s="46" t="s">
        <v>38</v>
      </c>
      <c r="I17" s="46" t="s">
        <v>170</v>
      </c>
    </row>
    <row r="18" customFormat="false" ht="15" hidden="false" customHeight="false" outlineLevel="0" collapsed="false">
      <c r="B18" s="41" t="s">
        <v>23</v>
      </c>
      <c r="C18" s="42" t="n">
        <v>46253</v>
      </c>
      <c r="D18" s="41" t="s">
        <v>129</v>
      </c>
      <c r="E18" s="43" t="s">
        <v>169</v>
      </c>
      <c r="F18" s="41" t="s">
        <v>81</v>
      </c>
      <c r="G18" s="41" t="s">
        <v>117</v>
      </c>
      <c r="H18" s="43" t="s">
        <v>38</v>
      </c>
      <c r="I18" s="43"/>
    </row>
    <row r="19" customFormat="false" ht="15" hidden="false" customHeight="false" outlineLevel="0" collapsed="false">
      <c r="B19" s="44" t="s">
        <v>23</v>
      </c>
      <c r="C19" s="45" t="n">
        <v>46253</v>
      </c>
      <c r="D19" s="44" t="s">
        <v>129</v>
      </c>
      <c r="E19" s="46" t="s">
        <v>171</v>
      </c>
      <c r="F19" s="44" t="s">
        <v>81</v>
      </c>
      <c r="G19" s="44" t="s">
        <v>117</v>
      </c>
      <c r="H19" s="46" t="s">
        <v>38</v>
      </c>
      <c r="I19" s="46" t="s">
        <v>172</v>
      </c>
    </row>
    <row r="20" customFormat="false" ht="15" hidden="false" customHeight="false" outlineLevel="0" collapsed="false">
      <c r="B20" s="41" t="s">
        <v>23</v>
      </c>
      <c r="C20" s="42" t="n">
        <v>46254</v>
      </c>
      <c r="D20" s="41" t="s">
        <v>129</v>
      </c>
      <c r="E20" s="43" t="s">
        <v>173</v>
      </c>
      <c r="F20" s="41" t="s">
        <v>125</v>
      </c>
      <c r="G20" s="41" t="s">
        <v>119</v>
      </c>
      <c r="H20" s="43" t="s">
        <v>40</v>
      </c>
      <c r="I20" s="43" t="s">
        <v>174</v>
      </c>
    </row>
    <row r="21" customFormat="false" ht="15" hidden="false" customHeight="false" outlineLevel="0" collapsed="false">
      <c r="B21" s="44" t="s">
        <v>26</v>
      </c>
      <c r="C21" s="45" t="n">
        <v>46259</v>
      </c>
      <c r="D21" s="44" t="s">
        <v>132</v>
      </c>
      <c r="E21" s="46" t="s">
        <v>175</v>
      </c>
      <c r="F21" s="44" t="s">
        <v>79</v>
      </c>
      <c r="G21" s="49" t="s">
        <v>176</v>
      </c>
      <c r="H21" s="46" t="s">
        <v>42</v>
      </c>
      <c r="I21" s="46" t="s">
        <v>177</v>
      </c>
    </row>
    <row r="22" customFormat="false" ht="15" hidden="false" customHeight="false" outlineLevel="0" collapsed="false">
      <c r="B22" s="41" t="s">
        <v>26</v>
      </c>
      <c r="C22" s="42" t="n">
        <v>46259</v>
      </c>
      <c r="D22" s="41" t="s">
        <v>132</v>
      </c>
      <c r="E22" s="43" t="s">
        <v>178</v>
      </c>
      <c r="F22" s="41" t="s">
        <v>126</v>
      </c>
      <c r="G22" s="50" t="s">
        <v>176</v>
      </c>
      <c r="H22" s="43" t="s">
        <v>42</v>
      </c>
      <c r="I22" s="43" t="s">
        <v>179</v>
      </c>
    </row>
    <row r="23" customFormat="false" ht="15" hidden="false" customHeight="false" outlineLevel="0" collapsed="false">
      <c r="B23" s="44" t="s">
        <v>26</v>
      </c>
      <c r="C23" s="45" t="n">
        <v>46260</v>
      </c>
      <c r="D23" s="44" t="s">
        <v>132</v>
      </c>
      <c r="E23" s="46" t="s">
        <v>180</v>
      </c>
      <c r="F23" s="44" t="s">
        <v>79</v>
      </c>
      <c r="G23" s="49" t="s">
        <v>176</v>
      </c>
      <c r="H23" s="46" t="s">
        <v>112</v>
      </c>
      <c r="I23" s="46" t="s">
        <v>181</v>
      </c>
    </row>
    <row r="24" customFormat="false" ht="15" hidden="false" customHeight="false" outlineLevel="0" collapsed="false">
      <c r="B24" s="41" t="s">
        <v>26</v>
      </c>
      <c r="C24" s="42" t="n">
        <v>46260</v>
      </c>
      <c r="D24" s="41" t="s">
        <v>132</v>
      </c>
      <c r="E24" s="43" t="s">
        <v>180</v>
      </c>
      <c r="F24" s="41" t="s">
        <v>79</v>
      </c>
      <c r="G24" s="50" t="s">
        <v>176</v>
      </c>
      <c r="H24" s="43" t="s">
        <v>38</v>
      </c>
      <c r="I24" s="43" t="s">
        <v>182</v>
      </c>
    </row>
    <row r="25" customFormat="false" ht="15" hidden="false" customHeight="false" outlineLevel="0" collapsed="false">
      <c r="B25" s="44" t="s">
        <v>26</v>
      </c>
      <c r="C25" s="45" t="n">
        <v>46260</v>
      </c>
      <c r="D25" s="44" t="s">
        <v>132</v>
      </c>
      <c r="E25" s="46" t="s">
        <v>183</v>
      </c>
      <c r="F25" s="44" t="s">
        <v>79</v>
      </c>
      <c r="G25" s="49" t="s">
        <v>176</v>
      </c>
      <c r="H25" s="46" t="s">
        <v>42</v>
      </c>
      <c r="I25" s="46" t="s">
        <v>184</v>
      </c>
    </row>
    <row r="26" customFormat="false" ht="15" hidden="false" customHeight="false" outlineLevel="0" collapsed="false">
      <c r="B26" s="41" t="s">
        <v>26</v>
      </c>
      <c r="C26" s="42" t="n">
        <v>46260</v>
      </c>
      <c r="D26" s="41" t="s">
        <v>132</v>
      </c>
      <c r="E26" s="43" t="s">
        <v>185</v>
      </c>
      <c r="F26" s="41" t="s">
        <v>78</v>
      </c>
      <c r="G26" s="41" t="s">
        <v>118</v>
      </c>
      <c r="H26" s="43" t="s">
        <v>112</v>
      </c>
      <c r="I26" s="43" t="s">
        <v>186</v>
      </c>
    </row>
    <row r="27" customFormat="false" ht="15" hidden="false" customHeight="false" outlineLevel="0" collapsed="false">
      <c r="B27" s="44" t="s">
        <v>19</v>
      </c>
      <c r="C27" s="45" t="n">
        <v>46254</v>
      </c>
      <c r="D27" s="44" t="s">
        <v>129</v>
      </c>
      <c r="E27" s="46" t="s">
        <v>187</v>
      </c>
      <c r="F27" s="44" t="s">
        <v>80</v>
      </c>
      <c r="G27" s="44" t="s">
        <v>117</v>
      </c>
      <c r="H27" s="46" t="s">
        <v>46</v>
      </c>
      <c r="I27" s="46" t="s">
        <v>188</v>
      </c>
    </row>
    <row r="28" customFormat="false" ht="15" hidden="false" customHeight="false" outlineLevel="0" collapsed="false">
      <c r="B28" s="41" t="s">
        <v>19</v>
      </c>
      <c r="C28" s="42" t="n">
        <v>46184</v>
      </c>
      <c r="D28" s="41" t="s">
        <v>129</v>
      </c>
      <c r="E28" s="43" t="s">
        <v>189</v>
      </c>
      <c r="F28" s="41" t="s">
        <v>78</v>
      </c>
      <c r="G28" s="41" t="s">
        <v>117</v>
      </c>
      <c r="H28" s="43" t="s">
        <v>42</v>
      </c>
      <c r="I28" s="43" t="s">
        <v>190</v>
      </c>
    </row>
    <row r="29" customFormat="false" ht="15" hidden="false" customHeight="false" outlineLevel="0" collapsed="false">
      <c r="B29" s="44" t="s">
        <v>19</v>
      </c>
      <c r="C29" s="45" t="n">
        <v>46184</v>
      </c>
      <c r="D29" s="44" t="s">
        <v>129</v>
      </c>
      <c r="E29" s="46" t="s">
        <v>189</v>
      </c>
      <c r="F29" s="44" t="s">
        <v>78</v>
      </c>
      <c r="G29" s="44" t="s">
        <v>117</v>
      </c>
      <c r="H29" s="46" t="s">
        <v>42</v>
      </c>
      <c r="I29" s="46" t="s">
        <v>191</v>
      </c>
    </row>
    <row r="30" customFormat="false" ht="15" hidden="false" customHeight="false" outlineLevel="0" collapsed="false">
      <c r="B30" s="41" t="s">
        <v>19</v>
      </c>
      <c r="C30" s="42" t="n">
        <v>46184</v>
      </c>
      <c r="D30" s="41" t="s">
        <v>129</v>
      </c>
      <c r="E30" s="43" t="s">
        <v>192</v>
      </c>
      <c r="F30" s="41" t="s">
        <v>80</v>
      </c>
      <c r="G30" s="50" t="s">
        <v>176</v>
      </c>
      <c r="H30" s="43" t="s">
        <v>112</v>
      </c>
      <c r="I30" s="43" t="s">
        <v>193</v>
      </c>
    </row>
    <row r="31" customFormat="false" ht="15" hidden="false" customHeight="false" outlineLevel="0" collapsed="false">
      <c r="B31" s="44" t="s">
        <v>19</v>
      </c>
      <c r="C31" s="45" t="n">
        <v>46252</v>
      </c>
      <c r="D31" s="44" t="s">
        <v>129</v>
      </c>
      <c r="E31" s="46" t="s">
        <v>192</v>
      </c>
      <c r="F31" s="44" t="s">
        <v>80</v>
      </c>
      <c r="G31" s="49" t="s">
        <v>176</v>
      </c>
      <c r="H31" s="46" t="s">
        <v>42</v>
      </c>
      <c r="I31" s="46" t="s">
        <v>194</v>
      </c>
    </row>
    <row r="32" customFormat="false" ht="15" hidden="false" customHeight="false" outlineLevel="0" collapsed="false">
      <c r="B32" s="41" t="s">
        <v>19</v>
      </c>
      <c r="C32" s="42" t="n">
        <v>46183</v>
      </c>
      <c r="D32" s="41" t="s">
        <v>129</v>
      </c>
      <c r="E32" s="43" t="s">
        <v>195</v>
      </c>
      <c r="F32" s="41" t="s">
        <v>80</v>
      </c>
      <c r="G32" s="41" t="s">
        <v>117</v>
      </c>
      <c r="H32" s="43" t="s">
        <v>44</v>
      </c>
      <c r="I32" s="43" t="s">
        <v>196</v>
      </c>
    </row>
    <row r="33" customFormat="false" ht="15" hidden="false" customHeight="false" outlineLevel="0" collapsed="false">
      <c r="B33" s="44" t="s">
        <v>19</v>
      </c>
      <c r="C33" s="45" t="n">
        <v>46254</v>
      </c>
      <c r="D33" s="44" t="s">
        <v>129</v>
      </c>
      <c r="E33" s="46" t="s">
        <v>195</v>
      </c>
      <c r="F33" s="44" t="s">
        <v>80</v>
      </c>
      <c r="G33" s="44" t="s">
        <v>117</v>
      </c>
      <c r="H33" s="46" t="s">
        <v>44</v>
      </c>
      <c r="I33" s="46" t="s">
        <v>196</v>
      </c>
    </row>
    <row r="34" customFormat="false" ht="15" hidden="false" customHeight="false" outlineLevel="0" collapsed="false">
      <c r="B34" s="41" t="s">
        <v>19</v>
      </c>
      <c r="C34" s="42" t="n">
        <v>46254</v>
      </c>
      <c r="D34" s="41" t="s">
        <v>129</v>
      </c>
      <c r="E34" s="43" t="s">
        <v>195</v>
      </c>
      <c r="F34" s="41" t="s">
        <v>79</v>
      </c>
      <c r="G34" s="41" t="s">
        <v>117</v>
      </c>
      <c r="H34" s="43" t="s">
        <v>46</v>
      </c>
      <c r="I34" s="43" t="s">
        <v>197</v>
      </c>
    </row>
    <row r="35" customFormat="false" ht="15" hidden="false" customHeight="false" outlineLevel="0" collapsed="false">
      <c r="B35" s="44" t="s">
        <v>19</v>
      </c>
      <c r="C35" s="45" t="n">
        <v>46192</v>
      </c>
      <c r="D35" s="44" t="s">
        <v>129</v>
      </c>
      <c r="E35" s="46" t="s">
        <v>198</v>
      </c>
      <c r="F35" s="44" t="s">
        <v>80</v>
      </c>
      <c r="G35" s="49" t="s">
        <v>176</v>
      </c>
      <c r="H35" s="46" t="s">
        <v>44</v>
      </c>
      <c r="I35" s="46" t="s">
        <v>199</v>
      </c>
    </row>
    <row r="36" customFormat="false" ht="15" hidden="false" customHeight="false" outlineLevel="0" collapsed="false">
      <c r="B36" s="41" t="s">
        <v>19</v>
      </c>
      <c r="C36" s="42" t="n">
        <v>46136</v>
      </c>
      <c r="D36" s="41" t="s">
        <v>129</v>
      </c>
      <c r="E36" s="43" t="s">
        <v>200</v>
      </c>
      <c r="F36" s="41" t="s">
        <v>81</v>
      </c>
      <c r="G36" s="41" t="s">
        <v>118</v>
      </c>
      <c r="H36" s="43" t="s">
        <v>112</v>
      </c>
      <c r="I36" s="43" t="s">
        <v>201</v>
      </c>
    </row>
    <row r="37" customFormat="false" ht="15" hidden="false" customHeight="false" outlineLevel="0" collapsed="false">
      <c r="B37" s="44" t="s">
        <v>19</v>
      </c>
      <c r="C37" s="45" t="n">
        <v>46253</v>
      </c>
      <c r="D37" s="44" t="s">
        <v>129</v>
      </c>
      <c r="E37" s="46" t="s">
        <v>200</v>
      </c>
      <c r="F37" s="44" t="s">
        <v>80</v>
      </c>
      <c r="G37" s="49" t="s">
        <v>176</v>
      </c>
      <c r="H37" s="46" t="s">
        <v>44</v>
      </c>
      <c r="I37" s="46" t="s">
        <v>202</v>
      </c>
    </row>
    <row r="38" customFormat="false" ht="15" hidden="false" customHeight="false" outlineLevel="0" collapsed="false">
      <c r="B38" s="41" t="s">
        <v>19</v>
      </c>
      <c r="C38" s="42" t="n">
        <v>46253</v>
      </c>
      <c r="D38" s="41" t="s">
        <v>129</v>
      </c>
      <c r="E38" s="43" t="s">
        <v>203</v>
      </c>
      <c r="F38" s="41" t="s">
        <v>80</v>
      </c>
      <c r="G38" s="50" t="s">
        <v>176</v>
      </c>
      <c r="H38" s="43" t="s">
        <v>111</v>
      </c>
      <c r="I38" s="43" t="s">
        <v>204</v>
      </c>
    </row>
    <row r="39" customFormat="false" ht="15" hidden="false" customHeight="false" outlineLevel="0" collapsed="false">
      <c r="B39" s="44" t="s">
        <v>19</v>
      </c>
      <c r="C39" s="45" t="n">
        <v>46191</v>
      </c>
      <c r="D39" s="44" t="s">
        <v>129</v>
      </c>
      <c r="E39" s="46" t="s">
        <v>205</v>
      </c>
      <c r="F39" s="44" t="s">
        <v>78</v>
      </c>
      <c r="G39" s="49" t="s">
        <v>176</v>
      </c>
      <c r="H39" s="46" t="s">
        <v>38</v>
      </c>
      <c r="I39" s="46" t="s">
        <v>206</v>
      </c>
    </row>
    <row r="40" customFormat="false" ht="15" hidden="false" customHeight="false" outlineLevel="0" collapsed="false">
      <c r="B40" s="41" t="s">
        <v>19</v>
      </c>
      <c r="C40" s="42" t="n">
        <v>46191</v>
      </c>
      <c r="D40" s="41" t="s">
        <v>129</v>
      </c>
      <c r="E40" s="43" t="s">
        <v>207</v>
      </c>
      <c r="F40" s="41" t="s">
        <v>78</v>
      </c>
      <c r="G40" s="50" t="s">
        <v>176</v>
      </c>
      <c r="H40" s="43" t="s">
        <v>111</v>
      </c>
      <c r="I40" s="43" t="s">
        <v>208</v>
      </c>
    </row>
    <row r="41" customFormat="false" ht="15" hidden="false" customHeight="false" outlineLevel="0" collapsed="false">
      <c r="B41" s="44" t="s">
        <v>19</v>
      </c>
      <c r="C41" s="45" t="n">
        <v>46210</v>
      </c>
      <c r="D41" s="44" t="s">
        <v>129</v>
      </c>
      <c r="E41" s="46" t="s">
        <v>207</v>
      </c>
      <c r="F41" s="44" t="s">
        <v>80</v>
      </c>
      <c r="G41" s="49" t="s">
        <v>176</v>
      </c>
      <c r="H41" s="46" t="s">
        <v>111</v>
      </c>
      <c r="I41" s="46" t="s">
        <v>209</v>
      </c>
    </row>
    <row r="42" customFormat="false" ht="15" hidden="false" customHeight="false" outlineLevel="0" collapsed="false">
      <c r="B42" s="41" t="s">
        <v>19</v>
      </c>
      <c r="C42" s="42" t="n">
        <v>46189</v>
      </c>
      <c r="D42" s="41" t="s">
        <v>129</v>
      </c>
      <c r="E42" s="43" t="s">
        <v>210</v>
      </c>
      <c r="F42" s="41" t="s">
        <v>80</v>
      </c>
      <c r="G42" s="50" t="s">
        <v>176</v>
      </c>
      <c r="H42" s="43" t="s">
        <v>111</v>
      </c>
      <c r="I42" s="43" t="s">
        <v>211</v>
      </c>
    </row>
    <row r="43" customFormat="false" ht="15" hidden="false" customHeight="false" outlineLevel="0" collapsed="false">
      <c r="B43" s="44" t="s">
        <v>19</v>
      </c>
      <c r="C43" s="45" t="n">
        <v>46153</v>
      </c>
      <c r="D43" s="44" t="s">
        <v>129</v>
      </c>
      <c r="E43" s="46" t="s">
        <v>212</v>
      </c>
      <c r="F43" s="44" t="s">
        <v>80</v>
      </c>
      <c r="G43" s="44" t="s">
        <v>118</v>
      </c>
      <c r="H43" s="46" t="s">
        <v>111</v>
      </c>
      <c r="I43" s="46" t="s">
        <v>213</v>
      </c>
    </row>
    <row r="44" customFormat="false" ht="15" hidden="false" customHeight="false" outlineLevel="0" collapsed="false">
      <c r="B44" s="41" t="s">
        <v>19</v>
      </c>
      <c r="C44" s="42" t="n">
        <v>46191</v>
      </c>
      <c r="D44" s="41" t="s">
        <v>129</v>
      </c>
      <c r="E44" s="43" t="s">
        <v>214</v>
      </c>
      <c r="F44" s="41" t="s">
        <v>124</v>
      </c>
      <c r="G44" s="50" t="s">
        <v>176</v>
      </c>
      <c r="H44" s="43" t="s">
        <v>111</v>
      </c>
      <c r="I44" s="43" t="s">
        <v>215</v>
      </c>
    </row>
    <row r="45" customFormat="false" ht="15" hidden="false" customHeight="false" outlineLevel="0" collapsed="false">
      <c r="B45" s="44" t="s">
        <v>19</v>
      </c>
      <c r="C45" s="45" t="n">
        <v>46191</v>
      </c>
      <c r="D45" s="44" t="s">
        <v>129</v>
      </c>
      <c r="E45" s="46" t="s">
        <v>216</v>
      </c>
      <c r="F45" s="44" t="s">
        <v>81</v>
      </c>
      <c r="G45" s="49" t="s">
        <v>176</v>
      </c>
      <c r="H45" s="46" t="s">
        <v>40</v>
      </c>
      <c r="I45" s="46" t="s">
        <v>217</v>
      </c>
    </row>
    <row r="46" customFormat="false" ht="15" hidden="false" customHeight="false" outlineLevel="0" collapsed="false">
      <c r="B46" s="41" t="s">
        <v>19</v>
      </c>
      <c r="C46" s="42" t="n">
        <v>46203</v>
      </c>
      <c r="D46" s="41" t="s">
        <v>129</v>
      </c>
      <c r="E46" s="43" t="s">
        <v>218</v>
      </c>
      <c r="F46" s="41" t="s">
        <v>124</v>
      </c>
      <c r="G46" s="50" t="s">
        <v>176</v>
      </c>
      <c r="H46" s="43" t="s">
        <v>42</v>
      </c>
      <c r="I46" s="43" t="s">
        <v>219</v>
      </c>
    </row>
    <row r="47" customFormat="false" ht="15" hidden="false" customHeight="false" outlineLevel="0" collapsed="false">
      <c r="B47" s="44" t="s">
        <v>19</v>
      </c>
      <c r="C47" s="45" t="n">
        <v>46154</v>
      </c>
      <c r="D47" s="44" t="s">
        <v>129</v>
      </c>
      <c r="E47" s="46" t="s">
        <v>220</v>
      </c>
      <c r="F47" s="44" t="s">
        <v>80</v>
      </c>
      <c r="G47" s="49" t="s">
        <v>176</v>
      </c>
      <c r="H47" s="46" t="s">
        <v>113</v>
      </c>
      <c r="I47" s="46" t="s">
        <v>221</v>
      </c>
    </row>
    <row r="48" customFormat="false" ht="15" hidden="false" customHeight="false" outlineLevel="0" collapsed="false">
      <c r="B48" s="41" t="s">
        <v>19</v>
      </c>
      <c r="C48" s="42" t="n">
        <v>46211</v>
      </c>
      <c r="D48" s="41" t="s">
        <v>129</v>
      </c>
      <c r="E48" s="43" t="s">
        <v>222</v>
      </c>
      <c r="F48" s="41" t="s">
        <v>78</v>
      </c>
      <c r="G48" s="50" t="s">
        <v>176</v>
      </c>
      <c r="H48" s="43" t="s">
        <v>111</v>
      </c>
      <c r="I48" s="48" t="s">
        <v>223</v>
      </c>
    </row>
    <row r="49" customFormat="false" ht="15" hidden="false" customHeight="false" outlineLevel="0" collapsed="false">
      <c r="B49" s="44" t="s">
        <v>19</v>
      </c>
      <c r="C49" s="45" t="n">
        <v>46190</v>
      </c>
      <c r="D49" s="44" t="s">
        <v>129</v>
      </c>
      <c r="E49" s="46" t="s">
        <v>224</v>
      </c>
      <c r="F49" s="44" t="s">
        <v>124</v>
      </c>
      <c r="G49" s="49" t="s">
        <v>176</v>
      </c>
      <c r="H49" s="46" t="s">
        <v>111</v>
      </c>
      <c r="I49" s="46" t="s">
        <v>225</v>
      </c>
    </row>
    <row r="50" customFormat="false" ht="15" hidden="false" customHeight="false" outlineLevel="0" collapsed="false">
      <c r="B50" s="41" t="s">
        <v>19</v>
      </c>
      <c r="C50" s="42" t="n">
        <v>46225</v>
      </c>
      <c r="D50" s="41" t="s">
        <v>129</v>
      </c>
      <c r="E50" s="43" t="s">
        <v>226</v>
      </c>
      <c r="F50" s="41" t="s">
        <v>78</v>
      </c>
      <c r="G50" s="50" t="s">
        <v>176</v>
      </c>
      <c r="H50" s="43" t="s">
        <v>111</v>
      </c>
      <c r="I50" s="43" t="s">
        <v>227</v>
      </c>
    </row>
    <row r="51" customFormat="false" ht="15" hidden="false" customHeight="false" outlineLevel="0" collapsed="false">
      <c r="B51" s="44" t="s">
        <v>19</v>
      </c>
      <c r="C51" s="45" t="n">
        <v>46225</v>
      </c>
      <c r="D51" s="44" t="s">
        <v>129</v>
      </c>
      <c r="E51" s="46" t="s">
        <v>226</v>
      </c>
      <c r="F51" s="44" t="s">
        <v>124</v>
      </c>
      <c r="G51" s="49" t="s">
        <v>176</v>
      </c>
      <c r="H51" s="46" t="s">
        <v>112</v>
      </c>
      <c r="I51" s="46" t="s">
        <v>201</v>
      </c>
    </row>
    <row r="52" customFormat="false" ht="15" hidden="false" customHeight="false" outlineLevel="0" collapsed="false">
      <c r="B52" s="41" t="s">
        <v>19</v>
      </c>
      <c r="C52" s="42" t="n">
        <v>46161</v>
      </c>
      <c r="D52" s="41" t="s">
        <v>129</v>
      </c>
      <c r="E52" s="43" t="s">
        <v>228</v>
      </c>
      <c r="F52" s="41" t="s">
        <v>78</v>
      </c>
      <c r="G52" s="50" t="s">
        <v>176</v>
      </c>
      <c r="H52" s="43" t="s">
        <v>111</v>
      </c>
      <c r="I52" s="43" t="s">
        <v>227</v>
      </c>
    </row>
    <row r="53" customFormat="false" ht="15" hidden="false" customHeight="false" outlineLevel="0" collapsed="false">
      <c r="B53" s="44" t="s">
        <v>19</v>
      </c>
      <c r="C53" s="45" t="n">
        <v>46252</v>
      </c>
      <c r="D53" s="44" t="s">
        <v>129</v>
      </c>
      <c r="E53" s="46" t="s">
        <v>228</v>
      </c>
      <c r="F53" s="44" t="s">
        <v>78</v>
      </c>
      <c r="G53" s="49" t="s">
        <v>176</v>
      </c>
      <c r="H53" s="46" t="s">
        <v>111</v>
      </c>
      <c r="I53" s="46" t="s">
        <v>229</v>
      </c>
    </row>
    <row r="54" customFormat="false" ht="15" hidden="false" customHeight="false" outlineLevel="0" collapsed="false">
      <c r="B54" s="41" t="s">
        <v>19</v>
      </c>
      <c r="C54" s="42" t="n">
        <v>46190</v>
      </c>
      <c r="D54" s="41" t="s">
        <v>129</v>
      </c>
      <c r="E54" s="43" t="s">
        <v>230</v>
      </c>
      <c r="F54" s="41" t="s">
        <v>124</v>
      </c>
      <c r="G54" s="50" t="s">
        <v>176</v>
      </c>
      <c r="H54" s="43" t="s">
        <v>38</v>
      </c>
      <c r="I54" s="43" t="s">
        <v>231</v>
      </c>
    </row>
    <row r="55" customFormat="false" ht="15" hidden="false" customHeight="false" outlineLevel="0" collapsed="false">
      <c r="B55" s="44" t="s">
        <v>21</v>
      </c>
      <c r="C55" s="45" t="n">
        <v>46261</v>
      </c>
      <c r="D55" s="44" t="s">
        <v>129</v>
      </c>
      <c r="E55" s="46" t="s">
        <v>232</v>
      </c>
      <c r="F55" s="44" t="s">
        <v>125</v>
      </c>
      <c r="G55" s="44" t="s">
        <v>117</v>
      </c>
      <c r="H55" s="46" t="s">
        <v>38</v>
      </c>
      <c r="I55" s="46"/>
    </row>
    <row r="56" customFormat="false" ht="15" hidden="false" customHeight="false" outlineLevel="0" collapsed="false">
      <c r="B56" s="41" t="s">
        <v>21</v>
      </c>
      <c r="C56" s="42" t="n">
        <v>46261</v>
      </c>
      <c r="D56" s="41" t="s">
        <v>129</v>
      </c>
      <c r="E56" s="43" t="s">
        <v>233</v>
      </c>
      <c r="F56" s="41" t="s">
        <v>125</v>
      </c>
      <c r="G56" s="41" t="s">
        <v>117</v>
      </c>
      <c r="H56" s="43" t="s">
        <v>38</v>
      </c>
      <c r="I56" s="43"/>
    </row>
    <row r="57" customFormat="false" ht="15" hidden="false" customHeight="false" outlineLevel="0" collapsed="false">
      <c r="B57" s="44" t="s">
        <v>21</v>
      </c>
      <c r="C57" s="45" t="n">
        <v>46261</v>
      </c>
      <c r="D57" s="44" t="s">
        <v>129</v>
      </c>
      <c r="E57" s="46" t="s">
        <v>234</v>
      </c>
      <c r="F57" s="44" t="s">
        <v>125</v>
      </c>
      <c r="G57" s="44" t="s">
        <v>117</v>
      </c>
      <c r="H57" s="46" t="s">
        <v>40</v>
      </c>
      <c r="I57" s="47" t="s">
        <v>235</v>
      </c>
    </row>
    <row r="58" customFormat="false" ht="15" hidden="false" customHeight="false" outlineLevel="0" collapsed="false">
      <c r="B58" s="41" t="s">
        <v>19</v>
      </c>
      <c r="C58" s="42" t="n">
        <v>46134</v>
      </c>
      <c r="D58" s="41" t="s">
        <v>129</v>
      </c>
      <c r="E58" s="43" t="s">
        <v>230</v>
      </c>
      <c r="F58" s="41" t="s">
        <v>80</v>
      </c>
      <c r="G58" s="50" t="s">
        <v>176</v>
      </c>
      <c r="H58" s="43" t="s">
        <v>111</v>
      </c>
      <c r="I58" s="48" t="s">
        <v>236</v>
      </c>
    </row>
    <row r="59" customFormat="false" ht="15" hidden="false" customHeight="false" outlineLevel="0" collapsed="false">
      <c r="B59" s="44" t="s">
        <v>19</v>
      </c>
      <c r="C59" s="45" t="n">
        <v>46100</v>
      </c>
      <c r="D59" s="44" t="s">
        <v>129</v>
      </c>
      <c r="E59" s="46" t="s">
        <v>237</v>
      </c>
      <c r="F59" s="44" t="s">
        <v>80</v>
      </c>
      <c r="G59" s="49" t="s">
        <v>176</v>
      </c>
      <c r="H59" s="46" t="s">
        <v>111</v>
      </c>
      <c r="I59" s="46" t="s">
        <v>238</v>
      </c>
    </row>
    <row r="60" customFormat="false" ht="15" hidden="false" customHeight="false" outlineLevel="0" collapsed="false">
      <c r="B60" s="41" t="s">
        <v>19</v>
      </c>
      <c r="C60" s="42" t="n">
        <v>46252</v>
      </c>
      <c r="D60" s="41" t="s">
        <v>129</v>
      </c>
      <c r="E60" s="43" t="s">
        <v>237</v>
      </c>
      <c r="F60" s="41" t="s">
        <v>80</v>
      </c>
      <c r="G60" s="50" t="s">
        <v>176</v>
      </c>
      <c r="H60" s="43" t="s">
        <v>111</v>
      </c>
      <c r="I60" s="43" t="s">
        <v>239</v>
      </c>
    </row>
    <row r="61" customFormat="false" ht="15" hidden="false" customHeight="false" outlineLevel="0" collapsed="false">
      <c r="B61" s="44" t="s">
        <v>19</v>
      </c>
      <c r="C61" s="45" t="n">
        <v>46139</v>
      </c>
      <c r="D61" s="44" t="s">
        <v>129</v>
      </c>
      <c r="E61" s="46" t="s">
        <v>240</v>
      </c>
      <c r="F61" s="44" t="s">
        <v>81</v>
      </c>
      <c r="G61" s="49" t="s">
        <v>176</v>
      </c>
      <c r="H61" s="46" t="s">
        <v>44</v>
      </c>
      <c r="I61" s="46" t="s">
        <v>241</v>
      </c>
    </row>
    <row r="62" customFormat="false" ht="15" hidden="false" customHeight="false" outlineLevel="0" collapsed="false">
      <c r="B62" s="41" t="s">
        <v>19</v>
      </c>
      <c r="C62" s="42" t="n">
        <v>46190</v>
      </c>
      <c r="D62" s="41" t="s">
        <v>129</v>
      </c>
      <c r="E62" s="43" t="s">
        <v>240</v>
      </c>
      <c r="F62" s="41" t="s">
        <v>80</v>
      </c>
      <c r="G62" s="41" t="s">
        <v>118</v>
      </c>
      <c r="H62" s="43" t="s">
        <v>111</v>
      </c>
      <c r="I62" s="43" t="s">
        <v>242</v>
      </c>
    </row>
    <row r="63" customFormat="false" ht="15" hidden="false" customHeight="false" outlineLevel="0" collapsed="false">
      <c r="B63" s="44" t="s">
        <v>19</v>
      </c>
      <c r="C63" s="45" t="n">
        <v>46190</v>
      </c>
      <c r="D63" s="44" t="s">
        <v>129</v>
      </c>
      <c r="E63" s="46" t="s">
        <v>243</v>
      </c>
      <c r="F63" s="44" t="s">
        <v>78</v>
      </c>
      <c r="G63" s="44" t="s">
        <v>118</v>
      </c>
      <c r="H63" s="46" t="s">
        <v>111</v>
      </c>
      <c r="I63" s="46" t="s">
        <v>244</v>
      </c>
    </row>
    <row r="64" customFormat="false" ht="15" hidden="false" customHeight="false" outlineLevel="0" collapsed="false">
      <c r="B64" s="41" t="s">
        <v>19</v>
      </c>
      <c r="C64" s="42" t="n">
        <v>46225</v>
      </c>
      <c r="D64" s="41" t="s">
        <v>129</v>
      </c>
      <c r="E64" s="43" t="s">
        <v>243</v>
      </c>
      <c r="F64" s="41" t="s">
        <v>124</v>
      </c>
      <c r="G64" s="41" t="s">
        <v>118</v>
      </c>
      <c r="H64" s="43" t="s">
        <v>111</v>
      </c>
      <c r="I64" s="43" t="s">
        <v>245</v>
      </c>
    </row>
    <row r="65" customFormat="false" ht="15" hidden="false" customHeight="false" outlineLevel="0" collapsed="false">
      <c r="B65" s="44" t="s">
        <v>19</v>
      </c>
      <c r="C65" s="45" t="n">
        <v>46190</v>
      </c>
      <c r="D65" s="44" t="s">
        <v>129</v>
      </c>
      <c r="E65" s="46" t="s">
        <v>246</v>
      </c>
      <c r="F65" s="44" t="s">
        <v>78</v>
      </c>
      <c r="G65" s="44" t="s">
        <v>118</v>
      </c>
      <c r="H65" s="46" t="s">
        <v>111</v>
      </c>
      <c r="I65" s="46" t="s">
        <v>247</v>
      </c>
    </row>
    <row r="66" customFormat="false" ht="15" hidden="false" customHeight="false" outlineLevel="0" collapsed="false">
      <c r="B66" s="41" t="s">
        <v>21</v>
      </c>
      <c r="C66" s="42" t="n">
        <v>46262</v>
      </c>
      <c r="D66" s="41" t="s">
        <v>129</v>
      </c>
      <c r="E66" s="43" t="s">
        <v>248</v>
      </c>
      <c r="F66" s="41" t="s">
        <v>125</v>
      </c>
      <c r="G66" s="41" t="s">
        <v>117</v>
      </c>
      <c r="H66" s="43" t="s">
        <v>40</v>
      </c>
      <c r="I66" s="48" t="s">
        <v>249</v>
      </c>
    </row>
    <row r="67" customFormat="false" ht="15" hidden="false" customHeight="false" outlineLevel="0" collapsed="false">
      <c r="B67" s="44" t="s">
        <v>21</v>
      </c>
      <c r="C67" s="45" t="n">
        <v>46262</v>
      </c>
      <c r="D67" s="44" t="s">
        <v>129</v>
      </c>
      <c r="E67" s="46" t="s">
        <v>250</v>
      </c>
      <c r="F67" s="44" t="s">
        <v>79</v>
      </c>
      <c r="G67" s="44" t="s">
        <v>117</v>
      </c>
      <c r="H67" s="46" t="s">
        <v>111</v>
      </c>
      <c r="I67" s="46" t="s">
        <v>251</v>
      </c>
    </row>
    <row r="68" customFormat="false" ht="15" hidden="false" customHeight="false" outlineLevel="0" collapsed="false">
      <c r="B68" s="41" t="s">
        <v>21</v>
      </c>
      <c r="C68" s="42" t="n">
        <v>46262</v>
      </c>
      <c r="D68" s="41" t="s">
        <v>129</v>
      </c>
      <c r="E68" s="43" t="s">
        <v>252</v>
      </c>
      <c r="F68" s="41" t="s">
        <v>125</v>
      </c>
      <c r="G68" s="41" t="s">
        <v>117</v>
      </c>
      <c r="H68" s="43" t="s">
        <v>40</v>
      </c>
      <c r="I68" s="48" t="s">
        <v>253</v>
      </c>
    </row>
    <row r="69" customFormat="false" ht="15" hidden="false" customHeight="false" outlineLevel="0" collapsed="false">
      <c r="B69" s="44" t="s">
        <v>21</v>
      </c>
      <c r="C69" s="45" t="n">
        <v>46262</v>
      </c>
      <c r="D69" s="44" t="s">
        <v>129</v>
      </c>
      <c r="E69" s="46" t="s">
        <v>254</v>
      </c>
      <c r="F69" s="44" t="s">
        <v>125</v>
      </c>
      <c r="G69" s="44" t="s">
        <v>117</v>
      </c>
      <c r="H69" s="46" t="s">
        <v>40</v>
      </c>
      <c r="I69" s="47" t="s">
        <v>253</v>
      </c>
    </row>
    <row r="70" customFormat="false" ht="15" hidden="false" customHeight="false" outlineLevel="0" collapsed="false">
      <c r="B70" s="41" t="s">
        <v>26</v>
      </c>
      <c r="C70" s="42" t="n">
        <v>46265</v>
      </c>
      <c r="D70" s="41" t="s">
        <v>132</v>
      </c>
      <c r="E70" s="43" t="s">
        <v>255</v>
      </c>
      <c r="F70" s="41" t="s">
        <v>79</v>
      </c>
      <c r="G70" s="50" t="s">
        <v>176</v>
      </c>
      <c r="H70" s="43" t="s">
        <v>38</v>
      </c>
      <c r="I70" s="43" t="s">
        <v>256</v>
      </c>
    </row>
    <row r="71" customFormat="false" ht="15" hidden="false" customHeight="false" outlineLevel="0" collapsed="false">
      <c r="B71" s="44" t="s">
        <v>26</v>
      </c>
      <c r="C71" s="45" t="n">
        <v>46266</v>
      </c>
      <c r="D71" s="44" t="s">
        <v>132</v>
      </c>
      <c r="E71" s="46" t="s">
        <v>257</v>
      </c>
      <c r="F71" s="44" t="s">
        <v>79</v>
      </c>
      <c r="G71" s="49" t="s">
        <v>176</v>
      </c>
      <c r="H71" s="46" t="s">
        <v>50</v>
      </c>
      <c r="I71" s="46" t="s">
        <v>258</v>
      </c>
    </row>
    <row r="72" customFormat="false" ht="15" hidden="false" customHeight="false" outlineLevel="0" collapsed="false">
      <c r="B72" s="41" t="s">
        <v>21</v>
      </c>
      <c r="C72" s="42" t="n">
        <v>46266</v>
      </c>
      <c r="D72" s="41" t="s">
        <v>129</v>
      </c>
      <c r="E72" s="43" t="s">
        <v>259</v>
      </c>
      <c r="F72" s="41" t="s">
        <v>79</v>
      </c>
      <c r="G72" s="41" t="s">
        <v>119</v>
      </c>
      <c r="H72" s="43" t="s">
        <v>112</v>
      </c>
      <c r="I72" s="48" t="s">
        <v>260</v>
      </c>
    </row>
    <row r="73" customFormat="false" ht="15" hidden="false" customHeight="false" outlineLevel="0" collapsed="false">
      <c r="B73" s="44" t="s">
        <v>21</v>
      </c>
      <c r="C73" s="45" t="n">
        <v>46267</v>
      </c>
      <c r="D73" s="44" t="s">
        <v>129</v>
      </c>
      <c r="E73" s="46" t="s">
        <v>261</v>
      </c>
      <c r="F73" s="44" t="s">
        <v>79</v>
      </c>
      <c r="G73" s="44" t="s">
        <v>119</v>
      </c>
      <c r="H73" s="46" t="s">
        <v>112</v>
      </c>
      <c r="I73" s="46" t="s">
        <v>262</v>
      </c>
    </row>
    <row r="74" customFormat="false" ht="15" hidden="false" customHeight="false" outlineLevel="0" collapsed="false">
      <c r="B74" s="41" t="s">
        <v>21</v>
      </c>
      <c r="C74" s="42" t="n">
        <v>46267</v>
      </c>
      <c r="D74" s="41" t="s">
        <v>129</v>
      </c>
      <c r="E74" s="43" t="s">
        <v>263</v>
      </c>
      <c r="F74" s="41" t="s">
        <v>125</v>
      </c>
      <c r="G74" s="41" t="s">
        <v>117</v>
      </c>
      <c r="H74" s="43" t="s">
        <v>38</v>
      </c>
      <c r="I74" s="48" t="s">
        <v>264</v>
      </c>
    </row>
    <row r="75" customFormat="false" ht="15" hidden="false" customHeight="false" outlineLevel="0" collapsed="false">
      <c r="B75" s="44" t="s">
        <v>21</v>
      </c>
      <c r="C75" s="45" t="n">
        <v>46267</v>
      </c>
      <c r="D75" s="44" t="s">
        <v>129</v>
      </c>
      <c r="E75" s="46" t="s">
        <v>265</v>
      </c>
      <c r="F75" s="44" t="s">
        <v>79</v>
      </c>
      <c r="G75" s="44" t="s">
        <v>117</v>
      </c>
      <c r="H75" s="46" t="s">
        <v>38</v>
      </c>
      <c r="I75" s="46"/>
    </row>
    <row r="76" customFormat="false" ht="15" hidden="false" customHeight="false" outlineLevel="0" collapsed="false">
      <c r="B76" s="41" t="s">
        <v>21</v>
      </c>
      <c r="C76" s="42" t="n">
        <v>46267</v>
      </c>
      <c r="D76" s="41" t="s">
        <v>129</v>
      </c>
      <c r="E76" s="43" t="s">
        <v>265</v>
      </c>
      <c r="F76" s="41" t="s">
        <v>125</v>
      </c>
      <c r="G76" s="41" t="s">
        <v>117</v>
      </c>
      <c r="H76" s="43" t="s">
        <v>38</v>
      </c>
      <c r="I76" s="43"/>
    </row>
    <row r="77" customFormat="false" ht="15" hidden="false" customHeight="false" outlineLevel="0" collapsed="false">
      <c r="B77" s="44" t="s">
        <v>21</v>
      </c>
      <c r="C77" s="45" t="n">
        <v>46267</v>
      </c>
      <c r="D77" s="44" t="s">
        <v>129</v>
      </c>
      <c r="E77" s="46" t="s">
        <v>265</v>
      </c>
      <c r="F77" s="44" t="s">
        <v>79</v>
      </c>
      <c r="G77" s="44" t="s">
        <v>117</v>
      </c>
      <c r="H77" s="46" t="s">
        <v>38</v>
      </c>
      <c r="I77" s="46"/>
    </row>
    <row r="78" customFormat="false" ht="15" hidden="false" customHeight="false" outlineLevel="0" collapsed="false">
      <c r="B78" s="41" t="s">
        <v>21</v>
      </c>
      <c r="C78" s="42" t="n">
        <v>46267</v>
      </c>
      <c r="D78" s="41" t="s">
        <v>129</v>
      </c>
      <c r="E78" s="43" t="s">
        <v>266</v>
      </c>
      <c r="F78" s="41" t="s">
        <v>79</v>
      </c>
      <c r="G78" s="41" t="s">
        <v>117</v>
      </c>
      <c r="H78" s="43" t="s">
        <v>38</v>
      </c>
      <c r="I78" s="43"/>
    </row>
    <row r="79" customFormat="false" ht="15" hidden="false" customHeight="false" outlineLevel="0" collapsed="false">
      <c r="B79" s="44" t="s">
        <v>21</v>
      </c>
      <c r="C79" s="45" t="n">
        <v>46267</v>
      </c>
      <c r="D79" s="44" t="s">
        <v>129</v>
      </c>
      <c r="E79" s="46" t="s">
        <v>267</v>
      </c>
      <c r="F79" s="44" t="s">
        <v>125</v>
      </c>
      <c r="G79" s="44" t="s">
        <v>117</v>
      </c>
      <c r="H79" s="46" t="s">
        <v>38</v>
      </c>
      <c r="I79" s="46"/>
    </row>
    <row r="80" customFormat="false" ht="15" hidden="false" customHeight="false" outlineLevel="0" collapsed="false">
      <c r="B80" s="41" t="s">
        <v>21</v>
      </c>
      <c r="C80" s="42" t="n">
        <v>46267</v>
      </c>
      <c r="D80" s="41" t="s">
        <v>129</v>
      </c>
      <c r="E80" s="43" t="s">
        <v>268</v>
      </c>
      <c r="F80" s="41" t="s">
        <v>125</v>
      </c>
      <c r="G80" s="41" t="s">
        <v>117</v>
      </c>
      <c r="H80" s="43" t="s">
        <v>38</v>
      </c>
      <c r="I80" s="43"/>
    </row>
    <row r="81" customFormat="false" ht="15" hidden="false" customHeight="false" outlineLevel="0" collapsed="false">
      <c r="B81" s="44" t="s">
        <v>20</v>
      </c>
      <c r="C81" s="45" t="n">
        <v>46266</v>
      </c>
      <c r="D81" s="44" t="s">
        <v>75</v>
      </c>
      <c r="E81" s="46" t="s">
        <v>269</v>
      </c>
      <c r="F81" s="44" t="s">
        <v>78</v>
      </c>
      <c r="G81" s="44" t="s">
        <v>117</v>
      </c>
      <c r="H81" s="46" t="s">
        <v>38</v>
      </c>
      <c r="I81" s="46" t="s">
        <v>270</v>
      </c>
    </row>
    <row r="82" customFormat="false" ht="15" hidden="false" customHeight="false" outlineLevel="0" collapsed="false">
      <c r="B82" s="41" t="s">
        <v>23</v>
      </c>
      <c r="C82" s="42" t="n">
        <v>46258</v>
      </c>
      <c r="D82" s="41" t="s">
        <v>129</v>
      </c>
      <c r="E82" s="43" t="s">
        <v>271</v>
      </c>
      <c r="F82" s="41" t="s">
        <v>79</v>
      </c>
      <c r="G82" s="41" t="s">
        <v>119</v>
      </c>
      <c r="H82" s="43" t="s">
        <v>38</v>
      </c>
      <c r="I82" s="43" t="s">
        <v>272</v>
      </c>
    </row>
    <row r="83" customFormat="false" ht="15" hidden="false" customHeight="false" outlineLevel="0" collapsed="false">
      <c r="B83" s="44" t="s">
        <v>23</v>
      </c>
      <c r="C83" s="45" t="n">
        <v>46258</v>
      </c>
      <c r="D83" s="44" t="s">
        <v>129</v>
      </c>
      <c r="E83" s="46" t="s">
        <v>273</v>
      </c>
      <c r="F83" s="44" t="s">
        <v>79</v>
      </c>
      <c r="G83" s="44" t="s">
        <v>119</v>
      </c>
      <c r="H83" s="46" t="s">
        <v>38</v>
      </c>
      <c r="I83" s="46" t="s">
        <v>274</v>
      </c>
    </row>
    <row r="84" customFormat="false" ht="15" hidden="false" customHeight="false" outlineLevel="0" collapsed="false">
      <c r="B84" s="41" t="s">
        <v>24</v>
      </c>
      <c r="C84" s="42" t="n">
        <v>46267</v>
      </c>
      <c r="D84" s="41" t="s">
        <v>133</v>
      </c>
      <c r="E84" s="43" t="s">
        <v>275</v>
      </c>
      <c r="F84" s="41" t="s">
        <v>78</v>
      </c>
      <c r="G84" s="41" t="s">
        <v>118</v>
      </c>
      <c r="H84" s="43" t="s">
        <v>111</v>
      </c>
      <c r="I84" s="43" t="s">
        <v>276</v>
      </c>
    </row>
    <row r="85" customFormat="false" ht="15" hidden="false" customHeight="false" outlineLevel="0" collapsed="false">
      <c r="B85" s="44" t="s">
        <v>24</v>
      </c>
      <c r="C85" s="45" t="n">
        <v>46268</v>
      </c>
      <c r="D85" s="44" t="s">
        <v>133</v>
      </c>
      <c r="E85" s="46" t="s">
        <v>277</v>
      </c>
      <c r="F85" s="44" t="s">
        <v>124</v>
      </c>
      <c r="G85" s="44" t="s">
        <v>117</v>
      </c>
      <c r="H85" s="46" t="s">
        <v>42</v>
      </c>
      <c r="I85" s="46" t="s">
        <v>278</v>
      </c>
    </row>
    <row r="86" customFormat="false" ht="15" hidden="false" customHeight="false" outlineLevel="0" collapsed="false">
      <c r="B86" s="41" t="s">
        <v>24</v>
      </c>
      <c r="C86" s="42" t="n">
        <v>46268</v>
      </c>
      <c r="D86" s="41" t="s">
        <v>133</v>
      </c>
      <c r="E86" s="43" t="s">
        <v>279</v>
      </c>
      <c r="F86" s="41" t="s">
        <v>79</v>
      </c>
      <c r="G86" s="41" t="s">
        <v>117</v>
      </c>
      <c r="H86" s="43" t="s">
        <v>40</v>
      </c>
      <c r="I86" s="43" t="s">
        <v>280</v>
      </c>
    </row>
    <row r="87" customFormat="false" ht="15" hidden="false" customHeight="false" outlineLevel="0" collapsed="false">
      <c r="B87" s="44" t="s">
        <v>24</v>
      </c>
      <c r="C87" s="45" t="n">
        <v>46268</v>
      </c>
      <c r="D87" s="44" t="s">
        <v>133</v>
      </c>
      <c r="E87" s="46" t="s">
        <v>281</v>
      </c>
      <c r="F87" s="44" t="s">
        <v>78</v>
      </c>
      <c r="G87" s="44" t="s">
        <v>117</v>
      </c>
      <c r="H87" s="46" t="s">
        <v>38</v>
      </c>
      <c r="I87" s="46" t="s">
        <v>282</v>
      </c>
    </row>
    <row r="88" customFormat="false" ht="15" hidden="false" customHeight="false" outlineLevel="0" collapsed="false">
      <c r="B88" s="41" t="s">
        <v>24</v>
      </c>
      <c r="C88" s="42" t="n">
        <v>46268</v>
      </c>
      <c r="D88" s="41" t="s">
        <v>133</v>
      </c>
      <c r="E88" s="43" t="s">
        <v>281</v>
      </c>
      <c r="F88" s="41" t="s">
        <v>79</v>
      </c>
      <c r="G88" s="41" t="s">
        <v>117</v>
      </c>
      <c r="H88" s="43" t="s">
        <v>38</v>
      </c>
      <c r="I88" s="48" t="s">
        <v>283</v>
      </c>
    </row>
    <row r="89" customFormat="false" ht="15" hidden="false" customHeight="false" outlineLevel="0" collapsed="false">
      <c r="B89" s="44" t="s">
        <v>22</v>
      </c>
      <c r="C89" s="45" t="n">
        <v>46266</v>
      </c>
      <c r="D89" s="44" t="s">
        <v>130</v>
      </c>
      <c r="E89" s="46" t="s">
        <v>284</v>
      </c>
      <c r="F89" s="44" t="s">
        <v>82</v>
      </c>
      <c r="G89" s="44" t="s">
        <v>117</v>
      </c>
      <c r="H89" s="46" t="s">
        <v>38</v>
      </c>
      <c r="I89" s="46"/>
    </row>
    <row r="90" customFormat="false" ht="15" hidden="false" customHeight="false" outlineLevel="0" collapsed="false">
      <c r="B90" s="41" t="s">
        <v>22</v>
      </c>
      <c r="C90" s="42" t="n">
        <v>46266</v>
      </c>
      <c r="D90" s="41" t="s">
        <v>130</v>
      </c>
      <c r="E90" s="43" t="s">
        <v>285</v>
      </c>
      <c r="F90" s="41" t="s">
        <v>79</v>
      </c>
      <c r="G90" s="41" t="s">
        <v>117</v>
      </c>
      <c r="H90" s="43" t="s">
        <v>38</v>
      </c>
      <c r="I90" s="43"/>
    </row>
    <row r="91" customFormat="false" ht="15" hidden="false" customHeight="false" outlineLevel="0" collapsed="false">
      <c r="B91" s="44" t="s">
        <v>22</v>
      </c>
      <c r="C91" s="45" t="n">
        <v>46266</v>
      </c>
      <c r="D91" s="44" t="s">
        <v>130</v>
      </c>
      <c r="E91" s="46" t="s">
        <v>285</v>
      </c>
      <c r="F91" s="44" t="s">
        <v>81</v>
      </c>
      <c r="G91" s="44" t="s">
        <v>117</v>
      </c>
      <c r="H91" s="46" t="s">
        <v>38</v>
      </c>
      <c r="I91" s="46"/>
    </row>
    <row r="92" customFormat="false" ht="15" hidden="false" customHeight="false" outlineLevel="0" collapsed="false">
      <c r="B92" s="41" t="s">
        <v>21</v>
      </c>
      <c r="C92" s="42" t="n">
        <v>46269</v>
      </c>
      <c r="D92" s="41" t="s">
        <v>129</v>
      </c>
      <c r="E92" s="43" t="s">
        <v>286</v>
      </c>
      <c r="F92" s="41" t="s">
        <v>80</v>
      </c>
      <c r="G92" s="41" t="s">
        <v>119</v>
      </c>
      <c r="H92" s="43" t="s">
        <v>112</v>
      </c>
      <c r="I92" s="43" t="s">
        <v>287</v>
      </c>
    </row>
    <row r="93" customFormat="false" ht="15" hidden="false" customHeight="false" outlineLevel="0" collapsed="false">
      <c r="B93" s="44" t="s">
        <v>21</v>
      </c>
      <c r="C93" s="45" t="n">
        <v>46268</v>
      </c>
      <c r="D93" s="44" t="s">
        <v>129</v>
      </c>
      <c r="E93" s="46" t="s">
        <v>288</v>
      </c>
      <c r="F93" s="44" t="s">
        <v>80</v>
      </c>
      <c r="G93" s="44" t="s">
        <v>117</v>
      </c>
      <c r="H93" s="46" t="s">
        <v>38</v>
      </c>
      <c r="I93" s="46"/>
    </row>
    <row r="94" customFormat="false" ht="15" hidden="false" customHeight="false" outlineLevel="0" collapsed="false">
      <c r="B94" s="41" t="s">
        <v>21</v>
      </c>
      <c r="C94" s="42" t="n">
        <v>46268</v>
      </c>
      <c r="D94" s="41" t="s">
        <v>129</v>
      </c>
      <c r="E94" s="43" t="s">
        <v>289</v>
      </c>
      <c r="F94" s="41" t="s">
        <v>79</v>
      </c>
      <c r="G94" s="41" t="s">
        <v>117</v>
      </c>
      <c r="H94" s="43" t="s">
        <v>38</v>
      </c>
      <c r="I94" s="43"/>
    </row>
    <row r="95" customFormat="false" ht="15" hidden="false" customHeight="false" outlineLevel="0" collapsed="false">
      <c r="B95" s="44" t="s">
        <v>21</v>
      </c>
      <c r="C95" s="45" t="n">
        <v>46268</v>
      </c>
      <c r="D95" s="44" t="s">
        <v>129</v>
      </c>
      <c r="E95" s="46" t="s">
        <v>289</v>
      </c>
      <c r="F95" s="44" t="s">
        <v>80</v>
      </c>
      <c r="G95" s="44" t="s">
        <v>117</v>
      </c>
      <c r="H95" s="46" t="s">
        <v>38</v>
      </c>
      <c r="I95" s="46"/>
    </row>
    <row r="96" customFormat="false" ht="15" hidden="false" customHeight="false" outlineLevel="0" collapsed="false">
      <c r="B96" s="41" t="s">
        <v>21</v>
      </c>
      <c r="C96" s="42" t="n">
        <v>46268</v>
      </c>
      <c r="D96" s="41" t="s">
        <v>129</v>
      </c>
      <c r="E96" s="43" t="s">
        <v>290</v>
      </c>
      <c r="F96" s="41" t="s">
        <v>80</v>
      </c>
      <c r="G96" s="41" t="s">
        <v>117</v>
      </c>
      <c r="H96" s="43" t="s">
        <v>38</v>
      </c>
      <c r="I96" s="43"/>
    </row>
    <row r="97" customFormat="false" ht="15" hidden="false" customHeight="false" outlineLevel="0" collapsed="false">
      <c r="B97" s="44" t="s">
        <v>21</v>
      </c>
      <c r="C97" s="45" t="n">
        <v>46268</v>
      </c>
      <c r="D97" s="44" t="s">
        <v>129</v>
      </c>
      <c r="E97" s="46" t="s">
        <v>291</v>
      </c>
      <c r="F97" s="44" t="s">
        <v>79</v>
      </c>
      <c r="G97" s="44" t="s">
        <v>117</v>
      </c>
      <c r="H97" s="46" t="s">
        <v>38</v>
      </c>
      <c r="I97" s="46"/>
    </row>
    <row r="98" customFormat="false" ht="15" hidden="false" customHeight="false" outlineLevel="0" collapsed="false">
      <c r="B98" s="41" t="s">
        <v>21</v>
      </c>
      <c r="C98" s="42" t="n">
        <v>46268</v>
      </c>
      <c r="D98" s="41" t="s">
        <v>129</v>
      </c>
      <c r="E98" s="43" t="s">
        <v>291</v>
      </c>
      <c r="F98" s="41" t="s">
        <v>80</v>
      </c>
      <c r="G98" s="41" t="s">
        <v>117</v>
      </c>
      <c r="H98" s="43" t="s">
        <v>38</v>
      </c>
      <c r="I98" s="43"/>
    </row>
    <row r="99" customFormat="false" ht="15" hidden="false" customHeight="false" outlineLevel="0" collapsed="false">
      <c r="B99" s="44" t="s">
        <v>21</v>
      </c>
      <c r="C99" s="45" t="n">
        <v>46268</v>
      </c>
      <c r="D99" s="44" t="s">
        <v>129</v>
      </c>
      <c r="E99" s="46" t="s">
        <v>292</v>
      </c>
      <c r="F99" s="44" t="s">
        <v>79</v>
      </c>
      <c r="G99" s="44" t="s">
        <v>119</v>
      </c>
      <c r="H99" s="46" t="s">
        <v>112</v>
      </c>
      <c r="I99" s="46" t="s">
        <v>293</v>
      </c>
    </row>
    <row r="100" customFormat="false" ht="15" hidden="false" customHeight="false" outlineLevel="0" collapsed="false">
      <c r="B100" s="41" t="s">
        <v>21</v>
      </c>
      <c r="C100" s="42" t="n">
        <v>46268</v>
      </c>
      <c r="D100" s="41" t="s">
        <v>129</v>
      </c>
      <c r="E100" s="43" t="s">
        <v>292</v>
      </c>
      <c r="F100" s="41" t="s">
        <v>80</v>
      </c>
      <c r="G100" s="41" t="s">
        <v>117</v>
      </c>
      <c r="H100" s="43" t="s">
        <v>38</v>
      </c>
      <c r="I100" s="43"/>
    </row>
    <row r="101" customFormat="false" ht="15" hidden="false" customHeight="false" outlineLevel="0" collapsed="false">
      <c r="B101" s="44" t="s">
        <v>21</v>
      </c>
      <c r="C101" s="45" t="n">
        <v>46268</v>
      </c>
      <c r="D101" s="44" t="s">
        <v>129</v>
      </c>
      <c r="E101" s="46" t="s">
        <v>292</v>
      </c>
      <c r="F101" s="44" t="s">
        <v>79</v>
      </c>
      <c r="G101" s="44" t="s">
        <v>117</v>
      </c>
      <c r="H101" s="46" t="s">
        <v>38</v>
      </c>
      <c r="I101" s="46"/>
    </row>
    <row r="102" customFormat="false" ht="15" hidden="false" customHeight="false" outlineLevel="0" collapsed="false">
      <c r="B102" s="41" t="s">
        <v>21</v>
      </c>
      <c r="C102" s="42" t="n">
        <v>46268</v>
      </c>
      <c r="D102" s="41" t="s">
        <v>129</v>
      </c>
      <c r="E102" s="43" t="s">
        <v>294</v>
      </c>
      <c r="F102" s="41" t="s">
        <v>79</v>
      </c>
      <c r="G102" s="41" t="s">
        <v>117</v>
      </c>
      <c r="H102" s="43" t="s">
        <v>38</v>
      </c>
      <c r="I102" s="43"/>
    </row>
    <row r="103" customFormat="false" ht="15" hidden="false" customHeight="false" outlineLevel="0" collapsed="false">
      <c r="B103" s="44" t="s">
        <v>21</v>
      </c>
      <c r="C103" s="45" t="n">
        <v>46268</v>
      </c>
      <c r="D103" s="44" t="s">
        <v>129</v>
      </c>
      <c r="E103" s="46" t="s">
        <v>294</v>
      </c>
      <c r="F103" s="44" t="s">
        <v>79</v>
      </c>
      <c r="G103" s="44" t="s">
        <v>117</v>
      </c>
      <c r="H103" s="46" t="s">
        <v>38</v>
      </c>
      <c r="I103" s="46"/>
    </row>
    <row r="104" customFormat="false" ht="15" hidden="false" customHeight="false" outlineLevel="0" collapsed="false">
      <c r="B104" s="41" t="s">
        <v>21</v>
      </c>
      <c r="C104" s="42" t="n">
        <v>46268</v>
      </c>
      <c r="D104" s="41" t="s">
        <v>129</v>
      </c>
      <c r="E104" s="43" t="s">
        <v>294</v>
      </c>
      <c r="F104" s="41" t="s">
        <v>79</v>
      </c>
      <c r="G104" s="41" t="s">
        <v>117</v>
      </c>
      <c r="H104" s="43" t="s">
        <v>38</v>
      </c>
      <c r="I104" s="43"/>
    </row>
    <row r="105" customFormat="false" ht="15" hidden="false" customHeight="false" outlineLevel="0" collapsed="false">
      <c r="B105" s="44" t="s">
        <v>21</v>
      </c>
      <c r="C105" s="45" t="n">
        <v>46274</v>
      </c>
      <c r="D105" s="44" t="s">
        <v>129</v>
      </c>
      <c r="E105" s="46" t="s">
        <v>295</v>
      </c>
      <c r="F105" s="44" t="s">
        <v>78</v>
      </c>
      <c r="G105" s="44" t="s">
        <v>119</v>
      </c>
      <c r="H105" s="46" t="s">
        <v>111</v>
      </c>
      <c r="I105" s="46" t="s">
        <v>296</v>
      </c>
    </row>
    <row r="106" customFormat="false" ht="15" hidden="false" customHeight="false" outlineLevel="0" collapsed="false">
      <c r="B106" s="41" t="s">
        <v>22</v>
      </c>
      <c r="C106" s="42" t="n">
        <v>46274</v>
      </c>
      <c r="D106" s="41" t="s">
        <v>130</v>
      </c>
      <c r="E106" s="43" t="s">
        <v>297</v>
      </c>
      <c r="F106" s="41" t="s">
        <v>82</v>
      </c>
      <c r="G106" s="41" t="s">
        <v>117</v>
      </c>
      <c r="H106" s="43" t="s">
        <v>112</v>
      </c>
      <c r="I106" s="43" t="s">
        <v>298</v>
      </c>
    </row>
    <row r="107" customFormat="false" ht="15" hidden="false" customHeight="false" outlineLevel="0" collapsed="false">
      <c r="B107" s="44" t="s">
        <v>21</v>
      </c>
      <c r="C107" s="45" t="n">
        <v>46275</v>
      </c>
      <c r="D107" s="44" t="s">
        <v>129</v>
      </c>
      <c r="E107" s="46" t="s">
        <v>248</v>
      </c>
      <c r="F107" s="44" t="s">
        <v>79</v>
      </c>
      <c r="G107" s="44" t="s">
        <v>117</v>
      </c>
      <c r="H107" s="46" t="s">
        <v>40</v>
      </c>
      <c r="I107" s="46" t="s">
        <v>299</v>
      </c>
    </row>
  </sheetData>
  <autoFilter ref="B5:I107"/>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H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7" min="3" style="0" width="14"/>
    <col collapsed="false" customWidth="true" hidden="false" outlineLevel="0" max="8" min="8" style="0" width="62"/>
  </cols>
  <sheetData>
    <row r="2" customFormat="false" ht="17.35" hidden="false" customHeight="false" outlineLevel="0" collapsed="false">
      <c r="B2" s="1" t="s">
        <v>300</v>
      </c>
    </row>
    <row r="3" customFormat="false" ht="15" hidden="false" customHeight="false" outlineLevel="0" collapsed="false">
      <c r="B3" s="2" t="s">
        <v>301</v>
      </c>
    </row>
    <row r="5" customFormat="false" ht="16.4" hidden="false" customHeight="false" outlineLevel="0" collapsed="false">
      <c r="B5" s="51" t="s">
        <v>302</v>
      </c>
    </row>
    <row r="6" customFormat="false" ht="27.75" hidden="false" customHeight="true" outlineLevel="0" collapsed="false">
      <c r="B6" s="4" t="s">
        <v>303</v>
      </c>
      <c r="C6" s="17" t="s">
        <v>304</v>
      </c>
      <c r="D6" s="17" t="s">
        <v>94</v>
      </c>
      <c r="E6" s="17" t="s">
        <v>95</v>
      </c>
      <c r="F6" s="17" t="s">
        <v>96</v>
      </c>
      <c r="G6" s="52" t="s">
        <v>97</v>
      </c>
      <c r="H6" s="4" t="s">
        <v>305</v>
      </c>
    </row>
    <row r="7" customFormat="false" ht="15" hidden="false" customHeight="false" outlineLevel="0" collapsed="false">
      <c r="B7" s="25" t="s">
        <v>129</v>
      </c>
      <c r="C7" s="53" t="n">
        <f aca="false">COUNTIFS(データ!$O$2:$O$451,"北海道",データ!$C$2:$C$451,"2026-08-17")</f>
        <v>62</v>
      </c>
      <c r="D7" s="53" t="n">
        <f aca="false">COUNTIFS(データ!$O$2:$O$451,"北海道",データ!$C$2:$C$451,"2026-08-24")</f>
        <v>23</v>
      </c>
      <c r="E7" s="53" t="n">
        <f aca="false">COUNTIFS(データ!$O$2:$O$451,"北海道",データ!$C$2:$C$451,"2026-08-31")</f>
        <v>38</v>
      </c>
      <c r="F7" s="53" t="n">
        <f aca="false">COUNTIFS(データ!$O$2:$O$451,"北海道",データ!$C$2:$C$451,"2026-09-07")</f>
        <v>15</v>
      </c>
      <c r="G7" s="53" t="n">
        <f aca="false">COUNTIFS(データ!$O$2:$O$451,"北海道",データ!$C$2:$C$451,"2026-09-14")</f>
        <v>0</v>
      </c>
      <c r="H7" s="54" t="n">
        <v>46275</v>
      </c>
    </row>
    <row r="8" customFormat="false" ht="15" hidden="false" customHeight="false" outlineLevel="0" collapsed="false">
      <c r="B8" s="25" t="s">
        <v>306</v>
      </c>
      <c r="C8" s="53" t="n">
        <f aca="false">COUNTIFS(データ!$O$2:$O$451,"北東北",データ!$C$2:$C$451,"2026-08-17")</f>
        <v>15</v>
      </c>
      <c r="D8" s="53" t="n">
        <f aca="false">COUNTIFS(データ!$O$2:$O$451,"北東北",データ!$C$2:$C$451,"2026-08-24")</f>
        <v>28</v>
      </c>
      <c r="E8" s="53" t="n">
        <f aca="false">COUNTIFS(データ!$O$2:$O$451,"北東北",データ!$C$2:$C$451,"2026-08-31")</f>
        <v>14</v>
      </c>
      <c r="F8" s="53" t="n">
        <f aca="false">COUNTIFS(データ!$O$2:$O$451,"北東北",データ!$C$2:$C$451,"2026-09-07")</f>
        <v>0</v>
      </c>
      <c r="G8" s="53" t="n">
        <f aca="false">COUNTIFS(データ!$O$2:$O$451,"北東北",データ!$C$2:$C$451,"2026-09-14")</f>
        <v>0</v>
      </c>
      <c r="H8" s="54" t="n">
        <v>46269</v>
      </c>
    </row>
    <row r="9" customFormat="false" ht="15" hidden="false" customHeight="false" outlineLevel="0" collapsed="false">
      <c r="B9" s="55" t="s">
        <v>307</v>
      </c>
      <c r="C9" s="56" t="n">
        <f aca="false">COUNTIFS(データ!$O$2:$O$451,"南東北・岩手",データ!$C$2:$C$451,"2026-08-17")</f>
        <v>24</v>
      </c>
      <c r="D9" s="56" t="n">
        <f aca="false">COUNTIFS(データ!$O$2:$O$451,"南東北・岩手",データ!$C$2:$C$451,"2026-08-24")</f>
        <v>58</v>
      </c>
      <c r="E9" s="56" t="n">
        <f aca="false">COUNTIFS(データ!$O$2:$O$451,"南東北・岩手",データ!$C$2:$C$451,"2026-08-31")</f>
        <v>33</v>
      </c>
      <c r="F9" s="56" t="n">
        <f aca="false">COUNTIFS(データ!$O$2:$O$451,"南東北・岩手",データ!$C$2:$C$451,"2026-09-07")</f>
        <v>20</v>
      </c>
      <c r="G9" s="56" t="n">
        <f aca="false">COUNTIFS(データ!$O$2:$O$451,"南東北・岩手",データ!$C$2:$C$451,"2026-09-14")</f>
        <v>17</v>
      </c>
      <c r="H9" s="57" t="n">
        <v>46281</v>
      </c>
    </row>
    <row r="11" customFormat="false" ht="15" hidden="false" customHeight="false" outlineLevel="0" collapsed="false">
      <c r="B11" s="2" t="s">
        <v>308</v>
      </c>
    </row>
    <row r="13" customFormat="false" ht="16.4" hidden="false" customHeight="false" outlineLevel="0" collapsed="false">
      <c r="B13" s="51" t="s">
        <v>309</v>
      </c>
    </row>
    <row r="14" customFormat="false" ht="15" hidden="false" customHeight="false" outlineLevel="0" collapsed="false">
      <c r="B14" s="4" t="s">
        <v>310</v>
      </c>
      <c r="C14" s="4" t="s">
        <v>4</v>
      </c>
      <c r="D14" s="4" t="s">
        <v>305</v>
      </c>
      <c r="E14" s="4" t="s">
        <v>311</v>
      </c>
      <c r="F14" s="4" t="s">
        <v>312</v>
      </c>
      <c r="G14" s="4" t="s">
        <v>313</v>
      </c>
    </row>
    <row r="15" customFormat="false" ht="15" hidden="false" customHeight="false" outlineLevel="0" collapsed="false">
      <c r="B15" s="29" t="s">
        <v>23</v>
      </c>
      <c r="C15" s="14" t="n">
        <f aca="false">COUNTIFS(データ!$A$2:$A$451,"長戸",データ!$O$2:$O$451,"北海道")</f>
        <v>30</v>
      </c>
      <c r="D15" s="58" t="n">
        <v>46266</v>
      </c>
      <c r="E15" s="14" t="n">
        <v>16</v>
      </c>
      <c r="F15" s="15" t="n">
        <v>2</v>
      </c>
      <c r="G15" s="13" t="s">
        <v>314</v>
      </c>
    </row>
    <row r="16" customFormat="false" ht="15" hidden="false" customHeight="false" outlineLevel="0" collapsed="false">
      <c r="B16" s="32" t="s">
        <v>21</v>
      </c>
      <c r="C16" s="11" t="n">
        <f aca="false">COUNTIFS(データ!$A$2:$A$451,"村田",データ!$O$2:$O$451,"北海道")</f>
        <v>72</v>
      </c>
      <c r="D16" s="59" t="n">
        <v>46275</v>
      </c>
      <c r="E16" s="11" t="n">
        <v>7</v>
      </c>
      <c r="F16" s="12" t="n">
        <v>2</v>
      </c>
      <c r="G16" s="10" t="s">
        <v>315</v>
      </c>
    </row>
    <row r="17" customFormat="false" ht="15" hidden="false" customHeight="false" outlineLevel="0" collapsed="false">
      <c r="B17" s="29" t="s">
        <v>19</v>
      </c>
      <c r="C17" s="14" t="n">
        <f aca="false">COUNTIFS(データ!$A$2:$A$451,"林",データ!$O$2:$O$451,"北海道")</f>
        <v>108</v>
      </c>
      <c r="D17" s="58" t="n">
        <v>46268</v>
      </c>
      <c r="E17" s="14" t="n">
        <v>14</v>
      </c>
      <c r="F17" s="15" t="n">
        <v>2</v>
      </c>
      <c r="G17" s="13" t="s">
        <v>316</v>
      </c>
    </row>
    <row r="18" customFormat="false" ht="15" hidden="false" customHeight="false" outlineLevel="0" collapsed="false">
      <c r="B18" s="32" t="s">
        <v>27</v>
      </c>
      <c r="C18" s="11" t="n">
        <f aca="false">COUNTIFS(データ!$A$2:$A$451,"吉野",データ!$O$2:$O$451,"北海道")</f>
        <v>19</v>
      </c>
      <c r="D18" s="59" t="n">
        <v>46275</v>
      </c>
      <c r="E18" s="11" t="n">
        <v>7</v>
      </c>
      <c r="F18" s="12" t="n">
        <v>3</v>
      </c>
      <c r="G18" s="10" t="s">
        <v>317</v>
      </c>
    </row>
    <row r="20" customFormat="false" ht="15" hidden="false" customHeight="false" outlineLevel="0" collapsed="false">
      <c r="B20" s="16" t="s">
        <v>318</v>
      </c>
    </row>
    <row r="22" customFormat="false" ht="16.4" hidden="false" customHeight="false" outlineLevel="0" collapsed="false">
      <c r="B22" s="51" t="s">
        <v>319</v>
      </c>
    </row>
    <row r="23" customFormat="false" ht="15" hidden="false" customHeight="false" outlineLevel="0" collapsed="false">
      <c r="B23" s="4" t="s">
        <v>104</v>
      </c>
      <c r="C23" s="4" t="s">
        <v>129</v>
      </c>
      <c r="D23" s="4" t="s">
        <v>320</v>
      </c>
      <c r="E23" s="4" t="s">
        <v>321</v>
      </c>
      <c r="F23" s="4" t="s">
        <v>322</v>
      </c>
      <c r="G23" s="4"/>
      <c r="H23" s="4" t="s">
        <v>323</v>
      </c>
    </row>
    <row r="24" customFormat="false" ht="15" hidden="false" customHeight="false" outlineLevel="0" collapsed="false">
      <c r="B24" s="13" t="s">
        <v>4</v>
      </c>
      <c r="C24" s="14" t="n">
        <f aca="false">COUNTIFS(データ!$O$2:$O$451,"北海道")</f>
        <v>231</v>
      </c>
      <c r="D24" s="14" t="n">
        <f aca="false">COUNTIFS(データ!$O$2:$O$451,"北東北")+COUNTIFS(データ!$O$2:$O$451,"南東北・岩手")</f>
        <v>216</v>
      </c>
      <c r="E24" s="13" t="s">
        <v>324</v>
      </c>
      <c r="F24" s="13" t="s">
        <v>325</v>
      </c>
      <c r="G24" s="60"/>
      <c r="H24" s="13" t="s">
        <v>326</v>
      </c>
    </row>
    <row r="25" customFormat="false" ht="15" hidden="false" customHeight="false" outlineLevel="0" collapsed="false">
      <c r="B25" s="10" t="s">
        <v>327</v>
      </c>
      <c r="C25" s="12" t="n">
        <v>108</v>
      </c>
      <c r="D25" s="12" t="n">
        <v>120</v>
      </c>
      <c r="E25" s="10" t="s">
        <v>328</v>
      </c>
      <c r="F25" s="10" t="s">
        <v>325</v>
      </c>
      <c r="G25" s="61"/>
      <c r="H25" s="10" t="s">
        <v>329</v>
      </c>
    </row>
    <row r="26" customFormat="false" ht="15" hidden="false" customHeight="false" outlineLevel="0" collapsed="false">
      <c r="B26" s="13" t="s">
        <v>9</v>
      </c>
      <c r="C26" s="14" t="n">
        <f aca="false">COUNTIFS(データ!$O$2:$O$451,"北海道",データ!$H$2:$H$451,"再訪不要")</f>
        <v>73</v>
      </c>
      <c r="D26" s="14" t="n">
        <f aca="false">COUNTIFS(データ!$O$2:$O$451,"北東北",データ!$H$2:$H$451,"再訪不要")+COUNTIFS(データ!$O$2:$O$451,"南東北・岩手",データ!$H$2:$H$451,"再訪不要")</f>
        <v>29</v>
      </c>
      <c r="E26" s="13" t="s">
        <v>324</v>
      </c>
      <c r="F26" s="13" t="s">
        <v>325</v>
      </c>
      <c r="G26" s="60"/>
      <c r="H26" s="31"/>
    </row>
    <row r="27" customFormat="false" ht="15" hidden="false" customHeight="false" outlineLevel="0" collapsed="false">
      <c r="B27" s="10" t="s">
        <v>330</v>
      </c>
      <c r="C27" s="21" t="n">
        <f aca="false">IFERROR(C26/C24*100,0)</f>
        <v>31.6017316017316</v>
      </c>
      <c r="D27" s="21" t="n">
        <f aca="false">IFERROR(D26/D24*100,0)</f>
        <v>13.4259259259259</v>
      </c>
      <c r="E27" s="36" t="s">
        <v>331</v>
      </c>
      <c r="F27" s="10" t="s">
        <v>325</v>
      </c>
      <c r="G27" s="61"/>
      <c r="H27" s="10" t="s">
        <v>332</v>
      </c>
    </row>
    <row r="28" customFormat="false" ht="15" hidden="false" customHeight="false" outlineLevel="0" collapsed="false">
      <c r="B28" s="13" t="s">
        <v>333</v>
      </c>
      <c r="C28" s="14" t="n">
        <f aca="false">COUNTIFS(データ!$O$2:$O$451,"北海道",データ!$H$2:$H$451,"再アプローチ")+COUNTIFS(データ!$O$2:$O$451,"北海道",データ!$H$2:$H$451,"同行依頼、再訪")</f>
        <v>109</v>
      </c>
      <c r="D28" s="14" t="n">
        <f aca="false">COUNTIFS(データ!$O$2:$O$451,"北東北",データ!$H$2:$H$451,"再アプローチ")+COUNTIFS(データ!$O$2:$O$451,"北東北",データ!$H$2:$H$451,"同行依頼、再訪")+COUNTIFS(データ!$O$2:$O$451,"南東北・岩手",データ!$H$2:$H$451,"再アプローチ")+COUNTIFS(データ!$O$2:$O$451,"南東北・岩手",データ!$H$2:$H$451,"同行依頼、再訪")</f>
        <v>141</v>
      </c>
      <c r="E28" s="13" t="s">
        <v>324</v>
      </c>
      <c r="F28" s="13" t="s">
        <v>325</v>
      </c>
      <c r="G28" s="60"/>
      <c r="H28" s="13" t="s">
        <v>334</v>
      </c>
    </row>
    <row r="29" customFormat="false" ht="15" hidden="false" customHeight="false" outlineLevel="0" collapsed="false">
      <c r="B29" s="10" t="s">
        <v>335</v>
      </c>
      <c r="C29" s="11" t="n">
        <f aca="false">COUNTIFS(データ!$O$2:$O$451,"北海道",データ!$H$2:$H$451,"再アプローチ",データ!$K$2:$K$451,"今年度")+COUNTIFS(データ!$O$2:$O$451,"北海道",データ!$H$2:$H$451,"同行依頼、再訪",データ!$K$2:$K$451,"今年度")</f>
        <v>44</v>
      </c>
      <c r="D29" s="11" t="n">
        <f aca="false">COUNTIFS(データ!$O$2:$O$451,"北東北",データ!$H$2:$H$451,"再アプローチ",データ!$K$2:$K$451,"今年度")+COUNTIFS(データ!$O$2:$O$451,"北東北",データ!$H$2:$H$451,"同行依頼、再訪",データ!$K$2:$K$451,"今年度")+COUNTIFS(データ!$O$2:$O$451,"南東北・岩手",データ!$H$2:$H$451,"再アプローチ",データ!$K$2:$K$451,"今年度")+COUNTIFS(データ!$O$2:$O$451,"南東北・岩手",データ!$H$2:$H$451,"同行依頼、再訪",データ!$K$2:$K$451,"今年度")</f>
        <v>93</v>
      </c>
      <c r="E29" s="10" t="s">
        <v>324</v>
      </c>
      <c r="F29" s="10" t="s">
        <v>325</v>
      </c>
      <c r="G29" s="61"/>
      <c r="H29" s="10" t="s">
        <v>336</v>
      </c>
    </row>
    <row r="30" customFormat="false" ht="15" hidden="false" customHeight="false" outlineLevel="0" collapsed="false">
      <c r="B30" s="13" t="s">
        <v>337</v>
      </c>
      <c r="C30" s="14" t="n">
        <f aca="false">COUNTIFS(データ!$O$2:$O$451,"北海道",データ!$K$2:$K$451,"再来年度")</f>
        <v>31</v>
      </c>
      <c r="D30" s="14" t="n">
        <f aca="false">COUNTIFS(データ!$O$2:$O$451,"北東北",データ!$K$2:$K$451,"再来年度")+COUNTIFS(データ!$O$2:$O$451,"南東北・岩手",データ!$K$2:$K$451,"再来年度")</f>
        <v>13</v>
      </c>
      <c r="E30" s="13" t="s">
        <v>324</v>
      </c>
      <c r="F30" s="13" t="s">
        <v>325</v>
      </c>
      <c r="G30" s="60"/>
      <c r="H30" s="13" t="s">
        <v>338</v>
      </c>
    </row>
    <row r="31" customFormat="false" ht="15" hidden="false" customHeight="false" outlineLevel="0" collapsed="false">
      <c r="B31" s="62" t="s">
        <v>339</v>
      </c>
      <c r="C31" s="8" t="n">
        <v>1</v>
      </c>
      <c r="D31" s="8" t="n">
        <v>2</v>
      </c>
      <c r="E31" s="62" t="s">
        <v>324</v>
      </c>
      <c r="F31" s="62" t="s">
        <v>340</v>
      </c>
      <c r="G31" s="63" t="s">
        <v>341</v>
      </c>
      <c r="H31" s="62" t="s">
        <v>342</v>
      </c>
    </row>
    <row r="32" customFormat="false" ht="15" hidden="false" customHeight="false" outlineLevel="0" collapsed="false">
      <c r="B32" s="62" t="s">
        <v>343</v>
      </c>
      <c r="C32" s="8" t="n">
        <v>44</v>
      </c>
      <c r="D32" s="8" t="n">
        <v>57</v>
      </c>
      <c r="E32" s="62" t="s">
        <v>324</v>
      </c>
      <c r="F32" s="62" t="s">
        <v>340</v>
      </c>
      <c r="G32" s="63" t="s">
        <v>344</v>
      </c>
      <c r="H32" s="62" t="s">
        <v>345</v>
      </c>
    </row>
    <row r="33" customFormat="false" ht="15" hidden="false" customHeight="false" outlineLevel="0" collapsed="false">
      <c r="B33" s="63" t="s">
        <v>346</v>
      </c>
      <c r="C33" s="8" t="n">
        <v>3</v>
      </c>
      <c r="D33" s="8" t="n">
        <v>3</v>
      </c>
      <c r="E33" s="62" t="s">
        <v>324</v>
      </c>
      <c r="F33" s="62" t="s">
        <v>340</v>
      </c>
      <c r="G33" s="63" t="s">
        <v>347</v>
      </c>
      <c r="H33" s="63"/>
    </row>
    <row r="34" customFormat="false" ht="15" hidden="false" customHeight="false" outlineLevel="0" collapsed="false">
      <c r="B34" s="63" t="s">
        <v>348</v>
      </c>
      <c r="C34" s="8" t="n">
        <v>0</v>
      </c>
      <c r="D34" s="8" t="n">
        <v>1</v>
      </c>
      <c r="E34" s="62" t="s">
        <v>324</v>
      </c>
      <c r="F34" s="62" t="s">
        <v>340</v>
      </c>
      <c r="G34" s="63" t="s">
        <v>349</v>
      </c>
      <c r="H34" s="62" t="s">
        <v>350</v>
      </c>
    </row>
    <row r="35" customFormat="false" ht="15" hidden="false" customHeight="false" outlineLevel="0" collapsed="false">
      <c r="B35" s="62" t="s">
        <v>351</v>
      </c>
      <c r="C35" s="8" t="n">
        <v>138</v>
      </c>
      <c r="D35" s="8" t="n">
        <v>75</v>
      </c>
      <c r="E35" s="62" t="s">
        <v>324</v>
      </c>
      <c r="F35" s="62" t="s">
        <v>340</v>
      </c>
      <c r="G35" s="63" t="s">
        <v>352</v>
      </c>
      <c r="H35" s="62" t="s">
        <v>353</v>
      </c>
    </row>
    <row r="36" customFormat="false" ht="15" hidden="false" customHeight="false" outlineLevel="0" collapsed="false">
      <c r="B36" s="62" t="s">
        <v>354</v>
      </c>
      <c r="C36" s="8" t="n">
        <v>39</v>
      </c>
      <c r="D36" s="8" t="n">
        <v>11</v>
      </c>
      <c r="E36" s="62" t="s">
        <v>324</v>
      </c>
      <c r="F36" s="62" t="s">
        <v>340</v>
      </c>
      <c r="G36" s="63" t="s">
        <v>355</v>
      </c>
      <c r="H36" s="62" t="s">
        <v>356</v>
      </c>
    </row>
    <row r="37" customFormat="false" ht="15" hidden="false" customHeight="false" outlineLevel="0" collapsed="false">
      <c r="B37" s="62" t="s">
        <v>357</v>
      </c>
      <c r="C37" s="8" t="n">
        <v>29</v>
      </c>
      <c r="D37" s="8" t="n">
        <v>24</v>
      </c>
      <c r="E37" s="62" t="s">
        <v>324</v>
      </c>
      <c r="F37" s="62" t="s">
        <v>340</v>
      </c>
      <c r="G37" s="63" t="s">
        <v>358</v>
      </c>
      <c r="H37" s="63"/>
    </row>
    <row r="38" customFormat="false" ht="15" hidden="false" customHeight="false" outlineLevel="0" collapsed="false">
      <c r="B38" s="62" t="s">
        <v>359</v>
      </c>
      <c r="C38" s="8" t="n">
        <v>10</v>
      </c>
      <c r="D38" s="8" t="n">
        <v>6</v>
      </c>
      <c r="E38" s="62" t="s">
        <v>324</v>
      </c>
      <c r="F38" s="62" t="s">
        <v>340</v>
      </c>
      <c r="G38" s="63" t="s">
        <v>360</v>
      </c>
      <c r="H38" s="63" t="s">
        <v>361</v>
      </c>
    </row>
    <row r="40" customFormat="false" ht="15" hidden="false" customHeight="false" outlineLevel="0" collapsed="false">
      <c r="B40" s="2" t="s">
        <v>362</v>
      </c>
    </row>
    <row r="42" customFormat="false" ht="16.4" hidden="false" customHeight="false" outlineLevel="0" collapsed="false">
      <c r="B42" s="51" t="s">
        <v>363</v>
      </c>
    </row>
    <row r="43" customFormat="false" ht="15" hidden="false" customHeight="false" outlineLevel="0" collapsed="false">
      <c r="B43" s="4" t="s">
        <v>110</v>
      </c>
      <c r="C43" s="4" t="s">
        <v>364</v>
      </c>
      <c r="D43" s="4"/>
      <c r="E43" s="4" t="s">
        <v>365</v>
      </c>
      <c r="F43" s="4"/>
      <c r="G43" s="4"/>
      <c r="H43" s="4"/>
    </row>
    <row r="44" customFormat="false" ht="42" hidden="false" customHeight="true" outlineLevel="0" collapsed="false">
      <c r="B44" s="25" t="s">
        <v>366</v>
      </c>
      <c r="C44" s="64" t="s">
        <v>367</v>
      </c>
      <c r="D44" s="65"/>
      <c r="E44" s="64" t="s">
        <v>368</v>
      </c>
      <c r="F44" s="65"/>
      <c r="G44" s="65"/>
      <c r="H44" s="65"/>
    </row>
    <row r="45" customFormat="false" ht="27.75" hidden="false" customHeight="true" outlineLevel="0" collapsed="false">
      <c r="B45" s="32" t="s">
        <v>369</v>
      </c>
      <c r="C45" s="66" t="s">
        <v>370</v>
      </c>
      <c r="D45" s="61"/>
      <c r="E45" s="67" t="s">
        <v>371</v>
      </c>
      <c r="F45" s="61"/>
      <c r="G45" s="61"/>
      <c r="H45" s="61"/>
    </row>
    <row r="46" customFormat="false" ht="27.75" hidden="false" customHeight="true" outlineLevel="0" collapsed="false">
      <c r="B46" s="29" t="s">
        <v>372</v>
      </c>
      <c r="C46" s="68" t="s">
        <v>373</v>
      </c>
      <c r="D46" s="60"/>
      <c r="E46" s="69" t="s">
        <v>374</v>
      </c>
      <c r="F46" s="60"/>
      <c r="G46" s="60"/>
      <c r="H46" s="60"/>
    </row>
    <row r="47" customFormat="false" ht="27.75" hidden="false" customHeight="true" outlineLevel="0" collapsed="false">
      <c r="B47" s="32" t="s">
        <v>375</v>
      </c>
      <c r="C47" s="66" t="s">
        <v>376</v>
      </c>
      <c r="D47" s="61"/>
      <c r="E47" s="66" t="s">
        <v>377</v>
      </c>
      <c r="F47" s="61"/>
      <c r="G47" s="61"/>
      <c r="H47" s="61"/>
    </row>
    <row r="48" customFormat="false" ht="42" hidden="false" customHeight="true" outlineLevel="0" collapsed="false">
      <c r="B48" s="29" t="s">
        <v>378</v>
      </c>
      <c r="C48" s="68" t="s">
        <v>379</v>
      </c>
      <c r="D48" s="60"/>
      <c r="E48" s="68" t="s">
        <v>380</v>
      </c>
      <c r="F48" s="60"/>
      <c r="G48" s="60"/>
      <c r="H48" s="60"/>
    </row>
    <row r="50" customFormat="false" ht="16.4" hidden="false" customHeight="false" outlineLevel="0" collapsed="false">
      <c r="B50" s="51" t="s">
        <v>381</v>
      </c>
    </row>
    <row r="51" customFormat="false" ht="15" hidden="false" customHeight="false" outlineLevel="0" collapsed="false">
      <c r="B51" s="4" t="s">
        <v>382</v>
      </c>
      <c r="C51" s="4"/>
      <c r="D51" s="4"/>
      <c r="E51" s="4" t="s">
        <v>383</v>
      </c>
      <c r="F51" s="4"/>
      <c r="G51" s="4"/>
      <c r="H51" s="4"/>
    </row>
    <row r="52" customFormat="false" ht="42" hidden="false" customHeight="true" outlineLevel="0" collapsed="false">
      <c r="B52" s="70" t="s">
        <v>384</v>
      </c>
      <c r="C52" s="71"/>
      <c r="D52" s="71"/>
      <c r="E52" s="72" t="s">
        <v>385</v>
      </c>
      <c r="F52" s="71"/>
      <c r="G52" s="71"/>
      <c r="H52" s="71"/>
    </row>
    <row r="53" customFormat="false" ht="27.75" hidden="false" customHeight="true" outlineLevel="0" collapsed="false">
      <c r="B53" s="70" t="s">
        <v>386</v>
      </c>
      <c r="C53" s="71"/>
      <c r="D53" s="71"/>
      <c r="E53" s="72" t="s">
        <v>387</v>
      </c>
      <c r="F53" s="71"/>
      <c r="G53" s="71"/>
      <c r="H53" s="71"/>
    </row>
    <row r="54" customFormat="false" ht="27.75" hidden="false" customHeight="true" outlineLevel="0" collapsed="false">
      <c r="B54" s="70" t="s">
        <v>388</v>
      </c>
      <c r="C54" s="71"/>
      <c r="D54" s="71"/>
      <c r="E54" s="72" t="s">
        <v>389</v>
      </c>
      <c r="F54" s="71"/>
      <c r="G54" s="71"/>
      <c r="H54" s="71"/>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C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4"/>
    <col collapsed="false" customWidth="true" hidden="false" outlineLevel="0" max="3" min="3" style="0" width="100"/>
  </cols>
  <sheetData>
    <row r="2" customFormat="false" ht="17.35" hidden="false" customHeight="false" outlineLevel="0" collapsed="false">
      <c r="B2" s="1" t="s">
        <v>390</v>
      </c>
    </row>
    <row r="4" customFormat="false" ht="27.75" hidden="false" customHeight="true" outlineLevel="0" collapsed="false">
      <c r="B4" s="6" t="s">
        <v>391</v>
      </c>
      <c r="C4" s="68" t="s">
        <v>392</v>
      </c>
    </row>
    <row r="5" customFormat="false" ht="27.75" hidden="false" customHeight="true" outlineLevel="0" collapsed="false">
      <c r="B5" s="6" t="s">
        <v>393</v>
      </c>
      <c r="C5" s="68" t="s">
        <v>394</v>
      </c>
    </row>
    <row r="6" customFormat="false" ht="27.75" hidden="false" customHeight="true" outlineLevel="0" collapsed="false">
      <c r="B6" s="6" t="s">
        <v>395</v>
      </c>
      <c r="C6" s="68" t="s">
        <v>396</v>
      </c>
    </row>
    <row r="7" customFormat="false" ht="13.5" hidden="false" customHeight="true" outlineLevel="0" collapsed="false">
      <c r="B7" s="6" t="s">
        <v>397</v>
      </c>
      <c r="C7" s="68" t="s">
        <v>398</v>
      </c>
    </row>
    <row r="8" customFormat="false" ht="55.5" hidden="false" customHeight="true" outlineLevel="0" collapsed="false">
      <c r="B8" s="6" t="s">
        <v>399</v>
      </c>
      <c r="C8" s="68" t="s">
        <v>400</v>
      </c>
    </row>
    <row r="9" customFormat="false" ht="42" hidden="false" customHeight="true" outlineLevel="0" collapsed="false">
      <c r="B9" s="6" t="s">
        <v>401</v>
      </c>
      <c r="C9" s="68" t="s">
        <v>402</v>
      </c>
    </row>
    <row r="10" customFormat="false" ht="42" hidden="false" customHeight="true" outlineLevel="0" collapsed="false">
      <c r="B10" s="6" t="s">
        <v>403</v>
      </c>
      <c r="C10" s="68" t="s">
        <v>404</v>
      </c>
    </row>
    <row r="11" customFormat="false" ht="27.75" hidden="false" customHeight="true" outlineLevel="0" collapsed="false">
      <c r="B11" s="6" t="s">
        <v>405</v>
      </c>
      <c r="C11" s="68" t="s">
        <v>406</v>
      </c>
    </row>
    <row r="12" customFormat="false" ht="13.5" hidden="false" customHeight="true" outlineLevel="0" collapsed="false">
      <c r="B12" s="6" t="s">
        <v>407</v>
      </c>
      <c r="C12" s="68" t="s">
        <v>408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4" min="1" style="0" width="11"/>
    <col collapsed="false" customWidth="true" hidden="false" outlineLevel="0" max="5" min="5" style="0" width="24"/>
    <col collapsed="false" customWidth="true" hidden="false" outlineLevel="0" max="13" min="6" style="0" width="11"/>
    <col collapsed="false" customWidth="true" hidden="false" outlineLevel="0" max="14" min="14" style="0" width="24"/>
    <col collapsed="false" customWidth="true" hidden="false" outlineLevel="0" max="15" min="15" style="0" width="14"/>
    <col collapsed="false" customWidth="true" hidden="false" outlineLevel="0" max="16" min="16" style="0" width="60"/>
  </cols>
  <sheetData>
    <row r="1" customFormat="false" ht="26.85" hidden="false" customHeight="false" outlineLevel="0" collapsed="false">
      <c r="A1" s="4" t="s">
        <v>15</v>
      </c>
      <c r="B1" s="4" t="s">
        <v>145</v>
      </c>
      <c r="C1" s="4" t="s">
        <v>409</v>
      </c>
      <c r="D1" s="4" t="s">
        <v>128</v>
      </c>
      <c r="E1" s="4" t="s">
        <v>146</v>
      </c>
      <c r="F1" s="4" t="s">
        <v>123</v>
      </c>
      <c r="G1" s="4" t="s">
        <v>115</v>
      </c>
      <c r="H1" s="4" t="s">
        <v>410</v>
      </c>
      <c r="I1" s="4" t="s">
        <v>138</v>
      </c>
      <c r="J1" s="4" t="s">
        <v>411</v>
      </c>
      <c r="K1" s="4" t="s">
        <v>134</v>
      </c>
      <c r="L1" s="4" t="s">
        <v>122</v>
      </c>
      <c r="M1" s="4" t="s">
        <v>412</v>
      </c>
      <c r="N1" s="4" t="s">
        <v>110</v>
      </c>
      <c r="O1" s="4" t="s">
        <v>413</v>
      </c>
      <c r="P1" s="4" t="s">
        <v>147</v>
      </c>
    </row>
    <row r="2" customFormat="false" ht="15" hidden="false" customHeight="false" outlineLevel="0" collapsed="false">
      <c r="A2" s="73" t="s">
        <v>24</v>
      </c>
      <c r="B2" s="74" t="n">
        <v>46253</v>
      </c>
      <c r="C2" s="75" t="s">
        <v>66</v>
      </c>
      <c r="D2" s="73" t="s">
        <v>133</v>
      </c>
      <c r="E2" s="76" t="s">
        <v>148</v>
      </c>
      <c r="F2" s="73" t="s">
        <v>126</v>
      </c>
      <c r="G2" s="73" t="s">
        <v>120</v>
      </c>
      <c r="H2" s="73" t="s">
        <v>7</v>
      </c>
      <c r="I2" s="75" t="s">
        <v>414</v>
      </c>
      <c r="J2" s="75" t="s">
        <v>414</v>
      </c>
      <c r="K2" s="75" t="s">
        <v>414</v>
      </c>
      <c r="L2" s="75" t="s">
        <v>414</v>
      </c>
      <c r="M2" s="75" t="s">
        <v>414</v>
      </c>
      <c r="N2" s="76"/>
      <c r="O2" s="73" t="s">
        <v>306</v>
      </c>
      <c r="P2" s="76" t="s">
        <v>415</v>
      </c>
    </row>
    <row r="3" customFormat="false" ht="15" hidden="false" customHeight="false" outlineLevel="0" collapsed="false">
      <c r="A3" s="73" t="s">
        <v>24</v>
      </c>
      <c r="B3" s="74" t="n">
        <v>46253</v>
      </c>
      <c r="C3" s="75" t="s">
        <v>66</v>
      </c>
      <c r="D3" s="73" t="s">
        <v>133</v>
      </c>
      <c r="E3" s="76" t="s">
        <v>148</v>
      </c>
      <c r="F3" s="73" t="s">
        <v>78</v>
      </c>
      <c r="G3" s="73" t="s">
        <v>118</v>
      </c>
      <c r="H3" s="73" t="s">
        <v>9</v>
      </c>
      <c r="I3" s="75" t="s">
        <v>414</v>
      </c>
      <c r="J3" s="75" t="s">
        <v>414</v>
      </c>
      <c r="K3" s="75" t="s">
        <v>414</v>
      </c>
      <c r="L3" s="75" t="s">
        <v>414</v>
      </c>
      <c r="M3" s="75" t="s">
        <v>414</v>
      </c>
      <c r="N3" s="76" t="s">
        <v>112</v>
      </c>
      <c r="O3" s="73" t="s">
        <v>306</v>
      </c>
      <c r="P3" s="76" t="s">
        <v>149</v>
      </c>
    </row>
    <row r="4" customFormat="false" ht="15" hidden="false" customHeight="false" outlineLevel="0" collapsed="false">
      <c r="A4" s="73" t="s">
        <v>24</v>
      </c>
      <c r="B4" s="74" t="n">
        <v>46253</v>
      </c>
      <c r="C4" s="75" t="s">
        <v>66</v>
      </c>
      <c r="D4" s="73" t="s">
        <v>133</v>
      </c>
      <c r="E4" s="76" t="s">
        <v>148</v>
      </c>
      <c r="F4" s="73" t="s">
        <v>80</v>
      </c>
      <c r="G4" s="73" t="s">
        <v>119</v>
      </c>
      <c r="H4" s="73" t="s">
        <v>9</v>
      </c>
      <c r="I4" s="75" t="s">
        <v>414</v>
      </c>
      <c r="J4" s="75" t="s">
        <v>414</v>
      </c>
      <c r="K4" s="75" t="s">
        <v>414</v>
      </c>
      <c r="L4" s="75" t="s">
        <v>414</v>
      </c>
      <c r="M4" s="75" t="s">
        <v>414</v>
      </c>
      <c r="N4" s="76" t="s">
        <v>40</v>
      </c>
      <c r="O4" s="73" t="s">
        <v>306</v>
      </c>
      <c r="P4" s="76" t="s">
        <v>416</v>
      </c>
    </row>
    <row r="5" customFormat="false" ht="15" hidden="false" customHeight="false" outlineLevel="0" collapsed="false">
      <c r="A5" s="73" t="s">
        <v>28</v>
      </c>
      <c r="B5" s="74" t="n">
        <v>46258</v>
      </c>
      <c r="C5" s="75" t="s">
        <v>67</v>
      </c>
      <c r="D5" s="73" t="s">
        <v>76</v>
      </c>
      <c r="E5" s="76" t="s">
        <v>417</v>
      </c>
      <c r="F5" s="73" t="s">
        <v>124</v>
      </c>
      <c r="G5" s="75" t="s">
        <v>414</v>
      </c>
      <c r="H5" s="75" t="s">
        <v>414</v>
      </c>
      <c r="I5" s="75" t="s">
        <v>414</v>
      </c>
      <c r="J5" s="75" t="s">
        <v>414</v>
      </c>
      <c r="K5" s="75" t="s">
        <v>414</v>
      </c>
      <c r="L5" s="75" t="s">
        <v>414</v>
      </c>
      <c r="M5" s="73" t="s">
        <v>418</v>
      </c>
      <c r="N5" s="76"/>
      <c r="O5" s="73" t="s">
        <v>307</v>
      </c>
      <c r="P5" s="76"/>
    </row>
    <row r="6" customFormat="false" ht="15" hidden="false" customHeight="false" outlineLevel="0" collapsed="false">
      <c r="A6" s="73" t="s">
        <v>28</v>
      </c>
      <c r="B6" s="74"/>
      <c r="C6" s="75" t="s">
        <v>414</v>
      </c>
      <c r="D6" s="73" t="s">
        <v>76</v>
      </c>
      <c r="E6" s="76" t="s">
        <v>419</v>
      </c>
      <c r="F6" s="73" t="s">
        <v>124</v>
      </c>
      <c r="G6" s="75" t="s">
        <v>414</v>
      </c>
      <c r="H6" s="75" t="s">
        <v>414</v>
      </c>
      <c r="I6" s="75" t="s">
        <v>414</v>
      </c>
      <c r="J6" s="75" t="s">
        <v>414</v>
      </c>
      <c r="K6" s="75" t="s">
        <v>414</v>
      </c>
      <c r="L6" s="75" t="s">
        <v>414</v>
      </c>
      <c r="M6" s="73" t="s">
        <v>418</v>
      </c>
      <c r="N6" s="76"/>
      <c r="O6" s="73" t="s">
        <v>307</v>
      </c>
      <c r="P6" s="76"/>
    </row>
    <row r="7" customFormat="false" ht="15" hidden="false" customHeight="false" outlineLevel="0" collapsed="false">
      <c r="A7" s="73" t="s">
        <v>28</v>
      </c>
      <c r="B7" s="74" t="n">
        <v>46258</v>
      </c>
      <c r="C7" s="75" t="s">
        <v>67</v>
      </c>
      <c r="D7" s="73" t="s">
        <v>76</v>
      </c>
      <c r="E7" s="76" t="s">
        <v>420</v>
      </c>
      <c r="F7" s="73" t="s">
        <v>124</v>
      </c>
      <c r="G7" s="75" t="s">
        <v>414</v>
      </c>
      <c r="H7" s="75" t="s">
        <v>414</v>
      </c>
      <c r="I7" s="75" t="s">
        <v>414</v>
      </c>
      <c r="J7" s="75" t="s">
        <v>414</v>
      </c>
      <c r="K7" s="75" t="s">
        <v>414</v>
      </c>
      <c r="L7" s="75" t="s">
        <v>414</v>
      </c>
      <c r="M7" s="73" t="s">
        <v>421</v>
      </c>
      <c r="N7" s="76"/>
      <c r="O7" s="73" t="s">
        <v>307</v>
      </c>
      <c r="P7" s="76"/>
    </row>
    <row r="8" customFormat="false" ht="15" hidden="false" customHeight="false" outlineLevel="0" collapsed="false">
      <c r="A8" s="73" t="s">
        <v>28</v>
      </c>
      <c r="B8" s="74" t="n">
        <v>46258</v>
      </c>
      <c r="C8" s="75" t="s">
        <v>67</v>
      </c>
      <c r="D8" s="73" t="s">
        <v>131</v>
      </c>
      <c r="E8" s="76" t="s">
        <v>422</v>
      </c>
      <c r="F8" s="73" t="s">
        <v>124</v>
      </c>
      <c r="G8" s="75" t="s">
        <v>414</v>
      </c>
      <c r="H8" s="73" t="s">
        <v>7</v>
      </c>
      <c r="I8" s="75" t="s">
        <v>414</v>
      </c>
      <c r="J8" s="75" t="s">
        <v>414</v>
      </c>
      <c r="K8" s="75" t="s">
        <v>414</v>
      </c>
      <c r="L8" s="75" t="s">
        <v>414</v>
      </c>
      <c r="M8" s="73" t="s">
        <v>418</v>
      </c>
      <c r="N8" s="76"/>
      <c r="O8" s="73" t="s">
        <v>307</v>
      </c>
      <c r="P8" s="76"/>
    </row>
    <row r="9" customFormat="false" ht="15" hidden="false" customHeight="false" outlineLevel="0" collapsed="false">
      <c r="A9" s="73" t="s">
        <v>28</v>
      </c>
      <c r="B9" s="74" t="n">
        <v>46258</v>
      </c>
      <c r="C9" s="75" t="s">
        <v>67</v>
      </c>
      <c r="D9" s="73" t="s">
        <v>132</v>
      </c>
      <c r="E9" s="76" t="s">
        <v>423</v>
      </c>
      <c r="F9" s="73" t="s">
        <v>124</v>
      </c>
      <c r="G9" s="73" t="s">
        <v>8</v>
      </c>
      <c r="H9" s="73" t="s">
        <v>7</v>
      </c>
      <c r="I9" s="73" t="s">
        <v>140</v>
      </c>
      <c r="J9" s="75" t="s">
        <v>424</v>
      </c>
      <c r="K9" s="73" t="s">
        <v>135</v>
      </c>
      <c r="L9" s="73" t="s">
        <v>86</v>
      </c>
      <c r="M9" s="73" t="s">
        <v>425</v>
      </c>
      <c r="N9" s="76"/>
      <c r="O9" s="73" t="s">
        <v>306</v>
      </c>
      <c r="P9" s="76"/>
    </row>
    <row r="10" customFormat="false" ht="15" hidden="false" customHeight="false" outlineLevel="0" collapsed="false">
      <c r="A10" s="73" t="s">
        <v>22</v>
      </c>
      <c r="B10" s="74" t="n">
        <v>46258</v>
      </c>
      <c r="C10" s="75" t="s">
        <v>67</v>
      </c>
      <c r="D10" s="73" t="s">
        <v>130</v>
      </c>
      <c r="E10" s="76" t="s">
        <v>426</v>
      </c>
      <c r="F10" s="73" t="s">
        <v>78</v>
      </c>
      <c r="G10" s="73" t="s">
        <v>118</v>
      </c>
      <c r="H10" s="73" t="s">
        <v>7</v>
      </c>
      <c r="I10" s="73" t="s">
        <v>140</v>
      </c>
      <c r="J10" s="75" t="s">
        <v>424</v>
      </c>
      <c r="K10" s="73" t="s">
        <v>135</v>
      </c>
      <c r="L10" s="73" t="s">
        <v>84</v>
      </c>
      <c r="M10" s="75" t="s">
        <v>414</v>
      </c>
      <c r="N10" s="76"/>
      <c r="O10" s="73" t="s">
        <v>307</v>
      </c>
      <c r="P10" s="76" t="s">
        <v>427</v>
      </c>
    </row>
    <row r="11" customFormat="false" ht="15" hidden="false" customHeight="false" outlineLevel="0" collapsed="false">
      <c r="A11" s="73" t="s">
        <v>22</v>
      </c>
      <c r="B11" s="74" t="n">
        <v>46258</v>
      </c>
      <c r="C11" s="75" t="s">
        <v>67</v>
      </c>
      <c r="D11" s="73" t="s">
        <v>130</v>
      </c>
      <c r="E11" s="76" t="s">
        <v>428</v>
      </c>
      <c r="F11" s="73" t="s">
        <v>80</v>
      </c>
      <c r="G11" s="73" t="s">
        <v>117</v>
      </c>
      <c r="H11" s="73" t="s">
        <v>7</v>
      </c>
      <c r="I11" s="73" t="s">
        <v>139</v>
      </c>
      <c r="J11" s="75" t="s">
        <v>424</v>
      </c>
      <c r="K11" s="73" t="s">
        <v>135</v>
      </c>
      <c r="L11" s="73" t="s">
        <v>84</v>
      </c>
      <c r="M11" s="75" t="s">
        <v>414</v>
      </c>
      <c r="N11" s="76"/>
      <c r="O11" s="73" t="s">
        <v>307</v>
      </c>
      <c r="P11" s="76" t="s">
        <v>429</v>
      </c>
    </row>
    <row r="12" customFormat="false" ht="15" hidden="false" customHeight="false" outlineLevel="0" collapsed="false">
      <c r="A12" s="73" t="s">
        <v>28</v>
      </c>
      <c r="B12" s="74" t="n">
        <v>46258</v>
      </c>
      <c r="C12" s="75" t="s">
        <v>67</v>
      </c>
      <c r="D12" s="73" t="s">
        <v>132</v>
      </c>
      <c r="E12" s="76" t="s">
        <v>185</v>
      </c>
      <c r="F12" s="73" t="s">
        <v>124</v>
      </c>
      <c r="G12" s="75" t="s">
        <v>414</v>
      </c>
      <c r="H12" s="75" t="s">
        <v>414</v>
      </c>
      <c r="I12" s="75" t="s">
        <v>414</v>
      </c>
      <c r="J12" s="75" t="s">
        <v>414</v>
      </c>
      <c r="K12" s="75" t="s">
        <v>414</v>
      </c>
      <c r="L12" s="75" t="s">
        <v>414</v>
      </c>
      <c r="M12" s="73" t="s">
        <v>425</v>
      </c>
      <c r="N12" s="76"/>
      <c r="O12" s="73" t="s">
        <v>306</v>
      </c>
      <c r="P12" s="76"/>
    </row>
    <row r="13" customFormat="false" ht="15" hidden="false" customHeight="false" outlineLevel="0" collapsed="false">
      <c r="A13" s="73" t="s">
        <v>28</v>
      </c>
      <c r="B13" s="74" t="n">
        <v>46258</v>
      </c>
      <c r="C13" s="75" t="s">
        <v>67</v>
      </c>
      <c r="D13" s="73" t="s">
        <v>132</v>
      </c>
      <c r="E13" s="76" t="s">
        <v>430</v>
      </c>
      <c r="F13" s="73" t="s">
        <v>124</v>
      </c>
      <c r="G13" s="75" t="s">
        <v>414</v>
      </c>
      <c r="H13" s="75" t="s">
        <v>414</v>
      </c>
      <c r="I13" s="75" t="s">
        <v>414</v>
      </c>
      <c r="J13" s="75" t="s">
        <v>414</v>
      </c>
      <c r="K13" s="75" t="s">
        <v>414</v>
      </c>
      <c r="L13" s="75" t="s">
        <v>414</v>
      </c>
      <c r="M13" s="73" t="s">
        <v>421</v>
      </c>
      <c r="N13" s="76"/>
      <c r="O13" s="73" t="s">
        <v>306</v>
      </c>
      <c r="P13" s="76"/>
    </row>
    <row r="14" customFormat="false" ht="15" hidden="false" customHeight="false" outlineLevel="0" collapsed="false">
      <c r="A14" s="73" t="s">
        <v>28</v>
      </c>
      <c r="B14" s="74" t="n">
        <v>46258</v>
      </c>
      <c r="C14" s="75" t="s">
        <v>67</v>
      </c>
      <c r="D14" s="73" t="s">
        <v>132</v>
      </c>
      <c r="E14" s="76" t="s">
        <v>431</v>
      </c>
      <c r="F14" s="73" t="s">
        <v>124</v>
      </c>
      <c r="G14" s="75" t="s">
        <v>414</v>
      </c>
      <c r="H14" s="75" t="s">
        <v>414</v>
      </c>
      <c r="I14" s="75" t="s">
        <v>414</v>
      </c>
      <c r="J14" s="75" t="s">
        <v>414</v>
      </c>
      <c r="K14" s="75" t="s">
        <v>414</v>
      </c>
      <c r="L14" s="75" t="s">
        <v>414</v>
      </c>
      <c r="M14" s="73" t="s">
        <v>421</v>
      </c>
      <c r="N14" s="76"/>
      <c r="O14" s="73" t="s">
        <v>306</v>
      </c>
      <c r="P14" s="76"/>
    </row>
    <row r="15" customFormat="false" ht="15" hidden="false" customHeight="false" outlineLevel="0" collapsed="false">
      <c r="A15" s="73" t="s">
        <v>28</v>
      </c>
      <c r="B15" s="74" t="n">
        <v>46258</v>
      </c>
      <c r="C15" s="75" t="s">
        <v>67</v>
      </c>
      <c r="D15" s="73" t="s">
        <v>132</v>
      </c>
      <c r="E15" s="76" t="s">
        <v>432</v>
      </c>
      <c r="F15" s="73" t="s">
        <v>124</v>
      </c>
      <c r="G15" s="75" t="s">
        <v>414</v>
      </c>
      <c r="H15" s="75" t="s">
        <v>414</v>
      </c>
      <c r="I15" s="75" t="s">
        <v>414</v>
      </c>
      <c r="J15" s="75" t="s">
        <v>414</v>
      </c>
      <c r="K15" s="75" t="s">
        <v>414</v>
      </c>
      <c r="L15" s="75" t="s">
        <v>414</v>
      </c>
      <c r="M15" s="73" t="s">
        <v>421</v>
      </c>
      <c r="N15" s="76"/>
      <c r="O15" s="73" t="s">
        <v>306</v>
      </c>
      <c r="P15" s="76"/>
    </row>
    <row r="16" customFormat="false" ht="15" hidden="false" customHeight="false" outlineLevel="0" collapsed="false">
      <c r="A16" s="73" t="s">
        <v>28</v>
      </c>
      <c r="B16" s="74" t="n">
        <v>46258</v>
      </c>
      <c r="C16" s="75" t="s">
        <v>67</v>
      </c>
      <c r="D16" s="73" t="s">
        <v>132</v>
      </c>
      <c r="E16" s="76" t="s">
        <v>433</v>
      </c>
      <c r="F16" s="73" t="s">
        <v>126</v>
      </c>
      <c r="G16" s="75" t="s">
        <v>414</v>
      </c>
      <c r="H16" s="75" t="s">
        <v>414</v>
      </c>
      <c r="I16" s="75" t="s">
        <v>414</v>
      </c>
      <c r="J16" s="75" t="s">
        <v>424</v>
      </c>
      <c r="K16" s="73" t="s">
        <v>135</v>
      </c>
      <c r="L16" s="75" t="s">
        <v>414</v>
      </c>
      <c r="M16" s="75" t="s">
        <v>414</v>
      </c>
      <c r="N16" s="76"/>
      <c r="O16" s="73" t="s">
        <v>306</v>
      </c>
      <c r="P16" s="76" t="s">
        <v>434</v>
      </c>
    </row>
    <row r="17" customFormat="false" ht="15" hidden="false" customHeight="false" outlineLevel="0" collapsed="false">
      <c r="A17" s="73" t="s">
        <v>28</v>
      </c>
      <c r="B17" s="74" t="n">
        <v>46258</v>
      </c>
      <c r="C17" s="75" t="s">
        <v>67</v>
      </c>
      <c r="D17" s="73" t="s">
        <v>133</v>
      </c>
      <c r="E17" s="76" t="s">
        <v>435</v>
      </c>
      <c r="F17" s="73" t="s">
        <v>124</v>
      </c>
      <c r="G17" s="75" t="s">
        <v>414</v>
      </c>
      <c r="H17" s="75" t="s">
        <v>414</v>
      </c>
      <c r="I17" s="75" t="s">
        <v>414</v>
      </c>
      <c r="J17" s="75" t="s">
        <v>414</v>
      </c>
      <c r="K17" s="75" t="s">
        <v>414</v>
      </c>
      <c r="L17" s="75" t="s">
        <v>414</v>
      </c>
      <c r="M17" s="73" t="s">
        <v>418</v>
      </c>
      <c r="N17" s="76"/>
      <c r="O17" s="73" t="s">
        <v>306</v>
      </c>
      <c r="P17" s="76"/>
    </row>
    <row r="18" customFormat="false" ht="15" hidden="false" customHeight="false" outlineLevel="0" collapsed="false">
      <c r="A18" s="73" t="s">
        <v>28</v>
      </c>
      <c r="B18" s="74" t="n">
        <v>46258</v>
      </c>
      <c r="C18" s="75" t="s">
        <v>67</v>
      </c>
      <c r="D18" s="73" t="s">
        <v>133</v>
      </c>
      <c r="E18" s="76" t="s">
        <v>436</v>
      </c>
      <c r="F18" s="73" t="s">
        <v>124</v>
      </c>
      <c r="G18" s="75" t="s">
        <v>414</v>
      </c>
      <c r="H18" s="75" t="s">
        <v>414</v>
      </c>
      <c r="I18" s="75" t="s">
        <v>414</v>
      </c>
      <c r="J18" s="75" t="s">
        <v>414</v>
      </c>
      <c r="K18" s="75" t="s">
        <v>414</v>
      </c>
      <c r="L18" s="75" t="s">
        <v>414</v>
      </c>
      <c r="M18" s="73" t="s">
        <v>418</v>
      </c>
      <c r="N18" s="76"/>
      <c r="O18" s="73" t="s">
        <v>306</v>
      </c>
      <c r="P18" s="76"/>
    </row>
    <row r="19" customFormat="false" ht="15" hidden="false" customHeight="false" outlineLevel="0" collapsed="false">
      <c r="A19" s="73" t="s">
        <v>28</v>
      </c>
      <c r="B19" s="74" t="n">
        <v>46258</v>
      </c>
      <c r="C19" s="75" t="s">
        <v>67</v>
      </c>
      <c r="D19" s="73" t="s">
        <v>76</v>
      </c>
      <c r="E19" s="76" t="s">
        <v>437</v>
      </c>
      <c r="F19" s="73" t="s">
        <v>124</v>
      </c>
      <c r="G19" s="75" t="s">
        <v>414</v>
      </c>
      <c r="H19" s="75" t="s">
        <v>414</v>
      </c>
      <c r="I19" s="75" t="s">
        <v>414</v>
      </c>
      <c r="J19" s="75" t="s">
        <v>414</v>
      </c>
      <c r="K19" s="75" t="s">
        <v>414</v>
      </c>
      <c r="L19" s="75" t="s">
        <v>414</v>
      </c>
      <c r="M19" s="73" t="s">
        <v>421</v>
      </c>
      <c r="N19" s="76"/>
      <c r="O19" s="73" t="s">
        <v>307</v>
      </c>
      <c r="P19" s="76"/>
    </row>
    <row r="20" customFormat="false" ht="15" hidden="false" customHeight="false" outlineLevel="0" collapsed="false">
      <c r="A20" s="73" t="s">
        <v>28</v>
      </c>
      <c r="B20" s="74" t="n">
        <v>46258</v>
      </c>
      <c r="C20" s="75" t="s">
        <v>67</v>
      </c>
      <c r="D20" s="73" t="s">
        <v>76</v>
      </c>
      <c r="E20" s="76" t="s">
        <v>438</v>
      </c>
      <c r="F20" s="73" t="s">
        <v>124</v>
      </c>
      <c r="G20" s="75" t="s">
        <v>414</v>
      </c>
      <c r="H20" s="75" t="s">
        <v>414</v>
      </c>
      <c r="I20" s="75" t="s">
        <v>414</v>
      </c>
      <c r="J20" s="75" t="s">
        <v>414</v>
      </c>
      <c r="K20" s="75" t="s">
        <v>414</v>
      </c>
      <c r="L20" s="75" t="s">
        <v>414</v>
      </c>
      <c r="M20" s="73" t="s">
        <v>421</v>
      </c>
      <c r="N20" s="76"/>
      <c r="O20" s="73" t="s">
        <v>307</v>
      </c>
      <c r="P20" s="76"/>
    </row>
    <row r="21" customFormat="false" ht="15" hidden="false" customHeight="false" outlineLevel="0" collapsed="false">
      <c r="A21" s="73" t="s">
        <v>28</v>
      </c>
      <c r="B21" s="74"/>
      <c r="C21" s="75" t="s">
        <v>414</v>
      </c>
      <c r="D21" s="73" t="s">
        <v>76</v>
      </c>
      <c r="E21" s="76" t="s">
        <v>439</v>
      </c>
      <c r="F21" s="73" t="s">
        <v>124</v>
      </c>
      <c r="G21" s="75" t="s">
        <v>414</v>
      </c>
      <c r="H21" s="75" t="s">
        <v>414</v>
      </c>
      <c r="I21" s="75" t="s">
        <v>414</v>
      </c>
      <c r="J21" s="75" t="s">
        <v>414</v>
      </c>
      <c r="K21" s="75" t="s">
        <v>414</v>
      </c>
      <c r="L21" s="75" t="s">
        <v>414</v>
      </c>
      <c r="M21" s="73" t="s">
        <v>421</v>
      </c>
      <c r="N21" s="76"/>
      <c r="O21" s="73" t="s">
        <v>307</v>
      </c>
      <c r="P21" s="76"/>
    </row>
    <row r="22" customFormat="false" ht="15" hidden="false" customHeight="false" outlineLevel="0" collapsed="false">
      <c r="A22" s="73" t="s">
        <v>28</v>
      </c>
      <c r="B22" s="74" t="n">
        <v>46258</v>
      </c>
      <c r="C22" s="75" t="s">
        <v>67</v>
      </c>
      <c r="D22" s="73" t="s">
        <v>129</v>
      </c>
      <c r="E22" s="76" t="s">
        <v>440</v>
      </c>
      <c r="F22" s="73" t="s">
        <v>126</v>
      </c>
      <c r="G22" s="75" t="s">
        <v>414</v>
      </c>
      <c r="H22" s="75" t="s">
        <v>414</v>
      </c>
      <c r="I22" s="73" t="s">
        <v>140</v>
      </c>
      <c r="J22" s="75" t="s">
        <v>424</v>
      </c>
      <c r="K22" s="73" t="s">
        <v>135</v>
      </c>
      <c r="L22" s="75" t="s">
        <v>414</v>
      </c>
      <c r="M22" s="73" t="s">
        <v>421</v>
      </c>
      <c r="N22" s="76"/>
      <c r="O22" s="73" t="s">
        <v>129</v>
      </c>
      <c r="P22" s="76" t="s">
        <v>441</v>
      </c>
    </row>
    <row r="23" customFormat="false" ht="15" hidden="false" customHeight="false" outlineLevel="0" collapsed="false">
      <c r="A23" s="73" t="s">
        <v>28</v>
      </c>
      <c r="B23" s="74" t="n">
        <v>46258</v>
      </c>
      <c r="C23" s="75" t="s">
        <v>67</v>
      </c>
      <c r="D23" s="73" t="s">
        <v>129</v>
      </c>
      <c r="E23" s="76" t="s">
        <v>440</v>
      </c>
      <c r="F23" s="73" t="s">
        <v>126</v>
      </c>
      <c r="G23" s="75" t="s">
        <v>414</v>
      </c>
      <c r="H23" s="75" t="s">
        <v>414</v>
      </c>
      <c r="I23" s="73" t="s">
        <v>140</v>
      </c>
      <c r="J23" s="75" t="s">
        <v>424</v>
      </c>
      <c r="K23" s="73" t="s">
        <v>135</v>
      </c>
      <c r="L23" s="75" t="s">
        <v>414</v>
      </c>
      <c r="M23" s="73" t="s">
        <v>421</v>
      </c>
      <c r="N23" s="76"/>
      <c r="O23" s="73" t="s">
        <v>129</v>
      </c>
      <c r="P23" s="76" t="s">
        <v>442</v>
      </c>
    </row>
    <row r="24" customFormat="false" ht="15" hidden="false" customHeight="false" outlineLevel="0" collapsed="false">
      <c r="A24" s="73" t="s">
        <v>25</v>
      </c>
      <c r="B24" s="74" t="n">
        <v>46247</v>
      </c>
      <c r="C24" s="75" t="s">
        <v>65</v>
      </c>
      <c r="D24" s="73" t="s">
        <v>131</v>
      </c>
      <c r="E24" s="76" t="s">
        <v>443</v>
      </c>
      <c r="F24" s="73" t="s">
        <v>81</v>
      </c>
      <c r="G24" s="73" t="s">
        <v>8</v>
      </c>
      <c r="H24" s="73" t="s">
        <v>7</v>
      </c>
      <c r="I24" s="73" t="s">
        <v>140</v>
      </c>
      <c r="J24" s="75" t="s">
        <v>424</v>
      </c>
      <c r="K24" s="73" t="s">
        <v>135</v>
      </c>
      <c r="L24" s="73" t="s">
        <v>86</v>
      </c>
      <c r="M24" s="73" t="s">
        <v>418</v>
      </c>
      <c r="N24" s="76"/>
      <c r="O24" s="73" t="s">
        <v>307</v>
      </c>
      <c r="P24" s="76" t="s">
        <v>444</v>
      </c>
    </row>
    <row r="25" customFormat="false" ht="15" hidden="false" customHeight="false" outlineLevel="0" collapsed="false">
      <c r="A25" s="73" t="s">
        <v>25</v>
      </c>
      <c r="B25" s="74" t="n">
        <v>46248</v>
      </c>
      <c r="C25" s="75" t="s">
        <v>65</v>
      </c>
      <c r="D25" s="73" t="s">
        <v>131</v>
      </c>
      <c r="E25" s="76" t="s">
        <v>445</v>
      </c>
      <c r="F25" s="73" t="s">
        <v>81</v>
      </c>
      <c r="G25" s="73" t="s">
        <v>8</v>
      </c>
      <c r="H25" s="73" t="s">
        <v>7</v>
      </c>
      <c r="I25" s="73" t="s">
        <v>140</v>
      </c>
      <c r="J25" s="75" t="s">
        <v>424</v>
      </c>
      <c r="K25" s="73" t="s">
        <v>135</v>
      </c>
      <c r="L25" s="73" t="s">
        <v>86</v>
      </c>
      <c r="M25" s="73" t="s">
        <v>418</v>
      </c>
      <c r="N25" s="76"/>
      <c r="O25" s="73" t="s">
        <v>307</v>
      </c>
      <c r="P25" s="76" t="s">
        <v>446</v>
      </c>
    </row>
    <row r="26" customFormat="false" ht="15" hidden="false" customHeight="false" outlineLevel="0" collapsed="false">
      <c r="A26" s="73" t="s">
        <v>25</v>
      </c>
      <c r="B26" s="74" t="n">
        <v>46251</v>
      </c>
      <c r="C26" s="75" t="s">
        <v>66</v>
      </c>
      <c r="D26" s="73" t="s">
        <v>76</v>
      </c>
      <c r="E26" s="76" t="s">
        <v>447</v>
      </c>
      <c r="F26" s="73" t="s">
        <v>81</v>
      </c>
      <c r="G26" s="73" t="s">
        <v>8</v>
      </c>
      <c r="H26" s="73" t="s">
        <v>7</v>
      </c>
      <c r="I26" s="73" t="s">
        <v>140</v>
      </c>
      <c r="J26" s="75" t="s">
        <v>424</v>
      </c>
      <c r="K26" s="73" t="s">
        <v>135</v>
      </c>
      <c r="L26" s="73" t="s">
        <v>8</v>
      </c>
      <c r="M26" s="73" t="s">
        <v>418</v>
      </c>
      <c r="N26" s="76"/>
      <c r="O26" s="73" t="s">
        <v>307</v>
      </c>
      <c r="P26" s="76" t="s">
        <v>448</v>
      </c>
    </row>
    <row r="27" customFormat="false" ht="15" hidden="false" customHeight="false" outlineLevel="0" collapsed="false">
      <c r="A27" s="73" t="s">
        <v>25</v>
      </c>
      <c r="B27" s="74" t="n">
        <v>46253</v>
      </c>
      <c r="C27" s="75" t="s">
        <v>66</v>
      </c>
      <c r="D27" s="73" t="s">
        <v>76</v>
      </c>
      <c r="E27" s="76" t="s">
        <v>449</v>
      </c>
      <c r="F27" s="73" t="s">
        <v>81</v>
      </c>
      <c r="G27" s="73" t="s">
        <v>8</v>
      </c>
      <c r="H27" s="73" t="s">
        <v>7</v>
      </c>
      <c r="I27" s="73" t="s">
        <v>139</v>
      </c>
      <c r="J27" s="75" t="s">
        <v>424</v>
      </c>
      <c r="K27" s="73" t="s">
        <v>135</v>
      </c>
      <c r="L27" s="73" t="s">
        <v>8</v>
      </c>
      <c r="M27" s="73" t="s">
        <v>418</v>
      </c>
      <c r="N27" s="76"/>
      <c r="O27" s="73" t="s">
        <v>307</v>
      </c>
      <c r="P27" s="76" t="s">
        <v>450</v>
      </c>
    </row>
    <row r="28" customFormat="false" ht="15" hidden="false" customHeight="false" outlineLevel="0" collapsed="false">
      <c r="A28" s="73" t="s">
        <v>25</v>
      </c>
      <c r="B28" s="74" t="n">
        <v>46247</v>
      </c>
      <c r="C28" s="75" t="s">
        <v>65</v>
      </c>
      <c r="D28" s="73" t="s">
        <v>131</v>
      </c>
      <c r="E28" s="76" t="s">
        <v>451</v>
      </c>
      <c r="F28" s="73" t="s">
        <v>78</v>
      </c>
      <c r="G28" s="73" t="s">
        <v>119</v>
      </c>
      <c r="H28" s="73" t="s">
        <v>7</v>
      </c>
      <c r="I28" s="73" t="s">
        <v>139</v>
      </c>
      <c r="J28" s="75" t="s">
        <v>424</v>
      </c>
      <c r="K28" s="73" t="s">
        <v>135</v>
      </c>
      <c r="L28" s="73" t="s">
        <v>8</v>
      </c>
      <c r="M28" s="73" t="s">
        <v>425</v>
      </c>
      <c r="N28" s="76"/>
      <c r="O28" s="73" t="s">
        <v>307</v>
      </c>
      <c r="P28" s="76" t="s">
        <v>452</v>
      </c>
    </row>
    <row r="29" customFormat="false" ht="15" hidden="false" customHeight="false" outlineLevel="0" collapsed="false">
      <c r="A29" s="73" t="s">
        <v>25</v>
      </c>
      <c r="B29" s="74" t="n">
        <v>46233</v>
      </c>
      <c r="C29" s="75" t="s">
        <v>63</v>
      </c>
      <c r="D29" s="73" t="s">
        <v>76</v>
      </c>
      <c r="E29" s="76" t="s">
        <v>453</v>
      </c>
      <c r="F29" s="73" t="s">
        <v>80</v>
      </c>
      <c r="G29" s="73" t="s">
        <v>8</v>
      </c>
      <c r="H29" s="73" t="s">
        <v>7</v>
      </c>
      <c r="I29" s="73" t="s">
        <v>140</v>
      </c>
      <c r="J29" s="75" t="s">
        <v>424</v>
      </c>
      <c r="K29" s="73" t="s">
        <v>135</v>
      </c>
      <c r="L29" s="73" t="s">
        <v>8</v>
      </c>
      <c r="M29" s="73" t="s">
        <v>454</v>
      </c>
      <c r="N29" s="76"/>
      <c r="O29" s="73" t="s">
        <v>307</v>
      </c>
      <c r="P29" s="76" t="s">
        <v>455</v>
      </c>
    </row>
    <row r="30" customFormat="false" ht="15" hidden="false" customHeight="false" outlineLevel="0" collapsed="false">
      <c r="A30" s="73" t="s">
        <v>25</v>
      </c>
      <c r="B30" s="74" t="n">
        <v>46254</v>
      </c>
      <c r="C30" s="75" t="s">
        <v>66</v>
      </c>
      <c r="D30" s="73" t="s">
        <v>76</v>
      </c>
      <c r="E30" s="76" t="s">
        <v>456</v>
      </c>
      <c r="F30" s="73" t="s">
        <v>78</v>
      </c>
      <c r="G30" s="73" t="s">
        <v>118</v>
      </c>
      <c r="H30" s="73" t="s">
        <v>7</v>
      </c>
      <c r="I30" s="73" t="s">
        <v>140</v>
      </c>
      <c r="J30" s="75" t="s">
        <v>424</v>
      </c>
      <c r="K30" s="73" t="s">
        <v>135</v>
      </c>
      <c r="L30" s="73" t="s">
        <v>8</v>
      </c>
      <c r="M30" s="75" t="s">
        <v>414</v>
      </c>
      <c r="N30" s="76"/>
      <c r="O30" s="73" t="s">
        <v>307</v>
      </c>
      <c r="P30" s="76"/>
    </row>
    <row r="31" customFormat="false" ht="15" hidden="false" customHeight="false" outlineLevel="0" collapsed="false">
      <c r="A31" s="73" t="s">
        <v>24</v>
      </c>
      <c r="B31" s="74" t="n">
        <v>46253</v>
      </c>
      <c r="C31" s="75" t="s">
        <v>66</v>
      </c>
      <c r="D31" s="73" t="s">
        <v>133</v>
      </c>
      <c r="E31" s="76" t="s">
        <v>457</v>
      </c>
      <c r="F31" s="73" t="s">
        <v>82</v>
      </c>
      <c r="G31" s="73" t="s">
        <v>117</v>
      </c>
      <c r="H31" s="73" t="s">
        <v>7</v>
      </c>
      <c r="I31" s="73" t="s">
        <v>139</v>
      </c>
      <c r="J31" s="75" t="s">
        <v>458</v>
      </c>
      <c r="K31" s="73" t="s">
        <v>135</v>
      </c>
      <c r="L31" s="73" t="s">
        <v>84</v>
      </c>
      <c r="M31" s="75" t="s">
        <v>414</v>
      </c>
      <c r="N31" s="76"/>
      <c r="O31" s="73" t="s">
        <v>306</v>
      </c>
      <c r="P31" s="76"/>
    </row>
    <row r="32" customFormat="false" ht="15" hidden="false" customHeight="false" outlineLevel="0" collapsed="false">
      <c r="A32" s="73" t="s">
        <v>24</v>
      </c>
      <c r="B32" s="74" t="n">
        <v>46253</v>
      </c>
      <c r="C32" s="75" t="s">
        <v>66</v>
      </c>
      <c r="D32" s="73" t="s">
        <v>133</v>
      </c>
      <c r="E32" s="76" t="s">
        <v>457</v>
      </c>
      <c r="F32" s="73" t="s">
        <v>78</v>
      </c>
      <c r="G32" s="75" t="s">
        <v>414</v>
      </c>
      <c r="H32" s="73" t="s">
        <v>8</v>
      </c>
      <c r="I32" s="73" t="s">
        <v>140</v>
      </c>
      <c r="J32" s="75" t="s">
        <v>414</v>
      </c>
      <c r="K32" s="73" t="s">
        <v>135</v>
      </c>
      <c r="L32" s="75" t="s">
        <v>414</v>
      </c>
      <c r="M32" s="73" t="s">
        <v>425</v>
      </c>
      <c r="N32" s="76"/>
      <c r="O32" s="73" t="s">
        <v>306</v>
      </c>
      <c r="P32" s="76" t="s">
        <v>459</v>
      </c>
    </row>
    <row r="33" customFormat="false" ht="15" hidden="false" customHeight="false" outlineLevel="0" collapsed="false">
      <c r="A33" s="73" t="s">
        <v>24</v>
      </c>
      <c r="B33" s="74" t="n">
        <v>46253</v>
      </c>
      <c r="C33" s="75" t="s">
        <v>66</v>
      </c>
      <c r="D33" s="73" t="s">
        <v>133</v>
      </c>
      <c r="E33" s="76" t="s">
        <v>460</v>
      </c>
      <c r="F33" s="73" t="s">
        <v>78</v>
      </c>
      <c r="G33" s="75" t="s">
        <v>414</v>
      </c>
      <c r="H33" s="73" t="s">
        <v>8</v>
      </c>
      <c r="I33" s="73" t="s">
        <v>140</v>
      </c>
      <c r="J33" s="75" t="s">
        <v>414</v>
      </c>
      <c r="K33" s="73" t="s">
        <v>135</v>
      </c>
      <c r="L33" s="73" t="s">
        <v>84</v>
      </c>
      <c r="M33" s="73" t="s">
        <v>425</v>
      </c>
      <c r="N33" s="76"/>
      <c r="O33" s="73" t="s">
        <v>306</v>
      </c>
      <c r="P33" s="76" t="s">
        <v>461</v>
      </c>
    </row>
    <row r="34" customFormat="false" ht="15" hidden="false" customHeight="false" outlineLevel="0" collapsed="false">
      <c r="A34" s="73" t="s">
        <v>24</v>
      </c>
      <c r="B34" s="74" t="n">
        <v>46253</v>
      </c>
      <c r="C34" s="75" t="s">
        <v>66</v>
      </c>
      <c r="D34" s="73" t="s">
        <v>133</v>
      </c>
      <c r="E34" s="76" t="s">
        <v>460</v>
      </c>
      <c r="F34" s="73" t="s">
        <v>126</v>
      </c>
      <c r="G34" s="73" t="s">
        <v>120</v>
      </c>
      <c r="H34" s="73" t="s">
        <v>7</v>
      </c>
      <c r="I34" s="75" t="s">
        <v>414</v>
      </c>
      <c r="J34" s="75" t="s">
        <v>414</v>
      </c>
      <c r="K34" s="75" t="s">
        <v>414</v>
      </c>
      <c r="L34" s="73" t="s">
        <v>84</v>
      </c>
      <c r="M34" s="75" t="s">
        <v>414</v>
      </c>
      <c r="N34" s="76"/>
      <c r="O34" s="73" t="s">
        <v>306</v>
      </c>
      <c r="P34" s="76" t="s">
        <v>462</v>
      </c>
    </row>
    <row r="35" customFormat="false" ht="15" hidden="false" customHeight="false" outlineLevel="0" collapsed="false">
      <c r="A35" s="75" t="s">
        <v>414</v>
      </c>
      <c r="B35" s="74"/>
      <c r="C35" s="75" t="s">
        <v>414</v>
      </c>
      <c r="D35" s="75" t="s">
        <v>414</v>
      </c>
      <c r="E35" s="77" t="s">
        <v>414</v>
      </c>
      <c r="F35" s="75" t="s">
        <v>414</v>
      </c>
      <c r="G35" s="75" t="s">
        <v>414</v>
      </c>
      <c r="H35" s="75" t="s">
        <v>414</v>
      </c>
      <c r="I35" s="75" t="s">
        <v>414</v>
      </c>
      <c r="J35" s="75" t="s">
        <v>414</v>
      </c>
      <c r="K35" s="75" t="s">
        <v>414</v>
      </c>
      <c r="L35" s="75" t="s">
        <v>414</v>
      </c>
      <c r="M35" s="75" t="s">
        <v>414</v>
      </c>
      <c r="N35" s="76"/>
      <c r="O35" s="75" t="s">
        <v>414</v>
      </c>
      <c r="P35" s="76"/>
    </row>
    <row r="36" customFormat="false" ht="15" hidden="false" customHeight="false" outlineLevel="0" collapsed="false">
      <c r="A36" s="73" t="s">
        <v>20</v>
      </c>
      <c r="B36" s="74" t="n">
        <v>46252</v>
      </c>
      <c r="C36" s="75" t="s">
        <v>66</v>
      </c>
      <c r="D36" s="73" t="s">
        <v>75</v>
      </c>
      <c r="E36" s="76" t="s">
        <v>151</v>
      </c>
      <c r="F36" s="73" t="s">
        <v>78</v>
      </c>
      <c r="G36" s="73" t="s">
        <v>117</v>
      </c>
      <c r="H36" s="73" t="s">
        <v>7</v>
      </c>
      <c r="I36" s="73" t="s">
        <v>139</v>
      </c>
      <c r="J36" s="75" t="s">
        <v>458</v>
      </c>
      <c r="K36" s="73" t="s">
        <v>136</v>
      </c>
      <c r="L36" s="73" t="s">
        <v>84</v>
      </c>
      <c r="M36" s="75" t="s">
        <v>414</v>
      </c>
      <c r="N36" s="76"/>
      <c r="O36" s="73" t="s">
        <v>307</v>
      </c>
      <c r="P36" s="76" t="s">
        <v>463</v>
      </c>
    </row>
    <row r="37" customFormat="false" ht="15" hidden="false" customHeight="false" outlineLevel="0" collapsed="false">
      <c r="A37" s="73" t="s">
        <v>20</v>
      </c>
      <c r="B37" s="74" t="n">
        <v>46252</v>
      </c>
      <c r="C37" s="75" t="s">
        <v>66</v>
      </c>
      <c r="D37" s="73" t="s">
        <v>75</v>
      </c>
      <c r="E37" s="76" t="s">
        <v>151</v>
      </c>
      <c r="F37" s="73" t="s">
        <v>79</v>
      </c>
      <c r="G37" s="73" t="s">
        <v>117</v>
      </c>
      <c r="H37" s="73" t="s">
        <v>9</v>
      </c>
      <c r="I37" s="73" t="s">
        <v>139</v>
      </c>
      <c r="J37" s="75" t="s">
        <v>458</v>
      </c>
      <c r="K37" s="73" t="s">
        <v>135</v>
      </c>
      <c r="L37" s="73" t="s">
        <v>85</v>
      </c>
      <c r="M37" s="75" t="s">
        <v>414</v>
      </c>
      <c r="N37" s="76" t="s">
        <v>38</v>
      </c>
      <c r="O37" s="73" t="s">
        <v>307</v>
      </c>
      <c r="P37" s="76" t="s">
        <v>152</v>
      </c>
    </row>
    <row r="38" customFormat="false" ht="15" hidden="false" customHeight="false" outlineLevel="0" collapsed="false">
      <c r="A38" s="73" t="s">
        <v>20</v>
      </c>
      <c r="B38" s="74" t="n">
        <v>46252</v>
      </c>
      <c r="C38" s="75" t="s">
        <v>66</v>
      </c>
      <c r="D38" s="73" t="s">
        <v>75</v>
      </c>
      <c r="E38" s="76" t="s">
        <v>151</v>
      </c>
      <c r="F38" s="73" t="s">
        <v>79</v>
      </c>
      <c r="G38" s="73" t="s">
        <v>118</v>
      </c>
      <c r="H38" s="75" t="s">
        <v>414</v>
      </c>
      <c r="I38" s="73" t="s">
        <v>140</v>
      </c>
      <c r="J38" s="73" t="s">
        <v>464</v>
      </c>
      <c r="K38" s="75" t="s">
        <v>414</v>
      </c>
      <c r="L38" s="73" t="s">
        <v>85</v>
      </c>
      <c r="M38" s="75" t="s">
        <v>414</v>
      </c>
      <c r="N38" s="76"/>
      <c r="O38" s="73" t="s">
        <v>307</v>
      </c>
      <c r="P38" s="77" t="s">
        <v>465</v>
      </c>
    </row>
    <row r="39" customFormat="false" ht="15" hidden="false" customHeight="false" outlineLevel="0" collapsed="false">
      <c r="A39" s="73" t="s">
        <v>20</v>
      </c>
      <c r="B39" s="74" t="n">
        <v>46252</v>
      </c>
      <c r="C39" s="75" t="s">
        <v>66</v>
      </c>
      <c r="D39" s="73" t="s">
        <v>75</v>
      </c>
      <c r="E39" s="76" t="s">
        <v>153</v>
      </c>
      <c r="F39" s="73" t="s">
        <v>78</v>
      </c>
      <c r="G39" s="73" t="s">
        <v>118</v>
      </c>
      <c r="H39" s="73" t="s">
        <v>8</v>
      </c>
      <c r="I39" s="73" t="s">
        <v>140</v>
      </c>
      <c r="J39" s="75" t="s">
        <v>458</v>
      </c>
      <c r="K39" s="73" t="s">
        <v>136</v>
      </c>
      <c r="L39" s="73" t="s">
        <v>84</v>
      </c>
      <c r="M39" s="75" t="s">
        <v>414</v>
      </c>
      <c r="N39" s="76"/>
      <c r="O39" s="73" t="s">
        <v>307</v>
      </c>
      <c r="P39" s="76" t="s">
        <v>466</v>
      </c>
    </row>
    <row r="40" customFormat="false" ht="15" hidden="false" customHeight="false" outlineLevel="0" collapsed="false">
      <c r="A40" s="73" t="s">
        <v>20</v>
      </c>
      <c r="B40" s="74" t="n">
        <v>46252</v>
      </c>
      <c r="C40" s="75" t="s">
        <v>66</v>
      </c>
      <c r="D40" s="73" t="s">
        <v>75</v>
      </c>
      <c r="E40" s="76" t="s">
        <v>153</v>
      </c>
      <c r="F40" s="73" t="s">
        <v>79</v>
      </c>
      <c r="G40" s="73" t="s">
        <v>118</v>
      </c>
      <c r="H40" s="73" t="s">
        <v>9</v>
      </c>
      <c r="I40" s="73" t="s">
        <v>140</v>
      </c>
      <c r="J40" s="75" t="s">
        <v>467</v>
      </c>
      <c r="K40" s="73" t="s">
        <v>137</v>
      </c>
      <c r="L40" s="73" t="s">
        <v>84</v>
      </c>
      <c r="M40" s="75" t="s">
        <v>414</v>
      </c>
      <c r="N40" s="76" t="s">
        <v>111</v>
      </c>
      <c r="O40" s="73" t="s">
        <v>307</v>
      </c>
      <c r="P40" s="76" t="s">
        <v>154</v>
      </c>
    </row>
    <row r="41" customFormat="false" ht="15" hidden="false" customHeight="false" outlineLevel="0" collapsed="false">
      <c r="A41" s="73" t="s">
        <v>20</v>
      </c>
      <c r="B41" s="74" t="n">
        <v>46252</v>
      </c>
      <c r="C41" s="75" t="s">
        <v>66</v>
      </c>
      <c r="D41" s="73" t="s">
        <v>75</v>
      </c>
      <c r="E41" s="76" t="s">
        <v>155</v>
      </c>
      <c r="F41" s="73" t="s">
        <v>78</v>
      </c>
      <c r="G41" s="73" t="s">
        <v>118</v>
      </c>
      <c r="H41" s="73" t="s">
        <v>7</v>
      </c>
      <c r="I41" s="73" t="s">
        <v>140</v>
      </c>
      <c r="J41" s="75" t="s">
        <v>458</v>
      </c>
      <c r="K41" s="73" t="s">
        <v>136</v>
      </c>
      <c r="L41" s="73" t="s">
        <v>84</v>
      </c>
      <c r="M41" s="75" t="s">
        <v>414</v>
      </c>
      <c r="N41" s="76"/>
      <c r="O41" s="73" t="s">
        <v>307</v>
      </c>
      <c r="P41" s="76" t="s">
        <v>468</v>
      </c>
    </row>
    <row r="42" customFormat="false" ht="15" hidden="false" customHeight="false" outlineLevel="0" collapsed="false">
      <c r="A42" s="73" t="s">
        <v>20</v>
      </c>
      <c r="B42" s="74" t="n">
        <v>46252</v>
      </c>
      <c r="C42" s="75" t="s">
        <v>66</v>
      </c>
      <c r="D42" s="73" t="s">
        <v>75</v>
      </c>
      <c r="E42" s="76" t="s">
        <v>155</v>
      </c>
      <c r="F42" s="73" t="s">
        <v>81</v>
      </c>
      <c r="G42" s="73" t="s">
        <v>118</v>
      </c>
      <c r="H42" s="73" t="s">
        <v>9</v>
      </c>
      <c r="I42" s="73" t="s">
        <v>140</v>
      </c>
      <c r="J42" s="75" t="s">
        <v>469</v>
      </c>
      <c r="K42" s="73" t="s">
        <v>137</v>
      </c>
      <c r="L42" s="73" t="s">
        <v>84</v>
      </c>
      <c r="M42" s="75" t="s">
        <v>414</v>
      </c>
      <c r="N42" s="76" t="s">
        <v>112</v>
      </c>
      <c r="O42" s="73" t="s">
        <v>307</v>
      </c>
      <c r="P42" s="76" t="s">
        <v>156</v>
      </c>
    </row>
    <row r="43" customFormat="false" ht="15" hidden="false" customHeight="false" outlineLevel="0" collapsed="false">
      <c r="A43" s="73" t="s">
        <v>22</v>
      </c>
      <c r="B43" s="74" t="n">
        <v>46258</v>
      </c>
      <c r="C43" s="75" t="s">
        <v>67</v>
      </c>
      <c r="D43" s="73" t="s">
        <v>130</v>
      </c>
      <c r="E43" s="76" t="s">
        <v>470</v>
      </c>
      <c r="F43" s="73" t="s">
        <v>82</v>
      </c>
      <c r="G43" s="73" t="s">
        <v>117</v>
      </c>
      <c r="H43" s="73" t="s">
        <v>7</v>
      </c>
      <c r="I43" s="73" t="s">
        <v>139</v>
      </c>
      <c r="J43" s="75" t="s">
        <v>424</v>
      </c>
      <c r="K43" s="73" t="s">
        <v>135</v>
      </c>
      <c r="L43" s="73" t="s">
        <v>84</v>
      </c>
      <c r="M43" s="75" t="s">
        <v>414</v>
      </c>
      <c r="N43" s="76"/>
      <c r="O43" s="73" t="s">
        <v>307</v>
      </c>
      <c r="P43" s="77" t="s">
        <v>471</v>
      </c>
    </row>
    <row r="44" customFormat="false" ht="15" hidden="false" customHeight="false" outlineLevel="0" collapsed="false">
      <c r="A44" s="73" t="s">
        <v>20</v>
      </c>
      <c r="B44" s="74" t="n">
        <v>46253</v>
      </c>
      <c r="C44" s="75" t="s">
        <v>66</v>
      </c>
      <c r="D44" s="73" t="s">
        <v>75</v>
      </c>
      <c r="E44" s="76" t="s">
        <v>472</v>
      </c>
      <c r="F44" s="73" t="s">
        <v>78</v>
      </c>
      <c r="G44" s="73" t="s">
        <v>120</v>
      </c>
      <c r="H44" s="73" t="s">
        <v>7</v>
      </c>
      <c r="I44" s="75" t="s">
        <v>414</v>
      </c>
      <c r="J44" s="75" t="s">
        <v>458</v>
      </c>
      <c r="K44" s="73" t="s">
        <v>135</v>
      </c>
      <c r="L44" s="73" t="s">
        <v>84</v>
      </c>
      <c r="M44" s="75" t="s">
        <v>414</v>
      </c>
      <c r="N44" s="76"/>
      <c r="O44" s="73" t="s">
        <v>307</v>
      </c>
      <c r="P44" s="76" t="s">
        <v>473</v>
      </c>
    </row>
    <row r="45" customFormat="false" ht="15" hidden="false" customHeight="false" outlineLevel="0" collapsed="false">
      <c r="A45" s="73" t="s">
        <v>22</v>
      </c>
      <c r="B45" s="74" t="n">
        <v>46258</v>
      </c>
      <c r="C45" s="75" t="s">
        <v>67</v>
      </c>
      <c r="D45" s="73" t="s">
        <v>130</v>
      </c>
      <c r="E45" s="76" t="s">
        <v>474</v>
      </c>
      <c r="F45" s="73" t="s">
        <v>81</v>
      </c>
      <c r="G45" s="73" t="s">
        <v>120</v>
      </c>
      <c r="H45" s="73" t="s">
        <v>7</v>
      </c>
      <c r="I45" s="75" t="s">
        <v>414</v>
      </c>
      <c r="J45" s="75" t="s">
        <v>424</v>
      </c>
      <c r="K45" s="73" t="s">
        <v>135</v>
      </c>
      <c r="L45" s="73" t="s">
        <v>84</v>
      </c>
      <c r="M45" s="75" t="s">
        <v>414</v>
      </c>
      <c r="N45" s="76"/>
      <c r="O45" s="73" t="s">
        <v>307</v>
      </c>
      <c r="P45" s="76" t="s">
        <v>475</v>
      </c>
    </row>
    <row r="46" customFormat="false" ht="15" hidden="false" customHeight="false" outlineLevel="0" collapsed="false">
      <c r="A46" s="73" t="s">
        <v>22</v>
      </c>
      <c r="B46" s="74" t="n">
        <v>46258</v>
      </c>
      <c r="C46" s="75" t="s">
        <v>67</v>
      </c>
      <c r="D46" s="73" t="s">
        <v>130</v>
      </c>
      <c r="E46" s="76" t="s">
        <v>474</v>
      </c>
      <c r="F46" s="73" t="s">
        <v>79</v>
      </c>
      <c r="G46" s="75" t="s">
        <v>414</v>
      </c>
      <c r="H46" s="75" t="s">
        <v>414</v>
      </c>
      <c r="I46" s="75" t="s">
        <v>414</v>
      </c>
      <c r="J46" s="75" t="s">
        <v>424</v>
      </c>
      <c r="K46" s="73" t="s">
        <v>135</v>
      </c>
      <c r="L46" s="73" t="s">
        <v>85</v>
      </c>
      <c r="M46" s="75" t="s">
        <v>414</v>
      </c>
      <c r="N46" s="76"/>
      <c r="O46" s="73" t="s">
        <v>307</v>
      </c>
      <c r="P46" s="77" t="s">
        <v>476</v>
      </c>
    </row>
    <row r="47" customFormat="false" ht="15" hidden="false" customHeight="false" outlineLevel="0" collapsed="false">
      <c r="A47" s="73" t="s">
        <v>22</v>
      </c>
      <c r="B47" s="74" t="n">
        <v>46258</v>
      </c>
      <c r="C47" s="75" t="s">
        <v>67</v>
      </c>
      <c r="D47" s="73" t="s">
        <v>130</v>
      </c>
      <c r="E47" s="76" t="s">
        <v>477</v>
      </c>
      <c r="F47" s="73" t="s">
        <v>80</v>
      </c>
      <c r="G47" s="73" t="s">
        <v>117</v>
      </c>
      <c r="H47" s="73" t="s">
        <v>7</v>
      </c>
      <c r="I47" s="73" t="s">
        <v>140</v>
      </c>
      <c r="J47" s="75" t="s">
        <v>424</v>
      </c>
      <c r="K47" s="73" t="s">
        <v>136</v>
      </c>
      <c r="L47" s="73" t="s">
        <v>84</v>
      </c>
      <c r="M47" s="75" t="s">
        <v>414</v>
      </c>
      <c r="N47" s="76"/>
      <c r="O47" s="73" t="s">
        <v>307</v>
      </c>
      <c r="P47" s="76"/>
    </row>
    <row r="48" customFormat="false" ht="15" hidden="false" customHeight="false" outlineLevel="0" collapsed="false">
      <c r="A48" s="73" t="s">
        <v>20</v>
      </c>
      <c r="B48" s="74" t="n">
        <v>46252</v>
      </c>
      <c r="C48" s="75" t="s">
        <v>66</v>
      </c>
      <c r="D48" s="73" t="s">
        <v>75</v>
      </c>
      <c r="E48" s="76" t="s">
        <v>157</v>
      </c>
      <c r="F48" s="73" t="s">
        <v>78</v>
      </c>
      <c r="G48" s="73" t="s">
        <v>117</v>
      </c>
      <c r="H48" s="73" t="s">
        <v>7</v>
      </c>
      <c r="I48" s="75" t="s">
        <v>414</v>
      </c>
      <c r="J48" s="75" t="s">
        <v>424</v>
      </c>
      <c r="K48" s="73" t="s">
        <v>135</v>
      </c>
      <c r="L48" s="73" t="s">
        <v>84</v>
      </c>
      <c r="M48" s="75" t="s">
        <v>414</v>
      </c>
      <c r="N48" s="76"/>
      <c r="O48" s="73" t="s">
        <v>307</v>
      </c>
      <c r="P48" s="76" t="s">
        <v>478</v>
      </c>
    </row>
    <row r="49" customFormat="false" ht="15" hidden="false" customHeight="false" outlineLevel="0" collapsed="false">
      <c r="A49" s="73" t="s">
        <v>22</v>
      </c>
      <c r="B49" s="74" t="n">
        <v>46258</v>
      </c>
      <c r="C49" s="75" t="s">
        <v>67</v>
      </c>
      <c r="D49" s="73" t="s">
        <v>130</v>
      </c>
      <c r="E49" s="76" t="s">
        <v>479</v>
      </c>
      <c r="F49" s="73" t="s">
        <v>81</v>
      </c>
      <c r="G49" s="73" t="s">
        <v>118</v>
      </c>
      <c r="H49" s="73" t="s">
        <v>7</v>
      </c>
      <c r="I49" s="73" t="s">
        <v>140</v>
      </c>
      <c r="J49" s="75" t="s">
        <v>424</v>
      </c>
      <c r="K49" s="73" t="s">
        <v>135</v>
      </c>
      <c r="L49" s="73" t="s">
        <v>84</v>
      </c>
      <c r="M49" s="75" t="s">
        <v>414</v>
      </c>
      <c r="N49" s="76"/>
      <c r="O49" s="73" t="s">
        <v>307</v>
      </c>
      <c r="P49" s="76"/>
    </row>
    <row r="50" customFormat="false" ht="15" hidden="false" customHeight="false" outlineLevel="0" collapsed="false">
      <c r="A50" s="73" t="s">
        <v>20</v>
      </c>
      <c r="B50" s="74" t="n">
        <v>46253</v>
      </c>
      <c r="C50" s="75" t="s">
        <v>66</v>
      </c>
      <c r="D50" s="73" t="s">
        <v>75</v>
      </c>
      <c r="E50" s="76" t="s">
        <v>157</v>
      </c>
      <c r="F50" s="73" t="s">
        <v>82</v>
      </c>
      <c r="G50" s="73" t="s">
        <v>117</v>
      </c>
      <c r="H50" s="73" t="s">
        <v>7</v>
      </c>
      <c r="I50" s="73" t="s">
        <v>139</v>
      </c>
      <c r="J50" s="75" t="s">
        <v>480</v>
      </c>
      <c r="K50" s="73" t="s">
        <v>137</v>
      </c>
      <c r="L50" s="73" t="s">
        <v>84</v>
      </c>
      <c r="M50" s="75" t="s">
        <v>414</v>
      </c>
      <c r="N50" s="76"/>
      <c r="O50" s="73" t="s">
        <v>307</v>
      </c>
      <c r="P50" s="77" t="s">
        <v>481</v>
      </c>
    </row>
    <row r="51" customFormat="false" ht="15" hidden="false" customHeight="false" outlineLevel="0" collapsed="false">
      <c r="A51" s="73" t="s">
        <v>22</v>
      </c>
      <c r="B51" s="74" t="n">
        <v>46258</v>
      </c>
      <c r="C51" s="75" t="s">
        <v>67</v>
      </c>
      <c r="D51" s="73" t="s">
        <v>130</v>
      </c>
      <c r="E51" s="76" t="s">
        <v>482</v>
      </c>
      <c r="F51" s="73" t="s">
        <v>81</v>
      </c>
      <c r="G51" s="73" t="s">
        <v>120</v>
      </c>
      <c r="H51" s="73" t="s">
        <v>7</v>
      </c>
      <c r="I51" s="75" t="s">
        <v>414</v>
      </c>
      <c r="J51" s="75" t="s">
        <v>424</v>
      </c>
      <c r="K51" s="73" t="s">
        <v>135</v>
      </c>
      <c r="L51" s="73" t="s">
        <v>84</v>
      </c>
      <c r="M51" s="75" t="s">
        <v>414</v>
      </c>
      <c r="N51" s="76"/>
      <c r="O51" s="73" t="s">
        <v>307</v>
      </c>
      <c r="P51" s="76" t="s">
        <v>483</v>
      </c>
    </row>
    <row r="52" customFormat="false" ht="15" hidden="false" customHeight="false" outlineLevel="0" collapsed="false">
      <c r="A52" s="73" t="s">
        <v>20</v>
      </c>
      <c r="B52" s="74" t="n">
        <v>46252</v>
      </c>
      <c r="C52" s="75" t="s">
        <v>66</v>
      </c>
      <c r="D52" s="73" t="s">
        <v>75</v>
      </c>
      <c r="E52" s="76" t="s">
        <v>157</v>
      </c>
      <c r="F52" s="73" t="s">
        <v>81</v>
      </c>
      <c r="G52" s="73" t="s">
        <v>119</v>
      </c>
      <c r="H52" s="73" t="s">
        <v>7</v>
      </c>
      <c r="I52" s="73" t="s">
        <v>139</v>
      </c>
      <c r="J52" s="75" t="s">
        <v>484</v>
      </c>
      <c r="K52" s="73" t="s">
        <v>136</v>
      </c>
      <c r="L52" s="73" t="s">
        <v>84</v>
      </c>
      <c r="M52" s="75" t="s">
        <v>414</v>
      </c>
      <c r="N52" s="76"/>
      <c r="O52" s="73" t="s">
        <v>307</v>
      </c>
      <c r="P52" s="76" t="s">
        <v>485</v>
      </c>
    </row>
    <row r="53" customFormat="false" ht="15" hidden="false" customHeight="false" outlineLevel="0" collapsed="false">
      <c r="A53" s="73" t="s">
        <v>22</v>
      </c>
      <c r="B53" s="74" t="n">
        <v>46258</v>
      </c>
      <c r="C53" s="75" t="s">
        <v>67</v>
      </c>
      <c r="D53" s="73" t="s">
        <v>130</v>
      </c>
      <c r="E53" s="76" t="s">
        <v>297</v>
      </c>
      <c r="F53" s="73" t="s">
        <v>82</v>
      </c>
      <c r="G53" s="73" t="s">
        <v>117</v>
      </c>
      <c r="H53" s="73" t="s">
        <v>7</v>
      </c>
      <c r="I53" s="73" t="s">
        <v>139</v>
      </c>
      <c r="J53" s="75" t="s">
        <v>424</v>
      </c>
      <c r="K53" s="73" t="s">
        <v>135</v>
      </c>
      <c r="L53" s="73" t="s">
        <v>84</v>
      </c>
      <c r="M53" s="75" t="s">
        <v>414</v>
      </c>
      <c r="N53" s="76"/>
      <c r="O53" s="73" t="s">
        <v>307</v>
      </c>
      <c r="P53" s="76" t="s">
        <v>486</v>
      </c>
    </row>
    <row r="54" customFormat="false" ht="15" hidden="false" customHeight="false" outlineLevel="0" collapsed="false">
      <c r="A54" s="73" t="s">
        <v>20</v>
      </c>
      <c r="B54" s="74" t="n">
        <v>46252</v>
      </c>
      <c r="C54" s="75" t="s">
        <v>66</v>
      </c>
      <c r="D54" s="73" t="s">
        <v>75</v>
      </c>
      <c r="E54" s="76" t="s">
        <v>157</v>
      </c>
      <c r="F54" s="73" t="s">
        <v>79</v>
      </c>
      <c r="G54" s="73" t="s">
        <v>119</v>
      </c>
      <c r="H54" s="73" t="s">
        <v>7</v>
      </c>
      <c r="I54" s="73" t="s">
        <v>139</v>
      </c>
      <c r="J54" s="75" t="s">
        <v>424</v>
      </c>
      <c r="K54" s="73" t="s">
        <v>135</v>
      </c>
      <c r="L54" s="73" t="s">
        <v>84</v>
      </c>
      <c r="M54" s="75" t="s">
        <v>414</v>
      </c>
      <c r="N54" s="76"/>
      <c r="O54" s="73" t="s">
        <v>307</v>
      </c>
      <c r="P54" s="76" t="s">
        <v>487</v>
      </c>
    </row>
    <row r="55" customFormat="false" ht="15" hidden="false" customHeight="false" outlineLevel="0" collapsed="false">
      <c r="A55" s="73" t="s">
        <v>20</v>
      </c>
      <c r="B55" s="74" t="n">
        <v>46252</v>
      </c>
      <c r="C55" s="75" t="s">
        <v>66</v>
      </c>
      <c r="D55" s="73" t="s">
        <v>75</v>
      </c>
      <c r="E55" s="76" t="s">
        <v>157</v>
      </c>
      <c r="F55" s="73" t="s">
        <v>79</v>
      </c>
      <c r="G55" s="73" t="s">
        <v>118</v>
      </c>
      <c r="H55" s="73" t="s">
        <v>9</v>
      </c>
      <c r="I55" s="73" t="s">
        <v>140</v>
      </c>
      <c r="J55" s="75" t="s">
        <v>467</v>
      </c>
      <c r="K55" s="73" t="s">
        <v>137</v>
      </c>
      <c r="L55" s="73" t="s">
        <v>85</v>
      </c>
      <c r="M55" s="75" t="s">
        <v>414</v>
      </c>
      <c r="N55" s="76" t="s">
        <v>40</v>
      </c>
      <c r="O55" s="73" t="s">
        <v>307</v>
      </c>
      <c r="P55" s="77" t="s">
        <v>488</v>
      </c>
    </row>
    <row r="56" customFormat="false" ht="15" hidden="false" customHeight="false" outlineLevel="0" collapsed="false">
      <c r="A56" s="73" t="s">
        <v>20</v>
      </c>
      <c r="B56" s="74" t="n">
        <v>46252</v>
      </c>
      <c r="C56" s="75" t="s">
        <v>66</v>
      </c>
      <c r="D56" s="73" t="s">
        <v>75</v>
      </c>
      <c r="E56" s="76" t="s">
        <v>159</v>
      </c>
      <c r="F56" s="73" t="s">
        <v>78</v>
      </c>
      <c r="G56" s="73" t="s">
        <v>117</v>
      </c>
      <c r="H56" s="73" t="s">
        <v>7</v>
      </c>
      <c r="I56" s="73" t="s">
        <v>139</v>
      </c>
      <c r="J56" s="75" t="s">
        <v>458</v>
      </c>
      <c r="K56" s="73" t="s">
        <v>135</v>
      </c>
      <c r="L56" s="73" t="s">
        <v>84</v>
      </c>
      <c r="M56" s="75" t="s">
        <v>414</v>
      </c>
      <c r="N56" s="76"/>
      <c r="O56" s="73" t="s">
        <v>307</v>
      </c>
      <c r="P56" s="76" t="s">
        <v>489</v>
      </c>
    </row>
    <row r="57" customFormat="false" ht="15" hidden="false" customHeight="false" outlineLevel="0" collapsed="false">
      <c r="A57" s="73" t="s">
        <v>20</v>
      </c>
      <c r="B57" s="74" t="n">
        <v>46252</v>
      </c>
      <c r="C57" s="75" t="s">
        <v>66</v>
      </c>
      <c r="D57" s="73" t="s">
        <v>75</v>
      </c>
      <c r="E57" s="76" t="s">
        <v>159</v>
      </c>
      <c r="F57" s="73" t="s">
        <v>82</v>
      </c>
      <c r="G57" s="73" t="s">
        <v>117</v>
      </c>
      <c r="H57" s="73" t="s">
        <v>7</v>
      </c>
      <c r="I57" s="73" t="s">
        <v>139</v>
      </c>
      <c r="J57" s="75" t="s">
        <v>490</v>
      </c>
      <c r="K57" s="73" t="s">
        <v>136</v>
      </c>
      <c r="L57" s="73" t="s">
        <v>84</v>
      </c>
      <c r="M57" s="75" t="s">
        <v>414</v>
      </c>
      <c r="N57" s="76"/>
      <c r="O57" s="73" t="s">
        <v>307</v>
      </c>
      <c r="P57" s="76" t="s">
        <v>491</v>
      </c>
    </row>
    <row r="58" customFormat="false" ht="15" hidden="false" customHeight="false" outlineLevel="0" collapsed="false">
      <c r="A58" s="73" t="s">
        <v>22</v>
      </c>
      <c r="B58" s="74" t="n">
        <v>46258</v>
      </c>
      <c r="C58" s="75" t="s">
        <v>67</v>
      </c>
      <c r="D58" s="73" t="s">
        <v>130</v>
      </c>
      <c r="E58" s="76" t="s">
        <v>492</v>
      </c>
      <c r="F58" s="73" t="s">
        <v>80</v>
      </c>
      <c r="G58" s="73" t="s">
        <v>118</v>
      </c>
      <c r="H58" s="73" t="s">
        <v>7</v>
      </c>
      <c r="I58" s="73" t="s">
        <v>140</v>
      </c>
      <c r="J58" s="75" t="s">
        <v>424</v>
      </c>
      <c r="K58" s="73" t="s">
        <v>135</v>
      </c>
      <c r="L58" s="73" t="s">
        <v>84</v>
      </c>
      <c r="M58" s="75" t="s">
        <v>414</v>
      </c>
      <c r="N58" s="76"/>
      <c r="O58" s="73" t="s">
        <v>307</v>
      </c>
      <c r="P58" s="76" t="s">
        <v>493</v>
      </c>
    </row>
    <row r="59" customFormat="false" ht="15" hidden="false" customHeight="false" outlineLevel="0" collapsed="false">
      <c r="A59" s="73" t="s">
        <v>20</v>
      </c>
      <c r="B59" s="74" t="n">
        <v>46252</v>
      </c>
      <c r="C59" s="75" t="s">
        <v>66</v>
      </c>
      <c r="D59" s="73" t="s">
        <v>75</v>
      </c>
      <c r="E59" s="76" t="s">
        <v>159</v>
      </c>
      <c r="F59" s="73" t="s">
        <v>81</v>
      </c>
      <c r="G59" s="73" t="s">
        <v>118</v>
      </c>
      <c r="H59" s="73" t="s">
        <v>9</v>
      </c>
      <c r="I59" s="73" t="s">
        <v>140</v>
      </c>
      <c r="J59" s="75" t="s">
        <v>494</v>
      </c>
      <c r="K59" s="73" t="s">
        <v>136</v>
      </c>
      <c r="L59" s="73" t="s">
        <v>84</v>
      </c>
      <c r="M59" s="75" t="s">
        <v>414</v>
      </c>
      <c r="N59" s="76" t="s">
        <v>112</v>
      </c>
      <c r="O59" s="73" t="s">
        <v>307</v>
      </c>
      <c r="P59" s="76" t="s">
        <v>160</v>
      </c>
    </row>
    <row r="60" customFormat="false" ht="15" hidden="false" customHeight="false" outlineLevel="0" collapsed="false">
      <c r="A60" s="73" t="s">
        <v>20</v>
      </c>
      <c r="B60" s="74" t="n">
        <v>46252</v>
      </c>
      <c r="C60" s="75" t="s">
        <v>66</v>
      </c>
      <c r="D60" s="73" t="s">
        <v>75</v>
      </c>
      <c r="E60" s="76" t="s">
        <v>159</v>
      </c>
      <c r="F60" s="73" t="s">
        <v>79</v>
      </c>
      <c r="G60" s="73" t="s">
        <v>117</v>
      </c>
      <c r="H60" s="73" t="s">
        <v>7</v>
      </c>
      <c r="I60" s="73" t="s">
        <v>140</v>
      </c>
      <c r="J60" s="75" t="s">
        <v>467</v>
      </c>
      <c r="K60" s="73" t="s">
        <v>136</v>
      </c>
      <c r="L60" s="73" t="s">
        <v>84</v>
      </c>
      <c r="M60" s="75" t="s">
        <v>414</v>
      </c>
      <c r="N60" s="76"/>
      <c r="O60" s="73" t="s">
        <v>307</v>
      </c>
      <c r="P60" s="76" t="s">
        <v>495</v>
      </c>
    </row>
    <row r="61" customFormat="false" ht="15" hidden="false" customHeight="false" outlineLevel="0" collapsed="false">
      <c r="A61" s="73" t="s">
        <v>22</v>
      </c>
      <c r="B61" s="74" t="n">
        <v>46258</v>
      </c>
      <c r="C61" s="75" t="s">
        <v>67</v>
      </c>
      <c r="D61" s="73" t="s">
        <v>130</v>
      </c>
      <c r="E61" s="76" t="s">
        <v>496</v>
      </c>
      <c r="F61" s="73" t="s">
        <v>79</v>
      </c>
      <c r="G61" s="73" t="s">
        <v>120</v>
      </c>
      <c r="H61" s="73" t="s">
        <v>7</v>
      </c>
      <c r="I61" s="75" t="s">
        <v>414</v>
      </c>
      <c r="J61" s="75" t="s">
        <v>424</v>
      </c>
      <c r="K61" s="73" t="s">
        <v>135</v>
      </c>
      <c r="L61" s="73" t="s">
        <v>84</v>
      </c>
      <c r="M61" s="75" t="s">
        <v>414</v>
      </c>
      <c r="N61" s="76"/>
      <c r="O61" s="73" t="s">
        <v>307</v>
      </c>
      <c r="P61" s="76" t="s">
        <v>497</v>
      </c>
    </row>
    <row r="62" customFormat="false" ht="15" hidden="false" customHeight="false" outlineLevel="0" collapsed="false">
      <c r="A62" s="73" t="s">
        <v>22</v>
      </c>
      <c r="B62" s="74" t="n">
        <v>46258</v>
      </c>
      <c r="C62" s="75" t="s">
        <v>67</v>
      </c>
      <c r="D62" s="73" t="s">
        <v>130</v>
      </c>
      <c r="E62" s="76" t="s">
        <v>498</v>
      </c>
      <c r="F62" s="73" t="s">
        <v>79</v>
      </c>
      <c r="G62" s="73" t="s">
        <v>120</v>
      </c>
      <c r="H62" s="73" t="s">
        <v>7</v>
      </c>
      <c r="I62" s="73" t="s">
        <v>140</v>
      </c>
      <c r="J62" s="75" t="s">
        <v>480</v>
      </c>
      <c r="K62" s="73" t="s">
        <v>135</v>
      </c>
      <c r="L62" s="73" t="s">
        <v>84</v>
      </c>
      <c r="M62" s="75" t="s">
        <v>414</v>
      </c>
      <c r="N62" s="76"/>
      <c r="O62" s="73" t="s">
        <v>307</v>
      </c>
      <c r="P62" s="76" t="s">
        <v>499</v>
      </c>
    </row>
    <row r="63" customFormat="false" ht="15" hidden="false" customHeight="false" outlineLevel="0" collapsed="false">
      <c r="A63" s="73" t="s">
        <v>22</v>
      </c>
      <c r="B63" s="74" t="n">
        <v>46258</v>
      </c>
      <c r="C63" s="75" t="s">
        <v>67</v>
      </c>
      <c r="D63" s="73" t="s">
        <v>130</v>
      </c>
      <c r="E63" s="76" t="s">
        <v>500</v>
      </c>
      <c r="F63" s="73" t="s">
        <v>80</v>
      </c>
      <c r="G63" s="73" t="s">
        <v>118</v>
      </c>
      <c r="H63" s="73" t="s">
        <v>7</v>
      </c>
      <c r="I63" s="73" t="s">
        <v>140</v>
      </c>
      <c r="J63" s="75" t="s">
        <v>480</v>
      </c>
      <c r="K63" s="73" t="s">
        <v>135</v>
      </c>
      <c r="L63" s="73" t="s">
        <v>84</v>
      </c>
      <c r="M63" s="75" t="s">
        <v>414</v>
      </c>
      <c r="N63" s="76"/>
      <c r="O63" s="73" t="s">
        <v>307</v>
      </c>
      <c r="P63" s="76" t="s">
        <v>501</v>
      </c>
    </row>
    <row r="64" customFormat="false" ht="15" hidden="false" customHeight="false" outlineLevel="0" collapsed="false">
      <c r="A64" s="73" t="s">
        <v>24</v>
      </c>
      <c r="B64" s="74" t="n">
        <v>46253</v>
      </c>
      <c r="C64" s="75" t="s">
        <v>66</v>
      </c>
      <c r="D64" s="73" t="s">
        <v>133</v>
      </c>
      <c r="E64" s="76" t="s">
        <v>502</v>
      </c>
      <c r="F64" s="73" t="s">
        <v>78</v>
      </c>
      <c r="G64" s="73" t="s">
        <v>120</v>
      </c>
      <c r="H64" s="73" t="s">
        <v>7</v>
      </c>
      <c r="I64" s="75" t="s">
        <v>414</v>
      </c>
      <c r="J64" s="75" t="s">
        <v>414</v>
      </c>
      <c r="K64" s="73" t="s">
        <v>135</v>
      </c>
      <c r="L64" s="73" t="s">
        <v>84</v>
      </c>
      <c r="M64" s="75" t="s">
        <v>414</v>
      </c>
      <c r="N64" s="76"/>
      <c r="O64" s="73" t="s">
        <v>306</v>
      </c>
      <c r="P64" s="76" t="s">
        <v>503</v>
      </c>
    </row>
    <row r="65" customFormat="false" ht="15" hidden="false" customHeight="false" outlineLevel="0" collapsed="false">
      <c r="A65" s="73" t="s">
        <v>24</v>
      </c>
      <c r="B65" s="74" t="n">
        <v>46254</v>
      </c>
      <c r="C65" s="75" t="s">
        <v>66</v>
      </c>
      <c r="D65" s="73" t="s">
        <v>133</v>
      </c>
      <c r="E65" s="76" t="s">
        <v>504</v>
      </c>
      <c r="F65" s="73" t="s">
        <v>82</v>
      </c>
      <c r="G65" s="75" t="s">
        <v>414</v>
      </c>
      <c r="H65" s="73" t="s">
        <v>7</v>
      </c>
      <c r="I65" s="73" t="s">
        <v>140</v>
      </c>
      <c r="J65" s="75" t="s">
        <v>480</v>
      </c>
      <c r="K65" s="73" t="s">
        <v>136</v>
      </c>
      <c r="L65" s="73" t="s">
        <v>84</v>
      </c>
      <c r="M65" s="75" t="s">
        <v>414</v>
      </c>
      <c r="N65" s="76"/>
      <c r="O65" s="73" t="s">
        <v>306</v>
      </c>
      <c r="P65" s="77" t="s">
        <v>505</v>
      </c>
    </row>
    <row r="66" customFormat="false" ht="15" hidden="false" customHeight="false" outlineLevel="0" collapsed="false">
      <c r="A66" s="73" t="s">
        <v>24</v>
      </c>
      <c r="B66" s="74" t="n">
        <v>46255</v>
      </c>
      <c r="C66" s="75" t="s">
        <v>66</v>
      </c>
      <c r="D66" s="73" t="s">
        <v>133</v>
      </c>
      <c r="E66" s="76" t="s">
        <v>506</v>
      </c>
      <c r="F66" s="73" t="s">
        <v>78</v>
      </c>
      <c r="G66" s="73" t="s">
        <v>120</v>
      </c>
      <c r="H66" s="73" t="s">
        <v>7</v>
      </c>
      <c r="I66" s="75" t="s">
        <v>414</v>
      </c>
      <c r="J66" s="75" t="s">
        <v>414</v>
      </c>
      <c r="K66" s="73" t="s">
        <v>135</v>
      </c>
      <c r="L66" s="73" t="s">
        <v>85</v>
      </c>
      <c r="M66" s="75" t="s">
        <v>414</v>
      </c>
      <c r="N66" s="76"/>
      <c r="O66" s="73" t="s">
        <v>306</v>
      </c>
      <c r="P66" s="76"/>
    </row>
    <row r="67" customFormat="false" ht="15" hidden="false" customHeight="false" outlineLevel="0" collapsed="false">
      <c r="A67" s="73" t="s">
        <v>24</v>
      </c>
      <c r="B67" s="74" t="n">
        <v>46255</v>
      </c>
      <c r="C67" s="75" t="s">
        <v>66</v>
      </c>
      <c r="D67" s="73" t="s">
        <v>133</v>
      </c>
      <c r="E67" s="76" t="s">
        <v>507</v>
      </c>
      <c r="F67" s="73" t="s">
        <v>81</v>
      </c>
      <c r="G67" s="75" t="s">
        <v>414</v>
      </c>
      <c r="H67" s="73" t="s">
        <v>7</v>
      </c>
      <c r="I67" s="73" t="s">
        <v>140</v>
      </c>
      <c r="J67" s="75" t="s">
        <v>480</v>
      </c>
      <c r="K67" s="73" t="s">
        <v>136</v>
      </c>
      <c r="L67" s="73" t="s">
        <v>84</v>
      </c>
      <c r="M67" s="75" t="s">
        <v>414</v>
      </c>
      <c r="N67" s="76"/>
      <c r="O67" s="73" t="s">
        <v>306</v>
      </c>
      <c r="P67" s="76"/>
    </row>
    <row r="68" customFormat="false" ht="15" hidden="false" customHeight="false" outlineLevel="0" collapsed="false">
      <c r="A68" s="73" t="s">
        <v>24</v>
      </c>
      <c r="B68" s="74" t="n">
        <v>46254</v>
      </c>
      <c r="C68" s="75" t="s">
        <v>66</v>
      </c>
      <c r="D68" s="73" t="s">
        <v>133</v>
      </c>
      <c r="E68" s="76" t="s">
        <v>161</v>
      </c>
      <c r="F68" s="73" t="s">
        <v>78</v>
      </c>
      <c r="G68" s="73" t="s">
        <v>8</v>
      </c>
      <c r="H68" s="73" t="s">
        <v>9</v>
      </c>
      <c r="I68" s="73" t="s">
        <v>140</v>
      </c>
      <c r="J68" s="75" t="s">
        <v>414</v>
      </c>
      <c r="K68" s="75" t="s">
        <v>414</v>
      </c>
      <c r="L68" s="73" t="s">
        <v>8</v>
      </c>
      <c r="M68" s="73" t="s">
        <v>418</v>
      </c>
      <c r="N68" s="76" t="s">
        <v>48</v>
      </c>
      <c r="O68" s="73" t="s">
        <v>306</v>
      </c>
      <c r="P68" s="76" t="s">
        <v>162</v>
      </c>
    </row>
    <row r="69" customFormat="false" ht="15" hidden="false" customHeight="false" outlineLevel="0" collapsed="false">
      <c r="A69" s="73" t="s">
        <v>24</v>
      </c>
      <c r="B69" s="74" t="n">
        <v>46255</v>
      </c>
      <c r="C69" s="75" t="s">
        <v>66</v>
      </c>
      <c r="D69" s="73" t="s">
        <v>133</v>
      </c>
      <c r="E69" s="76" t="s">
        <v>508</v>
      </c>
      <c r="F69" s="73" t="s">
        <v>79</v>
      </c>
      <c r="G69" s="75" t="s">
        <v>414</v>
      </c>
      <c r="H69" s="73" t="s">
        <v>7</v>
      </c>
      <c r="I69" s="75" t="s">
        <v>414</v>
      </c>
      <c r="J69" s="75" t="s">
        <v>467</v>
      </c>
      <c r="K69" s="73" t="s">
        <v>135</v>
      </c>
      <c r="L69" s="75" t="s">
        <v>414</v>
      </c>
      <c r="M69" s="75" t="s">
        <v>414</v>
      </c>
      <c r="N69" s="76"/>
      <c r="O69" s="73" t="s">
        <v>306</v>
      </c>
      <c r="P69" s="77" t="s">
        <v>509</v>
      </c>
    </row>
    <row r="70" customFormat="false" ht="15" hidden="false" customHeight="false" outlineLevel="0" collapsed="false">
      <c r="A70" s="73" t="s">
        <v>24</v>
      </c>
      <c r="B70" s="74" t="n">
        <v>46253</v>
      </c>
      <c r="C70" s="75" t="s">
        <v>66</v>
      </c>
      <c r="D70" s="73" t="s">
        <v>133</v>
      </c>
      <c r="E70" s="76" t="s">
        <v>163</v>
      </c>
      <c r="F70" s="73" t="s">
        <v>81</v>
      </c>
      <c r="G70" s="73" t="s">
        <v>117</v>
      </c>
      <c r="H70" s="73" t="s">
        <v>9</v>
      </c>
      <c r="I70" s="73" t="s">
        <v>139</v>
      </c>
      <c r="J70" s="75" t="s">
        <v>414</v>
      </c>
      <c r="K70" s="75" t="s">
        <v>414</v>
      </c>
      <c r="L70" s="75" t="s">
        <v>414</v>
      </c>
      <c r="M70" s="75" t="s">
        <v>414</v>
      </c>
      <c r="N70" s="76" t="s">
        <v>38</v>
      </c>
      <c r="O70" s="73" t="s">
        <v>306</v>
      </c>
      <c r="P70" s="76" t="s">
        <v>164</v>
      </c>
    </row>
    <row r="71" customFormat="false" ht="15" hidden="false" customHeight="false" outlineLevel="0" collapsed="false">
      <c r="A71" s="73" t="s">
        <v>24</v>
      </c>
      <c r="B71" s="74" t="n">
        <v>46255</v>
      </c>
      <c r="C71" s="75" t="s">
        <v>66</v>
      </c>
      <c r="D71" s="73" t="s">
        <v>133</v>
      </c>
      <c r="E71" s="76" t="s">
        <v>165</v>
      </c>
      <c r="F71" s="73" t="s">
        <v>82</v>
      </c>
      <c r="G71" s="73" t="s">
        <v>118</v>
      </c>
      <c r="H71" s="73" t="s">
        <v>9</v>
      </c>
      <c r="I71" s="75" t="s">
        <v>414</v>
      </c>
      <c r="J71" s="75" t="s">
        <v>458</v>
      </c>
      <c r="K71" s="75" t="s">
        <v>414</v>
      </c>
      <c r="L71" s="75" t="s">
        <v>414</v>
      </c>
      <c r="M71" s="75" t="s">
        <v>414</v>
      </c>
      <c r="N71" s="76" t="s">
        <v>112</v>
      </c>
      <c r="O71" s="73" t="s">
        <v>306</v>
      </c>
      <c r="P71" s="76" t="s">
        <v>510</v>
      </c>
    </row>
    <row r="72" customFormat="false" ht="15" hidden="false" customHeight="false" outlineLevel="0" collapsed="false">
      <c r="A72" s="73" t="s">
        <v>23</v>
      </c>
      <c r="B72" s="74" t="n">
        <v>46258</v>
      </c>
      <c r="C72" s="75" t="s">
        <v>67</v>
      </c>
      <c r="D72" s="73" t="s">
        <v>129</v>
      </c>
      <c r="E72" s="76" t="s">
        <v>271</v>
      </c>
      <c r="F72" s="73" t="s">
        <v>81</v>
      </c>
      <c r="G72" s="73" t="s">
        <v>119</v>
      </c>
      <c r="H72" s="73" t="s">
        <v>8</v>
      </c>
      <c r="I72" s="75" t="s">
        <v>414</v>
      </c>
      <c r="J72" s="73" t="s">
        <v>464</v>
      </c>
      <c r="K72" s="73" t="s">
        <v>135</v>
      </c>
      <c r="L72" s="73" t="s">
        <v>8</v>
      </c>
      <c r="M72" s="75" t="s">
        <v>414</v>
      </c>
      <c r="N72" s="76"/>
      <c r="O72" s="73" t="s">
        <v>129</v>
      </c>
      <c r="P72" s="76" t="s">
        <v>511</v>
      </c>
    </row>
    <row r="73" customFormat="false" ht="15" hidden="false" customHeight="false" outlineLevel="0" collapsed="false">
      <c r="A73" s="73" t="s">
        <v>27</v>
      </c>
      <c r="B73" s="74" t="n">
        <v>46253</v>
      </c>
      <c r="C73" s="75" t="s">
        <v>66</v>
      </c>
      <c r="D73" s="73" t="s">
        <v>129</v>
      </c>
      <c r="E73" s="76" t="s">
        <v>512</v>
      </c>
      <c r="F73" s="73" t="s">
        <v>80</v>
      </c>
      <c r="G73" s="73" t="s">
        <v>119</v>
      </c>
      <c r="H73" s="73" t="s">
        <v>108</v>
      </c>
      <c r="I73" s="75" t="s">
        <v>414</v>
      </c>
      <c r="J73" s="75" t="s">
        <v>414</v>
      </c>
      <c r="K73" s="73" t="s">
        <v>135</v>
      </c>
      <c r="L73" s="73" t="s">
        <v>85</v>
      </c>
      <c r="M73" s="75" t="s">
        <v>414</v>
      </c>
      <c r="N73" s="76"/>
      <c r="O73" s="73" t="s">
        <v>129</v>
      </c>
      <c r="P73" s="76" t="s">
        <v>513</v>
      </c>
    </row>
    <row r="74" customFormat="false" ht="15" hidden="false" customHeight="false" outlineLevel="0" collapsed="false">
      <c r="A74" s="73" t="s">
        <v>27</v>
      </c>
      <c r="B74" s="74" t="n">
        <v>46253</v>
      </c>
      <c r="C74" s="75" t="s">
        <v>66</v>
      </c>
      <c r="D74" s="73" t="s">
        <v>129</v>
      </c>
      <c r="E74" s="76" t="s">
        <v>512</v>
      </c>
      <c r="F74" s="73" t="s">
        <v>80</v>
      </c>
      <c r="G74" s="73" t="s">
        <v>119</v>
      </c>
      <c r="H74" s="73" t="s">
        <v>8</v>
      </c>
      <c r="I74" s="73" t="s">
        <v>139</v>
      </c>
      <c r="J74" s="75" t="s">
        <v>424</v>
      </c>
      <c r="K74" s="73" t="s">
        <v>135</v>
      </c>
      <c r="L74" s="73" t="s">
        <v>8</v>
      </c>
      <c r="M74" s="73" t="s">
        <v>421</v>
      </c>
      <c r="N74" s="76"/>
      <c r="O74" s="73" t="s">
        <v>129</v>
      </c>
      <c r="P74" s="76" t="s">
        <v>514</v>
      </c>
    </row>
    <row r="75" customFormat="false" ht="15" hidden="false" customHeight="false" outlineLevel="0" collapsed="false">
      <c r="A75" s="73" t="s">
        <v>27</v>
      </c>
      <c r="B75" s="74" t="n">
        <v>46253</v>
      </c>
      <c r="C75" s="75" t="s">
        <v>66</v>
      </c>
      <c r="D75" s="73" t="s">
        <v>129</v>
      </c>
      <c r="E75" s="76" t="s">
        <v>515</v>
      </c>
      <c r="F75" s="73" t="s">
        <v>78</v>
      </c>
      <c r="G75" s="75" t="s">
        <v>414</v>
      </c>
      <c r="H75" s="73" t="s">
        <v>8</v>
      </c>
      <c r="I75" s="75" t="s">
        <v>414</v>
      </c>
      <c r="J75" s="75" t="s">
        <v>414</v>
      </c>
      <c r="K75" s="73" t="s">
        <v>135</v>
      </c>
      <c r="L75" s="73" t="s">
        <v>8</v>
      </c>
      <c r="M75" s="73" t="s">
        <v>421</v>
      </c>
      <c r="N75" s="76"/>
      <c r="O75" s="73" t="s">
        <v>129</v>
      </c>
      <c r="P75" s="76"/>
    </row>
    <row r="76" customFormat="false" ht="15" hidden="false" customHeight="false" outlineLevel="0" collapsed="false">
      <c r="A76" s="73" t="s">
        <v>27</v>
      </c>
      <c r="B76" s="74" t="n">
        <v>46253</v>
      </c>
      <c r="C76" s="75" t="s">
        <v>66</v>
      </c>
      <c r="D76" s="73" t="s">
        <v>129</v>
      </c>
      <c r="E76" s="76" t="s">
        <v>515</v>
      </c>
      <c r="F76" s="73" t="s">
        <v>80</v>
      </c>
      <c r="G76" s="73" t="s">
        <v>119</v>
      </c>
      <c r="H76" s="73" t="s">
        <v>7</v>
      </c>
      <c r="I76" s="75" t="s">
        <v>414</v>
      </c>
      <c r="J76" s="75" t="s">
        <v>414</v>
      </c>
      <c r="K76" s="73" t="s">
        <v>135</v>
      </c>
      <c r="L76" s="73" t="s">
        <v>84</v>
      </c>
      <c r="M76" s="75" t="s">
        <v>414</v>
      </c>
      <c r="N76" s="76"/>
      <c r="O76" s="73" t="s">
        <v>129</v>
      </c>
      <c r="P76" s="76" t="s">
        <v>516</v>
      </c>
    </row>
    <row r="77" customFormat="false" ht="15" hidden="false" customHeight="false" outlineLevel="0" collapsed="false">
      <c r="A77" s="73" t="s">
        <v>27</v>
      </c>
      <c r="B77" s="74" t="n">
        <v>46253</v>
      </c>
      <c r="C77" s="75" t="s">
        <v>66</v>
      </c>
      <c r="D77" s="73" t="s">
        <v>129</v>
      </c>
      <c r="E77" s="76" t="s">
        <v>515</v>
      </c>
      <c r="F77" s="73" t="s">
        <v>81</v>
      </c>
      <c r="G77" s="73" t="s">
        <v>119</v>
      </c>
      <c r="H77" s="73" t="s">
        <v>8</v>
      </c>
      <c r="I77" s="73" t="s">
        <v>140</v>
      </c>
      <c r="J77" s="75" t="s">
        <v>424</v>
      </c>
      <c r="K77" s="73" t="s">
        <v>135</v>
      </c>
      <c r="L77" s="73" t="s">
        <v>8</v>
      </c>
      <c r="M77" s="75" t="s">
        <v>414</v>
      </c>
      <c r="N77" s="76"/>
      <c r="O77" s="73" t="s">
        <v>129</v>
      </c>
      <c r="P77" s="76" t="s">
        <v>517</v>
      </c>
    </row>
    <row r="78" customFormat="false" ht="15" hidden="false" customHeight="false" outlineLevel="0" collapsed="false">
      <c r="A78" s="73" t="s">
        <v>27</v>
      </c>
      <c r="B78" s="74" t="n">
        <v>46253</v>
      </c>
      <c r="C78" s="75" t="s">
        <v>66</v>
      </c>
      <c r="D78" s="73" t="s">
        <v>129</v>
      </c>
      <c r="E78" s="76" t="s">
        <v>515</v>
      </c>
      <c r="F78" s="73" t="s">
        <v>78</v>
      </c>
      <c r="G78" s="75" t="s">
        <v>414</v>
      </c>
      <c r="H78" s="73" t="s">
        <v>8</v>
      </c>
      <c r="I78" s="75" t="s">
        <v>414</v>
      </c>
      <c r="J78" s="75" t="s">
        <v>414</v>
      </c>
      <c r="K78" s="75" t="s">
        <v>414</v>
      </c>
      <c r="L78" s="73" t="s">
        <v>8</v>
      </c>
      <c r="M78" s="73" t="s">
        <v>421</v>
      </c>
      <c r="N78" s="76"/>
      <c r="O78" s="73" t="s">
        <v>129</v>
      </c>
      <c r="P78" s="76"/>
    </row>
    <row r="79" customFormat="false" ht="15" hidden="false" customHeight="false" outlineLevel="0" collapsed="false">
      <c r="A79" s="73" t="s">
        <v>25</v>
      </c>
      <c r="B79" s="74" t="n">
        <v>46259</v>
      </c>
      <c r="C79" s="75" t="s">
        <v>67</v>
      </c>
      <c r="D79" s="73" t="s">
        <v>76</v>
      </c>
      <c r="E79" s="76" t="s">
        <v>518</v>
      </c>
      <c r="F79" s="73" t="s">
        <v>82</v>
      </c>
      <c r="G79" s="73" t="s">
        <v>119</v>
      </c>
      <c r="H79" s="73" t="s">
        <v>8</v>
      </c>
      <c r="I79" s="73" t="s">
        <v>140</v>
      </c>
      <c r="J79" s="75" t="s">
        <v>424</v>
      </c>
      <c r="K79" s="73" t="s">
        <v>135</v>
      </c>
      <c r="L79" s="73" t="s">
        <v>85</v>
      </c>
      <c r="M79" s="75" t="s">
        <v>414</v>
      </c>
      <c r="N79" s="76"/>
      <c r="O79" s="73" t="s">
        <v>307</v>
      </c>
      <c r="P79" s="76"/>
    </row>
    <row r="80" customFormat="false" ht="15" hidden="false" customHeight="false" outlineLevel="0" collapsed="false">
      <c r="A80" s="73" t="s">
        <v>25</v>
      </c>
      <c r="B80" s="74" t="n">
        <v>46259</v>
      </c>
      <c r="C80" s="75" t="s">
        <v>67</v>
      </c>
      <c r="D80" s="73" t="s">
        <v>76</v>
      </c>
      <c r="E80" s="76" t="s">
        <v>453</v>
      </c>
      <c r="F80" s="73" t="s">
        <v>79</v>
      </c>
      <c r="G80" s="73" t="s">
        <v>119</v>
      </c>
      <c r="H80" s="73" t="s">
        <v>8</v>
      </c>
      <c r="I80" s="73" t="s">
        <v>139</v>
      </c>
      <c r="J80" s="75" t="s">
        <v>424</v>
      </c>
      <c r="K80" s="73" t="s">
        <v>135</v>
      </c>
      <c r="L80" s="73" t="s">
        <v>85</v>
      </c>
      <c r="M80" s="75" t="s">
        <v>414</v>
      </c>
      <c r="N80" s="76"/>
      <c r="O80" s="73" t="s">
        <v>307</v>
      </c>
      <c r="P80" s="76" t="s">
        <v>519</v>
      </c>
    </row>
    <row r="81" customFormat="false" ht="15" hidden="false" customHeight="false" outlineLevel="0" collapsed="false">
      <c r="A81" s="73" t="s">
        <v>25</v>
      </c>
      <c r="B81" s="74" t="n">
        <v>46259</v>
      </c>
      <c r="C81" s="75" t="s">
        <v>67</v>
      </c>
      <c r="D81" s="73" t="s">
        <v>76</v>
      </c>
      <c r="E81" s="76" t="s">
        <v>520</v>
      </c>
      <c r="F81" s="73" t="s">
        <v>125</v>
      </c>
      <c r="G81" s="73" t="s">
        <v>119</v>
      </c>
      <c r="H81" s="73" t="s">
        <v>7</v>
      </c>
      <c r="I81" s="73" t="s">
        <v>139</v>
      </c>
      <c r="J81" s="75" t="s">
        <v>424</v>
      </c>
      <c r="K81" s="73" t="s">
        <v>135</v>
      </c>
      <c r="L81" s="73" t="s">
        <v>85</v>
      </c>
      <c r="M81" s="75" t="s">
        <v>414</v>
      </c>
      <c r="N81" s="76"/>
      <c r="O81" s="73" t="s">
        <v>307</v>
      </c>
      <c r="P81" s="76" t="s">
        <v>521</v>
      </c>
    </row>
    <row r="82" customFormat="false" ht="15" hidden="false" customHeight="false" outlineLevel="0" collapsed="false">
      <c r="A82" s="73" t="s">
        <v>20</v>
      </c>
      <c r="B82" s="74" t="n">
        <v>46253</v>
      </c>
      <c r="C82" s="75" t="s">
        <v>66</v>
      </c>
      <c r="D82" s="73" t="s">
        <v>75</v>
      </c>
      <c r="E82" s="76" t="s">
        <v>522</v>
      </c>
      <c r="F82" s="73" t="s">
        <v>78</v>
      </c>
      <c r="G82" s="73" t="s">
        <v>120</v>
      </c>
      <c r="H82" s="73" t="s">
        <v>7</v>
      </c>
      <c r="I82" s="75" t="s">
        <v>414</v>
      </c>
      <c r="J82" s="75" t="s">
        <v>424</v>
      </c>
      <c r="K82" s="73" t="s">
        <v>135</v>
      </c>
      <c r="L82" s="73" t="s">
        <v>84</v>
      </c>
      <c r="M82" s="75" t="s">
        <v>414</v>
      </c>
      <c r="N82" s="76"/>
      <c r="O82" s="73" t="s">
        <v>307</v>
      </c>
      <c r="P82" s="76" t="s">
        <v>463</v>
      </c>
    </row>
    <row r="83" customFormat="false" ht="15" hidden="false" customHeight="false" outlineLevel="0" collapsed="false">
      <c r="A83" s="73" t="s">
        <v>20</v>
      </c>
      <c r="B83" s="74" t="n">
        <v>46253</v>
      </c>
      <c r="C83" s="75" t="s">
        <v>66</v>
      </c>
      <c r="D83" s="73" t="s">
        <v>75</v>
      </c>
      <c r="E83" s="76" t="s">
        <v>523</v>
      </c>
      <c r="F83" s="73" t="s">
        <v>78</v>
      </c>
      <c r="G83" s="73" t="s">
        <v>118</v>
      </c>
      <c r="H83" s="73" t="s">
        <v>108</v>
      </c>
      <c r="I83" s="73" t="s">
        <v>139</v>
      </c>
      <c r="J83" s="75" t="s">
        <v>424</v>
      </c>
      <c r="K83" s="73" t="s">
        <v>135</v>
      </c>
      <c r="L83" s="73" t="s">
        <v>84</v>
      </c>
      <c r="M83" s="75" t="s">
        <v>414</v>
      </c>
      <c r="N83" s="76"/>
      <c r="O83" s="73" t="s">
        <v>307</v>
      </c>
      <c r="P83" s="76" t="s">
        <v>524</v>
      </c>
    </row>
    <row r="84" customFormat="false" ht="15" hidden="false" customHeight="false" outlineLevel="0" collapsed="false">
      <c r="A84" s="73" t="s">
        <v>20</v>
      </c>
      <c r="B84" s="74" t="n">
        <v>46253</v>
      </c>
      <c r="C84" s="75" t="s">
        <v>66</v>
      </c>
      <c r="D84" s="73" t="s">
        <v>75</v>
      </c>
      <c r="E84" s="76" t="s">
        <v>525</v>
      </c>
      <c r="F84" s="73" t="s">
        <v>78</v>
      </c>
      <c r="G84" s="73" t="s">
        <v>8</v>
      </c>
      <c r="H84" s="73" t="s">
        <v>8</v>
      </c>
      <c r="I84" s="73" t="s">
        <v>139</v>
      </c>
      <c r="J84" s="75" t="s">
        <v>458</v>
      </c>
      <c r="K84" s="73" t="s">
        <v>135</v>
      </c>
      <c r="L84" s="73" t="s">
        <v>86</v>
      </c>
      <c r="M84" s="73" t="s">
        <v>418</v>
      </c>
      <c r="N84" s="76"/>
      <c r="O84" s="73" t="s">
        <v>307</v>
      </c>
      <c r="P84" s="76" t="s">
        <v>526</v>
      </c>
    </row>
    <row r="85" customFormat="false" ht="15" hidden="false" customHeight="false" outlineLevel="0" collapsed="false">
      <c r="A85" s="73" t="s">
        <v>20</v>
      </c>
      <c r="B85" s="74" t="n">
        <v>46259</v>
      </c>
      <c r="C85" s="75" t="s">
        <v>67</v>
      </c>
      <c r="D85" s="73" t="s">
        <v>75</v>
      </c>
      <c r="E85" s="76" t="s">
        <v>527</v>
      </c>
      <c r="F85" s="73" t="s">
        <v>78</v>
      </c>
      <c r="G85" s="73" t="s">
        <v>120</v>
      </c>
      <c r="H85" s="73" t="s">
        <v>7</v>
      </c>
      <c r="I85" s="75" t="s">
        <v>414</v>
      </c>
      <c r="J85" s="75" t="s">
        <v>424</v>
      </c>
      <c r="K85" s="73" t="s">
        <v>135</v>
      </c>
      <c r="L85" s="73" t="s">
        <v>84</v>
      </c>
      <c r="M85" s="75" t="s">
        <v>414</v>
      </c>
      <c r="N85" s="76"/>
      <c r="O85" s="73" t="s">
        <v>307</v>
      </c>
      <c r="P85" s="76" t="s">
        <v>528</v>
      </c>
    </row>
    <row r="86" customFormat="false" ht="15" hidden="false" customHeight="false" outlineLevel="0" collapsed="false">
      <c r="A86" s="73" t="s">
        <v>20</v>
      </c>
      <c r="B86" s="74" t="n">
        <v>46253</v>
      </c>
      <c r="C86" s="75" t="s">
        <v>66</v>
      </c>
      <c r="D86" s="73" t="s">
        <v>75</v>
      </c>
      <c r="E86" s="76" t="s">
        <v>523</v>
      </c>
      <c r="F86" s="73" t="s">
        <v>79</v>
      </c>
      <c r="G86" s="75" t="s">
        <v>414</v>
      </c>
      <c r="H86" s="73" t="s">
        <v>108</v>
      </c>
      <c r="I86" s="73" t="s">
        <v>140</v>
      </c>
      <c r="J86" s="75" t="s">
        <v>424</v>
      </c>
      <c r="K86" s="73" t="s">
        <v>135</v>
      </c>
      <c r="L86" s="73" t="s">
        <v>8</v>
      </c>
      <c r="M86" s="75" t="s">
        <v>414</v>
      </c>
      <c r="N86" s="76"/>
      <c r="O86" s="73" t="s">
        <v>307</v>
      </c>
      <c r="P86" s="76" t="s">
        <v>529</v>
      </c>
    </row>
    <row r="87" customFormat="false" ht="15" hidden="false" customHeight="false" outlineLevel="0" collapsed="false">
      <c r="A87" s="73" t="s">
        <v>20</v>
      </c>
      <c r="B87" s="74" t="n">
        <v>46259</v>
      </c>
      <c r="C87" s="75" t="s">
        <v>67</v>
      </c>
      <c r="D87" s="73" t="s">
        <v>75</v>
      </c>
      <c r="E87" s="76" t="s">
        <v>530</v>
      </c>
      <c r="F87" s="73" t="s">
        <v>79</v>
      </c>
      <c r="G87" s="73" t="s">
        <v>119</v>
      </c>
      <c r="H87" s="73" t="s">
        <v>7</v>
      </c>
      <c r="I87" s="73" t="s">
        <v>140</v>
      </c>
      <c r="J87" s="75" t="s">
        <v>424</v>
      </c>
      <c r="K87" s="73" t="s">
        <v>135</v>
      </c>
      <c r="L87" s="73" t="s">
        <v>84</v>
      </c>
      <c r="M87" s="75" t="s">
        <v>414</v>
      </c>
      <c r="N87" s="76"/>
      <c r="O87" s="73" t="s">
        <v>307</v>
      </c>
      <c r="P87" s="76" t="s">
        <v>531</v>
      </c>
    </row>
    <row r="88" customFormat="false" ht="15" hidden="false" customHeight="false" outlineLevel="0" collapsed="false">
      <c r="A88" s="73" t="s">
        <v>20</v>
      </c>
      <c r="B88" s="74" t="n">
        <v>46259</v>
      </c>
      <c r="C88" s="75" t="s">
        <v>67</v>
      </c>
      <c r="D88" s="73" t="s">
        <v>75</v>
      </c>
      <c r="E88" s="76" t="s">
        <v>530</v>
      </c>
      <c r="F88" s="73" t="s">
        <v>82</v>
      </c>
      <c r="G88" s="73" t="s">
        <v>118</v>
      </c>
      <c r="H88" s="73" t="s">
        <v>7</v>
      </c>
      <c r="I88" s="73" t="s">
        <v>140</v>
      </c>
      <c r="J88" s="75" t="s">
        <v>480</v>
      </c>
      <c r="K88" s="73" t="s">
        <v>136</v>
      </c>
      <c r="L88" s="73" t="s">
        <v>84</v>
      </c>
      <c r="M88" s="75" t="s">
        <v>414</v>
      </c>
      <c r="N88" s="76"/>
      <c r="O88" s="73" t="s">
        <v>307</v>
      </c>
      <c r="P88" s="76" t="s">
        <v>532</v>
      </c>
    </row>
    <row r="89" customFormat="false" ht="15" hidden="false" customHeight="false" outlineLevel="0" collapsed="false">
      <c r="A89" s="73" t="s">
        <v>20</v>
      </c>
      <c r="B89" s="74" t="n">
        <v>46259</v>
      </c>
      <c r="C89" s="75" t="s">
        <v>67</v>
      </c>
      <c r="D89" s="73" t="s">
        <v>75</v>
      </c>
      <c r="E89" s="76" t="s">
        <v>167</v>
      </c>
      <c r="F89" s="73" t="s">
        <v>78</v>
      </c>
      <c r="G89" s="73" t="s">
        <v>118</v>
      </c>
      <c r="H89" s="73" t="s">
        <v>7</v>
      </c>
      <c r="I89" s="73" t="s">
        <v>140</v>
      </c>
      <c r="J89" s="75" t="s">
        <v>424</v>
      </c>
      <c r="K89" s="73" t="s">
        <v>136</v>
      </c>
      <c r="L89" s="73" t="s">
        <v>84</v>
      </c>
      <c r="M89" s="75" t="s">
        <v>414</v>
      </c>
      <c r="N89" s="76"/>
      <c r="O89" s="73" t="s">
        <v>307</v>
      </c>
      <c r="P89" s="76" t="s">
        <v>533</v>
      </c>
    </row>
    <row r="90" customFormat="false" ht="15" hidden="false" customHeight="false" outlineLevel="0" collapsed="false">
      <c r="A90" s="73" t="s">
        <v>20</v>
      </c>
      <c r="B90" s="74" t="n">
        <v>46259</v>
      </c>
      <c r="C90" s="75" t="s">
        <v>67</v>
      </c>
      <c r="D90" s="73" t="s">
        <v>75</v>
      </c>
      <c r="E90" s="76" t="s">
        <v>167</v>
      </c>
      <c r="F90" s="73" t="s">
        <v>82</v>
      </c>
      <c r="G90" s="73" t="s">
        <v>119</v>
      </c>
      <c r="H90" s="73" t="s">
        <v>7</v>
      </c>
      <c r="I90" s="73" t="s">
        <v>139</v>
      </c>
      <c r="J90" s="75" t="s">
        <v>480</v>
      </c>
      <c r="K90" s="73" t="s">
        <v>136</v>
      </c>
      <c r="L90" s="73" t="s">
        <v>84</v>
      </c>
      <c r="M90" s="75" t="s">
        <v>414</v>
      </c>
      <c r="N90" s="76"/>
      <c r="O90" s="73" t="s">
        <v>307</v>
      </c>
      <c r="P90" s="76" t="s">
        <v>534</v>
      </c>
    </row>
    <row r="91" customFormat="false" ht="15" hidden="false" customHeight="false" outlineLevel="0" collapsed="false">
      <c r="A91" s="73" t="s">
        <v>20</v>
      </c>
      <c r="B91" s="74" t="n">
        <v>46259</v>
      </c>
      <c r="C91" s="75" t="s">
        <v>67</v>
      </c>
      <c r="D91" s="73" t="s">
        <v>75</v>
      </c>
      <c r="E91" s="76" t="s">
        <v>167</v>
      </c>
      <c r="F91" s="73" t="s">
        <v>81</v>
      </c>
      <c r="G91" s="73" t="s">
        <v>118</v>
      </c>
      <c r="H91" s="73" t="s">
        <v>7</v>
      </c>
      <c r="I91" s="73" t="s">
        <v>140</v>
      </c>
      <c r="J91" s="75" t="s">
        <v>480</v>
      </c>
      <c r="K91" s="73" t="s">
        <v>136</v>
      </c>
      <c r="L91" s="73" t="s">
        <v>84</v>
      </c>
      <c r="M91" s="75" t="s">
        <v>414</v>
      </c>
      <c r="N91" s="76"/>
      <c r="O91" s="73" t="s">
        <v>307</v>
      </c>
      <c r="P91" s="76" t="s">
        <v>535</v>
      </c>
    </row>
    <row r="92" customFormat="false" ht="15" hidden="false" customHeight="false" outlineLevel="0" collapsed="false">
      <c r="A92" s="73" t="s">
        <v>20</v>
      </c>
      <c r="B92" s="74" t="n">
        <v>46259</v>
      </c>
      <c r="C92" s="75" t="s">
        <v>67</v>
      </c>
      <c r="D92" s="73" t="s">
        <v>75</v>
      </c>
      <c r="E92" s="76" t="s">
        <v>167</v>
      </c>
      <c r="F92" s="73" t="s">
        <v>79</v>
      </c>
      <c r="G92" s="73" t="s">
        <v>118</v>
      </c>
      <c r="H92" s="73" t="s">
        <v>9</v>
      </c>
      <c r="I92" s="73" t="s">
        <v>140</v>
      </c>
      <c r="J92" s="75" t="s">
        <v>480</v>
      </c>
      <c r="K92" s="73" t="s">
        <v>137</v>
      </c>
      <c r="L92" s="73" t="s">
        <v>85</v>
      </c>
      <c r="M92" s="75" t="s">
        <v>414</v>
      </c>
      <c r="N92" s="76" t="s">
        <v>46</v>
      </c>
      <c r="O92" s="73" t="s">
        <v>307</v>
      </c>
      <c r="P92" s="77" t="s">
        <v>536</v>
      </c>
    </row>
    <row r="93" customFormat="false" ht="15" hidden="false" customHeight="false" outlineLevel="0" collapsed="false">
      <c r="A93" s="73" t="s">
        <v>19</v>
      </c>
      <c r="B93" s="74"/>
      <c r="C93" s="75" t="s">
        <v>414</v>
      </c>
      <c r="D93" s="73" t="s">
        <v>129</v>
      </c>
      <c r="E93" s="76" t="s">
        <v>240</v>
      </c>
      <c r="F93" s="73" t="s">
        <v>78</v>
      </c>
      <c r="G93" s="73" t="s">
        <v>119</v>
      </c>
      <c r="H93" s="73" t="s">
        <v>7</v>
      </c>
      <c r="I93" s="75" t="s">
        <v>414</v>
      </c>
      <c r="J93" s="75" t="s">
        <v>414</v>
      </c>
      <c r="K93" s="75" t="s">
        <v>414</v>
      </c>
      <c r="L93" s="75" t="s">
        <v>414</v>
      </c>
      <c r="M93" s="75" t="s">
        <v>414</v>
      </c>
      <c r="N93" s="76"/>
      <c r="O93" s="73" t="s">
        <v>129</v>
      </c>
      <c r="P93" s="76"/>
    </row>
    <row r="94" customFormat="false" ht="15" hidden="false" customHeight="false" outlineLevel="0" collapsed="false">
      <c r="A94" s="75" t="s">
        <v>414</v>
      </c>
      <c r="B94" s="74"/>
      <c r="C94" s="75" t="s">
        <v>414</v>
      </c>
      <c r="D94" s="75" t="s">
        <v>414</v>
      </c>
      <c r="E94" s="77" t="s">
        <v>414</v>
      </c>
      <c r="F94" s="75" t="s">
        <v>414</v>
      </c>
      <c r="G94" s="75" t="s">
        <v>414</v>
      </c>
      <c r="H94" s="75" t="s">
        <v>414</v>
      </c>
      <c r="I94" s="75" t="s">
        <v>414</v>
      </c>
      <c r="J94" s="75" t="s">
        <v>414</v>
      </c>
      <c r="K94" s="75" t="s">
        <v>414</v>
      </c>
      <c r="L94" s="75" t="s">
        <v>414</v>
      </c>
      <c r="M94" s="75" t="s">
        <v>414</v>
      </c>
      <c r="N94" s="76"/>
      <c r="O94" s="75" t="s">
        <v>414</v>
      </c>
      <c r="P94" s="76"/>
    </row>
    <row r="95" customFormat="false" ht="15" hidden="false" customHeight="false" outlineLevel="0" collapsed="false">
      <c r="A95" s="73" t="s">
        <v>20</v>
      </c>
      <c r="B95" s="74" t="n">
        <v>46260</v>
      </c>
      <c r="C95" s="75" t="s">
        <v>67</v>
      </c>
      <c r="D95" s="73" t="s">
        <v>131</v>
      </c>
      <c r="E95" s="76" t="s">
        <v>537</v>
      </c>
      <c r="F95" s="73" t="s">
        <v>78</v>
      </c>
      <c r="G95" s="73" t="s">
        <v>119</v>
      </c>
      <c r="H95" s="73" t="s">
        <v>8</v>
      </c>
      <c r="I95" s="73" t="s">
        <v>140</v>
      </c>
      <c r="J95" s="75" t="s">
        <v>424</v>
      </c>
      <c r="K95" s="73" t="s">
        <v>136</v>
      </c>
      <c r="L95" s="73" t="s">
        <v>84</v>
      </c>
      <c r="M95" s="75" t="s">
        <v>414</v>
      </c>
      <c r="N95" s="76"/>
      <c r="O95" s="73" t="s">
        <v>307</v>
      </c>
      <c r="P95" s="76" t="s">
        <v>538</v>
      </c>
    </row>
    <row r="96" customFormat="false" ht="15" hidden="false" customHeight="false" outlineLevel="0" collapsed="false">
      <c r="A96" s="73" t="s">
        <v>23</v>
      </c>
      <c r="B96" s="74" t="n">
        <v>46254</v>
      </c>
      <c r="C96" s="75" t="s">
        <v>66</v>
      </c>
      <c r="D96" s="73" t="s">
        <v>129</v>
      </c>
      <c r="E96" s="76" t="s">
        <v>539</v>
      </c>
      <c r="F96" s="73" t="s">
        <v>81</v>
      </c>
      <c r="G96" s="73" t="s">
        <v>119</v>
      </c>
      <c r="H96" s="73" t="s">
        <v>8</v>
      </c>
      <c r="I96" s="73" t="s">
        <v>139</v>
      </c>
      <c r="J96" s="75" t="s">
        <v>424</v>
      </c>
      <c r="K96" s="73" t="s">
        <v>135</v>
      </c>
      <c r="L96" s="73" t="s">
        <v>8</v>
      </c>
      <c r="M96" s="75" t="s">
        <v>414</v>
      </c>
      <c r="N96" s="76"/>
      <c r="O96" s="73" t="s">
        <v>129</v>
      </c>
      <c r="P96" s="76" t="s">
        <v>540</v>
      </c>
    </row>
    <row r="97" customFormat="false" ht="15" hidden="false" customHeight="false" outlineLevel="0" collapsed="false">
      <c r="A97" s="73" t="s">
        <v>23</v>
      </c>
      <c r="B97" s="74" t="n">
        <v>46253</v>
      </c>
      <c r="C97" s="75" t="s">
        <v>66</v>
      </c>
      <c r="D97" s="73" t="s">
        <v>129</v>
      </c>
      <c r="E97" s="76" t="s">
        <v>169</v>
      </c>
      <c r="F97" s="73" t="s">
        <v>78</v>
      </c>
      <c r="G97" s="73" t="s">
        <v>117</v>
      </c>
      <c r="H97" s="73" t="s">
        <v>9</v>
      </c>
      <c r="I97" s="73" t="s">
        <v>139</v>
      </c>
      <c r="J97" s="75" t="s">
        <v>414</v>
      </c>
      <c r="K97" s="73" t="s">
        <v>136</v>
      </c>
      <c r="L97" s="73" t="s">
        <v>84</v>
      </c>
      <c r="M97" s="75" t="s">
        <v>414</v>
      </c>
      <c r="N97" s="76" t="s">
        <v>38</v>
      </c>
      <c r="O97" s="73" t="s">
        <v>129</v>
      </c>
      <c r="P97" s="76" t="s">
        <v>170</v>
      </c>
    </row>
    <row r="98" customFormat="false" ht="15" hidden="false" customHeight="false" outlineLevel="0" collapsed="false">
      <c r="A98" s="73" t="s">
        <v>23</v>
      </c>
      <c r="B98" s="74" t="n">
        <v>46253</v>
      </c>
      <c r="C98" s="75" t="s">
        <v>66</v>
      </c>
      <c r="D98" s="73" t="s">
        <v>129</v>
      </c>
      <c r="E98" s="76" t="s">
        <v>169</v>
      </c>
      <c r="F98" s="73" t="s">
        <v>79</v>
      </c>
      <c r="G98" s="73" t="s">
        <v>119</v>
      </c>
      <c r="H98" s="73" t="s">
        <v>7</v>
      </c>
      <c r="I98" s="73" t="s">
        <v>140</v>
      </c>
      <c r="J98" s="75" t="s">
        <v>467</v>
      </c>
      <c r="K98" s="73" t="s">
        <v>137</v>
      </c>
      <c r="L98" s="73" t="s">
        <v>84</v>
      </c>
      <c r="M98" s="75" t="s">
        <v>414</v>
      </c>
      <c r="N98" s="76"/>
      <c r="O98" s="73" t="s">
        <v>129</v>
      </c>
      <c r="P98" s="76" t="s">
        <v>541</v>
      </c>
    </row>
    <row r="99" customFormat="false" ht="15" hidden="false" customHeight="false" outlineLevel="0" collapsed="false">
      <c r="A99" s="73" t="s">
        <v>23</v>
      </c>
      <c r="B99" s="74" t="n">
        <v>46253</v>
      </c>
      <c r="C99" s="75" t="s">
        <v>66</v>
      </c>
      <c r="D99" s="73" t="s">
        <v>129</v>
      </c>
      <c r="E99" s="76" t="s">
        <v>169</v>
      </c>
      <c r="F99" s="73" t="s">
        <v>81</v>
      </c>
      <c r="G99" s="73" t="s">
        <v>117</v>
      </c>
      <c r="H99" s="73" t="s">
        <v>9</v>
      </c>
      <c r="I99" s="73" t="s">
        <v>139</v>
      </c>
      <c r="J99" s="75" t="s">
        <v>469</v>
      </c>
      <c r="K99" s="73" t="s">
        <v>137</v>
      </c>
      <c r="L99" s="73" t="s">
        <v>84</v>
      </c>
      <c r="M99" s="75" t="s">
        <v>414</v>
      </c>
      <c r="N99" s="76" t="s">
        <v>38</v>
      </c>
      <c r="O99" s="73" t="s">
        <v>129</v>
      </c>
      <c r="P99" s="76"/>
    </row>
    <row r="100" customFormat="false" ht="15" hidden="false" customHeight="false" outlineLevel="0" collapsed="false">
      <c r="A100" s="73" t="s">
        <v>23</v>
      </c>
      <c r="B100" s="74" t="n">
        <v>46253</v>
      </c>
      <c r="C100" s="75" t="s">
        <v>66</v>
      </c>
      <c r="D100" s="73" t="s">
        <v>129</v>
      </c>
      <c r="E100" s="76" t="s">
        <v>169</v>
      </c>
      <c r="F100" s="73" t="s">
        <v>124</v>
      </c>
      <c r="G100" s="73" t="s">
        <v>119</v>
      </c>
      <c r="H100" s="73" t="s">
        <v>7</v>
      </c>
      <c r="I100" s="73" t="s">
        <v>140</v>
      </c>
      <c r="J100" s="75" t="s">
        <v>480</v>
      </c>
      <c r="K100" s="73" t="s">
        <v>136</v>
      </c>
      <c r="L100" s="73" t="s">
        <v>84</v>
      </c>
      <c r="M100" s="73" t="s">
        <v>425</v>
      </c>
      <c r="N100" s="76"/>
      <c r="O100" s="73" t="s">
        <v>129</v>
      </c>
      <c r="P100" s="76" t="s">
        <v>542</v>
      </c>
    </row>
    <row r="101" customFormat="false" ht="15" hidden="false" customHeight="false" outlineLevel="0" collapsed="false">
      <c r="A101" s="73" t="s">
        <v>23</v>
      </c>
      <c r="B101" s="74" t="n">
        <v>46253</v>
      </c>
      <c r="C101" s="75" t="s">
        <v>66</v>
      </c>
      <c r="D101" s="73" t="s">
        <v>129</v>
      </c>
      <c r="E101" s="76" t="s">
        <v>171</v>
      </c>
      <c r="F101" s="73" t="s">
        <v>78</v>
      </c>
      <c r="G101" s="73" t="s">
        <v>119</v>
      </c>
      <c r="H101" s="73" t="s">
        <v>7</v>
      </c>
      <c r="I101" s="75" t="s">
        <v>414</v>
      </c>
      <c r="J101" s="75" t="s">
        <v>414</v>
      </c>
      <c r="K101" s="75" t="s">
        <v>414</v>
      </c>
      <c r="L101" s="75" t="s">
        <v>414</v>
      </c>
      <c r="M101" s="75" t="s">
        <v>414</v>
      </c>
      <c r="N101" s="76"/>
      <c r="O101" s="73" t="s">
        <v>129</v>
      </c>
      <c r="P101" s="76" t="s">
        <v>543</v>
      </c>
    </row>
    <row r="102" customFormat="false" ht="15" hidden="false" customHeight="false" outlineLevel="0" collapsed="false">
      <c r="A102" s="73" t="s">
        <v>23</v>
      </c>
      <c r="B102" s="74" t="n">
        <v>46253</v>
      </c>
      <c r="C102" s="75" t="s">
        <v>66</v>
      </c>
      <c r="D102" s="73" t="s">
        <v>129</v>
      </c>
      <c r="E102" s="76" t="s">
        <v>171</v>
      </c>
      <c r="F102" s="73" t="s">
        <v>81</v>
      </c>
      <c r="G102" s="73" t="s">
        <v>117</v>
      </c>
      <c r="H102" s="73" t="s">
        <v>9</v>
      </c>
      <c r="I102" s="73" t="s">
        <v>139</v>
      </c>
      <c r="J102" s="75" t="s">
        <v>414</v>
      </c>
      <c r="K102" s="75" t="s">
        <v>414</v>
      </c>
      <c r="L102" s="73" t="s">
        <v>84</v>
      </c>
      <c r="M102" s="75" t="s">
        <v>414</v>
      </c>
      <c r="N102" s="76" t="s">
        <v>38</v>
      </c>
      <c r="O102" s="73" t="s">
        <v>129</v>
      </c>
      <c r="P102" s="76" t="s">
        <v>172</v>
      </c>
    </row>
    <row r="103" customFormat="false" ht="15" hidden="false" customHeight="false" outlineLevel="0" collapsed="false">
      <c r="A103" s="73" t="s">
        <v>23</v>
      </c>
      <c r="B103" s="74" t="n">
        <v>46253</v>
      </c>
      <c r="C103" s="75" t="s">
        <v>66</v>
      </c>
      <c r="D103" s="73" t="s">
        <v>129</v>
      </c>
      <c r="E103" s="76" t="s">
        <v>171</v>
      </c>
      <c r="F103" s="73" t="s">
        <v>79</v>
      </c>
      <c r="G103" s="73" t="s">
        <v>120</v>
      </c>
      <c r="H103" s="73" t="s">
        <v>7</v>
      </c>
      <c r="I103" s="75" t="s">
        <v>414</v>
      </c>
      <c r="J103" s="75" t="s">
        <v>414</v>
      </c>
      <c r="K103" s="75" t="s">
        <v>414</v>
      </c>
      <c r="L103" s="75" t="s">
        <v>414</v>
      </c>
      <c r="M103" s="75" t="s">
        <v>414</v>
      </c>
      <c r="N103" s="76"/>
      <c r="O103" s="73" t="s">
        <v>129</v>
      </c>
      <c r="P103" s="76"/>
    </row>
    <row r="104" customFormat="false" ht="15" hidden="false" customHeight="false" outlineLevel="0" collapsed="false">
      <c r="A104" s="73" t="s">
        <v>23</v>
      </c>
      <c r="B104" s="74" t="n">
        <v>46253</v>
      </c>
      <c r="C104" s="75" t="s">
        <v>66</v>
      </c>
      <c r="D104" s="73" t="s">
        <v>129</v>
      </c>
      <c r="E104" s="76" t="s">
        <v>171</v>
      </c>
      <c r="F104" s="73" t="s">
        <v>82</v>
      </c>
      <c r="G104" s="73" t="s">
        <v>119</v>
      </c>
      <c r="H104" s="73" t="s">
        <v>7</v>
      </c>
      <c r="I104" s="75" t="s">
        <v>414</v>
      </c>
      <c r="J104" s="75" t="s">
        <v>414</v>
      </c>
      <c r="K104" s="75" t="s">
        <v>414</v>
      </c>
      <c r="L104" s="75" t="s">
        <v>414</v>
      </c>
      <c r="M104" s="75" t="s">
        <v>414</v>
      </c>
      <c r="N104" s="76"/>
      <c r="O104" s="73" t="s">
        <v>129</v>
      </c>
      <c r="P104" s="76" t="s">
        <v>544</v>
      </c>
    </row>
    <row r="105" customFormat="false" ht="15" hidden="false" customHeight="false" outlineLevel="0" collapsed="false">
      <c r="A105" s="73" t="s">
        <v>23</v>
      </c>
      <c r="B105" s="74" t="n">
        <v>46253</v>
      </c>
      <c r="C105" s="75" t="s">
        <v>66</v>
      </c>
      <c r="D105" s="73" t="s">
        <v>129</v>
      </c>
      <c r="E105" s="76" t="s">
        <v>545</v>
      </c>
      <c r="F105" s="73" t="s">
        <v>78</v>
      </c>
      <c r="G105" s="73" t="s">
        <v>119</v>
      </c>
      <c r="H105" s="73" t="s">
        <v>7</v>
      </c>
      <c r="I105" s="73" t="s">
        <v>140</v>
      </c>
      <c r="J105" s="75" t="s">
        <v>424</v>
      </c>
      <c r="K105" s="73" t="s">
        <v>136</v>
      </c>
      <c r="L105" s="75" t="s">
        <v>414</v>
      </c>
      <c r="M105" s="75" t="s">
        <v>414</v>
      </c>
      <c r="N105" s="76"/>
      <c r="O105" s="73" t="s">
        <v>129</v>
      </c>
      <c r="P105" s="76" t="s">
        <v>546</v>
      </c>
    </row>
    <row r="106" customFormat="false" ht="15" hidden="false" customHeight="false" outlineLevel="0" collapsed="false">
      <c r="A106" s="73" t="s">
        <v>23</v>
      </c>
      <c r="B106" s="74" t="n">
        <v>46253</v>
      </c>
      <c r="C106" s="75" t="s">
        <v>66</v>
      </c>
      <c r="D106" s="73" t="s">
        <v>129</v>
      </c>
      <c r="E106" s="76" t="s">
        <v>545</v>
      </c>
      <c r="F106" s="73" t="s">
        <v>79</v>
      </c>
      <c r="G106" s="73" t="s">
        <v>119</v>
      </c>
      <c r="H106" s="73" t="s">
        <v>7</v>
      </c>
      <c r="I106" s="73" t="s">
        <v>140</v>
      </c>
      <c r="J106" s="75" t="s">
        <v>414</v>
      </c>
      <c r="K106" s="73" t="s">
        <v>137</v>
      </c>
      <c r="L106" s="73" t="s">
        <v>84</v>
      </c>
      <c r="M106" s="75" t="s">
        <v>414</v>
      </c>
      <c r="N106" s="76"/>
      <c r="O106" s="73" t="s">
        <v>129</v>
      </c>
      <c r="P106" s="76" t="s">
        <v>547</v>
      </c>
    </row>
    <row r="107" customFormat="false" ht="15" hidden="false" customHeight="false" outlineLevel="0" collapsed="false">
      <c r="A107" s="73" t="s">
        <v>23</v>
      </c>
      <c r="B107" s="74" t="n">
        <v>46253</v>
      </c>
      <c r="C107" s="75" t="s">
        <v>66</v>
      </c>
      <c r="D107" s="73" t="s">
        <v>129</v>
      </c>
      <c r="E107" s="76" t="s">
        <v>548</v>
      </c>
      <c r="F107" s="73" t="s">
        <v>78</v>
      </c>
      <c r="G107" s="73" t="s">
        <v>119</v>
      </c>
      <c r="H107" s="73" t="s">
        <v>7</v>
      </c>
      <c r="I107" s="73" t="s">
        <v>140</v>
      </c>
      <c r="J107" s="75" t="s">
        <v>458</v>
      </c>
      <c r="K107" s="73" t="s">
        <v>136</v>
      </c>
      <c r="L107" s="73" t="s">
        <v>84</v>
      </c>
      <c r="M107" s="75" t="s">
        <v>414</v>
      </c>
      <c r="N107" s="76"/>
      <c r="O107" s="73" t="s">
        <v>129</v>
      </c>
      <c r="P107" s="76" t="s">
        <v>549</v>
      </c>
    </row>
    <row r="108" customFormat="false" ht="15" hidden="false" customHeight="false" outlineLevel="0" collapsed="false">
      <c r="A108" s="73" t="s">
        <v>23</v>
      </c>
      <c r="B108" s="74" t="n">
        <v>46253</v>
      </c>
      <c r="C108" s="75" t="s">
        <v>66</v>
      </c>
      <c r="D108" s="73" t="s">
        <v>129</v>
      </c>
      <c r="E108" s="76" t="s">
        <v>548</v>
      </c>
      <c r="F108" s="73" t="s">
        <v>81</v>
      </c>
      <c r="G108" s="73" t="s">
        <v>119</v>
      </c>
      <c r="H108" s="73" t="s">
        <v>7</v>
      </c>
      <c r="I108" s="75" t="s">
        <v>414</v>
      </c>
      <c r="J108" s="75" t="s">
        <v>458</v>
      </c>
      <c r="K108" s="73" t="s">
        <v>135</v>
      </c>
      <c r="L108" s="73" t="s">
        <v>84</v>
      </c>
      <c r="M108" s="75" t="s">
        <v>414</v>
      </c>
      <c r="N108" s="76"/>
      <c r="O108" s="73" t="s">
        <v>129</v>
      </c>
      <c r="P108" s="76" t="s">
        <v>550</v>
      </c>
    </row>
    <row r="109" customFormat="false" ht="15" hidden="false" customHeight="false" outlineLevel="0" collapsed="false">
      <c r="A109" s="73" t="s">
        <v>23</v>
      </c>
      <c r="B109" s="74" t="n">
        <v>46253</v>
      </c>
      <c r="C109" s="75" t="s">
        <v>66</v>
      </c>
      <c r="D109" s="73" t="s">
        <v>129</v>
      </c>
      <c r="E109" s="76" t="s">
        <v>548</v>
      </c>
      <c r="F109" s="73" t="s">
        <v>79</v>
      </c>
      <c r="G109" s="73" t="s">
        <v>119</v>
      </c>
      <c r="H109" s="73" t="s">
        <v>7</v>
      </c>
      <c r="I109" s="73" t="s">
        <v>140</v>
      </c>
      <c r="J109" s="75" t="s">
        <v>467</v>
      </c>
      <c r="K109" s="73" t="s">
        <v>137</v>
      </c>
      <c r="L109" s="73" t="s">
        <v>84</v>
      </c>
      <c r="M109" s="73" t="s">
        <v>454</v>
      </c>
      <c r="N109" s="76"/>
      <c r="O109" s="73" t="s">
        <v>129</v>
      </c>
      <c r="P109" s="76" t="s">
        <v>551</v>
      </c>
    </row>
    <row r="110" customFormat="false" ht="15" hidden="false" customHeight="false" outlineLevel="0" collapsed="false">
      <c r="A110" s="73" t="s">
        <v>23</v>
      </c>
      <c r="B110" s="74" t="n">
        <v>46253</v>
      </c>
      <c r="C110" s="75" t="s">
        <v>66</v>
      </c>
      <c r="D110" s="73" t="s">
        <v>129</v>
      </c>
      <c r="E110" s="76" t="s">
        <v>548</v>
      </c>
      <c r="F110" s="73" t="s">
        <v>82</v>
      </c>
      <c r="G110" s="73" t="s">
        <v>119</v>
      </c>
      <c r="H110" s="73" t="s">
        <v>7</v>
      </c>
      <c r="I110" s="75" t="s">
        <v>414</v>
      </c>
      <c r="J110" s="75" t="s">
        <v>552</v>
      </c>
      <c r="K110" s="75" t="s">
        <v>414</v>
      </c>
      <c r="L110" s="75" t="s">
        <v>414</v>
      </c>
      <c r="M110" s="75" t="s">
        <v>414</v>
      </c>
      <c r="N110" s="76"/>
      <c r="O110" s="73" t="s">
        <v>129</v>
      </c>
      <c r="P110" s="76" t="s">
        <v>553</v>
      </c>
    </row>
    <row r="111" customFormat="false" ht="15" hidden="false" customHeight="false" outlineLevel="0" collapsed="false">
      <c r="A111" s="73" t="s">
        <v>23</v>
      </c>
      <c r="B111" s="74" t="n">
        <v>46254</v>
      </c>
      <c r="C111" s="75" t="s">
        <v>66</v>
      </c>
      <c r="D111" s="73" t="s">
        <v>129</v>
      </c>
      <c r="E111" s="76" t="s">
        <v>173</v>
      </c>
      <c r="F111" s="73" t="s">
        <v>125</v>
      </c>
      <c r="G111" s="73" t="s">
        <v>119</v>
      </c>
      <c r="H111" s="73" t="s">
        <v>9</v>
      </c>
      <c r="I111" s="73" t="s">
        <v>139</v>
      </c>
      <c r="J111" s="75" t="s">
        <v>490</v>
      </c>
      <c r="K111" s="73" t="s">
        <v>137</v>
      </c>
      <c r="L111" s="73" t="s">
        <v>84</v>
      </c>
      <c r="M111" s="75" t="s">
        <v>414</v>
      </c>
      <c r="N111" s="76" t="s">
        <v>40</v>
      </c>
      <c r="O111" s="73" t="s">
        <v>129</v>
      </c>
      <c r="P111" s="76" t="s">
        <v>174</v>
      </c>
    </row>
    <row r="112" customFormat="false" ht="15" hidden="false" customHeight="false" outlineLevel="0" collapsed="false">
      <c r="A112" s="73" t="s">
        <v>23</v>
      </c>
      <c r="B112" s="74" t="n">
        <v>46254</v>
      </c>
      <c r="C112" s="75" t="s">
        <v>66</v>
      </c>
      <c r="D112" s="73" t="s">
        <v>129</v>
      </c>
      <c r="E112" s="76" t="s">
        <v>173</v>
      </c>
      <c r="F112" s="73" t="s">
        <v>79</v>
      </c>
      <c r="G112" s="73" t="s">
        <v>119</v>
      </c>
      <c r="H112" s="73" t="s">
        <v>7</v>
      </c>
      <c r="I112" s="75" t="s">
        <v>414</v>
      </c>
      <c r="J112" s="75" t="s">
        <v>467</v>
      </c>
      <c r="K112" s="73" t="s">
        <v>137</v>
      </c>
      <c r="L112" s="75" t="s">
        <v>414</v>
      </c>
      <c r="M112" s="75" t="s">
        <v>414</v>
      </c>
      <c r="N112" s="76"/>
      <c r="O112" s="73" t="s">
        <v>129</v>
      </c>
      <c r="P112" s="76" t="s">
        <v>554</v>
      </c>
    </row>
    <row r="113" customFormat="false" ht="15" hidden="false" customHeight="false" outlineLevel="0" collapsed="false">
      <c r="A113" s="73" t="s">
        <v>23</v>
      </c>
      <c r="B113" s="74" t="n">
        <v>46254</v>
      </c>
      <c r="C113" s="75" t="s">
        <v>66</v>
      </c>
      <c r="D113" s="73" t="s">
        <v>129</v>
      </c>
      <c r="E113" s="76" t="s">
        <v>555</v>
      </c>
      <c r="F113" s="73" t="s">
        <v>79</v>
      </c>
      <c r="G113" s="73" t="s">
        <v>8</v>
      </c>
      <c r="H113" s="73" t="s">
        <v>8</v>
      </c>
      <c r="I113" s="73" t="s">
        <v>140</v>
      </c>
      <c r="J113" s="75" t="s">
        <v>424</v>
      </c>
      <c r="K113" s="73" t="s">
        <v>135</v>
      </c>
      <c r="L113" s="73" t="s">
        <v>85</v>
      </c>
      <c r="M113" s="73" t="s">
        <v>425</v>
      </c>
      <c r="N113" s="76"/>
      <c r="O113" s="73" t="s">
        <v>129</v>
      </c>
      <c r="P113" s="76" t="s">
        <v>556</v>
      </c>
    </row>
    <row r="114" customFormat="false" ht="15" hidden="false" customHeight="false" outlineLevel="0" collapsed="false">
      <c r="A114" s="73" t="s">
        <v>23</v>
      </c>
      <c r="B114" s="74"/>
      <c r="C114" s="75" t="s">
        <v>414</v>
      </c>
      <c r="D114" s="73" t="s">
        <v>129</v>
      </c>
      <c r="E114" s="76" t="s">
        <v>173</v>
      </c>
      <c r="F114" s="73" t="s">
        <v>80</v>
      </c>
      <c r="G114" s="73" t="s">
        <v>120</v>
      </c>
      <c r="H114" s="73" t="s">
        <v>7</v>
      </c>
      <c r="I114" s="75" t="s">
        <v>414</v>
      </c>
      <c r="J114" s="75" t="s">
        <v>414</v>
      </c>
      <c r="K114" s="75" t="s">
        <v>414</v>
      </c>
      <c r="L114" s="75" t="s">
        <v>414</v>
      </c>
      <c r="M114" s="75" t="s">
        <v>414</v>
      </c>
      <c r="N114" s="76"/>
      <c r="O114" s="73" t="s">
        <v>129</v>
      </c>
      <c r="P114" s="76"/>
    </row>
    <row r="115" customFormat="false" ht="15" hidden="false" customHeight="false" outlineLevel="0" collapsed="false">
      <c r="A115" s="73" t="s">
        <v>23</v>
      </c>
      <c r="B115" s="74" t="n">
        <v>46254</v>
      </c>
      <c r="C115" s="75" t="s">
        <v>66</v>
      </c>
      <c r="D115" s="73" t="s">
        <v>129</v>
      </c>
      <c r="E115" s="76" t="s">
        <v>539</v>
      </c>
      <c r="F115" s="73" t="s">
        <v>78</v>
      </c>
      <c r="G115" s="73" t="s">
        <v>119</v>
      </c>
      <c r="H115" s="73" t="s">
        <v>7</v>
      </c>
      <c r="I115" s="75" t="s">
        <v>414</v>
      </c>
      <c r="J115" s="75" t="s">
        <v>414</v>
      </c>
      <c r="K115" s="75" t="s">
        <v>414</v>
      </c>
      <c r="L115" s="75" t="s">
        <v>414</v>
      </c>
      <c r="M115" s="75" t="s">
        <v>414</v>
      </c>
      <c r="N115" s="76"/>
      <c r="O115" s="73" t="s">
        <v>129</v>
      </c>
      <c r="P115" s="76" t="s">
        <v>557</v>
      </c>
    </row>
    <row r="116" customFormat="false" ht="15" hidden="false" customHeight="false" outlineLevel="0" collapsed="false">
      <c r="A116" s="73" t="s">
        <v>23</v>
      </c>
      <c r="B116" s="74" t="n">
        <v>46254</v>
      </c>
      <c r="C116" s="75" t="s">
        <v>66</v>
      </c>
      <c r="D116" s="73" t="s">
        <v>129</v>
      </c>
      <c r="E116" s="76" t="s">
        <v>539</v>
      </c>
      <c r="F116" s="73" t="s">
        <v>79</v>
      </c>
      <c r="G116" s="73" t="s">
        <v>119</v>
      </c>
      <c r="H116" s="73" t="s">
        <v>7</v>
      </c>
      <c r="I116" s="73" t="s">
        <v>140</v>
      </c>
      <c r="J116" s="75" t="s">
        <v>467</v>
      </c>
      <c r="K116" s="73" t="s">
        <v>137</v>
      </c>
      <c r="L116" s="73" t="s">
        <v>84</v>
      </c>
      <c r="M116" s="75" t="s">
        <v>414</v>
      </c>
      <c r="N116" s="76"/>
      <c r="O116" s="73" t="s">
        <v>129</v>
      </c>
      <c r="P116" s="76" t="s">
        <v>558</v>
      </c>
    </row>
    <row r="117" customFormat="false" ht="15" hidden="false" customHeight="false" outlineLevel="0" collapsed="false">
      <c r="A117" s="73" t="s">
        <v>23</v>
      </c>
      <c r="B117" s="74" t="n">
        <v>46254</v>
      </c>
      <c r="C117" s="75" t="s">
        <v>66</v>
      </c>
      <c r="D117" s="73" t="s">
        <v>129</v>
      </c>
      <c r="E117" s="76" t="s">
        <v>539</v>
      </c>
      <c r="F117" s="73" t="s">
        <v>124</v>
      </c>
      <c r="G117" s="73" t="s">
        <v>120</v>
      </c>
      <c r="H117" s="73" t="s">
        <v>7</v>
      </c>
      <c r="I117" s="75" t="s">
        <v>414</v>
      </c>
      <c r="J117" s="75" t="s">
        <v>414</v>
      </c>
      <c r="K117" s="75" t="s">
        <v>414</v>
      </c>
      <c r="L117" s="75" t="s">
        <v>414</v>
      </c>
      <c r="M117" s="75" t="s">
        <v>414</v>
      </c>
      <c r="N117" s="76"/>
      <c r="O117" s="73" t="s">
        <v>129</v>
      </c>
      <c r="P117" s="76"/>
    </row>
    <row r="118" customFormat="false" ht="15" hidden="false" customHeight="false" outlineLevel="0" collapsed="false">
      <c r="A118" s="73" t="s">
        <v>23</v>
      </c>
      <c r="B118" s="74" t="n">
        <v>46255</v>
      </c>
      <c r="C118" s="75" t="s">
        <v>66</v>
      </c>
      <c r="D118" s="73" t="s">
        <v>129</v>
      </c>
      <c r="E118" s="76" t="s">
        <v>559</v>
      </c>
      <c r="F118" s="73" t="s">
        <v>79</v>
      </c>
      <c r="G118" s="73" t="s">
        <v>119</v>
      </c>
      <c r="H118" s="73" t="s">
        <v>8</v>
      </c>
      <c r="I118" s="73" t="s">
        <v>140</v>
      </c>
      <c r="J118" s="75" t="s">
        <v>424</v>
      </c>
      <c r="K118" s="73" t="s">
        <v>135</v>
      </c>
      <c r="L118" s="73" t="s">
        <v>85</v>
      </c>
      <c r="M118" s="75" t="s">
        <v>414</v>
      </c>
      <c r="N118" s="76"/>
      <c r="O118" s="73" t="s">
        <v>129</v>
      </c>
      <c r="P118" s="76" t="s">
        <v>560</v>
      </c>
    </row>
    <row r="119" customFormat="false" ht="15" hidden="false" customHeight="false" outlineLevel="0" collapsed="false">
      <c r="A119" s="73" t="s">
        <v>23</v>
      </c>
      <c r="B119" s="74" t="n">
        <v>46255</v>
      </c>
      <c r="C119" s="75" t="s">
        <v>66</v>
      </c>
      <c r="D119" s="73" t="s">
        <v>129</v>
      </c>
      <c r="E119" s="76" t="s">
        <v>561</v>
      </c>
      <c r="F119" s="73" t="s">
        <v>78</v>
      </c>
      <c r="G119" s="73" t="s">
        <v>120</v>
      </c>
      <c r="H119" s="73" t="s">
        <v>7</v>
      </c>
      <c r="I119" s="75" t="s">
        <v>414</v>
      </c>
      <c r="J119" s="75" t="s">
        <v>414</v>
      </c>
      <c r="K119" s="75" t="s">
        <v>414</v>
      </c>
      <c r="L119" s="75" t="s">
        <v>414</v>
      </c>
      <c r="M119" s="75" t="s">
        <v>414</v>
      </c>
      <c r="N119" s="76"/>
      <c r="O119" s="73" t="s">
        <v>129</v>
      </c>
      <c r="P119" s="76" t="s">
        <v>562</v>
      </c>
    </row>
    <row r="120" customFormat="false" ht="15" hidden="false" customHeight="false" outlineLevel="0" collapsed="false">
      <c r="A120" s="73" t="s">
        <v>27</v>
      </c>
      <c r="B120" s="74" t="n">
        <v>46260</v>
      </c>
      <c r="C120" s="75" t="s">
        <v>67</v>
      </c>
      <c r="D120" s="73" t="s">
        <v>129</v>
      </c>
      <c r="E120" s="76" t="s">
        <v>563</v>
      </c>
      <c r="F120" s="73" t="s">
        <v>124</v>
      </c>
      <c r="G120" s="73" t="s">
        <v>119</v>
      </c>
      <c r="H120" s="73" t="s">
        <v>7</v>
      </c>
      <c r="I120" s="75" t="s">
        <v>414</v>
      </c>
      <c r="J120" s="75" t="s">
        <v>480</v>
      </c>
      <c r="K120" s="73" t="s">
        <v>135</v>
      </c>
      <c r="L120" s="73" t="s">
        <v>84</v>
      </c>
      <c r="M120" s="75" t="s">
        <v>414</v>
      </c>
      <c r="N120" s="76"/>
      <c r="O120" s="73" t="s">
        <v>129</v>
      </c>
      <c r="P120" s="76" t="s">
        <v>564</v>
      </c>
    </row>
    <row r="121" customFormat="false" ht="15" hidden="false" customHeight="false" outlineLevel="0" collapsed="false">
      <c r="A121" s="73" t="s">
        <v>21</v>
      </c>
      <c r="B121" s="74" t="n">
        <v>46252</v>
      </c>
      <c r="C121" s="75" t="s">
        <v>66</v>
      </c>
      <c r="D121" s="73" t="s">
        <v>129</v>
      </c>
      <c r="E121" s="76" t="s">
        <v>259</v>
      </c>
      <c r="F121" s="73" t="s">
        <v>78</v>
      </c>
      <c r="G121" s="73" t="s">
        <v>119</v>
      </c>
      <c r="H121" s="73" t="s">
        <v>8</v>
      </c>
      <c r="I121" s="75" t="s">
        <v>414</v>
      </c>
      <c r="J121" s="75" t="s">
        <v>414</v>
      </c>
      <c r="K121" s="75" t="s">
        <v>414</v>
      </c>
      <c r="L121" s="75" t="s">
        <v>414</v>
      </c>
      <c r="M121" s="75" t="s">
        <v>414</v>
      </c>
      <c r="N121" s="76"/>
      <c r="O121" s="73" t="s">
        <v>129</v>
      </c>
      <c r="P121" s="76" t="s">
        <v>565</v>
      </c>
    </row>
    <row r="122" customFormat="false" ht="15" hidden="false" customHeight="false" outlineLevel="0" collapsed="false">
      <c r="A122" s="73" t="s">
        <v>21</v>
      </c>
      <c r="B122" s="74" t="n">
        <v>46252</v>
      </c>
      <c r="C122" s="75" t="s">
        <v>66</v>
      </c>
      <c r="D122" s="73" t="s">
        <v>129</v>
      </c>
      <c r="E122" s="76" t="s">
        <v>259</v>
      </c>
      <c r="F122" s="73" t="s">
        <v>81</v>
      </c>
      <c r="G122" s="73" t="s">
        <v>119</v>
      </c>
      <c r="H122" s="73" t="s">
        <v>8</v>
      </c>
      <c r="I122" s="75" t="s">
        <v>414</v>
      </c>
      <c r="J122" s="75" t="s">
        <v>414</v>
      </c>
      <c r="K122" s="75" t="s">
        <v>414</v>
      </c>
      <c r="L122" s="75" t="s">
        <v>414</v>
      </c>
      <c r="M122" s="75" t="s">
        <v>414</v>
      </c>
      <c r="N122" s="76"/>
      <c r="O122" s="73" t="s">
        <v>129</v>
      </c>
      <c r="P122" s="76" t="s">
        <v>566</v>
      </c>
    </row>
    <row r="123" customFormat="false" ht="15" hidden="false" customHeight="false" outlineLevel="0" collapsed="false">
      <c r="A123" s="73" t="s">
        <v>21</v>
      </c>
      <c r="B123" s="74" t="n">
        <v>46248</v>
      </c>
      <c r="C123" s="75" t="s">
        <v>65</v>
      </c>
      <c r="D123" s="73" t="s">
        <v>129</v>
      </c>
      <c r="E123" s="76" t="s">
        <v>567</v>
      </c>
      <c r="F123" s="73" t="s">
        <v>80</v>
      </c>
      <c r="G123" s="73" t="s">
        <v>8</v>
      </c>
      <c r="H123" s="73" t="s">
        <v>7</v>
      </c>
      <c r="I123" s="75" t="s">
        <v>414</v>
      </c>
      <c r="J123" s="75" t="s">
        <v>414</v>
      </c>
      <c r="K123" s="75" t="s">
        <v>414</v>
      </c>
      <c r="L123" s="73" t="s">
        <v>86</v>
      </c>
      <c r="M123" s="75" t="s">
        <v>414</v>
      </c>
      <c r="N123" s="76"/>
      <c r="O123" s="73" t="s">
        <v>129</v>
      </c>
      <c r="P123" s="76" t="s">
        <v>568</v>
      </c>
    </row>
    <row r="124" customFormat="false" ht="15" hidden="false" customHeight="false" outlineLevel="0" collapsed="false">
      <c r="A124" s="73" t="s">
        <v>21</v>
      </c>
      <c r="B124" s="74" t="n">
        <v>46248</v>
      </c>
      <c r="C124" s="75" t="s">
        <v>65</v>
      </c>
      <c r="D124" s="73" t="s">
        <v>129</v>
      </c>
      <c r="E124" s="76" t="s">
        <v>569</v>
      </c>
      <c r="F124" s="73" t="s">
        <v>80</v>
      </c>
      <c r="G124" s="73" t="s">
        <v>8</v>
      </c>
      <c r="H124" s="73" t="s">
        <v>7</v>
      </c>
      <c r="I124" s="75" t="s">
        <v>414</v>
      </c>
      <c r="J124" s="75" t="s">
        <v>414</v>
      </c>
      <c r="K124" s="75" t="s">
        <v>414</v>
      </c>
      <c r="L124" s="73" t="s">
        <v>86</v>
      </c>
      <c r="M124" s="75" t="s">
        <v>414</v>
      </c>
      <c r="N124" s="76"/>
      <c r="O124" s="73" t="s">
        <v>129</v>
      </c>
      <c r="P124" s="76" t="s">
        <v>570</v>
      </c>
    </row>
    <row r="125" customFormat="false" ht="15" hidden="false" customHeight="false" outlineLevel="0" collapsed="false">
      <c r="A125" s="73" t="s">
        <v>21</v>
      </c>
      <c r="B125" s="74" t="n">
        <v>46248</v>
      </c>
      <c r="C125" s="75" t="s">
        <v>65</v>
      </c>
      <c r="D125" s="73" t="s">
        <v>129</v>
      </c>
      <c r="E125" s="76" t="s">
        <v>571</v>
      </c>
      <c r="F125" s="73" t="s">
        <v>80</v>
      </c>
      <c r="G125" s="73" t="s">
        <v>8</v>
      </c>
      <c r="H125" s="73" t="s">
        <v>7</v>
      </c>
      <c r="I125" s="75" t="s">
        <v>414</v>
      </c>
      <c r="J125" s="75" t="s">
        <v>414</v>
      </c>
      <c r="K125" s="75" t="s">
        <v>414</v>
      </c>
      <c r="L125" s="73" t="s">
        <v>86</v>
      </c>
      <c r="M125" s="75" t="s">
        <v>414</v>
      </c>
      <c r="N125" s="76"/>
      <c r="O125" s="73" t="s">
        <v>129</v>
      </c>
      <c r="P125" s="76" t="s">
        <v>572</v>
      </c>
    </row>
    <row r="126" customFormat="false" ht="15" hidden="false" customHeight="false" outlineLevel="0" collapsed="false">
      <c r="A126" s="73" t="s">
        <v>21</v>
      </c>
      <c r="B126" s="74" t="n">
        <v>46238</v>
      </c>
      <c r="C126" s="75" t="s">
        <v>64</v>
      </c>
      <c r="D126" s="73" t="s">
        <v>129</v>
      </c>
      <c r="E126" s="76" t="s">
        <v>573</v>
      </c>
      <c r="F126" s="73" t="s">
        <v>80</v>
      </c>
      <c r="G126" s="73" t="s">
        <v>8</v>
      </c>
      <c r="H126" s="73" t="s">
        <v>7</v>
      </c>
      <c r="I126" s="75" t="s">
        <v>414</v>
      </c>
      <c r="J126" s="75" t="s">
        <v>414</v>
      </c>
      <c r="K126" s="75" t="s">
        <v>414</v>
      </c>
      <c r="L126" s="73" t="s">
        <v>86</v>
      </c>
      <c r="M126" s="75" t="s">
        <v>414</v>
      </c>
      <c r="N126" s="76"/>
      <c r="O126" s="73" t="s">
        <v>129</v>
      </c>
      <c r="P126" s="76"/>
    </row>
    <row r="127" customFormat="false" ht="15" hidden="false" customHeight="false" outlineLevel="0" collapsed="false">
      <c r="A127" s="73" t="s">
        <v>21</v>
      </c>
      <c r="B127" s="74" t="n">
        <v>46248</v>
      </c>
      <c r="C127" s="75" t="s">
        <v>65</v>
      </c>
      <c r="D127" s="73" t="s">
        <v>129</v>
      </c>
      <c r="E127" s="76" t="s">
        <v>291</v>
      </c>
      <c r="F127" s="73" t="s">
        <v>78</v>
      </c>
      <c r="G127" s="73" t="s">
        <v>8</v>
      </c>
      <c r="H127" s="75" t="s">
        <v>414</v>
      </c>
      <c r="I127" s="75" t="s">
        <v>414</v>
      </c>
      <c r="J127" s="75" t="s">
        <v>414</v>
      </c>
      <c r="K127" s="75" t="s">
        <v>414</v>
      </c>
      <c r="L127" s="73" t="s">
        <v>8</v>
      </c>
      <c r="M127" s="75" t="s">
        <v>414</v>
      </c>
      <c r="N127" s="76"/>
      <c r="O127" s="73" t="s">
        <v>129</v>
      </c>
      <c r="P127" s="76" t="s">
        <v>574</v>
      </c>
    </row>
    <row r="128" customFormat="false" ht="15" hidden="false" customHeight="false" outlineLevel="0" collapsed="false">
      <c r="A128" s="73" t="s">
        <v>21</v>
      </c>
      <c r="B128" s="74" t="n">
        <v>46253</v>
      </c>
      <c r="C128" s="75" t="s">
        <v>66</v>
      </c>
      <c r="D128" s="73" t="s">
        <v>129</v>
      </c>
      <c r="E128" s="76" t="s">
        <v>575</v>
      </c>
      <c r="F128" s="73" t="s">
        <v>78</v>
      </c>
      <c r="G128" s="73" t="s">
        <v>8</v>
      </c>
      <c r="H128" s="75" t="s">
        <v>414</v>
      </c>
      <c r="I128" s="75" t="s">
        <v>414</v>
      </c>
      <c r="J128" s="75" t="s">
        <v>414</v>
      </c>
      <c r="K128" s="75" t="s">
        <v>414</v>
      </c>
      <c r="L128" s="73" t="s">
        <v>8</v>
      </c>
      <c r="M128" s="75" t="s">
        <v>414</v>
      </c>
      <c r="N128" s="76"/>
      <c r="O128" s="73" t="s">
        <v>129</v>
      </c>
      <c r="P128" s="76" t="s">
        <v>576</v>
      </c>
    </row>
    <row r="129" customFormat="false" ht="15" hidden="false" customHeight="false" outlineLevel="0" collapsed="false">
      <c r="A129" s="73" t="s">
        <v>21</v>
      </c>
      <c r="B129" s="74" t="n">
        <v>46238</v>
      </c>
      <c r="C129" s="75" t="s">
        <v>64</v>
      </c>
      <c r="D129" s="73" t="s">
        <v>129</v>
      </c>
      <c r="E129" s="76" t="s">
        <v>577</v>
      </c>
      <c r="F129" s="75" t="s">
        <v>414</v>
      </c>
      <c r="G129" s="73" t="s">
        <v>8</v>
      </c>
      <c r="H129" s="75" t="s">
        <v>414</v>
      </c>
      <c r="I129" s="75" t="s">
        <v>414</v>
      </c>
      <c r="J129" s="75" t="s">
        <v>414</v>
      </c>
      <c r="K129" s="75" t="s">
        <v>414</v>
      </c>
      <c r="L129" s="73" t="s">
        <v>8</v>
      </c>
      <c r="M129" s="75" t="s">
        <v>414</v>
      </c>
      <c r="N129" s="76"/>
      <c r="O129" s="73" t="s">
        <v>129</v>
      </c>
      <c r="P129" s="76"/>
    </row>
    <row r="130" customFormat="false" ht="15" hidden="false" customHeight="false" outlineLevel="0" collapsed="false">
      <c r="A130" s="73" t="s">
        <v>21</v>
      </c>
      <c r="B130" s="74" t="n">
        <v>46238</v>
      </c>
      <c r="C130" s="75" t="s">
        <v>64</v>
      </c>
      <c r="D130" s="73" t="s">
        <v>129</v>
      </c>
      <c r="E130" s="76" t="s">
        <v>232</v>
      </c>
      <c r="F130" s="73" t="s">
        <v>78</v>
      </c>
      <c r="G130" s="75" t="s">
        <v>414</v>
      </c>
      <c r="H130" s="75" t="s">
        <v>414</v>
      </c>
      <c r="I130" s="75" t="s">
        <v>414</v>
      </c>
      <c r="J130" s="75" t="s">
        <v>414</v>
      </c>
      <c r="K130" s="75" t="s">
        <v>414</v>
      </c>
      <c r="L130" s="75" t="s">
        <v>414</v>
      </c>
      <c r="M130" s="75" t="s">
        <v>414</v>
      </c>
      <c r="N130" s="76"/>
      <c r="O130" s="73" t="s">
        <v>129</v>
      </c>
      <c r="P130" s="76" t="s">
        <v>578</v>
      </c>
    </row>
    <row r="131" customFormat="false" ht="15" hidden="false" customHeight="false" outlineLevel="0" collapsed="false">
      <c r="A131" s="73" t="s">
        <v>21</v>
      </c>
      <c r="B131" s="74" t="n">
        <v>46244</v>
      </c>
      <c r="C131" s="75" t="s">
        <v>65</v>
      </c>
      <c r="D131" s="73" t="s">
        <v>129</v>
      </c>
      <c r="E131" s="76" t="s">
        <v>248</v>
      </c>
      <c r="F131" s="73" t="s">
        <v>78</v>
      </c>
      <c r="G131" s="75" t="s">
        <v>414</v>
      </c>
      <c r="H131" s="75" t="s">
        <v>414</v>
      </c>
      <c r="I131" s="75" t="s">
        <v>414</v>
      </c>
      <c r="J131" s="75" t="s">
        <v>414</v>
      </c>
      <c r="K131" s="75" t="s">
        <v>414</v>
      </c>
      <c r="L131" s="73" t="s">
        <v>84</v>
      </c>
      <c r="M131" s="75" t="s">
        <v>414</v>
      </c>
      <c r="N131" s="76"/>
      <c r="O131" s="73" t="s">
        <v>129</v>
      </c>
      <c r="P131" s="76"/>
    </row>
    <row r="132" customFormat="false" ht="15" hidden="false" customHeight="false" outlineLevel="0" collapsed="false">
      <c r="A132" s="73" t="s">
        <v>21</v>
      </c>
      <c r="B132" s="74" t="n">
        <v>46244</v>
      </c>
      <c r="C132" s="75" t="s">
        <v>65</v>
      </c>
      <c r="D132" s="73" t="s">
        <v>129</v>
      </c>
      <c r="E132" s="76" t="s">
        <v>250</v>
      </c>
      <c r="F132" s="73" t="s">
        <v>78</v>
      </c>
      <c r="G132" s="75" t="s">
        <v>414</v>
      </c>
      <c r="H132" s="73" t="s">
        <v>8</v>
      </c>
      <c r="I132" s="75" t="s">
        <v>414</v>
      </c>
      <c r="J132" s="75" t="s">
        <v>414</v>
      </c>
      <c r="K132" s="75" t="s">
        <v>414</v>
      </c>
      <c r="L132" s="75" t="s">
        <v>414</v>
      </c>
      <c r="M132" s="75" t="s">
        <v>414</v>
      </c>
      <c r="N132" s="76"/>
      <c r="O132" s="73" t="s">
        <v>129</v>
      </c>
      <c r="P132" s="76" t="s">
        <v>579</v>
      </c>
    </row>
    <row r="133" customFormat="false" ht="15" hidden="false" customHeight="false" outlineLevel="0" collapsed="false">
      <c r="A133" s="73" t="s">
        <v>21</v>
      </c>
      <c r="B133" s="74" t="n">
        <v>46248</v>
      </c>
      <c r="C133" s="75" t="s">
        <v>65</v>
      </c>
      <c r="D133" s="73" t="s">
        <v>129</v>
      </c>
      <c r="E133" s="76" t="s">
        <v>580</v>
      </c>
      <c r="F133" s="73" t="s">
        <v>81</v>
      </c>
      <c r="G133" s="75" t="s">
        <v>414</v>
      </c>
      <c r="H133" s="73" t="s">
        <v>8</v>
      </c>
      <c r="I133" s="75" t="s">
        <v>414</v>
      </c>
      <c r="J133" s="75" t="s">
        <v>414</v>
      </c>
      <c r="K133" s="75" t="s">
        <v>414</v>
      </c>
      <c r="L133" s="75" t="s">
        <v>414</v>
      </c>
      <c r="M133" s="75" t="s">
        <v>414</v>
      </c>
      <c r="N133" s="76"/>
      <c r="O133" s="73" t="s">
        <v>129</v>
      </c>
      <c r="P133" s="76"/>
    </row>
    <row r="134" customFormat="false" ht="15" hidden="false" customHeight="false" outlineLevel="0" collapsed="false">
      <c r="A134" s="73" t="s">
        <v>21</v>
      </c>
      <c r="B134" s="74" t="n">
        <v>46248</v>
      </c>
      <c r="C134" s="75" t="s">
        <v>65</v>
      </c>
      <c r="D134" s="73" t="s">
        <v>129</v>
      </c>
      <c r="E134" s="76" t="s">
        <v>580</v>
      </c>
      <c r="F134" s="73" t="s">
        <v>78</v>
      </c>
      <c r="G134" s="75" t="s">
        <v>414</v>
      </c>
      <c r="H134" s="73" t="s">
        <v>8</v>
      </c>
      <c r="I134" s="75" t="s">
        <v>414</v>
      </c>
      <c r="J134" s="75" t="s">
        <v>414</v>
      </c>
      <c r="K134" s="75" t="s">
        <v>414</v>
      </c>
      <c r="L134" s="75" t="s">
        <v>414</v>
      </c>
      <c r="M134" s="75" t="s">
        <v>414</v>
      </c>
      <c r="N134" s="76"/>
      <c r="O134" s="73" t="s">
        <v>129</v>
      </c>
      <c r="P134" s="76"/>
    </row>
    <row r="135" customFormat="false" ht="15" hidden="false" customHeight="false" outlineLevel="0" collapsed="false">
      <c r="A135" s="73" t="s">
        <v>21</v>
      </c>
      <c r="B135" s="74" t="n">
        <v>46248</v>
      </c>
      <c r="C135" s="75" t="s">
        <v>65</v>
      </c>
      <c r="D135" s="73" t="s">
        <v>129</v>
      </c>
      <c r="E135" s="76" t="s">
        <v>580</v>
      </c>
      <c r="F135" s="73" t="s">
        <v>78</v>
      </c>
      <c r="G135" s="75" t="s">
        <v>414</v>
      </c>
      <c r="H135" s="73" t="s">
        <v>8</v>
      </c>
      <c r="I135" s="75" t="s">
        <v>414</v>
      </c>
      <c r="J135" s="75" t="s">
        <v>414</v>
      </c>
      <c r="K135" s="75" t="s">
        <v>414</v>
      </c>
      <c r="L135" s="75" t="s">
        <v>414</v>
      </c>
      <c r="M135" s="75" t="s">
        <v>414</v>
      </c>
      <c r="N135" s="76"/>
      <c r="O135" s="73" t="s">
        <v>129</v>
      </c>
      <c r="P135" s="76"/>
    </row>
    <row r="136" customFormat="false" ht="15" hidden="false" customHeight="false" outlineLevel="0" collapsed="false">
      <c r="A136" s="73" t="s">
        <v>21</v>
      </c>
      <c r="B136" s="74" t="n">
        <v>46254</v>
      </c>
      <c r="C136" s="75" t="s">
        <v>66</v>
      </c>
      <c r="D136" s="73" t="s">
        <v>129</v>
      </c>
      <c r="E136" s="76" t="s">
        <v>292</v>
      </c>
      <c r="F136" s="73" t="s">
        <v>78</v>
      </c>
      <c r="G136" s="75" t="s">
        <v>414</v>
      </c>
      <c r="H136" s="73" t="s">
        <v>8</v>
      </c>
      <c r="I136" s="75" t="s">
        <v>414</v>
      </c>
      <c r="J136" s="75" t="s">
        <v>414</v>
      </c>
      <c r="K136" s="75" t="s">
        <v>414</v>
      </c>
      <c r="L136" s="75" t="s">
        <v>414</v>
      </c>
      <c r="M136" s="75" t="s">
        <v>414</v>
      </c>
      <c r="N136" s="76"/>
      <c r="O136" s="73" t="s">
        <v>129</v>
      </c>
      <c r="P136" s="76"/>
    </row>
    <row r="137" customFormat="false" ht="15" hidden="false" customHeight="false" outlineLevel="0" collapsed="false">
      <c r="A137" s="73" t="s">
        <v>21</v>
      </c>
      <c r="B137" s="74" t="n">
        <v>46248</v>
      </c>
      <c r="C137" s="75" t="s">
        <v>65</v>
      </c>
      <c r="D137" s="73" t="s">
        <v>129</v>
      </c>
      <c r="E137" s="76" t="s">
        <v>571</v>
      </c>
      <c r="F137" s="73" t="s">
        <v>78</v>
      </c>
      <c r="G137" s="75" t="s">
        <v>414</v>
      </c>
      <c r="H137" s="73" t="s">
        <v>8</v>
      </c>
      <c r="I137" s="75" t="s">
        <v>414</v>
      </c>
      <c r="J137" s="75" t="s">
        <v>414</v>
      </c>
      <c r="K137" s="75" t="s">
        <v>414</v>
      </c>
      <c r="L137" s="75" t="s">
        <v>414</v>
      </c>
      <c r="M137" s="75" t="s">
        <v>414</v>
      </c>
      <c r="N137" s="76"/>
      <c r="O137" s="73" t="s">
        <v>129</v>
      </c>
      <c r="P137" s="76"/>
    </row>
    <row r="138" customFormat="false" ht="15" hidden="false" customHeight="false" outlineLevel="0" collapsed="false">
      <c r="A138" s="73" t="s">
        <v>21</v>
      </c>
      <c r="B138" s="74" t="n">
        <v>46248</v>
      </c>
      <c r="C138" s="75" t="s">
        <v>65</v>
      </c>
      <c r="D138" s="73" t="s">
        <v>129</v>
      </c>
      <c r="E138" s="76" t="s">
        <v>265</v>
      </c>
      <c r="F138" s="73" t="s">
        <v>78</v>
      </c>
      <c r="G138" s="75" t="s">
        <v>414</v>
      </c>
      <c r="H138" s="73" t="s">
        <v>8</v>
      </c>
      <c r="I138" s="75" t="s">
        <v>414</v>
      </c>
      <c r="J138" s="75" t="s">
        <v>414</v>
      </c>
      <c r="K138" s="75" t="s">
        <v>414</v>
      </c>
      <c r="L138" s="75" t="s">
        <v>414</v>
      </c>
      <c r="M138" s="75" t="s">
        <v>414</v>
      </c>
      <c r="N138" s="76"/>
      <c r="O138" s="73" t="s">
        <v>129</v>
      </c>
      <c r="P138" s="76"/>
    </row>
    <row r="139" customFormat="false" ht="15" hidden="false" customHeight="false" outlineLevel="0" collapsed="false">
      <c r="A139" s="73" t="s">
        <v>21</v>
      </c>
      <c r="B139" s="74" t="n">
        <v>46253</v>
      </c>
      <c r="C139" s="75" t="s">
        <v>66</v>
      </c>
      <c r="D139" s="73" t="s">
        <v>129</v>
      </c>
      <c r="E139" s="76" t="s">
        <v>263</v>
      </c>
      <c r="F139" s="73" t="s">
        <v>78</v>
      </c>
      <c r="G139" s="75" t="s">
        <v>414</v>
      </c>
      <c r="H139" s="73" t="s">
        <v>8</v>
      </c>
      <c r="I139" s="75" t="s">
        <v>414</v>
      </c>
      <c r="J139" s="75" t="s">
        <v>414</v>
      </c>
      <c r="K139" s="75" t="s">
        <v>414</v>
      </c>
      <c r="L139" s="75" t="s">
        <v>414</v>
      </c>
      <c r="M139" s="75" t="s">
        <v>414</v>
      </c>
      <c r="N139" s="76"/>
      <c r="O139" s="73" t="s">
        <v>129</v>
      </c>
      <c r="P139" s="76"/>
    </row>
    <row r="140" customFormat="false" ht="15" hidden="false" customHeight="false" outlineLevel="0" collapsed="false">
      <c r="A140" s="73" t="s">
        <v>21</v>
      </c>
      <c r="B140" s="74" t="n">
        <v>46253</v>
      </c>
      <c r="C140" s="75" t="s">
        <v>66</v>
      </c>
      <c r="D140" s="73" t="s">
        <v>129</v>
      </c>
      <c r="E140" s="76" t="s">
        <v>581</v>
      </c>
      <c r="F140" s="73" t="s">
        <v>78</v>
      </c>
      <c r="G140" s="75" t="s">
        <v>414</v>
      </c>
      <c r="H140" s="73" t="s">
        <v>8</v>
      </c>
      <c r="I140" s="75" t="s">
        <v>414</v>
      </c>
      <c r="J140" s="75" t="s">
        <v>414</v>
      </c>
      <c r="K140" s="75" t="s">
        <v>414</v>
      </c>
      <c r="L140" s="75" t="s">
        <v>414</v>
      </c>
      <c r="M140" s="75" t="s">
        <v>414</v>
      </c>
      <c r="N140" s="76"/>
      <c r="O140" s="73" t="s">
        <v>129</v>
      </c>
      <c r="P140" s="76"/>
    </row>
    <row r="141" customFormat="false" ht="15" hidden="false" customHeight="false" outlineLevel="0" collapsed="false">
      <c r="A141" s="73" t="s">
        <v>25</v>
      </c>
      <c r="B141" s="74" t="n">
        <v>46259</v>
      </c>
      <c r="C141" s="75" t="s">
        <v>67</v>
      </c>
      <c r="D141" s="73" t="s">
        <v>76</v>
      </c>
      <c r="E141" s="76" t="s">
        <v>582</v>
      </c>
      <c r="F141" s="73" t="s">
        <v>80</v>
      </c>
      <c r="G141" s="73" t="s">
        <v>119</v>
      </c>
      <c r="H141" s="73" t="s">
        <v>8</v>
      </c>
      <c r="I141" s="73" t="s">
        <v>139</v>
      </c>
      <c r="J141" s="75" t="s">
        <v>424</v>
      </c>
      <c r="K141" s="73" t="s">
        <v>135</v>
      </c>
      <c r="L141" s="73" t="s">
        <v>84</v>
      </c>
      <c r="M141" s="75" t="s">
        <v>414</v>
      </c>
      <c r="N141" s="76"/>
      <c r="O141" s="73" t="s">
        <v>307</v>
      </c>
      <c r="P141" s="76" t="s">
        <v>583</v>
      </c>
    </row>
    <row r="142" customFormat="false" ht="15" hidden="false" customHeight="false" outlineLevel="0" collapsed="false">
      <c r="A142" s="73" t="s">
        <v>25</v>
      </c>
      <c r="B142" s="74" t="n">
        <v>46259</v>
      </c>
      <c r="C142" s="75" t="s">
        <v>67</v>
      </c>
      <c r="D142" s="73" t="s">
        <v>76</v>
      </c>
      <c r="E142" s="76" t="s">
        <v>584</v>
      </c>
      <c r="F142" s="73" t="s">
        <v>79</v>
      </c>
      <c r="G142" s="73" t="s">
        <v>119</v>
      </c>
      <c r="H142" s="73" t="s">
        <v>8</v>
      </c>
      <c r="I142" s="73" t="s">
        <v>140</v>
      </c>
      <c r="J142" s="75" t="s">
        <v>424</v>
      </c>
      <c r="K142" s="73" t="s">
        <v>135</v>
      </c>
      <c r="L142" s="73" t="s">
        <v>85</v>
      </c>
      <c r="M142" s="75" t="s">
        <v>414</v>
      </c>
      <c r="N142" s="76"/>
      <c r="O142" s="73" t="s">
        <v>307</v>
      </c>
      <c r="P142" s="76" t="s">
        <v>585</v>
      </c>
    </row>
    <row r="143" customFormat="false" ht="15" hidden="false" customHeight="false" outlineLevel="0" collapsed="false">
      <c r="A143" s="73" t="s">
        <v>22</v>
      </c>
      <c r="B143" s="74" t="n">
        <v>46260</v>
      </c>
      <c r="C143" s="75" t="s">
        <v>67</v>
      </c>
      <c r="D143" s="73" t="s">
        <v>130</v>
      </c>
      <c r="E143" s="76" t="s">
        <v>492</v>
      </c>
      <c r="F143" s="73" t="s">
        <v>78</v>
      </c>
      <c r="G143" s="73" t="s">
        <v>118</v>
      </c>
      <c r="H143" s="73" t="s">
        <v>7</v>
      </c>
      <c r="I143" s="73" t="s">
        <v>140</v>
      </c>
      <c r="J143" s="75" t="s">
        <v>424</v>
      </c>
      <c r="K143" s="73" t="s">
        <v>135</v>
      </c>
      <c r="L143" s="73" t="s">
        <v>84</v>
      </c>
      <c r="M143" s="73" t="s">
        <v>421</v>
      </c>
      <c r="N143" s="76"/>
      <c r="O143" s="73" t="s">
        <v>307</v>
      </c>
      <c r="P143" s="76" t="s">
        <v>586</v>
      </c>
    </row>
    <row r="144" customFormat="false" ht="15" hidden="false" customHeight="false" outlineLevel="0" collapsed="false">
      <c r="A144" s="73" t="s">
        <v>22</v>
      </c>
      <c r="B144" s="74" t="n">
        <v>46260</v>
      </c>
      <c r="C144" s="75" t="s">
        <v>67</v>
      </c>
      <c r="D144" s="73" t="s">
        <v>130</v>
      </c>
      <c r="E144" s="76" t="s">
        <v>474</v>
      </c>
      <c r="F144" s="73" t="s">
        <v>79</v>
      </c>
      <c r="G144" s="73" t="s">
        <v>117</v>
      </c>
      <c r="H144" s="73" t="s">
        <v>8</v>
      </c>
      <c r="I144" s="73" t="s">
        <v>139</v>
      </c>
      <c r="J144" s="75" t="s">
        <v>467</v>
      </c>
      <c r="K144" s="73" t="s">
        <v>135</v>
      </c>
      <c r="L144" s="73" t="s">
        <v>8</v>
      </c>
      <c r="M144" s="73" t="s">
        <v>425</v>
      </c>
      <c r="N144" s="76"/>
      <c r="O144" s="73" t="s">
        <v>307</v>
      </c>
      <c r="P144" s="76" t="s">
        <v>587</v>
      </c>
    </row>
    <row r="145" customFormat="false" ht="15" hidden="false" customHeight="false" outlineLevel="0" collapsed="false">
      <c r="A145" s="73" t="s">
        <v>26</v>
      </c>
      <c r="B145" s="74" t="n">
        <v>46259</v>
      </c>
      <c r="C145" s="75" t="s">
        <v>67</v>
      </c>
      <c r="D145" s="73" t="s">
        <v>132</v>
      </c>
      <c r="E145" s="76" t="s">
        <v>178</v>
      </c>
      <c r="F145" s="73" t="s">
        <v>81</v>
      </c>
      <c r="G145" s="73" t="s">
        <v>120</v>
      </c>
      <c r="H145" s="73" t="s">
        <v>7</v>
      </c>
      <c r="I145" s="75" t="s">
        <v>414</v>
      </c>
      <c r="J145" s="75" t="s">
        <v>414</v>
      </c>
      <c r="K145" s="75" t="s">
        <v>414</v>
      </c>
      <c r="L145" s="75" t="s">
        <v>414</v>
      </c>
      <c r="M145" s="75" t="s">
        <v>414</v>
      </c>
      <c r="N145" s="76"/>
      <c r="O145" s="73" t="s">
        <v>306</v>
      </c>
      <c r="P145" s="76" t="s">
        <v>588</v>
      </c>
    </row>
    <row r="146" customFormat="false" ht="15" hidden="false" customHeight="false" outlineLevel="0" collapsed="false">
      <c r="A146" s="73" t="s">
        <v>26</v>
      </c>
      <c r="B146" s="74" t="n">
        <v>46259</v>
      </c>
      <c r="C146" s="75" t="s">
        <v>67</v>
      </c>
      <c r="D146" s="73" t="s">
        <v>132</v>
      </c>
      <c r="E146" s="76" t="s">
        <v>178</v>
      </c>
      <c r="F146" s="73" t="s">
        <v>79</v>
      </c>
      <c r="G146" s="73" t="s">
        <v>120</v>
      </c>
      <c r="H146" s="73" t="s">
        <v>7</v>
      </c>
      <c r="I146" s="75" t="s">
        <v>414</v>
      </c>
      <c r="J146" s="75" t="s">
        <v>414</v>
      </c>
      <c r="K146" s="75" t="s">
        <v>414</v>
      </c>
      <c r="L146" s="73" t="s">
        <v>85</v>
      </c>
      <c r="M146" s="75" t="s">
        <v>414</v>
      </c>
      <c r="N146" s="76"/>
      <c r="O146" s="73" t="s">
        <v>306</v>
      </c>
      <c r="P146" s="76" t="s">
        <v>589</v>
      </c>
    </row>
    <row r="147" customFormat="false" ht="15" hidden="false" customHeight="false" outlineLevel="0" collapsed="false">
      <c r="A147" s="73" t="s">
        <v>27</v>
      </c>
      <c r="B147" s="74" t="n">
        <v>46261</v>
      </c>
      <c r="C147" s="75" t="s">
        <v>67</v>
      </c>
      <c r="D147" s="73" t="s">
        <v>129</v>
      </c>
      <c r="E147" s="76" t="s">
        <v>590</v>
      </c>
      <c r="F147" s="73" t="s">
        <v>80</v>
      </c>
      <c r="G147" s="75" t="s">
        <v>414</v>
      </c>
      <c r="H147" s="73" t="s">
        <v>7</v>
      </c>
      <c r="I147" s="73" t="s">
        <v>140</v>
      </c>
      <c r="J147" s="75" t="s">
        <v>467</v>
      </c>
      <c r="K147" s="73" t="s">
        <v>136</v>
      </c>
      <c r="L147" s="73" t="s">
        <v>84</v>
      </c>
      <c r="M147" s="75" t="s">
        <v>414</v>
      </c>
      <c r="N147" s="76"/>
      <c r="O147" s="73" t="s">
        <v>129</v>
      </c>
      <c r="P147" s="76" t="s">
        <v>591</v>
      </c>
    </row>
    <row r="148" customFormat="false" ht="15" hidden="false" customHeight="false" outlineLevel="0" collapsed="false">
      <c r="A148" s="73" t="s">
        <v>26</v>
      </c>
      <c r="B148" s="74" t="n">
        <v>46259</v>
      </c>
      <c r="C148" s="75" t="s">
        <v>67</v>
      </c>
      <c r="D148" s="73" t="s">
        <v>132</v>
      </c>
      <c r="E148" s="76" t="s">
        <v>175</v>
      </c>
      <c r="F148" s="73" t="s">
        <v>81</v>
      </c>
      <c r="G148" s="75" t="s">
        <v>414</v>
      </c>
      <c r="H148" s="73" t="s">
        <v>8</v>
      </c>
      <c r="I148" s="73" t="s">
        <v>140</v>
      </c>
      <c r="J148" s="75" t="s">
        <v>424</v>
      </c>
      <c r="K148" s="73" t="s">
        <v>135</v>
      </c>
      <c r="L148" s="73" t="s">
        <v>85</v>
      </c>
      <c r="M148" s="75" t="s">
        <v>414</v>
      </c>
      <c r="N148" s="76"/>
      <c r="O148" s="73" t="s">
        <v>306</v>
      </c>
      <c r="P148" s="76" t="s">
        <v>592</v>
      </c>
    </row>
    <row r="149" customFormat="false" ht="15" hidden="false" customHeight="false" outlineLevel="0" collapsed="false">
      <c r="A149" s="73" t="s">
        <v>26</v>
      </c>
      <c r="B149" s="74" t="n">
        <v>46259</v>
      </c>
      <c r="C149" s="75" t="s">
        <v>67</v>
      </c>
      <c r="D149" s="73" t="s">
        <v>132</v>
      </c>
      <c r="E149" s="76" t="s">
        <v>175</v>
      </c>
      <c r="F149" s="73" t="s">
        <v>79</v>
      </c>
      <c r="G149" s="75" t="s">
        <v>414</v>
      </c>
      <c r="H149" s="73" t="s">
        <v>9</v>
      </c>
      <c r="I149" s="73" t="s">
        <v>139</v>
      </c>
      <c r="J149" s="75" t="s">
        <v>414</v>
      </c>
      <c r="K149" s="75" t="s">
        <v>414</v>
      </c>
      <c r="L149" s="73" t="s">
        <v>85</v>
      </c>
      <c r="M149" s="75" t="s">
        <v>414</v>
      </c>
      <c r="N149" s="76" t="s">
        <v>42</v>
      </c>
      <c r="O149" s="73" t="s">
        <v>306</v>
      </c>
      <c r="P149" s="76" t="s">
        <v>177</v>
      </c>
    </row>
    <row r="150" customFormat="false" ht="15" hidden="false" customHeight="false" outlineLevel="0" collapsed="false">
      <c r="A150" s="73" t="s">
        <v>26</v>
      </c>
      <c r="B150" s="74" t="n">
        <v>46259</v>
      </c>
      <c r="C150" s="75" t="s">
        <v>67</v>
      </c>
      <c r="D150" s="73" t="s">
        <v>132</v>
      </c>
      <c r="E150" s="76" t="s">
        <v>178</v>
      </c>
      <c r="F150" s="73" t="s">
        <v>126</v>
      </c>
      <c r="G150" s="75" t="s">
        <v>414</v>
      </c>
      <c r="H150" s="73" t="s">
        <v>9</v>
      </c>
      <c r="I150" s="75" t="s">
        <v>414</v>
      </c>
      <c r="J150" s="75" t="s">
        <v>414</v>
      </c>
      <c r="K150" s="75" t="s">
        <v>414</v>
      </c>
      <c r="L150" s="75" t="s">
        <v>414</v>
      </c>
      <c r="M150" s="75" t="s">
        <v>414</v>
      </c>
      <c r="N150" s="76" t="s">
        <v>42</v>
      </c>
      <c r="O150" s="73" t="s">
        <v>306</v>
      </c>
      <c r="P150" s="76" t="s">
        <v>179</v>
      </c>
    </row>
    <row r="151" customFormat="false" ht="15" hidden="false" customHeight="false" outlineLevel="0" collapsed="false">
      <c r="A151" s="73" t="s">
        <v>27</v>
      </c>
      <c r="B151" s="74" t="n">
        <v>46261</v>
      </c>
      <c r="C151" s="75" t="s">
        <v>67</v>
      </c>
      <c r="D151" s="73" t="s">
        <v>129</v>
      </c>
      <c r="E151" s="76" t="s">
        <v>593</v>
      </c>
      <c r="F151" s="73" t="s">
        <v>80</v>
      </c>
      <c r="G151" s="75" t="s">
        <v>414</v>
      </c>
      <c r="H151" s="73" t="s">
        <v>7</v>
      </c>
      <c r="I151" s="75" t="s">
        <v>414</v>
      </c>
      <c r="J151" s="75" t="s">
        <v>480</v>
      </c>
      <c r="K151" s="75" t="s">
        <v>414</v>
      </c>
      <c r="L151" s="73" t="s">
        <v>85</v>
      </c>
      <c r="M151" s="75" t="s">
        <v>414</v>
      </c>
      <c r="N151" s="76"/>
      <c r="O151" s="73" t="s">
        <v>129</v>
      </c>
      <c r="P151" s="76" t="s">
        <v>594</v>
      </c>
    </row>
    <row r="152" customFormat="false" ht="15" hidden="false" customHeight="false" outlineLevel="0" collapsed="false">
      <c r="A152" s="73" t="s">
        <v>26</v>
      </c>
      <c r="B152" s="74" t="n">
        <v>46260</v>
      </c>
      <c r="C152" s="75" t="s">
        <v>67</v>
      </c>
      <c r="D152" s="73" t="s">
        <v>132</v>
      </c>
      <c r="E152" s="76" t="s">
        <v>180</v>
      </c>
      <c r="F152" s="73" t="s">
        <v>78</v>
      </c>
      <c r="G152" s="75" t="s">
        <v>414</v>
      </c>
      <c r="H152" s="73" t="s">
        <v>8</v>
      </c>
      <c r="I152" s="75" t="s">
        <v>414</v>
      </c>
      <c r="J152" s="75" t="s">
        <v>414</v>
      </c>
      <c r="K152" s="73" t="s">
        <v>135</v>
      </c>
      <c r="L152" s="73" t="s">
        <v>85</v>
      </c>
      <c r="M152" s="75" t="s">
        <v>414</v>
      </c>
      <c r="N152" s="76"/>
      <c r="O152" s="73" t="s">
        <v>306</v>
      </c>
      <c r="P152" s="76" t="s">
        <v>595</v>
      </c>
    </row>
    <row r="153" customFormat="false" ht="15" hidden="false" customHeight="false" outlineLevel="0" collapsed="false">
      <c r="A153" s="73" t="s">
        <v>26</v>
      </c>
      <c r="B153" s="74" t="n">
        <v>46260</v>
      </c>
      <c r="C153" s="75" t="s">
        <v>67</v>
      </c>
      <c r="D153" s="73" t="s">
        <v>132</v>
      </c>
      <c r="E153" s="76" t="s">
        <v>180</v>
      </c>
      <c r="F153" s="73" t="s">
        <v>79</v>
      </c>
      <c r="G153" s="75" t="s">
        <v>414</v>
      </c>
      <c r="H153" s="73" t="s">
        <v>9</v>
      </c>
      <c r="I153" s="73" t="s">
        <v>140</v>
      </c>
      <c r="J153" s="75" t="s">
        <v>467</v>
      </c>
      <c r="K153" s="73" t="s">
        <v>136</v>
      </c>
      <c r="L153" s="73" t="s">
        <v>85</v>
      </c>
      <c r="M153" s="75" t="s">
        <v>414</v>
      </c>
      <c r="N153" s="76" t="s">
        <v>112</v>
      </c>
      <c r="O153" s="73" t="s">
        <v>306</v>
      </c>
      <c r="P153" s="76" t="s">
        <v>596</v>
      </c>
    </row>
    <row r="154" customFormat="false" ht="15" hidden="false" customHeight="false" outlineLevel="0" collapsed="false">
      <c r="A154" s="73" t="s">
        <v>27</v>
      </c>
      <c r="B154" s="74" t="n">
        <v>46261</v>
      </c>
      <c r="C154" s="75" t="s">
        <v>67</v>
      </c>
      <c r="D154" s="73" t="s">
        <v>129</v>
      </c>
      <c r="E154" s="76" t="s">
        <v>597</v>
      </c>
      <c r="F154" s="73" t="s">
        <v>80</v>
      </c>
      <c r="G154" s="75" t="s">
        <v>414</v>
      </c>
      <c r="H154" s="73" t="s">
        <v>7</v>
      </c>
      <c r="I154" s="75" t="s">
        <v>414</v>
      </c>
      <c r="J154" s="75" t="s">
        <v>467</v>
      </c>
      <c r="K154" s="73" t="s">
        <v>136</v>
      </c>
      <c r="L154" s="73" t="s">
        <v>85</v>
      </c>
      <c r="M154" s="75" t="s">
        <v>414</v>
      </c>
      <c r="N154" s="76"/>
      <c r="O154" s="73" t="s">
        <v>129</v>
      </c>
      <c r="P154" s="76" t="s">
        <v>598</v>
      </c>
    </row>
    <row r="155" customFormat="false" ht="15" hidden="false" customHeight="false" outlineLevel="0" collapsed="false">
      <c r="A155" s="73" t="s">
        <v>26</v>
      </c>
      <c r="B155" s="74" t="n">
        <v>46260</v>
      </c>
      <c r="C155" s="75" t="s">
        <v>67</v>
      </c>
      <c r="D155" s="73" t="s">
        <v>132</v>
      </c>
      <c r="E155" s="76" t="s">
        <v>180</v>
      </c>
      <c r="F155" s="73" t="s">
        <v>79</v>
      </c>
      <c r="G155" s="75" t="s">
        <v>414</v>
      </c>
      <c r="H155" s="73" t="s">
        <v>9</v>
      </c>
      <c r="I155" s="75" t="s">
        <v>414</v>
      </c>
      <c r="J155" s="75" t="s">
        <v>414</v>
      </c>
      <c r="K155" s="75" t="s">
        <v>414</v>
      </c>
      <c r="L155" s="73" t="s">
        <v>85</v>
      </c>
      <c r="M155" s="75" t="s">
        <v>414</v>
      </c>
      <c r="N155" s="76" t="s">
        <v>38</v>
      </c>
      <c r="O155" s="73" t="s">
        <v>306</v>
      </c>
      <c r="P155" s="76" t="s">
        <v>599</v>
      </c>
    </row>
    <row r="156" customFormat="false" ht="15" hidden="false" customHeight="false" outlineLevel="0" collapsed="false">
      <c r="A156" s="73" t="s">
        <v>26</v>
      </c>
      <c r="B156" s="74" t="n">
        <v>46260</v>
      </c>
      <c r="C156" s="75" t="s">
        <v>67</v>
      </c>
      <c r="D156" s="73" t="s">
        <v>132</v>
      </c>
      <c r="E156" s="76" t="s">
        <v>183</v>
      </c>
      <c r="F156" s="73" t="s">
        <v>79</v>
      </c>
      <c r="G156" s="75" t="s">
        <v>414</v>
      </c>
      <c r="H156" s="73" t="s">
        <v>9</v>
      </c>
      <c r="I156" s="75" t="s">
        <v>414</v>
      </c>
      <c r="J156" s="75" t="s">
        <v>414</v>
      </c>
      <c r="K156" s="75" t="s">
        <v>414</v>
      </c>
      <c r="L156" s="73" t="s">
        <v>85</v>
      </c>
      <c r="M156" s="75" t="s">
        <v>414</v>
      </c>
      <c r="N156" s="76" t="s">
        <v>42</v>
      </c>
      <c r="O156" s="73" t="s">
        <v>306</v>
      </c>
      <c r="P156" s="76" t="s">
        <v>184</v>
      </c>
    </row>
    <row r="157" customFormat="false" ht="15" hidden="false" customHeight="false" outlineLevel="0" collapsed="false">
      <c r="A157" s="73" t="s">
        <v>26</v>
      </c>
      <c r="B157" s="74" t="n">
        <v>46260</v>
      </c>
      <c r="C157" s="75" t="s">
        <v>67</v>
      </c>
      <c r="D157" s="73" t="s">
        <v>132</v>
      </c>
      <c r="E157" s="76" t="s">
        <v>600</v>
      </c>
      <c r="F157" s="73" t="s">
        <v>82</v>
      </c>
      <c r="G157" s="75" t="s">
        <v>414</v>
      </c>
      <c r="H157" s="73" t="s">
        <v>8</v>
      </c>
      <c r="I157" s="73" t="s">
        <v>140</v>
      </c>
      <c r="J157" s="75" t="s">
        <v>424</v>
      </c>
      <c r="K157" s="73" t="s">
        <v>135</v>
      </c>
      <c r="L157" s="73" t="s">
        <v>85</v>
      </c>
      <c r="M157" s="75" t="s">
        <v>414</v>
      </c>
      <c r="N157" s="76"/>
      <c r="O157" s="73" t="s">
        <v>306</v>
      </c>
      <c r="P157" s="76" t="s">
        <v>601</v>
      </c>
    </row>
    <row r="158" customFormat="false" ht="15" hidden="false" customHeight="false" outlineLevel="0" collapsed="false">
      <c r="A158" s="73" t="s">
        <v>26</v>
      </c>
      <c r="B158" s="74" t="n">
        <v>46260</v>
      </c>
      <c r="C158" s="75" t="s">
        <v>67</v>
      </c>
      <c r="D158" s="73" t="s">
        <v>132</v>
      </c>
      <c r="E158" s="76" t="s">
        <v>185</v>
      </c>
      <c r="F158" s="73" t="s">
        <v>78</v>
      </c>
      <c r="G158" s="73" t="s">
        <v>118</v>
      </c>
      <c r="H158" s="73" t="s">
        <v>9</v>
      </c>
      <c r="I158" s="75" t="s">
        <v>414</v>
      </c>
      <c r="J158" s="75" t="s">
        <v>414</v>
      </c>
      <c r="K158" s="75" t="s">
        <v>414</v>
      </c>
      <c r="L158" s="73" t="s">
        <v>85</v>
      </c>
      <c r="M158" s="75" t="s">
        <v>414</v>
      </c>
      <c r="N158" s="76" t="s">
        <v>112</v>
      </c>
      <c r="O158" s="73" t="s">
        <v>306</v>
      </c>
      <c r="P158" s="76" t="s">
        <v>186</v>
      </c>
    </row>
    <row r="159" customFormat="false" ht="15" hidden="false" customHeight="false" outlineLevel="0" collapsed="false">
      <c r="A159" s="73" t="s">
        <v>26</v>
      </c>
      <c r="B159" s="74" t="n">
        <v>46261</v>
      </c>
      <c r="C159" s="75" t="s">
        <v>67</v>
      </c>
      <c r="D159" s="73" t="s">
        <v>132</v>
      </c>
      <c r="E159" s="76" t="s">
        <v>602</v>
      </c>
      <c r="F159" s="73" t="s">
        <v>79</v>
      </c>
      <c r="G159" s="75" t="s">
        <v>414</v>
      </c>
      <c r="H159" s="75" t="s">
        <v>414</v>
      </c>
      <c r="I159" s="75" t="s">
        <v>414</v>
      </c>
      <c r="J159" s="75" t="s">
        <v>414</v>
      </c>
      <c r="K159" s="75" t="s">
        <v>414</v>
      </c>
      <c r="L159" s="73" t="s">
        <v>85</v>
      </c>
      <c r="M159" s="75" t="s">
        <v>414</v>
      </c>
      <c r="N159" s="76"/>
      <c r="O159" s="73" t="s">
        <v>306</v>
      </c>
      <c r="P159" s="76" t="s">
        <v>603</v>
      </c>
    </row>
    <row r="160" customFormat="false" ht="15" hidden="false" customHeight="false" outlineLevel="0" collapsed="false">
      <c r="A160" s="73" t="s">
        <v>26</v>
      </c>
      <c r="B160" s="74" t="n">
        <v>46261</v>
      </c>
      <c r="C160" s="75" t="s">
        <v>67</v>
      </c>
      <c r="D160" s="73" t="s">
        <v>132</v>
      </c>
      <c r="E160" s="76" t="s">
        <v>604</v>
      </c>
      <c r="F160" s="73" t="s">
        <v>78</v>
      </c>
      <c r="G160" s="73" t="s">
        <v>117</v>
      </c>
      <c r="H160" s="73" t="s">
        <v>7</v>
      </c>
      <c r="I160" s="73" t="s">
        <v>139</v>
      </c>
      <c r="J160" s="75" t="s">
        <v>414</v>
      </c>
      <c r="K160" s="73" t="s">
        <v>135</v>
      </c>
      <c r="L160" s="73" t="s">
        <v>85</v>
      </c>
      <c r="M160" s="75" t="s">
        <v>414</v>
      </c>
      <c r="N160" s="76"/>
      <c r="O160" s="73" t="s">
        <v>306</v>
      </c>
      <c r="P160" s="76" t="s">
        <v>605</v>
      </c>
    </row>
    <row r="161" customFormat="false" ht="15" hidden="false" customHeight="false" outlineLevel="0" collapsed="false">
      <c r="A161" s="73" t="s">
        <v>26</v>
      </c>
      <c r="B161" s="74" t="n">
        <v>46261</v>
      </c>
      <c r="C161" s="75" t="s">
        <v>67</v>
      </c>
      <c r="D161" s="73" t="s">
        <v>132</v>
      </c>
      <c r="E161" s="76" t="s">
        <v>604</v>
      </c>
      <c r="F161" s="73" t="s">
        <v>124</v>
      </c>
      <c r="G161" s="73" t="s">
        <v>117</v>
      </c>
      <c r="H161" s="73" t="s">
        <v>8</v>
      </c>
      <c r="I161" s="73" t="s">
        <v>139</v>
      </c>
      <c r="J161" s="75" t="s">
        <v>414</v>
      </c>
      <c r="K161" s="73" t="s">
        <v>135</v>
      </c>
      <c r="L161" s="73" t="s">
        <v>85</v>
      </c>
      <c r="M161" s="75" t="s">
        <v>414</v>
      </c>
      <c r="N161" s="76"/>
      <c r="O161" s="73" t="s">
        <v>306</v>
      </c>
      <c r="P161" s="76" t="s">
        <v>606</v>
      </c>
    </row>
    <row r="162" customFormat="false" ht="15" hidden="false" customHeight="false" outlineLevel="0" collapsed="false">
      <c r="A162" s="73" t="s">
        <v>26</v>
      </c>
      <c r="B162" s="74" t="n">
        <v>46261</v>
      </c>
      <c r="C162" s="75" t="s">
        <v>67</v>
      </c>
      <c r="D162" s="73" t="s">
        <v>132</v>
      </c>
      <c r="E162" s="76" t="s">
        <v>607</v>
      </c>
      <c r="F162" s="73" t="s">
        <v>78</v>
      </c>
      <c r="G162" s="75" t="s">
        <v>414</v>
      </c>
      <c r="H162" s="73" t="s">
        <v>8</v>
      </c>
      <c r="I162" s="75" t="s">
        <v>414</v>
      </c>
      <c r="J162" s="75" t="s">
        <v>414</v>
      </c>
      <c r="K162" s="73" t="s">
        <v>135</v>
      </c>
      <c r="L162" s="73" t="s">
        <v>85</v>
      </c>
      <c r="M162" s="73" t="s">
        <v>421</v>
      </c>
      <c r="N162" s="76"/>
      <c r="O162" s="73" t="s">
        <v>306</v>
      </c>
      <c r="P162" s="76" t="s">
        <v>608</v>
      </c>
    </row>
    <row r="163" customFormat="false" ht="15" hidden="false" customHeight="false" outlineLevel="0" collapsed="false">
      <c r="A163" s="73" t="s">
        <v>26</v>
      </c>
      <c r="B163" s="74" t="n">
        <v>46261</v>
      </c>
      <c r="C163" s="75" t="s">
        <v>67</v>
      </c>
      <c r="D163" s="73" t="s">
        <v>132</v>
      </c>
      <c r="E163" s="76" t="s">
        <v>609</v>
      </c>
      <c r="F163" s="73" t="s">
        <v>79</v>
      </c>
      <c r="G163" s="75" t="s">
        <v>414</v>
      </c>
      <c r="H163" s="73" t="s">
        <v>7</v>
      </c>
      <c r="I163" s="75" t="s">
        <v>414</v>
      </c>
      <c r="J163" s="75" t="s">
        <v>414</v>
      </c>
      <c r="K163" s="73" t="s">
        <v>135</v>
      </c>
      <c r="L163" s="73" t="s">
        <v>85</v>
      </c>
      <c r="M163" s="75" t="s">
        <v>414</v>
      </c>
      <c r="N163" s="76"/>
      <c r="O163" s="73" t="s">
        <v>306</v>
      </c>
      <c r="P163" s="76" t="s">
        <v>610</v>
      </c>
    </row>
    <row r="164" customFormat="false" ht="15" hidden="false" customHeight="false" outlineLevel="0" collapsed="false">
      <c r="A164" s="73" t="s">
        <v>20</v>
      </c>
      <c r="B164" s="74" t="n">
        <v>46260</v>
      </c>
      <c r="C164" s="75" t="s">
        <v>67</v>
      </c>
      <c r="D164" s="73" t="s">
        <v>131</v>
      </c>
      <c r="E164" s="76" t="s">
        <v>611</v>
      </c>
      <c r="F164" s="73" t="s">
        <v>78</v>
      </c>
      <c r="G164" s="73" t="s">
        <v>119</v>
      </c>
      <c r="H164" s="73" t="s">
        <v>7</v>
      </c>
      <c r="I164" s="75" t="s">
        <v>414</v>
      </c>
      <c r="J164" s="75" t="s">
        <v>424</v>
      </c>
      <c r="K164" s="73" t="s">
        <v>135</v>
      </c>
      <c r="L164" s="73" t="s">
        <v>84</v>
      </c>
      <c r="M164" s="75" t="s">
        <v>414</v>
      </c>
      <c r="N164" s="76"/>
      <c r="O164" s="73" t="s">
        <v>307</v>
      </c>
      <c r="P164" s="76" t="s">
        <v>612</v>
      </c>
    </row>
    <row r="165" customFormat="false" ht="15" hidden="false" customHeight="false" outlineLevel="0" collapsed="false">
      <c r="A165" s="73" t="s">
        <v>20</v>
      </c>
      <c r="B165" s="74" t="n">
        <v>46260</v>
      </c>
      <c r="C165" s="75" t="s">
        <v>67</v>
      </c>
      <c r="D165" s="73" t="s">
        <v>131</v>
      </c>
      <c r="E165" s="76" t="s">
        <v>611</v>
      </c>
      <c r="F165" s="73" t="s">
        <v>82</v>
      </c>
      <c r="G165" s="73" t="s">
        <v>119</v>
      </c>
      <c r="H165" s="73" t="s">
        <v>7</v>
      </c>
      <c r="I165" s="73" t="s">
        <v>139</v>
      </c>
      <c r="J165" s="75" t="s">
        <v>480</v>
      </c>
      <c r="K165" s="73" t="s">
        <v>136</v>
      </c>
      <c r="L165" s="73" t="s">
        <v>84</v>
      </c>
      <c r="M165" s="75" t="s">
        <v>414</v>
      </c>
      <c r="N165" s="76"/>
      <c r="O165" s="73" t="s">
        <v>307</v>
      </c>
      <c r="P165" s="76" t="s">
        <v>613</v>
      </c>
    </row>
    <row r="166" customFormat="false" ht="15" hidden="false" customHeight="false" outlineLevel="0" collapsed="false">
      <c r="A166" s="73" t="s">
        <v>20</v>
      </c>
      <c r="B166" s="74" t="n">
        <v>46260</v>
      </c>
      <c r="C166" s="75" t="s">
        <v>67</v>
      </c>
      <c r="D166" s="73" t="s">
        <v>131</v>
      </c>
      <c r="E166" s="76" t="s">
        <v>611</v>
      </c>
      <c r="F166" s="73" t="s">
        <v>80</v>
      </c>
      <c r="G166" s="73" t="s">
        <v>119</v>
      </c>
      <c r="H166" s="73" t="s">
        <v>108</v>
      </c>
      <c r="I166" s="73" t="s">
        <v>140</v>
      </c>
      <c r="J166" s="75" t="s">
        <v>424</v>
      </c>
      <c r="K166" s="73" t="s">
        <v>135</v>
      </c>
      <c r="L166" s="73" t="s">
        <v>8</v>
      </c>
      <c r="M166" s="73" t="s">
        <v>425</v>
      </c>
      <c r="N166" s="76"/>
      <c r="O166" s="73" t="s">
        <v>307</v>
      </c>
      <c r="P166" s="77" t="s">
        <v>614</v>
      </c>
    </row>
    <row r="167" customFormat="false" ht="15" hidden="false" customHeight="false" outlineLevel="0" collapsed="false">
      <c r="A167" s="73" t="s">
        <v>20</v>
      </c>
      <c r="B167" s="74" t="n">
        <v>46260</v>
      </c>
      <c r="C167" s="75" t="s">
        <v>67</v>
      </c>
      <c r="D167" s="73" t="s">
        <v>131</v>
      </c>
      <c r="E167" s="76" t="s">
        <v>611</v>
      </c>
      <c r="F167" s="73" t="s">
        <v>79</v>
      </c>
      <c r="G167" s="73" t="s">
        <v>119</v>
      </c>
      <c r="H167" s="73" t="s">
        <v>7</v>
      </c>
      <c r="I167" s="73" t="s">
        <v>140</v>
      </c>
      <c r="J167" s="75" t="s">
        <v>467</v>
      </c>
      <c r="K167" s="73" t="s">
        <v>136</v>
      </c>
      <c r="L167" s="73" t="s">
        <v>84</v>
      </c>
      <c r="M167" s="75" t="s">
        <v>414</v>
      </c>
      <c r="N167" s="76"/>
      <c r="O167" s="73" t="s">
        <v>307</v>
      </c>
      <c r="P167" s="77" t="s">
        <v>615</v>
      </c>
    </row>
    <row r="168" customFormat="false" ht="15" hidden="false" customHeight="false" outlineLevel="0" collapsed="false">
      <c r="A168" s="73" t="s">
        <v>26</v>
      </c>
      <c r="B168" s="74" t="n">
        <v>46261</v>
      </c>
      <c r="C168" s="75" t="s">
        <v>67</v>
      </c>
      <c r="D168" s="73" t="s">
        <v>132</v>
      </c>
      <c r="E168" s="76" t="s">
        <v>616</v>
      </c>
      <c r="F168" s="73" t="s">
        <v>78</v>
      </c>
      <c r="G168" s="73" t="s">
        <v>117</v>
      </c>
      <c r="H168" s="73" t="s">
        <v>7</v>
      </c>
      <c r="I168" s="75" t="s">
        <v>414</v>
      </c>
      <c r="J168" s="75" t="s">
        <v>414</v>
      </c>
      <c r="K168" s="73" t="s">
        <v>135</v>
      </c>
      <c r="L168" s="73" t="s">
        <v>85</v>
      </c>
      <c r="M168" s="75" t="s">
        <v>414</v>
      </c>
      <c r="N168" s="76"/>
      <c r="O168" s="73" t="s">
        <v>306</v>
      </c>
      <c r="P168" s="76" t="s">
        <v>617</v>
      </c>
    </row>
    <row r="169" customFormat="false" ht="15" hidden="false" customHeight="false" outlineLevel="0" collapsed="false">
      <c r="A169" s="73" t="s">
        <v>20</v>
      </c>
      <c r="B169" s="74" t="n">
        <v>46260</v>
      </c>
      <c r="C169" s="75" t="s">
        <v>67</v>
      </c>
      <c r="D169" s="73" t="s">
        <v>131</v>
      </c>
      <c r="E169" s="76" t="s">
        <v>618</v>
      </c>
      <c r="F169" s="73" t="s">
        <v>82</v>
      </c>
      <c r="G169" s="73" t="s">
        <v>119</v>
      </c>
      <c r="H169" s="73" t="s">
        <v>7</v>
      </c>
      <c r="I169" s="73" t="s">
        <v>140</v>
      </c>
      <c r="J169" s="75" t="s">
        <v>424</v>
      </c>
      <c r="K169" s="73" t="s">
        <v>135</v>
      </c>
      <c r="L169" s="73" t="s">
        <v>84</v>
      </c>
      <c r="M169" s="73" t="s">
        <v>425</v>
      </c>
      <c r="N169" s="76"/>
      <c r="O169" s="73" t="s">
        <v>307</v>
      </c>
      <c r="P169" s="76" t="s">
        <v>619</v>
      </c>
    </row>
    <row r="170" customFormat="false" ht="15" hidden="false" customHeight="false" outlineLevel="0" collapsed="false">
      <c r="A170" s="73" t="s">
        <v>20</v>
      </c>
      <c r="B170" s="74" t="n">
        <v>46260</v>
      </c>
      <c r="C170" s="75" t="s">
        <v>67</v>
      </c>
      <c r="D170" s="73" t="s">
        <v>131</v>
      </c>
      <c r="E170" s="76" t="s">
        <v>618</v>
      </c>
      <c r="F170" s="73" t="s">
        <v>79</v>
      </c>
      <c r="G170" s="73" t="s">
        <v>119</v>
      </c>
      <c r="H170" s="73" t="s">
        <v>7</v>
      </c>
      <c r="I170" s="73" t="s">
        <v>140</v>
      </c>
      <c r="J170" s="75" t="s">
        <v>424</v>
      </c>
      <c r="K170" s="73" t="s">
        <v>135</v>
      </c>
      <c r="L170" s="73" t="s">
        <v>85</v>
      </c>
      <c r="M170" s="73" t="s">
        <v>425</v>
      </c>
      <c r="N170" s="76"/>
      <c r="O170" s="73" t="s">
        <v>307</v>
      </c>
      <c r="P170" s="77" t="s">
        <v>620</v>
      </c>
    </row>
    <row r="171" customFormat="false" ht="15" hidden="false" customHeight="false" outlineLevel="0" collapsed="false">
      <c r="A171" s="73" t="s">
        <v>20</v>
      </c>
      <c r="B171" s="74" t="n">
        <v>46260</v>
      </c>
      <c r="C171" s="75" t="s">
        <v>67</v>
      </c>
      <c r="D171" s="73" t="s">
        <v>131</v>
      </c>
      <c r="E171" s="76" t="s">
        <v>618</v>
      </c>
      <c r="F171" s="73" t="s">
        <v>81</v>
      </c>
      <c r="G171" s="73" t="s">
        <v>119</v>
      </c>
      <c r="H171" s="73" t="s">
        <v>7</v>
      </c>
      <c r="I171" s="73" t="s">
        <v>140</v>
      </c>
      <c r="J171" s="75" t="s">
        <v>480</v>
      </c>
      <c r="K171" s="73" t="s">
        <v>136</v>
      </c>
      <c r="L171" s="73" t="s">
        <v>84</v>
      </c>
      <c r="M171" s="75" t="s">
        <v>414</v>
      </c>
      <c r="N171" s="76"/>
      <c r="O171" s="73" t="s">
        <v>307</v>
      </c>
      <c r="P171" s="76" t="s">
        <v>621</v>
      </c>
    </row>
    <row r="172" customFormat="false" ht="15" hidden="false" customHeight="false" outlineLevel="0" collapsed="false">
      <c r="A172" s="73" t="s">
        <v>20</v>
      </c>
      <c r="B172" s="74" t="n">
        <v>46260</v>
      </c>
      <c r="C172" s="75" t="s">
        <v>67</v>
      </c>
      <c r="D172" s="73" t="s">
        <v>131</v>
      </c>
      <c r="E172" s="76" t="s">
        <v>618</v>
      </c>
      <c r="F172" s="73" t="s">
        <v>79</v>
      </c>
      <c r="G172" s="73" t="s">
        <v>119</v>
      </c>
      <c r="H172" s="73" t="s">
        <v>7</v>
      </c>
      <c r="I172" s="73" t="s">
        <v>140</v>
      </c>
      <c r="J172" s="75" t="s">
        <v>467</v>
      </c>
      <c r="K172" s="73" t="s">
        <v>137</v>
      </c>
      <c r="L172" s="73" t="s">
        <v>85</v>
      </c>
      <c r="M172" s="75" t="s">
        <v>414</v>
      </c>
      <c r="N172" s="76"/>
      <c r="O172" s="73" t="s">
        <v>307</v>
      </c>
      <c r="P172" s="77" t="s">
        <v>622</v>
      </c>
    </row>
    <row r="173" customFormat="false" ht="15" hidden="false" customHeight="false" outlineLevel="0" collapsed="false">
      <c r="A173" s="73" t="s">
        <v>20</v>
      </c>
      <c r="B173" s="74" t="n">
        <v>46260</v>
      </c>
      <c r="C173" s="75" t="s">
        <v>67</v>
      </c>
      <c r="D173" s="73" t="s">
        <v>131</v>
      </c>
      <c r="E173" s="76" t="s">
        <v>623</v>
      </c>
      <c r="F173" s="73" t="s">
        <v>78</v>
      </c>
      <c r="G173" s="73" t="s">
        <v>119</v>
      </c>
      <c r="H173" s="73" t="s">
        <v>7</v>
      </c>
      <c r="I173" s="75" t="s">
        <v>414</v>
      </c>
      <c r="J173" s="75" t="s">
        <v>424</v>
      </c>
      <c r="K173" s="73" t="s">
        <v>135</v>
      </c>
      <c r="L173" s="73" t="s">
        <v>84</v>
      </c>
      <c r="M173" s="75" t="s">
        <v>414</v>
      </c>
      <c r="N173" s="76"/>
      <c r="O173" s="73" t="s">
        <v>307</v>
      </c>
      <c r="P173" s="76" t="s">
        <v>624</v>
      </c>
    </row>
    <row r="174" customFormat="false" ht="15" hidden="false" customHeight="false" outlineLevel="0" collapsed="false">
      <c r="A174" s="73" t="s">
        <v>20</v>
      </c>
      <c r="B174" s="74" t="n">
        <v>46260</v>
      </c>
      <c r="C174" s="75" t="s">
        <v>67</v>
      </c>
      <c r="D174" s="73" t="s">
        <v>131</v>
      </c>
      <c r="E174" s="76" t="s">
        <v>623</v>
      </c>
      <c r="F174" s="73" t="s">
        <v>79</v>
      </c>
      <c r="G174" s="73" t="s">
        <v>119</v>
      </c>
      <c r="H174" s="73" t="s">
        <v>7</v>
      </c>
      <c r="I174" s="73" t="s">
        <v>140</v>
      </c>
      <c r="J174" s="75" t="s">
        <v>467</v>
      </c>
      <c r="K174" s="73" t="s">
        <v>137</v>
      </c>
      <c r="L174" s="73" t="s">
        <v>85</v>
      </c>
      <c r="M174" s="75" t="s">
        <v>414</v>
      </c>
      <c r="N174" s="76"/>
      <c r="O174" s="73" t="s">
        <v>307</v>
      </c>
      <c r="P174" s="77" t="s">
        <v>625</v>
      </c>
    </row>
    <row r="175" customFormat="false" ht="15" hidden="false" customHeight="false" outlineLevel="0" collapsed="false">
      <c r="A175" s="73" t="s">
        <v>20</v>
      </c>
      <c r="B175" s="74" t="n">
        <v>46260</v>
      </c>
      <c r="C175" s="75" t="s">
        <v>67</v>
      </c>
      <c r="D175" s="73" t="s">
        <v>131</v>
      </c>
      <c r="E175" s="76" t="s">
        <v>626</v>
      </c>
      <c r="F175" s="73" t="s">
        <v>78</v>
      </c>
      <c r="G175" s="73" t="s">
        <v>119</v>
      </c>
      <c r="H175" s="73" t="s">
        <v>7</v>
      </c>
      <c r="I175" s="75" t="s">
        <v>414</v>
      </c>
      <c r="J175" s="75" t="s">
        <v>424</v>
      </c>
      <c r="K175" s="73" t="s">
        <v>135</v>
      </c>
      <c r="L175" s="73" t="s">
        <v>84</v>
      </c>
      <c r="M175" s="75" t="s">
        <v>414</v>
      </c>
      <c r="N175" s="76"/>
      <c r="O175" s="73" t="s">
        <v>307</v>
      </c>
      <c r="P175" s="76" t="s">
        <v>627</v>
      </c>
    </row>
    <row r="176" customFormat="false" ht="15" hidden="false" customHeight="false" outlineLevel="0" collapsed="false">
      <c r="A176" s="73" t="s">
        <v>20</v>
      </c>
      <c r="B176" s="74" t="n">
        <v>46260</v>
      </c>
      <c r="C176" s="75" t="s">
        <v>67</v>
      </c>
      <c r="D176" s="73" t="s">
        <v>131</v>
      </c>
      <c r="E176" s="76" t="s">
        <v>628</v>
      </c>
      <c r="F176" s="73" t="s">
        <v>78</v>
      </c>
      <c r="G176" s="73" t="s">
        <v>119</v>
      </c>
      <c r="H176" s="73" t="s">
        <v>7</v>
      </c>
      <c r="I176" s="75" t="s">
        <v>414</v>
      </c>
      <c r="J176" s="75" t="s">
        <v>424</v>
      </c>
      <c r="K176" s="73" t="s">
        <v>135</v>
      </c>
      <c r="L176" s="73" t="s">
        <v>84</v>
      </c>
      <c r="M176" s="75" t="s">
        <v>414</v>
      </c>
      <c r="N176" s="76"/>
      <c r="O176" s="73" t="s">
        <v>307</v>
      </c>
      <c r="P176" s="76" t="s">
        <v>629</v>
      </c>
    </row>
    <row r="177" customFormat="false" ht="15" hidden="false" customHeight="false" outlineLevel="0" collapsed="false">
      <c r="A177" s="73" t="s">
        <v>20</v>
      </c>
      <c r="B177" s="74" t="n">
        <v>46260</v>
      </c>
      <c r="C177" s="75" t="s">
        <v>67</v>
      </c>
      <c r="D177" s="73" t="s">
        <v>131</v>
      </c>
      <c r="E177" s="76" t="s">
        <v>628</v>
      </c>
      <c r="F177" s="73" t="s">
        <v>79</v>
      </c>
      <c r="G177" s="73" t="s">
        <v>119</v>
      </c>
      <c r="H177" s="73" t="s">
        <v>7</v>
      </c>
      <c r="I177" s="73" t="s">
        <v>140</v>
      </c>
      <c r="J177" s="75" t="s">
        <v>467</v>
      </c>
      <c r="K177" s="73" t="s">
        <v>137</v>
      </c>
      <c r="L177" s="73" t="s">
        <v>85</v>
      </c>
      <c r="M177" s="75" t="s">
        <v>414</v>
      </c>
      <c r="N177" s="76"/>
      <c r="O177" s="73" t="s">
        <v>307</v>
      </c>
      <c r="P177" s="77" t="s">
        <v>630</v>
      </c>
    </row>
    <row r="178" customFormat="false" ht="15" hidden="false" customHeight="false" outlineLevel="0" collapsed="false">
      <c r="A178" s="73" t="s">
        <v>20</v>
      </c>
      <c r="B178" s="74" t="n">
        <v>46261</v>
      </c>
      <c r="C178" s="75" t="s">
        <v>67</v>
      </c>
      <c r="D178" s="73" t="s">
        <v>131</v>
      </c>
      <c r="E178" s="76" t="s">
        <v>631</v>
      </c>
      <c r="F178" s="73" t="s">
        <v>78</v>
      </c>
      <c r="G178" s="73" t="s">
        <v>118</v>
      </c>
      <c r="H178" s="73" t="s">
        <v>7</v>
      </c>
      <c r="I178" s="75" t="s">
        <v>414</v>
      </c>
      <c r="J178" s="75" t="s">
        <v>424</v>
      </c>
      <c r="K178" s="73" t="s">
        <v>135</v>
      </c>
      <c r="L178" s="73" t="s">
        <v>84</v>
      </c>
      <c r="M178" s="75" t="s">
        <v>414</v>
      </c>
      <c r="N178" s="76"/>
      <c r="O178" s="73" t="s">
        <v>307</v>
      </c>
      <c r="P178" s="76" t="s">
        <v>632</v>
      </c>
    </row>
    <row r="179" customFormat="false" ht="15" hidden="false" customHeight="false" outlineLevel="0" collapsed="false">
      <c r="A179" s="73" t="s">
        <v>20</v>
      </c>
      <c r="B179" s="74" t="n">
        <v>46261</v>
      </c>
      <c r="C179" s="75" t="s">
        <v>67</v>
      </c>
      <c r="D179" s="73" t="s">
        <v>131</v>
      </c>
      <c r="E179" s="76" t="s">
        <v>631</v>
      </c>
      <c r="F179" s="73" t="s">
        <v>82</v>
      </c>
      <c r="G179" s="73" t="s">
        <v>117</v>
      </c>
      <c r="H179" s="73" t="s">
        <v>7</v>
      </c>
      <c r="I179" s="73" t="s">
        <v>140</v>
      </c>
      <c r="J179" s="75" t="s">
        <v>490</v>
      </c>
      <c r="K179" s="73" t="s">
        <v>137</v>
      </c>
      <c r="L179" s="73" t="s">
        <v>84</v>
      </c>
      <c r="M179" s="75" t="s">
        <v>414</v>
      </c>
      <c r="N179" s="76"/>
      <c r="O179" s="73" t="s">
        <v>307</v>
      </c>
      <c r="P179" s="76" t="s">
        <v>633</v>
      </c>
    </row>
    <row r="180" customFormat="false" ht="15" hidden="false" customHeight="false" outlineLevel="0" collapsed="false">
      <c r="A180" s="73" t="s">
        <v>20</v>
      </c>
      <c r="B180" s="74" t="n">
        <v>46261</v>
      </c>
      <c r="C180" s="75" t="s">
        <v>67</v>
      </c>
      <c r="D180" s="73" t="s">
        <v>131</v>
      </c>
      <c r="E180" s="76" t="s">
        <v>631</v>
      </c>
      <c r="F180" s="73" t="s">
        <v>79</v>
      </c>
      <c r="G180" s="73" t="s">
        <v>117</v>
      </c>
      <c r="H180" s="73" t="s">
        <v>7</v>
      </c>
      <c r="I180" s="73" t="s">
        <v>139</v>
      </c>
      <c r="J180" s="75" t="s">
        <v>467</v>
      </c>
      <c r="K180" s="73" t="s">
        <v>137</v>
      </c>
      <c r="L180" s="73" t="s">
        <v>85</v>
      </c>
      <c r="M180" s="75" t="s">
        <v>414</v>
      </c>
      <c r="N180" s="76"/>
      <c r="O180" s="73" t="s">
        <v>307</v>
      </c>
      <c r="P180" s="76" t="s">
        <v>634</v>
      </c>
    </row>
    <row r="181" customFormat="false" ht="15" hidden="false" customHeight="false" outlineLevel="0" collapsed="false">
      <c r="A181" s="73" t="s">
        <v>20</v>
      </c>
      <c r="B181" s="74" t="n">
        <v>46261</v>
      </c>
      <c r="C181" s="75" t="s">
        <v>67</v>
      </c>
      <c r="D181" s="73" t="s">
        <v>131</v>
      </c>
      <c r="E181" s="76" t="s">
        <v>631</v>
      </c>
      <c r="F181" s="73" t="s">
        <v>79</v>
      </c>
      <c r="G181" s="73" t="s">
        <v>119</v>
      </c>
      <c r="H181" s="73" t="s">
        <v>7</v>
      </c>
      <c r="I181" s="73" t="s">
        <v>140</v>
      </c>
      <c r="J181" s="75" t="s">
        <v>467</v>
      </c>
      <c r="K181" s="73" t="s">
        <v>137</v>
      </c>
      <c r="L181" s="73" t="s">
        <v>85</v>
      </c>
      <c r="M181" s="75" t="s">
        <v>414</v>
      </c>
      <c r="N181" s="76"/>
      <c r="O181" s="73" t="s">
        <v>307</v>
      </c>
      <c r="P181" s="77" t="s">
        <v>635</v>
      </c>
    </row>
    <row r="182" customFormat="false" ht="15" hidden="false" customHeight="false" outlineLevel="0" collapsed="false">
      <c r="A182" s="73" t="s">
        <v>20</v>
      </c>
      <c r="B182" s="74" t="n">
        <v>46261</v>
      </c>
      <c r="C182" s="75" t="s">
        <v>67</v>
      </c>
      <c r="D182" s="73" t="s">
        <v>131</v>
      </c>
      <c r="E182" s="76" t="s">
        <v>636</v>
      </c>
      <c r="F182" s="73" t="s">
        <v>78</v>
      </c>
      <c r="G182" s="73" t="s">
        <v>119</v>
      </c>
      <c r="H182" s="73" t="s">
        <v>7</v>
      </c>
      <c r="I182" s="75" t="s">
        <v>414</v>
      </c>
      <c r="J182" s="75" t="s">
        <v>424</v>
      </c>
      <c r="K182" s="73" t="s">
        <v>135</v>
      </c>
      <c r="L182" s="73" t="s">
        <v>84</v>
      </c>
      <c r="M182" s="75" t="s">
        <v>414</v>
      </c>
      <c r="N182" s="76"/>
      <c r="O182" s="73" t="s">
        <v>307</v>
      </c>
      <c r="P182" s="76" t="s">
        <v>637</v>
      </c>
    </row>
    <row r="183" customFormat="false" ht="15" hidden="false" customHeight="false" outlineLevel="0" collapsed="false">
      <c r="A183" s="73" t="s">
        <v>20</v>
      </c>
      <c r="B183" s="74" t="n">
        <v>46261</v>
      </c>
      <c r="C183" s="75" t="s">
        <v>67</v>
      </c>
      <c r="D183" s="73" t="s">
        <v>131</v>
      </c>
      <c r="E183" s="76" t="s">
        <v>636</v>
      </c>
      <c r="F183" s="73" t="s">
        <v>82</v>
      </c>
      <c r="G183" s="73" t="s">
        <v>119</v>
      </c>
      <c r="H183" s="73" t="s">
        <v>7</v>
      </c>
      <c r="I183" s="73" t="s">
        <v>140</v>
      </c>
      <c r="J183" s="75" t="s">
        <v>480</v>
      </c>
      <c r="K183" s="73" t="s">
        <v>136</v>
      </c>
      <c r="L183" s="73" t="s">
        <v>84</v>
      </c>
      <c r="M183" s="75" t="s">
        <v>414</v>
      </c>
      <c r="N183" s="76"/>
      <c r="O183" s="73" t="s">
        <v>307</v>
      </c>
      <c r="P183" s="77" t="s">
        <v>638</v>
      </c>
    </row>
    <row r="184" customFormat="false" ht="15" hidden="false" customHeight="false" outlineLevel="0" collapsed="false">
      <c r="A184" s="73" t="s">
        <v>20</v>
      </c>
      <c r="B184" s="74" t="n">
        <v>46261</v>
      </c>
      <c r="C184" s="75" t="s">
        <v>67</v>
      </c>
      <c r="D184" s="73" t="s">
        <v>131</v>
      </c>
      <c r="E184" s="76" t="s">
        <v>636</v>
      </c>
      <c r="F184" s="73" t="s">
        <v>79</v>
      </c>
      <c r="G184" s="73" t="s">
        <v>118</v>
      </c>
      <c r="H184" s="73" t="s">
        <v>7</v>
      </c>
      <c r="I184" s="73" t="s">
        <v>140</v>
      </c>
      <c r="J184" s="75" t="s">
        <v>490</v>
      </c>
      <c r="K184" s="73" t="s">
        <v>137</v>
      </c>
      <c r="L184" s="73" t="s">
        <v>84</v>
      </c>
      <c r="M184" s="75" t="s">
        <v>414</v>
      </c>
      <c r="N184" s="76"/>
      <c r="O184" s="73" t="s">
        <v>307</v>
      </c>
      <c r="P184" s="76" t="s">
        <v>639</v>
      </c>
    </row>
    <row r="185" customFormat="false" ht="15" hidden="false" customHeight="false" outlineLevel="0" collapsed="false">
      <c r="A185" s="73" t="s">
        <v>20</v>
      </c>
      <c r="B185" s="74" t="n">
        <v>46261</v>
      </c>
      <c r="C185" s="75" t="s">
        <v>67</v>
      </c>
      <c r="D185" s="73" t="s">
        <v>131</v>
      </c>
      <c r="E185" s="76" t="s">
        <v>422</v>
      </c>
      <c r="F185" s="73" t="s">
        <v>78</v>
      </c>
      <c r="G185" s="73" t="s">
        <v>118</v>
      </c>
      <c r="H185" s="73" t="s">
        <v>7</v>
      </c>
      <c r="I185" s="73" t="s">
        <v>140</v>
      </c>
      <c r="J185" s="75" t="s">
        <v>424</v>
      </c>
      <c r="K185" s="73" t="s">
        <v>135</v>
      </c>
      <c r="L185" s="73" t="s">
        <v>84</v>
      </c>
      <c r="M185" s="75" t="s">
        <v>414</v>
      </c>
      <c r="N185" s="76"/>
      <c r="O185" s="73" t="s">
        <v>307</v>
      </c>
      <c r="P185" s="76" t="s">
        <v>612</v>
      </c>
    </row>
    <row r="186" customFormat="false" ht="15" hidden="false" customHeight="false" outlineLevel="0" collapsed="false">
      <c r="A186" s="73" t="s">
        <v>20</v>
      </c>
      <c r="B186" s="74" t="n">
        <v>46261</v>
      </c>
      <c r="C186" s="75" t="s">
        <v>67</v>
      </c>
      <c r="D186" s="73" t="s">
        <v>131</v>
      </c>
      <c r="E186" s="76" t="s">
        <v>640</v>
      </c>
      <c r="F186" s="73" t="s">
        <v>78</v>
      </c>
      <c r="G186" s="73" t="s">
        <v>118</v>
      </c>
      <c r="H186" s="73" t="s">
        <v>7</v>
      </c>
      <c r="I186" s="73" t="s">
        <v>140</v>
      </c>
      <c r="J186" s="75" t="s">
        <v>424</v>
      </c>
      <c r="K186" s="73" t="s">
        <v>135</v>
      </c>
      <c r="L186" s="73" t="s">
        <v>84</v>
      </c>
      <c r="M186" s="75" t="s">
        <v>414</v>
      </c>
      <c r="N186" s="76"/>
      <c r="O186" s="73" t="s">
        <v>307</v>
      </c>
      <c r="P186" s="76" t="s">
        <v>641</v>
      </c>
    </row>
    <row r="187" customFormat="false" ht="15" hidden="false" customHeight="false" outlineLevel="0" collapsed="false">
      <c r="A187" s="73" t="s">
        <v>20</v>
      </c>
      <c r="B187" s="74" t="n">
        <v>46261</v>
      </c>
      <c r="C187" s="75" t="s">
        <v>67</v>
      </c>
      <c r="D187" s="73" t="s">
        <v>131</v>
      </c>
      <c r="E187" s="76" t="s">
        <v>640</v>
      </c>
      <c r="F187" s="73" t="s">
        <v>79</v>
      </c>
      <c r="G187" s="73" t="s">
        <v>119</v>
      </c>
      <c r="H187" s="73" t="s">
        <v>7</v>
      </c>
      <c r="I187" s="73" t="s">
        <v>140</v>
      </c>
      <c r="J187" s="75" t="s">
        <v>480</v>
      </c>
      <c r="K187" s="73" t="s">
        <v>136</v>
      </c>
      <c r="L187" s="73" t="s">
        <v>84</v>
      </c>
      <c r="M187" s="75" t="s">
        <v>414</v>
      </c>
      <c r="N187" s="76"/>
      <c r="O187" s="73" t="s">
        <v>307</v>
      </c>
      <c r="P187" s="76" t="s">
        <v>642</v>
      </c>
    </row>
    <row r="188" customFormat="false" ht="15" hidden="false" customHeight="false" outlineLevel="0" collapsed="false">
      <c r="A188" s="73" t="s">
        <v>20</v>
      </c>
      <c r="B188" s="74" t="n">
        <v>46261</v>
      </c>
      <c r="C188" s="75" t="s">
        <v>67</v>
      </c>
      <c r="D188" s="73" t="s">
        <v>131</v>
      </c>
      <c r="E188" s="76" t="s">
        <v>640</v>
      </c>
      <c r="F188" s="73" t="s">
        <v>79</v>
      </c>
      <c r="G188" s="73" t="s">
        <v>118</v>
      </c>
      <c r="H188" s="73" t="s">
        <v>7</v>
      </c>
      <c r="I188" s="73" t="s">
        <v>140</v>
      </c>
      <c r="J188" s="75" t="s">
        <v>467</v>
      </c>
      <c r="K188" s="73" t="s">
        <v>137</v>
      </c>
      <c r="L188" s="73" t="s">
        <v>84</v>
      </c>
      <c r="M188" s="75" t="s">
        <v>414</v>
      </c>
      <c r="N188" s="76"/>
      <c r="O188" s="73" t="s">
        <v>307</v>
      </c>
      <c r="P188" s="77" t="s">
        <v>625</v>
      </c>
    </row>
    <row r="189" customFormat="false" ht="15" hidden="false" customHeight="false" outlineLevel="0" collapsed="false">
      <c r="A189" s="73" t="s">
        <v>20</v>
      </c>
      <c r="B189" s="74" t="n">
        <v>46261</v>
      </c>
      <c r="C189" s="75" t="s">
        <v>67</v>
      </c>
      <c r="D189" s="73" t="s">
        <v>131</v>
      </c>
      <c r="E189" s="76" t="s">
        <v>443</v>
      </c>
      <c r="F189" s="73" t="s">
        <v>81</v>
      </c>
      <c r="G189" s="73" t="s">
        <v>8</v>
      </c>
      <c r="H189" s="73" t="s">
        <v>8</v>
      </c>
      <c r="I189" s="73" t="s">
        <v>140</v>
      </c>
      <c r="J189" s="75" t="s">
        <v>424</v>
      </c>
      <c r="K189" s="73" t="s">
        <v>135</v>
      </c>
      <c r="L189" s="73" t="s">
        <v>86</v>
      </c>
      <c r="M189" s="75" t="s">
        <v>414</v>
      </c>
      <c r="N189" s="76"/>
      <c r="O189" s="73" t="s">
        <v>307</v>
      </c>
      <c r="P189" s="76" t="s">
        <v>643</v>
      </c>
    </row>
    <row r="190" customFormat="false" ht="15" hidden="false" customHeight="false" outlineLevel="0" collapsed="false">
      <c r="A190" s="73" t="s">
        <v>19</v>
      </c>
      <c r="B190" s="74" t="n">
        <v>46254</v>
      </c>
      <c r="C190" s="75" t="s">
        <v>66</v>
      </c>
      <c r="D190" s="73" t="s">
        <v>129</v>
      </c>
      <c r="E190" s="76" t="s">
        <v>187</v>
      </c>
      <c r="F190" s="73" t="s">
        <v>80</v>
      </c>
      <c r="G190" s="73" t="s">
        <v>117</v>
      </c>
      <c r="H190" s="73" t="s">
        <v>9</v>
      </c>
      <c r="I190" s="73" t="s">
        <v>139</v>
      </c>
      <c r="J190" s="73" t="s">
        <v>464</v>
      </c>
      <c r="K190" s="73" t="s">
        <v>137</v>
      </c>
      <c r="L190" s="73" t="s">
        <v>84</v>
      </c>
      <c r="M190" s="75" t="s">
        <v>414</v>
      </c>
      <c r="N190" s="76" t="s">
        <v>46</v>
      </c>
      <c r="O190" s="73" t="s">
        <v>129</v>
      </c>
      <c r="P190" s="76" t="s">
        <v>188</v>
      </c>
    </row>
    <row r="191" customFormat="false" ht="15" hidden="false" customHeight="false" outlineLevel="0" collapsed="false">
      <c r="A191" s="73" t="s">
        <v>19</v>
      </c>
      <c r="B191" s="74" t="n">
        <v>46135</v>
      </c>
      <c r="C191" s="75" t="s">
        <v>644</v>
      </c>
      <c r="D191" s="73" t="s">
        <v>129</v>
      </c>
      <c r="E191" s="76" t="s">
        <v>187</v>
      </c>
      <c r="F191" s="73" t="s">
        <v>80</v>
      </c>
      <c r="G191" s="73" t="s">
        <v>117</v>
      </c>
      <c r="H191" s="73" t="s">
        <v>7</v>
      </c>
      <c r="I191" s="73" t="s">
        <v>139</v>
      </c>
      <c r="J191" s="75" t="s">
        <v>424</v>
      </c>
      <c r="K191" s="73" t="s">
        <v>137</v>
      </c>
      <c r="L191" s="73" t="s">
        <v>85</v>
      </c>
      <c r="M191" s="75" t="s">
        <v>414</v>
      </c>
      <c r="N191" s="76"/>
      <c r="O191" s="73" t="s">
        <v>129</v>
      </c>
      <c r="P191" s="76" t="s">
        <v>645</v>
      </c>
    </row>
    <row r="192" customFormat="false" ht="15" hidden="false" customHeight="false" outlineLevel="0" collapsed="false">
      <c r="A192" s="73" t="s">
        <v>19</v>
      </c>
      <c r="B192" s="74" t="n">
        <v>46184</v>
      </c>
      <c r="C192" s="75" t="s">
        <v>646</v>
      </c>
      <c r="D192" s="73" t="s">
        <v>129</v>
      </c>
      <c r="E192" s="76" t="s">
        <v>189</v>
      </c>
      <c r="F192" s="73" t="s">
        <v>78</v>
      </c>
      <c r="G192" s="73" t="s">
        <v>117</v>
      </c>
      <c r="H192" s="73" t="s">
        <v>9</v>
      </c>
      <c r="I192" s="73" t="s">
        <v>139</v>
      </c>
      <c r="J192" s="75" t="s">
        <v>414</v>
      </c>
      <c r="K192" s="75" t="s">
        <v>414</v>
      </c>
      <c r="L192" s="75" t="s">
        <v>414</v>
      </c>
      <c r="M192" s="75" t="s">
        <v>414</v>
      </c>
      <c r="N192" s="76" t="s">
        <v>42</v>
      </c>
      <c r="O192" s="73" t="s">
        <v>129</v>
      </c>
      <c r="P192" s="76" t="s">
        <v>190</v>
      </c>
    </row>
    <row r="193" customFormat="false" ht="15" hidden="false" customHeight="false" outlineLevel="0" collapsed="false">
      <c r="A193" s="73" t="s">
        <v>19</v>
      </c>
      <c r="B193" s="74" t="n">
        <v>46184</v>
      </c>
      <c r="C193" s="75" t="s">
        <v>646</v>
      </c>
      <c r="D193" s="73" t="s">
        <v>129</v>
      </c>
      <c r="E193" s="76" t="s">
        <v>189</v>
      </c>
      <c r="F193" s="73" t="s">
        <v>78</v>
      </c>
      <c r="G193" s="73" t="s">
        <v>117</v>
      </c>
      <c r="H193" s="73" t="s">
        <v>9</v>
      </c>
      <c r="I193" s="75" t="s">
        <v>414</v>
      </c>
      <c r="J193" s="75" t="s">
        <v>414</v>
      </c>
      <c r="K193" s="75" t="s">
        <v>414</v>
      </c>
      <c r="L193" s="75" t="s">
        <v>414</v>
      </c>
      <c r="M193" s="75" t="s">
        <v>414</v>
      </c>
      <c r="N193" s="76" t="s">
        <v>42</v>
      </c>
      <c r="O193" s="73" t="s">
        <v>129</v>
      </c>
      <c r="P193" s="76" t="s">
        <v>191</v>
      </c>
    </row>
    <row r="194" customFormat="false" ht="15" hidden="false" customHeight="false" outlineLevel="0" collapsed="false">
      <c r="A194" s="73" t="s">
        <v>19</v>
      </c>
      <c r="B194" s="74" t="n">
        <v>46184</v>
      </c>
      <c r="C194" s="75" t="s">
        <v>646</v>
      </c>
      <c r="D194" s="73" t="s">
        <v>129</v>
      </c>
      <c r="E194" s="76" t="s">
        <v>189</v>
      </c>
      <c r="F194" s="73" t="s">
        <v>124</v>
      </c>
      <c r="G194" s="73" t="s">
        <v>117</v>
      </c>
      <c r="H194" s="73" t="s">
        <v>7</v>
      </c>
      <c r="I194" s="73" t="s">
        <v>139</v>
      </c>
      <c r="J194" s="75" t="s">
        <v>414</v>
      </c>
      <c r="K194" s="73" t="s">
        <v>135</v>
      </c>
      <c r="L194" s="73" t="s">
        <v>85</v>
      </c>
      <c r="M194" s="75" t="s">
        <v>414</v>
      </c>
      <c r="N194" s="76"/>
      <c r="O194" s="73" t="s">
        <v>129</v>
      </c>
      <c r="P194" s="76" t="s">
        <v>647</v>
      </c>
    </row>
    <row r="195" customFormat="false" ht="15" hidden="false" customHeight="false" outlineLevel="0" collapsed="false">
      <c r="A195" s="73" t="s">
        <v>19</v>
      </c>
      <c r="B195" s="74" t="n">
        <v>46135</v>
      </c>
      <c r="C195" s="75" t="s">
        <v>644</v>
      </c>
      <c r="D195" s="73" t="s">
        <v>129</v>
      </c>
      <c r="E195" s="76" t="s">
        <v>189</v>
      </c>
      <c r="F195" s="73" t="s">
        <v>80</v>
      </c>
      <c r="G195" s="73" t="s">
        <v>117</v>
      </c>
      <c r="H195" s="73" t="s">
        <v>7</v>
      </c>
      <c r="I195" s="73" t="s">
        <v>140</v>
      </c>
      <c r="J195" s="75" t="s">
        <v>424</v>
      </c>
      <c r="K195" s="73" t="s">
        <v>136</v>
      </c>
      <c r="L195" s="73" t="s">
        <v>85</v>
      </c>
      <c r="M195" s="75" t="s">
        <v>414</v>
      </c>
      <c r="N195" s="76"/>
      <c r="O195" s="73" t="s">
        <v>129</v>
      </c>
      <c r="P195" s="76" t="s">
        <v>648</v>
      </c>
    </row>
    <row r="196" customFormat="false" ht="15" hidden="false" customHeight="false" outlineLevel="0" collapsed="false">
      <c r="A196" s="73" t="s">
        <v>19</v>
      </c>
      <c r="B196" s="74" t="n">
        <v>46254</v>
      </c>
      <c r="C196" s="75" t="s">
        <v>66</v>
      </c>
      <c r="D196" s="73" t="s">
        <v>129</v>
      </c>
      <c r="E196" s="76" t="s">
        <v>189</v>
      </c>
      <c r="F196" s="73" t="s">
        <v>80</v>
      </c>
      <c r="G196" s="73" t="s">
        <v>120</v>
      </c>
      <c r="H196" s="73" t="s">
        <v>7</v>
      </c>
      <c r="I196" s="75" t="s">
        <v>414</v>
      </c>
      <c r="J196" s="75" t="s">
        <v>414</v>
      </c>
      <c r="K196" s="75" t="s">
        <v>414</v>
      </c>
      <c r="L196" s="75" t="s">
        <v>414</v>
      </c>
      <c r="M196" s="75" t="s">
        <v>414</v>
      </c>
      <c r="N196" s="76"/>
      <c r="O196" s="73" t="s">
        <v>129</v>
      </c>
      <c r="P196" s="76"/>
    </row>
    <row r="197" customFormat="false" ht="15" hidden="false" customHeight="false" outlineLevel="0" collapsed="false">
      <c r="A197" s="73" t="s">
        <v>19</v>
      </c>
      <c r="B197" s="74" t="n">
        <v>46226</v>
      </c>
      <c r="C197" s="75" t="s">
        <v>62</v>
      </c>
      <c r="D197" s="73" t="s">
        <v>129</v>
      </c>
      <c r="E197" s="76" t="s">
        <v>649</v>
      </c>
      <c r="F197" s="73" t="s">
        <v>78</v>
      </c>
      <c r="G197" s="73" t="s">
        <v>117</v>
      </c>
      <c r="H197" s="73" t="s">
        <v>7</v>
      </c>
      <c r="I197" s="73" t="s">
        <v>139</v>
      </c>
      <c r="J197" s="75" t="s">
        <v>414</v>
      </c>
      <c r="K197" s="73" t="s">
        <v>135</v>
      </c>
      <c r="L197" s="73" t="s">
        <v>85</v>
      </c>
      <c r="M197" s="75" t="s">
        <v>414</v>
      </c>
      <c r="N197" s="76"/>
      <c r="O197" s="73" t="s">
        <v>129</v>
      </c>
      <c r="P197" s="76"/>
    </row>
    <row r="198" customFormat="false" ht="15" hidden="false" customHeight="false" outlineLevel="0" collapsed="false">
      <c r="A198" s="73" t="s">
        <v>19</v>
      </c>
      <c r="B198" s="74" t="n">
        <v>46252</v>
      </c>
      <c r="C198" s="75" t="s">
        <v>66</v>
      </c>
      <c r="D198" s="73" t="s">
        <v>129</v>
      </c>
      <c r="E198" s="76" t="s">
        <v>649</v>
      </c>
      <c r="F198" s="73" t="s">
        <v>78</v>
      </c>
      <c r="G198" s="73" t="s">
        <v>117</v>
      </c>
      <c r="H198" s="73" t="s">
        <v>108</v>
      </c>
      <c r="I198" s="73" t="s">
        <v>139</v>
      </c>
      <c r="J198" s="75" t="s">
        <v>414</v>
      </c>
      <c r="K198" s="73" t="s">
        <v>135</v>
      </c>
      <c r="L198" s="73" t="s">
        <v>85</v>
      </c>
      <c r="M198" s="75" t="s">
        <v>414</v>
      </c>
      <c r="N198" s="76"/>
      <c r="O198" s="73" t="s">
        <v>129</v>
      </c>
      <c r="P198" s="76" t="s">
        <v>650</v>
      </c>
    </row>
    <row r="199" customFormat="false" ht="15" hidden="false" customHeight="false" outlineLevel="0" collapsed="false">
      <c r="A199" s="73" t="s">
        <v>19</v>
      </c>
      <c r="B199" s="74" t="n">
        <v>46184</v>
      </c>
      <c r="C199" s="75" t="s">
        <v>646</v>
      </c>
      <c r="D199" s="73" t="s">
        <v>129</v>
      </c>
      <c r="E199" s="76" t="s">
        <v>192</v>
      </c>
      <c r="F199" s="73" t="s">
        <v>80</v>
      </c>
      <c r="G199" s="75" t="s">
        <v>414</v>
      </c>
      <c r="H199" s="73" t="s">
        <v>9</v>
      </c>
      <c r="I199" s="73" t="s">
        <v>140</v>
      </c>
      <c r="J199" s="75" t="s">
        <v>424</v>
      </c>
      <c r="K199" s="73" t="s">
        <v>137</v>
      </c>
      <c r="L199" s="73" t="s">
        <v>85</v>
      </c>
      <c r="M199" s="75" t="s">
        <v>414</v>
      </c>
      <c r="N199" s="76" t="s">
        <v>112</v>
      </c>
      <c r="O199" s="73" t="s">
        <v>129</v>
      </c>
      <c r="P199" s="76" t="s">
        <v>651</v>
      </c>
    </row>
    <row r="200" customFormat="false" ht="15" hidden="false" customHeight="false" outlineLevel="0" collapsed="false">
      <c r="A200" s="73" t="s">
        <v>19</v>
      </c>
      <c r="B200" s="74" t="n">
        <v>46252</v>
      </c>
      <c r="C200" s="75" t="s">
        <v>66</v>
      </c>
      <c r="D200" s="73" t="s">
        <v>129</v>
      </c>
      <c r="E200" s="76" t="s">
        <v>192</v>
      </c>
      <c r="F200" s="73" t="s">
        <v>80</v>
      </c>
      <c r="G200" s="75" t="s">
        <v>414</v>
      </c>
      <c r="H200" s="73" t="s">
        <v>9</v>
      </c>
      <c r="I200" s="73" t="s">
        <v>139</v>
      </c>
      <c r="J200" s="73" t="s">
        <v>464</v>
      </c>
      <c r="K200" s="73" t="s">
        <v>137</v>
      </c>
      <c r="L200" s="73" t="s">
        <v>85</v>
      </c>
      <c r="M200" s="75" t="s">
        <v>414</v>
      </c>
      <c r="N200" s="76" t="s">
        <v>42</v>
      </c>
      <c r="O200" s="73" t="s">
        <v>129</v>
      </c>
      <c r="P200" s="76" t="s">
        <v>194</v>
      </c>
    </row>
    <row r="201" customFormat="false" ht="15" hidden="false" customHeight="false" outlineLevel="0" collapsed="false">
      <c r="A201" s="73" t="s">
        <v>19</v>
      </c>
      <c r="B201" s="74" t="n">
        <v>46183</v>
      </c>
      <c r="C201" s="75" t="s">
        <v>646</v>
      </c>
      <c r="D201" s="73" t="s">
        <v>129</v>
      </c>
      <c r="E201" s="76" t="s">
        <v>195</v>
      </c>
      <c r="F201" s="73" t="s">
        <v>80</v>
      </c>
      <c r="G201" s="73" t="s">
        <v>117</v>
      </c>
      <c r="H201" s="73" t="s">
        <v>9</v>
      </c>
      <c r="I201" s="73" t="s">
        <v>139</v>
      </c>
      <c r="J201" s="75" t="s">
        <v>424</v>
      </c>
      <c r="K201" s="73" t="s">
        <v>137</v>
      </c>
      <c r="L201" s="73" t="s">
        <v>85</v>
      </c>
      <c r="M201" s="75" t="s">
        <v>414</v>
      </c>
      <c r="N201" s="76" t="s">
        <v>44</v>
      </c>
      <c r="O201" s="73" t="s">
        <v>129</v>
      </c>
      <c r="P201" s="76" t="s">
        <v>196</v>
      </c>
    </row>
    <row r="202" customFormat="false" ht="15" hidden="false" customHeight="false" outlineLevel="0" collapsed="false">
      <c r="A202" s="73" t="s">
        <v>19</v>
      </c>
      <c r="B202" s="74" t="n">
        <v>46254</v>
      </c>
      <c r="C202" s="75" t="s">
        <v>66</v>
      </c>
      <c r="D202" s="73" t="s">
        <v>129</v>
      </c>
      <c r="E202" s="76" t="s">
        <v>195</v>
      </c>
      <c r="F202" s="73" t="s">
        <v>80</v>
      </c>
      <c r="G202" s="73" t="s">
        <v>117</v>
      </c>
      <c r="H202" s="73" t="s">
        <v>9</v>
      </c>
      <c r="I202" s="73" t="s">
        <v>139</v>
      </c>
      <c r="J202" s="73" t="s">
        <v>464</v>
      </c>
      <c r="K202" s="73" t="s">
        <v>137</v>
      </c>
      <c r="L202" s="73" t="s">
        <v>85</v>
      </c>
      <c r="M202" s="75" t="s">
        <v>414</v>
      </c>
      <c r="N202" s="76" t="s">
        <v>44</v>
      </c>
      <c r="O202" s="73" t="s">
        <v>129</v>
      </c>
      <c r="P202" s="76" t="s">
        <v>196</v>
      </c>
    </row>
    <row r="203" customFormat="false" ht="15" hidden="false" customHeight="false" outlineLevel="0" collapsed="false">
      <c r="A203" s="73" t="s">
        <v>19</v>
      </c>
      <c r="B203" s="74" t="n">
        <v>46254</v>
      </c>
      <c r="C203" s="75" t="s">
        <v>66</v>
      </c>
      <c r="D203" s="73" t="s">
        <v>129</v>
      </c>
      <c r="E203" s="76" t="s">
        <v>195</v>
      </c>
      <c r="F203" s="73" t="s">
        <v>79</v>
      </c>
      <c r="G203" s="73" t="s">
        <v>117</v>
      </c>
      <c r="H203" s="73" t="s">
        <v>9</v>
      </c>
      <c r="I203" s="73" t="s">
        <v>139</v>
      </c>
      <c r="J203" s="73" t="s">
        <v>464</v>
      </c>
      <c r="K203" s="73" t="s">
        <v>137</v>
      </c>
      <c r="L203" s="73" t="s">
        <v>85</v>
      </c>
      <c r="M203" s="75" t="s">
        <v>414</v>
      </c>
      <c r="N203" s="76" t="s">
        <v>46</v>
      </c>
      <c r="O203" s="73" t="s">
        <v>129</v>
      </c>
      <c r="P203" s="76" t="s">
        <v>197</v>
      </c>
    </row>
    <row r="204" customFormat="false" ht="15" hidden="false" customHeight="false" outlineLevel="0" collapsed="false">
      <c r="A204" s="73" t="s">
        <v>19</v>
      </c>
      <c r="B204" s="74" t="n">
        <v>46135</v>
      </c>
      <c r="C204" s="75" t="s">
        <v>644</v>
      </c>
      <c r="D204" s="73" t="s">
        <v>129</v>
      </c>
      <c r="E204" s="76" t="s">
        <v>652</v>
      </c>
      <c r="F204" s="73" t="s">
        <v>78</v>
      </c>
      <c r="G204" s="75" t="s">
        <v>414</v>
      </c>
      <c r="H204" s="73" t="s">
        <v>7</v>
      </c>
      <c r="I204" s="73" t="s">
        <v>140</v>
      </c>
      <c r="J204" s="75" t="s">
        <v>414</v>
      </c>
      <c r="K204" s="73" t="s">
        <v>135</v>
      </c>
      <c r="L204" s="73" t="s">
        <v>85</v>
      </c>
      <c r="M204" s="75" t="s">
        <v>414</v>
      </c>
      <c r="N204" s="76"/>
      <c r="O204" s="73" t="s">
        <v>129</v>
      </c>
      <c r="P204" s="76" t="s">
        <v>653</v>
      </c>
    </row>
    <row r="205" customFormat="false" ht="15" hidden="false" customHeight="false" outlineLevel="0" collapsed="false">
      <c r="A205" s="73" t="s">
        <v>19</v>
      </c>
      <c r="B205" s="74" t="n">
        <v>46135</v>
      </c>
      <c r="C205" s="75" t="s">
        <v>644</v>
      </c>
      <c r="D205" s="73" t="s">
        <v>129</v>
      </c>
      <c r="E205" s="76" t="s">
        <v>652</v>
      </c>
      <c r="F205" s="73" t="s">
        <v>78</v>
      </c>
      <c r="G205" s="75" t="s">
        <v>414</v>
      </c>
      <c r="H205" s="73" t="s">
        <v>7</v>
      </c>
      <c r="I205" s="75" t="s">
        <v>414</v>
      </c>
      <c r="J205" s="75" t="s">
        <v>414</v>
      </c>
      <c r="K205" s="73" t="s">
        <v>135</v>
      </c>
      <c r="L205" s="73" t="s">
        <v>85</v>
      </c>
      <c r="M205" s="75" t="s">
        <v>414</v>
      </c>
      <c r="N205" s="76"/>
      <c r="O205" s="73" t="s">
        <v>129</v>
      </c>
      <c r="P205" s="76" t="s">
        <v>654</v>
      </c>
    </row>
    <row r="206" customFormat="false" ht="15" hidden="false" customHeight="false" outlineLevel="0" collapsed="false">
      <c r="A206" s="73" t="s">
        <v>19</v>
      </c>
      <c r="B206" s="74" t="n">
        <v>46135</v>
      </c>
      <c r="C206" s="75" t="s">
        <v>644</v>
      </c>
      <c r="D206" s="73" t="s">
        <v>129</v>
      </c>
      <c r="E206" s="76" t="s">
        <v>652</v>
      </c>
      <c r="F206" s="73" t="s">
        <v>80</v>
      </c>
      <c r="G206" s="73" t="s">
        <v>120</v>
      </c>
      <c r="H206" s="73" t="s">
        <v>7</v>
      </c>
      <c r="I206" s="73" t="s">
        <v>139</v>
      </c>
      <c r="J206" s="75" t="s">
        <v>424</v>
      </c>
      <c r="K206" s="73" t="s">
        <v>135</v>
      </c>
      <c r="L206" s="75" t="s">
        <v>414</v>
      </c>
      <c r="M206" s="75" t="s">
        <v>414</v>
      </c>
      <c r="N206" s="76"/>
      <c r="O206" s="73" t="s">
        <v>129</v>
      </c>
      <c r="P206" s="76"/>
    </row>
    <row r="207" customFormat="false" ht="15" hidden="false" customHeight="false" outlineLevel="0" collapsed="false">
      <c r="A207" s="73" t="s">
        <v>19</v>
      </c>
      <c r="B207" s="74" t="n">
        <v>46254</v>
      </c>
      <c r="C207" s="75" t="s">
        <v>66</v>
      </c>
      <c r="D207" s="73" t="s">
        <v>129</v>
      </c>
      <c r="E207" s="76" t="s">
        <v>652</v>
      </c>
      <c r="F207" s="73" t="s">
        <v>80</v>
      </c>
      <c r="G207" s="73" t="s">
        <v>117</v>
      </c>
      <c r="H207" s="73" t="s">
        <v>7</v>
      </c>
      <c r="I207" s="73" t="s">
        <v>139</v>
      </c>
      <c r="J207" s="75" t="s">
        <v>414</v>
      </c>
      <c r="K207" s="73" t="s">
        <v>135</v>
      </c>
      <c r="L207" s="73" t="s">
        <v>85</v>
      </c>
      <c r="M207" s="75" t="s">
        <v>414</v>
      </c>
      <c r="N207" s="76"/>
      <c r="O207" s="73" t="s">
        <v>129</v>
      </c>
      <c r="P207" s="76" t="s">
        <v>655</v>
      </c>
    </row>
    <row r="208" customFormat="false" ht="15" hidden="false" customHeight="false" outlineLevel="0" collapsed="false">
      <c r="A208" s="73" t="s">
        <v>19</v>
      </c>
      <c r="B208" s="74" t="n">
        <v>46253</v>
      </c>
      <c r="C208" s="75" t="s">
        <v>66</v>
      </c>
      <c r="D208" s="73" t="s">
        <v>129</v>
      </c>
      <c r="E208" s="76" t="s">
        <v>656</v>
      </c>
      <c r="F208" s="73" t="s">
        <v>124</v>
      </c>
      <c r="G208" s="75" t="s">
        <v>414</v>
      </c>
      <c r="H208" s="73" t="s">
        <v>7</v>
      </c>
      <c r="I208" s="73" t="s">
        <v>139</v>
      </c>
      <c r="J208" s="75" t="s">
        <v>414</v>
      </c>
      <c r="K208" s="73" t="s">
        <v>135</v>
      </c>
      <c r="L208" s="73" t="s">
        <v>84</v>
      </c>
      <c r="M208" s="75" t="s">
        <v>414</v>
      </c>
      <c r="N208" s="76"/>
      <c r="O208" s="73" t="s">
        <v>129</v>
      </c>
      <c r="P208" s="76" t="s">
        <v>657</v>
      </c>
    </row>
    <row r="209" customFormat="false" ht="15" hidden="false" customHeight="false" outlineLevel="0" collapsed="false">
      <c r="A209" s="73" t="s">
        <v>19</v>
      </c>
      <c r="B209" s="74" t="n">
        <v>46253</v>
      </c>
      <c r="C209" s="75" t="s">
        <v>66</v>
      </c>
      <c r="D209" s="73" t="s">
        <v>129</v>
      </c>
      <c r="E209" s="76" t="s">
        <v>656</v>
      </c>
      <c r="F209" s="73" t="s">
        <v>82</v>
      </c>
      <c r="G209" s="75" t="s">
        <v>414</v>
      </c>
      <c r="H209" s="73" t="s">
        <v>108</v>
      </c>
      <c r="I209" s="73" t="s">
        <v>140</v>
      </c>
      <c r="J209" s="73" t="s">
        <v>464</v>
      </c>
      <c r="K209" s="73" t="s">
        <v>135</v>
      </c>
      <c r="L209" s="73" t="s">
        <v>85</v>
      </c>
      <c r="M209" s="75" t="s">
        <v>414</v>
      </c>
      <c r="N209" s="76"/>
      <c r="O209" s="73" t="s">
        <v>129</v>
      </c>
      <c r="P209" s="77" t="s">
        <v>658</v>
      </c>
    </row>
    <row r="210" customFormat="false" ht="15" hidden="false" customHeight="false" outlineLevel="0" collapsed="false">
      <c r="A210" s="73" t="s">
        <v>19</v>
      </c>
      <c r="B210" s="74" t="n">
        <v>46139</v>
      </c>
      <c r="C210" s="75" t="s">
        <v>659</v>
      </c>
      <c r="D210" s="73" t="s">
        <v>129</v>
      </c>
      <c r="E210" s="76" t="s">
        <v>656</v>
      </c>
      <c r="F210" s="73" t="s">
        <v>81</v>
      </c>
      <c r="G210" s="75" t="s">
        <v>414</v>
      </c>
      <c r="H210" s="73" t="s">
        <v>7</v>
      </c>
      <c r="I210" s="75" t="s">
        <v>414</v>
      </c>
      <c r="J210" s="75" t="s">
        <v>414</v>
      </c>
      <c r="K210" s="73" t="s">
        <v>136</v>
      </c>
      <c r="L210" s="73" t="s">
        <v>85</v>
      </c>
      <c r="M210" s="75" t="s">
        <v>414</v>
      </c>
      <c r="N210" s="76"/>
      <c r="O210" s="73" t="s">
        <v>129</v>
      </c>
      <c r="P210" s="77" t="s">
        <v>660</v>
      </c>
    </row>
    <row r="211" customFormat="false" ht="15" hidden="false" customHeight="false" outlineLevel="0" collapsed="false">
      <c r="A211" s="73" t="s">
        <v>19</v>
      </c>
      <c r="B211" s="74" t="n">
        <v>46253</v>
      </c>
      <c r="C211" s="75" t="s">
        <v>66</v>
      </c>
      <c r="D211" s="73" t="s">
        <v>129</v>
      </c>
      <c r="E211" s="76" t="s">
        <v>656</v>
      </c>
      <c r="F211" s="73" t="s">
        <v>80</v>
      </c>
      <c r="G211" s="73" t="s">
        <v>120</v>
      </c>
      <c r="H211" s="73" t="s">
        <v>7</v>
      </c>
      <c r="I211" s="75" t="s">
        <v>414</v>
      </c>
      <c r="J211" s="75" t="s">
        <v>414</v>
      </c>
      <c r="K211" s="75" t="s">
        <v>414</v>
      </c>
      <c r="L211" s="75" t="s">
        <v>414</v>
      </c>
      <c r="M211" s="75" t="s">
        <v>414</v>
      </c>
      <c r="N211" s="76"/>
      <c r="O211" s="73" t="s">
        <v>129</v>
      </c>
      <c r="P211" s="76"/>
    </row>
    <row r="212" customFormat="false" ht="15" hidden="false" customHeight="false" outlineLevel="0" collapsed="false">
      <c r="A212" s="73" t="s">
        <v>19</v>
      </c>
      <c r="B212" s="74" t="n">
        <v>46253</v>
      </c>
      <c r="C212" s="75" t="s">
        <v>66</v>
      </c>
      <c r="D212" s="73" t="s">
        <v>129</v>
      </c>
      <c r="E212" s="76" t="s">
        <v>198</v>
      </c>
      <c r="F212" s="73" t="s">
        <v>78</v>
      </c>
      <c r="G212" s="75" t="s">
        <v>414</v>
      </c>
      <c r="H212" s="73" t="s">
        <v>108</v>
      </c>
      <c r="I212" s="75" t="s">
        <v>414</v>
      </c>
      <c r="J212" s="75" t="s">
        <v>414</v>
      </c>
      <c r="K212" s="73" t="s">
        <v>135</v>
      </c>
      <c r="L212" s="73" t="s">
        <v>85</v>
      </c>
      <c r="M212" s="75" t="s">
        <v>414</v>
      </c>
      <c r="N212" s="76"/>
      <c r="O212" s="73" t="s">
        <v>129</v>
      </c>
      <c r="P212" s="76" t="s">
        <v>661</v>
      </c>
    </row>
    <row r="213" customFormat="false" ht="15" hidden="false" customHeight="false" outlineLevel="0" collapsed="false">
      <c r="A213" s="73" t="s">
        <v>19</v>
      </c>
      <c r="B213" s="74" t="n">
        <v>46268</v>
      </c>
      <c r="C213" s="75" t="s">
        <v>68</v>
      </c>
      <c r="D213" s="73" t="s">
        <v>129</v>
      </c>
      <c r="E213" s="76" t="s">
        <v>198</v>
      </c>
      <c r="F213" s="73" t="s">
        <v>124</v>
      </c>
      <c r="G213" s="75" t="s">
        <v>414</v>
      </c>
      <c r="H213" s="73" t="s">
        <v>7</v>
      </c>
      <c r="I213" s="73" t="s">
        <v>139</v>
      </c>
      <c r="J213" s="75" t="s">
        <v>480</v>
      </c>
      <c r="K213" s="73" t="s">
        <v>136</v>
      </c>
      <c r="L213" s="73" t="s">
        <v>84</v>
      </c>
      <c r="M213" s="75" t="s">
        <v>414</v>
      </c>
      <c r="N213" s="76"/>
      <c r="O213" s="73" t="s">
        <v>129</v>
      </c>
      <c r="P213" s="76" t="s">
        <v>662</v>
      </c>
    </row>
    <row r="214" customFormat="false" ht="15" hidden="false" customHeight="false" outlineLevel="0" collapsed="false">
      <c r="A214" s="73" t="s">
        <v>19</v>
      </c>
      <c r="B214" s="74" t="n">
        <v>46268</v>
      </c>
      <c r="C214" s="75" t="s">
        <v>68</v>
      </c>
      <c r="D214" s="73" t="s">
        <v>129</v>
      </c>
      <c r="E214" s="76" t="s">
        <v>198</v>
      </c>
      <c r="F214" s="73" t="s">
        <v>82</v>
      </c>
      <c r="G214" s="75" t="s">
        <v>414</v>
      </c>
      <c r="H214" s="73" t="s">
        <v>7</v>
      </c>
      <c r="I214" s="73" t="s">
        <v>139</v>
      </c>
      <c r="J214" s="75" t="s">
        <v>490</v>
      </c>
      <c r="K214" s="73" t="s">
        <v>136</v>
      </c>
      <c r="L214" s="73" t="s">
        <v>84</v>
      </c>
      <c r="M214" s="75" t="s">
        <v>414</v>
      </c>
      <c r="N214" s="76"/>
      <c r="O214" s="73" t="s">
        <v>129</v>
      </c>
      <c r="P214" s="76" t="s">
        <v>662</v>
      </c>
    </row>
    <row r="215" customFormat="false" ht="15" hidden="false" customHeight="false" outlineLevel="0" collapsed="false">
      <c r="A215" s="73" t="s">
        <v>19</v>
      </c>
      <c r="B215" s="74" t="n">
        <v>46253</v>
      </c>
      <c r="C215" s="75" t="s">
        <v>66</v>
      </c>
      <c r="D215" s="73" t="s">
        <v>129</v>
      </c>
      <c r="E215" s="76" t="s">
        <v>198</v>
      </c>
      <c r="F215" s="73" t="s">
        <v>81</v>
      </c>
      <c r="G215" s="75" t="s">
        <v>414</v>
      </c>
      <c r="H215" s="73" t="s">
        <v>7</v>
      </c>
      <c r="I215" s="75" t="s">
        <v>414</v>
      </c>
      <c r="J215" s="75" t="s">
        <v>414</v>
      </c>
      <c r="K215" s="73" t="s">
        <v>135</v>
      </c>
      <c r="L215" s="73" t="s">
        <v>85</v>
      </c>
      <c r="M215" s="75" t="s">
        <v>414</v>
      </c>
      <c r="N215" s="76"/>
      <c r="O215" s="73" t="s">
        <v>129</v>
      </c>
      <c r="P215" s="76" t="s">
        <v>663</v>
      </c>
    </row>
    <row r="216" customFormat="false" ht="15" hidden="false" customHeight="false" outlineLevel="0" collapsed="false">
      <c r="A216" s="73" t="s">
        <v>19</v>
      </c>
      <c r="B216" s="74" t="n">
        <v>46253</v>
      </c>
      <c r="C216" s="75" t="s">
        <v>66</v>
      </c>
      <c r="D216" s="73" t="s">
        <v>129</v>
      </c>
      <c r="E216" s="76" t="s">
        <v>198</v>
      </c>
      <c r="F216" s="73" t="s">
        <v>80</v>
      </c>
      <c r="G216" s="75" t="s">
        <v>414</v>
      </c>
      <c r="H216" s="73" t="s">
        <v>7</v>
      </c>
      <c r="I216" s="75" t="s">
        <v>414</v>
      </c>
      <c r="J216" s="75" t="s">
        <v>414</v>
      </c>
      <c r="K216" s="73" t="s">
        <v>135</v>
      </c>
      <c r="L216" s="73" t="s">
        <v>85</v>
      </c>
      <c r="M216" s="75" t="s">
        <v>414</v>
      </c>
      <c r="N216" s="76"/>
      <c r="O216" s="73" t="s">
        <v>129</v>
      </c>
      <c r="P216" s="76" t="s">
        <v>664</v>
      </c>
    </row>
    <row r="217" customFormat="false" ht="15" hidden="false" customHeight="false" outlineLevel="0" collapsed="false">
      <c r="A217" s="73" t="s">
        <v>19</v>
      </c>
      <c r="B217" s="74" t="n">
        <v>46192</v>
      </c>
      <c r="C217" s="75" t="s">
        <v>665</v>
      </c>
      <c r="D217" s="73" t="s">
        <v>129</v>
      </c>
      <c r="E217" s="76" t="s">
        <v>198</v>
      </c>
      <c r="F217" s="73" t="s">
        <v>80</v>
      </c>
      <c r="G217" s="75" t="s">
        <v>414</v>
      </c>
      <c r="H217" s="73" t="s">
        <v>9</v>
      </c>
      <c r="I217" s="73" t="s">
        <v>139</v>
      </c>
      <c r="J217" s="75" t="s">
        <v>424</v>
      </c>
      <c r="K217" s="75" t="s">
        <v>414</v>
      </c>
      <c r="L217" s="73" t="s">
        <v>85</v>
      </c>
      <c r="M217" s="75" t="s">
        <v>414</v>
      </c>
      <c r="N217" s="76" t="s">
        <v>44</v>
      </c>
      <c r="O217" s="73" t="s">
        <v>129</v>
      </c>
      <c r="P217" s="76" t="s">
        <v>199</v>
      </c>
    </row>
    <row r="218" customFormat="false" ht="15" hidden="false" customHeight="false" outlineLevel="0" collapsed="false">
      <c r="A218" s="73" t="s">
        <v>19</v>
      </c>
      <c r="B218" s="74" t="n">
        <v>46136</v>
      </c>
      <c r="C218" s="75" t="s">
        <v>644</v>
      </c>
      <c r="D218" s="73" t="s">
        <v>129</v>
      </c>
      <c r="E218" s="76" t="s">
        <v>200</v>
      </c>
      <c r="F218" s="73" t="s">
        <v>81</v>
      </c>
      <c r="G218" s="73" t="s">
        <v>118</v>
      </c>
      <c r="H218" s="73" t="s">
        <v>9</v>
      </c>
      <c r="I218" s="73" t="s">
        <v>139</v>
      </c>
      <c r="J218" s="75" t="s">
        <v>414</v>
      </c>
      <c r="K218" s="73" t="s">
        <v>137</v>
      </c>
      <c r="L218" s="73" t="s">
        <v>85</v>
      </c>
      <c r="M218" s="75" t="s">
        <v>414</v>
      </c>
      <c r="N218" s="76" t="s">
        <v>112</v>
      </c>
      <c r="O218" s="73" t="s">
        <v>129</v>
      </c>
      <c r="P218" s="76" t="s">
        <v>201</v>
      </c>
    </row>
    <row r="219" customFormat="false" ht="15" hidden="false" customHeight="false" outlineLevel="0" collapsed="false">
      <c r="A219" s="73" t="s">
        <v>19</v>
      </c>
      <c r="B219" s="74" t="n">
        <v>46253</v>
      </c>
      <c r="C219" s="75" t="s">
        <v>66</v>
      </c>
      <c r="D219" s="73" t="s">
        <v>129</v>
      </c>
      <c r="E219" s="76" t="s">
        <v>200</v>
      </c>
      <c r="F219" s="73" t="s">
        <v>80</v>
      </c>
      <c r="G219" s="75" t="s">
        <v>414</v>
      </c>
      <c r="H219" s="73" t="s">
        <v>9</v>
      </c>
      <c r="I219" s="73" t="s">
        <v>139</v>
      </c>
      <c r="J219" s="75" t="s">
        <v>414</v>
      </c>
      <c r="K219" s="73" t="s">
        <v>137</v>
      </c>
      <c r="L219" s="73" t="s">
        <v>85</v>
      </c>
      <c r="M219" s="75" t="s">
        <v>414</v>
      </c>
      <c r="N219" s="76" t="s">
        <v>44</v>
      </c>
      <c r="O219" s="73" t="s">
        <v>129</v>
      </c>
      <c r="P219" s="76" t="s">
        <v>202</v>
      </c>
    </row>
    <row r="220" customFormat="false" ht="15" hidden="false" customHeight="false" outlineLevel="0" collapsed="false">
      <c r="A220" s="73" t="s">
        <v>19</v>
      </c>
      <c r="B220" s="74" t="n">
        <v>46183</v>
      </c>
      <c r="C220" s="75" t="s">
        <v>646</v>
      </c>
      <c r="D220" s="73" t="s">
        <v>129</v>
      </c>
      <c r="E220" s="76" t="s">
        <v>203</v>
      </c>
      <c r="F220" s="73" t="s">
        <v>78</v>
      </c>
      <c r="G220" s="75" t="s">
        <v>414</v>
      </c>
      <c r="H220" s="73" t="s">
        <v>7</v>
      </c>
      <c r="I220" s="73" t="s">
        <v>140</v>
      </c>
      <c r="J220" s="75" t="s">
        <v>414</v>
      </c>
      <c r="K220" s="73" t="s">
        <v>136</v>
      </c>
      <c r="L220" s="73" t="s">
        <v>85</v>
      </c>
      <c r="M220" s="75" t="s">
        <v>414</v>
      </c>
      <c r="N220" s="76"/>
      <c r="O220" s="73" t="s">
        <v>129</v>
      </c>
      <c r="P220" s="76" t="s">
        <v>666</v>
      </c>
    </row>
    <row r="221" customFormat="false" ht="15" hidden="false" customHeight="false" outlineLevel="0" collapsed="false">
      <c r="A221" s="73" t="s">
        <v>19</v>
      </c>
      <c r="B221" s="74" t="n">
        <v>46183</v>
      </c>
      <c r="C221" s="75" t="s">
        <v>646</v>
      </c>
      <c r="D221" s="73" t="s">
        <v>129</v>
      </c>
      <c r="E221" s="76" t="s">
        <v>203</v>
      </c>
      <c r="F221" s="73" t="s">
        <v>124</v>
      </c>
      <c r="G221" s="75" t="s">
        <v>414</v>
      </c>
      <c r="H221" s="73" t="s">
        <v>7</v>
      </c>
      <c r="I221" s="73" t="s">
        <v>139</v>
      </c>
      <c r="J221" s="75" t="s">
        <v>414</v>
      </c>
      <c r="K221" s="73" t="s">
        <v>135</v>
      </c>
      <c r="L221" s="73" t="s">
        <v>85</v>
      </c>
      <c r="M221" s="75" t="s">
        <v>414</v>
      </c>
      <c r="N221" s="76"/>
      <c r="O221" s="73" t="s">
        <v>129</v>
      </c>
      <c r="P221" s="76" t="s">
        <v>667</v>
      </c>
    </row>
    <row r="222" customFormat="false" ht="15" hidden="false" customHeight="false" outlineLevel="0" collapsed="false">
      <c r="A222" s="73" t="s">
        <v>19</v>
      </c>
      <c r="B222" s="74" t="n">
        <v>46253</v>
      </c>
      <c r="C222" s="75" t="s">
        <v>66</v>
      </c>
      <c r="D222" s="73" t="s">
        <v>129</v>
      </c>
      <c r="E222" s="76" t="s">
        <v>203</v>
      </c>
      <c r="F222" s="73" t="s">
        <v>80</v>
      </c>
      <c r="G222" s="75" t="s">
        <v>414</v>
      </c>
      <c r="H222" s="73" t="s">
        <v>9</v>
      </c>
      <c r="I222" s="73" t="s">
        <v>140</v>
      </c>
      <c r="J222" s="75" t="s">
        <v>414</v>
      </c>
      <c r="K222" s="75" t="s">
        <v>414</v>
      </c>
      <c r="L222" s="73" t="s">
        <v>85</v>
      </c>
      <c r="M222" s="75" t="s">
        <v>414</v>
      </c>
      <c r="N222" s="76" t="s">
        <v>111</v>
      </c>
      <c r="O222" s="73" t="s">
        <v>129</v>
      </c>
      <c r="P222" s="76" t="s">
        <v>204</v>
      </c>
    </row>
    <row r="223" customFormat="false" ht="15" hidden="false" customHeight="false" outlineLevel="0" collapsed="false">
      <c r="A223" s="73" t="s">
        <v>19</v>
      </c>
      <c r="B223" s="74" t="n">
        <v>46135</v>
      </c>
      <c r="C223" s="75" t="s">
        <v>644</v>
      </c>
      <c r="D223" s="73" t="s">
        <v>129</v>
      </c>
      <c r="E223" s="76" t="s">
        <v>668</v>
      </c>
      <c r="F223" s="73" t="s">
        <v>80</v>
      </c>
      <c r="G223" s="75" t="s">
        <v>414</v>
      </c>
      <c r="H223" s="75" t="s">
        <v>414</v>
      </c>
      <c r="I223" s="73" t="s">
        <v>139</v>
      </c>
      <c r="J223" s="75" t="s">
        <v>424</v>
      </c>
      <c r="K223" s="75" t="s">
        <v>414</v>
      </c>
      <c r="L223" s="75" t="s">
        <v>414</v>
      </c>
      <c r="M223" s="75" t="s">
        <v>414</v>
      </c>
      <c r="N223" s="76"/>
      <c r="O223" s="73" t="s">
        <v>129</v>
      </c>
      <c r="P223" s="76" t="s">
        <v>669</v>
      </c>
    </row>
    <row r="224" customFormat="false" ht="15" hidden="false" customHeight="false" outlineLevel="0" collapsed="false">
      <c r="A224" s="73" t="s">
        <v>19</v>
      </c>
      <c r="B224" s="74" t="n">
        <v>46254</v>
      </c>
      <c r="C224" s="75" t="s">
        <v>66</v>
      </c>
      <c r="D224" s="73" t="s">
        <v>129</v>
      </c>
      <c r="E224" s="76" t="s">
        <v>668</v>
      </c>
      <c r="F224" s="73" t="s">
        <v>80</v>
      </c>
      <c r="G224" s="73" t="s">
        <v>120</v>
      </c>
      <c r="H224" s="73" t="s">
        <v>7</v>
      </c>
      <c r="I224" s="75" t="s">
        <v>414</v>
      </c>
      <c r="J224" s="75" t="s">
        <v>414</v>
      </c>
      <c r="K224" s="75" t="s">
        <v>414</v>
      </c>
      <c r="L224" s="75" t="s">
        <v>414</v>
      </c>
      <c r="M224" s="75" t="s">
        <v>414</v>
      </c>
      <c r="N224" s="76"/>
      <c r="O224" s="73" t="s">
        <v>129</v>
      </c>
      <c r="P224" s="76"/>
    </row>
    <row r="225" customFormat="false" ht="15" hidden="false" customHeight="false" outlineLevel="0" collapsed="false">
      <c r="A225" s="73" t="s">
        <v>19</v>
      </c>
      <c r="B225" s="74" t="n">
        <v>46191</v>
      </c>
      <c r="C225" s="75" t="s">
        <v>665</v>
      </c>
      <c r="D225" s="73" t="s">
        <v>129</v>
      </c>
      <c r="E225" s="76" t="s">
        <v>205</v>
      </c>
      <c r="F225" s="73" t="s">
        <v>78</v>
      </c>
      <c r="G225" s="75" t="s">
        <v>414</v>
      </c>
      <c r="H225" s="73" t="s">
        <v>9</v>
      </c>
      <c r="I225" s="73" t="s">
        <v>139</v>
      </c>
      <c r="J225" s="75" t="s">
        <v>414</v>
      </c>
      <c r="K225" s="75" t="s">
        <v>414</v>
      </c>
      <c r="L225" s="73" t="s">
        <v>84</v>
      </c>
      <c r="M225" s="75" t="s">
        <v>414</v>
      </c>
      <c r="N225" s="76" t="s">
        <v>38</v>
      </c>
      <c r="O225" s="73" t="s">
        <v>129</v>
      </c>
      <c r="P225" s="76" t="s">
        <v>206</v>
      </c>
    </row>
    <row r="226" customFormat="false" ht="15" hidden="false" customHeight="false" outlineLevel="0" collapsed="false">
      <c r="A226" s="73" t="s">
        <v>19</v>
      </c>
      <c r="B226" s="74" t="n">
        <v>46213</v>
      </c>
      <c r="C226" s="75" t="s">
        <v>60</v>
      </c>
      <c r="D226" s="73" t="s">
        <v>129</v>
      </c>
      <c r="E226" s="76" t="s">
        <v>205</v>
      </c>
      <c r="F226" s="73" t="s">
        <v>78</v>
      </c>
      <c r="G226" s="75" t="s">
        <v>414</v>
      </c>
      <c r="H226" s="73" t="s">
        <v>7</v>
      </c>
      <c r="I226" s="73" t="s">
        <v>139</v>
      </c>
      <c r="J226" s="75" t="s">
        <v>414</v>
      </c>
      <c r="K226" s="73" t="s">
        <v>135</v>
      </c>
      <c r="L226" s="73" t="s">
        <v>84</v>
      </c>
      <c r="M226" s="75" t="s">
        <v>414</v>
      </c>
      <c r="N226" s="76"/>
      <c r="O226" s="73" t="s">
        <v>129</v>
      </c>
      <c r="P226" s="76" t="s">
        <v>670</v>
      </c>
    </row>
    <row r="227" customFormat="false" ht="15" hidden="false" customHeight="false" outlineLevel="0" collapsed="false">
      <c r="A227" s="73" t="s">
        <v>19</v>
      </c>
      <c r="B227" s="74" t="n">
        <v>46191</v>
      </c>
      <c r="C227" s="75" t="s">
        <v>665</v>
      </c>
      <c r="D227" s="73" t="s">
        <v>129</v>
      </c>
      <c r="E227" s="76" t="s">
        <v>205</v>
      </c>
      <c r="F227" s="73" t="s">
        <v>80</v>
      </c>
      <c r="G227" s="75" t="s">
        <v>414</v>
      </c>
      <c r="H227" s="73" t="s">
        <v>7</v>
      </c>
      <c r="I227" s="73" t="s">
        <v>140</v>
      </c>
      <c r="J227" s="75" t="s">
        <v>424</v>
      </c>
      <c r="K227" s="73" t="s">
        <v>137</v>
      </c>
      <c r="L227" s="73" t="s">
        <v>85</v>
      </c>
      <c r="M227" s="75" t="s">
        <v>414</v>
      </c>
      <c r="N227" s="76"/>
      <c r="O227" s="73" t="s">
        <v>129</v>
      </c>
      <c r="P227" s="76" t="s">
        <v>671</v>
      </c>
    </row>
    <row r="228" customFormat="false" ht="15" hidden="false" customHeight="false" outlineLevel="0" collapsed="false">
      <c r="A228" s="73" t="s">
        <v>19</v>
      </c>
      <c r="B228" s="74" t="n">
        <v>46154</v>
      </c>
      <c r="C228" s="75" t="s">
        <v>672</v>
      </c>
      <c r="D228" s="73" t="s">
        <v>129</v>
      </c>
      <c r="E228" s="76" t="s">
        <v>673</v>
      </c>
      <c r="F228" s="73" t="s">
        <v>124</v>
      </c>
      <c r="G228" s="75" t="s">
        <v>414</v>
      </c>
      <c r="H228" s="73" t="s">
        <v>7</v>
      </c>
      <c r="I228" s="75" t="s">
        <v>414</v>
      </c>
      <c r="J228" s="75" t="s">
        <v>414</v>
      </c>
      <c r="K228" s="73" t="s">
        <v>135</v>
      </c>
      <c r="L228" s="73" t="s">
        <v>84</v>
      </c>
      <c r="M228" s="75" t="s">
        <v>414</v>
      </c>
      <c r="N228" s="76"/>
      <c r="O228" s="73" t="s">
        <v>129</v>
      </c>
      <c r="P228" s="76" t="s">
        <v>674</v>
      </c>
    </row>
    <row r="229" customFormat="false" ht="15" hidden="false" customHeight="false" outlineLevel="0" collapsed="false">
      <c r="A229" s="73" t="s">
        <v>19</v>
      </c>
      <c r="B229" s="74" t="n">
        <v>46154</v>
      </c>
      <c r="C229" s="75" t="s">
        <v>672</v>
      </c>
      <c r="D229" s="73" t="s">
        <v>129</v>
      </c>
      <c r="E229" s="76" t="s">
        <v>673</v>
      </c>
      <c r="F229" s="73" t="s">
        <v>80</v>
      </c>
      <c r="G229" s="75" t="s">
        <v>414</v>
      </c>
      <c r="H229" s="73" t="s">
        <v>7</v>
      </c>
      <c r="I229" s="73" t="s">
        <v>140</v>
      </c>
      <c r="J229" s="75" t="s">
        <v>424</v>
      </c>
      <c r="K229" s="73" t="s">
        <v>137</v>
      </c>
      <c r="L229" s="73" t="s">
        <v>85</v>
      </c>
      <c r="M229" s="75" t="s">
        <v>414</v>
      </c>
      <c r="N229" s="76"/>
      <c r="O229" s="73" t="s">
        <v>129</v>
      </c>
      <c r="P229" s="76" t="s">
        <v>675</v>
      </c>
    </row>
    <row r="230" customFormat="false" ht="15" hidden="false" customHeight="false" outlineLevel="0" collapsed="false">
      <c r="A230" s="73" t="s">
        <v>19</v>
      </c>
      <c r="B230" s="74" t="n">
        <v>46210</v>
      </c>
      <c r="C230" s="75" t="s">
        <v>60</v>
      </c>
      <c r="D230" s="73" t="s">
        <v>129</v>
      </c>
      <c r="E230" s="76" t="s">
        <v>673</v>
      </c>
      <c r="F230" s="73" t="s">
        <v>80</v>
      </c>
      <c r="G230" s="75" t="s">
        <v>414</v>
      </c>
      <c r="H230" s="73" t="s">
        <v>7</v>
      </c>
      <c r="I230" s="73" t="s">
        <v>140</v>
      </c>
      <c r="J230" s="75" t="s">
        <v>414</v>
      </c>
      <c r="K230" s="73" t="s">
        <v>137</v>
      </c>
      <c r="L230" s="73" t="s">
        <v>85</v>
      </c>
      <c r="M230" s="75" t="s">
        <v>414</v>
      </c>
      <c r="N230" s="76"/>
      <c r="O230" s="73" t="s">
        <v>129</v>
      </c>
      <c r="P230" s="76" t="s">
        <v>676</v>
      </c>
    </row>
    <row r="231" customFormat="false" ht="15" hidden="false" customHeight="false" outlineLevel="0" collapsed="false">
      <c r="A231" s="73" t="s">
        <v>19</v>
      </c>
      <c r="B231" s="74" t="n">
        <v>46191</v>
      </c>
      <c r="C231" s="75" t="s">
        <v>665</v>
      </c>
      <c r="D231" s="73" t="s">
        <v>129</v>
      </c>
      <c r="E231" s="76" t="s">
        <v>207</v>
      </c>
      <c r="F231" s="73" t="s">
        <v>78</v>
      </c>
      <c r="G231" s="75" t="s">
        <v>414</v>
      </c>
      <c r="H231" s="73" t="s">
        <v>9</v>
      </c>
      <c r="I231" s="73" t="s">
        <v>140</v>
      </c>
      <c r="J231" s="75" t="s">
        <v>414</v>
      </c>
      <c r="K231" s="73" t="s">
        <v>135</v>
      </c>
      <c r="L231" s="73" t="s">
        <v>84</v>
      </c>
      <c r="M231" s="75" t="s">
        <v>414</v>
      </c>
      <c r="N231" s="76" t="s">
        <v>111</v>
      </c>
      <c r="O231" s="73" t="s">
        <v>129</v>
      </c>
      <c r="P231" s="76" t="s">
        <v>208</v>
      </c>
    </row>
    <row r="232" customFormat="false" ht="15" hidden="false" customHeight="false" outlineLevel="0" collapsed="false">
      <c r="A232" s="73" t="s">
        <v>19</v>
      </c>
      <c r="B232" s="74" t="n">
        <v>46210</v>
      </c>
      <c r="C232" s="75" t="s">
        <v>60</v>
      </c>
      <c r="D232" s="73" t="s">
        <v>129</v>
      </c>
      <c r="E232" s="76" t="s">
        <v>207</v>
      </c>
      <c r="F232" s="73" t="s">
        <v>78</v>
      </c>
      <c r="G232" s="75" t="s">
        <v>414</v>
      </c>
      <c r="H232" s="73" t="s">
        <v>108</v>
      </c>
      <c r="I232" s="73" t="s">
        <v>140</v>
      </c>
      <c r="J232" s="75" t="s">
        <v>414</v>
      </c>
      <c r="K232" s="73" t="s">
        <v>135</v>
      </c>
      <c r="L232" s="73" t="s">
        <v>85</v>
      </c>
      <c r="M232" s="75" t="s">
        <v>414</v>
      </c>
      <c r="N232" s="76"/>
      <c r="O232" s="73" t="s">
        <v>129</v>
      </c>
      <c r="P232" s="76" t="s">
        <v>677</v>
      </c>
    </row>
    <row r="233" customFormat="false" ht="15" hidden="false" customHeight="false" outlineLevel="0" collapsed="false">
      <c r="A233" s="73" t="s">
        <v>19</v>
      </c>
      <c r="B233" s="74" t="n">
        <v>46191</v>
      </c>
      <c r="C233" s="75" t="s">
        <v>665</v>
      </c>
      <c r="D233" s="73" t="s">
        <v>129</v>
      </c>
      <c r="E233" s="76" t="s">
        <v>207</v>
      </c>
      <c r="F233" s="73" t="s">
        <v>80</v>
      </c>
      <c r="G233" s="75" t="s">
        <v>414</v>
      </c>
      <c r="H233" s="73" t="s">
        <v>7</v>
      </c>
      <c r="I233" s="73" t="s">
        <v>140</v>
      </c>
      <c r="J233" s="75" t="s">
        <v>424</v>
      </c>
      <c r="K233" s="73" t="s">
        <v>137</v>
      </c>
      <c r="L233" s="73" t="s">
        <v>84</v>
      </c>
      <c r="M233" s="75" t="s">
        <v>414</v>
      </c>
      <c r="N233" s="76"/>
      <c r="O233" s="73" t="s">
        <v>129</v>
      </c>
      <c r="P233" s="76" t="s">
        <v>678</v>
      </c>
    </row>
    <row r="234" customFormat="false" ht="15" hidden="false" customHeight="false" outlineLevel="0" collapsed="false">
      <c r="A234" s="73" t="s">
        <v>19</v>
      </c>
      <c r="B234" s="74" t="n">
        <v>46210</v>
      </c>
      <c r="C234" s="75" t="s">
        <v>60</v>
      </c>
      <c r="D234" s="73" t="s">
        <v>129</v>
      </c>
      <c r="E234" s="76" t="s">
        <v>207</v>
      </c>
      <c r="F234" s="73" t="s">
        <v>80</v>
      </c>
      <c r="G234" s="75" t="s">
        <v>414</v>
      </c>
      <c r="H234" s="73" t="s">
        <v>9</v>
      </c>
      <c r="I234" s="73" t="s">
        <v>140</v>
      </c>
      <c r="J234" s="75" t="s">
        <v>414</v>
      </c>
      <c r="K234" s="73" t="s">
        <v>137</v>
      </c>
      <c r="L234" s="73" t="s">
        <v>85</v>
      </c>
      <c r="M234" s="75" t="s">
        <v>414</v>
      </c>
      <c r="N234" s="76" t="s">
        <v>111</v>
      </c>
      <c r="O234" s="73" t="s">
        <v>129</v>
      </c>
      <c r="P234" s="76" t="s">
        <v>209</v>
      </c>
    </row>
    <row r="235" customFormat="false" ht="15" hidden="false" customHeight="false" outlineLevel="0" collapsed="false">
      <c r="A235" s="73" t="s">
        <v>19</v>
      </c>
      <c r="B235" s="74" t="n">
        <v>46153</v>
      </c>
      <c r="C235" s="75" t="s">
        <v>672</v>
      </c>
      <c r="D235" s="73" t="s">
        <v>129</v>
      </c>
      <c r="E235" s="76" t="s">
        <v>679</v>
      </c>
      <c r="F235" s="73" t="s">
        <v>80</v>
      </c>
      <c r="G235" s="75" t="s">
        <v>414</v>
      </c>
      <c r="H235" s="73" t="s">
        <v>7</v>
      </c>
      <c r="I235" s="73" t="s">
        <v>139</v>
      </c>
      <c r="J235" s="75" t="s">
        <v>424</v>
      </c>
      <c r="K235" s="73" t="s">
        <v>137</v>
      </c>
      <c r="L235" s="73" t="s">
        <v>85</v>
      </c>
      <c r="M235" s="75" t="s">
        <v>414</v>
      </c>
      <c r="N235" s="76"/>
      <c r="O235" s="73" t="s">
        <v>129</v>
      </c>
      <c r="P235" s="76" t="s">
        <v>680</v>
      </c>
    </row>
    <row r="236" customFormat="false" ht="15" hidden="false" customHeight="false" outlineLevel="0" collapsed="false">
      <c r="A236" s="73" t="s">
        <v>19</v>
      </c>
      <c r="B236" s="74" t="n">
        <v>46209</v>
      </c>
      <c r="C236" s="75" t="s">
        <v>60</v>
      </c>
      <c r="D236" s="73" t="s">
        <v>129</v>
      </c>
      <c r="E236" s="76" t="s">
        <v>679</v>
      </c>
      <c r="F236" s="73" t="s">
        <v>80</v>
      </c>
      <c r="G236" s="75" t="s">
        <v>414</v>
      </c>
      <c r="H236" s="73" t="s">
        <v>7</v>
      </c>
      <c r="I236" s="73" t="s">
        <v>139</v>
      </c>
      <c r="J236" s="75" t="s">
        <v>414</v>
      </c>
      <c r="K236" s="73" t="s">
        <v>135</v>
      </c>
      <c r="L236" s="73" t="s">
        <v>85</v>
      </c>
      <c r="M236" s="75" t="s">
        <v>414</v>
      </c>
      <c r="N236" s="76"/>
      <c r="O236" s="73" t="s">
        <v>129</v>
      </c>
      <c r="P236" s="76" t="s">
        <v>681</v>
      </c>
    </row>
    <row r="237" customFormat="false" ht="15" hidden="false" customHeight="false" outlineLevel="0" collapsed="false">
      <c r="A237" s="73" t="s">
        <v>19</v>
      </c>
      <c r="B237" s="74" t="n">
        <v>46153</v>
      </c>
      <c r="C237" s="75" t="s">
        <v>672</v>
      </c>
      <c r="D237" s="73" t="s">
        <v>129</v>
      </c>
      <c r="E237" s="76" t="s">
        <v>679</v>
      </c>
      <c r="F237" s="73" t="s">
        <v>80</v>
      </c>
      <c r="G237" s="75" t="s">
        <v>414</v>
      </c>
      <c r="H237" s="73" t="s">
        <v>7</v>
      </c>
      <c r="I237" s="73" t="s">
        <v>139</v>
      </c>
      <c r="J237" s="75" t="s">
        <v>414</v>
      </c>
      <c r="K237" s="73" t="s">
        <v>137</v>
      </c>
      <c r="L237" s="73" t="s">
        <v>85</v>
      </c>
      <c r="M237" s="75" t="s">
        <v>414</v>
      </c>
      <c r="N237" s="76"/>
      <c r="O237" s="73" t="s">
        <v>129</v>
      </c>
      <c r="P237" s="76" t="s">
        <v>680</v>
      </c>
    </row>
    <row r="238" customFormat="false" ht="15" hidden="false" customHeight="false" outlineLevel="0" collapsed="false">
      <c r="A238" s="73" t="s">
        <v>19</v>
      </c>
      <c r="B238" s="74" t="n">
        <v>46189</v>
      </c>
      <c r="C238" s="75" t="s">
        <v>665</v>
      </c>
      <c r="D238" s="73" t="s">
        <v>129</v>
      </c>
      <c r="E238" s="76" t="s">
        <v>210</v>
      </c>
      <c r="F238" s="73" t="s">
        <v>78</v>
      </c>
      <c r="G238" s="75" t="s">
        <v>414</v>
      </c>
      <c r="H238" s="73" t="s">
        <v>7</v>
      </c>
      <c r="I238" s="75" t="s">
        <v>414</v>
      </c>
      <c r="J238" s="75" t="s">
        <v>414</v>
      </c>
      <c r="K238" s="73" t="s">
        <v>135</v>
      </c>
      <c r="L238" s="73" t="s">
        <v>84</v>
      </c>
      <c r="M238" s="75" t="s">
        <v>414</v>
      </c>
      <c r="N238" s="76"/>
      <c r="O238" s="73" t="s">
        <v>129</v>
      </c>
      <c r="P238" s="76" t="s">
        <v>682</v>
      </c>
    </row>
    <row r="239" customFormat="false" ht="15" hidden="false" customHeight="false" outlineLevel="0" collapsed="false">
      <c r="A239" s="73" t="s">
        <v>19</v>
      </c>
      <c r="B239" s="74" t="n">
        <v>46189</v>
      </c>
      <c r="C239" s="75" t="s">
        <v>665</v>
      </c>
      <c r="D239" s="73" t="s">
        <v>129</v>
      </c>
      <c r="E239" s="76" t="s">
        <v>210</v>
      </c>
      <c r="F239" s="73" t="s">
        <v>80</v>
      </c>
      <c r="G239" s="75" t="s">
        <v>414</v>
      </c>
      <c r="H239" s="73" t="s">
        <v>9</v>
      </c>
      <c r="I239" s="75" t="s">
        <v>414</v>
      </c>
      <c r="J239" s="75" t="s">
        <v>424</v>
      </c>
      <c r="K239" s="75" t="s">
        <v>414</v>
      </c>
      <c r="L239" s="73" t="s">
        <v>85</v>
      </c>
      <c r="M239" s="75" t="s">
        <v>414</v>
      </c>
      <c r="N239" s="76" t="s">
        <v>111</v>
      </c>
      <c r="O239" s="73" t="s">
        <v>129</v>
      </c>
      <c r="P239" s="76" t="s">
        <v>211</v>
      </c>
    </row>
    <row r="240" customFormat="false" ht="15" hidden="false" customHeight="false" outlineLevel="0" collapsed="false">
      <c r="A240" s="73" t="s">
        <v>19</v>
      </c>
      <c r="B240" s="74" t="n">
        <v>46209</v>
      </c>
      <c r="C240" s="75" t="s">
        <v>60</v>
      </c>
      <c r="D240" s="73" t="s">
        <v>129</v>
      </c>
      <c r="E240" s="76" t="s">
        <v>210</v>
      </c>
      <c r="F240" s="73" t="s">
        <v>80</v>
      </c>
      <c r="G240" s="75" t="s">
        <v>414</v>
      </c>
      <c r="H240" s="73" t="s">
        <v>108</v>
      </c>
      <c r="I240" s="73" t="s">
        <v>140</v>
      </c>
      <c r="J240" s="75" t="s">
        <v>414</v>
      </c>
      <c r="K240" s="73" t="s">
        <v>135</v>
      </c>
      <c r="L240" s="73" t="s">
        <v>85</v>
      </c>
      <c r="M240" s="75" t="s">
        <v>414</v>
      </c>
      <c r="N240" s="76"/>
      <c r="O240" s="73" t="s">
        <v>129</v>
      </c>
      <c r="P240" s="76" t="s">
        <v>683</v>
      </c>
    </row>
    <row r="241" customFormat="false" ht="15" hidden="false" customHeight="false" outlineLevel="0" collapsed="false">
      <c r="A241" s="73" t="s">
        <v>19</v>
      </c>
      <c r="B241" s="74" t="n">
        <v>46153</v>
      </c>
      <c r="C241" s="75" t="s">
        <v>672</v>
      </c>
      <c r="D241" s="73" t="s">
        <v>129</v>
      </c>
      <c r="E241" s="76" t="s">
        <v>212</v>
      </c>
      <c r="F241" s="73" t="s">
        <v>80</v>
      </c>
      <c r="G241" s="73" t="s">
        <v>118</v>
      </c>
      <c r="H241" s="73" t="s">
        <v>9</v>
      </c>
      <c r="I241" s="73" t="s">
        <v>140</v>
      </c>
      <c r="J241" s="75" t="s">
        <v>424</v>
      </c>
      <c r="K241" s="75" t="s">
        <v>414</v>
      </c>
      <c r="L241" s="75" t="s">
        <v>414</v>
      </c>
      <c r="M241" s="75" t="s">
        <v>414</v>
      </c>
      <c r="N241" s="76" t="s">
        <v>111</v>
      </c>
      <c r="O241" s="73" t="s">
        <v>129</v>
      </c>
      <c r="P241" s="76" t="s">
        <v>684</v>
      </c>
    </row>
    <row r="242" customFormat="false" ht="15" hidden="false" customHeight="false" outlineLevel="0" collapsed="false">
      <c r="A242" s="73" t="s">
        <v>19</v>
      </c>
      <c r="B242" s="74" t="n">
        <v>46210</v>
      </c>
      <c r="C242" s="75" t="s">
        <v>60</v>
      </c>
      <c r="D242" s="73" t="s">
        <v>129</v>
      </c>
      <c r="E242" s="76" t="s">
        <v>212</v>
      </c>
      <c r="F242" s="73" t="s">
        <v>80</v>
      </c>
      <c r="G242" s="73" t="s">
        <v>120</v>
      </c>
      <c r="H242" s="75" t="s">
        <v>414</v>
      </c>
      <c r="I242" s="73" t="s">
        <v>140</v>
      </c>
      <c r="J242" s="75" t="s">
        <v>414</v>
      </c>
      <c r="K242" s="75" t="s">
        <v>414</v>
      </c>
      <c r="L242" s="75" t="s">
        <v>414</v>
      </c>
      <c r="M242" s="75" t="s">
        <v>414</v>
      </c>
      <c r="N242" s="76"/>
      <c r="O242" s="73" t="s">
        <v>129</v>
      </c>
      <c r="P242" s="76"/>
    </row>
    <row r="243" customFormat="false" ht="15" hidden="false" customHeight="false" outlineLevel="0" collapsed="false">
      <c r="A243" s="73" t="s">
        <v>19</v>
      </c>
      <c r="B243" s="74" t="n">
        <v>46211</v>
      </c>
      <c r="C243" s="75" t="s">
        <v>60</v>
      </c>
      <c r="D243" s="73" t="s">
        <v>129</v>
      </c>
      <c r="E243" s="76" t="s">
        <v>685</v>
      </c>
      <c r="F243" s="73" t="s">
        <v>78</v>
      </c>
      <c r="G243" s="75" t="s">
        <v>414</v>
      </c>
      <c r="H243" s="73" t="s">
        <v>108</v>
      </c>
      <c r="I243" s="75" t="s">
        <v>414</v>
      </c>
      <c r="J243" s="75" t="s">
        <v>414</v>
      </c>
      <c r="K243" s="73" t="s">
        <v>135</v>
      </c>
      <c r="L243" s="75" t="s">
        <v>414</v>
      </c>
      <c r="M243" s="75" t="s">
        <v>414</v>
      </c>
      <c r="N243" s="76"/>
      <c r="O243" s="73" t="s">
        <v>129</v>
      </c>
      <c r="P243" s="76" t="s">
        <v>686</v>
      </c>
    </row>
    <row r="244" customFormat="false" ht="15" hidden="false" customHeight="false" outlineLevel="0" collapsed="false">
      <c r="A244" s="73" t="s">
        <v>19</v>
      </c>
      <c r="B244" s="74" t="n">
        <v>46255</v>
      </c>
      <c r="C244" s="75" t="s">
        <v>66</v>
      </c>
      <c r="D244" s="73" t="s">
        <v>129</v>
      </c>
      <c r="E244" s="76" t="s">
        <v>685</v>
      </c>
      <c r="F244" s="73" t="s">
        <v>124</v>
      </c>
      <c r="G244" s="75" t="s">
        <v>414</v>
      </c>
      <c r="H244" s="73" t="s">
        <v>7</v>
      </c>
      <c r="I244" s="73" t="s">
        <v>139</v>
      </c>
      <c r="J244" s="75" t="s">
        <v>414</v>
      </c>
      <c r="K244" s="73" t="s">
        <v>135</v>
      </c>
      <c r="L244" s="73" t="s">
        <v>84</v>
      </c>
      <c r="M244" s="75" t="s">
        <v>414</v>
      </c>
      <c r="N244" s="76"/>
      <c r="O244" s="73" t="s">
        <v>129</v>
      </c>
      <c r="P244" s="76" t="s">
        <v>687</v>
      </c>
    </row>
    <row r="245" customFormat="false" ht="15" hidden="false" customHeight="false" outlineLevel="0" collapsed="false">
      <c r="A245" s="73" t="s">
        <v>19</v>
      </c>
      <c r="B245" s="74" t="n">
        <v>46185</v>
      </c>
      <c r="C245" s="75" t="s">
        <v>646</v>
      </c>
      <c r="D245" s="73" t="s">
        <v>129</v>
      </c>
      <c r="E245" s="76" t="s">
        <v>688</v>
      </c>
      <c r="F245" s="73" t="s">
        <v>124</v>
      </c>
      <c r="G245" s="75" t="s">
        <v>414</v>
      </c>
      <c r="H245" s="73" t="s">
        <v>108</v>
      </c>
      <c r="I245" s="73" t="s">
        <v>139</v>
      </c>
      <c r="J245" s="75" t="s">
        <v>414</v>
      </c>
      <c r="K245" s="73" t="s">
        <v>135</v>
      </c>
      <c r="L245" s="73" t="s">
        <v>84</v>
      </c>
      <c r="M245" s="75" t="s">
        <v>414</v>
      </c>
      <c r="N245" s="76"/>
      <c r="O245" s="73" t="s">
        <v>129</v>
      </c>
      <c r="P245" s="76" t="s">
        <v>689</v>
      </c>
    </row>
    <row r="246" customFormat="false" ht="15" hidden="false" customHeight="false" outlineLevel="0" collapsed="false">
      <c r="A246" s="73" t="s">
        <v>19</v>
      </c>
      <c r="B246" s="74" t="n">
        <v>46203</v>
      </c>
      <c r="C246" s="75" t="s">
        <v>690</v>
      </c>
      <c r="D246" s="73" t="s">
        <v>129</v>
      </c>
      <c r="E246" s="76" t="s">
        <v>688</v>
      </c>
      <c r="F246" s="73" t="s">
        <v>80</v>
      </c>
      <c r="G246" s="75" t="s">
        <v>414</v>
      </c>
      <c r="H246" s="73" t="s">
        <v>7</v>
      </c>
      <c r="I246" s="73" t="s">
        <v>139</v>
      </c>
      <c r="J246" s="75" t="s">
        <v>424</v>
      </c>
      <c r="K246" s="73" t="s">
        <v>137</v>
      </c>
      <c r="L246" s="73" t="s">
        <v>84</v>
      </c>
      <c r="M246" s="75" t="s">
        <v>414</v>
      </c>
      <c r="N246" s="76"/>
      <c r="O246" s="73" t="s">
        <v>129</v>
      </c>
      <c r="P246" s="76" t="s">
        <v>691</v>
      </c>
    </row>
    <row r="247" customFormat="false" ht="15" hidden="false" customHeight="false" outlineLevel="0" collapsed="false">
      <c r="A247" s="73" t="s">
        <v>19</v>
      </c>
      <c r="B247" s="74" t="n">
        <v>46213</v>
      </c>
      <c r="C247" s="75" t="s">
        <v>60</v>
      </c>
      <c r="D247" s="73" t="s">
        <v>129</v>
      </c>
      <c r="E247" s="76" t="s">
        <v>214</v>
      </c>
      <c r="F247" s="73" t="s">
        <v>78</v>
      </c>
      <c r="G247" s="75" t="s">
        <v>414</v>
      </c>
      <c r="H247" s="73" t="s">
        <v>108</v>
      </c>
      <c r="I247" s="73" t="s">
        <v>140</v>
      </c>
      <c r="J247" s="75" t="s">
        <v>414</v>
      </c>
      <c r="K247" s="73" t="s">
        <v>135</v>
      </c>
      <c r="L247" s="73" t="s">
        <v>8</v>
      </c>
      <c r="M247" s="75" t="s">
        <v>414</v>
      </c>
      <c r="N247" s="76"/>
      <c r="O247" s="73" t="s">
        <v>129</v>
      </c>
      <c r="P247" s="76" t="s">
        <v>692</v>
      </c>
    </row>
    <row r="248" customFormat="false" ht="15" hidden="false" customHeight="false" outlineLevel="0" collapsed="false">
      <c r="A248" s="73" t="s">
        <v>19</v>
      </c>
      <c r="B248" s="74" t="n">
        <v>46191</v>
      </c>
      <c r="C248" s="75" t="s">
        <v>665</v>
      </c>
      <c r="D248" s="73" t="s">
        <v>129</v>
      </c>
      <c r="E248" s="76" t="s">
        <v>214</v>
      </c>
      <c r="F248" s="73" t="s">
        <v>124</v>
      </c>
      <c r="G248" s="75" t="s">
        <v>414</v>
      </c>
      <c r="H248" s="73" t="s">
        <v>9</v>
      </c>
      <c r="I248" s="73" t="s">
        <v>139</v>
      </c>
      <c r="J248" s="75" t="s">
        <v>414</v>
      </c>
      <c r="K248" s="75" t="s">
        <v>414</v>
      </c>
      <c r="L248" s="73" t="s">
        <v>85</v>
      </c>
      <c r="M248" s="75" t="s">
        <v>414</v>
      </c>
      <c r="N248" s="76" t="s">
        <v>111</v>
      </c>
      <c r="O248" s="73" t="s">
        <v>129</v>
      </c>
      <c r="P248" s="76" t="s">
        <v>693</v>
      </c>
    </row>
    <row r="249" customFormat="false" ht="15" hidden="false" customHeight="false" outlineLevel="0" collapsed="false">
      <c r="A249" s="73" t="s">
        <v>19</v>
      </c>
      <c r="B249" s="74" t="n">
        <v>46184</v>
      </c>
      <c r="C249" s="75" t="s">
        <v>646</v>
      </c>
      <c r="D249" s="73" t="s">
        <v>129</v>
      </c>
      <c r="E249" s="76" t="s">
        <v>214</v>
      </c>
      <c r="F249" s="73" t="s">
        <v>80</v>
      </c>
      <c r="G249" s="75" t="s">
        <v>414</v>
      </c>
      <c r="H249" s="75" t="s">
        <v>414</v>
      </c>
      <c r="I249" s="75" t="s">
        <v>414</v>
      </c>
      <c r="J249" s="75" t="s">
        <v>424</v>
      </c>
      <c r="K249" s="75" t="s">
        <v>414</v>
      </c>
      <c r="L249" s="75" t="s">
        <v>414</v>
      </c>
      <c r="M249" s="75" t="s">
        <v>414</v>
      </c>
      <c r="N249" s="76"/>
      <c r="O249" s="73" t="s">
        <v>129</v>
      </c>
      <c r="P249" s="76" t="s">
        <v>694</v>
      </c>
    </row>
    <row r="250" customFormat="false" ht="15" hidden="false" customHeight="false" outlineLevel="0" collapsed="false">
      <c r="A250" s="73" t="s">
        <v>19</v>
      </c>
      <c r="B250" s="74" t="n">
        <v>46210</v>
      </c>
      <c r="C250" s="75" t="s">
        <v>60</v>
      </c>
      <c r="D250" s="73" t="s">
        <v>129</v>
      </c>
      <c r="E250" s="76" t="s">
        <v>695</v>
      </c>
      <c r="F250" s="73" t="s">
        <v>80</v>
      </c>
      <c r="G250" s="75" t="s">
        <v>414</v>
      </c>
      <c r="H250" s="73" t="s">
        <v>7</v>
      </c>
      <c r="I250" s="73" t="s">
        <v>139</v>
      </c>
      <c r="J250" s="75" t="s">
        <v>424</v>
      </c>
      <c r="K250" s="73" t="s">
        <v>137</v>
      </c>
      <c r="L250" s="73" t="s">
        <v>84</v>
      </c>
      <c r="M250" s="75" t="s">
        <v>414</v>
      </c>
      <c r="N250" s="76"/>
      <c r="O250" s="73" t="s">
        <v>129</v>
      </c>
      <c r="P250" s="76" t="s">
        <v>696</v>
      </c>
    </row>
    <row r="251" customFormat="false" ht="15" hidden="false" customHeight="false" outlineLevel="0" collapsed="false">
      <c r="A251" s="73" t="s">
        <v>19</v>
      </c>
      <c r="B251" s="74" t="n">
        <v>46203</v>
      </c>
      <c r="C251" s="75" t="s">
        <v>690</v>
      </c>
      <c r="D251" s="73" t="s">
        <v>129</v>
      </c>
      <c r="E251" s="76" t="s">
        <v>216</v>
      </c>
      <c r="F251" s="73" t="s">
        <v>124</v>
      </c>
      <c r="G251" s="75" t="s">
        <v>414</v>
      </c>
      <c r="H251" s="73" t="s">
        <v>7</v>
      </c>
      <c r="I251" s="73" t="s">
        <v>140</v>
      </c>
      <c r="J251" s="75" t="s">
        <v>414</v>
      </c>
      <c r="K251" s="73" t="s">
        <v>136</v>
      </c>
      <c r="L251" s="73" t="s">
        <v>84</v>
      </c>
      <c r="M251" s="75" t="s">
        <v>414</v>
      </c>
      <c r="N251" s="76"/>
      <c r="O251" s="73" t="s">
        <v>129</v>
      </c>
      <c r="P251" s="76" t="s">
        <v>697</v>
      </c>
    </row>
    <row r="252" customFormat="false" ht="15" hidden="false" customHeight="false" outlineLevel="0" collapsed="false">
      <c r="A252" s="73" t="s">
        <v>19</v>
      </c>
      <c r="B252" s="74" t="n">
        <v>46191</v>
      </c>
      <c r="C252" s="75" t="s">
        <v>665</v>
      </c>
      <c r="D252" s="73" t="s">
        <v>129</v>
      </c>
      <c r="E252" s="76" t="s">
        <v>216</v>
      </c>
      <c r="F252" s="73" t="s">
        <v>81</v>
      </c>
      <c r="G252" s="75" t="s">
        <v>414</v>
      </c>
      <c r="H252" s="73" t="s">
        <v>9</v>
      </c>
      <c r="I252" s="73" t="s">
        <v>139</v>
      </c>
      <c r="J252" s="75" t="s">
        <v>414</v>
      </c>
      <c r="K252" s="75" t="s">
        <v>414</v>
      </c>
      <c r="L252" s="75" t="s">
        <v>414</v>
      </c>
      <c r="M252" s="75" t="s">
        <v>414</v>
      </c>
      <c r="N252" s="76" t="s">
        <v>40</v>
      </c>
      <c r="O252" s="73" t="s">
        <v>129</v>
      </c>
      <c r="P252" s="76" t="s">
        <v>698</v>
      </c>
    </row>
    <row r="253" customFormat="false" ht="15" hidden="false" customHeight="false" outlineLevel="0" collapsed="false">
      <c r="A253" s="73" t="s">
        <v>19</v>
      </c>
      <c r="B253" s="74" t="n">
        <v>46154</v>
      </c>
      <c r="C253" s="75" t="s">
        <v>672</v>
      </c>
      <c r="D253" s="73" t="s">
        <v>129</v>
      </c>
      <c r="E253" s="76" t="s">
        <v>216</v>
      </c>
      <c r="F253" s="73" t="s">
        <v>80</v>
      </c>
      <c r="G253" s="75" t="s">
        <v>414</v>
      </c>
      <c r="H253" s="75" t="s">
        <v>414</v>
      </c>
      <c r="I253" s="73" t="s">
        <v>140</v>
      </c>
      <c r="J253" s="75" t="s">
        <v>424</v>
      </c>
      <c r="K253" s="75" t="s">
        <v>414</v>
      </c>
      <c r="L253" s="73" t="s">
        <v>85</v>
      </c>
      <c r="M253" s="75" t="s">
        <v>414</v>
      </c>
      <c r="N253" s="76"/>
      <c r="O253" s="73" t="s">
        <v>129</v>
      </c>
      <c r="P253" s="76" t="s">
        <v>699</v>
      </c>
    </row>
    <row r="254" customFormat="false" ht="15" hidden="false" customHeight="false" outlineLevel="0" collapsed="false">
      <c r="A254" s="73" t="s">
        <v>19</v>
      </c>
      <c r="B254" s="74" t="n">
        <v>46203</v>
      </c>
      <c r="C254" s="75" t="s">
        <v>690</v>
      </c>
      <c r="D254" s="73" t="s">
        <v>129</v>
      </c>
      <c r="E254" s="76" t="s">
        <v>216</v>
      </c>
      <c r="F254" s="73" t="s">
        <v>80</v>
      </c>
      <c r="G254" s="75" t="s">
        <v>414</v>
      </c>
      <c r="H254" s="73" t="s">
        <v>108</v>
      </c>
      <c r="I254" s="73" t="s">
        <v>140</v>
      </c>
      <c r="J254" s="73" t="s">
        <v>464</v>
      </c>
      <c r="K254" s="73" t="s">
        <v>135</v>
      </c>
      <c r="L254" s="73" t="s">
        <v>84</v>
      </c>
      <c r="M254" s="75" t="s">
        <v>414</v>
      </c>
      <c r="N254" s="76"/>
      <c r="O254" s="73" t="s">
        <v>129</v>
      </c>
      <c r="P254" s="76" t="s">
        <v>700</v>
      </c>
    </row>
    <row r="255" customFormat="false" ht="15" hidden="false" customHeight="false" outlineLevel="0" collapsed="false">
      <c r="A255" s="73" t="s">
        <v>19</v>
      </c>
      <c r="B255" s="74" t="n">
        <v>46203</v>
      </c>
      <c r="C255" s="75" t="s">
        <v>690</v>
      </c>
      <c r="D255" s="73" t="s">
        <v>129</v>
      </c>
      <c r="E255" s="76" t="s">
        <v>218</v>
      </c>
      <c r="F255" s="73" t="s">
        <v>124</v>
      </c>
      <c r="G255" s="75" t="s">
        <v>414</v>
      </c>
      <c r="H255" s="73" t="s">
        <v>9</v>
      </c>
      <c r="I255" s="73" t="s">
        <v>139</v>
      </c>
      <c r="J255" s="75" t="s">
        <v>414</v>
      </c>
      <c r="K255" s="73" t="s">
        <v>135</v>
      </c>
      <c r="L255" s="73" t="s">
        <v>85</v>
      </c>
      <c r="M255" s="75" t="s">
        <v>414</v>
      </c>
      <c r="N255" s="76" t="s">
        <v>42</v>
      </c>
      <c r="O255" s="73" t="s">
        <v>129</v>
      </c>
      <c r="P255" s="76" t="s">
        <v>219</v>
      </c>
    </row>
    <row r="256" customFormat="false" ht="15" hidden="false" customHeight="false" outlineLevel="0" collapsed="false">
      <c r="A256" s="73" t="s">
        <v>19</v>
      </c>
      <c r="B256" s="74" t="n">
        <v>46184</v>
      </c>
      <c r="C256" s="75" t="s">
        <v>646</v>
      </c>
      <c r="D256" s="73" t="s">
        <v>129</v>
      </c>
      <c r="E256" s="76" t="s">
        <v>218</v>
      </c>
      <c r="F256" s="73" t="s">
        <v>80</v>
      </c>
      <c r="G256" s="75" t="s">
        <v>414</v>
      </c>
      <c r="H256" s="73" t="s">
        <v>7</v>
      </c>
      <c r="I256" s="73" t="s">
        <v>139</v>
      </c>
      <c r="J256" s="75" t="s">
        <v>458</v>
      </c>
      <c r="K256" s="73" t="s">
        <v>137</v>
      </c>
      <c r="L256" s="73" t="s">
        <v>8</v>
      </c>
      <c r="M256" s="75" t="s">
        <v>414</v>
      </c>
      <c r="N256" s="76"/>
      <c r="O256" s="73" t="s">
        <v>129</v>
      </c>
      <c r="P256" s="76" t="s">
        <v>701</v>
      </c>
    </row>
    <row r="257" customFormat="false" ht="15" hidden="false" customHeight="false" outlineLevel="0" collapsed="false">
      <c r="A257" s="73" t="s">
        <v>19</v>
      </c>
      <c r="B257" s="74" t="n">
        <v>46154</v>
      </c>
      <c r="C257" s="75" t="s">
        <v>672</v>
      </c>
      <c r="D257" s="73" t="s">
        <v>129</v>
      </c>
      <c r="E257" s="76" t="s">
        <v>220</v>
      </c>
      <c r="F257" s="73" t="s">
        <v>80</v>
      </c>
      <c r="G257" s="75" t="s">
        <v>414</v>
      </c>
      <c r="H257" s="73" t="s">
        <v>9</v>
      </c>
      <c r="I257" s="73" t="s">
        <v>140</v>
      </c>
      <c r="J257" s="75" t="s">
        <v>458</v>
      </c>
      <c r="K257" s="73" t="s">
        <v>135</v>
      </c>
      <c r="L257" s="73" t="s">
        <v>85</v>
      </c>
      <c r="M257" s="75" t="s">
        <v>414</v>
      </c>
      <c r="N257" s="76" t="s">
        <v>113</v>
      </c>
      <c r="O257" s="73" t="s">
        <v>129</v>
      </c>
      <c r="P257" s="76" t="s">
        <v>221</v>
      </c>
    </row>
    <row r="258" customFormat="false" ht="15" hidden="false" customHeight="false" outlineLevel="0" collapsed="false">
      <c r="A258" s="73" t="s">
        <v>19</v>
      </c>
      <c r="B258" s="74" t="n">
        <v>46211</v>
      </c>
      <c r="C258" s="75" t="s">
        <v>60</v>
      </c>
      <c r="D258" s="73" t="s">
        <v>129</v>
      </c>
      <c r="E258" s="76" t="s">
        <v>222</v>
      </c>
      <c r="F258" s="73" t="s">
        <v>78</v>
      </c>
      <c r="G258" s="75" t="s">
        <v>414</v>
      </c>
      <c r="H258" s="73" t="s">
        <v>9</v>
      </c>
      <c r="I258" s="73" t="s">
        <v>140</v>
      </c>
      <c r="J258" s="75" t="s">
        <v>414</v>
      </c>
      <c r="K258" s="73" t="s">
        <v>135</v>
      </c>
      <c r="L258" s="73" t="s">
        <v>84</v>
      </c>
      <c r="M258" s="75" t="s">
        <v>414</v>
      </c>
      <c r="N258" s="76" t="s">
        <v>111</v>
      </c>
      <c r="O258" s="73" t="s">
        <v>129</v>
      </c>
      <c r="P258" s="77" t="s">
        <v>702</v>
      </c>
    </row>
    <row r="259" customFormat="false" ht="15" hidden="false" customHeight="false" outlineLevel="0" collapsed="false">
      <c r="A259" s="73" t="s">
        <v>19</v>
      </c>
      <c r="B259" s="74" t="n">
        <v>46213</v>
      </c>
      <c r="C259" s="75" t="s">
        <v>60</v>
      </c>
      <c r="D259" s="73" t="s">
        <v>129</v>
      </c>
      <c r="E259" s="76" t="s">
        <v>224</v>
      </c>
      <c r="F259" s="73" t="s">
        <v>78</v>
      </c>
      <c r="G259" s="75" t="s">
        <v>414</v>
      </c>
      <c r="H259" s="73" t="s">
        <v>7</v>
      </c>
      <c r="I259" s="73" t="s">
        <v>140</v>
      </c>
      <c r="J259" s="75" t="s">
        <v>414</v>
      </c>
      <c r="K259" s="73" t="s">
        <v>135</v>
      </c>
      <c r="L259" s="73" t="s">
        <v>86</v>
      </c>
      <c r="M259" s="75" t="s">
        <v>414</v>
      </c>
      <c r="N259" s="76"/>
      <c r="O259" s="73" t="s">
        <v>129</v>
      </c>
      <c r="P259" s="76" t="s">
        <v>703</v>
      </c>
    </row>
    <row r="260" customFormat="false" ht="15" hidden="false" customHeight="false" outlineLevel="0" collapsed="false">
      <c r="A260" s="73" t="s">
        <v>19</v>
      </c>
      <c r="B260" s="74" t="n">
        <v>46190</v>
      </c>
      <c r="C260" s="75" t="s">
        <v>665</v>
      </c>
      <c r="D260" s="73" t="s">
        <v>129</v>
      </c>
      <c r="E260" s="76" t="s">
        <v>224</v>
      </c>
      <c r="F260" s="73" t="s">
        <v>124</v>
      </c>
      <c r="G260" s="75" t="s">
        <v>414</v>
      </c>
      <c r="H260" s="73" t="s">
        <v>9</v>
      </c>
      <c r="I260" s="73" t="s">
        <v>140</v>
      </c>
      <c r="J260" s="75" t="s">
        <v>414</v>
      </c>
      <c r="K260" s="73" t="s">
        <v>135</v>
      </c>
      <c r="L260" s="73" t="s">
        <v>85</v>
      </c>
      <c r="M260" s="75" t="s">
        <v>414</v>
      </c>
      <c r="N260" s="76" t="s">
        <v>111</v>
      </c>
      <c r="O260" s="73" t="s">
        <v>129</v>
      </c>
      <c r="P260" s="76" t="s">
        <v>225</v>
      </c>
    </row>
    <row r="261" customFormat="false" ht="15" hidden="false" customHeight="false" outlineLevel="0" collapsed="false">
      <c r="A261" s="73" t="s">
        <v>19</v>
      </c>
      <c r="B261" s="74" t="n">
        <v>46255</v>
      </c>
      <c r="C261" s="75" t="s">
        <v>66</v>
      </c>
      <c r="D261" s="73" t="s">
        <v>129</v>
      </c>
      <c r="E261" s="76" t="s">
        <v>704</v>
      </c>
      <c r="F261" s="73" t="s">
        <v>78</v>
      </c>
      <c r="G261" s="75" t="s">
        <v>414</v>
      </c>
      <c r="H261" s="73" t="s">
        <v>7</v>
      </c>
      <c r="I261" s="75" t="s">
        <v>414</v>
      </c>
      <c r="J261" s="75" t="s">
        <v>414</v>
      </c>
      <c r="K261" s="73" t="s">
        <v>135</v>
      </c>
      <c r="L261" s="73" t="s">
        <v>84</v>
      </c>
      <c r="M261" s="75" t="s">
        <v>414</v>
      </c>
      <c r="N261" s="76"/>
      <c r="O261" s="73" t="s">
        <v>129</v>
      </c>
      <c r="P261" s="76" t="s">
        <v>705</v>
      </c>
    </row>
    <row r="262" customFormat="false" ht="15" hidden="false" customHeight="false" outlineLevel="0" collapsed="false">
      <c r="A262" s="73" t="s">
        <v>19</v>
      </c>
      <c r="B262" s="74" t="n">
        <v>46190</v>
      </c>
      <c r="C262" s="75" t="s">
        <v>665</v>
      </c>
      <c r="D262" s="73" t="s">
        <v>129</v>
      </c>
      <c r="E262" s="76" t="s">
        <v>704</v>
      </c>
      <c r="F262" s="73" t="s">
        <v>124</v>
      </c>
      <c r="G262" s="75" t="s">
        <v>414</v>
      </c>
      <c r="H262" s="73" t="s">
        <v>108</v>
      </c>
      <c r="I262" s="73" t="s">
        <v>140</v>
      </c>
      <c r="J262" s="75" t="s">
        <v>414</v>
      </c>
      <c r="K262" s="73" t="s">
        <v>135</v>
      </c>
      <c r="L262" s="73" t="s">
        <v>84</v>
      </c>
      <c r="M262" s="75" t="s">
        <v>414</v>
      </c>
      <c r="N262" s="76"/>
      <c r="O262" s="73" t="s">
        <v>129</v>
      </c>
      <c r="P262" s="76" t="s">
        <v>706</v>
      </c>
    </row>
    <row r="263" customFormat="false" ht="15" hidden="false" customHeight="false" outlineLevel="0" collapsed="false">
      <c r="A263" s="73" t="s">
        <v>19</v>
      </c>
      <c r="B263" s="74" t="n">
        <v>46162</v>
      </c>
      <c r="C263" s="75" t="s">
        <v>707</v>
      </c>
      <c r="D263" s="73" t="s">
        <v>129</v>
      </c>
      <c r="E263" s="76" t="s">
        <v>704</v>
      </c>
      <c r="F263" s="73" t="s">
        <v>80</v>
      </c>
      <c r="G263" s="75" t="s">
        <v>414</v>
      </c>
      <c r="H263" s="73" t="s">
        <v>7</v>
      </c>
      <c r="I263" s="73" t="s">
        <v>140</v>
      </c>
      <c r="J263" s="75" t="s">
        <v>424</v>
      </c>
      <c r="K263" s="73" t="s">
        <v>137</v>
      </c>
      <c r="L263" s="73" t="s">
        <v>84</v>
      </c>
      <c r="M263" s="75" t="s">
        <v>414</v>
      </c>
      <c r="N263" s="76"/>
      <c r="O263" s="73" t="s">
        <v>129</v>
      </c>
      <c r="P263" s="76" t="s">
        <v>708</v>
      </c>
    </row>
    <row r="264" customFormat="false" ht="15" hidden="false" customHeight="false" outlineLevel="0" collapsed="false">
      <c r="A264" s="73" t="s">
        <v>19</v>
      </c>
      <c r="B264" s="74" t="n">
        <v>46225</v>
      </c>
      <c r="C264" s="75" t="s">
        <v>62</v>
      </c>
      <c r="D264" s="73" t="s">
        <v>129</v>
      </c>
      <c r="E264" s="76" t="s">
        <v>226</v>
      </c>
      <c r="F264" s="73" t="s">
        <v>78</v>
      </c>
      <c r="G264" s="75" t="s">
        <v>414</v>
      </c>
      <c r="H264" s="73" t="s">
        <v>9</v>
      </c>
      <c r="I264" s="73" t="s">
        <v>140</v>
      </c>
      <c r="J264" s="75" t="s">
        <v>414</v>
      </c>
      <c r="K264" s="73" t="s">
        <v>135</v>
      </c>
      <c r="L264" s="73" t="s">
        <v>84</v>
      </c>
      <c r="M264" s="75" t="s">
        <v>414</v>
      </c>
      <c r="N264" s="76" t="s">
        <v>111</v>
      </c>
      <c r="O264" s="73" t="s">
        <v>129</v>
      </c>
      <c r="P264" s="76" t="s">
        <v>227</v>
      </c>
    </row>
    <row r="265" customFormat="false" ht="15" hidden="false" customHeight="false" outlineLevel="0" collapsed="false">
      <c r="A265" s="73" t="s">
        <v>19</v>
      </c>
      <c r="B265" s="74" t="n">
        <v>46225</v>
      </c>
      <c r="C265" s="75" t="s">
        <v>62</v>
      </c>
      <c r="D265" s="73" t="s">
        <v>129</v>
      </c>
      <c r="E265" s="76" t="s">
        <v>226</v>
      </c>
      <c r="F265" s="73" t="s">
        <v>124</v>
      </c>
      <c r="G265" s="75" t="s">
        <v>414</v>
      </c>
      <c r="H265" s="73" t="s">
        <v>9</v>
      </c>
      <c r="I265" s="73" t="s">
        <v>140</v>
      </c>
      <c r="J265" s="75" t="s">
        <v>414</v>
      </c>
      <c r="K265" s="75" t="s">
        <v>414</v>
      </c>
      <c r="L265" s="73" t="s">
        <v>84</v>
      </c>
      <c r="M265" s="75" t="s">
        <v>414</v>
      </c>
      <c r="N265" s="76" t="s">
        <v>112</v>
      </c>
      <c r="O265" s="73" t="s">
        <v>129</v>
      </c>
      <c r="P265" s="76" t="s">
        <v>201</v>
      </c>
    </row>
    <row r="266" customFormat="false" ht="15" hidden="false" customHeight="false" outlineLevel="0" collapsed="false">
      <c r="A266" s="73" t="s">
        <v>19</v>
      </c>
      <c r="B266" s="74" t="n">
        <v>46190</v>
      </c>
      <c r="C266" s="75" t="s">
        <v>665</v>
      </c>
      <c r="D266" s="73" t="s">
        <v>129</v>
      </c>
      <c r="E266" s="76" t="s">
        <v>226</v>
      </c>
      <c r="F266" s="73" t="s">
        <v>80</v>
      </c>
      <c r="G266" s="75" t="s">
        <v>414</v>
      </c>
      <c r="H266" s="73" t="s">
        <v>7</v>
      </c>
      <c r="I266" s="73" t="s">
        <v>140</v>
      </c>
      <c r="J266" s="75" t="s">
        <v>424</v>
      </c>
      <c r="K266" s="73" t="s">
        <v>135</v>
      </c>
      <c r="L266" s="73" t="s">
        <v>85</v>
      </c>
      <c r="M266" s="75" t="s">
        <v>414</v>
      </c>
      <c r="N266" s="76"/>
      <c r="O266" s="73" t="s">
        <v>129</v>
      </c>
      <c r="P266" s="76" t="s">
        <v>709</v>
      </c>
    </row>
    <row r="267" customFormat="false" ht="15" hidden="false" customHeight="false" outlineLevel="0" collapsed="false">
      <c r="A267" s="73" t="s">
        <v>19</v>
      </c>
      <c r="B267" s="74" t="n">
        <v>46161</v>
      </c>
      <c r="C267" s="75" t="s">
        <v>707</v>
      </c>
      <c r="D267" s="73" t="s">
        <v>129</v>
      </c>
      <c r="E267" s="76" t="s">
        <v>228</v>
      </c>
      <c r="F267" s="73" t="s">
        <v>78</v>
      </c>
      <c r="G267" s="75" t="s">
        <v>414</v>
      </c>
      <c r="H267" s="73" t="s">
        <v>9</v>
      </c>
      <c r="I267" s="73" t="s">
        <v>140</v>
      </c>
      <c r="J267" s="75" t="s">
        <v>414</v>
      </c>
      <c r="K267" s="73" t="s">
        <v>135</v>
      </c>
      <c r="L267" s="73" t="s">
        <v>84</v>
      </c>
      <c r="M267" s="75" t="s">
        <v>414</v>
      </c>
      <c r="N267" s="76" t="s">
        <v>111</v>
      </c>
      <c r="O267" s="73" t="s">
        <v>129</v>
      </c>
      <c r="P267" s="76" t="s">
        <v>227</v>
      </c>
    </row>
    <row r="268" customFormat="false" ht="15" hidden="false" customHeight="false" outlineLevel="0" collapsed="false">
      <c r="A268" s="73" t="s">
        <v>19</v>
      </c>
      <c r="B268" s="74" t="n">
        <v>46252</v>
      </c>
      <c r="C268" s="75" t="s">
        <v>66</v>
      </c>
      <c r="D268" s="73" t="s">
        <v>129</v>
      </c>
      <c r="E268" s="76" t="s">
        <v>228</v>
      </c>
      <c r="F268" s="73" t="s">
        <v>78</v>
      </c>
      <c r="G268" s="75" t="s">
        <v>414</v>
      </c>
      <c r="H268" s="73" t="s">
        <v>9</v>
      </c>
      <c r="I268" s="73" t="s">
        <v>140</v>
      </c>
      <c r="J268" s="75" t="s">
        <v>414</v>
      </c>
      <c r="K268" s="73" t="s">
        <v>135</v>
      </c>
      <c r="L268" s="73" t="s">
        <v>84</v>
      </c>
      <c r="M268" s="75" t="s">
        <v>414</v>
      </c>
      <c r="N268" s="76" t="s">
        <v>111</v>
      </c>
      <c r="O268" s="73" t="s">
        <v>129</v>
      </c>
      <c r="P268" s="76" t="s">
        <v>229</v>
      </c>
    </row>
    <row r="269" customFormat="false" ht="15" hidden="false" customHeight="false" outlineLevel="0" collapsed="false">
      <c r="A269" s="73" t="s">
        <v>19</v>
      </c>
      <c r="B269" s="74" t="n">
        <v>46252</v>
      </c>
      <c r="C269" s="75" t="s">
        <v>66</v>
      </c>
      <c r="D269" s="73" t="s">
        <v>129</v>
      </c>
      <c r="E269" s="76" t="s">
        <v>228</v>
      </c>
      <c r="F269" s="73" t="s">
        <v>124</v>
      </c>
      <c r="G269" s="75" t="s">
        <v>414</v>
      </c>
      <c r="H269" s="73" t="s">
        <v>108</v>
      </c>
      <c r="I269" s="73" t="s">
        <v>140</v>
      </c>
      <c r="J269" s="75" t="s">
        <v>414</v>
      </c>
      <c r="K269" s="73" t="s">
        <v>135</v>
      </c>
      <c r="L269" s="73" t="s">
        <v>84</v>
      </c>
      <c r="M269" s="75" t="s">
        <v>414</v>
      </c>
      <c r="N269" s="76"/>
      <c r="O269" s="73" t="s">
        <v>129</v>
      </c>
      <c r="P269" s="76" t="s">
        <v>710</v>
      </c>
    </row>
    <row r="270" customFormat="false" ht="15" hidden="false" customHeight="false" outlineLevel="0" collapsed="false">
      <c r="A270" s="73" t="s">
        <v>19</v>
      </c>
      <c r="B270" s="74" t="n">
        <v>46100</v>
      </c>
      <c r="C270" s="75" t="s">
        <v>711</v>
      </c>
      <c r="D270" s="73" t="s">
        <v>129</v>
      </c>
      <c r="E270" s="76" t="s">
        <v>228</v>
      </c>
      <c r="F270" s="73" t="s">
        <v>80</v>
      </c>
      <c r="G270" s="75" t="s">
        <v>414</v>
      </c>
      <c r="H270" s="73" t="s">
        <v>7</v>
      </c>
      <c r="I270" s="73" t="s">
        <v>140</v>
      </c>
      <c r="J270" s="75" t="s">
        <v>424</v>
      </c>
      <c r="K270" s="73" t="s">
        <v>137</v>
      </c>
      <c r="L270" s="73" t="s">
        <v>84</v>
      </c>
      <c r="M270" s="75" t="s">
        <v>414</v>
      </c>
      <c r="N270" s="76"/>
      <c r="O270" s="73" t="s">
        <v>129</v>
      </c>
      <c r="P270" s="76" t="s">
        <v>712</v>
      </c>
    </row>
    <row r="271" customFormat="false" ht="15" hidden="false" customHeight="false" outlineLevel="0" collapsed="false">
      <c r="A271" s="73" t="s">
        <v>19</v>
      </c>
      <c r="B271" s="74" t="n">
        <v>46190</v>
      </c>
      <c r="C271" s="75" t="s">
        <v>665</v>
      </c>
      <c r="D271" s="73" t="s">
        <v>129</v>
      </c>
      <c r="E271" s="76" t="s">
        <v>230</v>
      </c>
      <c r="F271" s="73" t="s">
        <v>124</v>
      </c>
      <c r="G271" s="75" t="s">
        <v>414</v>
      </c>
      <c r="H271" s="73" t="s">
        <v>9</v>
      </c>
      <c r="I271" s="73" t="s">
        <v>139</v>
      </c>
      <c r="J271" s="75" t="s">
        <v>414</v>
      </c>
      <c r="K271" s="73" t="s">
        <v>135</v>
      </c>
      <c r="L271" s="73" t="s">
        <v>85</v>
      </c>
      <c r="M271" s="75" t="s">
        <v>414</v>
      </c>
      <c r="N271" s="76" t="s">
        <v>38</v>
      </c>
      <c r="O271" s="73" t="s">
        <v>129</v>
      </c>
      <c r="P271" s="76" t="s">
        <v>231</v>
      </c>
    </row>
    <row r="272" customFormat="false" ht="15" hidden="false" customHeight="false" outlineLevel="0" collapsed="false">
      <c r="A272" s="73" t="s">
        <v>21</v>
      </c>
      <c r="B272" s="74" t="n">
        <v>46261</v>
      </c>
      <c r="C272" s="75" t="s">
        <v>67</v>
      </c>
      <c r="D272" s="73" t="s">
        <v>129</v>
      </c>
      <c r="E272" s="76" t="s">
        <v>232</v>
      </c>
      <c r="F272" s="73" t="s">
        <v>125</v>
      </c>
      <c r="G272" s="73" t="s">
        <v>117</v>
      </c>
      <c r="H272" s="73" t="s">
        <v>9</v>
      </c>
      <c r="I272" s="75" t="s">
        <v>414</v>
      </c>
      <c r="J272" s="75" t="s">
        <v>414</v>
      </c>
      <c r="K272" s="75" t="s">
        <v>414</v>
      </c>
      <c r="L272" s="75" t="s">
        <v>414</v>
      </c>
      <c r="M272" s="75" t="s">
        <v>414</v>
      </c>
      <c r="N272" s="76" t="s">
        <v>38</v>
      </c>
      <c r="O272" s="73" t="s">
        <v>129</v>
      </c>
      <c r="P272" s="76"/>
    </row>
    <row r="273" customFormat="false" ht="15" hidden="false" customHeight="false" outlineLevel="0" collapsed="false">
      <c r="A273" s="73" t="s">
        <v>21</v>
      </c>
      <c r="B273" s="74" t="n">
        <v>46261</v>
      </c>
      <c r="C273" s="75" t="s">
        <v>67</v>
      </c>
      <c r="D273" s="73" t="s">
        <v>129</v>
      </c>
      <c r="E273" s="76" t="s">
        <v>233</v>
      </c>
      <c r="F273" s="73" t="s">
        <v>125</v>
      </c>
      <c r="G273" s="73" t="s">
        <v>117</v>
      </c>
      <c r="H273" s="75" t="s">
        <v>414</v>
      </c>
      <c r="I273" s="75" t="s">
        <v>414</v>
      </c>
      <c r="J273" s="75" t="s">
        <v>414</v>
      </c>
      <c r="K273" s="75" t="s">
        <v>414</v>
      </c>
      <c r="L273" s="75" t="s">
        <v>414</v>
      </c>
      <c r="M273" s="75" t="s">
        <v>414</v>
      </c>
      <c r="N273" s="76"/>
      <c r="O273" s="73" t="s">
        <v>129</v>
      </c>
      <c r="P273" s="77" t="s">
        <v>713</v>
      </c>
    </row>
    <row r="274" customFormat="false" ht="15" hidden="false" customHeight="false" outlineLevel="0" collapsed="false">
      <c r="A274" s="73" t="s">
        <v>21</v>
      </c>
      <c r="B274" s="74" t="n">
        <v>46261</v>
      </c>
      <c r="C274" s="75" t="s">
        <v>67</v>
      </c>
      <c r="D274" s="73" t="s">
        <v>129</v>
      </c>
      <c r="E274" s="76" t="s">
        <v>233</v>
      </c>
      <c r="F274" s="73" t="s">
        <v>125</v>
      </c>
      <c r="G274" s="73" t="s">
        <v>117</v>
      </c>
      <c r="H274" s="73" t="s">
        <v>9</v>
      </c>
      <c r="I274" s="75" t="s">
        <v>414</v>
      </c>
      <c r="J274" s="75" t="s">
        <v>414</v>
      </c>
      <c r="K274" s="75" t="s">
        <v>414</v>
      </c>
      <c r="L274" s="75" t="s">
        <v>414</v>
      </c>
      <c r="M274" s="75" t="s">
        <v>414</v>
      </c>
      <c r="N274" s="76" t="s">
        <v>38</v>
      </c>
      <c r="O274" s="73" t="s">
        <v>129</v>
      </c>
      <c r="P274" s="76"/>
    </row>
    <row r="275" customFormat="false" ht="15" hidden="false" customHeight="false" outlineLevel="0" collapsed="false">
      <c r="A275" s="73" t="s">
        <v>21</v>
      </c>
      <c r="B275" s="74" t="n">
        <v>46261</v>
      </c>
      <c r="C275" s="75" t="s">
        <v>67</v>
      </c>
      <c r="D275" s="73" t="s">
        <v>129</v>
      </c>
      <c r="E275" s="76" t="s">
        <v>234</v>
      </c>
      <c r="F275" s="73" t="s">
        <v>125</v>
      </c>
      <c r="G275" s="73" t="s">
        <v>117</v>
      </c>
      <c r="H275" s="73" t="s">
        <v>9</v>
      </c>
      <c r="I275" s="75" t="s">
        <v>414</v>
      </c>
      <c r="J275" s="75" t="s">
        <v>414</v>
      </c>
      <c r="K275" s="75" t="s">
        <v>414</v>
      </c>
      <c r="L275" s="75" t="s">
        <v>414</v>
      </c>
      <c r="M275" s="75" t="s">
        <v>414</v>
      </c>
      <c r="N275" s="76" t="s">
        <v>40</v>
      </c>
      <c r="O275" s="73" t="s">
        <v>129</v>
      </c>
      <c r="P275" s="77" t="s">
        <v>714</v>
      </c>
    </row>
    <row r="276" customFormat="false" ht="15" hidden="false" customHeight="false" outlineLevel="0" collapsed="false">
      <c r="A276" s="73" t="s">
        <v>19</v>
      </c>
      <c r="B276" s="74" t="n">
        <v>46252</v>
      </c>
      <c r="C276" s="75" t="s">
        <v>66</v>
      </c>
      <c r="D276" s="73" t="s">
        <v>129</v>
      </c>
      <c r="E276" s="76" t="s">
        <v>230</v>
      </c>
      <c r="F276" s="73" t="s">
        <v>81</v>
      </c>
      <c r="G276" s="75" t="s">
        <v>414</v>
      </c>
      <c r="H276" s="73" t="s">
        <v>108</v>
      </c>
      <c r="I276" s="75" t="s">
        <v>414</v>
      </c>
      <c r="J276" s="75" t="s">
        <v>467</v>
      </c>
      <c r="K276" s="73" t="s">
        <v>136</v>
      </c>
      <c r="L276" s="73" t="s">
        <v>85</v>
      </c>
      <c r="M276" s="75" t="s">
        <v>414</v>
      </c>
      <c r="N276" s="76"/>
      <c r="O276" s="73" t="s">
        <v>129</v>
      </c>
      <c r="P276" s="77" t="s">
        <v>715</v>
      </c>
    </row>
    <row r="277" customFormat="false" ht="15" hidden="false" customHeight="false" outlineLevel="0" collapsed="false">
      <c r="A277" s="73" t="s">
        <v>19</v>
      </c>
      <c r="B277" s="74" t="n">
        <v>46134</v>
      </c>
      <c r="C277" s="75" t="s">
        <v>644</v>
      </c>
      <c r="D277" s="73" t="s">
        <v>129</v>
      </c>
      <c r="E277" s="76" t="s">
        <v>230</v>
      </c>
      <c r="F277" s="73" t="s">
        <v>80</v>
      </c>
      <c r="G277" s="75" t="s">
        <v>414</v>
      </c>
      <c r="H277" s="73" t="s">
        <v>9</v>
      </c>
      <c r="I277" s="73" t="s">
        <v>140</v>
      </c>
      <c r="J277" s="75" t="s">
        <v>424</v>
      </c>
      <c r="K277" s="73" t="s">
        <v>135</v>
      </c>
      <c r="L277" s="73" t="s">
        <v>85</v>
      </c>
      <c r="M277" s="75" t="s">
        <v>414</v>
      </c>
      <c r="N277" s="76" t="s">
        <v>111</v>
      </c>
      <c r="O277" s="73" t="s">
        <v>129</v>
      </c>
      <c r="P277" s="77" t="s">
        <v>716</v>
      </c>
    </row>
    <row r="278" customFormat="false" ht="15" hidden="false" customHeight="false" outlineLevel="0" collapsed="false">
      <c r="A278" s="73" t="s">
        <v>19</v>
      </c>
      <c r="B278" s="74" t="n">
        <v>46252</v>
      </c>
      <c r="C278" s="75" t="s">
        <v>66</v>
      </c>
      <c r="D278" s="73" t="s">
        <v>129</v>
      </c>
      <c r="E278" s="76" t="s">
        <v>230</v>
      </c>
      <c r="F278" s="73" t="s">
        <v>80</v>
      </c>
      <c r="G278" s="75" t="s">
        <v>414</v>
      </c>
      <c r="H278" s="73" t="s">
        <v>7</v>
      </c>
      <c r="I278" s="73" t="s">
        <v>140</v>
      </c>
      <c r="J278" s="75" t="s">
        <v>414</v>
      </c>
      <c r="K278" s="73" t="s">
        <v>135</v>
      </c>
      <c r="L278" s="73" t="s">
        <v>85</v>
      </c>
      <c r="M278" s="75" t="s">
        <v>414</v>
      </c>
      <c r="N278" s="76"/>
      <c r="O278" s="73" t="s">
        <v>129</v>
      </c>
      <c r="P278" s="76" t="s">
        <v>717</v>
      </c>
    </row>
    <row r="279" customFormat="false" ht="15" hidden="false" customHeight="false" outlineLevel="0" collapsed="false">
      <c r="A279" s="73" t="s">
        <v>19</v>
      </c>
      <c r="B279" s="74" t="n">
        <v>46100</v>
      </c>
      <c r="C279" s="75" t="s">
        <v>711</v>
      </c>
      <c r="D279" s="73" t="s">
        <v>129</v>
      </c>
      <c r="E279" s="76" t="s">
        <v>718</v>
      </c>
      <c r="F279" s="73" t="s">
        <v>80</v>
      </c>
      <c r="G279" s="75" t="s">
        <v>414</v>
      </c>
      <c r="H279" s="73" t="s">
        <v>7</v>
      </c>
      <c r="I279" s="73" t="s">
        <v>140</v>
      </c>
      <c r="J279" s="75" t="s">
        <v>424</v>
      </c>
      <c r="K279" s="73" t="s">
        <v>137</v>
      </c>
      <c r="L279" s="73" t="s">
        <v>85</v>
      </c>
      <c r="M279" s="75" t="s">
        <v>414</v>
      </c>
      <c r="N279" s="76"/>
      <c r="O279" s="73" t="s">
        <v>129</v>
      </c>
      <c r="P279" s="77" t="s">
        <v>719</v>
      </c>
    </row>
    <row r="280" customFormat="false" ht="15" hidden="false" customHeight="false" outlineLevel="0" collapsed="false">
      <c r="A280" s="73" t="s">
        <v>19</v>
      </c>
      <c r="B280" s="74" t="n">
        <v>46227</v>
      </c>
      <c r="C280" s="75" t="s">
        <v>62</v>
      </c>
      <c r="D280" s="73" t="s">
        <v>129</v>
      </c>
      <c r="E280" s="76" t="s">
        <v>720</v>
      </c>
      <c r="F280" s="73" t="s">
        <v>80</v>
      </c>
      <c r="G280" s="75" t="s">
        <v>414</v>
      </c>
      <c r="H280" s="73" t="s">
        <v>7</v>
      </c>
      <c r="I280" s="73" t="s">
        <v>139</v>
      </c>
      <c r="J280" s="75" t="s">
        <v>414</v>
      </c>
      <c r="K280" s="73" t="s">
        <v>135</v>
      </c>
      <c r="L280" s="73" t="s">
        <v>84</v>
      </c>
      <c r="M280" s="75" t="s">
        <v>414</v>
      </c>
      <c r="N280" s="76"/>
      <c r="O280" s="73" t="s">
        <v>129</v>
      </c>
      <c r="P280" s="76" t="s">
        <v>721</v>
      </c>
    </row>
    <row r="281" customFormat="false" ht="15" hidden="false" customHeight="false" outlineLevel="0" collapsed="false">
      <c r="A281" s="73" t="s">
        <v>19</v>
      </c>
      <c r="B281" s="74" t="n">
        <v>46225</v>
      </c>
      <c r="C281" s="75" t="s">
        <v>62</v>
      </c>
      <c r="D281" s="73" t="s">
        <v>129</v>
      </c>
      <c r="E281" s="76" t="s">
        <v>722</v>
      </c>
      <c r="F281" s="73" t="s">
        <v>78</v>
      </c>
      <c r="G281" s="75" t="s">
        <v>414</v>
      </c>
      <c r="H281" s="73" t="s">
        <v>108</v>
      </c>
      <c r="I281" s="73" t="s">
        <v>140</v>
      </c>
      <c r="J281" s="75" t="s">
        <v>414</v>
      </c>
      <c r="K281" s="73" t="s">
        <v>135</v>
      </c>
      <c r="L281" s="73" t="s">
        <v>86</v>
      </c>
      <c r="M281" s="75" t="s">
        <v>414</v>
      </c>
      <c r="N281" s="76"/>
      <c r="O281" s="73" t="s">
        <v>129</v>
      </c>
      <c r="P281" s="76" t="s">
        <v>723</v>
      </c>
    </row>
    <row r="282" customFormat="false" ht="15" hidden="false" customHeight="false" outlineLevel="0" collapsed="false">
      <c r="A282" s="73" t="s">
        <v>19</v>
      </c>
      <c r="B282" s="74" t="n">
        <v>46225</v>
      </c>
      <c r="C282" s="75" t="s">
        <v>62</v>
      </c>
      <c r="D282" s="73" t="s">
        <v>129</v>
      </c>
      <c r="E282" s="76" t="s">
        <v>722</v>
      </c>
      <c r="F282" s="73" t="s">
        <v>82</v>
      </c>
      <c r="G282" s="75" t="s">
        <v>414</v>
      </c>
      <c r="H282" s="73" t="s">
        <v>108</v>
      </c>
      <c r="I282" s="73" t="s">
        <v>139</v>
      </c>
      <c r="J282" s="75" t="s">
        <v>414</v>
      </c>
      <c r="K282" s="73" t="s">
        <v>135</v>
      </c>
      <c r="L282" s="73" t="s">
        <v>8</v>
      </c>
      <c r="M282" s="75" t="s">
        <v>414</v>
      </c>
      <c r="N282" s="76"/>
      <c r="O282" s="73" t="s">
        <v>129</v>
      </c>
      <c r="P282" s="76" t="s">
        <v>724</v>
      </c>
    </row>
    <row r="283" customFormat="false" ht="15" hidden="false" customHeight="false" outlineLevel="0" collapsed="false">
      <c r="A283" s="73" t="s">
        <v>19</v>
      </c>
      <c r="B283" s="74" t="n">
        <v>46255</v>
      </c>
      <c r="C283" s="75" t="s">
        <v>66</v>
      </c>
      <c r="D283" s="73" t="s">
        <v>129</v>
      </c>
      <c r="E283" s="76" t="s">
        <v>722</v>
      </c>
      <c r="F283" s="73" t="s">
        <v>80</v>
      </c>
      <c r="G283" s="75" t="s">
        <v>414</v>
      </c>
      <c r="H283" s="73" t="s">
        <v>8</v>
      </c>
      <c r="I283" s="73" t="s">
        <v>140</v>
      </c>
      <c r="J283" s="75" t="s">
        <v>414</v>
      </c>
      <c r="K283" s="73" t="s">
        <v>137</v>
      </c>
      <c r="L283" s="73" t="s">
        <v>8</v>
      </c>
      <c r="M283" s="75" t="s">
        <v>414</v>
      </c>
      <c r="N283" s="76"/>
      <c r="O283" s="73" t="s">
        <v>129</v>
      </c>
      <c r="P283" s="76" t="s">
        <v>725</v>
      </c>
    </row>
    <row r="284" customFormat="false" ht="15" hidden="false" customHeight="false" outlineLevel="0" collapsed="false">
      <c r="A284" s="73" t="s">
        <v>19</v>
      </c>
      <c r="B284" s="74" t="n">
        <v>46225</v>
      </c>
      <c r="C284" s="75" t="s">
        <v>62</v>
      </c>
      <c r="D284" s="73" t="s">
        <v>129</v>
      </c>
      <c r="E284" s="76" t="s">
        <v>237</v>
      </c>
      <c r="F284" s="73" t="s">
        <v>124</v>
      </c>
      <c r="G284" s="75" t="s">
        <v>414</v>
      </c>
      <c r="H284" s="73" t="s">
        <v>7</v>
      </c>
      <c r="I284" s="73" t="s">
        <v>140</v>
      </c>
      <c r="J284" s="75" t="s">
        <v>414</v>
      </c>
      <c r="K284" s="73" t="s">
        <v>136</v>
      </c>
      <c r="L284" s="73" t="s">
        <v>84</v>
      </c>
      <c r="M284" s="73" t="s">
        <v>421</v>
      </c>
      <c r="N284" s="76"/>
      <c r="O284" s="73" t="s">
        <v>129</v>
      </c>
      <c r="P284" s="76" t="s">
        <v>726</v>
      </c>
    </row>
    <row r="285" customFormat="false" ht="15" hidden="false" customHeight="false" outlineLevel="0" collapsed="false">
      <c r="A285" s="73" t="s">
        <v>19</v>
      </c>
      <c r="B285" s="74" t="n">
        <v>46100</v>
      </c>
      <c r="C285" s="75" t="s">
        <v>711</v>
      </c>
      <c r="D285" s="73" t="s">
        <v>129</v>
      </c>
      <c r="E285" s="76" t="s">
        <v>237</v>
      </c>
      <c r="F285" s="73" t="s">
        <v>80</v>
      </c>
      <c r="G285" s="75" t="s">
        <v>414</v>
      </c>
      <c r="H285" s="73" t="s">
        <v>9</v>
      </c>
      <c r="I285" s="73" t="s">
        <v>140</v>
      </c>
      <c r="J285" s="75" t="s">
        <v>424</v>
      </c>
      <c r="K285" s="73" t="s">
        <v>135</v>
      </c>
      <c r="L285" s="73" t="s">
        <v>85</v>
      </c>
      <c r="M285" s="75" t="s">
        <v>414</v>
      </c>
      <c r="N285" s="76" t="s">
        <v>111</v>
      </c>
      <c r="O285" s="73" t="s">
        <v>129</v>
      </c>
      <c r="P285" s="76" t="s">
        <v>238</v>
      </c>
    </row>
    <row r="286" customFormat="false" ht="15" hidden="false" customHeight="false" outlineLevel="0" collapsed="false">
      <c r="A286" s="73" t="s">
        <v>19</v>
      </c>
      <c r="B286" s="74" t="n">
        <v>46252</v>
      </c>
      <c r="C286" s="75" t="s">
        <v>66</v>
      </c>
      <c r="D286" s="73" t="s">
        <v>129</v>
      </c>
      <c r="E286" s="76" t="s">
        <v>237</v>
      </c>
      <c r="F286" s="73" t="s">
        <v>80</v>
      </c>
      <c r="G286" s="75" t="s">
        <v>414</v>
      </c>
      <c r="H286" s="73" t="s">
        <v>9</v>
      </c>
      <c r="I286" s="73" t="s">
        <v>140</v>
      </c>
      <c r="J286" s="73" t="s">
        <v>464</v>
      </c>
      <c r="K286" s="73" t="s">
        <v>135</v>
      </c>
      <c r="L286" s="73" t="s">
        <v>85</v>
      </c>
      <c r="M286" s="75" t="s">
        <v>414</v>
      </c>
      <c r="N286" s="76" t="s">
        <v>111</v>
      </c>
      <c r="O286" s="73" t="s">
        <v>129</v>
      </c>
      <c r="P286" s="76" t="s">
        <v>239</v>
      </c>
    </row>
    <row r="287" customFormat="false" ht="15" hidden="false" customHeight="false" outlineLevel="0" collapsed="false">
      <c r="A287" s="73" t="s">
        <v>19</v>
      </c>
      <c r="B287" s="74" t="n">
        <v>46252</v>
      </c>
      <c r="C287" s="75" t="s">
        <v>66</v>
      </c>
      <c r="D287" s="73" t="s">
        <v>129</v>
      </c>
      <c r="E287" s="76" t="s">
        <v>240</v>
      </c>
      <c r="F287" s="73" t="s">
        <v>78</v>
      </c>
      <c r="G287" s="75" t="s">
        <v>414</v>
      </c>
      <c r="H287" s="73" t="s">
        <v>108</v>
      </c>
      <c r="I287" s="73" t="s">
        <v>140</v>
      </c>
      <c r="J287" s="75" t="s">
        <v>414</v>
      </c>
      <c r="K287" s="73" t="s">
        <v>135</v>
      </c>
      <c r="L287" s="73" t="s">
        <v>84</v>
      </c>
      <c r="M287" s="75" t="s">
        <v>414</v>
      </c>
      <c r="N287" s="76"/>
      <c r="O287" s="73" t="s">
        <v>129</v>
      </c>
      <c r="P287" s="76" t="s">
        <v>727</v>
      </c>
    </row>
    <row r="288" customFormat="false" ht="15" hidden="false" customHeight="false" outlineLevel="0" collapsed="false">
      <c r="A288" s="73" t="s">
        <v>19</v>
      </c>
      <c r="B288" s="74" t="n">
        <v>46190</v>
      </c>
      <c r="C288" s="75" t="s">
        <v>665</v>
      </c>
      <c r="D288" s="73" t="s">
        <v>129</v>
      </c>
      <c r="E288" s="76" t="s">
        <v>240</v>
      </c>
      <c r="F288" s="73" t="s">
        <v>124</v>
      </c>
      <c r="G288" s="75" t="s">
        <v>414</v>
      </c>
      <c r="H288" s="73" t="s">
        <v>7</v>
      </c>
      <c r="I288" s="73" t="s">
        <v>140</v>
      </c>
      <c r="J288" s="75" t="s">
        <v>414</v>
      </c>
      <c r="K288" s="73" t="s">
        <v>135</v>
      </c>
      <c r="L288" s="73" t="s">
        <v>84</v>
      </c>
      <c r="M288" s="75" t="s">
        <v>414</v>
      </c>
      <c r="N288" s="76"/>
      <c r="O288" s="73" t="s">
        <v>129</v>
      </c>
      <c r="P288" s="76" t="s">
        <v>728</v>
      </c>
    </row>
    <row r="289" customFormat="false" ht="15" hidden="false" customHeight="false" outlineLevel="0" collapsed="false">
      <c r="A289" s="73" t="s">
        <v>19</v>
      </c>
      <c r="B289" s="74" t="n">
        <v>46139</v>
      </c>
      <c r="C289" s="75" t="s">
        <v>659</v>
      </c>
      <c r="D289" s="73" t="s">
        <v>129</v>
      </c>
      <c r="E289" s="76" t="s">
        <v>240</v>
      </c>
      <c r="F289" s="73" t="s">
        <v>81</v>
      </c>
      <c r="G289" s="75" t="s">
        <v>414</v>
      </c>
      <c r="H289" s="73" t="s">
        <v>9</v>
      </c>
      <c r="I289" s="73" t="s">
        <v>139</v>
      </c>
      <c r="J289" s="75" t="s">
        <v>414</v>
      </c>
      <c r="K289" s="73" t="s">
        <v>135</v>
      </c>
      <c r="L289" s="73" t="s">
        <v>84</v>
      </c>
      <c r="M289" s="75" t="s">
        <v>414</v>
      </c>
      <c r="N289" s="76" t="s">
        <v>44</v>
      </c>
      <c r="O289" s="73" t="s">
        <v>129</v>
      </c>
      <c r="P289" s="76" t="s">
        <v>241</v>
      </c>
    </row>
    <row r="290" customFormat="false" ht="15" hidden="false" customHeight="false" outlineLevel="0" collapsed="false">
      <c r="A290" s="73" t="s">
        <v>19</v>
      </c>
      <c r="B290" s="74" t="n">
        <v>46190</v>
      </c>
      <c r="C290" s="75" t="s">
        <v>665</v>
      </c>
      <c r="D290" s="73" t="s">
        <v>129</v>
      </c>
      <c r="E290" s="76" t="s">
        <v>240</v>
      </c>
      <c r="F290" s="73" t="s">
        <v>80</v>
      </c>
      <c r="G290" s="73" t="s">
        <v>118</v>
      </c>
      <c r="H290" s="73" t="s">
        <v>9</v>
      </c>
      <c r="I290" s="73" t="s">
        <v>140</v>
      </c>
      <c r="J290" s="75" t="s">
        <v>424</v>
      </c>
      <c r="K290" s="73" t="s">
        <v>135</v>
      </c>
      <c r="L290" s="73" t="s">
        <v>85</v>
      </c>
      <c r="M290" s="73" t="s">
        <v>421</v>
      </c>
      <c r="N290" s="76" t="s">
        <v>111</v>
      </c>
      <c r="O290" s="73" t="s">
        <v>129</v>
      </c>
      <c r="P290" s="76" t="s">
        <v>242</v>
      </c>
    </row>
    <row r="291" customFormat="false" ht="15" hidden="false" customHeight="false" outlineLevel="0" collapsed="false">
      <c r="A291" s="73" t="s">
        <v>19</v>
      </c>
      <c r="B291" s="74" t="n">
        <v>46225</v>
      </c>
      <c r="C291" s="75" t="s">
        <v>62</v>
      </c>
      <c r="D291" s="73" t="s">
        <v>129</v>
      </c>
      <c r="E291" s="76" t="s">
        <v>240</v>
      </c>
      <c r="F291" s="73" t="s">
        <v>80</v>
      </c>
      <c r="G291" s="73" t="s">
        <v>120</v>
      </c>
      <c r="H291" s="75" t="s">
        <v>414</v>
      </c>
      <c r="I291" s="73" t="s">
        <v>139</v>
      </c>
      <c r="J291" s="75" t="s">
        <v>414</v>
      </c>
      <c r="K291" s="75" t="s">
        <v>414</v>
      </c>
      <c r="L291" s="75" t="s">
        <v>414</v>
      </c>
      <c r="M291" s="75" t="s">
        <v>414</v>
      </c>
      <c r="N291" s="76"/>
      <c r="O291" s="73" t="s">
        <v>129</v>
      </c>
      <c r="P291" s="76" t="s">
        <v>729</v>
      </c>
    </row>
    <row r="292" customFormat="false" ht="15" hidden="false" customHeight="false" outlineLevel="0" collapsed="false">
      <c r="A292" s="73" t="s">
        <v>19</v>
      </c>
      <c r="B292" s="74" t="n">
        <v>46190</v>
      </c>
      <c r="C292" s="75" t="s">
        <v>665</v>
      </c>
      <c r="D292" s="73" t="s">
        <v>129</v>
      </c>
      <c r="E292" s="76" t="s">
        <v>243</v>
      </c>
      <c r="F292" s="73" t="s">
        <v>78</v>
      </c>
      <c r="G292" s="73" t="s">
        <v>118</v>
      </c>
      <c r="H292" s="73" t="s">
        <v>9</v>
      </c>
      <c r="I292" s="73" t="s">
        <v>140</v>
      </c>
      <c r="J292" s="75" t="s">
        <v>414</v>
      </c>
      <c r="K292" s="73" t="s">
        <v>135</v>
      </c>
      <c r="L292" s="73" t="s">
        <v>85</v>
      </c>
      <c r="M292" s="73" t="s">
        <v>421</v>
      </c>
      <c r="N292" s="76" t="s">
        <v>111</v>
      </c>
      <c r="O292" s="73" t="s">
        <v>129</v>
      </c>
      <c r="P292" s="76" t="s">
        <v>244</v>
      </c>
    </row>
    <row r="293" customFormat="false" ht="15" hidden="false" customHeight="false" outlineLevel="0" collapsed="false">
      <c r="A293" s="73" t="s">
        <v>19</v>
      </c>
      <c r="B293" s="74" t="n">
        <v>46258</v>
      </c>
      <c r="C293" s="75" t="s">
        <v>67</v>
      </c>
      <c r="D293" s="73" t="s">
        <v>129</v>
      </c>
      <c r="E293" s="76" t="s">
        <v>243</v>
      </c>
      <c r="F293" s="73" t="s">
        <v>78</v>
      </c>
      <c r="G293" s="73" t="s">
        <v>117</v>
      </c>
      <c r="H293" s="73" t="s">
        <v>7</v>
      </c>
      <c r="I293" s="73" t="s">
        <v>139</v>
      </c>
      <c r="J293" s="75" t="s">
        <v>414</v>
      </c>
      <c r="K293" s="73" t="s">
        <v>135</v>
      </c>
      <c r="L293" s="73" t="s">
        <v>84</v>
      </c>
      <c r="M293" s="75" t="s">
        <v>414</v>
      </c>
      <c r="N293" s="76"/>
      <c r="O293" s="73" t="s">
        <v>129</v>
      </c>
      <c r="P293" s="76" t="s">
        <v>730</v>
      </c>
    </row>
    <row r="294" customFormat="false" ht="15" hidden="false" customHeight="false" outlineLevel="0" collapsed="false">
      <c r="A294" s="73" t="s">
        <v>19</v>
      </c>
      <c r="B294" s="74" t="n">
        <v>46225</v>
      </c>
      <c r="C294" s="75" t="s">
        <v>62</v>
      </c>
      <c r="D294" s="73" t="s">
        <v>129</v>
      </c>
      <c r="E294" s="76" t="s">
        <v>243</v>
      </c>
      <c r="F294" s="73" t="s">
        <v>124</v>
      </c>
      <c r="G294" s="73" t="s">
        <v>118</v>
      </c>
      <c r="H294" s="73" t="s">
        <v>9</v>
      </c>
      <c r="I294" s="73" t="s">
        <v>140</v>
      </c>
      <c r="J294" s="75" t="s">
        <v>414</v>
      </c>
      <c r="K294" s="73" t="s">
        <v>135</v>
      </c>
      <c r="L294" s="73" t="s">
        <v>85</v>
      </c>
      <c r="M294" s="73" t="s">
        <v>421</v>
      </c>
      <c r="N294" s="76" t="s">
        <v>111</v>
      </c>
      <c r="O294" s="73" t="s">
        <v>129</v>
      </c>
      <c r="P294" s="76" t="s">
        <v>245</v>
      </c>
    </row>
    <row r="295" customFormat="false" ht="15" hidden="false" customHeight="false" outlineLevel="0" collapsed="false">
      <c r="A295" s="73" t="s">
        <v>19</v>
      </c>
      <c r="B295" s="74" t="n">
        <v>46190</v>
      </c>
      <c r="C295" s="75" t="s">
        <v>665</v>
      </c>
      <c r="D295" s="73" t="s">
        <v>129</v>
      </c>
      <c r="E295" s="76" t="s">
        <v>243</v>
      </c>
      <c r="F295" s="73" t="s">
        <v>80</v>
      </c>
      <c r="G295" s="73" t="s">
        <v>117</v>
      </c>
      <c r="H295" s="73" t="s">
        <v>7</v>
      </c>
      <c r="I295" s="73" t="s">
        <v>139</v>
      </c>
      <c r="J295" s="75" t="s">
        <v>424</v>
      </c>
      <c r="K295" s="73" t="s">
        <v>137</v>
      </c>
      <c r="L295" s="73" t="s">
        <v>84</v>
      </c>
      <c r="M295" s="75" t="s">
        <v>414</v>
      </c>
      <c r="N295" s="76"/>
      <c r="O295" s="73" t="s">
        <v>129</v>
      </c>
      <c r="P295" s="76" t="s">
        <v>731</v>
      </c>
    </row>
    <row r="296" customFormat="false" ht="15" hidden="false" customHeight="false" outlineLevel="0" collapsed="false">
      <c r="A296" s="73" t="s">
        <v>19</v>
      </c>
      <c r="B296" s="74" t="n">
        <v>46225</v>
      </c>
      <c r="C296" s="75" t="s">
        <v>62</v>
      </c>
      <c r="D296" s="73" t="s">
        <v>129</v>
      </c>
      <c r="E296" s="76" t="s">
        <v>243</v>
      </c>
      <c r="F296" s="73" t="s">
        <v>80</v>
      </c>
      <c r="G296" s="75" t="s">
        <v>414</v>
      </c>
      <c r="H296" s="73" t="s">
        <v>108</v>
      </c>
      <c r="I296" s="73" t="s">
        <v>140</v>
      </c>
      <c r="J296" s="75" t="s">
        <v>414</v>
      </c>
      <c r="K296" s="73" t="s">
        <v>135</v>
      </c>
      <c r="L296" s="73" t="s">
        <v>84</v>
      </c>
      <c r="M296" s="75" t="s">
        <v>414</v>
      </c>
      <c r="N296" s="76"/>
      <c r="O296" s="73" t="s">
        <v>129</v>
      </c>
      <c r="P296" s="76" t="s">
        <v>732</v>
      </c>
    </row>
    <row r="297" customFormat="false" ht="15" hidden="false" customHeight="false" outlineLevel="0" collapsed="false">
      <c r="A297" s="73" t="s">
        <v>19</v>
      </c>
      <c r="B297" s="74" t="n">
        <v>46255</v>
      </c>
      <c r="C297" s="75" t="s">
        <v>66</v>
      </c>
      <c r="D297" s="73" t="s">
        <v>129</v>
      </c>
      <c r="E297" s="76" t="s">
        <v>733</v>
      </c>
      <c r="F297" s="73" t="s">
        <v>124</v>
      </c>
      <c r="G297" s="73" t="s">
        <v>117</v>
      </c>
      <c r="H297" s="73" t="s">
        <v>108</v>
      </c>
      <c r="I297" s="73" t="s">
        <v>139</v>
      </c>
      <c r="J297" s="75" t="s">
        <v>414</v>
      </c>
      <c r="K297" s="73" t="s">
        <v>135</v>
      </c>
      <c r="L297" s="73" t="s">
        <v>84</v>
      </c>
      <c r="M297" s="75" t="s">
        <v>414</v>
      </c>
      <c r="N297" s="76"/>
      <c r="O297" s="73" t="s">
        <v>129</v>
      </c>
      <c r="P297" s="76" t="s">
        <v>734</v>
      </c>
    </row>
    <row r="298" customFormat="false" ht="15" hidden="false" customHeight="false" outlineLevel="0" collapsed="false">
      <c r="A298" s="73" t="s">
        <v>19</v>
      </c>
      <c r="B298" s="74" t="n">
        <v>46190</v>
      </c>
      <c r="C298" s="75" t="s">
        <v>665</v>
      </c>
      <c r="D298" s="73" t="s">
        <v>129</v>
      </c>
      <c r="E298" s="76" t="s">
        <v>246</v>
      </c>
      <c r="F298" s="73" t="s">
        <v>78</v>
      </c>
      <c r="G298" s="73" t="s">
        <v>118</v>
      </c>
      <c r="H298" s="73" t="s">
        <v>9</v>
      </c>
      <c r="I298" s="73" t="s">
        <v>140</v>
      </c>
      <c r="J298" s="75" t="s">
        <v>414</v>
      </c>
      <c r="K298" s="73" t="s">
        <v>135</v>
      </c>
      <c r="L298" s="73" t="s">
        <v>85</v>
      </c>
      <c r="M298" s="75" t="s">
        <v>414</v>
      </c>
      <c r="N298" s="76" t="s">
        <v>111</v>
      </c>
      <c r="O298" s="73" t="s">
        <v>129</v>
      </c>
      <c r="P298" s="76" t="s">
        <v>247</v>
      </c>
    </row>
    <row r="299" customFormat="false" ht="15" hidden="false" customHeight="false" outlineLevel="0" collapsed="false">
      <c r="A299" s="73" t="s">
        <v>19</v>
      </c>
      <c r="B299" s="74" t="n">
        <v>46183</v>
      </c>
      <c r="C299" s="75" t="s">
        <v>646</v>
      </c>
      <c r="D299" s="73" t="s">
        <v>129</v>
      </c>
      <c r="E299" s="76" t="s">
        <v>735</v>
      </c>
      <c r="F299" s="73" t="s">
        <v>78</v>
      </c>
      <c r="G299" s="73" t="s">
        <v>117</v>
      </c>
      <c r="H299" s="73" t="s">
        <v>7</v>
      </c>
      <c r="I299" s="73" t="s">
        <v>139</v>
      </c>
      <c r="J299" s="75" t="s">
        <v>414</v>
      </c>
      <c r="K299" s="73" t="s">
        <v>135</v>
      </c>
      <c r="L299" s="73" t="s">
        <v>85</v>
      </c>
      <c r="M299" s="75" t="s">
        <v>414</v>
      </c>
      <c r="N299" s="76"/>
      <c r="O299" s="73" t="s">
        <v>129</v>
      </c>
      <c r="P299" s="76" t="s">
        <v>736</v>
      </c>
    </row>
    <row r="300" customFormat="false" ht="15" hidden="false" customHeight="false" outlineLevel="0" collapsed="false">
      <c r="A300" s="73" t="s">
        <v>19</v>
      </c>
      <c r="B300" s="74" t="n">
        <v>46255</v>
      </c>
      <c r="C300" s="75" t="s">
        <v>66</v>
      </c>
      <c r="D300" s="73" t="s">
        <v>129</v>
      </c>
      <c r="E300" s="76" t="s">
        <v>737</v>
      </c>
      <c r="F300" s="73" t="s">
        <v>78</v>
      </c>
      <c r="G300" s="73" t="s">
        <v>117</v>
      </c>
      <c r="H300" s="73" t="s">
        <v>7</v>
      </c>
      <c r="I300" s="73" t="s">
        <v>139</v>
      </c>
      <c r="J300" s="75" t="s">
        <v>414</v>
      </c>
      <c r="K300" s="73" t="s">
        <v>135</v>
      </c>
      <c r="L300" s="73" t="s">
        <v>84</v>
      </c>
      <c r="M300" s="75" t="s">
        <v>414</v>
      </c>
      <c r="N300" s="76"/>
      <c r="O300" s="73" t="s">
        <v>129</v>
      </c>
      <c r="P300" s="76" t="s">
        <v>738</v>
      </c>
    </row>
    <row r="301" customFormat="false" ht="15" hidden="false" customHeight="false" outlineLevel="0" collapsed="false">
      <c r="A301" s="73" t="s">
        <v>21</v>
      </c>
      <c r="B301" s="74" t="n">
        <v>46262</v>
      </c>
      <c r="C301" s="75" t="s">
        <v>67</v>
      </c>
      <c r="D301" s="73" t="s">
        <v>129</v>
      </c>
      <c r="E301" s="76" t="s">
        <v>248</v>
      </c>
      <c r="F301" s="73" t="s">
        <v>125</v>
      </c>
      <c r="G301" s="73" t="s">
        <v>117</v>
      </c>
      <c r="H301" s="73" t="s">
        <v>9</v>
      </c>
      <c r="I301" s="73" t="s">
        <v>139</v>
      </c>
      <c r="J301" s="75" t="s">
        <v>414</v>
      </c>
      <c r="K301" s="75" t="s">
        <v>414</v>
      </c>
      <c r="L301" s="75" t="s">
        <v>414</v>
      </c>
      <c r="M301" s="75" t="s">
        <v>414</v>
      </c>
      <c r="N301" s="76" t="s">
        <v>40</v>
      </c>
      <c r="O301" s="73" t="s">
        <v>129</v>
      </c>
      <c r="P301" s="77" t="s">
        <v>739</v>
      </c>
    </row>
    <row r="302" customFormat="false" ht="15" hidden="false" customHeight="false" outlineLevel="0" collapsed="false">
      <c r="A302" s="73" t="s">
        <v>21</v>
      </c>
      <c r="B302" s="74" t="n">
        <v>46262</v>
      </c>
      <c r="C302" s="75" t="s">
        <v>67</v>
      </c>
      <c r="D302" s="73" t="s">
        <v>129</v>
      </c>
      <c r="E302" s="76" t="s">
        <v>250</v>
      </c>
      <c r="F302" s="73" t="s">
        <v>79</v>
      </c>
      <c r="G302" s="73" t="s">
        <v>117</v>
      </c>
      <c r="H302" s="73" t="s">
        <v>9</v>
      </c>
      <c r="I302" s="75" t="s">
        <v>414</v>
      </c>
      <c r="J302" s="75" t="s">
        <v>414</v>
      </c>
      <c r="K302" s="75" t="s">
        <v>414</v>
      </c>
      <c r="L302" s="75" t="s">
        <v>414</v>
      </c>
      <c r="M302" s="75" t="s">
        <v>414</v>
      </c>
      <c r="N302" s="76" t="s">
        <v>111</v>
      </c>
      <c r="O302" s="73" t="s">
        <v>129</v>
      </c>
      <c r="P302" s="76" t="s">
        <v>740</v>
      </c>
    </row>
    <row r="303" customFormat="false" ht="15" hidden="false" customHeight="false" outlineLevel="0" collapsed="false">
      <c r="A303" s="73" t="s">
        <v>21</v>
      </c>
      <c r="B303" s="74" t="n">
        <v>46262</v>
      </c>
      <c r="C303" s="75" t="s">
        <v>67</v>
      </c>
      <c r="D303" s="73" t="s">
        <v>129</v>
      </c>
      <c r="E303" s="76" t="s">
        <v>252</v>
      </c>
      <c r="F303" s="73" t="s">
        <v>125</v>
      </c>
      <c r="G303" s="73" t="s">
        <v>117</v>
      </c>
      <c r="H303" s="73" t="s">
        <v>9</v>
      </c>
      <c r="I303" s="73" t="s">
        <v>139</v>
      </c>
      <c r="J303" s="75" t="s">
        <v>414</v>
      </c>
      <c r="K303" s="75" t="s">
        <v>414</v>
      </c>
      <c r="L303" s="75" t="s">
        <v>414</v>
      </c>
      <c r="M303" s="75" t="s">
        <v>414</v>
      </c>
      <c r="N303" s="76" t="s">
        <v>40</v>
      </c>
      <c r="O303" s="73" t="s">
        <v>129</v>
      </c>
      <c r="P303" s="77" t="s">
        <v>741</v>
      </c>
    </row>
    <row r="304" customFormat="false" ht="15" hidden="false" customHeight="false" outlineLevel="0" collapsed="false">
      <c r="A304" s="73" t="s">
        <v>21</v>
      </c>
      <c r="B304" s="74" t="n">
        <v>46262</v>
      </c>
      <c r="C304" s="75" t="s">
        <v>67</v>
      </c>
      <c r="D304" s="73" t="s">
        <v>129</v>
      </c>
      <c r="E304" s="76" t="s">
        <v>254</v>
      </c>
      <c r="F304" s="73" t="s">
        <v>125</v>
      </c>
      <c r="G304" s="73" t="s">
        <v>117</v>
      </c>
      <c r="H304" s="73" t="s">
        <v>9</v>
      </c>
      <c r="I304" s="73" t="s">
        <v>139</v>
      </c>
      <c r="J304" s="75" t="s">
        <v>414</v>
      </c>
      <c r="K304" s="75" t="s">
        <v>414</v>
      </c>
      <c r="L304" s="75" t="s">
        <v>414</v>
      </c>
      <c r="M304" s="75" t="s">
        <v>414</v>
      </c>
      <c r="N304" s="76" t="s">
        <v>40</v>
      </c>
      <c r="O304" s="73" t="s">
        <v>129</v>
      </c>
      <c r="P304" s="77" t="s">
        <v>741</v>
      </c>
    </row>
    <row r="305" customFormat="false" ht="15" hidden="false" customHeight="false" outlineLevel="0" collapsed="false">
      <c r="A305" s="73" t="s">
        <v>27</v>
      </c>
      <c r="B305" s="74" t="n">
        <v>46262</v>
      </c>
      <c r="C305" s="75" t="s">
        <v>67</v>
      </c>
      <c r="D305" s="73" t="s">
        <v>129</v>
      </c>
      <c r="E305" s="76" t="s">
        <v>742</v>
      </c>
      <c r="F305" s="73" t="s">
        <v>78</v>
      </c>
      <c r="G305" s="73" t="s">
        <v>120</v>
      </c>
      <c r="H305" s="75" t="s">
        <v>414</v>
      </c>
      <c r="I305" s="73" t="s">
        <v>140</v>
      </c>
      <c r="J305" s="75" t="s">
        <v>414</v>
      </c>
      <c r="K305" s="75" t="s">
        <v>414</v>
      </c>
      <c r="L305" s="73" t="s">
        <v>84</v>
      </c>
      <c r="M305" s="75" t="s">
        <v>414</v>
      </c>
      <c r="N305" s="76"/>
      <c r="O305" s="73" t="s">
        <v>129</v>
      </c>
      <c r="P305" s="76" t="s">
        <v>743</v>
      </c>
    </row>
    <row r="306" customFormat="false" ht="15" hidden="false" customHeight="false" outlineLevel="0" collapsed="false">
      <c r="A306" s="73" t="s">
        <v>27</v>
      </c>
      <c r="B306" s="74" t="n">
        <v>46262</v>
      </c>
      <c r="C306" s="75" t="s">
        <v>67</v>
      </c>
      <c r="D306" s="73" t="s">
        <v>129</v>
      </c>
      <c r="E306" s="76" t="s">
        <v>744</v>
      </c>
      <c r="F306" s="73" t="s">
        <v>124</v>
      </c>
      <c r="G306" s="73" t="s">
        <v>119</v>
      </c>
      <c r="H306" s="73" t="s">
        <v>7</v>
      </c>
      <c r="I306" s="73" t="s">
        <v>139</v>
      </c>
      <c r="J306" s="75" t="s">
        <v>414</v>
      </c>
      <c r="K306" s="75" t="s">
        <v>414</v>
      </c>
      <c r="L306" s="73" t="s">
        <v>85</v>
      </c>
      <c r="M306" s="75" t="s">
        <v>414</v>
      </c>
      <c r="N306" s="76"/>
      <c r="O306" s="73" t="s">
        <v>129</v>
      </c>
      <c r="P306" s="76" t="s">
        <v>745</v>
      </c>
    </row>
    <row r="307" customFormat="false" ht="15" hidden="false" customHeight="false" outlineLevel="0" collapsed="false">
      <c r="A307" s="73" t="s">
        <v>27</v>
      </c>
      <c r="B307" s="74" t="n">
        <v>46264</v>
      </c>
      <c r="C307" s="75" t="s">
        <v>67</v>
      </c>
      <c r="D307" s="73" t="s">
        <v>129</v>
      </c>
      <c r="E307" s="76" t="s">
        <v>746</v>
      </c>
      <c r="F307" s="73" t="s">
        <v>80</v>
      </c>
      <c r="G307" s="73" t="s">
        <v>117</v>
      </c>
      <c r="H307" s="73" t="s">
        <v>7</v>
      </c>
      <c r="I307" s="73" t="s">
        <v>139</v>
      </c>
      <c r="J307" s="75" t="s">
        <v>467</v>
      </c>
      <c r="K307" s="73" t="s">
        <v>136</v>
      </c>
      <c r="L307" s="73" t="s">
        <v>85</v>
      </c>
      <c r="M307" s="75" t="s">
        <v>414</v>
      </c>
      <c r="N307" s="76"/>
      <c r="O307" s="73" t="s">
        <v>129</v>
      </c>
      <c r="P307" s="76" t="s">
        <v>747</v>
      </c>
    </row>
    <row r="308" customFormat="false" ht="15" hidden="false" customHeight="false" outlineLevel="0" collapsed="false">
      <c r="A308" s="73" t="s">
        <v>27</v>
      </c>
      <c r="B308" s="74" t="n">
        <v>46262</v>
      </c>
      <c r="C308" s="75" t="s">
        <v>67</v>
      </c>
      <c r="D308" s="73" t="s">
        <v>129</v>
      </c>
      <c r="E308" s="76" t="s">
        <v>742</v>
      </c>
      <c r="F308" s="73" t="s">
        <v>80</v>
      </c>
      <c r="G308" s="73" t="s">
        <v>120</v>
      </c>
      <c r="H308" s="73" t="s">
        <v>7</v>
      </c>
      <c r="I308" s="73" t="s">
        <v>140</v>
      </c>
      <c r="J308" s="75" t="s">
        <v>467</v>
      </c>
      <c r="K308" s="73" t="s">
        <v>136</v>
      </c>
      <c r="L308" s="73" t="s">
        <v>84</v>
      </c>
      <c r="M308" s="75" t="s">
        <v>414</v>
      </c>
      <c r="N308" s="76"/>
      <c r="O308" s="73" t="s">
        <v>129</v>
      </c>
      <c r="P308" s="76" t="s">
        <v>748</v>
      </c>
    </row>
    <row r="309" customFormat="false" ht="15" hidden="false" customHeight="false" outlineLevel="0" collapsed="false">
      <c r="A309" s="73" t="s">
        <v>26</v>
      </c>
      <c r="B309" s="74" t="n">
        <v>46262</v>
      </c>
      <c r="C309" s="75" t="s">
        <v>67</v>
      </c>
      <c r="D309" s="73" t="s">
        <v>132</v>
      </c>
      <c r="E309" s="76" t="s">
        <v>749</v>
      </c>
      <c r="F309" s="73" t="s">
        <v>79</v>
      </c>
      <c r="G309" s="75" t="s">
        <v>414</v>
      </c>
      <c r="H309" s="73" t="s">
        <v>8</v>
      </c>
      <c r="I309" s="73" t="s">
        <v>139</v>
      </c>
      <c r="J309" s="75" t="s">
        <v>424</v>
      </c>
      <c r="K309" s="73" t="s">
        <v>135</v>
      </c>
      <c r="L309" s="73" t="s">
        <v>85</v>
      </c>
      <c r="M309" s="75" t="s">
        <v>414</v>
      </c>
      <c r="N309" s="76"/>
      <c r="O309" s="73" t="s">
        <v>306</v>
      </c>
      <c r="P309" s="76"/>
    </row>
    <row r="310" customFormat="false" ht="15" hidden="false" customHeight="false" outlineLevel="0" collapsed="false">
      <c r="A310" s="73" t="s">
        <v>26</v>
      </c>
      <c r="B310" s="74" t="n">
        <v>46262</v>
      </c>
      <c r="C310" s="75" t="s">
        <v>67</v>
      </c>
      <c r="D310" s="73" t="s">
        <v>132</v>
      </c>
      <c r="E310" s="76" t="s">
        <v>749</v>
      </c>
      <c r="F310" s="73" t="s">
        <v>79</v>
      </c>
      <c r="G310" s="75" t="s">
        <v>414</v>
      </c>
      <c r="H310" s="73" t="s">
        <v>8</v>
      </c>
      <c r="I310" s="73" t="s">
        <v>139</v>
      </c>
      <c r="J310" s="75" t="s">
        <v>424</v>
      </c>
      <c r="K310" s="73" t="s">
        <v>135</v>
      </c>
      <c r="L310" s="73" t="s">
        <v>85</v>
      </c>
      <c r="M310" s="75" t="s">
        <v>414</v>
      </c>
      <c r="N310" s="76"/>
      <c r="O310" s="73" t="s">
        <v>306</v>
      </c>
      <c r="P310" s="76" t="s">
        <v>750</v>
      </c>
    </row>
    <row r="311" customFormat="false" ht="15" hidden="false" customHeight="false" outlineLevel="0" collapsed="false">
      <c r="A311" s="73" t="s">
        <v>26</v>
      </c>
      <c r="B311" s="74" t="n">
        <v>46262</v>
      </c>
      <c r="C311" s="75" t="s">
        <v>67</v>
      </c>
      <c r="D311" s="73" t="s">
        <v>132</v>
      </c>
      <c r="E311" s="76" t="s">
        <v>751</v>
      </c>
      <c r="F311" s="73" t="s">
        <v>81</v>
      </c>
      <c r="G311" s="75" t="s">
        <v>414</v>
      </c>
      <c r="H311" s="73" t="s">
        <v>8</v>
      </c>
      <c r="I311" s="75" t="s">
        <v>414</v>
      </c>
      <c r="J311" s="75" t="s">
        <v>424</v>
      </c>
      <c r="K311" s="73" t="s">
        <v>135</v>
      </c>
      <c r="L311" s="73" t="s">
        <v>85</v>
      </c>
      <c r="M311" s="75" t="s">
        <v>414</v>
      </c>
      <c r="N311" s="76"/>
      <c r="O311" s="73" t="s">
        <v>306</v>
      </c>
      <c r="P311" s="76" t="s">
        <v>752</v>
      </c>
    </row>
    <row r="312" customFormat="false" ht="15" hidden="false" customHeight="false" outlineLevel="0" collapsed="false">
      <c r="A312" s="73" t="s">
        <v>26</v>
      </c>
      <c r="B312" s="74" t="n">
        <v>46265</v>
      </c>
      <c r="C312" s="75" t="s">
        <v>68</v>
      </c>
      <c r="D312" s="73" t="s">
        <v>132</v>
      </c>
      <c r="E312" s="76" t="s">
        <v>255</v>
      </c>
      <c r="F312" s="73" t="s">
        <v>79</v>
      </c>
      <c r="G312" s="75" t="s">
        <v>414</v>
      </c>
      <c r="H312" s="73" t="s">
        <v>9</v>
      </c>
      <c r="I312" s="73" t="s">
        <v>139</v>
      </c>
      <c r="J312" s="75" t="s">
        <v>424</v>
      </c>
      <c r="K312" s="73" t="s">
        <v>135</v>
      </c>
      <c r="L312" s="73" t="s">
        <v>85</v>
      </c>
      <c r="M312" s="75" t="s">
        <v>414</v>
      </c>
      <c r="N312" s="76" t="s">
        <v>38</v>
      </c>
      <c r="O312" s="73" t="s">
        <v>306</v>
      </c>
      <c r="P312" s="76" t="s">
        <v>256</v>
      </c>
    </row>
    <row r="313" customFormat="false" ht="15" hidden="false" customHeight="false" outlineLevel="0" collapsed="false">
      <c r="A313" s="73" t="s">
        <v>26</v>
      </c>
      <c r="B313" s="74" t="n">
        <v>46266</v>
      </c>
      <c r="C313" s="75" t="s">
        <v>68</v>
      </c>
      <c r="D313" s="73" t="s">
        <v>132</v>
      </c>
      <c r="E313" s="76" t="s">
        <v>257</v>
      </c>
      <c r="F313" s="73" t="s">
        <v>79</v>
      </c>
      <c r="G313" s="75" t="s">
        <v>414</v>
      </c>
      <c r="H313" s="73" t="s">
        <v>9</v>
      </c>
      <c r="I313" s="73" t="s">
        <v>140</v>
      </c>
      <c r="J313" s="75" t="s">
        <v>480</v>
      </c>
      <c r="K313" s="73" t="s">
        <v>136</v>
      </c>
      <c r="L313" s="73" t="s">
        <v>85</v>
      </c>
      <c r="M313" s="75" t="s">
        <v>414</v>
      </c>
      <c r="N313" s="76" t="s">
        <v>50</v>
      </c>
      <c r="O313" s="73" t="s">
        <v>306</v>
      </c>
      <c r="P313" s="76" t="s">
        <v>753</v>
      </c>
    </row>
    <row r="314" customFormat="false" ht="15" hidden="false" customHeight="false" outlineLevel="0" collapsed="false">
      <c r="A314" s="73" t="s">
        <v>26</v>
      </c>
      <c r="B314" s="74" t="n">
        <v>46266</v>
      </c>
      <c r="C314" s="75" t="s">
        <v>68</v>
      </c>
      <c r="D314" s="73" t="s">
        <v>132</v>
      </c>
      <c r="E314" s="76" t="s">
        <v>257</v>
      </c>
      <c r="F314" s="73" t="s">
        <v>79</v>
      </c>
      <c r="G314" s="75" t="s">
        <v>414</v>
      </c>
      <c r="H314" s="73" t="s">
        <v>7</v>
      </c>
      <c r="I314" s="73" t="s">
        <v>139</v>
      </c>
      <c r="J314" s="75" t="s">
        <v>480</v>
      </c>
      <c r="K314" s="73" t="s">
        <v>136</v>
      </c>
      <c r="L314" s="73" t="s">
        <v>85</v>
      </c>
      <c r="M314" s="75" t="s">
        <v>414</v>
      </c>
      <c r="N314" s="76"/>
      <c r="O314" s="73" t="s">
        <v>306</v>
      </c>
      <c r="P314" s="76" t="s">
        <v>754</v>
      </c>
    </row>
    <row r="315" customFormat="false" ht="15" hidden="false" customHeight="false" outlineLevel="0" collapsed="false">
      <c r="A315" s="73" t="s">
        <v>21</v>
      </c>
      <c r="B315" s="74" t="n">
        <v>46266</v>
      </c>
      <c r="C315" s="75" t="s">
        <v>68</v>
      </c>
      <c r="D315" s="73" t="s">
        <v>129</v>
      </c>
      <c r="E315" s="76" t="s">
        <v>259</v>
      </c>
      <c r="F315" s="73" t="s">
        <v>79</v>
      </c>
      <c r="G315" s="73" t="s">
        <v>119</v>
      </c>
      <c r="H315" s="73" t="s">
        <v>9</v>
      </c>
      <c r="I315" s="75" t="s">
        <v>414</v>
      </c>
      <c r="J315" s="75" t="s">
        <v>414</v>
      </c>
      <c r="K315" s="75" t="s">
        <v>414</v>
      </c>
      <c r="L315" s="75" t="s">
        <v>414</v>
      </c>
      <c r="M315" s="75" t="s">
        <v>414</v>
      </c>
      <c r="N315" s="76" t="s">
        <v>112</v>
      </c>
      <c r="O315" s="73" t="s">
        <v>129</v>
      </c>
      <c r="P315" s="77" t="s">
        <v>755</v>
      </c>
    </row>
    <row r="316" customFormat="false" ht="15" hidden="false" customHeight="false" outlineLevel="0" collapsed="false">
      <c r="A316" s="73" t="s">
        <v>21</v>
      </c>
      <c r="B316" s="74" t="n">
        <v>46266</v>
      </c>
      <c r="C316" s="75" t="s">
        <v>68</v>
      </c>
      <c r="D316" s="73" t="s">
        <v>129</v>
      </c>
      <c r="E316" s="76" t="s">
        <v>756</v>
      </c>
      <c r="F316" s="73" t="s">
        <v>79</v>
      </c>
      <c r="G316" s="73" t="s">
        <v>120</v>
      </c>
      <c r="H316" s="75" t="s">
        <v>414</v>
      </c>
      <c r="I316" s="75" t="s">
        <v>414</v>
      </c>
      <c r="J316" s="75" t="s">
        <v>414</v>
      </c>
      <c r="K316" s="75" t="s">
        <v>414</v>
      </c>
      <c r="L316" s="75" t="s">
        <v>414</v>
      </c>
      <c r="M316" s="75" t="s">
        <v>414</v>
      </c>
      <c r="N316" s="76"/>
      <c r="O316" s="73" t="s">
        <v>129</v>
      </c>
      <c r="P316" s="76"/>
    </row>
    <row r="317" customFormat="false" ht="15" hidden="false" customHeight="false" outlineLevel="0" collapsed="false">
      <c r="A317" s="73" t="s">
        <v>21</v>
      </c>
      <c r="B317" s="74" t="n">
        <v>46266</v>
      </c>
      <c r="C317" s="75" t="s">
        <v>68</v>
      </c>
      <c r="D317" s="73" t="s">
        <v>129</v>
      </c>
      <c r="E317" s="76" t="s">
        <v>757</v>
      </c>
      <c r="F317" s="73" t="s">
        <v>79</v>
      </c>
      <c r="G317" s="73" t="s">
        <v>119</v>
      </c>
      <c r="H317" s="75" t="s">
        <v>414</v>
      </c>
      <c r="I317" s="75" t="s">
        <v>414</v>
      </c>
      <c r="J317" s="75" t="s">
        <v>414</v>
      </c>
      <c r="K317" s="75" t="s">
        <v>414</v>
      </c>
      <c r="L317" s="75" t="s">
        <v>414</v>
      </c>
      <c r="M317" s="75" t="s">
        <v>414</v>
      </c>
      <c r="N317" s="76"/>
      <c r="O317" s="73" t="s">
        <v>129</v>
      </c>
      <c r="P317" s="76" t="s">
        <v>758</v>
      </c>
    </row>
    <row r="318" customFormat="false" ht="15" hidden="false" customHeight="false" outlineLevel="0" collapsed="false">
      <c r="A318" s="73" t="s">
        <v>21</v>
      </c>
      <c r="B318" s="74" t="n">
        <v>46266</v>
      </c>
      <c r="C318" s="75" t="s">
        <v>68</v>
      </c>
      <c r="D318" s="73" t="s">
        <v>129</v>
      </c>
      <c r="E318" s="76" t="s">
        <v>569</v>
      </c>
      <c r="F318" s="73" t="s">
        <v>79</v>
      </c>
      <c r="G318" s="73" t="s">
        <v>119</v>
      </c>
      <c r="H318" s="75" t="s">
        <v>414</v>
      </c>
      <c r="I318" s="75" t="s">
        <v>414</v>
      </c>
      <c r="J318" s="75" t="s">
        <v>414</v>
      </c>
      <c r="K318" s="75" t="s">
        <v>414</v>
      </c>
      <c r="L318" s="75" t="s">
        <v>414</v>
      </c>
      <c r="M318" s="75" t="s">
        <v>414</v>
      </c>
      <c r="N318" s="76"/>
      <c r="O318" s="73" t="s">
        <v>129</v>
      </c>
      <c r="P318" s="76"/>
    </row>
    <row r="319" customFormat="false" ht="15" hidden="false" customHeight="false" outlineLevel="0" collapsed="false">
      <c r="A319" s="73" t="s">
        <v>21</v>
      </c>
      <c r="B319" s="74" t="n">
        <v>46266</v>
      </c>
      <c r="C319" s="75" t="s">
        <v>68</v>
      </c>
      <c r="D319" s="73" t="s">
        <v>129</v>
      </c>
      <c r="E319" s="76" t="s">
        <v>580</v>
      </c>
      <c r="F319" s="73" t="s">
        <v>79</v>
      </c>
      <c r="G319" s="73" t="s">
        <v>120</v>
      </c>
      <c r="H319" s="75" t="s">
        <v>414</v>
      </c>
      <c r="I319" s="75" t="s">
        <v>414</v>
      </c>
      <c r="J319" s="75" t="s">
        <v>414</v>
      </c>
      <c r="K319" s="75" t="s">
        <v>414</v>
      </c>
      <c r="L319" s="75" t="s">
        <v>414</v>
      </c>
      <c r="M319" s="75" t="s">
        <v>414</v>
      </c>
      <c r="N319" s="76"/>
      <c r="O319" s="73" t="s">
        <v>129</v>
      </c>
      <c r="P319" s="76" t="s">
        <v>759</v>
      </c>
    </row>
    <row r="320" customFormat="false" ht="15" hidden="false" customHeight="false" outlineLevel="0" collapsed="false">
      <c r="A320" s="73" t="s">
        <v>21</v>
      </c>
      <c r="B320" s="74" t="n">
        <v>46266</v>
      </c>
      <c r="C320" s="75" t="s">
        <v>68</v>
      </c>
      <c r="D320" s="73" t="s">
        <v>129</v>
      </c>
      <c r="E320" s="76" t="s">
        <v>760</v>
      </c>
      <c r="F320" s="73" t="s">
        <v>79</v>
      </c>
      <c r="G320" s="73" t="s">
        <v>119</v>
      </c>
      <c r="H320" s="75" t="s">
        <v>414</v>
      </c>
      <c r="I320" s="75" t="s">
        <v>414</v>
      </c>
      <c r="J320" s="75" t="s">
        <v>414</v>
      </c>
      <c r="K320" s="75" t="s">
        <v>414</v>
      </c>
      <c r="L320" s="75" t="s">
        <v>414</v>
      </c>
      <c r="M320" s="75" t="s">
        <v>414</v>
      </c>
      <c r="N320" s="76"/>
      <c r="O320" s="73" t="s">
        <v>129</v>
      </c>
      <c r="P320" s="76" t="s">
        <v>761</v>
      </c>
    </row>
    <row r="321" customFormat="false" ht="15" hidden="false" customHeight="false" outlineLevel="0" collapsed="false">
      <c r="A321" s="73" t="s">
        <v>21</v>
      </c>
      <c r="B321" s="74" t="n">
        <v>46266</v>
      </c>
      <c r="C321" s="75" t="s">
        <v>68</v>
      </c>
      <c r="D321" s="73" t="s">
        <v>129</v>
      </c>
      <c r="E321" s="76" t="s">
        <v>254</v>
      </c>
      <c r="F321" s="73" t="s">
        <v>79</v>
      </c>
      <c r="G321" s="73" t="s">
        <v>119</v>
      </c>
      <c r="H321" s="75" t="s">
        <v>414</v>
      </c>
      <c r="I321" s="75" t="s">
        <v>414</v>
      </c>
      <c r="J321" s="75" t="s">
        <v>414</v>
      </c>
      <c r="K321" s="75" t="s">
        <v>414</v>
      </c>
      <c r="L321" s="75" t="s">
        <v>414</v>
      </c>
      <c r="M321" s="75" t="s">
        <v>414</v>
      </c>
      <c r="N321" s="76"/>
      <c r="O321" s="73" t="s">
        <v>129</v>
      </c>
      <c r="P321" s="76"/>
    </row>
    <row r="322" customFormat="false" ht="15" hidden="false" customHeight="false" outlineLevel="0" collapsed="false">
      <c r="A322" s="73" t="s">
        <v>21</v>
      </c>
      <c r="B322" s="74" t="n">
        <v>46266</v>
      </c>
      <c r="C322" s="75" t="s">
        <v>68</v>
      </c>
      <c r="D322" s="73" t="s">
        <v>129</v>
      </c>
      <c r="E322" s="76" t="s">
        <v>252</v>
      </c>
      <c r="F322" s="73" t="s">
        <v>79</v>
      </c>
      <c r="G322" s="73" t="s">
        <v>119</v>
      </c>
      <c r="H322" s="75" t="s">
        <v>414</v>
      </c>
      <c r="I322" s="75" t="s">
        <v>414</v>
      </c>
      <c r="J322" s="75" t="s">
        <v>414</v>
      </c>
      <c r="K322" s="75" t="s">
        <v>414</v>
      </c>
      <c r="L322" s="75" t="s">
        <v>414</v>
      </c>
      <c r="M322" s="75" t="s">
        <v>414</v>
      </c>
      <c r="N322" s="76"/>
      <c r="O322" s="73" t="s">
        <v>129</v>
      </c>
      <c r="P322" s="76" t="s">
        <v>762</v>
      </c>
    </row>
    <row r="323" customFormat="false" ht="15" hidden="false" customHeight="false" outlineLevel="0" collapsed="false">
      <c r="A323" s="73" t="s">
        <v>21</v>
      </c>
      <c r="B323" s="74" t="n">
        <v>46267</v>
      </c>
      <c r="C323" s="75" t="s">
        <v>68</v>
      </c>
      <c r="D323" s="73" t="s">
        <v>129</v>
      </c>
      <c r="E323" s="76" t="s">
        <v>261</v>
      </c>
      <c r="F323" s="73" t="s">
        <v>79</v>
      </c>
      <c r="G323" s="73" t="s">
        <v>119</v>
      </c>
      <c r="H323" s="73" t="s">
        <v>9</v>
      </c>
      <c r="I323" s="75" t="s">
        <v>414</v>
      </c>
      <c r="J323" s="75" t="s">
        <v>414</v>
      </c>
      <c r="K323" s="75" t="s">
        <v>414</v>
      </c>
      <c r="L323" s="75" t="s">
        <v>414</v>
      </c>
      <c r="M323" s="75" t="s">
        <v>414</v>
      </c>
      <c r="N323" s="76" t="s">
        <v>112</v>
      </c>
      <c r="O323" s="73" t="s">
        <v>129</v>
      </c>
      <c r="P323" s="76" t="s">
        <v>262</v>
      </c>
    </row>
    <row r="324" customFormat="false" ht="15" hidden="false" customHeight="false" outlineLevel="0" collapsed="false">
      <c r="A324" s="73" t="s">
        <v>21</v>
      </c>
      <c r="B324" s="74" t="n">
        <v>46267</v>
      </c>
      <c r="C324" s="75" t="s">
        <v>68</v>
      </c>
      <c r="D324" s="73" t="s">
        <v>129</v>
      </c>
      <c r="E324" s="76" t="s">
        <v>763</v>
      </c>
      <c r="F324" s="73" t="s">
        <v>79</v>
      </c>
      <c r="G324" s="73" t="s">
        <v>119</v>
      </c>
      <c r="H324" s="73" t="s">
        <v>7</v>
      </c>
      <c r="I324" s="75" t="s">
        <v>414</v>
      </c>
      <c r="J324" s="75" t="s">
        <v>414</v>
      </c>
      <c r="K324" s="75" t="s">
        <v>414</v>
      </c>
      <c r="L324" s="75" t="s">
        <v>414</v>
      </c>
      <c r="M324" s="75" t="s">
        <v>414</v>
      </c>
      <c r="N324" s="76"/>
      <c r="O324" s="73" t="s">
        <v>129</v>
      </c>
      <c r="P324" s="76" t="s">
        <v>764</v>
      </c>
    </row>
    <row r="325" customFormat="false" ht="15" hidden="false" customHeight="false" outlineLevel="0" collapsed="false">
      <c r="A325" s="73" t="s">
        <v>21</v>
      </c>
      <c r="B325" s="74" t="n">
        <v>46267</v>
      </c>
      <c r="C325" s="75" t="s">
        <v>68</v>
      </c>
      <c r="D325" s="73" t="s">
        <v>129</v>
      </c>
      <c r="E325" s="76" t="s">
        <v>263</v>
      </c>
      <c r="F325" s="73" t="s">
        <v>79</v>
      </c>
      <c r="G325" s="73" t="s">
        <v>119</v>
      </c>
      <c r="H325" s="73" t="s">
        <v>7</v>
      </c>
      <c r="I325" s="75" t="s">
        <v>414</v>
      </c>
      <c r="J325" s="75" t="s">
        <v>414</v>
      </c>
      <c r="K325" s="75" t="s">
        <v>414</v>
      </c>
      <c r="L325" s="75" t="s">
        <v>414</v>
      </c>
      <c r="M325" s="75" t="s">
        <v>414</v>
      </c>
      <c r="N325" s="76"/>
      <c r="O325" s="73" t="s">
        <v>129</v>
      </c>
      <c r="P325" s="77" t="s">
        <v>765</v>
      </c>
    </row>
    <row r="326" customFormat="false" ht="15" hidden="false" customHeight="false" outlineLevel="0" collapsed="false">
      <c r="A326" s="73" t="s">
        <v>21</v>
      </c>
      <c r="B326" s="74" t="n">
        <v>46267</v>
      </c>
      <c r="C326" s="75" t="s">
        <v>68</v>
      </c>
      <c r="D326" s="73" t="s">
        <v>129</v>
      </c>
      <c r="E326" s="76" t="s">
        <v>263</v>
      </c>
      <c r="F326" s="73" t="s">
        <v>125</v>
      </c>
      <c r="G326" s="73" t="s">
        <v>117</v>
      </c>
      <c r="H326" s="73" t="s">
        <v>9</v>
      </c>
      <c r="I326" s="75" t="s">
        <v>414</v>
      </c>
      <c r="J326" s="75" t="s">
        <v>414</v>
      </c>
      <c r="K326" s="75" t="s">
        <v>414</v>
      </c>
      <c r="L326" s="75" t="s">
        <v>414</v>
      </c>
      <c r="M326" s="75" t="s">
        <v>414</v>
      </c>
      <c r="N326" s="76" t="s">
        <v>38</v>
      </c>
      <c r="O326" s="73" t="s">
        <v>129</v>
      </c>
      <c r="P326" s="77" t="s">
        <v>766</v>
      </c>
    </row>
    <row r="327" customFormat="false" ht="15" hidden="false" customHeight="false" outlineLevel="0" collapsed="false">
      <c r="A327" s="73" t="s">
        <v>21</v>
      </c>
      <c r="B327" s="74" t="n">
        <v>46267</v>
      </c>
      <c r="C327" s="75" t="s">
        <v>68</v>
      </c>
      <c r="D327" s="73" t="s">
        <v>129</v>
      </c>
      <c r="E327" s="76" t="s">
        <v>265</v>
      </c>
      <c r="F327" s="73" t="s">
        <v>79</v>
      </c>
      <c r="G327" s="73" t="s">
        <v>117</v>
      </c>
      <c r="H327" s="73" t="s">
        <v>9</v>
      </c>
      <c r="I327" s="75" t="s">
        <v>414</v>
      </c>
      <c r="J327" s="75" t="s">
        <v>414</v>
      </c>
      <c r="K327" s="75" t="s">
        <v>414</v>
      </c>
      <c r="L327" s="75" t="s">
        <v>414</v>
      </c>
      <c r="M327" s="75" t="s">
        <v>414</v>
      </c>
      <c r="N327" s="76" t="s">
        <v>38</v>
      </c>
      <c r="O327" s="73" t="s">
        <v>129</v>
      </c>
      <c r="P327" s="76"/>
    </row>
    <row r="328" customFormat="false" ht="15" hidden="false" customHeight="false" outlineLevel="0" collapsed="false">
      <c r="A328" s="73" t="s">
        <v>21</v>
      </c>
      <c r="B328" s="74" t="n">
        <v>46267</v>
      </c>
      <c r="C328" s="75" t="s">
        <v>68</v>
      </c>
      <c r="D328" s="73" t="s">
        <v>129</v>
      </c>
      <c r="E328" s="76" t="s">
        <v>265</v>
      </c>
      <c r="F328" s="73" t="s">
        <v>125</v>
      </c>
      <c r="G328" s="73" t="s">
        <v>117</v>
      </c>
      <c r="H328" s="73" t="s">
        <v>9</v>
      </c>
      <c r="I328" s="75" t="s">
        <v>414</v>
      </c>
      <c r="J328" s="75" t="s">
        <v>414</v>
      </c>
      <c r="K328" s="75" t="s">
        <v>414</v>
      </c>
      <c r="L328" s="75" t="s">
        <v>414</v>
      </c>
      <c r="M328" s="75" t="s">
        <v>414</v>
      </c>
      <c r="N328" s="76" t="s">
        <v>38</v>
      </c>
      <c r="O328" s="73" t="s">
        <v>129</v>
      </c>
      <c r="P328" s="76"/>
    </row>
    <row r="329" customFormat="false" ht="15" hidden="false" customHeight="false" outlineLevel="0" collapsed="false">
      <c r="A329" s="73" t="s">
        <v>21</v>
      </c>
      <c r="B329" s="74" t="n">
        <v>46267</v>
      </c>
      <c r="C329" s="75" t="s">
        <v>68</v>
      </c>
      <c r="D329" s="73" t="s">
        <v>129</v>
      </c>
      <c r="E329" s="76" t="s">
        <v>265</v>
      </c>
      <c r="F329" s="73" t="s">
        <v>79</v>
      </c>
      <c r="G329" s="73" t="s">
        <v>117</v>
      </c>
      <c r="H329" s="73" t="s">
        <v>9</v>
      </c>
      <c r="I329" s="75" t="s">
        <v>414</v>
      </c>
      <c r="J329" s="75" t="s">
        <v>414</v>
      </c>
      <c r="K329" s="75" t="s">
        <v>414</v>
      </c>
      <c r="L329" s="75" t="s">
        <v>414</v>
      </c>
      <c r="M329" s="75" t="s">
        <v>414</v>
      </c>
      <c r="N329" s="76" t="s">
        <v>38</v>
      </c>
      <c r="O329" s="73" t="s">
        <v>129</v>
      </c>
      <c r="P329" s="76"/>
    </row>
    <row r="330" customFormat="false" ht="15" hidden="false" customHeight="false" outlineLevel="0" collapsed="false">
      <c r="A330" s="73" t="s">
        <v>21</v>
      </c>
      <c r="B330" s="74" t="n">
        <v>46267</v>
      </c>
      <c r="C330" s="75" t="s">
        <v>68</v>
      </c>
      <c r="D330" s="73" t="s">
        <v>129</v>
      </c>
      <c r="E330" s="76" t="s">
        <v>266</v>
      </c>
      <c r="F330" s="73" t="s">
        <v>79</v>
      </c>
      <c r="G330" s="73" t="s">
        <v>117</v>
      </c>
      <c r="H330" s="73" t="s">
        <v>9</v>
      </c>
      <c r="I330" s="75" t="s">
        <v>414</v>
      </c>
      <c r="J330" s="75" t="s">
        <v>414</v>
      </c>
      <c r="K330" s="75" t="s">
        <v>414</v>
      </c>
      <c r="L330" s="75" t="s">
        <v>414</v>
      </c>
      <c r="M330" s="75" t="s">
        <v>414</v>
      </c>
      <c r="N330" s="76" t="s">
        <v>38</v>
      </c>
      <c r="O330" s="73" t="s">
        <v>129</v>
      </c>
      <c r="P330" s="76"/>
    </row>
    <row r="331" customFormat="false" ht="15" hidden="false" customHeight="false" outlineLevel="0" collapsed="false">
      <c r="A331" s="73" t="s">
        <v>21</v>
      </c>
      <c r="B331" s="74" t="n">
        <v>46267</v>
      </c>
      <c r="C331" s="75" t="s">
        <v>68</v>
      </c>
      <c r="D331" s="73" t="s">
        <v>129</v>
      </c>
      <c r="E331" s="76" t="s">
        <v>266</v>
      </c>
      <c r="F331" s="73" t="s">
        <v>125</v>
      </c>
      <c r="G331" s="73" t="s">
        <v>120</v>
      </c>
      <c r="H331" s="73" t="s">
        <v>7</v>
      </c>
      <c r="I331" s="75" t="s">
        <v>414</v>
      </c>
      <c r="J331" s="75" t="s">
        <v>414</v>
      </c>
      <c r="K331" s="75" t="s">
        <v>414</v>
      </c>
      <c r="L331" s="75" t="s">
        <v>414</v>
      </c>
      <c r="M331" s="75" t="s">
        <v>414</v>
      </c>
      <c r="N331" s="76"/>
      <c r="O331" s="73" t="s">
        <v>129</v>
      </c>
      <c r="P331" s="76"/>
    </row>
    <row r="332" customFormat="false" ht="15" hidden="false" customHeight="false" outlineLevel="0" collapsed="false">
      <c r="A332" s="73" t="s">
        <v>21</v>
      </c>
      <c r="B332" s="74" t="n">
        <v>46267</v>
      </c>
      <c r="C332" s="75" t="s">
        <v>68</v>
      </c>
      <c r="D332" s="73" t="s">
        <v>129</v>
      </c>
      <c r="E332" s="76" t="s">
        <v>267</v>
      </c>
      <c r="F332" s="73" t="s">
        <v>125</v>
      </c>
      <c r="G332" s="73" t="s">
        <v>117</v>
      </c>
      <c r="H332" s="73" t="s">
        <v>9</v>
      </c>
      <c r="I332" s="75" t="s">
        <v>414</v>
      </c>
      <c r="J332" s="75" t="s">
        <v>414</v>
      </c>
      <c r="K332" s="75" t="s">
        <v>414</v>
      </c>
      <c r="L332" s="75" t="s">
        <v>414</v>
      </c>
      <c r="M332" s="75" t="s">
        <v>414</v>
      </c>
      <c r="N332" s="76" t="s">
        <v>38</v>
      </c>
      <c r="O332" s="73" t="s">
        <v>129</v>
      </c>
      <c r="P332" s="76"/>
    </row>
    <row r="333" customFormat="false" ht="15" hidden="false" customHeight="false" outlineLevel="0" collapsed="false">
      <c r="A333" s="73" t="s">
        <v>21</v>
      </c>
      <c r="B333" s="74" t="n">
        <v>46267</v>
      </c>
      <c r="C333" s="75" t="s">
        <v>68</v>
      </c>
      <c r="D333" s="73" t="s">
        <v>129</v>
      </c>
      <c r="E333" s="76" t="s">
        <v>268</v>
      </c>
      <c r="F333" s="73" t="s">
        <v>79</v>
      </c>
      <c r="G333" s="73" t="s">
        <v>119</v>
      </c>
      <c r="H333" s="73" t="s">
        <v>7</v>
      </c>
      <c r="I333" s="75" t="s">
        <v>414</v>
      </c>
      <c r="J333" s="75" t="s">
        <v>414</v>
      </c>
      <c r="K333" s="75" t="s">
        <v>414</v>
      </c>
      <c r="L333" s="75" t="s">
        <v>414</v>
      </c>
      <c r="M333" s="75" t="s">
        <v>414</v>
      </c>
      <c r="N333" s="76"/>
      <c r="O333" s="73" t="s">
        <v>129</v>
      </c>
      <c r="P333" s="76" t="s">
        <v>767</v>
      </c>
    </row>
    <row r="334" customFormat="false" ht="15" hidden="false" customHeight="false" outlineLevel="0" collapsed="false">
      <c r="A334" s="73" t="s">
        <v>21</v>
      </c>
      <c r="B334" s="74" t="n">
        <v>46267</v>
      </c>
      <c r="C334" s="75" t="s">
        <v>68</v>
      </c>
      <c r="D334" s="73" t="s">
        <v>129</v>
      </c>
      <c r="E334" s="76" t="s">
        <v>268</v>
      </c>
      <c r="F334" s="73" t="s">
        <v>125</v>
      </c>
      <c r="G334" s="73" t="s">
        <v>117</v>
      </c>
      <c r="H334" s="73" t="s">
        <v>9</v>
      </c>
      <c r="I334" s="75" t="s">
        <v>414</v>
      </c>
      <c r="J334" s="75" t="s">
        <v>414</v>
      </c>
      <c r="K334" s="75" t="s">
        <v>414</v>
      </c>
      <c r="L334" s="75" t="s">
        <v>414</v>
      </c>
      <c r="M334" s="75" t="s">
        <v>414</v>
      </c>
      <c r="N334" s="76" t="s">
        <v>38</v>
      </c>
      <c r="O334" s="73" t="s">
        <v>129</v>
      </c>
      <c r="P334" s="76"/>
    </row>
    <row r="335" customFormat="false" ht="15" hidden="false" customHeight="false" outlineLevel="0" collapsed="false">
      <c r="A335" s="73" t="s">
        <v>20</v>
      </c>
      <c r="B335" s="74" t="n">
        <v>46266</v>
      </c>
      <c r="C335" s="75" t="s">
        <v>68</v>
      </c>
      <c r="D335" s="73" t="s">
        <v>75</v>
      </c>
      <c r="E335" s="76" t="s">
        <v>768</v>
      </c>
      <c r="F335" s="73" t="s">
        <v>78</v>
      </c>
      <c r="G335" s="73" t="s">
        <v>119</v>
      </c>
      <c r="H335" s="73" t="s">
        <v>7</v>
      </c>
      <c r="I335" s="73" t="s">
        <v>140</v>
      </c>
      <c r="J335" s="75" t="s">
        <v>458</v>
      </c>
      <c r="K335" s="73" t="s">
        <v>135</v>
      </c>
      <c r="L335" s="73" t="s">
        <v>84</v>
      </c>
      <c r="M335" s="75" t="s">
        <v>414</v>
      </c>
      <c r="N335" s="76"/>
      <c r="O335" s="73" t="s">
        <v>307</v>
      </c>
      <c r="P335" s="76" t="s">
        <v>769</v>
      </c>
    </row>
    <row r="336" customFormat="false" ht="15" hidden="false" customHeight="false" outlineLevel="0" collapsed="false">
      <c r="A336" s="73" t="s">
        <v>20</v>
      </c>
      <c r="B336" s="74" t="n">
        <v>46266</v>
      </c>
      <c r="C336" s="75" t="s">
        <v>68</v>
      </c>
      <c r="D336" s="73" t="s">
        <v>75</v>
      </c>
      <c r="E336" s="76" t="s">
        <v>770</v>
      </c>
      <c r="F336" s="73" t="s">
        <v>78</v>
      </c>
      <c r="G336" s="73" t="s">
        <v>117</v>
      </c>
      <c r="H336" s="73" t="s">
        <v>7</v>
      </c>
      <c r="I336" s="73" t="s">
        <v>139</v>
      </c>
      <c r="J336" s="75" t="s">
        <v>458</v>
      </c>
      <c r="K336" s="73" t="s">
        <v>135</v>
      </c>
      <c r="L336" s="73" t="s">
        <v>84</v>
      </c>
      <c r="M336" s="75" t="s">
        <v>414</v>
      </c>
      <c r="N336" s="76"/>
      <c r="O336" s="73" t="s">
        <v>307</v>
      </c>
      <c r="P336" s="76" t="s">
        <v>771</v>
      </c>
    </row>
    <row r="337" customFormat="false" ht="15" hidden="false" customHeight="false" outlineLevel="0" collapsed="false">
      <c r="A337" s="73" t="s">
        <v>20</v>
      </c>
      <c r="B337" s="74" t="n">
        <v>46266</v>
      </c>
      <c r="C337" s="75" t="s">
        <v>68</v>
      </c>
      <c r="D337" s="73" t="s">
        <v>75</v>
      </c>
      <c r="E337" s="76" t="s">
        <v>269</v>
      </c>
      <c r="F337" s="73" t="s">
        <v>78</v>
      </c>
      <c r="G337" s="73" t="s">
        <v>117</v>
      </c>
      <c r="H337" s="73" t="s">
        <v>9</v>
      </c>
      <c r="I337" s="73" t="s">
        <v>139</v>
      </c>
      <c r="J337" s="75" t="s">
        <v>458</v>
      </c>
      <c r="K337" s="73" t="s">
        <v>136</v>
      </c>
      <c r="L337" s="73" t="s">
        <v>84</v>
      </c>
      <c r="M337" s="75" t="s">
        <v>414</v>
      </c>
      <c r="N337" s="76" t="s">
        <v>38</v>
      </c>
      <c r="O337" s="73" t="s">
        <v>307</v>
      </c>
      <c r="P337" s="76" t="s">
        <v>270</v>
      </c>
    </row>
    <row r="338" customFormat="false" ht="15" hidden="false" customHeight="false" outlineLevel="0" collapsed="false">
      <c r="A338" s="73" t="s">
        <v>20</v>
      </c>
      <c r="B338" s="74" t="n">
        <v>46266</v>
      </c>
      <c r="C338" s="75" t="s">
        <v>68</v>
      </c>
      <c r="D338" s="73" t="s">
        <v>75</v>
      </c>
      <c r="E338" s="76" t="s">
        <v>772</v>
      </c>
      <c r="F338" s="73" t="s">
        <v>78</v>
      </c>
      <c r="G338" s="73" t="s">
        <v>117</v>
      </c>
      <c r="H338" s="73" t="s">
        <v>7</v>
      </c>
      <c r="I338" s="73" t="s">
        <v>139</v>
      </c>
      <c r="J338" s="75" t="s">
        <v>458</v>
      </c>
      <c r="K338" s="73" t="s">
        <v>136</v>
      </c>
      <c r="L338" s="73" t="s">
        <v>84</v>
      </c>
      <c r="M338" s="75" t="s">
        <v>414</v>
      </c>
      <c r="N338" s="76"/>
      <c r="O338" s="73" t="s">
        <v>307</v>
      </c>
      <c r="P338" s="76" t="s">
        <v>773</v>
      </c>
    </row>
    <row r="339" customFormat="false" ht="15" hidden="false" customHeight="false" outlineLevel="0" collapsed="false">
      <c r="A339" s="73" t="s">
        <v>20</v>
      </c>
      <c r="B339" s="74" t="n">
        <v>46266</v>
      </c>
      <c r="C339" s="75" t="s">
        <v>68</v>
      </c>
      <c r="D339" s="73" t="s">
        <v>75</v>
      </c>
      <c r="E339" s="76" t="s">
        <v>774</v>
      </c>
      <c r="F339" s="73" t="s">
        <v>78</v>
      </c>
      <c r="G339" s="73" t="s">
        <v>118</v>
      </c>
      <c r="H339" s="73" t="s">
        <v>7</v>
      </c>
      <c r="I339" s="73" t="s">
        <v>140</v>
      </c>
      <c r="J339" s="75" t="s">
        <v>458</v>
      </c>
      <c r="K339" s="73" t="s">
        <v>136</v>
      </c>
      <c r="L339" s="73" t="s">
        <v>84</v>
      </c>
      <c r="M339" s="75" t="s">
        <v>414</v>
      </c>
      <c r="N339" s="76"/>
      <c r="O339" s="73" t="s">
        <v>307</v>
      </c>
      <c r="P339" s="76" t="s">
        <v>775</v>
      </c>
    </row>
    <row r="340" customFormat="false" ht="15" hidden="false" customHeight="false" outlineLevel="0" collapsed="false">
      <c r="A340" s="73" t="s">
        <v>20</v>
      </c>
      <c r="B340" s="74" t="n">
        <v>46266</v>
      </c>
      <c r="C340" s="75" t="s">
        <v>68</v>
      </c>
      <c r="D340" s="73" t="s">
        <v>75</v>
      </c>
      <c r="E340" s="76" t="s">
        <v>776</v>
      </c>
      <c r="F340" s="73" t="s">
        <v>78</v>
      </c>
      <c r="G340" s="73" t="s">
        <v>8</v>
      </c>
      <c r="H340" s="73" t="s">
        <v>108</v>
      </c>
      <c r="I340" s="73" t="s">
        <v>140</v>
      </c>
      <c r="J340" s="75" t="s">
        <v>458</v>
      </c>
      <c r="K340" s="73" t="s">
        <v>135</v>
      </c>
      <c r="L340" s="73" t="s">
        <v>84</v>
      </c>
      <c r="M340" s="75" t="s">
        <v>414</v>
      </c>
      <c r="N340" s="76"/>
      <c r="O340" s="73" t="s">
        <v>307</v>
      </c>
      <c r="P340" s="76" t="s">
        <v>777</v>
      </c>
    </row>
    <row r="341" customFormat="false" ht="15" hidden="false" customHeight="false" outlineLevel="0" collapsed="false">
      <c r="A341" s="73" t="s">
        <v>20</v>
      </c>
      <c r="B341" s="74" t="n">
        <v>46266</v>
      </c>
      <c r="C341" s="75" t="s">
        <v>68</v>
      </c>
      <c r="D341" s="73" t="s">
        <v>75</v>
      </c>
      <c r="E341" s="76" t="s">
        <v>776</v>
      </c>
      <c r="F341" s="73" t="s">
        <v>78</v>
      </c>
      <c r="G341" s="73" t="s">
        <v>8</v>
      </c>
      <c r="H341" s="73" t="s">
        <v>108</v>
      </c>
      <c r="I341" s="75" t="s">
        <v>414</v>
      </c>
      <c r="J341" s="75" t="s">
        <v>458</v>
      </c>
      <c r="K341" s="73" t="s">
        <v>136</v>
      </c>
      <c r="L341" s="73" t="s">
        <v>84</v>
      </c>
      <c r="M341" s="75" t="s">
        <v>414</v>
      </c>
      <c r="N341" s="76"/>
      <c r="O341" s="73" t="s">
        <v>307</v>
      </c>
      <c r="P341" s="76" t="s">
        <v>778</v>
      </c>
    </row>
    <row r="342" customFormat="false" ht="15" hidden="false" customHeight="false" outlineLevel="0" collapsed="false">
      <c r="A342" s="73" t="s">
        <v>20</v>
      </c>
      <c r="B342" s="74" t="n">
        <v>46266</v>
      </c>
      <c r="C342" s="75" t="s">
        <v>68</v>
      </c>
      <c r="D342" s="73" t="s">
        <v>75</v>
      </c>
      <c r="E342" s="76" t="s">
        <v>776</v>
      </c>
      <c r="F342" s="73" t="s">
        <v>82</v>
      </c>
      <c r="G342" s="73" t="s">
        <v>117</v>
      </c>
      <c r="H342" s="73" t="s">
        <v>7</v>
      </c>
      <c r="I342" s="73" t="s">
        <v>139</v>
      </c>
      <c r="J342" s="75" t="s">
        <v>458</v>
      </c>
      <c r="K342" s="73" t="s">
        <v>135</v>
      </c>
      <c r="L342" s="73" t="s">
        <v>84</v>
      </c>
      <c r="M342" s="75" t="s">
        <v>414</v>
      </c>
      <c r="N342" s="76"/>
      <c r="O342" s="73" t="s">
        <v>307</v>
      </c>
      <c r="P342" s="76" t="s">
        <v>534</v>
      </c>
    </row>
    <row r="343" customFormat="false" ht="15" hidden="false" customHeight="false" outlineLevel="0" collapsed="false">
      <c r="A343" s="73" t="s">
        <v>20</v>
      </c>
      <c r="B343" s="74" t="n">
        <v>46266</v>
      </c>
      <c r="C343" s="75" t="s">
        <v>68</v>
      </c>
      <c r="D343" s="73" t="s">
        <v>75</v>
      </c>
      <c r="E343" s="76" t="s">
        <v>776</v>
      </c>
      <c r="F343" s="73" t="s">
        <v>124</v>
      </c>
      <c r="G343" s="73" t="s">
        <v>117</v>
      </c>
      <c r="H343" s="73" t="s">
        <v>7</v>
      </c>
      <c r="I343" s="73" t="s">
        <v>139</v>
      </c>
      <c r="J343" s="75" t="s">
        <v>424</v>
      </c>
      <c r="K343" s="73" t="s">
        <v>135</v>
      </c>
      <c r="L343" s="73" t="s">
        <v>84</v>
      </c>
      <c r="M343" s="75" t="s">
        <v>414</v>
      </c>
      <c r="N343" s="76"/>
      <c r="O343" s="73" t="s">
        <v>307</v>
      </c>
      <c r="P343" s="76" t="s">
        <v>779</v>
      </c>
    </row>
    <row r="344" customFormat="false" ht="15" hidden="false" customHeight="false" outlineLevel="0" collapsed="false">
      <c r="A344" s="73" t="s">
        <v>20</v>
      </c>
      <c r="B344" s="74" t="n">
        <v>46266</v>
      </c>
      <c r="C344" s="75" t="s">
        <v>68</v>
      </c>
      <c r="D344" s="73" t="s">
        <v>75</v>
      </c>
      <c r="E344" s="76" t="s">
        <v>776</v>
      </c>
      <c r="F344" s="73" t="s">
        <v>81</v>
      </c>
      <c r="G344" s="73" t="s">
        <v>119</v>
      </c>
      <c r="H344" s="73" t="s">
        <v>7</v>
      </c>
      <c r="I344" s="73" t="s">
        <v>140</v>
      </c>
      <c r="J344" s="75" t="s">
        <v>480</v>
      </c>
      <c r="K344" s="73" t="s">
        <v>135</v>
      </c>
      <c r="L344" s="73" t="s">
        <v>84</v>
      </c>
      <c r="M344" s="75" t="s">
        <v>414</v>
      </c>
      <c r="N344" s="76"/>
      <c r="O344" s="73" t="s">
        <v>307</v>
      </c>
      <c r="P344" s="76" t="s">
        <v>534</v>
      </c>
    </row>
    <row r="345" customFormat="false" ht="15" hidden="false" customHeight="false" outlineLevel="0" collapsed="false">
      <c r="A345" s="73" t="s">
        <v>20</v>
      </c>
      <c r="B345" s="74" t="n">
        <v>46266</v>
      </c>
      <c r="C345" s="75" t="s">
        <v>68</v>
      </c>
      <c r="D345" s="73" t="s">
        <v>75</v>
      </c>
      <c r="E345" s="76" t="s">
        <v>776</v>
      </c>
      <c r="F345" s="73" t="s">
        <v>79</v>
      </c>
      <c r="G345" s="73" t="s">
        <v>119</v>
      </c>
      <c r="H345" s="73" t="s">
        <v>7</v>
      </c>
      <c r="I345" s="73" t="s">
        <v>140</v>
      </c>
      <c r="J345" s="75" t="s">
        <v>467</v>
      </c>
      <c r="K345" s="73" t="s">
        <v>136</v>
      </c>
      <c r="L345" s="73" t="s">
        <v>85</v>
      </c>
      <c r="M345" s="75" t="s">
        <v>414</v>
      </c>
      <c r="N345" s="76"/>
      <c r="O345" s="73" t="s">
        <v>307</v>
      </c>
      <c r="P345" s="77" t="s">
        <v>780</v>
      </c>
    </row>
    <row r="346" customFormat="false" ht="15" hidden="false" customHeight="false" outlineLevel="0" collapsed="false">
      <c r="A346" s="73" t="s">
        <v>20</v>
      </c>
      <c r="B346" s="74" t="n">
        <v>46266</v>
      </c>
      <c r="C346" s="75" t="s">
        <v>68</v>
      </c>
      <c r="D346" s="73" t="s">
        <v>75</v>
      </c>
      <c r="E346" s="76" t="s">
        <v>776</v>
      </c>
      <c r="F346" s="73" t="s">
        <v>79</v>
      </c>
      <c r="G346" s="73" t="s">
        <v>119</v>
      </c>
      <c r="H346" s="73" t="s">
        <v>7</v>
      </c>
      <c r="I346" s="73" t="s">
        <v>140</v>
      </c>
      <c r="J346" s="75" t="s">
        <v>467</v>
      </c>
      <c r="K346" s="73" t="s">
        <v>136</v>
      </c>
      <c r="L346" s="73" t="s">
        <v>84</v>
      </c>
      <c r="M346" s="75" t="s">
        <v>414</v>
      </c>
      <c r="N346" s="76"/>
      <c r="O346" s="73" t="s">
        <v>307</v>
      </c>
      <c r="P346" s="76" t="s">
        <v>781</v>
      </c>
    </row>
    <row r="347" customFormat="false" ht="15" hidden="false" customHeight="false" outlineLevel="0" collapsed="false">
      <c r="A347" s="73" t="s">
        <v>20</v>
      </c>
      <c r="B347" s="74" t="n">
        <v>46267</v>
      </c>
      <c r="C347" s="75" t="s">
        <v>68</v>
      </c>
      <c r="D347" s="73" t="s">
        <v>75</v>
      </c>
      <c r="E347" s="76" t="s">
        <v>782</v>
      </c>
      <c r="F347" s="73" t="s">
        <v>79</v>
      </c>
      <c r="G347" s="73" t="s">
        <v>119</v>
      </c>
      <c r="H347" s="73" t="s">
        <v>7</v>
      </c>
      <c r="I347" s="73" t="s">
        <v>140</v>
      </c>
      <c r="J347" s="75" t="s">
        <v>424</v>
      </c>
      <c r="K347" s="73" t="s">
        <v>135</v>
      </c>
      <c r="L347" s="73" t="s">
        <v>84</v>
      </c>
      <c r="M347" s="75" t="s">
        <v>414</v>
      </c>
      <c r="N347" s="76"/>
      <c r="O347" s="73" t="s">
        <v>307</v>
      </c>
      <c r="P347" s="76" t="s">
        <v>783</v>
      </c>
    </row>
    <row r="348" customFormat="false" ht="15" hidden="false" customHeight="false" outlineLevel="0" collapsed="false">
      <c r="A348" s="73" t="s">
        <v>20</v>
      </c>
      <c r="B348" s="74" t="n">
        <v>46267</v>
      </c>
      <c r="C348" s="75" t="s">
        <v>68</v>
      </c>
      <c r="D348" s="73" t="s">
        <v>75</v>
      </c>
      <c r="E348" s="76" t="s">
        <v>784</v>
      </c>
      <c r="F348" s="73" t="s">
        <v>81</v>
      </c>
      <c r="G348" s="73" t="s">
        <v>119</v>
      </c>
      <c r="H348" s="73" t="s">
        <v>7</v>
      </c>
      <c r="I348" s="75" t="s">
        <v>414</v>
      </c>
      <c r="J348" s="75" t="s">
        <v>458</v>
      </c>
      <c r="K348" s="73" t="s">
        <v>135</v>
      </c>
      <c r="L348" s="75" t="s">
        <v>414</v>
      </c>
      <c r="M348" s="75" t="s">
        <v>414</v>
      </c>
      <c r="N348" s="76"/>
      <c r="O348" s="73" t="s">
        <v>307</v>
      </c>
      <c r="P348" s="76" t="s">
        <v>785</v>
      </c>
    </row>
    <row r="349" customFormat="false" ht="15" hidden="false" customHeight="false" outlineLevel="0" collapsed="false">
      <c r="A349" s="73" t="s">
        <v>20</v>
      </c>
      <c r="B349" s="74" t="n">
        <v>46268</v>
      </c>
      <c r="C349" s="75" t="s">
        <v>68</v>
      </c>
      <c r="D349" s="73" t="s">
        <v>75</v>
      </c>
      <c r="E349" s="76" t="s">
        <v>786</v>
      </c>
      <c r="F349" s="73" t="s">
        <v>78</v>
      </c>
      <c r="G349" s="73" t="s">
        <v>119</v>
      </c>
      <c r="H349" s="73" t="s">
        <v>7</v>
      </c>
      <c r="I349" s="73" t="s">
        <v>140</v>
      </c>
      <c r="J349" s="75" t="s">
        <v>458</v>
      </c>
      <c r="K349" s="73" t="s">
        <v>135</v>
      </c>
      <c r="L349" s="73" t="s">
        <v>84</v>
      </c>
      <c r="M349" s="75" t="s">
        <v>414</v>
      </c>
      <c r="N349" s="76"/>
      <c r="O349" s="73" t="s">
        <v>307</v>
      </c>
      <c r="P349" s="76" t="s">
        <v>787</v>
      </c>
    </row>
    <row r="350" customFormat="false" ht="15" hidden="false" customHeight="false" outlineLevel="0" collapsed="false">
      <c r="A350" s="73" t="s">
        <v>20</v>
      </c>
      <c r="B350" s="74" t="n">
        <v>46268</v>
      </c>
      <c r="C350" s="75" t="s">
        <v>68</v>
      </c>
      <c r="D350" s="73" t="s">
        <v>75</v>
      </c>
      <c r="E350" s="76" t="s">
        <v>786</v>
      </c>
      <c r="F350" s="73" t="s">
        <v>127</v>
      </c>
      <c r="G350" s="73" t="s">
        <v>119</v>
      </c>
      <c r="H350" s="73" t="s">
        <v>7</v>
      </c>
      <c r="I350" s="73" t="s">
        <v>140</v>
      </c>
      <c r="J350" s="75" t="s">
        <v>424</v>
      </c>
      <c r="K350" s="73" t="s">
        <v>135</v>
      </c>
      <c r="L350" s="73" t="s">
        <v>84</v>
      </c>
      <c r="M350" s="75" t="s">
        <v>414</v>
      </c>
      <c r="N350" s="76"/>
      <c r="O350" s="73" t="s">
        <v>307</v>
      </c>
      <c r="P350" s="76" t="s">
        <v>788</v>
      </c>
    </row>
    <row r="351" customFormat="false" ht="15" hidden="false" customHeight="false" outlineLevel="0" collapsed="false">
      <c r="A351" s="73" t="s">
        <v>20</v>
      </c>
      <c r="B351" s="74" t="n">
        <v>46268</v>
      </c>
      <c r="C351" s="75" t="s">
        <v>68</v>
      </c>
      <c r="D351" s="73" t="s">
        <v>75</v>
      </c>
      <c r="E351" s="76" t="s">
        <v>786</v>
      </c>
      <c r="F351" s="73" t="s">
        <v>81</v>
      </c>
      <c r="G351" s="73" t="s">
        <v>119</v>
      </c>
      <c r="H351" s="73" t="s">
        <v>7</v>
      </c>
      <c r="I351" s="73" t="s">
        <v>140</v>
      </c>
      <c r="J351" s="75" t="s">
        <v>424</v>
      </c>
      <c r="K351" s="73" t="s">
        <v>135</v>
      </c>
      <c r="L351" s="73" t="s">
        <v>84</v>
      </c>
      <c r="M351" s="75" t="s">
        <v>414</v>
      </c>
      <c r="N351" s="76"/>
      <c r="O351" s="73" t="s">
        <v>307</v>
      </c>
      <c r="P351" s="76" t="s">
        <v>789</v>
      </c>
    </row>
    <row r="352" customFormat="false" ht="15" hidden="false" customHeight="false" outlineLevel="0" collapsed="false">
      <c r="A352" s="73" t="s">
        <v>20</v>
      </c>
      <c r="B352" s="74" t="n">
        <v>46268</v>
      </c>
      <c r="C352" s="75" t="s">
        <v>68</v>
      </c>
      <c r="D352" s="73" t="s">
        <v>75</v>
      </c>
      <c r="E352" s="76" t="s">
        <v>790</v>
      </c>
      <c r="F352" s="73" t="s">
        <v>78</v>
      </c>
      <c r="G352" s="73" t="s">
        <v>8</v>
      </c>
      <c r="H352" s="73" t="s">
        <v>7</v>
      </c>
      <c r="I352" s="73" t="s">
        <v>140</v>
      </c>
      <c r="J352" s="75" t="s">
        <v>458</v>
      </c>
      <c r="K352" s="73" t="s">
        <v>135</v>
      </c>
      <c r="L352" s="73" t="s">
        <v>84</v>
      </c>
      <c r="M352" s="75" t="s">
        <v>414</v>
      </c>
      <c r="N352" s="76"/>
      <c r="O352" s="73" t="s">
        <v>307</v>
      </c>
      <c r="P352" s="76" t="s">
        <v>791</v>
      </c>
    </row>
    <row r="353" customFormat="false" ht="15" hidden="false" customHeight="false" outlineLevel="0" collapsed="false">
      <c r="A353" s="73" t="s">
        <v>20</v>
      </c>
      <c r="B353" s="74" t="n">
        <v>46268</v>
      </c>
      <c r="C353" s="75" t="s">
        <v>68</v>
      </c>
      <c r="D353" s="73" t="s">
        <v>75</v>
      </c>
      <c r="E353" s="76" t="s">
        <v>790</v>
      </c>
      <c r="F353" s="73" t="s">
        <v>78</v>
      </c>
      <c r="G353" s="73" t="s">
        <v>119</v>
      </c>
      <c r="H353" s="73" t="s">
        <v>7</v>
      </c>
      <c r="I353" s="73" t="s">
        <v>140</v>
      </c>
      <c r="J353" s="75" t="s">
        <v>458</v>
      </c>
      <c r="K353" s="73" t="s">
        <v>135</v>
      </c>
      <c r="L353" s="73" t="s">
        <v>84</v>
      </c>
      <c r="M353" s="75" t="s">
        <v>414</v>
      </c>
      <c r="N353" s="76"/>
      <c r="O353" s="73" t="s">
        <v>307</v>
      </c>
      <c r="P353" s="77" t="s">
        <v>792</v>
      </c>
    </row>
    <row r="354" customFormat="false" ht="15" hidden="false" customHeight="false" outlineLevel="0" collapsed="false">
      <c r="A354" s="73" t="s">
        <v>23</v>
      </c>
      <c r="B354" s="74" t="n">
        <v>46258</v>
      </c>
      <c r="C354" s="75" t="s">
        <v>67</v>
      </c>
      <c r="D354" s="73" t="s">
        <v>129</v>
      </c>
      <c r="E354" s="76" t="s">
        <v>271</v>
      </c>
      <c r="F354" s="73" t="s">
        <v>79</v>
      </c>
      <c r="G354" s="73" t="s">
        <v>119</v>
      </c>
      <c r="H354" s="73" t="s">
        <v>9</v>
      </c>
      <c r="I354" s="75" t="s">
        <v>414</v>
      </c>
      <c r="J354" s="75" t="s">
        <v>414</v>
      </c>
      <c r="K354" s="75" t="s">
        <v>414</v>
      </c>
      <c r="L354" s="75" t="s">
        <v>414</v>
      </c>
      <c r="M354" s="75" t="s">
        <v>414</v>
      </c>
      <c r="N354" s="76" t="s">
        <v>38</v>
      </c>
      <c r="O354" s="73" t="s">
        <v>129</v>
      </c>
      <c r="P354" s="76" t="s">
        <v>272</v>
      </c>
    </row>
    <row r="355" customFormat="false" ht="15" hidden="false" customHeight="false" outlineLevel="0" collapsed="false">
      <c r="A355" s="73" t="s">
        <v>23</v>
      </c>
      <c r="B355" s="74" t="n">
        <v>46258</v>
      </c>
      <c r="C355" s="75" t="s">
        <v>67</v>
      </c>
      <c r="D355" s="73" t="s">
        <v>129</v>
      </c>
      <c r="E355" s="76" t="s">
        <v>273</v>
      </c>
      <c r="F355" s="73" t="s">
        <v>79</v>
      </c>
      <c r="G355" s="73" t="s">
        <v>119</v>
      </c>
      <c r="H355" s="73" t="s">
        <v>9</v>
      </c>
      <c r="I355" s="75" t="s">
        <v>414</v>
      </c>
      <c r="J355" s="75" t="s">
        <v>414</v>
      </c>
      <c r="K355" s="75" t="s">
        <v>414</v>
      </c>
      <c r="L355" s="75" t="s">
        <v>414</v>
      </c>
      <c r="M355" s="75" t="s">
        <v>414</v>
      </c>
      <c r="N355" s="76" t="s">
        <v>38</v>
      </c>
      <c r="O355" s="73" t="s">
        <v>129</v>
      </c>
      <c r="P355" s="76" t="s">
        <v>274</v>
      </c>
    </row>
    <row r="356" customFormat="false" ht="15" hidden="false" customHeight="false" outlineLevel="0" collapsed="false">
      <c r="A356" s="73" t="s">
        <v>23</v>
      </c>
      <c r="B356" s="74" t="n">
        <v>46259</v>
      </c>
      <c r="C356" s="75" t="s">
        <v>67</v>
      </c>
      <c r="D356" s="73" t="s">
        <v>129</v>
      </c>
      <c r="E356" s="76" t="s">
        <v>793</v>
      </c>
      <c r="F356" s="73" t="s">
        <v>81</v>
      </c>
      <c r="G356" s="73" t="s">
        <v>8</v>
      </c>
      <c r="H356" s="73" t="s">
        <v>8</v>
      </c>
      <c r="I356" s="75" t="s">
        <v>414</v>
      </c>
      <c r="J356" s="75" t="s">
        <v>414</v>
      </c>
      <c r="K356" s="75" t="s">
        <v>414</v>
      </c>
      <c r="L356" s="75" t="s">
        <v>414</v>
      </c>
      <c r="M356" s="75" t="s">
        <v>414</v>
      </c>
      <c r="N356" s="76"/>
      <c r="O356" s="73" t="s">
        <v>129</v>
      </c>
      <c r="P356" s="76" t="s">
        <v>794</v>
      </c>
    </row>
    <row r="357" customFormat="false" ht="15" hidden="false" customHeight="false" outlineLevel="0" collapsed="false">
      <c r="A357" s="73" t="s">
        <v>23</v>
      </c>
      <c r="B357" s="74" t="n">
        <v>46266</v>
      </c>
      <c r="C357" s="75" t="s">
        <v>68</v>
      </c>
      <c r="D357" s="73" t="s">
        <v>129</v>
      </c>
      <c r="E357" s="76" t="s">
        <v>795</v>
      </c>
      <c r="F357" s="73" t="s">
        <v>126</v>
      </c>
      <c r="G357" s="73" t="s">
        <v>119</v>
      </c>
      <c r="H357" s="73" t="s">
        <v>8</v>
      </c>
      <c r="I357" s="75" t="s">
        <v>414</v>
      </c>
      <c r="J357" s="75" t="s">
        <v>414</v>
      </c>
      <c r="K357" s="73" t="s">
        <v>135</v>
      </c>
      <c r="L357" s="75" t="s">
        <v>414</v>
      </c>
      <c r="M357" s="75" t="s">
        <v>414</v>
      </c>
      <c r="N357" s="76"/>
      <c r="O357" s="73" t="s">
        <v>129</v>
      </c>
      <c r="P357" s="76"/>
    </row>
    <row r="358" customFormat="false" ht="15" hidden="false" customHeight="false" outlineLevel="0" collapsed="false">
      <c r="A358" s="73" t="s">
        <v>23</v>
      </c>
      <c r="B358" s="74" t="n">
        <v>46266</v>
      </c>
      <c r="C358" s="75" t="s">
        <v>68</v>
      </c>
      <c r="D358" s="73" t="s">
        <v>129</v>
      </c>
      <c r="E358" s="76" t="s">
        <v>796</v>
      </c>
      <c r="F358" s="73" t="s">
        <v>80</v>
      </c>
      <c r="G358" s="73" t="s">
        <v>8</v>
      </c>
      <c r="H358" s="73" t="s">
        <v>8</v>
      </c>
      <c r="I358" s="75" t="s">
        <v>414</v>
      </c>
      <c r="J358" s="75" t="s">
        <v>414</v>
      </c>
      <c r="K358" s="75" t="s">
        <v>414</v>
      </c>
      <c r="L358" s="75" t="s">
        <v>414</v>
      </c>
      <c r="M358" s="75" t="s">
        <v>414</v>
      </c>
      <c r="N358" s="76"/>
      <c r="O358" s="73" t="s">
        <v>129</v>
      </c>
      <c r="P358" s="76" t="s">
        <v>797</v>
      </c>
    </row>
    <row r="359" customFormat="false" ht="15" hidden="false" customHeight="false" outlineLevel="0" collapsed="false">
      <c r="A359" s="73" t="s">
        <v>20</v>
      </c>
      <c r="B359" s="74" t="n">
        <v>46269</v>
      </c>
      <c r="C359" s="75" t="s">
        <v>68</v>
      </c>
      <c r="D359" s="73" t="s">
        <v>131</v>
      </c>
      <c r="E359" s="76" t="s">
        <v>611</v>
      </c>
      <c r="F359" s="73" t="s">
        <v>79</v>
      </c>
      <c r="G359" s="73" t="s">
        <v>8</v>
      </c>
      <c r="H359" s="73" t="s">
        <v>7</v>
      </c>
      <c r="I359" s="73" t="s">
        <v>140</v>
      </c>
      <c r="J359" s="75" t="s">
        <v>458</v>
      </c>
      <c r="K359" s="73" t="s">
        <v>135</v>
      </c>
      <c r="L359" s="73" t="s">
        <v>84</v>
      </c>
      <c r="M359" s="75" t="s">
        <v>414</v>
      </c>
      <c r="N359" s="76"/>
      <c r="O359" s="73" t="s">
        <v>307</v>
      </c>
      <c r="P359" s="76" t="s">
        <v>798</v>
      </c>
    </row>
    <row r="360" customFormat="false" ht="15" hidden="false" customHeight="false" outlineLevel="0" collapsed="false">
      <c r="A360" s="73" t="s">
        <v>24</v>
      </c>
      <c r="B360" s="74" t="n">
        <v>46267</v>
      </c>
      <c r="C360" s="75" t="s">
        <v>68</v>
      </c>
      <c r="D360" s="73" t="s">
        <v>133</v>
      </c>
      <c r="E360" s="76" t="s">
        <v>275</v>
      </c>
      <c r="F360" s="73" t="s">
        <v>78</v>
      </c>
      <c r="G360" s="73" t="s">
        <v>118</v>
      </c>
      <c r="H360" s="73" t="s">
        <v>9</v>
      </c>
      <c r="I360" s="75" t="s">
        <v>414</v>
      </c>
      <c r="J360" s="75" t="s">
        <v>414</v>
      </c>
      <c r="K360" s="75" t="s">
        <v>414</v>
      </c>
      <c r="L360" s="73" t="s">
        <v>85</v>
      </c>
      <c r="M360" s="75" t="s">
        <v>414</v>
      </c>
      <c r="N360" s="76" t="s">
        <v>111</v>
      </c>
      <c r="O360" s="73" t="s">
        <v>306</v>
      </c>
      <c r="P360" s="76" t="s">
        <v>276</v>
      </c>
    </row>
    <row r="361" customFormat="false" ht="15" hidden="false" customHeight="false" outlineLevel="0" collapsed="false">
      <c r="A361" s="73" t="s">
        <v>24</v>
      </c>
      <c r="B361" s="74" t="n">
        <v>46267</v>
      </c>
      <c r="C361" s="75" t="s">
        <v>68</v>
      </c>
      <c r="D361" s="73" t="s">
        <v>133</v>
      </c>
      <c r="E361" s="76" t="s">
        <v>435</v>
      </c>
      <c r="F361" s="73" t="s">
        <v>78</v>
      </c>
      <c r="G361" s="73" t="s">
        <v>117</v>
      </c>
      <c r="H361" s="73" t="s">
        <v>7</v>
      </c>
      <c r="I361" s="75" t="s">
        <v>414</v>
      </c>
      <c r="J361" s="75" t="s">
        <v>414</v>
      </c>
      <c r="K361" s="73" t="s">
        <v>135</v>
      </c>
      <c r="L361" s="73" t="s">
        <v>84</v>
      </c>
      <c r="M361" s="75" t="s">
        <v>414</v>
      </c>
      <c r="N361" s="76"/>
      <c r="O361" s="73" t="s">
        <v>306</v>
      </c>
      <c r="P361" s="77" t="s">
        <v>799</v>
      </c>
    </row>
    <row r="362" customFormat="false" ht="15" hidden="false" customHeight="false" outlineLevel="0" collapsed="false">
      <c r="A362" s="73" t="s">
        <v>24</v>
      </c>
      <c r="B362" s="74" t="n">
        <v>46268</v>
      </c>
      <c r="C362" s="75" t="s">
        <v>68</v>
      </c>
      <c r="D362" s="73" t="s">
        <v>133</v>
      </c>
      <c r="E362" s="76" t="s">
        <v>277</v>
      </c>
      <c r="F362" s="73" t="s">
        <v>79</v>
      </c>
      <c r="G362" s="73" t="s">
        <v>119</v>
      </c>
      <c r="H362" s="73" t="s">
        <v>7</v>
      </c>
      <c r="I362" s="75" t="s">
        <v>414</v>
      </c>
      <c r="J362" s="75" t="s">
        <v>480</v>
      </c>
      <c r="K362" s="73" t="s">
        <v>136</v>
      </c>
      <c r="L362" s="73" t="s">
        <v>85</v>
      </c>
      <c r="M362" s="75" t="s">
        <v>414</v>
      </c>
      <c r="N362" s="76"/>
      <c r="O362" s="73" t="s">
        <v>306</v>
      </c>
      <c r="P362" s="77" t="s">
        <v>800</v>
      </c>
    </row>
    <row r="363" customFormat="false" ht="15" hidden="false" customHeight="false" outlineLevel="0" collapsed="false">
      <c r="A363" s="73" t="s">
        <v>24</v>
      </c>
      <c r="B363" s="74" t="n">
        <v>46268</v>
      </c>
      <c r="C363" s="75" t="s">
        <v>68</v>
      </c>
      <c r="D363" s="73" t="s">
        <v>133</v>
      </c>
      <c r="E363" s="76" t="s">
        <v>277</v>
      </c>
      <c r="F363" s="73" t="s">
        <v>124</v>
      </c>
      <c r="G363" s="73" t="s">
        <v>117</v>
      </c>
      <c r="H363" s="73" t="s">
        <v>9</v>
      </c>
      <c r="I363" s="75" t="s">
        <v>414</v>
      </c>
      <c r="J363" s="75" t="s">
        <v>414</v>
      </c>
      <c r="K363" s="75" t="s">
        <v>414</v>
      </c>
      <c r="L363" s="75" t="s">
        <v>414</v>
      </c>
      <c r="M363" s="75" t="s">
        <v>414</v>
      </c>
      <c r="N363" s="76" t="s">
        <v>42</v>
      </c>
      <c r="O363" s="73" t="s">
        <v>306</v>
      </c>
      <c r="P363" s="76" t="s">
        <v>278</v>
      </c>
    </row>
    <row r="364" customFormat="false" ht="15" hidden="false" customHeight="false" outlineLevel="0" collapsed="false">
      <c r="A364" s="73" t="s">
        <v>24</v>
      </c>
      <c r="B364" s="74" t="n">
        <v>46268</v>
      </c>
      <c r="C364" s="75" t="s">
        <v>68</v>
      </c>
      <c r="D364" s="73" t="s">
        <v>133</v>
      </c>
      <c r="E364" s="76" t="s">
        <v>279</v>
      </c>
      <c r="F364" s="73" t="s">
        <v>79</v>
      </c>
      <c r="G364" s="73" t="s">
        <v>8</v>
      </c>
      <c r="H364" s="73" t="s">
        <v>8</v>
      </c>
      <c r="I364" s="73" t="s">
        <v>139</v>
      </c>
      <c r="J364" s="75" t="s">
        <v>424</v>
      </c>
      <c r="K364" s="73" t="s">
        <v>135</v>
      </c>
      <c r="L364" s="73" t="s">
        <v>8</v>
      </c>
      <c r="M364" s="75" t="s">
        <v>414</v>
      </c>
      <c r="N364" s="76"/>
      <c r="O364" s="73" t="s">
        <v>306</v>
      </c>
      <c r="P364" s="76" t="s">
        <v>801</v>
      </c>
    </row>
    <row r="365" customFormat="false" ht="15" hidden="false" customHeight="false" outlineLevel="0" collapsed="false">
      <c r="A365" s="73" t="s">
        <v>24</v>
      </c>
      <c r="B365" s="74" t="n">
        <v>46268</v>
      </c>
      <c r="C365" s="75" t="s">
        <v>68</v>
      </c>
      <c r="D365" s="73" t="s">
        <v>133</v>
      </c>
      <c r="E365" s="76" t="s">
        <v>279</v>
      </c>
      <c r="F365" s="73" t="s">
        <v>79</v>
      </c>
      <c r="G365" s="73" t="s">
        <v>117</v>
      </c>
      <c r="H365" s="73" t="s">
        <v>9</v>
      </c>
      <c r="I365" s="73" t="s">
        <v>139</v>
      </c>
      <c r="J365" s="75" t="s">
        <v>458</v>
      </c>
      <c r="K365" s="75" t="s">
        <v>414</v>
      </c>
      <c r="L365" s="73" t="s">
        <v>85</v>
      </c>
      <c r="M365" s="75" t="s">
        <v>414</v>
      </c>
      <c r="N365" s="76" t="s">
        <v>40</v>
      </c>
      <c r="O365" s="73" t="s">
        <v>306</v>
      </c>
      <c r="P365" s="76" t="s">
        <v>280</v>
      </c>
    </row>
    <row r="366" customFormat="false" ht="15" hidden="false" customHeight="false" outlineLevel="0" collapsed="false">
      <c r="A366" s="73" t="s">
        <v>24</v>
      </c>
      <c r="B366" s="74" t="n">
        <v>46268</v>
      </c>
      <c r="C366" s="75" t="s">
        <v>68</v>
      </c>
      <c r="D366" s="73" t="s">
        <v>133</v>
      </c>
      <c r="E366" s="76" t="s">
        <v>436</v>
      </c>
      <c r="F366" s="73" t="s">
        <v>78</v>
      </c>
      <c r="G366" s="73" t="s">
        <v>119</v>
      </c>
      <c r="H366" s="73" t="s">
        <v>7</v>
      </c>
      <c r="I366" s="75" t="s">
        <v>414</v>
      </c>
      <c r="J366" s="75" t="s">
        <v>414</v>
      </c>
      <c r="K366" s="73" t="s">
        <v>135</v>
      </c>
      <c r="L366" s="75" t="s">
        <v>414</v>
      </c>
      <c r="M366" s="75" t="s">
        <v>414</v>
      </c>
      <c r="N366" s="76"/>
      <c r="O366" s="73" t="s">
        <v>306</v>
      </c>
      <c r="P366" s="76" t="s">
        <v>802</v>
      </c>
    </row>
    <row r="367" customFormat="false" ht="15" hidden="false" customHeight="false" outlineLevel="0" collapsed="false">
      <c r="A367" s="73" t="s">
        <v>24</v>
      </c>
      <c r="B367" s="74" t="n">
        <v>46268</v>
      </c>
      <c r="C367" s="75" t="s">
        <v>68</v>
      </c>
      <c r="D367" s="73" t="s">
        <v>133</v>
      </c>
      <c r="E367" s="76" t="s">
        <v>281</v>
      </c>
      <c r="F367" s="73" t="s">
        <v>78</v>
      </c>
      <c r="G367" s="73" t="s">
        <v>117</v>
      </c>
      <c r="H367" s="73" t="s">
        <v>9</v>
      </c>
      <c r="I367" s="73" t="s">
        <v>139</v>
      </c>
      <c r="J367" s="75" t="s">
        <v>414</v>
      </c>
      <c r="K367" s="75" t="s">
        <v>414</v>
      </c>
      <c r="L367" s="75" t="s">
        <v>414</v>
      </c>
      <c r="M367" s="75" t="s">
        <v>414</v>
      </c>
      <c r="N367" s="76" t="s">
        <v>38</v>
      </c>
      <c r="O367" s="73" t="s">
        <v>306</v>
      </c>
      <c r="P367" s="76" t="s">
        <v>282</v>
      </c>
    </row>
    <row r="368" customFormat="false" ht="15" hidden="false" customHeight="false" outlineLevel="0" collapsed="false">
      <c r="A368" s="73" t="s">
        <v>24</v>
      </c>
      <c r="B368" s="74" t="n">
        <v>46268</v>
      </c>
      <c r="C368" s="75" t="s">
        <v>68</v>
      </c>
      <c r="D368" s="73" t="s">
        <v>133</v>
      </c>
      <c r="E368" s="76" t="s">
        <v>281</v>
      </c>
      <c r="F368" s="73" t="s">
        <v>79</v>
      </c>
      <c r="G368" s="73" t="s">
        <v>117</v>
      </c>
      <c r="H368" s="73" t="s">
        <v>9</v>
      </c>
      <c r="I368" s="73" t="s">
        <v>139</v>
      </c>
      <c r="J368" s="75" t="s">
        <v>414</v>
      </c>
      <c r="K368" s="75" t="s">
        <v>414</v>
      </c>
      <c r="L368" s="75" t="s">
        <v>414</v>
      </c>
      <c r="M368" s="75" t="s">
        <v>414</v>
      </c>
      <c r="N368" s="76" t="s">
        <v>38</v>
      </c>
      <c r="O368" s="73" t="s">
        <v>306</v>
      </c>
      <c r="P368" s="77" t="s">
        <v>803</v>
      </c>
    </row>
    <row r="369" customFormat="false" ht="15" hidden="false" customHeight="false" outlineLevel="0" collapsed="false">
      <c r="A369" s="73" t="s">
        <v>24</v>
      </c>
      <c r="B369" s="74" t="n">
        <v>46268</v>
      </c>
      <c r="C369" s="75" t="s">
        <v>68</v>
      </c>
      <c r="D369" s="73" t="s">
        <v>133</v>
      </c>
      <c r="E369" s="76" t="s">
        <v>804</v>
      </c>
      <c r="F369" s="73" t="s">
        <v>78</v>
      </c>
      <c r="G369" s="73" t="s">
        <v>118</v>
      </c>
      <c r="H369" s="73" t="s">
        <v>7</v>
      </c>
      <c r="I369" s="75" t="s">
        <v>414</v>
      </c>
      <c r="J369" s="75" t="s">
        <v>414</v>
      </c>
      <c r="K369" s="73" t="s">
        <v>135</v>
      </c>
      <c r="L369" s="73" t="s">
        <v>84</v>
      </c>
      <c r="M369" s="75" t="s">
        <v>414</v>
      </c>
      <c r="N369" s="76"/>
      <c r="O369" s="73" t="s">
        <v>306</v>
      </c>
      <c r="P369" s="77" t="s">
        <v>805</v>
      </c>
    </row>
    <row r="370" customFormat="false" ht="15" hidden="false" customHeight="false" outlineLevel="0" collapsed="false">
      <c r="A370" s="73" t="s">
        <v>24</v>
      </c>
      <c r="B370" s="74" t="n">
        <v>46269</v>
      </c>
      <c r="C370" s="75" t="s">
        <v>68</v>
      </c>
      <c r="D370" s="73" t="s">
        <v>133</v>
      </c>
      <c r="E370" s="76" t="s">
        <v>806</v>
      </c>
      <c r="F370" s="75" t="s">
        <v>414</v>
      </c>
      <c r="G370" s="75" t="s">
        <v>414</v>
      </c>
      <c r="H370" s="75" t="s">
        <v>414</v>
      </c>
      <c r="I370" s="75" t="s">
        <v>414</v>
      </c>
      <c r="J370" s="75" t="s">
        <v>414</v>
      </c>
      <c r="K370" s="75" t="s">
        <v>414</v>
      </c>
      <c r="L370" s="75" t="s">
        <v>414</v>
      </c>
      <c r="M370" s="75" t="s">
        <v>414</v>
      </c>
      <c r="N370" s="76"/>
      <c r="O370" s="73" t="s">
        <v>306</v>
      </c>
      <c r="P370" s="76"/>
    </row>
    <row r="371" customFormat="false" ht="15" hidden="false" customHeight="false" outlineLevel="0" collapsed="false">
      <c r="A371" s="75" t="s">
        <v>414</v>
      </c>
      <c r="B371" s="74"/>
      <c r="C371" s="75" t="s">
        <v>414</v>
      </c>
      <c r="D371" s="75" t="s">
        <v>414</v>
      </c>
      <c r="E371" s="77" t="s">
        <v>414</v>
      </c>
      <c r="F371" s="75" t="s">
        <v>414</v>
      </c>
      <c r="G371" s="75" t="s">
        <v>414</v>
      </c>
      <c r="H371" s="75" t="s">
        <v>414</v>
      </c>
      <c r="I371" s="75" t="s">
        <v>414</v>
      </c>
      <c r="J371" s="75" t="s">
        <v>414</v>
      </c>
      <c r="K371" s="75" t="s">
        <v>414</v>
      </c>
      <c r="L371" s="75" t="s">
        <v>414</v>
      </c>
      <c r="M371" s="75" t="s">
        <v>414</v>
      </c>
      <c r="N371" s="76"/>
      <c r="O371" s="75" t="s">
        <v>414</v>
      </c>
      <c r="P371" s="76"/>
    </row>
    <row r="372" customFormat="false" ht="15" hidden="false" customHeight="false" outlineLevel="0" collapsed="false">
      <c r="A372" s="73" t="s">
        <v>22</v>
      </c>
      <c r="B372" s="74" t="n">
        <v>46266</v>
      </c>
      <c r="C372" s="75" t="s">
        <v>68</v>
      </c>
      <c r="D372" s="73" t="s">
        <v>130</v>
      </c>
      <c r="E372" s="76" t="s">
        <v>284</v>
      </c>
      <c r="F372" s="73" t="s">
        <v>82</v>
      </c>
      <c r="G372" s="73" t="s">
        <v>117</v>
      </c>
      <c r="H372" s="73" t="s">
        <v>9</v>
      </c>
      <c r="I372" s="73" t="s">
        <v>139</v>
      </c>
      <c r="J372" s="75" t="s">
        <v>424</v>
      </c>
      <c r="K372" s="73" t="s">
        <v>135</v>
      </c>
      <c r="L372" s="75" t="s">
        <v>414</v>
      </c>
      <c r="M372" s="73" t="s">
        <v>421</v>
      </c>
      <c r="N372" s="76" t="s">
        <v>38</v>
      </c>
      <c r="O372" s="73" t="s">
        <v>307</v>
      </c>
      <c r="P372" s="76"/>
    </row>
    <row r="373" customFormat="false" ht="15" hidden="false" customHeight="false" outlineLevel="0" collapsed="false">
      <c r="A373" s="73" t="s">
        <v>22</v>
      </c>
      <c r="B373" s="74" t="n">
        <v>46266</v>
      </c>
      <c r="C373" s="75" t="s">
        <v>68</v>
      </c>
      <c r="D373" s="73" t="s">
        <v>130</v>
      </c>
      <c r="E373" s="76" t="s">
        <v>807</v>
      </c>
      <c r="F373" s="73" t="s">
        <v>79</v>
      </c>
      <c r="G373" s="73" t="s">
        <v>118</v>
      </c>
      <c r="H373" s="73" t="s">
        <v>7</v>
      </c>
      <c r="I373" s="73" t="s">
        <v>140</v>
      </c>
      <c r="J373" s="75" t="s">
        <v>467</v>
      </c>
      <c r="K373" s="73" t="s">
        <v>135</v>
      </c>
      <c r="L373" s="73" t="s">
        <v>84</v>
      </c>
      <c r="M373" s="73" t="s">
        <v>421</v>
      </c>
      <c r="N373" s="76"/>
      <c r="O373" s="73" t="s">
        <v>307</v>
      </c>
      <c r="P373" s="76" t="s">
        <v>808</v>
      </c>
    </row>
    <row r="374" customFormat="false" ht="15" hidden="false" customHeight="false" outlineLevel="0" collapsed="false">
      <c r="A374" s="73" t="s">
        <v>22</v>
      </c>
      <c r="B374" s="74" t="n">
        <v>46266</v>
      </c>
      <c r="C374" s="75" t="s">
        <v>68</v>
      </c>
      <c r="D374" s="73" t="s">
        <v>130</v>
      </c>
      <c r="E374" s="76" t="s">
        <v>479</v>
      </c>
      <c r="F374" s="73" t="s">
        <v>79</v>
      </c>
      <c r="G374" s="73" t="s">
        <v>118</v>
      </c>
      <c r="H374" s="73" t="s">
        <v>7</v>
      </c>
      <c r="I374" s="73" t="s">
        <v>140</v>
      </c>
      <c r="J374" s="75" t="s">
        <v>467</v>
      </c>
      <c r="K374" s="73" t="s">
        <v>135</v>
      </c>
      <c r="L374" s="73" t="s">
        <v>84</v>
      </c>
      <c r="M374" s="73" t="s">
        <v>421</v>
      </c>
      <c r="N374" s="76"/>
      <c r="O374" s="73" t="s">
        <v>307</v>
      </c>
      <c r="P374" s="76" t="s">
        <v>809</v>
      </c>
    </row>
    <row r="375" customFormat="false" ht="15" hidden="false" customHeight="false" outlineLevel="0" collapsed="false">
      <c r="A375" s="73" t="s">
        <v>22</v>
      </c>
      <c r="B375" s="74" t="n">
        <v>46266</v>
      </c>
      <c r="C375" s="75" t="s">
        <v>68</v>
      </c>
      <c r="D375" s="73" t="s">
        <v>130</v>
      </c>
      <c r="E375" s="76" t="s">
        <v>810</v>
      </c>
      <c r="F375" s="73" t="s">
        <v>79</v>
      </c>
      <c r="G375" s="73" t="s">
        <v>117</v>
      </c>
      <c r="H375" s="73" t="s">
        <v>7</v>
      </c>
      <c r="I375" s="73" t="s">
        <v>139</v>
      </c>
      <c r="J375" s="75" t="s">
        <v>467</v>
      </c>
      <c r="K375" s="73" t="s">
        <v>135</v>
      </c>
      <c r="L375" s="73" t="s">
        <v>84</v>
      </c>
      <c r="M375" s="73" t="s">
        <v>421</v>
      </c>
      <c r="N375" s="76"/>
      <c r="O375" s="73" t="s">
        <v>307</v>
      </c>
      <c r="P375" s="76" t="s">
        <v>811</v>
      </c>
    </row>
    <row r="376" customFormat="false" ht="15" hidden="false" customHeight="false" outlineLevel="0" collapsed="false">
      <c r="A376" s="73" t="s">
        <v>22</v>
      </c>
      <c r="B376" s="74" t="n">
        <v>46266</v>
      </c>
      <c r="C376" s="75" t="s">
        <v>68</v>
      </c>
      <c r="D376" s="73" t="s">
        <v>130</v>
      </c>
      <c r="E376" s="76" t="s">
        <v>812</v>
      </c>
      <c r="F376" s="73" t="s">
        <v>79</v>
      </c>
      <c r="G376" s="73" t="s">
        <v>118</v>
      </c>
      <c r="H376" s="73" t="s">
        <v>7</v>
      </c>
      <c r="I376" s="73" t="s">
        <v>139</v>
      </c>
      <c r="J376" s="75" t="s">
        <v>467</v>
      </c>
      <c r="K376" s="73" t="s">
        <v>135</v>
      </c>
      <c r="L376" s="73" t="s">
        <v>84</v>
      </c>
      <c r="M376" s="73" t="s">
        <v>425</v>
      </c>
      <c r="N376" s="76"/>
      <c r="O376" s="73" t="s">
        <v>307</v>
      </c>
      <c r="P376" s="76"/>
    </row>
    <row r="377" customFormat="false" ht="15" hidden="false" customHeight="false" outlineLevel="0" collapsed="false">
      <c r="A377" s="73" t="s">
        <v>22</v>
      </c>
      <c r="B377" s="74" t="n">
        <v>46266</v>
      </c>
      <c r="C377" s="75" t="s">
        <v>68</v>
      </c>
      <c r="D377" s="73" t="s">
        <v>130</v>
      </c>
      <c r="E377" s="76" t="s">
        <v>813</v>
      </c>
      <c r="F377" s="73" t="s">
        <v>79</v>
      </c>
      <c r="G377" s="73" t="s">
        <v>118</v>
      </c>
      <c r="H377" s="73" t="s">
        <v>7</v>
      </c>
      <c r="I377" s="73" t="s">
        <v>140</v>
      </c>
      <c r="J377" s="75" t="s">
        <v>467</v>
      </c>
      <c r="K377" s="73" t="s">
        <v>135</v>
      </c>
      <c r="L377" s="73" t="s">
        <v>84</v>
      </c>
      <c r="M377" s="75" t="s">
        <v>414</v>
      </c>
      <c r="N377" s="76"/>
      <c r="O377" s="73" t="s">
        <v>307</v>
      </c>
      <c r="P377" s="76" t="s">
        <v>814</v>
      </c>
    </row>
    <row r="378" customFormat="false" ht="15" hidden="false" customHeight="false" outlineLevel="0" collapsed="false">
      <c r="A378" s="73" t="s">
        <v>22</v>
      </c>
      <c r="B378" s="74" t="n">
        <v>46266</v>
      </c>
      <c r="C378" s="75" t="s">
        <v>68</v>
      </c>
      <c r="D378" s="73" t="s">
        <v>130</v>
      </c>
      <c r="E378" s="76" t="s">
        <v>815</v>
      </c>
      <c r="F378" s="73" t="s">
        <v>79</v>
      </c>
      <c r="G378" s="73" t="s">
        <v>117</v>
      </c>
      <c r="H378" s="73" t="s">
        <v>108</v>
      </c>
      <c r="I378" s="73" t="s">
        <v>139</v>
      </c>
      <c r="J378" s="75" t="s">
        <v>467</v>
      </c>
      <c r="K378" s="73" t="s">
        <v>135</v>
      </c>
      <c r="L378" s="73" t="s">
        <v>84</v>
      </c>
      <c r="M378" s="73" t="s">
        <v>421</v>
      </c>
      <c r="N378" s="76"/>
      <c r="O378" s="73" t="s">
        <v>307</v>
      </c>
      <c r="P378" s="76" t="s">
        <v>809</v>
      </c>
    </row>
    <row r="379" customFormat="false" ht="15" hidden="false" customHeight="false" outlineLevel="0" collapsed="false">
      <c r="A379" s="73" t="s">
        <v>22</v>
      </c>
      <c r="B379" s="74" t="n">
        <v>46266</v>
      </c>
      <c r="C379" s="75" t="s">
        <v>68</v>
      </c>
      <c r="D379" s="73" t="s">
        <v>130</v>
      </c>
      <c r="E379" s="76" t="s">
        <v>285</v>
      </c>
      <c r="F379" s="73" t="s">
        <v>79</v>
      </c>
      <c r="G379" s="73" t="s">
        <v>117</v>
      </c>
      <c r="H379" s="73" t="s">
        <v>9</v>
      </c>
      <c r="I379" s="73" t="s">
        <v>139</v>
      </c>
      <c r="J379" s="75" t="s">
        <v>467</v>
      </c>
      <c r="K379" s="75" t="s">
        <v>414</v>
      </c>
      <c r="L379" s="75" t="s">
        <v>414</v>
      </c>
      <c r="M379" s="75" t="s">
        <v>414</v>
      </c>
      <c r="N379" s="76" t="s">
        <v>38</v>
      </c>
      <c r="O379" s="73" t="s">
        <v>307</v>
      </c>
      <c r="P379" s="76"/>
    </row>
    <row r="380" customFormat="false" ht="15" hidden="false" customHeight="false" outlineLevel="0" collapsed="false">
      <c r="A380" s="73" t="s">
        <v>22</v>
      </c>
      <c r="B380" s="74" t="n">
        <v>46266</v>
      </c>
      <c r="C380" s="75" t="s">
        <v>68</v>
      </c>
      <c r="D380" s="73" t="s">
        <v>130</v>
      </c>
      <c r="E380" s="76" t="s">
        <v>426</v>
      </c>
      <c r="F380" s="73" t="s">
        <v>79</v>
      </c>
      <c r="G380" s="73" t="s">
        <v>117</v>
      </c>
      <c r="H380" s="75" t="s">
        <v>414</v>
      </c>
      <c r="I380" s="73" t="s">
        <v>139</v>
      </c>
      <c r="J380" s="75" t="s">
        <v>467</v>
      </c>
      <c r="K380" s="75" t="s">
        <v>414</v>
      </c>
      <c r="L380" s="75" t="s">
        <v>414</v>
      </c>
      <c r="M380" s="73" t="s">
        <v>421</v>
      </c>
      <c r="N380" s="76"/>
      <c r="O380" s="73" t="s">
        <v>307</v>
      </c>
      <c r="P380" s="76"/>
    </row>
    <row r="381" customFormat="false" ht="15" hidden="false" customHeight="false" outlineLevel="0" collapsed="false">
      <c r="A381" s="73" t="s">
        <v>22</v>
      </c>
      <c r="B381" s="74" t="n">
        <v>46266</v>
      </c>
      <c r="C381" s="75" t="s">
        <v>68</v>
      </c>
      <c r="D381" s="73" t="s">
        <v>130</v>
      </c>
      <c r="E381" s="76" t="s">
        <v>474</v>
      </c>
      <c r="F381" s="73" t="s">
        <v>79</v>
      </c>
      <c r="G381" s="73" t="s">
        <v>117</v>
      </c>
      <c r="H381" s="73" t="s">
        <v>8</v>
      </c>
      <c r="I381" s="73" t="s">
        <v>139</v>
      </c>
      <c r="J381" s="75" t="s">
        <v>467</v>
      </c>
      <c r="K381" s="73" t="s">
        <v>135</v>
      </c>
      <c r="L381" s="73" t="s">
        <v>8</v>
      </c>
      <c r="M381" s="73" t="s">
        <v>421</v>
      </c>
      <c r="N381" s="76"/>
      <c r="O381" s="73" t="s">
        <v>307</v>
      </c>
      <c r="P381" s="76" t="s">
        <v>816</v>
      </c>
    </row>
    <row r="382" customFormat="false" ht="15" hidden="false" customHeight="false" outlineLevel="0" collapsed="false">
      <c r="A382" s="73" t="s">
        <v>22</v>
      </c>
      <c r="B382" s="74" t="n">
        <v>46266</v>
      </c>
      <c r="C382" s="75" t="s">
        <v>68</v>
      </c>
      <c r="D382" s="73" t="s">
        <v>130</v>
      </c>
      <c r="E382" s="76" t="s">
        <v>492</v>
      </c>
      <c r="F382" s="73" t="s">
        <v>78</v>
      </c>
      <c r="G382" s="73" t="s">
        <v>118</v>
      </c>
      <c r="H382" s="73" t="s">
        <v>7</v>
      </c>
      <c r="I382" s="73" t="s">
        <v>140</v>
      </c>
      <c r="J382" s="75" t="s">
        <v>424</v>
      </c>
      <c r="K382" s="73" t="s">
        <v>135</v>
      </c>
      <c r="L382" s="73" t="s">
        <v>84</v>
      </c>
      <c r="M382" s="73" t="s">
        <v>421</v>
      </c>
      <c r="N382" s="76"/>
      <c r="O382" s="73" t="s">
        <v>307</v>
      </c>
      <c r="P382" s="76" t="s">
        <v>817</v>
      </c>
    </row>
    <row r="383" customFormat="false" ht="15" hidden="false" customHeight="false" outlineLevel="0" collapsed="false">
      <c r="A383" s="73" t="s">
        <v>22</v>
      </c>
      <c r="B383" s="74" t="n">
        <v>46266</v>
      </c>
      <c r="C383" s="75" t="s">
        <v>68</v>
      </c>
      <c r="D383" s="73" t="s">
        <v>130</v>
      </c>
      <c r="E383" s="76" t="s">
        <v>285</v>
      </c>
      <c r="F383" s="73" t="s">
        <v>81</v>
      </c>
      <c r="G383" s="73" t="s">
        <v>117</v>
      </c>
      <c r="H383" s="73" t="s">
        <v>9</v>
      </c>
      <c r="I383" s="73" t="s">
        <v>139</v>
      </c>
      <c r="J383" s="75" t="s">
        <v>414</v>
      </c>
      <c r="K383" s="75" t="s">
        <v>414</v>
      </c>
      <c r="L383" s="75" t="s">
        <v>414</v>
      </c>
      <c r="M383" s="75" t="s">
        <v>414</v>
      </c>
      <c r="N383" s="76" t="s">
        <v>38</v>
      </c>
      <c r="O383" s="73" t="s">
        <v>307</v>
      </c>
      <c r="P383" s="76"/>
    </row>
    <row r="384" customFormat="false" ht="15" hidden="false" customHeight="false" outlineLevel="0" collapsed="false">
      <c r="A384" s="73" t="s">
        <v>22</v>
      </c>
      <c r="B384" s="74" t="n">
        <v>46266</v>
      </c>
      <c r="C384" s="75" t="s">
        <v>68</v>
      </c>
      <c r="D384" s="73" t="s">
        <v>130</v>
      </c>
      <c r="E384" s="76" t="s">
        <v>477</v>
      </c>
      <c r="F384" s="73" t="s">
        <v>81</v>
      </c>
      <c r="G384" s="73" t="s">
        <v>118</v>
      </c>
      <c r="H384" s="73" t="s">
        <v>7</v>
      </c>
      <c r="I384" s="73" t="s">
        <v>140</v>
      </c>
      <c r="J384" s="75" t="s">
        <v>467</v>
      </c>
      <c r="K384" s="73" t="s">
        <v>135</v>
      </c>
      <c r="L384" s="73" t="s">
        <v>84</v>
      </c>
      <c r="M384" s="73" t="s">
        <v>421</v>
      </c>
      <c r="N384" s="76"/>
      <c r="O384" s="73" t="s">
        <v>307</v>
      </c>
      <c r="P384" s="76" t="s">
        <v>818</v>
      </c>
    </row>
    <row r="385" customFormat="false" ht="15" hidden="false" customHeight="false" outlineLevel="0" collapsed="false">
      <c r="A385" s="73" t="s">
        <v>21</v>
      </c>
      <c r="B385" s="74" t="n">
        <v>46272</v>
      </c>
      <c r="C385" s="75" t="s">
        <v>69</v>
      </c>
      <c r="D385" s="73" t="s">
        <v>129</v>
      </c>
      <c r="E385" s="76" t="s">
        <v>819</v>
      </c>
      <c r="F385" s="73" t="s">
        <v>79</v>
      </c>
      <c r="G385" s="73" t="s">
        <v>119</v>
      </c>
      <c r="H385" s="73" t="s">
        <v>7</v>
      </c>
      <c r="I385" s="75" t="s">
        <v>414</v>
      </c>
      <c r="J385" s="75" t="s">
        <v>414</v>
      </c>
      <c r="K385" s="75" t="s">
        <v>414</v>
      </c>
      <c r="L385" s="75" t="s">
        <v>414</v>
      </c>
      <c r="M385" s="75" t="s">
        <v>414</v>
      </c>
      <c r="N385" s="76"/>
      <c r="O385" s="73" t="s">
        <v>129</v>
      </c>
      <c r="P385" s="77" t="s">
        <v>820</v>
      </c>
    </row>
    <row r="386" customFormat="false" ht="15" hidden="false" customHeight="false" outlineLevel="0" collapsed="false">
      <c r="A386" s="73" t="s">
        <v>21</v>
      </c>
      <c r="B386" s="74" t="n">
        <v>46272</v>
      </c>
      <c r="C386" s="75" t="s">
        <v>69</v>
      </c>
      <c r="D386" s="73" t="s">
        <v>129</v>
      </c>
      <c r="E386" s="76" t="s">
        <v>821</v>
      </c>
      <c r="F386" s="73" t="s">
        <v>79</v>
      </c>
      <c r="G386" s="73" t="s">
        <v>119</v>
      </c>
      <c r="H386" s="73" t="s">
        <v>7</v>
      </c>
      <c r="I386" s="75" t="s">
        <v>414</v>
      </c>
      <c r="J386" s="75" t="s">
        <v>414</v>
      </c>
      <c r="K386" s="75" t="s">
        <v>414</v>
      </c>
      <c r="L386" s="75" t="s">
        <v>414</v>
      </c>
      <c r="M386" s="75" t="s">
        <v>414</v>
      </c>
      <c r="N386" s="76"/>
      <c r="O386" s="73" t="s">
        <v>129</v>
      </c>
      <c r="P386" s="77" t="s">
        <v>822</v>
      </c>
    </row>
    <row r="387" customFormat="false" ht="15" hidden="false" customHeight="false" outlineLevel="0" collapsed="false">
      <c r="A387" s="73" t="s">
        <v>21</v>
      </c>
      <c r="B387" s="74" t="n">
        <v>46273</v>
      </c>
      <c r="C387" s="75" t="s">
        <v>69</v>
      </c>
      <c r="D387" s="73" t="s">
        <v>129</v>
      </c>
      <c r="E387" s="76" t="s">
        <v>823</v>
      </c>
      <c r="F387" s="73" t="s">
        <v>79</v>
      </c>
      <c r="G387" s="73" t="s">
        <v>119</v>
      </c>
      <c r="H387" s="73" t="s">
        <v>7</v>
      </c>
      <c r="I387" s="75" t="s">
        <v>414</v>
      </c>
      <c r="J387" s="75" t="s">
        <v>414</v>
      </c>
      <c r="K387" s="75" t="s">
        <v>414</v>
      </c>
      <c r="L387" s="75" t="s">
        <v>414</v>
      </c>
      <c r="M387" s="75" t="s">
        <v>414</v>
      </c>
      <c r="N387" s="76"/>
      <c r="O387" s="73" t="s">
        <v>129</v>
      </c>
      <c r="P387" s="76" t="s">
        <v>824</v>
      </c>
    </row>
    <row r="388" customFormat="false" ht="15" hidden="false" customHeight="false" outlineLevel="0" collapsed="false">
      <c r="A388" s="73" t="s">
        <v>21</v>
      </c>
      <c r="B388" s="74" t="n">
        <v>46269</v>
      </c>
      <c r="C388" s="75" t="s">
        <v>68</v>
      </c>
      <c r="D388" s="73" t="s">
        <v>129</v>
      </c>
      <c r="E388" s="76" t="s">
        <v>286</v>
      </c>
      <c r="F388" s="73" t="s">
        <v>79</v>
      </c>
      <c r="G388" s="73" t="s">
        <v>119</v>
      </c>
      <c r="H388" s="73" t="s">
        <v>7</v>
      </c>
      <c r="I388" s="75" t="s">
        <v>414</v>
      </c>
      <c r="J388" s="75" t="s">
        <v>414</v>
      </c>
      <c r="K388" s="75" t="s">
        <v>414</v>
      </c>
      <c r="L388" s="75" t="s">
        <v>414</v>
      </c>
      <c r="M388" s="75" t="s">
        <v>414</v>
      </c>
      <c r="N388" s="76"/>
      <c r="O388" s="73" t="s">
        <v>129</v>
      </c>
      <c r="P388" s="76" t="s">
        <v>825</v>
      </c>
    </row>
    <row r="389" customFormat="false" ht="15" hidden="false" customHeight="false" outlineLevel="0" collapsed="false">
      <c r="A389" s="73" t="s">
        <v>21</v>
      </c>
      <c r="B389" s="74" t="n">
        <v>46269</v>
      </c>
      <c r="C389" s="75" t="s">
        <v>68</v>
      </c>
      <c r="D389" s="73" t="s">
        <v>129</v>
      </c>
      <c r="E389" s="76" t="s">
        <v>286</v>
      </c>
      <c r="F389" s="73" t="s">
        <v>80</v>
      </c>
      <c r="G389" s="73" t="s">
        <v>119</v>
      </c>
      <c r="H389" s="73" t="s">
        <v>9</v>
      </c>
      <c r="I389" s="75" t="s">
        <v>414</v>
      </c>
      <c r="J389" s="75" t="s">
        <v>414</v>
      </c>
      <c r="K389" s="75" t="s">
        <v>414</v>
      </c>
      <c r="L389" s="75" t="s">
        <v>414</v>
      </c>
      <c r="M389" s="75" t="s">
        <v>414</v>
      </c>
      <c r="N389" s="76" t="s">
        <v>112</v>
      </c>
      <c r="O389" s="73" t="s">
        <v>129</v>
      </c>
      <c r="P389" s="76" t="s">
        <v>826</v>
      </c>
    </row>
    <row r="390" customFormat="false" ht="15" hidden="false" customHeight="false" outlineLevel="0" collapsed="false">
      <c r="A390" s="73" t="s">
        <v>21</v>
      </c>
      <c r="B390" s="74" t="n">
        <v>46268</v>
      </c>
      <c r="C390" s="75" t="s">
        <v>68</v>
      </c>
      <c r="D390" s="73" t="s">
        <v>129</v>
      </c>
      <c r="E390" s="76" t="s">
        <v>288</v>
      </c>
      <c r="F390" s="73" t="s">
        <v>80</v>
      </c>
      <c r="G390" s="73" t="s">
        <v>117</v>
      </c>
      <c r="H390" s="73" t="s">
        <v>9</v>
      </c>
      <c r="I390" s="75" t="s">
        <v>414</v>
      </c>
      <c r="J390" s="75" t="s">
        <v>414</v>
      </c>
      <c r="K390" s="75" t="s">
        <v>414</v>
      </c>
      <c r="L390" s="75" t="s">
        <v>414</v>
      </c>
      <c r="M390" s="75" t="s">
        <v>414</v>
      </c>
      <c r="N390" s="76" t="s">
        <v>38</v>
      </c>
      <c r="O390" s="73" t="s">
        <v>129</v>
      </c>
      <c r="P390" s="76"/>
    </row>
    <row r="391" customFormat="false" ht="15" hidden="false" customHeight="false" outlineLevel="0" collapsed="false">
      <c r="A391" s="73" t="s">
        <v>21</v>
      </c>
      <c r="B391" s="74" t="n">
        <v>46268</v>
      </c>
      <c r="C391" s="75" t="s">
        <v>68</v>
      </c>
      <c r="D391" s="73" t="s">
        <v>129</v>
      </c>
      <c r="E391" s="76" t="s">
        <v>289</v>
      </c>
      <c r="F391" s="73" t="s">
        <v>79</v>
      </c>
      <c r="G391" s="73" t="s">
        <v>117</v>
      </c>
      <c r="H391" s="73" t="s">
        <v>9</v>
      </c>
      <c r="I391" s="75" t="s">
        <v>414</v>
      </c>
      <c r="J391" s="75" t="s">
        <v>414</v>
      </c>
      <c r="K391" s="75" t="s">
        <v>414</v>
      </c>
      <c r="L391" s="75" t="s">
        <v>414</v>
      </c>
      <c r="M391" s="75" t="s">
        <v>414</v>
      </c>
      <c r="N391" s="76" t="s">
        <v>38</v>
      </c>
      <c r="O391" s="73" t="s">
        <v>129</v>
      </c>
      <c r="P391" s="76"/>
    </row>
    <row r="392" customFormat="false" ht="15" hidden="false" customHeight="false" outlineLevel="0" collapsed="false">
      <c r="A392" s="73" t="s">
        <v>21</v>
      </c>
      <c r="B392" s="74" t="n">
        <v>46268</v>
      </c>
      <c r="C392" s="75" t="s">
        <v>68</v>
      </c>
      <c r="D392" s="73" t="s">
        <v>129</v>
      </c>
      <c r="E392" s="76" t="s">
        <v>289</v>
      </c>
      <c r="F392" s="73" t="s">
        <v>80</v>
      </c>
      <c r="G392" s="73" t="s">
        <v>117</v>
      </c>
      <c r="H392" s="73" t="s">
        <v>9</v>
      </c>
      <c r="I392" s="75" t="s">
        <v>414</v>
      </c>
      <c r="J392" s="75" t="s">
        <v>414</v>
      </c>
      <c r="K392" s="75" t="s">
        <v>414</v>
      </c>
      <c r="L392" s="75" t="s">
        <v>414</v>
      </c>
      <c r="M392" s="75" t="s">
        <v>414</v>
      </c>
      <c r="N392" s="76" t="s">
        <v>38</v>
      </c>
      <c r="O392" s="73" t="s">
        <v>129</v>
      </c>
      <c r="P392" s="76"/>
    </row>
    <row r="393" customFormat="false" ht="15" hidden="false" customHeight="false" outlineLevel="0" collapsed="false">
      <c r="A393" s="73" t="s">
        <v>21</v>
      </c>
      <c r="B393" s="74" t="n">
        <v>46268</v>
      </c>
      <c r="C393" s="75" t="s">
        <v>68</v>
      </c>
      <c r="D393" s="73" t="s">
        <v>129</v>
      </c>
      <c r="E393" s="76" t="s">
        <v>290</v>
      </c>
      <c r="F393" s="73" t="s">
        <v>80</v>
      </c>
      <c r="G393" s="73" t="s">
        <v>117</v>
      </c>
      <c r="H393" s="73" t="s">
        <v>9</v>
      </c>
      <c r="I393" s="75" t="s">
        <v>414</v>
      </c>
      <c r="J393" s="75" t="s">
        <v>414</v>
      </c>
      <c r="K393" s="75" t="s">
        <v>414</v>
      </c>
      <c r="L393" s="75" t="s">
        <v>414</v>
      </c>
      <c r="M393" s="75" t="s">
        <v>414</v>
      </c>
      <c r="N393" s="76" t="s">
        <v>38</v>
      </c>
      <c r="O393" s="73" t="s">
        <v>129</v>
      </c>
      <c r="P393" s="76"/>
    </row>
    <row r="394" customFormat="false" ht="15" hidden="false" customHeight="false" outlineLevel="0" collapsed="false">
      <c r="A394" s="73" t="s">
        <v>21</v>
      </c>
      <c r="B394" s="74" t="n">
        <v>46268</v>
      </c>
      <c r="C394" s="75" t="s">
        <v>68</v>
      </c>
      <c r="D394" s="73" t="s">
        <v>129</v>
      </c>
      <c r="E394" s="76" t="s">
        <v>291</v>
      </c>
      <c r="F394" s="73" t="s">
        <v>79</v>
      </c>
      <c r="G394" s="73" t="s">
        <v>117</v>
      </c>
      <c r="H394" s="73" t="s">
        <v>9</v>
      </c>
      <c r="I394" s="75" t="s">
        <v>414</v>
      </c>
      <c r="J394" s="75" t="s">
        <v>414</v>
      </c>
      <c r="K394" s="75" t="s">
        <v>414</v>
      </c>
      <c r="L394" s="75" t="s">
        <v>414</v>
      </c>
      <c r="M394" s="75" t="s">
        <v>414</v>
      </c>
      <c r="N394" s="76" t="s">
        <v>38</v>
      </c>
      <c r="O394" s="73" t="s">
        <v>129</v>
      </c>
      <c r="P394" s="76"/>
    </row>
    <row r="395" customFormat="false" ht="15" hidden="false" customHeight="false" outlineLevel="0" collapsed="false">
      <c r="A395" s="73" t="s">
        <v>21</v>
      </c>
      <c r="B395" s="74" t="n">
        <v>46268</v>
      </c>
      <c r="C395" s="75" t="s">
        <v>68</v>
      </c>
      <c r="D395" s="73" t="s">
        <v>129</v>
      </c>
      <c r="E395" s="76" t="s">
        <v>291</v>
      </c>
      <c r="F395" s="73" t="s">
        <v>80</v>
      </c>
      <c r="G395" s="73" t="s">
        <v>117</v>
      </c>
      <c r="H395" s="73" t="s">
        <v>9</v>
      </c>
      <c r="I395" s="75" t="s">
        <v>414</v>
      </c>
      <c r="J395" s="75" t="s">
        <v>414</v>
      </c>
      <c r="K395" s="75" t="s">
        <v>414</v>
      </c>
      <c r="L395" s="75" t="s">
        <v>414</v>
      </c>
      <c r="M395" s="75" t="s">
        <v>414</v>
      </c>
      <c r="N395" s="76" t="s">
        <v>38</v>
      </c>
      <c r="O395" s="73" t="s">
        <v>129</v>
      </c>
      <c r="P395" s="76"/>
    </row>
    <row r="396" customFormat="false" ht="15" hidden="false" customHeight="false" outlineLevel="0" collapsed="false">
      <c r="A396" s="73" t="s">
        <v>21</v>
      </c>
      <c r="B396" s="74" t="n">
        <v>46268</v>
      </c>
      <c r="C396" s="75" t="s">
        <v>68</v>
      </c>
      <c r="D396" s="73" t="s">
        <v>129</v>
      </c>
      <c r="E396" s="76" t="s">
        <v>292</v>
      </c>
      <c r="F396" s="73" t="s">
        <v>79</v>
      </c>
      <c r="G396" s="73" t="s">
        <v>119</v>
      </c>
      <c r="H396" s="73" t="s">
        <v>9</v>
      </c>
      <c r="I396" s="75" t="s">
        <v>414</v>
      </c>
      <c r="J396" s="75" t="s">
        <v>414</v>
      </c>
      <c r="K396" s="75" t="s">
        <v>414</v>
      </c>
      <c r="L396" s="75" t="s">
        <v>414</v>
      </c>
      <c r="M396" s="75" t="s">
        <v>414</v>
      </c>
      <c r="N396" s="76" t="s">
        <v>112</v>
      </c>
      <c r="O396" s="73" t="s">
        <v>129</v>
      </c>
      <c r="P396" s="76" t="s">
        <v>827</v>
      </c>
    </row>
    <row r="397" customFormat="false" ht="15" hidden="false" customHeight="false" outlineLevel="0" collapsed="false">
      <c r="A397" s="73" t="s">
        <v>21</v>
      </c>
      <c r="B397" s="74" t="n">
        <v>46268</v>
      </c>
      <c r="C397" s="75" t="s">
        <v>68</v>
      </c>
      <c r="D397" s="73" t="s">
        <v>129</v>
      </c>
      <c r="E397" s="76" t="s">
        <v>292</v>
      </c>
      <c r="F397" s="73" t="s">
        <v>80</v>
      </c>
      <c r="G397" s="73" t="s">
        <v>117</v>
      </c>
      <c r="H397" s="73" t="s">
        <v>9</v>
      </c>
      <c r="I397" s="75" t="s">
        <v>414</v>
      </c>
      <c r="J397" s="75" t="s">
        <v>414</v>
      </c>
      <c r="K397" s="75" t="s">
        <v>414</v>
      </c>
      <c r="L397" s="75" t="s">
        <v>414</v>
      </c>
      <c r="M397" s="75" t="s">
        <v>414</v>
      </c>
      <c r="N397" s="76" t="s">
        <v>38</v>
      </c>
      <c r="O397" s="73" t="s">
        <v>129</v>
      </c>
      <c r="P397" s="76"/>
    </row>
    <row r="398" customFormat="false" ht="15" hidden="false" customHeight="false" outlineLevel="0" collapsed="false">
      <c r="A398" s="73" t="s">
        <v>21</v>
      </c>
      <c r="B398" s="74" t="n">
        <v>46268</v>
      </c>
      <c r="C398" s="75" t="s">
        <v>68</v>
      </c>
      <c r="D398" s="73" t="s">
        <v>129</v>
      </c>
      <c r="E398" s="76" t="s">
        <v>292</v>
      </c>
      <c r="F398" s="73" t="s">
        <v>79</v>
      </c>
      <c r="G398" s="73" t="s">
        <v>117</v>
      </c>
      <c r="H398" s="73" t="s">
        <v>9</v>
      </c>
      <c r="I398" s="75" t="s">
        <v>414</v>
      </c>
      <c r="J398" s="75" t="s">
        <v>414</v>
      </c>
      <c r="K398" s="75" t="s">
        <v>414</v>
      </c>
      <c r="L398" s="75" t="s">
        <v>414</v>
      </c>
      <c r="M398" s="75" t="s">
        <v>414</v>
      </c>
      <c r="N398" s="76" t="s">
        <v>38</v>
      </c>
      <c r="O398" s="73" t="s">
        <v>129</v>
      </c>
      <c r="P398" s="76"/>
    </row>
    <row r="399" customFormat="false" ht="15" hidden="false" customHeight="false" outlineLevel="0" collapsed="false">
      <c r="A399" s="73" t="s">
        <v>21</v>
      </c>
      <c r="B399" s="74" t="n">
        <v>46268</v>
      </c>
      <c r="C399" s="75" t="s">
        <v>68</v>
      </c>
      <c r="D399" s="73" t="s">
        <v>129</v>
      </c>
      <c r="E399" s="76" t="s">
        <v>294</v>
      </c>
      <c r="F399" s="73" t="s">
        <v>79</v>
      </c>
      <c r="G399" s="73" t="s">
        <v>117</v>
      </c>
      <c r="H399" s="73" t="s">
        <v>9</v>
      </c>
      <c r="I399" s="75" t="s">
        <v>414</v>
      </c>
      <c r="J399" s="75" t="s">
        <v>414</v>
      </c>
      <c r="K399" s="75" t="s">
        <v>414</v>
      </c>
      <c r="L399" s="75" t="s">
        <v>414</v>
      </c>
      <c r="M399" s="75" t="s">
        <v>414</v>
      </c>
      <c r="N399" s="76" t="s">
        <v>38</v>
      </c>
      <c r="O399" s="73" t="s">
        <v>129</v>
      </c>
      <c r="P399" s="76"/>
    </row>
    <row r="400" customFormat="false" ht="15" hidden="false" customHeight="false" outlineLevel="0" collapsed="false">
      <c r="A400" s="73" t="s">
        <v>21</v>
      </c>
      <c r="B400" s="74" t="n">
        <v>46268</v>
      </c>
      <c r="C400" s="75" t="s">
        <v>68</v>
      </c>
      <c r="D400" s="73" t="s">
        <v>129</v>
      </c>
      <c r="E400" s="76" t="s">
        <v>294</v>
      </c>
      <c r="F400" s="73" t="s">
        <v>79</v>
      </c>
      <c r="G400" s="73" t="s">
        <v>117</v>
      </c>
      <c r="H400" s="73" t="s">
        <v>9</v>
      </c>
      <c r="I400" s="75" t="s">
        <v>414</v>
      </c>
      <c r="J400" s="75" t="s">
        <v>414</v>
      </c>
      <c r="K400" s="75" t="s">
        <v>414</v>
      </c>
      <c r="L400" s="75" t="s">
        <v>414</v>
      </c>
      <c r="M400" s="75" t="s">
        <v>414</v>
      </c>
      <c r="N400" s="76" t="s">
        <v>38</v>
      </c>
      <c r="O400" s="73" t="s">
        <v>129</v>
      </c>
      <c r="P400" s="76"/>
    </row>
    <row r="401" customFormat="false" ht="15" hidden="false" customHeight="false" outlineLevel="0" collapsed="false">
      <c r="A401" s="73" t="s">
        <v>21</v>
      </c>
      <c r="B401" s="74" t="n">
        <v>46268</v>
      </c>
      <c r="C401" s="75" t="s">
        <v>68</v>
      </c>
      <c r="D401" s="73" t="s">
        <v>129</v>
      </c>
      <c r="E401" s="76" t="s">
        <v>294</v>
      </c>
      <c r="F401" s="73" t="s">
        <v>79</v>
      </c>
      <c r="G401" s="73" t="s">
        <v>117</v>
      </c>
      <c r="H401" s="73" t="s">
        <v>9</v>
      </c>
      <c r="I401" s="75" t="s">
        <v>414</v>
      </c>
      <c r="J401" s="75" t="s">
        <v>414</v>
      </c>
      <c r="K401" s="75" t="s">
        <v>414</v>
      </c>
      <c r="L401" s="75" t="s">
        <v>414</v>
      </c>
      <c r="M401" s="75" t="s">
        <v>414</v>
      </c>
      <c r="N401" s="76" t="s">
        <v>38</v>
      </c>
      <c r="O401" s="73" t="s">
        <v>129</v>
      </c>
      <c r="P401" s="76"/>
    </row>
    <row r="402" customFormat="false" ht="15" hidden="false" customHeight="false" outlineLevel="0" collapsed="false">
      <c r="A402" s="73" t="s">
        <v>20</v>
      </c>
      <c r="B402" s="74" t="n">
        <v>46273</v>
      </c>
      <c r="C402" s="75" t="s">
        <v>69</v>
      </c>
      <c r="D402" s="73" t="s">
        <v>75</v>
      </c>
      <c r="E402" s="76" t="s">
        <v>828</v>
      </c>
      <c r="F402" s="73" t="s">
        <v>78</v>
      </c>
      <c r="G402" s="73" t="s">
        <v>117</v>
      </c>
      <c r="H402" s="73" t="s">
        <v>7</v>
      </c>
      <c r="I402" s="75" t="s">
        <v>414</v>
      </c>
      <c r="J402" s="75" t="s">
        <v>458</v>
      </c>
      <c r="K402" s="73" t="s">
        <v>135</v>
      </c>
      <c r="L402" s="73" t="s">
        <v>84</v>
      </c>
      <c r="M402" s="75" t="s">
        <v>414</v>
      </c>
      <c r="N402" s="76"/>
      <c r="O402" s="73" t="s">
        <v>307</v>
      </c>
      <c r="P402" s="76" t="s">
        <v>829</v>
      </c>
    </row>
    <row r="403" customFormat="false" ht="15" hidden="false" customHeight="false" outlineLevel="0" collapsed="false">
      <c r="A403" s="73" t="s">
        <v>20</v>
      </c>
      <c r="B403" s="74" t="n">
        <v>46273</v>
      </c>
      <c r="C403" s="75" t="s">
        <v>69</v>
      </c>
      <c r="D403" s="73" t="s">
        <v>75</v>
      </c>
      <c r="E403" s="76" t="s">
        <v>828</v>
      </c>
      <c r="F403" s="73" t="s">
        <v>82</v>
      </c>
      <c r="G403" s="73" t="s">
        <v>117</v>
      </c>
      <c r="H403" s="73" t="s">
        <v>7</v>
      </c>
      <c r="I403" s="73" t="s">
        <v>139</v>
      </c>
      <c r="J403" s="75" t="s">
        <v>480</v>
      </c>
      <c r="K403" s="73" t="s">
        <v>136</v>
      </c>
      <c r="L403" s="73" t="s">
        <v>84</v>
      </c>
      <c r="M403" s="75" t="s">
        <v>414</v>
      </c>
      <c r="N403" s="76"/>
      <c r="O403" s="73" t="s">
        <v>307</v>
      </c>
      <c r="P403" s="76" t="s">
        <v>830</v>
      </c>
    </row>
    <row r="404" customFormat="false" ht="15" hidden="false" customHeight="false" outlineLevel="0" collapsed="false">
      <c r="A404" s="73" t="s">
        <v>27</v>
      </c>
      <c r="B404" s="74" t="n">
        <v>46273</v>
      </c>
      <c r="C404" s="75" t="s">
        <v>69</v>
      </c>
      <c r="D404" s="73" t="s">
        <v>129</v>
      </c>
      <c r="E404" s="76" t="s">
        <v>593</v>
      </c>
      <c r="F404" s="73" t="s">
        <v>80</v>
      </c>
      <c r="G404" s="75" t="s">
        <v>414</v>
      </c>
      <c r="H404" s="73" t="s">
        <v>8</v>
      </c>
      <c r="I404" s="73" t="s">
        <v>139</v>
      </c>
      <c r="J404" s="75" t="s">
        <v>480</v>
      </c>
      <c r="K404" s="73" t="s">
        <v>135</v>
      </c>
      <c r="L404" s="73" t="s">
        <v>8</v>
      </c>
      <c r="M404" s="75" t="s">
        <v>414</v>
      </c>
      <c r="N404" s="76"/>
      <c r="O404" s="73" t="s">
        <v>129</v>
      </c>
      <c r="P404" s="76" t="s">
        <v>831</v>
      </c>
    </row>
    <row r="405" customFormat="false" ht="15" hidden="false" customHeight="false" outlineLevel="0" collapsed="false">
      <c r="A405" s="73" t="s">
        <v>20</v>
      </c>
      <c r="B405" s="74" t="n">
        <v>46274</v>
      </c>
      <c r="C405" s="75" t="s">
        <v>69</v>
      </c>
      <c r="D405" s="73" t="s">
        <v>75</v>
      </c>
      <c r="E405" s="76" t="s">
        <v>832</v>
      </c>
      <c r="F405" s="73" t="s">
        <v>78</v>
      </c>
      <c r="G405" s="73" t="s">
        <v>117</v>
      </c>
      <c r="H405" s="73" t="s">
        <v>7</v>
      </c>
      <c r="I405" s="73" t="s">
        <v>139</v>
      </c>
      <c r="J405" s="75" t="s">
        <v>458</v>
      </c>
      <c r="K405" s="73" t="s">
        <v>135</v>
      </c>
      <c r="L405" s="73" t="s">
        <v>84</v>
      </c>
      <c r="M405" s="75" t="s">
        <v>414</v>
      </c>
      <c r="N405" s="76"/>
      <c r="O405" s="73" t="s">
        <v>307</v>
      </c>
      <c r="P405" s="76" t="s">
        <v>833</v>
      </c>
    </row>
    <row r="406" customFormat="false" ht="15" hidden="false" customHeight="false" outlineLevel="0" collapsed="false">
      <c r="A406" s="73" t="s">
        <v>20</v>
      </c>
      <c r="B406" s="74" t="n">
        <v>46274</v>
      </c>
      <c r="C406" s="75" t="s">
        <v>69</v>
      </c>
      <c r="D406" s="73" t="s">
        <v>75</v>
      </c>
      <c r="E406" s="76" t="s">
        <v>832</v>
      </c>
      <c r="F406" s="73" t="s">
        <v>78</v>
      </c>
      <c r="G406" s="73" t="s">
        <v>117</v>
      </c>
      <c r="H406" s="73" t="s">
        <v>7</v>
      </c>
      <c r="I406" s="75" t="s">
        <v>414</v>
      </c>
      <c r="J406" s="75" t="s">
        <v>458</v>
      </c>
      <c r="K406" s="73" t="s">
        <v>135</v>
      </c>
      <c r="L406" s="73" t="s">
        <v>84</v>
      </c>
      <c r="M406" s="75" t="s">
        <v>414</v>
      </c>
      <c r="N406" s="76"/>
      <c r="O406" s="73" t="s">
        <v>307</v>
      </c>
      <c r="P406" s="76" t="s">
        <v>834</v>
      </c>
    </row>
    <row r="407" customFormat="false" ht="15" hidden="false" customHeight="false" outlineLevel="0" collapsed="false">
      <c r="A407" s="73" t="s">
        <v>20</v>
      </c>
      <c r="B407" s="74" t="n">
        <v>46274</v>
      </c>
      <c r="C407" s="75" t="s">
        <v>69</v>
      </c>
      <c r="D407" s="73" t="s">
        <v>75</v>
      </c>
      <c r="E407" s="76" t="s">
        <v>832</v>
      </c>
      <c r="F407" s="73" t="s">
        <v>79</v>
      </c>
      <c r="G407" s="73" t="s">
        <v>117</v>
      </c>
      <c r="H407" s="73" t="s">
        <v>7</v>
      </c>
      <c r="I407" s="73" t="s">
        <v>139</v>
      </c>
      <c r="J407" s="75" t="s">
        <v>490</v>
      </c>
      <c r="K407" s="73" t="s">
        <v>136</v>
      </c>
      <c r="L407" s="73" t="s">
        <v>85</v>
      </c>
      <c r="M407" s="75" t="s">
        <v>414</v>
      </c>
      <c r="N407" s="76"/>
      <c r="O407" s="73" t="s">
        <v>307</v>
      </c>
      <c r="P407" s="77" t="s">
        <v>835</v>
      </c>
    </row>
    <row r="408" customFormat="false" ht="15" hidden="false" customHeight="false" outlineLevel="0" collapsed="false">
      <c r="A408" s="73" t="s">
        <v>20</v>
      </c>
      <c r="B408" s="74" t="n">
        <v>46274</v>
      </c>
      <c r="C408" s="75" t="s">
        <v>69</v>
      </c>
      <c r="D408" s="73" t="s">
        <v>75</v>
      </c>
      <c r="E408" s="76" t="s">
        <v>832</v>
      </c>
      <c r="F408" s="73" t="s">
        <v>79</v>
      </c>
      <c r="G408" s="73" t="s">
        <v>117</v>
      </c>
      <c r="H408" s="73" t="s">
        <v>7</v>
      </c>
      <c r="I408" s="73" t="s">
        <v>139</v>
      </c>
      <c r="J408" s="75" t="s">
        <v>490</v>
      </c>
      <c r="K408" s="73" t="s">
        <v>136</v>
      </c>
      <c r="L408" s="73" t="s">
        <v>85</v>
      </c>
      <c r="M408" s="75" t="s">
        <v>414</v>
      </c>
      <c r="N408" s="76"/>
      <c r="O408" s="73" t="s">
        <v>307</v>
      </c>
      <c r="P408" s="77" t="s">
        <v>836</v>
      </c>
    </row>
    <row r="409" customFormat="false" ht="15" hidden="false" customHeight="false" outlineLevel="0" collapsed="false">
      <c r="A409" s="73" t="s">
        <v>20</v>
      </c>
      <c r="B409" s="74" t="n">
        <v>46274</v>
      </c>
      <c r="C409" s="75" t="s">
        <v>69</v>
      </c>
      <c r="D409" s="73" t="s">
        <v>75</v>
      </c>
      <c r="E409" s="76" t="s">
        <v>832</v>
      </c>
      <c r="F409" s="73" t="s">
        <v>79</v>
      </c>
      <c r="G409" s="73" t="s">
        <v>117</v>
      </c>
      <c r="H409" s="73" t="s">
        <v>7</v>
      </c>
      <c r="I409" s="73" t="s">
        <v>139</v>
      </c>
      <c r="J409" s="75" t="s">
        <v>424</v>
      </c>
      <c r="K409" s="73" t="s">
        <v>135</v>
      </c>
      <c r="L409" s="73" t="s">
        <v>85</v>
      </c>
      <c r="M409" s="75" t="s">
        <v>414</v>
      </c>
      <c r="N409" s="76"/>
      <c r="O409" s="73" t="s">
        <v>307</v>
      </c>
      <c r="P409" s="77" t="s">
        <v>837</v>
      </c>
    </row>
    <row r="410" customFormat="false" ht="15" hidden="false" customHeight="false" outlineLevel="0" collapsed="false">
      <c r="A410" s="73" t="s">
        <v>20</v>
      </c>
      <c r="B410" s="74" t="n">
        <v>46274</v>
      </c>
      <c r="C410" s="75" t="s">
        <v>69</v>
      </c>
      <c r="D410" s="73" t="s">
        <v>75</v>
      </c>
      <c r="E410" s="76" t="s">
        <v>832</v>
      </c>
      <c r="F410" s="73" t="s">
        <v>79</v>
      </c>
      <c r="G410" s="73" t="s">
        <v>117</v>
      </c>
      <c r="H410" s="73" t="s">
        <v>7</v>
      </c>
      <c r="I410" s="73" t="s">
        <v>140</v>
      </c>
      <c r="J410" s="75" t="s">
        <v>469</v>
      </c>
      <c r="K410" s="73" t="s">
        <v>136</v>
      </c>
      <c r="L410" s="73" t="s">
        <v>85</v>
      </c>
      <c r="M410" s="75" t="s">
        <v>414</v>
      </c>
      <c r="N410" s="76"/>
      <c r="O410" s="73" t="s">
        <v>307</v>
      </c>
      <c r="P410" s="77" t="s">
        <v>838</v>
      </c>
    </row>
    <row r="411" customFormat="false" ht="15" hidden="false" customHeight="false" outlineLevel="0" collapsed="false">
      <c r="A411" s="73" t="s">
        <v>20</v>
      </c>
      <c r="B411" s="74" t="n">
        <v>46274</v>
      </c>
      <c r="C411" s="75" t="s">
        <v>69</v>
      </c>
      <c r="D411" s="73" t="s">
        <v>75</v>
      </c>
      <c r="E411" s="76" t="s">
        <v>839</v>
      </c>
      <c r="F411" s="73" t="s">
        <v>78</v>
      </c>
      <c r="G411" s="73" t="s">
        <v>118</v>
      </c>
      <c r="H411" s="73" t="s">
        <v>7</v>
      </c>
      <c r="I411" s="73" t="s">
        <v>140</v>
      </c>
      <c r="J411" s="75" t="s">
        <v>458</v>
      </c>
      <c r="K411" s="73" t="s">
        <v>136</v>
      </c>
      <c r="L411" s="73" t="s">
        <v>84</v>
      </c>
      <c r="M411" s="75" t="s">
        <v>414</v>
      </c>
      <c r="N411" s="76"/>
      <c r="O411" s="73" t="s">
        <v>307</v>
      </c>
      <c r="P411" s="76" t="s">
        <v>840</v>
      </c>
    </row>
    <row r="412" customFormat="false" ht="15" hidden="false" customHeight="false" outlineLevel="0" collapsed="false">
      <c r="A412" s="73" t="s">
        <v>21</v>
      </c>
      <c r="B412" s="74" t="n">
        <v>46274</v>
      </c>
      <c r="C412" s="75" t="s">
        <v>69</v>
      </c>
      <c r="D412" s="73" t="s">
        <v>129</v>
      </c>
      <c r="E412" s="76" t="s">
        <v>295</v>
      </c>
      <c r="F412" s="73" t="s">
        <v>78</v>
      </c>
      <c r="G412" s="73" t="s">
        <v>119</v>
      </c>
      <c r="H412" s="73" t="s">
        <v>9</v>
      </c>
      <c r="I412" s="75" t="s">
        <v>414</v>
      </c>
      <c r="J412" s="75" t="s">
        <v>414</v>
      </c>
      <c r="K412" s="75" t="s">
        <v>414</v>
      </c>
      <c r="L412" s="75" t="s">
        <v>414</v>
      </c>
      <c r="M412" s="75" t="s">
        <v>414</v>
      </c>
      <c r="N412" s="76" t="s">
        <v>111</v>
      </c>
      <c r="O412" s="73" t="s">
        <v>129</v>
      </c>
      <c r="P412" s="76" t="s">
        <v>296</v>
      </c>
    </row>
    <row r="413" customFormat="false" ht="15" hidden="false" customHeight="false" outlineLevel="0" collapsed="false">
      <c r="A413" s="73" t="s">
        <v>21</v>
      </c>
      <c r="B413" s="74" t="n">
        <v>46274</v>
      </c>
      <c r="C413" s="75" t="s">
        <v>69</v>
      </c>
      <c r="D413" s="73" t="s">
        <v>129</v>
      </c>
      <c r="E413" s="76" t="s">
        <v>841</v>
      </c>
      <c r="F413" s="73" t="s">
        <v>79</v>
      </c>
      <c r="G413" s="73" t="s">
        <v>120</v>
      </c>
      <c r="H413" s="73" t="s">
        <v>7</v>
      </c>
      <c r="I413" s="75" t="s">
        <v>414</v>
      </c>
      <c r="J413" s="75" t="s">
        <v>414</v>
      </c>
      <c r="K413" s="75" t="s">
        <v>414</v>
      </c>
      <c r="L413" s="75" t="s">
        <v>414</v>
      </c>
      <c r="M413" s="75" t="s">
        <v>414</v>
      </c>
      <c r="N413" s="76"/>
      <c r="O413" s="73" t="s">
        <v>129</v>
      </c>
      <c r="P413" s="76" t="s">
        <v>842</v>
      </c>
    </row>
    <row r="414" customFormat="false" ht="15" hidden="false" customHeight="false" outlineLevel="0" collapsed="false">
      <c r="A414" s="73" t="s">
        <v>21</v>
      </c>
      <c r="B414" s="74" t="n">
        <v>46274</v>
      </c>
      <c r="C414" s="75" t="s">
        <v>69</v>
      </c>
      <c r="D414" s="73" t="s">
        <v>129</v>
      </c>
      <c r="E414" s="76" t="s">
        <v>573</v>
      </c>
      <c r="F414" s="73" t="s">
        <v>79</v>
      </c>
      <c r="G414" s="73" t="s">
        <v>120</v>
      </c>
      <c r="H414" s="73" t="s">
        <v>7</v>
      </c>
      <c r="I414" s="75" t="s">
        <v>414</v>
      </c>
      <c r="J414" s="75" t="s">
        <v>414</v>
      </c>
      <c r="K414" s="75" t="s">
        <v>414</v>
      </c>
      <c r="L414" s="75" t="s">
        <v>414</v>
      </c>
      <c r="M414" s="75" t="s">
        <v>414</v>
      </c>
      <c r="N414" s="76"/>
      <c r="O414" s="73" t="s">
        <v>129</v>
      </c>
      <c r="P414" s="76" t="s">
        <v>843</v>
      </c>
    </row>
    <row r="415" customFormat="false" ht="15" hidden="false" customHeight="false" outlineLevel="0" collapsed="false">
      <c r="A415" s="73" t="s">
        <v>21</v>
      </c>
      <c r="B415" s="74" t="n">
        <v>46274</v>
      </c>
      <c r="C415" s="75" t="s">
        <v>69</v>
      </c>
      <c r="D415" s="73" t="s">
        <v>129</v>
      </c>
      <c r="E415" s="76" t="s">
        <v>233</v>
      </c>
      <c r="F415" s="73" t="s">
        <v>79</v>
      </c>
      <c r="G415" s="73" t="s">
        <v>120</v>
      </c>
      <c r="H415" s="73" t="s">
        <v>7</v>
      </c>
      <c r="I415" s="75" t="s">
        <v>414</v>
      </c>
      <c r="J415" s="75" t="s">
        <v>414</v>
      </c>
      <c r="K415" s="75" t="s">
        <v>414</v>
      </c>
      <c r="L415" s="75" t="s">
        <v>414</v>
      </c>
      <c r="M415" s="75" t="s">
        <v>414</v>
      </c>
      <c r="N415" s="76"/>
      <c r="O415" s="73" t="s">
        <v>129</v>
      </c>
      <c r="P415" s="76"/>
    </row>
    <row r="416" customFormat="false" ht="15" hidden="false" customHeight="false" outlineLevel="0" collapsed="false">
      <c r="A416" s="73" t="s">
        <v>21</v>
      </c>
      <c r="B416" s="74" t="n">
        <v>46274</v>
      </c>
      <c r="C416" s="75" t="s">
        <v>69</v>
      </c>
      <c r="D416" s="73" t="s">
        <v>129</v>
      </c>
      <c r="E416" s="76" t="s">
        <v>844</v>
      </c>
      <c r="F416" s="73" t="s">
        <v>79</v>
      </c>
      <c r="G416" s="73" t="s">
        <v>119</v>
      </c>
      <c r="H416" s="73" t="s">
        <v>7</v>
      </c>
      <c r="I416" s="75" t="s">
        <v>414</v>
      </c>
      <c r="J416" s="75" t="s">
        <v>414</v>
      </c>
      <c r="K416" s="75" t="s">
        <v>414</v>
      </c>
      <c r="L416" s="75" t="s">
        <v>414</v>
      </c>
      <c r="M416" s="75" t="s">
        <v>414</v>
      </c>
      <c r="N416" s="76"/>
      <c r="O416" s="73" t="s">
        <v>129</v>
      </c>
      <c r="P416" s="76" t="s">
        <v>845</v>
      </c>
    </row>
    <row r="417" customFormat="false" ht="15" hidden="false" customHeight="false" outlineLevel="0" collapsed="false">
      <c r="A417" s="73" t="s">
        <v>27</v>
      </c>
      <c r="B417" s="74" t="n">
        <v>46274</v>
      </c>
      <c r="C417" s="75" t="s">
        <v>69</v>
      </c>
      <c r="D417" s="73" t="s">
        <v>129</v>
      </c>
      <c r="E417" s="76" t="s">
        <v>846</v>
      </c>
      <c r="F417" s="73" t="s">
        <v>81</v>
      </c>
      <c r="G417" s="75" t="s">
        <v>414</v>
      </c>
      <c r="H417" s="73" t="s">
        <v>8</v>
      </c>
      <c r="I417" s="73" t="s">
        <v>140</v>
      </c>
      <c r="J417" s="75" t="s">
        <v>424</v>
      </c>
      <c r="K417" s="73" t="s">
        <v>135</v>
      </c>
      <c r="L417" s="75" t="s">
        <v>414</v>
      </c>
      <c r="M417" s="75" t="s">
        <v>414</v>
      </c>
      <c r="N417" s="76"/>
      <c r="O417" s="73" t="s">
        <v>129</v>
      </c>
      <c r="P417" s="76" t="s">
        <v>847</v>
      </c>
    </row>
    <row r="418" customFormat="false" ht="15" hidden="false" customHeight="false" outlineLevel="0" collapsed="false">
      <c r="A418" s="73" t="s">
        <v>27</v>
      </c>
      <c r="B418" s="74" t="n">
        <v>46275</v>
      </c>
      <c r="C418" s="75" t="s">
        <v>69</v>
      </c>
      <c r="D418" s="73" t="s">
        <v>129</v>
      </c>
      <c r="E418" s="76" t="s">
        <v>848</v>
      </c>
      <c r="F418" s="73" t="s">
        <v>81</v>
      </c>
      <c r="G418" s="75" t="s">
        <v>414</v>
      </c>
      <c r="H418" s="73" t="s">
        <v>8</v>
      </c>
      <c r="I418" s="73" t="s">
        <v>140</v>
      </c>
      <c r="J418" s="73" t="s">
        <v>464</v>
      </c>
      <c r="K418" s="73" t="s">
        <v>135</v>
      </c>
      <c r="L418" s="73" t="s">
        <v>8</v>
      </c>
      <c r="M418" s="73" t="s">
        <v>421</v>
      </c>
      <c r="N418" s="76"/>
      <c r="O418" s="73" t="s">
        <v>129</v>
      </c>
      <c r="P418" s="76" t="s">
        <v>849</v>
      </c>
    </row>
    <row r="419" customFormat="false" ht="15" hidden="false" customHeight="false" outlineLevel="0" collapsed="false">
      <c r="A419" s="73" t="s">
        <v>27</v>
      </c>
      <c r="B419" s="74" t="n">
        <v>46275</v>
      </c>
      <c r="C419" s="75" t="s">
        <v>69</v>
      </c>
      <c r="D419" s="73" t="s">
        <v>129</v>
      </c>
      <c r="E419" s="76" t="s">
        <v>850</v>
      </c>
      <c r="F419" s="73" t="s">
        <v>81</v>
      </c>
      <c r="G419" s="75" t="s">
        <v>414</v>
      </c>
      <c r="H419" s="73" t="s">
        <v>8</v>
      </c>
      <c r="I419" s="75" t="s">
        <v>414</v>
      </c>
      <c r="J419" s="75" t="s">
        <v>414</v>
      </c>
      <c r="K419" s="75" t="s">
        <v>414</v>
      </c>
      <c r="L419" s="73" t="s">
        <v>8</v>
      </c>
      <c r="M419" s="75" t="s">
        <v>414</v>
      </c>
      <c r="N419" s="76"/>
      <c r="O419" s="73" t="s">
        <v>129</v>
      </c>
      <c r="P419" s="76"/>
    </row>
    <row r="420" customFormat="false" ht="15" hidden="false" customHeight="false" outlineLevel="0" collapsed="false">
      <c r="A420" s="73" t="s">
        <v>22</v>
      </c>
      <c r="B420" s="74" t="n">
        <v>46274</v>
      </c>
      <c r="C420" s="75" t="s">
        <v>69</v>
      </c>
      <c r="D420" s="73" t="s">
        <v>130</v>
      </c>
      <c r="E420" s="76" t="s">
        <v>498</v>
      </c>
      <c r="F420" s="73" t="s">
        <v>79</v>
      </c>
      <c r="G420" s="73" t="s">
        <v>118</v>
      </c>
      <c r="H420" s="73" t="s">
        <v>7</v>
      </c>
      <c r="I420" s="73" t="s">
        <v>140</v>
      </c>
      <c r="J420" s="75" t="s">
        <v>467</v>
      </c>
      <c r="K420" s="73" t="s">
        <v>135</v>
      </c>
      <c r="L420" s="73" t="s">
        <v>84</v>
      </c>
      <c r="M420" s="73" t="s">
        <v>425</v>
      </c>
      <c r="N420" s="76"/>
      <c r="O420" s="73" t="s">
        <v>307</v>
      </c>
      <c r="P420" s="77" t="s">
        <v>851</v>
      </c>
    </row>
    <row r="421" customFormat="false" ht="15" hidden="false" customHeight="false" outlineLevel="0" collapsed="false">
      <c r="A421" s="73" t="s">
        <v>22</v>
      </c>
      <c r="B421" s="74" t="n">
        <v>46273</v>
      </c>
      <c r="C421" s="75" t="s">
        <v>69</v>
      </c>
      <c r="D421" s="73" t="s">
        <v>130</v>
      </c>
      <c r="E421" s="76" t="s">
        <v>500</v>
      </c>
      <c r="F421" s="73" t="s">
        <v>79</v>
      </c>
      <c r="G421" s="73" t="s">
        <v>118</v>
      </c>
      <c r="H421" s="73" t="s">
        <v>7</v>
      </c>
      <c r="I421" s="73" t="s">
        <v>140</v>
      </c>
      <c r="J421" s="75" t="s">
        <v>467</v>
      </c>
      <c r="K421" s="73" t="s">
        <v>135</v>
      </c>
      <c r="L421" s="73" t="s">
        <v>84</v>
      </c>
      <c r="M421" s="73" t="s">
        <v>454</v>
      </c>
      <c r="N421" s="76"/>
      <c r="O421" s="73" t="s">
        <v>307</v>
      </c>
      <c r="P421" s="76" t="s">
        <v>852</v>
      </c>
    </row>
    <row r="422" customFormat="false" ht="15" hidden="false" customHeight="false" outlineLevel="0" collapsed="false">
      <c r="A422" s="73" t="s">
        <v>22</v>
      </c>
      <c r="B422" s="74" t="n">
        <v>46273</v>
      </c>
      <c r="C422" s="75" t="s">
        <v>69</v>
      </c>
      <c r="D422" s="73" t="s">
        <v>130</v>
      </c>
      <c r="E422" s="76" t="s">
        <v>853</v>
      </c>
      <c r="F422" s="73" t="s">
        <v>78</v>
      </c>
      <c r="G422" s="73" t="s">
        <v>118</v>
      </c>
      <c r="H422" s="73" t="s">
        <v>7</v>
      </c>
      <c r="I422" s="73" t="s">
        <v>140</v>
      </c>
      <c r="J422" s="75" t="s">
        <v>424</v>
      </c>
      <c r="K422" s="73" t="s">
        <v>135</v>
      </c>
      <c r="L422" s="73" t="s">
        <v>84</v>
      </c>
      <c r="M422" s="73" t="s">
        <v>421</v>
      </c>
      <c r="N422" s="76"/>
      <c r="O422" s="73" t="s">
        <v>307</v>
      </c>
      <c r="P422" s="76" t="s">
        <v>854</v>
      </c>
    </row>
    <row r="423" customFormat="false" ht="15" hidden="false" customHeight="false" outlineLevel="0" collapsed="false">
      <c r="A423" s="73" t="s">
        <v>22</v>
      </c>
      <c r="B423" s="74" t="n">
        <v>46273</v>
      </c>
      <c r="C423" s="75" t="s">
        <v>69</v>
      </c>
      <c r="D423" s="73" t="s">
        <v>130</v>
      </c>
      <c r="E423" s="76" t="s">
        <v>853</v>
      </c>
      <c r="F423" s="73" t="s">
        <v>81</v>
      </c>
      <c r="G423" s="73" t="s">
        <v>117</v>
      </c>
      <c r="H423" s="73" t="s">
        <v>7</v>
      </c>
      <c r="I423" s="73" t="s">
        <v>139</v>
      </c>
      <c r="J423" s="75" t="s">
        <v>469</v>
      </c>
      <c r="K423" s="73" t="s">
        <v>135</v>
      </c>
      <c r="L423" s="73" t="s">
        <v>84</v>
      </c>
      <c r="M423" s="73" t="s">
        <v>425</v>
      </c>
      <c r="N423" s="76"/>
      <c r="O423" s="73" t="s">
        <v>307</v>
      </c>
      <c r="P423" s="76" t="s">
        <v>855</v>
      </c>
    </row>
    <row r="424" customFormat="false" ht="15" hidden="false" customHeight="false" outlineLevel="0" collapsed="false">
      <c r="A424" s="73" t="s">
        <v>22</v>
      </c>
      <c r="B424" s="74" t="n">
        <v>46274</v>
      </c>
      <c r="C424" s="75" t="s">
        <v>69</v>
      </c>
      <c r="D424" s="73" t="s">
        <v>130</v>
      </c>
      <c r="E424" s="76" t="s">
        <v>297</v>
      </c>
      <c r="F424" s="73" t="s">
        <v>82</v>
      </c>
      <c r="G424" s="73" t="s">
        <v>117</v>
      </c>
      <c r="H424" s="73" t="s">
        <v>9</v>
      </c>
      <c r="I424" s="75" t="s">
        <v>414</v>
      </c>
      <c r="J424" s="75" t="s">
        <v>424</v>
      </c>
      <c r="K424" s="75" t="s">
        <v>414</v>
      </c>
      <c r="L424" s="75" t="s">
        <v>414</v>
      </c>
      <c r="M424" s="75" t="s">
        <v>414</v>
      </c>
      <c r="N424" s="76" t="s">
        <v>112</v>
      </c>
      <c r="O424" s="73" t="s">
        <v>307</v>
      </c>
      <c r="P424" s="76" t="s">
        <v>298</v>
      </c>
    </row>
    <row r="425" customFormat="false" ht="15" hidden="false" customHeight="false" outlineLevel="0" collapsed="false">
      <c r="A425" s="73" t="s">
        <v>22</v>
      </c>
      <c r="B425" s="74" t="n">
        <v>46274</v>
      </c>
      <c r="C425" s="75" t="s">
        <v>69</v>
      </c>
      <c r="D425" s="73" t="s">
        <v>130</v>
      </c>
      <c r="E425" s="76" t="s">
        <v>297</v>
      </c>
      <c r="F425" s="73" t="s">
        <v>78</v>
      </c>
      <c r="G425" s="73" t="s">
        <v>118</v>
      </c>
      <c r="H425" s="73" t="s">
        <v>7</v>
      </c>
      <c r="I425" s="73" t="s">
        <v>140</v>
      </c>
      <c r="J425" s="75" t="s">
        <v>424</v>
      </c>
      <c r="K425" s="73" t="s">
        <v>135</v>
      </c>
      <c r="L425" s="73" t="s">
        <v>84</v>
      </c>
      <c r="M425" s="73" t="s">
        <v>421</v>
      </c>
      <c r="N425" s="76"/>
      <c r="O425" s="73" t="s">
        <v>307</v>
      </c>
      <c r="P425" s="76" t="s">
        <v>856</v>
      </c>
    </row>
    <row r="426" customFormat="false" ht="15" hidden="false" customHeight="false" outlineLevel="0" collapsed="false">
      <c r="A426" s="73" t="s">
        <v>27</v>
      </c>
      <c r="B426" s="74" t="n">
        <v>46275</v>
      </c>
      <c r="C426" s="75" t="s">
        <v>69</v>
      </c>
      <c r="D426" s="73" t="s">
        <v>129</v>
      </c>
      <c r="E426" s="76" t="s">
        <v>857</v>
      </c>
      <c r="F426" s="73" t="s">
        <v>78</v>
      </c>
      <c r="G426" s="73" t="s">
        <v>119</v>
      </c>
      <c r="H426" s="73" t="s">
        <v>7</v>
      </c>
      <c r="I426" s="75" t="s">
        <v>414</v>
      </c>
      <c r="J426" s="75" t="s">
        <v>414</v>
      </c>
      <c r="K426" s="75" t="s">
        <v>414</v>
      </c>
      <c r="L426" s="73" t="s">
        <v>8</v>
      </c>
      <c r="M426" s="75" t="s">
        <v>414</v>
      </c>
      <c r="N426" s="76"/>
      <c r="O426" s="73" t="s">
        <v>129</v>
      </c>
      <c r="P426" s="76"/>
    </row>
    <row r="427" customFormat="false" ht="15" hidden="false" customHeight="false" outlineLevel="0" collapsed="false">
      <c r="A427" s="73" t="s">
        <v>25</v>
      </c>
      <c r="B427" s="74" t="n">
        <v>46275</v>
      </c>
      <c r="C427" s="75" t="s">
        <v>69</v>
      </c>
      <c r="D427" s="73" t="s">
        <v>76</v>
      </c>
      <c r="E427" s="76" t="s">
        <v>858</v>
      </c>
      <c r="F427" s="73" t="s">
        <v>81</v>
      </c>
      <c r="G427" s="73" t="s">
        <v>119</v>
      </c>
      <c r="H427" s="73" t="s">
        <v>8</v>
      </c>
      <c r="I427" s="75" t="s">
        <v>414</v>
      </c>
      <c r="J427" s="75" t="s">
        <v>424</v>
      </c>
      <c r="K427" s="73" t="s">
        <v>135</v>
      </c>
      <c r="L427" s="73" t="s">
        <v>84</v>
      </c>
      <c r="M427" s="75" t="s">
        <v>414</v>
      </c>
      <c r="N427" s="76"/>
      <c r="O427" s="73" t="s">
        <v>307</v>
      </c>
      <c r="P427" s="76" t="s">
        <v>859</v>
      </c>
    </row>
    <row r="428" customFormat="false" ht="15" hidden="false" customHeight="false" outlineLevel="0" collapsed="false">
      <c r="A428" s="73" t="s">
        <v>25</v>
      </c>
      <c r="B428" s="74" t="n">
        <v>46275</v>
      </c>
      <c r="C428" s="75" t="s">
        <v>69</v>
      </c>
      <c r="D428" s="73" t="s">
        <v>76</v>
      </c>
      <c r="E428" s="76" t="s">
        <v>447</v>
      </c>
      <c r="F428" s="73" t="s">
        <v>81</v>
      </c>
      <c r="G428" s="73" t="s">
        <v>8</v>
      </c>
      <c r="H428" s="73" t="s">
        <v>7</v>
      </c>
      <c r="I428" s="73" t="s">
        <v>140</v>
      </c>
      <c r="J428" s="75" t="s">
        <v>424</v>
      </c>
      <c r="K428" s="73" t="s">
        <v>135</v>
      </c>
      <c r="L428" s="73" t="s">
        <v>84</v>
      </c>
      <c r="M428" s="75" t="s">
        <v>414</v>
      </c>
      <c r="N428" s="76"/>
      <c r="O428" s="73" t="s">
        <v>307</v>
      </c>
      <c r="P428" s="76" t="s">
        <v>860</v>
      </c>
    </row>
    <row r="429" customFormat="false" ht="15" hidden="false" customHeight="false" outlineLevel="0" collapsed="false">
      <c r="A429" s="73" t="s">
        <v>25</v>
      </c>
      <c r="B429" s="74" t="n">
        <v>46275</v>
      </c>
      <c r="C429" s="75" t="s">
        <v>69</v>
      </c>
      <c r="D429" s="73" t="s">
        <v>76</v>
      </c>
      <c r="E429" s="76" t="s">
        <v>447</v>
      </c>
      <c r="F429" s="73" t="s">
        <v>81</v>
      </c>
      <c r="G429" s="73" t="s">
        <v>8</v>
      </c>
      <c r="H429" s="73" t="s">
        <v>7</v>
      </c>
      <c r="I429" s="75" t="s">
        <v>414</v>
      </c>
      <c r="J429" s="75" t="s">
        <v>424</v>
      </c>
      <c r="K429" s="73" t="s">
        <v>135</v>
      </c>
      <c r="L429" s="73" t="s">
        <v>84</v>
      </c>
      <c r="M429" s="75" t="s">
        <v>414</v>
      </c>
      <c r="N429" s="76"/>
      <c r="O429" s="73" t="s">
        <v>307</v>
      </c>
      <c r="P429" s="76" t="s">
        <v>860</v>
      </c>
    </row>
    <row r="430" customFormat="false" ht="15" hidden="false" customHeight="false" outlineLevel="0" collapsed="false">
      <c r="A430" s="73" t="s">
        <v>21</v>
      </c>
      <c r="B430" s="74" t="n">
        <v>46275</v>
      </c>
      <c r="C430" s="75" t="s">
        <v>69</v>
      </c>
      <c r="D430" s="73" t="s">
        <v>129</v>
      </c>
      <c r="E430" s="76" t="s">
        <v>861</v>
      </c>
      <c r="F430" s="73" t="s">
        <v>79</v>
      </c>
      <c r="G430" s="73" t="s">
        <v>119</v>
      </c>
      <c r="H430" s="73" t="s">
        <v>8</v>
      </c>
      <c r="I430" s="75" t="s">
        <v>414</v>
      </c>
      <c r="J430" s="75" t="s">
        <v>414</v>
      </c>
      <c r="K430" s="75" t="s">
        <v>414</v>
      </c>
      <c r="L430" s="75" t="s">
        <v>414</v>
      </c>
      <c r="M430" s="75" t="s">
        <v>414</v>
      </c>
      <c r="N430" s="76"/>
      <c r="O430" s="73" t="s">
        <v>129</v>
      </c>
      <c r="P430" s="76" t="s">
        <v>862</v>
      </c>
    </row>
    <row r="431" customFormat="false" ht="15" hidden="false" customHeight="false" outlineLevel="0" collapsed="false">
      <c r="A431" s="73" t="s">
        <v>21</v>
      </c>
      <c r="B431" s="74" t="n">
        <v>46275</v>
      </c>
      <c r="C431" s="75" t="s">
        <v>69</v>
      </c>
      <c r="D431" s="73" t="s">
        <v>129</v>
      </c>
      <c r="E431" s="76" t="s">
        <v>248</v>
      </c>
      <c r="F431" s="73" t="s">
        <v>79</v>
      </c>
      <c r="G431" s="73" t="s">
        <v>117</v>
      </c>
      <c r="H431" s="73" t="s">
        <v>9</v>
      </c>
      <c r="I431" s="75" t="s">
        <v>414</v>
      </c>
      <c r="J431" s="75" t="s">
        <v>414</v>
      </c>
      <c r="K431" s="75" t="s">
        <v>414</v>
      </c>
      <c r="L431" s="75" t="s">
        <v>414</v>
      </c>
      <c r="M431" s="75" t="s">
        <v>414</v>
      </c>
      <c r="N431" s="76" t="s">
        <v>40</v>
      </c>
      <c r="O431" s="73" t="s">
        <v>129</v>
      </c>
      <c r="P431" s="76" t="s">
        <v>863</v>
      </c>
    </row>
    <row r="432" customFormat="false" ht="15" hidden="false" customHeight="false" outlineLevel="0" collapsed="false">
      <c r="A432" s="73" t="s">
        <v>22</v>
      </c>
      <c r="B432" s="74" t="n">
        <v>46273</v>
      </c>
      <c r="C432" s="75" t="s">
        <v>69</v>
      </c>
      <c r="D432" s="73" t="s">
        <v>130</v>
      </c>
      <c r="E432" s="76" t="s">
        <v>426</v>
      </c>
      <c r="F432" s="73" t="s">
        <v>81</v>
      </c>
      <c r="G432" s="73" t="s">
        <v>117</v>
      </c>
      <c r="H432" s="73" t="s">
        <v>7</v>
      </c>
      <c r="I432" s="73" t="s">
        <v>139</v>
      </c>
      <c r="J432" s="75" t="s">
        <v>469</v>
      </c>
      <c r="K432" s="73" t="s">
        <v>135</v>
      </c>
      <c r="L432" s="73" t="s">
        <v>85</v>
      </c>
      <c r="M432" s="73" t="s">
        <v>425</v>
      </c>
      <c r="N432" s="76"/>
      <c r="O432" s="73" t="s">
        <v>307</v>
      </c>
      <c r="P432" s="77" t="s">
        <v>864</v>
      </c>
    </row>
    <row r="433" customFormat="false" ht="15" hidden="false" customHeight="false" outlineLevel="0" collapsed="false">
      <c r="A433" s="73" t="s">
        <v>22</v>
      </c>
      <c r="B433" s="74" t="n">
        <v>46273</v>
      </c>
      <c r="C433" s="75" t="s">
        <v>69</v>
      </c>
      <c r="D433" s="73" t="s">
        <v>130</v>
      </c>
      <c r="E433" s="76" t="s">
        <v>477</v>
      </c>
      <c r="F433" s="73" t="s">
        <v>78</v>
      </c>
      <c r="G433" s="73" t="s">
        <v>118</v>
      </c>
      <c r="H433" s="73" t="s">
        <v>7</v>
      </c>
      <c r="I433" s="73" t="s">
        <v>140</v>
      </c>
      <c r="J433" s="75" t="s">
        <v>424</v>
      </c>
      <c r="K433" s="73" t="s">
        <v>135</v>
      </c>
      <c r="L433" s="73" t="s">
        <v>84</v>
      </c>
      <c r="M433" s="73" t="s">
        <v>421</v>
      </c>
      <c r="N433" s="76"/>
      <c r="O433" s="73" t="s">
        <v>307</v>
      </c>
      <c r="P433" s="76"/>
    </row>
    <row r="434" customFormat="false" ht="15" hidden="false" customHeight="false" outlineLevel="0" collapsed="false">
      <c r="A434" s="73" t="s">
        <v>20</v>
      </c>
      <c r="B434" s="74" t="n">
        <v>46279</v>
      </c>
      <c r="C434" s="75" t="s">
        <v>865</v>
      </c>
      <c r="D434" s="73" t="s">
        <v>75</v>
      </c>
      <c r="E434" s="76" t="s">
        <v>866</v>
      </c>
      <c r="F434" s="73" t="s">
        <v>78</v>
      </c>
      <c r="G434" s="73" t="s">
        <v>119</v>
      </c>
      <c r="H434" s="73" t="s">
        <v>7</v>
      </c>
      <c r="I434" s="73" t="s">
        <v>140</v>
      </c>
      <c r="J434" s="75" t="s">
        <v>458</v>
      </c>
      <c r="K434" s="73" t="s">
        <v>135</v>
      </c>
      <c r="L434" s="73" t="s">
        <v>84</v>
      </c>
      <c r="M434" s="75" t="s">
        <v>414</v>
      </c>
      <c r="N434" s="76"/>
      <c r="O434" s="73" t="s">
        <v>307</v>
      </c>
      <c r="P434" s="76" t="s">
        <v>867</v>
      </c>
    </row>
    <row r="435" customFormat="false" ht="15" hidden="false" customHeight="false" outlineLevel="0" collapsed="false">
      <c r="A435" s="73" t="s">
        <v>20</v>
      </c>
      <c r="B435" s="74" t="n">
        <v>46279</v>
      </c>
      <c r="C435" s="75" t="s">
        <v>865</v>
      </c>
      <c r="D435" s="73" t="s">
        <v>75</v>
      </c>
      <c r="E435" s="76" t="s">
        <v>868</v>
      </c>
      <c r="F435" s="73" t="s">
        <v>78</v>
      </c>
      <c r="G435" s="73" t="s">
        <v>120</v>
      </c>
      <c r="H435" s="73" t="s">
        <v>7</v>
      </c>
      <c r="I435" s="73" t="s">
        <v>140</v>
      </c>
      <c r="J435" s="75" t="s">
        <v>458</v>
      </c>
      <c r="K435" s="73" t="s">
        <v>135</v>
      </c>
      <c r="L435" s="73" t="s">
        <v>84</v>
      </c>
      <c r="M435" s="75" t="s">
        <v>414</v>
      </c>
      <c r="N435" s="76"/>
      <c r="O435" s="73" t="s">
        <v>307</v>
      </c>
      <c r="P435" s="76" t="s">
        <v>869</v>
      </c>
    </row>
    <row r="436" customFormat="false" ht="15" hidden="false" customHeight="false" outlineLevel="0" collapsed="false">
      <c r="A436" s="73" t="s">
        <v>25</v>
      </c>
      <c r="B436" s="74" t="n">
        <v>46279</v>
      </c>
      <c r="C436" s="75" t="s">
        <v>865</v>
      </c>
      <c r="D436" s="73" t="s">
        <v>76</v>
      </c>
      <c r="E436" s="76" t="s">
        <v>520</v>
      </c>
      <c r="F436" s="73" t="s">
        <v>79</v>
      </c>
      <c r="G436" s="73" t="s">
        <v>117</v>
      </c>
      <c r="H436" s="73" t="s">
        <v>8</v>
      </c>
      <c r="I436" s="73" t="s">
        <v>139</v>
      </c>
      <c r="J436" s="75" t="s">
        <v>424</v>
      </c>
      <c r="K436" s="73" t="s">
        <v>135</v>
      </c>
      <c r="L436" s="73" t="s">
        <v>8</v>
      </c>
      <c r="M436" s="75" t="s">
        <v>414</v>
      </c>
      <c r="N436" s="76"/>
      <c r="O436" s="73" t="s">
        <v>307</v>
      </c>
      <c r="P436" s="76"/>
    </row>
    <row r="437" customFormat="false" ht="15" hidden="false" customHeight="false" outlineLevel="0" collapsed="false">
      <c r="A437" s="73" t="s">
        <v>25</v>
      </c>
      <c r="B437" s="74" t="n">
        <v>46279</v>
      </c>
      <c r="C437" s="75" t="s">
        <v>865</v>
      </c>
      <c r="D437" s="73" t="s">
        <v>76</v>
      </c>
      <c r="E437" s="76" t="s">
        <v>520</v>
      </c>
      <c r="F437" s="73" t="s">
        <v>78</v>
      </c>
      <c r="G437" s="73" t="s">
        <v>8</v>
      </c>
      <c r="H437" s="73" t="s">
        <v>7</v>
      </c>
      <c r="I437" s="73" t="s">
        <v>140</v>
      </c>
      <c r="J437" s="75" t="s">
        <v>414</v>
      </c>
      <c r="K437" s="73" t="s">
        <v>135</v>
      </c>
      <c r="L437" s="73" t="s">
        <v>8</v>
      </c>
      <c r="M437" s="73" t="s">
        <v>418</v>
      </c>
      <c r="N437" s="76"/>
      <c r="O437" s="73" t="s">
        <v>307</v>
      </c>
      <c r="P437" s="76"/>
    </row>
    <row r="438" customFormat="false" ht="15" hidden="false" customHeight="false" outlineLevel="0" collapsed="false">
      <c r="A438" s="73" t="s">
        <v>25</v>
      </c>
      <c r="B438" s="74" t="n">
        <v>46279</v>
      </c>
      <c r="C438" s="75" t="s">
        <v>865</v>
      </c>
      <c r="D438" s="73" t="s">
        <v>76</v>
      </c>
      <c r="E438" s="76" t="s">
        <v>870</v>
      </c>
      <c r="F438" s="73" t="s">
        <v>78</v>
      </c>
      <c r="G438" s="73" t="s">
        <v>8</v>
      </c>
      <c r="H438" s="73" t="s">
        <v>7</v>
      </c>
      <c r="I438" s="73" t="s">
        <v>140</v>
      </c>
      <c r="J438" s="75" t="s">
        <v>414</v>
      </c>
      <c r="K438" s="73" t="s">
        <v>135</v>
      </c>
      <c r="L438" s="73" t="s">
        <v>84</v>
      </c>
      <c r="M438" s="73" t="s">
        <v>418</v>
      </c>
      <c r="N438" s="76"/>
      <c r="O438" s="73" t="s">
        <v>307</v>
      </c>
      <c r="P438" s="76"/>
    </row>
    <row r="439" customFormat="false" ht="15" hidden="false" customHeight="false" outlineLevel="0" collapsed="false">
      <c r="A439" s="73" t="s">
        <v>25</v>
      </c>
      <c r="B439" s="74" t="n">
        <v>46280</v>
      </c>
      <c r="C439" s="75" t="s">
        <v>865</v>
      </c>
      <c r="D439" s="73" t="s">
        <v>75</v>
      </c>
      <c r="E439" s="76" t="s">
        <v>828</v>
      </c>
      <c r="F439" s="73" t="s">
        <v>80</v>
      </c>
      <c r="G439" s="73" t="s">
        <v>117</v>
      </c>
      <c r="H439" s="73" t="s">
        <v>8</v>
      </c>
      <c r="I439" s="73" t="s">
        <v>139</v>
      </c>
      <c r="J439" s="75" t="s">
        <v>424</v>
      </c>
      <c r="K439" s="73" t="s">
        <v>135</v>
      </c>
      <c r="L439" s="73" t="s">
        <v>85</v>
      </c>
      <c r="M439" s="75" t="s">
        <v>414</v>
      </c>
      <c r="N439" s="76"/>
      <c r="O439" s="73" t="s">
        <v>307</v>
      </c>
      <c r="P439" s="76" t="s">
        <v>871</v>
      </c>
    </row>
    <row r="440" customFormat="false" ht="15" hidden="false" customHeight="false" outlineLevel="0" collapsed="false">
      <c r="A440" s="73" t="s">
        <v>25</v>
      </c>
      <c r="B440" s="74" t="n">
        <v>46280</v>
      </c>
      <c r="C440" s="75" t="s">
        <v>865</v>
      </c>
      <c r="D440" s="73" t="s">
        <v>75</v>
      </c>
      <c r="E440" s="76" t="s">
        <v>832</v>
      </c>
      <c r="F440" s="73" t="s">
        <v>80</v>
      </c>
      <c r="G440" s="73" t="s">
        <v>117</v>
      </c>
      <c r="H440" s="73" t="s">
        <v>8</v>
      </c>
      <c r="I440" s="73" t="s">
        <v>139</v>
      </c>
      <c r="J440" s="75" t="s">
        <v>424</v>
      </c>
      <c r="K440" s="73" t="s">
        <v>135</v>
      </c>
      <c r="L440" s="73" t="s">
        <v>85</v>
      </c>
      <c r="M440" s="75" t="s">
        <v>414</v>
      </c>
      <c r="N440" s="76"/>
      <c r="O440" s="73" t="s">
        <v>307</v>
      </c>
      <c r="P440" s="76"/>
    </row>
    <row r="441" customFormat="false" ht="15" hidden="false" customHeight="false" outlineLevel="0" collapsed="false">
      <c r="A441" s="73" t="s">
        <v>25</v>
      </c>
      <c r="B441" s="74" t="n">
        <v>46280</v>
      </c>
      <c r="C441" s="75" t="s">
        <v>865</v>
      </c>
      <c r="D441" s="73" t="s">
        <v>75</v>
      </c>
      <c r="E441" s="76" t="s">
        <v>872</v>
      </c>
      <c r="F441" s="73" t="s">
        <v>80</v>
      </c>
      <c r="G441" s="73" t="s">
        <v>117</v>
      </c>
      <c r="H441" s="73" t="s">
        <v>8</v>
      </c>
      <c r="I441" s="73" t="s">
        <v>139</v>
      </c>
      <c r="J441" s="75" t="s">
        <v>480</v>
      </c>
      <c r="K441" s="73" t="s">
        <v>135</v>
      </c>
      <c r="L441" s="73" t="s">
        <v>85</v>
      </c>
      <c r="M441" s="75" t="s">
        <v>414</v>
      </c>
      <c r="N441" s="76"/>
      <c r="O441" s="73" t="s">
        <v>307</v>
      </c>
      <c r="P441" s="76"/>
    </row>
    <row r="442" customFormat="false" ht="15" hidden="false" customHeight="false" outlineLevel="0" collapsed="false">
      <c r="A442" s="73" t="s">
        <v>25</v>
      </c>
      <c r="B442" s="74" t="n">
        <v>46281</v>
      </c>
      <c r="C442" s="75" t="s">
        <v>865</v>
      </c>
      <c r="D442" s="73" t="s">
        <v>75</v>
      </c>
      <c r="E442" s="76" t="s">
        <v>776</v>
      </c>
      <c r="F442" s="73" t="s">
        <v>78</v>
      </c>
      <c r="G442" s="73" t="s">
        <v>119</v>
      </c>
      <c r="H442" s="73" t="s">
        <v>7</v>
      </c>
      <c r="I442" s="73" t="s">
        <v>140</v>
      </c>
      <c r="J442" s="75" t="s">
        <v>424</v>
      </c>
      <c r="K442" s="73" t="s">
        <v>135</v>
      </c>
      <c r="L442" s="73" t="s">
        <v>8</v>
      </c>
      <c r="M442" s="73" t="s">
        <v>418</v>
      </c>
      <c r="N442" s="76"/>
      <c r="O442" s="73" t="s">
        <v>307</v>
      </c>
      <c r="P442" s="76" t="s">
        <v>873</v>
      </c>
    </row>
    <row r="443" customFormat="false" ht="15" hidden="false" customHeight="false" outlineLevel="0" collapsed="false">
      <c r="A443" s="73" t="s">
        <v>25</v>
      </c>
      <c r="B443" s="74"/>
      <c r="C443" s="75" t="s">
        <v>414</v>
      </c>
      <c r="D443" s="73" t="s">
        <v>75</v>
      </c>
      <c r="E443" s="76" t="s">
        <v>151</v>
      </c>
      <c r="F443" s="73" t="s">
        <v>79</v>
      </c>
      <c r="G443" s="73" t="s">
        <v>119</v>
      </c>
      <c r="H443" s="73" t="s">
        <v>7</v>
      </c>
      <c r="I443" s="75" t="s">
        <v>414</v>
      </c>
      <c r="J443" s="75" t="s">
        <v>414</v>
      </c>
      <c r="K443" s="73" t="s">
        <v>136</v>
      </c>
      <c r="L443" s="73" t="s">
        <v>85</v>
      </c>
      <c r="M443" s="75" t="s">
        <v>414</v>
      </c>
      <c r="N443" s="76"/>
      <c r="O443" s="73" t="s">
        <v>307</v>
      </c>
      <c r="P443" s="76" t="s">
        <v>874</v>
      </c>
    </row>
    <row r="444" customFormat="false" ht="15" hidden="false" customHeight="false" outlineLevel="0" collapsed="false">
      <c r="A444" s="73" t="s">
        <v>20</v>
      </c>
      <c r="B444" s="74" t="n">
        <v>46279</v>
      </c>
      <c r="C444" s="75" t="s">
        <v>865</v>
      </c>
      <c r="D444" s="73" t="s">
        <v>75</v>
      </c>
      <c r="E444" s="76" t="s">
        <v>875</v>
      </c>
      <c r="F444" s="73" t="s">
        <v>78</v>
      </c>
      <c r="G444" s="73" t="s">
        <v>119</v>
      </c>
      <c r="H444" s="73" t="s">
        <v>7</v>
      </c>
      <c r="I444" s="73" t="s">
        <v>140</v>
      </c>
      <c r="J444" s="75" t="s">
        <v>458</v>
      </c>
      <c r="K444" s="73" t="s">
        <v>135</v>
      </c>
      <c r="L444" s="73" t="s">
        <v>86</v>
      </c>
      <c r="M444" s="75" t="s">
        <v>414</v>
      </c>
      <c r="N444" s="76"/>
      <c r="O444" s="73" t="s">
        <v>307</v>
      </c>
      <c r="P444" s="76" t="s">
        <v>876</v>
      </c>
    </row>
    <row r="445" customFormat="false" ht="15" hidden="false" customHeight="false" outlineLevel="0" collapsed="false">
      <c r="A445" s="73" t="s">
        <v>22</v>
      </c>
      <c r="B445" s="74" t="n">
        <v>46280</v>
      </c>
      <c r="C445" s="75" t="s">
        <v>865</v>
      </c>
      <c r="D445" s="73" t="s">
        <v>75</v>
      </c>
      <c r="E445" s="76" t="s">
        <v>828</v>
      </c>
      <c r="F445" s="73" t="s">
        <v>81</v>
      </c>
      <c r="G445" s="73" t="s">
        <v>8</v>
      </c>
      <c r="H445" s="73" t="s">
        <v>8</v>
      </c>
      <c r="I445" s="73" t="s">
        <v>140</v>
      </c>
      <c r="J445" s="75" t="s">
        <v>484</v>
      </c>
      <c r="K445" s="73" t="s">
        <v>135</v>
      </c>
      <c r="L445" s="73" t="s">
        <v>8</v>
      </c>
      <c r="M445" s="73" t="s">
        <v>421</v>
      </c>
      <c r="N445" s="76"/>
      <c r="O445" s="73" t="s">
        <v>307</v>
      </c>
      <c r="P445" s="76" t="s">
        <v>877</v>
      </c>
    </row>
    <row r="446" customFormat="false" ht="15" hidden="false" customHeight="false" outlineLevel="0" collapsed="false">
      <c r="A446" s="73" t="s">
        <v>20</v>
      </c>
      <c r="B446" s="74" t="n">
        <v>46280</v>
      </c>
      <c r="C446" s="75" t="s">
        <v>865</v>
      </c>
      <c r="D446" s="73" t="s">
        <v>75</v>
      </c>
      <c r="E446" s="76" t="s">
        <v>878</v>
      </c>
      <c r="F446" s="73" t="s">
        <v>79</v>
      </c>
      <c r="G446" s="73" t="s">
        <v>118</v>
      </c>
      <c r="H446" s="73" t="s">
        <v>7</v>
      </c>
      <c r="I446" s="73" t="s">
        <v>140</v>
      </c>
      <c r="J446" s="75" t="s">
        <v>480</v>
      </c>
      <c r="K446" s="73" t="s">
        <v>136</v>
      </c>
      <c r="L446" s="73" t="s">
        <v>84</v>
      </c>
      <c r="M446" s="75" t="s">
        <v>414</v>
      </c>
      <c r="N446" s="76"/>
      <c r="O446" s="73" t="s">
        <v>307</v>
      </c>
      <c r="P446" s="77" t="s">
        <v>879</v>
      </c>
    </row>
    <row r="447" customFormat="false" ht="15" hidden="false" customHeight="false" outlineLevel="0" collapsed="false">
      <c r="A447" s="73" t="s">
        <v>20</v>
      </c>
      <c r="B447" s="74" t="n">
        <v>46280</v>
      </c>
      <c r="C447" s="75" t="s">
        <v>865</v>
      </c>
      <c r="D447" s="73" t="s">
        <v>75</v>
      </c>
      <c r="E447" s="76" t="s">
        <v>878</v>
      </c>
      <c r="F447" s="73" t="s">
        <v>79</v>
      </c>
      <c r="G447" s="73" t="s">
        <v>118</v>
      </c>
      <c r="H447" s="73" t="s">
        <v>7</v>
      </c>
      <c r="I447" s="73" t="s">
        <v>140</v>
      </c>
      <c r="J447" s="75" t="s">
        <v>490</v>
      </c>
      <c r="K447" s="73" t="s">
        <v>136</v>
      </c>
      <c r="L447" s="73" t="s">
        <v>85</v>
      </c>
      <c r="M447" s="75" t="s">
        <v>414</v>
      </c>
      <c r="N447" s="76"/>
      <c r="O447" s="73" t="s">
        <v>307</v>
      </c>
      <c r="P447" s="77" t="s">
        <v>879</v>
      </c>
    </row>
    <row r="448" customFormat="false" ht="15" hidden="false" customHeight="false" outlineLevel="0" collapsed="false">
      <c r="A448" s="73" t="s">
        <v>20</v>
      </c>
      <c r="B448" s="74" t="n">
        <v>46280</v>
      </c>
      <c r="C448" s="75" t="s">
        <v>865</v>
      </c>
      <c r="D448" s="73" t="s">
        <v>75</v>
      </c>
      <c r="E448" s="76" t="s">
        <v>878</v>
      </c>
      <c r="F448" s="73" t="s">
        <v>79</v>
      </c>
      <c r="G448" s="73" t="s">
        <v>118</v>
      </c>
      <c r="H448" s="73" t="s">
        <v>7</v>
      </c>
      <c r="I448" s="73" t="s">
        <v>140</v>
      </c>
      <c r="J448" s="75" t="s">
        <v>490</v>
      </c>
      <c r="K448" s="73" t="s">
        <v>136</v>
      </c>
      <c r="L448" s="73" t="s">
        <v>85</v>
      </c>
      <c r="M448" s="75" t="s">
        <v>414</v>
      </c>
      <c r="N448" s="76"/>
      <c r="O448" s="73" t="s">
        <v>307</v>
      </c>
      <c r="P448" s="77" t="s">
        <v>880</v>
      </c>
    </row>
    <row r="449" customFormat="false" ht="15" hidden="false" customHeight="false" outlineLevel="0" collapsed="false">
      <c r="A449" s="73" t="s">
        <v>20</v>
      </c>
      <c r="B449" s="74" t="n">
        <v>46280</v>
      </c>
      <c r="C449" s="75" t="s">
        <v>865</v>
      </c>
      <c r="D449" s="73" t="s">
        <v>75</v>
      </c>
      <c r="E449" s="76" t="s">
        <v>881</v>
      </c>
      <c r="F449" s="73" t="s">
        <v>78</v>
      </c>
      <c r="G449" s="73" t="s">
        <v>119</v>
      </c>
      <c r="H449" s="73" t="s">
        <v>8</v>
      </c>
      <c r="I449" s="73" t="s">
        <v>140</v>
      </c>
      <c r="J449" s="75" t="s">
        <v>458</v>
      </c>
      <c r="K449" s="73" t="s">
        <v>135</v>
      </c>
      <c r="L449" s="73" t="s">
        <v>84</v>
      </c>
      <c r="M449" s="75" t="s">
        <v>414</v>
      </c>
      <c r="N449" s="76"/>
      <c r="O449" s="73" t="s">
        <v>307</v>
      </c>
      <c r="P449" s="76" t="s">
        <v>882</v>
      </c>
    </row>
    <row r="450" customFormat="false" ht="15" hidden="false" customHeight="false" outlineLevel="0" collapsed="false">
      <c r="A450" s="73" t="s">
        <v>20</v>
      </c>
      <c r="B450" s="74" t="n">
        <v>46280</v>
      </c>
      <c r="C450" s="75" t="s">
        <v>865</v>
      </c>
      <c r="D450" s="73" t="s">
        <v>75</v>
      </c>
      <c r="E450" s="76" t="s">
        <v>883</v>
      </c>
      <c r="F450" s="73" t="s">
        <v>78</v>
      </c>
      <c r="G450" s="73" t="s">
        <v>119</v>
      </c>
      <c r="H450" s="73" t="s">
        <v>7</v>
      </c>
      <c r="I450" s="73" t="s">
        <v>140</v>
      </c>
      <c r="J450" s="75" t="s">
        <v>458</v>
      </c>
      <c r="K450" s="73" t="s">
        <v>135</v>
      </c>
      <c r="L450" s="73" t="s">
        <v>84</v>
      </c>
      <c r="M450" s="75" t="s">
        <v>414</v>
      </c>
      <c r="N450" s="76"/>
      <c r="O450" s="73" t="s">
        <v>307</v>
      </c>
      <c r="P450" s="76" t="s">
        <v>884</v>
      </c>
    </row>
    <row r="451" customFormat="false" ht="15" hidden="false" customHeight="false" outlineLevel="0" collapsed="false">
      <c r="A451" s="73" t="s">
        <v>20</v>
      </c>
      <c r="B451" s="74" t="n">
        <v>46280</v>
      </c>
      <c r="C451" s="75" t="s">
        <v>865</v>
      </c>
      <c r="D451" s="73" t="s">
        <v>75</v>
      </c>
      <c r="E451" s="76" t="s">
        <v>883</v>
      </c>
      <c r="F451" s="73" t="s">
        <v>82</v>
      </c>
      <c r="G451" s="73" t="s">
        <v>120</v>
      </c>
      <c r="H451" s="73" t="s">
        <v>7</v>
      </c>
      <c r="I451" s="73" t="s">
        <v>140</v>
      </c>
      <c r="J451" s="75" t="s">
        <v>467</v>
      </c>
      <c r="K451" s="73" t="s">
        <v>136</v>
      </c>
      <c r="L451" s="73" t="s">
        <v>84</v>
      </c>
      <c r="M451" s="75" t="s">
        <v>414</v>
      </c>
      <c r="N451" s="76"/>
      <c r="O451" s="73" t="s">
        <v>307</v>
      </c>
      <c r="P451" s="76" t="s">
        <v>627</v>
      </c>
    </row>
  </sheetData>
  <autoFilter ref="A1:P45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2026-09-17T23:44:43Z</dcterms:created>
  <dc:creator>openpyxl</dc:creator>
  <dc:description/>
  <dc:language>en-US</dc:language>
  <cp:lastModifiedBy/>
  <dcterms:modified xsi:type="dcterms:W3CDTF">2026-09-17T23:44:44Z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