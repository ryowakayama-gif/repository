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管理方法" sheetId="1" state="visible" r:id="rId1"/>
    <sheet xmlns:r="http://schemas.openxmlformats.org/officeDocument/2006/relationships" name="01_計画素案の変更履歴" sheetId="2" state="visible" r:id="rId2"/>
    <sheet xmlns:r="http://schemas.openxmlformats.org/officeDocument/2006/relationships" name="02_目次の新設・変更箇所" sheetId="3" state="visible" r:id="rId3"/>
    <sheet xmlns:r="http://schemas.openxmlformats.org/officeDocument/2006/relationships" name="03_確認事項A_計画の文言" sheetId="4" state="visible" r:id="rId4"/>
    <sheet xmlns:r="http://schemas.openxmlformats.org/officeDocument/2006/relationships" name="04_確認事項B_数値・計算根拠" sheetId="5" state="visible" r:id="rId5"/>
    <sheet xmlns:r="http://schemas.openxmlformats.org/officeDocument/2006/relationships" name="05_本文に残す注記の基準"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s>
  <fills count="8">
    <fill>
      <patternFill/>
    </fill>
    <fill>
      <patternFill patternType="gray125"/>
    </fill>
    <fill>
      <patternFill patternType="solid">
        <fgColor rgb="004472C4"/>
        <bgColor rgb="004472C4"/>
      </patternFill>
    </fill>
    <fill>
      <patternFill patternType="solid">
        <fgColor rgb="00DEEBF7"/>
        <bgColor rgb="00DEEBF7"/>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F2F2F2"/>
        <b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2" fillId="3" borderId="1" applyAlignment="1" pivotButton="0" quotePrefix="0" xfId="0">
      <alignment horizontal="left" vertical="top" wrapText="1"/>
    </xf>
    <xf numFmtId="0" fontId="0" fillId="0" borderId="4" pivotButton="0" quotePrefix="0" xfId="0"/>
    <xf numFmtId="0" fontId="0" fillId="0" borderId="5" pivotButton="0" quotePrefix="0" xfId="0"/>
    <xf numFmtId="0" fontId="5" fillId="0" borderId="0" applyAlignment="1" pivotButton="0" quotePrefix="0" xfId="0">
      <alignment vertical="top" wrapText="1"/>
    </xf>
    <xf numFmtId="0" fontId="2" fillId="4" borderId="1" applyAlignment="1" pivotButton="0" quotePrefix="0" xfId="0">
      <alignment horizontal="center" vertical="top" wrapText="1"/>
    </xf>
    <xf numFmtId="0" fontId="2" fillId="3" borderId="1" applyAlignment="1" pivotButton="0" quotePrefix="0" xfId="0">
      <alignment horizontal="center" vertical="top" wrapText="1"/>
    </xf>
    <xf numFmtId="0" fontId="2" fillId="5" borderId="1" applyAlignment="1" pivotButton="0" quotePrefix="0" xfId="0">
      <alignment horizontal="left" vertical="top" wrapText="1"/>
    </xf>
    <xf numFmtId="0" fontId="2" fillId="6" borderId="1" applyAlignment="1" pivotButton="0" quotePrefix="0" xfId="0">
      <alignment horizontal="center" vertical="top" wrapText="1"/>
    </xf>
    <xf numFmtId="0" fontId="2" fillId="5"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dxfs count="5">
    <dxf>
      <fill>
        <patternFill patternType="solid">
          <fgColor rgb="00E2EFDA"/>
          <bgColor rgb="00E2EFDA"/>
        </patternFill>
      </fill>
    </dxf>
    <dxf>
      <fill>
        <patternFill patternType="solid">
          <fgColor rgb="00DEEBF7"/>
          <bgColor rgb="00DEEBF7"/>
        </patternFill>
      </fill>
    </dxf>
    <dxf>
      <fill>
        <patternFill patternType="solid">
          <fgColor rgb="00FFF2CC"/>
          <bgColor rgb="00FFF2CC"/>
        </patternFill>
      </fill>
    </dxf>
    <dxf>
      <fill>
        <patternFill patternType="solid">
          <fgColor rgb="00FCE4D6"/>
          <bgColor rgb="00FCE4D6"/>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showGridLines="0" workbookViewId="0">
      <pane ySplit="3" topLeftCell="A4" activePane="bottomLeft" state="frozen"/>
      <selection pane="bottomLeft" activeCell="A1" sqref="A1"/>
    </sheetView>
  </sheetViews>
  <sheetFormatPr baseColWidth="8" defaultRowHeight="15"/>
  <cols>
    <col width="4" customWidth="1" min="1" max="1"/>
    <col width="26" customWidth="1" min="2" max="2"/>
    <col width="52" customWidth="1" min="3" max="3"/>
    <col width="40" customWidth="1" min="4" max="4"/>
    <col width="26" customWidth="1" min="5" max="5"/>
  </cols>
  <sheetData>
    <row r="1" ht="22" customHeight="1">
      <c r="A1" s="1" t="inlineStr">
        <is>
          <t>計画素案の別管理表</t>
        </is>
      </c>
    </row>
    <row r="2" ht="46" customHeight="1">
      <c r="A2" s="2" t="inlineStr">
        <is>
          <t>計画素案（本文）から外に出した事項を管理する。計画本文は住民・委員・関係機関が読む文書であるため、受託者と発注者の間の作業に関する記載（変更履歴、前稿からの追加の注記、作業予定・未確定事項の注記）を本文に置かず、本表で管理する。作成日：令和8年7月29日。</t>
        </is>
      </c>
    </row>
    <row r="4" ht="28" customHeight="1">
      <c r="A4" s="3" t="inlineStr">
        <is>
          <t>No.</t>
        </is>
      </c>
      <c r="B4" s="3" t="inlineStr">
        <is>
          <t>シート</t>
        </is>
      </c>
      <c r="C4" s="3" t="inlineStr">
        <is>
          <t>内容</t>
        </is>
      </c>
      <c r="D4" s="3" t="inlineStr">
        <is>
          <t>本文から外に出したもの</t>
        </is>
      </c>
      <c r="E4" s="3" t="inlineStr">
        <is>
          <t>更新の担当</t>
        </is>
      </c>
    </row>
    <row r="5" ht="76" customHeight="1">
      <c r="A5" s="4" t="inlineStr">
        <is>
          <t>1</t>
        </is>
      </c>
      <c r="B5" s="5" t="inlineStr">
        <is>
          <t>01_計画素案の変更履歴</t>
        </is>
      </c>
      <c r="C5" s="5" t="inlineStr">
        <is>
          <t>版別の変更内容を管理する。第9期計画の体裁では表紙に変更履歴を置いていないため、本文からは削除した。</t>
        </is>
      </c>
      <c r="D5" s="5" t="inlineStr">
        <is>
          <t>表紙の【前版からの主な変更】の表（6行）
巻末の「本素案の取扱い」の段落</t>
        </is>
      </c>
      <c r="E5" s="5" t="inlineStr">
        <is>
          <t>受託者が版の更新ごとに追記</t>
        </is>
      </c>
    </row>
    <row r="6" ht="76" customHeight="1">
      <c r="A6" s="4" t="inlineStr">
        <is>
          <t>2</t>
        </is>
      </c>
      <c r="B6" s="5" t="inlineStr">
        <is>
          <t>02_目次の新設・変更箇所</t>
        </is>
      </c>
      <c r="C6" s="5" t="inlineStr">
        <is>
          <t>前版からの新設・変更箇所を節単位で管理する。目次は計画の構成を示すものであり、作業の履歴を示す注記は目次に置かない。</t>
        </is>
      </c>
      <c r="D6" s="5" t="inlineStr">
        <is>
          <t>目次の【新設】4箇所
「※ページ番号は最終組版時に更新します。【新設】は前版からの追加です。」</t>
        </is>
      </c>
      <c r="E6" s="5" t="inlineStr">
        <is>
          <t>受託者が版の更新ごとに追記</t>
        </is>
      </c>
    </row>
    <row r="7" ht="76" customHeight="1">
      <c r="A7" s="4" t="inlineStr">
        <is>
          <t>3</t>
        </is>
      </c>
      <c r="B7" s="5" t="inlineStr">
        <is>
          <t>03_確認事項A_計画の文言</t>
        </is>
      </c>
      <c r="C7" s="5" t="inlineStr">
        <is>
          <t>計画の表現、方針、記載の有無について打合せで確認いただく事項（25件）。決定すれば本文の文言が確定する。</t>
        </is>
      </c>
      <c r="D7" s="5" t="inlineStr">
        <is>
          <t>本文の注記のうち、表現・方針・記載の有無に関するもの</t>
        </is>
      </c>
      <c r="E7" s="5" t="inlineStr">
        <is>
          <t>受託者が起案。決定欄は発注者が記入</t>
        </is>
      </c>
    </row>
    <row r="8" ht="76" customHeight="1">
      <c r="A8" s="4" t="inlineStr">
        <is>
          <t>4</t>
        </is>
      </c>
      <c r="B8" s="5" t="inlineStr">
        <is>
          <t>04_確認事項B_数値・計算根拠</t>
        </is>
      </c>
      <c r="C8" s="5" t="inlineStr">
        <is>
          <t>データ源、指標の定義、算定方法、基準時点について確認いただく事項（31件）。決定すれば数値が確定する。</t>
        </is>
      </c>
      <c r="D8" s="5" t="inlineStr">
        <is>
          <t>本文の注記のうち、データ源・定義・算定方法・基準時点に関するもの</t>
        </is>
      </c>
      <c r="E8" s="5" t="inlineStr">
        <is>
          <t>受託者が起案。決定欄は発注者が記入</t>
        </is>
      </c>
    </row>
    <row r="9" ht="76" customHeight="1">
      <c r="A9" s="4" t="inlineStr">
        <is>
          <t>5</t>
        </is>
      </c>
      <c r="B9" s="5" t="inlineStr">
        <is>
          <t>05_本文に残す注記の基準</t>
        </is>
      </c>
      <c r="C9" s="5" t="inlineStr">
        <is>
          <t>どの注記を本文に残し、どれを本表に移すかの基準。第9期計画の体裁との対応を示す。</t>
        </is>
      </c>
      <c r="D9" s="5" t="inlineStr">
        <is>
          <t>―</t>
        </is>
      </c>
      <c r="E9" s="5" t="inlineStr">
        <is>
          <t>受託者が管理</t>
        </is>
      </c>
    </row>
    <row r="11" ht="18" customHeight="1">
      <c r="A11" s="6" t="inlineStr">
        <is>
          <t>【確認事項をAとBに分ける理由】</t>
        </is>
      </c>
    </row>
    <row r="12" ht="28" customHeight="1">
      <c r="A12" s="3" t="inlineStr">
        <is>
          <t>区分</t>
        </is>
      </c>
      <c r="B12" s="3" t="inlineStr">
        <is>
          <t>確認の対象</t>
        </is>
      </c>
      <c r="C12" s="3" t="inlineStr">
        <is>
          <t>決定の主体</t>
        </is>
      </c>
      <c r="D12" s="3" t="inlineStr">
        <is>
          <t>決定すると確定するもの</t>
        </is>
      </c>
      <c r="E12" s="3" t="inlineStr"/>
    </row>
    <row r="13" ht="56" customHeight="1">
      <c r="A13" s="7" t="inlineStr">
        <is>
          <t>A 計画の文言</t>
        </is>
      </c>
      <c r="B13" s="5" t="inlineStr">
        <is>
          <t>計画に何をどう書くか。表現の強さ、方針の選択、記載の有無、用語の統一。</t>
        </is>
      </c>
      <c r="C13" s="5" t="inlineStr">
        <is>
          <t>発注者・構成3町・策定委員会</t>
        </is>
      </c>
      <c r="D13" s="5" t="inlineStr">
        <is>
          <t>本文の文言。表・図の表題及び構成</t>
        </is>
      </c>
      <c r="E13" s="8" t="n"/>
    </row>
    <row r="14" ht="56" customHeight="1">
      <c r="A14" s="7" t="inlineStr">
        <is>
          <t>B 数値・計算根拠</t>
        </is>
      </c>
      <c r="B14" s="5" t="inlineStr">
        <is>
          <t>どのデータを用いてどう算定するか。データ源、指標の定義、分母・分子、基準時点、推計の前提。</t>
        </is>
      </c>
      <c r="C14" s="5" t="inlineStr">
        <is>
          <t>発注者（資料の提供を含む）。一部は北海道・国</t>
        </is>
      </c>
      <c r="D14" s="5" t="inlineStr">
        <is>
          <t>本文及び図表の数値。代表KPIの基準値・目標値</t>
        </is>
      </c>
      <c r="E14" s="8" t="n"/>
    </row>
    <row r="16" ht="18" customHeight="1">
      <c r="A16" s="6" t="inlineStr">
        <is>
          <t>【他の管理表との関係】</t>
        </is>
      </c>
    </row>
    <row r="17" ht="28" customHeight="1">
      <c r="A17" s="3" t="inlineStr">
        <is>
          <t>管理表</t>
        </is>
      </c>
      <c r="B17" s="3" t="inlineStr">
        <is>
          <t>管理する対象</t>
        </is>
      </c>
      <c r="C17" s="3" t="inlineStr">
        <is>
          <t>本表との関係</t>
        </is>
      </c>
      <c r="D17" s="3" t="inlineStr"/>
      <c r="E17" s="3" t="inlineStr"/>
    </row>
    <row r="18" ht="44" customHeight="1">
      <c r="A18" s="5" t="inlineStr">
        <is>
          <t>業務工程管理表 03_確認事項一覧</t>
        </is>
      </c>
      <c r="B18" s="5" t="inlineStr">
        <is>
          <t>業務工程の進行を止めている確認事項（42件）</t>
        </is>
      </c>
      <c r="C18" s="5" t="inlineStr">
        <is>
          <t>本表A・Bのうち、成果物の確定を止めているものは業務工程管理表にも登録し、工程との紐づけを管理する</t>
        </is>
      </c>
      <c r="D18" s="9" t="n"/>
      <c r="E18" s="8" t="n"/>
    </row>
    <row r="19" ht="44" customHeight="1">
      <c r="A19" s="5" t="inlineStr">
        <is>
          <t>業務工程管理表 06_資料提供依頼一覧</t>
        </is>
      </c>
      <c r="B19" s="5" t="inlineStr">
        <is>
          <t>資料の提供を求める依頼（15件）</t>
        </is>
      </c>
      <c r="C19" s="5" t="inlineStr">
        <is>
          <t>本表Bの多くは資料の提供により解消する。資料の依頼そのものは業務工程管理表で管理する</t>
        </is>
      </c>
      <c r="D19" s="9" t="n"/>
      <c r="E19" s="8" t="n"/>
    </row>
    <row r="20" ht="44" customHeight="1">
      <c r="A20" s="5" t="inlineStr">
        <is>
          <t>受託者の自己点検</t>
        </is>
      </c>
      <c r="B20" s="5" t="inlineStr">
        <is>
          <t>全成果物の主張46件の根拠水準</t>
        </is>
      </c>
      <c r="C20" s="5" t="inlineStr">
        <is>
          <t>本表Bの確認事項は、同表のE4（推論）・E5（仮説）をE1〜E3へ引き上げるためのものである</t>
        </is>
      </c>
      <c r="D20" s="9" t="n"/>
      <c r="E20" s="8" t="n"/>
    </row>
    <row r="21" ht="44" customHeight="1">
      <c r="A21" s="5" t="inlineStr">
        <is>
          <t>受託者の自己点検</t>
        </is>
      </c>
      <c r="B21" s="5" t="inlineStr">
        <is>
          <t>自己点検による指摘26件</t>
        </is>
      </c>
      <c r="C21" s="5" t="inlineStr">
        <is>
          <t>同表の指摘のうち本文の記述に関わるものは、本表A・Bに登録している</t>
        </is>
      </c>
      <c r="D21" s="9" t="n"/>
      <c r="E21" s="8" t="n"/>
    </row>
    <row r="23" ht="96" customHeight="1">
      <c r="A23" s="10" t="inlineStr">
        <is>
          <t>注1）本表への移動により、計画素案の本文からは注記42箇所を削除し、14箇所を残した（残した基準は05シート）。表紙の変更履歴の表及び巻末の取扱いの段落も削除した。注2）確定していない数値は、本文では［要協議］［要確認］［要内訳］として空欄扱いのまま残す方針を継続する。本表A・Bの確認事項が解消された時点で、該当箇所を確定値に置き換える。注3）打合せでは、A（文言）とB（数値・計算根拠）を分けて進めることを想定している。Aは策定委員会での議論に直結し、Bは資料の提供と算定の作業に直結するため、決定の主体と所要時間が異なる。</t>
        </is>
      </c>
    </row>
  </sheetData>
  <mergeCells count="10">
    <mergeCell ref="C19:E19"/>
    <mergeCell ref="A2:E2"/>
    <mergeCell ref="A16:E16"/>
    <mergeCell ref="D13:E13"/>
    <mergeCell ref="A11:E11"/>
    <mergeCell ref="C18:E18"/>
    <mergeCell ref="D14:E14"/>
    <mergeCell ref="A23:E23"/>
    <mergeCell ref="C21:E21"/>
    <mergeCell ref="C20:E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8" customWidth="1" min="1" max="1"/>
    <col width="11" customWidth="1" min="2" max="2"/>
    <col width="13" customWidth="1" min="3" max="3"/>
    <col width="52" customWidth="1" min="4" max="4"/>
    <col width="34" customWidth="1" min="5" max="5"/>
    <col width="22" customWidth="1" min="6" max="6"/>
  </cols>
  <sheetData>
    <row r="1" ht="22" customHeight="1">
      <c r="A1" s="1" t="inlineStr">
        <is>
          <t>計画素案の変更履歴</t>
        </is>
      </c>
    </row>
    <row r="2" ht="46" customHeight="1">
      <c r="A2" s="2" t="inlineStr">
        <is>
          <t>稿別に、変更の区分、内容及び根拠を記録する。第9期計画の体裁では表紙に変更履歴を置いていないため、本文（表紙・巻末）からは削除し、本シートで管理する。</t>
        </is>
      </c>
    </row>
    <row r="4" ht="28" customHeight="1">
      <c r="A4" s="3" t="inlineStr">
        <is>
          <t>版</t>
        </is>
      </c>
      <c r="B4" s="3" t="inlineStr">
        <is>
          <t>年月日</t>
        </is>
      </c>
      <c r="C4" s="3" t="inlineStr">
        <is>
          <t>変更の区分</t>
        </is>
      </c>
      <c r="D4" s="3" t="inlineStr">
        <is>
          <t>変更の内容</t>
        </is>
      </c>
      <c r="E4" s="3" t="inlineStr">
        <is>
          <t>根拠・反映した指摘</t>
        </is>
      </c>
      <c r="F4" s="3" t="inlineStr">
        <is>
          <t>主な変更箇所</t>
        </is>
      </c>
    </row>
    <row r="5" ht="140" customHeight="1">
      <c r="A5" s="4" t="inlineStr">
        <is>
          <t>令和8年7月　初版</t>
        </is>
      </c>
      <c r="B5" s="4" t="inlineStr">
        <is>
          <t>R8.7</t>
        </is>
      </c>
      <c r="C5" s="5" t="inlineStr">
        <is>
          <t>構成の確定</t>
        </is>
      </c>
      <c r="D5" s="5" t="inlineStr">
        <is>
          <t>第9期計画の章立て・体裁を踏襲した本文を作成した。確定していない値は推測せず［要確認］［要協議］［要内訳］として残す方針を定めた。</t>
        </is>
      </c>
      <c r="E5" s="5" t="inlineStr">
        <is>
          <t>第9期計画、3町の高齢者福祉計画、業務仕様書</t>
        </is>
      </c>
      <c r="F5" s="5" t="inlineStr">
        <is>
          <t>全体</t>
        </is>
      </c>
    </row>
    <row r="6" ht="140" customHeight="1">
      <c r="A6" s="4" t="inlineStr">
        <is>
          <t>令和8年7月　第2版</t>
        </is>
      </c>
      <c r="B6" s="4" t="inlineStr">
        <is>
          <t>R8.7</t>
        </is>
      </c>
      <c r="C6" s="5" t="inlineStr">
        <is>
          <t>内容の追加</t>
        </is>
      </c>
      <c r="D6" s="5" t="inlineStr">
        <is>
          <t>①第2章に供給構造・介護サービス利用率・交付金評価に関する節を新設し、区域内に事業所が存在しないサービスが28種別中11種別あることを明示した。②第3章の第9期代表KPIの評価を「目標比」「第9期計画の推計比」「全国・北海道比」の3軸に改め、代表KPI④について目標の根拠とした国の目標値と実績とで統計が異なることを明記し「国目標を達成」という評価を撤回した。③第4章の代表KPI16項目のデータ源と基準値を確定した（H01を見える化W144へ、H13を職種別従事者数へ、H14を採用率と離職率の差へ改めた）。④第5章の全5基本目標を「現状と課題／関連データ／施策の方向性／主な事業／達成目標」の5層構成に改めた。⑤第6章に24時間対応3サービスの確保方策を位置づけ、施設・居住系の定員据置き方針を見直した。⑥資料編に基本指針の新別表11事項への対応表と図表番号一覧を新設した。</t>
        </is>
      </c>
      <c r="E6" s="5" t="inlineStr">
        <is>
          <t>妥当性検証報告書24シート、修正指示書66件（区分A 20件／B 25件／C 21件）、第10期基本指針案 別表</t>
        </is>
      </c>
      <c r="F6" s="5" t="inlineStr">
        <is>
          <t>第2章第3節・第4節
第3章第4節
第4章第3節
第5章全体
第6章第4節
資料6・資料7</t>
        </is>
      </c>
    </row>
    <row r="7" ht="140" customHeight="1">
      <c r="A7" s="4" t="inlineStr">
        <is>
          <t>令和8年7月29日　是正版</t>
        </is>
      </c>
      <c r="B7" s="4" t="inlineStr">
        <is>
          <t>R8.7.29</t>
        </is>
      </c>
      <c r="C7" s="5" t="inlineStr">
        <is>
          <t>記述の是正</t>
        </is>
      </c>
      <c r="D7" s="5" t="inlineStr">
        <is>
          <t>受託者の自己点検（自己点検記録）及び主張の根拠水準の点検により、推論・仮説を断定形で記述していた10箇所を是正した。①「〜に由来する」を要因の特定を意味しない表現に改めた（給付水準の要因、訪問介護の利用強度）。②地域密着型通所介護の給付減について「稼働率の低下による」を「稼働率の低下が疑われる」に改めた。③朗根内地区の訪問・通所困難地域の判定について、判定の根拠となる事業所の実施地域を確認していないことを明記した。④施設入所志向について「支え手の有無で決まる」を「支え手の有無と強く結びついている」に改めた。</t>
        </is>
      </c>
      <c r="E7" s="5" t="inlineStr">
        <is>
          <t>受託者の自己点検（指摘26件）、受託者の自己点検（主張46件・断定8件）</t>
        </is>
      </c>
      <c r="F7" s="5" t="inlineStr">
        <is>
          <t>第1章第7節
第2章第2節・第3節
第3章</t>
        </is>
      </c>
    </row>
    <row r="8" ht="140" customHeight="1">
      <c r="A8" s="4" t="inlineStr">
        <is>
          <t>令和8年7月30日　本文反映版</t>
        </is>
      </c>
      <c r="B8" s="4" t="inlineStr">
        <is>
          <t>R8.7.30</t>
        </is>
      </c>
      <c r="C8" s="5" t="inlineStr">
        <is>
          <t>本文への反映</t>
        </is>
      </c>
      <c r="D8" s="5" t="inlineStr">
        <is>
          <t>受領した見える化の各系列（δ 自給率、D49 地域差指数、C1 保険料、A 人口）による分析結果を本文に反映した。①第2章第2節1を「給付水準の高さの要因」から「給付水準の位置」に改め、地域差指数の4要素を並列で示し、掛け合わせても給付月額の指数に一致しないことを明記した。あわせて上川管内における位置（8〜10位）と17年間の推移（管内1位から12位、伸び率は管内16位）を追加した。②第2章第3節に「区域内の事業所による給付の割合（介護サービス自給率）」を新設し、3町の区分別の自給率と区域外の事業所による給付の割合を掲載した。③第3章第5節に「長期でみた到達点」を新設し、給付水準・認定率・財政の長期の推移を整理した。第10期の重点を重度化防止から介護予防へ移す根拠を明記した。④第6章第6節に保険料と必要保険料月額との関係（管内21保険者中6のみ剰余）を追加した。⑤第1章第6節に推計の見直しの手順を新設し、階級別認定率の実績を年次評価で確認する仕組みを位置づけた。⑥第2章第8節の中長期推計の表を新推計に差し替え、総給付費は第3段階での算定を待つため［要確認］とした。⑦資料6の別表「五」を「一部対応」から「対応済」に改めた。</t>
        </is>
      </c>
      <c r="E8" s="5" t="inlineStr">
        <is>
          <t>地域差の分析（15シート）、人口推計の基礎の検証（9シート）、将来推計（8シート）、受託者の自己点検</t>
        </is>
      </c>
      <c r="F8" s="5" t="inlineStr">
        <is>
          <t>第1章第6節
第2章第2節・第3節・第8節
第3章第5節
第6章第6節
資料6</t>
        </is>
      </c>
    </row>
    <row r="9" ht="140" customHeight="1">
      <c r="A9" s="4" t="inlineStr">
        <is>
          <t>令和8年7月30日　将来推計反映版</t>
        </is>
      </c>
      <c r="B9" s="4" t="inlineStr">
        <is>
          <t>R8.7.30</t>
        </is>
      </c>
      <c r="C9" s="5" t="inlineStr">
        <is>
          <t>将来推計の着手</t>
        </is>
      </c>
      <c r="D9" s="5" t="inlineStr">
        <is>
          <t>人口推計の基礎について社人研推計を受託者の案とし、これを作業上の前提として仮に置いたうえで、将来推計の第1段階（人口と認定者数）を試算した。①第2章第1節に人口推計の基礎と第9期計画との差の理由を記載する。②第6章第1節の認定者数の見込みに3シナリオの算定結果を反映する。③第10期期間中は65歳以上人口がほぼ横ばいで、増えるのは80〜84歳と85歳以上のみであることを明記する。</t>
        </is>
      </c>
      <c r="E9" s="5" t="inlineStr">
        <is>
          <t>見える化A系列、将来推計（8シート）</t>
        </is>
      </c>
      <c r="F9" s="5" t="inlineStr">
        <is>
          <t>第2章第1節
第6章第1節</t>
        </is>
      </c>
    </row>
    <row r="10" ht="140" customHeight="1">
      <c r="A10" s="4" t="inlineStr">
        <is>
          <t>令和8年7月30日　地域差反映版</t>
        </is>
      </c>
      <c r="B10" s="4" t="inlineStr">
        <is>
          <t>R8.7.30</t>
        </is>
      </c>
      <c r="C10" s="5" t="inlineStr">
        <is>
          <t>地域差の分析の反映</t>
        </is>
      </c>
      <c r="D10" s="5" t="inlineStr">
        <is>
          <t>見える化δ（介護サービス自給率）・D49（地域差指数）・C1（保険料と必要額）の受領により、地域差の分析（15シート）を作成し、本文の記述を改めた。①第7期の保険料基準額6,077円を原典で確認し［要確認］を外した。②地域差指数の3要素の分解による按分の記述を撤回した（受給率×受給者単価は給付月額指数に一致しない）。③給付水準の評価に管内の位置と長期の推移を加えた（管内8〜10位、17年間の伸びは管内16位）。④施設・居住系の給付のうち区域外の事業所によるものの割合を確定した（東川23.2％・美瑛24.7％・東神楽34.5％）。</t>
        </is>
      </c>
      <c r="E10" s="5" t="inlineStr">
        <is>
          <t>地域差の分析（15シート）、受託者の自己点検 No.27〜29</t>
        </is>
      </c>
      <c r="F10" s="5" t="inlineStr">
        <is>
          <t>第2章第2節・第3節
第3章第5節
第6章第5節・第6節</t>
        </is>
      </c>
    </row>
    <row r="11" ht="140" customHeight="1">
      <c r="A11" s="4" t="inlineStr">
        <is>
          <t>令和8年7月29日　体裁整理版</t>
        </is>
      </c>
      <c r="B11" s="4" t="inlineStr">
        <is>
          <t>R8.7.29</t>
        </is>
      </c>
      <c r="C11" s="5" t="inlineStr">
        <is>
          <t>体裁の整理</t>
        </is>
      </c>
      <c r="D11" s="5" t="inlineStr">
        <is>
          <t>①表紙の【前版からの主な変更】の表（6行）を削除し、本表01シートへ移した。②目次の【新設】4箇所及びページ番号に関する注記を削除し、本表02シートへ移した。③本文の注記56箇所のうち42箇所を削除し、確認事項として本表03・04シートへ移した。本文に残したのは、図表を読むために必要な出典・単位・欠測・数値の性質及び記号の意味の14箇所である。④巻末の「本素案の取扱い」の段落を削除し、本表01シートへ移した。⑤削除した注記のうち計画の読み手に必要な内容は、注記ではなく本文の文中に移した（第1章第7節の訪問・通所困難地域の考え方、第1章第9節の特定地域の判定単位及び基準②のもう一方の要件）。</t>
        </is>
      </c>
      <c r="E11" s="5" t="inlineStr">
        <is>
          <t>発注者からの指示（令和8年7月29日）</t>
        </is>
      </c>
      <c r="F11" s="5" t="inlineStr">
        <is>
          <t>表紙
目次
本文全体
巻末</t>
        </is>
      </c>
    </row>
    <row r="12" ht="140" customHeight="1">
      <c r="A12" s="4" t="inlineStr">
        <is>
          <t>令和8年8月31日　受領資料反映版</t>
        </is>
      </c>
      <c r="B12" s="4" t="inlineStr">
        <is>
          <t>R8.8.31</t>
        </is>
      </c>
      <c r="C12" s="5" t="inlineStr">
        <is>
          <t>受領資料の本文反映</t>
        </is>
      </c>
      <c r="D12" s="5" t="inlineStr">
        <is>
          <t>令和8年8月28日及び31日に受領した資料を本文に反映した。①第2章第1節4の介護保険特別会計の推移に令和6年度の決算額と介護給付費準備基金の残高を加えた。②第3章第1節2の通いの場の統計に総合事業ベースの令和6年度実績（25箇所・330人・参加率3.53％）を加え、「平成29年度をピークに低下している」という記述を「令和2年度を底に回復したが国の水準8％を大きく下回る」に改めた。③第3章第2節に地域支援事業費の決算（183,384,259円）、通いの場の町別の展開状況、一般介護予防事業の実施状況を加えた。④第3章第3節に第9期の対計画比（主要8指標）と計画との乖離が大きい9サービスの表を新設した。⑤第4章第3節の代表KPI H15の基準値を確定した（令和6年度▲3.66％・令和7年度▲2.17％）。⑥第6章第3節2の地域支援事業費に令和6年度の決算の内訳を入れ、［要内訳］4件のうち3件を外した。⑦第6章第6節に見える化システムによる期別の保険料基準額、介護給付費準備基金の状況、保険料収納率と所得段階別被保険者数の実績を加えた。⑧第6章第3節3に標準給付費見込額（A）・地域支援事業費（B）・合計（①）を追加し、第6章第6節2に受託者による暫定算定（基本ケース月額6,740円）と前提を動かした場合の幅を加えた。</t>
        </is>
      </c>
      <c r="E12" s="5" t="inlineStr">
        <is>
          <t>見える化総括表の受領点検（7シート）、総合事業実施状況調査の受領点検（5シート）、年報月報の受領点検、令和6年度決算書の受領点検、基金条例の確認、将来推計 第3段階（給付費と保険料）</t>
        </is>
      </c>
      <c r="F12" s="5" t="inlineStr">
        <is>
          <t>第2章第1節
第3章第1〜3節
第4章第3節
第6章第3節・第6節</t>
        </is>
      </c>
    </row>
    <row r="13" ht="140" customHeight="1">
      <c r="A13" s="4" t="inlineStr">
        <is>
          <t>令和8年9月15日　生活実態反映版</t>
        </is>
      </c>
      <c r="B13" s="4" t="inlineStr">
        <is>
          <t>R8.9.15</t>
        </is>
      </c>
      <c r="C13" s="5" t="inlineStr">
        <is>
          <t>調査結果の本文反映</t>
        </is>
      </c>
      <c r="D13" s="5" t="inlineStr">
        <is>
          <t>健康とくらしの調査（4,729票）の結果を第2章第4節に反映した。同節は4段落・表1のみであったものを30段落・表8とした。①調査の対象者の範囲（要支援者・要介護者を含まないこと、他の調査と合算しないこと）を明記した。②主要指標の町別、年齢調整後の町間の差の検定（有意7項目・有意でない4項目）を掲げた。③同規模保険者40との比較（課題5・同等1）を掲げた。④社会参加及び暮らし向きとの関連を掲げた（フレイル該当割合は暮らし向きが大変苦しい層42.7％に対し大変ゆとりがある層6.8％）。⑤地区の定義（小学校区とするか）は［要確認］のまま残した。</t>
        </is>
      </c>
      <c r="E13" s="5" t="inlineStr">
        <is>
          <t>調査クロス集計・分析（24シート）、健康とくらしの調査の集計値（個票は収録しない）</t>
        </is>
      </c>
      <c r="F13" s="5" t="inlineStr">
        <is>
          <t>第2章第4節</t>
        </is>
      </c>
    </row>
    <row r="14" ht="140" customHeight="1">
      <c r="A14" s="4" t="inlineStr">
        <is>
          <t>令和8年9月16日　見込量反映版</t>
        </is>
      </c>
      <c r="B14" s="4" t="inlineStr">
        <is>
          <t>R8.9.16</t>
        </is>
      </c>
      <c r="C14" s="5" t="inlineStr">
        <is>
          <t>見込量・給付費・保険料の反映</t>
        </is>
      </c>
      <c r="D14" s="5" t="inlineStr">
        <is>
          <t>サービス見込量の算定 第1次概算（18シート）の結果を本文に反映した。本文の数値は算定のスクリプトから引いており、固定値を書き写していない。①第6章第1節に要介護度別の認定者数の表を加えた（年齢階級ごとの要介護度の構成を令和7年度末で固定し、年齢階級別認定者数に乗じたもの。合計は認定者数と一致する）。②第6章第2節の見込量を、見える化システムの自然体推計値から令和7年度の年報（要介護度別・広域連合単位）を基準とする受託者の算定に置き換えた。表頭の「R8実績」を「R7実績」に改めた。③同節に（4）利用回（日）数を加えた（介護保険法第117条第2項第1号の記載事項）。④同節2の介護予防給付サービスを要支援1・2の内訳により掲げた（従前は介護給付との内訳が確定できないとしていたもの）。⑤第6章第3節1の給付費を要介護度別の算定に置き換えた。基準年度では見える化システムの総括表詳細を円単位で再現する。⑥同節2に介護予防・日常生活支援総合事業及び一般介護予防事業の量の見込みを加えた（同項第2号の記載事項）。⑦同節3の総給付費等を算定の値に改め、令和17年度・令和22年度の総給付費を加えた。⑧第6章第6節の暫定算定を月額6,740円から6,436円に改め、給付費の置き方によるちがい（要介護度別・一律・見える化）を加えた。前提を動かした場合の幅に介護報酬改定率を加えた。⑨第6章第6節4の保険料算定表に記号A〜Jの年度別の額を入れた（従前は「―」であったもの）。</t>
        </is>
      </c>
      <c r="E14" s="5" t="inlineStr">
        <is>
          <t>サービス見込量の算定 第1次概算（18シート・自己点検22件）、年報（令和7年度）の要介護度別明細、将来推計 第1段階（人口と認定者数）・第3段階（給付費と保険料）</t>
        </is>
      </c>
      <c r="F14" s="5" t="inlineStr">
        <is>
          <t>第6章第1節
第6章第2節
第6章第3節
第6章第6節</t>
        </is>
      </c>
    </row>
    <row r="15" ht="140" customHeight="1">
      <c r="A15" s="4" t="inlineStr">
        <is>
          <t>令和8年9月24日　調査所見反映版</t>
        </is>
      </c>
      <c r="B15" s="4" t="inlineStr">
        <is>
          <t>R8.9.24</t>
        </is>
      </c>
      <c r="C15" s="5" t="inlineStr">
        <is>
          <t>実施済み調査の所見の反映</t>
        </is>
      </c>
      <c r="D15" s="5" t="inlineStr">
        <is>
          <t>アンケート調査の集計分析報告書の所見のうち、取扱いの決定を要しないものを本文に反映した。①第1章第7節に通常の事業の実施地域による確認（訪問系・通所系5サービスの町別のカバー）を加えた。②第2章第3節に運営法人の状況（実75事業所を28法人が運営し、上位6法人が39事業所＝52.0％）を加えた。③第6章第4節に区域内の入居状況と当広域連合の被保険者の受給者数の対照及び供給の担い手の集中を加えた。定員に対する当連合の被保険者の受給者数の割合が低いことは区域内に空きがあることを意味しないことを明記した。④第6章第5節に入所の経路からみた整備の考え方（新規入所の57.0％・退去先の47.0％が病院・診療所）を加えた。</t>
        </is>
      </c>
      <c r="E15" s="5" t="inlineStr">
        <is>
          <t>アンケート調査の集計分析報告書（15シート）、実施済み調査 結果報告書、北海道の指定事業所一覧</t>
        </is>
      </c>
      <c r="F15" s="5" t="inlineStr">
        <is>
          <t>第1章第7節
第2章第3節
第2章第6節
第6章第4節
第6章第5節</t>
        </is>
      </c>
    </row>
    <row r="16" ht="140" customHeight="1">
      <c r="A16" s="4" t="inlineStr">
        <is>
          <t>令和8年9月25日　整合是正・認知症施策反映版</t>
        </is>
      </c>
      <c r="B16" s="4" t="inlineStr">
        <is>
          <t>R8.9.25</t>
        </is>
      </c>
      <c r="C16" s="5" t="inlineStr">
        <is>
          <t>指標の整合の是正と認知症施策の実施状況の反映</t>
        </is>
      </c>
      <c r="D16" s="5" t="inlineStr">
        <is>
          <t>①代表KPI16項目の名称・定義・算式・基準値を1か所にまとめ、第4章第3節・各基本目標の達成目標・資料1が同じ定義を掲げる形に改めた（従前は当初の定義と代理指標の定義が併存していた）。②在宅生活改善調査による基準値の分母を設問ごとの有効回答に改めた（在宅生活の維持の見通し 72÷98＝73.5％、区域内で提供できないサービスが必要と判断された利用者の割合 20÷99＝20.2％）。③通いの場参加率（総合事業ベース）を第5章 基本目標2でも令和6年度3.53％に統一した。④特定施設の入居率を施設別（98.3％・97.0％）に改め、時点の異なる合計は参考値と明記した。⑤第2章第2節5の町別の給付費の注を、3町のファイルの合計と広域連合単位のファイルが要介護度ごとに一致することに改めた。⑥第6章第3節2の地域支援事業の量の出典を総合事業の実施状況に関する調査に改めた。⑦第5章 基本目標2に認知症初期集中支援推進事業の実施状況を加えた（構成3町が担当チームを設置しているが、令和7年度は美瑛町が対応件数0件で医師を確保できず休止している）。施策の方向性に体制の確認と再開の見通しの整理を、主な事業の目標に稼働している町数を加えた。</t>
        </is>
      </c>
      <c r="E16" s="5" t="inlineStr">
        <is>
          <t>アンケート調査の集計分析報告書（15シート・自己点検11件）、在宅生活改善調査による代表KPIの基準値、給付費データ集計（令和7年度の再提供分）、地域包括支援センター事業実施報告書（構成3町）</t>
        </is>
      </c>
      <c r="F16" s="5" t="inlineStr">
        <is>
          <t>第2章第2節
第2章第3節
第2章第4節
第4章第3節
第5章 基本目標2・4
第6章第3節
第6章第4節
資料1</t>
        </is>
      </c>
    </row>
    <row r="18" ht="18" customHeight="1">
      <c r="A18" s="6" t="inlineStr">
        <is>
          <t>【本素案の取扱い（巻末の段落から移動）】</t>
        </is>
      </c>
    </row>
    <row r="19" ht="76" customHeight="1">
      <c r="A19" s="5" t="inlineStr">
        <is>
          <t>本書は、第9期計画の章立てと体裁を踏襲しつつ、第10期の国の検討方向、第9期の課題評価、構成3町の高齢者福祉計画、及び地域包括ケア「見える化」システムのデータによる妥当性検証を反映したものである。第2章にサービス提供体制の節、第3章に交付金評価の節を新設し、第5章をロジックモデルの5層構成に改めた。代表KPIのデータ源を指標ごとに確定した。事業所調査、供給制約、制度改正等が未確定の箇所は、確定値を推測せず［要内訳］［要確認］又は［要協議］としている。</t>
        </is>
      </c>
      <c r="B19" s="9" t="n"/>
      <c r="C19" s="9" t="n"/>
      <c r="D19" s="9" t="n"/>
      <c r="E19" s="9" t="n"/>
      <c r="F19" s="8" t="n"/>
    </row>
    <row r="21" ht="18" customHeight="1">
      <c r="A21" s="6" t="inlineStr">
        <is>
          <t>【今後の版の予定】</t>
        </is>
      </c>
    </row>
    <row r="22" ht="28" customHeight="1">
      <c r="A22" s="3" t="inlineStr">
        <is>
          <t>版</t>
        </is>
      </c>
      <c r="B22" s="3" t="inlineStr">
        <is>
          <t>予定時期</t>
        </is>
      </c>
      <c r="C22" s="3" t="inlineStr">
        <is>
          <t>反映する内容</t>
        </is>
      </c>
      <c r="D22" s="3" t="inlineStr"/>
      <c r="E22" s="3" t="inlineStr"/>
      <c r="F22" s="3" t="inlineStr">
        <is>
          <t>前提となる確認事項</t>
        </is>
      </c>
    </row>
    <row r="23" ht="52" customHeight="1">
      <c r="A23" s="4" t="inlineStr">
        <is>
          <t>協議用素案（令和8年9月時点）</t>
        </is>
      </c>
      <c r="B23" s="4" t="inlineStr">
        <is>
          <t>R8.9</t>
        </is>
      </c>
      <c r="C23" s="5" t="inlineStr">
        <is>
          <t>本表03・04シートの確認事項の決定内容を反映する。健康とくらしの調査の分析結果（調査クロス集計・分析24シート）を第2章第4節・第5章基本目標1へ反映する。</t>
        </is>
      </c>
      <c r="D23" s="9" t="n"/>
      <c r="E23" s="8" t="n"/>
      <c r="F23" s="5" t="inlineStr">
        <is>
          <t>03シートA1〜A22
04シートB1〜B28</t>
        </is>
      </c>
    </row>
    <row r="24" ht="52" customHeight="1">
      <c r="A24" s="4" t="inlineStr">
        <is>
          <t>計画骨子案</t>
        </is>
      </c>
      <c r="B24" s="4" t="inlineStr">
        <is>
          <t>R8.10</t>
        </is>
      </c>
      <c r="C24" s="5" t="inlineStr">
        <is>
          <t>策定委員会での意見を反映する。第9期の事業実績（令和6〜8年度）によるプロセス評価を第3章へ反映する。</t>
        </is>
      </c>
      <c r="D24" s="9" t="n"/>
      <c r="E24" s="8" t="n"/>
      <c r="F24" s="5" t="inlineStr">
        <is>
          <t>資料提供依頼No.13</t>
        </is>
      </c>
    </row>
    <row r="25" ht="52" customHeight="1">
      <c r="A25" s="4" t="inlineStr">
        <is>
          <t>計画素案（提出版）</t>
        </is>
      </c>
      <c r="B25" s="4" t="inlineStr">
        <is>
          <t>R8.12</t>
        </is>
      </c>
      <c r="C25" s="5" t="inlineStr">
        <is>
          <t>将来推計の確定値、保険料の試算、施設整備方針を反映する。</t>
        </is>
      </c>
      <c r="D25" s="9" t="n"/>
      <c r="E25" s="8" t="n"/>
      <c r="F25" s="5" t="inlineStr">
        <is>
          <t>資料提供依頼No.6・No.7・No.9・No.11</t>
        </is>
      </c>
    </row>
    <row r="26" ht="52" customHeight="1">
      <c r="A26" s="4" t="inlineStr">
        <is>
          <t>計画最終案</t>
        </is>
      </c>
      <c r="B26" s="4" t="inlineStr">
        <is>
          <t>R9.2</t>
        </is>
      </c>
      <c r="C26" s="5" t="inlineStr">
        <is>
          <t>パブリックコメントの結果を反映する。</t>
        </is>
      </c>
      <c r="D26" s="9" t="n"/>
      <c r="E26" s="8" t="n"/>
      <c r="F26" s="5" t="inlineStr">
        <is>
          <t>―</t>
        </is>
      </c>
    </row>
    <row r="28" ht="96" customHeight="1">
      <c r="A28" s="10" t="inlineStr">
        <is>
          <t>注1）第9期計画の表紙及び巻末には変更履歴の記載がない。計画は完成した文書として住民・委員に示すものであり、作成の過程は本表で管理する。注2）版の履歴は、成果品の納品時に発注者へ本表として提出する。計画本文（Word）には含めない。注3）令和8年7月29日の是正内容の詳細は、受託者の自己点検及び受託者の自己点検に記載している。</t>
        </is>
      </c>
    </row>
  </sheetData>
  <mergeCells count="9">
    <mergeCell ref="A2:F2"/>
    <mergeCell ref="A28:F28"/>
    <mergeCell ref="A19:F19"/>
    <mergeCell ref="C23:E23"/>
    <mergeCell ref="C26:E26"/>
    <mergeCell ref="A18:F18"/>
    <mergeCell ref="A21:F21"/>
    <mergeCell ref="C25:E25"/>
    <mergeCell ref="C24:E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5" customWidth="1" min="1" max="1"/>
    <col width="13" customWidth="1" min="2" max="2"/>
    <col width="30" customWidth="1" min="3" max="3"/>
    <col width="10" customWidth="1" min="4" max="4"/>
    <col width="40" customWidth="1" min="5" max="5"/>
    <col width="30" customWidth="1" min="6" max="6"/>
    <col width="13" customWidth="1" min="7" max="7"/>
  </cols>
  <sheetData>
    <row r="1" ht="22" customHeight="1">
      <c r="A1" s="1" t="inlineStr">
        <is>
          <t>目次の新設・変更箇所</t>
        </is>
      </c>
    </row>
    <row r="2" ht="46" customHeight="1">
      <c r="A2" s="2" t="inlineStr">
        <is>
          <t>前稿からの新設・変更箇所を節単位で記録する。目次は計画の構成を示すものであるため、本文の目次からは【新設】等の注記を削除した。</t>
        </is>
      </c>
    </row>
    <row r="4" ht="28" customHeight="1">
      <c r="A4" s="3" t="inlineStr">
        <is>
          <t>No.</t>
        </is>
      </c>
      <c r="B4" s="3" t="inlineStr">
        <is>
          <t>章</t>
        </is>
      </c>
      <c r="C4" s="3" t="inlineStr">
        <is>
          <t>節・資料</t>
        </is>
      </c>
      <c r="D4" s="3" t="inlineStr">
        <is>
          <t>区分</t>
        </is>
      </c>
      <c r="E4" s="3" t="inlineStr">
        <is>
          <t>新設・変更の内容</t>
        </is>
      </c>
      <c r="F4" s="3" t="inlineStr">
        <is>
          <t>根拠</t>
        </is>
      </c>
      <c r="G4" s="3" t="inlineStr">
        <is>
          <t>追加した版</t>
        </is>
      </c>
    </row>
    <row r="5" ht="64" customHeight="1">
      <c r="A5" s="4" t="n">
        <v>1</v>
      </c>
      <c r="B5" s="4" t="inlineStr">
        <is>
          <t>第2章</t>
        </is>
      </c>
      <c r="C5" s="5" t="inlineStr">
        <is>
          <t>第3節 サービス提供体制の状況</t>
        </is>
      </c>
      <c r="D5" s="11" t="inlineStr">
        <is>
          <t>新設</t>
        </is>
      </c>
      <c r="E5" s="5" t="inlineStr">
        <is>
          <t>区域内の事業所数・従事者数・定員を全28サービス種別について整理し、事業所が存在しない11種別を明示する節を新設した。第10期基本指針案の別表 七が求める稼働率・入所率の把握に対応する。</t>
        </is>
      </c>
      <c r="F5" s="5" t="inlineStr">
        <is>
          <t>見える化K1-a〜e・K2-a〜c・K3-a〜t、M2-a〜m</t>
        </is>
      </c>
      <c r="G5" s="4" t="inlineStr">
        <is>
          <t>令和8年7月</t>
        </is>
      </c>
    </row>
    <row r="6" ht="64" customHeight="1">
      <c r="A6" s="4" t="n">
        <v>2</v>
      </c>
      <c r="B6" s="4" t="inlineStr">
        <is>
          <t>第3章</t>
        </is>
      </c>
      <c r="C6" s="5" t="inlineStr">
        <is>
          <t>第4節 保険者機能強化推進交付金等による外部評価</t>
        </is>
      </c>
      <c r="D6" s="11" t="inlineStr">
        <is>
          <t>新設</t>
        </is>
      </c>
      <c r="E6" s="5" t="inlineStr">
        <is>
          <t>交付金の評価得点による外部評価を第9期の評価に位置づける節を新設した。総合得点、目標別・指標群別の得点、0点項目を整理する。</t>
        </is>
      </c>
      <c r="F6" s="5" t="inlineStr">
        <is>
          <t>見える化W126〜W145</t>
        </is>
      </c>
      <c r="G6" s="4" t="inlineStr">
        <is>
          <t>令和8年7月</t>
        </is>
      </c>
    </row>
    <row r="7" ht="64" customHeight="1">
      <c r="A7" s="4" t="n">
        <v>3</v>
      </c>
      <c r="B7" s="4" t="inlineStr">
        <is>
          <t>資料編</t>
        </is>
      </c>
      <c r="C7" s="5" t="inlineStr">
        <is>
          <t>資料6 基本指針の新別表への対応</t>
        </is>
      </c>
      <c r="D7" s="11" t="inlineStr">
        <is>
          <t>新設</t>
        </is>
      </c>
      <c r="E7" s="5" t="inlineStr">
        <is>
          <t>第10期基本指針に新設される別表「確認すべき指標・状況」11事項について、当広域連合の対応状況とデータ源を示す対応表を新設した。</t>
        </is>
      </c>
      <c r="F7" s="5" t="inlineStr">
        <is>
          <t>第10期基本指針案 別表（令和8年6月29日素案）</t>
        </is>
      </c>
      <c r="G7" s="4" t="inlineStr">
        <is>
          <t>令和8年7月</t>
        </is>
      </c>
    </row>
    <row r="8" ht="64" customHeight="1">
      <c r="A8" s="4" t="n">
        <v>4</v>
      </c>
      <c r="B8" s="4" t="inlineStr">
        <is>
          <t>資料編</t>
        </is>
      </c>
      <c r="C8" s="5" t="inlineStr">
        <is>
          <t>資料7 図表番号一覧</t>
        </is>
      </c>
      <c r="D8" s="11" t="inlineStr">
        <is>
          <t>新設</t>
        </is>
      </c>
      <c r="E8" s="5" t="inlineStr">
        <is>
          <t>本文及び図表集の図表を通し番号で一覧化し、掲載区分（本文／資料編／参考）と図表集のシート名を対応させた。</t>
        </is>
      </c>
      <c r="F8" s="5" t="inlineStr">
        <is>
          <t>成果品仕様（図表の加工可能な形式での納品）</t>
        </is>
      </c>
      <c r="G8" s="4" t="inlineStr">
        <is>
          <t>令和8年7月</t>
        </is>
      </c>
    </row>
    <row r="9" ht="64" customHeight="1">
      <c r="A9" s="4" t="n">
        <v>5</v>
      </c>
      <c r="B9" s="4" t="inlineStr">
        <is>
          <t>第5章</t>
        </is>
      </c>
      <c r="C9" s="5" t="inlineStr">
        <is>
          <t>基本目標1〜5</t>
        </is>
      </c>
      <c r="D9" s="12" t="inlineStr">
        <is>
          <t>構成の変更</t>
        </is>
      </c>
      <c r="E9" s="5" t="inlineStr">
        <is>
          <t>全5基本目標を「現状と課題／関連データ／施策の方向性／主な事業（インプット・アウトプット）／達成目標（アウトカム）」の5層構成に改めた。節の名称は変更していない。</t>
        </is>
      </c>
      <c r="F9" s="5" t="inlineStr">
        <is>
          <t>北海道第9期計画 第5章、第10期基本指針案 第一 二 4</t>
        </is>
      </c>
      <c r="G9" s="4" t="inlineStr">
        <is>
          <t>令和8年7月</t>
        </is>
      </c>
    </row>
    <row r="10" ht="64" customHeight="1">
      <c r="A10" s="4" t="n">
        <v>6</v>
      </c>
      <c r="B10" s="4" t="inlineStr">
        <is>
          <t>第1章</t>
        </is>
      </c>
      <c r="C10" s="5" t="inlineStr">
        <is>
          <t>第9節 介護保険制度改正の主な内容</t>
        </is>
      </c>
      <c r="D10" s="12" t="inlineStr">
        <is>
          <t>内容の追加</t>
        </is>
      </c>
      <c r="E10" s="5" t="inlineStr">
        <is>
          <t>特定地域（中山間・人口減少地域）の創設、特定地域居宅サービス等事業、介護療養型医療施設の廃止に関する内容を追加した。節の名称は変更していない。</t>
        </is>
      </c>
      <c r="F10" s="5" t="inlineStr">
        <is>
          <t>第135回社会保障審議会介護保険部会 資料2-1・資料3</t>
        </is>
      </c>
      <c r="G10" s="4" t="inlineStr">
        <is>
          <t>令和8年7月</t>
        </is>
      </c>
    </row>
    <row r="12" ht="18" customHeight="1">
      <c r="A12" s="6" t="inlineStr">
        <is>
          <t>【本文の目次から削除した記載】</t>
        </is>
      </c>
    </row>
    <row r="13" ht="28" customHeight="1">
      <c r="A13" s="3" t="inlineStr">
        <is>
          <t>削除した記載</t>
        </is>
      </c>
      <c r="B13" s="3" t="inlineStr">
        <is>
          <t>削除の理由</t>
        </is>
      </c>
      <c r="C13" s="3" t="inlineStr"/>
      <c r="D13" s="3" t="inlineStr"/>
      <c r="E13" s="3" t="inlineStr"/>
      <c r="F13" s="3" t="inlineStr">
        <is>
          <t>移した先</t>
        </is>
      </c>
      <c r="G13" s="3" t="inlineStr"/>
    </row>
    <row r="14" ht="44" customHeight="1">
      <c r="A14" s="13" t="inlineStr">
        <is>
          <t>節名末尾の【新設】（4箇所）</t>
        </is>
      </c>
      <c r="B14" s="5" t="inlineStr">
        <is>
          <t>目次は計画の構成を示すものであり、前稿からの追加であることは計画の読み手には関係がない。第9期計画の目次にも同種の注記はない。</t>
        </is>
      </c>
      <c r="C14" s="9" t="n"/>
      <c r="D14" s="9" t="n"/>
      <c r="E14" s="8" t="n"/>
      <c r="F14" s="5" t="inlineStr">
        <is>
          <t>本シート上表</t>
        </is>
      </c>
      <c r="G14" s="8" t="n"/>
    </row>
    <row r="15" ht="44" customHeight="1">
      <c r="A15" s="13" t="inlineStr">
        <is>
          <t>※ページ番号は最終組版時に更新します。</t>
        </is>
      </c>
      <c r="B15" s="5" t="inlineStr">
        <is>
          <t>受託者と発注者の間の作業に関する事項である。最終組版時にページ番号を付すことは成果品仕様で定めている。</t>
        </is>
      </c>
      <c r="C15" s="9" t="n"/>
      <c r="D15" s="9" t="n"/>
      <c r="E15" s="8" t="n"/>
      <c r="F15" s="5" t="inlineStr">
        <is>
          <t>業務工程管理表 04_成果品管理</t>
        </is>
      </c>
      <c r="G15" s="8" t="n"/>
    </row>
    <row r="16" ht="44" customHeight="1">
      <c r="A16" s="13" t="inlineStr">
        <is>
          <t>【新設】は前版からの追加です。</t>
        </is>
      </c>
      <c r="B16" s="5" t="inlineStr">
        <is>
          <t>変更履歴に関する記載であり、計画本文に置かない。</t>
        </is>
      </c>
      <c r="C16" s="9" t="n"/>
      <c r="D16" s="9" t="n"/>
      <c r="E16" s="8" t="n"/>
      <c r="F16" s="5" t="inlineStr">
        <is>
          <t>本シート上表・01シート</t>
        </is>
      </c>
      <c r="G16" s="8" t="n"/>
    </row>
    <row r="18" ht="96" customHeight="1">
      <c r="A18" s="10" t="inlineStr">
        <is>
          <t>注1）ページ番号は、成果品の最終組版時に自動生成する。目次のページ番号欄は、Wordの目次フィールドにより本文の見出しから生成する方針とし、手入力しない。注2）第9期計画の目次は章・節までを掲載している。第10期も同じ階層とし、第5章の基本目標1〜5は節と同じ階層に置いている。注3）節の新設・統合・名称変更が生じた場合は本シートに追記する。施策単位の新旧対応は「施策体系新旧対照表」で管理する。</t>
        </is>
      </c>
    </row>
  </sheetData>
  <mergeCells count="9">
    <mergeCell ref="A18:G18"/>
    <mergeCell ref="F15:G15"/>
    <mergeCell ref="F16:G16"/>
    <mergeCell ref="A12:G12"/>
    <mergeCell ref="B16:E16"/>
    <mergeCell ref="B15:E15"/>
    <mergeCell ref="A2:G2"/>
    <mergeCell ref="F14:G14"/>
    <mergeCell ref="B14:E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34" customWidth="1" min="3" max="3"/>
    <col width="40" customWidth="1" min="4" max="4"/>
    <col width="34" customWidth="1" min="5" max="5"/>
    <col width="18" customWidth="1" min="6" max="6"/>
    <col width="9" customWidth="1" min="7" max="7"/>
    <col width="9" customWidth="1" min="8" max="8"/>
    <col width="20" customWidth="1" min="9" max="9"/>
  </cols>
  <sheetData>
    <row r="1" ht="22" customHeight="1">
      <c r="A1" s="1" t="inlineStr">
        <is>
          <t>打合せ確認事項A　計画の文言について</t>
        </is>
      </c>
    </row>
    <row r="2" ht="46" customHeight="1">
      <c r="A2" s="2" t="inlineStr">
        <is>
          <t>計画に何をどう書くかについて、打合せで確認いただく事項。決定すれば本文の文言が確定する。本文の注記から移したものを含む。「本文の該当箇所」は、決定内容を反映する箇所である。</t>
        </is>
      </c>
    </row>
    <row r="4" ht="32" customHeight="1">
      <c r="A4" s="3" t="inlineStr">
        <is>
          <t>No.</t>
        </is>
      </c>
      <c r="B4" s="3" t="inlineStr">
        <is>
          <t>章節</t>
        </is>
      </c>
      <c r="C4" s="3" t="inlineStr">
        <is>
          <t>確認事項</t>
        </is>
      </c>
      <c r="D4" s="3" t="inlineStr">
        <is>
          <t>背景（本文の注記から移した内容）</t>
        </is>
      </c>
      <c r="E4" s="3" t="inlineStr">
        <is>
          <t>確認をお願いする内容</t>
        </is>
      </c>
      <c r="F4" s="3" t="inlineStr">
        <is>
          <t>決定の主体</t>
        </is>
      </c>
      <c r="G4" s="3" t="inlineStr">
        <is>
          <t>状態</t>
        </is>
      </c>
      <c r="H4" s="3" t="inlineStr">
        <is>
          <t>期限</t>
        </is>
      </c>
      <c r="I4" s="3" t="inlineStr">
        <is>
          <t>決定内容</t>
        </is>
      </c>
    </row>
    <row r="5" ht="88" customHeight="1">
      <c r="A5" s="4" t="n">
        <v>1</v>
      </c>
      <c r="B5" s="5" t="inlineStr">
        <is>
          <t>第1章第5節
資料2</t>
        </is>
      </c>
      <c r="C5" s="5" t="inlineStr">
        <is>
          <t>3町計画への共通KPIの掲載</t>
        </is>
      </c>
      <c r="D5" s="5" t="inlineStr">
        <is>
          <t>第9期においては、東川町が令和6〜8年度を対象とする事業の数値目標を6事業10項目以上設定している一方、美瑛町・東神楽町は事業の数値目標を設定していない。広域連合の代表KPIの検証に参画することを明記していたのも東川町のみである。</t>
        </is>
      </c>
      <c r="E5" s="5" t="inlineStr">
        <is>
          <t>第10期において、3町の高齢者福祉計画に共通KPIを掲載していただけるか。掲載する場合の定義・基準時点をそろえる方法。東川町の様式を他の2町に共有してよいか。</t>
        </is>
      </c>
      <c r="F5" s="5" t="inlineStr">
        <is>
          <t>発注者・3町</t>
        </is>
      </c>
      <c r="G5" s="14" t="inlineStr">
        <is>
          <t>確認待ち</t>
        </is>
      </c>
      <c r="H5" s="4" t="inlineStr">
        <is>
          <t>R8.9</t>
        </is>
      </c>
      <c r="I5" s="5" t="inlineStr"/>
    </row>
    <row r="6" ht="88" customHeight="1">
      <c r="A6" s="4" t="n">
        <v>2</v>
      </c>
      <c r="B6" s="5" t="inlineStr">
        <is>
          <t>第1章第6節</t>
        </is>
      </c>
      <c r="C6" s="5" t="inlineStr">
        <is>
          <t>自己評価の様式と評価の段階</t>
        </is>
      </c>
      <c r="D6" s="5" t="inlineStr">
        <is>
          <t>自己評価は、手引きが示す「取組と目標に対する自己評価シート」の様式により作成し、評価を◎達成できた・○概ね達成できた・△達成はやや不十分・×全く達成できなかったの4段階とする案としている。データ源が確保できず算定できない指標は「評価不能」とし、理由・代替指標・改善期限を記録する案としている。</t>
        </is>
      </c>
      <c r="E6" s="5" t="inlineStr">
        <is>
          <t>この様式と4段階の評価区分を計画本文に位置づけてよいか。「評価不能」の扱いを本文に明記してよいか。</t>
        </is>
      </c>
      <c r="F6" s="5" t="inlineStr">
        <is>
          <t>発注者</t>
        </is>
      </c>
      <c r="G6" s="14" t="inlineStr">
        <is>
          <t>確認待ち</t>
        </is>
      </c>
      <c r="H6" s="4" t="inlineStr">
        <is>
          <t>R8.9</t>
        </is>
      </c>
      <c r="I6" s="5" t="inlineStr"/>
    </row>
    <row r="7" ht="88" customHeight="1">
      <c r="A7" s="4" t="n">
        <v>3</v>
      </c>
      <c r="B7" s="5" t="inlineStr">
        <is>
          <t>第1章第6節</t>
        </is>
      </c>
      <c r="C7" s="5" t="inlineStr">
        <is>
          <t>各年度7〜9月の関係者間共有の位置づけ</t>
        </is>
      </c>
      <c r="D7" s="5" t="inlineStr">
        <is>
          <t>各年度7〜9月の関係者間共有は、保険者機能強化推進交付金の評価項目「計画等の進捗状況の評価結果を関係者間で共有し、自立支援・重度化防止等に資する取組を検討しているか」に対応する。第9期においてこの項目が0点であったため、第10期では手順として計画本文に位置づける案としている。</t>
        </is>
      </c>
      <c r="E7" s="5" t="inlineStr">
        <is>
          <t>交付金の評価項目に対応することを目的として、共有の時期・出席者・記録の方法を本文に書き込んでよいか。</t>
        </is>
      </c>
      <c r="F7" s="5" t="inlineStr">
        <is>
          <t>発注者</t>
        </is>
      </c>
      <c r="G7" s="14" t="inlineStr">
        <is>
          <t>確認待ち</t>
        </is>
      </c>
      <c r="H7" s="4" t="inlineStr">
        <is>
          <t>R8.9</t>
        </is>
      </c>
      <c r="I7" s="5" t="inlineStr"/>
    </row>
    <row r="8" ht="88" customHeight="1">
      <c r="A8" s="4" t="n">
        <v>4</v>
      </c>
      <c r="B8" s="5" t="inlineStr">
        <is>
          <t>第1章第7節</t>
        </is>
      </c>
      <c r="C8" s="5" t="inlineStr">
        <is>
          <t>統計単位と整備単位を分ける圏域の設定</t>
        </is>
      </c>
      <c r="D8" s="5" t="inlineStr">
        <is>
          <t>介護保険法第117条第2項第1号は、地理的条件、人口、交通事情その他の社会的条件、施設の整備の状況等を勘案して圏域を定めることを求めている。統計単位（小学校区等）と整備単位（現行6圏域）を分けることはこの規定と矛盾しない。</t>
        </is>
      </c>
      <c r="E8" s="5" t="inlineStr">
        <is>
          <t>圏域を統計単位と整備単位に分けて記載する方針でよいか。分ける場合の本文での説明の仕方。</t>
        </is>
      </c>
      <c r="F8" s="5" t="inlineStr">
        <is>
          <t>発注者・策定委員会</t>
        </is>
      </c>
      <c r="G8" s="14" t="inlineStr">
        <is>
          <t>確認待ち</t>
        </is>
      </c>
      <c r="H8" s="4" t="inlineStr">
        <is>
          <t>R8.9</t>
        </is>
      </c>
      <c r="I8" s="5" t="inlineStr"/>
    </row>
    <row r="9" ht="88" customHeight="1">
      <c r="A9" s="4" t="n">
        <v>5</v>
      </c>
      <c r="B9" s="5" t="inlineStr">
        <is>
          <t>第1章第7節</t>
        </is>
      </c>
      <c r="C9" s="5" t="inlineStr">
        <is>
          <t>訪問・通所困難地域の定義</t>
        </is>
      </c>
      <c r="D9" s="5" t="inlineStr">
        <is>
          <t>第10期基本指針案の別表 一は「特に訪問・通所困難地域がある場合は、当該地域へのアクセスや社会資源の状況等を確認」することを求めているが、該当の判定基準は示されていない。本計画では、事業者が運営規程に定める「通常の事業の実施地域」に着目し、区域内のいずれの訪問系・通所系事業所の実施地域にも含まれない区域を訪問・通所困難地域と定義する案としている。</t>
        </is>
      </c>
      <c r="E9" s="5" t="inlineStr">
        <is>
          <t>この定義を計画本文に置いてよいか。定義を置く場合、判定の結果（該当地区名）を本文に記載するか、資料編にとどめるか。</t>
        </is>
      </c>
      <c r="F9" s="5" t="inlineStr">
        <is>
          <t>発注者・北海道</t>
        </is>
      </c>
      <c r="G9" s="14" t="inlineStr">
        <is>
          <t>確認待ち</t>
        </is>
      </c>
      <c r="H9" s="4" t="inlineStr">
        <is>
          <t>R8.10</t>
        </is>
      </c>
      <c r="I9" s="5" t="inlineStr"/>
    </row>
    <row r="10" ht="88" customHeight="1">
      <c r="A10" s="4" t="n">
        <v>6</v>
      </c>
      <c r="B10" s="5" t="inlineStr">
        <is>
          <t>第1章第9節</t>
        </is>
      </c>
      <c r="C10" s="5" t="inlineStr">
        <is>
          <t>介護療養型医療施設・介護医療院の不在の記述</t>
        </is>
      </c>
      <c r="D10" s="5" t="inlineStr">
        <is>
          <t>区域内には介護療養型医療施設及び介護医療院がいずれも存在しない。慢性期医療及び看取りの受け皿は区域外に依存しており、北海道及び上川中部圏域との調整を要する。</t>
        </is>
      </c>
      <c r="E10" s="5" t="inlineStr">
        <is>
          <t>「区域外に依存している」という表現を本文に用いてよいか。北海道との調整を要する事項として明記してよいか。</t>
        </is>
      </c>
      <c r="F10" s="5" t="inlineStr">
        <is>
          <t>発注者・北海道</t>
        </is>
      </c>
      <c r="G10" s="14" t="inlineStr">
        <is>
          <t>確認待ち</t>
        </is>
      </c>
      <c r="H10" s="4" t="inlineStr">
        <is>
          <t>R8.9</t>
        </is>
      </c>
      <c r="I10" s="5" t="inlineStr"/>
    </row>
    <row r="11" ht="88" customHeight="1">
      <c r="A11" s="4" t="n">
        <v>7</v>
      </c>
      <c r="B11" s="5" t="inlineStr">
        <is>
          <t>第1章第9節
資料6</t>
        </is>
      </c>
      <c r="C11" s="5" t="inlineStr">
        <is>
          <t>告示前の制度改正内容の記載の仕方</t>
        </is>
      </c>
      <c r="D11" s="5" t="inlineStr">
        <is>
          <t>特定地域の基準及び基本指針の新別表は令和8年6月29日に素案として示されたものであり、告示前である。</t>
        </is>
      </c>
      <c r="E11" s="5" t="inlineStr">
        <is>
          <t>告示前の内容を本文に記載する範囲。「案」であることの注記の仕方（本文に書くか、資料編にとどめるか）。</t>
        </is>
      </c>
      <c r="F11" s="5" t="inlineStr">
        <is>
          <t>発注者</t>
        </is>
      </c>
      <c r="G11" s="14" t="inlineStr">
        <is>
          <t>確認待ち</t>
        </is>
      </c>
      <c r="H11" s="4" t="inlineStr">
        <is>
          <t>R8.9</t>
        </is>
      </c>
      <c r="I11" s="5" t="inlineStr"/>
    </row>
    <row r="12" ht="88" customHeight="1">
      <c r="A12" s="4" t="n">
        <v>8</v>
      </c>
      <c r="B12" s="5" t="inlineStr">
        <is>
          <t>第2章第2節</t>
        </is>
      </c>
      <c r="C12" s="5" t="inlineStr">
        <is>
          <t>訪問介護の利用回数の評価の表現</t>
        </is>
      </c>
      <c r="D12" s="5" t="inlineStr">
        <is>
          <t>訪問介護の利用回数が全国の1.87倍であることについて、利用回数の高さだけで過剰・不適正と判定せず、利用者像、提供時間、生活援助比率、地域の移動制約及び代替サービスの有無を確認する方針としている。</t>
        </is>
      </c>
      <c r="E12" s="5" t="inlineStr">
        <is>
          <t>「過剰・不適正と判定しない」という方針を本文に明記してよいか。給付適正化の文脈との書き分け方。</t>
        </is>
      </c>
      <c r="F12" s="5" t="inlineStr">
        <is>
          <t>発注者</t>
        </is>
      </c>
      <c r="G12" s="14" t="inlineStr">
        <is>
          <t>確認待ち</t>
        </is>
      </c>
      <c r="H12" s="4" t="inlineStr">
        <is>
          <t>R8.9</t>
        </is>
      </c>
      <c r="I12" s="5" t="inlineStr"/>
    </row>
    <row r="13" ht="88" customHeight="1">
      <c r="A13" s="4" t="n">
        <v>9</v>
      </c>
      <c r="B13" s="5" t="inlineStr">
        <is>
          <t>第2章第3節</t>
        </is>
      </c>
      <c r="C13" s="5" t="inlineStr">
        <is>
          <t>事業所が存在しないサービスの記述の強さ</t>
        </is>
      </c>
      <c r="D13" s="5" t="inlineStr">
        <is>
          <t>「事業所がないこと」と「給付がないこと」は別である。福祉用具貸与のように区域内に事業所がなくても区域外の事業所により給付が行われているサービスがある。一方、定期巡回・夜間対応・看護小規模多機能は給付もほぼゼロであり、サービスそのものが区域内の高齢者に届いていない。</t>
        </is>
      </c>
      <c r="E13" s="5" t="inlineStr">
        <is>
          <t>「サービスが届いていない」という表現を本文に用いてよいか。事業者に対する記述として受け取られないための書き方。</t>
        </is>
      </c>
      <c r="F13" s="5" t="inlineStr">
        <is>
          <t>発注者・策定委員会</t>
        </is>
      </c>
      <c r="G13" s="14" t="inlineStr">
        <is>
          <t>確認待ち</t>
        </is>
      </c>
      <c r="H13" s="4" t="inlineStr">
        <is>
          <t>R8.9</t>
        </is>
      </c>
      <c r="I13" s="5" t="inlineStr"/>
    </row>
    <row r="14" ht="88" customHeight="1">
      <c r="A14" s="4" t="n">
        <v>10</v>
      </c>
      <c r="B14" s="5" t="inlineStr">
        <is>
          <t>第2章第8節</t>
        </is>
      </c>
      <c r="C14" s="5" t="inlineStr">
        <is>
          <t>圏域を越えた利用の記述</t>
        </is>
      </c>
      <c r="D14" s="5" t="inlineStr">
        <is>
          <t>上川中部圏域の定期巡回・看護小規模多機能は旭川市に集中していると考えられるため、圏域を越えた利用の可否の確認を要する。</t>
        </is>
      </c>
      <c r="E14" s="5" t="inlineStr">
        <is>
          <t>圏域を越えた利用について本文に記載するか。記載する場合、旭川市名を明記してよいか。</t>
        </is>
      </c>
      <c r="F14" s="5" t="inlineStr">
        <is>
          <t>発注者・北海道</t>
        </is>
      </c>
      <c r="G14" s="14" t="inlineStr">
        <is>
          <t>確認待ち</t>
        </is>
      </c>
      <c r="H14" s="4" t="inlineStr">
        <is>
          <t>R8.10</t>
        </is>
      </c>
      <c r="I14" s="5" t="inlineStr"/>
    </row>
    <row r="15" ht="88" customHeight="1">
      <c r="A15" s="4" t="n">
        <v>11</v>
      </c>
      <c r="B15" s="5" t="inlineStr">
        <is>
          <t>第3章第1節</t>
        </is>
      </c>
      <c r="C15" s="5" t="inlineStr">
        <is>
          <t>第9期代表KPIの評価の表現</t>
        </is>
      </c>
      <c r="D15" s="5" t="inlineStr">
        <is>
          <t>代表KPI①の目標は「令和5年度の実績を維持」であり、認定率の引下げを目標としたものではない。代表KPI③の目標は2時点の外挿であり、そこから更に低下を見込む根拠は薄い。未達ではあるものの実態が悪化したとは言えない。</t>
        </is>
      </c>
      <c r="E15" s="5" t="inlineStr">
        <is>
          <t>「未達であるが実態が悪化したとは言えない」という評価を本文に書いてよいか。第9期の目標設定の限界に触れる範囲。</t>
        </is>
      </c>
      <c r="F15" s="5" t="inlineStr">
        <is>
          <t>発注者・策定委員会</t>
        </is>
      </c>
      <c r="G15" s="14" t="inlineStr">
        <is>
          <t>確認待ち</t>
        </is>
      </c>
      <c r="H15" s="4" t="inlineStr">
        <is>
          <t>R8.9</t>
        </is>
      </c>
      <c r="I15" s="5" t="inlineStr"/>
    </row>
    <row r="16" ht="88" customHeight="1">
      <c r="A16" s="4" t="n">
        <v>12</v>
      </c>
      <c r="B16" s="5" t="inlineStr">
        <is>
          <t>第3章第5節</t>
        </is>
      </c>
      <c r="C16" s="5" t="inlineStr">
        <is>
          <t>第9期評価の範囲の明示</t>
        </is>
      </c>
      <c r="D16" s="5" t="inlineStr">
        <is>
          <t>本章の施策評価は、計画上の目的・施策・指標のつながりを確認する構造評価である。令和6〜8年度の事業実績が確定していないため、施策単位の達成・未達の成果評価は実績の確定後に判定する。</t>
        </is>
      </c>
      <c r="E16" s="5" t="inlineStr">
        <is>
          <t>現時点の評価が構造評価であることを本文に明記してよいか。成果評価をいつの時点で行うかの記載。</t>
        </is>
      </c>
      <c r="F16" s="5" t="inlineStr">
        <is>
          <t>発注者</t>
        </is>
      </c>
      <c r="G16" s="14" t="inlineStr">
        <is>
          <t>確認待ち</t>
        </is>
      </c>
      <c r="H16" s="4" t="inlineStr">
        <is>
          <t>R8.9</t>
        </is>
      </c>
      <c r="I16" s="5" t="inlineStr"/>
    </row>
    <row r="17" ht="88" customHeight="1">
      <c r="A17" s="4" t="n">
        <v>13</v>
      </c>
      <c r="B17" s="5" t="inlineStr">
        <is>
          <t>第4章第3節</t>
        </is>
      </c>
      <c r="C17" s="5" t="inlineStr">
        <is>
          <t>目標値の設定方針</t>
        </is>
      </c>
      <c r="D17" s="5" t="inlineStr">
        <is>
          <t>目標値は、第9期実績、健康とくらしの調査、在宅生活改善調査、居所変更実態調査及び2029年・2040年推計に基づいて設定する。認定率や利用率は一律に低下を目標とせず、適正水準と要因を評価する。</t>
        </is>
      </c>
      <c r="E17" s="5" t="inlineStr">
        <is>
          <t>「一律に低下を目標としない」という方針を本文に明記してよいか。</t>
        </is>
      </c>
      <c r="F17" s="5" t="inlineStr">
        <is>
          <t>発注者・策定委員会</t>
        </is>
      </c>
      <c r="G17" s="14" t="inlineStr">
        <is>
          <t>確認待ち</t>
        </is>
      </c>
      <c r="H17" s="4" t="inlineStr">
        <is>
          <t>R8.9</t>
        </is>
      </c>
      <c r="I17" s="5" t="inlineStr"/>
    </row>
    <row r="18" ht="88" customHeight="1">
      <c r="A18" s="4" t="n">
        <v>14</v>
      </c>
      <c r="B18" s="5" t="inlineStr">
        <is>
          <t>第5章 基本目標5</t>
        </is>
      </c>
      <c r="C18" s="5" t="inlineStr">
        <is>
          <t>給付適正化における住宅改修等の点検の記載</t>
        </is>
      </c>
      <c r="D18" s="5" t="inlineStr">
        <is>
          <t>住宅改修及び福祉用具の点検は、令和8年7月8日公表の「介護給付適正化における住宅改修等の点検および福祉用具購入・貸与調査の取組促進について」（介護保険最新情報Vol.1521）の手引き第二版を参照し、地域の判断基準、多職種連携、保険者間の相談体制を整備する案としている。</t>
        </is>
      </c>
      <c r="E18" s="5" t="inlineStr">
        <is>
          <t>手引き第二版に沿った取組を主な事業として本文に位置づけてよいか。保険者間の相談体制について、上川管内の他保険者との連携を書いてよいか。</t>
        </is>
      </c>
      <c r="F18" s="5" t="inlineStr">
        <is>
          <t>発注者</t>
        </is>
      </c>
      <c r="G18" s="14" t="inlineStr">
        <is>
          <t>確認待ち</t>
        </is>
      </c>
      <c r="H18" s="4" t="inlineStr">
        <is>
          <t>R8.10</t>
        </is>
      </c>
      <c r="I18" s="5" t="inlineStr"/>
    </row>
    <row r="19" ht="88" customHeight="1">
      <c r="A19" s="4" t="n">
        <v>15</v>
      </c>
      <c r="B19" s="5" t="inlineStr">
        <is>
          <t>第6章第4節</t>
        </is>
      </c>
      <c r="C19" s="5" t="inlineStr">
        <is>
          <t>24時間対応サービスの確保方策の決定手順</t>
        </is>
      </c>
      <c r="D19" s="5" t="inlineStr">
        <is>
          <t>確保方策の決定に当たっては、①要介護4・5の在宅生活者の夜間・深夜のニーズ、②事業者の参入意向、③旭川市の事業所の受入可能性、④特定地域居宅サービス等事業の適用可否の4点を踏まえる案としている。第10期基本指針案は、まず人材確保・生産性向上の支援を行い、それでもなおやむを得ない場合に特例を検討する順序を示しているが、当広域連合では当該3サービスの事業者自体が存在せず「まず支援する対象」がない。</t>
        </is>
      </c>
      <c r="E19" s="5" t="inlineStr">
        <is>
          <t>この4点を確保方策の検討の枠組みとして本文に書いてよいか。「支援する対象がない」ことについて北海道と協議する旨を本文に書いてよいか。</t>
        </is>
      </c>
      <c r="F19" s="5" t="inlineStr">
        <is>
          <t>発注者・北海道</t>
        </is>
      </c>
      <c r="G19" s="14" t="inlineStr">
        <is>
          <t>確認待ち</t>
        </is>
      </c>
      <c r="H19" s="4" t="inlineStr">
        <is>
          <t>R8.10</t>
        </is>
      </c>
      <c r="I19" s="5" t="inlineStr"/>
    </row>
    <row r="20" ht="88" customHeight="1">
      <c r="A20" s="4" t="n">
        <v>16</v>
      </c>
      <c r="B20" s="5" t="inlineStr">
        <is>
          <t>第6章第4節</t>
        </is>
      </c>
      <c r="C20" s="5" t="inlineStr">
        <is>
          <t>介護医療院・介護療養型医療施設の見込量の記述</t>
        </is>
      </c>
      <c r="D20" s="5" t="inlineStr">
        <is>
          <t>介護医療院は区域内に施設がなく、区域外の施設の利用によるものである。介護療養型医療施設も区域内には存在しない（令和6年度に制度上廃止）。慢性期医療及び看取りの受け皿が区域内にないことは、医療計画・地域医療構想との整合において確認を要する。</t>
        </is>
      </c>
      <c r="E20" s="5" t="inlineStr">
        <is>
          <t>区域外の施設の利用として見込量を計上する方針でよいか。医療計画との整合について本文に記載する範囲。</t>
        </is>
      </c>
      <c r="F20" s="5" t="inlineStr">
        <is>
          <t>発注者・北海道</t>
        </is>
      </c>
      <c r="G20" s="14" t="inlineStr">
        <is>
          <t>確認待ち</t>
        </is>
      </c>
      <c r="H20" s="4" t="inlineStr">
        <is>
          <t>R8.10</t>
        </is>
      </c>
      <c r="I20" s="5" t="inlineStr"/>
    </row>
    <row r="21" ht="88" customHeight="1">
      <c r="A21" s="4" t="n">
        <v>17</v>
      </c>
      <c r="B21" s="5" t="inlineStr">
        <is>
          <t>第6章第7節</t>
        </is>
      </c>
      <c r="C21" s="5" t="inlineStr">
        <is>
          <t>未利用の理由の把握の記述</t>
        </is>
      </c>
      <c r="D21" s="5" t="inlineStr">
        <is>
          <t>認定を受けながらサービスを利用していない方が504人（認定者の25.7％）おり、うち経済的理由によるものがあるかの確認を要する。</t>
        </is>
      </c>
      <c r="E21" s="5" t="inlineStr">
        <is>
          <t>低所得者支援の節で未利用者に触れてよいか。触れる場合、経済的理由が要因の一つであることの書き方。</t>
        </is>
      </c>
      <c r="F21" s="5" t="inlineStr">
        <is>
          <t>発注者</t>
        </is>
      </c>
      <c r="G21" s="14" t="inlineStr">
        <is>
          <t>確認待ち</t>
        </is>
      </c>
      <c r="H21" s="4" t="inlineStr">
        <is>
          <t>R8.10</t>
        </is>
      </c>
      <c r="I21" s="5" t="inlineStr"/>
    </row>
    <row r="22" ht="88" customHeight="1">
      <c r="A22" s="4" t="n">
        <v>18</v>
      </c>
      <c r="B22" s="5" t="inlineStr">
        <is>
          <t>資料2</t>
        </is>
      </c>
      <c r="C22" s="5" t="inlineStr">
        <is>
          <t>3町の用語の統一</t>
        </is>
      </c>
      <c r="D22" s="5" t="inlineStr">
        <is>
          <t>第9期の3町計画では用語の使い方に相違があった。「フレイル」は美瑛町27回、東神楽町2回に対し東川町は0回、「地域包括ケアシステム」を東川町は「地域ケアシステム」と表記している。移動支援は東川町・美瑛町が施策化しているが、広域計画に対応する施策がない。</t>
        </is>
      </c>
      <c r="E22" s="5" t="inlineStr">
        <is>
          <t>第10期で用語を統一する方針でよいか。統一する用語の範囲。移動支援を広域計画の基本目標2に接続してよいか。</t>
        </is>
      </c>
      <c r="F22" s="5" t="inlineStr">
        <is>
          <t>発注者・3町</t>
        </is>
      </c>
      <c r="G22" s="14" t="inlineStr">
        <is>
          <t>確認待ち</t>
        </is>
      </c>
      <c r="H22" s="4" t="inlineStr">
        <is>
          <t>R8.9</t>
        </is>
      </c>
      <c r="I22" s="5" t="inlineStr"/>
    </row>
    <row r="23" ht="88" customHeight="1">
      <c r="A23" s="4" t="n">
        <v>19</v>
      </c>
      <c r="B23" s="5" t="inlineStr">
        <is>
          <t>資料2</t>
        </is>
      </c>
      <c r="C23" s="5" t="inlineStr">
        <is>
          <t>町固有の事業量・目標の管理主体</t>
        </is>
      </c>
      <c r="D23" s="5" t="inlineStr">
        <is>
          <t>共通KPIは同じ定義・基準時点で町別値を集計し、町固有の事業量・目標は各町計画で管理し、広域連合は認定・給付・供給・財政との関係を分析して委員会へ報告する案としている。</t>
        </is>
      </c>
      <c r="E23" s="5" t="inlineStr">
        <is>
          <t>この役割分担を資料2に明記してよいか。</t>
        </is>
      </c>
      <c r="F23" s="5" t="inlineStr">
        <is>
          <t>発注者・3町</t>
        </is>
      </c>
      <c r="G23" s="14" t="inlineStr">
        <is>
          <t>確認待ち</t>
        </is>
      </c>
      <c r="H23" s="4" t="inlineStr">
        <is>
          <t>R8.9</t>
        </is>
      </c>
      <c r="I23" s="5" t="inlineStr"/>
    </row>
    <row r="24" ht="88" customHeight="1">
      <c r="A24" s="4" t="n">
        <v>20</v>
      </c>
      <c r="B24" s="5" t="inlineStr">
        <is>
          <t>資料3</t>
        </is>
      </c>
      <c r="C24" s="5" t="inlineStr">
        <is>
          <t>評価不能の取扱い</t>
        </is>
      </c>
      <c r="D24" s="5" t="inlineStr">
        <is>
          <t>未提出・定義不一致の場合は評価不能として扱い、参考値であること、欠測理由、代替指標及び改善期限を年次評価票に記録する案としている。</t>
        </is>
      </c>
      <c r="E24" s="5" t="inlineStr">
        <is>
          <t>評価不能の取扱いを年次評価スコアカードに位置づけてよいか。</t>
        </is>
      </c>
      <c r="F24" s="5" t="inlineStr">
        <is>
          <t>発注者</t>
        </is>
      </c>
      <c r="G24" s="14" t="inlineStr">
        <is>
          <t>確認待ち</t>
        </is>
      </c>
      <c r="H24" s="4" t="inlineStr">
        <is>
          <t>R8.9</t>
        </is>
      </c>
      <c r="I24" s="5" t="inlineStr"/>
    </row>
    <row r="25" ht="88" customHeight="1">
      <c r="A25" s="4" t="n">
        <v>21</v>
      </c>
      <c r="B25" s="5" t="inlineStr">
        <is>
          <t>図表全体</t>
        </is>
      </c>
      <c r="C25" s="5" t="inlineStr">
        <is>
          <t>本文に掲載する図表の点数</t>
        </is>
      </c>
      <c r="D25" s="5" t="inlineStr">
        <is>
          <t>図表の実体は別冊の図表集（33シート133点）にある。本文に掲載する33点は白黒印刷を前提に、色ではなく濃淡・ハッチング・線種・マーカーで系列を区別している。図表集の「09_ニーズ調査グラフ」には健康とくらしの調査の20指標について年齢階級別・町別あわせて41点を収録している。</t>
        </is>
      </c>
      <c r="E25" s="5" t="inlineStr">
        <is>
          <t>本文に何点まで掲載するか。成果品仕様（本文約100頁）との関係。白黒印刷を前提とする方針でよいか。</t>
        </is>
      </c>
      <c r="F25" s="5" t="inlineStr">
        <is>
          <t>発注者・策定委員会</t>
        </is>
      </c>
      <c r="G25" s="14" t="inlineStr">
        <is>
          <t>確認待ち</t>
        </is>
      </c>
      <c r="H25" s="4" t="inlineStr">
        <is>
          <t>R8.9</t>
        </is>
      </c>
      <c r="I25" s="5" t="inlineStr"/>
    </row>
    <row r="26" ht="88" customHeight="1">
      <c r="A26" s="4" t="n">
        <v>23</v>
      </c>
      <c r="B26" s="5" t="inlineStr">
        <is>
          <t>図表全体</t>
        </is>
      </c>
      <c r="C26" s="5" t="inlineStr">
        <is>
          <t>介護サービス自給率（δ）の計画本文への掲載</t>
        </is>
      </c>
      <c r="D26" s="5" t="inlineStr">
        <is>
          <t>見える化δ（介護サービス自給率）を令和8年7月30日に受領した。同指標には「本指標は自治体向けのため取り扱いに注意」と明記されている。3町の算定可能区分の単純平均（美瑛6区分、東川・東神楽5区分）は美瑛77.5％・東川67.1％・東神楽63.2％である。</t>
        </is>
      </c>
      <c r="E26" s="5" t="inlineStr">
        <is>
          <t>δを計画本文及び図表集に掲載してよいか。掲載できない場合、分析資料にとどめ本文には所見のみを記述する。</t>
        </is>
      </c>
      <c r="F26" s="5" t="inlineStr">
        <is>
          <t>発注者</t>
        </is>
      </c>
      <c r="G26" s="14" t="inlineStr">
        <is>
          <t>確認待ち</t>
        </is>
      </c>
      <c r="H26" s="4" t="inlineStr">
        <is>
          <t>R8.8</t>
        </is>
      </c>
      <c r="I26" s="5" t="inlineStr"/>
    </row>
    <row r="27" ht="88" customHeight="1">
      <c r="A27" s="4" t="n">
        <v>24</v>
      </c>
      <c r="B27" s="5" t="inlineStr">
        <is>
          <t>第6章第5節</t>
        </is>
      </c>
      <c r="C27" s="5" t="inlineStr">
        <is>
          <t>給付費の地域内還流を整備の意義として位置づけるか</t>
        </is>
      </c>
      <c r="D27" s="5" t="inlineStr">
        <is>
          <t>3町の自給率が63〜78％であることから、給付費の22〜37％相当が区域外の事業所に向かっている。区域内整備には、サービスへのアクセスの確保に加えて給付費の地域内還流という意義がある。</t>
        </is>
      </c>
      <c r="E27" s="5" t="inlineStr">
        <is>
          <t>区域内整備の意義として給付費の地域内還流を位置づけるか。介護分野を地域の産業として扱うかは方針の選択である。</t>
        </is>
      </c>
      <c r="F27" s="5" t="inlineStr">
        <is>
          <t>発注者・策定委員会</t>
        </is>
      </c>
      <c r="G27" s="14" t="inlineStr">
        <is>
          <t>確認待ち</t>
        </is>
      </c>
      <c r="H27" s="4" t="inlineStr">
        <is>
          <t>R8.10</t>
        </is>
      </c>
      <c r="I27" s="5" t="inlineStr"/>
    </row>
    <row r="28" ht="88" customHeight="1">
      <c r="A28" s="4" t="n">
        <v>25</v>
      </c>
      <c r="B28" s="5" t="inlineStr">
        <is>
          <t>第3章第5節</t>
        </is>
      </c>
      <c r="C28" s="5" t="inlineStr">
        <is>
          <t>給付水準の評価に管内の位置と長期の推移を加えるか</t>
        </is>
      </c>
      <c r="D28" s="5" t="inlineStr">
        <is>
          <t>給付月額指数1.08は全国を8％上回るが、上川管内21保険者では8〜10位で管内中位値1.05に近い。平成21年度は管内1位であった給付月額が令和7年度は12位となり、17年間の伸び率＋25.1％は管内16位（管内平均＋46.4％）である。</t>
        </is>
      </c>
      <c r="E28" s="5" t="inlineStr">
        <is>
          <t>第9期の評価を「水準は全国を上回るが管内では平均並みであり、17年間の伸びは管内で小さい」という両面の記述に改めてよいか。</t>
        </is>
      </c>
      <c r="F28" s="5" t="inlineStr">
        <is>
          <t>発注者・策定委員会</t>
        </is>
      </c>
      <c r="G28" s="14" t="inlineStr">
        <is>
          <t>確認待ち</t>
        </is>
      </c>
      <c r="H28" s="4" t="inlineStr">
        <is>
          <t>R8.9</t>
        </is>
      </c>
      <c r="I28" s="5" t="inlineStr"/>
    </row>
    <row r="29" ht="88" customHeight="1">
      <c r="A29" s="4" t="n">
        <v>22</v>
      </c>
      <c r="B29" s="5" t="inlineStr">
        <is>
          <t>第2章第1節</t>
        </is>
      </c>
      <c r="C29" s="5" t="inlineStr">
        <is>
          <t>第9期計画との人口の基準の違いの説明</t>
        </is>
      </c>
      <c r="D29" s="5" t="inlineStr">
        <is>
          <t>第9期計画の人口・高齢化率は住民基本台帳（各年10月1日現在）による。第10期の推計及び見える化のデータは国勢調査及び社人研推計によるため、同じ令和5年でも総人口で382人、高齢化率で1.1ポイントの差が生じる。</t>
        </is>
      </c>
      <c r="E29" s="5" t="inlineStr">
        <is>
          <t>基準を国勢調査・社人研に統一する方針を本文に明記してよいか。第9期計画の数値と一致しないことを本文で説明する必要があるか。</t>
        </is>
      </c>
      <c r="F29" s="5" t="inlineStr">
        <is>
          <t>発注者・策定委員会</t>
        </is>
      </c>
      <c r="G29" s="14" t="inlineStr">
        <is>
          <t>確認待ち</t>
        </is>
      </c>
      <c r="H29" s="4" t="inlineStr">
        <is>
          <t>R8.9</t>
        </is>
      </c>
      <c r="I29" s="5" t="inlineStr"/>
    </row>
    <row r="31" ht="28" customHeight="1">
      <c r="A31" s="3" t="inlineStr">
        <is>
          <t>区分</t>
        </is>
      </c>
      <c r="B31" s="3" t="inlineStr">
        <is>
          <t>件数</t>
        </is>
      </c>
      <c r="C31" s="3" t="inlineStr"/>
      <c r="D31" s="3" t="inlineStr"/>
      <c r="E31" s="3" t="inlineStr"/>
      <c r="F31" s="3" t="inlineStr"/>
      <c r="G31" s="3" t="inlineStr"/>
      <c r="H31" s="3" t="inlineStr"/>
      <c r="I31" s="3" t="inlineStr"/>
    </row>
    <row r="32" ht="18" customHeight="1">
      <c r="A32" s="11" t="inlineStr">
        <is>
          <t>完了</t>
        </is>
      </c>
      <c r="B32" s="4">
        <f>COUNTIF(G5:G29,"完了")</f>
        <v/>
      </c>
      <c r="C32" s="5" t="inlineStr"/>
      <c r="D32" s="5" t="inlineStr"/>
      <c r="E32" s="5" t="inlineStr"/>
      <c r="F32" s="5" t="inlineStr"/>
      <c r="G32" s="5" t="inlineStr"/>
      <c r="H32" s="5" t="inlineStr"/>
      <c r="I32" s="5" t="inlineStr"/>
    </row>
    <row r="33" ht="18" customHeight="1">
      <c r="A33" s="12" t="inlineStr">
        <is>
          <t>実施中</t>
        </is>
      </c>
      <c r="B33" s="4">
        <f>COUNTIF(G5:G29,"実施中")</f>
        <v/>
      </c>
      <c r="C33" s="5" t="inlineStr"/>
      <c r="D33" s="5" t="inlineStr"/>
      <c r="E33" s="5" t="inlineStr"/>
      <c r="F33" s="5" t="inlineStr"/>
      <c r="G33" s="5" t="inlineStr"/>
      <c r="H33" s="5" t="inlineStr"/>
      <c r="I33" s="5" t="inlineStr"/>
    </row>
    <row r="34" ht="18" customHeight="1">
      <c r="A34" s="14" t="inlineStr">
        <is>
          <t>確認待ち</t>
        </is>
      </c>
      <c r="B34" s="4">
        <f>COUNTIF(G5:G29,"確認待ち")</f>
        <v/>
      </c>
      <c r="C34" s="5" t="inlineStr"/>
      <c r="D34" s="5" t="inlineStr"/>
      <c r="E34" s="5" t="inlineStr"/>
      <c r="F34" s="5" t="inlineStr"/>
      <c r="G34" s="5" t="inlineStr"/>
      <c r="H34" s="5" t="inlineStr"/>
      <c r="I34" s="5" t="inlineStr"/>
    </row>
    <row r="35" ht="18" customHeight="1">
      <c r="A35" s="15" t="inlineStr">
        <is>
          <t>未着手</t>
        </is>
      </c>
      <c r="B35" s="4">
        <f>COUNTIF(G5:G29,"未着手")</f>
        <v/>
      </c>
      <c r="C35" s="5" t="inlineStr"/>
      <c r="D35" s="5" t="inlineStr"/>
      <c r="E35" s="5" t="inlineStr"/>
      <c r="F35" s="5" t="inlineStr"/>
      <c r="G35" s="5" t="inlineStr"/>
      <c r="H35" s="5" t="inlineStr"/>
      <c r="I35" s="5" t="inlineStr"/>
    </row>
    <row r="36" ht="18" customHeight="1">
      <c r="A36" s="16" t="inlineStr">
        <is>
          <t>対象外</t>
        </is>
      </c>
      <c r="B36" s="4">
        <f>COUNTIF(G5:G29,"対象外")</f>
        <v/>
      </c>
      <c r="C36" s="5" t="inlineStr"/>
      <c r="D36" s="5" t="inlineStr"/>
      <c r="E36" s="5" t="inlineStr"/>
      <c r="F36" s="5" t="inlineStr"/>
      <c r="G36" s="5" t="inlineStr"/>
      <c r="H36" s="5" t="inlineStr"/>
      <c r="I36" s="5" t="inlineStr"/>
    </row>
    <row r="38" ht="96" customHeight="1">
      <c r="A38" s="10" t="inlineStr">
        <is>
          <t>注1）本シートの25件は、いずれも「計画に何をどう書くか」の決定を求めるものである。数値そのものは確定しているか、又は本シートの決定とは独立に確定する。注2）決定の主体が策定委員会となるもの（No.4・9・11・13・21・22・24・25）は、第1回委員会の付議事項として整理する。注3）北海道との協議を要するもの（No.5・6・10・15・16）は、いずれも区域内に事業所・施設が存在しないことに起因する。北海道への照会を1回にまとめることを想定している。</t>
        </is>
      </c>
    </row>
  </sheetData>
  <mergeCells count="2">
    <mergeCell ref="A38:I38"/>
    <mergeCell ref="A2:I2"/>
  </mergeCells>
  <conditionalFormatting sqref="G5:G29">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3">
      <formula>"未着手"</formula>
    </cfRule>
    <cfRule type="cellIs" priority="5" operator="equal" dxfId="4">
      <formula>"対象外"</formula>
    </cfRule>
  </conditionalFormatting>
  <dataValidations count="1">
    <dataValidation sqref="G5:G29" showDropDown="0" showInputMessage="0" showErrorMessage="0" allowBlank="1" type="list">
      <formula1>"完了,実施中,確認待ち,未着手,対象外"</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2"/>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30" customWidth="1" min="3" max="3"/>
    <col width="40" customWidth="1" min="4" max="4"/>
    <col width="34" customWidth="1" min="5" max="5"/>
    <col width="16" customWidth="1" min="6" max="6"/>
    <col width="9" customWidth="1" min="7" max="7"/>
    <col width="9" customWidth="1" min="8" max="8"/>
    <col width="11" customWidth="1" min="9" max="9"/>
    <col width="14" customWidth="1" min="10" max="10"/>
  </cols>
  <sheetData>
    <row r="1" ht="22" customHeight="1">
      <c r="A1" s="1" t="inlineStr">
        <is>
          <t>打合せ確認事項B　数値等の計算根拠について</t>
        </is>
      </c>
    </row>
    <row r="2" ht="46" customHeight="1">
      <c r="A2" s="2" t="inlineStr">
        <is>
          <t>どのデータを用いてどう算定するかについて、確認いただく事項。決定すれば本文及び図表の数値が確定する。本文の注記から移したものを含む。資料の提供を要するものは、業務工程管理表06シートの依頼No.を示す。</t>
        </is>
      </c>
    </row>
    <row r="4" ht="32" customHeight="1">
      <c r="A4" s="3" t="inlineStr">
        <is>
          <t>No.</t>
        </is>
      </c>
      <c r="B4" s="3" t="inlineStr">
        <is>
          <t>章節</t>
        </is>
      </c>
      <c r="C4" s="3" t="inlineStr">
        <is>
          <t>確認事項</t>
        </is>
      </c>
      <c r="D4" s="3" t="inlineStr">
        <is>
          <t>背景（本文の注記から移した内容）</t>
        </is>
      </c>
      <c r="E4" s="3" t="inlineStr">
        <is>
          <t>確認をお願いする内容</t>
        </is>
      </c>
      <c r="F4" s="3" t="inlineStr">
        <is>
          <t>確定するもの</t>
        </is>
      </c>
      <c r="G4" s="3" t="inlineStr">
        <is>
          <t>状態</t>
        </is>
      </c>
      <c r="H4" s="3" t="inlineStr">
        <is>
          <t>期限</t>
        </is>
      </c>
      <c r="I4" s="3" t="inlineStr">
        <is>
          <t>資料依頼No.</t>
        </is>
      </c>
      <c r="J4" s="3" t="inlineStr">
        <is>
          <t>決定内容</t>
        </is>
      </c>
    </row>
    <row r="5" ht="96" customHeight="1">
      <c r="A5" s="4" t="n">
        <v>1</v>
      </c>
      <c r="B5" s="5" t="inlineStr">
        <is>
          <t>第1章第3節
第2章第5節</t>
        </is>
      </c>
      <c r="C5" s="5" t="inlineStr">
        <is>
          <t>家族の就業の状況・意向の把握方法</t>
        </is>
      </c>
      <c r="D5" s="5" t="inlineStr">
        <is>
          <t>第10期基本指針案は介護サービス見込量の把握方法として在宅介護実態調査を明示しているが、当広域連合では同調査を実施していない。健康とくらしの調査及び在宅生活改善調査の結果により把握する案としている。</t>
        </is>
      </c>
      <c r="E5" s="5" t="inlineStr">
        <is>
          <t>在宅介護実態調査を実施していないことを前提に、2調査により把握する方針でよいか。</t>
        </is>
      </c>
      <c r="F5" s="5" t="inlineStr">
        <is>
          <t>第2章第5節の記述と見込量の前提</t>
        </is>
      </c>
      <c r="G5" s="14" t="inlineStr">
        <is>
          <t>確認待ち</t>
        </is>
      </c>
      <c r="H5" s="4" t="inlineStr">
        <is>
          <t>R8.9</t>
        </is>
      </c>
      <c r="I5" s="4" t="inlineStr">
        <is>
          <t>No.14</t>
        </is>
      </c>
      <c r="J5" s="5" t="inlineStr"/>
    </row>
    <row r="6" ht="96" customHeight="1">
      <c r="A6" s="4" t="n">
        <v>2</v>
      </c>
      <c r="B6" s="5" t="inlineStr">
        <is>
          <t>第1章第8節</t>
        </is>
      </c>
      <c r="C6" s="5" t="inlineStr">
        <is>
          <t>北海道の評価指標の読替え</t>
        </is>
      </c>
      <c r="D6" s="5" t="inlineStr">
        <is>
          <t>北海道が管内の広域連合（道内24広域連合）に対して読替えの考え方を示している場合はそれに従う。北海道の評価指標のうち①地域包括支援センター運営状況調査の評価結果、⑥採用率と離職率の差、⑧給付適正化主要3事業の実施率の3項目は、既存の全国調査又は既存データから当広域連合についても算定できる。</t>
        </is>
      </c>
      <c r="E6" s="5" t="inlineStr">
        <is>
          <t>読替えの考え方が示されているか。3項目を第10期のKPIの補完指標として用いてよいか。</t>
        </is>
      </c>
      <c r="F6" s="5" t="inlineStr">
        <is>
          <t>資料2・資料6の対応表</t>
        </is>
      </c>
      <c r="G6" s="14" t="inlineStr">
        <is>
          <t>確認待ち</t>
        </is>
      </c>
      <c r="H6" s="4" t="inlineStr">
        <is>
          <t>R8.9</t>
        </is>
      </c>
      <c r="I6" s="4" t="inlineStr">
        <is>
          <t>―</t>
        </is>
      </c>
      <c r="J6" s="5" t="inlineStr"/>
    </row>
    <row r="7" ht="96" customHeight="1">
      <c r="A7" s="4" t="n">
        <v>3</v>
      </c>
      <c r="B7" s="5" t="inlineStr">
        <is>
          <t>第1章第9節</t>
        </is>
      </c>
      <c r="C7" s="5" t="inlineStr">
        <is>
          <t>特定地域の判定に用いる75歳以上人口</t>
        </is>
      </c>
      <c r="D7" s="5" t="inlineStr">
        <is>
          <t>75歳以上人口は、見える化A3（後期高齢者数）の広域連合計（令和2年5,167人）を第9期計画の町別高齢化率で按分した推計値である。基準は令和2年国勢調査を用いることとされているため、判定は同調査による3町の面積及び75歳以上人口の確定値による。判定は保険者単位ではなく市町村単位で行われる。</t>
        </is>
      </c>
      <c r="E7" s="5" t="inlineStr">
        <is>
          <t>町別の75歳以上人口（令和2年国勢調査）の確定値を提供いただきたい。按分推計値による暫定判定を本文に載せるか、確定値まで待つか。</t>
        </is>
      </c>
      <c r="F7" s="5" t="inlineStr">
        <is>
          <t>第1章第9節の判定結果</t>
        </is>
      </c>
      <c r="G7" s="14" t="inlineStr">
        <is>
          <t>確認待ち</t>
        </is>
      </c>
      <c r="H7" s="4" t="inlineStr">
        <is>
          <t>R8.9</t>
        </is>
      </c>
      <c r="I7" s="4" t="inlineStr">
        <is>
          <t>No.3</t>
        </is>
      </c>
      <c r="J7" s="5" t="inlineStr"/>
    </row>
    <row r="8" ht="96" customHeight="1">
      <c r="A8" s="4" t="n">
        <v>4</v>
      </c>
      <c r="B8" s="5" t="inlineStr">
        <is>
          <t>第2章第1節</t>
        </is>
      </c>
      <c r="C8" s="5" t="inlineStr">
        <is>
          <t>人口の基準時点と系列の統一</t>
        </is>
      </c>
      <c r="D8" s="5" t="inlineStr">
        <is>
          <t>取得日は令和8年7月22日及び同7月29日。月次値、年度値、年齢調整値は基準時点が異なるため、同一時点の値として合算しない。</t>
        </is>
      </c>
      <c r="E8" s="5" t="inlineStr">
        <is>
          <t>本文で用いる人口の基準時点を各年度10月1日（9月末）現在に統一する方針でよいか。</t>
        </is>
      </c>
      <c r="F8" s="5" t="inlineStr">
        <is>
          <t>第2章第1節の全表</t>
        </is>
      </c>
      <c r="G8" s="14" t="inlineStr">
        <is>
          <t>確認待ち</t>
        </is>
      </c>
      <c r="H8" s="4" t="inlineStr">
        <is>
          <t>R8.9</t>
        </is>
      </c>
      <c r="I8" s="4" t="inlineStr">
        <is>
          <t>―</t>
        </is>
      </c>
      <c r="J8" s="5" t="inlineStr"/>
    </row>
    <row r="9" ht="96" customHeight="1">
      <c r="A9" s="4" t="n">
        <v>5</v>
      </c>
      <c r="B9" s="5" t="inlineStr">
        <is>
          <t>第2章第1節</t>
        </is>
      </c>
      <c r="C9" s="5" t="inlineStr">
        <is>
          <t>東川町の将来推計の基礎【受託者の案・意向確認待ち】</t>
        </is>
      </c>
      <c r="D9" s="5" t="inlineStr">
        <is>
          <t>第9期計画の東川町の将来推計は社人研推計を令和22年で18.5％、令和32年で21.5％上回っている。住民基本台帳と国勢調査は基準が異なるため、乖離のうち基準の差による分と社会増の見込みによる分は分離できていない。見える化の将来推計機能は、保険者が保有する総合計画等による推計人口を用いることを基本とし、用意できない場合に社人研推計を用いる。</t>
        </is>
      </c>
      <c r="E9" s="5" t="inlineStr">
        <is>
          <t>受託者は、社人研推計（システムの初期値）をそのまま用いることを案とし、これを作業上の前提として仮に置いたうえで第1段階を試算している。キックオフ会議でご意向を確認したうえで基礎を採用する（別冊のヒアリングシート 項目6-1）。他の系列によるとのご意向がある場合は第1段階を再計算する。令和6年・令和7年の住基実績を受領した際は乖離を確認し、大きい場合は第2章に注記する。</t>
        </is>
      </c>
      <c r="F9" s="5" t="inlineStr">
        <is>
          <t>第2章第1節・第6章の全推計</t>
        </is>
      </c>
      <c r="G9" s="14" t="inlineStr">
        <is>
          <t>確認待ち</t>
        </is>
      </c>
      <c r="H9" s="4" t="inlineStr">
        <is>
          <t>R8.9</t>
        </is>
      </c>
      <c r="I9" s="4" t="inlineStr">
        <is>
          <t>No.3</t>
        </is>
      </c>
      <c r="J9" s="5" t="inlineStr"/>
    </row>
    <row r="10" ht="96" customHeight="1">
      <c r="A10" s="4" t="n">
        <v>6</v>
      </c>
      <c r="B10" s="5" t="inlineStr">
        <is>
          <t>第2章第2節</t>
        </is>
      </c>
      <c r="C10" s="5" t="inlineStr">
        <is>
          <t>受給率の分母の定義</t>
        </is>
      </c>
      <c r="D10" s="5" t="inlineStr">
        <is>
          <t>受給率の分母は第1号被保険者数である。認定者を分母とする介護サービス利用率とは別の比率であり、受給率が全国を上回ることと利用率が低下していることは両立する。</t>
        </is>
      </c>
      <c r="E10" s="5" t="inlineStr">
        <is>
          <t>2つの比率を並べて掲載する方針でよいか。本文で分母の違いを説明する必要があるか。</t>
        </is>
      </c>
      <c r="F10" s="5" t="inlineStr">
        <is>
          <t>第2章第2節の表</t>
        </is>
      </c>
      <c r="G10" s="14" t="inlineStr">
        <is>
          <t>確認待ち</t>
        </is>
      </c>
      <c r="H10" s="4" t="inlineStr">
        <is>
          <t>R8.9</t>
        </is>
      </c>
      <c r="I10" s="4" t="inlineStr">
        <is>
          <t>―</t>
        </is>
      </c>
      <c r="J10" s="5" t="inlineStr"/>
    </row>
    <row r="11" ht="96" customHeight="1">
      <c r="A11" s="4" t="n">
        <v>7</v>
      </c>
      <c r="B11" s="5" t="inlineStr">
        <is>
          <t>第2章第2節</t>
        </is>
      </c>
      <c r="C11" s="5" t="inlineStr">
        <is>
          <t>未利用認定者の要因の代理指標</t>
        </is>
      </c>
      <c r="D11" s="5" t="inlineStr">
        <is>
          <t>未利用の要因の判別は第10期の中心論点である。代理指標として①認定者のうち居宅サービス計画未作成の者の割合、②ケアプラン作成時にサービスを確保できなかった件数、③特別養護老人ホームの入所申込者数の3つを検討している。</t>
        </is>
      </c>
      <c r="E11" s="5" t="inlineStr">
        <is>
          <t>3つの代理指標のうち算定できるものを確認したい。②は居宅介護支援事業所への照会を要する。</t>
        </is>
      </c>
      <c r="F11" s="5" t="inlineStr">
        <is>
          <t>第2章第2節・第6章第5節</t>
        </is>
      </c>
      <c r="G11" s="14" t="inlineStr">
        <is>
          <t>確認待ち</t>
        </is>
      </c>
      <c r="H11" s="4" t="inlineStr">
        <is>
          <t>R8.10</t>
        </is>
      </c>
      <c r="I11" s="4" t="inlineStr">
        <is>
          <t>No.8</t>
        </is>
      </c>
      <c r="J11" s="5" t="inlineStr"/>
    </row>
    <row r="12" ht="96" customHeight="1">
      <c r="A12" s="4" t="n">
        <v>8</v>
      </c>
      <c r="B12" s="5" t="inlineStr">
        <is>
          <t>第2章第2節</t>
        </is>
      </c>
      <c r="C12" s="5" t="inlineStr">
        <is>
          <t>第9期の剰余額</t>
        </is>
      </c>
      <c r="D12" s="5" t="inlineStr">
        <is>
          <t>第9期の必要保険料月額は令和6年度6,063円・令和7年度6,352円で、いずれも条例基準額6,400円を下回り、2年間で約42百万円（概算）の剰余が生じている見込みである。第7期は累計で月額159円、第8期は同66円の剰余である。</t>
        </is>
      </c>
      <c r="E12" s="5" t="inlineStr">
        <is>
          <t>決算及び基金の積立・取崩実績により剰余額を確定したい。剰余の月額（第7期＋159円・第8期＋66円・第9期2年＋385円）は見える化C1により確定した（令和8年7月30日受領）。第7期の基準額6,077円も同系列で確認したため、条例による確認は不要となった。</t>
        </is>
      </c>
      <c r="F12" s="5" t="inlineStr">
        <is>
          <t>第2章第2節・第6章第6節の金額</t>
        </is>
      </c>
      <c r="G12" s="14" t="inlineStr">
        <is>
          <t>確認待ち</t>
        </is>
      </c>
      <c r="H12" s="4" t="inlineStr">
        <is>
          <t>R8.10</t>
        </is>
      </c>
      <c r="I12" s="4" t="inlineStr">
        <is>
          <t>No.9</t>
        </is>
      </c>
      <c r="J12" s="5" t="inlineStr"/>
    </row>
    <row r="13" ht="96" customHeight="1">
      <c r="A13" s="4" t="n">
        <v>9</v>
      </c>
      <c r="B13" s="5" t="inlineStr">
        <is>
          <t>第2章第3節</t>
        </is>
      </c>
      <c r="C13" s="5" t="inlineStr">
        <is>
          <t>地域密着型通所介護の稼働率</t>
        </is>
      </c>
      <c r="D13" s="5" t="inlineStr">
        <is>
          <t>事業所数と従事者数が減らないまま給付費が27.0％減少しており、稼働率の低下が疑われるが、稼働率そのものは確認していない。第10期基本指針案の別表 七が求める稼働率の把握が必要となる典型例である。</t>
        </is>
      </c>
      <c r="E13" s="5" t="inlineStr">
        <is>
          <t>4事業所の定員、登録者数及び延べ利用者数（令和4〜8年度）を提供いただきたい。</t>
        </is>
      </c>
      <c r="F13" s="5" t="inlineStr">
        <is>
          <t>第2章第3節の記述、第6章第2節の見込量</t>
        </is>
      </c>
      <c r="G13" s="14" t="inlineStr">
        <is>
          <t>確認待ち</t>
        </is>
      </c>
      <c r="H13" s="4" t="inlineStr">
        <is>
          <t>R8.10</t>
        </is>
      </c>
      <c r="I13" s="4" t="inlineStr">
        <is>
          <t>No.7</t>
        </is>
      </c>
      <c r="J13" s="5" t="inlineStr"/>
    </row>
    <row r="14" ht="96" customHeight="1">
      <c r="A14" s="4" t="n">
        <v>10</v>
      </c>
      <c r="B14" s="5" t="inlineStr">
        <is>
          <t>第2章第3節</t>
        </is>
      </c>
      <c r="C14" s="5" t="inlineStr">
        <is>
          <t>従事者数の欠測と非掲載</t>
        </is>
      </c>
      <c r="D14" s="5" t="inlineStr">
        <is>
          <t>令和2年度は「介護サービス施設・事業所調査」が実施されなかったため、全国・北海道を含め欠測である。訪問介護（H29 59人）、通所介護（同13人）、居宅介護支援（同32人）は平成29年度のみの収録のため掲載していない。</t>
        </is>
      </c>
      <c r="E14" s="5" t="inlineStr">
        <is>
          <t>欠測及び非掲載の扱いを本文の表の注として残す方針でよいか（現在残している6箇所の注の一つ）。</t>
        </is>
      </c>
      <c r="F14" s="5" t="inlineStr">
        <is>
          <t>第2章第3節・第5章 基本目標4の表</t>
        </is>
      </c>
      <c r="G14" s="14" t="inlineStr">
        <is>
          <t>確認待ち</t>
        </is>
      </c>
      <c r="H14" s="4" t="inlineStr">
        <is>
          <t>R8.9</t>
        </is>
      </c>
      <c r="I14" s="4" t="inlineStr">
        <is>
          <t>―</t>
        </is>
      </c>
      <c r="J14" s="5" t="inlineStr"/>
    </row>
    <row r="15" ht="96" customHeight="1">
      <c r="A15" s="4" t="n">
        <v>11</v>
      </c>
      <c r="B15" s="5" t="inlineStr">
        <is>
          <t>第2章第3節</t>
        </is>
      </c>
      <c r="C15" s="5" t="inlineStr">
        <is>
          <t>介護人材の必要数と職種別欠員率</t>
        </is>
      </c>
      <c r="D15" s="5" t="inlineStr">
        <is>
          <t>介護人材の必要数は見える化システムに当広域連合のデータ登録がないため、職種別欠員率は算定できない。第10期のH13は職種別従事者数（認定者1万対）の推移へ定義を改める案としている。</t>
        </is>
      </c>
      <c r="E15" s="5" t="inlineStr">
        <is>
          <t>H13の定義変更でよいか。介護人材実態調査の第10期分により欠員率を算定する余地があるか。</t>
        </is>
      </c>
      <c r="F15" s="5" t="inlineStr">
        <is>
          <t>第4章第3節・資料1のH13</t>
        </is>
      </c>
      <c r="G15" s="14" t="inlineStr">
        <is>
          <t>確認待ち</t>
        </is>
      </c>
      <c r="H15" s="4" t="inlineStr">
        <is>
          <t>R8.9</t>
        </is>
      </c>
      <c r="I15" s="4" t="inlineStr">
        <is>
          <t>No.14</t>
        </is>
      </c>
      <c r="J15" s="5" t="inlineStr"/>
    </row>
    <row r="16" ht="96" customHeight="1">
      <c r="A16" s="4" t="n">
        <v>12</v>
      </c>
      <c r="B16" s="5" t="inlineStr">
        <is>
          <t>第2章第4節</t>
        </is>
      </c>
      <c r="C16" s="5" t="inlineStr">
        <is>
          <t>フレイル該当割合の基準値</t>
        </is>
      </c>
      <c r="D16" s="5" t="inlineStr">
        <is>
          <t>令和元年度22.4％から令和4年度18.5％への3.9ポイントの低下は調査環境の変化を含む可能性がある。第10期の目標設定では基準値の信頼区間を併記し、「有意な改善」又は「水準の維持」で設定する案としている。</t>
        </is>
      </c>
      <c r="E16" s="5" t="inlineStr">
        <is>
          <t>信頼区間を併記する方針でよいか。目標を「有意な改善」とするか「水準の維持」とするか。</t>
        </is>
      </c>
      <c r="F16" s="5" t="inlineStr">
        <is>
          <t>第4章第3節・資料1のH04</t>
        </is>
      </c>
      <c r="G16" s="14" t="inlineStr">
        <is>
          <t>確認待ち</t>
        </is>
      </c>
      <c r="H16" s="4" t="inlineStr">
        <is>
          <t>R8.9</t>
        </is>
      </c>
      <c r="I16" s="4" t="inlineStr">
        <is>
          <t>―</t>
        </is>
      </c>
      <c r="J16" s="5" t="inlineStr"/>
    </row>
    <row r="17" ht="96" customHeight="1">
      <c r="A17" s="4" t="n">
        <v>13</v>
      </c>
      <c r="B17" s="5" t="inlineStr">
        <is>
          <t>第2章第4節</t>
        </is>
      </c>
      <c r="C17" s="5" t="inlineStr">
        <is>
          <t>社会参加の指標の定義</t>
        </is>
      </c>
      <c r="D17" s="5" t="inlineStr">
        <is>
          <t>社会参加6区分の合成指標は当広域連合独自の定義であり、他地域と比較できない。第10期のH05では通いの場単独の系列も併記する案としている。</t>
        </is>
      </c>
      <c r="E17" s="5" t="inlineStr">
        <is>
          <t>合成指標と通いの場単独の2系列を併記する方針でよいか。代表KPIとしてどちらを用いるか。</t>
        </is>
      </c>
      <c r="F17" s="5" t="inlineStr">
        <is>
          <t>第4章第3節・資料1のH05</t>
        </is>
      </c>
      <c r="G17" s="14" t="inlineStr">
        <is>
          <t>確認待ち</t>
        </is>
      </c>
      <c r="H17" s="4" t="inlineStr">
        <is>
          <t>R8.9</t>
        </is>
      </c>
      <c r="I17" s="4" t="inlineStr">
        <is>
          <t>―</t>
        </is>
      </c>
      <c r="J17" s="5" t="inlineStr"/>
    </row>
    <row r="18" ht="96" customHeight="1">
      <c r="A18" s="4" t="n">
        <v>14</v>
      </c>
      <c r="B18" s="5" t="inlineStr">
        <is>
          <t>第3章第2節</t>
        </is>
      </c>
      <c r="C18" s="5" t="inlineStr">
        <is>
          <t>総合事業のデータの基準年度</t>
        </is>
      </c>
      <c r="D18" s="5" t="inlineStr">
        <is>
          <t>総合事業ベースのデータは令和2年度までで、令和3年度以降は見える化システムに登録がない。第10期の基準値は令和2年度（月1回以上1.6％・週1回以上0.7％・3箇所）とする案としている。</t>
        </is>
      </c>
      <c r="E18" s="5" t="inlineStr">
        <is>
          <t>令和3〜6年度に国へ報告した調査票の写しが得られるか。得られない場合、令和2年度を基準値とすることでよいか。</t>
        </is>
      </c>
      <c r="F18" s="5" t="inlineStr">
        <is>
          <t>第3章第2節・資料1のH05</t>
        </is>
      </c>
      <c r="G18" s="14" t="inlineStr">
        <is>
          <t>確認待ち</t>
        </is>
      </c>
      <c r="H18" s="4" t="inlineStr">
        <is>
          <t>R8.9</t>
        </is>
      </c>
      <c r="I18" s="4" t="inlineStr">
        <is>
          <t>―</t>
        </is>
      </c>
      <c r="J18" s="5" t="inlineStr"/>
    </row>
    <row r="19" ht="96" customHeight="1">
      <c r="A19" s="4" t="n">
        <v>15</v>
      </c>
      <c r="B19" s="5" t="inlineStr">
        <is>
          <t>第3章第4節</t>
        </is>
      </c>
      <c r="C19" s="5" t="inlineStr">
        <is>
          <t>交付金の評価の時点と0点項目の判別</t>
        </is>
      </c>
      <c r="D19" s="5" t="inlineStr">
        <is>
          <t>令和5年（2023年）調査＝令和6年度分の指標である。令和5年度に実施された調査であり、第9期（令和6年度〜）の取組は反映されていない。評価項目ごとの対象期間は調査要領で確認していない。0点となっている項目については、取組自体を行っていないのか、取組はあるが要件を満たさないのかを評価調書との突合により判別する。</t>
        </is>
      </c>
      <c r="E19" s="5" t="inlineStr">
        <is>
          <t>評価調書（令和4〜7年度分）を提供いただきたい。令和6年・令和7年調査の得点があれば経年で比較したい。</t>
        </is>
      </c>
      <c r="F19" s="5" t="inlineStr">
        <is>
          <t>第3章第4節の評価、資料1のH01</t>
        </is>
      </c>
      <c r="G19" s="14" t="inlineStr">
        <is>
          <t>確認待ち</t>
        </is>
      </c>
      <c r="H19" s="4" t="inlineStr">
        <is>
          <t>R8.9</t>
        </is>
      </c>
      <c r="I19" s="4" t="inlineStr">
        <is>
          <t>No.5</t>
        </is>
      </c>
      <c r="J19" s="5" t="inlineStr"/>
    </row>
    <row r="20" ht="96" customHeight="1">
      <c r="A20" s="4" t="n">
        <v>16</v>
      </c>
      <c r="B20" s="5" t="inlineStr">
        <is>
          <t>第4章第3節</t>
        </is>
      </c>
      <c r="C20" s="5" t="inlineStr">
        <is>
          <t>H01の指標と目標の方向</t>
        </is>
      </c>
      <c r="D20" s="5" t="inlineStr">
        <is>
          <t>W144（性・年齢調整済み要介護2以上認定率）は当広域連合が全国を2.9％上回り、かつ全国・北海道が低下する中で当広域連合のみ上昇している（変化率＋1.76）。このため目標を「水準の維持」ではなく「全国平均以下への低下」とする案としている。B5-aは補完指標として資料1に残す。</t>
        </is>
      </c>
      <c r="E20" s="5" t="inlineStr">
        <is>
          <t>H01の測定にW144を用いることでよいか。目標を「全国平均以下への低下」とすることでよいか。W144の分子・分母の実数を評価調書で確認したい。</t>
        </is>
      </c>
      <c r="F20" s="5" t="inlineStr">
        <is>
          <t>第4章第3節・資料1のH01</t>
        </is>
      </c>
      <c r="G20" s="14" t="inlineStr">
        <is>
          <t>確認待ち</t>
        </is>
      </c>
      <c r="H20" s="4" t="inlineStr">
        <is>
          <t>R8.9</t>
        </is>
      </c>
      <c r="I20" s="4" t="inlineStr">
        <is>
          <t>No.5</t>
        </is>
      </c>
      <c r="J20" s="5" t="inlineStr"/>
    </row>
    <row r="21" ht="96" customHeight="1">
      <c r="A21" s="4" t="n">
        <v>17</v>
      </c>
      <c r="B21" s="5" t="inlineStr">
        <is>
          <t>第4章第3節</t>
        </is>
      </c>
      <c r="C21" s="5" t="inlineStr">
        <is>
          <t>H12・H16のデータ源</t>
        </is>
      </c>
      <c r="D21" s="5" t="inlineStr">
        <is>
          <t>H12（必要サービス未充足率）及びH16（災害・感染症時の必須サービス継続率）は事業所を対象とする調査を必要とするため、データ源を確定したうえで基準値を設定する。代理指標への振替えを含めて検討する。</t>
        </is>
      </c>
      <c r="E21" s="5" t="inlineStr">
        <is>
          <t>事業所を対象とする調査を実施する予定があるか。ない場合、代理指標への振替えでよいか。</t>
        </is>
      </c>
      <c r="F21" s="5" t="inlineStr">
        <is>
          <t>第4章第3節・資料1のH12・H16</t>
        </is>
      </c>
      <c r="G21" s="14" t="inlineStr">
        <is>
          <t>確認待ち</t>
        </is>
      </c>
      <c r="H21" s="4" t="inlineStr">
        <is>
          <t>R8.9</t>
        </is>
      </c>
      <c r="I21" s="4" t="inlineStr">
        <is>
          <t>No.14</t>
        </is>
      </c>
      <c r="J21" s="5" t="inlineStr"/>
    </row>
    <row r="22" ht="96" customHeight="1">
      <c r="A22" s="4" t="n">
        <v>18</v>
      </c>
      <c r="B22" s="5" t="inlineStr">
        <is>
          <t>第4章第3節</t>
        </is>
      </c>
      <c r="C22" s="5" t="inlineStr">
        <is>
          <t>第9期KPIとの時系列の断絶</t>
        </is>
      </c>
      <c r="D22" s="5" t="inlineStr">
        <is>
          <t>第9期の代表KPI4項目のうちそのまま接続できるのはH02・H04の2項目である。H01は未調整率から性年齢調整済み要介護2以上へ、H05は通いの場から社会参加へ定義が変わるため時系列が断絶する。第9期の達成度は第9期の定義で評価し、第10期のKPIは新たな基準値から開始する案としている。</t>
        </is>
      </c>
      <c r="E22" s="5" t="inlineStr">
        <is>
          <t>定義変更により時系列が断絶することを資料1に明記してよいか。第9期の定義による系列を参考として併記するか。</t>
        </is>
      </c>
      <c r="F22" s="5" t="inlineStr">
        <is>
          <t>第4章第3節・資料1</t>
        </is>
      </c>
      <c r="G22" s="14" t="inlineStr">
        <is>
          <t>確認待ち</t>
        </is>
      </c>
      <c r="H22" s="4" t="inlineStr">
        <is>
          <t>R8.9</t>
        </is>
      </c>
      <c r="I22" s="4" t="inlineStr">
        <is>
          <t>―</t>
        </is>
      </c>
      <c r="J22" s="5" t="inlineStr"/>
    </row>
    <row r="23" ht="96" customHeight="1">
      <c r="A23" s="4" t="n">
        <v>19</v>
      </c>
      <c r="B23" s="5" t="inlineStr">
        <is>
          <t>第5章 基本目標1</t>
        </is>
      </c>
      <c r="C23" s="5" t="inlineStr">
        <is>
          <t>医療側からの連携の実施状況</t>
        </is>
      </c>
      <c r="D23" s="5" t="inlineStr">
        <is>
          <t>診療報酬側の連携指標（介護支援連携指導、退院時共同指導等）は見える化システムに当広域連合のデータ登録がなく取得できない。上川中部圏域の医療機関への照会又は北海道の医療計画・地域医療構想の資料で補う案としている。</t>
        </is>
      </c>
      <c r="E23" s="5" t="inlineStr">
        <is>
          <t>医療機関への照会が可能か。北海道の資料のどれを用いるか。</t>
        </is>
      </c>
      <c r="F23" s="5" t="inlineStr">
        <is>
          <t>第5章 基本目標1のアウトプット指標</t>
        </is>
      </c>
      <c r="G23" s="14" t="inlineStr">
        <is>
          <t>確認待ち</t>
        </is>
      </c>
      <c r="H23" s="4" t="inlineStr">
        <is>
          <t>R8.10</t>
        </is>
      </c>
      <c r="I23" s="4" t="inlineStr">
        <is>
          <t>―</t>
        </is>
      </c>
      <c r="J23" s="5" t="inlineStr"/>
    </row>
    <row r="24" ht="96" customHeight="1">
      <c r="A24" s="4" t="n">
        <v>20</v>
      </c>
      <c r="B24" s="5" t="inlineStr">
        <is>
          <t>第5章 基本目標2</t>
        </is>
      </c>
      <c r="C24" s="5" t="inlineStr">
        <is>
          <t>認知症関連指標の把握方法</t>
        </is>
      </c>
      <c r="D24" s="5" t="inlineStr">
        <is>
          <t>見える化システムの認知症関連指標（認知症初期集中支援チームの訪問実績、認知症地域支援推進員の配置人数、認知症カフェの箇所数等）は当広域連合のデータ登録がなく取得できない。3町への直接照会により実績を把握する案としている。</t>
        </is>
      </c>
      <c r="E24" s="5" t="inlineStr">
        <is>
          <t>3町への照会により実績を把握してよいか。照会の様式と時期。</t>
        </is>
      </c>
      <c r="F24" s="5" t="inlineStr">
        <is>
          <t>第5章 基本目標2のアウトプット指標</t>
        </is>
      </c>
      <c r="G24" s="14" t="inlineStr">
        <is>
          <t>確認待ち</t>
        </is>
      </c>
      <c r="H24" s="4" t="inlineStr">
        <is>
          <t>R8.9</t>
        </is>
      </c>
      <c r="I24" s="4" t="inlineStr">
        <is>
          <t>―</t>
        </is>
      </c>
      <c r="J24" s="5" t="inlineStr"/>
    </row>
    <row r="25" ht="96" customHeight="1">
      <c r="A25" s="4" t="n">
        <v>21</v>
      </c>
      <c r="B25" s="5" t="inlineStr">
        <is>
          <t>第6章第1節</t>
        </is>
      </c>
      <c r="C25" s="5" t="inlineStr">
        <is>
          <t>階級別認定率のシナリオの選択</t>
        </is>
      </c>
      <c r="D25" s="5" t="inlineStr">
        <is>
          <t>認定率を年齢階級別（65〜74歳・75〜84歳・85歳以上）に設定した。①現状固定／②トレンド継続〈受託者の推奨〉／③令和元年水準へ回帰の3シナリオを算定した（将来推計03・04シート）。令和11年度の認定者数は①2,044人・②2,004人・③2,112人である。</t>
        </is>
      </c>
      <c r="E25" s="5" t="inlineStr">
        <is>
          <t>いずれのシナリオを計画に採用するか。②を基本とし③を保険料の安全側の確認として併用する案でよいか。年次評価で階級別認定率の実績を確認し、乖離が2年続けて2％を超えた場合に中間年で見直す仕組みでよいか。</t>
        </is>
      </c>
      <c r="F25" s="5" t="inlineStr">
        <is>
          <t>第6章第1節の認定者数見込み、第2節以降の全体</t>
        </is>
      </c>
      <c r="G25" s="14" t="inlineStr">
        <is>
          <t>確認待ち</t>
        </is>
      </c>
      <c r="H25" s="4" t="inlineStr">
        <is>
          <t>R8.10</t>
        </is>
      </c>
      <c r="I25" s="4" t="inlineStr">
        <is>
          <t>No.1</t>
        </is>
      </c>
      <c r="J25" s="5" t="inlineStr"/>
    </row>
    <row r="26" ht="96" customHeight="1">
      <c r="A26" s="4" t="n">
        <v>22</v>
      </c>
      <c r="B26" s="5" t="inlineStr">
        <is>
          <t>第6章第1節</t>
        </is>
      </c>
      <c r="C26" s="5" t="inlineStr">
        <is>
          <t>推計の起点差の扱い</t>
        </is>
      </c>
      <c r="D26" s="5" t="inlineStr">
        <is>
          <t>人口・85歳以上は自然体推計の人口系列、令和8年度の認定者数は見える化の直近実績を用いている。起点差は誤りと断定せず、基準日、対象者定義、実績更新時期を確認した上で再基準化する。</t>
        </is>
      </c>
      <c r="E26" s="5" t="inlineStr">
        <is>
          <t>起点差の再基準化の方法（どの時点にそろえるか）。</t>
        </is>
      </c>
      <c r="F26" s="5" t="inlineStr">
        <is>
          <t>第6章第1節・第3節</t>
        </is>
      </c>
      <c r="G26" s="14" t="inlineStr">
        <is>
          <t>確認待ち</t>
        </is>
      </c>
      <c r="H26" s="4" t="inlineStr">
        <is>
          <t>R8.10</t>
        </is>
      </c>
      <c r="I26" s="4" t="inlineStr">
        <is>
          <t>―</t>
        </is>
      </c>
      <c r="J26" s="5" t="inlineStr"/>
    </row>
    <row r="27" ht="96" customHeight="1">
      <c r="A27" s="4" t="n">
        <v>23</v>
      </c>
      <c r="B27" s="5" t="inlineStr">
        <is>
          <t>第6章第2節</t>
        </is>
      </c>
      <c r="C27" s="5" t="inlineStr">
        <is>
          <t>24時間対応サービスの見込量の入力方法</t>
        </is>
      </c>
      <c r="D27" s="5" t="inlineStr">
        <is>
          <t>整備する場合の見込量は実績値がないため自然体推計ではゼロとなる。「自然体推計の計算過程確認シートのガイド」に従い、整備計画から見込まれる利用者数と1人1月あたり給付費（全国平均値等を参考とすることが認められている）を直接入力して計上する。</t>
        </is>
      </c>
      <c r="E27" s="5" t="inlineStr">
        <is>
          <t>整備する場合の利用者数と単価の入力値。全国平均値を用いてよいか。</t>
        </is>
      </c>
      <c r="F27" s="5" t="inlineStr">
        <is>
          <t>第6章第2節の見込量</t>
        </is>
      </c>
      <c r="G27" s="14" t="inlineStr">
        <is>
          <t>確認待ち</t>
        </is>
      </c>
      <c r="H27" s="4" t="inlineStr">
        <is>
          <t>R8.10</t>
        </is>
      </c>
      <c r="I27" s="4" t="inlineStr">
        <is>
          <t>―</t>
        </is>
      </c>
      <c r="J27" s="5" t="inlineStr"/>
    </row>
    <row r="28" ht="96" customHeight="1">
      <c r="A28" s="4" t="n">
        <v>24</v>
      </c>
      <c r="B28" s="5" t="inlineStr">
        <is>
          <t>第6章第2節</t>
        </is>
      </c>
      <c r="C28" s="5" t="inlineStr">
        <is>
          <t>区域外の事業所による給付の扱い</t>
        </is>
      </c>
      <c r="D28" s="5" t="inlineStr">
        <is>
          <t>事業所数の欄が0のサービスは区域内に事業所が存在しないことを示す。訪問入浴介護及び福祉用具貸与については区域外の事業所により給付が行われている。認知症対応型通所介護も区域内に事業所がない。</t>
        </is>
      </c>
      <c r="E28" s="5" t="inlineStr">
        <is>
          <t>区域外の事業所による給付の割合（自給率）を算定したい。国保連の給付実績情報と指定事業所台帳の提供をお願いしたい。</t>
        </is>
      </c>
      <c r="F28" s="5" t="inlineStr">
        <is>
          <t>第2章第3節・第6章第2節</t>
        </is>
      </c>
      <c r="G28" s="14" t="inlineStr">
        <is>
          <t>確認待ち</t>
        </is>
      </c>
      <c r="H28" s="4" t="inlineStr">
        <is>
          <t>R8.10</t>
        </is>
      </c>
      <c r="I28" s="4" t="inlineStr">
        <is>
          <t>No.6</t>
        </is>
      </c>
      <c r="J28" s="5" t="inlineStr"/>
    </row>
    <row r="29" ht="96" customHeight="1">
      <c r="A29" s="4" t="n">
        <v>25</v>
      </c>
      <c r="B29" s="5" t="inlineStr">
        <is>
          <t>第6章第2節</t>
        </is>
      </c>
      <c r="C29" s="5" t="inlineStr">
        <is>
          <t>見込量の単位と系列</t>
        </is>
      </c>
      <c r="D29" s="5" t="inlineStr">
        <is>
          <t>見える化システムの出力仕様に合わせ、利用者数、回数・日数、給付費をサービス別に確定する。令和8年度のサービス別利用者は自然体推計確認シートの月平均基準値、令和9年度以降は自然体推計値である。居宅介護支援は介護予防支援との合算値である。</t>
        </is>
      </c>
      <c r="E29" s="5" t="inlineStr">
        <is>
          <t>居宅介護支援と介護予防支援を分けて掲載するか、合算のままとするか。令和17年度・令和22年度の中長期値を掲載する範囲。</t>
        </is>
      </c>
      <c r="F29" s="5" t="inlineStr">
        <is>
          <t>第6章第2節の全表</t>
        </is>
      </c>
      <c r="G29" s="14" t="inlineStr">
        <is>
          <t>確認待ち</t>
        </is>
      </c>
      <c r="H29" s="4" t="inlineStr">
        <is>
          <t>R8.10</t>
        </is>
      </c>
      <c r="I29" s="4" t="inlineStr">
        <is>
          <t>―</t>
        </is>
      </c>
      <c r="J29" s="5" t="inlineStr"/>
    </row>
    <row r="30" ht="96" customHeight="1">
      <c r="A30" s="4" t="n">
        <v>26</v>
      </c>
      <c r="B30" s="5" t="inlineStr">
        <is>
          <t>第6章第4節</t>
        </is>
      </c>
      <c r="C30" s="5" t="inlineStr">
        <is>
          <t>入所率・稼働率の把握方法</t>
        </is>
      </c>
      <c r="D30" s="5" t="inlineStr">
        <is>
          <t>定員は見える化システムの令和6年度公表値、利用者は自然体推計確認シートのR8基準値である。基準時点・対象範囲が異なるため単純比率は入所率・稼働率ではなく、スクリーニング値である。施設サービスの定員合計は平成30年度536人から令和2年度以降462人へ、居住系サービスは令和2年度273人から令和4年度以降255人へ減少している。介護老人福祉施設の定員減少（234人→160人）の経緯は確認していない。</t>
        </is>
      </c>
      <c r="E30" s="5" t="inlineStr">
        <is>
          <t>3町の指定台帳又は施設への照会により入所率・稼働率を把握したい。介護老人福祉施設の定員減少の経緯（休廃止・転換・休止床の整理）を確認したい。</t>
        </is>
      </c>
      <c r="F30" s="5" t="inlineStr">
        <is>
          <t>第6章第4節・第5節</t>
        </is>
      </c>
      <c r="G30" s="14" t="inlineStr">
        <is>
          <t>確認待ち</t>
        </is>
      </c>
      <c r="H30" s="4" t="inlineStr">
        <is>
          <t>R8.10</t>
        </is>
      </c>
      <c r="I30" s="4" t="inlineStr">
        <is>
          <t>No.7</t>
        </is>
      </c>
      <c r="J30" s="5" t="inlineStr"/>
    </row>
    <row r="31" ht="96" customHeight="1">
      <c r="A31" s="4" t="n">
        <v>27</v>
      </c>
      <c r="B31" s="5" t="inlineStr">
        <is>
          <t>第6章第6節</t>
        </is>
      </c>
      <c r="C31" s="5" t="inlineStr">
        <is>
          <t>保険料試算の前提条件</t>
        </is>
      </c>
      <c r="D31" s="5" t="inlineStr">
        <is>
          <t>第10期平均6,238円は、基金取崩0円、予定収納率99.0％、現行入力条件による自然体試算である。条例で採用する基準額ではなく、報酬改定、調整交付金、所得段階別補正、保険料抑制方針等の確定後に再計算する。必要保険料月額は保険給付費及び地域支援事業費から逆算した概算値である。令和8年8月28日受領の年報により、現年度分の収納率の実績が令和6年度99.885％・令和7年度99.866％と確定した。見える化システムによる第9期の保険料基準額の実績は6,069円（準備基金取崩後・対計画比94％）である。</t>
        </is>
      </c>
      <c r="E31" s="5" t="inlineStr">
        <is>
          <t>予定収納率を実績（99.8％台）に即した水準に改めてよいか。収納率を0.8ポイント引き上げると基準額はおよそ0.8％低くなる。基金の取崩方針と所得段階の設計（16段階を維持するか）。</t>
        </is>
      </c>
      <c r="F31" s="5" t="inlineStr">
        <is>
          <t>第6章第6節の保険料試算</t>
        </is>
      </c>
      <c r="G31" s="14" t="inlineStr">
        <is>
          <t>確認待ち</t>
        </is>
      </c>
      <c r="H31" s="4" t="inlineStr">
        <is>
          <t>R8.11</t>
        </is>
      </c>
      <c r="I31" s="4" t="inlineStr">
        <is>
          <t>No.9・No.11</t>
        </is>
      </c>
      <c r="J31" s="5" t="inlineStr"/>
    </row>
    <row r="32" ht="96" customHeight="1">
      <c r="A32" s="4" t="n">
        <v>29</v>
      </c>
      <c r="B32" s="5" t="inlineStr">
        <is>
          <t>第2章第2節</t>
        </is>
      </c>
      <c r="C32" s="5" t="inlineStr">
        <is>
          <t>地域差指数の分解を要因の按分に用いない方針</t>
        </is>
      </c>
      <c r="D32" s="5" t="inlineStr">
        <is>
          <t>受給率×受給者単価は給付月額指数に一致しない。上川管内21保険者のうち16保険者で0.03を超えてずれ、全保険者で正の方向に偏る（平均＋0.063、大雪＋0.065）。給付月額指数と認定率指数は性・年齢調整後であるが、受給率指数と受給者単価指数には調整の表示がない。</t>
        </is>
      </c>
      <c r="E32" s="5" t="inlineStr">
        <is>
          <t>分解による按分の記述を撤回し、4要素を並列の指標として示す方針でよいか。要因の特定は管内21保険者の分散を説明する方法（回帰）による。</t>
        </is>
      </c>
      <c r="F32" s="5" t="inlineStr">
        <is>
          <t>第2章第2節・第3章の記述</t>
        </is>
      </c>
      <c r="G32" s="14" t="inlineStr">
        <is>
          <t>確認待ち</t>
        </is>
      </c>
      <c r="H32" s="4" t="inlineStr">
        <is>
          <t>R8.9</t>
        </is>
      </c>
      <c r="I32" s="4" t="inlineStr">
        <is>
          <t>No.16</t>
        </is>
      </c>
      <c r="J32" s="5" t="inlineStr"/>
    </row>
    <row r="33" ht="96" customHeight="1">
      <c r="A33" s="4" t="n">
        <v>30</v>
      </c>
      <c r="B33" s="5" t="inlineStr">
        <is>
          <t>第2章第3節</t>
        </is>
      </c>
      <c r="C33" s="5" t="inlineStr">
        <is>
          <t>自給率の平均の算定方法（算定可能区分が町により異なる）</t>
        </is>
      </c>
      <c r="D33" s="5" t="inlineStr">
        <is>
          <t>算定できる区分の単純平均としている（東川町・東神楽町は多機能系が算定できないため5区分）。給付額による加重平均とは一致しない。</t>
        </is>
      </c>
      <c r="E33" s="5" t="inlineStr">
        <is>
          <t>単純平均とするか、給付額による加重平均とするか。加重平均には町別のサービス区分別給付費を要する。</t>
        </is>
      </c>
      <c r="F33" s="5" t="inlineStr">
        <is>
          <t>第2章第3節の自給率の表</t>
        </is>
      </c>
      <c r="G33" s="14" t="inlineStr">
        <is>
          <t>確認待ち</t>
        </is>
      </c>
      <c r="H33" s="4" t="inlineStr">
        <is>
          <t>R8.10</t>
        </is>
      </c>
      <c r="I33" s="4" t="inlineStr">
        <is>
          <t>No.17</t>
        </is>
      </c>
      <c r="J33" s="5" t="inlineStr"/>
    </row>
    <row r="34" ht="96" customHeight="1">
      <c r="A34" s="4" t="n">
        <v>31</v>
      </c>
      <c r="B34" s="5" t="inlineStr">
        <is>
          <t>第6章第6節</t>
        </is>
      </c>
      <c r="C34" s="5" t="inlineStr">
        <is>
          <t>第9期の剰余の確定と基金への積立の確認</t>
        </is>
      </c>
      <c r="D34" s="5" t="inlineStr">
        <is>
          <t>剰余の月額は見える化C1により確定した（第7期＋159円・第8期＋66円・第9期2年＋385円）。第7期の基準額6,077円も同系列で確認した。令和6・7年度は年度途中までの集計である。</t>
        </is>
      </c>
      <c r="E34" s="5" t="inlineStr">
        <is>
          <t>剰余が基金に積み立てられた額と一致するかを決算・基金実績で確認したい。令和8年度末の基金残高見込と第10期の取崩方針。</t>
        </is>
      </c>
      <c r="F34" s="5" t="inlineStr">
        <is>
          <t>第6章第6節の保険料試算</t>
        </is>
      </c>
      <c r="G34" s="14" t="inlineStr">
        <is>
          <t>確認待ち</t>
        </is>
      </c>
      <c r="H34" s="4" t="inlineStr">
        <is>
          <t>R8.10</t>
        </is>
      </c>
      <c r="I34" s="4" t="inlineStr">
        <is>
          <t>No.9</t>
        </is>
      </c>
      <c r="J34" s="5" t="inlineStr"/>
    </row>
    <row r="35" ht="96" customHeight="1">
      <c r="A35" s="4" t="n">
        <v>32</v>
      </c>
      <c r="B35" s="5" t="inlineStr">
        <is>
          <t>第6章第2節2</t>
        </is>
      </c>
      <c r="C35" s="5" t="inlineStr">
        <is>
          <t>見込量の表の数値の出所</t>
        </is>
      </c>
      <c r="D35" s="5" t="inlineStr">
        <is>
          <t>第6章第2節2（1）〜（3）の見込量の表の数値は、見える化システムの総括表・計画作成支援ツール・将来推計 第2段階のいずれとも一致せず、当方で出所を特定できていない。また表頭を「R8実績」としているが、令和8年度は約4か月分の実績しかなく、実績として掲げられる年度ではない。</t>
        </is>
      </c>
      <c r="E35" s="5" t="inlineStr">
        <is>
          <t>見込量の表の数値を「サービス見込量の算定」の結果に差し替えてよいか。差し替えると見込量・給付費・保険料が一本の経路でつながる。表頭の「R8実績」は「R7実績」に改める。</t>
        </is>
      </c>
      <c r="F35" s="5" t="inlineStr">
        <is>
          <t>第6章第2節2の見込量の表</t>
        </is>
      </c>
      <c r="G35" s="14" t="inlineStr">
        <is>
          <t>確認待ち</t>
        </is>
      </c>
      <c r="H35" s="4" t="inlineStr">
        <is>
          <t>R8.9</t>
        </is>
      </c>
      <c r="I35" s="4" t="inlineStr">
        <is>
          <t>―</t>
        </is>
      </c>
      <c r="J35" s="5" t="inlineStr"/>
    </row>
    <row r="36" ht="96" customHeight="1">
      <c r="A36" s="4" t="n">
        <v>33</v>
      </c>
      <c r="B36" s="5" t="inlineStr">
        <is>
          <t>第6章第3節
第6章第6節</t>
        </is>
      </c>
      <c r="C36" s="5" t="inlineStr">
        <is>
          <t>給付費の算定に用いる基準年度と出所</t>
        </is>
      </c>
      <c r="D36" s="5" t="inlineStr">
        <is>
          <t>現行の将来推計 第3段階は見える化システムの自然体推計に案C（総合戦略ベース）の置換率を乗じている。自然体推計には利用率及び単価の趨勢が織り込まれており、当方でその中身を分解できない。見える化システムの総括表による令和7年度実績を基準年度とし、認定者数の伸びのみを反映する置き方に改めると、算定上の月額基準額は6,740円から6,428円へ312円下がる。</t>
        </is>
      </c>
      <c r="E36" s="5" t="inlineStr">
        <is>
          <t>採用パターンをどちらに置くか。サービス見込量の算定（9月26日）より前に決定を要する。</t>
        </is>
      </c>
      <c r="F36" s="5" t="inlineStr">
        <is>
          <t>将来推計 第3段階
計画素案 第6章第3節・第6節</t>
        </is>
      </c>
      <c r="G36" s="14" t="inlineStr">
        <is>
          <t>確認待ち</t>
        </is>
      </c>
      <c r="H36" s="4" t="inlineStr">
        <is>
          <t>R8.9</t>
        </is>
      </c>
      <c r="I36" s="4" t="inlineStr">
        <is>
          <t>―</t>
        </is>
      </c>
      <c r="J36" s="5" t="inlineStr"/>
    </row>
    <row r="37" ht="96" customHeight="1">
      <c r="A37" s="4" t="n">
        <v>34</v>
      </c>
      <c r="B37" s="5" t="inlineStr">
        <is>
          <t>第2章第8節
第6章第2節
第6章第3節</t>
        </is>
      </c>
      <c r="C37" s="5" t="inlineStr">
        <is>
          <t>中長期推計を見込量・給付費・保険料まで及ぼすか</t>
        </is>
      </c>
      <c r="D37" s="5" t="inlineStr">
        <is>
          <t>社会福祉法等の一部を改正する法律（令和8年法律第51号）により、中長期的なサービス見通しを計画に定めることが必須となる。国の第10期基本指針（案）も2040年度を含む中長期推計を求めている。当方は認定者数について令和17年度2,228人・令和22年度2,288人を算定済みであるが、見込量・給付費・保険料は令和9〜11年度にとどまる。採用パターンの1人あたり給付費を固定し認定者数を乗じれば算定できる。</t>
        </is>
      </c>
      <c r="E37" s="5" t="inlineStr">
        <is>
          <t>令和22年度までの見込量・給付費・保険料を算定してよいか。算定の範囲（サービス種類別か区分計か、令和17年度も示すか）を決定する。</t>
        </is>
      </c>
      <c r="F37" s="5" t="inlineStr">
        <is>
          <t>計画素案 第2章第8節・第6章第2節
将来推計 第3段階</t>
        </is>
      </c>
      <c r="G37" s="14" t="inlineStr">
        <is>
          <t>確認待ち</t>
        </is>
      </c>
      <c r="H37" s="4" t="inlineStr">
        <is>
          <t>R8.10</t>
        </is>
      </c>
      <c r="I37" s="4" t="inlineStr">
        <is>
          <t>―</t>
        </is>
      </c>
      <c r="J37" s="5" t="inlineStr"/>
    </row>
    <row r="38" ht="96" customHeight="1">
      <c r="A38" s="4" t="n">
        <v>35</v>
      </c>
      <c r="B38" s="5" t="inlineStr">
        <is>
          <t>第6章第3節</t>
        </is>
      </c>
      <c r="C38" s="5" t="inlineStr">
        <is>
          <t>地域支援事業の量の見込み</t>
        </is>
      </c>
      <c r="D38" s="5" t="inlineStr">
        <is>
          <t>介護保険法第117条第2項第2号は「各年度における地域支援事業の量の見込み」を基本的記載事項としているが、当方は費用の額のみを令和6年度決算の水準で置いており、量を算定していない。総合事業の令和7年度実績があれば、サービス区分ごとの利用者数を要支援認定者数の伸びで延長して算定できる。</t>
        </is>
      </c>
      <c r="E38" s="5" t="inlineStr">
        <is>
          <t>地域支援事業の量の見込みを算定してよいか。総合事業の令和7年度実績をご提供いただけるか。</t>
        </is>
      </c>
      <c r="F38" s="5" t="inlineStr">
        <is>
          <t>計画素案 第6章第3節</t>
        </is>
      </c>
      <c r="G38" s="14" t="inlineStr">
        <is>
          <t>確認待ち</t>
        </is>
      </c>
      <c r="H38" s="4" t="inlineStr">
        <is>
          <t>R8.10</t>
        </is>
      </c>
      <c r="I38" s="4" t="inlineStr">
        <is>
          <t>No.19</t>
        </is>
      </c>
      <c r="J38" s="5" t="inlineStr"/>
    </row>
    <row r="39" ht="96" customHeight="1">
      <c r="A39" s="4" t="n">
        <v>28</v>
      </c>
      <c r="B39" s="5" t="inlineStr">
        <is>
          <t>資料6</t>
        </is>
      </c>
      <c r="C39" s="5" t="inlineStr">
        <is>
          <t>見える化システムで取得できない系列</t>
        </is>
      </c>
      <c r="D39" s="5" t="inlineStr">
        <is>
          <t>次の系列は当広域連合についてデータ登録がなく取得できないことを確認している（令和8年7月29日）。δ（介護サービス自給率）、H1・H2（介護人材の必要数）、J（認知症施策）、L（医療機関・看取り・診療報酬側の連携指標）。</t>
        </is>
      </c>
      <c r="E39" s="5" t="inlineStr">
        <is>
          <t>これらの系列について、保険者側で登録が可能なものがあるか。代替手段（資料6に記載）でよいか。</t>
        </is>
      </c>
      <c r="F39" s="5" t="inlineStr">
        <is>
          <t>資料6の対応表</t>
        </is>
      </c>
      <c r="G39" s="14" t="inlineStr">
        <is>
          <t>確認待ち</t>
        </is>
      </c>
      <c r="H39" s="4" t="inlineStr">
        <is>
          <t>R8.9</t>
        </is>
      </c>
      <c r="I39" s="4" t="inlineStr">
        <is>
          <t>―</t>
        </is>
      </c>
      <c r="J39" s="5" t="inlineStr"/>
    </row>
    <row r="41" ht="28" customHeight="1">
      <c r="A41" s="3" t="inlineStr">
        <is>
          <t>区分</t>
        </is>
      </c>
      <c r="B41" s="3" t="inlineStr">
        <is>
          <t>件数</t>
        </is>
      </c>
      <c r="C41" s="3" t="inlineStr"/>
      <c r="D41" s="3" t="inlineStr"/>
      <c r="E41" s="3" t="inlineStr"/>
      <c r="F41" s="3" t="inlineStr"/>
      <c r="G41" s="3" t="inlineStr"/>
      <c r="H41" s="3" t="inlineStr"/>
      <c r="I41" s="3" t="inlineStr"/>
      <c r="J41" s="3" t="inlineStr"/>
    </row>
    <row r="42" ht="18" customHeight="1">
      <c r="A42" s="11" t="inlineStr">
        <is>
          <t>完了</t>
        </is>
      </c>
      <c r="B42" s="4">
        <f>COUNTIF(G5:G39,"完了")</f>
        <v/>
      </c>
      <c r="C42" s="5" t="inlineStr"/>
      <c r="D42" s="5" t="inlineStr"/>
      <c r="E42" s="5" t="inlineStr"/>
      <c r="F42" s="5" t="inlineStr"/>
      <c r="G42" s="5" t="inlineStr"/>
      <c r="H42" s="5" t="inlineStr"/>
      <c r="I42" s="5" t="inlineStr"/>
      <c r="J42" s="5" t="inlineStr"/>
    </row>
    <row r="43" ht="18" customHeight="1">
      <c r="A43" s="12" t="inlineStr">
        <is>
          <t>実施中</t>
        </is>
      </c>
      <c r="B43" s="4">
        <f>COUNTIF(G5:G39,"実施中")</f>
        <v/>
      </c>
      <c r="C43" s="5" t="inlineStr"/>
      <c r="D43" s="5" t="inlineStr"/>
      <c r="E43" s="5" t="inlineStr"/>
      <c r="F43" s="5" t="inlineStr"/>
      <c r="G43" s="5" t="inlineStr"/>
      <c r="H43" s="5" t="inlineStr"/>
      <c r="I43" s="5" t="inlineStr"/>
      <c r="J43" s="5" t="inlineStr"/>
    </row>
    <row r="44" ht="18" customHeight="1">
      <c r="A44" s="14" t="inlineStr">
        <is>
          <t>確認待ち</t>
        </is>
      </c>
      <c r="B44" s="4">
        <f>COUNTIF(G5:G39,"確認待ち")</f>
        <v/>
      </c>
      <c r="C44" s="5" t="inlineStr"/>
      <c r="D44" s="5" t="inlineStr"/>
      <c r="E44" s="5" t="inlineStr"/>
      <c r="F44" s="5" t="inlineStr"/>
      <c r="G44" s="5" t="inlineStr"/>
      <c r="H44" s="5" t="inlineStr"/>
      <c r="I44" s="5" t="inlineStr"/>
      <c r="J44" s="5" t="inlineStr"/>
    </row>
    <row r="45" ht="18" customHeight="1">
      <c r="A45" s="15" t="inlineStr">
        <is>
          <t>未着手</t>
        </is>
      </c>
      <c r="B45" s="4">
        <f>COUNTIF(G5:G39,"未着手")</f>
        <v/>
      </c>
      <c r="C45" s="5" t="inlineStr"/>
      <c r="D45" s="5" t="inlineStr"/>
      <c r="E45" s="5" t="inlineStr"/>
      <c r="F45" s="5" t="inlineStr"/>
      <c r="G45" s="5" t="inlineStr"/>
      <c r="H45" s="5" t="inlineStr"/>
      <c r="I45" s="5" t="inlineStr"/>
      <c r="J45" s="5" t="inlineStr"/>
    </row>
    <row r="46" ht="18" customHeight="1">
      <c r="A46" s="16" t="inlineStr">
        <is>
          <t>対象外</t>
        </is>
      </c>
      <c r="B46" s="4">
        <f>COUNTIF(G5:G39,"対象外")</f>
        <v/>
      </c>
      <c r="C46" s="5" t="inlineStr"/>
      <c r="D46" s="5" t="inlineStr"/>
      <c r="E46" s="5" t="inlineStr"/>
      <c r="F46" s="5" t="inlineStr"/>
      <c r="G46" s="5" t="inlineStr"/>
      <c r="H46" s="5" t="inlineStr"/>
      <c r="I46" s="5" t="inlineStr"/>
      <c r="J46" s="5" t="inlineStr"/>
    </row>
    <row r="48" ht="28" customHeight="1">
      <c r="A48" s="3" t="inlineStr">
        <is>
          <t>資料の提供を要するか</t>
        </is>
      </c>
      <c r="B48" s="3" t="inlineStr">
        <is>
          <t>件数</t>
        </is>
      </c>
      <c r="C48" s="3" t="inlineStr">
        <is>
          <t>内容</t>
        </is>
      </c>
      <c r="D48" s="3" t="inlineStr"/>
      <c r="E48" s="3" t="inlineStr"/>
      <c r="F48" s="3" t="inlineStr"/>
      <c r="G48" s="3" t="inlineStr"/>
      <c r="H48" s="3" t="inlineStr"/>
      <c r="I48" s="3" t="inlineStr"/>
      <c r="J48" s="3" t="inlineStr"/>
    </row>
    <row r="49" ht="32" customHeight="1">
      <c r="A49" s="5" t="inlineStr">
        <is>
          <t>資料の提供を要する</t>
        </is>
      </c>
      <c r="B49" s="5" t="n">
        <v>18</v>
      </c>
      <c r="C49" s="5" t="inlineStr">
        <is>
          <t>No.1、No.3、No.5、No.7、No.8、No.9、No.11、No.15、No.16、No.17、No.21、No.24、No.26、No.27、No.29、No.30、No.31、No.35</t>
        </is>
      </c>
      <c r="D49" s="9" t="n"/>
      <c r="E49" s="9" t="n"/>
      <c r="F49" s="9" t="n"/>
      <c r="G49" s="9" t="n"/>
      <c r="H49" s="9" t="n"/>
      <c r="I49" s="9" t="n"/>
      <c r="J49" s="8" t="n"/>
    </row>
    <row r="50" ht="32" customHeight="1">
      <c r="A50" s="5" t="inlineStr">
        <is>
          <t>提供済の資料・方針の決定で足りる</t>
        </is>
      </c>
      <c r="B50" s="5" t="n">
        <v>17</v>
      </c>
      <c r="C50" s="5" t="inlineStr">
        <is>
          <t>No.2、No.4、No.6、No.10、No.12、No.13、No.14、No.18、No.19、No.20、No.22、No.23、No.25、No.32、No.33、No.34、No.28</t>
        </is>
      </c>
      <c r="D50" s="9" t="n"/>
      <c r="E50" s="9" t="n"/>
      <c r="F50" s="9" t="n"/>
      <c r="G50" s="9" t="n"/>
      <c r="H50" s="9" t="n"/>
      <c r="I50" s="9" t="n"/>
      <c r="J50" s="8" t="n"/>
    </row>
    <row r="52" ht="96" customHeight="1">
      <c r="A52" s="10" t="inlineStr">
        <is>
          <t>注1）本シートの35件は、いずれも「どのデータを用いてどう算定するか」の決定を求めるものである。決定すれば本文及び図表の数値が確定する。注2）このうち18件は資料の提供を要する（業務工程管理表06シートの依頼No.）。資料の提供と本シートの決定は別の作業であり、資料が届いた時点で受託者が算定し、算定方法を本シートで確認いただく流れとなる。注3）将来推計（No.5・21・22・23・27・31）は相互に依存する。人口の基礎（No.5）→認定率の設定（No.21）→見込量（No.23・25）→保険料（No.27）の順に決定する必要があるため、No.5を最も早く決めていただきたい。</t>
        </is>
      </c>
    </row>
  </sheetData>
  <mergeCells count="4">
    <mergeCell ref="A52:J52"/>
    <mergeCell ref="C50:J50"/>
    <mergeCell ref="C49:J49"/>
    <mergeCell ref="A2:J2"/>
  </mergeCells>
  <conditionalFormatting sqref="G5:G39">
    <cfRule type="cellIs" priority="1" operator="equal" dxfId="0">
      <formula>"完了"</formula>
    </cfRule>
    <cfRule type="cellIs" priority="2" operator="equal" dxfId="1">
      <formula>"実施中"</formula>
    </cfRule>
    <cfRule type="cellIs" priority="3" operator="equal" dxfId="2">
      <formula>"確認待ち"</formula>
    </cfRule>
    <cfRule type="cellIs" priority="4" operator="equal" dxfId="3">
      <formula>"未着手"</formula>
    </cfRule>
    <cfRule type="cellIs" priority="5" operator="equal" dxfId="4">
      <formula>"対象外"</formula>
    </cfRule>
  </conditionalFormatting>
  <dataValidations count="1">
    <dataValidation sqref="G5:G39" showDropDown="0" showInputMessage="0" showErrorMessage="0" allowBlank="1" type="list">
      <formula1>"完了,実施中,確認待ち,未着手,対象外"</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
  <sheetViews>
    <sheetView showGridLines="0" workbookViewId="0">
      <pane ySplit="4" topLeftCell="A5" activePane="bottomLeft" state="frozen"/>
      <selection pane="bottomLeft" activeCell="A1" sqref="A1"/>
    </sheetView>
  </sheetViews>
  <sheetFormatPr baseColWidth="8" defaultRowHeight="15"/>
  <cols>
    <col width="6" customWidth="1" min="1" max="1"/>
    <col width="22" customWidth="1" min="2" max="2"/>
    <col width="44" customWidth="1" min="3" max="3"/>
    <col width="34" customWidth="1" min="4" max="4"/>
    <col width="30" customWidth="1" min="5" max="5"/>
  </cols>
  <sheetData>
    <row r="1" ht="22" customHeight="1">
      <c r="A1" s="1" t="inlineStr">
        <is>
          <t>本文に残す注記の基準</t>
        </is>
      </c>
    </row>
    <row r="2" ht="46" customHeight="1">
      <c r="A2" s="2" t="inlineStr">
        <is>
          <t>計画本文の注記は、図表を読むために必要なものに限る。作業の予定、未確定事項、確認事項及び前稿からの変更は本文に置かない。第9期計画の体裁との対応を示す。</t>
        </is>
      </c>
    </row>
    <row r="4" ht="28" customHeight="1">
      <c r="A4" s="3" t="inlineStr">
        <is>
          <t>区分</t>
        </is>
      </c>
      <c r="B4" s="3" t="inlineStr">
        <is>
          <t>本文に残す注記</t>
        </is>
      </c>
      <c r="C4" s="3" t="inlineStr">
        <is>
          <t>内容</t>
        </is>
      </c>
      <c r="D4" s="3" t="inlineStr">
        <is>
          <t>第9期計画での扱い</t>
        </is>
      </c>
      <c r="E4" s="3" t="inlineStr">
        <is>
          <t>残した箇所</t>
        </is>
      </c>
    </row>
    <row r="5" ht="56" customHeight="1">
      <c r="A5" s="11" t="inlineStr">
        <is>
          <t>残す</t>
        </is>
      </c>
      <c r="B5" s="5" t="inlineStr">
        <is>
          <t>出典（出典：〜）</t>
        </is>
      </c>
      <c r="C5" s="5" t="inlineStr">
        <is>
          <t>法令、告示、国・道の公表資料、調査報告書の名称と該当箇所。図の下に「資料：〜」の1行を右寄せで置く体裁も同じ扱いとする。</t>
        </is>
      </c>
      <c r="D5" s="5" t="inlineStr">
        <is>
          <t>第9期計画も各図表に出典を付している</t>
        </is>
      </c>
      <c r="E5" s="5" t="inlineStr">
        <is>
          <t>本文2箇所＋各図の資料行</t>
        </is>
      </c>
    </row>
    <row r="6" ht="56" customHeight="1">
      <c r="A6" s="11" t="inlineStr">
        <is>
          <t>残す</t>
        </is>
      </c>
      <c r="B6" s="5" t="inlineStr">
        <is>
          <t>単位（単位：〜）</t>
        </is>
      </c>
      <c r="C6" s="5" t="inlineStr">
        <is>
          <t>金額の単位、人口10万対・認定者1万対等の基準、実数と率の区別。表を誤読させないために必要。</t>
        </is>
      </c>
      <c r="D6" s="5" t="inlineStr">
        <is>
          <t>第9期計画も単位を表の直下に置いている</t>
        </is>
      </c>
      <c r="E6" s="5" t="inlineStr">
        <is>
          <t>本文3箇所</t>
        </is>
      </c>
    </row>
    <row r="7" ht="56" customHeight="1">
      <c r="A7" s="11" t="inlineStr">
        <is>
          <t>残す</t>
        </is>
      </c>
      <c r="B7" s="5" t="inlineStr">
        <is>
          <t>欠測・非掲載の説明</t>
        </is>
      </c>
      <c r="C7" s="5" t="inlineStr">
        <is>
          <t>調査が実施されなかった年度、収録年度が限られるため掲載していない項目。空欄の意味を示さないと表が読めない。</t>
        </is>
      </c>
      <c r="D7" s="5" t="inlineStr">
        <is>
          <t>第9期計画にも同種の注がある</t>
        </is>
      </c>
      <c r="E7" s="5" t="inlineStr">
        <is>
          <t>本文1箇所</t>
        </is>
      </c>
    </row>
    <row r="8" ht="56" customHeight="1">
      <c r="A8" s="11" t="inlineStr">
        <is>
          <t>残す</t>
        </is>
      </c>
      <c r="B8" s="5" t="inlineStr">
        <is>
          <t>数値の性質（概算値・試算値・基準値）</t>
        </is>
      </c>
      <c r="C8" s="5" t="inlineStr">
        <is>
          <t>概算値であること、自然体試算であること、基準時点の異なる値の単純比率であること（スクリーニング値）。確定値と誤読されることを防ぐために必要。</t>
        </is>
      </c>
      <c r="D8" s="5" t="inlineStr">
        <is>
          <t>第9期計画も推計値・実績値を区別している</t>
        </is>
      </c>
      <c r="E8" s="5" t="inlineStr">
        <is>
          <t>本文4箇所</t>
        </is>
      </c>
    </row>
    <row r="9" ht="56" customHeight="1">
      <c r="A9" s="11" t="inlineStr">
        <is>
          <t>残す</t>
        </is>
      </c>
      <c r="B9" s="5" t="inlineStr">
        <is>
          <t>記号の意味（0・―）</t>
        </is>
      </c>
      <c r="C9" s="5" t="inlineStr">
        <is>
          <t>事業所数0が「区域内に事業所が存在しない」ことを示すこと、「―」が集計対象外であること。</t>
        </is>
      </c>
      <c r="D9" s="5" t="inlineStr">
        <is>
          <t>第9期計画にも同種の注がある</t>
        </is>
      </c>
      <c r="E9" s="5" t="inlineStr">
        <is>
          <t>本文1箇所</t>
        </is>
      </c>
    </row>
    <row r="10" ht="56" customHeight="1">
      <c r="A10" s="15" t="inlineStr">
        <is>
          <t>残さない</t>
        </is>
      </c>
      <c r="B10" s="5" t="inlineStr">
        <is>
          <t>作業の予定（〜します／〜を検討します）</t>
        </is>
      </c>
      <c r="C10" s="5" t="inlineStr">
        <is>
          <t>受託者が今後行う作業。計画の読み手には関係がない。</t>
        </is>
      </c>
      <c r="D10" s="5" t="inlineStr">
        <is>
          <t>第9期計画の本文にはない</t>
        </is>
      </c>
      <c r="E10" s="5" t="inlineStr">
        <is>
          <t>03・04シートへ移した</t>
        </is>
      </c>
    </row>
    <row r="11" ht="56" customHeight="1">
      <c r="A11" s="15" t="inlineStr">
        <is>
          <t>残さない</t>
        </is>
      </c>
      <c r="B11" s="5" t="inlineStr">
        <is>
          <t>未確定事項・確認事項</t>
        </is>
      </c>
      <c r="C11" s="5" t="inlineStr">
        <is>
          <t>データ源が未確定、資料が未受領、告示前である等。本文では［要協議］［要確認］［要内訳］のみを残す。</t>
        </is>
      </c>
      <c r="D11" s="5" t="inlineStr">
        <is>
          <t>第9期計画の本文にはない</t>
        </is>
      </c>
      <c r="E11" s="5" t="inlineStr">
        <is>
          <t>03・04シートへ移した</t>
        </is>
      </c>
    </row>
    <row r="12" ht="56" customHeight="1">
      <c r="A12" s="15" t="inlineStr">
        <is>
          <t>残さない</t>
        </is>
      </c>
      <c r="B12" s="5" t="inlineStr">
        <is>
          <t>前稿からの変更・図表の作成方針</t>
        </is>
      </c>
      <c r="C12" s="5" t="inlineStr">
        <is>
          <t>【新設】、ページ番号、図表の点数、白黒印刷の前提等。</t>
        </is>
      </c>
      <c r="D12" s="5" t="inlineStr">
        <is>
          <t>第9期計画の本文にはない</t>
        </is>
      </c>
      <c r="E12" s="5" t="inlineStr">
        <is>
          <t>01・02シート、03シートNo.21へ移した</t>
        </is>
      </c>
    </row>
    <row r="13" ht="56" customHeight="1">
      <c r="A13" s="15" t="inlineStr">
        <is>
          <t>残さない</t>
        </is>
      </c>
      <c r="B13" s="5" t="inlineStr">
        <is>
          <t>推論・仮説の留保</t>
        </is>
      </c>
      <c r="C13" s="5" t="inlineStr">
        <is>
          <t>「〜の可能性がある」「〜が疑われる」の根拠及び未確認事項。本文では推量の形そのものを用い、留保の説明は本表で管理する。</t>
        </is>
      </c>
      <c r="D13" s="5" t="inlineStr">
        <is>
          <t>第9期計画の本文にはない</t>
        </is>
      </c>
      <c r="E13" s="5" t="inlineStr">
        <is>
          <t>04シート、主張の根拠水準の棚卸し03シートへ移した</t>
        </is>
      </c>
    </row>
    <row r="15" ht="18" customHeight="1">
      <c r="A15" s="6" t="inlineStr">
        <is>
          <t>【移動の結果】</t>
        </is>
      </c>
    </row>
    <row r="16" ht="28" customHeight="1">
      <c r="A16" s="3" t="inlineStr">
        <is>
          <t>項目</t>
        </is>
      </c>
      <c r="B16" s="3" t="inlineStr">
        <is>
          <t>是正版</t>
        </is>
      </c>
      <c r="C16" s="3" t="inlineStr">
        <is>
          <t>体裁整理版</t>
        </is>
      </c>
      <c r="D16" s="3" t="inlineStr">
        <is>
          <t>差</t>
        </is>
      </c>
      <c r="E16" s="3" t="inlineStr">
        <is>
          <t>移した先</t>
        </is>
      </c>
    </row>
    <row r="17" ht="20" customHeight="1">
      <c r="A17" s="5" t="inlineStr">
        <is>
          <t>本文の注記（NOTE）</t>
        </is>
      </c>
      <c r="B17" s="4" t="n">
        <v>56</v>
      </c>
      <c r="C17" s="4" t="n">
        <v>14</v>
      </c>
      <c r="D17" s="4" t="n">
        <v>-42</v>
      </c>
      <c r="E17" s="5" t="inlineStr">
        <is>
          <t>01・02・03・04シート</t>
        </is>
      </c>
    </row>
    <row r="18" ht="20" customHeight="1">
      <c r="A18" s="5" t="inlineStr">
        <is>
          <t>表紙の変更履歴の表</t>
        </is>
      </c>
      <c r="B18" s="4" t="n">
        <v>1</v>
      </c>
      <c r="C18" s="4" t="n">
        <v>0</v>
      </c>
      <c r="D18" s="4" t="n">
        <v>-1</v>
      </c>
      <c r="E18" s="5" t="inlineStr">
        <is>
          <t>01シート</t>
        </is>
      </c>
    </row>
    <row r="19" ht="20" customHeight="1">
      <c r="A19" s="5" t="inlineStr">
        <is>
          <t>目次の【新設】</t>
        </is>
      </c>
      <c r="B19" s="4" t="n">
        <v>4</v>
      </c>
      <c r="C19" s="4" t="n">
        <v>0</v>
      </c>
      <c r="D19" s="4" t="n">
        <v>-4</v>
      </c>
      <c r="E19" s="5" t="inlineStr">
        <is>
          <t>02シート</t>
        </is>
      </c>
    </row>
    <row r="20" ht="20" customHeight="1">
      <c r="A20" s="5" t="inlineStr">
        <is>
          <t>巻末の取扱いの段落</t>
        </is>
      </c>
      <c r="B20" s="4" t="n">
        <v>1</v>
      </c>
      <c r="C20" s="4" t="n">
        <v>0</v>
      </c>
      <c r="D20" s="4" t="n">
        <v>-1</v>
      </c>
      <c r="E20" s="5" t="inlineStr">
        <is>
          <t>01シート</t>
        </is>
      </c>
    </row>
    <row r="21" ht="20" customHeight="1">
      <c r="A21" s="5" t="inlineStr">
        <is>
          <t>段落数</t>
        </is>
      </c>
      <c r="B21" s="4" t="n">
        <v>579</v>
      </c>
      <c r="C21" s="4" t="n">
        <v>540</v>
      </c>
      <c r="D21" s="4" t="n">
        <v>-39</v>
      </c>
      <c r="E21" s="5" t="inlineStr">
        <is>
          <t>―</t>
        </is>
      </c>
    </row>
    <row r="22" ht="20" customHeight="1">
      <c r="A22" s="5" t="inlineStr">
        <is>
          <t>表の数</t>
        </is>
      </c>
      <c r="B22" s="4" t="n">
        <v>98</v>
      </c>
      <c r="C22" s="4" t="n">
        <v>97</v>
      </c>
      <c r="D22" s="4" t="n">
        <v>-1</v>
      </c>
      <c r="E22" s="5" t="inlineStr">
        <is>
          <t>01シート（表紙の変更履歴）</t>
        </is>
      </c>
    </row>
    <row r="24" ht="96" customHeight="1">
      <c r="A24" s="10" t="inlineStr">
        <is>
          <t>注1）本文に残した注記は14箇所である。内訳は、出典4箇所（基本指針の構成、介護保険最新情報Vol.1525、北海道第9期計画の分布図、北海道の保険料資料）、単位4箇所（決算値、事業所数、標準給付費、給付費見込み）、欠測・非掲載1箇所（令和2年度の事業所調査）、数値の性質4箇所（見込量の基準値、入所率のスクリーニング値、必要保険料の概算値、第10期平均の自然体試算）、記号の意味1箇所（事業所数0と「―」）である。このほか、図には「資料：〜」の1行を付す体裁を継続している。注2）本文の数値を読むために必要な定義（受給率の分母、スクリーニング値であること、概算値であること等）は、注記ではなく本文の文中に記述する方針とする。注記を減らすことと、根拠を示さないことは別である。注3）注記から削除した内容のうち、計画の読み手に必要なものは注記ではなく本文の文中に移した。第1章第7節の訪問・通所困難地域の考え方（定義、美瑛町の公共交通と除雪の状況、該当の見込みと未確認事項）及び第1章第9節の特定地域の判定単位・基準②のもう一方の要件がこれに当たる。注記を減らした結果として段落数は減っているが、記述の内容は減っていない。注4）計画最終案の段階では、本文に残した注記についても第9期計画の体裁（フォント・位置・字下げ）と照合する。</t>
        </is>
      </c>
    </row>
  </sheetData>
  <mergeCells count="3">
    <mergeCell ref="A2:E2"/>
    <mergeCell ref="A15:E15"/>
    <mergeCell ref="A24:E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2026-10-15T02:01:40Z</dcterms:created>
  <dcterms:modified xmlns:dcterms="http://purl.org/dc/terms/" xmlns:xsi="http://www.w3.org/2001/XMLSchema-instance" xsi:type="dcterms:W3CDTF">2026-10-15T02:01:40Z</dcterms:modified>
</cp:coreProperties>
</file>