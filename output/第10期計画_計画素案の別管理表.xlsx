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版別の変更内容を管理する。第9期計画の体裁では表紙に変更履歴を置いていないため、本文からは削除した。</t>
        </is>
      </c>
      <c r="D5" s="5" t="inlineStr">
        <is>
          <t>表紙の【前版からの主な変更】の表（6行）
巻末の「本素案の取扱い」の段落</t>
        </is>
      </c>
      <c r="E5" s="5" t="inlineStr">
        <is>
          <t>受託者が版の更新ごとに追記</t>
        </is>
      </c>
    </row>
    <row r="6" ht="76" customHeight="1">
      <c r="A6" s="4" t="inlineStr">
        <is>
          <t>2</t>
        </is>
      </c>
      <c r="B6" s="5" t="inlineStr">
        <is>
          <t>02_目次の新設・変更箇所</t>
        </is>
      </c>
      <c r="C6" s="5" t="inlineStr">
        <is>
          <t>前版からの新設・変更箇所を節単位で管理する。目次は計画の構成を示すものであり、作業の履歴を示す注記は目次に置かない。</t>
        </is>
      </c>
      <c r="D6" s="5" t="inlineStr">
        <is>
          <t>目次の【新設】4箇所
「※ページ番号は最終組版時に更新します。【新設】は前版からの追加です。」</t>
        </is>
      </c>
      <c r="E6" s="5" t="inlineStr">
        <is>
          <t>受託者が版の更新ごとに追記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業務工程の進行を止めている確認事項（42件）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受託者の自己点検</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受託者の自己点検</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令和8年7月　初版</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令和8年7月　第2版</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令和8年7月29日　是正版</t>
        </is>
      </c>
      <c r="B7" s="4" t="inlineStr">
        <is>
          <t>R8.7.29</t>
        </is>
      </c>
      <c r="C7" s="5" t="inlineStr">
        <is>
          <t>記述の是正</t>
        </is>
      </c>
      <c r="D7" s="5" t="inlineStr">
        <is>
          <t>受託者の自己点検（自己点検記録）及び主張の根拠水準の点検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受託者の自己点検（指摘26件）、受託者の自己点検（主張46件・断定8件）</t>
        </is>
      </c>
      <c r="F7" s="5" t="inlineStr">
        <is>
          <t>第1章第7節
第2章第2節・第3節
第3章</t>
        </is>
      </c>
    </row>
    <row r="8" ht="140" customHeight="1">
      <c r="A8" s="4" t="inlineStr">
        <is>
          <t>令和8年7月30日　本文反映版</t>
        </is>
      </c>
      <c r="B8" s="4" t="inlineStr">
        <is>
          <t>R8.7.30</t>
        </is>
      </c>
      <c r="C8" s="5" t="inlineStr">
        <is>
          <t>本文への反映</t>
        </is>
      </c>
      <c r="D8" s="5" t="inlineStr">
        <is>
          <t>受領した見える化の各系列（δ 自給率、D49 地域差指数、C1 保険料、A 人口）による分析結果を本文に反映した。①第2章第2節1を「給付水準の高さの要因」から「給付水準の位置」に改め、地域差指数の4要素を並列で示し、掛け合わせても給付月額の指数に一致しないことを明記した。あわせて上川管内における位置（8〜10位）と17年間の推移（管内1位から12位、伸び率は管内16位）を追加した。②第2章第3節に「区域内の事業所による給付の割合（介護サービス自給率）」を新設し、3町の区分別の自給率と区域外の事業所による給付の割合を掲載した。③第3章第5節に「長期でみた到達点」を新設し、給付水準・認定率・財政の長期の推移を整理した。第10期の重点を重度化防止から介護予防へ移す根拠を明記した。④第6章第6節に保険料と必要保険料月額との関係（管内21保険者中6のみ剰余）を追加した。⑤第1章第6節に推計の見直しの手順を新設し、階級別認定率の実績を年次評価で確認する仕組みを位置づけた。⑥第2章第8節の中長期推計の表を新推計に差し替え、総給付費は第3段階での算定を待つため［要確認］とした。⑦資料6の別表「五」を「一部対応」から「対応済」に改めた。</t>
        </is>
      </c>
      <c r="E8" s="5" t="inlineStr">
        <is>
          <t>地域差の分析（15シート）、人口推計の基礎の検証（9シート）、将来推計（8シート）、受託者の自己点検</t>
        </is>
      </c>
      <c r="F8" s="5" t="inlineStr">
        <is>
          <t>第1章第6節
第2章第2節・第3節・第8節
第3章第5節
第6章第6節
資料6</t>
        </is>
      </c>
    </row>
    <row r="9" ht="140" customHeight="1">
      <c r="A9" s="4" t="inlineStr">
        <is>
          <t>令和8年7月30日　将来推計反映版</t>
        </is>
      </c>
      <c r="B9" s="4" t="inlineStr">
        <is>
          <t>R8.7.30</t>
        </is>
      </c>
      <c r="C9" s="5" t="inlineStr">
        <is>
          <t>将来推計の着手</t>
        </is>
      </c>
      <c r="D9" s="5" t="inlineStr">
        <is>
          <t>人口推計の基礎について社人研推計を受託者の案とし、これを作業上の前提として仮に置いたうえで、将来推計の第1段階（人口と認定者数）を試算した。①第2章第1節に人口推計の基礎と第9期計画との差の理由を記載する。②第6章第1節の認定者数の見込みに3シナリオの算定結果を反映する。③第10期期間中は65歳以上人口がほぼ横ばいで、増えるのは80〜84歳と85歳以上のみであることを明記する。</t>
        </is>
      </c>
      <c r="E9" s="5" t="inlineStr">
        <is>
          <t>見える化A系列、将来推計（8シート）</t>
        </is>
      </c>
      <c r="F9" s="5" t="inlineStr">
        <is>
          <t>第2章第1節
第6章第1節</t>
        </is>
      </c>
    </row>
    <row r="10" ht="140" customHeight="1">
      <c r="A10" s="4" t="inlineStr">
        <is>
          <t>令和8年7月30日　地域差反映版</t>
        </is>
      </c>
      <c r="B10" s="4" t="inlineStr">
        <is>
          <t>R8.7.30</t>
        </is>
      </c>
      <c r="C10" s="5" t="inlineStr">
        <is>
          <t>地域差の分析の反映</t>
        </is>
      </c>
      <c r="D10"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10" s="5" t="inlineStr">
        <is>
          <t>地域差の分析（15シート）、受託者の自己点検 No.27〜29</t>
        </is>
      </c>
      <c r="F10" s="5" t="inlineStr">
        <is>
          <t>第2章第2節・第3節
第3章第5節
第6章第5節・第6節</t>
        </is>
      </c>
    </row>
    <row r="11" ht="140" customHeight="1">
      <c r="A11" s="4" t="inlineStr">
        <is>
          <t>令和8年7月29日　体裁整理版</t>
        </is>
      </c>
      <c r="B11" s="4" t="inlineStr">
        <is>
          <t>R8.7.29</t>
        </is>
      </c>
      <c r="C11" s="5" t="inlineStr">
        <is>
          <t>体裁の整理</t>
        </is>
      </c>
      <c r="D11" s="5" t="inlineStr">
        <is>
          <t>①表紙の【前版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11" s="5" t="inlineStr">
        <is>
          <t>発注者からの指示（令和8年7月29日）</t>
        </is>
      </c>
      <c r="F11" s="5" t="inlineStr">
        <is>
          <t>表紙
目次
本文全体
巻末</t>
        </is>
      </c>
    </row>
    <row r="12" ht="140" customHeight="1">
      <c r="A12" s="4" t="inlineStr">
        <is>
          <t>令和8年8月31日　受領資料反映版</t>
        </is>
      </c>
      <c r="B12" s="4" t="inlineStr">
        <is>
          <t>R8.8.31</t>
        </is>
      </c>
      <c r="C12" s="5" t="inlineStr">
        <is>
          <t>受領資料の本文反映</t>
        </is>
      </c>
      <c r="D12" s="5" t="inlineStr">
        <is>
          <t>令和8年8月28日及び31日に受領した資料を本文に反映した。①第2章第1節4の介護保険特別会計の推移に令和6年度の決算額と介護給付費準備基金の残高を加えた。②第3章第1節2の通いの場の統計に総合事業ベースの令和6年度実績（25箇所・330人・参加率3.53％）を加え、「平成29年度をピークに低下している」という記述を「令和2年度を底に回復したが国の水準8％を大きく下回る」に改めた。③第3章第2節に地域支援事業費の決算（183,384,259円）、通いの場の町別の展開状況、一般介護予防事業の実施状況を加えた。④第3章第3節に第9期の対計画比（主要8指標）と計画との乖離が大きい9サービスの表を新設した。⑤第4章第3節の代表KPI H15の基準値を確定した（令和6年度▲3.66％・令和7年度▲2.17％）。⑥第6章第3節2の地域支援事業費に令和6年度の決算の内訳を入れ、［要内訳］4件のうち3件を外した。⑦第6章第6節に見える化システムによる期別の保険料基準額、介護給付費準備基金の状況、保険料収納率と所得段階別被保険者数の実績を加えた。⑧第6章第3節3に標準給付費見込額（A）・地域支援事業費（B）・合計（①）を追加し、第6章第6節2に受託者による暫定算定（基本ケース月額6,740円）と前提を動かした場合の幅を加えた。</t>
        </is>
      </c>
      <c r="E12" s="5" t="inlineStr">
        <is>
          <t>見える化総括表の受領点検（7シート）、総合事業実施状況調査の受領点検（5シート）、年報月報の受領点検、令和6年度決算書の受領点検、基金条例の確認、将来推計 第3段階（給付費と保険料）</t>
        </is>
      </c>
      <c r="F12" s="5" t="inlineStr">
        <is>
          <t>第2章第1節
第3章第1〜3節
第4章第3節
第6章第3節・第6節</t>
        </is>
      </c>
    </row>
    <row r="14" ht="18" customHeight="1">
      <c r="A14" s="6" t="inlineStr">
        <is>
          <t>【本素案の取扱い（巻末の段落から移動）】</t>
        </is>
      </c>
    </row>
    <row r="15" ht="76" customHeight="1">
      <c r="A15" s="5" t="inlineStr">
        <is>
          <t>本書は、第9期計画の章立てと体裁を踏襲しつつ、第10期の国の検討方向、第9期の課題評価、構成3町の高齢者福祉計画、及び地域包括ケア「見える化」システムのデータによる妥当性検証を反映したもの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5" s="9" t="n"/>
      <c r="C15" s="9" t="n"/>
      <c r="D15" s="9" t="n"/>
      <c r="E15" s="9" t="n"/>
      <c r="F15" s="8" t="n"/>
    </row>
    <row r="17" ht="18" customHeight="1">
      <c r="A17" s="6" t="inlineStr">
        <is>
          <t>【今後の版の予定】</t>
        </is>
      </c>
    </row>
    <row r="18" ht="28" customHeight="1">
      <c r="A18" s="3" t="inlineStr">
        <is>
          <t>版</t>
        </is>
      </c>
      <c r="B18" s="3" t="inlineStr">
        <is>
          <t>予定時期</t>
        </is>
      </c>
      <c r="C18" s="3" t="inlineStr">
        <is>
          <t>反映する内容</t>
        </is>
      </c>
      <c r="D18" s="3" t="inlineStr"/>
      <c r="E18" s="3" t="inlineStr"/>
      <c r="F18" s="3" t="inlineStr">
        <is>
          <t>前提となる確認事項</t>
        </is>
      </c>
    </row>
    <row r="19" ht="52" customHeight="1">
      <c r="A19" s="4" t="inlineStr">
        <is>
          <t>協議用素案（令和8年9月時点）</t>
        </is>
      </c>
      <c r="B19" s="4" t="inlineStr">
        <is>
          <t>R8.9</t>
        </is>
      </c>
      <c r="C19" s="5" t="inlineStr">
        <is>
          <t>本表03・04シートの確認事項の決定内容を反映する。健康とくらしの調査の分析結果（調査クロス集計・分析24シート）を第2章第4節・第5章基本目標1へ反映する。</t>
        </is>
      </c>
      <c r="D19" s="9" t="n"/>
      <c r="E19" s="8" t="n"/>
      <c r="F19" s="5" t="inlineStr">
        <is>
          <t>03シートA1〜A22
04シートB1〜B28</t>
        </is>
      </c>
    </row>
    <row r="20" ht="52" customHeight="1">
      <c r="A20" s="4" t="inlineStr">
        <is>
          <t>計画骨子案</t>
        </is>
      </c>
      <c r="B20" s="4" t="inlineStr">
        <is>
          <t>R8.10</t>
        </is>
      </c>
      <c r="C20" s="5" t="inlineStr">
        <is>
          <t>策定委員会での意見を反映する。第9期の事業実績（令和6〜8年度）によるプロセス評価を第3章へ反映する。</t>
        </is>
      </c>
      <c r="D20" s="9" t="n"/>
      <c r="E20" s="8" t="n"/>
      <c r="F20" s="5" t="inlineStr">
        <is>
          <t>資料提供依頼No.13</t>
        </is>
      </c>
    </row>
    <row r="21" ht="52" customHeight="1">
      <c r="A21" s="4" t="inlineStr">
        <is>
          <t>計画素案（提出版）</t>
        </is>
      </c>
      <c r="B21" s="4" t="inlineStr">
        <is>
          <t>R8.12</t>
        </is>
      </c>
      <c r="C21" s="5" t="inlineStr">
        <is>
          <t>将来推計の確定値、保険料の試算、施設整備方針を反映する。</t>
        </is>
      </c>
      <c r="D21" s="9" t="n"/>
      <c r="E21" s="8" t="n"/>
      <c r="F21" s="5" t="inlineStr">
        <is>
          <t>資料提供依頼No.6・No.7・No.9・No.11</t>
        </is>
      </c>
    </row>
    <row r="22" ht="52" customHeight="1">
      <c r="A22" s="4" t="inlineStr">
        <is>
          <t>計画最終案</t>
        </is>
      </c>
      <c r="B22" s="4" t="inlineStr">
        <is>
          <t>R9.2</t>
        </is>
      </c>
      <c r="C22" s="5" t="inlineStr">
        <is>
          <t>パブリックコメントの結果を反映する。</t>
        </is>
      </c>
      <c r="D22" s="9" t="n"/>
      <c r="E22" s="8" t="n"/>
      <c r="F22" s="5" t="inlineStr">
        <is>
          <t>―</t>
        </is>
      </c>
    </row>
    <row r="24" ht="96" customHeight="1">
      <c r="A24" s="10" t="inlineStr">
        <is>
          <t>注1）第9期計画の表紙及び巻末には変更履歴の記載がない。計画は完成した文書として住民・委員に示すものであり、作成の過程は本表で管理する。注2）版の履歴は、成果品の納品時に発注者へ本表として提出する。計画本文（Word）には含めない。注3）令和8年7月29日の是正内容の詳細は、受託者の自己点検及び受託者の自己点検に記載している。</t>
        </is>
      </c>
    </row>
  </sheetData>
  <mergeCells count="9">
    <mergeCell ref="A24:F24"/>
    <mergeCell ref="A2:F2"/>
    <mergeCell ref="C19:E19"/>
    <mergeCell ref="A14:F14"/>
    <mergeCell ref="C22:E22"/>
    <mergeCell ref="A17:F17"/>
    <mergeCell ref="C21:E21"/>
    <mergeCell ref="C20:E20"/>
    <mergeCell ref="A15:F1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令和8年7月</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令和8年7月</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令和8年7月</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令和8年7月</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令和8年7月</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令和8年7月</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【新設】は前版からの追加です。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未利用の理由の把握の記述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算定可能区分の単純平均（美瑛6区分、東川・東神楽5区分）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2"/>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東川町の将来推計の基礎【受託者の案・意向確認待ち】</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受託者は、社人研推計（システムの初期値）をそのまま用いることを案とし、これを作業上の前提として仮に置いたうえで第1段階を試算している。キックオフ会議でご意向を確認したうえで基礎を採用する（別冊のヒアリングシート 項目6-1）。他の系列によるとのご意向がある場合は第1段階を再計算する。令和6年・令和7年の住基実績を受領した際は乖離を確認し、大きい場合は第2章に注記する。</t>
        </is>
      </c>
      <c r="F9" s="5" t="inlineStr">
        <is>
          <t>第2章第1節・第6章の全推計</t>
        </is>
      </c>
      <c r="G9" s="14" t="inlineStr">
        <is>
          <t>確認待ち</t>
        </is>
      </c>
      <c r="H9" s="4" t="inlineStr">
        <is>
          <t>R8.9</t>
        </is>
      </c>
      <c r="I9" s="4" t="inlineStr">
        <is>
          <t>No.3</t>
        </is>
      </c>
      <c r="J9" s="5" t="inlineStr"/>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階級別認定率のシナリオの選択</t>
        </is>
      </c>
      <c r="D25" s="5" t="inlineStr">
        <is>
          <t>認定率を年齢階級別（65〜74歳・75〜84歳・85歳以上）に設定した。①現状固定／②トレンド継続〈受託者の推奨〉／③令和元年水準へ回帰の3シナリオを算定した（将来推計03・04シート）。令和11年度の認定者数は①2,044人・②2,004人・③2,112人である。</t>
        </is>
      </c>
      <c r="E25" s="5" t="inlineStr">
        <is>
          <t>いずれのシナリオを計画に採用するか。②を基本とし③を保険料の安全側の確認として併用する案でよいか。年次評価で階級別認定率の実績を確認し、乖離が2年続けて2％を超えた場合に中間年で見直す仕組みでよいか。</t>
        </is>
      </c>
      <c r="F25" s="5" t="inlineStr">
        <is>
          <t>第6章第1節の認定者数見込み、第2節以降の全体</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令和8年8月28日受領の年報により、現年度分の収納率の実績が令和6年度99.885％・令和7年度99.866％と確定した。見える化システムによる第9期の保険料基準額の実績は6,069円（準備基金取崩後・対計画比94％）である。</t>
        </is>
      </c>
      <c r="E31" s="5" t="inlineStr">
        <is>
          <t>予定収納率を実績（99.8％台）に即した水準に改めてよいか。収納率を0.8ポイント引き上げると基準額はおよそ0.8％低くなる。基金の取崩方針と所得段階の設計（16段階を維持するか）。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自給率の平均の算定方法（算定可能区分が町により異なる）</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32</v>
      </c>
      <c r="B35" s="5" t="inlineStr">
        <is>
          <t>第6章第2節2</t>
        </is>
      </c>
      <c r="C35" s="5" t="inlineStr">
        <is>
          <t>見込量の表の数値の出所</t>
        </is>
      </c>
      <c r="D35" s="5" t="inlineStr">
        <is>
          <t>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t>
        </is>
      </c>
      <c r="E35" s="5" t="inlineStr">
        <is>
          <t>見込量の表の数値を「サービス見込量の算定」の結果に差し替えてよいか。差し替えると見込量・給付費・保険料が一本の経路でつながる。表頭の「R8実績」は「R7実績」に改める。</t>
        </is>
      </c>
      <c r="F35" s="5" t="inlineStr">
        <is>
          <t>第6章第2節2の見込量の表</t>
        </is>
      </c>
      <c r="G35" s="14" t="inlineStr">
        <is>
          <t>確認待ち</t>
        </is>
      </c>
      <c r="H35" s="4" t="inlineStr">
        <is>
          <t>R8.9</t>
        </is>
      </c>
      <c r="I35" s="4" t="inlineStr">
        <is>
          <t>―</t>
        </is>
      </c>
      <c r="J35" s="5" t="inlineStr"/>
    </row>
    <row r="36" ht="96" customHeight="1">
      <c r="A36" s="4" t="n">
        <v>33</v>
      </c>
      <c r="B36" s="5" t="inlineStr">
        <is>
          <t>第6章第3節
第6章第6節</t>
        </is>
      </c>
      <c r="C36" s="5" t="inlineStr">
        <is>
          <t>給付費の算定に用いる基準年度と出所</t>
        </is>
      </c>
      <c r="D36" s="5" t="inlineStr">
        <is>
          <t>現行の将来推計 第3段階は見える化システムの自然体推計に案C（総合戦略ベース）の置換率を乗じている。自然体推計には利用率及び単価の趨勢が織り込まれており、当方でその中身を分解できない。見える化システムの総括表による令和7年度実績を基準年度とし、認定者数の伸びのみを反映する置き方に改めると、算定上の月額基準額は6,740円から6,428円へ312円下がる。</t>
        </is>
      </c>
      <c r="E36" s="5" t="inlineStr">
        <is>
          <t>採用パターンをどちらに置くか。サービス見込量 第1次概算（9月26日）より前に決定を要する。</t>
        </is>
      </c>
      <c r="F36" s="5" t="inlineStr">
        <is>
          <t>将来推計 第3段階
計画素案 第6章第3節・第6節</t>
        </is>
      </c>
      <c r="G36" s="14" t="inlineStr">
        <is>
          <t>確認待ち</t>
        </is>
      </c>
      <c r="H36" s="4" t="inlineStr">
        <is>
          <t>R8.9</t>
        </is>
      </c>
      <c r="I36" s="4" t="inlineStr">
        <is>
          <t>―</t>
        </is>
      </c>
      <c r="J36" s="5" t="inlineStr"/>
    </row>
    <row r="37" ht="96" customHeight="1">
      <c r="A37" s="4" t="n">
        <v>34</v>
      </c>
      <c r="B37" s="5" t="inlineStr">
        <is>
          <t>第2章第8節
第6章第2節
第6章第3節</t>
        </is>
      </c>
      <c r="C37" s="5" t="inlineStr">
        <is>
          <t>中長期推計を見込量・給付費・保険料まで及ぼすか</t>
        </is>
      </c>
      <c r="D37"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採用パターンの1人あたり給付費を固定し認定者数を乗じれば算定できる。</t>
        </is>
      </c>
      <c r="E37" s="5" t="inlineStr">
        <is>
          <t>令和22年度までの見込量・給付費・保険料を算定してよいか。算定の範囲（サービス種類別か区分計か、令和17年度も示すか）を決定する。</t>
        </is>
      </c>
      <c r="F37" s="5" t="inlineStr">
        <is>
          <t>計画素案 第2章第8節・第6章第2節
将来推計 第3段階</t>
        </is>
      </c>
      <c r="G37" s="14" t="inlineStr">
        <is>
          <t>確認待ち</t>
        </is>
      </c>
      <c r="H37" s="4" t="inlineStr">
        <is>
          <t>R8.10</t>
        </is>
      </c>
      <c r="I37" s="4" t="inlineStr">
        <is>
          <t>―</t>
        </is>
      </c>
      <c r="J37" s="5" t="inlineStr"/>
    </row>
    <row r="38" ht="96" customHeight="1">
      <c r="A38" s="4" t="n">
        <v>35</v>
      </c>
      <c r="B38" s="5" t="inlineStr">
        <is>
          <t>第6章第3節</t>
        </is>
      </c>
      <c r="C38" s="5" t="inlineStr">
        <is>
          <t>地域支援事業の量の見込み</t>
        </is>
      </c>
      <c r="D38" s="5" t="inlineStr">
        <is>
          <t>介護保険法第117条第2項第2号は「各年度における地域支援事業の量の見込み」を基本的記載事項としているが、当方は費用の額のみを令和6年度決算の水準で置いており、量を算定していない。総合事業の令和7年度実績があれば、サービス区分ごとの利用者数を要支援認定者数の伸びで延長して算定できる。</t>
        </is>
      </c>
      <c r="E38" s="5" t="inlineStr">
        <is>
          <t>地域支援事業の量の見込みを算定してよいか。総合事業の令和7年度実績をご提供いただけるか。</t>
        </is>
      </c>
      <c r="F38" s="5" t="inlineStr">
        <is>
          <t>計画素案 第6章第3節</t>
        </is>
      </c>
      <c r="G38" s="14" t="inlineStr">
        <is>
          <t>確認待ち</t>
        </is>
      </c>
      <c r="H38" s="4" t="inlineStr">
        <is>
          <t>R8.10</t>
        </is>
      </c>
      <c r="I38" s="4" t="inlineStr">
        <is>
          <t>No.19</t>
        </is>
      </c>
      <c r="J38" s="5" t="inlineStr"/>
    </row>
    <row r="39" ht="96" customHeight="1">
      <c r="A39" s="4" t="n">
        <v>28</v>
      </c>
      <c r="B39" s="5" t="inlineStr">
        <is>
          <t>資料6</t>
        </is>
      </c>
      <c r="C39" s="5" t="inlineStr">
        <is>
          <t>見える化システムで取得できない系列</t>
        </is>
      </c>
      <c r="D39"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9" s="5" t="inlineStr">
        <is>
          <t>これらの系列について、保険者側で登録が可能なものがあるか。代替手段（資料6に記載）でよいか。</t>
        </is>
      </c>
      <c r="F39" s="5" t="inlineStr">
        <is>
          <t>資料6の対応表</t>
        </is>
      </c>
      <c r="G39" s="14" t="inlineStr">
        <is>
          <t>確認待ち</t>
        </is>
      </c>
      <c r="H39" s="4" t="inlineStr">
        <is>
          <t>R8.9</t>
        </is>
      </c>
      <c r="I39" s="4" t="inlineStr">
        <is>
          <t>―</t>
        </is>
      </c>
      <c r="J39" s="5" t="inlineStr"/>
    </row>
    <row r="41" ht="28" customHeight="1">
      <c r="A41" s="3" t="inlineStr">
        <is>
          <t>区分</t>
        </is>
      </c>
      <c r="B41" s="3" t="inlineStr">
        <is>
          <t>件数</t>
        </is>
      </c>
      <c r="C41" s="3" t="inlineStr"/>
      <c r="D41" s="3" t="inlineStr"/>
      <c r="E41" s="3" t="inlineStr"/>
      <c r="F41" s="3" t="inlineStr"/>
      <c r="G41" s="3" t="inlineStr"/>
      <c r="H41" s="3" t="inlineStr"/>
      <c r="I41" s="3" t="inlineStr"/>
      <c r="J41" s="3" t="inlineStr"/>
    </row>
    <row r="42" ht="18" customHeight="1">
      <c r="A42" s="11" t="inlineStr">
        <is>
          <t>完了</t>
        </is>
      </c>
      <c r="B42" s="4">
        <f>COUNTIF(G5:G39,"完了")</f>
        <v/>
      </c>
      <c r="C42" s="5" t="inlineStr"/>
      <c r="D42" s="5" t="inlineStr"/>
      <c r="E42" s="5" t="inlineStr"/>
      <c r="F42" s="5" t="inlineStr"/>
      <c r="G42" s="5" t="inlineStr"/>
      <c r="H42" s="5" t="inlineStr"/>
      <c r="I42" s="5" t="inlineStr"/>
      <c r="J42" s="5" t="inlineStr"/>
    </row>
    <row r="43" ht="18" customHeight="1">
      <c r="A43" s="12" t="inlineStr">
        <is>
          <t>実施中</t>
        </is>
      </c>
      <c r="B43" s="4">
        <f>COUNTIF(G5:G39,"実施中")</f>
        <v/>
      </c>
      <c r="C43" s="5" t="inlineStr"/>
      <c r="D43" s="5" t="inlineStr"/>
      <c r="E43" s="5" t="inlineStr"/>
      <c r="F43" s="5" t="inlineStr"/>
      <c r="G43" s="5" t="inlineStr"/>
      <c r="H43" s="5" t="inlineStr"/>
      <c r="I43" s="5" t="inlineStr"/>
      <c r="J43" s="5" t="inlineStr"/>
    </row>
    <row r="44" ht="18" customHeight="1">
      <c r="A44" s="14" t="inlineStr">
        <is>
          <t>確認待ち</t>
        </is>
      </c>
      <c r="B44" s="4">
        <f>COUNTIF(G5:G39,"確認待ち")</f>
        <v/>
      </c>
      <c r="C44" s="5" t="inlineStr"/>
      <c r="D44" s="5" t="inlineStr"/>
      <c r="E44" s="5" t="inlineStr"/>
      <c r="F44" s="5" t="inlineStr"/>
      <c r="G44" s="5" t="inlineStr"/>
      <c r="H44" s="5" t="inlineStr"/>
      <c r="I44" s="5" t="inlineStr"/>
      <c r="J44" s="5" t="inlineStr"/>
    </row>
    <row r="45" ht="18" customHeight="1">
      <c r="A45" s="15" t="inlineStr">
        <is>
          <t>未着手</t>
        </is>
      </c>
      <c r="B45" s="4">
        <f>COUNTIF(G5:G39,"未着手")</f>
        <v/>
      </c>
      <c r="C45" s="5" t="inlineStr"/>
      <c r="D45" s="5" t="inlineStr"/>
      <c r="E45" s="5" t="inlineStr"/>
      <c r="F45" s="5" t="inlineStr"/>
      <c r="G45" s="5" t="inlineStr"/>
      <c r="H45" s="5" t="inlineStr"/>
      <c r="I45" s="5" t="inlineStr"/>
      <c r="J45" s="5" t="inlineStr"/>
    </row>
    <row r="46" ht="18" customHeight="1">
      <c r="A46" s="16" t="inlineStr">
        <is>
          <t>対象外</t>
        </is>
      </c>
      <c r="B46" s="4">
        <f>COUNTIF(G5:G39,"対象外")</f>
        <v/>
      </c>
      <c r="C46" s="5" t="inlineStr"/>
      <c r="D46" s="5" t="inlineStr"/>
      <c r="E46" s="5" t="inlineStr"/>
      <c r="F46" s="5" t="inlineStr"/>
      <c r="G46" s="5" t="inlineStr"/>
      <c r="H46" s="5" t="inlineStr"/>
      <c r="I46" s="5" t="inlineStr"/>
      <c r="J46" s="5" t="inlineStr"/>
    </row>
    <row r="48" ht="28" customHeight="1">
      <c r="A48" s="3" t="inlineStr">
        <is>
          <t>資料の提供を要するか</t>
        </is>
      </c>
      <c r="B48" s="3" t="inlineStr">
        <is>
          <t>件数</t>
        </is>
      </c>
      <c r="C48" s="3" t="inlineStr">
        <is>
          <t>内容</t>
        </is>
      </c>
      <c r="D48" s="3" t="inlineStr"/>
      <c r="E48" s="3" t="inlineStr"/>
      <c r="F48" s="3" t="inlineStr"/>
      <c r="G48" s="3" t="inlineStr"/>
      <c r="H48" s="3" t="inlineStr"/>
      <c r="I48" s="3" t="inlineStr"/>
      <c r="J48" s="3" t="inlineStr"/>
    </row>
    <row r="49" ht="32" customHeight="1">
      <c r="A49" s="5" t="inlineStr">
        <is>
          <t>資料の提供を要する</t>
        </is>
      </c>
      <c r="B49" s="5" t="n">
        <v>18</v>
      </c>
      <c r="C49" s="5" t="inlineStr">
        <is>
          <t>No.1、No.3、No.5、No.7、No.8、No.9、No.11、No.15、No.16、No.17、No.21、No.24、No.26、No.27、No.29、No.30、No.31、No.35</t>
        </is>
      </c>
      <c r="D49" s="9" t="n"/>
      <c r="E49" s="9" t="n"/>
      <c r="F49" s="9" t="n"/>
      <c r="G49" s="9" t="n"/>
      <c r="H49" s="9" t="n"/>
      <c r="I49" s="9" t="n"/>
      <c r="J49" s="8" t="n"/>
    </row>
    <row r="50" ht="32" customHeight="1">
      <c r="A50" s="5" t="inlineStr">
        <is>
          <t>提供済の資料・方針の決定で足りる</t>
        </is>
      </c>
      <c r="B50" s="5" t="n">
        <v>17</v>
      </c>
      <c r="C50" s="5" t="inlineStr">
        <is>
          <t>No.2、No.4、No.6、No.10、No.12、No.13、No.14、No.18、No.19、No.20、No.22、No.23、No.25、No.32、No.33、No.34、No.28</t>
        </is>
      </c>
      <c r="D50" s="9" t="n"/>
      <c r="E50" s="9" t="n"/>
      <c r="F50" s="9" t="n"/>
      <c r="G50" s="9" t="n"/>
      <c r="H50" s="9" t="n"/>
      <c r="I50" s="9" t="n"/>
      <c r="J50" s="8" t="n"/>
    </row>
    <row r="52" ht="96" customHeight="1">
      <c r="A52" s="10" t="inlineStr">
        <is>
          <t>注1）本シートの35件は、いずれも「どのデータを用いてどう算定するか」の決定を求めるものである。決定すれば本文及び図表の数値が確定する。注2）このうち18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A52:J52"/>
    <mergeCell ref="C50:J50"/>
    <mergeCell ref="C49:J49"/>
    <mergeCell ref="A2:J2"/>
  </mergeCells>
  <conditionalFormatting sqref="G5:G3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9"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是正版</t>
        </is>
      </c>
      <c r="C16" s="3" t="inlineStr">
        <is>
          <t>体裁整理版</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2026-09-15T01:59:25Z</dcterms:created>
  <dcterms:modified xmlns:dcterms="http://purl.org/dc/terms/" xmlns:xsi="http://www.w3.org/2001/XMLSchema-instance" xsi:type="dcterms:W3CDTF">2026-09-15T01:59:25Z</dcterms:modified>
</cp:coreProperties>
</file>