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8"/>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2" ht="140" customHeight="1">
      <c r="A12" s="4" t="inlineStr">
        <is>
          <t>令和8年8月31日　受領資料反映版</t>
        </is>
      </c>
      <c r="B12" s="4" t="inlineStr">
        <is>
          <t>R8.8.31</t>
        </is>
      </c>
      <c r="C12" s="5" t="inlineStr">
        <is>
          <t>受領資料の本文反映</t>
        </is>
      </c>
      <c r="D12" s="5" t="inlineStr">
        <is>
          <t>令和8年8月28日及び31日に受領した資料を本文に反映した。①第2章第1節4の介護保険特別会計の推移に令和6年度の決算額と介護給付費準備基金の残高を加えた。②第3章第1節2の通いの場の統計に総合事業ベースの令和6年度実績（25箇所・330人・参加率3.53％）を加え、「平成29年度をピークに低下している」という記述を「令和2年度を底に回復したが国の水準8％を大きく下回る」に改めた。③第3章第2節に地域支援事業費の決算（183,384,259円）、通いの場の町別の展開状況、一般介護予防事業の実施状況を加えた。④第3章第3節に第9期の対計画比（主要8指標）と計画との乖離が大きい9サービスの表を新設した。⑤第4章第3節の代表KPI H15の基準値を確定した（令和6年度▲3.66％・令和7年度▲2.17％）。⑥第6章第3節2の地域支援事業費に令和6年度の決算の内訳を入れ、［要内訳］4件のうち3件を外した。⑦第6章第6節に見える化システムによる期別の保険料基準額、介護給付費準備基金の状況、保険料収納率と所得段階別被保険者数の実績を加えた。⑧第6章第3節3に標準給付費見込額（A）・地域支援事業費（B）・合計（①）を追加し、第6章第6節2に受託者による暫定算定（基本ケース月額6,740円）と前提を動かした場合の幅を加えた。</t>
        </is>
      </c>
      <c r="E12" s="5" t="inlineStr">
        <is>
          <t>見える化総括表の受領点検（7シート）、総合事業実施状況調査の受領点検（5シート）、年報月報の受領点検、令和6年度決算書の受領点検、基金条例の確認、将来推計 第3段階（給付費と保険料）</t>
        </is>
      </c>
      <c r="F12" s="5" t="inlineStr">
        <is>
          <t>第2章第1節
第3章第1〜3節
第4章第3節
第6章第3節・第6節</t>
        </is>
      </c>
    </row>
    <row r="13" ht="140" customHeight="1">
      <c r="A13" s="4" t="inlineStr">
        <is>
          <t>令和8年9月15日　生活実態反映版</t>
        </is>
      </c>
      <c r="B13" s="4" t="inlineStr">
        <is>
          <t>R8.9.15</t>
        </is>
      </c>
      <c r="C13" s="5" t="inlineStr">
        <is>
          <t>調査結果の本文反映</t>
        </is>
      </c>
      <c r="D13" s="5" t="inlineStr">
        <is>
          <t>健康とくらしの調査（4,729票）の結果を第2章第4節に反映した。同節は4段落・表1のみであったものを30段落・表8とした。①調査の対象者の範囲（要支援者・要介護者を含まないこと、他の調査と合算しないこと）を明記した。②主要指標の町別、年齢調整後の町間の差の検定（有意7項目・有意でない4項目）を掲げた。③同規模保険者40との比較（課題5・同等1）を掲げた。④社会参加及び暮らし向きとの関連を掲げた（フレイル該当割合は暮らし向きが大変苦しい層42.7％に対し大変ゆとりがある層6.8％）。⑤地区の定義（小学校区とするか）は［要確認］のまま残した。</t>
        </is>
      </c>
      <c r="E13" s="5" t="inlineStr">
        <is>
          <t>調査クロス集計・分析（24シート）、健康とくらしの調査の集計値（個票は収録しない）</t>
        </is>
      </c>
      <c r="F13" s="5" t="inlineStr">
        <is>
          <t>第2章第4節</t>
        </is>
      </c>
    </row>
    <row r="14" ht="140" customHeight="1">
      <c r="A14" s="4" t="inlineStr">
        <is>
          <t>令和8年9月16日　見込量反映版</t>
        </is>
      </c>
      <c r="B14" s="4" t="inlineStr">
        <is>
          <t>R8.9.16</t>
        </is>
      </c>
      <c r="C14" s="5" t="inlineStr">
        <is>
          <t>見込量・給付費・保険料の反映</t>
        </is>
      </c>
      <c r="D14" s="5" t="inlineStr">
        <is>
          <t>サービス見込量の算定 第1次概算（18シート）の結果を本文に反映した。本文の数値は算定のスクリプトから引いており、固定値を書き写していない。①第6章第1節に要介護度別の認定者数の表を加えた（年齢階級ごとの要介護度の構成を令和7年度末で固定し、年齢階級別認定者数に乗じたもの。合計は認定者数と一致する）。②第6章第2節の見込量を、見える化システムの自然体推計値から令和7年度の年報（要介護度別・広域連合単位）を基準とする受託者の算定に置き換えた。表頭の「R8実績」を「R7実績」に改めた。③同節に（4）利用回（日）数を加えた（介護保険法第117条第2項第1号の記載事項）。④同節2の介護予防給付サービスを要支援1・2の内訳により掲げた（従前は介護給付との内訳が確定できないとしていたもの）。⑤第6章第3節1の給付費を要介護度別の算定に置き換えた。基準年度では見える化システムの総括表詳細を円単位で再現する。⑥同節2に介護予防・日常生活支援総合事業及び一般介護予防事業の量の見込みを加えた（同項第2号の記載事項）。⑦同節3の総給付費等を算定の値に改め、令和17年度・令和22年度の総給付費を加えた。⑧第6章第6節の暫定算定を月額6,740円から6,436円に改め、給付費の置き方によるちがい（要介護度別・一律・見える化）を加えた。前提を動かした場合の幅に介護報酬改定率を加えた。⑨第6章第6節4の保険料算定表に記号A〜Jの年度別の額を入れた（従前は「―」であったもの）。</t>
        </is>
      </c>
      <c r="E14" s="5" t="inlineStr">
        <is>
          <t>サービス見込量の算定 第1次概算（18シート・自己点検22件）、年報（令和7年度）の要介護度別明細、将来推計 第1段階（人口と認定者数）・第3段階（給付費と保険料）</t>
        </is>
      </c>
      <c r="F14" s="5" t="inlineStr">
        <is>
          <t>第6章第1節
第6章第2節
第6章第3節
第6章第6節</t>
        </is>
      </c>
    </row>
    <row r="15" ht="140" customHeight="1">
      <c r="A15" s="4" t="inlineStr">
        <is>
          <t>令和8年9月24日　調査所見反映版</t>
        </is>
      </c>
      <c r="B15" s="4" t="inlineStr">
        <is>
          <t>R8.9.24</t>
        </is>
      </c>
      <c r="C15" s="5" t="inlineStr">
        <is>
          <t>実施済み調査の所見の反映</t>
        </is>
      </c>
      <c r="D15" s="5" t="inlineStr">
        <is>
          <t>アンケート調査の集計分析報告書の所見のうち、取扱いの決定を要しないものを本文に反映した。①第1章第7節に通常の事業の実施地域による確認（訪問系・通所系5サービスの町別のカバー）を加えた。②第2章第3節に運営法人の状況（実75事業所を28法人が運営し、上位6法人が39事業所＝52.0％）を加えた。③第6章第4節に区域内の入居状況と当広域連合の被保険者の受給者数の対照及び供給の担い手の集中を加えた。定員に対する当連合の被保険者の受給者数の割合が低いことは区域内に空きがあることを意味しないことを明記した。④第6章第5節に入所の経路からみた整備の考え方（新規入所の57.0％・退去先の47.0％が病院・診療所）を加えた。</t>
        </is>
      </c>
      <c r="E15" s="5" t="inlineStr">
        <is>
          <t>アンケート調査の集計分析報告書（15シート）、実施済み調査 結果報告書、北海道の指定事業所一覧</t>
        </is>
      </c>
      <c r="F15" s="5" t="inlineStr">
        <is>
          <t>第1章第7節
第2章第3節
第2章第6節
第6章第4節
第6章第5節</t>
        </is>
      </c>
    </row>
    <row r="16" ht="140" customHeight="1">
      <c r="A16" s="4" t="inlineStr">
        <is>
          <t>令和8年9月25日　整合是正・認知症施策反映版</t>
        </is>
      </c>
      <c r="B16" s="4" t="inlineStr">
        <is>
          <t>R8.9.25</t>
        </is>
      </c>
      <c r="C16" s="5" t="inlineStr">
        <is>
          <t>指標の整合の是正と認知症施策の実施状況の反映</t>
        </is>
      </c>
      <c r="D16" s="5" t="inlineStr">
        <is>
          <t>①代表KPI16項目の名称・定義・算式・基準値を1か所にまとめ、第5章第3節・各基本目標の達成目標・資料1が同じ定義を掲げる形に改めた（従前は当初の定義と代理指標の定義が併存していた）。②在宅生活改善調査による基準値の分母を設問ごとの有効回答に改めた（在宅生活の維持の見通し 72÷98＝73.5％、区域内で提供できないサービスが必要と判断された利用者の割合 20÷99＝20.2％）。③通いの場参加率（総合事業ベース）を第5章 基本目標2でも令和6年度3.53％に統一した。④特定施設の入居率を施設別（98.3％・97.0％）に改め、時点の異なる合計は参考値と明記した。⑤第2章第2節5の町別の給付費の注を、3町のファイルの合計と広域連合単位のファイルが要介護度ごとに一致することに改めた。⑥第6章第3節2の地域支援事業の量の出典を総合事業の実施状況に関する調査に改めた。⑦第5章 基本目標2に認知症初期集中支援推進事業の実施状況を加えた（構成3町が担当チームを設置しているが、令和7年度は美瑛町が対応件数0件で医師を確保できず休止している）。施策の方向性に体制の確認と再開の見通しの整理を、主な事業の目標に稼働している町数を加えた。</t>
        </is>
      </c>
      <c r="E16" s="5" t="inlineStr">
        <is>
          <t>アンケート調査の集計分析報告書（15シート・自己点検11件）、在宅生活改善調査による代表KPIの基準値、給付費データ集計（令和7年度の再提供分）、地域包括支援センター事業実施報告書（構成3町）</t>
        </is>
      </c>
      <c r="F16" s="5" t="inlineStr">
        <is>
          <t>第2章第2節
第2章第3節
第2章第4節
第5章第3節
第5章 基本目標2・4
第6章第3節
第6章第4節
資料1</t>
        </is>
      </c>
    </row>
    <row r="18" ht="18" customHeight="1">
      <c r="A18" s="6" t="inlineStr">
        <is>
          <t>【本素案の取扱い（巻末の段落から移動）】</t>
        </is>
      </c>
    </row>
    <row r="19" ht="76" customHeight="1">
      <c r="A19"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9" s="9" t="n"/>
      <c r="C19" s="9" t="n"/>
      <c r="D19" s="9" t="n"/>
      <c r="E19" s="9" t="n"/>
      <c r="F19" s="8" t="n"/>
    </row>
    <row r="21" ht="18" customHeight="1">
      <c r="A21" s="6" t="inlineStr">
        <is>
          <t>【今後の版の予定】</t>
        </is>
      </c>
    </row>
    <row r="22" ht="28" customHeight="1">
      <c r="A22" s="3" t="inlineStr">
        <is>
          <t>版</t>
        </is>
      </c>
      <c r="B22" s="3" t="inlineStr">
        <is>
          <t>予定時期</t>
        </is>
      </c>
      <c r="C22" s="3" t="inlineStr">
        <is>
          <t>反映する内容</t>
        </is>
      </c>
      <c r="D22" s="3" t="inlineStr"/>
      <c r="E22" s="3" t="inlineStr"/>
      <c r="F22" s="3" t="inlineStr">
        <is>
          <t>前提となる確認事項</t>
        </is>
      </c>
    </row>
    <row r="23" ht="52" customHeight="1">
      <c r="A23" s="4" t="inlineStr">
        <is>
          <t>協議用素案（令和8年9月時点）</t>
        </is>
      </c>
      <c r="B23" s="4" t="inlineStr">
        <is>
          <t>R8.9</t>
        </is>
      </c>
      <c r="C23" s="5" t="inlineStr">
        <is>
          <t>本表03・04シートの確認事項の決定内容を反映する。健康とくらしの調査の分析結果（調査クロス集計・分析24シート）を第2章第4節・第5章基本目標1へ反映する。</t>
        </is>
      </c>
      <c r="D23" s="9" t="n"/>
      <c r="E23" s="8" t="n"/>
      <c r="F23" s="5" t="inlineStr">
        <is>
          <t>03シートA1〜A22
04シートB1〜B28</t>
        </is>
      </c>
    </row>
    <row r="24" ht="52" customHeight="1">
      <c r="A24" s="4" t="inlineStr">
        <is>
          <t>計画骨子案</t>
        </is>
      </c>
      <c r="B24" s="4" t="inlineStr">
        <is>
          <t>R8.10</t>
        </is>
      </c>
      <c r="C24" s="5" t="inlineStr">
        <is>
          <t>策定委員会での意見を反映する。第9期の事業実績（令和6〜8年度）によるプロセス評価を第3章へ反映する。</t>
        </is>
      </c>
      <c r="D24" s="9" t="n"/>
      <c r="E24" s="8" t="n"/>
      <c r="F24" s="5" t="inlineStr">
        <is>
          <t>資料提供依頼No.13</t>
        </is>
      </c>
    </row>
    <row r="25" ht="52" customHeight="1">
      <c r="A25" s="4" t="inlineStr">
        <is>
          <t>計画素案（提出版）</t>
        </is>
      </c>
      <c r="B25" s="4" t="inlineStr">
        <is>
          <t>R8.12</t>
        </is>
      </c>
      <c r="C25" s="5" t="inlineStr">
        <is>
          <t>将来推計の確定値、保険料の試算、施設整備方針を反映する。</t>
        </is>
      </c>
      <c r="D25" s="9" t="n"/>
      <c r="E25" s="8" t="n"/>
      <c r="F25" s="5" t="inlineStr">
        <is>
          <t>資料提供依頼No.6・No.7・No.9・No.11</t>
        </is>
      </c>
    </row>
    <row r="26" ht="52" customHeight="1">
      <c r="A26" s="4" t="inlineStr">
        <is>
          <t>計画最終案</t>
        </is>
      </c>
      <c r="B26" s="4" t="inlineStr">
        <is>
          <t>R9.2</t>
        </is>
      </c>
      <c r="C26" s="5" t="inlineStr">
        <is>
          <t>パブリックコメントの結果を反映する。</t>
        </is>
      </c>
      <c r="D26" s="9" t="n"/>
      <c r="E26" s="8" t="n"/>
      <c r="F26" s="5" t="inlineStr">
        <is>
          <t>―</t>
        </is>
      </c>
    </row>
    <row r="28" ht="96" customHeight="1">
      <c r="A28"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F2"/>
    <mergeCell ref="A28:F28"/>
    <mergeCell ref="A19:F19"/>
    <mergeCell ref="C23:E23"/>
    <mergeCell ref="C26:E26"/>
    <mergeCell ref="A18:F18"/>
    <mergeCell ref="A21:F21"/>
    <mergeCell ref="C25:E25"/>
    <mergeCell ref="C24:E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2"/>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令和8年8月28日受領の年報により、現年度分の収納率の実績が令和6年度99.885％・令和7年度99.866％と確定した。見える化システムによる第9期の保険料基準額の実績は6,069円（準備基金取崩後・対計画比94％）である。</t>
        </is>
      </c>
      <c r="E31" s="5" t="inlineStr">
        <is>
          <t>予定収納率を実績（99.8％台）に即した水準に改めてよいか。収納率を0.8ポイント引き上げると基準額はおよそ0.8％低くなる。基金の取崩方針と所得段階の設計（16段階を維持するか）。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32</v>
      </c>
      <c r="B35" s="5" t="inlineStr">
        <is>
          <t>第6章第2節2</t>
        </is>
      </c>
      <c r="C35" s="5" t="inlineStr">
        <is>
          <t>見込量の表の数値の出所</t>
        </is>
      </c>
      <c r="D35" s="5" t="inlineStr">
        <is>
          <t>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t>
        </is>
      </c>
      <c r="E35" s="5" t="inlineStr">
        <is>
          <t>見込量の表の数値を「サービス見込量の算定」の結果に差し替えてよいか。差し替えると見込量・給付費・保険料が一本の経路でつながる。表頭の「R8実績」は「R7実績」に改める。</t>
        </is>
      </c>
      <c r="F35" s="5" t="inlineStr">
        <is>
          <t>第6章第2節2の見込量の表</t>
        </is>
      </c>
      <c r="G35" s="14" t="inlineStr">
        <is>
          <t>確認待ち</t>
        </is>
      </c>
      <c r="H35" s="4" t="inlineStr">
        <is>
          <t>R8.9</t>
        </is>
      </c>
      <c r="I35" s="4" t="inlineStr">
        <is>
          <t>―</t>
        </is>
      </c>
      <c r="J35" s="5" t="inlineStr"/>
    </row>
    <row r="36" ht="96" customHeight="1">
      <c r="A36" s="4" t="n">
        <v>33</v>
      </c>
      <c r="B36" s="5" t="inlineStr">
        <is>
          <t>第6章第3節
第6章第6節</t>
        </is>
      </c>
      <c r="C36" s="5" t="inlineStr">
        <is>
          <t>給付費の算定に用いる基準年度と出所</t>
        </is>
      </c>
      <c r="D36" s="5" t="inlineStr">
        <is>
          <t>現行の将来推計 第3段階は見える化システムの自然体推計に案C（総合戦略ベース）の置換率を乗じている。自然体推計には利用率及び単価の趨勢が織り込まれており、当方でその中身を分解できない。見える化システムの総括表による令和7年度実績を基準年度とし、認定者数の伸びのみを反映する置き方に改めると、算定上の月額基準額は6,740円から6,428円へ312円下がる。</t>
        </is>
      </c>
      <c r="E36" s="5" t="inlineStr">
        <is>
          <t>採用パターンをどちらに置くか。サービス見込量 第1次概算（9月26日）より前に決定を要する。</t>
        </is>
      </c>
      <c r="F36" s="5" t="inlineStr">
        <is>
          <t>将来推計 第3段階
計画素案 第6章第3節・第6節</t>
        </is>
      </c>
      <c r="G36" s="14" t="inlineStr">
        <is>
          <t>確認待ち</t>
        </is>
      </c>
      <c r="H36" s="4" t="inlineStr">
        <is>
          <t>R8.9</t>
        </is>
      </c>
      <c r="I36" s="4" t="inlineStr">
        <is>
          <t>―</t>
        </is>
      </c>
      <c r="J36" s="5" t="inlineStr"/>
    </row>
    <row r="37" ht="96" customHeight="1">
      <c r="A37" s="4" t="n">
        <v>34</v>
      </c>
      <c r="B37" s="5" t="inlineStr">
        <is>
          <t>第2章第8節
第6章第2節
第6章第3節</t>
        </is>
      </c>
      <c r="C37" s="5" t="inlineStr">
        <is>
          <t>中長期推計を見込量・給付費・保険料まで及ぼすか</t>
        </is>
      </c>
      <c r="D37"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採用パターンの1人あたり給付費を固定し認定者数を乗じれば算定できる。</t>
        </is>
      </c>
      <c r="E37" s="5" t="inlineStr">
        <is>
          <t>令和22年度までの見込量・給付費・保険料を算定してよいか。算定の範囲（サービス種類別か区分計か、令和17年度も示すか）を決定する。</t>
        </is>
      </c>
      <c r="F37" s="5" t="inlineStr">
        <is>
          <t>計画素案 第2章第8節・第6章第2節
将来推計 第3段階</t>
        </is>
      </c>
      <c r="G37" s="14" t="inlineStr">
        <is>
          <t>確認待ち</t>
        </is>
      </c>
      <c r="H37" s="4" t="inlineStr">
        <is>
          <t>R8.10</t>
        </is>
      </c>
      <c r="I37" s="4" t="inlineStr">
        <is>
          <t>―</t>
        </is>
      </c>
      <c r="J37" s="5" t="inlineStr"/>
    </row>
    <row r="38" ht="96" customHeight="1">
      <c r="A38" s="4" t="n">
        <v>35</v>
      </c>
      <c r="B38" s="5" t="inlineStr">
        <is>
          <t>第6章第3節</t>
        </is>
      </c>
      <c r="C38" s="5" t="inlineStr">
        <is>
          <t>地域支援事業の量の見込み</t>
        </is>
      </c>
      <c r="D38" s="5" t="inlineStr">
        <is>
          <t>介護保険法第117条第2項第2号は「各年度における地域支援事業の量の見込み」を基本的記載事項としているが、当方は費用の額のみを令和6年度決算の水準で置いており、量を算定していない。総合事業の令和7年度実績があれば、サービス区分ごとの利用者数を要支援認定者数の伸びで延長して算定できる。</t>
        </is>
      </c>
      <c r="E38" s="5" t="inlineStr">
        <is>
          <t>地域支援事業の量の見込みを算定してよいか。総合事業の令和7年度実績をご提供いただけるか。</t>
        </is>
      </c>
      <c r="F38" s="5" t="inlineStr">
        <is>
          <t>計画素案 第6章第3節</t>
        </is>
      </c>
      <c r="G38" s="14" t="inlineStr">
        <is>
          <t>確認待ち</t>
        </is>
      </c>
      <c r="H38" s="4" t="inlineStr">
        <is>
          <t>R8.10</t>
        </is>
      </c>
      <c r="I38" s="4" t="inlineStr">
        <is>
          <t>No.19</t>
        </is>
      </c>
      <c r="J38" s="5" t="inlineStr"/>
    </row>
    <row r="39" ht="96" customHeight="1">
      <c r="A39" s="4" t="n">
        <v>28</v>
      </c>
      <c r="B39" s="5" t="inlineStr">
        <is>
          <t>資料6</t>
        </is>
      </c>
      <c r="C39" s="5" t="inlineStr">
        <is>
          <t>見える化システムで取得できない系列</t>
        </is>
      </c>
      <c r="D39"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9" s="5" t="inlineStr">
        <is>
          <t>これらの系列について、保険者側で登録が可能なものがあるか。代替手段（資料6に記載）でよいか。</t>
        </is>
      </c>
      <c r="F39" s="5" t="inlineStr">
        <is>
          <t>資料6の対応表</t>
        </is>
      </c>
      <c r="G39" s="14" t="inlineStr">
        <is>
          <t>確認待ち</t>
        </is>
      </c>
      <c r="H39" s="4" t="inlineStr">
        <is>
          <t>R8.9</t>
        </is>
      </c>
      <c r="I39" s="4" t="inlineStr">
        <is>
          <t>―</t>
        </is>
      </c>
      <c r="J39" s="5" t="inlineStr"/>
    </row>
    <row r="41" ht="28" customHeight="1">
      <c r="A41" s="3" t="inlineStr">
        <is>
          <t>区分</t>
        </is>
      </c>
      <c r="B41" s="3" t="inlineStr">
        <is>
          <t>件数</t>
        </is>
      </c>
      <c r="C41" s="3" t="inlineStr"/>
      <c r="D41" s="3" t="inlineStr"/>
      <c r="E41" s="3" t="inlineStr"/>
      <c r="F41" s="3" t="inlineStr"/>
      <c r="G41" s="3" t="inlineStr"/>
      <c r="H41" s="3" t="inlineStr"/>
      <c r="I41" s="3" t="inlineStr"/>
      <c r="J41" s="3" t="inlineStr"/>
    </row>
    <row r="42" ht="18" customHeight="1">
      <c r="A42" s="11" t="inlineStr">
        <is>
          <t>完了</t>
        </is>
      </c>
      <c r="B42" s="4">
        <f>COUNTIF(G5:G39,"完了")</f>
        <v/>
      </c>
      <c r="C42" s="5" t="inlineStr"/>
      <c r="D42" s="5" t="inlineStr"/>
      <c r="E42" s="5" t="inlineStr"/>
      <c r="F42" s="5" t="inlineStr"/>
      <c r="G42" s="5" t="inlineStr"/>
      <c r="H42" s="5" t="inlineStr"/>
      <c r="I42" s="5" t="inlineStr"/>
      <c r="J42" s="5" t="inlineStr"/>
    </row>
    <row r="43" ht="18" customHeight="1">
      <c r="A43" s="12" t="inlineStr">
        <is>
          <t>実施中</t>
        </is>
      </c>
      <c r="B43" s="4">
        <f>COUNTIF(G5:G39,"実施中")</f>
        <v/>
      </c>
      <c r="C43" s="5" t="inlineStr"/>
      <c r="D43" s="5" t="inlineStr"/>
      <c r="E43" s="5" t="inlineStr"/>
      <c r="F43" s="5" t="inlineStr"/>
      <c r="G43" s="5" t="inlineStr"/>
      <c r="H43" s="5" t="inlineStr"/>
      <c r="I43" s="5" t="inlineStr"/>
      <c r="J43" s="5" t="inlineStr"/>
    </row>
    <row r="44" ht="18" customHeight="1">
      <c r="A44" s="14" t="inlineStr">
        <is>
          <t>確認待ち</t>
        </is>
      </c>
      <c r="B44" s="4">
        <f>COUNTIF(G5:G39,"確認待ち")</f>
        <v/>
      </c>
      <c r="C44" s="5" t="inlineStr"/>
      <c r="D44" s="5" t="inlineStr"/>
      <c r="E44" s="5" t="inlineStr"/>
      <c r="F44" s="5" t="inlineStr"/>
      <c r="G44" s="5" t="inlineStr"/>
      <c r="H44" s="5" t="inlineStr"/>
      <c r="I44" s="5" t="inlineStr"/>
      <c r="J44" s="5" t="inlineStr"/>
    </row>
    <row r="45" ht="18" customHeight="1">
      <c r="A45" s="15" t="inlineStr">
        <is>
          <t>未着手</t>
        </is>
      </c>
      <c r="B45" s="4">
        <f>COUNTIF(G5:G39,"未着手")</f>
        <v/>
      </c>
      <c r="C45" s="5" t="inlineStr"/>
      <c r="D45" s="5" t="inlineStr"/>
      <c r="E45" s="5" t="inlineStr"/>
      <c r="F45" s="5" t="inlineStr"/>
      <c r="G45" s="5" t="inlineStr"/>
      <c r="H45" s="5" t="inlineStr"/>
      <c r="I45" s="5" t="inlineStr"/>
      <c r="J45" s="5" t="inlineStr"/>
    </row>
    <row r="46" ht="18" customHeight="1">
      <c r="A46" s="16" t="inlineStr">
        <is>
          <t>対象外</t>
        </is>
      </c>
      <c r="B46" s="4">
        <f>COUNTIF(G5:G39,"対象外")</f>
        <v/>
      </c>
      <c r="C46" s="5" t="inlineStr"/>
      <c r="D46" s="5" t="inlineStr"/>
      <c r="E46" s="5" t="inlineStr"/>
      <c r="F46" s="5" t="inlineStr"/>
      <c r="G46" s="5" t="inlineStr"/>
      <c r="H46" s="5" t="inlineStr"/>
      <c r="I46" s="5" t="inlineStr"/>
      <c r="J46" s="5" t="inlineStr"/>
    </row>
    <row r="48" ht="28" customHeight="1">
      <c r="A48" s="3" t="inlineStr">
        <is>
          <t>資料の提供を要するか</t>
        </is>
      </c>
      <c r="B48" s="3" t="inlineStr">
        <is>
          <t>件数</t>
        </is>
      </c>
      <c r="C48" s="3" t="inlineStr">
        <is>
          <t>内容</t>
        </is>
      </c>
      <c r="D48" s="3" t="inlineStr"/>
      <c r="E48" s="3" t="inlineStr"/>
      <c r="F48" s="3" t="inlineStr"/>
      <c r="G48" s="3" t="inlineStr"/>
      <c r="H48" s="3" t="inlineStr"/>
      <c r="I48" s="3" t="inlineStr"/>
      <c r="J48" s="3" t="inlineStr"/>
    </row>
    <row r="49" ht="32" customHeight="1">
      <c r="A49" s="5" t="inlineStr">
        <is>
          <t>資料の提供を要する</t>
        </is>
      </c>
      <c r="B49" s="5" t="n">
        <v>18</v>
      </c>
      <c r="C49" s="5" t="inlineStr">
        <is>
          <t>No.1、No.3、No.5、No.7、No.8、No.9、No.11、No.15、No.16、No.17、No.21、No.24、No.26、No.27、No.29、No.30、No.31、No.35</t>
        </is>
      </c>
      <c r="D49" s="9" t="n"/>
      <c r="E49" s="9" t="n"/>
      <c r="F49" s="9" t="n"/>
      <c r="G49" s="9" t="n"/>
      <c r="H49" s="9" t="n"/>
      <c r="I49" s="9" t="n"/>
      <c r="J49" s="8" t="n"/>
    </row>
    <row r="50" ht="32" customHeight="1">
      <c r="A50" s="5" t="inlineStr">
        <is>
          <t>提供済の資料・方針の決定で足りる</t>
        </is>
      </c>
      <c r="B50" s="5" t="n">
        <v>17</v>
      </c>
      <c r="C50" s="5" t="inlineStr">
        <is>
          <t>No.2、No.4、No.6、No.10、No.12、No.13、No.14、No.18、No.19、No.20、No.22、No.23、No.25、No.32、No.33、No.34、No.28</t>
        </is>
      </c>
      <c r="D50" s="9" t="n"/>
      <c r="E50" s="9" t="n"/>
      <c r="F50" s="9" t="n"/>
      <c r="G50" s="9" t="n"/>
      <c r="H50" s="9" t="n"/>
      <c r="I50" s="9" t="n"/>
      <c r="J50" s="8" t="n"/>
    </row>
    <row r="52" ht="96" customHeight="1">
      <c r="A52" s="10" t="inlineStr">
        <is>
          <t>注1）本シートの35件は、いずれも「どのデータを用いてどう算定するか」の決定を求めるものである。決定すれば本文及び図表の数値が確定する。注2）このうち18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A52:J52"/>
    <mergeCell ref="C50:J50"/>
    <mergeCell ref="C49:J49"/>
    <mergeCell ref="A2:J2"/>
  </mergeCells>
  <conditionalFormatting sqref="G5:G3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9"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2026-09-25T07:54:31Z</dcterms:created>
  <dcterms:modified xmlns:dcterms="http://purl.org/dc/terms/" xmlns:xsi="http://www.w3.org/2001/XMLSchema-instance" xsi:type="dcterms:W3CDTF">2026-09-25T07:54:31Z</dcterms:modified>
</cp:coreProperties>
</file>