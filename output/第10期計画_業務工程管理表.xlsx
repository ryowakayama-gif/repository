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計画素案（806段落130表36図）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136</v>
      </c>
      <c r="B139" s="4" t="inlineStr">
        <is>
          <t>(5)</t>
        </is>
      </c>
      <c r="C139" s="4" t="inlineStr">
        <is>
          <t>R8.9</t>
        </is>
      </c>
      <c r="D139" s="5" t="inlineStr">
        <is>
          <t>画面の令和7年度と年報の月平均の食い違い</t>
        </is>
      </c>
      <c r="E13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39" s="5" t="inlineStr">
        <is>
          <t>将来推計 第2段階
計画素案 第6章第2節</t>
        </is>
      </c>
      <c r="G139" s="5" t="inlineStr">
        <is>
          <t>発注者</t>
        </is>
      </c>
      <c r="H139" s="10" t="inlineStr">
        <is>
          <t>確認待ち</t>
        </is>
      </c>
      <c r="I139" s="10" t="inlineStr">
        <is>
          <t>R8.10</t>
        </is>
      </c>
      <c r="J139" s="11" t="inlineStr">
        <is>
          <t>令和8年度実績見込み値の入力案 05シート</t>
        </is>
      </c>
    </row>
    <row r="141" ht="32" customHeight="1">
      <c r="A141" s="3" t="inlineStr">
        <is>
          <t>区分</t>
        </is>
      </c>
      <c r="B141" s="3" t="inlineStr">
        <is>
          <t>件数</t>
        </is>
      </c>
      <c r="C141" s="3" t="inlineStr"/>
      <c r="D141" s="3" t="inlineStr"/>
      <c r="E141" s="3" t="inlineStr"/>
      <c r="F141" s="3" t="inlineStr"/>
      <c r="G141" s="3" t="inlineStr"/>
      <c r="H141" s="3" t="inlineStr"/>
      <c r="I141" s="3" t="inlineStr"/>
      <c r="J141" s="3" t="inlineStr"/>
    </row>
    <row r="142" ht="20" customHeight="1">
      <c r="A142" s="6" t="inlineStr">
        <is>
          <t>完了</t>
        </is>
      </c>
      <c r="B142" s="4">
        <f>COUNTIF(H5:H139,"完了")</f>
        <v/>
      </c>
      <c r="C142" s="5" t="inlineStr"/>
      <c r="D142" s="5" t="inlineStr"/>
      <c r="E142" s="5" t="inlineStr"/>
      <c r="F142" s="5" t="inlineStr"/>
      <c r="G142" s="5" t="inlineStr"/>
      <c r="H142" s="5" t="inlineStr"/>
      <c r="I142" s="5" t="inlineStr"/>
      <c r="J142" s="5" t="inlineStr"/>
    </row>
    <row r="143" ht="20" customHeight="1">
      <c r="A143" s="8" t="inlineStr">
        <is>
          <t>実施中</t>
        </is>
      </c>
      <c r="B143" s="4">
        <f>COUNTIF(H5:H139,"実施中")</f>
        <v/>
      </c>
      <c r="C143" s="5" t="inlineStr"/>
      <c r="D143" s="5" t="inlineStr"/>
      <c r="E143" s="5" t="inlineStr"/>
      <c r="F143" s="5" t="inlineStr"/>
      <c r="G143" s="5" t="inlineStr"/>
      <c r="H143" s="5" t="inlineStr"/>
      <c r="I143" s="5" t="inlineStr"/>
      <c r="J143" s="5" t="inlineStr"/>
    </row>
    <row r="144" ht="20" customHeight="1">
      <c r="A144" s="10" t="inlineStr">
        <is>
          <t>確認待ち</t>
        </is>
      </c>
      <c r="B144" s="4">
        <f>COUNTIF(H5:H139,"確認待ち")</f>
        <v/>
      </c>
      <c r="C144" s="5" t="inlineStr"/>
      <c r="D144" s="5" t="inlineStr"/>
      <c r="E144" s="5" t="inlineStr"/>
      <c r="F144" s="5" t="inlineStr"/>
      <c r="G144" s="5" t="inlineStr"/>
      <c r="H144" s="5" t="inlineStr"/>
      <c r="I144" s="5" t="inlineStr"/>
      <c r="J144" s="5" t="inlineStr"/>
    </row>
    <row r="145" ht="20" customHeight="1">
      <c r="A145" s="12" t="inlineStr">
        <is>
          <t>未着手</t>
        </is>
      </c>
      <c r="B145" s="4">
        <f>COUNTIF(H5:H139,"未着手")</f>
        <v/>
      </c>
      <c r="C145" s="5" t="inlineStr"/>
      <c r="D145" s="5" t="inlineStr"/>
      <c r="E145" s="5" t="inlineStr"/>
      <c r="F145" s="5" t="inlineStr"/>
      <c r="G145" s="5" t="inlineStr"/>
      <c r="H145" s="5" t="inlineStr"/>
      <c r="I145" s="5" t="inlineStr"/>
      <c r="J145" s="5" t="inlineStr"/>
    </row>
    <row r="146" ht="20" customHeight="1">
      <c r="A146" s="14" t="inlineStr">
        <is>
          <t>対象外</t>
        </is>
      </c>
      <c r="B146" s="4">
        <f>COUNTIF(H5:H139,"対象外")</f>
        <v/>
      </c>
      <c r="C146" s="5" t="inlineStr"/>
      <c r="D146" s="5" t="inlineStr"/>
      <c r="E146" s="5" t="inlineStr"/>
      <c r="F146" s="5" t="inlineStr"/>
      <c r="G146" s="5" t="inlineStr"/>
      <c r="H146" s="5" t="inlineStr"/>
      <c r="I146" s="5" t="inlineStr"/>
      <c r="J146" s="5" t="inlineStr"/>
    </row>
    <row r="148" ht="32" customHeight="1">
      <c r="A148" s="3" t="inlineStr">
        <is>
          <t>確認先</t>
        </is>
      </c>
      <c r="B148" s="3" t="inlineStr">
        <is>
          <t>件数</t>
        </is>
      </c>
      <c r="C148" s="3" t="inlineStr"/>
      <c r="D148" s="3" t="inlineStr"/>
      <c r="E148" s="3" t="inlineStr"/>
      <c r="F148" s="3" t="inlineStr"/>
      <c r="G148" s="3" t="inlineStr"/>
      <c r="H148" s="3" t="inlineStr"/>
      <c r="I148" s="3" t="inlineStr"/>
      <c r="J148" s="3" t="inlineStr"/>
    </row>
    <row r="149" ht="20" customHeight="1">
      <c r="A149" s="5" t="inlineStr">
        <is>
          <t>発注者</t>
        </is>
      </c>
      <c r="B149" s="4">
        <f>COUNTIF(G5:G139,"発注者")</f>
        <v/>
      </c>
      <c r="C149" s="5" t="inlineStr"/>
      <c r="D149" s="5" t="inlineStr"/>
      <c r="E149" s="5" t="inlineStr"/>
      <c r="F149" s="5" t="inlineStr"/>
      <c r="G149" s="5" t="inlineStr"/>
      <c r="H149" s="5" t="inlineStr"/>
      <c r="I149" s="5" t="inlineStr"/>
      <c r="J149" s="5" t="inlineStr"/>
    </row>
    <row r="150" ht="20" customHeight="1">
      <c r="A150" s="5" t="inlineStr">
        <is>
          <t>発注者・3町</t>
        </is>
      </c>
      <c r="B150" s="4">
        <f>COUNTIF(G5:G139,"発注者・3町")</f>
        <v/>
      </c>
      <c r="C150" s="5" t="inlineStr"/>
      <c r="D150" s="5" t="inlineStr"/>
      <c r="E150" s="5" t="inlineStr"/>
      <c r="F150" s="5" t="inlineStr"/>
      <c r="G150" s="5" t="inlineStr"/>
      <c r="H150" s="5" t="inlineStr"/>
      <c r="I150" s="5" t="inlineStr"/>
      <c r="J150" s="5" t="inlineStr"/>
    </row>
    <row r="151" ht="20" customHeight="1">
      <c r="A151" s="5" t="inlineStr">
        <is>
          <t>発注者・北海道</t>
        </is>
      </c>
      <c r="B151" s="4">
        <f>COUNTIF(G5:G139,"発注者・北海道")</f>
        <v/>
      </c>
      <c r="C151" s="5" t="inlineStr"/>
      <c r="D151" s="5" t="inlineStr"/>
      <c r="E151" s="5" t="inlineStr"/>
      <c r="F151" s="5" t="inlineStr"/>
      <c r="G151" s="5" t="inlineStr"/>
      <c r="H151" s="5" t="inlineStr"/>
      <c r="I151" s="5" t="inlineStr"/>
      <c r="J151" s="5" t="inlineStr"/>
    </row>
    <row r="152" ht="20" customHeight="1">
      <c r="A152" s="5" t="inlineStr">
        <is>
          <t>発注者・3町・北海道</t>
        </is>
      </c>
      <c r="B152" s="4">
        <f>COUNTIF(G5:G139,"発注者・3町・北海道")</f>
        <v/>
      </c>
      <c r="C152" s="5" t="inlineStr"/>
      <c r="D152" s="5" t="inlineStr"/>
      <c r="E152" s="5" t="inlineStr"/>
      <c r="F152" s="5" t="inlineStr"/>
      <c r="G152" s="5" t="inlineStr"/>
      <c r="H152" s="5" t="inlineStr"/>
      <c r="I152" s="5" t="inlineStr"/>
      <c r="J152" s="5" t="inlineStr"/>
    </row>
    <row r="153" ht="20" customHeight="1">
      <c r="A153" s="5" t="inlineStr">
        <is>
          <t>北海道</t>
        </is>
      </c>
      <c r="B153" s="4">
        <f>COUNTIF(G5:G139,"北海道")</f>
        <v/>
      </c>
      <c r="C153" s="5" t="inlineStr"/>
      <c r="D153" s="5" t="inlineStr"/>
      <c r="E153" s="5" t="inlineStr"/>
      <c r="F153" s="5" t="inlineStr"/>
      <c r="G153" s="5" t="inlineStr"/>
      <c r="H153" s="5" t="inlineStr"/>
      <c r="I153" s="5" t="inlineStr"/>
      <c r="J153" s="5" t="inlineStr"/>
    </row>
    <row r="155" ht="28" customHeight="1">
      <c r="A15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55:J155"/>
    <mergeCell ref="A2:J2"/>
  </mergeCells>
  <conditionalFormatting sqref="H5:H1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3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（806段落130表36図）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2026-09-11T05:02:52Z</dcterms:created>
  <dcterms:modified xmlns:dcterms="http://purl.org/dc/terms/" xmlns:xsi="http://www.w3.org/2001/XMLSchema-instance" xsi:type="dcterms:W3CDTF">2026-09-11T05:02:53Z</dcterms:modified>
</cp:coreProperties>
</file>