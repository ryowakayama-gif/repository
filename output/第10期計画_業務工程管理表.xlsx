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95" customHeight="1">
      <c r="A23" s="16" t="inlineStr">
        <is>
          <t>【現時点の全体状況（令和8年10月1日）】全体進捗は79％（進捗を数値で表せる10業務の単純平均）。令和8年9月は、サービス見込量の算定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計画素案は942段落145表36図で、未確定箇所は151箇所（要協議115・要確認35・要内訳1）である。確認事項は173件、成果品は130件、ビルドスクリプトは128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6,438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0.92</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中に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残るのは政令・省令・報酬改定の告示を待つ分である</t>
        </is>
      </c>
      <c r="J5" s="5" t="inlineStr">
        <is>
          <t>1, 2, 22, 89, 130, 149, 170</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計画素案（942段落145表36図）
修正指示書（66件）</t>
        </is>
      </c>
      <c r="F10" s="10" t="inlineStr">
        <is>
          <t>実施中</t>
        </is>
      </c>
      <c r="G10" s="17" t="n">
        <v>0.99</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942段落145表36図となった。残る未確定箇所は151箇所（要協議115・要確認35・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t>
        </is>
      </c>
      <c r="J10" s="5" t="inlineStr">
        <is>
          <t>17, 18, 24, 25, 88, 112, 114, 131, 154, 170, 171</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0.99</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0.86</v>
      </c>
      <c r="H14" s="10" t="inlineStr">
        <is>
          <t>R9.3</t>
        </is>
      </c>
      <c r="I14" s="11" t="inlineStr">
        <is>
          <t>電子データは作成中。印刷・製本は令和9年3月。本文100頁程度に対する章別のページ配分が未確定（確認No.21）。【令和8年9月15〜18日】成果品は130件となった。9月に加えたものは、サービス見込量の算定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128本のうち再実行できないものは3本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3"/>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
決着しない場合は在宅の実績見込み値は当方の入力案のまま置く。（受託者の仮置き。令和8年10月の意見交換会で諮る）</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
決着しない場合は令和8年度の月報（4〜7月）は基準年度に用いず、令和7年度を基準として概算する。（受託者の仮置き。令和8年10月の意見交換会で諮る）</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決着しない場合は案B（3町がそれぞれ市町村計画を策定する）のまま素案に反映する。（受託者の仮置き。令和8年10月の意見交換会で諮る）</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決着しない場合は計画素案 第6章第2節に利用回（日）数を、第3節2に介護予防・日常生活支援総合事業及び一般介護予防事業の量の見込みを掲げた現行のまま確定する。必要利用定員総数の第2節への再掲は行わない（第4節4による）。（受託者の仮置き。令和8年10月の意見交換会で諮る）</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
決着しない場合は見える化システムの推計値は現行の自然体推計のまま用いる。（受託者の仮置き。令和8年10月の意見交換会で諮る）</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
決着しない場合は参考シートを受領できないものとして、施設・居住系の伸びは当方の要介護度別の算定（令和7年度の利用率を固定）による。画面の伸びの選択は「令和6年度→令和7年度の伸び」とする。（受託者の仮置き。令和8年10月の意見交換会で諮る）</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
決着しない場合は計画素案は年報による21.826％を用い、参考シートの20.84％は用いない。差は時点の違いとして注記する。（受託者の仮置き。令和8年10月の意見交換会で諮る）</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
決着しない場合は基本推計に近いP3で概算する。（受託者の仮置き。令和8年10月の意見交換会で諮る）</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
決着しない場合は人口の設定を案Cに改める（入力値は算定済み）。改められない場合は画面の社人研推計のままとし、当方の算定との差（第1号被保険者数で＋31人から＋134人）を注記する。（受託者の仮置き。令和8年10月の意見交換会で諮る）</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
決着しない場合は見える化システムの令和8年度の実績見込み値は編集しないまま概算する。当方の算定は年報（令和7年度）によるため見込量は動かず、システムの出力との差として残る。（受託者の仮置き。令和8年10月の意見交換会で諮る）</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
決着しない場合は令和8年度（4か月）を含まない④（令和6年度→令和7年度）の伸びを選んだものとして概算する。当方の算定（令和7年度基準）と置き方がそろう。（受託者の仮置き。令和8年10月の意見交換会で諮る）</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
決着しない場合は施策2-5の代表KPIはO2（提起された地域課題のうち翌年度の事業・予算に反映されたものの割合）とする（当方案）。（受託者の仮置き。令和8年10月の意見交換会で諮る）</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
決着しない場合は地域ケア会議の記録様式は協議資料にとどめ、令和9年度に整える。（受託者の仮置き。令和8年10月の意見交換会で諮る）</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
決着しない場合は地域ケア個別会議と地域ケア推進会議を分けずに計数する。（受託者の仮置き。令和8年10月の意見交換会で諮る）</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
決着しない場合は令和7年度の実施報告書により把握できる範囲で記述する。（受託者の仮置き。令和8年10月の意見交換会で諮る）</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
決着しない場合は転載を禁ずる旨の記載がある2件は成果品に用いず、原典（厚労省の市町村マニュアル及び別冊事例集）のみを引く。（受託者の仮置き。令和8年10月の意見交換会で諮る）</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決着しない場合は計画本文に掲げる中長期推計は令和17年度・令和22年度とし、見込量・給付費・保険料のいずれも単価を令和7年度で固定して算定する。（受託者の仮置き。令和8年10月の意見交換会で諮る）</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決着しない場合は令和6年度の利用者実人数を据え置いて延ばした量の見込みを掲げ、令和7年度の実施状況は単位が異なるため別の表として示す。（受託者の仮置き。令和8年10月の意見交換会で諮る）</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
決着しない場合は混合型特定施設の必要利用定員総数を定めないまま概算する。（受託者の仮置き。令和8年10月の意見交換会で諮る）</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
決着しない場合は令和9年4月新設の3区分を0として立てる。（受託者の仮置き。令和8年10月の意見交換会で諮る）</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
決着しない場合は供給の制約（人材）を見込量に反映しない（需要のみで算定する）。（受託者の仮置き。令和8年10月の意見交換会で諮る）</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
決着しない場合は見込量算定の4成果品を統合報告書に束ね、元の4件も残す（現行）。（受託者の仮置き。令和8年10月の意見交換会で諮る）</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
決着しない場合は単価を令和7年度で固定する（安全側）。実績の趨勢（年率1.75％）を置いた場合の差（月額＋185円から＋374円）は据え置きの一覧に示す。（受託者の仮置き。令和8年10月の意見交換会で諮る）</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
決着しない場合は給付適正化の効果を織り込まないまま概算する（安全側）。（受託者の仮置き。令和8年10月の意見交換会で諮る）</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
決着しない場合は趨勢に現れない要因は向きのみを注記し、数値には織り込まない。（受託者の仮置き。令和8年10月の意見交換会で諮る）</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
決着しない場合はサービス別の趨勢を反映する補正は行わない（見込量は要介護度別の伸びによる）。補正を行った場合の月額への効きは計画素案 第6章第6節2に併記する。（受託者の仮置き。令和8年10月の意見交換会で諮る）</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
決着しない場合は施設・居住系の実績の減少を将来へ延長しないまま概算する。（受託者の仮置き。令和8年10月の意見交換会で諮る）</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
決着しない場合は補正しても外れる6件は趨勢ではなく供給・制度の問題として注記する。（受託者の仮置き。令和8年10月の意見交換会で諮る）</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決着しない場合は令和8年度を基準年度に用いず、季節補正も行わないまま概算する。（受託者の仮置き。令和8年10月の意見交換会で諮る）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
決着しない場合は単価を令和7年度で固定する（安全側）。令和8年度の水準を反映した場合の差（月額＋99円）は据え置きの一覧に示す。（受託者の仮置き。令和8年10月の意見交換会で諮る）</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
決着しない場合は施策反映を行わないまま概算する（安全側）。（受託者の仮置き。令和8年10月の意見交換会で諮る）</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決着しない場合は採用パターンP3（令和7年度基準・総括表・認定者数シナリオ②）で概算する。（受託者の仮置き。令和8年10月の意見交換会で諮る）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
決着しない場合は素案 第6章第2節の表は見える化の自然体推計値のまま置き、P3による値を別掲する。（受託者の仮置き。令和8年10月の意見交換会で諮る）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決着しない場合は②は確認できないものとして、令和8年度を基準年度に用いない。（受託者の仮置き。令和8年10月の意見交換会で諮る）</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
決着しない場合は基準条例を受領できないものとして、省令の基準により論点を整理するにとどめ、計画素案には条例の内容を書かない。（受託者の仮置き。令和8年10月の意見交換会で諮る）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
決着しない場合は認知症対応型共同生活介護の定員は99人＋［要確認］のまま掲げる。（受託者の仮置き。令和8年10月の意見交換会で諮る）</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
決着しない場合は条例の対応規定を確認できないものとして、計画素案には省令の定めと対象事業所数（協力医療機関10・生産性向上委員会15）のみを書く。（受託者の仮置き。令和8年10月の意見交換会で諮る）</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
決着しない場合は省令上の類型を計画に掲げないまま概算する。（受託者の仮置き。令和8年10月の意見交換会で諮る）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
決着しない場合は過疎地域における定員超過の特例を用いないものとして見込量を算定する。（受託者の仮置き。令和8年10月の意見交換会で諮る）</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
決着しない場合は財政調整交付金の算定に給付適正化主要3事業の取組状況を勘案しないものとして算定する（調整交付金7.3755％のまま。安全側）。（受託者の仮置き。令和8年10月の意見交換会で諮る）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
決着しない場合は給付適正化計画の位置づけは案B（第9期と同じく施策として置き、施策名のかっこ書きで第7期給付適正化計画であることを示す）のままとする（令和8年9月10日 了承済み）。（受託者の仮置き。令和8年10月の意見交換会で諮る）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
決着しない場合は認定調査の委託の状況を確認できないものとして、第7期給付適正化計画には現行の取組のまま位置づける。（受託者の仮置き。令和8年10月の意見交換会で諮る）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
決着しない場合は介護給付費通知の実施状況を確認できないものとして、第7期給付適正化計画には現行の取組のまま位置づける。（受託者の仮置き。令和8年10月の意見交換会で諮る）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
決着しない場合は第9期計画の本文及び前回調査の原集計表を受領できないものとして、前回調査との比較は割合のみとし、指標別の分母を確認できない旨を注記する。（受託者の仮置き。令和8年10月の意見交換会で諮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
決着しない場合は計画素案 第1章第9節2の7件の整理のまま進め、政令・省令・報酬改定の公表後に再照合する。（受託者の仮置き。令和8年10月の意見交換会で諮る）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
決着しない場合は3町（3圏域）を基盤整備単位とする案のまま概算する。必要利用定員総数は［要協議］のまま残す。（受託者の仮置き。令和8年10月の意見交換会で諮る）</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
決着しない場合は地域支援事業費（B）から保険者機能強化推進事業費及び保険者努力支援事業費を除く現行の方法を採り、保険料収納必要額からの控除は行わない（二重控除を避けるため）。（受託者の仮置き。令和8年10月の意見交換会で諮る）</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
決着しない場合は町別データシートは現行の内容のまま配付する。（受託者の仮置き。令和8年10月の意見交換会で諮る）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
決着しない場合は現定員の据え置き案を掲げ、本文は［要協議］のまま残す。（受託者の仮置き。令和8年10月の意見交換会で諮る）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
決着しない場合は3町合同の意見交換会（10月上旬）と町ごとの個別協議（10月中旬〜下旬）の2段構えで進める。（受託者の仮置き。令和8年10月の意見交換会で諮る）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
決着しない場合は町別按分は当方の案（第1次概算）のまま示す。（受託者の仮置き。令和8年10月の意見交換会で諮る）</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
決着しない場合は国保連の給付実績の明細を受領できないものとして、代表KPI H16は地域密着型サービスに限った確認件数を代理指標とする。（受託者の仮置き。令和8年10月の意見交換会で諮る）</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
決着しない場合は職員個票を突き合わせず、事業所への照会により重複を判別する。（受託者の仮置き。令和8年10月の意見交換会で諮る）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
決着しない場合は第9期の19施策の体系を維持する（施策数を見直さない）。（受託者の仮置き。令和8年10月の意見交換会で諮る）</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
決着しない場合は北海道の名簿の定員のまま概算する。（受託者の仮置き。令和8年10月の意見交換会で諮る）</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
決着しない場合は北海道の評価指標⑥の団体別の公表値を引用できないものとして、当該指標は計画本文に掲げない。（受託者の仮置き。令和8年10月の意見交換会で諮る）</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
決着しない場合は介護リームスから抽出できないものとして、代表KPI H03は未算定のままとする。（受託者の仮置き。令和8年10月の意見交換会で諮る）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
決着しない場合は代表KPIと改善事項は当方の再整理案のままとする。（受託者の仮置き。令和8年10月の意見交換会で諮る）</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
決着しない場合は北海道が家賃等の情報収集を行っていないものとして、第10期の施策に位置づけない。（受託者の仮置き。令和8年10月の意見交換会で諮る）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
決着しない場合はケアプラン点検実施要領（案）は協議資料にとどめ素案に入れない。（受託者の仮置き。令和8年10月の意見交換会で諮る）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決着しない場合は交付金の全国順位は計画本文に掲載せず、策定委員会資料にとどめる（確認事項No.71のとおり）。（受託者の仮置き。令和8年10月の意見交換会で諮る）</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決着しない場合は成果指向型配分枠への対応状況を確認できないものとして、第10期の施策には位置づけず、確認でき次第加える。（受託者の仮置き。令和8年10月の意見交換会で諮る）</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
決着しない場合は当方の算定のまま進め、国の様式との対応は協議用の資料に対照表として掲げる。（受託者の仮置き。令和8年10月の意見交換会で諮る）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
決着しない場合は再出力を受けられないものとして、当方の要介護度別の算定による見込量を用いる。（受託者の仮置き。令和8年10月の意見交換会で諮る）</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
決着しない場合はサービスガイドに掲載する事業所の範囲は北海道の指定事業所一覧（最新のもの）による。（受託者の仮置き。令和8年10月の意見交換会で諮る）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決着しない場合は広域連合において行うべき事業の優先順位は当方の案のままとする。（受託者の仮置き。令和8年10月の意見交換会で諮る）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
決着しない場合は区域内に事業所がないサービスは、区域外の事業所を利用できる旨を住民向けの記載に書く。（受託者の仮置き。令和8年10月の意見交換会で諮る）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
決着しない場合は人口推計の基礎は案C（総合戦略＋住民基本台帳の趨勢）のままとする。案A・案Bは対比の記録として残す。（受託者の仮置き。令和8年10月の意見交換会で諮る）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
決着しない場合は交付金の評価項目と19施策の割当ては当方の案のままとする。（受託者の仮置き。令和8年10月の意見交換会で諮る）</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
決着しない場合は当方案（単価を令和7年度で固定・施策反映を行わない・給付適正化を織り込まない・基金を取り崩さない）による。いずれも安全側であり、月額は下限に近い値となる。（受託者の仮置き。令和8年10月の意見交換会で諮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
決着しない場合は現行の扱い（第9期の算定を再現し公表値6,428円と一致する扱い）による。（受託者の仮置き。令和8年10月の意見交換会で諮る）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
決着しない場合は定期巡回・随時対応型訪問介護看護は自然体の算定値を置き、整備による上乗せは行わない（安全側）。（受託者の仮置き。令和8年10月の意見交換会で諮る）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
決着しない場合は第10期は計画値を0とせず、算定値を置く（対計画比が算出され評価の対象となるようにする）。（受託者の仮置き。令和8年10月の意見交換会で諮る）</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
決着しない場合は他団体の集計帳票6件は成果品に用いない。（受託者の仮置き。令和8年10月の意見交換会で諮る）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
決着しない場合は議事録は作成者名を落として再出力する（当方で対応する）。（受託者の仮置き。令和8年10月の意見交換会で諮る）</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
決着しない場合は議事録の表記はご提案3件のとおり改める。（受託者の仮置き。令和8年10月の意見交換会で諮る）</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
決着しない場合は介護保険事業財政調整基金を取り崩さないものとして算定する（安全側）。取り崩す場合は1億円あたり月額約▲310円となることを併記する。（受託者の仮置き。令和8年10月の意見交換会で諮る）</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
決着しない場合は名称・科目は令和6年度決算書の表記による（総額に影響しない）。（受託者の仮置き。令和8年10月の意見交換会で諮る）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
決着しない場合は月報の値の接続のずれは記録として残し、計画本文には用いない。（受託者の仮置き。令和8年10月の意見交換会で諮る）</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
決着しない場合は受領済みの年報・月報の値による。（受託者の仮置き。令和8年10月の意見交換会で諮る）</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
決着しない場合は収録済みの令和6年度の総合事業の実施状況に関する調査の値による。（受託者の仮置き。令和8年10月の意見交換会で諮る）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
決着しない場合は総括表（保険者単位）を用い、計画作成支援ツールの実績値シートは比較のためにのみ用いる。（受託者の仮置き。令和8年10月の意見交換会で諮る）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
決着しない場合は令和8年9月25日の再提供により決着済み。再提供を受けたファイルの値（3町合計と円単位一致）による。（受託者の仮置き。令和8年10月の意見交換会で諮る）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
決着しない場合は代表KPI H15の分母は標準給付費見込額とする（受託者案）。（受託者の仮置き。令和8年10月の意見交換会で諮る）</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
決着しない場合は令和8年8月28日受領の集計帳票による。（受託者の仮置き。令和8年10月の意見交換会で諮る）</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
決着しない場合は中間報告・施策体系新旧対照表・骨子案は提出した内容のままとする。（受託者の仮置き。令和8年10月の意見交換会で諮る）</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
決着しない場合は同一法人の重複計上分を除いた採用83人・離職65人を用いる。（受託者の仮置き。令和8年10月の意見交換会で諮る）</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
決着しない場合は現行の工程表のまま進める。（受託者の仮置き。令和8年10月の意見交換会で諮る）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is>
          <t>決着しない場合は告示を確認できないものとして、特別地域加算の判定を計画素案に書かず［要確認］のまま残す。（受託者の仮置き。令和8年10月の意見交換会で諮る）</t>
        </is>
      </c>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is>
          <t>決着しない場合は特定地域の指定に係る意向表明を行わないものとして記載し、省令等の確定後に改める。（受託者の仮置き。令和8年10月の意見交換会で諮る）</t>
        </is>
      </c>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is>
          <t>決着しない場合は類似保険者との比較は公表されている同規模保険者40団体による。（受託者の仮置き。令和8年10月の意見交換会で諮る）</t>
        </is>
      </c>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is>
          <t>決着しない場合は代表KPI H07・H08・H12・H16は代理指標への振替案のとおりとする。（受託者の仮置き。令和8年10月の意見交換会で諮る）</t>
        </is>
      </c>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is>
          <t>決着しない場合は第9期の施策・事業実績を受領できないものとして、公表資料（交付金の評価結果・総合事業の実施状況に関する調査・年報）により評価する。（受託者の仮置き。令和8年10月の意見交換会で諮る）</t>
        </is>
      </c>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is>
          <t>決着しない場合は評価調書を受領できないものとして、得点0が「取組がない」のか「要件を満たさない」のか「報告していない」のかは公表資料から判別できない旨を注記する。（受託者の仮置き。令和8年10月の意見交換会で諮る）</t>
        </is>
      </c>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is>
          <t>決着しない場合は第9期の自己評価と北海道への報告の実績を確認できないものとして、第10期の進行管理に自己評価の仕組みを置く。（受託者の仮置き。令和8年10月の意見交換会で諮る）</t>
        </is>
      </c>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is>
          <t>決着しない場合は3調査の点検事項は当方の判定のままとする。（受託者の仮置き。令和8年10月の意見交換会で諮る）</t>
        </is>
      </c>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is>
          <t>決着しない場合は現に収録している対象者範囲・回収率による。設問ごとに分母が異なることを注記する。（受託者の仮置き。令和8年10月の意見交換会で諮る）</t>
        </is>
      </c>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is>
          <t>決着しない場合は採用83人・離職65人（同一法人の重複を除いた値）による。代表KPI H14は、分母となる各年9月30日現在の在籍者数を確認できないため未算定のままとする。（受託者の仮置き。令和8年10月の意見交換会で諮る）</t>
        </is>
      </c>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is>
          <t>決着しない場合は住民基本台帳（各年1月1日現在）の町別人口により本文を確定する。（受託者の仮置き。令和8年10月の意見交換会で諮る）</t>
        </is>
      </c>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is>
          <t>決着しない場合は日常生活圏域を3町（3圏域）とする案のまま概算する。（受託者の仮置き。令和8年10月の意見交換会で諮る）</t>
        </is>
      </c>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is>
          <t>決着しない場合は北海道の指定事業所一覧の「通常の事業の実施地域」により判定する。（受託者の仮置き。令和8年10月の意見交換会で諮る）</t>
        </is>
      </c>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is>
          <t>決着しない場合は案C（総合戦略＋住民基本台帳の実績趨勢）のまま確定する。（受託者の仮置き。令和8年10月の意見交換会で諮る）</t>
        </is>
      </c>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is>
          <t>決着しない場合は認定者数は年報の年度末（3月31日）を基準とし、月次推移は計画本文に掲げない。（受託者の仮置き。令和8年10月の意見交換会で諮る）</t>
        </is>
      </c>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is>
          <t>決着しない場合は確認事項No.60と同じ前提（単価固定・施策反映なし・適正化を織り込まない・基金取崩しなし）による。（受託者の仮置き。令和8年10月の意見交換会で諮る）</t>
        </is>
      </c>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is>
          <t>決着しない場合は広域連合の代表KPI16項目を掲げ、3町計画への掲載は求めない。（受託者の仮置き。令和8年10月の意見交換会で諮る）</t>
        </is>
      </c>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is>
          <t>決着しない場合は骨子案は提出した内容のままとする。（受託者の仮置き。令和8年10月の意見交換会で諮る）</t>
        </is>
      </c>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is>
          <t>決着しない場合は会議日程及びパブリックコメントの期間は仕様書５の工程による。（受託者の仮置き。令和8年10月の意見交換会で諮る）</t>
        </is>
      </c>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is>
          <t>決着しない場合は北海道・圏域との調整の場が設けられないものとして、北海道の第9期支援計画との整合により記載する。（受託者の仮置き。令和8年10月の意見交換会で諮る）</t>
        </is>
      </c>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is>
          <t>決着しない場合は成果品の仕様は仕様書の定め（計画書 印刷200部・編集可能な電子データ及びPDF）による。（受託者の仮置き。令和8年10月の意見交換会で諮る）</t>
        </is>
      </c>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is>
          <t>決着しない場合は北海道の評価指標の読替えは当方の案のままとする。（受託者の仮置き。令和8年10月の意見交換会で諮る）</t>
        </is>
      </c>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is>
          <t>決着しない場合は北海道の各名簿及び介護サービス情報公表システムの定員による。（受託者の仮置き。令和8年10月の意見交換会で諮る）</t>
        </is>
      </c>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is>
          <t>決着しない場合は24時間対応サービスは自然体の算定値を置き、整備による上乗せは行わない（安全側）。（受託者の仮置き。令和8年10月の意見交換会で諮る）</t>
        </is>
      </c>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is>
          <t>決着しない場合は代表KPIの目標値は、令和9年度を基準値の把握に充て、令和10年度・令和11年度に目標値を置く。（受託者の仮置き。令和8年10月の意見交換会で諮る）</t>
        </is>
      </c>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is>
          <t>決着しない場合は現に受領している交付金評価結果と実施報告書の範囲で記述する。（受託者の仮置き。令和8年10月の意見交換会で諮る）</t>
        </is>
      </c>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is>
          <t>決着しない場合は令和4年度の集計表を受領できないものとして、前回比較は第9期計画の本文に掲げられた指標に限る。（受託者の仮置き。令和8年10月の意見交換会で諮る）</t>
        </is>
      </c>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is>
          <t>決着しない場合は現に収録している調査対象者の範囲による。（受託者の仮置き。令和8年10月の意見交換会で諮る）</t>
        </is>
      </c>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is>
          <t>決着しない場合は年齢階級ごとの要介護度の構成を令和7年度末の実績で固定する（重度化は人口の高齢化による分のみを見込む）。（受託者の仮置き。令和8年10月の意見交換会で諮る）</t>
        </is>
      </c>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is>
          <t>決着しない場合は施設入所者と在宅者を分けずに算定する（分けるための要介護度の変化のデータがないため）。（受託者の仮置き。令和8年10月の意見交換会で諮る）</t>
        </is>
      </c>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is>
          <t>決着しない場合は給付適正化による抑制を推計に織り込まない（安全側）。対象4サービスは総給付費の7.70％であり、10％抑制でも月額▲47円であることを併記する。（受託者の仮置き。令和8年10月の意見交換会で諮る）</t>
        </is>
      </c>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is>
          <t>決着しない場合は第9期条例の16段階・乗率（公費軽減前）を据え置いて算定し、政令の公布後に再算定する。（受託者の仮置き。令和8年10月の意見交換会で諮る）</t>
        </is>
      </c>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is>
          <t>決着しない場合は経緯を確認できないものとして、第9期条例の乗率をそのまま用いる。（受託者の仮置き。令和8年10月の意見交換会で諮る）</t>
        </is>
      </c>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is>
          <t>決着しない場合は上川管内の保険者の所得段階数と乗率の比較は掲げない。（受託者の仮置き。令和8年10月の意見交換会で諮る）</t>
        </is>
      </c>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is>
          <t>決着しない場合は令和6年度の所得段階別構成比と予定収納率0.99による。（受託者の仮置き。令和8年10月の意見交換会で諮る）</t>
        </is>
      </c>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is>
          <t>決着しない場合は公表されている全国集計の値による。（受託者の仮置き。令和8年10月の意見交換会で諮る）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
決着しない場合は1人1月あたり給付費は令和7年度で固定して概算する（月額で＋185〜＋374円に当たる）。（受託者の仮置き。令和8年10月の意見交換会で諮る）</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
決着しない場合は認定者数の実績見込み値を編集する項目がないものとして、認定率の伸びに「令和6年度→令和7年度の伸び」を選ぶ。（受託者の仮置き。令和8年10月の意見交換会で諮る）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
決着しない場合は健康とくらしの調査の個票の再提供を依頼しない（成果品は収録済みで内容が確定しており、現時点で不足がない）。（受託者の仮置き。令和8年10月の意見交換会で諮る）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
決着しない場合は在宅生活改善調査の結果は「在宅で困難を抱える方の状況」として引き、在宅の認定者全体の割合としては引かない。（受託者の仮置き。令和8年10月の意見交換会で諮る）</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
決着しない場合は必要利用定員総数は区域内の施設の定員とは別に整理したまま概算する。（受託者の仮置き。令和8年10月の意見交換会で諮る）</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
決着しない場合は本表そのものに係る確認事項である。決着しない場合は、本シートの既定値によったことを第1次概算の資料に明示して提出する。（受託者の仮置き。令和8年10月の意見交換会で諮る）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
決着しない場合は未確定箇所の表示は［要協議］［要確認］［要内訳］の3種のままとする。（受託者の仮置き。令和8年10月の意見交換会で諮る）</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
決着しない場合は統合した成果品の元の資料を残す。（受託者の仮置き。令和8年10月の意見交換会で諮る）</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
決着しない場合はサービス見込量・給付費・保険料は年報（保険者単位）の値で概算し、町別データシートは計画作成支援ツールの値のまま示す。3町を足しても年報の値にならないことを注記する。（受託者の仮置き。令和8年10月の意見交換会で諮る）</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決着しない場合は年報の値を用いる（総括表・給付費と内的整合が取れているため）。画面の値は用いず、2％以上食い違う3区分を注記する。（受託者の仮置き。令和8年10月の意見交換会で諮る）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決着しない場合は要介護度別の伸びによる算定（第1次概算）で概算し、一律の伸びによる従前の値を併記する（差は計画素案 第6章第6節2に掲げる）。（受託者の仮置き。令和8年10月の意見交換会で諮る）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
決着しない場合は令和8年度を含まない④（令和6年度→令和7年度）を採ったものとして概算する。当方の算定（令和7年度基準）と置き方がそろう。（受託者の仮置き。令和8年10月の意見交換会で諮る）</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
決着しない場合は受領済みの画面の写しの範囲で概算し、確認できていない項目はその旨を明記する。（受託者の仮置き。令和8年10月の意見交換会で諮る）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
決着しない場合は認知症基本法の条文を受領できないものとして、計画素案には条番号のみを書き項番号は［要確認］のまま残す。（受託者の仮置き。令和8年10月の意見交換会で諮る）</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決着しない場合は6事業別の事業費を受領できないものとして、認知症総合支援事業の量の見込みは立てず、3町の取組の回数のみを掲げる。（受託者の仮置き。令和8年10月の意見交換会で諮る）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
決着しない場合は認知症対応型共同生活介護及び介護老人福祉施設を対計画比の補正の対象から外したものとして概算する。定員の縮小を趨勢として二重に織り込まないため（安全側）。（受託者の仮置き。令和8年10月の意見交換会で諮る）</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
決着しない場合は町別の将来推計は計画本文に掲げない（令和8年9月10日の了承のとおり）。（受託者の仮置き。令和8年10月の意見交換会で諮る）</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
決着しない場合は計画素案 第2章第1節に町別の図を加えない。加筆分は協議用の資料にとどめる。（受託者の仮置き。令和8年10月の意見交換会で諮る）</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
決着しない場合は人口の将来推計の方法は案Cのままとする。コーホート変化率法には採らない。（受託者の仮置き。令和8年10月の意見交換会で諮る）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
決着しない場合は当方の算定（16段階×8年度）による。所得段階の設定は弾力化を選ぶ。（受託者の仮置き。令和8年10月の意見交換会で諮る）</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
決着しない場合は算定の側だけを令和12・27・32年度まで広げ、計画本文に掲げる中長期は令和17年度・令和22年度のままとする。（受託者の仮置き。令和8年10月の意見交換会で諮る）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
決着しない場合は設問ごとの有効回答を分母とし、町別の値は掲げない（令和8年9月25日に是正済み）。（受託者の仮置き。令和8年10月の意見交換会で諮る）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 第1次概算では令和11年度に定員の99.9％に達し、令和12年度には定員を超えると見込まれる。第10期の整備方針を伺いたい。確認事項No.88（必要利用定員総数）と一体のものである。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決着しない場合は計画素案から協議用の成果品へ移す8件は移し、「協議」判定の15件はそのまま素案に残す（令和8年9月29日 ご指示のとおり）。（受託者の仮置き。令和8年10月の意見交換会で諮る）</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
決着しない場合は第9期計画にない体裁は現在のままとし、計画として確定する前に改めてお諮りする（令和8年9月29日 ご指示により保留）。（受託者の仮置き。令和8年10月の意見交換会で諮る）</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10" t="inlineStr">
        <is>
          <t>未回答</t>
        </is>
      </c>
      <c r="I176" s="10" t="inlineStr">
        <is>
          <t>R8.10</t>
        </is>
      </c>
      <c r="J176" s="11" t="inlineStr">
        <is>
          <t>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10" t="inlineStr">
        <is>
          <t>未回答</t>
        </is>
      </c>
      <c r="I177" s="10" t="inlineStr">
        <is>
          <t>R8.11</t>
        </is>
      </c>
      <c r="J177" s="11" t="inlineStr">
        <is>
          <t>決着しない場合の当方の扱い＝現行のまま（③は本文の図を計画に載せ、図表集の図は参考として残す。④は本文の図の数値を図表データ管理台帳で管理する）。いずれも保険料・見込量の算定には影響しない</t>
        </is>
      </c>
    </row>
    <row r="179" ht="32" customHeight="1">
      <c r="A179" s="3" t="inlineStr">
        <is>
          <t>区分</t>
        </is>
      </c>
      <c r="B179" s="3" t="inlineStr">
        <is>
          <t>件数</t>
        </is>
      </c>
      <c r="C179" s="3" t="inlineStr"/>
      <c r="D179" s="3" t="inlineStr"/>
      <c r="E179" s="3" t="inlineStr"/>
      <c r="F179" s="3" t="inlineStr"/>
      <c r="G179" s="3" t="inlineStr"/>
      <c r="H179" s="3" t="inlineStr"/>
      <c r="I179" s="3" t="inlineStr"/>
      <c r="J179" s="3" t="inlineStr"/>
    </row>
    <row r="180" ht="20" customHeight="1">
      <c r="A180" s="6" t="inlineStr">
        <is>
          <t>完了</t>
        </is>
      </c>
      <c r="B180" s="4">
        <f>COUNTIF(H5:H177,"完了")</f>
        <v/>
      </c>
      <c r="C180" s="5" t="inlineStr"/>
      <c r="D180" s="5" t="inlineStr"/>
      <c r="E180" s="5" t="inlineStr"/>
      <c r="F180" s="5" t="inlineStr"/>
      <c r="G180" s="5" t="inlineStr"/>
      <c r="H180" s="5" t="inlineStr"/>
      <c r="I180" s="5" t="inlineStr"/>
      <c r="J180" s="5" t="inlineStr"/>
    </row>
    <row r="181" ht="20" customHeight="1">
      <c r="A181" s="8" t="inlineStr">
        <is>
          <t>実施中</t>
        </is>
      </c>
      <c r="B181" s="4">
        <f>COUNTIF(H5:H177,"実施中")</f>
        <v/>
      </c>
      <c r="C181" s="5" t="inlineStr"/>
      <c r="D181" s="5" t="inlineStr"/>
      <c r="E181" s="5" t="inlineStr"/>
      <c r="F181" s="5" t="inlineStr"/>
      <c r="G181" s="5" t="inlineStr"/>
      <c r="H181" s="5" t="inlineStr"/>
      <c r="I181" s="5" t="inlineStr"/>
      <c r="J181" s="5" t="inlineStr"/>
    </row>
    <row r="182" ht="20" customHeight="1">
      <c r="A182" s="10" t="inlineStr">
        <is>
          <t>確認待ち</t>
        </is>
      </c>
      <c r="B182" s="4">
        <f>COUNTIF(H5:H177,"確認待ち")</f>
        <v/>
      </c>
      <c r="C182" s="5" t="inlineStr"/>
      <c r="D182" s="5" t="inlineStr"/>
      <c r="E182" s="5" t="inlineStr"/>
      <c r="F182" s="5" t="inlineStr"/>
      <c r="G182" s="5" t="inlineStr"/>
      <c r="H182" s="5" t="inlineStr"/>
      <c r="I182" s="5" t="inlineStr"/>
      <c r="J182" s="5" t="inlineStr"/>
    </row>
    <row r="183" ht="20" customHeight="1">
      <c r="A183" s="12" t="inlineStr">
        <is>
          <t>未着手</t>
        </is>
      </c>
      <c r="B183" s="4">
        <f>COUNTIF(H5:H177,"未着手")</f>
        <v/>
      </c>
      <c r="C183" s="5" t="inlineStr"/>
      <c r="D183" s="5" t="inlineStr"/>
      <c r="E183" s="5" t="inlineStr"/>
      <c r="F183" s="5" t="inlineStr"/>
      <c r="G183" s="5" t="inlineStr"/>
      <c r="H183" s="5" t="inlineStr"/>
      <c r="I183" s="5" t="inlineStr"/>
      <c r="J183" s="5" t="inlineStr"/>
    </row>
    <row r="184" ht="20" customHeight="1">
      <c r="A184" s="14" t="inlineStr">
        <is>
          <t>対象外</t>
        </is>
      </c>
      <c r="B184" s="4">
        <f>COUNTIF(H5:H177,"対象外")</f>
        <v/>
      </c>
      <c r="C184" s="5" t="inlineStr"/>
      <c r="D184" s="5" t="inlineStr"/>
      <c r="E184" s="5" t="inlineStr"/>
      <c r="F184" s="5" t="inlineStr"/>
      <c r="G184" s="5" t="inlineStr"/>
      <c r="H184" s="5" t="inlineStr"/>
      <c r="I184" s="5" t="inlineStr"/>
      <c r="J184" s="5" t="inlineStr"/>
    </row>
    <row r="186" ht="32" customHeight="1">
      <c r="A186" s="3" t="inlineStr">
        <is>
          <t>確認先</t>
        </is>
      </c>
      <c r="B186" s="3" t="inlineStr">
        <is>
          <t>件数</t>
        </is>
      </c>
      <c r="C186" s="3" t="inlineStr"/>
      <c r="D186" s="3" t="inlineStr"/>
      <c r="E186" s="3" t="inlineStr"/>
      <c r="F186" s="3" t="inlineStr"/>
      <c r="G186" s="3" t="inlineStr"/>
      <c r="H186" s="3" t="inlineStr"/>
      <c r="I186" s="3" t="inlineStr"/>
      <c r="J186" s="3" t="inlineStr"/>
    </row>
    <row r="187" ht="20" customHeight="1">
      <c r="A187" s="5" t="inlineStr">
        <is>
          <t>発注者</t>
        </is>
      </c>
      <c r="B187" s="4">
        <f>COUNTIF(G5:G177,"発注者")</f>
        <v/>
      </c>
      <c r="C187" s="5" t="inlineStr"/>
      <c r="D187" s="5" t="inlineStr"/>
      <c r="E187" s="5" t="inlineStr"/>
      <c r="F187" s="5" t="inlineStr"/>
      <c r="G187" s="5" t="inlineStr"/>
      <c r="H187" s="5" t="inlineStr"/>
      <c r="I187" s="5" t="inlineStr"/>
      <c r="J187" s="5" t="inlineStr"/>
    </row>
    <row r="188" ht="20" customHeight="1">
      <c r="A188" s="5" t="inlineStr">
        <is>
          <t>発注者・3町</t>
        </is>
      </c>
      <c r="B188" s="4">
        <f>COUNTIF(G5:G177,"発注者・3町")</f>
        <v/>
      </c>
      <c r="C188" s="5" t="inlineStr"/>
      <c r="D188" s="5" t="inlineStr"/>
      <c r="E188" s="5" t="inlineStr"/>
      <c r="F188" s="5" t="inlineStr"/>
      <c r="G188" s="5" t="inlineStr"/>
      <c r="H188" s="5" t="inlineStr"/>
      <c r="I188" s="5" t="inlineStr"/>
      <c r="J188" s="5" t="inlineStr"/>
    </row>
    <row r="189" ht="20" customHeight="1">
      <c r="A189" s="5" t="inlineStr">
        <is>
          <t>発注者・北海道</t>
        </is>
      </c>
      <c r="B189" s="4">
        <f>COUNTIF(G5:G177,"発注者・北海道")</f>
        <v/>
      </c>
      <c r="C189" s="5" t="inlineStr"/>
      <c r="D189" s="5" t="inlineStr"/>
      <c r="E189" s="5" t="inlineStr"/>
      <c r="F189" s="5" t="inlineStr"/>
      <c r="G189" s="5" t="inlineStr"/>
      <c r="H189" s="5" t="inlineStr"/>
      <c r="I189" s="5" t="inlineStr"/>
      <c r="J189" s="5" t="inlineStr"/>
    </row>
    <row r="190" ht="20" customHeight="1">
      <c r="A190" s="5" t="inlineStr">
        <is>
          <t>発注者・3町・北海道</t>
        </is>
      </c>
      <c r="B190" s="4">
        <f>COUNTIF(G5:G177,"発注者・3町・北海道")</f>
        <v/>
      </c>
      <c r="C190" s="5" t="inlineStr"/>
      <c r="D190" s="5" t="inlineStr"/>
      <c r="E190" s="5" t="inlineStr"/>
      <c r="F190" s="5" t="inlineStr"/>
      <c r="G190" s="5" t="inlineStr"/>
      <c r="H190" s="5" t="inlineStr"/>
      <c r="I190" s="5" t="inlineStr"/>
      <c r="J190" s="5" t="inlineStr"/>
    </row>
    <row r="191" ht="20" customHeight="1">
      <c r="A191" s="5" t="inlineStr">
        <is>
          <t>北海道</t>
        </is>
      </c>
      <c r="B191" s="4">
        <f>COUNTIF(G5:G177,"北海道")</f>
        <v/>
      </c>
      <c r="C191" s="5" t="inlineStr"/>
      <c r="D191" s="5" t="inlineStr"/>
      <c r="E191" s="5" t="inlineStr"/>
      <c r="F191" s="5" t="inlineStr"/>
      <c r="G191" s="5" t="inlineStr"/>
      <c r="H191" s="5" t="inlineStr"/>
      <c r="I191" s="5" t="inlineStr"/>
      <c r="J191" s="5" t="inlineStr"/>
    </row>
    <row r="193" ht="39" customHeight="1">
      <c r="A193"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る。**決定ではない。**令和8年10月の3町合同の意見交換会で内容を諮り、ご決定をいただいた時点で回答欄に反映する。保険料を動かすものは、保険料が不足する側に誤らない向き（安全側）に置いている。</t>
        </is>
      </c>
    </row>
  </sheetData>
  <mergeCells count="3">
    <mergeCell ref="A1:J1"/>
    <mergeCell ref="A193:J193"/>
    <mergeCell ref="A2:J2"/>
  </mergeCells>
  <conditionalFormatting sqref="H5:H17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77"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（942段落145表36図）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（942段落145表36図）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2026-10-01T04:24:00Z</dcterms:created>
  <dcterms:modified xmlns:dcterms="http://purl.org/dc/terms/" xmlns:xsi="http://www.w3.org/2001/XMLSchema-instance" xsi:type="dcterms:W3CDTF">2026-10-01T04:24:02Z</dcterms:modified>
</cp:coreProperties>
</file>