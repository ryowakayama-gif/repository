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計画素案（843段落137表36図）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2"/>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計画に掲げる認定率の定義を揃えること</t>
        </is>
      </c>
      <c r="E11"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11" s="5" t="inlineStr">
        <is>
          <t>計画素案 第2章第1節3・第6章第1節
将来推計 第1段階・第2段階</t>
        </is>
      </c>
      <c r="G11" s="5" t="inlineStr">
        <is>
          <t>発注者</t>
        </is>
      </c>
      <c r="H11" s="10" t="inlineStr">
        <is>
          <t>確認待ち</t>
        </is>
      </c>
      <c r="I11" s="10" t="inlineStr">
        <is>
          <t>R8.10</t>
        </is>
      </c>
      <c r="J11" s="11" t="inlineStr">
        <is>
          <t>同表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144</v>
      </c>
      <c r="B144" s="4" t="inlineStr">
        <is>
          <t>(12)</t>
        </is>
      </c>
      <c r="C144" s="4" t="inlineStr">
        <is>
          <t>R8.9</t>
        </is>
      </c>
      <c r="D144" s="5" t="inlineStr">
        <is>
          <t>統合した成果品の元の資料を残すか</t>
        </is>
      </c>
      <c r="E144"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4" s="5" t="inlineStr">
        <is>
          <t>成果品一覧（納品時の構成）</t>
        </is>
      </c>
      <c r="G144" s="5" t="inlineStr">
        <is>
          <t>発注者</t>
        </is>
      </c>
      <c r="H144" s="10" t="inlineStr">
        <is>
          <t>確認待ち</t>
        </is>
      </c>
      <c r="I144" s="10" t="inlineStr">
        <is>
          <t>R8.10</t>
        </is>
      </c>
      <c r="J144" s="11" t="inlineStr">
        <is>
          <t>管理の統合と成果品の棚卸し 03・05シート</t>
        </is>
      </c>
    </row>
    <row r="145" ht="88" customHeight="1">
      <c r="A145" s="4" t="n">
        <v>145</v>
      </c>
      <c r="B145" s="4" t="inlineStr">
        <is>
          <t>(5)</t>
        </is>
      </c>
      <c r="C145" s="4" t="inlineStr">
        <is>
          <t>R8.9</t>
        </is>
      </c>
      <c r="D145" s="5" t="inlineStr">
        <is>
          <t>計画作成支援ツールと年報のどちらを町別の値に用いるか</t>
        </is>
      </c>
      <c r="E145"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5" s="5" t="inlineStr">
        <is>
          <t>町別データシート
サービス見込量 第1次概算</t>
        </is>
      </c>
      <c r="G145" s="5" t="inlineStr">
        <is>
          <t>発注者</t>
        </is>
      </c>
      <c r="H145" s="10" t="inlineStr">
        <is>
          <t>確認待ち</t>
        </is>
      </c>
      <c r="I145" s="10" t="inlineStr">
        <is>
          <t>R8.9</t>
        </is>
      </c>
      <c r="J145" s="11" t="inlineStr">
        <is>
          <t>管理の統合と成果品の棚卸し 04シート</t>
        </is>
      </c>
    </row>
    <row r="146" ht="88" customHeight="1">
      <c r="A146" s="4" t="n">
        <v>136</v>
      </c>
      <c r="B146" s="4" t="inlineStr">
        <is>
          <t>(5)</t>
        </is>
      </c>
      <c r="C146" s="4" t="inlineStr">
        <is>
          <t>R8.9</t>
        </is>
      </c>
      <c r="D146" s="5" t="inlineStr">
        <is>
          <t>画面の令和7年度と年報の月平均の食い違い</t>
        </is>
      </c>
      <c r="E146"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6" s="5" t="inlineStr">
        <is>
          <t>将来推計 第2段階
計画素案 第6章第2節</t>
        </is>
      </c>
      <c r="G146" s="5" t="inlineStr">
        <is>
          <t>発注者</t>
        </is>
      </c>
      <c r="H146" s="10" t="inlineStr">
        <is>
          <t>確認待ち</t>
        </is>
      </c>
      <c r="I146" s="10" t="inlineStr">
        <is>
          <t>R8.10</t>
        </is>
      </c>
      <c r="J146" s="11" t="inlineStr">
        <is>
          <t>令和8年度実績見込み値の入力案 05シート</t>
        </is>
      </c>
    </row>
    <row r="148" ht="32" customHeight="1">
      <c r="A148" s="3" t="inlineStr">
        <is>
          <t>区分</t>
        </is>
      </c>
      <c r="B148" s="3" t="inlineStr">
        <is>
          <t>件数</t>
        </is>
      </c>
      <c r="C148" s="3" t="inlineStr"/>
      <c r="D148" s="3" t="inlineStr"/>
      <c r="E148" s="3" t="inlineStr"/>
      <c r="F148" s="3" t="inlineStr"/>
      <c r="G148" s="3" t="inlineStr"/>
      <c r="H148" s="3" t="inlineStr"/>
      <c r="I148" s="3" t="inlineStr"/>
      <c r="J148" s="3" t="inlineStr"/>
    </row>
    <row r="149" ht="20" customHeight="1">
      <c r="A149" s="6" t="inlineStr">
        <is>
          <t>完了</t>
        </is>
      </c>
      <c r="B149" s="4">
        <f>COUNTIF(H5:H146,"完了")</f>
        <v/>
      </c>
      <c r="C149" s="5" t="inlineStr"/>
      <c r="D149" s="5" t="inlineStr"/>
      <c r="E149" s="5" t="inlineStr"/>
      <c r="F149" s="5" t="inlineStr"/>
      <c r="G149" s="5" t="inlineStr"/>
      <c r="H149" s="5" t="inlineStr"/>
      <c r="I149" s="5" t="inlineStr"/>
      <c r="J149" s="5" t="inlineStr"/>
    </row>
    <row r="150" ht="20" customHeight="1">
      <c r="A150" s="8" t="inlineStr">
        <is>
          <t>実施中</t>
        </is>
      </c>
      <c r="B150" s="4">
        <f>COUNTIF(H5:H146,"実施中")</f>
        <v/>
      </c>
      <c r="C150" s="5" t="inlineStr"/>
      <c r="D150" s="5" t="inlineStr"/>
      <c r="E150" s="5" t="inlineStr"/>
      <c r="F150" s="5" t="inlineStr"/>
      <c r="G150" s="5" t="inlineStr"/>
      <c r="H150" s="5" t="inlineStr"/>
      <c r="I150" s="5" t="inlineStr"/>
      <c r="J150" s="5" t="inlineStr"/>
    </row>
    <row r="151" ht="20" customHeight="1">
      <c r="A151" s="10" t="inlineStr">
        <is>
          <t>確認待ち</t>
        </is>
      </c>
      <c r="B151" s="4">
        <f>COUNTIF(H5:H146,"確認待ち")</f>
        <v/>
      </c>
      <c r="C151" s="5" t="inlineStr"/>
      <c r="D151" s="5" t="inlineStr"/>
      <c r="E151" s="5" t="inlineStr"/>
      <c r="F151" s="5" t="inlineStr"/>
      <c r="G151" s="5" t="inlineStr"/>
      <c r="H151" s="5" t="inlineStr"/>
      <c r="I151" s="5" t="inlineStr"/>
      <c r="J151" s="5" t="inlineStr"/>
    </row>
    <row r="152" ht="20" customHeight="1">
      <c r="A152" s="12" t="inlineStr">
        <is>
          <t>未着手</t>
        </is>
      </c>
      <c r="B152" s="4">
        <f>COUNTIF(H5:H146,"未着手")</f>
        <v/>
      </c>
      <c r="C152" s="5" t="inlineStr"/>
      <c r="D152" s="5" t="inlineStr"/>
      <c r="E152" s="5" t="inlineStr"/>
      <c r="F152" s="5" t="inlineStr"/>
      <c r="G152" s="5" t="inlineStr"/>
      <c r="H152" s="5" t="inlineStr"/>
      <c r="I152" s="5" t="inlineStr"/>
      <c r="J152" s="5" t="inlineStr"/>
    </row>
    <row r="153" ht="20" customHeight="1">
      <c r="A153" s="14" t="inlineStr">
        <is>
          <t>対象外</t>
        </is>
      </c>
      <c r="B153" s="4">
        <f>COUNTIF(H5:H146,"対象外")</f>
        <v/>
      </c>
      <c r="C153" s="5" t="inlineStr"/>
      <c r="D153" s="5" t="inlineStr"/>
      <c r="E153" s="5" t="inlineStr"/>
      <c r="F153" s="5" t="inlineStr"/>
      <c r="G153" s="5" t="inlineStr"/>
      <c r="H153" s="5" t="inlineStr"/>
      <c r="I153" s="5" t="inlineStr"/>
      <c r="J153" s="5" t="inlineStr"/>
    </row>
    <row r="155" ht="32" customHeight="1">
      <c r="A155" s="3" t="inlineStr">
        <is>
          <t>確認先</t>
        </is>
      </c>
      <c r="B155" s="3" t="inlineStr">
        <is>
          <t>件数</t>
        </is>
      </c>
      <c r="C155" s="3" t="inlineStr"/>
      <c r="D155" s="3" t="inlineStr"/>
      <c r="E155" s="3" t="inlineStr"/>
      <c r="F155" s="3" t="inlineStr"/>
      <c r="G155" s="3" t="inlineStr"/>
      <c r="H155" s="3" t="inlineStr"/>
      <c r="I155" s="3" t="inlineStr"/>
      <c r="J155" s="3" t="inlineStr"/>
    </row>
    <row r="156" ht="20" customHeight="1">
      <c r="A156" s="5" t="inlineStr">
        <is>
          <t>発注者</t>
        </is>
      </c>
      <c r="B156" s="4">
        <f>COUNTIF(G5:G146,"発注者")</f>
        <v/>
      </c>
      <c r="C156" s="5" t="inlineStr"/>
      <c r="D156" s="5" t="inlineStr"/>
      <c r="E156" s="5" t="inlineStr"/>
      <c r="F156" s="5" t="inlineStr"/>
      <c r="G156" s="5" t="inlineStr"/>
      <c r="H156" s="5" t="inlineStr"/>
      <c r="I156" s="5" t="inlineStr"/>
      <c r="J156" s="5" t="inlineStr"/>
    </row>
    <row r="157" ht="20" customHeight="1">
      <c r="A157" s="5" t="inlineStr">
        <is>
          <t>発注者・3町</t>
        </is>
      </c>
      <c r="B157" s="4">
        <f>COUNTIF(G5:G146,"発注者・3町")</f>
        <v/>
      </c>
      <c r="C157" s="5" t="inlineStr"/>
      <c r="D157" s="5" t="inlineStr"/>
      <c r="E157" s="5" t="inlineStr"/>
      <c r="F157" s="5" t="inlineStr"/>
      <c r="G157" s="5" t="inlineStr"/>
      <c r="H157" s="5" t="inlineStr"/>
      <c r="I157" s="5" t="inlineStr"/>
      <c r="J157" s="5" t="inlineStr"/>
    </row>
    <row r="158" ht="20" customHeight="1">
      <c r="A158" s="5" t="inlineStr">
        <is>
          <t>発注者・北海道</t>
        </is>
      </c>
      <c r="B158" s="4">
        <f>COUNTIF(G5:G146,"発注者・北海道")</f>
        <v/>
      </c>
      <c r="C158" s="5" t="inlineStr"/>
      <c r="D158" s="5" t="inlineStr"/>
      <c r="E158" s="5" t="inlineStr"/>
      <c r="F158" s="5" t="inlineStr"/>
      <c r="G158" s="5" t="inlineStr"/>
      <c r="H158" s="5" t="inlineStr"/>
      <c r="I158" s="5" t="inlineStr"/>
      <c r="J158" s="5" t="inlineStr"/>
    </row>
    <row r="159" ht="20" customHeight="1">
      <c r="A159" s="5" t="inlineStr">
        <is>
          <t>発注者・3町・北海道</t>
        </is>
      </c>
      <c r="B159" s="4">
        <f>COUNTIF(G5:G146,"発注者・3町・北海道")</f>
        <v/>
      </c>
      <c r="C159" s="5" t="inlineStr"/>
      <c r="D159" s="5" t="inlineStr"/>
      <c r="E159" s="5" t="inlineStr"/>
      <c r="F159" s="5" t="inlineStr"/>
      <c r="G159" s="5" t="inlineStr"/>
      <c r="H159" s="5" t="inlineStr"/>
      <c r="I159" s="5" t="inlineStr"/>
      <c r="J159" s="5" t="inlineStr"/>
    </row>
    <row r="160" ht="20" customHeight="1">
      <c r="A160" s="5" t="inlineStr">
        <is>
          <t>北海道</t>
        </is>
      </c>
      <c r="B160" s="4">
        <f>COUNTIF(G5:G146,"北海道")</f>
        <v/>
      </c>
      <c r="C160" s="5" t="inlineStr"/>
      <c r="D160" s="5" t="inlineStr"/>
      <c r="E160" s="5" t="inlineStr"/>
      <c r="F160" s="5" t="inlineStr"/>
      <c r="G160" s="5" t="inlineStr"/>
      <c r="H160" s="5" t="inlineStr"/>
      <c r="I160" s="5" t="inlineStr"/>
      <c r="J160" s="5" t="inlineStr"/>
    </row>
    <row r="162" ht="28" customHeight="1">
      <c r="A162"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62:J162"/>
    <mergeCell ref="A2:J2"/>
  </mergeCells>
  <conditionalFormatting sqref="H5:H14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46"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（843段落137表36図）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2026-09-15T06:29:44Z</dcterms:created>
  <dcterms:modified xmlns:dcterms="http://purl.org/dc/terms/" xmlns:xsi="http://www.w3.org/2001/XMLSchema-instance" xsi:type="dcterms:W3CDTF">2026-09-15T06:29:44Z</dcterms:modified>
</cp:coreProperties>
</file>