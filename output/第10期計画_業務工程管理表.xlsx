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1">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2"/>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業務仕様書「４．業務内容」（1）〜（12）及び「５．業務スケジュール（予定）」に沿って、業務内容別・月別の進捗を管理する。作成日：令和8年7月29日。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1" ht="32" customHeight="1">
      <c r="A11" s="3" t="inlineStr">
        <is>
          <t>区分</t>
        </is>
      </c>
      <c r="B11" s="3" t="inlineStr">
        <is>
          <t>意味</t>
        </is>
      </c>
      <c r="C11" s="3" t="inlineStr">
        <is>
          <t>色</t>
        </is>
      </c>
      <c r="D11" s="3" t="inlineStr"/>
      <c r="E11" s="3" t="inlineStr"/>
      <c r="F11" s="3" t="inlineStr"/>
    </row>
    <row r="12" ht="24" customHeight="1">
      <c r="A12" s="6" t="inlineStr">
        <is>
          <t>完了</t>
        </is>
      </c>
      <c r="B12" s="5" t="inlineStr">
        <is>
          <t>当該項目の作業が終わり、成果物を提出済み又は提出可能な状態にある</t>
        </is>
      </c>
      <c r="C12" s="7" t="inlineStr"/>
      <c r="D12" s="5" t="inlineStr"/>
      <c r="E12" s="5" t="inlineStr"/>
      <c r="F12" s="5" t="inlineStr"/>
    </row>
    <row r="13" ht="24" customHeight="1">
      <c r="A13" s="8" t="inlineStr">
        <is>
          <t>実施中</t>
        </is>
      </c>
      <c r="B13" s="5" t="inlineStr">
        <is>
          <t>着手しているが完了していない</t>
        </is>
      </c>
      <c r="C13" s="9" t="inlineStr"/>
      <c r="D13" s="5" t="inlineStr"/>
      <c r="E13" s="5" t="inlineStr"/>
      <c r="F13" s="5" t="inlineStr"/>
    </row>
    <row r="14" ht="24" customHeight="1">
      <c r="A14" s="10" t="inlineStr">
        <is>
          <t>確認待ち</t>
        </is>
      </c>
      <c r="B14" s="5" t="inlineStr">
        <is>
          <t>受託者の作業は終わっており、発注者・3町・北海道からの回答又は資料の提供を待っている</t>
        </is>
      </c>
      <c r="C14" s="11" t="inlineStr"/>
      <c r="D14" s="5" t="inlineStr"/>
      <c r="E14" s="5" t="inlineStr"/>
      <c r="F14" s="5" t="inlineStr"/>
    </row>
    <row r="15" ht="24" customHeight="1">
      <c r="A15" s="12" t="inlineStr">
        <is>
          <t>未着手</t>
        </is>
      </c>
      <c r="B15" s="5" t="inlineStr">
        <is>
          <t>工程上まだ着手していない、又は前提条件が整っていない</t>
        </is>
      </c>
      <c r="C15" s="13" t="inlineStr"/>
      <c r="D15" s="5" t="inlineStr"/>
      <c r="E15" s="5" t="inlineStr"/>
      <c r="F15" s="5" t="inlineStr"/>
    </row>
    <row r="16" ht="24" customHeight="1">
      <c r="A16" s="14" t="inlineStr">
        <is>
          <t>対象外</t>
        </is>
      </c>
      <c r="B16" s="5" t="inlineStr">
        <is>
          <t>本業務の範囲外、又は該当がない</t>
        </is>
      </c>
      <c r="C16" s="15" t="inlineStr"/>
      <c r="D16" s="5" t="inlineStr"/>
      <c r="E16" s="5" t="inlineStr"/>
      <c r="F16" s="5" t="inlineStr"/>
    </row>
    <row r="18" ht="39" customHeight="1">
      <c r="A18" s="16" t="inlineStr">
        <is>
          <t>【本表の位置づけ】計画素案（第10稿）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0" ht="28" customHeight="1">
      <c r="A20"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2" ht="52" customHeight="1">
      <c r="A22"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第10稿）、施策体系新旧対照表（5シート）、確認依頼書を作成済みである。</t>
        </is>
      </c>
    </row>
  </sheetData>
  <mergeCells count="5">
    <mergeCell ref="A2:F2"/>
    <mergeCell ref="A1:F1"/>
    <mergeCell ref="A22:F22"/>
    <mergeCell ref="A18:F18"/>
    <mergeCell ref="A20:F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素案第10稿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⑦評価そのもののレッドチームレビュー（指摘18件）</t>
        </is>
      </c>
      <c r="E6" s="5" t="inlineStr">
        <is>
          <t>妥当性検証報告書 01・02・12・23シート
素案第10稿 第3章
施策体系新旧対照表
第9期評価のレッドチームレビュー（8シート）</t>
        </is>
      </c>
      <c r="F6" s="10" t="inlineStr">
        <is>
          <t>実施中</t>
        </is>
      </c>
      <c r="G6" s="17" t="n">
        <v>0.65</v>
      </c>
      <c r="H6" s="10" t="inlineStr">
        <is>
          <t>R8.9</t>
        </is>
      </c>
      <c r="I6" s="11" t="inlineStr">
        <is>
          <t>レッドチームレビュー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素案第10稿 第2章第4〜6節</t>
        </is>
      </c>
      <c r="F7" s="10" t="inlineStr">
        <is>
          <t>実施中</t>
        </is>
      </c>
      <c r="G7" s="17" t="n">
        <v>0.8</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第10期分の3調査が未受領のため②③④は令和5年調査分の再整理にとどまり、⑤4調査横断のクロス集計は未着手（確認No.8）。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素案第10稿 第2章</t>
        </is>
      </c>
      <c r="F8" s="10" t="inlineStr">
        <is>
          <t>実施中</t>
        </is>
      </c>
      <c r="G8" s="17" t="n">
        <v>0.8</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⑦シナリオ比較（基本・需要上振れ・供給制約・基金活用）</t>
        </is>
      </c>
      <c r="E9" s="5" t="inlineStr">
        <is>
          <t>素案第10稿 第6章
追加調査報告書 06シート
保険料と施策評価の他団体比較（9シート）
推計資料（見える化の総括表）</t>
        </is>
      </c>
      <c r="F9" s="10" t="inlineStr">
        <is>
          <t>未着手</t>
        </is>
      </c>
      <c r="G9" s="17" t="n">
        <v>0.3</v>
      </c>
      <c r="H9" s="10" t="inlineStr">
        <is>
          <t>R8.12</t>
        </is>
      </c>
      <c r="I9" s="11" t="inlineStr">
        <is>
          <t>自然体推計の構造と補正手順は整理済み（追加調査報告書06シート）。令和6〜8年度の実績確定後に着手する。総人口・被保険者数を社人研推計とするか3町の総合計画等による推計に差し替えるかの決定が必要（確認No.14）</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素案第10稿（565段落98表34図）
修正指示書（66件）</t>
        </is>
      </c>
      <c r="F10" s="10" t="inlineStr">
        <is>
          <t>実施中</t>
        </is>
      </c>
      <c r="G10" s="17" t="n">
        <v>0.55</v>
      </c>
      <c r="H10" s="10" t="inlineStr">
        <is>
          <t>R9.2</t>
        </is>
      </c>
      <c r="I10" s="11" t="inlineStr">
        <is>
          <t>素案は第10稿まで作成済み。骨子案は素案に統合している。第6章の推計値が未確定のため素案は暫定。概要版は未着手。3町の第10期計画に共通指標を掲載する合意が未了（確認No.17）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0.6</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0.1</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0.35</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事業所実態調査・在宅介護実態調査が仕様書の対象外であり、H07・H08・H12・H16のデータ源が確保できない。取扱いの決定を要する（確認No.4）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貸与資料の受領と整理は先行実施済み。第9期計画の評価・検証は妥当性検証報告書（24シート）として先行して取りまとめ済み。キックオフ会議の日程が未確定</t>
        </is>
      </c>
      <c r="F5" s="8" t="inlineStr">
        <is>
          <t>実施中</t>
        </is>
      </c>
      <c r="G5" s="10" t="inlineStr"/>
      <c r="H5" s="10" t="inlineStr"/>
      <c r="I5" s="11" t="inlineStr"/>
      <c r="J5" s="5" t="inlineStr">
        <is>
          <t>キックオフ会議で、①事業所実態調査の取扱い、②工程の前倒しの可否、③委員会日程を決定いただきたい</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JAGES調査は分析済み。他3調査は第10期分の確定集計が未受領。介護給付実績分析・現状分析は見える化データにより先行実施済み（妥当性検証報告書・図表集）。人口推計は実績確定後</t>
        </is>
      </c>
      <c r="F6" s="8" t="inlineStr">
        <is>
          <t>実施中</t>
        </is>
      </c>
      <c r="G6" s="10" t="inlineStr"/>
      <c r="H6" s="10" t="inlineStr"/>
      <c r="I6" s="11" t="inlineStr"/>
      <c r="J6" s="5" t="inlineStr">
        <is>
          <t>3調査の確定集計の受領が前提。仕様書は9月に人口推計・現状分析を求めているが、令和6〜8年度の実績確定時期の確認を要する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t>
        </is>
      </c>
      <c r="E7" s="5" t="inlineStr">
        <is>
          <t>地域課題の整理は先行実施済み（妥当性検証報告書 主要所見20件）。骨子案は計画素案（第10稿）に統合して先行作成済み。将来推計は未着手</t>
        </is>
      </c>
      <c r="F7" s="12" t="inlineStr">
        <is>
          <t>未着手</t>
        </is>
      </c>
      <c r="G7" s="10" t="inlineStr"/>
      <c r="H7" s="10" t="inlineStr"/>
      <c r="I7" s="11" t="inlineStr"/>
      <c r="J7" s="5" t="inlineStr">
        <is>
          <t>骨子案を素案に統合してよいか、又は骨子案を別に作成するかの確認を要する</t>
        </is>
      </c>
    </row>
    <row r="8" ht="94" customHeight="1">
      <c r="A8" s="4" t="inlineStr">
        <is>
          <t>令和8年11月</t>
        </is>
      </c>
      <c r="B8" s="5" t="inlineStr">
        <is>
          <t>構成町意見反映、第10期計画骨子の整理</t>
        </is>
      </c>
      <c r="C8" s="4" t="inlineStr">
        <is>
          <t>(6)(7)</t>
        </is>
      </c>
      <c r="D8" s="5" t="inlineStr">
        <is>
          <t>・3町意見の整理表
・意見反映後の骨子</t>
        </is>
      </c>
      <c r="E8" s="5" t="inlineStr">
        <is>
          <t>3町との協議が前提。3町の第10期高齢者福祉計画の検討状況が未確認</t>
        </is>
      </c>
      <c r="F8" s="12" t="inlineStr">
        <is>
          <t>未着手</t>
        </is>
      </c>
      <c r="G8" s="10" t="inlineStr"/>
      <c r="H8" s="10" t="inlineStr"/>
      <c r="I8" s="11" t="inlineStr"/>
      <c r="J8" s="5" t="inlineStr">
        <is>
          <t>3町の計画策定の工程と担当課の確認が前提</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素案は第10稿まで作成済み（暫定）。見込量・保険料は将来推計の完了後に確定する</t>
        </is>
      </c>
      <c r="F9" s="12" t="inlineStr">
        <is>
          <t>未着手</t>
        </is>
      </c>
      <c r="G9" s="10" t="inlineStr"/>
      <c r="H9" s="10" t="inlineStr"/>
      <c r="I9" s="11" t="inlineStr"/>
      <c r="J9" s="5" t="inlineStr">
        <is>
          <t>基金残高・収納率実績・所得段階別被保険者数の受領が前提</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7月29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58"/>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v>
      </c>
      <c r="B5" s="4" t="inlineStr">
        <is>
          <t>(1)</t>
        </is>
      </c>
      <c r="C5" s="4" t="inlineStr">
        <is>
          <t>R8.8</t>
        </is>
      </c>
      <c r="D5" s="5" t="inlineStr">
        <is>
          <t>特別地域加算の対象地域告示</t>
        </is>
      </c>
      <c r="E5"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5" s="5" t="inlineStr">
        <is>
          <t>素案 第1章第9節
追加調査報告書 01シート</t>
        </is>
      </c>
      <c r="G5" s="5" t="inlineStr">
        <is>
          <t>北海道</t>
        </is>
      </c>
      <c r="H5" s="10" t="inlineStr">
        <is>
          <t>確認待ち</t>
        </is>
      </c>
      <c r="I5" s="10" t="inlineStr">
        <is>
          <t>R8.9</t>
        </is>
      </c>
      <c r="J5" s="11" t="inlineStr"/>
    </row>
    <row r="6" ht="88" customHeight="1">
      <c r="A6" s="4" t="n">
        <v>2</v>
      </c>
      <c r="B6" s="4" t="inlineStr">
        <is>
          <t>(1)</t>
        </is>
      </c>
      <c r="C6" s="4" t="inlineStr">
        <is>
          <t>R8.9</t>
        </is>
      </c>
      <c r="D6" s="5" t="inlineStr">
        <is>
          <t>特定地域の指定に係る意向表明の手続</t>
        </is>
      </c>
      <c r="E6"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6" s="5" t="inlineStr">
        <is>
          <t>素案 第1章第9節・第6章第4節</t>
        </is>
      </c>
      <c r="G6" s="5" t="inlineStr">
        <is>
          <t>北海道</t>
        </is>
      </c>
      <c r="H6" s="10" t="inlineStr">
        <is>
          <t>確認待ち</t>
        </is>
      </c>
      <c r="I6" s="10" t="inlineStr">
        <is>
          <t>R8.10</t>
        </is>
      </c>
      <c r="J6" s="11" t="inlineStr"/>
    </row>
    <row r="7" ht="88" customHeight="1">
      <c r="A7" s="4" t="n">
        <v>3</v>
      </c>
      <c r="B7" s="4" t="inlineStr">
        <is>
          <t>(4)</t>
        </is>
      </c>
      <c r="C7" s="4" t="inlineStr">
        <is>
          <t>R8.9</t>
        </is>
      </c>
      <c r="D7" s="5" t="inlineStr">
        <is>
          <t>類似保険者との比較分析の対象</t>
        </is>
      </c>
      <c r="E7"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7" s="5" t="inlineStr">
        <is>
          <t>素案 第2章第2節
分析資料</t>
        </is>
      </c>
      <c r="G7" s="5" t="inlineStr">
        <is>
          <t>発注者</t>
        </is>
      </c>
      <c r="H7" s="10" t="inlineStr">
        <is>
          <t>確認待ち</t>
        </is>
      </c>
      <c r="I7" s="10" t="inlineStr">
        <is>
          <t>R8.9</t>
        </is>
      </c>
      <c r="J7" s="11" t="inlineStr"/>
    </row>
    <row r="8" ht="88" customHeight="1">
      <c r="A8" s="4" t="n">
        <v>4</v>
      </c>
      <c r="B8" s="4" t="inlineStr">
        <is>
          <t>(12)</t>
        </is>
      </c>
      <c r="C8" s="4" t="inlineStr">
        <is>
          <t>R8.8</t>
        </is>
      </c>
      <c r="D8" s="5" t="inlineStr">
        <is>
          <t>事業所実態調査・在宅介護実態調査の取扱い</t>
        </is>
      </c>
      <c r="E8" s="5" t="inlineStr">
        <is>
          <t>仕様書４（3）の対象4調査に事業所実態調査・在宅介護実態調査が含まれておらず、「新たなアンケート調査の企画、設計、配布、回収、入力及び督促は行わない」とされている。一方、代表KPIのH07・H08・H12・H16はこれらをデータ源としている。調査クロス集計・分析の結果、H07（主介護者）・H08（支援者の不在）は健康とくらしの調査の大雪独自設問により算定できることが判明したが、指標の定義変更を伴う。H12・H16は事業所側の情報を要するため算定できない。①発注者が実施する、②代理指標へ振り替える、③指標から外す、のいずれかの決定を要する。</t>
        </is>
      </c>
      <c r="F8" s="5" t="inlineStr">
        <is>
          <t>素案 第4章第3節・資料1
全16KPIの4項目</t>
        </is>
      </c>
      <c r="G8" s="5" t="inlineStr">
        <is>
          <t>発注者</t>
        </is>
      </c>
      <c r="H8" s="10" t="inlineStr">
        <is>
          <t>確認待ち</t>
        </is>
      </c>
      <c r="I8" s="10" t="inlineStr">
        <is>
          <t>R8.8</t>
        </is>
      </c>
      <c r="J8" s="11" t="inlineStr"/>
    </row>
    <row r="9" ht="88" customHeight="1">
      <c r="A9" s="4" t="n">
        <v>5</v>
      </c>
      <c r="B9" s="4" t="inlineStr">
        <is>
          <t>(2)</t>
        </is>
      </c>
      <c r="C9" s="4" t="inlineStr">
        <is>
          <t>R8.8</t>
        </is>
      </c>
      <c r="D9" s="5" t="inlineStr">
        <is>
          <t>第9期の施策・事業実績</t>
        </is>
      </c>
      <c r="E9" s="5" t="inlineStr">
        <is>
          <t>第9期計画（令和6〜8年度）の施策・事業実績、事業量、対象実人数、予算・決算。19施策の達成度を判定するために必要。</t>
        </is>
      </c>
      <c r="F9" s="5" t="inlineStr">
        <is>
          <t>素案 第3章第5節
妥当性検証報告書 12シート</t>
        </is>
      </c>
      <c r="G9" s="5" t="inlineStr">
        <is>
          <t>発注者</t>
        </is>
      </c>
      <c r="H9" s="10" t="inlineStr">
        <is>
          <t>確認待ち</t>
        </is>
      </c>
      <c r="I9" s="10" t="inlineStr">
        <is>
          <t>R8.8</t>
        </is>
      </c>
      <c r="J9" s="11" t="inlineStr"/>
    </row>
    <row r="10" ht="88" customHeight="1">
      <c r="A10" s="4" t="n">
        <v>6</v>
      </c>
      <c r="B10" s="4" t="inlineStr">
        <is>
          <t>(2)</t>
        </is>
      </c>
      <c r="C10" s="4" t="inlineStr">
        <is>
          <t>R8.8</t>
        </is>
      </c>
      <c r="D10" s="5" t="inlineStr">
        <is>
          <t>交付金の評価調書</t>
        </is>
      </c>
      <c r="E10"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 s="5" t="inlineStr">
        <is>
          <t>素案 第3章第4節
追加調査報告書 02シート</t>
        </is>
      </c>
      <c r="G10" s="5" t="inlineStr">
        <is>
          <t>発注者</t>
        </is>
      </c>
      <c r="H10" s="10" t="inlineStr">
        <is>
          <t>確認待ち</t>
        </is>
      </c>
      <c r="I10" s="10" t="inlineStr">
        <is>
          <t>R8.9</t>
        </is>
      </c>
      <c r="J10" s="11" t="inlineStr"/>
    </row>
    <row r="11" ht="88" customHeight="1">
      <c r="A11" s="4" t="n">
        <v>7</v>
      </c>
      <c r="B11" s="4" t="inlineStr">
        <is>
          <t>(2)</t>
        </is>
      </c>
      <c r="C11" s="4" t="inlineStr">
        <is>
          <t>R8.8</t>
        </is>
      </c>
      <c r="D11" s="5" t="inlineStr">
        <is>
          <t>第9期の自己評価と北海道への報告の実績</t>
        </is>
      </c>
      <c r="E11" s="5" t="inlineStr">
        <is>
          <t>第9期計画の代表KPIについて令和6・7年度に実績を算定した資料の有無、運営協議会への報告の有無と議事録、及び介護保険法第117条に基づく北海道への報告の実績。</t>
        </is>
      </c>
      <c r="F11" s="5" t="inlineStr">
        <is>
          <t>素案 第1章第6節・第3章第4節</t>
        </is>
      </c>
      <c r="G11" s="5" t="inlineStr">
        <is>
          <t>発注者</t>
        </is>
      </c>
      <c r="H11" s="10" t="inlineStr">
        <is>
          <t>確認待ち</t>
        </is>
      </c>
      <c r="I11" s="10" t="inlineStr">
        <is>
          <t>R8.9</t>
        </is>
      </c>
      <c r="J11" s="11" t="inlineStr"/>
    </row>
    <row r="12" ht="88" customHeight="1">
      <c r="A12" s="4" t="n">
        <v>8</v>
      </c>
      <c r="B12" s="4" t="inlineStr">
        <is>
          <t>(3)</t>
        </is>
      </c>
      <c r="C12" s="4" t="inlineStr">
        <is>
          <t>R8.8</t>
        </is>
      </c>
      <c r="D12" s="5" t="inlineStr">
        <is>
          <t>3調査の確定集計</t>
        </is>
      </c>
      <c r="E12" s="5" t="inlineStr">
        <is>
          <t>在宅生活改善調査・居所変更実態調査・介護人材実態調査（第10期分）の調査票、回答データ（Excel、CSV等）、集計資料、分析資料及び報告書。仕様書４（3）は契約締結後に貸与するとしている。</t>
        </is>
      </c>
      <c r="F12" s="5" t="inlineStr">
        <is>
          <t>素案 第2章第5・6節
H06・H11・H13・H14の基準値</t>
        </is>
      </c>
      <c r="G12" s="5" t="inlineStr">
        <is>
          <t>発注者</t>
        </is>
      </c>
      <c r="H12" s="10" t="inlineStr">
        <is>
          <t>確認待ち</t>
        </is>
      </c>
      <c r="I12" s="10" t="inlineStr">
        <is>
          <t>R8.8</t>
        </is>
      </c>
      <c r="J12" s="11" t="inlineStr"/>
    </row>
    <row r="13" ht="88" customHeight="1">
      <c r="A13" s="4" t="n">
        <v>9</v>
      </c>
      <c r="B13" s="4" t="inlineStr">
        <is>
          <t>(3)</t>
        </is>
      </c>
      <c r="C13" s="4" t="inlineStr">
        <is>
          <t>R8.9</t>
        </is>
      </c>
      <c r="D13" s="5" t="inlineStr">
        <is>
          <t>調査の対象者範囲と回収率</t>
        </is>
      </c>
      <c r="E13" s="5" t="inlineStr">
        <is>
          <t>4調査の対象者の範囲（要介護度、年齢、居所等）、配布数、回収数、回収率。標本規模に応じた分析の深度（クロス集計の可否）の判断に必要。</t>
        </is>
      </c>
      <c r="F13" s="5" t="inlineStr">
        <is>
          <t>素案 第2章第4〜6節
クロス集計表</t>
        </is>
      </c>
      <c r="G13" s="5" t="inlineStr">
        <is>
          <t>発注者</t>
        </is>
      </c>
      <c r="H13" s="10" t="inlineStr">
        <is>
          <t>確認待ち</t>
        </is>
      </c>
      <c r="I13" s="10" t="inlineStr">
        <is>
          <t>R8.9</t>
        </is>
      </c>
      <c r="J13" s="11" t="inlineStr"/>
    </row>
    <row r="14" ht="88" customHeight="1">
      <c r="A14" s="4" t="n">
        <v>10</v>
      </c>
      <c r="B14" s="4" t="inlineStr">
        <is>
          <t>(3)</t>
        </is>
      </c>
      <c r="C14" s="4" t="inlineStr">
        <is>
          <t>R8.9</t>
        </is>
      </c>
      <c r="D14" s="5" t="inlineStr">
        <is>
          <t>介護人材実態調査の採用者数・退職者数</t>
        </is>
      </c>
      <c r="E14" s="5" t="inlineStr">
        <is>
          <t>北海道の評価指標⑥と同じ「採用率と離職率の差」を算定するため、各年9月30日現在の在籍者数と、年間の採用者数・退職者数。H14の基準値となる。</t>
        </is>
      </c>
      <c r="F14" s="5" t="inlineStr">
        <is>
          <t>素案 第4章第3節
H14の基準値</t>
        </is>
      </c>
      <c r="G14" s="5" t="inlineStr">
        <is>
          <t>発注者</t>
        </is>
      </c>
      <c r="H14" s="10" t="inlineStr">
        <is>
          <t>確認待ち</t>
        </is>
      </c>
      <c r="I14" s="10" t="inlineStr">
        <is>
          <t>R8.9</t>
        </is>
      </c>
      <c r="J14" s="11" t="inlineStr"/>
    </row>
    <row r="15" ht="88" customHeight="1">
      <c r="A15" s="4" t="n">
        <v>11</v>
      </c>
      <c r="B15" s="4" t="inlineStr">
        <is>
          <t>(4)</t>
        </is>
      </c>
      <c r="C15" s="4" t="inlineStr">
        <is>
          <t>R8.9</t>
        </is>
      </c>
      <c r="D15" s="5" t="inlineStr">
        <is>
          <t>町別の人口・世帯データ</t>
        </is>
      </c>
      <c r="E15"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5" s="5" t="inlineStr">
        <is>
          <t>素案 第2章第1節
図1・図2・図3</t>
        </is>
      </c>
      <c r="G15" s="5" t="inlineStr">
        <is>
          <t>発注者・3町</t>
        </is>
      </c>
      <c r="H15" s="10" t="inlineStr">
        <is>
          <t>確認待ち</t>
        </is>
      </c>
      <c r="I15" s="10" t="inlineStr">
        <is>
          <t>R8.9</t>
        </is>
      </c>
      <c r="J15" s="11" t="inlineStr"/>
    </row>
    <row r="16" ht="88" customHeight="1">
      <c r="A16" s="4" t="n">
        <v>12</v>
      </c>
      <c r="B16" s="4" t="inlineStr">
        <is>
          <t>(4)</t>
        </is>
      </c>
      <c r="C16" s="4" t="inlineStr">
        <is>
          <t>R8.9</t>
        </is>
      </c>
      <c r="D16" s="5" t="inlineStr">
        <is>
          <t>日常生活圏域別のデータ</t>
        </is>
      </c>
      <c r="E16"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6" s="5" t="inlineStr">
        <is>
          <t>素案 第1章第7節・第2章
圏域別分析資料
調査クロス集計・分析 01・18シート</t>
        </is>
      </c>
      <c r="G16" s="5" t="inlineStr">
        <is>
          <t>発注者・3町</t>
        </is>
      </c>
      <c r="H16" s="10" t="inlineStr">
        <is>
          <t>確認待ち</t>
        </is>
      </c>
      <c r="I16" s="10" t="inlineStr">
        <is>
          <t>R8.9</t>
        </is>
      </c>
      <c r="J16" s="11" t="inlineStr"/>
    </row>
    <row r="17" ht="88" customHeight="1">
      <c r="A17" s="4" t="n">
        <v>13</v>
      </c>
      <c r="B17" s="4" t="inlineStr">
        <is>
          <t>(4)</t>
        </is>
      </c>
      <c r="C17" s="4" t="inlineStr">
        <is>
          <t>R8.9</t>
        </is>
      </c>
      <c r="D17" s="5" t="inlineStr">
        <is>
          <t>訪問・通所困難地域の判定資料</t>
        </is>
      </c>
      <c r="E17" s="5" t="inlineStr">
        <is>
          <t>①区域内で訪問系・通所系サービスを提供する全事業所の運営規程における「通常の事業の実施地域」（居宅サービスは北海道、地域密着型は広域連合が保有）、②中山間地域等居住者サービス提供加算・特別地域加算の算定事業所と件数、③3町の除雪計画における優先路線と冬期の通行支障の実績。</t>
        </is>
      </c>
      <c r="F17" s="5" t="inlineStr">
        <is>
          <t>素案 第1章第7節
追加調査報告書 03シート</t>
        </is>
      </c>
      <c r="G17" s="5" t="inlineStr">
        <is>
          <t>発注者・3町・北海道</t>
        </is>
      </c>
      <c r="H17" s="10" t="inlineStr">
        <is>
          <t>確認待ち</t>
        </is>
      </c>
      <c r="I17" s="10" t="inlineStr">
        <is>
          <t>R8.10</t>
        </is>
      </c>
      <c r="J17" s="11" t="inlineStr"/>
    </row>
    <row r="18" ht="88" customHeight="1">
      <c r="A18" s="4" t="n">
        <v>14</v>
      </c>
      <c r="B18" s="4" t="inlineStr">
        <is>
          <t>(5)</t>
        </is>
      </c>
      <c r="C18" s="4" t="inlineStr">
        <is>
          <t>R8.10</t>
        </is>
      </c>
      <c r="D18" s="5" t="inlineStr">
        <is>
          <t>人口推計の基礎とする系列</t>
        </is>
      </c>
      <c r="E18"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8" s="5" t="inlineStr">
        <is>
          <t>素案 第6章第1節
将来推計</t>
        </is>
      </c>
      <c r="G18" s="5" t="inlineStr">
        <is>
          <t>発注者・3町</t>
        </is>
      </c>
      <c r="H18" s="10" t="inlineStr">
        <is>
          <t>確認待ち</t>
        </is>
      </c>
      <c r="I18" s="10" t="inlineStr">
        <is>
          <t>R8.10</t>
        </is>
      </c>
      <c r="J18" s="11" t="inlineStr"/>
    </row>
    <row r="19" ht="88" customHeight="1">
      <c r="A19" s="4" t="n">
        <v>15</v>
      </c>
      <c r="B19" s="4" t="inlineStr">
        <is>
          <t>(5)</t>
        </is>
      </c>
      <c r="C19" s="4" t="inlineStr">
        <is>
          <t>R8.10</t>
        </is>
      </c>
      <c r="D19" s="5" t="inlineStr">
        <is>
          <t>認定者数の基準月と月次推移</t>
        </is>
      </c>
      <c r="E19" s="5" t="inlineStr">
        <is>
          <t>令和3〜8年度の各月の認定者数。推計ガイドは9月末を目安としつつ「年度内平均値に近い月を選択する」としているため、当広域連合の月次推移を確認して基準月を選定する。</t>
        </is>
      </c>
      <c r="F19" s="5" t="inlineStr">
        <is>
          <t>素案 第6章第1節
将来推計</t>
        </is>
      </c>
      <c r="G19" s="5" t="inlineStr">
        <is>
          <t>発注者</t>
        </is>
      </c>
      <c r="H19" s="10" t="inlineStr">
        <is>
          <t>確認待ち</t>
        </is>
      </c>
      <c r="I19" s="10" t="inlineStr">
        <is>
          <t>R8.10</t>
        </is>
      </c>
      <c r="J19" s="11" t="inlineStr"/>
    </row>
    <row r="20" ht="88" customHeight="1">
      <c r="A20" s="4" t="n">
        <v>16</v>
      </c>
      <c r="B20" s="4" t="inlineStr">
        <is>
          <t>(5)</t>
        </is>
      </c>
      <c r="C20" s="4" t="inlineStr">
        <is>
          <t>R8.11</t>
        </is>
      </c>
      <c r="D20" s="5" t="inlineStr">
        <is>
          <t>保険料算定の前提</t>
        </is>
      </c>
      <c r="E20" s="5" t="inlineStr">
        <is>
          <t>①介護給付費準備基金の残高推移と取崩実績（第7期〜第9期）、②保険料収納率の実績（第7期〜第9期）、③所得段階別被保険者数、④地域支援事業費の区分別内訳（総合事業・包括的支援事業・任意事業）。</t>
        </is>
      </c>
      <c r="F20" s="5" t="inlineStr">
        <is>
          <t>素案 第6章第3節・第6節
保険料算定表</t>
        </is>
      </c>
      <c r="G20" s="5" t="inlineStr">
        <is>
          <t>発注者</t>
        </is>
      </c>
      <c r="H20" s="10" t="inlineStr">
        <is>
          <t>確認待ち</t>
        </is>
      </c>
      <c r="I20" s="10" t="inlineStr">
        <is>
          <t>R8.11</t>
        </is>
      </c>
      <c r="J20" s="11" t="inlineStr"/>
    </row>
    <row r="21" ht="88" customHeight="1">
      <c r="A21" s="4" t="n">
        <v>17</v>
      </c>
      <c r="B21" s="4" t="inlineStr">
        <is>
          <t>(6)</t>
        </is>
      </c>
      <c r="C21" s="4" t="inlineStr">
        <is>
          <t>R8.10</t>
        </is>
      </c>
      <c r="D21" s="5" t="inlineStr">
        <is>
          <t>3町計画への共通指標の掲載</t>
        </is>
      </c>
      <c r="E21" s="5" t="inlineStr">
        <is>
          <t>第9期は3町の高齢者福祉計画に数値目標が1件も設定されておらず、広域連合の代表KPIの検証への参画を明記していたのは東川町のみであった。第10期では3町の計画に共通指標を掲載していただく合意が、資料2の実効性の前提となる。あわせて3町の第10期計画の検討資料、策定工程、担当課の確認。</t>
        </is>
      </c>
      <c r="F21" s="5" t="inlineStr">
        <is>
          <t>素案 資料2
3町協議資料</t>
        </is>
      </c>
      <c r="G21" s="5" t="inlineStr">
        <is>
          <t>発注者・3町</t>
        </is>
      </c>
      <c r="H21" s="10" t="inlineStr">
        <is>
          <t>確認待ち</t>
        </is>
      </c>
      <c r="I21" s="10" t="inlineStr">
        <is>
          <t>R8.10</t>
        </is>
      </c>
      <c r="J21" s="11" t="inlineStr"/>
    </row>
    <row r="22" ht="88" customHeight="1">
      <c r="A22" s="4" t="n">
        <v>18</v>
      </c>
      <c r="B22" s="4" t="inlineStr">
        <is>
          <t>(6)</t>
        </is>
      </c>
      <c r="C22" s="4" t="inlineStr">
        <is>
          <t>R8.10</t>
        </is>
      </c>
      <c r="D22" s="5" t="inlineStr">
        <is>
          <t>骨子案の取扱い</t>
        </is>
      </c>
      <c r="E22" s="5" t="inlineStr">
        <is>
          <t>仕様書は骨子案・計画素案・計画最終案・概要版原稿の作成を求めている。現在、骨子案の内容は計画素案（第10稿）に統合して先行作成しているが、骨子案を別に作成する必要があるかの確認。</t>
        </is>
      </c>
      <c r="F22" s="5" t="inlineStr">
        <is>
          <t>骨子案</t>
        </is>
      </c>
      <c r="G22" s="5" t="inlineStr">
        <is>
          <t>発注者</t>
        </is>
      </c>
      <c r="H22" s="10" t="inlineStr">
        <is>
          <t>確認待ち</t>
        </is>
      </c>
      <c r="I22" s="10" t="inlineStr">
        <is>
          <t>R8.9</t>
        </is>
      </c>
      <c r="J22" s="11" t="inlineStr"/>
    </row>
    <row r="23" ht="88" customHeight="1">
      <c r="A23" s="4" t="n">
        <v>19</v>
      </c>
      <c r="B23" s="4" t="inlineStr">
        <is>
          <t>(8)(9)</t>
        </is>
      </c>
      <c r="C23" s="4" t="inlineStr">
        <is>
          <t>R8.8</t>
        </is>
      </c>
      <c r="D23" s="5" t="inlineStr">
        <is>
          <t>会議日程とパブリックコメントの期間</t>
        </is>
      </c>
      <c r="E23" s="5" t="inlineStr">
        <is>
          <t>①介護保険事業計画策定委員会（運営協議会）の開催日程、審議事項、資料提出期限、②パブリックコメントの実施期間、③町別値・少数値の公表基準。工程の確定と資料作成の逆算に必要。</t>
        </is>
      </c>
      <c r="F23" s="5" t="inlineStr">
        <is>
          <t>委員会資料原案
パブリックコメント資料</t>
        </is>
      </c>
      <c r="G23" s="5" t="inlineStr">
        <is>
          <t>発注者</t>
        </is>
      </c>
      <c r="H23" s="10" t="inlineStr">
        <is>
          <t>確認待ち</t>
        </is>
      </c>
      <c r="I23" s="10" t="inlineStr">
        <is>
          <t>R8.8</t>
        </is>
      </c>
      <c r="J23" s="11" t="inlineStr"/>
    </row>
    <row r="24" ht="88" customHeight="1">
      <c r="A24" s="4" t="n">
        <v>20</v>
      </c>
      <c r="B24" s="4" t="inlineStr">
        <is>
          <t>(8)</t>
        </is>
      </c>
      <c r="C24" s="4" t="inlineStr">
        <is>
          <t>R8.9</t>
        </is>
      </c>
      <c r="D24" s="5" t="inlineStr">
        <is>
          <t>北海道・圏域との調整の場</t>
        </is>
      </c>
      <c r="E24" s="5" t="inlineStr">
        <is>
          <t>上川中部高齢者保健福祉圏域に関する北海道の調整方針、圏域連絡協議会の資料、及び圏域単位の協議の場の設置予定。24時間対応サービスの確保方策（第6章第4節）の検討に必要。</t>
        </is>
      </c>
      <c r="F24" s="5" t="inlineStr">
        <is>
          <t>素案 第6章第4節</t>
        </is>
      </c>
      <c r="G24" s="5" t="inlineStr">
        <is>
          <t>発注者・北海道</t>
        </is>
      </c>
      <c r="H24" s="10" t="inlineStr">
        <is>
          <t>確認待ち</t>
        </is>
      </c>
      <c r="I24" s="10" t="inlineStr">
        <is>
          <t>R8.10</t>
        </is>
      </c>
      <c r="J24" s="11" t="inlineStr"/>
    </row>
    <row r="25" ht="88" customHeight="1">
      <c r="A25" s="4" t="n">
        <v>21</v>
      </c>
      <c r="B25" s="4" t="inlineStr">
        <is>
          <t>(10)</t>
        </is>
      </c>
      <c r="C25" s="4" t="inlineStr">
        <is>
          <t>R8.10</t>
        </is>
      </c>
      <c r="D25" s="5" t="inlineStr">
        <is>
          <t>成果品の仕様</t>
        </is>
      </c>
      <c r="E25" s="5" t="inlineStr">
        <is>
          <t>①本文100頁程度に対する章別のページ配分、②図表の本文掲載点数の上限、③概要版の頁数と体裁、④印刷・製本の入稿期限。図表集は33シート133点あり、本文に何点まで掲載するかの決定を要する。</t>
        </is>
      </c>
      <c r="F25" s="5" t="inlineStr">
        <is>
          <t>計画書（印刷200部）
概要版</t>
        </is>
      </c>
      <c r="G25" s="5" t="inlineStr">
        <is>
          <t>発注者</t>
        </is>
      </c>
      <c r="H25" s="10" t="inlineStr">
        <is>
          <t>確認待ち</t>
        </is>
      </c>
      <c r="I25" s="10" t="inlineStr">
        <is>
          <t>R8.10</t>
        </is>
      </c>
      <c r="J25" s="11" t="inlineStr"/>
    </row>
    <row r="26" ht="88" customHeight="1">
      <c r="A26" s="4" t="n">
        <v>22</v>
      </c>
      <c r="B26" s="4" t="inlineStr">
        <is>
          <t>(1)</t>
        </is>
      </c>
      <c r="C26" s="4" t="inlineStr">
        <is>
          <t>R8.9</t>
        </is>
      </c>
      <c r="D26" s="5" t="inlineStr">
        <is>
          <t>北海道の評価指標の読替えの考え方</t>
        </is>
      </c>
      <c r="E26"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26" s="5" t="inlineStr">
        <is>
          <t>素案 第1章第6節
追加調査報告書 04シート</t>
        </is>
      </c>
      <c r="G26" s="5" t="inlineStr">
        <is>
          <t>発注者・北海道</t>
        </is>
      </c>
      <c r="H26" s="10" t="inlineStr">
        <is>
          <t>確認待ち</t>
        </is>
      </c>
      <c r="I26" s="10" t="inlineStr">
        <is>
          <t>R8.9</t>
        </is>
      </c>
      <c r="J26" s="11" t="inlineStr"/>
    </row>
    <row r="27" ht="88" customHeight="1">
      <c r="A27" s="4" t="n">
        <v>23</v>
      </c>
      <c r="B27" s="4" t="inlineStr">
        <is>
          <t>(2)</t>
        </is>
      </c>
      <c r="C27" s="4" t="inlineStr">
        <is>
          <t>R8.9</t>
        </is>
      </c>
      <c r="D27" s="5" t="inlineStr">
        <is>
          <t>事業所の定員・稼働率データ</t>
        </is>
      </c>
      <c r="E27"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27" s="5" t="inlineStr">
        <is>
          <t>素案 第2章第3節・第6章第4節
図21・図22</t>
        </is>
      </c>
      <c r="G27" s="5" t="inlineStr">
        <is>
          <t>発注者・3町</t>
        </is>
      </c>
      <c r="H27" s="10" t="inlineStr">
        <is>
          <t>確認待ち</t>
        </is>
      </c>
      <c r="I27" s="10" t="inlineStr">
        <is>
          <t>R8.10</t>
        </is>
      </c>
      <c r="J27" s="11" t="inlineStr"/>
    </row>
    <row r="28" ht="88" customHeight="1">
      <c r="A28" s="4" t="n">
        <v>24</v>
      </c>
      <c r="B28" s="4" t="inlineStr">
        <is>
          <t>(6)</t>
        </is>
      </c>
      <c r="C28" s="4" t="inlineStr">
        <is>
          <t>R8.11</t>
        </is>
      </c>
      <c r="D28" s="5" t="inlineStr">
        <is>
          <t>24時間対応サービスの確保方策の決定</t>
        </is>
      </c>
      <c r="E28"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28" s="5" t="inlineStr">
        <is>
          <t>素案 第6章第2節・第4節
見込量表（3種別）</t>
        </is>
      </c>
      <c r="G28" s="5" t="inlineStr">
        <is>
          <t>発注者</t>
        </is>
      </c>
      <c r="H28" s="10" t="inlineStr">
        <is>
          <t>確認待ち</t>
        </is>
      </c>
      <c r="I28" s="10" t="inlineStr">
        <is>
          <t>R8.11</t>
        </is>
      </c>
      <c r="J28" s="11" t="inlineStr"/>
    </row>
    <row r="29" ht="88" customHeight="1">
      <c r="A29" s="4" t="n">
        <v>25</v>
      </c>
      <c r="B29" s="4" t="inlineStr">
        <is>
          <t>(6)</t>
        </is>
      </c>
      <c r="C29" s="4" t="inlineStr">
        <is>
          <t>R8.11</t>
        </is>
      </c>
      <c r="D29" s="5" t="inlineStr">
        <is>
          <t>代表KPIの目標値の決定</t>
        </is>
      </c>
      <c r="E29"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29" s="5" t="inlineStr">
        <is>
          <t>素案 第4章第3節・第5章
全16KPIの目標値</t>
        </is>
      </c>
      <c r="G29" s="5" t="inlineStr">
        <is>
          <t>発注者</t>
        </is>
      </c>
      <c r="H29" s="10" t="inlineStr">
        <is>
          <t>確認待ち</t>
        </is>
      </c>
      <c r="I29" s="10" t="inlineStr">
        <is>
          <t>R8.12</t>
        </is>
      </c>
      <c r="J29" s="11" t="inlineStr"/>
    </row>
    <row r="30" ht="88" customHeight="1">
      <c r="A30" s="4" t="n">
        <v>26</v>
      </c>
      <c r="B30" s="4" t="inlineStr">
        <is>
          <t>(4)</t>
        </is>
      </c>
      <c r="C30" s="4" t="inlineStr">
        <is>
          <t>R8.10</t>
        </is>
      </c>
      <c r="D30" s="5" t="inlineStr">
        <is>
          <t>認知症・医療介護連携の実績データ</t>
        </is>
      </c>
      <c r="E30"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30" s="5" t="inlineStr">
        <is>
          <t>素案 第5章 基本目標1・5
図表集 認知症・医療連携</t>
        </is>
      </c>
      <c r="G30" s="5" t="inlineStr">
        <is>
          <t>発注者・3町・北海道</t>
        </is>
      </c>
      <c r="H30" s="10" t="inlineStr">
        <is>
          <t>確認待ち</t>
        </is>
      </c>
      <c r="I30" s="10" t="inlineStr">
        <is>
          <t>R8.10</t>
        </is>
      </c>
      <c r="J30" s="11" t="inlineStr"/>
    </row>
    <row r="31" ht="88" customHeight="1">
      <c r="A31" s="4" t="n">
        <v>27</v>
      </c>
      <c r="B31" s="4" t="inlineStr">
        <is>
          <t>(3)</t>
        </is>
      </c>
      <c r="C31" s="4" t="inlineStr">
        <is>
          <t>R8.9</t>
        </is>
      </c>
      <c r="D31" s="5" t="inlineStr">
        <is>
          <t>令和4年度 健康とくらしの調査の集計表</t>
        </is>
      </c>
      <c r="E31"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31" s="5" t="inlineStr">
        <is>
          <t>調査クロス集計・分析 14シート
素案 第2章第4節</t>
        </is>
      </c>
      <c r="G31" s="5" t="inlineStr">
        <is>
          <t>発注者</t>
        </is>
      </c>
      <c r="H31" s="10" t="inlineStr">
        <is>
          <t>確認待ち</t>
        </is>
      </c>
      <c r="I31" s="10" t="inlineStr">
        <is>
          <t>R8.9</t>
        </is>
      </c>
      <c r="J31" s="11" t="inlineStr"/>
    </row>
    <row r="32" ht="88" customHeight="1">
      <c r="A32" s="4" t="n">
        <v>28</v>
      </c>
      <c r="B32" s="4" t="inlineStr">
        <is>
          <t>(3)</t>
        </is>
      </c>
      <c r="C32" s="4" t="inlineStr">
        <is>
          <t>R8.9</t>
        </is>
      </c>
      <c r="D32" s="5" t="inlineStr">
        <is>
          <t>調査対象者の範囲の確認</t>
        </is>
      </c>
      <c r="E32"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32" s="5" t="inlineStr">
        <is>
          <t>調査クロス集計・分析 13・14シート
H06・H11の基準値</t>
        </is>
      </c>
      <c r="G32" s="5" t="inlineStr">
        <is>
          <t>発注者</t>
        </is>
      </c>
      <c r="H32" s="10" t="inlineStr">
        <is>
          <t>確認待ち</t>
        </is>
      </c>
      <c r="I32" s="10" t="inlineStr">
        <is>
          <t>R8.9</t>
        </is>
      </c>
      <c r="J32" s="11" t="inlineStr"/>
    </row>
    <row r="33" ht="88" customHeight="1">
      <c r="A33" s="4" t="n">
        <v>29</v>
      </c>
      <c r="B33" s="4" t="inlineStr">
        <is>
          <t>(5)</t>
        </is>
      </c>
      <c r="C33" s="4" t="inlineStr">
        <is>
          <t>R8.10</t>
        </is>
      </c>
      <c r="D33" s="5" t="inlineStr">
        <is>
          <t>重度化の速度の前提</t>
        </is>
      </c>
      <c r="E33"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33" s="5" t="inlineStr">
        <is>
          <t>素案 第6章第1節
認定者数・給付費の推計</t>
        </is>
      </c>
      <c r="G33" s="5" t="inlineStr">
        <is>
          <t>発注者</t>
        </is>
      </c>
      <c r="H33" s="10" t="inlineStr">
        <is>
          <t>確認待ち</t>
        </is>
      </c>
      <c r="I33" s="10" t="inlineStr">
        <is>
          <t>R8.10</t>
        </is>
      </c>
      <c r="J33" s="11" t="inlineStr"/>
    </row>
    <row r="34" ht="88" customHeight="1">
      <c r="A34" s="4" t="n">
        <v>30</v>
      </c>
      <c r="B34" s="4" t="inlineStr">
        <is>
          <t>(5)</t>
        </is>
      </c>
      <c r="C34" s="4" t="inlineStr">
        <is>
          <t>R8.10</t>
        </is>
      </c>
      <c r="D34" s="5" t="inlineStr">
        <is>
          <t>施設入所者と在宅者を分けた要介護度の変化</t>
        </is>
      </c>
      <c r="E34"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34" s="5" t="inlineStr">
        <is>
          <t>重度化の速度の前提
保険料と施策評価の他団体比較 05シート</t>
        </is>
      </c>
      <c r="G34" s="5" t="inlineStr">
        <is>
          <t>発注者</t>
        </is>
      </c>
      <c r="H34" s="10" t="inlineStr">
        <is>
          <t>確認待ち</t>
        </is>
      </c>
      <c r="I34" s="10" t="inlineStr">
        <is>
          <t>R8.10</t>
        </is>
      </c>
      <c r="J34" s="11" t="inlineStr"/>
    </row>
    <row r="35" ht="88" customHeight="1">
      <c r="A35" s="4" t="n">
        <v>31</v>
      </c>
      <c r="B35" s="4" t="inlineStr">
        <is>
          <t>(5)</t>
        </is>
      </c>
      <c r="C35" s="4" t="inlineStr">
        <is>
          <t>R8.10</t>
        </is>
      </c>
      <c r="D35" s="5" t="inlineStr">
        <is>
          <t>給付適正化の実施予定と推計での扱い</t>
        </is>
      </c>
      <c r="E35"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35" s="5" t="inlineStr">
        <is>
          <t>素案 第6章第2節・第5章・第7章
給付費の推計</t>
        </is>
      </c>
      <c r="G35" s="5" t="inlineStr">
        <is>
          <t>発注者</t>
        </is>
      </c>
      <c r="H35" s="10" t="inlineStr">
        <is>
          <t>確認待ち</t>
        </is>
      </c>
      <c r="I35" s="10" t="inlineStr">
        <is>
          <t>R8.10</t>
        </is>
      </c>
      <c r="J35" s="11" t="inlineStr"/>
    </row>
    <row r="36" ht="88" customHeight="1">
      <c r="A36" s="4" t="n">
        <v>32</v>
      </c>
      <c r="B36" s="4" t="inlineStr">
        <is>
          <t>(2)</t>
        </is>
      </c>
      <c r="C36" s="4" t="inlineStr">
        <is>
          <t>R8.9</t>
        </is>
      </c>
      <c r="D36" s="5" t="inlineStr">
        <is>
          <t>第7期の保険料基準額</t>
        </is>
      </c>
      <c r="E36" s="5" t="inlineStr">
        <is>
          <t>見える化システムの値は6,077円であるが、計画素案の第9稿までは5,900円としていた。剰余の累計＋159円／月は6,077円を前提としたときにのみ整合する（(6,077－6,024)×3＝159）。条例による第7期の基準額の確認を要する。</t>
        </is>
      </c>
      <c r="F36" s="5" t="inlineStr">
        <is>
          <t>素案 第6章第6節
保険料の推移</t>
        </is>
      </c>
      <c r="G36" s="5" t="inlineStr">
        <is>
          <t>発注者</t>
        </is>
      </c>
      <c r="H36" s="10" t="inlineStr">
        <is>
          <t>確認待ち</t>
        </is>
      </c>
      <c r="I36" s="10" t="inlineStr">
        <is>
          <t>R8.9</t>
        </is>
      </c>
      <c r="J36" s="11" t="inlineStr"/>
    </row>
    <row r="37" ht="88" customHeight="1">
      <c r="A37" s="4" t="n">
        <v>33</v>
      </c>
      <c r="B37" s="4" t="inlineStr">
        <is>
          <t>(5)</t>
        </is>
      </c>
      <c r="C37" s="4" t="inlineStr">
        <is>
          <t>R8.10</t>
        </is>
      </c>
      <c r="D37" s="5" t="inlineStr">
        <is>
          <t>第10期の政令改正の内容（所得段階）</t>
        </is>
      </c>
      <c r="E37"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37" s="5" t="inlineStr">
        <is>
          <t>第10期の段階設計
保険料の算定</t>
        </is>
      </c>
      <c r="G37" s="5" t="inlineStr">
        <is>
          <t>国の情報</t>
        </is>
      </c>
      <c r="H37" s="10" t="inlineStr">
        <is>
          <t>確認待ち</t>
        </is>
      </c>
      <c r="I37" s="10" t="inlineStr">
        <is>
          <t>告示後</t>
        </is>
      </c>
      <c r="J37" s="11" t="inlineStr"/>
    </row>
    <row r="38" ht="88" customHeight="1">
      <c r="A38" s="4" t="n">
        <v>34</v>
      </c>
      <c r="B38" s="4" t="inlineStr">
        <is>
          <t>(2)</t>
        </is>
      </c>
      <c r="C38" s="4" t="inlineStr">
        <is>
          <t>R8.10</t>
        </is>
      </c>
      <c r="D38" s="5" t="inlineStr">
        <is>
          <t>第9段階の乗率の経緯</t>
        </is>
      </c>
      <c r="E38"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38" s="5" t="inlineStr">
        <is>
          <t>第10期の段階設計
保険料の所得段階と低所得者軽減の検証 08シート</t>
        </is>
      </c>
      <c r="G38" s="5" t="inlineStr">
        <is>
          <t>発注者</t>
        </is>
      </c>
      <c r="H38" s="10" t="inlineStr">
        <is>
          <t>確認待ち</t>
        </is>
      </c>
      <c r="I38" s="10" t="inlineStr">
        <is>
          <t>R8.10</t>
        </is>
      </c>
      <c r="J38" s="11" t="inlineStr"/>
    </row>
    <row r="39" ht="88" customHeight="1">
      <c r="A39" s="4" t="n">
        <v>35</v>
      </c>
      <c r="B39" s="4" t="inlineStr">
        <is>
          <t>(4)</t>
        </is>
      </c>
      <c r="C39" s="4" t="inlineStr">
        <is>
          <t>R8.10</t>
        </is>
      </c>
      <c r="D39" s="5" t="inlineStr">
        <is>
          <t>上川管内の保険者の所得段階数と乗率</t>
        </is>
      </c>
      <c r="E39" s="5" t="inlineStr">
        <is>
          <t>上川管内21保険者の第9期の所得段階数と乗率。多段階化の状況を比較するために必要。北海道の資料又は各保険者の保険料条例による。</t>
        </is>
      </c>
      <c r="F39" s="5" t="inlineStr">
        <is>
          <t>保険料の所得段階と低所得者軽減の検証 05シート</t>
        </is>
      </c>
      <c r="G39" s="5" t="inlineStr">
        <is>
          <t>発注者・北海道</t>
        </is>
      </c>
      <c r="H39" s="10" t="inlineStr">
        <is>
          <t>確認待ち</t>
        </is>
      </c>
      <c r="I39" s="10" t="inlineStr">
        <is>
          <t>R8.10</t>
        </is>
      </c>
      <c r="J39" s="11" t="inlineStr"/>
    </row>
    <row r="40" ht="88" customHeight="1">
      <c r="A40" s="4" t="n">
        <v>36</v>
      </c>
      <c r="B40" s="4" t="inlineStr">
        <is>
          <t>(5)</t>
        </is>
      </c>
      <c r="C40" s="4" t="inlineStr">
        <is>
          <t>R8.10</t>
        </is>
      </c>
      <c r="D40" s="5" t="inlineStr">
        <is>
          <t>所得段階別被保険者数の実績と収納率</t>
        </is>
      </c>
      <c r="E40"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40" s="5" t="inlineStr">
        <is>
          <t>所得段階別被保険者数の推計
保険料の算定
素案 第6章第7節</t>
        </is>
      </c>
      <c r="G40" s="5" t="inlineStr">
        <is>
          <t>発注者</t>
        </is>
      </c>
      <c r="H40" s="10" t="inlineStr">
        <is>
          <t>確認待ち</t>
        </is>
      </c>
      <c r="I40" s="10" t="inlineStr">
        <is>
          <t>R8.10</t>
        </is>
      </c>
      <c r="J40" s="11" t="inlineStr"/>
    </row>
    <row r="41" ht="88" customHeight="1">
      <c r="A41" s="4" t="n">
        <v>37</v>
      </c>
      <c r="B41" s="4" t="inlineStr">
        <is>
          <t>(2)</t>
        </is>
      </c>
      <c r="C41" s="4" t="inlineStr">
        <is>
          <t>R8.8</t>
        </is>
      </c>
      <c r="D41" s="5" t="inlineStr">
        <is>
          <t>年齢階級別・要介護度別の認定率</t>
        </is>
      </c>
      <c r="E41"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レッドチームレビュー No.1）。</t>
        </is>
      </c>
      <c r="F41" s="5" t="inlineStr">
        <is>
          <t>素案 第3章第4節
妥当性検証 所見7</t>
        </is>
      </c>
      <c r="G41" s="5" t="inlineStr">
        <is>
          <t>発注者</t>
        </is>
      </c>
      <c r="H41" s="10" t="inlineStr">
        <is>
          <t>確認待ち</t>
        </is>
      </c>
      <c r="I41" s="10" t="inlineStr">
        <is>
          <t>R8.8</t>
        </is>
      </c>
      <c r="J41" s="11" t="inlineStr"/>
    </row>
    <row r="42" ht="88" customHeight="1">
      <c r="A42" s="4" t="n">
        <v>38</v>
      </c>
      <c r="B42" s="4" t="inlineStr">
        <is>
          <t>(2)</t>
        </is>
      </c>
      <c r="C42" s="4" t="inlineStr">
        <is>
          <t>R8.9</t>
        </is>
      </c>
      <c r="D42" s="5" t="inlineStr">
        <is>
          <t>交付金評価の令和6年・令和7年調査の結果</t>
        </is>
      </c>
      <c r="E42" s="5" t="inlineStr">
        <is>
          <t>現在用いている令和5年調査（令和6年度分指標）は評価対象が主に令和4年度の実施状況であり、第9期ではなく第8期の取組を反映している。第9期の評価とするには令和6年・令和7年調査の得点が必要（レッドチームレビュー No.2）。取得できない場合は「第8期の取組を反映した評価」と明記して用いる。</t>
        </is>
      </c>
      <c r="F42" s="5" t="inlineStr">
        <is>
          <t>素案 第3章第4節
妥当性検証 所見18・19</t>
        </is>
      </c>
      <c r="G42" s="5" t="inlineStr">
        <is>
          <t>発注者</t>
        </is>
      </c>
      <c r="H42" s="10" t="inlineStr">
        <is>
          <t>確認待ち</t>
        </is>
      </c>
      <c r="I42" s="10" t="inlineStr">
        <is>
          <t>R8.9</t>
        </is>
      </c>
      <c r="J42" s="11" t="inlineStr"/>
    </row>
    <row r="44" ht="32" customHeight="1">
      <c r="A44" s="3" t="inlineStr">
        <is>
          <t>区分</t>
        </is>
      </c>
      <c r="B44" s="3" t="inlineStr">
        <is>
          <t>件数</t>
        </is>
      </c>
      <c r="C44" s="3" t="inlineStr"/>
      <c r="D44" s="3" t="inlineStr"/>
      <c r="E44" s="3" t="inlineStr"/>
      <c r="F44" s="3" t="inlineStr"/>
      <c r="G44" s="3" t="inlineStr"/>
      <c r="H44" s="3" t="inlineStr"/>
      <c r="I44" s="3" t="inlineStr"/>
      <c r="J44" s="3" t="inlineStr"/>
    </row>
    <row r="45" ht="20" customHeight="1">
      <c r="A45" s="6" t="inlineStr">
        <is>
          <t>完了</t>
        </is>
      </c>
      <c r="B45" s="4">
        <f>COUNTIF(H5:H42,"完了")</f>
        <v/>
      </c>
      <c r="C45" s="5" t="inlineStr"/>
      <c r="D45" s="5" t="inlineStr"/>
      <c r="E45" s="5" t="inlineStr"/>
      <c r="F45" s="5" t="inlineStr"/>
      <c r="G45" s="5" t="inlineStr"/>
      <c r="H45" s="5" t="inlineStr"/>
      <c r="I45" s="5" t="inlineStr"/>
      <c r="J45" s="5" t="inlineStr"/>
    </row>
    <row r="46" ht="20" customHeight="1">
      <c r="A46" s="8" t="inlineStr">
        <is>
          <t>実施中</t>
        </is>
      </c>
      <c r="B46" s="4">
        <f>COUNTIF(H5:H42,"実施中")</f>
        <v/>
      </c>
      <c r="C46" s="5" t="inlineStr"/>
      <c r="D46" s="5" t="inlineStr"/>
      <c r="E46" s="5" t="inlineStr"/>
      <c r="F46" s="5" t="inlineStr"/>
      <c r="G46" s="5" t="inlineStr"/>
      <c r="H46" s="5" t="inlineStr"/>
      <c r="I46" s="5" t="inlineStr"/>
      <c r="J46" s="5" t="inlineStr"/>
    </row>
    <row r="47" ht="20" customHeight="1">
      <c r="A47" s="10" t="inlineStr">
        <is>
          <t>確認待ち</t>
        </is>
      </c>
      <c r="B47" s="4">
        <f>COUNTIF(H5:H42,"確認待ち")</f>
        <v/>
      </c>
      <c r="C47" s="5" t="inlineStr"/>
      <c r="D47" s="5" t="inlineStr"/>
      <c r="E47" s="5" t="inlineStr"/>
      <c r="F47" s="5" t="inlineStr"/>
      <c r="G47" s="5" t="inlineStr"/>
      <c r="H47" s="5" t="inlineStr"/>
      <c r="I47" s="5" t="inlineStr"/>
      <c r="J47" s="5" t="inlineStr"/>
    </row>
    <row r="48" ht="20" customHeight="1">
      <c r="A48" s="12" t="inlineStr">
        <is>
          <t>未着手</t>
        </is>
      </c>
      <c r="B48" s="4">
        <f>COUNTIF(H5:H42,"未着手")</f>
        <v/>
      </c>
      <c r="C48" s="5" t="inlineStr"/>
      <c r="D48" s="5" t="inlineStr"/>
      <c r="E48" s="5" t="inlineStr"/>
      <c r="F48" s="5" t="inlineStr"/>
      <c r="G48" s="5" t="inlineStr"/>
      <c r="H48" s="5" t="inlineStr"/>
      <c r="I48" s="5" t="inlineStr"/>
      <c r="J48" s="5" t="inlineStr"/>
    </row>
    <row r="49" ht="20" customHeight="1">
      <c r="A49" s="14" t="inlineStr">
        <is>
          <t>対象外</t>
        </is>
      </c>
      <c r="B49" s="4">
        <f>COUNTIF(H5:H42,"対象外")</f>
        <v/>
      </c>
      <c r="C49" s="5" t="inlineStr"/>
      <c r="D49" s="5" t="inlineStr"/>
      <c r="E49" s="5" t="inlineStr"/>
      <c r="F49" s="5" t="inlineStr"/>
      <c r="G49" s="5" t="inlineStr"/>
      <c r="H49" s="5" t="inlineStr"/>
      <c r="I49" s="5" t="inlineStr"/>
      <c r="J49" s="5" t="inlineStr"/>
    </row>
    <row r="51" ht="32" customHeight="1">
      <c r="A51" s="3" t="inlineStr">
        <is>
          <t>確認先</t>
        </is>
      </c>
      <c r="B51" s="3" t="inlineStr">
        <is>
          <t>件数</t>
        </is>
      </c>
      <c r="C51" s="3" t="inlineStr"/>
      <c r="D51" s="3" t="inlineStr"/>
      <c r="E51" s="3" t="inlineStr"/>
      <c r="F51" s="3" t="inlineStr"/>
      <c r="G51" s="3" t="inlineStr"/>
      <c r="H51" s="3" t="inlineStr"/>
      <c r="I51" s="3" t="inlineStr"/>
      <c r="J51" s="3" t="inlineStr"/>
    </row>
    <row r="52" ht="20" customHeight="1">
      <c r="A52" s="5" t="inlineStr">
        <is>
          <t>発注者</t>
        </is>
      </c>
      <c r="B52" s="4">
        <f>COUNTIF(G5:G42,"発注者")</f>
        <v/>
      </c>
      <c r="C52" s="5" t="inlineStr"/>
      <c r="D52" s="5" t="inlineStr"/>
      <c r="E52" s="5" t="inlineStr"/>
      <c r="F52" s="5" t="inlineStr"/>
      <c r="G52" s="5" t="inlineStr"/>
      <c r="H52" s="5" t="inlineStr"/>
      <c r="I52" s="5" t="inlineStr"/>
      <c r="J52" s="5" t="inlineStr"/>
    </row>
    <row r="53" ht="20" customHeight="1">
      <c r="A53" s="5" t="inlineStr">
        <is>
          <t>発注者・3町</t>
        </is>
      </c>
      <c r="B53" s="4">
        <f>COUNTIF(G5:G42,"発注者・3町")</f>
        <v/>
      </c>
      <c r="C53" s="5" t="inlineStr"/>
      <c r="D53" s="5" t="inlineStr"/>
      <c r="E53" s="5" t="inlineStr"/>
      <c r="F53" s="5" t="inlineStr"/>
      <c r="G53" s="5" t="inlineStr"/>
      <c r="H53" s="5" t="inlineStr"/>
      <c r="I53" s="5" t="inlineStr"/>
      <c r="J53" s="5" t="inlineStr"/>
    </row>
    <row r="54" ht="20" customHeight="1">
      <c r="A54" s="5" t="inlineStr">
        <is>
          <t>発注者・北海道</t>
        </is>
      </c>
      <c r="B54" s="4">
        <f>COUNTIF(G5:G42,"発注者・北海道")</f>
        <v/>
      </c>
      <c r="C54" s="5" t="inlineStr"/>
      <c r="D54" s="5" t="inlineStr"/>
      <c r="E54" s="5" t="inlineStr"/>
      <c r="F54" s="5" t="inlineStr"/>
      <c r="G54" s="5" t="inlineStr"/>
      <c r="H54" s="5" t="inlineStr"/>
      <c r="I54" s="5" t="inlineStr"/>
      <c r="J54" s="5" t="inlineStr"/>
    </row>
    <row r="55" ht="20" customHeight="1">
      <c r="A55" s="5" t="inlineStr">
        <is>
          <t>発注者・3町・北海道</t>
        </is>
      </c>
      <c r="B55" s="4">
        <f>COUNTIF(G5:G42,"発注者・3町・北海道")</f>
        <v/>
      </c>
      <c r="C55" s="5" t="inlineStr"/>
      <c r="D55" s="5" t="inlineStr"/>
      <c r="E55" s="5" t="inlineStr"/>
      <c r="F55" s="5" t="inlineStr"/>
      <c r="G55" s="5" t="inlineStr"/>
      <c r="H55" s="5" t="inlineStr"/>
      <c r="I55" s="5" t="inlineStr"/>
      <c r="J55" s="5" t="inlineStr"/>
    </row>
    <row r="56" ht="20" customHeight="1">
      <c r="A56" s="5" t="inlineStr">
        <is>
          <t>北海道</t>
        </is>
      </c>
      <c r="B56" s="4">
        <f>COUNTIF(G5:G42,"北海道")</f>
        <v/>
      </c>
      <c r="C56" s="5" t="inlineStr"/>
      <c r="D56" s="5" t="inlineStr"/>
      <c r="E56" s="5" t="inlineStr"/>
      <c r="F56" s="5" t="inlineStr"/>
      <c r="G56" s="5" t="inlineStr"/>
      <c r="H56" s="5" t="inlineStr"/>
      <c r="I56" s="5" t="inlineStr"/>
      <c r="J56" s="5" t="inlineStr"/>
    </row>
    <row r="58" ht="28" customHeight="1">
      <c r="A58"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58:J58"/>
    <mergeCell ref="A1:J1"/>
    <mergeCell ref="A2:J2"/>
  </mergeCells>
  <conditionalFormatting sqref="H5:H4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H5:H42"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第10期介護保険事業計画_素案_第10稿.docx
（577段落・98表・34図）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第10期計画_第9期評価のレッドチームレビュー.xlsx（8シート）
第10期計画_図表集_白黒.xlsx（33シート133点）
第10期計画_妥当性検証報告書.xlsx（24シート）
第10期計画_追加調査報告書.xlsx（8シート）
第10期計画_施策体系新旧対照表.xlsx（5シート）
figures/*.png（34点）</t>
        </is>
      </c>
      <c r="D7" s="5" t="inlineStr">
        <is>
          <t>Excel（計算式・元数値を保持）
PNG及びPDF</t>
        </is>
      </c>
      <c r="E7" s="8" t="inlineStr">
        <is>
          <t>実施中</t>
        </is>
      </c>
      <c r="F7" s="20" t="n">
        <v>0.7</v>
      </c>
      <c r="G7" s="10" t="inlineStr">
        <is>
          <t>R9.3</t>
        </is>
      </c>
      <c r="H7" s="11" t="inlineStr">
        <is>
          <t>①推計資料（人口推計・サービス見込量・保険料算定）が未作成。②クロス集計表は健康とくらしの調査分を作成済み。他の3調査分は第10期データの受領後に作成する。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第10期計画_確認依頼書.docx（第8版）
第10期計画素案_第9稿→第10稿_修正指示書.xlsx（66件）
第10期計画_業務工程管理表.xlsx（本表）</t>
        </is>
      </c>
      <c r="D8" s="5" t="inlineStr">
        <is>
          <t>Word及びExcel</t>
        </is>
      </c>
      <c r="E8" s="8" t="inlineStr">
        <is>
          <t>実施中</t>
        </is>
      </c>
      <c r="F8" s="20" t="n">
        <v>0.35</v>
      </c>
      <c r="G8" s="10" t="inlineStr">
        <is>
          <t>R9.3</t>
        </is>
      </c>
      <c r="H8" s="11" t="inlineStr">
        <is>
          <t>①キックオフ会議資料は日程確定後に作成する。②運営協議会等への資料原案は開催日程と審議事項の確定を要する。③パブリックコメント資料は実施期間の確定を要する。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計画素案（第10稿）に統合して先行作成</t>
        </is>
      </c>
      <c r="D9" s="5" t="inlineStr">
        <is>
          <t>Word及びPDF</t>
        </is>
      </c>
      <c r="E9" s="10" t="inlineStr">
        <is>
          <t>確認待ち</t>
        </is>
      </c>
      <c r="F9" s="20" t="n">
        <v>0.7</v>
      </c>
      <c r="G9" s="10" t="inlineStr">
        <is>
          <t>R8.11</t>
        </is>
      </c>
      <c r="H9" s="11" t="inlineStr">
        <is>
          <t>骨子案を計画素案とは別に作成する必要があるかの確認。仕様書５は令和8年10月に骨子案作成、11月に骨子の整理としている。</t>
        </is>
      </c>
      <c r="I9" s="5" t="inlineStr">
        <is>
          <t>18</t>
        </is>
      </c>
    </row>
    <row r="10" ht="76" customHeight="1">
      <c r="A10" s="4" t="n">
        <v>6</v>
      </c>
      <c r="B10" s="5" t="inlineStr">
        <is>
          <t>計画素案
（発注者が必要と認める資料）</t>
        </is>
      </c>
      <c r="C10" s="5" t="inlineStr">
        <is>
          <t>第10期介護保険事業計画_素案_第10稿.docx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一部受領</t>
        </is>
      </c>
      <c r="E5" s="4" t="inlineStr">
        <is>
          <t>完了</t>
        </is>
      </c>
      <c r="F5" s="4" t="inlineStr">
        <is>
          <t>未着手</t>
        </is>
      </c>
      <c r="G5" s="4" t="inlineStr">
        <is>
          <t>実施中</t>
        </is>
      </c>
      <c r="H5" s="4" t="inlineStr">
        <is>
          <t>実施中</t>
        </is>
      </c>
      <c r="I5" s="11" t="inlineStr">
        <is>
          <t>第9期計画に掲載された令和5年5月25日実施分（居宅介護支援事業所12事業所・91人）を再整理し、図表集12シートに結果概要としてまとめた（要介護度別内訳を含む）。第10期分の調査票・回答データ・集計資料は未受領のため、クロス集計とH06の基準値の算定ができない。</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一部受領</t>
        </is>
      </c>
      <c r="E6" s="4" t="inlineStr">
        <is>
          <t>完了</t>
        </is>
      </c>
      <c r="F6" s="4" t="inlineStr">
        <is>
          <t>未着手</t>
        </is>
      </c>
      <c r="G6" s="4" t="inlineStr">
        <is>
          <t>実施中</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第10期分は未受領。介護老人福祉施設の定員が234人から160人へ減少しており、移行先の実態把握が第6章の見込量算定に直結す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一部受領</t>
        </is>
      </c>
      <c r="E7" s="4" t="inlineStr">
        <is>
          <t>完了</t>
        </is>
      </c>
      <c r="F7" s="4" t="inlineStr">
        <is>
          <t>未着手</t>
        </is>
      </c>
      <c r="G7" s="4" t="inlineStr">
        <is>
          <t>実施中</t>
        </is>
      </c>
      <c r="H7" s="4" t="inlineStr">
        <is>
          <t>実施中</t>
        </is>
      </c>
      <c r="I7" s="11" t="inlineStr">
        <is>
          <t>第9期計画に掲載された令和5年5月25日実施分（施設系35事業所中27施設回答・回収率77.1％・該当職員405人）を再整理し、図表集13シートにまとめた。第10期分は未受領。北海道の評価指標⑥と同じ「採用率と離職率の差」（H14）の算定には、各年9月30日現在の在籍者数と年間の採用者数・退職者数を要す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稿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第9期計画に掲載された令和5年調査分を再整理した段階であり、第10期分の調査票・回答データ・集計資料は未受領である。このため計画素案の該当箇所は令和5年調査又は見える化システムの数値により暫定的に記述し、確定を要する箇所を［要確認］としている。注3）代表KPIのうちH07・H08・H12・H16は事業所実態調査・在宅介護実態調査をデータ源としているが、これらは仕様書４（3）の対象4調査に含ま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conditionalFormatting sqref="F5:F8">
    <cfRule type="cellIs" priority="6" operator="equal" dxfId="0">
      <formula>"完了"</formula>
    </cfRule>
    <cfRule type="cellIs" priority="7" operator="equal" dxfId="1">
      <formula>"実施中"</formula>
    </cfRule>
    <cfRule type="cellIs" priority="8" operator="equal" dxfId="2">
      <formula>"確認待ち"</formula>
    </cfRule>
    <cfRule type="cellIs" priority="9" operator="equal" dxfId="3">
      <formula>"未着手"</formula>
    </cfRule>
    <cfRule type="cellIs" priority="10" operator="equal" dxfId="4">
      <formula>"対象外"</formula>
    </cfRule>
  </conditionalFormatting>
  <conditionalFormatting sqref="G5:G8">
    <cfRule type="cellIs" priority="11" operator="equal" dxfId="0">
      <formula>"完了"</formula>
    </cfRule>
    <cfRule type="cellIs" priority="12" operator="equal" dxfId="1">
      <formula>"実施中"</formula>
    </cfRule>
    <cfRule type="cellIs" priority="13" operator="equal" dxfId="2">
      <formula>"確認待ち"</formula>
    </cfRule>
    <cfRule type="cellIs" priority="14" operator="equal" dxfId="3">
      <formula>"未着手"</formula>
    </cfRule>
    <cfRule type="cellIs" priority="15" operator="equal" dxfId="4">
      <formula>"対象外"</formula>
    </cfRule>
  </conditionalFormatting>
  <conditionalFormatting sqref="H5:H8">
    <cfRule type="cellIs" priority="16" operator="equal" dxfId="0">
      <formula>"完了"</formula>
    </cfRule>
    <cfRule type="cellIs" priority="17" operator="equal" dxfId="1">
      <formula>"実施中"</formula>
    </cfRule>
    <cfRule type="cellIs" priority="18" operator="equal" dxfId="2">
      <formula>"確認待ち"</formula>
    </cfRule>
    <cfRule type="cellIs" priority="19" operator="equal" dxfId="3">
      <formula>"未着手"</formula>
    </cfRule>
    <cfRule type="cellIs" priority="20" operator="equal" dxfId="4">
      <formula>"対象外"</formula>
    </cfRule>
  </conditionalFormatting>
  <conditionalFormatting sqref="D5:D8">
    <cfRule type="cellIs" priority="21" operator="equal" dxfId="0">
      <formula>"受領済"</formula>
    </cfRule>
    <cfRule type="cellIs" priority="22" operator="equal" dxfId="2">
      <formula>"一部受領"</formula>
    </cfRule>
    <cfRule type="cellIs" priority="23"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2026-07-29T13:59:14Z</dcterms:created>
  <dcterms:modified xmlns:dcterms="http://purl.org/dc/terms/" xmlns:xsi="http://www.w3.org/2001/XMLSchema-instance" xsi:type="dcterms:W3CDTF">2026-07-29T13:59:14Z</dcterms:modified>
</cp:coreProperties>
</file>